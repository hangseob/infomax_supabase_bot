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snow\Downloads\"/>
    </mc:Choice>
  </mc:AlternateContent>
  <xr:revisionPtr revIDLastSave="0" documentId="13_ncr:1_{0A0ADD6B-E13B-4819-B21F-03F3326F643E}" xr6:coauthVersionLast="47" xr6:coauthVersionMax="47" xr10:uidLastSave="{00000000-0000-0000-0000-000000000000}"/>
  <bookViews>
    <workbookView xWindow="585" yWindow="60" windowWidth="27120" windowHeight="14265" xr2:uid="{00000000-000D-0000-FFFF-FFFF00000000}"/>
  </bookViews>
  <sheets>
    <sheet name="ALL" sheetId="1" r:id="rId1"/>
    <sheet name="His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X63" i="1"/>
  <c r="X62" i="1"/>
  <c r="X61" i="1"/>
  <c r="W60" i="1"/>
  <c r="X59" i="1"/>
  <c r="X58" i="1"/>
  <c r="X57" i="1"/>
  <c r="X56" i="1"/>
  <c r="W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W40" i="1"/>
  <c r="W39" i="1"/>
  <c r="X38" i="1"/>
  <c r="X37" i="1"/>
  <c r="X36" i="1"/>
  <c r="X35" i="1"/>
  <c r="W34" i="1"/>
  <c r="W33" i="1"/>
  <c r="X32" i="1"/>
  <c r="X31" i="1"/>
  <c r="X30" i="1"/>
  <c r="X29" i="1"/>
  <c r="X28" i="1"/>
  <c r="X27" i="1"/>
  <c r="X26" i="1"/>
  <c r="W25" i="1"/>
  <c r="X24" i="1"/>
  <c r="X23" i="1"/>
  <c r="X22" i="1"/>
  <c r="X21" i="1"/>
  <c r="X20" i="1"/>
  <c r="W19" i="1"/>
  <c r="X18" i="1"/>
  <c r="X17" i="1"/>
  <c r="X16" i="1"/>
  <c r="X15" i="1"/>
  <c r="X14" i="1"/>
  <c r="X13" i="1"/>
  <c r="W12" i="1"/>
  <c r="W11" i="1"/>
  <c r="W10" i="1"/>
  <c r="O2" i="1"/>
  <c r="Y52" i="1"/>
  <c r="Y27" i="1"/>
  <c r="AG46" i="1"/>
  <c r="AF54" i="1"/>
  <c r="AK52" i="1"/>
  <c r="AD54" i="1"/>
  <c r="AJ45" i="1"/>
  <c r="AA44" i="1"/>
  <c r="AJ48" i="1"/>
  <c r="AI46" i="1"/>
  <c r="AA41" i="1"/>
  <c r="AA22" i="1"/>
  <c r="Y46" i="1"/>
  <c r="AK46" i="1"/>
  <c r="AJ52" i="1"/>
  <c r="AH52" i="1"/>
  <c r="AB44" i="1"/>
  <c r="AE42" i="1"/>
  <c r="AB47" i="1"/>
  <c r="AC41" i="1"/>
  <c r="Y26" i="1"/>
  <c r="AK44" i="1"/>
  <c r="Y44" i="1"/>
  <c r="Y24" i="1"/>
  <c r="AC43" i="1"/>
  <c r="AB43" i="1"/>
  <c r="AF49" i="1"/>
  <c r="Z51" i="1"/>
  <c r="AF42" i="1"/>
  <c r="Z49" i="1"/>
  <c r="AI53" i="1"/>
  <c r="AI51" i="1"/>
  <c r="AK41" i="1"/>
  <c r="AJ22" i="1"/>
  <c r="Y23" i="1"/>
  <c r="AJ54" i="1"/>
  <c r="AI54" i="1"/>
  <c r="AF44" i="1"/>
  <c r="AD49" i="1"/>
  <c r="AH45" i="1"/>
  <c r="AD47" i="1"/>
  <c r="AH53" i="1"/>
  <c r="Z16" i="1"/>
  <c r="AE22" i="1"/>
  <c r="Y48" i="1"/>
  <c r="Y20" i="1"/>
  <c r="AJ49" i="1"/>
  <c r="AD44" i="1"/>
  <c r="AK48" i="1"/>
  <c r="AH48" i="1"/>
  <c r="Z50" i="1"/>
  <c r="AC23" i="1"/>
  <c r="AG22" i="1"/>
  <c r="AB23" i="1"/>
  <c r="AG23" i="1"/>
  <c r="Y42" i="1"/>
  <c r="AA50" i="1"/>
  <c r="AH51" i="1"/>
  <c r="AC22" i="1"/>
  <c r="AJ47" i="1"/>
  <c r="AB48" i="1"/>
  <c r="AC51" i="1"/>
  <c r="AI23" i="1"/>
  <c r="AH54" i="1"/>
  <c r="AG45" i="1"/>
  <c r="AD45" i="1"/>
  <c r="AH23" i="1"/>
  <c r="AD22" i="1"/>
  <c r="Z53" i="1"/>
  <c r="AK50" i="1"/>
  <c r="Z45" i="1"/>
  <c r="Y51" i="1"/>
  <c r="Y22" i="1"/>
  <c r="AB53" i="1"/>
  <c r="AA48" i="1"/>
  <c r="AI48" i="1"/>
  <c r="AH47" i="1"/>
  <c r="AD42" i="1"/>
  <c r="Z44" i="1"/>
  <c r="Z52" i="1"/>
  <c r="AD53" i="1"/>
  <c r="Z12" i="1"/>
  <c r="AH22" i="1"/>
  <c r="Y21" i="1"/>
  <c r="AF51" i="1"/>
  <c r="AI44" i="1"/>
  <c r="AI43" i="1"/>
  <c r="Z46" i="1"/>
  <c r="AC52" i="1"/>
  <c r="AG50" i="1"/>
  <c r="AC44" i="1"/>
  <c r="AF46" i="1"/>
  <c r="AA52" i="1"/>
  <c r="AJ44" i="1"/>
  <c r="Y49" i="1"/>
  <c r="AD50" i="1"/>
  <c r="AK23" i="1"/>
  <c r="Z43" i="1"/>
  <c r="AK43" i="1"/>
  <c r="Y47" i="1"/>
  <c r="AC47" i="1"/>
  <c r="AF45" i="1"/>
  <c r="Z47" i="1"/>
  <c r="AD48" i="1"/>
  <c r="AF22" i="1"/>
  <c r="Y17" i="1"/>
  <c r="AE45" i="1"/>
  <c r="AG52" i="1"/>
  <c r="AH46" i="1"/>
  <c r="Y16" i="1"/>
  <c r="AC42" i="1"/>
  <c r="AH43" i="1"/>
  <c r="AH42" i="1"/>
  <c r="Y18" i="1"/>
  <c r="AE54" i="1"/>
  <c r="AE50" i="1"/>
  <c r="AE23" i="1"/>
  <c r="Y43" i="1"/>
  <c r="Y45" i="1"/>
  <c r="Y38" i="1"/>
  <c r="Y15" i="1"/>
  <c r="AA53" i="1"/>
  <c r="AD51" i="1"/>
  <c r="AI52" i="1"/>
  <c r="AC49" i="1"/>
  <c r="AJ43" i="1"/>
  <c r="AA42" i="1"/>
  <c r="AG53" i="1"/>
  <c r="AD43" i="1"/>
  <c r="AF23" i="1"/>
  <c r="AG49" i="1"/>
  <c r="Y37" i="1"/>
  <c r="Y14" i="1"/>
  <c r="AE51" i="1"/>
  <c r="Z48" i="1"/>
  <c r="AA51" i="1"/>
  <c r="AG47" i="1"/>
  <c r="AB42" i="1"/>
  <c r="Z42" i="1"/>
  <c r="AK51" i="1"/>
  <c r="AJ41" i="1"/>
  <c r="AA23" i="1"/>
  <c r="Y13" i="1"/>
  <c r="AI49" i="1"/>
  <c r="AE49" i="1"/>
  <c r="AK45" i="1"/>
  <c r="AB50" i="1"/>
  <c r="AE48" i="1"/>
  <c r="AC50" i="1"/>
  <c r="AI41" i="1"/>
  <c r="Z23" i="1"/>
  <c r="AE46" i="1"/>
  <c r="AI47" i="1"/>
  <c r="Z54" i="1"/>
  <c r="Y36" i="1"/>
  <c r="Y35" i="1"/>
  <c r="Y11" i="1"/>
  <c r="AC46" i="1"/>
  <c r="AC54" i="1"/>
  <c r="AB45" i="1"/>
  <c r="AG48" i="1"/>
  <c r="AH41" i="1"/>
  <c r="Y33" i="1"/>
  <c r="Y10" i="1"/>
  <c r="AA43" i="1"/>
  <c r="AK42" i="1"/>
  <c r="AA46" i="1"/>
  <c r="AA45" i="1"/>
  <c r="AA54" i="1"/>
  <c r="AD52" i="1"/>
  <c r="AC45" i="1"/>
  <c r="AG41" i="1"/>
  <c r="AJ23" i="1"/>
  <c r="AF43" i="1"/>
  <c r="AB41" i="1"/>
  <c r="AD23" i="1"/>
  <c r="AF52" i="1"/>
  <c r="AI50" i="1"/>
  <c r="AK53" i="1"/>
  <c r="AE43" i="1"/>
  <c r="AF41" i="1"/>
  <c r="Y32" i="1"/>
  <c r="AK54" i="1"/>
  <c r="AH49" i="1"/>
  <c r="AB51" i="1"/>
  <c r="AE44" i="1"/>
  <c r="AB54" i="1"/>
  <c r="AE52" i="1"/>
  <c r="AH50" i="1"/>
  <c r="Y54" i="1"/>
  <c r="Y31" i="1"/>
  <c r="AC53" i="1"/>
  <c r="AD46" i="1"/>
  <c r="AB46" i="1"/>
  <c r="AI42" i="1"/>
  <c r="Y50" i="1"/>
  <c r="Y30" i="1"/>
  <c r="AG51" i="1"/>
  <c r="AH44" i="1"/>
  <c r="AJ42" i="1"/>
  <c r="AA47" i="1"/>
  <c r="AJ50" i="1"/>
  <c r="AA49" i="1"/>
  <c r="AJ53" i="1"/>
  <c r="AF53" i="1"/>
  <c r="AE41" i="1"/>
  <c r="AK22" i="1"/>
  <c r="Z41" i="1"/>
  <c r="AB22" i="1"/>
  <c r="AF48" i="1"/>
  <c r="AF47" i="1"/>
  <c r="AI45" i="1"/>
  <c r="Y41" i="1"/>
  <c r="Y29" i="1"/>
  <c r="AK49" i="1"/>
  <c r="AK47" i="1"/>
  <c r="AG42" i="1"/>
  <c r="AG43" i="1"/>
  <c r="AB49" i="1"/>
  <c r="AE47" i="1"/>
  <c r="AB52" i="1"/>
  <c r="AJ51" i="1"/>
  <c r="AF50" i="1"/>
  <c r="AJ46" i="1"/>
  <c r="AD41" i="1"/>
  <c r="AI22" i="1"/>
  <c r="AE53" i="1"/>
  <c r="Y53" i="1"/>
  <c r="Y28" i="1"/>
  <c r="AC48" i="1"/>
  <c r="AG44" i="1"/>
  <c r="AG54" i="1"/>
  <c r="Z22" i="1"/>
  <c r="D11" i="1" l="1"/>
  <c r="D13" i="1"/>
  <c r="D14" i="1"/>
  <c r="D15" i="1"/>
  <c r="D16" i="1"/>
  <c r="D17" i="1"/>
  <c r="D18" i="1"/>
  <c r="D20" i="1"/>
  <c r="D21" i="1"/>
  <c r="D22" i="1"/>
  <c r="D23" i="1"/>
  <c r="D24" i="1"/>
  <c r="D26" i="1"/>
  <c r="D27" i="1"/>
  <c r="D28" i="1"/>
  <c r="D29" i="1"/>
  <c r="D30" i="1"/>
  <c r="D31" i="1"/>
  <c r="D32" i="1"/>
  <c r="D33" i="1"/>
  <c r="D35" i="1"/>
  <c r="D36" i="1"/>
  <c r="D37" i="1"/>
  <c r="D38" i="1"/>
  <c r="D45" i="1"/>
  <c r="D43" i="1"/>
  <c r="D47" i="1"/>
  <c r="D48" i="1"/>
  <c r="D49" i="1"/>
  <c r="D51" i="1"/>
  <c r="D42" i="1"/>
  <c r="D44" i="1"/>
  <c r="D46" i="1"/>
  <c r="D52" i="1"/>
  <c r="D53" i="1"/>
  <c r="D41" i="1"/>
  <c r="D50" i="1"/>
  <c r="D54" i="1"/>
  <c r="D10" i="1"/>
  <c r="Y40" i="1"/>
  <c r="D40" i="1" s="1"/>
  <c r="Y34" i="1"/>
  <c r="D34" i="1" s="1"/>
  <c r="Y25" i="1"/>
  <c r="D25" i="1" s="1"/>
  <c r="Y12" i="1"/>
  <c r="D12" i="1" s="1"/>
  <c r="Y19" i="1"/>
  <c r="D19" i="1" s="1"/>
  <c r="I22" i="1"/>
  <c r="K22" i="1"/>
  <c r="L22" i="1"/>
  <c r="H22" i="1"/>
  <c r="M22" i="1"/>
  <c r="J22" i="1"/>
  <c r="O22" i="1"/>
  <c r="E22" i="1"/>
  <c r="F22" i="1"/>
  <c r="N22" i="1"/>
  <c r="G22" i="1"/>
  <c r="P22" i="1"/>
  <c r="L23" i="1"/>
  <c r="I23" i="1"/>
  <c r="O23" i="1"/>
  <c r="G23" i="1"/>
  <c r="E23" i="1"/>
  <c r="F23" i="1"/>
  <c r="K23" i="1"/>
  <c r="J23" i="1"/>
  <c r="M23" i="1"/>
  <c r="N23" i="1"/>
  <c r="H23" i="1"/>
  <c r="P23" i="1"/>
  <c r="E12" i="1"/>
  <c r="E16" i="1"/>
  <c r="P41" i="1"/>
  <c r="H41" i="1"/>
  <c r="F41" i="1"/>
  <c r="I41" i="1"/>
  <c r="E41" i="1"/>
  <c r="J41" i="1"/>
  <c r="K41" i="1"/>
  <c r="G41" i="1"/>
  <c r="L41" i="1"/>
  <c r="M41" i="1"/>
  <c r="N41" i="1"/>
  <c r="O41" i="1"/>
  <c r="I43" i="1"/>
  <c r="E45" i="1"/>
  <c r="M46" i="1"/>
  <c r="I48" i="1"/>
  <c r="E50" i="1"/>
  <c r="M51" i="1"/>
  <c r="I53" i="1"/>
  <c r="F50" i="1"/>
  <c r="N51" i="1"/>
  <c r="J53" i="1"/>
  <c r="N46" i="1"/>
  <c r="O46" i="1"/>
  <c r="O51" i="1"/>
  <c r="K53" i="1"/>
  <c r="J43" i="1"/>
  <c r="K43" i="1"/>
  <c r="H45" i="1"/>
  <c r="L48" i="1"/>
  <c r="H50" i="1"/>
  <c r="P51" i="1"/>
  <c r="L53" i="1"/>
  <c r="M43" i="1"/>
  <c r="I45" i="1"/>
  <c r="E47" i="1"/>
  <c r="M48" i="1"/>
  <c r="I50" i="1"/>
  <c r="E52" i="1"/>
  <c r="M53" i="1"/>
  <c r="N53" i="1"/>
  <c r="G47" i="1"/>
  <c r="O48" i="1"/>
  <c r="K50" i="1"/>
  <c r="G52" i="1"/>
  <c r="O53" i="1"/>
  <c r="P53" i="1"/>
  <c r="M50" i="1"/>
  <c r="I52" i="1"/>
  <c r="E54" i="1"/>
  <c r="J48" i="1"/>
  <c r="E42" i="1"/>
  <c r="F42" i="1"/>
  <c r="J50" i="1"/>
  <c r="F52" i="1"/>
  <c r="K45" i="1"/>
  <c r="P43" i="1"/>
  <c r="L50" i="1"/>
  <c r="E44" i="1"/>
  <c r="I47" i="1"/>
  <c r="E49" i="1"/>
  <c r="J42" i="1"/>
  <c r="F44" i="1"/>
  <c r="N45" i="1"/>
  <c r="J47" i="1"/>
  <c r="F49" i="1"/>
  <c r="N50" i="1"/>
  <c r="J52" i="1"/>
  <c r="F54" i="1"/>
  <c r="G45" i="1"/>
  <c r="G50" i="1"/>
  <c r="G42" i="1"/>
  <c r="O43" i="1"/>
  <c r="H42" i="1"/>
  <c r="L45" i="1"/>
  <c r="H47" i="1"/>
  <c r="P48" i="1"/>
  <c r="H52" i="1"/>
  <c r="I42" i="1"/>
  <c r="M45" i="1"/>
  <c r="K42" i="1"/>
  <c r="G44" i="1"/>
  <c r="O45" i="1"/>
  <c r="K47" i="1"/>
  <c r="G49" i="1"/>
  <c r="O50" i="1"/>
  <c r="K52" i="1"/>
  <c r="G54" i="1"/>
  <c r="F45" i="1"/>
  <c r="H54" i="1"/>
  <c r="P45" i="1"/>
  <c r="L47" i="1"/>
  <c r="H49" i="1"/>
  <c r="P50" i="1"/>
  <c r="L52" i="1"/>
  <c r="M42" i="1"/>
  <c r="I44" i="1"/>
  <c r="E46" i="1"/>
  <c r="M47" i="1"/>
  <c r="I49" i="1"/>
  <c r="E51" i="1"/>
  <c r="M52" i="1"/>
  <c r="I54" i="1"/>
  <c r="K48" i="1"/>
  <c r="L43" i="1"/>
  <c r="F47" i="1"/>
  <c r="N42" i="1"/>
  <c r="J44" i="1"/>
  <c r="F46" i="1"/>
  <c r="N47" i="1"/>
  <c r="J49" i="1"/>
  <c r="F51" i="1"/>
  <c r="N52" i="1"/>
  <c r="J54" i="1"/>
  <c r="J45" i="1"/>
  <c r="H44" i="1"/>
  <c r="O47" i="1"/>
  <c r="N43" i="1"/>
  <c r="N48" i="1"/>
  <c r="K44" i="1"/>
  <c r="K49" i="1"/>
  <c r="O52" i="1"/>
  <c r="P52" i="1"/>
  <c r="L54" i="1"/>
  <c r="L42" i="1"/>
  <c r="O42" i="1"/>
  <c r="G46" i="1"/>
  <c r="G51" i="1"/>
  <c r="P42" i="1"/>
  <c r="H46" i="1"/>
  <c r="L49" i="1"/>
  <c r="E48" i="1"/>
  <c r="I51" i="1"/>
  <c r="E53" i="1"/>
  <c r="M54" i="1"/>
  <c r="H51" i="1"/>
  <c r="E43" i="1"/>
  <c r="N44" i="1"/>
  <c r="F48" i="1"/>
  <c r="N54" i="1"/>
  <c r="G43" i="1"/>
  <c r="P46" i="1"/>
  <c r="K54" i="1"/>
  <c r="L44" i="1"/>
  <c r="P47" i="1"/>
  <c r="M44" i="1"/>
  <c r="I46" i="1"/>
  <c r="M49" i="1"/>
  <c r="F43" i="1"/>
  <c r="J46" i="1"/>
  <c r="N49" i="1"/>
  <c r="J51" i="1"/>
  <c r="F53" i="1"/>
  <c r="O44" i="1"/>
  <c r="K46" i="1"/>
  <c r="G48" i="1"/>
  <c r="O49" i="1"/>
  <c r="K51" i="1"/>
  <c r="G53" i="1"/>
  <c r="O54" i="1"/>
  <c r="H43" i="1"/>
  <c r="P44" i="1"/>
  <c r="L46" i="1"/>
  <c r="H48" i="1"/>
  <c r="P49" i="1"/>
  <c r="L51" i="1"/>
  <c r="H53" i="1"/>
  <c r="P54" i="1"/>
  <c r="AK40" i="1"/>
  <c r="P40" i="1" s="1"/>
  <c r="AC40" i="1"/>
  <c r="H40" i="1" s="1"/>
  <c r="AA40" i="1"/>
  <c r="F40" i="1" s="1"/>
  <c r="AD40" i="1"/>
  <c r="I40" i="1" s="1"/>
  <c r="Z40" i="1"/>
  <c r="E40" i="1" s="1"/>
  <c r="AE40" i="1"/>
  <c r="J40" i="1" s="1"/>
  <c r="AF40" i="1"/>
  <c r="K40" i="1" s="1"/>
  <c r="AB40" i="1"/>
  <c r="G40" i="1" s="1"/>
  <c r="AG40" i="1"/>
  <c r="L40" i="1" s="1"/>
  <c r="AH40" i="1"/>
  <c r="M40" i="1" s="1"/>
  <c r="AI40" i="1"/>
  <c r="N40" i="1" s="1"/>
  <c r="AJ40" i="1"/>
  <c r="O40" i="1" s="1"/>
  <c r="G19" i="2"/>
  <c r="H19" i="2"/>
  <c r="I19" i="2"/>
  <c r="J19" i="2"/>
  <c r="K19" i="2"/>
  <c r="L19" i="2"/>
  <c r="M19" i="2"/>
  <c r="N19" i="2"/>
  <c r="O19" i="2"/>
  <c r="P19" i="2"/>
  <c r="Q19" i="2"/>
  <c r="R19" i="2"/>
  <c r="G20" i="2"/>
  <c r="H20" i="2"/>
  <c r="I20" i="2"/>
  <c r="J20" i="2"/>
  <c r="K20" i="2"/>
  <c r="L20" i="2"/>
  <c r="M20" i="2"/>
  <c r="N20" i="2"/>
  <c r="O20" i="2"/>
  <c r="P20" i="2"/>
  <c r="Q20" i="2"/>
  <c r="R20" i="2"/>
  <c r="G21" i="2"/>
  <c r="H21" i="2"/>
  <c r="I21" i="2"/>
  <c r="J21" i="2"/>
  <c r="K21" i="2"/>
  <c r="L21" i="2"/>
  <c r="M21" i="2"/>
  <c r="N21" i="2"/>
  <c r="O21" i="2"/>
  <c r="P21" i="2"/>
  <c r="Q21" i="2"/>
  <c r="R21" i="2"/>
  <c r="G22" i="2"/>
  <c r="H22" i="2"/>
  <c r="I22" i="2"/>
  <c r="J22" i="2"/>
  <c r="K22" i="2"/>
  <c r="L22" i="2"/>
  <c r="M22" i="2"/>
  <c r="N22" i="2"/>
  <c r="O22" i="2"/>
  <c r="P22" i="2"/>
  <c r="Q22" i="2"/>
  <c r="R22" i="2"/>
  <c r="G23" i="2"/>
  <c r="H23" i="2"/>
  <c r="I23" i="2"/>
  <c r="J23" i="2"/>
  <c r="K23" i="2"/>
  <c r="L23" i="2"/>
  <c r="M23" i="2"/>
  <c r="N23" i="2"/>
  <c r="O23" i="2"/>
  <c r="P23" i="2"/>
  <c r="Q23" i="2"/>
  <c r="R23" i="2"/>
  <c r="G24" i="2"/>
  <c r="H24" i="2"/>
  <c r="I24" i="2"/>
  <c r="J24" i="2"/>
  <c r="K24" i="2"/>
  <c r="L24" i="2"/>
  <c r="M24" i="2"/>
  <c r="N24" i="2"/>
  <c r="O24" i="2"/>
  <c r="P24" i="2"/>
  <c r="Q24" i="2"/>
  <c r="R24" i="2"/>
  <c r="G25" i="2"/>
  <c r="H25" i="2"/>
  <c r="I25" i="2"/>
  <c r="J25" i="2"/>
  <c r="K25" i="2"/>
  <c r="L25" i="2"/>
  <c r="M25" i="2"/>
  <c r="N25" i="2"/>
  <c r="O25" i="2"/>
  <c r="P25" i="2"/>
  <c r="Q25" i="2"/>
  <c r="R25" i="2"/>
  <c r="G26" i="2"/>
  <c r="H26" i="2"/>
  <c r="I26" i="2"/>
  <c r="J26" i="2"/>
  <c r="K26" i="2"/>
  <c r="L26" i="2"/>
  <c r="M26" i="2"/>
  <c r="N26" i="2"/>
  <c r="O26" i="2"/>
  <c r="P26" i="2"/>
  <c r="Q26" i="2"/>
  <c r="R26" i="2"/>
  <c r="G27" i="2"/>
  <c r="H27" i="2"/>
  <c r="I27" i="2"/>
  <c r="J27" i="2"/>
  <c r="K27" i="2"/>
  <c r="L27" i="2"/>
  <c r="M27" i="2"/>
  <c r="N27" i="2"/>
  <c r="O27" i="2"/>
  <c r="P27" i="2"/>
  <c r="Q27" i="2"/>
  <c r="R27" i="2"/>
  <c r="G28" i="2"/>
  <c r="H28" i="2"/>
  <c r="I28" i="2"/>
  <c r="J28" i="2"/>
  <c r="K28" i="2"/>
  <c r="L28" i="2"/>
  <c r="M28" i="2"/>
  <c r="N28" i="2"/>
  <c r="O28" i="2"/>
  <c r="P28" i="2"/>
  <c r="Q28" i="2"/>
  <c r="R28" i="2"/>
  <c r="G29" i="2"/>
  <c r="H29" i="2"/>
  <c r="I29" i="2"/>
  <c r="J29" i="2"/>
  <c r="K29" i="2"/>
  <c r="L29" i="2"/>
  <c r="M29" i="2"/>
  <c r="N29" i="2"/>
  <c r="O29" i="2"/>
  <c r="P29" i="2"/>
  <c r="Q29" i="2"/>
  <c r="R29" i="2"/>
  <c r="G30" i="2"/>
  <c r="H30" i="2"/>
  <c r="I30" i="2"/>
  <c r="J30" i="2"/>
  <c r="K30" i="2"/>
  <c r="L30" i="2"/>
  <c r="M30" i="2"/>
  <c r="N30" i="2"/>
  <c r="O30" i="2"/>
  <c r="P30" i="2"/>
  <c r="Q30" i="2"/>
  <c r="R30" i="2"/>
  <c r="G31" i="2"/>
  <c r="H31" i="2"/>
  <c r="I31" i="2"/>
  <c r="J31" i="2"/>
  <c r="K31" i="2"/>
  <c r="L31" i="2"/>
  <c r="M31" i="2"/>
  <c r="N31" i="2"/>
  <c r="O31" i="2"/>
  <c r="P31" i="2"/>
  <c r="Q31" i="2"/>
  <c r="R31" i="2"/>
  <c r="G32" i="2"/>
  <c r="H32" i="2"/>
  <c r="I32" i="2"/>
  <c r="J32" i="2"/>
  <c r="K32" i="2"/>
  <c r="L32" i="2"/>
  <c r="M32" i="2"/>
  <c r="N32" i="2"/>
  <c r="O32" i="2"/>
  <c r="P32" i="2"/>
  <c r="Q32" i="2"/>
  <c r="R32" i="2"/>
  <c r="G33" i="2"/>
  <c r="H33" i="2"/>
  <c r="I33" i="2"/>
  <c r="J33" i="2"/>
  <c r="K33" i="2"/>
  <c r="L33" i="2"/>
  <c r="M33" i="2"/>
  <c r="N33" i="2"/>
  <c r="O33" i="2"/>
  <c r="P33" i="2"/>
  <c r="Q33" i="2"/>
  <c r="R33" i="2"/>
  <c r="G34" i="2"/>
  <c r="H34" i="2"/>
  <c r="I34" i="2"/>
  <c r="J34" i="2"/>
  <c r="K34" i="2"/>
  <c r="L34" i="2"/>
  <c r="M34" i="2"/>
  <c r="N34" i="2"/>
  <c r="O34" i="2"/>
  <c r="P34" i="2"/>
  <c r="Q34" i="2"/>
  <c r="R34" i="2"/>
  <c r="G35" i="2"/>
  <c r="H35" i="2"/>
  <c r="I35" i="2"/>
  <c r="J35" i="2"/>
  <c r="K35" i="2"/>
  <c r="L35" i="2"/>
  <c r="M35" i="2"/>
  <c r="N35" i="2"/>
  <c r="O35" i="2"/>
  <c r="P35" i="2"/>
  <c r="Q35" i="2"/>
  <c r="R35" i="2"/>
  <c r="G36" i="2"/>
  <c r="H36" i="2"/>
  <c r="I36" i="2"/>
  <c r="J36" i="2"/>
  <c r="K36" i="2"/>
  <c r="L36" i="2"/>
  <c r="M36" i="2"/>
  <c r="N36" i="2"/>
  <c r="O36" i="2"/>
  <c r="P36" i="2"/>
  <c r="Q36" i="2"/>
  <c r="R36" i="2"/>
  <c r="G37" i="2"/>
  <c r="H37" i="2"/>
  <c r="I37" i="2"/>
  <c r="J37" i="2"/>
  <c r="K37" i="2"/>
  <c r="L37" i="2"/>
  <c r="M37" i="2"/>
  <c r="N37" i="2"/>
  <c r="O37" i="2"/>
  <c r="P37" i="2"/>
  <c r="Q37" i="2"/>
  <c r="R37" i="2"/>
  <c r="G38" i="2"/>
  <c r="H38" i="2"/>
  <c r="I38" i="2"/>
  <c r="J38" i="2"/>
  <c r="K38" i="2"/>
  <c r="L38" i="2"/>
  <c r="M38" i="2"/>
  <c r="N38" i="2"/>
  <c r="O38" i="2"/>
  <c r="P38" i="2"/>
  <c r="Q38" i="2"/>
  <c r="R38" i="2"/>
  <c r="G39" i="2"/>
  <c r="H39" i="2"/>
  <c r="I39" i="2"/>
  <c r="J39" i="2"/>
  <c r="K39" i="2"/>
  <c r="L39" i="2"/>
  <c r="M39" i="2"/>
  <c r="N39" i="2"/>
  <c r="O39" i="2"/>
  <c r="P39" i="2"/>
  <c r="Q39" i="2"/>
  <c r="R39" i="2"/>
  <c r="G40" i="2"/>
  <c r="H40" i="2"/>
  <c r="I40" i="2"/>
  <c r="J40" i="2"/>
  <c r="K40" i="2"/>
  <c r="L40" i="2"/>
  <c r="M40" i="2"/>
  <c r="N40" i="2"/>
  <c r="O40" i="2"/>
  <c r="P40" i="2"/>
  <c r="Q40" i="2"/>
  <c r="R40" i="2"/>
  <c r="G41" i="2"/>
  <c r="H41" i="2"/>
  <c r="I41" i="2"/>
  <c r="J41" i="2"/>
  <c r="K41" i="2"/>
  <c r="L41" i="2"/>
  <c r="M41" i="2"/>
  <c r="N41" i="2"/>
  <c r="O41" i="2"/>
  <c r="P41" i="2"/>
  <c r="Q41" i="2"/>
  <c r="R41" i="2"/>
  <c r="G42" i="2"/>
  <c r="H42" i="2"/>
  <c r="I42" i="2"/>
  <c r="J42" i="2"/>
  <c r="K42" i="2"/>
  <c r="L42" i="2"/>
  <c r="M42" i="2"/>
  <c r="N42" i="2"/>
  <c r="O42" i="2"/>
  <c r="P42" i="2"/>
  <c r="Q42" i="2"/>
  <c r="R42" i="2"/>
  <c r="G43" i="2"/>
  <c r="H43" i="2"/>
  <c r="I43" i="2"/>
  <c r="J43" i="2"/>
  <c r="K43" i="2"/>
  <c r="L43" i="2"/>
  <c r="M43" i="2"/>
  <c r="N43" i="2"/>
  <c r="O43" i="2"/>
  <c r="P43" i="2"/>
  <c r="Q43" i="2"/>
  <c r="R43" i="2"/>
  <c r="G44" i="2"/>
  <c r="H44" i="2"/>
  <c r="I44" i="2"/>
  <c r="J44" i="2"/>
  <c r="K44" i="2"/>
  <c r="L44" i="2"/>
  <c r="M44" i="2"/>
  <c r="N44" i="2"/>
  <c r="O44" i="2"/>
  <c r="P44" i="2"/>
  <c r="Q44" i="2"/>
  <c r="R44" i="2"/>
  <c r="G45" i="2"/>
  <c r="H45" i="2"/>
  <c r="I45" i="2"/>
  <c r="J45" i="2"/>
  <c r="K45" i="2"/>
  <c r="L45" i="2"/>
  <c r="M45" i="2"/>
  <c r="N45" i="2"/>
  <c r="O45" i="2"/>
  <c r="P45" i="2"/>
  <c r="Q45" i="2"/>
  <c r="R45" i="2"/>
  <c r="G46" i="2"/>
  <c r="H46" i="2"/>
  <c r="I46" i="2"/>
  <c r="J46" i="2"/>
  <c r="K46" i="2"/>
  <c r="L46" i="2"/>
  <c r="M46" i="2"/>
  <c r="N46" i="2"/>
  <c r="O46" i="2"/>
  <c r="P46" i="2"/>
  <c r="Q46" i="2"/>
  <c r="R46" i="2"/>
  <c r="G47" i="2"/>
  <c r="H47" i="2"/>
  <c r="I47" i="2"/>
  <c r="J47" i="2"/>
  <c r="K47" i="2"/>
  <c r="L47" i="2"/>
  <c r="M47" i="2"/>
  <c r="N47" i="2"/>
  <c r="O47" i="2"/>
  <c r="P47" i="2"/>
  <c r="Q47" i="2"/>
  <c r="R47" i="2"/>
  <c r="G48" i="2"/>
  <c r="H48" i="2"/>
  <c r="I48" i="2"/>
  <c r="J48" i="2"/>
  <c r="K48" i="2"/>
  <c r="L48" i="2"/>
  <c r="M48" i="2"/>
  <c r="N48" i="2"/>
  <c r="O48" i="2"/>
  <c r="P48" i="2"/>
  <c r="Q48" i="2"/>
  <c r="R48" i="2"/>
  <c r="G49" i="2"/>
  <c r="H49" i="2"/>
  <c r="I49" i="2"/>
  <c r="J49" i="2"/>
  <c r="K49" i="2"/>
  <c r="L49" i="2"/>
  <c r="M49" i="2"/>
  <c r="N49" i="2"/>
  <c r="O49" i="2"/>
  <c r="P49" i="2"/>
  <c r="Q49" i="2"/>
  <c r="R49" i="2"/>
  <c r="G50" i="2"/>
  <c r="H50" i="2"/>
  <c r="I50" i="2"/>
  <c r="J50" i="2"/>
  <c r="K50" i="2"/>
  <c r="L50" i="2"/>
  <c r="M50" i="2"/>
  <c r="N50" i="2"/>
  <c r="O50" i="2"/>
  <c r="P50" i="2"/>
  <c r="Q50" i="2"/>
  <c r="R50" i="2"/>
  <c r="G51" i="2"/>
  <c r="H51" i="2"/>
  <c r="I51" i="2"/>
  <c r="J51" i="2"/>
  <c r="K51" i="2"/>
  <c r="L51" i="2"/>
  <c r="M51" i="2"/>
  <c r="N51" i="2"/>
  <c r="O51" i="2"/>
  <c r="P51" i="2"/>
  <c r="Q51" i="2"/>
  <c r="R51" i="2"/>
  <c r="G52" i="2"/>
  <c r="H52" i="2"/>
  <c r="I52" i="2"/>
  <c r="J52" i="2"/>
  <c r="K52" i="2"/>
  <c r="L52" i="2"/>
  <c r="M52" i="2"/>
  <c r="N52" i="2"/>
  <c r="O52" i="2"/>
  <c r="P52" i="2"/>
  <c r="Q52" i="2"/>
  <c r="R52" i="2"/>
  <c r="G53" i="2"/>
  <c r="H53" i="2"/>
  <c r="I53" i="2"/>
  <c r="J53" i="2"/>
  <c r="K53" i="2"/>
  <c r="L53" i="2"/>
  <c r="M53" i="2"/>
  <c r="N53" i="2"/>
  <c r="O53" i="2"/>
  <c r="P53" i="2"/>
  <c r="Q53" i="2"/>
  <c r="R53" i="2"/>
  <c r="G54" i="2"/>
  <c r="H54" i="2"/>
  <c r="I54" i="2"/>
  <c r="J54" i="2"/>
  <c r="K54" i="2"/>
  <c r="L54" i="2"/>
  <c r="M54" i="2"/>
  <c r="N54" i="2"/>
  <c r="O54" i="2"/>
  <c r="P54" i="2"/>
  <c r="Q54" i="2"/>
  <c r="R54" i="2"/>
  <c r="G55" i="2"/>
  <c r="H55" i="2"/>
  <c r="I55" i="2"/>
  <c r="J55" i="2"/>
  <c r="K55" i="2"/>
  <c r="L55" i="2"/>
  <c r="M55" i="2"/>
  <c r="N55" i="2"/>
  <c r="O55" i="2"/>
  <c r="P55" i="2"/>
  <c r="Q55" i="2"/>
  <c r="R55" i="2"/>
  <c r="G56" i="2"/>
  <c r="H56" i="2"/>
  <c r="I56" i="2"/>
  <c r="J56" i="2"/>
  <c r="K56" i="2"/>
  <c r="L56" i="2"/>
  <c r="M56" i="2"/>
  <c r="N56" i="2"/>
  <c r="O56" i="2"/>
  <c r="P56" i="2"/>
  <c r="Q56" i="2"/>
  <c r="R56" i="2"/>
  <c r="G57" i="2"/>
  <c r="H57" i="2"/>
  <c r="I57" i="2"/>
  <c r="J57" i="2"/>
  <c r="K57" i="2"/>
  <c r="L57" i="2"/>
  <c r="M57" i="2"/>
  <c r="N57" i="2"/>
  <c r="O57" i="2"/>
  <c r="P57" i="2"/>
  <c r="Q57" i="2"/>
  <c r="R57" i="2"/>
  <c r="G58" i="2"/>
  <c r="H58" i="2"/>
  <c r="I58" i="2"/>
  <c r="J58" i="2"/>
  <c r="K58" i="2"/>
  <c r="L58" i="2"/>
  <c r="M58" i="2"/>
  <c r="N58" i="2"/>
  <c r="O58" i="2"/>
  <c r="P58" i="2"/>
  <c r="Q58" i="2"/>
  <c r="R58" i="2"/>
  <c r="G59" i="2"/>
  <c r="H59" i="2"/>
  <c r="I59" i="2"/>
  <c r="J59" i="2"/>
  <c r="K59" i="2"/>
  <c r="L59" i="2"/>
  <c r="M59" i="2"/>
  <c r="N59" i="2"/>
  <c r="O59" i="2"/>
  <c r="P59" i="2"/>
  <c r="Q59" i="2"/>
  <c r="R59" i="2"/>
  <c r="G60" i="2"/>
  <c r="H60" i="2"/>
  <c r="I60" i="2"/>
  <c r="J60" i="2"/>
  <c r="K60" i="2"/>
  <c r="L60" i="2"/>
  <c r="M60" i="2"/>
  <c r="N60" i="2"/>
  <c r="O60" i="2"/>
  <c r="P60" i="2"/>
  <c r="Q60" i="2"/>
  <c r="R60" i="2"/>
  <c r="G61" i="2"/>
  <c r="H61" i="2"/>
  <c r="I61" i="2"/>
  <c r="J61" i="2"/>
  <c r="K61" i="2"/>
  <c r="L61" i="2"/>
  <c r="M61" i="2"/>
  <c r="N61" i="2"/>
  <c r="O61" i="2"/>
  <c r="P61" i="2"/>
  <c r="Q61" i="2"/>
  <c r="R61" i="2"/>
  <c r="G62" i="2"/>
  <c r="H62" i="2"/>
  <c r="I62" i="2"/>
  <c r="J62" i="2"/>
  <c r="K62" i="2"/>
  <c r="L62" i="2"/>
  <c r="M62" i="2"/>
  <c r="N62" i="2"/>
  <c r="O62" i="2"/>
  <c r="P62" i="2"/>
  <c r="Q62" i="2"/>
  <c r="R62" i="2"/>
  <c r="G63" i="2"/>
  <c r="H63" i="2"/>
  <c r="I63" i="2"/>
  <c r="J63" i="2"/>
  <c r="K63" i="2"/>
  <c r="L63" i="2"/>
  <c r="M63" i="2"/>
  <c r="N63" i="2"/>
  <c r="O63" i="2"/>
  <c r="P63" i="2"/>
  <c r="Q63" i="2"/>
  <c r="R63" i="2"/>
  <c r="G64" i="2"/>
  <c r="H64" i="2"/>
  <c r="I64" i="2"/>
  <c r="J64" i="2"/>
  <c r="K64" i="2"/>
  <c r="L64" i="2"/>
  <c r="M64" i="2"/>
  <c r="N64" i="2"/>
  <c r="O64" i="2"/>
  <c r="P64" i="2"/>
  <c r="Q64" i="2"/>
  <c r="R64" i="2"/>
  <c r="G65" i="2"/>
  <c r="H65" i="2"/>
  <c r="I65" i="2"/>
  <c r="J65" i="2"/>
  <c r="K65" i="2"/>
  <c r="L65" i="2"/>
  <c r="M65" i="2"/>
  <c r="N65" i="2"/>
  <c r="O65" i="2"/>
  <c r="P65" i="2"/>
  <c r="Q65" i="2"/>
  <c r="R65" i="2"/>
  <c r="G66" i="2"/>
  <c r="H66" i="2"/>
  <c r="I66" i="2"/>
  <c r="J66" i="2"/>
  <c r="K66" i="2"/>
  <c r="L66" i="2"/>
  <c r="M66" i="2"/>
  <c r="N66" i="2"/>
  <c r="O66" i="2"/>
  <c r="P66" i="2"/>
  <c r="Q66" i="2"/>
  <c r="R66" i="2"/>
  <c r="G67" i="2"/>
  <c r="H67" i="2"/>
  <c r="I67" i="2"/>
  <c r="J67" i="2"/>
  <c r="K67" i="2"/>
  <c r="L67" i="2"/>
  <c r="M67" i="2"/>
  <c r="N67" i="2"/>
  <c r="O67" i="2"/>
  <c r="P67" i="2"/>
  <c r="Q67" i="2"/>
  <c r="R67" i="2"/>
  <c r="G68" i="2"/>
  <c r="H68" i="2"/>
  <c r="I68" i="2"/>
  <c r="J68" i="2"/>
  <c r="K68" i="2"/>
  <c r="L68" i="2"/>
  <c r="M68" i="2"/>
  <c r="N68" i="2"/>
  <c r="O68" i="2"/>
  <c r="P68" i="2"/>
  <c r="Q68" i="2"/>
  <c r="R68" i="2"/>
  <c r="G69" i="2"/>
  <c r="H69" i="2"/>
  <c r="I69" i="2"/>
  <c r="J69" i="2"/>
  <c r="K69" i="2"/>
  <c r="L69" i="2"/>
  <c r="M69" i="2"/>
  <c r="N69" i="2"/>
  <c r="O69" i="2"/>
  <c r="P69" i="2"/>
  <c r="Q69" i="2"/>
  <c r="R69" i="2"/>
  <c r="G70" i="2"/>
  <c r="H70" i="2"/>
  <c r="I70" i="2"/>
  <c r="J70" i="2"/>
  <c r="K70" i="2"/>
  <c r="L70" i="2"/>
  <c r="M70" i="2"/>
  <c r="N70" i="2"/>
  <c r="O70" i="2"/>
  <c r="P70" i="2"/>
  <c r="Q70" i="2"/>
  <c r="R70" i="2"/>
  <c r="G71" i="2"/>
  <c r="H71" i="2"/>
  <c r="I71" i="2"/>
  <c r="J71" i="2"/>
  <c r="K71" i="2"/>
  <c r="L71" i="2"/>
  <c r="M71" i="2"/>
  <c r="N71" i="2"/>
  <c r="O71" i="2"/>
  <c r="P71" i="2"/>
  <c r="Q71" i="2"/>
  <c r="R71" i="2"/>
  <c r="G72" i="2"/>
  <c r="H72" i="2"/>
  <c r="I72" i="2"/>
  <c r="J72" i="2"/>
  <c r="K72" i="2"/>
  <c r="L72" i="2"/>
  <c r="M72" i="2"/>
  <c r="N72" i="2"/>
  <c r="O72" i="2"/>
  <c r="P72" i="2"/>
  <c r="Q72" i="2"/>
  <c r="R72" i="2"/>
  <c r="G73" i="2"/>
  <c r="H73" i="2"/>
  <c r="I73" i="2"/>
  <c r="J73" i="2"/>
  <c r="K73" i="2"/>
  <c r="L73" i="2"/>
  <c r="M73" i="2"/>
  <c r="N73" i="2"/>
  <c r="O73" i="2"/>
  <c r="P73" i="2"/>
  <c r="Q73" i="2"/>
  <c r="R73" i="2"/>
  <c r="G74" i="2"/>
  <c r="H74" i="2"/>
  <c r="I74" i="2"/>
  <c r="J74" i="2"/>
  <c r="K74" i="2"/>
  <c r="L74" i="2"/>
  <c r="M74" i="2"/>
  <c r="N74" i="2"/>
  <c r="O74" i="2"/>
  <c r="P74" i="2"/>
  <c r="Q74" i="2"/>
  <c r="R74" i="2"/>
  <c r="G75" i="2"/>
  <c r="H75" i="2"/>
  <c r="I75" i="2"/>
  <c r="J75" i="2"/>
  <c r="K75" i="2"/>
  <c r="L75" i="2"/>
  <c r="M75" i="2"/>
  <c r="N75" i="2"/>
  <c r="O75" i="2"/>
  <c r="P75" i="2"/>
  <c r="Q75" i="2"/>
  <c r="R75" i="2"/>
  <c r="G76" i="2"/>
  <c r="H76" i="2"/>
  <c r="I76" i="2"/>
  <c r="J76" i="2"/>
  <c r="K76" i="2"/>
  <c r="L76" i="2"/>
  <c r="M76" i="2"/>
  <c r="N76" i="2"/>
  <c r="O76" i="2"/>
  <c r="P76" i="2"/>
  <c r="Q76" i="2"/>
  <c r="R76" i="2"/>
  <c r="G77" i="2"/>
  <c r="H77" i="2"/>
  <c r="I77" i="2"/>
  <c r="J77" i="2"/>
  <c r="K77" i="2"/>
  <c r="L77" i="2"/>
  <c r="M77" i="2"/>
  <c r="N77" i="2"/>
  <c r="O77" i="2"/>
  <c r="P77" i="2"/>
  <c r="Q77" i="2"/>
  <c r="R77" i="2"/>
  <c r="G78" i="2"/>
  <c r="H78" i="2"/>
  <c r="I78" i="2"/>
  <c r="J78" i="2"/>
  <c r="K78" i="2"/>
  <c r="L78" i="2"/>
  <c r="M78" i="2"/>
  <c r="N78" i="2"/>
  <c r="O78" i="2"/>
  <c r="P78" i="2"/>
  <c r="Q78" i="2"/>
  <c r="R78" i="2"/>
  <c r="G79" i="2"/>
  <c r="H79" i="2"/>
  <c r="I79" i="2"/>
  <c r="J79" i="2"/>
  <c r="K79" i="2"/>
  <c r="L79" i="2"/>
  <c r="M79" i="2"/>
  <c r="N79" i="2"/>
  <c r="O79" i="2"/>
  <c r="P79" i="2"/>
  <c r="Q79" i="2"/>
  <c r="R79" i="2"/>
  <c r="G80" i="2"/>
  <c r="H80" i="2"/>
  <c r="I80" i="2"/>
  <c r="J80" i="2"/>
  <c r="K80" i="2"/>
  <c r="L80" i="2"/>
  <c r="M80" i="2"/>
  <c r="N80" i="2"/>
  <c r="O80" i="2"/>
  <c r="P80" i="2"/>
  <c r="Q80" i="2"/>
  <c r="R80" i="2"/>
  <c r="G81" i="2"/>
  <c r="H81" i="2"/>
  <c r="I81" i="2"/>
  <c r="J81" i="2"/>
  <c r="K81" i="2"/>
  <c r="L81" i="2"/>
  <c r="M81" i="2"/>
  <c r="N81" i="2"/>
  <c r="O81" i="2"/>
  <c r="P81" i="2"/>
  <c r="Q81" i="2"/>
  <c r="R81" i="2"/>
  <c r="G82" i="2"/>
  <c r="H82" i="2"/>
  <c r="I82" i="2"/>
  <c r="J82" i="2"/>
  <c r="K82" i="2"/>
  <c r="L82" i="2"/>
  <c r="M82" i="2"/>
  <c r="N82" i="2"/>
  <c r="O82" i="2"/>
  <c r="P82" i="2"/>
  <c r="Q82" i="2"/>
  <c r="R82" i="2"/>
  <c r="G83" i="2"/>
  <c r="H83" i="2"/>
  <c r="I83" i="2"/>
  <c r="J83" i="2"/>
  <c r="K83" i="2"/>
  <c r="L83" i="2"/>
  <c r="M83" i="2"/>
  <c r="N83" i="2"/>
  <c r="O83" i="2"/>
  <c r="P83" i="2"/>
  <c r="Q83" i="2"/>
  <c r="R83" i="2"/>
  <c r="G84" i="2"/>
  <c r="H84" i="2"/>
  <c r="I84" i="2"/>
  <c r="J84" i="2"/>
  <c r="K84" i="2"/>
  <c r="L84" i="2"/>
  <c r="M84" i="2"/>
  <c r="N84" i="2"/>
  <c r="O84" i="2"/>
  <c r="P84" i="2"/>
  <c r="Q84" i="2"/>
  <c r="R84" i="2"/>
  <c r="G85" i="2"/>
  <c r="H85" i="2"/>
  <c r="I85" i="2"/>
  <c r="J85" i="2"/>
  <c r="K85" i="2"/>
  <c r="L85" i="2"/>
  <c r="M85" i="2"/>
  <c r="N85" i="2"/>
  <c r="O85" i="2"/>
  <c r="P85" i="2"/>
  <c r="Q85" i="2"/>
  <c r="R85" i="2"/>
  <c r="G86" i="2"/>
  <c r="H86" i="2"/>
  <c r="I86" i="2"/>
  <c r="J86" i="2"/>
  <c r="K86" i="2"/>
  <c r="L86" i="2"/>
  <c r="M86" i="2"/>
  <c r="N86" i="2"/>
  <c r="O86" i="2"/>
  <c r="P86" i="2"/>
  <c r="Q86" i="2"/>
  <c r="R86" i="2"/>
  <c r="G87" i="2"/>
  <c r="H87" i="2"/>
  <c r="I87" i="2"/>
  <c r="J87" i="2"/>
  <c r="K87" i="2"/>
  <c r="L87" i="2"/>
  <c r="M87" i="2"/>
  <c r="N87" i="2"/>
  <c r="O87" i="2"/>
  <c r="P87" i="2"/>
  <c r="Q87" i="2"/>
  <c r="R87" i="2"/>
  <c r="G88" i="2"/>
  <c r="H88" i="2"/>
  <c r="I88" i="2"/>
  <c r="J88" i="2"/>
  <c r="K88" i="2"/>
  <c r="L88" i="2"/>
  <c r="M88" i="2"/>
  <c r="N88" i="2"/>
  <c r="O88" i="2"/>
  <c r="P88" i="2"/>
  <c r="Q88" i="2"/>
  <c r="R88" i="2"/>
  <c r="G89" i="2"/>
  <c r="H89" i="2"/>
  <c r="I89" i="2"/>
  <c r="J89" i="2"/>
  <c r="K89" i="2"/>
  <c r="L89" i="2"/>
  <c r="M89" i="2"/>
  <c r="N89" i="2"/>
  <c r="O89" i="2"/>
  <c r="P89" i="2"/>
  <c r="Q89" i="2"/>
  <c r="R89" i="2"/>
  <c r="G90" i="2"/>
  <c r="H90" i="2"/>
  <c r="I90" i="2"/>
  <c r="J90" i="2"/>
  <c r="K90" i="2"/>
  <c r="L90" i="2"/>
  <c r="M90" i="2"/>
  <c r="N90" i="2"/>
  <c r="O90" i="2"/>
  <c r="P90" i="2"/>
  <c r="Q90" i="2"/>
  <c r="R90" i="2"/>
  <c r="G91" i="2"/>
  <c r="H91" i="2"/>
  <c r="I91" i="2"/>
  <c r="J91" i="2"/>
  <c r="K91" i="2"/>
  <c r="L91" i="2"/>
  <c r="M91" i="2"/>
  <c r="N91" i="2"/>
  <c r="O91" i="2"/>
  <c r="P91" i="2"/>
  <c r="Q91" i="2"/>
  <c r="R91" i="2"/>
  <c r="G92" i="2"/>
  <c r="H92" i="2"/>
  <c r="I92" i="2"/>
  <c r="J92" i="2"/>
  <c r="K92" i="2"/>
  <c r="L92" i="2"/>
  <c r="M92" i="2"/>
  <c r="N92" i="2"/>
  <c r="O92" i="2"/>
  <c r="P92" i="2"/>
  <c r="Q92" i="2"/>
  <c r="R92" i="2"/>
  <c r="G93" i="2"/>
  <c r="H93" i="2"/>
  <c r="I93" i="2"/>
  <c r="J93" i="2"/>
  <c r="K93" i="2"/>
  <c r="L93" i="2"/>
  <c r="M93" i="2"/>
  <c r="N93" i="2"/>
  <c r="O93" i="2"/>
  <c r="P93" i="2"/>
  <c r="Q93" i="2"/>
  <c r="R93" i="2"/>
  <c r="G94" i="2"/>
  <c r="H94" i="2"/>
  <c r="I94" i="2"/>
  <c r="J94" i="2"/>
  <c r="K94" i="2"/>
  <c r="L94" i="2"/>
  <c r="M94" i="2"/>
  <c r="N94" i="2"/>
  <c r="O94" i="2"/>
  <c r="P94" i="2"/>
  <c r="Q94" i="2"/>
  <c r="R94" i="2"/>
  <c r="G95" i="2"/>
  <c r="H95" i="2"/>
  <c r="I95" i="2"/>
  <c r="J95" i="2"/>
  <c r="K95" i="2"/>
  <c r="L95" i="2"/>
  <c r="M95" i="2"/>
  <c r="N95" i="2"/>
  <c r="O95" i="2"/>
  <c r="P95" i="2"/>
  <c r="Q95" i="2"/>
  <c r="R95" i="2"/>
  <c r="G96" i="2"/>
  <c r="H96" i="2"/>
  <c r="I96" i="2"/>
  <c r="J96" i="2"/>
  <c r="K96" i="2"/>
  <c r="L96" i="2"/>
  <c r="M96" i="2"/>
  <c r="N96" i="2"/>
  <c r="O96" i="2"/>
  <c r="P96" i="2"/>
  <c r="Q96" i="2"/>
  <c r="R96" i="2"/>
  <c r="G97" i="2"/>
  <c r="H97" i="2"/>
  <c r="I97" i="2"/>
  <c r="J97" i="2"/>
  <c r="K97" i="2"/>
  <c r="L97" i="2"/>
  <c r="M97" i="2"/>
  <c r="N97" i="2"/>
  <c r="O97" i="2"/>
  <c r="P97" i="2"/>
  <c r="Q97" i="2"/>
  <c r="R97" i="2"/>
  <c r="G98" i="2"/>
  <c r="H98" i="2"/>
  <c r="I98" i="2"/>
  <c r="J98" i="2"/>
  <c r="K98" i="2"/>
  <c r="L98" i="2"/>
  <c r="M98" i="2"/>
  <c r="N98" i="2"/>
  <c r="O98" i="2"/>
  <c r="P98" i="2"/>
  <c r="Q98" i="2"/>
  <c r="R98" i="2"/>
  <c r="G99" i="2"/>
  <c r="H99" i="2"/>
  <c r="I99" i="2"/>
  <c r="J99" i="2"/>
  <c r="K99" i="2"/>
  <c r="L99" i="2"/>
  <c r="M99" i="2"/>
  <c r="N99" i="2"/>
  <c r="O99" i="2"/>
  <c r="P99" i="2"/>
  <c r="Q99" i="2"/>
  <c r="R99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H18" i="2"/>
  <c r="I18" i="2"/>
  <c r="J18" i="2"/>
  <c r="K18" i="2"/>
  <c r="L18" i="2"/>
  <c r="M18" i="2"/>
  <c r="N18" i="2"/>
  <c r="O18" i="2"/>
  <c r="P18" i="2"/>
  <c r="Q18" i="2"/>
  <c r="R18" i="2"/>
  <c r="G18" i="2"/>
  <c r="F19" i="2" l="1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18" i="2"/>
  <c r="F16" i="2"/>
  <c r="V16" i="2" l="1"/>
  <c r="G16" i="2" s="1"/>
  <c r="W17" i="2"/>
  <c r="X17" i="2"/>
  <c r="Y17" i="2"/>
  <c r="Z17" i="2"/>
  <c r="AA17" i="2"/>
  <c r="AB17" i="2"/>
  <c r="AC17" i="2"/>
  <c r="AD17" i="2"/>
  <c r="AE17" i="2"/>
  <c r="AF17" i="2"/>
  <c r="AG17" i="2"/>
  <c r="V17" i="2"/>
  <c r="W16" i="2"/>
  <c r="H16" i="2" s="1"/>
  <c r="X16" i="2"/>
  <c r="I16" i="2" s="1"/>
  <c r="Y16" i="2"/>
  <c r="J16" i="2" s="1"/>
  <c r="Z16" i="2"/>
  <c r="K16" i="2" s="1"/>
  <c r="AA16" i="2"/>
  <c r="L16" i="2" s="1"/>
  <c r="AB16" i="2"/>
  <c r="M16" i="2" s="1"/>
  <c r="AC16" i="2"/>
  <c r="N16" i="2" s="1"/>
  <c r="AD16" i="2"/>
  <c r="O16" i="2" s="1"/>
  <c r="AE16" i="2"/>
  <c r="P16" i="2" s="1"/>
  <c r="AF16" i="2"/>
  <c r="Q16" i="2" s="1"/>
  <c r="AG16" i="2"/>
  <c r="R16" i="2" s="1"/>
  <c r="AC36" i="1"/>
  <c r="AC58" i="1"/>
  <c r="AJ31" i="1"/>
  <c r="AK38" i="1"/>
  <c r="Z58" i="1"/>
  <c r="AJ32" i="1"/>
  <c r="AI14" i="1"/>
  <c r="AB32" i="1"/>
  <c r="AK26" i="1"/>
  <c r="AF58" i="1"/>
  <c r="AK59" i="1"/>
  <c r="AD13" i="1"/>
  <c r="AE61" i="1"/>
  <c r="Z15" i="1"/>
  <c r="AC33" i="1"/>
  <c r="AE33" i="1"/>
  <c r="AJ35" i="1"/>
  <c r="AH61" i="1"/>
  <c r="AI39" i="1"/>
  <c r="Z24" i="1"/>
  <c r="AD36" i="1"/>
  <c r="Z29" i="1"/>
  <c r="AJ58" i="1"/>
  <c r="AA59" i="1"/>
  <c r="AE38" i="1"/>
  <c r="AA27" i="1"/>
  <c r="AH18" i="1"/>
  <c r="AD12" i="1"/>
  <c r="AK15" i="1"/>
  <c r="AI29" i="1"/>
  <c r="AH62" i="1"/>
  <c r="AC28" i="1"/>
  <c r="AD35" i="1"/>
  <c r="AI20" i="1"/>
  <c r="AA32" i="1"/>
  <c r="AC12" i="1"/>
  <c r="AE36" i="1"/>
  <c r="Z63" i="1"/>
  <c r="AC38" i="1"/>
  <c r="AF56" i="1"/>
  <c r="AD16" i="1"/>
  <c r="AI26" i="1"/>
  <c r="AK62" i="1"/>
  <c r="AI28" i="1"/>
  <c r="AJ12" i="1"/>
  <c r="AJ57" i="1"/>
  <c r="AH24" i="1"/>
  <c r="AC14" i="1"/>
  <c r="AF26" i="1"/>
  <c r="AH37" i="1"/>
  <c r="Z17" i="1"/>
  <c r="AH27" i="1"/>
  <c r="Z30" i="1"/>
  <c r="AJ61" i="1"/>
  <c r="AF17" i="1"/>
  <c r="AG28" i="1"/>
  <c r="AA37" i="1"/>
  <c r="AF39" i="1"/>
  <c r="AF57" i="1"/>
  <c r="AA24" i="1"/>
  <c r="AC35" i="1"/>
  <c r="AK63" i="1"/>
  <c r="AA21" i="1"/>
  <c r="AA28" i="1"/>
  <c r="Z38" i="1"/>
  <c r="AA30" i="1"/>
  <c r="AC29" i="1"/>
  <c r="AD63" i="1"/>
  <c r="AI58" i="1"/>
  <c r="AD17" i="1"/>
  <c r="AF15" i="1"/>
  <c r="AJ62" i="1"/>
  <c r="AE24" i="1"/>
  <c r="AF29" i="1"/>
  <c r="AJ56" i="1"/>
  <c r="AB58" i="1"/>
  <c r="AJ21" i="1"/>
  <c r="AF63" i="1"/>
  <c r="AE62" i="1"/>
  <c r="Z61" i="1"/>
  <c r="AG59" i="1"/>
  <c r="AG29" i="1"/>
  <c r="AK12" i="1"/>
  <c r="AJ59" i="1"/>
  <c r="AF30" i="1"/>
  <c r="AC17" i="1"/>
  <c r="AD39" i="1"/>
  <c r="AG35" i="1"/>
  <c r="AK31" i="1"/>
  <c r="AH39" i="1"/>
  <c r="AA12" i="1"/>
  <c r="AJ36" i="1"/>
  <c r="AD61" i="1"/>
  <c r="Z13" i="1"/>
  <c r="Z28" i="1"/>
  <c r="AC21" i="1"/>
  <c r="AC37" i="1"/>
  <c r="AG32" i="1"/>
  <c r="AJ30" i="1"/>
  <c r="AG18" i="1"/>
  <c r="AA13" i="1"/>
  <c r="AI16" i="1"/>
  <c r="AF36" i="1"/>
  <c r="AJ14" i="1"/>
  <c r="AJ26" i="1"/>
  <c r="AH13" i="1"/>
  <c r="AC24" i="1"/>
  <c r="AH17" i="1"/>
  <c r="AD38" i="1"/>
  <c r="AK58" i="1"/>
  <c r="AK32" i="1"/>
  <c r="AD26" i="1"/>
  <c r="AC31" i="1"/>
  <c r="AE28" i="1"/>
  <c r="AJ13" i="1"/>
  <c r="AK24" i="1"/>
  <c r="AK57" i="1"/>
  <c r="Z21" i="1"/>
  <c r="AB57" i="1"/>
  <c r="AF61" i="1"/>
  <c r="AE16" i="1"/>
  <c r="AD30" i="1"/>
  <c r="AH36" i="1"/>
  <c r="AE17" i="1"/>
  <c r="AA18" i="1"/>
  <c r="AF62" i="1"/>
  <c r="AE18" i="1"/>
  <c r="AD14" i="1"/>
  <c r="AK17" i="1"/>
  <c r="Z56" i="1"/>
  <c r="AH20" i="1"/>
  <c r="AC20" i="1"/>
  <c r="AE59" i="1"/>
  <c r="AE32" i="1"/>
  <c r="AD62" i="1"/>
  <c r="AD57" i="1"/>
  <c r="AH57" i="1"/>
  <c r="Z39" i="1"/>
  <c r="AE39" i="1"/>
  <c r="AI27" i="1"/>
  <c r="AJ16" i="1"/>
  <c r="AJ24" i="1"/>
  <c r="AC13" i="1"/>
  <c r="AE57" i="1"/>
  <c r="AG26" i="1"/>
  <c r="AJ20" i="1"/>
  <c r="AE29" i="1"/>
  <c r="AD56" i="1"/>
  <c r="Z59" i="1"/>
  <c r="AH56" i="1"/>
  <c r="AD28" i="1"/>
  <c r="AD37" i="1"/>
  <c r="AA62" i="1"/>
  <c r="AH14" i="1"/>
  <c r="AA26" i="1"/>
  <c r="AF14" i="1"/>
  <c r="AB63" i="1"/>
  <c r="AK39" i="1"/>
  <c r="AK33" i="1"/>
  <c r="AB29" i="1"/>
  <c r="AD59" i="1"/>
  <c r="Z10" i="1"/>
  <c r="AG63" i="1"/>
  <c r="AA39" i="1"/>
  <c r="AF32" i="1"/>
  <c r="AD15" i="1"/>
  <c r="AH31" i="1"/>
  <c r="AE56" i="1"/>
  <c r="AH58" i="1"/>
  <c r="AK16" i="1"/>
  <c r="AA20" i="1"/>
  <c r="AH16" i="1"/>
  <c r="AJ38" i="1"/>
  <c r="AI17" i="1"/>
  <c r="AJ39" i="1"/>
  <c r="AI30" i="1"/>
  <c r="AH28" i="1"/>
  <c r="AB30" i="1"/>
  <c r="AG58" i="1"/>
  <c r="AH12" i="1"/>
  <c r="AA17" i="1"/>
  <c r="AG56" i="1"/>
  <c r="AC30" i="1"/>
  <c r="Z35" i="1"/>
  <c r="AB61" i="1"/>
  <c r="AH38" i="1"/>
  <c r="AF13" i="1"/>
  <c r="AH15" i="1"/>
  <c r="AI38" i="1"/>
  <c r="AK14" i="1"/>
  <c r="AI33" i="1"/>
  <c r="AB28" i="1"/>
  <c r="AE26" i="1"/>
  <c r="AG14" i="1"/>
  <c r="AI18" i="1"/>
  <c r="AJ18" i="1"/>
  <c r="AC16" i="1"/>
  <c r="AH30" i="1"/>
  <c r="Z62" i="1"/>
  <c r="AE14" i="1"/>
  <c r="AA16" i="1"/>
  <c r="AE12" i="1"/>
  <c r="AK56" i="1"/>
  <c r="AJ29" i="1"/>
  <c r="AK29" i="1"/>
  <c r="Z27" i="1"/>
  <c r="AD29" i="1"/>
  <c r="AJ17" i="1"/>
  <c r="AG61" i="1"/>
  <c r="AC39" i="1"/>
  <c r="AG21" i="1"/>
  <c r="AE31" i="1"/>
  <c r="Z20" i="1"/>
  <c r="AE35" i="1"/>
  <c r="AA15" i="1"/>
  <c r="AB21" i="1"/>
  <c r="AE21" i="1"/>
  <c r="AH33" i="1"/>
  <c r="Z57" i="1"/>
  <c r="AC18" i="1"/>
  <c r="AF16" i="1"/>
  <c r="AI15" i="1"/>
  <c r="AG57" i="1"/>
  <c r="AK61" i="1"/>
  <c r="AF33" i="1"/>
  <c r="AA63" i="1"/>
  <c r="AE15" i="1"/>
  <c r="AD33" i="1"/>
  <c r="AG24" i="1"/>
  <c r="AC56" i="1"/>
  <c r="AG38" i="1"/>
  <c r="AF12" i="1"/>
  <c r="AF24" i="1"/>
  <c r="AI61" i="1"/>
  <c r="AK18" i="1"/>
  <c r="AC62" i="1"/>
  <c r="AH35" i="1"/>
  <c r="AD32" i="1"/>
  <c r="AA35" i="1"/>
  <c r="AG27" i="1"/>
  <c r="AK30" i="1"/>
  <c r="AC61" i="1"/>
  <c r="AD20" i="1"/>
  <c r="AI13" i="1"/>
  <c r="AA57" i="1"/>
  <c r="AI21" i="1"/>
  <c r="AF37" i="1"/>
  <c r="AG37" i="1"/>
  <c r="AA29" i="1"/>
  <c r="AE63" i="1"/>
  <c r="AB36" i="1"/>
  <c r="AB59" i="1"/>
  <c r="AB33" i="1"/>
  <c r="AD27" i="1"/>
  <c r="AA61" i="1"/>
  <c r="AG39" i="1"/>
  <c r="AJ27" i="1"/>
  <c r="AE20" i="1"/>
  <c r="AK35" i="1"/>
  <c r="Z33" i="1"/>
  <c r="AF38" i="1"/>
  <c r="AF21" i="1"/>
  <c r="AK27" i="1"/>
  <c r="AG31" i="1"/>
  <c r="AC27" i="1"/>
  <c r="AI35" i="1"/>
  <c r="AB20" i="1"/>
  <c r="AB24" i="1"/>
  <c r="AK28" i="1"/>
  <c r="AF31" i="1"/>
  <c r="AJ33" i="1"/>
  <c r="Z14" i="1"/>
  <c r="AK20" i="1"/>
  <c r="AD24" i="1"/>
  <c r="AI63" i="1"/>
  <c r="AC15" i="1"/>
  <c r="AH59" i="1"/>
  <c r="AC59" i="1"/>
  <c r="AB56" i="1"/>
  <c r="AG36" i="1"/>
  <c r="Z26" i="1"/>
  <c r="AH29" i="1"/>
  <c r="AK21" i="1"/>
  <c r="AG30" i="1"/>
  <c r="AJ63" i="1"/>
  <c r="AK37" i="1"/>
  <c r="AB31" i="1"/>
  <c r="AA36" i="1"/>
  <c r="AA58" i="1"/>
  <c r="AI12" i="1"/>
  <c r="AI31" i="1"/>
  <c r="AJ37" i="1"/>
  <c r="AH21" i="1"/>
  <c r="AG62" i="1"/>
  <c r="AG33" i="1"/>
  <c r="Z31" i="1"/>
  <c r="AC57" i="1"/>
  <c r="AE37" i="1"/>
  <c r="AF20" i="1"/>
  <c r="AB38" i="1"/>
  <c r="AJ15" i="1"/>
  <c r="AG16" i="1"/>
  <c r="AI56" i="1"/>
  <c r="AF27" i="1"/>
  <c r="AF59" i="1"/>
  <c r="AI57" i="1"/>
  <c r="AG20" i="1"/>
  <c r="AE30" i="1"/>
  <c r="Z32" i="1"/>
  <c r="AI37" i="1"/>
  <c r="AF28" i="1"/>
  <c r="AD21" i="1"/>
  <c r="AA38" i="1"/>
  <c r="Z36" i="1"/>
  <c r="AJ28" i="1"/>
  <c r="AI62" i="1"/>
  <c r="AH32" i="1"/>
  <c r="AI59" i="1"/>
  <c r="AF18" i="1"/>
  <c r="AK36" i="1"/>
  <c r="AE58" i="1"/>
  <c r="AD31" i="1"/>
  <c r="AK13" i="1"/>
  <c r="AH63" i="1"/>
  <c r="AB37" i="1"/>
  <c r="AG13" i="1"/>
  <c r="AB35" i="1"/>
  <c r="AG12" i="1"/>
  <c r="Z18" i="1"/>
  <c r="AI36" i="1"/>
  <c r="AI24" i="1"/>
  <c r="AE13" i="1"/>
  <c r="AA14" i="1"/>
  <c r="AB62" i="1"/>
  <c r="AC63" i="1"/>
  <c r="AA33" i="1"/>
  <c r="AF35" i="1"/>
  <c r="AA56" i="1"/>
  <c r="AB27" i="1"/>
  <c r="AG17" i="1"/>
  <c r="AA31" i="1"/>
  <c r="Z37" i="1"/>
  <c r="AD58" i="1"/>
  <c r="AE27" i="1"/>
  <c r="AI32" i="1"/>
  <c r="AG15" i="1"/>
  <c r="AC26" i="1"/>
  <c r="AB39" i="1"/>
  <c r="AD18" i="1"/>
  <c r="AH26" i="1"/>
  <c r="AB26" i="1"/>
  <c r="AC32" i="1"/>
  <c r="M20" i="1" l="1"/>
  <c r="K37" i="1"/>
  <c r="J36" i="1"/>
  <c r="M12" i="1"/>
  <c r="I37" i="1"/>
  <c r="L12" i="1"/>
  <c r="G39" i="1"/>
  <c r="J18" i="1"/>
  <c r="H28" i="1"/>
  <c r="O13" i="1"/>
  <c r="P12" i="1"/>
  <c r="M17" i="1"/>
  <c r="L29" i="1"/>
  <c r="K57" i="1"/>
  <c r="M18" i="1"/>
  <c r="O35" i="1"/>
  <c r="J27" i="1"/>
  <c r="O63" i="1"/>
  <c r="M29" i="1"/>
  <c r="E26" i="1"/>
  <c r="J20" i="1"/>
  <c r="N21" i="1"/>
  <c r="L24" i="1"/>
  <c r="F62" i="1"/>
  <c r="E18" i="1"/>
  <c r="N31" i="1"/>
  <c r="L58" i="1"/>
  <c r="M63" i="1"/>
  <c r="J16" i="1"/>
  <c r="J29" i="1"/>
  <c r="O20" i="1"/>
  <c r="H24" i="1"/>
  <c r="L59" i="1"/>
  <c r="P15" i="1"/>
  <c r="F27" i="1"/>
  <c r="J33" i="1"/>
  <c r="P36" i="1"/>
  <c r="E36" i="1"/>
  <c r="J30" i="1"/>
  <c r="L36" i="1"/>
  <c r="O27" i="1"/>
  <c r="F57" i="1"/>
  <c r="F26" i="1"/>
  <c r="J26" i="1"/>
  <c r="H39" i="1"/>
  <c r="K32" i="1"/>
  <c r="I28" i="1"/>
  <c r="K62" i="1"/>
  <c r="E59" i="1"/>
  <c r="J28" i="1"/>
  <c r="L26" i="1"/>
  <c r="M13" i="1"/>
  <c r="E61" i="1"/>
  <c r="I12" i="1"/>
  <c r="J38" i="1"/>
  <c r="H33" i="1"/>
  <c r="I58" i="1"/>
  <c r="L30" i="1"/>
  <c r="L20" i="1"/>
  <c r="G56" i="1"/>
  <c r="L39" i="1"/>
  <c r="N13" i="1"/>
  <c r="J13" i="1"/>
  <c r="E56" i="1"/>
  <c r="L61" i="1"/>
  <c r="G35" i="1"/>
  <c r="F58" i="1"/>
  <c r="H26" i="1"/>
  <c r="F21" i="1"/>
  <c r="H31" i="1"/>
  <c r="P58" i="1"/>
  <c r="O26" i="1"/>
  <c r="J62" i="1"/>
  <c r="K39" i="1"/>
  <c r="F59" i="1"/>
  <c r="E15" i="1"/>
  <c r="K18" i="1"/>
  <c r="F38" i="1"/>
  <c r="N57" i="1"/>
  <c r="H59" i="1"/>
  <c r="F61" i="1"/>
  <c r="I20" i="1"/>
  <c r="H12" i="1"/>
  <c r="P17" i="1"/>
  <c r="O17" i="1"/>
  <c r="N12" i="1"/>
  <c r="G37" i="1"/>
  <c r="P13" i="1"/>
  <c r="K61" i="1"/>
  <c r="I26" i="1"/>
  <c r="I38" i="1"/>
  <c r="O14" i="1"/>
  <c r="K63" i="1"/>
  <c r="F37" i="1"/>
  <c r="O58" i="1"/>
  <c r="J61" i="1"/>
  <c r="E37" i="1"/>
  <c r="I21" i="1"/>
  <c r="K59" i="1"/>
  <c r="M59" i="1"/>
  <c r="I27" i="1"/>
  <c r="H61" i="1"/>
  <c r="F32" i="1"/>
  <c r="N36" i="1"/>
  <c r="I29" i="1"/>
  <c r="L13" i="1"/>
  <c r="I14" i="1"/>
  <c r="F18" i="1"/>
  <c r="P63" i="1"/>
  <c r="M39" i="1"/>
  <c r="J57" i="1"/>
  <c r="K36" i="1"/>
  <c r="O21" i="1"/>
  <c r="L28" i="1"/>
  <c r="N28" i="1"/>
  <c r="I13" i="1"/>
  <c r="N59" i="1"/>
  <c r="K28" i="1"/>
  <c r="K27" i="1"/>
  <c r="H15" i="1"/>
  <c r="G33" i="1"/>
  <c r="P30" i="1"/>
  <c r="M14" i="1"/>
  <c r="N15" i="1"/>
  <c r="E27" i="1"/>
  <c r="G28" i="1"/>
  <c r="G30" i="1"/>
  <c r="I31" i="1"/>
  <c r="H35" i="1"/>
  <c r="P31" i="1"/>
  <c r="H13" i="1"/>
  <c r="N16" i="1"/>
  <c r="G58" i="1"/>
  <c r="K17" i="1"/>
  <c r="E29" i="1"/>
  <c r="P59" i="1"/>
  <c r="F36" i="1"/>
  <c r="P21" i="1"/>
  <c r="N56" i="1"/>
  <c r="N63" i="1"/>
  <c r="G59" i="1"/>
  <c r="L27" i="1"/>
  <c r="O37" i="1"/>
  <c r="K16" i="1"/>
  <c r="P29" i="1"/>
  <c r="N33" i="1"/>
  <c r="F39" i="1"/>
  <c r="J17" i="1"/>
  <c r="G57" i="1"/>
  <c r="L35" i="1"/>
  <c r="O24" i="1"/>
  <c r="F13" i="1"/>
  <c r="O56" i="1"/>
  <c r="O61" i="1"/>
  <c r="P62" i="1"/>
  <c r="K58" i="1"/>
  <c r="F31" i="1"/>
  <c r="N37" i="1"/>
  <c r="L16" i="1"/>
  <c r="I24" i="1"/>
  <c r="G36" i="1"/>
  <c r="F35" i="1"/>
  <c r="L14" i="1"/>
  <c r="H18" i="1"/>
  <c r="O29" i="1"/>
  <c r="P14" i="1"/>
  <c r="M28" i="1"/>
  <c r="J58" i="1"/>
  <c r="I56" i="1"/>
  <c r="I39" i="1"/>
  <c r="O16" i="1"/>
  <c r="L18" i="1"/>
  <c r="K29" i="1"/>
  <c r="E30" i="1"/>
  <c r="N26" i="1"/>
  <c r="P26" i="1"/>
  <c r="M32" i="1"/>
  <c r="E32" i="1"/>
  <c r="O15" i="1"/>
  <c r="P20" i="1"/>
  <c r="J63" i="1"/>
  <c r="I32" i="1"/>
  <c r="N20" i="1"/>
  <c r="E57" i="1"/>
  <c r="P56" i="1"/>
  <c r="N38" i="1"/>
  <c r="N30" i="1"/>
  <c r="L15" i="1"/>
  <c r="M62" i="1"/>
  <c r="H17" i="1"/>
  <c r="N27" i="1"/>
  <c r="O30" i="1"/>
  <c r="J24" i="1"/>
  <c r="M27" i="1"/>
  <c r="I16" i="1"/>
  <c r="G32" i="1"/>
  <c r="G31" i="1"/>
  <c r="L17" i="1"/>
  <c r="G38" i="1"/>
  <c r="E14" i="1"/>
  <c r="F29" i="1"/>
  <c r="M35" i="1"/>
  <c r="N24" i="1"/>
  <c r="M33" i="1"/>
  <c r="J12" i="1"/>
  <c r="M15" i="1"/>
  <c r="O39" i="1"/>
  <c r="I35" i="1"/>
  <c r="F24" i="1"/>
  <c r="K30" i="1"/>
  <c r="J39" i="1"/>
  <c r="L32" i="1"/>
  <c r="O62" i="1"/>
  <c r="E17" i="1"/>
  <c r="K56" i="1"/>
  <c r="N14" i="1"/>
  <c r="N62" i="1"/>
  <c r="G27" i="1"/>
  <c r="K20" i="1"/>
  <c r="O33" i="1"/>
  <c r="L37" i="1"/>
  <c r="H62" i="1"/>
  <c r="I15" i="1"/>
  <c r="J21" i="1"/>
  <c r="F16" i="1"/>
  <c r="K13" i="1"/>
  <c r="N17" i="1"/>
  <c r="M36" i="1"/>
  <c r="N29" i="1"/>
  <c r="O59" i="1"/>
  <c r="E39" i="1"/>
  <c r="H37" i="1"/>
  <c r="K15" i="1"/>
  <c r="M37" i="1"/>
  <c r="I36" i="1"/>
  <c r="O32" i="1"/>
  <c r="P37" i="1"/>
  <c r="F56" i="1"/>
  <c r="J37" i="1"/>
  <c r="K31" i="1"/>
  <c r="L31" i="1"/>
  <c r="P18" i="1"/>
  <c r="I33" i="1"/>
  <c r="G21" i="1"/>
  <c r="J14" i="1"/>
  <c r="M38" i="1"/>
  <c r="O38" i="1"/>
  <c r="N32" i="1"/>
  <c r="E21" i="1"/>
  <c r="P32" i="1"/>
  <c r="M57" i="1"/>
  <c r="H21" i="1"/>
  <c r="I17" i="1"/>
  <c r="K26" i="1"/>
  <c r="E24" i="1"/>
  <c r="E58" i="1"/>
  <c r="O28" i="1"/>
  <c r="K35" i="1"/>
  <c r="H57" i="1"/>
  <c r="P28" i="1"/>
  <c r="P27" i="1"/>
  <c r="N61" i="1"/>
  <c r="J15" i="1"/>
  <c r="F15" i="1"/>
  <c r="E62" i="1"/>
  <c r="G61" i="1"/>
  <c r="M16" i="1"/>
  <c r="E38" i="1"/>
  <c r="L63" i="1"/>
  <c r="G29" i="1"/>
  <c r="I57" i="1"/>
  <c r="E28" i="1"/>
  <c r="N58" i="1"/>
  <c r="H14" i="1"/>
  <c r="H38" i="1"/>
  <c r="P38" i="1"/>
  <c r="H32" i="1"/>
  <c r="F33" i="1"/>
  <c r="E31" i="1"/>
  <c r="G24" i="1"/>
  <c r="K21" i="1"/>
  <c r="K24" i="1"/>
  <c r="F63" i="1"/>
  <c r="J35" i="1"/>
  <c r="M30" i="1"/>
  <c r="E35" i="1"/>
  <c r="F20" i="1"/>
  <c r="M56" i="1"/>
  <c r="P57" i="1"/>
  <c r="P33" i="1"/>
  <c r="I62" i="1"/>
  <c r="E13" i="1"/>
  <c r="I63" i="1"/>
  <c r="M24" i="1"/>
  <c r="N39" i="1"/>
  <c r="O31" i="1"/>
  <c r="G26" i="1"/>
  <c r="H63" i="1"/>
  <c r="L33" i="1"/>
  <c r="G20" i="1"/>
  <c r="K38" i="1"/>
  <c r="K12" i="1"/>
  <c r="K33" i="1"/>
  <c r="E20" i="1"/>
  <c r="H16" i="1"/>
  <c r="H30" i="1"/>
  <c r="P16" i="1"/>
  <c r="F28" i="1"/>
  <c r="P24" i="1"/>
  <c r="P39" i="1"/>
  <c r="J32" i="1"/>
  <c r="I61" i="1"/>
  <c r="H29" i="1"/>
  <c r="O57" i="1"/>
  <c r="M61" i="1"/>
  <c r="H58" i="1"/>
  <c r="M26" i="1"/>
  <c r="G62" i="1"/>
  <c r="L62" i="1"/>
  <c r="N35" i="1"/>
  <c r="E33" i="1"/>
  <c r="L38" i="1"/>
  <c r="P61" i="1"/>
  <c r="J31" i="1"/>
  <c r="O18" i="1"/>
  <c r="L56" i="1"/>
  <c r="M58" i="1"/>
  <c r="I30" i="1"/>
  <c r="G63" i="1"/>
  <c r="J59" i="1"/>
  <c r="O36" i="1"/>
  <c r="F30" i="1"/>
  <c r="O12" i="1"/>
  <c r="E63" i="1"/>
  <c r="H36" i="1"/>
  <c r="I18" i="1"/>
  <c r="F14" i="1"/>
  <c r="M21" i="1"/>
  <c r="H27" i="1"/>
  <c r="P35" i="1"/>
  <c r="H56" i="1"/>
  <c r="L57" i="1"/>
  <c r="L21" i="1"/>
  <c r="N18" i="1"/>
  <c r="F17" i="1"/>
  <c r="J56" i="1"/>
  <c r="M31" i="1"/>
  <c r="I59" i="1"/>
  <c r="K14" i="1"/>
  <c r="H20" i="1"/>
  <c r="F12" i="1"/>
  <c r="AB16" i="1"/>
  <c r="G16" i="1" s="1"/>
  <c r="AB13" i="1"/>
  <c r="G13" i="1" s="1"/>
  <c r="AB17" i="1"/>
  <c r="G17" i="1" s="1"/>
  <c r="AB15" i="1"/>
  <c r="G15" i="1" s="1"/>
  <c r="AB18" i="1"/>
  <c r="G18" i="1" s="1"/>
  <c r="AK19" i="1"/>
  <c r="P19" i="1" s="1"/>
  <c r="AD55" i="1"/>
  <c r="I55" i="1" s="1"/>
  <c r="AC34" i="1"/>
  <c r="H34" i="1" s="1"/>
  <c r="AF34" i="1"/>
  <c r="K34" i="1" s="1"/>
  <c r="Z55" i="1"/>
  <c r="E55" i="1" s="1"/>
  <c r="AE34" i="1"/>
  <c r="J34" i="1" s="1"/>
  <c r="AG34" i="1"/>
  <c r="L34" i="1" s="1"/>
  <c r="AF19" i="1"/>
  <c r="K19" i="1" s="1"/>
  <c r="AI25" i="1"/>
  <c r="N25" i="1" s="1"/>
  <c r="AH60" i="1"/>
  <c r="M60" i="1" s="1"/>
  <c r="AE60" i="1"/>
  <c r="J60" i="1" s="1"/>
  <c r="AH25" i="1"/>
  <c r="M25" i="1" s="1"/>
  <c r="AJ25" i="1"/>
  <c r="O25" i="1" s="1"/>
  <c r="Z34" i="1"/>
  <c r="E34" i="1" s="1"/>
  <c r="AJ19" i="1"/>
  <c r="O19" i="1" s="1"/>
  <c r="AH19" i="1"/>
  <c r="M19" i="1" s="1"/>
  <c r="AK25" i="1"/>
  <c r="P25" i="1" s="1"/>
  <c r="AC19" i="1"/>
  <c r="H19" i="1" s="1"/>
  <c r="AB55" i="1"/>
  <c r="G55" i="1" s="1"/>
  <c r="AE55" i="1"/>
  <c r="J55" i="1" s="1"/>
  <c r="AE19" i="1"/>
  <c r="J19" i="1" s="1"/>
  <c r="AD60" i="1"/>
  <c r="I60" i="1" s="1"/>
  <c r="AE25" i="1"/>
  <c r="J25" i="1" s="1"/>
  <c r="AI34" i="1"/>
  <c r="N34" i="1" s="1"/>
  <c r="AH55" i="1"/>
  <c r="M55" i="1" s="1"/>
  <c r="AG19" i="1"/>
  <c r="L19" i="1" s="1"/>
  <c r="Z19" i="1"/>
  <c r="E19" i="1" s="1"/>
  <c r="AJ55" i="1"/>
  <c r="O55" i="1" s="1"/>
  <c r="AF60" i="1"/>
  <c r="K60" i="1" s="1"/>
  <c r="AF55" i="1"/>
  <c r="K55" i="1" s="1"/>
  <c r="AK34" i="1"/>
  <c r="P34" i="1" s="1"/>
  <c r="AA55" i="1"/>
  <c r="F55" i="1" s="1"/>
  <c r="AB14" i="1"/>
  <c r="G14" i="1" s="1"/>
  <c r="AI60" i="1"/>
  <c r="N60" i="1" s="1"/>
  <c r="AC60" i="1"/>
  <c r="H60" i="1" s="1"/>
  <c r="AB60" i="1"/>
  <c r="G60" i="1" s="1"/>
  <c r="AG55" i="1"/>
  <c r="L55" i="1" s="1"/>
  <c r="AJ60" i="1"/>
  <c r="O60" i="1" s="1"/>
  <c r="AD19" i="1"/>
  <c r="I19" i="1" s="1"/>
  <c r="AK55" i="1"/>
  <c r="P55" i="1" s="1"/>
  <c r="AH34" i="1"/>
  <c r="M34" i="1" s="1"/>
  <c r="AA60" i="1"/>
  <c r="F60" i="1" s="1"/>
  <c r="E10" i="1"/>
  <c r="AB25" i="1"/>
  <c r="G25" i="1" s="1"/>
  <c r="AJ34" i="1"/>
  <c r="O34" i="1" s="1"/>
  <c r="Z25" i="1"/>
  <c r="E25" i="1" s="1"/>
  <c r="Z60" i="1"/>
  <c r="E60" i="1" s="1"/>
  <c r="AB19" i="1"/>
  <c r="G19" i="1" s="1"/>
  <c r="AG60" i="1"/>
  <c r="L60" i="1" s="1"/>
  <c r="AA25" i="1"/>
  <c r="F25" i="1" s="1"/>
  <c r="AI19" i="1"/>
  <c r="N19" i="1" s="1"/>
  <c r="AI55" i="1"/>
  <c r="N55" i="1" s="1"/>
  <c r="AC25" i="1"/>
  <c r="H25" i="1" s="1"/>
  <c r="AD34" i="1"/>
  <c r="I34" i="1" s="1"/>
  <c r="AB34" i="1"/>
  <c r="G34" i="1" s="1"/>
  <c r="AG25" i="1"/>
  <c r="L25" i="1" s="1"/>
  <c r="AD25" i="1"/>
  <c r="I25" i="1" s="1"/>
  <c r="AF25" i="1"/>
  <c r="K25" i="1" s="1"/>
  <c r="AA34" i="1"/>
  <c r="F34" i="1" s="1"/>
  <c r="AA19" i="1"/>
  <c r="F19" i="1" s="1"/>
  <c r="AC55" i="1"/>
  <c r="H55" i="1" s="1"/>
  <c r="AK60" i="1"/>
  <c r="P60" i="1" s="1"/>
  <c r="C30" i="2"/>
  <c r="K3" i="2" l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18" i="2"/>
  <c r="E18" i="2" s="1"/>
  <c r="C19" i="2"/>
  <c r="C20" i="2"/>
  <c r="C21" i="2"/>
  <c r="C22" i="2"/>
  <c r="C23" i="2"/>
  <c r="C24" i="2"/>
  <c r="C25" i="2"/>
  <c r="C26" i="2"/>
  <c r="C27" i="2"/>
  <c r="C28" i="2"/>
  <c r="C29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U15" i="2"/>
  <c r="E15" i="2" l="1"/>
  <c r="C15" i="2"/>
  <c r="D15" i="2"/>
  <c r="CO48" i="2"/>
  <c r="CO42" i="2"/>
  <c r="CO35" i="2"/>
  <c r="CO30" i="2"/>
  <c r="CO38" i="2"/>
  <c r="CO47" i="2"/>
  <c r="CO45" i="2"/>
  <c r="CO52" i="2"/>
  <c r="CO54" i="2"/>
  <c r="CO23" i="2"/>
  <c r="CO34" i="2"/>
  <c r="CO33" i="2"/>
  <c r="CO27" i="2"/>
  <c r="CO22" i="2"/>
  <c r="CO49" i="2"/>
  <c r="CO20" i="2"/>
  <c r="CO18" i="2"/>
  <c r="CO41" i="2"/>
  <c r="CO31" i="2"/>
  <c r="CO51" i="2"/>
  <c r="CO53" i="2"/>
  <c r="CO44" i="2"/>
  <c r="CO36" i="2"/>
  <c r="CO37" i="2"/>
  <c r="CO32" i="2"/>
  <c r="CO25" i="2"/>
  <c r="CO29" i="2"/>
  <c r="CO43" i="2"/>
  <c r="CO26" i="2"/>
  <c r="CO39" i="2"/>
  <c r="CO19" i="2"/>
  <c r="CO40" i="2"/>
  <c r="CO28" i="2"/>
  <c r="CO46" i="2"/>
  <c r="CO24" i="2"/>
  <c r="CO21" i="2"/>
  <c r="CO50" i="2"/>
  <c r="AG11" i="1"/>
  <c r="AE10" i="1"/>
  <c r="AK10" i="1"/>
  <c r="AH10" i="1"/>
  <c r="AA11" i="1"/>
  <c r="AG10" i="1"/>
  <c r="AI10" i="1"/>
  <c r="AI11" i="1"/>
  <c r="AF11" i="1"/>
  <c r="AK11" i="1"/>
  <c r="AD10" i="1"/>
  <c r="AC10" i="1"/>
  <c r="AD11" i="1"/>
  <c r="AJ10" i="1"/>
  <c r="AB10" i="1"/>
  <c r="AH11" i="1"/>
  <c r="AA10" i="1"/>
  <c r="AF10" i="1"/>
  <c r="Z11" i="1"/>
  <c r="AJ11" i="1"/>
  <c r="AB11" i="1"/>
  <c r="AE11" i="1"/>
  <c r="AC11" i="1"/>
  <c r="P11" i="1" l="1"/>
  <c r="K11" i="1"/>
  <c r="I11" i="1"/>
  <c r="H11" i="1"/>
  <c r="M11" i="1"/>
  <c r="N11" i="1"/>
  <c r="G11" i="1"/>
  <c r="E11" i="1"/>
  <c r="L11" i="1"/>
  <c r="J11" i="1"/>
  <c r="O11" i="1"/>
  <c r="F11" i="1"/>
  <c r="K10" i="1"/>
  <c r="F10" i="1"/>
  <c r="H10" i="1"/>
  <c r="O10" i="1"/>
  <c r="G10" i="1"/>
  <c r="N10" i="1"/>
  <c r="M10" i="1"/>
  <c r="L10" i="1"/>
  <c r="P10" i="1"/>
  <c r="I10" i="1"/>
  <c r="J10" i="1"/>
  <c r="AB12" i="1"/>
  <c r="G12" i="1" s="1"/>
</calcChain>
</file>

<file path=xl/sharedStrings.xml><?xml version="1.0" encoding="utf-8"?>
<sst xmlns="http://schemas.openxmlformats.org/spreadsheetml/2006/main" count="880" uniqueCount="646">
  <si>
    <t>개인</t>
    <phoneticPr fontId="1" type="noConversion"/>
  </si>
  <si>
    <t>기관계</t>
    <phoneticPr fontId="1" type="noConversion"/>
  </si>
  <si>
    <t>증권/선물</t>
    <phoneticPr fontId="1" type="noConversion"/>
  </si>
  <si>
    <t>보험</t>
    <phoneticPr fontId="1" type="noConversion"/>
  </si>
  <si>
    <t>투신</t>
    <phoneticPr fontId="1" type="noConversion"/>
  </si>
  <si>
    <t>사모펀드</t>
    <phoneticPr fontId="1" type="noConversion"/>
  </si>
  <si>
    <t>은행</t>
    <phoneticPr fontId="1" type="noConversion"/>
  </si>
  <si>
    <t>종금/저축</t>
    <phoneticPr fontId="1" type="noConversion"/>
  </si>
  <si>
    <t>연기금</t>
    <phoneticPr fontId="1" type="noConversion"/>
  </si>
  <si>
    <t>정부</t>
    <phoneticPr fontId="1" type="noConversion"/>
  </si>
  <si>
    <t>기타법인</t>
    <phoneticPr fontId="1" type="noConversion"/>
  </si>
  <si>
    <t>001</t>
    <phoneticPr fontId="1" type="noConversion"/>
  </si>
  <si>
    <t>801</t>
    <phoneticPr fontId="1" type="noConversion"/>
  </si>
  <si>
    <t>C65</t>
    <phoneticPr fontId="1" type="noConversion"/>
  </si>
  <si>
    <t>KTB</t>
    <phoneticPr fontId="1" type="noConversion"/>
  </si>
  <si>
    <t>5TB</t>
    <phoneticPr fontId="1" type="noConversion"/>
  </si>
  <si>
    <t>C66</t>
    <phoneticPr fontId="1" type="noConversion"/>
  </si>
  <si>
    <t>C67</t>
    <phoneticPr fontId="1" type="noConversion"/>
  </si>
  <si>
    <t>ELW</t>
    <phoneticPr fontId="1" type="noConversion"/>
  </si>
  <si>
    <t>ETF</t>
    <phoneticPr fontId="1" type="noConversion"/>
  </si>
  <si>
    <t>ETN</t>
    <phoneticPr fontId="1" type="noConversion"/>
  </si>
  <si>
    <t>KOSPI200</t>
    <phoneticPr fontId="1" type="noConversion"/>
  </si>
  <si>
    <t>건설</t>
    <phoneticPr fontId="1" type="noConversion"/>
  </si>
  <si>
    <t>C01</t>
    <phoneticPr fontId="1" type="noConversion"/>
  </si>
  <si>
    <t>C05</t>
    <phoneticPr fontId="1" type="noConversion"/>
  </si>
  <si>
    <t>C06</t>
    <phoneticPr fontId="1" type="noConversion"/>
  </si>
  <si>
    <t>CA2</t>
  </si>
  <si>
    <t>CA3</t>
  </si>
  <si>
    <t>CA4</t>
  </si>
  <si>
    <t>CA5</t>
  </si>
  <si>
    <t>CA6</t>
  </si>
  <si>
    <t>CA7</t>
  </si>
  <si>
    <t>CA8</t>
  </si>
  <si>
    <t>CA9</t>
  </si>
  <si>
    <t>C75</t>
    <phoneticPr fontId="1" type="noConversion"/>
  </si>
  <si>
    <t>C76</t>
    <phoneticPr fontId="1" type="noConversion"/>
  </si>
  <si>
    <t>C77</t>
    <phoneticPr fontId="1" type="noConversion"/>
  </si>
  <si>
    <t>C78</t>
    <phoneticPr fontId="1" type="noConversion"/>
  </si>
  <si>
    <t>C99</t>
    <phoneticPr fontId="1" type="noConversion"/>
  </si>
  <si>
    <t>C07</t>
    <phoneticPr fontId="1" type="noConversion"/>
  </si>
  <si>
    <t>20100000</t>
    <phoneticPr fontId="1" type="noConversion"/>
  </si>
  <si>
    <t>30100000</t>
    <phoneticPr fontId="1" type="noConversion"/>
  </si>
  <si>
    <t>20500000</t>
    <phoneticPr fontId="1" type="noConversion"/>
  </si>
  <si>
    <t>30500000</t>
    <phoneticPr fontId="1" type="noConversion"/>
  </si>
  <si>
    <t>외국인합순매수수량</t>
    <phoneticPr fontId="1" type="noConversion"/>
  </si>
  <si>
    <t>기관순매수수량</t>
    <phoneticPr fontId="1" type="noConversion"/>
  </si>
  <si>
    <t>개인순매수수량</t>
    <phoneticPr fontId="1" type="noConversion"/>
  </si>
  <si>
    <t>외국인합순매수금액</t>
    <phoneticPr fontId="1" type="noConversion"/>
  </si>
  <si>
    <t>개인순매수금액</t>
    <phoneticPr fontId="1" type="noConversion"/>
  </si>
  <si>
    <t>기관순매수금액</t>
    <phoneticPr fontId="1" type="noConversion"/>
  </si>
  <si>
    <t>증권/선물순매수수량</t>
    <phoneticPr fontId="1" type="noConversion"/>
  </si>
  <si>
    <t>증권/선물순매수금액</t>
    <phoneticPr fontId="1" type="noConversion"/>
  </si>
  <si>
    <t>보험순매수수량</t>
    <phoneticPr fontId="1" type="noConversion"/>
  </si>
  <si>
    <t>보험순매수금액</t>
    <phoneticPr fontId="1" type="noConversion"/>
  </si>
  <si>
    <t>투신순매수수량</t>
    <phoneticPr fontId="1" type="noConversion"/>
  </si>
  <si>
    <t>투신순매수금액</t>
    <phoneticPr fontId="1" type="noConversion"/>
  </si>
  <si>
    <t>사모펀드순매수수량</t>
    <phoneticPr fontId="1" type="noConversion"/>
  </si>
  <si>
    <t>사모펀드순매수금액</t>
    <phoneticPr fontId="1" type="noConversion"/>
  </si>
  <si>
    <t>은행순매수수량</t>
    <phoneticPr fontId="1" type="noConversion"/>
  </si>
  <si>
    <t>은행순매수금액</t>
    <phoneticPr fontId="1" type="noConversion"/>
  </si>
  <si>
    <t>종신금순매수수량</t>
    <phoneticPr fontId="1" type="noConversion"/>
  </si>
  <si>
    <t>종신금순매수금액</t>
    <phoneticPr fontId="1" type="noConversion"/>
  </si>
  <si>
    <t>연기금순매수수량</t>
    <phoneticPr fontId="1" type="noConversion"/>
  </si>
  <si>
    <t>연기금순매수금액</t>
    <phoneticPr fontId="1" type="noConversion"/>
  </si>
  <si>
    <t>기타순매수수량</t>
    <phoneticPr fontId="1" type="noConversion"/>
  </si>
  <si>
    <t>기타순매수금액</t>
    <phoneticPr fontId="1" type="noConversion"/>
  </si>
  <si>
    <t>IDX</t>
    <phoneticPr fontId="1" type="noConversion"/>
  </si>
  <si>
    <t>FUT</t>
    <phoneticPr fontId="1" type="noConversion"/>
  </si>
  <si>
    <t>OPT</t>
    <phoneticPr fontId="1" type="noConversion"/>
  </si>
  <si>
    <t>국가/지방순매수수량</t>
    <phoneticPr fontId="1" type="noConversion"/>
  </si>
  <si>
    <t>국가/지방순매수금액</t>
    <phoneticPr fontId="1" type="noConversion"/>
  </si>
  <si>
    <t>IDX</t>
    <phoneticPr fontId="1" type="noConversion"/>
  </si>
  <si>
    <t>외국인</t>
    <phoneticPr fontId="1" type="noConversion"/>
  </si>
  <si>
    <t>시장/투자자</t>
    <phoneticPr fontId="1" type="noConversion"/>
  </si>
  <si>
    <t>수량</t>
    <phoneticPr fontId="1" type="noConversion"/>
  </si>
  <si>
    <t>금액</t>
    <phoneticPr fontId="1" type="noConversion"/>
  </si>
  <si>
    <t>거래소</t>
    <phoneticPr fontId="1" type="noConversion"/>
  </si>
  <si>
    <t>금리선물</t>
    <phoneticPr fontId="1" type="noConversion"/>
  </si>
  <si>
    <t>지수선물</t>
    <phoneticPr fontId="1" type="noConversion"/>
  </si>
  <si>
    <t>통화선물</t>
    <phoneticPr fontId="1" type="noConversion"/>
  </si>
  <si>
    <t>주식선물</t>
    <phoneticPr fontId="1" type="noConversion"/>
  </si>
  <si>
    <t>지수옵션</t>
    <phoneticPr fontId="1" type="noConversion"/>
  </si>
  <si>
    <t>KOSPI</t>
    <phoneticPr fontId="1" type="noConversion"/>
  </si>
  <si>
    <t>음식료품</t>
    <phoneticPr fontId="1" type="noConversion"/>
  </si>
  <si>
    <t>섬유.의복</t>
    <phoneticPr fontId="1" type="noConversion"/>
  </si>
  <si>
    <t>종이.목재</t>
    <phoneticPr fontId="1" type="noConversion"/>
  </si>
  <si>
    <t>화학</t>
    <phoneticPr fontId="1" type="noConversion"/>
  </si>
  <si>
    <t>의약품</t>
    <phoneticPr fontId="1" type="noConversion"/>
  </si>
  <si>
    <t>비금속광물</t>
    <phoneticPr fontId="1" type="noConversion"/>
  </si>
  <si>
    <t>철강.금속</t>
    <phoneticPr fontId="1" type="noConversion"/>
  </si>
  <si>
    <t>기계</t>
    <phoneticPr fontId="1" type="noConversion"/>
  </si>
  <si>
    <t>전기.전자</t>
    <phoneticPr fontId="1" type="noConversion"/>
  </si>
  <si>
    <t>014</t>
  </si>
  <si>
    <t>015</t>
  </si>
  <si>
    <t>016</t>
  </si>
  <si>
    <t>의료정밀</t>
    <phoneticPr fontId="1" type="noConversion"/>
  </si>
  <si>
    <t>운수.장비</t>
    <phoneticPr fontId="1" type="noConversion"/>
  </si>
  <si>
    <t>유통업</t>
    <phoneticPr fontId="1" type="noConversion"/>
  </si>
  <si>
    <t>전기.가스업</t>
    <phoneticPr fontId="1" type="noConversion"/>
  </si>
  <si>
    <t>건설업</t>
    <phoneticPr fontId="1" type="noConversion"/>
  </si>
  <si>
    <t>017</t>
  </si>
  <si>
    <t>018</t>
  </si>
  <si>
    <t>운수.창고</t>
    <phoneticPr fontId="1" type="noConversion"/>
  </si>
  <si>
    <t>통신업</t>
    <phoneticPr fontId="1" type="noConversion"/>
  </si>
  <si>
    <t>금융업</t>
    <phoneticPr fontId="1" type="noConversion"/>
  </si>
  <si>
    <t>증권</t>
    <phoneticPr fontId="1" type="noConversion"/>
  </si>
  <si>
    <t>서비스업</t>
    <phoneticPr fontId="1" type="noConversion"/>
  </si>
  <si>
    <t>제조업</t>
    <phoneticPr fontId="1" type="noConversion"/>
  </si>
  <si>
    <t>026</t>
  </si>
  <si>
    <t>027</t>
  </si>
  <si>
    <t>대형주</t>
    <phoneticPr fontId="1" type="noConversion"/>
  </si>
  <si>
    <t>중형주</t>
    <phoneticPr fontId="1" type="noConversion"/>
  </si>
  <si>
    <t>소형주</t>
    <phoneticPr fontId="1" type="noConversion"/>
  </si>
  <si>
    <t>213</t>
  </si>
  <si>
    <t>214</t>
  </si>
  <si>
    <t>215</t>
  </si>
  <si>
    <t>216</t>
  </si>
  <si>
    <t>K200 건설</t>
    <phoneticPr fontId="1" type="noConversion"/>
  </si>
  <si>
    <t>K200 중공업</t>
    <phoneticPr fontId="1" type="noConversion"/>
  </si>
  <si>
    <t>K200 철강소재</t>
    <phoneticPr fontId="1" type="noConversion"/>
  </si>
  <si>
    <t>K200 에너지화학</t>
    <phoneticPr fontId="1" type="noConversion"/>
  </si>
  <si>
    <t>정보통신</t>
    <phoneticPr fontId="1" type="noConversion"/>
  </si>
  <si>
    <t>KOSPI100</t>
    <phoneticPr fontId="1" type="noConversion"/>
  </si>
  <si>
    <t>KOSPI50</t>
    <phoneticPr fontId="1" type="noConversion"/>
  </si>
  <si>
    <t>KODI</t>
    <phoneticPr fontId="1" type="noConversion"/>
  </si>
  <si>
    <t>지배구조지수</t>
    <phoneticPr fontId="1" type="noConversion"/>
  </si>
  <si>
    <t>거래소</t>
    <phoneticPr fontId="1" type="noConversion"/>
  </si>
  <si>
    <t>코스닥</t>
    <phoneticPr fontId="1" type="noConversion"/>
  </si>
  <si>
    <t>801</t>
    <phoneticPr fontId="1" type="noConversion"/>
  </si>
  <si>
    <t>802</t>
    <phoneticPr fontId="1" type="noConversion"/>
  </si>
  <si>
    <t>803</t>
  </si>
  <si>
    <t>804</t>
  </si>
  <si>
    <t>805</t>
  </si>
  <si>
    <t>812</t>
    <phoneticPr fontId="1" type="noConversion"/>
  </si>
  <si>
    <t>815</t>
    <phoneticPr fontId="1" type="noConversion"/>
  </si>
  <si>
    <t>824</t>
    <phoneticPr fontId="1" type="noConversion"/>
  </si>
  <si>
    <t>826</t>
    <phoneticPr fontId="1" type="noConversion"/>
  </si>
  <si>
    <t>827</t>
    <phoneticPr fontId="1" type="noConversion"/>
  </si>
  <si>
    <t>829</t>
    <phoneticPr fontId="1" type="noConversion"/>
  </si>
  <si>
    <t>831</t>
    <phoneticPr fontId="1" type="noConversion"/>
  </si>
  <si>
    <t>837</t>
    <phoneticPr fontId="1" type="noConversion"/>
  </si>
  <si>
    <t>841</t>
    <phoneticPr fontId="1" type="noConversion"/>
  </si>
  <si>
    <t>842</t>
    <phoneticPr fontId="1" type="noConversion"/>
  </si>
  <si>
    <t>843</t>
    <phoneticPr fontId="1" type="noConversion"/>
  </si>
  <si>
    <t>856</t>
    <phoneticPr fontId="1" type="noConversion"/>
  </si>
  <si>
    <t>867</t>
    <phoneticPr fontId="1" type="noConversion"/>
  </si>
  <si>
    <t>868</t>
    <phoneticPr fontId="1" type="noConversion"/>
  </si>
  <si>
    <t>870</t>
    <phoneticPr fontId="1" type="noConversion"/>
  </si>
  <si>
    <t>872</t>
    <phoneticPr fontId="1" type="noConversion"/>
  </si>
  <si>
    <t>874</t>
    <phoneticPr fontId="1" type="noConversion"/>
  </si>
  <si>
    <t>875</t>
    <phoneticPr fontId="1" type="noConversion"/>
  </si>
  <si>
    <t>877</t>
    <phoneticPr fontId="1" type="noConversion"/>
  </si>
  <si>
    <t>951</t>
    <phoneticPr fontId="1" type="noConversion"/>
  </si>
  <si>
    <t>952</t>
    <phoneticPr fontId="1" type="noConversion"/>
  </si>
  <si>
    <t>953</t>
    <phoneticPr fontId="1" type="noConversion"/>
  </si>
  <si>
    <t>955</t>
    <phoneticPr fontId="1" type="noConversion"/>
  </si>
  <si>
    <t>954</t>
    <phoneticPr fontId="1" type="noConversion"/>
  </si>
  <si>
    <t>956</t>
    <phoneticPr fontId="1" type="noConversion"/>
  </si>
  <si>
    <t>957</t>
    <phoneticPr fontId="1" type="noConversion"/>
  </si>
  <si>
    <t>958</t>
    <phoneticPr fontId="1" type="noConversion"/>
  </si>
  <si>
    <t>959</t>
    <phoneticPr fontId="1" type="noConversion"/>
  </si>
  <si>
    <t>960</t>
    <phoneticPr fontId="1" type="noConversion"/>
  </si>
  <si>
    <t>981</t>
    <phoneticPr fontId="1" type="noConversion"/>
  </si>
  <si>
    <t>982</t>
    <phoneticPr fontId="1" type="noConversion"/>
  </si>
  <si>
    <t>983</t>
    <phoneticPr fontId="1" type="noConversion"/>
  </si>
  <si>
    <t>LKTB</t>
    <phoneticPr fontId="1" type="noConversion"/>
  </si>
  <si>
    <t>금리선물</t>
    <phoneticPr fontId="1" type="noConversion"/>
  </si>
  <si>
    <t>지수선물</t>
    <phoneticPr fontId="1" type="noConversion"/>
  </si>
  <si>
    <t>C01</t>
    <phoneticPr fontId="1" type="noConversion"/>
  </si>
  <si>
    <t>C04</t>
    <phoneticPr fontId="1" type="noConversion"/>
  </si>
  <si>
    <t>C05</t>
    <phoneticPr fontId="1" type="noConversion"/>
  </si>
  <si>
    <t>C06</t>
    <phoneticPr fontId="1" type="noConversion"/>
  </si>
  <si>
    <t>C08</t>
    <phoneticPr fontId="1" type="noConversion"/>
  </si>
  <si>
    <t>C09</t>
    <phoneticPr fontId="1" type="noConversion"/>
  </si>
  <si>
    <t>A0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</si>
  <si>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</si>
  <si>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</si>
  <si>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</si>
  <si>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</si>
  <si>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</si>
  <si>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</si>
  <si>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</si>
  <si>
    <t>A8</t>
  </si>
  <si>
    <t>A9</t>
  </si>
  <si>
    <t>AA</t>
    <phoneticPr fontId="1" type="noConversion"/>
  </si>
  <si>
    <t>AB</t>
    <phoneticPr fontId="1" type="noConversion"/>
  </si>
  <si>
    <t>KOSPI200</t>
    <phoneticPr fontId="1" type="noConversion"/>
  </si>
  <si>
    <t>CME-K200</t>
    <phoneticPr fontId="1" type="noConversion"/>
  </si>
  <si>
    <t>MINI-K200</t>
    <phoneticPr fontId="1" type="noConversion"/>
  </si>
  <si>
    <t>KOSDAQ150</t>
    <phoneticPr fontId="1" type="noConversion"/>
  </si>
  <si>
    <t>KRX300</t>
    <phoneticPr fontId="1" type="noConversion"/>
  </si>
  <si>
    <t>변동성지수</t>
    <phoneticPr fontId="1" type="noConversion"/>
  </si>
  <si>
    <t>에너지화학</t>
    <phoneticPr fontId="1" type="noConversion"/>
  </si>
  <si>
    <t>정보기술</t>
    <phoneticPr fontId="1" type="noConversion"/>
  </si>
  <si>
    <t>금융지수</t>
    <phoneticPr fontId="1" type="noConversion"/>
  </si>
  <si>
    <t>경기소비재</t>
    <phoneticPr fontId="1" type="noConversion"/>
  </si>
  <si>
    <t>고배당50</t>
    <phoneticPr fontId="1" type="noConversion"/>
  </si>
  <si>
    <t>배당성장50</t>
    <phoneticPr fontId="1" type="noConversion"/>
  </si>
  <si>
    <t>거설</t>
    <phoneticPr fontId="1" type="noConversion"/>
  </si>
  <si>
    <t>중공업</t>
    <phoneticPr fontId="1" type="noConversion"/>
  </si>
  <si>
    <t>헬스케어</t>
    <phoneticPr fontId="1" type="noConversion"/>
  </si>
  <si>
    <t>철강소재</t>
    <phoneticPr fontId="1" type="noConversion"/>
  </si>
  <si>
    <t>생활소비재</t>
    <phoneticPr fontId="1" type="noConversion"/>
  </si>
  <si>
    <t>산업재</t>
    <phoneticPr fontId="1" type="noConversion"/>
  </si>
  <si>
    <t>통화선물</t>
    <phoneticPr fontId="1" type="noConversion"/>
  </si>
  <si>
    <t>C75</t>
    <phoneticPr fontId="1" type="noConversion"/>
  </si>
  <si>
    <t>C70</t>
    <phoneticPr fontId="1" type="noConversion"/>
  </si>
  <si>
    <t>C76</t>
    <phoneticPr fontId="1" type="noConversion"/>
  </si>
  <si>
    <t>C77</t>
    <phoneticPr fontId="1" type="noConversion"/>
  </si>
  <si>
    <t>C78</t>
    <phoneticPr fontId="1" type="noConversion"/>
  </si>
  <si>
    <t>USD</t>
    <phoneticPr fontId="1" type="noConversion"/>
  </si>
  <si>
    <t>CME-USD</t>
    <phoneticPr fontId="1" type="noConversion"/>
  </si>
  <si>
    <t>JPY</t>
    <phoneticPr fontId="1" type="noConversion"/>
  </si>
  <si>
    <t>EUR</t>
    <phoneticPr fontId="1" type="noConversion"/>
  </si>
  <si>
    <t>CNH</t>
    <phoneticPr fontId="1" type="noConversion"/>
  </si>
  <si>
    <t>상품선물</t>
    <phoneticPr fontId="1" type="noConversion"/>
  </si>
  <si>
    <t>FUT</t>
    <phoneticPr fontId="1" type="noConversion"/>
  </si>
  <si>
    <t>C88</t>
    <phoneticPr fontId="1" type="noConversion"/>
  </si>
  <si>
    <t>GOLD</t>
    <phoneticPr fontId="1" type="noConversion"/>
  </si>
  <si>
    <t>주식선물</t>
    <phoneticPr fontId="1" type="noConversion"/>
  </si>
  <si>
    <t>C99</t>
    <phoneticPr fontId="1" type="noConversion"/>
  </si>
  <si>
    <t>지수옵션</t>
    <phoneticPr fontId="1" type="noConversion"/>
  </si>
  <si>
    <t>OPT</t>
    <phoneticPr fontId="1" type="noConversion"/>
  </si>
  <si>
    <t>20100000</t>
    <phoneticPr fontId="1" type="noConversion"/>
  </si>
  <si>
    <t>KOSPI200 콜</t>
    <phoneticPr fontId="1" type="noConversion"/>
  </si>
  <si>
    <t>30100000</t>
    <phoneticPr fontId="1" type="noConversion"/>
  </si>
  <si>
    <t>KOSPI200 풋</t>
    <phoneticPr fontId="1" type="noConversion"/>
  </si>
  <si>
    <t>20500000</t>
    <phoneticPr fontId="1" type="noConversion"/>
  </si>
  <si>
    <t>MINI-K200 콜</t>
    <phoneticPr fontId="1" type="noConversion"/>
  </si>
  <si>
    <t>30500000</t>
    <phoneticPr fontId="1" type="noConversion"/>
  </si>
  <si>
    <t>MINI-K200 풋</t>
    <phoneticPr fontId="1" type="noConversion"/>
  </si>
  <si>
    <t>통화옵션</t>
    <phoneticPr fontId="1" type="noConversion"/>
  </si>
  <si>
    <t>USD 콜</t>
    <phoneticPr fontId="1" type="noConversion"/>
  </si>
  <si>
    <t>USD 풋</t>
    <phoneticPr fontId="1" type="noConversion"/>
  </si>
  <si>
    <t>27500000</t>
    <phoneticPr fontId="1" type="noConversion"/>
  </si>
  <si>
    <t>37500000</t>
    <phoneticPr fontId="1" type="noConversion"/>
  </si>
  <si>
    <t>KOSDAQ</t>
  </si>
  <si>
    <t>우량기업부</t>
  </si>
  <si>
    <t>벤처기업부</t>
  </si>
  <si>
    <t>중견기업부</t>
  </si>
  <si>
    <t>기술성장기업부</t>
  </si>
  <si>
    <t>기타서비스</t>
  </si>
  <si>
    <t>IT종합</t>
  </si>
  <si>
    <t>제조</t>
  </si>
  <si>
    <t>건설</t>
  </si>
  <si>
    <t>유통</t>
  </si>
  <si>
    <t>운송</t>
  </si>
  <si>
    <t>금융</t>
  </si>
  <si>
    <t>오락문화</t>
  </si>
  <si>
    <t>통신방송</t>
  </si>
  <si>
    <t>IT S/W</t>
  </si>
  <si>
    <t>IT H/W</t>
  </si>
  <si>
    <t>음식.담배</t>
  </si>
  <si>
    <t>비금속</t>
  </si>
  <si>
    <t>금속</t>
  </si>
  <si>
    <t>기계.장비</t>
  </si>
  <si>
    <t>일반전기전자</t>
  </si>
  <si>
    <t>의료정밀기기</t>
  </si>
  <si>
    <t>운송장비부품</t>
  </si>
  <si>
    <t>통신서비스</t>
  </si>
  <si>
    <t>방송서비스</t>
  </si>
  <si>
    <t>인터넷</t>
  </si>
  <si>
    <t>디지털컨텐츠</t>
  </si>
  <si>
    <t>소프트웨어</t>
  </si>
  <si>
    <t>컴퓨터서비스</t>
  </si>
  <si>
    <t>통신장비</t>
  </si>
  <si>
    <t>정보기기</t>
  </si>
  <si>
    <t>반도체</t>
  </si>
  <si>
    <t>IT부품</t>
  </si>
  <si>
    <t>ELW</t>
    <phoneticPr fontId="1" type="noConversion"/>
  </si>
  <si>
    <t>ETF</t>
    <phoneticPr fontId="1" type="noConversion"/>
  </si>
  <si>
    <t>ETN</t>
    <phoneticPr fontId="1" type="noConversion"/>
  </si>
  <si>
    <t>Eurostoxx50</t>
    <phoneticPr fontId="1" type="noConversion"/>
  </si>
  <si>
    <t>C07</t>
    <phoneticPr fontId="1" type="noConversion"/>
  </si>
  <si>
    <t>IDX</t>
    <phoneticPr fontId="1" type="noConversion"/>
  </si>
  <si>
    <t>개인순매수수량</t>
    <phoneticPr fontId="1" type="noConversion"/>
  </si>
  <si>
    <t>수량</t>
    <phoneticPr fontId="1" type="noConversion"/>
  </si>
  <si>
    <t>금액</t>
    <phoneticPr fontId="1" type="noConversion"/>
  </si>
  <si>
    <t>외국인합순매수금액</t>
    <phoneticPr fontId="1" type="noConversion"/>
  </si>
  <si>
    <t>외국인합순매수수량</t>
    <phoneticPr fontId="1" type="noConversion"/>
  </si>
  <si>
    <t>개인순매수금액</t>
    <phoneticPr fontId="1" type="noConversion"/>
  </si>
  <si>
    <t>기관순매수수량</t>
    <phoneticPr fontId="1" type="noConversion"/>
  </si>
  <si>
    <t>기관순매수금액</t>
    <phoneticPr fontId="1" type="noConversion"/>
  </si>
  <si>
    <t>증권/선물순매수금액</t>
    <phoneticPr fontId="1" type="noConversion"/>
  </si>
  <si>
    <t>증권/선물순매수수량</t>
    <phoneticPr fontId="1" type="noConversion"/>
  </si>
  <si>
    <t>보험순매수수량</t>
    <phoneticPr fontId="1" type="noConversion"/>
  </si>
  <si>
    <t>보험순매수금액</t>
    <phoneticPr fontId="1" type="noConversion"/>
  </si>
  <si>
    <t>투신순매수수량</t>
    <phoneticPr fontId="1" type="noConversion"/>
  </si>
  <si>
    <t>투신순매수금액</t>
    <phoneticPr fontId="1" type="noConversion"/>
  </si>
  <si>
    <t>사모펀드순매수수량</t>
    <phoneticPr fontId="1" type="noConversion"/>
  </si>
  <si>
    <t>사모펀드순매수금액</t>
    <phoneticPr fontId="1" type="noConversion"/>
  </si>
  <si>
    <t>은행순매수수량</t>
    <phoneticPr fontId="1" type="noConversion"/>
  </si>
  <si>
    <t>은행순매수금액</t>
    <phoneticPr fontId="1" type="noConversion"/>
  </si>
  <si>
    <t>종신금순매수수량</t>
    <phoneticPr fontId="1" type="noConversion"/>
  </si>
  <si>
    <t>종신금순매수금액</t>
    <phoneticPr fontId="1" type="noConversion"/>
  </si>
  <si>
    <t>연기금순매수수량</t>
    <phoneticPr fontId="1" type="noConversion"/>
  </si>
  <si>
    <t>연기금순매수금액</t>
    <phoneticPr fontId="1" type="noConversion"/>
  </si>
  <si>
    <t>국가/지방순매수수량</t>
    <phoneticPr fontId="1" type="noConversion"/>
  </si>
  <si>
    <t>국가/지방순매수금액</t>
    <phoneticPr fontId="1" type="noConversion"/>
  </si>
  <si>
    <t>기타순매수수량</t>
    <phoneticPr fontId="1" type="noConversion"/>
  </si>
  <si>
    <t>기타순매수금액</t>
    <phoneticPr fontId="1" type="noConversion"/>
  </si>
  <si>
    <t>개인</t>
    <phoneticPr fontId="1" type="noConversion"/>
  </si>
  <si>
    <t>기관</t>
    <phoneticPr fontId="1" type="noConversion"/>
  </si>
  <si>
    <t>보험</t>
    <phoneticPr fontId="1" type="noConversion"/>
  </si>
  <si>
    <t>투신</t>
    <phoneticPr fontId="1" type="noConversion"/>
  </si>
  <si>
    <t>사모펀드</t>
    <phoneticPr fontId="1" type="noConversion"/>
  </si>
  <si>
    <t>은행</t>
    <phoneticPr fontId="1" type="noConversion"/>
  </si>
  <si>
    <t>종금/저축</t>
    <phoneticPr fontId="1" type="noConversion"/>
  </si>
  <si>
    <t>연기금</t>
    <phoneticPr fontId="1" type="noConversion"/>
  </si>
  <si>
    <t>정부</t>
    <phoneticPr fontId="1" type="noConversion"/>
  </si>
  <si>
    <t>기타법인</t>
    <phoneticPr fontId="1" type="noConversion"/>
  </si>
  <si>
    <t>일자</t>
    <phoneticPr fontId="1" type="noConversion"/>
  </si>
  <si>
    <t>일자</t>
    <phoneticPr fontId="1" type="noConversion"/>
  </si>
  <si>
    <t>외국인</t>
    <phoneticPr fontId="1" type="noConversion"/>
  </si>
  <si>
    <t>은행 순매수거래대금</t>
  </si>
  <si>
    <t>보험 순매수거래대금</t>
  </si>
  <si>
    <t>투신 순매수거래대금</t>
  </si>
  <si>
    <t>종금 순매수거래대금</t>
  </si>
  <si>
    <t>기금 순매수거래대금</t>
  </si>
  <si>
    <t>외국인 순매수거래대금</t>
  </si>
  <si>
    <t>기타법인 순매수거래대금</t>
  </si>
  <si>
    <t>개인 순매수거래대금</t>
  </si>
  <si>
    <t>정부 순매수거래대금</t>
  </si>
  <si>
    <t>사모펀드 순매수거래대금</t>
  </si>
  <si>
    <t>전체 순매수거래대금</t>
  </si>
  <si>
    <t>증권사 순매수거래대금</t>
  </si>
  <si>
    <t>전체 순매수거래량</t>
  </si>
  <si>
    <t>증권사 순매수거래량</t>
  </si>
  <si>
    <t>외국인 순매수거래량</t>
  </si>
  <si>
    <t>개인 순매수거래량</t>
  </si>
  <si>
    <t>보험 순매수거래량</t>
  </si>
  <si>
    <t>투신 순매수거래량</t>
  </si>
  <si>
    <t>사모펀드 순매수거래량</t>
  </si>
  <si>
    <t>은행 순매수거래량</t>
  </si>
  <si>
    <t>종금 순매수거래량</t>
  </si>
  <si>
    <t>기금 순매수거래량</t>
  </si>
  <si>
    <t>정부 순매수거래량</t>
  </si>
  <si>
    <t>기타법인 순매수거래량</t>
  </si>
  <si>
    <t>채권 전체</t>
    <phoneticPr fontId="1" type="noConversion"/>
  </si>
  <si>
    <t>은행</t>
    <phoneticPr fontId="1" type="noConversion"/>
  </si>
  <si>
    <t>기타법인</t>
    <phoneticPr fontId="1" type="noConversion"/>
  </si>
  <si>
    <t>증권</t>
    <phoneticPr fontId="1" type="noConversion"/>
  </si>
  <si>
    <t>외국인</t>
    <phoneticPr fontId="1" type="noConversion"/>
  </si>
  <si>
    <t>코스닥</t>
    <phoneticPr fontId="1" type="noConversion"/>
  </si>
  <si>
    <t>채권 전체</t>
    <phoneticPr fontId="1" type="noConversion"/>
  </si>
  <si>
    <t>국채</t>
    <phoneticPr fontId="1" type="noConversion"/>
  </si>
  <si>
    <t>지방채</t>
    <phoneticPr fontId="1" type="noConversion"/>
  </si>
  <si>
    <t>특수채</t>
    <phoneticPr fontId="1" type="noConversion"/>
  </si>
  <si>
    <t>통안채</t>
    <phoneticPr fontId="1" type="noConversion"/>
  </si>
  <si>
    <t>금융채</t>
    <phoneticPr fontId="1" type="noConversion"/>
  </si>
  <si>
    <t>회사채</t>
    <phoneticPr fontId="1" type="noConversion"/>
  </si>
  <si>
    <t>BNDINV0000</t>
  </si>
  <si>
    <t>BNDINV0001</t>
  </si>
  <si>
    <t>BNDINV0002</t>
  </si>
  <si>
    <t>BNDINV0003</t>
  </si>
  <si>
    <t>BNDINV0004</t>
  </si>
  <si>
    <t>BNDINV0005</t>
  </si>
  <si>
    <t>BNDINV0006</t>
  </si>
  <si>
    <t>IR</t>
    <phoneticPr fontId="1" type="noConversion"/>
  </si>
  <si>
    <t>장외채권</t>
    <phoneticPr fontId="1" type="noConversion"/>
  </si>
  <si>
    <t>지방채</t>
  </si>
  <si>
    <t>특수채</t>
  </si>
  <si>
    <t>통안채</t>
  </si>
  <si>
    <t>금융채</t>
  </si>
  <si>
    <t>회사채</t>
  </si>
  <si>
    <t>IR</t>
    <phoneticPr fontId="1" type="noConversion"/>
  </si>
  <si>
    <t>외국인 순매수거래량</t>
    <phoneticPr fontId="1" type="noConversion"/>
  </si>
  <si>
    <t>외국인 순매수거래대금</t>
    <phoneticPr fontId="1" type="noConversion"/>
  </si>
  <si>
    <t>개인 순매수거래량</t>
    <phoneticPr fontId="1" type="noConversion"/>
  </si>
  <si>
    <t>개인 순매수거래대금</t>
    <phoneticPr fontId="1" type="noConversion"/>
  </si>
  <si>
    <t>증권사 순매수거래량</t>
    <phoneticPr fontId="1" type="noConversion"/>
  </si>
  <si>
    <t>증권사 순매수거래대금</t>
    <phoneticPr fontId="1" type="noConversion"/>
  </si>
  <si>
    <t>보험 순매수거래량</t>
    <phoneticPr fontId="1" type="noConversion"/>
  </si>
  <si>
    <t>보험 순매수거래대금</t>
    <phoneticPr fontId="1" type="noConversion"/>
  </si>
  <si>
    <t>투신 순매수거래량</t>
    <phoneticPr fontId="1" type="noConversion"/>
  </si>
  <si>
    <t>투신 순매수거래대금</t>
    <phoneticPr fontId="1" type="noConversion"/>
  </si>
  <si>
    <t>사모펀드 순매수거래량</t>
    <phoneticPr fontId="1" type="noConversion"/>
  </si>
  <si>
    <t>은행 순매수거래량</t>
    <phoneticPr fontId="1" type="noConversion"/>
  </si>
  <si>
    <t>은행 순매수거래대금</t>
    <phoneticPr fontId="1" type="noConversion"/>
  </si>
  <si>
    <t>종금 순매수거래량</t>
    <phoneticPr fontId="1" type="noConversion"/>
  </si>
  <si>
    <t>종금 순매수거래대금</t>
    <phoneticPr fontId="1" type="noConversion"/>
  </si>
  <si>
    <t>기금 순매수거래량</t>
    <phoneticPr fontId="1" type="noConversion"/>
  </si>
  <si>
    <t>기금 순매수거래대금</t>
    <phoneticPr fontId="1" type="noConversion"/>
  </si>
  <si>
    <t>정부 순매수거래량</t>
    <phoneticPr fontId="1" type="noConversion"/>
  </si>
  <si>
    <t>정부 순매수거래대금</t>
    <phoneticPr fontId="1" type="noConversion"/>
  </si>
  <si>
    <t>기타법인 순매수거래량</t>
    <phoneticPr fontId="1" type="noConversion"/>
  </si>
  <si>
    <t>기타법인 순매수거래대금</t>
    <phoneticPr fontId="1" type="noConversion"/>
  </si>
  <si>
    <t xml:space="preserve">시장별 투자자 </t>
    <phoneticPr fontId="1" type="noConversion"/>
  </si>
  <si>
    <t>Date</t>
    <phoneticPr fontId="1" type="noConversion"/>
  </si>
  <si>
    <t>시장별 투자자 History</t>
    <phoneticPr fontId="1" type="noConversion"/>
  </si>
  <si>
    <t>KTB03</t>
  </si>
  <si>
    <t>KTB05</t>
  </si>
  <si>
    <t>KTB10</t>
  </si>
  <si>
    <t>KTB30</t>
  </si>
  <si>
    <t>FUT</t>
  </si>
  <si>
    <t>C67</t>
  </si>
  <si>
    <t>C70</t>
  </si>
  <si>
    <t>금액: 백만</t>
  </si>
  <si>
    <t>C69</t>
  </si>
  <si>
    <t>KOFR3M</t>
  </si>
  <si>
    <t>C08</t>
  </si>
  <si>
    <t>KRX300</t>
  </si>
  <si>
    <t>C09</t>
  </si>
  <si>
    <t>변동성지수</t>
  </si>
  <si>
    <t>기타선물</t>
  </si>
  <si>
    <t>CAB</t>
  </si>
  <si>
    <t>CAA</t>
  </si>
  <si>
    <t>CA0</t>
  </si>
  <si>
    <t>CA1</t>
  </si>
  <si>
    <t>CAD</t>
  </si>
  <si>
    <t>CAC</t>
  </si>
  <si>
    <t>CAE</t>
  </si>
  <si>
    <t>C88</t>
  </si>
  <si>
    <t>금융지수</t>
  </si>
  <si>
    <t>산업재</t>
  </si>
  <si>
    <t>생활소비재</t>
  </si>
  <si>
    <t>에너지화학</t>
  </si>
  <si>
    <t>경기소비재</t>
  </si>
  <si>
    <t>정보기술</t>
  </si>
  <si>
    <t>중공업</t>
  </si>
  <si>
    <t>철강소재</t>
  </si>
  <si>
    <t>헬스케어</t>
  </si>
  <si>
    <t>2차전지</t>
  </si>
  <si>
    <t>BBIG</t>
  </si>
  <si>
    <t>바이오</t>
  </si>
  <si>
    <t>GOLD</t>
  </si>
  <si>
    <t>KOSPI</t>
  </si>
  <si>
    <t>장외채권</t>
  </si>
  <si>
    <t>국채</t>
  </si>
  <si>
    <t>금리선물</t>
  </si>
  <si>
    <t>지수선물</t>
  </si>
  <si>
    <t>KOSPI200</t>
  </si>
  <si>
    <t>MINI-K200</t>
  </si>
  <si>
    <t>KOSDAQ150</t>
  </si>
  <si>
    <t>고배당50</t>
  </si>
  <si>
    <t>배당성장50</t>
  </si>
  <si>
    <t>해외선물(Eurostoxx50)</t>
  </si>
  <si>
    <t>통화선물</t>
  </si>
  <si>
    <t>USD</t>
  </si>
  <si>
    <t>JPY</t>
  </si>
  <si>
    <t>EUR</t>
  </si>
  <si>
    <t>CNH</t>
  </si>
  <si>
    <t>주식선물</t>
  </si>
  <si>
    <t>지수옵션</t>
  </si>
  <si>
    <t>KOSPI200 콜</t>
  </si>
  <si>
    <t>KOSPI200 풋</t>
  </si>
  <si>
    <t>MINI-K200 콜</t>
  </si>
  <si>
    <t>MINI-K200 풋</t>
  </si>
  <si>
    <t>ELW/ETF/ETN(원)</t>
  </si>
  <si>
    <t>ELW</t>
  </si>
  <si>
    <t>ETF</t>
  </si>
  <si>
    <t>ETN</t>
  </si>
  <si>
    <t>누적거래량</t>
  </si>
  <si>
    <t>누적거래대금</t>
  </si>
  <si>
    <t>거래량</t>
  </si>
  <si>
    <t>거래대금</t>
  </si>
  <si>
    <t>전체 총거래량</t>
  </si>
  <si>
    <t>전체 총거래대금</t>
  </si>
  <si>
    <t>전체 거래</t>
  </si>
  <si>
    <t>STOXX50</t>
  </si>
  <si>
    <t>C76</t>
  </si>
  <si>
    <t>C77</t>
  </si>
  <si>
    <t>C78</t>
  </si>
  <si>
    <t>음식료품</t>
  </si>
  <si>
    <t>섬유.의복</t>
  </si>
  <si>
    <t>종이.목재</t>
  </si>
  <si>
    <t>화학</t>
  </si>
  <si>
    <t>의약품</t>
  </si>
  <si>
    <t>비금속광물</t>
  </si>
  <si>
    <t>철강.금속</t>
  </si>
  <si>
    <t>기계</t>
  </si>
  <si>
    <t>전기.전자</t>
  </si>
  <si>
    <t>의료정밀</t>
  </si>
  <si>
    <t>운수.장비</t>
  </si>
  <si>
    <t>유통업</t>
  </si>
  <si>
    <t>전기.가스업</t>
  </si>
  <si>
    <t>건설업</t>
  </si>
  <si>
    <t>운수.창고</t>
  </si>
  <si>
    <t>통신업</t>
  </si>
  <si>
    <t>금융업</t>
  </si>
  <si>
    <t>증권</t>
  </si>
  <si>
    <t>보험</t>
  </si>
  <si>
    <t>서비스업</t>
  </si>
  <si>
    <t>제조업</t>
  </si>
  <si>
    <t>KRX 부동산리츠인프라 지수</t>
  </si>
  <si>
    <t>KOSPI 대형주</t>
  </si>
  <si>
    <t>KOSPI 중형주</t>
  </si>
  <si>
    <t>KOSPI 소형주</t>
  </si>
  <si>
    <t>KTOP 30</t>
  </si>
  <si>
    <t>K200제외 코스피지수</t>
  </si>
  <si>
    <t>K200 건설</t>
  </si>
  <si>
    <t>K200 중공업</t>
  </si>
  <si>
    <t>K200 철강소재</t>
  </si>
  <si>
    <t>K200 에너지화학</t>
  </si>
  <si>
    <t>K200 정보기술</t>
  </si>
  <si>
    <t>K200 금융</t>
  </si>
  <si>
    <t>K200 생활소비재</t>
  </si>
  <si>
    <t>K200 경기소비재</t>
  </si>
  <si>
    <t>K200 커뮤니케이션서비스</t>
  </si>
  <si>
    <t>KOSPI100</t>
  </si>
  <si>
    <t>KOSPI50</t>
  </si>
  <si>
    <t>K200 레버리지</t>
  </si>
  <si>
    <t>K200 중소형주지수</t>
  </si>
  <si>
    <t>K200 경기방어소비재</t>
  </si>
  <si>
    <t>K200 산업재</t>
  </si>
  <si>
    <t>K200 헬스케어</t>
  </si>
  <si>
    <t>K200 에너지화학 레버리지지수</t>
  </si>
  <si>
    <t>K200 정보기술 레버리지지수</t>
  </si>
  <si>
    <t>K200 금융 레버리지지수</t>
  </si>
  <si>
    <t>K200 경기소비재 레버리지지수</t>
  </si>
  <si>
    <t>K200 건설 레버리지지수</t>
  </si>
  <si>
    <t>K200 중공업 레버리지지수</t>
  </si>
  <si>
    <t>K200 헬스케어 레버리지지수</t>
  </si>
  <si>
    <t>코스피 200 Top 10</t>
  </si>
  <si>
    <t>코스피 200 Top 10 레버리지</t>
  </si>
  <si>
    <t>KTOP 30 레버리지지수</t>
  </si>
  <si>
    <t>K200 정보기술 TR</t>
  </si>
  <si>
    <t>K200 금융 TR</t>
  </si>
  <si>
    <t>K200 경기소비재 TR</t>
  </si>
  <si>
    <t>K200 에너지화학 TR</t>
  </si>
  <si>
    <t>K200 생활소비재 TR</t>
  </si>
  <si>
    <t>K200 건설 TR</t>
  </si>
  <si>
    <t>K200 중공업 TR</t>
  </si>
  <si>
    <t>K200 철강소재 TR</t>
  </si>
  <si>
    <t>K200 산업재 TR</t>
  </si>
  <si>
    <t>K200 헬스케어 TR</t>
  </si>
  <si>
    <t>K200 커뮤니케이션서비스 TR</t>
  </si>
  <si>
    <t>001</t>
  </si>
  <si>
    <t>211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</si>
  <si>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</si>
  <si>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</si>
  <si>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</si>
  <si>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</si>
  <si>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</si>
  <si>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</si>
  <si>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</si>
  <si>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</si>
  <si>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</si>
  <si>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019</t>
  </si>
  <si>
    <t>020</t>
  </si>
  <si>
    <t>021</t>
  </si>
  <si>
    <t>024</t>
  </si>
  <si>
    <t>025</t>
  </si>
  <si>
    <t>028</t>
  </si>
  <si>
    <t>201</t>
  </si>
  <si>
    <t>202</t>
  </si>
  <si>
    <t>203</t>
  </si>
  <si>
    <t>204</t>
  </si>
  <si>
    <t>205</t>
  </si>
  <si>
    <t>212</t>
  </si>
  <si>
    <t>217</t>
  </si>
  <si>
    <t>218</t>
  </si>
  <si>
    <t>219</t>
  </si>
  <si>
    <t>220</t>
  </si>
  <si>
    <t>221</t>
  </si>
  <si>
    <t>222</t>
  </si>
  <si>
    <t>234</t>
  </si>
  <si>
    <t>250</t>
  </si>
  <si>
    <t>251</t>
  </si>
  <si>
    <t>252</t>
  </si>
  <si>
    <t>253</t>
  </si>
  <si>
    <t>260</t>
  </si>
  <si>
    <t>261</t>
  </si>
  <si>
    <t>262</t>
  </si>
  <si>
    <t>263</t>
  </si>
  <si>
    <t>264</t>
  </si>
  <si>
    <t>265</t>
  </si>
  <si>
    <t>266</t>
  </si>
  <si>
    <t>270</t>
  </si>
  <si>
    <t>271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</si>
  <si>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</si>
  <si>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</si>
  <si>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</si>
  <si>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</si>
  <si>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</si>
  <si>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</si>
  <si>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</si>
  <si>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</si>
  <si>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</si>
  <si>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</si>
  <si>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</si>
  <si>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</si>
  <si>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코스닥 글로벌</t>
  </si>
  <si>
    <t>섬유.의류</t>
  </si>
  <si>
    <t>출판.매체</t>
  </si>
  <si>
    <t>제약</t>
  </si>
  <si>
    <t>기타 제조</t>
  </si>
  <si>
    <t>KOSDAQ 대형주</t>
  </si>
  <si>
    <t>KOSDAQ 중형주</t>
  </si>
  <si>
    <t>KOSDAQ 소형주</t>
  </si>
  <si>
    <t>코스닥150</t>
  </si>
  <si>
    <t>코스닥150 소재</t>
  </si>
  <si>
    <t>코스닥150 산업재</t>
  </si>
  <si>
    <t>코스닥150 필수소비재</t>
  </si>
  <si>
    <t>코스닥150 자유소비재</t>
  </si>
  <si>
    <t>코스닥150 정보기술</t>
  </si>
  <si>
    <t>코스닥150 헬스케어</t>
  </si>
  <si>
    <t>코스닥150 커뮤니케이션서비스</t>
  </si>
  <si>
    <t>801</t>
  </si>
  <si>
    <t>802</t>
  </si>
  <si>
    <t>807</t>
  </si>
  <si>
    <t>812</t>
  </si>
  <si>
    <t>815</t>
  </si>
  <si>
    <t>824</t>
  </si>
  <si>
    <t>826</t>
  </si>
  <si>
    <t>827</t>
  </si>
  <si>
    <t>829</t>
  </si>
  <si>
    <t>831</t>
  </si>
  <si>
    <t>837</t>
  </si>
  <si>
    <t>841</t>
  </si>
  <si>
    <t>842</t>
  </si>
  <si>
    <t>843</t>
  </si>
  <si>
    <t>856</t>
  </si>
  <si>
    <t>858</t>
  </si>
  <si>
    <t>862</t>
  </si>
  <si>
    <t>863</t>
  </si>
  <si>
    <t>865</t>
  </si>
  <si>
    <t>866</t>
  </si>
  <si>
    <t>867</t>
  </si>
  <si>
    <t>868</t>
  </si>
  <si>
    <t>870</t>
  </si>
  <si>
    <t>872</t>
  </si>
  <si>
    <t>874</t>
  </si>
  <si>
    <t>875</t>
  </si>
  <si>
    <t>877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</si>
  <si>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</si>
  <si>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</si>
  <si>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</si>
  <si>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</si>
  <si>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</si>
  <si>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</si>
  <si>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</si>
  <si>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</si>
  <si>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</si>
  <si>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</si>
  <si>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981</t>
  </si>
  <si>
    <t>982</t>
  </si>
  <si>
    <t>983</t>
  </si>
  <si>
    <t>986</t>
  </si>
  <si>
    <t>991</t>
  </si>
  <si>
    <t>992</t>
  </si>
  <si>
    <t>993</t>
  </si>
  <si>
    <t>994</t>
  </si>
  <si>
    <t>995</t>
  </si>
  <si>
    <t>996</t>
  </si>
  <si>
    <t>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</si>
</sst>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#,##0_ "/>
    <numFmt numFmtId="166" formatCode="#,##0_ ;\-#,##0\ "/>
  </numFmts>
  <fonts count="16">
    <font>
      <sz val="10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0"/>
      <name val="Calibri"/>
      <family val="2"/>
      <charset val="129"/>
      <scheme val="minor"/>
    </font>
    <font>
      <sz val="10"/>
      <color theme="0"/>
      <name val="Calibri"/>
      <family val="3"/>
      <charset val="129"/>
      <scheme val="minor"/>
    </font>
    <font>
      <b/>
      <sz val="10"/>
      <color theme="0"/>
      <name val="Calibri"/>
      <family val="3"/>
      <charset val="129"/>
      <scheme val="minor"/>
    </font>
    <font>
      <sz val="10"/>
      <name val="Calibri"/>
      <family val="2"/>
      <charset val="129"/>
      <scheme val="minor"/>
    </font>
    <font>
      <sz val="10"/>
      <name val="Calibri"/>
      <family val="3"/>
      <charset val="129"/>
      <scheme val="minor"/>
    </font>
    <font>
      <b/>
      <sz val="10"/>
      <color theme="0"/>
      <name val="Calibri"/>
      <family val="2"/>
      <charset val="129"/>
      <scheme val="minor"/>
    </font>
    <font>
      <b/>
      <i/>
      <sz val="14"/>
      <color theme="1" tint="0.249977111117893"/>
      <name val="Calibri"/>
      <family val="3"/>
      <charset val="129"/>
      <scheme val="minor"/>
    </font>
    <font>
      <b/>
      <i/>
      <sz val="10"/>
      <color theme="1"/>
      <name val="Calibri"/>
      <family val="3"/>
      <charset val="129"/>
      <scheme val="minor"/>
    </font>
    <font>
      <b/>
      <sz val="9"/>
      <name val="Calibri"/>
      <family val="3"/>
      <charset val="129"/>
      <scheme val="minor"/>
    </font>
    <font>
      <sz val="10"/>
      <color rgb="FFFF0000"/>
      <name val="Calibri"/>
      <family val="2"/>
      <charset val="129"/>
      <scheme val="minor"/>
    </font>
    <font>
      <sz val="10"/>
      <color rgb="FFFF0000"/>
      <name val="Calibri"/>
      <family val="3"/>
      <charset val="129"/>
      <scheme val="minor"/>
    </font>
    <font>
      <b/>
      <sz val="10"/>
      <color rgb="FFFF0000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mediumGray">
        <bgColor theme="8" tint="0.79998168889431442"/>
      </patternFill>
    </fill>
    <fill>
      <patternFill patternType="mediumGray"/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dotted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dotted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/>
      <right style="thin">
        <color theme="0" tint="-0.14996795556505021"/>
      </right>
      <top style="dotted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dotted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theme="0" tint="-0.14996795556505021"/>
      </bottom>
      <diagonal/>
    </border>
    <border>
      <left/>
      <right style="thin">
        <color theme="0" tint="-0.14996795556505021"/>
      </right>
      <top/>
      <bottom style="dotted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dotted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dotted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8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4" borderId="11" xfId="0" applyFont="1" applyFill="1" applyBorder="1">
      <alignment vertical="center"/>
    </xf>
    <xf numFmtId="0" fontId="0" fillId="4" borderId="2" xfId="0" applyFill="1" applyBorder="1">
      <alignment vertical="center"/>
    </xf>
    <xf numFmtId="0" fontId="7" fillId="4" borderId="4" xfId="0" applyFont="1" applyFill="1" applyBorder="1">
      <alignment vertical="center"/>
    </xf>
    <xf numFmtId="0" fontId="0" fillId="4" borderId="5" xfId="0" applyFill="1" applyBorder="1">
      <alignment vertical="center"/>
    </xf>
    <xf numFmtId="0" fontId="7" fillId="4" borderId="3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1" xfId="0" applyFont="1" applyFill="1" applyBorder="1">
      <alignment vertical="center"/>
    </xf>
    <xf numFmtId="0" fontId="4" fillId="2" borderId="12" xfId="0" applyFont="1" applyFill="1" applyBorder="1">
      <alignment vertical="center"/>
    </xf>
    <xf numFmtId="0" fontId="4" fillId="2" borderId="13" xfId="0" applyFont="1" applyFill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64" fontId="0" fillId="0" borderId="1" xfId="0" applyNumberFormat="1" applyBorder="1">
      <alignment vertical="center"/>
    </xf>
    <xf numFmtId="164" fontId="0" fillId="5" borderId="1" xfId="0" applyNumberFormat="1" applyFill="1" applyBorder="1">
      <alignment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14" fontId="12" fillId="0" borderId="0" xfId="0" applyNumberFormat="1" applyFont="1">
      <alignment vertical="center"/>
    </xf>
    <xf numFmtId="0" fontId="13" fillId="0" borderId="0" xfId="0" applyFont="1">
      <alignment vertical="center"/>
    </xf>
    <xf numFmtId="165" fontId="0" fillId="0" borderId="1" xfId="0" applyNumberFormat="1" applyBorder="1">
      <alignment vertical="center"/>
    </xf>
    <xf numFmtId="165" fontId="0" fillId="5" borderId="1" xfId="0" applyNumberFormat="1" applyFill="1" applyBorder="1">
      <alignment vertical="center"/>
    </xf>
    <xf numFmtId="0" fontId="0" fillId="0" borderId="0" xfId="0" quotePrefix="1">
      <alignment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2" borderId="18" xfId="0" applyFont="1" applyFill="1" applyBorder="1">
      <alignment vertical="center"/>
    </xf>
    <xf numFmtId="165" fontId="0" fillId="0" borderId="19" xfId="0" applyNumberFormat="1" applyBorder="1">
      <alignment vertical="center"/>
    </xf>
    <xf numFmtId="165" fontId="0" fillId="5" borderId="19" xfId="0" applyNumberFormat="1" applyFill="1" applyBorder="1">
      <alignment vertical="center"/>
    </xf>
    <xf numFmtId="0" fontId="7" fillId="4" borderId="20" xfId="0" applyFont="1" applyFill="1" applyBorder="1">
      <alignment vertical="center"/>
    </xf>
    <xf numFmtId="0" fontId="4" fillId="2" borderId="20" xfId="0" applyFont="1" applyFill="1" applyBorder="1">
      <alignment vertical="center"/>
    </xf>
    <xf numFmtId="0" fontId="4" fillId="2" borderId="21" xfId="0" applyFont="1" applyFill="1" applyBorder="1">
      <alignment vertical="center"/>
    </xf>
    <xf numFmtId="0" fontId="7" fillId="4" borderId="22" xfId="0" applyFont="1" applyFill="1" applyBorder="1">
      <alignment vertical="center"/>
    </xf>
    <xf numFmtId="0" fontId="7" fillId="4" borderId="23" xfId="0" applyFont="1" applyFill="1" applyBorder="1">
      <alignment vertical="center"/>
    </xf>
    <xf numFmtId="165" fontId="0" fillId="0" borderId="25" xfId="0" applyNumberFormat="1" applyBorder="1">
      <alignment vertical="center"/>
    </xf>
    <xf numFmtId="165" fontId="0" fillId="0" borderId="26" xfId="0" applyNumberFormat="1" applyBorder="1">
      <alignment vertical="center"/>
    </xf>
    <xf numFmtId="0" fontId="4" fillId="2" borderId="3" xfId="0" applyFont="1" applyFill="1" applyBorder="1">
      <alignment vertical="center"/>
    </xf>
    <xf numFmtId="0" fontId="0" fillId="4" borderId="28" xfId="0" applyFill="1" applyBorder="1">
      <alignment vertical="center"/>
    </xf>
    <xf numFmtId="0" fontId="4" fillId="2" borderId="28" xfId="0" applyFont="1" applyFill="1" applyBorder="1">
      <alignment vertical="center"/>
    </xf>
    <xf numFmtId="0" fontId="4" fillId="2" borderId="29" xfId="0" applyFont="1" applyFill="1" applyBorder="1">
      <alignment vertical="center"/>
    </xf>
    <xf numFmtId="0" fontId="0" fillId="4" borderId="30" xfId="0" applyFill="1" applyBorder="1">
      <alignment vertical="center"/>
    </xf>
    <xf numFmtId="0" fontId="0" fillId="4" borderId="31" xfId="0" applyFill="1" applyBorder="1">
      <alignment vertical="center"/>
    </xf>
    <xf numFmtId="0" fontId="5" fillId="3" borderId="15" xfId="0" applyFont="1" applyFill="1" applyBorder="1" applyAlignment="1">
      <alignment horizontal="center" vertical="center"/>
    </xf>
    <xf numFmtId="165" fontId="0" fillId="0" borderId="2" xfId="0" applyNumberFormat="1" applyBorder="1">
      <alignment vertical="center"/>
    </xf>
    <xf numFmtId="165" fontId="0" fillId="5" borderId="2" xfId="0" applyNumberFormat="1" applyFill="1" applyBorder="1">
      <alignment vertical="center"/>
    </xf>
    <xf numFmtId="165" fontId="0" fillId="0" borderId="24" xfId="0" applyNumberFormat="1" applyBorder="1">
      <alignment vertical="center"/>
    </xf>
    <xf numFmtId="0" fontId="5" fillId="3" borderId="32" xfId="0" applyFont="1" applyFill="1" applyBorder="1" applyAlignment="1">
      <alignment horizontal="center" vertical="center"/>
    </xf>
    <xf numFmtId="165" fontId="0" fillId="0" borderId="33" xfId="0" applyNumberFormat="1" applyBorder="1">
      <alignment vertical="center"/>
    </xf>
    <xf numFmtId="165" fontId="0" fillId="5" borderId="33" xfId="0" applyNumberFormat="1" applyFill="1" applyBorder="1">
      <alignment vertical="center"/>
    </xf>
    <xf numFmtId="165" fontId="0" fillId="8" borderId="33" xfId="0" applyNumberFormat="1" applyFill="1" applyBorder="1">
      <alignment vertical="center"/>
    </xf>
    <xf numFmtId="165" fontId="0" fillId="9" borderId="33" xfId="0" applyNumberFormat="1" applyFill="1" applyBorder="1">
      <alignment vertical="center"/>
    </xf>
    <xf numFmtId="165" fontId="0" fillId="9" borderId="34" xfId="0" applyNumberFormat="1" applyFill="1" applyBorder="1">
      <alignment vertical="center"/>
    </xf>
    <xf numFmtId="14" fontId="2" fillId="10" borderId="0" xfId="0" applyNumberFormat="1" applyFont="1" applyFill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14" fontId="0" fillId="7" borderId="35" xfId="0" applyNumberFormat="1" applyFill="1" applyBorder="1" applyAlignment="1">
      <alignment horizontal="center" vertical="center"/>
    </xf>
    <xf numFmtId="166" fontId="6" fillId="0" borderId="36" xfId="0" applyNumberFormat="1" applyFont="1" applyBorder="1">
      <alignment vertical="center"/>
    </xf>
    <xf numFmtId="166" fontId="6" fillId="0" borderId="37" xfId="0" applyNumberFormat="1" applyFont="1" applyBorder="1">
      <alignment vertical="center"/>
    </xf>
    <xf numFmtId="166" fontId="6" fillId="0" borderId="38" xfId="0" applyNumberFormat="1" applyFont="1" applyBorder="1">
      <alignment vertical="center"/>
    </xf>
    <xf numFmtId="166" fontId="6" fillId="0" borderId="39" xfId="0" applyNumberFormat="1" applyFont="1" applyBorder="1">
      <alignment vertical="center"/>
    </xf>
    <xf numFmtId="166" fontId="6" fillId="0" borderId="40" xfId="0" applyNumberFormat="1" applyFont="1" applyBorder="1">
      <alignment vertical="center"/>
    </xf>
    <xf numFmtId="166" fontId="6" fillId="0" borderId="41" xfId="0" applyNumberFormat="1" applyFont="1" applyBorder="1">
      <alignment vertical="center"/>
    </xf>
    <xf numFmtId="14" fontId="6" fillId="0" borderId="42" xfId="0" applyNumberFormat="1" applyFont="1" applyBorder="1" applyAlignment="1">
      <alignment horizontal="center" vertical="center"/>
    </xf>
    <xf numFmtId="14" fontId="6" fillId="0" borderId="43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166" fontId="3" fillId="0" borderId="45" xfId="0" applyNumberFormat="1" applyFont="1" applyBorder="1">
      <alignment vertical="center"/>
    </xf>
    <xf numFmtId="166" fontId="3" fillId="0" borderId="46" xfId="0" applyNumberFormat="1" applyFont="1" applyBorder="1">
      <alignment vertical="center"/>
    </xf>
    <xf numFmtId="166" fontId="3" fillId="0" borderId="47" xfId="0" applyNumberFormat="1" applyFont="1" applyBorder="1">
      <alignment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48" xfId="0" applyFont="1" applyFill="1" applyBorder="1" applyAlignment="1">
      <alignment horizontal="center" vertical="center"/>
    </xf>
    <xf numFmtId="0" fontId="5" fillId="6" borderId="49" xfId="0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F577E5A0-90DE-4B3B-97C0-94FD82F8B22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P</stp>
        <stp>0</stp>
        <stp>OPT</stp>
        <stp>30500000</stp>
        <stp>연기금순매수수량</stp>
        <stp>45342</stp>
        <stp/>
        <tr r="AI59" s="1"/>
      </tp>
      <tp>
        <v>0</v>
        <stp/>
        <stp>P</stp>
        <stp>0</stp>
        <stp>OPT</stp>
        <stp>20500000</stp>
        <stp>연기금순매수수량</stp>
        <stp>45342</stp>
        <stp/>
        <tr r="AI58" s="1"/>
      </tp>
      <tp>
        <v>0</v>
        <stp/>
        <stp>P</stp>
        <stp>0</stp>
        <stp>OPT</stp>
        <stp>30100000</stp>
        <stp>연기금순매수수량</stp>
        <stp>45342</stp>
        <stp/>
        <tr r="AI57" s="1"/>
      </tp>
      <tp>
        <v>0</v>
        <stp/>
        <stp>P</stp>
        <stp>0</stp>
        <stp>OPT</stp>
        <stp>20100000</stp>
        <stp>연기금순매수수량</stp>
        <stp>45342</stp>
        <stp/>
        <tr r="AI56" s="1"/>
      </tp>
      <tp>
        <v>-1824</v>
        <stp/>
        <stp>P</stp>
        <stp>0</stp>
        <stp>IDX</stp>
        <stp>801</stp>
        <stp>사모펀드순매수수량</stp>
        <stp>45342</stp>
        <stp/>
        <tr r="AF11" s="1"/>
      </tp>
      <tp>
        <v>-72</v>
        <stp/>
        <stp>P</stp>
        <stp>0</stp>
        <stp>IDX</stp>
        <stp>001</stp>
        <stp>사모펀드순매수수량</stp>
        <stp>45342</stp>
        <stp/>
        <tr r="AF10" s="1"/>
      </tp>
      <tp>
        <v>0</v>
        <stp/>
        <stp>H</stp>
        <stp>x1.QHnm</stp>
        <stp>8</stp>
        <stp>333716</stp>
        <tr r="U15" s="2"/>
      </tp>
      <tp>
        <v>0</v>
        <stp/>
        <stp>P</stp>
        <stp>0</stp>
        <stp>IR</stp>
        <stp>BNDINV0002</stp>
        <stp>보험 순매수거래량</stp>
        <stp>45342</stp>
        <stp/>
        <tr r="AD14" s="1"/>
      </tp>
      <tp>
        <v>21000000</v>
        <stp/>
        <stp>P</stp>
        <stp>0</stp>
        <stp>IR</stp>
        <stp>BNDINV0003</stp>
        <stp>보험 순매수거래량</stp>
        <stp>45342</stp>
        <stp/>
        <tr r="AD15" s="1"/>
      </tp>
      <tp>
        <v>4700000</v>
        <stp/>
        <stp>P</stp>
        <stp>0</stp>
        <stp>IR</stp>
        <stp>BNDINV0000</stp>
        <stp>보험 순매수거래량</stp>
        <stp>45342</stp>
        <stp/>
        <tr r="AD12" s="1"/>
      </tp>
      <tp>
        <v>-6300000</v>
        <stp/>
        <stp>P</stp>
        <stp>0</stp>
        <stp>IR</stp>
        <stp>BNDINV0001</stp>
        <stp>보험 순매수거래량</stp>
        <stp>45342</stp>
        <stp/>
        <tr r="AD13" s="1"/>
      </tp>
      <tp>
        <v>-20000000</v>
        <stp/>
        <stp>P</stp>
        <stp>0</stp>
        <stp>IR</stp>
        <stp>BNDINV0006</stp>
        <stp>보험 순매수거래량</stp>
        <stp>45342</stp>
        <stp/>
        <tr r="AD18" s="1"/>
      </tp>
      <tp>
        <v>0</v>
        <stp/>
        <stp>P</stp>
        <stp>0</stp>
        <stp>IR</stp>
        <stp>BNDINV0004</stp>
        <stp>보험 순매수거래량</stp>
        <stp>45342</stp>
        <stp/>
        <tr r="AD16" s="1"/>
      </tp>
      <tp>
        <v>10000000</v>
        <stp/>
        <stp>P</stp>
        <stp>0</stp>
        <stp>IR</stp>
        <stp>BNDINV0005</stp>
        <stp>보험 순매수거래량</stp>
        <stp>45342</stp>
        <stp/>
        <tr r="AD17" s="1"/>
      </tp>
      <tp t="s">
        <v/>
        <stp/>
        <stp>P</stp>
        <stp>0</stp>
        <stp>FUT</stp>
        <stp>C09</stp>
        <stp>사모펀드순매수수량</stp>
        <stp>45342</stp>
        <stp/>
        <tr r="AF30" s="1"/>
      </tp>
      <tp t="s">
        <v/>
        <stp/>
        <stp>P</stp>
        <stp>0</stp>
        <stp>FUT</stp>
        <stp>C08</stp>
        <stp>사모펀드순매수수량</stp>
        <stp>45342</stp>
        <stp/>
        <tr r="AF29" s="1"/>
      </tp>
      <tp t="s">
        <v/>
        <stp/>
        <stp>P</stp>
        <stp>0</stp>
        <stp>FUT</stp>
        <stp>C07</stp>
        <stp>사모펀드순매수수량</stp>
        <stp>45342</stp>
        <stp/>
        <tr r="AF33" s="1"/>
      </tp>
      <tp t="s">
        <v/>
        <stp/>
        <stp>P</stp>
        <stp>0</stp>
        <stp>FUT</stp>
        <stp>C06</stp>
        <stp>사모펀드순매수수량</stp>
        <stp>45342</stp>
        <stp/>
        <tr r="AF28" s="1"/>
      </tp>
      <tp t="s">
        <v/>
        <stp/>
        <stp>P</stp>
        <stp>0</stp>
        <stp>FUT</stp>
        <stp>C05</stp>
        <stp>사모펀드순매수수량</stp>
        <stp>45342</stp>
        <stp/>
        <tr r="AF27" s="1"/>
      </tp>
      <tp t="s">
        <v/>
        <stp/>
        <stp>P</stp>
        <stp>0</stp>
        <stp>FUT</stp>
        <stp>C01</stp>
        <stp>사모펀드순매수수량</stp>
        <stp>45342</stp>
        <stp/>
        <tr r="AF26" s="1"/>
      </tp>
      <tp t="s">
        <v/>
        <stp/>
        <stp>P</stp>
        <stp>0</stp>
        <stp>FUT</stp>
        <stp>C69</stp>
        <stp>사모펀드순매수수량</stp>
        <stp>45342</stp>
        <stp/>
        <tr r="AF24" s="1"/>
      </tp>
      <tp t="s">
        <v/>
        <stp/>
        <stp>P</stp>
        <stp>0</stp>
        <stp>FUT</stp>
        <stp>C67</stp>
        <stp>사모펀드순매수수량</stp>
        <stp>45342</stp>
        <stp/>
        <tr r="AF22" s="1"/>
      </tp>
      <tp t="s">
        <v/>
        <stp/>
        <stp>P</stp>
        <stp>0</stp>
        <stp>FUT</stp>
        <stp>C66</stp>
        <stp>사모펀드순매수수량</stp>
        <stp>45342</stp>
        <stp/>
        <tr r="AF21" s="1"/>
      </tp>
      <tp t="s">
        <v/>
        <stp/>
        <stp>P</stp>
        <stp>0</stp>
        <stp>FUT</stp>
        <stp>C65</stp>
        <stp>사모펀드순매수수량</stp>
        <stp>45342</stp>
        <stp/>
        <tr r="AF20" s="1"/>
      </tp>
      <tp t="s">
        <v/>
        <stp/>
        <stp>P</stp>
        <stp>0</stp>
        <stp>FUT</stp>
        <stp>C78</stp>
        <stp>사모펀드순매수수량</stp>
        <stp>45342</stp>
        <stp/>
        <tr r="AF38" s="1"/>
      </tp>
      <tp t="s">
        <v/>
        <stp/>
        <stp>P</stp>
        <stp>0</stp>
        <stp>FUT</stp>
        <stp>C77</stp>
        <stp>사모펀드순매수수량</stp>
        <stp>45342</stp>
        <stp/>
        <tr r="AF37" s="1"/>
      </tp>
      <tp t="s">
        <v/>
        <stp/>
        <stp>P</stp>
        <stp>0</stp>
        <stp>FUT</stp>
        <stp>C76</stp>
        <stp>사모펀드순매수수량</stp>
        <stp>45342</stp>
        <stp/>
        <tr r="AF36" s="1"/>
      </tp>
      <tp t="s">
        <v/>
        <stp/>
        <stp>P</stp>
        <stp>0</stp>
        <stp>FUT</stp>
        <stp>C75</stp>
        <stp>사모펀드순매수수량</stp>
        <stp>45342</stp>
        <stp/>
        <tr r="AF35" s="1"/>
      </tp>
      <tp t="s">
        <v/>
        <stp/>
        <stp>P</stp>
        <stp>0</stp>
        <stp>FUT</stp>
        <stp>C70</stp>
        <stp>사모펀드순매수수량</stp>
        <stp>45342</stp>
        <stp/>
        <tr r="AF23" s="1"/>
      </tp>
      <tp t="s">
        <v/>
        <stp/>
        <stp>P</stp>
        <stp>0</stp>
        <stp>FUT</stp>
        <stp>C88</stp>
        <stp>사모펀드순매수수량</stp>
        <stp>45342</stp>
        <stp/>
        <tr r="AF54" s="1"/>
      </tp>
      <tp>
        <v>0</v>
        <stp/>
        <stp>P</stp>
        <stp>0</stp>
        <stp>OPT</stp>
        <stp>20500000</stp>
        <stp>종신금순매수수량</stp>
        <stp>45342</stp>
        <stp/>
        <tr r="AH58" s="1"/>
      </tp>
      <tp>
        <v>0</v>
        <stp/>
        <stp>P</stp>
        <stp>0</stp>
        <stp>OPT</stp>
        <stp>30500000</stp>
        <stp>종신금순매수수량</stp>
        <stp>45342</stp>
        <stp/>
        <tr r="AH59" s="1"/>
      </tp>
      <tp>
        <v>43</v>
        <stp/>
        <stp>P</stp>
        <stp>0</stp>
        <stp>OPT</stp>
        <stp>20100000</stp>
        <stp>종신금순매수수량</stp>
        <stp>45342</stp>
        <stp/>
        <tr r="AH56" s="1"/>
      </tp>
      <tp>
        <v>-6</v>
        <stp/>
        <stp>P</stp>
        <stp>0</stp>
        <stp>OPT</stp>
        <stp>30100000</stp>
        <stp>종신금순매수수량</stp>
        <stp>45342</stp>
        <stp/>
        <tr r="AH57" s="1"/>
      </tp>
      <tp t="s">
        <v/>
        <stp/>
        <stp>P</stp>
        <stp>0</stp>
        <stp>FUT</stp>
        <stp>C99</stp>
        <stp>사모펀드순매수수량</stp>
        <stp>45342</stp>
        <stp/>
        <tr r="AF39" s="1"/>
      </tp>
      <tp>
        <v>-316570000</v>
        <stp/>
        <stp>P</stp>
        <stp>0</stp>
        <stp>IR</stp>
        <stp>BNDINV0000</stp>
        <stp>증권사 순매수거래량</stp>
        <stp>45342</stp>
        <stp/>
        <tr r="AC12" s="1"/>
      </tp>
      <tp>
        <v>-55250000</v>
        <stp/>
        <stp>P</stp>
        <stp>0</stp>
        <stp>IR</stp>
        <stp>BNDINV0001</stp>
        <stp>증권사 순매수거래량</stp>
        <stp>45342</stp>
        <stp/>
        <tr r="AC13" s="1"/>
      </tp>
      <tp>
        <v>0</v>
        <stp/>
        <stp>P</stp>
        <stp>0</stp>
        <stp>IR</stp>
        <stp>BNDINV0002</stp>
        <stp>증권사 순매수거래량</stp>
        <stp>45342</stp>
        <stp/>
        <tr r="AC14" s="1"/>
      </tp>
      <tp>
        <v>-10000000</v>
        <stp/>
        <stp>P</stp>
        <stp>0</stp>
        <stp>IR</stp>
        <stp>BNDINV0003</stp>
        <stp>증권사 순매수거래량</stp>
        <stp>45342</stp>
        <stp/>
        <tr r="AC15" s="1"/>
      </tp>
      <tp>
        <v>0</v>
        <stp/>
        <stp>P</stp>
        <stp>0</stp>
        <stp>FUT</stp>
        <stp>C88</stp>
        <stp>연기금순매수수량</stp>
        <stp>45342</stp>
        <stp/>
        <tr r="AI54" s="1"/>
      </tp>
      <tp>
        <v>-5754</v>
        <stp/>
        <stp>P</stp>
        <stp>0</stp>
        <stp>FUT</stp>
        <stp>C99</stp>
        <stp>연기금순매수수량</stp>
        <stp>45342</stp>
        <stp/>
        <tr r="AI39" s="1"/>
      </tp>
      <tp>
        <v>190</v>
        <stp/>
        <stp>P</stp>
        <stp>0</stp>
        <stp>FUT</stp>
        <stp>C67</stp>
        <stp>연기금순매수수량</stp>
        <stp>45342</stp>
        <stp/>
        <tr r="AI22" s="1"/>
      </tp>
      <tp>
        <v>0</v>
        <stp/>
        <stp>P</stp>
        <stp>0</stp>
        <stp>FUT</stp>
        <stp>C66</stp>
        <stp>연기금순매수수량</stp>
        <stp>45342</stp>
        <stp/>
        <tr r="AI21" s="1"/>
      </tp>
      <tp>
        <v>65</v>
        <stp/>
        <stp>P</stp>
        <stp>0</stp>
        <stp>FUT</stp>
        <stp>C65</stp>
        <stp>연기금순매수수량</stp>
        <stp>45342</stp>
        <stp/>
        <tr r="AI20" s="1"/>
      </tp>
      <tp>
        <v>0</v>
        <stp/>
        <stp>P</stp>
        <stp>0</stp>
        <stp>FUT</stp>
        <stp>C69</stp>
        <stp>연기금순매수수량</stp>
        <stp>45342</stp>
        <stp/>
        <tr r="AI24" s="1"/>
      </tp>
      <tp>
        <v>0</v>
        <stp/>
        <stp>P</stp>
        <stp>0</stp>
        <stp>FUT</stp>
        <stp>C77</stp>
        <stp>연기금순매수수량</stp>
        <stp>45342</stp>
        <stp/>
        <tr r="AI37" s="1"/>
      </tp>
      <tp>
        <v>0</v>
        <stp/>
        <stp>P</stp>
        <stp>0</stp>
        <stp>FUT</stp>
        <stp>C76</stp>
        <stp>연기금순매수수량</stp>
        <stp>45342</stp>
        <stp/>
        <tr r="AI36" s="1"/>
      </tp>
      <tp>
        <v>0</v>
        <stp/>
        <stp>P</stp>
        <stp>0</stp>
        <stp>FUT</stp>
        <stp>C75</stp>
        <stp>연기금순매수수량</stp>
        <stp>45342</stp>
        <stp/>
        <tr r="AI35" s="1"/>
      </tp>
      <tp>
        <v>0</v>
        <stp/>
        <stp>P</stp>
        <stp>0</stp>
        <stp>FUT</stp>
        <stp>C70</stp>
        <stp>연기금순매수수량</stp>
        <stp>45342</stp>
        <stp/>
        <tr r="AI23" s="1"/>
      </tp>
      <tp>
        <v>0</v>
        <stp/>
        <stp>P</stp>
        <stp>0</stp>
        <stp>FUT</stp>
        <stp>C78</stp>
        <stp>연기금순매수수량</stp>
        <stp>45342</stp>
        <stp/>
        <tr r="AI38" s="1"/>
      </tp>
      <tp>
        <v>0</v>
        <stp/>
        <stp>P</stp>
        <stp>0</stp>
        <stp>FUT</stp>
        <stp>C07</stp>
        <stp>연기금순매수수량</stp>
        <stp>45342</stp>
        <stp/>
        <tr r="AI33" s="1"/>
      </tp>
      <tp>
        <v>40</v>
        <stp/>
        <stp>P</stp>
        <stp>0</stp>
        <stp>FUT</stp>
        <stp>C06</stp>
        <stp>연기금순매수수량</stp>
        <stp>45342</stp>
        <stp/>
        <tr r="AI28" s="1"/>
      </tp>
      <tp>
        <v>0</v>
        <stp/>
        <stp>P</stp>
        <stp>0</stp>
        <stp>FUT</stp>
        <stp>C05</stp>
        <stp>연기금순매수수량</stp>
        <stp>45342</stp>
        <stp/>
        <tr r="AI27" s="1"/>
      </tp>
      <tp>
        <v>74</v>
        <stp/>
        <stp>P</stp>
        <stp>0</stp>
        <stp>FUT</stp>
        <stp>C01</stp>
        <stp>연기금순매수수량</stp>
        <stp>45342</stp>
        <stp/>
        <tr r="AI26" s="1"/>
      </tp>
      <tp>
        <v>0</v>
        <stp/>
        <stp>P</stp>
        <stp>0</stp>
        <stp>FUT</stp>
        <stp>C09</stp>
        <stp>연기금순매수수량</stp>
        <stp>45342</stp>
        <stp/>
        <tr r="AI30" s="1"/>
      </tp>
      <tp>
        <v>0</v>
        <stp/>
        <stp>P</stp>
        <stp>0</stp>
        <stp>FUT</stp>
        <stp>C08</stp>
        <stp>연기금순매수수량</stp>
        <stp>45342</stp>
        <stp/>
        <tr r="AI29" s="1"/>
      </tp>
      <tp>
        <v>0</v>
        <stp/>
        <stp>P</stp>
        <stp>0</stp>
        <stp>FUT</stp>
        <stp>CAE</stp>
        <stp>연기금순매수수량</stp>
        <stp>45342</stp>
        <stp/>
        <tr r="AI53" s="1"/>
      </tp>
      <tp>
        <v>0</v>
        <stp/>
        <stp>P</stp>
        <stp>0</stp>
        <stp>FUT</stp>
        <stp>CAD</stp>
        <stp>연기금순매수수량</stp>
        <stp>45342</stp>
        <stp/>
        <tr r="AI51" s="1"/>
      </tp>
      <tp>
        <v>0</v>
        <stp/>
        <stp>P</stp>
        <stp>0</stp>
        <stp>FUT</stp>
        <stp>CAC</stp>
        <stp>연기금순매수수량</stp>
        <stp>45342</stp>
        <stp/>
        <tr r="AI52" s="1"/>
      </tp>
      <tp>
        <v>0</v>
        <stp/>
        <stp>P</stp>
        <stp>0</stp>
        <stp>FUT</stp>
        <stp>CAB</stp>
        <stp>연기금순매수수량</stp>
        <stp>45342</stp>
        <stp/>
        <tr r="AI43" s="1"/>
      </tp>
      <tp>
        <v>0</v>
        <stp/>
        <stp>P</stp>
        <stp>0</stp>
        <stp>FUT</stp>
        <stp>CAA</stp>
        <stp>연기금순매수수량</stp>
        <stp>45342</stp>
        <stp/>
        <tr r="AI44" s="1"/>
      </tp>
      <tp>
        <v>0</v>
        <stp/>
        <stp>P</stp>
        <stp>0</stp>
        <stp>FUT</stp>
        <stp>CA7</stp>
        <stp>연기금순매수수량</stp>
        <stp>45342</stp>
        <stp/>
        <tr r="AI48" s="1"/>
      </tp>
      <tp>
        <v>0</v>
        <stp/>
        <stp>P</stp>
        <stp>0</stp>
        <stp>FUT</stp>
        <stp>CA6</stp>
        <stp>연기금순매수수량</stp>
        <stp>45342</stp>
        <stp/>
        <tr r="AI41" s="1"/>
      </tp>
      <tp>
        <v>0</v>
        <stp/>
        <stp>P</stp>
        <stp>0</stp>
        <stp>FUT</stp>
        <stp>CA5</stp>
        <stp>연기금순매수수량</stp>
        <stp>45342</stp>
        <stp/>
        <tr r="AI32" s="1"/>
      </tp>
      <tp>
        <v>0</v>
        <stp/>
        <stp>P</stp>
        <stp>0</stp>
        <stp>FUT</stp>
        <stp>CA4</stp>
        <stp>연기금순매수수량</stp>
        <stp>45342</stp>
        <stp/>
        <tr r="AI31" s="1"/>
      </tp>
      <tp>
        <v>0</v>
        <stp/>
        <stp>P</stp>
        <stp>0</stp>
        <stp>FUT</stp>
        <stp>CA3</stp>
        <stp>연기금순매수수량</stp>
        <stp>45342</stp>
        <stp/>
        <tr r="AI46" s="1"/>
      </tp>
      <tp>
        <v>0</v>
        <stp/>
        <stp>P</stp>
        <stp>0</stp>
        <stp>FUT</stp>
        <stp>CA2</stp>
        <stp>연기금순매수수량</stp>
        <stp>45342</stp>
        <stp/>
        <tr r="AI42" s="1"/>
      </tp>
      <tp>
        <v>0</v>
        <stp/>
        <stp>P</stp>
        <stp>0</stp>
        <stp>FUT</stp>
        <stp>CA1</stp>
        <stp>연기금순매수수량</stp>
        <stp>45342</stp>
        <stp/>
        <tr r="AI47" s="1"/>
      </tp>
      <tp>
        <v>0</v>
        <stp/>
        <stp>P</stp>
        <stp>0</stp>
        <stp>FUT</stp>
        <stp>CA0</stp>
        <stp>연기금순매수수량</stp>
        <stp>45342</stp>
        <stp/>
        <tr r="AI45" s="1"/>
      </tp>
      <tp>
        <v>0</v>
        <stp/>
        <stp>P</stp>
        <stp>0</stp>
        <stp>FUT</stp>
        <stp>CA9</stp>
        <stp>연기금순매수수량</stp>
        <stp>45342</stp>
        <stp/>
        <tr r="AI49" s="1"/>
      </tp>
      <tp>
        <v>0</v>
        <stp/>
        <stp>P</stp>
        <stp>0</stp>
        <stp>FUT</stp>
        <stp>CA8</stp>
        <stp>연기금순매수수량</stp>
        <stp>45342</stp>
        <stp/>
        <tr r="AI50" s="1"/>
      </tp>
      <tp>
        <v>-130000000</v>
        <stp/>
        <stp>P</stp>
        <stp>0</stp>
        <stp>IR</stp>
        <stp>BNDINV0004</stp>
        <stp>증권사 순매수거래량</stp>
        <stp>45342</stp>
        <stp/>
        <tr r="AC16" s="1"/>
      </tp>
      <tp>
        <v>-96520000</v>
        <stp/>
        <stp>P</stp>
        <stp>0</stp>
        <stp>IR</stp>
        <stp>BNDINV0005</stp>
        <stp>증권사 순매수거래량</stp>
        <stp>45342</stp>
        <stp/>
        <tr r="AC17" s="1"/>
      </tp>
      <tp>
        <v>-24800000</v>
        <stp/>
        <stp>P</stp>
        <stp>0</stp>
        <stp>IR</stp>
        <stp>BNDINV0006</stp>
        <stp>증권사 순매수거래량</stp>
        <stp>45342</stp>
        <stp/>
        <tr r="AC18" s="1"/>
      </tp>
      <tp>
        <v>0</v>
        <stp/>
        <stp>P</stp>
        <stp>0</stp>
        <stp>IDX</stp>
        <stp>ETN</stp>
        <stp>연기금순매수수량</stp>
        <stp>45342</stp>
        <stp/>
        <tr r="AI63" s="1"/>
      </tp>
      <tp>
        <v>-2890</v>
        <stp/>
        <stp>P</stp>
        <stp>0</stp>
        <stp>IDX</stp>
        <stp>ETF</stp>
        <stp>연기금순매수수량</stp>
        <stp>45342</stp>
        <stp/>
        <tr r="AI62" s="1"/>
      </tp>
      <tp>
        <v>0</v>
        <stp/>
        <stp>P</stp>
        <stp>0</stp>
        <stp>IDX</stp>
        <stp>ELW</stp>
        <stp>연기금순매수수량</stp>
        <stp>45342</stp>
        <stp/>
        <tr r="AI61" s="1"/>
      </tp>
      <tp>
        <v>0</v>
        <stp/>
        <stp>P</stp>
        <stp>0</stp>
        <stp>IDX</stp>
        <stp>ELW</stp>
        <stp>종신금순매수수량</stp>
        <stp>45342</stp>
        <stp/>
        <tr r="AH61" s="1"/>
      </tp>
      <tp>
        <v>0</v>
        <stp/>
        <stp>P</stp>
        <stp>0</stp>
        <stp>IDX</stp>
        <stp>ETN</stp>
        <stp>종신금순매수수량</stp>
        <stp>45342</stp>
        <stp/>
        <tr r="AH63" s="1"/>
      </tp>
      <tp>
        <v>18</v>
        <stp/>
        <stp>P</stp>
        <stp>0</stp>
        <stp>IDX</stp>
        <stp>ETF</stp>
        <stp>종신금순매수수량</stp>
        <stp>45342</stp>
        <stp/>
        <tr r="AH62" s="1"/>
      </tp>
      <tp>
        <v>0</v>
        <stp/>
        <stp>P</stp>
        <stp>0</stp>
        <stp>IR</stp>
        <stp>BNDINV0002</stp>
        <stp>투신 순매수거래량</stp>
        <stp>45342</stp>
        <stp/>
        <tr r="AE14" s="1"/>
      </tp>
      <tp>
        <v>145000000</v>
        <stp/>
        <stp>P</stp>
        <stp>0</stp>
        <stp>IR</stp>
        <stp>BNDINV0003</stp>
        <stp>투신 순매수거래량</stp>
        <stp>45342</stp>
        <stp/>
        <tr r="AE15" s="1"/>
      </tp>
      <tp>
        <v>268000000</v>
        <stp/>
        <stp>P</stp>
        <stp>0</stp>
        <stp>IR</stp>
        <stp>BNDINV0000</stp>
        <stp>투신 순매수거래량</stp>
        <stp>45342</stp>
        <stp/>
        <tr r="AE12" s="1"/>
      </tp>
      <tp>
        <v>-21500000</v>
        <stp/>
        <stp>P</stp>
        <stp>0</stp>
        <stp>IR</stp>
        <stp>BNDINV0001</stp>
        <stp>투신 순매수거래량</stp>
        <stp>45342</stp>
        <stp/>
        <tr r="AE13" s="1"/>
      </tp>
      <tp>
        <v>50000000</v>
        <stp/>
        <stp>P</stp>
        <stp>0</stp>
        <stp>IR</stp>
        <stp>BNDINV0006</stp>
        <stp>투신 순매수거래량</stp>
        <stp>45342</stp>
        <stp/>
        <tr r="AE18" s="1"/>
      </tp>
      <tp>
        <v>-30000000</v>
        <stp/>
        <stp>P</stp>
        <stp>0</stp>
        <stp>IR</stp>
        <stp>BNDINV0004</stp>
        <stp>투신 순매수거래량</stp>
        <stp>45342</stp>
        <stp/>
        <tr r="AE16" s="1"/>
      </tp>
      <tp>
        <v>124500000</v>
        <stp/>
        <stp>P</stp>
        <stp>0</stp>
        <stp>IR</stp>
        <stp>BNDINV0005</stp>
        <stp>투신 순매수거래량</stp>
        <stp>45342</stp>
        <stp/>
        <tr r="AE17" s="1"/>
      </tp>
      <tp>
        <v>0</v>
        <stp/>
        <stp>P</stp>
        <stp>0</stp>
        <stp>FUT</stp>
        <stp>CAE</stp>
        <stp>종신금순매수수량</stp>
        <stp>45342</stp>
        <stp/>
        <tr r="AH53" s="1"/>
      </tp>
      <tp>
        <v>0</v>
        <stp/>
        <stp>P</stp>
        <stp>0</stp>
        <stp>FUT</stp>
        <stp>CAD</stp>
        <stp>종신금순매수수량</stp>
        <stp>45342</stp>
        <stp/>
        <tr r="AH51" s="1"/>
      </tp>
      <tp>
        <v>0</v>
        <stp/>
        <stp>P</stp>
        <stp>0</stp>
        <stp>FUT</stp>
        <stp>CAC</stp>
        <stp>종신금순매수수량</stp>
        <stp>45342</stp>
        <stp/>
        <tr r="AH52" s="1"/>
      </tp>
      <tp>
        <v>0</v>
        <stp/>
        <stp>P</stp>
        <stp>0</stp>
        <stp>FUT</stp>
        <stp>CAB</stp>
        <stp>종신금순매수수량</stp>
        <stp>45342</stp>
        <stp/>
        <tr r="AH43" s="1"/>
      </tp>
      <tp>
        <v>0</v>
        <stp/>
        <stp>P</stp>
        <stp>0</stp>
        <stp>FUT</stp>
        <stp>CAA</stp>
        <stp>종신금순매수수량</stp>
        <stp>45342</stp>
        <stp/>
        <tr r="AH44" s="1"/>
      </tp>
      <tp>
        <v>0</v>
        <stp/>
        <stp>P</stp>
        <stp>0</stp>
        <stp>FUT</stp>
        <stp>CA7</stp>
        <stp>종신금순매수수량</stp>
        <stp>45342</stp>
        <stp/>
        <tr r="AH48" s="1"/>
      </tp>
      <tp>
        <v>0</v>
        <stp/>
        <stp>P</stp>
        <stp>0</stp>
        <stp>FUT</stp>
        <stp>CA6</stp>
        <stp>종신금순매수수량</stp>
        <stp>45342</stp>
        <stp/>
        <tr r="AH41" s="1"/>
      </tp>
      <tp>
        <v>0</v>
        <stp/>
        <stp>P</stp>
        <stp>0</stp>
        <stp>FUT</stp>
        <stp>CA5</stp>
        <stp>종신금순매수수량</stp>
        <stp>45342</stp>
        <stp/>
        <tr r="AH32" s="1"/>
      </tp>
      <tp>
        <v>0</v>
        <stp/>
        <stp>P</stp>
        <stp>0</stp>
        <stp>FUT</stp>
        <stp>CA4</stp>
        <stp>종신금순매수수량</stp>
        <stp>45342</stp>
        <stp/>
        <tr r="AH31" s="1"/>
      </tp>
      <tp>
        <v>0</v>
        <stp/>
        <stp>P</stp>
        <stp>0</stp>
        <stp>FUT</stp>
        <stp>CA3</stp>
        <stp>종신금순매수수량</stp>
        <stp>45342</stp>
        <stp/>
        <tr r="AH46" s="1"/>
      </tp>
      <tp>
        <v>0</v>
        <stp/>
        <stp>P</stp>
        <stp>0</stp>
        <stp>FUT</stp>
        <stp>CA2</stp>
        <stp>종신금순매수수량</stp>
        <stp>45342</stp>
        <stp/>
        <tr r="AH42" s="1"/>
      </tp>
      <tp>
        <v>0</v>
        <stp/>
        <stp>P</stp>
        <stp>0</stp>
        <stp>FUT</stp>
        <stp>CA1</stp>
        <stp>종신금순매수수량</stp>
        <stp>45342</stp>
        <stp/>
        <tr r="AH47" s="1"/>
      </tp>
      <tp>
        <v>0</v>
        <stp/>
        <stp>P</stp>
        <stp>0</stp>
        <stp>FUT</stp>
        <stp>CA0</stp>
        <stp>종신금순매수수량</stp>
        <stp>45342</stp>
        <stp/>
        <tr r="AH45" s="1"/>
      </tp>
      <tp>
        <v>0</v>
        <stp/>
        <stp>P</stp>
        <stp>0</stp>
        <stp>FUT</stp>
        <stp>CA9</stp>
        <stp>종신금순매수수량</stp>
        <stp>45342</stp>
        <stp/>
        <tr r="AH49" s="1"/>
      </tp>
      <tp>
        <v>0</v>
        <stp/>
        <stp>P</stp>
        <stp>0</stp>
        <stp>FUT</stp>
        <stp>CA8</stp>
        <stp>종신금순매수수량</stp>
        <stp>45342</stp>
        <stp/>
        <tr r="AH50" s="1"/>
      </tp>
      <tp>
        <v>0</v>
        <stp/>
        <stp>P</stp>
        <stp>0</stp>
        <stp>FUT</stp>
        <stp>C88</stp>
        <stp>종신금순매수수량</stp>
        <stp>45342</stp>
        <stp/>
        <tr r="AH54" s="1"/>
      </tp>
      <tp>
        <v>0</v>
        <stp/>
        <stp>P</stp>
        <stp>0</stp>
        <stp>FUT</stp>
        <stp>C99</stp>
        <stp>종신금순매수수량</stp>
        <stp>45342</stp>
        <stp/>
        <tr r="AH39" s="1"/>
      </tp>
      <tp>
        <v>-415</v>
        <stp/>
        <stp>P</stp>
        <stp>0</stp>
        <stp>FUT</stp>
        <stp>C67</stp>
        <stp>종신금순매수수량</stp>
        <stp>45342</stp>
        <stp/>
        <tr r="AH22" s="1"/>
      </tp>
      <tp>
        <v>0</v>
        <stp/>
        <stp>P</stp>
        <stp>0</stp>
        <stp>FUT</stp>
        <stp>C66</stp>
        <stp>종신금순매수수량</stp>
        <stp>45342</stp>
        <stp/>
        <tr r="AH21" s="1"/>
      </tp>
      <tp>
        <v>-320</v>
        <stp/>
        <stp>P</stp>
        <stp>0</stp>
        <stp>FUT</stp>
        <stp>C65</stp>
        <stp>종신금순매수수량</stp>
        <stp>45342</stp>
        <stp/>
        <tr r="AH20" s="1"/>
      </tp>
      <tp>
        <v>0</v>
        <stp/>
        <stp>P</stp>
        <stp>0</stp>
        <stp>FUT</stp>
        <stp>C69</stp>
        <stp>종신금순매수수량</stp>
        <stp>45342</stp>
        <stp/>
        <tr r="AH24" s="1"/>
      </tp>
      <tp>
        <v>0</v>
        <stp/>
        <stp>P</stp>
        <stp>0</stp>
        <stp>FUT</stp>
        <stp>C77</stp>
        <stp>종신금순매수수량</stp>
        <stp>45342</stp>
        <stp/>
        <tr r="AH37" s="1"/>
      </tp>
      <tp>
        <v>0</v>
        <stp/>
        <stp>P</stp>
        <stp>0</stp>
        <stp>FUT</stp>
        <stp>C76</stp>
        <stp>종신금순매수수량</stp>
        <stp>45342</stp>
        <stp/>
        <tr r="AH36" s="1"/>
      </tp>
      <tp>
        <v>-10</v>
        <stp/>
        <stp>P</stp>
        <stp>0</stp>
        <stp>FUT</stp>
        <stp>C75</stp>
        <stp>종신금순매수수량</stp>
        <stp>45342</stp>
        <stp/>
        <tr r="AH35" s="1"/>
      </tp>
      <tp>
        <v>0</v>
        <stp/>
        <stp>P</stp>
        <stp>0</stp>
        <stp>FUT</stp>
        <stp>C70</stp>
        <stp>종신금순매수수량</stp>
        <stp>45342</stp>
        <stp/>
        <tr r="AH23" s="1"/>
      </tp>
      <tp>
        <v>0</v>
        <stp/>
        <stp>P</stp>
        <stp>0</stp>
        <stp>FUT</stp>
        <stp>C78</stp>
        <stp>종신금순매수수량</stp>
        <stp>45342</stp>
        <stp/>
        <tr r="AH38" s="1"/>
      </tp>
      <tp>
        <v>0</v>
        <stp/>
        <stp>P</stp>
        <stp>0</stp>
        <stp>FUT</stp>
        <stp>C07</stp>
        <stp>종신금순매수수량</stp>
        <stp>45342</stp>
        <stp/>
        <tr r="AH33" s="1"/>
      </tp>
      <tp>
        <v>0</v>
        <stp/>
        <stp>P</stp>
        <stp>0</stp>
        <stp>FUT</stp>
        <stp>C06</stp>
        <stp>종신금순매수수량</stp>
        <stp>45342</stp>
        <stp/>
        <tr r="AH28" s="1"/>
      </tp>
      <tp>
        <v>0</v>
        <stp/>
        <stp>P</stp>
        <stp>0</stp>
        <stp>FUT</stp>
        <stp>C05</stp>
        <stp>종신금순매수수량</stp>
        <stp>45342</stp>
        <stp/>
        <tr r="AH27" s="1"/>
      </tp>
      <tp>
        <v>-8</v>
        <stp/>
        <stp>P</stp>
        <stp>0</stp>
        <stp>FUT</stp>
        <stp>C01</stp>
        <stp>종신금순매수수량</stp>
        <stp>45342</stp>
        <stp/>
        <tr r="AH26" s="1"/>
      </tp>
      <tp>
        <v>0</v>
        <stp/>
        <stp>P</stp>
        <stp>0</stp>
        <stp>FUT</stp>
        <stp>C09</stp>
        <stp>종신금순매수수량</stp>
        <stp>45342</stp>
        <stp/>
        <tr r="AH30" s="1"/>
      </tp>
      <tp>
        <v>0</v>
        <stp/>
        <stp>P</stp>
        <stp>0</stp>
        <stp>FUT</stp>
        <stp>C08</stp>
        <stp>종신금순매수수량</stp>
        <stp>45342</stp>
        <stp/>
        <tr r="AH29" s="1"/>
      </tp>
      <tp>
        <v>-141</v>
        <stp/>
        <stp>P</stp>
        <stp>0</stp>
        <stp>IDX</stp>
        <stp>001</stp>
        <stp>종신금순매수수량</stp>
        <stp>45342</stp>
        <stp/>
        <tr r="AH10" s="1"/>
      </tp>
      <tp>
        <v>-336</v>
        <stp/>
        <stp>P</stp>
        <stp>0</stp>
        <stp>IDX</stp>
        <stp>801</stp>
        <stp>종신금순매수수량</stp>
        <stp>45342</stp>
        <stp/>
        <tr r="AH11" s="1"/>
      </tp>
      <tp>
        <v>-73</v>
        <stp/>
        <stp>P</stp>
        <stp>0</stp>
        <stp>IDX</stp>
        <stp>801</stp>
        <stp>연기금순매수수량</stp>
        <stp>45342</stp>
        <stp/>
        <tr r="AI11" s="1"/>
      </tp>
      <tp>
        <v>0</v>
        <stp/>
        <stp>P</stp>
        <stp>0</stp>
        <stp>IR</stp>
        <stp>BNDINV0002</stp>
        <stp>정부 순매수거래량</stp>
        <stp>45342</stp>
        <stp/>
        <tr r="AJ14" s="1"/>
      </tp>
      <tp>
        <v>124000000</v>
        <stp/>
        <stp>P</stp>
        <stp>0</stp>
        <stp>IR</stp>
        <stp>BNDINV0003</stp>
        <stp>정부 순매수거래량</stp>
        <stp>45342</stp>
        <stp/>
        <tr r="AJ15" s="1"/>
      </tp>
      <tp>
        <v>134000000</v>
        <stp/>
        <stp>P</stp>
        <stp>0</stp>
        <stp>IR</stp>
        <stp>BNDINV0000</stp>
        <stp>정부 순매수거래량</stp>
        <stp>45342</stp>
        <stp/>
        <tr r="AJ12" s="1"/>
      </tp>
      <tp>
        <v>30000000</v>
        <stp/>
        <stp>P</stp>
        <stp>0</stp>
        <stp>IR</stp>
        <stp>BNDINV0001</stp>
        <stp>정부 순매수거래량</stp>
        <stp>45342</stp>
        <stp/>
        <tr r="AJ13" s="1"/>
      </tp>
      <tp>
        <v>0</v>
        <stp/>
        <stp>P</stp>
        <stp>0</stp>
        <stp>IR</stp>
        <stp>BNDINV0006</stp>
        <stp>정부 순매수거래량</stp>
        <stp>45342</stp>
        <stp/>
        <tr r="AJ18" s="1"/>
      </tp>
      <tp>
        <v>0</v>
        <stp/>
        <stp>P</stp>
        <stp>0</stp>
        <stp>IR</stp>
        <stp>BNDINV0004</stp>
        <stp>정부 순매수거래량</stp>
        <stp>45342</stp>
        <stp/>
        <tr r="AJ16" s="1"/>
      </tp>
      <tp>
        <v>-20000000</v>
        <stp/>
        <stp>P</stp>
        <stp>0</stp>
        <stp>IR</stp>
        <stp>BNDINV0005</stp>
        <stp>정부 순매수거래량</stp>
        <stp>45342</stp>
        <stp/>
        <tr r="AJ17" s="1"/>
      </tp>
      <tp>
        <v>-454</v>
        <stp/>
        <stp>P</stp>
        <stp>0</stp>
        <stp>IDX</stp>
        <stp>001</stp>
        <stp>연기금순매수수량</stp>
        <stp>45342</stp>
        <stp/>
        <tr r="AI10" s="1"/>
      </tp>
      <tp>
        <v>128875</v>
        <stp/>
        <stp>P</stp>
        <stp>0</stp>
        <stp>IR</stp>
        <stp>BNDINV0002</stp>
        <stp>은행 순매수거래량</stp>
        <stp>45342</stp>
        <stp/>
        <tr r="AG14" s="1"/>
      </tp>
      <tp>
        <v>590000000</v>
        <stp/>
        <stp>P</stp>
        <stp>0</stp>
        <stp>IR</stp>
        <stp>BNDINV0003</stp>
        <stp>은행 순매수거래량</stp>
        <stp>45342</stp>
        <stp/>
        <tr r="AG15" s="1"/>
      </tp>
      <tp>
        <v>565768875</v>
        <stp/>
        <stp>P</stp>
        <stp>0</stp>
        <stp>IR</stp>
        <stp>BNDINV0000</stp>
        <stp>은행 순매수거래량</stp>
        <stp>45342</stp>
        <stp/>
        <tr r="AG12" s="1"/>
      </tp>
      <tp>
        <v>-128000000</v>
        <stp/>
        <stp>P</stp>
        <stp>0</stp>
        <stp>IR</stp>
        <stp>BNDINV0001</stp>
        <stp>은행 순매수거래량</stp>
        <stp>45342</stp>
        <stp/>
        <tr r="AG13" s="1"/>
      </tp>
      <tp>
        <v>11140000</v>
        <stp/>
        <stp>P</stp>
        <stp>0</stp>
        <stp>IR</stp>
        <stp>BNDINV0006</stp>
        <stp>은행 순매수거래량</stp>
        <stp>45342</stp>
        <stp/>
        <tr r="AG18" s="1"/>
      </tp>
      <tp>
        <v>-258000000</v>
        <stp/>
        <stp>P</stp>
        <stp>0</stp>
        <stp>IR</stp>
        <stp>BNDINV0004</stp>
        <stp>은행 순매수거래량</stp>
        <stp>45342</stp>
        <stp/>
        <tr r="AG16" s="1"/>
      </tp>
      <tp>
        <v>350500000</v>
        <stp/>
        <stp>P</stp>
        <stp>0</stp>
        <stp>IR</stp>
        <stp>BNDINV0005</stp>
        <stp>은행 순매수거래량</stp>
        <stp>45342</stp>
        <stp/>
        <tr r="AG17" s="1"/>
      </tp>
      <tp t="s">
        <v/>
        <stp/>
        <stp>P</stp>
        <stp>0</stp>
        <stp>FUT</stp>
        <stp>CAE</stp>
        <stp>사모펀드순매수수량</stp>
        <stp>45342</stp>
        <stp/>
        <tr r="AF53" s="1"/>
      </tp>
      <tp t="s">
        <v/>
        <stp/>
        <stp>P</stp>
        <stp>0</stp>
        <stp>FUT</stp>
        <stp>CAD</stp>
        <stp>사모펀드순매수수량</stp>
        <stp>45342</stp>
        <stp/>
        <tr r="AF51" s="1"/>
      </tp>
      <tp t="s">
        <v/>
        <stp/>
        <stp>P</stp>
        <stp>0</stp>
        <stp>FUT</stp>
        <stp>CAC</stp>
        <stp>사모펀드순매수수량</stp>
        <stp>45342</stp>
        <stp/>
        <tr r="AF52" s="1"/>
      </tp>
      <tp t="s">
        <v/>
        <stp/>
        <stp>P</stp>
        <stp>0</stp>
        <stp>FUT</stp>
        <stp>CAB</stp>
        <stp>사모펀드순매수수량</stp>
        <stp>45342</stp>
        <stp/>
        <tr r="AF43" s="1"/>
      </tp>
      <tp t="s">
        <v/>
        <stp/>
        <stp>P</stp>
        <stp>0</stp>
        <stp>FUT</stp>
        <stp>CAA</stp>
        <stp>사모펀드순매수수량</stp>
        <stp>45342</stp>
        <stp/>
        <tr r="AF44" s="1"/>
      </tp>
      <tp t="s">
        <v/>
        <stp/>
        <stp>P</stp>
        <stp>0</stp>
        <stp>FUT</stp>
        <stp>CA9</stp>
        <stp>사모펀드순매수수량</stp>
        <stp>45342</stp>
        <stp/>
        <tr r="AF49" s="1"/>
      </tp>
      <tp t="s">
        <v/>
        <stp/>
        <stp>P</stp>
        <stp>0</stp>
        <stp>FUT</stp>
        <stp>CA8</stp>
        <stp>사모펀드순매수수량</stp>
        <stp>45342</stp>
        <stp/>
        <tr r="AF50" s="1"/>
      </tp>
      <tp t="s">
        <v/>
        <stp/>
        <stp>P</stp>
        <stp>0</stp>
        <stp>FUT</stp>
        <stp>CA7</stp>
        <stp>사모펀드순매수수량</stp>
        <stp>45342</stp>
        <stp/>
        <tr r="AF48" s="1"/>
      </tp>
      <tp t="s">
        <v/>
        <stp/>
        <stp>P</stp>
        <stp>0</stp>
        <stp>FUT</stp>
        <stp>CA6</stp>
        <stp>사모펀드순매수수량</stp>
        <stp>45342</stp>
        <stp/>
        <tr r="AF41" s="1"/>
      </tp>
      <tp t="s">
        <v/>
        <stp/>
        <stp>P</stp>
        <stp>0</stp>
        <stp>FUT</stp>
        <stp>CA5</stp>
        <stp>사모펀드순매수수량</stp>
        <stp>45342</stp>
        <stp/>
        <tr r="AF32" s="1"/>
      </tp>
      <tp t="s">
        <v/>
        <stp/>
        <stp>P</stp>
        <stp>0</stp>
        <stp>FUT</stp>
        <stp>CA4</stp>
        <stp>사모펀드순매수수량</stp>
        <stp>45342</stp>
        <stp/>
        <tr r="AF31" s="1"/>
      </tp>
      <tp t="s">
        <v/>
        <stp/>
        <stp>P</stp>
        <stp>0</stp>
        <stp>FUT</stp>
        <stp>CA3</stp>
        <stp>사모펀드순매수수량</stp>
        <stp>45342</stp>
        <stp/>
        <tr r="AF46" s="1"/>
      </tp>
      <tp t="s">
        <v/>
        <stp/>
        <stp>P</stp>
        <stp>0</stp>
        <stp>FUT</stp>
        <stp>CA2</stp>
        <stp>사모펀드순매수수량</stp>
        <stp>45342</stp>
        <stp/>
        <tr r="AF42" s="1"/>
      </tp>
      <tp t="s">
        <v/>
        <stp/>
        <stp>P</stp>
        <stp>0</stp>
        <stp>FUT</stp>
        <stp>CA1</stp>
        <stp>사모펀드순매수수량</stp>
        <stp>45342</stp>
        <stp/>
        <tr r="AF47" s="1"/>
      </tp>
      <tp t="s">
        <v/>
        <stp/>
        <stp>P</stp>
        <stp>0</stp>
        <stp>FUT</stp>
        <stp>CA0</stp>
        <stp>사모펀드순매수수량</stp>
        <stp>45342</stp>
        <stp/>
        <tr r="AF45" s="1"/>
      </tp>
      <tp>
        <v>526</v>
        <stp/>
        <stp>P</stp>
        <stp>0</stp>
        <stp>IDX</stp>
        <stp>ETF</stp>
        <stp>사모펀드순매수수량</stp>
        <stp>45342</stp>
        <stp/>
        <tr r="AF62" s="1"/>
      </tp>
      <tp>
        <v>43</v>
        <stp/>
        <stp>P</stp>
        <stp>0</stp>
        <stp>IDX</stp>
        <stp>ETN</stp>
        <stp>사모펀드순매수수량</stp>
        <stp>45342</stp>
        <stp/>
        <tr r="AF63" s="1"/>
      </tp>
      <tp>
        <v>-20831318</v>
        <stp/>
        <stp>P</stp>
        <stp>0</stp>
        <stp>IR</stp>
        <stp>BNDINV0006</stp>
        <stp>기타법인 순매수거래량</stp>
        <stp>45342</stp>
        <stp/>
        <tr r="AK18" s="1"/>
      </tp>
      <tp>
        <v>24036720</v>
        <stp/>
        <stp>P</stp>
        <stp>0</stp>
        <stp>IR</stp>
        <stp>BNDINV0005</stp>
        <stp>기타법인 순매수거래량</stp>
        <stp>45342</stp>
        <stp/>
        <tr r="AK17" s="1"/>
      </tp>
      <tp>
        <v>0</v>
        <stp/>
        <stp>P</stp>
        <stp>0</stp>
        <stp>IR</stp>
        <stp>BNDINV0004</stp>
        <stp>기타법인 순매수거래량</stp>
        <stp>45342</stp>
        <stp/>
        <tr r="AK16" s="1"/>
      </tp>
      <tp>
        <v>20660354</v>
        <stp/>
        <stp>P</stp>
        <stp>0</stp>
        <stp>IR</stp>
        <stp>BNDINV0003</stp>
        <stp>기타법인 순매수거래량</stp>
        <stp>45342</stp>
        <stp/>
        <tr r="AK15" s="1"/>
      </tp>
      <tp>
        <v>-2570</v>
        <stp/>
        <stp>P</stp>
        <stp>0</stp>
        <stp>IR</stp>
        <stp>BNDINV0002</stp>
        <stp>기타법인 순매수거래량</stp>
        <stp>45342</stp>
        <stp/>
        <tr r="AK14" s="1"/>
      </tp>
      <tp>
        <v>22262065</v>
        <stp/>
        <stp>P</stp>
        <stp>0</stp>
        <stp>IR</stp>
        <stp>BNDINV0001</stp>
        <stp>기타법인 순매수거래량</stp>
        <stp>45342</stp>
        <stp/>
        <tr r="AK13" s="1"/>
      </tp>
      <tp>
        <v>46125251</v>
        <stp/>
        <stp>P</stp>
        <stp>0</stp>
        <stp>IR</stp>
        <stp>BNDINV0000</stp>
        <stp>기타법인 순매수거래량</stp>
        <stp>45342</stp>
        <stp/>
        <tr r="AK12" s="1"/>
      </tp>
      <tp t="s">
        <v/>
        <stp/>
        <stp>P</stp>
        <stp>0</stp>
        <stp>OPT</stp>
        <stp>20100000</stp>
        <stp>사모펀드순매수수량</stp>
        <stp>45342</stp>
        <stp/>
        <tr r="AF56" s="1"/>
      </tp>
      <tp t="s">
        <v/>
        <stp/>
        <stp>P</stp>
        <stp>0</stp>
        <stp>OPT</stp>
        <stp>30100000</stp>
        <stp>사모펀드순매수수량</stp>
        <stp>45342</stp>
        <stp/>
        <tr r="AF57" s="1"/>
      </tp>
      <tp t="s">
        <v/>
        <stp/>
        <stp>P</stp>
        <stp>0</stp>
        <stp>OPT</stp>
        <stp>20500000</stp>
        <stp>사모펀드순매수수량</stp>
        <stp>45342</stp>
        <stp/>
        <tr r="AF58" s="1"/>
      </tp>
      <tp t="s">
        <v/>
        <stp/>
        <stp>P</stp>
        <stp>0</stp>
        <stp>OPT</stp>
        <stp>30500000</stp>
        <stp>사모펀드순매수수량</stp>
        <stp>45342</stp>
        <stp/>
        <tr r="AF59" s="1"/>
      </tp>
      <tp t="s">
        <v>음식.담배</v>
        <stp/>
        <stp>P</stp>
        <stp>0</stp>
        <stp>IDX</stp>
        <stp>856</stp>
        <stp>한글종목명</stp>
        <stp/>
        <stp/>
        <tr r="CO34" s="2"/>
      </tp>
      <tp t="s">
        <v>통신방송</v>
        <stp/>
        <stp>P</stp>
        <stp>0</stp>
        <stp>IDX</stp>
        <stp>841</stp>
        <stp>한글종목명</stp>
        <stp/>
        <stp/>
        <tr r="CO31" s="2"/>
      </tp>
      <tp t="s">
        <v>IT S/W</v>
        <stp/>
        <stp>P</stp>
        <stp>0</stp>
        <stp>IDX</stp>
        <stp>842</stp>
        <stp>한글종목명</stp>
        <stp/>
        <stp/>
        <tr r="CO32" s="2"/>
      </tp>
      <tp t="s">
        <v>IT H/W</v>
        <stp/>
        <stp>P</stp>
        <stp>0</stp>
        <stp>IDX</stp>
        <stp>843</stp>
        <stp>한글종목명</stp>
        <stp/>
        <stp/>
        <tr r="CO33" s="2"/>
      </tp>
      <tp t="s">
        <v>의료정밀기기</v>
        <stp/>
        <stp>P</stp>
        <stp>0</stp>
        <stp>IDX</stp>
        <stp>874</stp>
        <stp>한글종목명</stp>
        <stp/>
        <stp/>
        <tr r="CO39" s="2"/>
      </tp>
      <tp t="s">
        <v>운송장비부품</v>
        <stp/>
        <stp>P</stp>
        <stp>0</stp>
        <stp>IDX</stp>
        <stp>875</stp>
        <stp>한글종목명</stp>
        <stp/>
        <stp/>
        <tr r="CO40" s="2"/>
      </tp>
      <tp t="s">
        <v>가구</v>
        <stp/>
        <stp>P</stp>
        <stp>0</stp>
        <stp>IDX</stp>
        <stp>877</stp>
        <stp>한글종목명</stp>
        <stp/>
        <stp/>
        <tr r="CO41" s="2"/>
      </tp>
      <tp t="s">
        <v>기계.장비</v>
        <stp/>
        <stp>P</stp>
        <stp>0</stp>
        <stp>IDX</stp>
        <stp>870</stp>
        <stp>한글종목명</stp>
        <stp/>
        <stp/>
        <tr r="CO37" s="2"/>
      </tp>
      <tp t="s">
        <v>일반전기전자</v>
        <stp/>
        <stp>P</stp>
        <stp>0</stp>
        <stp>IDX</stp>
        <stp>872</stp>
        <stp>한글종목명</stp>
        <stp/>
        <stp/>
        <tr r="CO38" s="2"/>
      </tp>
      <tp t="s">
        <v>비금속</v>
        <stp/>
        <stp>P</stp>
        <stp>0</stp>
        <stp>IDX</stp>
        <stp>867</stp>
        <stp>한글종목명</stp>
        <stp/>
        <stp/>
        <tr r="CO35" s="2"/>
      </tp>
      <tp t="s">
        <v>금속</v>
        <stp/>
        <stp>P</stp>
        <stp>0</stp>
        <stp>IDX</stp>
        <stp>868</stp>
        <stp>한글종목명</stp>
        <stp/>
        <stp/>
        <tr r="CO36" s="2"/>
      </tp>
      <tp t="s">
        <v>IT종합</v>
        <stp/>
        <stp>P</stp>
        <stp>0</stp>
        <stp>IDX</stp>
        <stp>815</stp>
        <stp>한글종목명</stp>
        <stp/>
        <stp/>
        <tr r="CO24" s="2"/>
      </tp>
      <tp t="s">
        <v>기타서비스</v>
        <stp/>
        <stp>P</stp>
        <stp>0</stp>
        <stp>IDX</stp>
        <stp>812</stp>
        <stp>한글종목명</stp>
        <stp/>
        <stp/>
        <tr r="CO23" s="2"/>
      </tp>
      <tp t="s">
        <v>중견기업부</v>
        <stp/>
        <stp>P</stp>
        <stp>0</stp>
        <stp>IDX</stp>
        <stp>804</stp>
        <stp>한글종목명</stp>
        <stp/>
        <stp/>
        <tr r="CO21" s="2"/>
      </tp>
      <tp t="s">
        <v>기술성장기업부</v>
        <stp/>
        <stp>P</stp>
        <stp>0</stp>
        <stp>IDX</stp>
        <stp>805</stp>
        <stp>한글종목명</stp>
        <stp/>
        <stp/>
        <tr r="CO22" s="2"/>
      </tp>
      <tp t="s">
        <v>KOSDAQ</v>
        <stp/>
        <stp>P</stp>
        <stp>0</stp>
        <stp>IDX</stp>
        <stp>801</stp>
        <stp>한글종목명</stp>
        <stp/>
        <stp/>
        <tr r="CO18" s="2"/>
      </tp>
      <tp t="s">
        <v>우량기업부</v>
        <stp/>
        <stp>P</stp>
        <stp>0</stp>
        <stp>IDX</stp>
        <stp>802</stp>
        <stp>한글종목명</stp>
        <stp/>
        <stp/>
        <tr r="CO19" s="2"/>
      </tp>
      <tp t="s">
        <v>벤처기업부</v>
        <stp/>
        <stp>P</stp>
        <stp>0</stp>
        <stp>IDX</stp>
        <stp>803</stp>
        <stp>한글종목명</stp>
        <stp/>
        <stp/>
        <tr r="CO20" s="2"/>
      </tp>
      <tp t="s">
        <v>오락문화</v>
        <stp/>
        <stp>P</stp>
        <stp>0</stp>
        <stp>IDX</stp>
        <stp>837</stp>
        <stp>한글종목명</stp>
        <stp/>
        <stp/>
        <tr r="CO30" s="2"/>
      </tp>
      <tp t="s">
        <v>금융</v>
        <stp/>
        <stp>P</stp>
        <stp>0</stp>
        <stp>IDX</stp>
        <stp>831</stp>
        <stp>한글종목명</stp>
        <stp/>
        <stp/>
        <tr r="CO29" s="2"/>
      </tp>
      <tp t="s">
        <v>제조</v>
        <stp/>
        <stp>P</stp>
        <stp>0</stp>
        <stp>IDX</stp>
        <stp>824</stp>
        <stp>한글종목명</stp>
        <stp/>
        <stp/>
        <tr r="CO25" s="2"/>
      </tp>
      <tp t="s">
        <v>건설</v>
        <stp/>
        <stp>P</stp>
        <stp>0</stp>
        <stp>IDX</stp>
        <stp>826</stp>
        <stp>한글종목명</stp>
        <stp/>
        <stp/>
        <tr r="CO26" s="2"/>
      </tp>
      <tp t="s">
        <v>유통</v>
        <stp/>
        <stp>P</stp>
        <stp>0</stp>
        <stp>IDX</stp>
        <stp>827</stp>
        <stp>한글종목명</stp>
        <stp/>
        <stp/>
        <tr r="CO27" s="2"/>
      </tp>
      <tp t="s">
        <v>운송</v>
        <stp/>
        <stp>P</stp>
        <stp>0</stp>
        <stp>IDX</stp>
        <stp>829</stp>
        <stp>한글종목명</stp>
        <stp/>
        <stp/>
        <tr r="CO28" s="2"/>
      </tp>
      <tp t="s">
        <v>디지털컨텐츠</v>
        <stp/>
        <stp>P</stp>
        <stp>0</stp>
        <stp>IDX</stp>
        <stp>954</stp>
        <stp>한글종목명</stp>
        <stp/>
        <stp/>
        <tr r="CO45" s="2"/>
      </tp>
      <tp t="s">
        <v>소프트웨어</v>
        <stp/>
        <stp>P</stp>
        <stp>0</stp>
        <stp>IDX</stp>
        <stp>955</stp>
        <stp>한글종목명</stp>
        <stp/>
        <stp/>
        <tr r="CO46" s="2"/>
      </tp>
      <tp t="s">
        <v>컴퓨터서비스</v>
        <stp/>
        <stp>P</stp>
        <stp>0</stp>
        <stp>IDX</stp>
        <stp>956</stp>
        <stp>한글종목명</stp>
        <stp/>
        <stp/>
        <tr r="CO47" s="2"/>
      </tp>
      <tp t="s">
        <v>통신장비</v>
        <stp/>
        <stp>P</stp>
        <stp>0</stp>
        <stp>IDX</stp>
        <stp>957</stp>
        <stp>한글종목명</stp>
        <stp/>
        <stp/>
        <tr r="CO48" s="2"/>
      </tp>
      <tp t="s">
        <v>통신서비스</v>
        <stp/>
        <stp>P</stp>
        <stp>0</stp>
        <stp>IDX</stp>
        <stp>951</stp>
        <stp>한글종목명</stp>
        <stp/>
        <stp/>
        <tr r="CO42" s="2"/>
      </tp>
      <tp t="s">
        <v>방송서비스</v>
        <stp/>
        <stp>P</stp>
        <stp>0</stp>
        <stp>IDX</stp>
        <stp>952</stp>
        <stp>한글종목명</stp>
        <stp/>
        <stp/>
        <tr r="CO43" s="2"/>
      </tp>
      <tp t="s">
        <v>인터넷</v>
        <stp/>
        <stp>P</stp>
        <stp>0</stp>
        <stp>IDX</stp>
        <stp>953</stp>
        <stp>한글종목명</stp>
        <stp/>
        <stp/>
        <tr r="CO44" s="2"/>
      </tp>
      <tp t="s">
        <v>정보기기</v>
        <stp/>
        <stp>P</stp>
        <stp>0</stp>
        <stp>IDX</stp>
        <stp>958</stp>
        <stp>한글종목명</stp>
        <stp/>
        <stp/>
        <tr r="CO49" s="2"/>
      </tp>
      <tp t="s">
        <v>반도체</v>
        <stp/>
        <stp>P</stp>
        <stp>0</stp>
        <stp>IDX</stp>
        <stp>959</stp>
        <stp>한글종목명</stp>
        <stp/>
        <stp/>
        <tr r="CO50" s="2"/>
      </tp>
      <tp t="s">
        <v>IT부품</v>
        <stp/>
        <stp>P</stp>
        <stp>0</stp>
        <stp>IDX</stp>
        <stp>960</stp>
        <stp>한글종목명</stp>
        <stp/>
        <stp/>
        <tr r="CO51" s="2"/>
      </tp>
      <tp t="s">
        <v>KQ 100</v>
        <stp/>
        <stp>P</stp>
        <stp>0</stp>
        <stp>IDX</stp>
        <stp>981</stp>
        <stp>한글종목명</stp>
        <stp/>
        <stp/>
        <tr r="CO52" s="2"/>
      </tp>
      <tp t="s">
        <v>KQ Mid 300</v>
        <stp/>
        <stp>P</stp>
        <stp>0</stp>
        <stp>IDX</stp>
        <stp>982</stp>
        <stp>한글종목명</stp>
        <stp/>
        <stp/>
        <tr r="CO53" s="2"/>
      </tp>
      <tp t="s">
        <v>KQ Small</v>
        <stp/>
        <stp>P</stp>
        <stp>0</stp>
        <stp>IDX</stp>
        <stp>983</stp>
        <stp>한글종목명</stp>
        <stp/>
        <stp/>
        <tr r="CO54" s="2"/>
      </tp>
      <tp>
        <v>1163654214</v>
        <stp/>
        <stp>P</stp>
        <stp>0</stp>
        <stp>IR</stp>
        <stp>BNDINV0006</stp>
        <stp>전체 총거래량</stp>
        <stp>45342</stp>
        <stp/>
        <tr r="Y18" s="1"/>
      </tp>
      <tp>
        <v>1074030171</v>
        <stp/>
        <stp>P</stp>
        <stp>0</stp>
        <stp>IR</stp>
        <stp>BNDINV0004</stp>
        <stp>전체 총거래량</stp>
        <stp>45342</stp>
        <stp/>
        <tr r="Y16" s="1"/>
      </tp>
      <tp>
        <v>3842401470</v>
        <stp/>
        <stp>P</stp>
        <stp>0</stp>
        <stp>IR</stp>
        <stp>BNDINV0005</stp>
        <stp>전체 총거래량</stp>
        <stp>45342</stp>
        <stp/>
        <tr r="Y17" s="1"/>
      </tp>
      <tp>
        <v>9041902</v>
        <stp/>
        <stp>P</stp>
        <stp>0</stp>
        <stp>IR</stp>
        <stp>BNDINV0002</stp>
        <stp>전체 총거래량</stp>
        <stp>45342</stp>
        <stp/>
        <tr r="Y14" s="1"/>
      </tp>
      <tp>
        <v>2690724071</v>
        <stp/>
        <stp>P</stp>
        <stp>0</stp>
        <stp>IR</stp>
        <stp>BNDINV0003</stp>
        <stp>전체 총거래량</stp>
        <stp>45342</stp>
        <stp/>
        <tr r="Y15" s="1"/>
      </tp>
      <tp>
        <v>4112002410</v>
        <stp/>
        <stp>P</stp>
        <stp>0</stp>
        <stp>IR</stp>
        <stp>BNDINV0001</stp>
        <stp>전체 총거래량</stp>
        <stp>45342</stp>
        <stp/>
        <tr r="Y13" s="1"/>
      </tp>
      <tp>
        <v>0</v>
        <stp/>
        <stp>P</stp>
        <stp>0</stp>
        <stp>IDX</stp>
        <stp>ELW</stp>
        <stp>사모펀드순매수수량</stp>
        <stp>45342</stp>
        <stp/>
        <tr r="AF61" s="1"/>
      </tp>
      <tp>
        <v>0</v>
        <stp/>
        <stp>P</stp>
        <stp>0</stp>
        <stp>OPT</stp>
        <stp>30500000</stp>
        <stp>보험순매수수량</stp>
        <stp>45342</stp>
        <stp/>
        <tr r="AD59" s="1"/>
      </tp>
      <tp>
        <v>0</v>
        <stp/>
        <stp>P</stp>
        <stp>0</stp>
        <stp>OPT</stp>
        <stp>30100000</stp>
        <stp>보험순매수수량</stp>
        <stp>45342</stp>
        <stp/>
        <tr r="AD57" s="1"/>
      </tp>
      <tp>
        <v>0</v>
        <stp/>
        <stp>P</stp>
        <stp>0</stp>
        <stp>OPT</stp>
        <stp>20500000</stp>
        <stp>보험순매수수량</stp>
        <stp>45342</stp>
        <stp/>
        <tr r="AD58" s="1"/>
      </tp>
      <tp>
        <v>0</v>
        <stp/>
        <stp>P</stp>
        <stp>0</stp>
        <stp>OPT</stp>
        <stp>20100000</stp>
        <stp>보험순매수수량</stp>
        <stp>45342</stp>
        <stp/>
        <tr r="AD56" s="1"/>
      </tp>
      <tp>
        <v>0</v>
        <stp/>
        <stp>P</stp>
        <stp>0</stp>
        <stp>OPT</stp>
        <stp>20100000</stp>
        <stp>국가/지방순매수수량</stp>
        <stp>45342</stp>
        <stp/>
        <tr r="AJ56" s="1"/>
      </tp>
      <tp>
        <v>0</v>
        <stp/>
        <stp>P</stp>
        <stp>0</stp>
        <stp>OPT</stp>
        <stp>20500000</stp>
        <stp>국가/지방순매수수량</stp>
        <stp>45342</stp>
        <stp/>
        <tr r="AJ58" s="1"/>
      </tp>
      <tp>
        <v>0</v>
        <stp/>
        <stp>P</stp>
        <stp>0</stp>
        <stp>OPT</stp>
        <stp>30100000</stp>
        <stp>국가/지방순매수수량</stp>
        <stp>45342</stp>
        <stp/>
        <tr r="AJ57" s="1"/>
      </tp>
      <tp>
        <v>0</v>
        <stp/>
        <stp>P</stp>
        <stp>0</stp>
        <stp>OPT</stp>
        <stp>30500000</stp>
        <stp>국가/지방순매수수량</stp>
        <stp>45342</stp>
        <stp/>
        <tr r="AJ59" s="1"/>
      </tp>
      <tp>
        <v>-646</v>
        <stp/>
        <stp>P</stp>
        <stp>0</stp>
        <stp>OPT</stp>
        <stp>30500000</stp>
        <stp>개인순매수수량</stp>
        <stp>45342</stp>
        <stp/>
        <tr r="AA59" s="1"/>
      </tp>
      <tp>
        <v>-14385</v>
        <stp/>
        <stp>P</stp>
        <stp>0</stp>
        <stp>OPT</stp>
        <stp>30100000</stp>
        <stp>개인순매수수량</stp>
        <stp>45342</stp>
        <stp/>
        <tr r="AA57" s="1"/>
      </tp>
      <tp>
        <v>223</v>
        <stp/>
        <stp>P</stp>
        <stp>0</stp>
        <stp>OPT</stp>
        <stp>20500000</stp>
        <stp>개인순매수수량</stp>
        <stp>45342</stp>
        <stp/>
        <tr r="AA58" s="1"/>
      </tp>
      <tp>
        <v>3814</v>
        <stp/>
        <stp>P</stp>
        <stp>0</stp>
        <stp>OPT</stp>
        <stp>20100000</stp>
        <stp>개인순매수수량</stp>
        <stp>45342</stp>
        <stp/>
        <tr r="AA56" s="1"/>
      </tp>
      <tp>
        <v>241</v>
        <stp/>
        <stp>P</stp>
        <stp>0</stp>
        <stp>OPT</stp>
        <stp>30500000</stp>
        <stp>기관순매수수량</stp>
        <stp>45342</stp>
        <stp/>
        <tr r="AB59" s="1"/>
      </tp>
      <tp>
        <v>-843</v>
        <stp/>
        <stp>P</stp>
        <stp>0</stp>
        <stp>OPT</stp>
        <stp>30100000</stp>
        <stp>기관순매수수량</stp>
        <stp>45342</stp>
        <stp/>
        <tr r="AB57" s="1"/>
      </tp>
      <tp>
        <v>3</v>
        <stp/>
        <stp>P</stp>
        <stp>0</stp>
        <stp>OPT</stp>
        <stp>30500000</stp>
        <stp>기타순매수수량</stp>
        <stp>45342</stp>
        <stp/>
        <tr r="AK59" s="1"/>
      </tp>
      <tp>
        <v>-1135</v>
        <stp/>
        <stp>P</stp>
        <stp>0</stp>
        <stp>OPT</stp>
        <stp>30100000</stp>
        <stp>기타순매수수량</stp>
        <stp>45342</stp>
        <stp/>
        <tr r="AK57" s="1"/>
      </tp>
      <tp>
        <v>-558</v>
        <stp/>
        <stp>P</stp>
        <stp>0</stp>
        <stp>OPT</stp>
        <stp>20500000</stp>
        <stp>기관순매수수량</stp>
        <stp>45342</stp>
        <stp/>
        <tr r="AB58" s="1"/>
      </tp>
      <tp>
        <v>2887</v>
        <stp/>
        <stp>P</stp>
        <stp>0</stp>
        <stp>OPT</stp>
        <stp>20100000</stp>
        <stp>기관순매수수량</stp>
        <stp>45342</stp>
        <stp/>
        <tr r="AB56" s="1"/>
      </tp>
      <tp>
        <v>128</v>
        <stp/>
        <stp>P</stp>
        <stp>0</stp>
        <stp>OPT</stp>
        <stp>20500000</stp>
        <stp>기타순매수수량</stp>
        <stp>45342</stp>
        <stp/>
        <tr r="AK58" s="1"/>
      </tp>
      <tp>
        <v>365</v>
        <stp/>
        <stp>P</stp>
        <stp>0</stp>
        <stp>OPT</stp>
        <stp>20100000</stp>
        <stp>기타순매수수량</stp>
        <stp>45342</stp>
        <stp/>
        <tr r="AK56" s="1"/>
      </tp>
      <tp>
        <v>241</v>
        <stp/>
        <stp>P</stp>
        <stp>0</stp>
        <stp>OPT</stp>
        <stp>30500000</stp>
        <stp>증권/선물순매수수량</stp>
        <stp>45342</stp>
        <stp/>
        <tr r="AC59" s="1"/>
      </tp>
      <tp>
        <v>893</v>
        <stp/>
        <stp>P</stp>
        <stp>0</stp>
        <stp>OPT</stp>
        <stp>30100000</stp>
        <stp>증권/선물순매수수량</stp>
        <stp>45342</stp>
        <stp/>
        <tr r="AC57" s="1"/>
      </tp>
      <tp>
        <v>-558</v>
        <stp/>
        <stp>P</stp>
        <stp>0</stp>
        <stp>OPT</stp>
        <stp>20500000</stp>
        <stp>증권/선물순매수수량</stp>
        <stp>45342</stp>
        <stp/>
        <tr r="AC58" s="1"/>
      </tp>
      <tp>
        <v>2849</v>
        <stp/>
        <stp>P</stp>
        <stp>0</stp>
        <stp>OPT</stp>
        <stp>20100000</stp>
        <stp>증권/선물순매수수량</stp>
        <stp>45342</stp>
        <stp/>
        <tr r="AC56" s="1"/>
      </tp>
      <tp>
        <v>-13859</v>
        <stp/>
        <stp>P</stp>
        <stp>0</stp>
        <stp>IDX</stp>
        <stp>ELW</stp>
        <stp>증권/선물순매수수량</stp>
        <stp>45342</stp>
        <stp/>
        <tr r="AC61" s="1"/>
      </tp>
      <tp>
        <v>-3030</v>
        <stp/>
        <stp>P</stp>
        <stp>0</stp>
        <stp>IDX</stp>
        <stp>ELW</stp>
        <stp>외국인합순매수수량</stp>
        <stp>45342</stp>
        <stp/>
        <tr r="Z61" s="1"/>
      </tp>
      <tp>
        <v>1000000</v>
        <stp/>
        <stp>P</stp>
        <stp>0</stp>
        <stp>IR</stp>
        <stp>BNDINV0001</stp>
        <stp>사모펀드 순매수거래량</stp>
        <stp>45342</stp>
        <stp/>
        <tr r="AF13" s="1"/>
      </tp>
      <tp>
        <v>-89000000</v>
        <stp/>
        <stp>P</stp>
        <stp>0</stp>
        <stp>IR</stp>
        <stp>BNDINV0000</stp>
        <stp>사모펀드 순매수거래량</stp>
        <stp>45342</stp>
        <stp/>
        <tr r="AF12" s="1"/>
      </tp>
      <tp>
        <v>0</v>
        <stp/>
        <stp>P</stp>
        <stp>0</stp>
        <stp>IR</stp>
        <stp>BNDINV0003</stp>
        <stp>사모펀드 순매수거래량</stp>
        <stp>45342</stp>
        <stp/>
        <tr r="AF15" s="1"/>
      </tp>
      <tp>
        <v>0</v>
        <stp/>
        <stp>P</stp>
        <stp>0</stp>
        <stp>IR</stp>
        <stp>BNDINV0002</stp>
        <stp>사모펀드 순매수거래량</stp>
        <stp>45342</stp>
        <stp/>
        <tr r="AF14" s="1"/>
      </tp>
      <tp>
        <v>0</v>
        <stp/>
        <stp>P</stp>
        <stp>0</stp>
        <stp>IR</stp>
        <stp>BNDINV0005</stp>
        <stp>사모펀드 순매수거래량</stp>
        <stp>45342</stp>
        <stp/>
        <tr r="AF17" s="1"/>
      </tp>
      <tp>
        <v>0</v>
        <stp/>
        <stp>P</stp>
        <stp>0</stp>
        <stp>IR</stp>
        <stp>BNDINV0004</stp>
        <stp>사모펀드 순매수거래량</stp>
        <stp>45342</stp>
        <stp/>
        <tr r="AF16" s="1"/>
      </tp>
      <tp>
        <v>-90000000</v>
        <stp/>
        <stp>P</stp>
        <stp>0</stp>
        <stp>IR</stp>
        <stp>BNDINV0006</stp>
        <stp>사모펀드 순매수거래량</stp>
        <stp>45342</stp>
        <stp/>
        <tr r="AF18" s="1"/>
      </tp>
      <tp>
        <v>0</v>
        <stp/>
        <stp>P</stp>
        <stp>0</stp>
        <stp>IDX</stp>
        <stp>ELW</stp>
        <stp>국가/지방순매수수량</stp>
        <stp>45342</stp>
        <stp/>
        <tr r="AJ61" s="1"/>
      </tp>
      <tp>
        <v>1721926</v>
        <stp/>
        <stp>P</stp>
        <stp>0</stp>
        <stp>IR</stp>
        <stp>BNDINV0002</stp>
        <stp>개인 순매수거래량</stp>
        <stp>45342</stp>
        <stp/>
        <tr r="AA14" s="1"/>
      </tp>
      <tp>
        <v>15919631</v>
        <stp/>
        <stp>P</stp>
        <stp>0</stp>
        <stp>IR</stp>
        <stp>BNDINV0003</stp>
        <stp>개인 순매수거래량</stp>
        <stp>45342</stp>
        <stp/>
        <tr r="AA15" s="1"/>
      </tp>
      <tp>
        <v>111496968</v>
        <stp/>
        <stp>P</stp>
        <stp>0</stp>
        <stp>IR</stp>
        <stp>BNDINV0000</stp>
        <stp>개인 순매수거래량</stp>
        <stp>45342</stp>
        <stp/>
        <tr r="AA12" s="1"/>
      </tp>
      <tp>
        <v>43587759</v>
        <stp/>
        <stp>P</stp>
        <stp>0</stp>
        <stp>IR</stp>
        <stp>BNDINV0001</stp>
        <stp>개인 순매수거래량</stp>
        <stp>45342</stp>
        <stp/>
        <tr r="AA13" s="1"/>
      </tp>
      <tp>
        <v>18740041</v>
        <stp/>
        <stp>P</stp>
        <stp>0</stp>
        <stp>IR</stp>
        <stp>BNDINV0006</stp>
        <stp>개인 순매수거래량</stp>
        <stp>45342</stp>
        <stp/>
        <tr r="AA18" s="1"/>
      </tp>
      <tp>
        <v>30171</v>
        <stp/>
        <stp>P</stp>
        <stp>0</stp>
        <stp>IR</stp>
        <stp>BNDINV0004</stp>
        <stp>개인 순매수거래량</stp>
        <stp>45342</stp>
        <stp/>
        <tr r="AA16" s="1"/>
      </tp>
      <tp>
        <v>31497440</v>
        <stp/>
        <stp>P</stp>
        <stp>0</stp>
        <stp>IR</stp>
        <stp>BNDINV0005</stp>
        <stp>개인 순매수거래량</stp>
        <stp>45342</stp>
        <stp/>
        <tr r="AA17" s="1"/>
      </tp>
      <tp>
        <v>-900</v>
        <stp/>
        <stp>P</stp>
        <stp>0</stp>
        <stp>IDX</stp>
        <stp>001</stp>
        <stp>투신순매수수량</stp>
        <stp>45342</stp>
        <stp/>
        <tr r="AE10" s="1"/>
      </tp>
      <tp>
        <v>740</v>
        <stp/>
        <stp>P</stp>
        <stp>0</stp>
        <stp>IDX</stp>
        <stp>801</stp>
        <stp>투신순매수수량</stp>
        <stp>45342</stp>
        <stp/>
        <tr r="AE11" s="1"/>
      </tp>
      <tp>
        <v>0</v>
        <stp/>
        <stp>P</stp>
        <stp>0</stp>
        <stp>IDX</stp>
        <stp>ELW</stp>
        <stp>투신순매수수량</stp>
        <stp>45342</stp>
        <stp/>
        <tr r="AE61" s="1"/>
      </tp>
      <tp>
        <v>381</v>
        <stp/>
        <stp>P</stp>
        <stp>0</stp>
        <stp>IDX</stp>
        <stp>ETF</stp>
        <stp>투신순매수수량</stp>
        <stp>45342</stp>
        <stp/>
        <tr r="AE62" s="1"/>
      </tp>
      <tp>
        <v>1</v>
        <stp/>
        <stp>P</stp>
        <stp>0</stp>
        <stp>IDX</stp>
        <stp>ETN</stp>
        <stp>투신순매수수량</stp>
        <stp>45342</stp>
        <stp/>
        <tr r="AE63" s="1"/>
      </tp>
      <tp>
        <v>0</v>
        <stp/>
        <stp>P</stp>
        <stp>0</stp>
        <stp>FUT</stp>
        <stp>CAA</stp>
        <stp>투신순매수수량</stp>
        <stp>45342</stp>
        <stp/>
        <tr r="AE44" s="1"/>
      </tp>
      <tp>
        <v>0</v>
        <stp/>
        <stp>P</stp>
        <stp>0</stp>
        <stp>FUT</stp>
        <stp>CAB</stp>
        <stp>투신순매수수량</stp>
        <stp>45342</stp>
        <stp/>
        <tr r="AE43" s="1"/>
      </tp>
      <tp>
        <v>0</v>
        <stp/>
        <stp>P</stp>
        <stp>0</stp>
        <stp>FUT</stp>
        <stp>CAC</stp>
        <stp>투신순매수수량</stp>
        <stp>45342</stp>
        <stp/>
        <tr r="AE52" s="1"/>
      </tp>
      <tp>
        <v>0</v>
        <stp/>
        <stp>P</stp>
        <stp>0</stp>
        <stp>FUT</stp>
        <stp>CAD</stp>
        <stp>투신순매수수량</stp>
        <stp>45342</stp>
        <stp/>
        <tr r="AE51" s="1"/>
      </tp>
      <tp>
        <v>0</v>
        <stp/>
        <stp>P</stp>
        <stp>0</stp>
        <stp>FUT</stp>
        <stp>CAE</stp>
        <stp>투신순매수수량</stp>
        <stp>45342</stp>
        <stp/>
        <tr r="AE53" s="1"/>
      </tp>
      <tp>
        <v>0</v>
        <stp/>
        <stp>P</stp>
        <stp>0</stp>
        <stp>FUT</stp>
        <stp>CA8</stp>
        <stp>투신순매수수량</stp>
        <stp>45342</stp>
        <stp/>
        <tr r="AE50" s="1"/>
      </tp>
      <tp>
        <v>0</v>
        <stp/>
        <stp>P</stp>
        <stp>0</stp>
        <stp>FUT</stp>
        <stp>CA9</stp>
        <stp>투신순매수수량</stp>
        <stp>45342</stp>
        <stp/>
        <tr r="AE49" s="1"/>
      </tp>
      <tp>
        <v>0</v>
        <stp/>
        <stp>P</stp>
        <stp>0</stp>
        <stp>FUT</stp>
        <stp>CA0</stp>
        <stp>투신순매수수량</stp>
        <stp>45342</stp>
        <stp/>
        <tr r="AE45" s="1"/>
      </tp>
      <tp>
        <v>0</v>
        <stp/>
        <stp>P</stp>
        <stp>0</stp>
        <stp>FUT</stp>
        <stp>CA1</stp>
        <stp>투신순매수수량</stp>
        <stp>45342</stp>
        <stp/>
        <tr r="AE47" s="1"/>
      </tp>
      <tp>
        <v>0</v>
        <stp/>
        <stp>P</stp>
        <stp>0</stp>
        <stp>FUT</stp>
        <stp>CA2</stp>
        <stp>투신순매수수량</stp>
        <stp>45342</stp>
        <stp/>
        <tr r="AE42" s="1"/>
      </tp>
      <tp>
        <v>0</v>
        <stp/>
        <stp>P</stp>
        <stp>0</stp>
        <stp>FUT</stp>
        <stp>CA3</stp>
        <stp>투신순매수수량</stp>
        <stp>45342</stp>
        <stp/>
        <tr r="AE46" s="1"/>
      </tp>
      <tp>
        <v>0</v>
        <stp/>
        <stp>P</stp>
        <stp>0</stp>
        <stp>FUT</stp>
        <stp>CA4</stp>
        <stp>투신순매수수량</stp>
        <stp>45342</stp>
        <stp/>
        <tr r="AE31" s="1"/>
      </tp>
      <tp>
        <v>0</v>
        <stp/>
        <stp>P</stp>
        <stp>0</stp>
        <stp>FUT</stp>
        <stp>CA5</stp>
        <stp>투신순매수수량</stp>
        <stp>45342</stp>
        <stp/>
        <tr r="AE32" s="1"/>
      </tp>
      <tp>
        <v>0</v>
        <stp/>
        <stp>P</stp>
        <stp>0</stp>
        <stp>FUT</stp>
        <stp>CA6</stp>
        <stp>투신순매수수량</stp>
        <stp>45342</stp>
        <stp/>
        <tr r="AE41" s="1"/>
      </tp>
      <tp>
        <v>0</v>
        <stp/>
        <stp>P</stp>
        <stp>0</stp>
        <stp>FUT</stp>
        <stp>CA7</stp>
        <stp>투신순매수수량</stp>
        <stp>45342</stp>
        <stp/>
        <tr r="AE48" s="1"/>
      </tp>
      <tp>
        <v>0</v>
        <stp/>
        <stp>P</stp>
        <stp>0</stp>
        <stp>FUT</stp>
        <stp>C69</stp>
        <stp>투신순매수수량</stp>
        <stp>45342</stp>
        <stp/>
        <tr r="AE24" s="1"/>
      </tp>
      <tp>
        <v>189</v>
        <stp/>
        <stp>P</stp>
        <stp>0</stp>
        <stp>FUT</stp>
        <stp>C65</stp>
        <stp>투신순매수수량</stp>
        <stp>45342</stp>
        <stp/>
        <tr r="AE20" s="1"/>
      </tp>
      <tp>
        <v>0</v>
        <stp/>
        <stp>P</stp>
        <stp>0</stp>
        <stp>FUT</stp>
        <stp>C66</stp>
        <stp>투신순매수수량</stp>
        <stp>45342</stp>
        <stp/>
        <tr r="AE21" s="1"/>
      </tp>
      <tp>
        <v>6</v>
        <stp/>
        <stp>P</stp>
        <stp>0</stp>
        <stp>FUT</stp>
        <stp>C67</stp>
        <stp>투신순매수수량</stp>
        <stp>45342</stp>
        <stp/>
        <tr r="AE22" s="1"/>
      </tp>
      <tp>
        <v>0</v>
        <stp/>
        <stp>P</stp>
        <stp>0</stp>
        <stp>FUT</stp>
        <stp>C78</stp>
        <stp>투신순매수수량</stp>
        <stp>45342</stp>
        <stp/>
        <tr r="AE38" s="1"/>
      </tp>
      <tp>
        <v>-7</v>
        <stp/>
        <stp>P</stp>
        <stp>0</stp>
        <stp>FUT</stp>
        <stp>C70</stp>
        <stp>투신순매수수량</stp>
        <stp>45342</stp>
        <stp/>
        <tr r="AE23" s="1"/>
      </tp>
      <tp>
        <v>-371</v>
        <stp/>
        <stp>P</stp>
        <stp>0</stp>
        <stp>FUT</stp>
        <stp>C75</stp>
        <stp>투신순매수수량</stp>
        <stp>45342</stp>
        <stp/>
        <tr r="AE35" s="1"/>
      </tp>
      <tp>
        <v>0</v>
        <stp/>
        <stp>P</stp>
        <stp>0</stp>
        <stp>FUT</stp>
        <stp>C76</stp>
        <stp>투신순매수수량</stp>
        <stp>45342</stp>
        <stp/>
        <tr r="AE36" s="1"/>
      </tp>
      <tp>
        <v>-1</v>
        <stp/>
        <stp>P</stp>
        <stp>0</stp>
        <stp>FUT</stp>
        <stp>C77</stp>
        <stp>투신순매수수량</stp>
        <stp>45342</stp>
        <stp/>
        <tr r="AE37" s="1"/>
      </tp>
      <tp>
        <v>0</v>
        <stp/>
        <stp>P</stp>
        <stp>0</stp>
        <stp>FUT</stp>
        <stp>C08</stp>
        <stp>투신순매수수량</stp>
        <stp>45342</stp>
        <stp/>
        <tr r="AE29" s="1"/>
      </tp>
      <tp>
        <v>0</v>
        <stp/>
        <stp>P</stp>
        <stp>0</stp>
        <stp>FUT</stp>
        <stp>C09</stp>
        <stp>투신순매수수량</stp>
        <stp>45342</stp>
        <stp/>
        <tr r="AE30" s="1"/>
      </tp>
      <tp>
        <v>-27</v>
        <stp/>
        <stp>P</stp>
        <stp>0</stp>
        <stp>FUT</stp>
        <stp>C01</stp>
        <stp>투신순매수수량</stp>
        <stp>45342</stp>
        <stp/>
        <tr r="AE26" s="1"/>
      </tp>
      <tp>
        <v>27</v>
        <stp/>
        <stp>P</stp>
        <stp>0</stp>
        <stp>FUT</stp>
        <stp>C05</stp>
        <stp>투신순매수수량</stp>
        <stp>45342</stp>
        <stp/>
        <tr r="AE27" s="1"/>
      </tp>
      <tp>
        <v>198</v>
        <stp/>
        <stp>P</stp>
        <stp>0</stp>
        <stp>FUT</stp>
        <stp>C06</stp>
        <stp>투신순매수수량</stp>
        <stp>45342</stp>
        <stp/>
        <tr r="AE28" s="1"/>
      </tp>
      <tp>
        <v>0</v>
        <stp/>
        <stp>P</stp>
        <stp>0</stp>
        <stp>FUT</stp>
        <stp>C07</stp>
        <stp>투신순매수수량</stp>
        <stp>45342</stp>
        <stp/>
        <tr r="AE33" s="1"/>
      </tp>
      <tp>
        <v>0</v>
        <stp/>
        <stp>P</stp>
        <stp>0</stp>
        <stp>FUT</stp>
        <stp>C88</stp>
        <stp>투신순매수수량</stp>
        <stp>45342</stp>
        <stp/>
        <tr r="AE54" s="1"/>
      </tp>
      <tp>
        <v>1889</v>
        <stp/>
        <stp>P</stp>
        <stp>0</stp>
        <stp>FUT</stp>
        <stp>C99</stp>
        <stp>투신순매수수량</stp>
        <stp>45342</stp>
        <stp/>
        <tr r="AE39" s="1"/>
      </tp>
      <tp>
        <v>-172</v>
        <stp/>
        <stp>P</stp>
        <stp>0</stp>
        <stp>FUT</stp>
        <stp>CAD</stp>
        <stp>외국인합순매수수량</stp>
        <stp>45342</stp>
        <stp/>
        <tr r="Z51" s="1"/>
      </tp>
      <tp>
        <v>0</v>
        <stp/>
        <stp>P</stp>
        <stp>0</stp>
        <stp>FUT</stp>
        <stp>CAE</stp>
        <stp>외국인합순매수수량</stp>
        <stp>45342</stp>
        <stp/>
        <tr r="Z53" s="1"/>
      </tp>
      <tp>
        <v>0</v>
        <stp/>
        <stp>P</stp>
        <stp>0</stp>
        <stp>FUT</stp>
        <stp>CAB</stp>
        <stp>외국인합순매수수량</stp>
        <stp>45342</stp>
        <stp/>
        <tr r="Z43" s="1"/>
      </tp>
      <tp>
        <v>0</v>
        <stp/>
        <stp>P</stp>
        <stp>0</stp>
        <stp>FUT</stp>
        <stp>CAC</stp>
        <stp>외국인합순매수수량</stp>
        <stp>45342</stp>
        <stp/>
        <tr r="Z52" s="1"/>
      </tp>
      <tp>
        <v>0</v>
        <stp/>
        <stp>P</stp>
        <stp>0</stp>
        <stp>FUT</stp>
        <stp>CAA</stp>
        <stp>외국인합순매수수량</stp>
        <stp>45342</stp>
        <stp/>
        <tr r="Z44" s="1"/>
      </tp>
      <tp>
        <v>0</v>
        <stp/>
        <stp>P</stp>
        <stp>0</stp>
        <stp>FUT</stp>
        <stp>CA6</stp>
        <stp>외국인합순매수수량</stp>
        <stp>45342</stp>
        <stp/>
        <tr r="Z41" s="1"/>
      </tp>
      <tp>
        <v>0</v>
        <stp/>
        <stp>P</stp>
        <stp>0</stp>
        <stp>FUT</stp>
        <stp>CA7</stp>
        <stp>외국인합순매수수량</stp>
        <stp>45342</stp>
        <stp/>
        <tr r="Z48" s="1"/>
      </tp>
      <tp>
        <v>0</v>
        <stp/>
        <stp>P</stp>
        <stp>0</stp>
        <stp>FUT</stp>
        <stp>CA4</stp>
        <stp>외국인합순매수수량</stp>
        <stp>45342</stp>
        <stp/>
        <tr r="Z31" s="1"/>
      </tp>
      <tp>
        <v>0</v>
        <stp/>
        <stp>P</stp>
        <stp>0</stp>
        <stp>FUT</stp>
        <stp>CA5</stp>
        <stp>외국인합순매수수량</stp>
        <stp>45342</stp>
        <stp/>
        <tr r="Z32" s="1"/>
      </tp>
      <tp>
        <v>-48</v>
        <stp/>
        <stp>P</stp>
        <stp>0</stp>
        <stp>FUT</stp>
        <stp>CA2</stp>
        <stp>외국인합순매수수량</stp>
        <stp>45342</stp>
        <stp/>
        <tr r="Z42" s="1"/>
      </tp>
      <tp>
        <v>0</v>
        <stp/>
        <stp>P</stp>
        <stp>0</stp>
        <stp>FUT</stp>
        <stp>CA3</stp>
        <stp>외국인합순매수수량</stp>
        <stp>45342</stp>
        <stp/>
        <tr r="Z46" s="1"/>
      </tp>
      <tp>
        <v>0</v>
        <stp/>
        <stp>P</stp>
        <stp>0</stp>
        <stp>FUT</stp>
        <stp>CA0</stp>
        <stp>외국인합순매수수량</stp>
        <stp>45342</stp>
        <stp/>
        <tr r="Z45" s="1"/>
      </tp>
      <tp>
        <v>0</v>
        <stp/>
        <stp>P</stp>
        <stp>0</stp>
        <stp>FUT</stp>
        <stp>CA1</stp>
        <stp>외국인합순매수수량</stp>
        <stp>45342</stp>
        <stp/>
        <tr r="Z47" s="1"/>
      </tp>
      <tp>
        <v>0</v>
        <stp/>
        <stp>P</stp>
        <stp>0</stp>
        <stp>FUT</stp>
        <stp>CA8</stp>
        <stp>외국인합순매수수량</stp>
        <stp>45342</stp>
        <stp/>
        <tr r="Z50" s="1"/>
      </tp>
      <tp>
        <v>0</v>
        <stp/>
        <stp>P</stp>
        <stp>0</stp>
        <stp>FUT</stp>
        <stp>CA9</stp>
        <stp>외국인합순매수수량</stp>
        <stp>45342</stp>
        <stp/>
        <tr r="Z49" s="1"/>
      </tp>
      <tp>
        <v>0</v>
        <stp/>
        <stp>P</stp>
        <stp>0</stp>
        <stp>FUT</stp>
        <stp>CAD</stp>
        <stp>국가/지방순매수수량</stp>
        <stp>45342</stp>
        <stp/>
        <tr r="AJ51" s="1"/>
      </tp>
      <tp>
        <v>0</v>
        <stp/>
        <stp>P</stp>
        <stp>0</stp>
        <stp>FUT</stp>
        <stp>CAE</stp>
        <stp>국가/지방순매수수량</stp>
        <stp>45342</stp>
        <stp/>
        <tr r="AJ53" s="1"/>
      </tp>
      <tp>
        <v>97</v>
        <stp/>
        <stp>P</stp>
        <stp>0</stp>
        <stp>IDX</stp>
        <stp>ETN</stp>
        <stp>외국인합순매수수량</stp>
        <stp>45342</stp>
        <stp/>
        <tr r="Z63" s="1"/>
      </tp>
      <tp>
        <v>11631</v>
        <stp/>
        <stp>P</stp>
        <stp>0</stp>
        <stp>IDX</stp>
        <stp>ETF</stp>
        <stp>외국인합순매수수량</stp>
        <stp>45342</stp>
        <stp/>
        <tr r="Z62" s="1"/>
      </tp>
      <tp>
        <v>0</v>
        <stp/>
        <stp>P</stp>
        <stp>0</stp>
        <stp>IDX</stp>
        <stp>ETN</stp>
        <stp>국가/지방순매수수량</stp>
        <stp>45342</stp>
        <stp/>
        <tr r="AJ63" s="1"/>
      </tp>
      <tp>
        <v>0</v>
        <stp/>
        <stp>P</stp>
        <stp>0</stp>
        <stp>FUT</stp>
        <stp>CAB</stp>
        <stp>국가/지방순매수수량</stp>
        <stp>45342</stp>
        <stp/>
        <tr r="AJ43" s="1"/>
      </tp>
      <tp>
        <v>1316</v>
        <stp/>
        <stp>P</stp>
        <stp>0</stp>
        <stp>IDX</stp>
        <stp>ETF</stp>
        <stp>증권/선물순매수수량</stp>
        <stp>45342</stp>
        <stp/>
        <tr r="AC62" s="1"/>
      </tp>
      <tp>
        <v>0</v>
        <stp/>
        <stp>P</stp>
        <stp>0</stp>
        <stp>FUT</stp>
        <stp>CAC</stp>
        <stp>국가/지방순매수수량</stp>
        <stp>45342</stp>
        <stp/>
        <tr r="AJ52" s="1"/>
      </tp>
      <tp>
        <v>0</v>
        <stp/>
        <stp>P</stp>
        <stp>0</stp>
        <stp>FUT</stp>
        <stp>CAA</stp>
        <stp>국가/지방순매수수량</stp>
        <stp>45342</stp>
        <stp/>
        <tr r="AJ44" s="1"/>
      </tp>
      <tp>
        <v>0</v>
        <stp/>
        <stp>P</stp>
        <stp>0</stp>
        <stp>FUT</stp>
        <stp>C99</stp>
        <stp>은행순매수수량</stp>
        <stp>45342</stp>
        <stp/>
        <tr r="AG39" s="1"/>
      </tp>
      <tp>
        <v>0</v>
        <stp/>
        <stp>P</stp>
        <stp>0</stp>
        <stp>FUT</stp>
        <stp>C88</stp>
        <stp>은행순매수수량</stp>
        <stp>45342</stp>
        <stp/>
        <tr r="AG54" s="1"/>
      </tp>
      <tp>
        <v>0</v>
        <stp/>
        <stp>P</stp>
        <stp>0</stp>
        <stp>FUT</stp>
        <stp>C78</stp>
        <stp>은행순매수수량</stp>
        <stp>45342</stp>
        <stp/>
        <tr r="AG38" s="1"/>
      </tp>
      <tp>
        <v>0</v>
        <stp/>
        <stp>P</stp>
        <stp>0</stp>
        <stp>FUT</stp>
        <stp>C70</stp>
        <stp>은행순매수수량</stp>
        <stp>45342</stp>
        <stp/>
        <tr r="AG23" s="1"/>
      </tp>
      <tp>
        <v>-598</v>
        <stp/>
        <stp>P</stp>
        <stp>0</stp>
        <stp>FUT</stp>
        <stp>C75</stp>
        <stp>은행순매수수량</stp>
        <stp>45342</stp>
        <stp/>
        <tr r="AG35" s="1"/>
      </tp>
      <tp>
        <v>0</v>
        <stp/>
        <stp>P</stp>
        <stp>0</stp>
        <stp>FUT</stp>
        <stp>C76</stp>
        <stp>은행순매수수량</stp>
        <stp>45342</stp>
        <stp/>
        <tr r="AG36" s="1"/>
      </tp>
      <tp>
        <v>0</v>
        <stp/>
        <stp>P</stp>
        <stp>0</stp>
        <stp>FUT</stp>
        <stp>C77</stp>
        <stp>은행순매수수량</stp>
        <stp>45342</stp>
        <stp/>
        <tr r="AG37" s="1"/>
      </tp>
      <tp>
        <v>0</v>
        <stp/>
        <stp>P</stp>
        <stp>0</stp>
        <stp>FUT</stp>
        <stp>C69</stp>
        <stp>은행순매수수량</stp>
        <stp>45342</stp>
        <stp/>
        <tr r="AG24" s="1"/>
      </tp>
      <tp>
        <v>-2817</v>
        <stp/>
        <stp>P</stp>
        <stp>0</stp>
        <stp>FUT</stp>
        <stp>C65</stp>
        <stp>은행순매수수량</stp>
        <stp>45342</stp>
        <stp/>
        <tr r="AG20" s="1"/>
      </tp>
      <tp>
        <v>0</v>
        <stp/>
        <stp>P</stp>
        <stp>0</stp>
        <stp>FUT</stp>
        <stp>C66</stp>
        <stp>은행순매수수량</stp>
        <stp>45342</stp>
        <stp/>
        <tr r="AG21" s="1"/>
      </tp>
      <tp>
        <v>446</v>
        <stp/>
        <stp>P</stp>
        <stp>0</stp>
        <stp>FUT</stp>
        <stp>C67</stp>
        <stp>은행순매수수량</stp>
        <stp>45342</stp>
        <stp/>
        <tr r="AG22" s="1"/>
      </tp>
      <tp>
        <v>0</v>
        <stp/>
        <stp>P</stp>
        <stp>0</stp>
        <stp>FUT</stp>
        <stp>C08</stp>
        <stp>은행순매수수량</stp>
        <stp>45342</stp>
        <stp/>
        <tr r="AG29" s="1"/>
      </tp>
      <tp>
        <v>0</v>
        <stp/>
        <stp>P</stp>
        <stp>0</stp>
        <stp>FUT</stp>
        <stp>C09</stp>
        <stp>은행순매수수량</stp>
        <stp>45342</stp>
        <stp/>
        <tr r="AG30" s="1"/>
      </tp>
      <tp>
        <v>-49</v>
        <stp/>
        <stp>P</stp>
        <stp>0</stp>
        <stp>FUT</stp>
        <stp>C01</stp>
        <stp>은행순매수수량</stp>
        <stp>45342</stp>
        <stp/>
        <tr r="AG26" s="1"/>
      </tp>
      <tp>
        <v>-20</v>
        <stp/>
        <stp>P</stp>
        <stp>0</stp>
        <stp>FUT</stp>
        <stp>C05</stp>
        <stp>은행순매수수량</stp>
        <stp>45342</stp>
        <stp/>
        <tr r="AG27" s="1"/>
      </tp>
      <tp>
        <v>-30</v>
        <stp/>
        <stp>P</stp>
        <stp>0</stp>
        <stp>FUT</stp>
        <stp>C06</stp>
        <stp>은행순매수수량</stp>
        <stp>45342</stp>
        <stp/>
        <tr r="AG28" s="1"/>
      </tp>
      <tp>
        <v>0</v>
        <stp/>
        <stp>P</stp>
        <stp>0</stp>
        <stp>FUT</stp>
        <stp>C07</stp>
        <stp>은행순매수수량</stp>
        <stp>45342</stp>
        <stp/>
        <tr r="AG33" s="1"/>
      </tp>
      <tp>
        <v>0</v>
        <stp/>
        <stp>P</stp>
        <stp>0</stp>
        <stp>FUT</stp>
        <stp>CAA</stp>
        <stp>은행순매수수량</stp>
        <stp>45342</stp>
        <stp/>
        <tr r="AG44" s="1"/>
      </tp>
      <tp>
        <v>0</v>
        <stp/>
        <stp>P</stp>
        <stp>0</stp>
        <stp>FUT</stp>
        <stp>CAB</stp>
        <stp>은행순매수수량</stp>
        <stp>45342</stp>
        <stp/>
        <tr r="AG43" s="1"/>
      </tp>
      <tp>
        <v>0</v>
        <stp/>
        <stp>P</stp>
        <stp>0</stp>
        <stp>FUT</stp>
        <stp>CAC</stp>
        <stp>은행순매수수량</stp>
        <stp>45342</stp>
        <stp/>
        <tr r="AG52" s="1"/>
      </tp>
      <tp>
        <v>0</v>
        <stp/>
        <stp>P</stp>
        <stp>0</stp>
        <stp>FUT</stp>
        <stp>CAD</stp>
        <stp>은행순매수수량</stp>
        <stp>45342</stp>
        <stp/>
        <tr r="AG51" s="1"/>
      </tp>
      <tp>
        <v>0</v>
        <stp/>
        <stp>P</stp>
        <stp>0</stp>
        <stp>FUT</stp>
        <stp>CAE</stp>
        <stp>은행순매수수량</stp>
        <stp>45342</stp>
        <stp/>
        <tr r="AG53" s="1"/>
      </tp>
      <tp>
        <v>0</v>
        <stp/>
        <stp>P</stp>
        <stp>0</stp>
        <stp>FUT</stp>
        <stp>CA8</stp>
        <stp>은행순매수수량</stp>
        <stp>45342</stp>
        <stp/>
        <tr r="AG50" s="1"/>
      </tp>
      <tp>
        <v>0</v>
        <stp/>
        <stp>P</stp>
        <stp>0</stp>
        <stp>FUT</stp>
        <stp>CA9</stp>
        <stp>은행순매수수량</stp>
        <stp>45342</stp>
        <stp/>
        <tr r="AG49" s="1"/>
      </tp>
      <tp>
        <v>0</v>
        <stp/>
        <stp>P</stp>
        <stp>0</stp>
        <stp>FUT</stp>
        <stp>CA0</stp>
        <stp>은행순매수수량</stp>
        <stp>45342</stp>
        <stp/>
        <tr r="AG45" s="1"/>
      </tp>
      <tp>
        <v>0</v>
        <stp/>
        <stp>P</stp>
        <stp>0</stp>
        <stp>FUT</stp>
        <stp>CA1</stp>
        <stp>은행순매수수량</stp>
        <stp>45342</stp>
        <stp/>
        <tr r="AG47" s="1"/>
      </tp>
      <tp>
        <v>0</v>
        <stp/>
        <stp>P</stp>
        <stp>0</stp>
        <stp>FUT</stp>
        <stp>CA2</stp>
        <stp>은행순매수수량</stp>
        <stp>45342</stp>
        <stp/>
        <tr r="AG42" s="1"/>
      </tp>
      <tp>
        <v>0</v>
        <stp/>
        <stp>P</stp>
        <stp>0</stp>
        <stp>FUT</stp>
        <stp>CA3</stp>
        <stp>은행순매수수량</stp>
        <stp>45342</stp>
        <stp/>
        <tr r="AG46" s="1"/>
      </tp>
      <tp>
        <v>0</v>
        <stp/>
        <stp>P</stp>
        <stp>0</stp>
        <stp>FUT</stp>
        <stp>CA4</stp>
        <stp>은행순매수수량</stp>
        <stp>45342</stp>
        <stp/>
        <tr r="AG31" s="1"/>
      </tp>
      <tp>
        <v>0</v>
        <stp/>
        <stp>P</stp>
        <stp>0</stp>
        <stp>FUT</stp>
        <stp>CA5</stp>
        <stp>은행순매수수량</stp>
        <stp>45342</stp>
        <stp/>
        <tr r="AG32" s="1"/>
      </tp>
      <tp>
        <v>0</v>
        <stp/>
        <stp>P</stp>
        <stp>0</stp>
        <stp>FUT</stp>
        <stp>CA6</stp>
        <stp>은행순매수수량</stp>
        <stp>45342</stp>
        <stp/>
        <tr r="AG41" s="1"/>
      </tp>
      <tp>
        <v>0</v>
        <stp/>
        <stp>P</stp>
        <stp>0</stp>
        <stp>FUT</stp>
        <stp>CA7</stp>
        <stp>은행순매수수량</stp>
        <stp>45342</stp>
        <stp/>
        <tr r="AG48" s="1"/>
      </tp>
      <tp>
        <v>0</v>
        <stp/>
        <stp>P</stp>
        <stp>0</stp>
        <stp>IDX</stp>
        <stp>ELW</stp>
        <stp>은행순매수수량</stp>
        <stp>45342</stp>
        <stp/>
        <tr r="AG61" s="1"/>
      </tp>
      <tp>
        <v>2063</v>
        <stp/>
        <stp>P</stp>
        <stp>0</stp>
        <stp>IDX</stp>
        <stp>ETF</stp>
        <stp>은행순매수수량</stp>
        <stp>45342</stp>
        <stp/>
        <tr r="AG62" s="1"/>
      </tp>
      <tp>
        <v>0</v>
        <stp/>
        <stp>P</stp>
        <stp>0</stp>
        <stp>IDX</stp>
        <stp>ETN</stp>
        <stp>은행순매수수량</stp>
        <stp>45342</stp>
        <stp/>
        <tr r="AG63" s="1"/>
      </tp>
      <tp>
        <v>-70</v>
        <stp/>
        <stp>P</stp>
        <stp>0</stp>
        <stp>IDX</stp>
        <stp>801</stp>
        <stp>은행순매수수량</stp>
        <stp>45342</stp>
        <stp/>
        <tr r="AG11" s="1"/>
      </tp>
      <tp>
        <v>3</v>
        <stp/>
        <stp>P</stp>
        <stp>0</stp>
        <stp>IDX</stp>
        <stp>001</stp>
        <stp>은행순매수수량</stp>
        <stp>45342</stp>
        <stp/>
        <tr r="AG10" s="1"/>
      </tp>
      <tp>
        <v>175</v>
        <stp/>
        <stp>P</stp>
        <stp>0</stp>
        <stp>FUT</stp>
        <stp>CAD</stp>
        <stp>증권/선물순매수수량</stp>
        <stp>45342</stp>
        <stp/>
        <tr r="AC51" s="1"/>
      </tp>
      <tp>
        <v>16363</v>
        <stp/>
        <stp>P</stp>
        <stp>0</stp>
        <stp>OPT</stp>
        <stp>30100000</stp>
        <stp>외국인합순매수수량</stp>
        <stp>45342</stp>
        <stp/>
        <tr r="Z57" s="1"/>
      </tp>
      <tp>
        <v>-7066</v>
        <stp/>
        <stp>P</stp>
        <stp>0</stp>
        <stp>OPT</stp>
        <stp>20100000</stp>
        <stp>외국인합순매수수량</stp>
        <stp>45342</stp>
        <stp/>
        <tr r="Z56" s="1"/>
      </tp>
      <tp>
        <v>4</v>
        <stp/>
        <stp>P</stp>
        <stp>0</stp>
        <stp>FUT</stp>
        <stp>CAE</stp>
        <stp>증권/선물순매수수량</stp>
        <stp>45342</stp>
        <stp/>
        <tr r="AC53" s="1"/>
      </tp>
      <tp>
        <v>0</v>
        <stp/>
        <stp>P</stp>
        <stp>0</stp>
        <stp>IDX</stp>
        <stp>ETF</stp>
        <stp>국가/지방순매수수량</stp>
        <stp>45342</stp>
        <stp/>
        <tr r="AJ62" s="1"/>
      </tp>
      <tp>
        <v>-13797</v>
        <stp/>
        <stp>P</stp>
        <stp>0</stp>
        <stp>IDX</stp>
        <stp>ETN</stp>
        <stp>증권/선물순매수수량</stp>
        <stp>45342</stp>
        <stp/>
        <tr r="AC63" s="1"/>
      </tp>
      <tp>
        <v>0</v>
        <stp/>
        <stp>P</stp>
        <stp>0</stp>
        <stp>FUT</stp>
        <stp>CAB</stp>
        <stp>증권/선물순매수수량</stp>
        <stp>45342</stp>
        <stp/>
        <tr r="AC43" s="1"/>
      </tp>
      <tp>
        <v>0</v>
        <stp/>
        <stp>P</stp>
        <stp>0</stp>
        <stp>FUT</stp>
        <stp>CAC</stp>
        <stp>증권/선물순매수수량</stp>
        <stp>45342</stp>
        <stp/>
        <tr r="AC52" s="1"/>
      </tp>
      <tp>
        <v>402</v>
        <stp/>
        <stp>P</stp>
        <stp>0</stp>
        <stp>OPT</stp>
        <stp>30500000</stp>
        <stp>외국인합순매수수량</stp>
        <stp>45342</stp>
        <stp/>
        <tr r="Z59" s="1"/>
      </tp>
      <tp>
        <v>207</v>
        <stp/>
        <stp>P</stp>
        <stp>0</stp>
        <stp>OPT</stp>
        <stp>20500000</stp>
        <stp>외국인합순매수수량</stp>
        <stp>45342</stp>
        <stp/>
        <tr r="Z58" s="1"/>
      </tp>
      <tp>
        <v>-10</v>
        <stp/>
        <stp>P</stp>
        <stp>0</stp>
        <stp>FUT</stp>
        <stp>CAA</stp>
        <stp>증권/선물순매수수량</stp>
        <stp>45342</stp>
        <stp/>
        <tr r="AC44" s="1"/>
      </tp>
      <tp>
        <v>0</v>
        <stp/>
        <stp>P</stp>
        <stp>0</stp>
        <stp>FUT</stp>
        <stp>C06</stp>
        <stp>국가/지방순매수수량</stp>
        <stp>45342</stp>
        <stp/>
        <tr r="AJ28" s="1"/>
      </tp>
      <tp>
        <v>0</v>
        <stp/>
        <stp>P</stp>
        <stp>0</stp>
        <stp>FUT</stp>
        <stp>C76</stp>
        <stp>국가/지방순매수수량</stp>
        <stp>45342</stp>
        <stp/>
        <tr r="AJ36" s="1"/>
      </tp>
      <tp>
        <v>0</v>
        <stp/>
        <stp>P</stp>
        <stp>0</stp>
        <stp>FUT</stp>
        <stp>C66</stp>
        <stp>국가/지방순매수수량</stp>
        <stp>45342</stp>
        <stp/>
        <tr r="AJ21" s="1"/>
      </tp>
      <tp>
        <v>0</v>
        <stp/>
        <stp>P</stp>
        <stp>0</stp>
        <stp>FUT</stp>
        <stp>CA6</stp>
        <stp>국가/지방순매수수량</stp>
        <stp>45342</stp>
        <stp/>
        <tr r="AJ41" s="1"/>
      </tp>
      <tp>
        <v>4405</v>
        <stp/>
        <stp>P</stp>
        <stp>0</stp>
        <stp>FUT</stp>
        <stp>C06</stp>
        <stp>외국인합순매수수량</stp>
        <stp>45342</stp>
        <stp/>
        <tr r="Z28" s="1"/>
      </tp>
      <tp>
        <v>0</v>
        <stp/>
        <stp>P</stp>
        <stp>0</stp>
        <stp>FUT</stp>
        <stp>C07</stp>
        <stp>외국인합순매수수량</stp>
        <stp>45342</stp>
        <stp/>
        <tr r="Z33" s="1"/>
      </tp>
      <tp>
        <v>-2752</v>
        <stp/>
        <stp>P</stp>
        <stp>0</stp>
        <stp>FUT</stp>
        <stp>C05</stp>
        <stp>외국인합순매수수량</stp>
        <stp>45342</stp>
        <stp/>
        <tr r="Z27" s="1"/>
      </tp>
      <tp>
        <v>-8497</v>
        <stp/>
        <stp>P</stp>
        <stp>0</stp>
        <stp>FUT</stp>
        <stp>C01</stp>
        <stp>외국인합순매수수량</stp>
        <stp>45342</stp>
        <stp/>
        <tr r="Z26" s="1"/>
      </tp>
      <tp>
        <v>0</v>
        <stp/>
        <stp>P</stp>
        <stp>0</stp>
        <stp>FUT</stp>
        <stp>C08</stp>
        <stp>외국인합순매수수량</stp>
        <stp>45342</stp>
        <stp/>
        <tr r="Z29" s="1"/>
      </tp>
      <tp>
        <v>0</v>
        <stp/>
        <stp>P</stp>
        <stp>0</stp>
        <stp>FUT</stp>
        <stp>C09</stp>
        <stp>외국인합순매수수량</stp>
        <stp>45342</stp>
        <stp/>
        <tr r="Z30" s="1"/>
      </tp>
      <tp>
        <v>0</v>
        <stp/>
        <stp>P</stp>
        <stp>0</stp>
        <stp>FUT</stp>
        <stp>C07</stp>
        <stp>국가/지방순매수수량</stp>
        <stp>45342</stp>
        <stp/>
        <tr r="AJ33" s="1"/>
      </tp>
      <tp>
        <v>0</v>
        <stp/>
        <stp>P</stp>
        <stp>0</stp>
        <stp>FUT</stp>
        <stp>C77</stp>
        <stp>국가/지방순매수수량</stp>
        <stp>45342</stp>
        <stp/>
        <tr r="AJ37" s="1"/>
      </tp>
      <tp>
        <v>0</v>
        <stp/>
        <stp>P</stp>
        <stp>0</stp>
        <stp>FUT</stp>
        <stp>C67</stp>
        <stp>국가/지방순매수수량</stp>
        <stp>45342</stp>
        <stp/>
        <tr r="AJ22" s="1"/>
      </tp>
      <tp>
        <v>0</v>
        <stp/>
        <stp>P</stp>
        <stp>0</stp>
        <stp>FUT</stp>
        <stp>CA7</stp>
        <stp>국가/지방순매수수량</stp>
        <stp>45342</stp>
        <stp/>
        <tr r="AJ48" s="1"/>
      </tp>
      <tp>
        <v>0</v>
        <stp/>
        <stp>P</stp>
        <stp>0</stp>
        <stp>FUT</stp>
        <stp>CAA</stp>
        <stp>보험순매수수량</stp>
        <stp>45342</stp>
        <stp/>
        <tr r="AD44" s="1"/>
      </tp>
      <tp>
        <v>0</v>
        <stp/>
        <stp>P</stp>
        <stp>0</stp>
        <stp>FUT</stp>
        <stp>CAB</stp>
        <stp>보험순매수수량</stp>
        <stp>45342</stp>
        <stp/>
        <tr r="AD43" s="1"/>
      </tp>
      <tp>
        <v>0</v>
        <stp/>
        <stp>P</stp>
        <stp>0</stp>
        <stp>FUT</stp>
        <stp>CAC</stp>
        <stp>보험순매수수량</stp>
        <stp>45342</stp>
        <stp/>
        <tr r="AD52" s="1"/>
      </tp>
      <tp>
        <v>0</v>
        <stp/>
        <stp>P</stp>
        <stp>0</stp>
        <stp>FUT</stp>
        <stp>CAD</stp>
        <stp>보험순매수수량</stp>
        <stp>45342</stp>
        <stp/>
        <tr r="AD51" s="1"/>
      </tp>
      <tp>
        <v>0</v>
        <stp/>
        <stp>P</stp>
        <stp>0</stp>
        <stp>FUT</stp>
        <stp>CAE</stp>
        <stp>보험순매수수량</stp>
        <stp>45342</stp>
        <stp/>
        <tr r="AD53" s="1"/>
      </tp>
      <tp>
        <v>0</v>
        <stp/>
        <stp>P</stp>
        <stp>0</stp>
        <stp>FUT</stp>
        <stp>CA8</stp>
        <stp>보험순매수수량</stp>
        <stp>45342</stp>
        <stp/>
        <tr r="AD50" s="1"/>
      </tp>
      <tp>
        <v>0</v>
        <stp/>
        <stp>P</stp>
        <stp>0</stp>
        <stp>FUT</stp>
        <stp>CA9</stp>
        <stp>보험순매수수량</stp>
        <stp>45342</stp>
        <stp/>
        <tr r="AD49" s="1"/>
      </tp>
      <tp>
        <v>0</v>
        <stp/>
        <stp>P</stp>
        <stp>0</stp>
        <stp>FUT</stp>
        <stp>CA0</stp>
        <stp>보험순매수수량</stp>
        <stp>45342</stp>
        <stp/>
        <tr r="AD45" s="1"/>
      </tp>
      <tp>
        <v>0</v>
        <stp/>
        <stp>P</stp>
        <stp>0</stp>
        <stp>FUT</stp>
        <stp>CA1</stp>
        <stp>보험순매수수량</stp>
        <stp>45342</stp>
        <stp/>
        <tr r="AD47" s="1"/>
      </tp>
      <tp>
        <v>0</v>
        <stp/>
        <stp>P</stp>
        <stp>0</stp>
        <stp>FUT</stp>
        <stp>CA2</stp>
        <stp>보험순매수수량</stp>
        <stp>45342</stp>
        <stp/>
        <tr r="AD42" s="1"/>
      </tp>
      <tp>
        <v>0</v>
        <stp/>
        <stp>P</stp>
        <stp>0</stp>
        <stp>FUT</stp>
        <stp>CA3</stp>
        <stp>보험순매수수량</stp>
        <stp>45342</stp>
        <stp/>
        <tr r="AD46" s="1"/>
      </tp>
      <tp>
        <v>0</v>
        <stp/>
        <stp>P</stp>
        <stp>0</stp>
        <stp>FUT</stp>
        <stp>CA4</stp>
        <stp>보험순매수수량</stp>
        <stp>45342</stp>
        <stp/>
        <tr r="AD31" s="1"/>
      </tp>
      <tp>
        <v>0</v>
        <stp/>
        <stp>P</stp>
        <stp>0</stp>
        <stp>FUT</stp>
        <stp>CA5</stp>
        <stp>보험순매수수량</stp>
        <stp>45342</stp>
        <stp/>
        <tr r="AD32" s="1"/>
      </tp>
      <tp>
        <v>0</v>
        <stp/>
        <stp>P</stp>
        <stp>0</stp>
        <stp>FUT</stp>
        <stp>CA6</stp>
        <stp>보험순매수수량</stp>
        <stp>45342</stp>
        <stp/>
        <tr r="AD41" s="1"/>
      </tp>
      <tp>
        <v>0</v>
        <stp/>
        <stp>P</stp>
        <stp>0</stp>
        <stp>FUT</stp>
        <stp>CA7</stp>
        <stp>보험순매수수량</stp>
        <stp>45342</stp>
        <stp/>
        <tr r="AD48" s="1"/>
      </tp>
      <tp>
        <v>0</v>
        <stp/>
        <stp>P</stp>
        <stp>0</stp>
        <stp>FUT</stp>
        <stp>C88</stp>
        <stp>보험순매수수량</stp>
        <stp>45342</stp>
        <stp/>
        <tr r="AD54" s="1"/>
      </tp>
      <tp>
        <v>1538</v>
        <stp/>
        <stp>P</stp>
        <stp>0</stp>
        <stp>FUT</stp>
        <stp>C99</stp>
        <stp>보험순매수수량</stp>
        <stp>45342</stp>
        <stp/>
        <tr r="AD39" s="1"/>
      </tp>
      <tp>
        <v>0</v>
        <stp/>
        <stp>P</stp>
        <stp>0</stp>
        <stp>FUT</stp>
        <stp>C69</stp>
        <stp>보험순매수수량</stp>
        <stp>45342</stp>
        <stp/>
        <tr r="AD24" s="1"/>
      </tp>
      <tp>
        <v>1117</v>
        <stp/>
        <stp>P</stp>
        <stp>0</stp>
        <stp>FUT</stp>
        <stp>C65</stp>
        <stp>보험순매수수량</stp>
        <stp>45342</stp>
        <stp/>
        <tr r="AD20" s="1"/>
      </tp>
      <tp>
        <v>0</v>
        <stp/>
        <stp>P</stp>
        <stp>0</stp>
        <stp>FUT</stp>
        <stp>C66</stp>
        <stp>보험순매수수량</stp>
        <stp>45342</stp>
        <stp/>
        <tr r="AD21" s="1"/>
      </tp>
      <tp>
        <v>-339</v>
        <stp/>
        <stp>P</stp>
        <stp>0</stp>
        <stp>FUT</stp>
        <stp>C67</stp>
        <stp>보험순매수수량</stp>
        <stp>45342</stp>
        <stp/>
        <tr r="AD22" s="1"/>
      </tp>
      <tp>
        <v>0</v>
        <stp/>
        <stp>P</stp>
        <stp>0</stp>
        <stp>FUT</stp>
        <stp>C78</stp>
        <stp>보험순매수수량</stp>
        <stp>45342</stp>
        <stp/>
        <tr r="AD38" s="1"/>
      </tp>
      <tp>
        <v>0</v>
        <stp/>
        <stp>P</stp>
        <stp>0</stp>
        <stp>FUT</stp>
        <stp>C70</stp>
        <stp>보험순매수수량</stp>
        <stp>45342</stp>
        <stp/>
        <tr r="AD23" s="1"/>
      </tp>
      <tp>
        <v>-8</v>
        <stp/>
        <stp>P</stp>
        <stp>0</stp>
        <stp>FUT</stp>
        <stp>C75</stp>
        <stp>보험순매수수량</stp>
        <stp>45342</stp>
        <stp/>
        <tr r="AD35" s="1"/>
      </tp>
      <tp>
        <v>0</v>
        <stp/>
        <stp>P</stp>
        <stp>0</stp>
        <stp>FUT</stp>
        <stp>C76</stp>
        <stp>보험순매수수량</stp>
        <stp>45342</stp>
        <stp/>
        <tr r="AD36" s="1"/>
      </tp>
      <tp>
        <v>-1</v>
        <stp/>
        <stp>P</stp>
        <stp>0</stp>
        <stp>FUT</stp>
        <stp>C77</stp>
        <stp>보험순매수수량</stp>
        <stp>45342</stp>
        <stp/>
        <tr r="AD37" s="1"/>
      </tp>
      <tp>
        <v>0</v>
        <stp/>
        <stp>P</stp>
        <stp>0</stp>
        <stp>FUT</stp>
        <stp>C08</stp>
        <stp>보험순매수수량</stp>
        <stp>45342</stp>
        <stp/>
        <tr r="AD29" s="1"/>
      </tp>
      <tp>
        <v>0</v>
        <stp/>
        <stp>P</stp>
        <stp>0</stp>
        <stp>FUT</stp>
        <stp>C09</stp>
        <stp>보험순매수수량</stp>
        <stp>45342</stp>
        <stp/>
        <tr r="AD30" s="1"/>
      </tp>
      <tp>
        <v>100</v>
        <stp/>
        <stp>P</stp>
        <stp>0</stp>
        <stp>FUT</stp>
        <stp>C01</stp>
        <stp>보험순매수수량</stp>
        <stp>45342</stp>
        <stp/>
        <tr r="AD26" s="1"/>
      </tp>
      <tp>
        <v>0</v>
        <stp/>
        <stp>P</stp>
        <stp>0</stp>
        <stp>FUT</stp>
        <stp>C05</stp>
        <stp>보험순매수수량</stp>
        <stp>45342</stp>
        <stp/>
        <tr r="AD27" s="1"/>
      </tp>
      <tp>
        <v>0</v>
        <stp/>
        <stp>P</stp>
        <stp>0</stp>
        <stp>FUT</stp>
        <stp>C06</stp>
        <stp>보험순매수수량</stp>
        <stp>45342</stp>
        <stp/>
        <tr r="AD28" s="1"/>
      </tp>
      <tp>
        <v>0</v>
        <stp/>
        <stp>P</stp>
        <stp>0</stp>
        <stp>FUT</stp>
        <stp>C07</stp>
        <stp>보험순매수수량</stp>
        <stp>45342</stp>
        <stp/>
        <tr r="AD33" s="1"/>
      </tp>
      <tp>
        <v>-472</v>
        <stp/>
        <stp>P</stp>
        <stp>0</stp>
        <stp>IDX</stp>
        <stp>ETF</stp>
        <stp>보험순매수수량</stp>
        <stp>45342</stp>
        <stp/>
        <tr r="AD62" s="1"/>
      </tp>
      <tp>
        <v>0</v>
        <stp/>
        <stp>P</stp>
        <stp>0</stp>
        <stp>IDX</stp>
        <stp>ETN</stp>
        <stp>보험순매수수량</stp>
        <stp>45342</stp>
        <stp/>
        <tr r="AD63" s="1"/>
      </tp>
      <tp>
        <v>0</v>
        <stp/>
        <stp>P</stp>
        <stp>0</stp>
        <stp>IDX</stp>
        <stp>ELW</stp>
        <stp>보험순매수수량</stp>
        <stp>45342</stp>
        <stp/>
        <tr r="AD61" s="1"/>
      </tp>
      <tp>
        <v>-17</v>
        <stp/>
        <stp>P</stp>
        <stp>0</stp>
        <stp>IDX</stp>
        <stp>801</stp>
        <stp>보험순매수수량</stp>
        <stp>45342</stp>
        <stp/>
        <tr r="AD11" s="1"/>
      </tp>
      <tp>
        <v>-61</v>
        <stp/>
        <stp>P</stp>
        <stp>0</stp>
        <stp>IDX</stp>
        <stp>001</stp>
        <stp>보험순매수수량</stp>
        <stp>45342</stp>
        <stp/>
        <tr r="AD10" s="1"/>
      </tp>
      <tp>
        <v>0</v>
        <stp/>
        <stp>P</stp>
        <stp>0</stp>
        <stp>FUT</stp>
        <stp>CA4</stp>
        <stp>국가/지방순매수수량</stp>
        <stp>45342</stp>
        <stp/>
        <tr r="AJ31" s="1"/>
      </tp>
      <tp>
        <v>0</v>
        <stp/>
        <stp>P</stp>
        <stp>0</stp>
        <stp>FUT</stp>
        <stp>C05</stp>
        <stp>국가/지방순매수수량</stp>
        <stp>45342</stp>
        <stp/>
        <tr r="AJ27" s="1"/>
      </tp>
      <tp>
        <v>0</v>
        <stp/>
        <stp>P</stp>
        <stp>0</stp>
        <stp>FUT</stp>
        <stp>C75</stp>
        <stp>국가/지방순매수수량</stp>
        <stp>45342</stp>
        <stp/>
        <tr r="AJ35" s="1"/>
      </tp>
      <tp>
        <v>0</v>
        <stp/>
        <stp>P</stp>
        <stp>0</stp>
        <stp>FUT</stp>
        <stp>C65</stp>
        <stp>국가/지방순매수수량</stp>
        <stp>45342</stp>
        <stp/>
        <tr r="AJ20" s="1"/>
      </tp>
      <tp>
        <v>0</v>
        <stp/>
        <stp>P</stp>
        <stp>0</stp>
        <stp>FUT</stp>
        <stp>CA5</stp>
        <stp>국가/지방순매수수량</stp>
        <stp>45342</stp>
        <stp/>
        <tr r="AJ32" s="1"/>
      </tp>
      <tp>
        <v>-305</v>
        <stp/>
        <stp>P</stp>
        <stp>0</stp>
        <stp>IDX</stp>
        <stp>001</stp>
        <stp>증권/선물순매수수량</stp>
        <stp>45342</stp>
        <stp/>
        <tr r="AC10" s="1"/>
      </tp>
      <tp>
        <v>-1236</v>
        <stp/>
        <stp>P</stp>
        <stp>0</stp>
        <stp>IDX</stp>
        <stp>801</stp>
        <stp>증권/선물순매수수량</stp>
        <stp>45342</stp>
        <stp/>
        <tr r="AC11" s="1"/>
      </tp>
      <tp>
        <v>0</v>
        <stp/>
        <stp>P</stp>
        <stp>0</stp>
        <stp>FUT</stp>
        <stp>CA2</stp>
        <stp>국가/지방순매수수량</stp>
        <stp>45342</stp>
        <stp/>
        <tr r="AJ42" s="1"/>
      </tp>
      <tp>
        <v>0</v>
        <stp/>
        <stp>P</stp>
        <stp>0</stp>
        <stp>FUT</stp>
        <stp>CA3</stp>
        <stp>국가/지방순매수수량</stp>
        <stp>45342</stp>
        <stp/>
        <tr r="AJ46" s="1"/>
      </tp>
      <tp>
        <v>-21</v>
        <stp/>
        <stp>P</stp>
        <stp>0</stp>
        <stp>FUT</stp>
        <stp>C76</stp>
        <stp>외국인합순매수수량</stp>
        <stp>45342</stp>
        <stp/>
        <tr r="Z36" s="1"/>
      </tp>
      <tp>
        <v>0</v>
        <stp/>
        <stp>P</stp>
        <stp>0</stp>
        <stp>FUT</stp>
        <stp>C77</stp>
        <stp>외국인합순매수수량</stp>
        <stp>45342</stp>
        <stp/>
        <tr r="Z37" s="1"/>
      </tp>
      <tp>
        <v>22815</v>
        <stp/>
        <stp>P</stp>
        <stp>0</stp>
        <stp>FUT</stp>
        <stp>C75</stp>
        <stp>외국인합순매수수량</stp>
        <stp>45342</stp>
        <stp/>
        <tr r="Z35" s="1"/>
      </tp>
      <tp>
        <v>0</v>
        <stp/>
        <stp>P</stp>
        <stp>0</stp>
        <stp>FUT</stp>
        <stp>C70</stp>
        <stp>외국인합순매수수량</stp>
        <stp>45342</stp>
        <stp/>
        <tr r="Z23" s="1"/>
      </tp>
      <tp>
        <v>0</v>
        <stp/>
        <stp>P</stp>
        <stp>0</stp>
        <stp>FUT</stp>
        <stp>C78</stp>
        <stp>외국인합순매수수량</stp>
        <stp>45342</stp>
        <stp/>
        <tr r="Z38" s="1"/>
      </tp>
      <tp>
        <v>0</v>
        <stp/>
        <stp>P</stp>
        <stp>0</stp>
        <stp>FUT</stp>
        <stp>C70</stp>
        <stp>국가/지방순매수수량</stp>
        <stp>45342</stp>
        <stp/>
        <tr r="AJ23" s="1"/>
      </tp>
      <tp>
        <v>0</v>
        <stp/>
        <stp>P</stp>
        <stp>0</stp>
        <stp>FUT</stp>
        <stp>CA0</stp>
        <stp>국가/지방순매수수량</stp>
        <stp>45342</stp>
        <stp/>
        <tr r="AJ45" s="1"/>
      </tp>
      <tp>
        <v>0</v>
        <stp/>
        <stp>P</stp>
        <stp>0</stp>
        <stp>FUT</stp>
        <stp>C88</stp>
        <stp>증권/선물순매수수량</stp>
        <stp>45342</stp>
        <stp/>
        <tr r="AC54" s="1"/>
      </tp>
      <tp>
        <v>0</v>
        <stp/>
        <stp>P</stp>
        <stp>0</stp>
        <stp>FUT</stp>
        <stp>C78</stp>
        <stp>증권/선물순매수수량</stp>
        <stp>45342</stp>
        <stp/>
        <tr r="AC38" s="1"/>
      </tp>
      <tp>
        <v>0</v>
        <stp/>
        <stp>P</stp>
        <stp>0</stp>
        <stp>FUT</stp>
        <stp>C08</stp>
        <stp>증권/선물순매수수량</stp>
        <stp>45342</stp>
        <stp/>
        <tr r="AC29" s="1"/>
      </tp>
      <tp>
        <v>0</v>
        <stp/>
        <stp>P</stp>
        <stp>0</stp>
        <stp>FUT</stp>
        <stp>CA8</stp>
        <stp>증권/선물순매수수량</stp>
        <stp>45342</stp>
        <stp/>
        <tr r="AC50" s="1"/>
      </tp>
      <tp>
        <v>0</v>
        <stp/>
        <stp>P</stp>
        <stp>0</stp>
        <stp>FUT</stp>
        <stp>C66</stp>
        <stp>외국인합순매수수량</stp>
        <stp>45342</stp>
        <stp/>
        <tr r="Z21" s="1"/>
      </tp>
      <tp>
        <v>-848</v>
        <stp/>
        <stp>P</stp>
        <stp>0</stp>
        <stp>FUT</stp>
        <stp>C67</stp>
        <stp>외국인합순매수수량</stp>
        <stp>45342</stp>
        <stp/>
        <tr r="Z22" s="1"/>
      </tp>
      <tp>
        <v>-1739</v>
        <stp/>
        <stp>P</stp>
        <stp>0</stp>
        <stp>FUT</stp>
        <stp>C65</stp>
        <stp>외국인합순매수수량</stp>
        <stp>45342</stp>
        <stp/>
        <tr r="Z20" s="1"/>
      </tp>
      <tp>
        <v>0</v>
        <stp/>
        <stp>P</stp>
        <stp>0</stp>
        <stp>FUT</stp>
        <stp>C69</stp>
        <stp>외국인합순매수수량</stp>
        <stp>45342</stp>
        <stp/>
        <tr r="Z24" s="1"/>
      </tp>
      <tp>
        <v>0</v>
        <stp/>
        <stp>P</stp>
        <stp>0</stp>
        <stp>FUT</stp>
        <stp>C01</stp>
        <stp>국가/지방순매수수량</stp>
        <stp>45342</stp>
        <stp/>
        <tr r="AJ26" s="1"/>
      </tp>
      <tp>
        <v>0</v>
        <stp/>
        <stp>P</stp>
        <stp>0</stp>
        <stp>FUT</stp>
        <stp>CA1</stp>
        <stp>국가/지방순매수수량</stp>
        <stp>45342</stp>
        <stp/>
        <tr r="AJ47" s="1"/>
      </tp>
      <tp>
        <v>88926</v>
        <stp/>
        <stp>P</stp>
        <stp>0</stp>
        <stp>FUT</stp>
        <stp>C99</stp>
        <stp>증권/선물순매수수량</stp>
        <stp>45342</stp>
        <stp/>
        <tr r="AC39" s="1"/>
      </tp>
      <tp>
        <v>0</v>
        <stp/>
        <stp>P</stp>
        <stp>0</stp>
        <stp>FUT</stp>
        <stp>C69</stp>
        <stp>증권/선물순매수수량</stp>
        <stp>45342</stp>
        <stp/>
        <tr r="AC24" s="1"/>
      </tp>
      <tp>
        <v>0</v>
        <stp/>
        <stp>P</stp>
        <stp>0</stp>
        <stp>FUT</stp>
        <stp>C09</stp>
        <stp>증권/선물순매수수량</stp>
        <stp>45342</stp>
        <stp/>
        <tr r="AC30" s="1"/>
      </tp>
      <tp>
        <v>0</v>
        <stp/>
        <stp>P</stp>
        <stp>0</stp>
        <stp>FUT</stp>
        <stp>CA9</stp>
        <stp>증권/선물순매수수량</stp>
        <stp>45342</stp>
        <stp/>
        <tr r="AC49" s="1"/>
      </tp>
      <tp>
        <v>-73328</v>
        <stp/>
        <stp>P</stp>
        <stp>0</stp>
        <stp>FUT</stp>
        <stp>C99</stp>
        <stp>외국인합순매수수량</stp>
        <stp>45342</stp>
        <stp/>
        <tr r="Z39" s="1"/>
      </tp>
      <tp>
        <v>52</v>
        <stp/>
        <stp>P</stp>
        <stp>0</stp>
        <stp>FUT</stp>
        <stp>C76</stp>
        <stp>증권/선물순매수수량</stp>
        <stp>45342</stp>
        <stp/>
        <tr r="AC36" s="1"/>
      </tp>
      <tp>
        <v>0</v>
        <stp/>
        <stp>P</stp>
        <stp>0</stp>
        <stp>FUT</stp>
        <stp>C66</stp>
        <stp>증권/선물순매수수량</stp>
        <stp>45342</stp>
        <stp/>
        <tr r="AC21" s="1"/>
      </tp>
      <tp>
        <v>-6147</v>
        <stp/>
        <stp>P</stp>
        <stp>0</stp>
        <stp>FUT</stp>
        <stp>C06</stp>
        <stp>증권/선물순매수수량</stp>
        <stp>45342</stp>
        <stp/>
        <tr r="AC28" s="1"/>
      </tp>
      <tp>
        <v>10</v>
        <stp/>
        <stp>P</stp>
        <stp>0</stp>
        <stp>FUT</stp>
        <stp>CA6</stp>
        <stp>증권/선물순매수수량</stp>
        <stp>45342</stp>
        <stp/>
        <tr r="AC41" s="1"/>
      </tp>
      <tp>
        <v>0</v>
        <stp/>
        <stp>P</stp>
        <stp>0</stp>
        <stp>FUT</stp>
        <stp>C88</stp>
        <stp>외국인합순매수수량</stp>
        <stp>45342</stp>
        <stp/>
        <tr r="Z54" s="1"/>
      </tp>
      <tp>
        <v>2</v>
        <stp/>
        <stp>P</stp>
        <stp>0</stp>
        <stp>FUT</stp>
        <stp>C77</stp>
        <stp>증권/선물순매수수량</stp>
        <stp>45342</stp>
        <stp/>
        <tr r="AC37" s="1"/>
      </tp>
      <tp>
        <v>795</v>
        <stp/>
        <stp>P</stp>
        <stp>0</stp>
        <stp>FUT</stp>
        <stp>C67</stp>
        <stp>증권/선물순매수수량</stp>
        <stp>45342</stp>
        <stp/>
        <tr r="AC22" s="1"/>
      </tp>
      <tp>
        <v>0</v>
        <stp/>
        <stp>P</stp>
        <stp>0</stp>
        <stp>FUT</stp>
        <stp>C07</stp>
        <stp>증권/선물순매수수량</stp>
        <stp>45342</stp>
        <stp/>
        <tr r="AC33" s="1"/>
      </tp>
      <tp>
        <v>0</v>
        <stp/>
        <stp>P</stp>
        <stp>0</stp>
        <stp>FUT</stp>
        <stp>CA7</stp>
        <stp>증권/선물순매수수량</stp>
        <stp>45342</stp>
        <stp/>
        <tr r="AC48" s="1"/>
      </tp>
      <tp>
        <v>0</v>
        <stp/>
        <stp>P</stp>
        <stp>0</stp>
        <stp>FUT</stp>
        <stp>CA4</stp>
        <stp>증권/선물순매수수량</stp>
        <stp>45342</stp>
        <stp/>
        <tr r="AC31" s="1"/>
      </tp>
      <tp>
        <v>0</v>
        <stp/>
        <stp>P</stp>
        <stp>0</stp>
        <stp>IDX</stp>
        <stp>001</stp>
        <stp>국가/지방순매수수량</stp>
        <stp>45342</stp>
        <stp/>
        <tr r="AJ10" s="1"/>
      </tp>
      <tp>
        <v>0</v>
        <stp/>
        <stp>P</stp>
        <stp>0</stp>
        <stp>IDX</stp>
        <stp>801</stp>
        <stp>국가/지방순매수수량</stp>
        <stp>45342</stp>
        <stp/>
        <tr r="AJ11" s="1"/>
      </tp>
      <tp>
        <v>-20302</v>
        <stp/>
        <stp>P</stp>
        <stp>0</stp>
        <stp>FUT</stp>
        <stp>C75</stp>
        <stp>증권/선물순매수수량</stp>
        <stp>45342</stp>
        <stp/>
        <tr r="AC35" s="1"/>
      </tp>
      <tp>
        <v>3665</v>
        <stp/>
        <stp>P</stp>
        <stp>0</stp>
        <stp>FUT</stp>
        <stp>C65</stp>
        <stp>증권/선물순매수수량</stp>
        <stp>45342</stp>
        <stp/>
        <tr r="AC20" s="1"/>
      </tp>
      <tp>
        <v>-432</v>
        <stp/>
        <stp>P</stp>
        <stp>0</stp>
        <stp>FUT</stp>
        <stp>C05</stp>
        <stp>증권/선물순매수수량</stp>
        <stp>45342</stp>
        <stp/>
        <tr r="AC27" s="1"/>
      </tp>
      <tp>
        <v>0</v>
        <stp/>
        <stp>P</stp>
        <stp>0</stp>
        <stp>FUT</stp>
        <stp>CA5</stp>
        <stp>증권/선물순매수수량</stp>
        <stp>45342</stp>
        <stp/>
        <tr r="AC32" s="1"/>
      </tp>
      <tp>
        <v>48</v>
        <stp/>
        <stp>P</stp>
        <stp>0</stp>
        <stp>FUT</stp>
        <stp>CA2</stp>
        <stp>증권/선물순매수수량</stp>
        <stp>45342</stp>
        <stp/>
        <tr r="AC42" s="1"/>
      </tp>
      <tp>
        <v>0</v>
        <stp/>
        <stp>P</stp>
        <stp>0</stp>
        <stp>FUT</stp>
        <stp>CA3</stp>
        <stp>증권/선물순매수수량</stp>
        <stp>45342</stp>
        <stp/>
        <tr r="AC46" s="1"/>
      </tp>
      <tp>
        <v>0</v>
        <stp/>
        <stp>P</stp>
        <stp>0</stp>
        <stp>FUT</stp>
        <stp>C08</stp>
        <stp>국가/지방순매수수량</stp>
        <stp>45342</stp>
        <stp/>
        <tr r="AJ29" s="1"/>
      </tp>
      <tp>
        <v>0</v>
        <stp/>
        <stp>P</stp>
        <stp>0</stp>
        <stp>FUT</stp>
        <stp>C78</stp>
        <stp>국가/지방순매수수량</stp>
        <stp>45342</stp>
        <stp/>
        <tr r="AJ38" s="1"/>
      </tp>
      <tp>
        <v>0</v>
        <stp/>
        <stp>P</stp>
        <stp>0</stp>
        <stp>FUT</stp>
        <stp>C88</stp>
        <stp>국가/지방순매수수량</stp>
        <stp>45342</stp>
        <stp/>
        <tr r="AJ54" s="1"/>
      </tp>
      <tp>
        <v>0</v>
        <stp/>
        <stp>P</stp>
        <stp>0</stp>
        <stp>FUT</stp>
        <stp>CA8</stp>
        <stp>국가/지방순매수수량</stp>
        <stp>45342</stp>
        <stp/>
        <tr r="AJ50" s="1"/>
      </tp>
      <tp>
        <v>9</v>
        <stp/>
        <stp>P</stp>
        <stp>0</stp>
        <stp>FUT</stp>
        <stp>C70</stp>
        <stp>증권/선물순매수수량</stp>
        <stp>45342</stp>
        <stp/>
        <tr r="AC23" s="1"/>
      </tp>
      <tp>
        <v>4</v>
        <stp/>
        <stp>P</stp>
        <stp>0</stp>
        <stp>FUT</stp>
        <stp>CA0</stp>
        <stp>증권/선물순매수수량</stp>
        <stp>45342</stp>
        <stp/>
        <tr r="AC45" s="1"/>
      </tp>
      <tp>
        <v>0</v>
        <stp/>
        <stp>P</stp>
        <stp>0</stp>
        <stp>FUT</stp>
        <stp>C09</stp>
        <stp>국가/지방순매수수량</stp>
        <stp>45342</stp>
        <stp/>
        <tr r="AJ30" s="1"/>
      </tp>
      <tp>
        <v>0</v>
        <stp/>
        <stp>P</stp>
        <stp>0</stp>
        <stp>FUT</stp>
        <stp>C69</stp>
        <stp>국가/지방순매수수량</stp>
        <stp>45342</stp>
        <stp/>
        <tr r="AJ24" s="1"/>
      </tp>
      <tp>
        <v>0</v>
        <stp/>
        <stp>P</stp>
        <stp>0</stp>
        <stp>FUT</stp>
        <stp>C99</stp>
        <stp>국가/지방순매수수량</stp>
        <stp>45342</stp>
        <stp/>
        <tr r="AJ39" s="1"/>
      </tp>
      <tp>
        <v>0</v>
        <stp/>
        <stp>P</stp>
        <stp>0</stp>
        <stp>FUT</stp>
        <stp>CA9</stp>
        <stp>국가/지방순매수수량</stp>
        <stp>45342</stp>
        <stp/>
        <tr r="AJ49" s="1"/>
      </tp>
      <tp>
        <v>5073</v>
        <stp/>
        <stp>P</stp>
        <stp>0</stp>
        <stp>FUT</stp>
        <stp>C01</stp>
        <stp>증권/선물순매수수량</stp>
        <stp>45342</stp>
        <stp/>
        <tr r="AC26" s="1"/>
      </tp>
      <tp>
        <v>0</v>
        <stp/>
        <stp>P</stp>
        <stp>0</stp>
        <stp>FUT</stp>
        <stp>CA1</stp>
        <stp>증권/선물순매수수량</stp>
        <stp>45342</stp>
        <stp/>
        <tr r="AC47" s="1"/>
      </tp>
      <tp>
        <v>-13869</v>
        <stp/>
        <stp>P</stp>
        <stp>0</stp>
        <stp>IDX</stp>
        <stp>801</stp>
        <stp>외국인합순매수수량</stp>
        <stp>45342</stp>
        <stp/>
        <tr r="Z11" s="1"/>
      </tp>
      <tp>
        <v>-5873</v>
        <stp/>
        <stp>P</stp>
        <stp>0</stp>
        <stp>IDX</stp>
        <stp>001</stp>
        <stp>외국인합순매수수량</stp>
        <stp>45342</stp>
        <stp/>
        <tr r="Z10" s="1"/>
      </tp>
      <tp>
        <v>7573</v>
        <stp/>
        <stp>P</stp>
        <stp>0</stp>
        <stp>IDX</stp>
        <stp>001</stp>
        <stp>개인순매수수량</stp>
        <stp>45342</stp>
        <stp/>
        <tr r="AA10" s="1"/>
      </tp>
      <tp>
        <v>20545</v>
        <stp/>
        <stp>P</stp>
        <stp>0</stp>
        <stp>IDX</stp>
        <stp>801</stp>
        <stp>개인순매수수량</stp>
        <stp>45342</stp>
        <stp/>
        <tr r="AA11" s="1"/>
      </tp>
      <tp>
        <v>-11020</v>
        <stp/>
        <stp>P</stp>
        <stp>0</stp>
        <stp>IDX</stp>
        <stp>ETF</stp>
        <stp>개인순매수수량</stp>
        <stp>45342</stp>
        <stp/>
        <tr r="AA62" s="1"/>
      </tp>
      <tp>
        <v>13678</v>
        <stp/>
        <stp>P</stp>
        <stp>0</stp>
        <stp>IDX</stp>
        <stp>ETN</stp>
        <stp>개인순매수수량</stp>
        <stp>45342</stp>
        <stp/>
        <tr r="AA63" s="1"/>
      </tp>
      <tp>
        <v>16989</v>
        <stp/>
        <stp>P</stp>
        <stp>0</stp>
        <stp>IDX</stp>
        <stp>ELW</stp>
        <stp>개인순매수수량</stp>
        <stp>45342</stp>
        <stp/>
        <tr r="AA61" s="1"/>
      </tp>
      <tp>
        <v>10</v>
        <stp/>
        <stp>P</stp>
        <stp>0</stp>
        <stp>FUT</stp>
        <stp>CAA</stp>
        <stp>개인순매수수량</stp>
        <stp>45342</stp>
        <stp/>
        <tr r="AA44" s="1"/>
      </tp>
      <tp>
        <v>0</v>
        <stp/>
        <stp>P</stp>
        <stp>0</stp>
        <stp>FUT</stp>
        <stp>CAB</stp>
        <stp>개인순매수수량</stp>
        <stp>45342</stp>
        <stp/>
        <tr r="AA43" s="1"/>
      </tp>
      <tp>
        <v>0</v>
        <stp/>
        <stp>P</stp>
        <stp>0</stp>
        <stp>FUT</stp>
        <stp>CAC</stp>
        <stp>개인순매수수량</stp>
        <stp>45342</stp>
        <stp/>
        <tr r="AA52" s="1"/>
      </tp>
      <tp>
        <v>-3</v>
        <stp/>
        <stp>P</stp>
        <stp>0</stp>
        <stp>FUT</stp>
        <stp>CAD</stp>
        <stp>개인순매수수량</stp>
        <stp>45342</stp>
        <stp/>
        <tr r="AA51" s="1"/>
      </tp>
      <tp>
        <v>-4</v>
        <stp/>
        <stp>P</stp>
        <stp>0</stp>
        <stp>FUT</stp>
        <stp>CAE</stp>
        <stp>개인순매수수량</stp>
        <stp>45342</stp>
        <stp/>
        <tr r="AA53" s="1"/>
      </tp>
      <tp>
        <v>0</v>
        <stp/>
        <stp>P</stp>
        <stp>0</stp>
        <stp>FUT</stp>
        <stp>CA8</stp>
        <stp>개인순매수수량</stp>
        <stp>45342</stp>
        <stp/>
        <tr r="AA50" s="1"/>
      </tp>
      <tp>
        <v>0</v>
        <stp/>
        <stp>P</stp>
        <stp>0</stp>
        <stp>FUT</stp>
        <stp>CA9</stp>
        <stp>개인순매수수량</stp>
        <stp>45342</stp>
        <stp/>
        <tr r="AA49" s="1"/>
      </tp>
      <tp>
        <v>-4</v>
        <stp/>
        <stp>P</stp>
        <stp>0</stp>
        <stp>FUT</stp>
        <stp>CA0</stp>
        <stp>개인순매수수량</stp>
        <stp>45342</stp>
        <stp/>
        <tr r="AA45" s="1"/>
      </tp>
      <tp>
        <v>0</v>
        <stp/>
        <stp>P</stp>
        <stp>0</stp>
        <stp>FUT</stp>
        <stp>CA1</stp>
        <stp>개인순매수수량</stp>
        <stp>45342</stp>
        <stp/>
        <tr r="AA47" s="1"/>
      </tp>
      <tp>
        <v>0</v>
        <stp/>
        <stp>P</stp>
        <stp>0</stp>
        <stp>FUT</stp>
        <stp>CA2</stp>
        <stp>개인순매수수량</stp>
        <stp>45342</stp>
        <stp/>
        <tr r="AA42" s="1"/>
      </tp>
      <tp>
        <v>0</v>
        <stp/>
        <stp>P</stp>
        <stp>0</stp>
        <stp>FUT</stp>
        <stp>CA3</stp>
        <stp>개인순매수수량</stp>
        <stp>45342</stp>
        <stp/>
        <tr r="AA46" s="1"/>
      </tp>
      <tp>
        <v>0</v>
        <stp/>
        <stp>P</stp>
        <stp>0</stp>
        <stp>FUT</stp>
        <stp>CA4</stp>
        <stp>개인순매수수량</stp>
        <stp>45342</stp>
        <stp/>
        <tr r="AA31" s="1"/>
      </tp>
      <tp>
        <v>0</v>
        <stp/>
        <stp>P</stp>
        <stp>0</stp>
        <stp>FUT</stp>
        <stp>CA5</stp>
        <stp>개인순매수수량</stp>
        <stp>45342</stp>
        <stp/>
        <tr r="AA32" s="1"/>
      </tp>
      <tp>
        <v>-10</v>
        <stp/>
        <stp>P</stp>
        <stp>0</stp>
        <stp>FUT</stp>
        <stp>CA6</stp>
        <stp>개인순매수수량</stp>
        <stp>45342</stp>
        <stp/>
        <tr r="AA41" s="1"/>
      </tp>
      <tp>
        <v>0</v>
        <stp/>
        <stp>P</stp>
        <stp>0</stp>
        <stp>FUT</stp>
        <stp>CA7</stp>
        <stp>개인순매수수량</stp>
        <stp>45342</stp>
        <stp/>
        <tr r="AA48" s="1"/>
      </tp>
      <tp>
        <v>0</v>
        <stp/>
        <stp>P</stp>
        <stp>0</stp>
        <stp>FUT</stp>
        <stp>C88</stp>
        <stp>개인순매수수량</stp>
        <stp>45342</stp>
        <stp/>
        <tr r="AA54" s="1"/>
      </tp>
      <tp>
        <v>-15845</v>
        <stp/>
        <stp>P</stp>
        <stp>0</stp>
        <stp>FUT</stp>
        <stp>C99</stp>
        <stp>개인순매수수량</stp>
        <stp>45342</stp>
        <stp/>
        <tr r="AA39" s="1"/>
      </tp>
      <tp>
        <v>0</v>
        <stp/>
        <stp>P</stp>
        <stp>0</stp>
        <stp>FUT</stp>
        <stp>C69</stp>
        <stp>개인순매수수량</stp>
        <stp>45342</stp>
        <stp/>
        <tr r="AA24" s="1"/>
      </tp>
      <tp>
        <v>-80</v>
        <stp/>
        <stp>P</stp>
        <stp>0</stp>
        <stp>FUT</stp>
        <stp>C65</stp>
        <stp>개인순매수수량</stp>
        <stp>45342</stp>
        <stp/>
        <tr r="AA20" s="1"/>
      </tp>
      <tp>
        <v>0</v>
        <stp/>
        <stp>P</stp>
        <stp>0</stp>
        <stp>FUT</stp>
        <stp>C66</stp>
        <stp>개인순매수수량</stp>
        <stp>45342</stp>
        <stp/>
        <tr r="AA21" s="1"/>
      </tp>
      <tp>
        <v>150</v>
        <stp/>
        <stp>P</stp>
        <stp>0</stp>
        <stp>FUT</stp>
        <stp>C67</stp>
        <stp>개인순매수수량</stp>
        <stp>45342</stp>
        <stp/>
        <tr r="AA22" s="1"/>
      </tp>
      <tp>
        <v>0</v>
        <stp/>
        <stp>P</stp>
        <stp>0</stp>
        <stp>FUT</stp>
        <stp>C78</stp>
        <stp>개인순매수수량</stp>
        <stp>45342</stp>
        <stp/>
        <tr r="AA38" s="1"/>
      </tp>
      <tp>
        <v>-2</v>
        <stp/>
        <stp>P</stp>
        <stp>0</stp>
        <stp>FUT</stp>
        <stp>C70</stp>
        <stp>개인순매수수량</stp>
        <stp>45342</stp>
        <stp/>
        <tr r="AA23" s="1"/>
      </tp>
      <tp>
        <v>-176</v>
        <stp/>
        <stp>P</stp>
        <stp>0</stp>
        <stp>FUT</stp>
        <stp>C75</stp>
        <stp>개인순매수수량</stp>
        <stp>45342</stp>
        <stp/>
        <tr r="AA35" s="1"/>
      </tp>
      <tp>
        <v>58</v>
        <stp/>
        <stp>P</stp>
        <stp>0</stp>
        <stp>FUT</stp>
        <stp>C76</stp>
        <stp>개인순매수수량</stp>
        <stp>45342</stp>
        <stp/>
        <tr r="AA36" s="1"/>
      </tp>
      <tp>
        <v>0</v>
        <stp/>
        <stp>P</stp>
        <stp>0</stp>
        <stp>FUT</stp>
        <stp>C77</stp>
        <stp>개인순매수수량</stp>
        <stp>45342</stp>
        <stp/>
        <tr r="AA37" s="1"/>
      </tp>
      <tp>
        <v>0</v>
        <stp/>
        <stp>P</stp>
        <stp>0</stp>
        <stp>FUT</stp>
        <stp>C08</stp>
        <stp>개인순매수수량</stp>
        <stp>45342</stp>
        <stp/>
        <tr r="AA29" s="1"/>
      </tp>
      <tp>
        <v>0</v>
        <stp/>
        <stp>P</stp>
        <stp>0</stp>
        <stp>FUT</stp>
        <stp>C09</stp>
        <stp>개인순매수수량</stp>
        <stp>45342</stp>
        <stp/>
        <tr r="AA30" s="1"/>
      </tp>
      <tp>
        <v>3420</v>
        <stp/>
        <stp>P</stp>
        <stp>0</stp>
        <stp>FUT</stp>
        <stp>C01</stp>
        <stp>개인순매수수량</stp>
        <stp>45342</stp>
        <stp/>
        <tr r="AA26" s="1"/>
      </tp>
      <tp>
        <v>3207</v>
        <stp/>
        <stp>P</stp>
        <stp>0</stp>
        <stp>FUT</stp>
        <stp>C05</stp>
        <stp>개인순매수수량</stp>
        <stp>45342</stp>
        <stp/>
        <tr r="AA27" s="1"/>
      </tp>
      <tp>
        <v>1324</v>
        <stp/>
        <stp>P</stp>
        <stp>0</stp>
        <stp>FUT</stp>
        <stp>C06</stp>
        <stp>개인순매수수량</stp>
        <stp>45342</stp>
        <stp/>
        <tr r="AA28" s="1"/>
      </tp>
      <tp>
        <v>0</v>
        <stp/>
        <stp>P</stp>
        <stp>0</stp>
        <stp>FUT</stp>
        <stp>C07</stp>
        <stp>개인순매수수량</stp>
        <stp>45342</stp>
        <stp/>
        <tr r="AA33" s="1"/>
      </tp>
      <tp>
        <v>-13859</v>
        <stp/>
        <stp>P</stp>
        <stp>0</stp>
        <stp>IDX</stp>
        <stp>ELW</stp>
        <stp>기관순매수수량</stp>
        <stp>45342</stp>
        <stp/>
        <tr r="AB61" s="1"/>
      </tp>
      <tp>
        <v>942</v>
        <stp/>
        <stp>P</stp>
        <stp>0</stp>
        <stp>IDX</stp>
        <stp>ETF</stp>
        <stp>기관순매수수량</stp>
        <stp>45342</stp>
        <stp/>
        <tr r="AB62" s="1"/>
      </tp>
      <tp>
        <v>-13753</v>
        <stp/>
        <stp>P</stp>
        <stp>0</stp>
        <stp>IDX</stp>
        <stp>ETN</stp>
        <stp>기관순매수수량</stp>
        <stp>45342</stp>
        <stp/>
        <tr r="AB63" s="1"/>
      </tp>
      <tp>
        <v>-3859</v>
        <stp/>
        <stp>P</stp>
        <stp>0</stp>
        <stp>IDX</stp>
        <stp>801</stp>
        <stp>기타순매수수량</stp>
        <stp>45342</stp>
        <stp/>
        <tr r="AK11" s="1"/>
      </tp>
      <tp>
        <v>0</v>
        <stp/>
        <stp>P</stp>
        <stp>0</stp>
        <stp>FUT</stp>
        <stp>C69</stp>
        <stp>기관순매수수량</stp>
        <stp>45342</stp>
        <stp/>
        <tr r="AB24" s="1"/>
      </tp>
      <tp>
        <v>1899</v>
        <stp/>
        <stp>P</stp>
        <stp>0</stp>
        <stp>FUT</stp>
        <stp>C65</stp>
        <stp>기관순매수수량</stp>
        <stp>45342</stp>
        <stp/>
        <tr r="AB20" s="1"/>
      </tp>
      <tp>
        <v>0</v>
        <stp/>
        <stp>P</stp>
        <stp>0</stp>
        <stp>FUT</stp>
        <stp>C66</stp>
        <stp>기관순매수수량</stp>
        <stp>45342</stp>
        <stp/>
        <tr r="AB21" s="1"/>
      </tp>
      <tp>
        <v>683</v>
        <stp/>
        <stp>P</stp>
        <stp>0</stp>
        <stp>FUT</stp>
        <stp>C67</stp>
        <stp>기관순매수수량</stp>
        <stp>45342</stp>
        <stp/>
        <tr r="AB22" s="1"/>
      </tp>
      <tp>
        <v>0</v>
        <stp/>
        <stp>P</stp>
        <stp>0</stp>
        <stp>FUT</stp>
        <stp>C78</stp>
        <stp>기관순매수수량</stp>
        <stp>45342</stp>
        <stp/>
        <tr r="AB38" s="1"/>
      </tp>
      <tp>
        <v>2</v>
        <stp/>
        <stp>P</stp>
        <stp>0</stp>
        <stp>FUT</stp>
        <stp>C70</stp>
        <stp>기관순매수수량</stp>
        <stp>45342</stp>
        <stp/>
        <tr r="AB23" s="1"/>
      </tp>
      <tp>
        <v>-21289</v>
        <stp/>
        <stp>P</stp>
        <stp>0</stp>
        <stp>FUT</stp>
        <stp>C75</stp>
        <stp>기관순매수수량</stp>
        <stp>45342</stp>
        <stp/>
        <tr r="AB35" s="1"/>
      </tp>
      <tp>
        <v>52</v>
        <stp/>
        <stp>P</stp>
        <stp>0</stp>
        <stp>FUT</stp>
        <stp>C76</stp>
        <stp>기관순매수수량</stp>
        <stp>45342</stp>
        <stp/>
        <tr r="AB36" s="1"/>
      </tp>
      <tp>
        <v>0</v>
        <stp/>
        <stp>P</stp>
        <stp>0</stp>
        <stp>FUT</stp>
        <stp>C77</stp>
        <stp>기관순매수수량</stp>
        <stp>45342</stp>
        <stp/>
        <tr r="AB37" s="1"/>
      </tp>
      <tp>
        <v>0</v>
        <stp/>
        <stp>P</stp>
        <stp>0</stp>
        <stp>FUT</stp>
        <stp>C08</stp>
        <stp>기관순매수수량</stp>
        <stp>45342</stp>
        <stp/>
        <tr r="AB29" s="1"/>
      </tp>
      <tp>
        <v>0</v>
        <stp/>
        <stp>P</stp>
        <stp>0</stp>
        <stp>FUT</stp>
        <stp>C09</stp>
        <stp>기관순매수수량</stp>
        <stp>45342</stp>
        <stp/>
        <tr r="AB30" s="1"/>
      </tp>
      <tp>
        <v>5163</v>
        <stp/>
        <stp>P</stp>
        <stp>0</stp>
        <stp>FUT</stp>
        <stp>C01</stp>
        <stp>기관순매수수량</stp>
        <stp>45342</stp>
        <stp/>
        <tr r="AB26" s="1"/>
      </tp>
      <tp>
        <v>-425</v>
        <stp/>
        <stp>P</stp>
        <stp>0</stp>
        <stp>FUT</stp>
        <stp>C05</stp>
        <stp>기관순매수수량</stp>
        <stp>45342</stp>
        <stp/>
        <tr r="AB27" s="1"/>
      </tp>
      <tp>
        <v>-5939</v>
        <stp/>
        <stp>P</stp>
        <stp>0</stp>
        <stp>FUT</stp>
        <stp>C06</stp>
        <stp>기관순매수수량</stp>
        <stp>45342</stp>
        <stp/>
        <tr r="AB28" s="1"/>
      </tp>
      <tp>
        <v>0</v>
        <stp/>
        <stp>P</stp>
        <stp>0</stp>
        <stp>FUT</stp>
        <stp>C07</stp>
        <stp>기관순매수수량</stp>
        <stp>45342</stp>
        <stp/>
        <tr r="AB33" s="1"/>
      </tp>
      <tp>
        <v>0</v>
        <stp/>
        <stp>P</stp>
        <stp>0</stp>
        <stp>FUT</stp>
        <stp>C88</stp>
        <stp>기관순매수수량</stp>
        <stp>45342</stp>
        <stp/>
        <tr r="AB54" s="1"/>
      </tp>
      <tp>
        <v>86599</v>
        <stp/>
        <stp>P</stp>
        <stp>0</stp>
        <stp>FUT</stp>
        <stp>C99</stp>
        <stp>기관순매수수량</stp>
        <stp>45342</stp>
        <stp/>
        <tr r="AB39" s="1"/>
      </tp>
      <tp>
        <v>-10</v>
        <stp/>
        <stp>P</stp>
        <stp>0</stp>
        <stp>FUT</stp>
        <stp>CAA</stp>
        <stp>기관순매수수량</stp>
        <stp>45342</stp>
        <stp/>
        <tr r="AB44" s="1"/>
      </tp>
      <tp>
        <v>0</v>
        <stp/>
        <stp>P</stp>
        <stp>0</stp>
        <stp>FUT</stp>
        <stp>CAB</stp>
        <stp>기관순매수수량</stp>
        <stp>45342</stp>
        <stp/>
        <tr r="AB43" s="1"/>
      </tp>
      <tp>
        <v>0</v>
        <stp/>
        <stp>P</stp>
        <stp>0</stp>
        <stp>FUT</stp>
        <stp>CAC</stp>
        <stp>기관순매수수량</stp>
        <stp>45342</stp>
        <stp/>
        <tr r="AB52" s="1"/>
      </tp>
      <tp>
        <v>175</v>
        <stp/>
        <stp>P</stp>
        <stp>0</stp>
        <stp>FUT</stp>
        <stp>CAD</stp>
        <stp>기관순매수수량</stp>
        <stp>45342</stp>
        <stp/>
        <tr r="AB51" s="1"/>
      </tp>
      <tp>
        <v>4</v>
        <stp/>
        <stp>P</stp>
        <stp>0</stp>
        <stp>FUT</stp>
        <stp>CAE</stp>
        <stp>기관순매수수량</stp>
        <stp>45342</stp>
        <stp/>
        <tr r="AB53" s="1"/>
      </tp>
      <tp>
        <v>0</v>
        <stp/>
        <stp>P</stp>
        <stp>0</stp>
        <stp>FUT</stp>
        <stp>CA8</stp>
        <stp>기관순매수수량</stp>
        <stp>45342</stp>
        <stp/>
        <tr r="AB50" s="1"/>
      </tp>
      <tp>
        <v>0</v>
        <stp/>
        <stp>P</stp>
        <stp>0</stp>
        <stp>FUT</stp>
        <stp>CA9</stp>
        <stp>기관순매수수량</stp>
        <stp>45342</stp>
        <stp/>
        <tr r="AB49" s="1"/>
      </tp>
      <tp>
        <v>4</v>
        <stp/>
        <stp>P</stp>
        <stp>0</stp>
        <stp>FUT</stp>
        <stp>CA0</stp>
        <stp>기관순매수수량</stp>
        <stp>45342</stp>
        <stp/>
        <tr r="AB45" s="1"/>
      </tp>
      <tp>
        <v>0</v>
        <stp/>
        <stp>P</stp>
        <stp>0</stp>
        <stp>FUT</stp>
        <stp>CA1</stp>
        <stp>기관순매수수량</stp>
        <stp>45342</stp>
        <stp/>
        <tr r="AB47" s="1"/>
      </tp>
      <tp>
        <v>48</v>
        <stp/>
        <stp>P</stp>
        <stp>0</stp>
        <stp>FUT</stp>
        <stp>CA2</stp>
        <stp>기관순매수수량</stp>
        <stp>45342</stp>
        <stp/>
        <tr r="AB42" s="1"/>
      </tp>
      <tp>
        <v>0</v>
        <stp/>
        <stp>P</stp>
        <stp>0</stp>
        <stp>FUT</stp>
        <stp>CA3</stp>
        <stp>기관순매수수량</stp>
        <stp>45342</stp>
        <stp/>
        <tr r="AB46" s="1"/>
      </tp>
      <tp>
        <v>0</v>
        <stp/>
        <stp>P</stp>
        <stp>0</stp>
        <stp>FUT</stp>
        <stp>CA4</stp>
        <stp>기관순매수수량</stp>
        <stp>45342</stp>
        <stp/>
        <tr r="AB31" s="1"/>
      </tp>
      <tp>
        <v>0</v>
        <stp/>
        <stp>P</stp>
        <stp>0</stp>
        <stp>FUT</stp>
        <stp>CA5</stp>
        <stp>기관순매수수량</stp>
        <stp>45342</stp>
        <stp/>
        <tr r="AB32" s="1"/>
      </tp>
      <tp>
        <v>10</v>
        <stp/>
        <stp>P</stp>
        <stp>0</stp>
        <stp>FUT</stp>
        <stp>CA6</stp>
        <stp>기관순매수수량</stp>
        <stp>45342</stp>
        <stp/>
        <tr r="AB41" s="1"/>
      </tp>
      <tp>
        <v>0</v>
        <stp/>
        <stp>P</stp>
        <stp>0</stp>
        <stp>FUT</stp>
        <stp>CA7</stp>
        <stp>기관순매수수량</stp>
        <stp>45342</stp>
        <stp/>
        <tr r="AB48" s="1"/>
      </tp>
      <tp>
        <v>230</v>
        <stp/>
        <stp>P</stp>
        <stp>0</stp>
        <stp>IDX</stp>
        <stp>001</stp>
        <stp>기타순매수수량</stp>
        <stp>45342</stp>
        <stp/>
        <tr r="AK10" s="1"/>
      </tp>
      <tp>
        <v>-1930</v>
        <stp/>
        <stp>P</stp>
        <stp>0</stp>
        <stp>IDX</stp>
        <stp>001</stp>
        <stp>기관순매수수량</stp>
        <stp>45342</stp>
        <stp/>
        <tr r="AB10" s="1"/>
      </tp>
      <tp>
        <v>0</v>
        <stp/>
        <stp>P</stp>
        <stp>0</stp>
        <stp>FUT</stp>
        <stp>CAA</stp>
        <stp>기타순매수수량</stp>
        <stp>45342</stp>
        <stp/>
        <tr r="AK44" s="1"/>
      </tp>
      <tp>
        <v>0</v>
        <stp/>
        <stp>P</stp>
        <stp>0</stp>
        <stp>FUT</stp>
        <stp>CAB</stp>
        <stp>기타순매수수량</stp>
        <stp>45342</stp>
        <stp/>
        <tr r="AK43" s="1"/>
      </tp>
      <tp>
        <v>0</v>
        <stp/>
        <stp>P</stp>
        <stp>0</stp>
        <stp>FUT</stp>
        <stp>CAC</stp>
        <stp>기타순매수수량</stp>
        <stp>45342</stp>
        <stp/>
        <tr r="AK52" s="1"/>
      </tp>
      <tp>
        <v>0</v>
        <stp/>
        <stp>P</stp>
        <stp>0</stp>
        <stp>FUT</stp>
        <stp>CAD</stp>
        <stp>기타순매수수량</stp>
        <stp>45342</stp>
        <stp/>
        <tr r="AK51" s="1"/>
      </tp>
      <tp>
        <v>0</v>
        <stp/>
        <stp>P</stp>
        <stp>0</stp>
        <stp>FUT</stp>
        <stp>CAE</stp>
        <stp>기타순매수수량</stp>
        <stp>45342</stp>
        <stp/>
        <tr r="AK53" s="1"/>
      </tp>
      <tp>
        <v>0</v>
        <stp/>
        <stp>P</stp>
        <stp>0</stp>
        <stp>FUT</stp>
        <stp>CA8</stp>
        <stp>기타순매수수량</stp>
        <stp>45342</stp>
        <stp/>
        <tr r="AK50" s="1"/>
      </tp>
      <tp>
        <v>0</v>
        <stp/>
        <stp>P</stp>
        <stp>0</stp>
        <stp>FUT</stp>
        <stp>CA9</stp>
        <stp>기타순매수수량</stp>
        <stp>45342</stp>
        <stp/>
        <tr r="AK49" s="1"/>
      </tp>
      <tp>
        <v>0</v>
        <stp/>
        <stp>P</stp>
        <stp>0</stp>
        <stp>FUT</stp>
        <stp>CA0</stp>
        <stp>기타순매수수량</stp>
        <stp>45342</stp>
        <stp/>
        <tr r="AK45" s="1"/>
      </tp>
      <tp>
        <v>0</v>
        <stp/>
        <stp>P</stp>
        <stp>0</stp>
        <stp>FUT</stp>
        <stp>CA1</stp>
        <stp>기타순매수수량</stp>
        <stp>45342</stp>
        <stp/>
        <tr r="AK47" s="1"/>
      </tp>
      <tp>
        <v>0</v>
        <stp/>
        <stp>P</stp>
        <stp>0</stp>
        <stp>FUT</stp>
        <stp>CA2</stp>
        <stp>기타순매수수량</stp>
        <stp>45342</stp>
        <stp/>
        <tr r="AK42" s="1"/>
      </tp>
      <tp>
        <v>0</v>
        <stp/>
        <stp>P</stp>
        <stp>0</stp>
        <stp>FUT</stp>
        <stp>CA3</stp>
        <stp>기타순매수수량</stp>
        <stp>45342</stp>
        <stp/>
        <tr r="AK46" s="1"/>
      </tp>
      <tp>
        <v>0</v>
        <stp/>
        <stp>P</stp>
        <stp>0</stp>
        <stp>FUT</stp>
        <stp>CA4</stp>
        <stp>기타순매수수량</stp>
        <stp>45342</stp>
        <stp/>
        <tr r="AK31" s="1"/>
      </tp>
      <tp>
        <v>0</v>
        <stp/>
        <stp>P</stp>
        <stp>0</stp>
        <stp>FUT</stp>
        <stp>CA5</stp>
        <stp>기타순매수수량</stp>
        <stp>45342</stp>
        <stp/>
        <tr r="AK32" s="1"/>
      </tp>
      <tp>
        <v>0</v>
        <stp/>
        <stp>P</stp>
        <stp>0</stp>
        <stp>FUT</stp>
        <stp>CA6</stp>
        <stp>기타순매수수량</stp>
        <stp>45342</stp>
        <stp/>
        <tr r="AK41" s="1"/>
      </tp>
      <tp>
        <v>0</v>
        <stp/>
        <stp>P</stp>
        <stp>0</stp>
        <stp>FUT</stp>
        <stp>CA7</stp>
        <stp>기타순매수수량</stp>
        <stp>45342</stp>
        <stp/>
        <tr r="AK48" s="1"/>
      </tp>
      <tp>
        <v>0</v>
        <stp/>
        <stp>P</stp>
        <stp>0</stp>
        <stp>FUT</stp>
        <stp>C69</stp>
        <stp>기타순매수수량</stp>
        <stp>45342</stp>
        <stp/>
        <tr r="AK24" s="1"/>
      </tp>
      <tp>
        <v>-80</v>
        <stp/>
        <stp>P</stp>
        <stp>0</stp>
        <stp>FUT</stp>
        <stp>C65</stp>
        <stp>기타순매수수량</stp>
        <stp>45342</stp>
        <stp/>
        <tr r="AK20" s="1"/>
      </tp>
      <tp>
        <v>0</v>
        <stp/>
        <stp>P</stp>
        <stp>0</stp>
        <stp>FUT</stp>
        <stp>C66</stp>
        <stp>기타순매수수량</stp>
        <stp>45342</stp>
        <stp/>
        <tr r="AK21" s="1"/>
      </tp>
      <tp>
        <v>15</v>
        <stp/>
        <stp>P</stp>
        <stp>0</stp>
        <stp>FUT</stp>
        <stp>C67</stp>
        <stp>기타순매수수량</stp>
        <stp>45342</stp>
        <stp/>
        <tr r="AK22" s="1"/>
      </tp>
      <tp>
        <v>0</v>
        <stp/>
        <stp>P</stp>
        <stp>0</stp>
        <stp>FUT</stp>
        <stp>C78</stp>
        <stp>기타순매수수량</stp>
        <stp>45342</stp>
        <stp/>
        <tr r="AK38" s="1"/>
      </tp>
      <tp>
        <v>0</v>
        <stp/>
        <stp>P</stp>
        <stp>0</stp>
        <stp>FUT</stp>
        <stp>C70</stp>
        <stp>기타순매수수량</stp>
        <stp>45342</stp>
        <stp/>
        <tr r="AK23" s="1"/>
      </tp>
      <tp>
        <v>-1350</v>
        <stp/>
        <stp>P</stp>
        <stp>0</stp>
        <stp>FUT</stp>
        <stp>C75</stp>
        <stp>기타순매수수량</stp>
        <stp>45342</stp>
        <stp/>
        <tr r="AK35" s="1"/>
      </tp>
      <tp>
        <v>-89</v>
        <stp/>
        <stp>P</stp>
        <stp>0</stp>
        <stp>FUT</stp>
        <stp>C76</stp>
        <stp>기타순매수수량</stp>
        <stp>45342</stp>
        <stp/>
        <tr r="AK36" s="1"/>
      </tp>
      <tp>
        <v>0</v>
        <stp/>
        <stp>P</stp>
        <stp>0</stp>
        <stp>FUT</stp>
        <stp>C77</stp>
        <stp>기타순매수수량</stp>
        <stp>45342</stp>
        <stp/>
        <tr r="AK37" s="1"/>
      </tp>
      <tp>
        <v>0</v>
        <stp/>
        <stp>P</stp>
        <stp>0</stp>
        <stp>FUT</stp>
        <stp>C08</stp>
        <stp>기타순매수수량</stp>
        <stp>45342</stp>
        <stp/>
        <tr r="AK29" s="1"/>
      </tp>
      <tp>
        <v>0</v>
        <stp/>
        <stp>P</stp>
        <stp>0</stp>
        <stp>FUT</stp>
        <stp>C09</stp>
        <stp>기타순매수수량</stp>
        <stp>45342</stp>
        <stp/>
        <tr r="AK30" s="1"/>
      </tp>
      <tp>
        <v>-86</v>
        <stp/>
        <stp>P</stp>
        <stp>0</stp>
        <stp>FUT</stp>
        <stp>C01</stp>
        <stp>기타순매수수량</stp>
        <stp>45342</stp>
        <stp/>
        <tr r="AK26" s="1"/>
      </tp>
      <tp>
        <v>-30</v>
        <stp/>
        <stp>P</stp>
        <stp>0</stp>
        <stp>FUT</stp>
        <stp>C05</stp>
        <stp>기타순매수수량</stp>
        <stp>45342</stp>
        <stp/>
        <tr r="AK27" s="1"/>
      </tp>
      <tp>
        <v>210</v>
        <stp/>
        <stp>P</stp>
        <stp>0</stp>
        <stp>FUT</stp>
        <stp>C06</stp>
        <stp>기타순매수수량</stp>
        <stp>45342</stp>
        <stp/>
        <tr r="AK28" s="1"/>
      </tp>
      <tp>
        <v>0</v>
        <stp/>
        <stp>P</stp>
        <stp>0</stp>
        <stp>FUT</stp>
        <stp>C07</stp>
        <stp>기타순매수수량</stp>
        <stp>45342</stp>
        <stp/>
        <tr r="AK33" s="1"/>
      </tp>
      <tp>
        <v>0</v>
        <stp/>
        <stp>P</stp>
        <stp>0</stp>
        <stp>FUT</stp>
        <stp>C88</stp>
        <stp>기타순매수수량</stp>
        <stp>45342</stp>
        <stp/>
        <tr r="AK54" s="1"/>
      </tp>
      <tp>
        <v>2574</v>
        <stp/>
        <stp>P</stp>
        <stp>0</stp>
        <stp>FUT</stp>
        <stp>C99</stp>
        <stp>기타순매수수량</stp>
        <stp>45342</stp>
        <stp/>
        <tr r="AK39" s="1"/>
      </tp>
      <tp>
        <v>-2816</v>
        <stp/>
        <stp>P</stp>
        <stp>0</stp>
        <stp>IDX</stp>
        <stp>801</stp>
        <stp>기관순매수수량</stp>
        <stp>45342</stp>
        <stp/>
        <tr r="AB11" s="1"/>
      </tp>
      <tp>
        <v>-101</v>
        <stp/>
        <stp>P</stp>
        <stp>0</stp>
        <stp>IDX</stp>
        <stp>ELW</stp>
        <stp>기타순매수수량</stp>
        <stp>45342</stp>
        <stp/>
        <tr r="AK61" s="1"/>
      </tp>
      <tp>
        <v>-1552</v>
        <stp/>
        <stp>P</stp>
        <stp>0</stp>
        <stp>IDX</stp>
        <stp>ETF</stp>
        <stp>기타순매수수량</stp>
        <stp>45342</stp>
        <stp/>
        <tr r="AK62" s="1"/>
      </tp>
      <tp>
        <v>-21</v>
        <stp/>
        <stp>P</stp>
        <stp>0</stp>
        <stp>IDX</stp>
        <stp>ETN</stp>
        <stp>기타순매수수량</stp>
        <stp>45342</stp>
        <stp/>
        <tr r="AK63" s="1"/>
      </tp>
      <tp>
        <v>0</v>
        <stp/>
        <stp>P</stp>
        <stp>0</stp>
        <stp>IR</stp>
        <stp>BNDINV0002</stp>
        <stp>기금 순매수거래량</stp>
        <stp>45342</stp>
        <stp/>
        <tr r="AI14" s="1"/>
      </tp>
      <tp>
        <v>0</v>
        <stp/>
        <stp>P</stp>
        <stp>0</stp>
        <stp>IR</stp>
        <stp>BNDINV0002</stp>
        <stp>종금 순매수거래량</stp>
        <stp>45342</stp>
        <stp/>
        <tr r="AH14" s="1"/>
      </tp>
      <tp>
        <v>30000000</v>
        <stp/>
        <stp>P</stp>
        <stp>0</stp>
        <stp>IR</stp>
        <stp>BNDINV0003</stp>
        <stp>기금 순매수거래량</stp>
        <stp>45342</stp>
        <stp/>
        <tr r="AI15" s="1"/>
      </tp>
      <tp>
        <v>70000000</v>
        <stp/>
        <stp>P</stp>
        <stp>0</stp>
        <stp>IR</stp>
        <stp>BNDINV0003</stp>
        <stp>종금 순매수거래량</stp>
        <stp>45342</stp>
        <stp/>
        <tr r="AH15" s="1"/>
      </tp>
      <tp>
        <v>225300000</v>
        <stp/>
        <stp>P</stp>
        <stp>0</stp>
        <stp>IR</stp>
        <stp>BNDINV0000</stp>
        <stp>기금 순매수거래량</stp>
        <stp>45342</stp>
        <stp/>
        <tr r="AI12" s="1"/>
      </tp>
      <tp>
        <v>190000000</v>
        <stp/>
        <stp>P</stp>
        <stp>0</stp>
        <stp>IR</stp>
        <stp>BNDINV0000</stp>
        <stp>종금 순매수거래량</stp>
        <stp>45342</stp>
        <stp/>
        <tr r="AH12" s="1"/>
      </tp>
      <tp>
        <v>95300000</v>
        <stp/>
        <stp>P</stp>
        <stp>0</stp>
        <stp>IR</stp>
        <stp>BNDINV0001</stp>
        <stp>기금 순매수거래량</stp>
        <stp>45342</stp>
        <stp/>
        <tr r="AI13" s="1"/>
      </tp>
      <tp>
        <v>-7000000</v>
        <stp/>
        <stp>P</stp>
        <stp>0</stp>
        <stp>IR</stp>
        <stp>BNDINV0001</stp>
        <stp>종금 순매수거래량</stp>
        <stp>45342</stp>
        <stp/>
        <tr r="AH13" s="1"/>
      </tp>
      <tp>
        <v>50000000</v>
        <stp/>
        <stp>P</stp>
        <stp>0</stp>
        <stp>IR</stp>
        <stp>BNDINV0006</stp>
        <stp>기금 순매수거래량</stp>
        <stp>45342</stp>
        <stp/>
        <tr r="AI18" s="1"/>
      </tp>
      <tp>
        <v>7000000</v>
        <stp/>
        <stp>P</stp>
        <stp>0</stp>
        <stp>IR</stp>
        <stp>BNDINV0006</stp>
        <stp>종금 순매수거래량</stp>
        <stp>45342</stp>
        <stp/>
        <tr r="AH18" s="1"/>
      </tp>
      <tp>
        <v>0</v>
        <stp/>
        <stp>P</stp>
        <stp>0</stp>
        <stp>IR</stp>
        <stp>BNDINV0004</stp>
        <stp>기금 순매수거래량</stp>
        <stp>45342</stp>
        <stp/>
        <tr r="AI16" s="1"/>
      </tp>
      <tp>
        <v>0</v>
        <stp/>
        <stp>P</stp>
        <stp>0</stp>
        <stp>IR</stp>
        <stp>BNDINV0004</stp>
        <stp>종금 순매수거래량</stp>
        <stp>45342</stp>
        <stp/>
        <tr r="AH16" s="1"/>
      </tp>
      <tp>
        <v>50000000</v>
        <stp/>
        <stp>P</stp>
        <stp>0</stp>
        <stp>IR</stp>
        <stp>BNDINV0005</stp>
        <stp>기금 순매수거래량</stp>
        <stp>45342</stp>
        <stp/>
        <tr r="AI17" s="1"/>
      </tp>
      <tp>
        <v>120000000</v>
        <stp/>
        <stp>P</stp>
        <stp>0</stp>
        <stp>IR</stp>
        <stp>BNDINV0005</stp>
        <stp>종금 순매수거래량</stp>
        <stp>45342</stp>
        <stp/>
        <tr r="AH17" s="1"/>
      </tp>
      <tp>
        <v>0</v>
        <stp/>
        <stp>P</stp>
        <stp>0</stp>
        <stp>OPT</stp>
        <stp>30500000</stp>
        <stp>투신순매수수량</stp>
        <stp>45342</stp>
        <stp/>
        <tr r="AE59" s="1"/>
      </tp>
      <tp>
        <v>-1731</v>
        <stp/>
        <stp>P</stp>
        <stp>0</stp>
        <stp>OPT</stp>
        <stp>30100000</stp>
        <stp>투신순매수수량</stp>
        <stp>45342</stp>
        <stp/>
        <tr r="AE57" s="1"/>
      </tp>
      <tp>
        <v>0</v>
        <stp/>
        <stp>P</stp>
        <stp>0</stp>
        <stp>OPT</stp>
        <stp>20500000</stp>
        <stp>투신순매수수량</stp>
        <stp>45342</stp>
        <stp/>
        <tr r="AE58" s="1"/>
      </tp>
      <tp>
        <v>-1</v>
        <stp/>
        <stp>P</stp>
        <stp>0</stp>
        <stp>OPT</stp>
        <stp>20100000</stp>
        <stp>투신순매수수량</stp>
        <stp>45342</stp>
        <stp/>
        <tr r="AE56" s="1"/>
      </tp>
      <tp>
        <v>-60000000</v>
        <stp/>
        <stp>P</stp>
        <stp>0</stp>
        <stp>IR</stp>
        <stp>BNDINV0004</stp>
        <stp>외국인 순매수거래량</stp>
        <stp>45342</stp>
        <stp/>
        <tr r="Z16" s="1"/>
      </tp>
      <tp>
        <v>0</v>
        <stp/>
        <stp>P</stp>
        <stp>0</stp>
        <stp>IR</stp>
        <stp>BNDINV0005</stp>
        <stp>외국인 순매수거래량</stp>
        <stp>45342</stp>
        <stp/>
        <tr r="Z17" s="1"/>
      </tp>
      <tp>
        <v>519196</v>
        <stp/>
        <stp>P</stp>
        <stp>0</stp>
        <stp>IDX</stp>
        <stp>001</stp>
        <stp>누적거래량</stp>
        <stp>45342</stp>
        <stp/>
        <tr r="Y10" s="1"/>
      </tp>
      <tp>
        <v>1215901</v>
        <stp/>
        <stp>P</stp>
        <stp>0</stp>
        <stp>IDX</stp>
        <stp>801</stp>
        <stp>누적거래량</stp>
        <stp>45342</stp>
        <stp/>
        <tr r="Y11" s="1"/>
      </tp>
      <tp>
        <v>0</v>
        <stp/>
        <stp>P</stp>
        <stp>0</stp>
        <stp>OPT</stp>
        <stp>20500000</stp>
        <stp>은행순매수수량</stp>
        <stp>45342</stp>
        <stp/>
        <tr r="AG58" s="1"/>
      </tp>
      <tp>
        <v>-4</v>
        <stp/>
        <stp>P</stp>
        <stp>0</stp>
        <stp>OPT</stp>
        <stp>20100000</stp>
        <stp>은행순매수수량</stp>
        <stp>45342</stp>
        <stp/>
        <tr r="AG56" s="1"/>
      </tp>
      <tp>
        <v>0</v>
        <stp/>
        <stp>P</stp>
        <stp>0</stp>
        <stp>IR</stp>
        <stp>BNDINV0006</stp>
        <stp>외국인 순매수거래량</stp>
        <stp>45342</stp>
        <stp/>
        <tr r="Z18" s="1"/>
      </tp>
      <tp>
        <v>0</v>
        <stp/>
        <stp>P</stp>
        <stp>0</stp>
        <stp>OPT</stp>
        <stp>30500000</stp>
        <stp>은행순매수수량</stp>
        <stp>45342</stp>
        <stp/>
        <tr r="AG59" s="1"/>
      </tp>
      <tp>
        <v>1</v>
        <stp/>
        <stp>P</stp>
        <stp>0</stp>
        <stp>OPT</stp>
        <stp>30100000</stp>
        <stp>은행순매수수량</stp>
        <stp>45342</stp>
        <stp/>
        <tr r="AG57" s="1"/>
      </tp>
      <tp>
        <v>1169</v>
        <stp/>
        <stp>P</stp>
        <stp>0</stp>
        <stp>FUT</stp>
        <stp>CAE</stp>
        <stp>거래량</stp>
        <stp>45342</stp>
        <stp/>
        <tr r="Y53" s="1"/>
      </tp>
      <tp>
        <v>2462</v>
        <stp/>
        <stp>P</stp>
        <stp>0</stp>
        <stp>FUT</stp>
        <stp>CAD</stp>
        <stp>거래량</stp>
        <stp>45342</stp>
        <stp/>
        <tr r="Y51" s="1"/>
      </tp>
      <tp>
        <v>608</v>
        <stp/>
        <stp>P</stp>
        <stp>0</stp>
        <stp>FUT</stp>
        <stp>CAA</stp>
        <stp>거래량</stp>
        <stp>45342</stp>
        <stp/>
        <tr r="Y44" s="1"/>
      </tp>
      <tp>
        <v>276</v>
        <stp/>
        <stp>P</stp>
        <stp>0</stp>
        <stp>FUT</stp>
        <stp>CAC</stp>
        <stp>거래량</stp>
        <stp>45342</stp>
        <stp/>
        <tr r="Y52" s="1"/>
      </tp>
      <tp>
        <v>1286</v>
        <stp/>
        <stp>P</stp>
        <stp>0</stp>
        <stp>FUT</stp>
        <stp>CAB</stp>
        <stp>거래량</stp>
        <stp>45342</stp>
        <stp/>
        <tr r="Y43" s="1"/>
      </tp>
      <tp>
        <v>16</v>
        <stp/>
        <stp>P</stp>
        <stp>0</stp>
        <stp>FUT</stp>
        <stp>CA9</stp>
        <stp>거래량</stp>
        <stp>45342</stp>
        <stp/>
        <tr r="Y49" s="1"/>
      </tp>
      <tp>
        <v>316</v>
        <stp/>
        <stp>P</stp>
        <stp>0</stp>
        <stp>FUT</stp>
        <stp>CA8</stp>
        <stp>거래량</stp>
        <stp>45342</stp>
        <stp/>
        <tr r="Y50" s="1"/>
      </tp>
      <tp>
        <v>4</v>
        <stp/>
        <stp>P</stp>
        <stp>0</stp>
        <stp>FUT</stp>
        <stp>CA5</stp>
        <stp>거래량</stp>
        <stp>45342</stp>
        <stp/>
        <tr r="Y32" s="1"/>
      </tp>
      <tp>
        <v>434</v>
        <stp/>
        <stp>P</stp>
        <stp>0</stp>
        <stp>FUT</stp>
        <stp>CA4</stp>
        <stp>거래량</stp>
        <stp>45342</stp>
        <stp/>
        <tr r="Y31" s="1"/>
      </tp>
      <tp>
        <v>260</v>
        <stp/>
        <stp>P</stp>
        <stp>0</stp>
        <stp>FUT</stp>
        <stp>CA7</stp>
        <stp>거래량</stp>
        <stp>45342</stp>
        <stp/>
        <tr r="Y48" s="1"/>
      </tp>
      <tp>
        <v>2940</v>
        <stp/>
        <stp>P</stp>
        <stp>0</stp>
        <stp>FUT</stp>
        <stp>CA6</stp>
        <stp>거래량</stp>
        <stp>45342</stp>
        <stp/>
        <tr r="Y41" s="1"/>
      </tp>
      <tp>
        <v>92</v>
        <stp/>
        <stp>P</stp>
        <stp>0</stp>
        <stp>FUT</stp>
        <stp>CA1</stp>
        <stp>거래량</stp>
        <stp>45342</stp>
        <stp/>
        <tr r="Y47" s="1"/>
      </tp>
      <tp>
        <v>280</v>
        <stp/>
        <stp>P</stp>
        <stp>0</stp>
        <stp>FUT</stp>
        <stp>CA0</stp>
        <stp>거래량</stp>
        <stp>45342</stp>
        <stp/>
        <tr r="Y45" s="1"/>
      </tp>
      <tp>
        <v>512</v>
        <stp/>
        <stp>P</stp>
        <stp>0</stp>
        <stp>FUT</stp>
        <stp>CA3</stp>
        <stp>거래량</stp>
        <stp>45342</stp>
        <stp/>
        <tr r="Y46" s="1"/>
      </tp>
      <tp>
        <v>307</v>
        <stp/>
        <stp>P</stp>
        <stp>0</stp>
        <stp>FUT</stp>
        <stp>CA2</stp>
        <stp>거래량</stp>
        <stp>45342</stp>
        <stp/>
        <tr r="Y42" s="1"/>
      </tp>
      <tp>
        <v>50</v>
        <stp/>
        <stp>P</stp>
        <stp>0</stp>
        <stp>FUT</stp>
        <stp>C69</stp>
        <stp>거래량</stp>
        <stp>45342</stp>
        <stp/>
        <tr r="Y24" s="1"/>
      </tp>
      <tp>
        <v>89286</v>
        <stp/>
        <stp>P</stp>
        <stp>0</stp>
        <stp>FUT</stp>
        <stp>C65</stp>
        <stp>거래량</stp>
        <stp>45342</stp>
        <stp/>
        <tr r="Y20" s="1"/>
      </tp>
      <tp>
        <v>43719</v>
        <stp/>
        <stp>P</stp>
        <stp>0</stp>
        <stp>FUT</stp>
        <stp>C67</stp>
        <stp>거래량</stp>
        <stp>45342</stp>
        <stp/>
        <tr r="Y22" s="1"/>
      </tp>
      <tp>
        <v>110</v>
        <stp/>
        <stp>P</stp>
        <stp>0</stp>
        <stp>FUT</stp>
        <stp>C66</stp>
        <stp>거래량</stp>
        <stp>45342</stp>
        <stp/>
        <tr r="Y21" s="1"/>
      </tp>
      <tp>
        <v>20</v>
        <stp/>
        <stp>P</stp>
        <stp>0</stp>
        <stp>FUT</stp>
        <stp>C78</stp>
        <stp>거래량</stp>
        <stp>45342</stp>
        <stp/>
        <tr r="Y38" s="1"/>
      </tp>
      <tp>
        <v>152720</v>
        <stp/>
        <stp>P</stp>
        <stp>0</stp>
        <stp>FUT</stp>
        <stp>C75</stp>
        <stp>거래량</stp>
        <stp>45342</stp>
        <stp/>
        <tr r="Y35" s="1"/>
      </tp>
      <tp>
        <v>2</v>
        <stp/>
        <stp>P</stp>
        <stp>0</stp>
        <stp>FUT</stp>
        <stp>C77</stp>
        <stp>거래량</stp>
        <stp>45342</stp>
        <stp/>
        <tr r="Y37" s="1"/>
      </tp>
      <tp>
        <v>232</v>
        <stp/>
        <stp>P</stp>
        <stp>0</stp>
        <stp>FUT</stp>
        <stp>C76</stp>
        <stp>거래량</stp>
        <stp>45342</stp>
        <stp/>
        <tr r="Y36" s="1"/>
      </tp>
      <tp>
        <v>33</v>
        <stp/>
        <stp>P</stp>
        <stp>0</stp>
        <stp>FUT</stp>
        <stp>C70</stp>
        <stp>거래량</stp>
        <stp>45342</stp>
        <stp/>
        <tr r="Y23" s="1"/>
      </tp>
      <tp>
        <v>81</v>
        <stp/>
        <stp>P</stp>
        <stp>0</stp>
        <stp>FUT</stp>
        <stp>C09</stp>
        <stp>거래량</stp>
        <stp>45342</stp>
        <stp/>
        <tr r="Y30" s="1"/>
      </tp>
      <tp>
        <v>22</v>
        <stp/>
        <stp>P</stp>
        <stp>0</stp>
        <stp>FUT</stp>
        <stp>C08</stp>
        <stp>거래량</stp>
        <stp>45342</stp>
        <stp/>
        <tr r="Y29" s="1"/>
      </tp>
      <tp>
        <v>47267</v>
        <stp/>
        <stp>P</stp>
        <stp>0</stp>
        <stp>FUT</stp>
        <stp>C05</stp>
        <stp>거래량</stp>
        <stp>45342</stp>
        <stp/>
        <tr r="Y27" s="1"/>
      </tp>
      <tp>
        <v>90</v>
        <stp/>
        <stp>P</stp>
        <stp>0</stp>
        <stp>FUT</stp>
        <stp>C07</stp>
        <stp>거래량</stp>
        <stp>45342</stp>
        <stp/>
        <tr r="Y33" s="1"/>
      </tp>
      <tp>
        <v>52865</v>
        <stp/>
        <stp>P</stp>
        <stp>0</stp>
        <stp>FUT</stp>
        <stp>C06</stp>
        <stp>거래량</stp>
        <stp>45342</stp>
        <stp/>
        <tr r="Y28" s="1"/>
      </tp>
      <tp>
        <v>173258</v>
        <stp/>
        <stp>P</stp>
        <stp>0</stp>
        <stp>FUT</stp>
        <stp>C01</stp>
        <stp>거래량</stp>
        <stp>45342</stp>
        <stp/>
        <tr r="Y26" s="1"/>
      </tp>
      <tp>
        <v>90</v>
        <stp/>
        <stp>P</stp>
        <stp>0</stp>
        <stp>FUT</stp>
        <stp>C88</stp>
        <stp>거래량</stp>
        <stp>45342</stp>
        <stp/>
        <tr r="Y54" s="1"/>
      </tp>
      <tp>
        <v>-152457000</v>
        <stp/>
        <stp>P</stp>
        <stp>0</stp>
        <stp>IR</stp>
        <stp>BNDINV0000</stp>
        <stp>외국인 순매수거래량</stp>
        <stp>45342</stp>
        <stp/>
        <tr r="Z12" s="1"/>
      </tp>
      <tp>
        <v>-92457000</v>
        <stp/>
        <stp>P</stp>
        <stp>0</stp>
        <stp>IR</stp>
        <stp>BNDINV0001</stp>
        <stp>외국인 순매수거래량</stp>
        <stp>45342</stp>
        <stp/>
        <tr r="Z13" s="1"/>
      </tp>
      <tp>
        <v>0</v>
        <stp/>
        <stp>P</stp>
        <stp>0</stp>
        <stp>IR</stp>
        <stp>BNDINV0002</stp>
        <stp>외국인 순매수거래량</stp>
        <stp>45342</stp>
        <stp/>
        <tr r="Z14" s="1"/>
      </tp>
      <tp>
        <v>0</v>
        <stp/>
        <stp>P</stp>
        <stp>0</stp>
        <stp>IR</stp>
        <stp>BNDINV0003</stp>
        <stp>외국인 순매수거래량</stp>
        <stp>45342</stp>
        <stp/>
        <tr r="Z1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$U$7" fmlaRange="$U$8:$U$9" noThreeD="1" sel="1" val="0"/>
</file>

<file path=xl/ctrlProps/ctrlProp2.xml><?xml version="1.0" encoding="utf-8"?>
<formControlPr xmlns="http://schemas.microsoft.com/office/spreadsheetml/2009/9/main" objectType="Drop" dropLines="20" dropStyle="combo" dx="15" fmlaLink="$B$17" fmlaRange="$B$18:$B$31" sel="1" val="0"/>
</file>

<file path=xl/ctrlProps/ctrlProp3.xml><?xml version="1.0" encoding="utf-8"?>
<formControlPr xmlns="http://schemas.microsoft.com/office/spreadsheetml/2009/9/main" objectType="Drop" dropLines="10" dropStyle="combo" dx="15" fmlaLink="$C$17" fmlaRange="$C$18:$C$54" sel="1" val="0"/>
</file>

<file path=xl/ctrlProps/ctrlProp4.xml><?xml version="1.0" encoding="utf-8"?>
<formControlPr xmlns="http://schemas.microsoft.com/office/spreadsheetml/2009/9/main" objectType="Drop" dropStyle="combo" dx="15" fmlaLink="$U$7" fmlaRange="$U$8:$U$9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4</xdr:row>
          <xdr:rowOff>0</xdr:rowOff>
        </xdr:from>
        <xdr:to>
          <xdr:col>2</xdr:col>
          <xdr:colOff>1028700</xdr:colOff>
          <xdr:row>8</xdr:row>
          <xdr:rowOff>247650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9526</xdr:colOff>
          <xdr:row>2</xdr:row>
          <xdr:rowOff>28575</xdr:rowOff>
        </xdr:from>
        <xdr:to>
          <xdr:col>9</xdr:col>
          <xdr:colOff>352425</xdr:colOff>
          <xdr:row>2</xdr:row>
          <xdr:rowOff>238125</xdr:rowOff>
        </xdr:to>
        <xdr:grpSp>
          <xdr:nvGrpSpPr>
            <xdr:cNvPr id="2" name="그룹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pSpPr/>
          </xdr:nvGrpSpPr>
          <xdr:grpSpPr>
            <a:xfrm>
              <a:off x="114301" y="400050"/>
              <a:ext cx="4048124" cy="209550"/>
              <a:chOff x="2714627" y="123825"/>
              <a:chExt cx="2933696" cy="209550"/>
            </a:xfrm>
          </xdr:grpSpPr>
          <xdr:sp macro="" textlink="">
            <xdr:nvSpPr>
              <xdr:cNvPr id="2049" name="Drop Down 1" hidden="1">
                <a:extLst>
                  <a:ext uri="{63B3BB69-23CF-44E3-9099-C40C66FF867C}">
                    <a14:compatExt spid="_x0000_s2049"/>
                  </a:ext>
                  <a:ext uri="{FF2B5EF4-FFF2-40B4-BE49-F238E27FC236}">
                    <a16:creationId xmlns:a16="http://schemas.microsoft.com/office/drawing/2014/main" id="{00000000-0008-0000-0100-000001080000}"/>
                  </a:ext>
                </a:extLst>
              </xdr:cNvPr>
              <xdr:cNvSpPr/>
            </xdr:nvSpPr>
            <xdr:spPr bwMode="auto">
              <a:xfrm>
                <a:off x="2714627" y="123825"/>
                <a:ext cx="838200" cy="20002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50" name="Drop Down 2" hidden="1">
                <a:extLst>
                  <a:ext uri="{63B3BB69-23CF-44E3-9099-C40C66FF867C}">
                    <a14:compatExt spid="_x0000_s2050"/>
                  </a:ext>
                  <a:ext uri="{FF2B5EF4-FFF2-40B4-BE49-F238E27FC236}">
                    <a16:creationId xmlns:a16="http://schemas.microsoft.com/office/drawing/2014/main" id="{00000000-0008-0000-0100-000002080000}"/>
                  </a:ext>
                </a:extLst>
              </xdr:cNvPr>
              <xdr:cNvSpPr/>
            </xdr:nvSpPr>
            <xdr:spPr bwMode="auto">
              <a:xfrm>
                <a:off x="3657600" y="123825"/>
                <a:ext cx="11715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51" name="Drop Down 3" hidden="1">
                <a:extLst>
                  <a:ext uri="{63B3BB69-23CF-44E3-9099-C40C66FF867C}">
                    <a14:compatExt spid="_x0000_s2051"/>
                  </a:ext>
                  <a:ext uri="{FF2B5EF4-FFF2-40B4-BE49-F238E27FC236}">
                    <a16:creationId xmlns:a16="http://schemas.microsoft.com/office/drawing/2014/main" id="{00000000-0008-0000-0100-000003080000}"/>
                  </a:ext>
                </a:extLst>
              </xdr:cNvPr>
              <xdr:cNvSpPr/>
            </xdr:nvSpPr>
            <xdr:spPr bwMode="auto">
              <a:xfrm>
                <a:off x="4952998" y="133350"/>
                <a:ext cx="695325" cy="20002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72"/>
  <sheetViews>
    <sheetView showGridLines="0" showRowColHeaders="0" tabSelected="1" zoomScaleNormal="100" workbookViewId="0"/>
  </sheetViews>
  <sheetFormatPr defaultColWidth="0" defaultRowHeight="12.75" zeroHeight="1"/>
  <cols>
    <col min="1" max="1" width="1.5703125" style="6" customWidth="1"/>
    <col min="2" max="2" width="3.5703125" style="6" customWidth="1"/>
    <col min="3" max="4" width="15.7109375" customWidth="1"/>
    <col min="5" max="19" width="16" customWidth="1"/>
    <col min="20" max="20" width="5.140625" hidden="1" customWidth="1"/>
    <col min="21" max="22" width="5" hidden="1" customWidth="1"/>
    <col min="23" max="23" width="3.5703125" style="6" hidden="1" customWidth="1"/>
    <col min="24" max="25" width="15.7109375" hidden="1" customWidth="1"/>
    <col min="26" max="37" width="16" hidden="1" customWidth="1"/>
    <col min="38" max="38" width="9.140625" hidden="1" customWidth="1"/>
    <col min="39" max="39" width="11.140625" hidden="1" customWidth="1"/>
    <col min="40" max="40" width="9.140625" hidden="1" customWidth="1"/>
    <col min="41" max="41" width="12.85546875" hidden="1" customWidth="1"/>
    <col min="42" max="16384" width="9.140625" hidden="1"/>
  </cols>
  <sheetData>
    <row r="1" spans="1:39" ht="7.5" customHeight="1"/>
    <row r="2" spans="1:39" ht="23.25" customHeight="1">
      <c r="B2" s="21" t="s">
        <v>387</v>
      </c>
      <c r="N2" s="24" t="s">
        <v>388</v>
      </c>
      <c r="O2" s="62">
        <f ca="1">TODAY()</f>
        <v>45342</v>
      </c>
      <c r="P2" s="25" t="s">
        <v>397</v>
      </c>
      <c r="Q2" s="25"/>
      <c r="R2" s="25"/>
      <c r="S2" s="25"/>
      <c r="W2" s="21"/>
    </row>
    <row r="3" spans="1:39" ht="6" customHeight="1" thickBot="1">
      <c r="C3" s="1"/>
      <c r="D3" s="1"/>
      <c r="G3" s="1"/>
      <c r="X3" s="1"/>
      <c r="Y3" s="1"/>
      <c r="AB3" s="1"/>
    </row>
    <row r="4" spans="1:39" s="18" customFormat="1" ht="13.5" hidden="1" thickBot="1">
      <c r="B4" s="20"/>
      <c r="C4" s="28"/>
      <c r="D4" s="28"/>
      <c r="E4" s="27"/>
      <c r="F4" s="27"/>
      <c r="G4" s="28"/>
      <c r="H4" s="27"/>
      <c r="I4" s="27"/>
      <c r="J4" s="29"/>
      <c r="K4" s="27"/>
      <c r="L4" s="27"/>
      <c r="M4" s="27"/>
      <c r="N4" s="27"/>
      <c r="O4" s="27"/>
      <c r="P4" s="27"/>
      <c r="Q4" s="27"/>
      <c r="R4" s="27"/>
      <c r="S4" s="27"/>
      <c r="T4"/>
      <c r="U4"/>
      <c r="V4"/>
      <c r="W4" s="20"/>
      <c r="X4" s="28"/>
      <c r="Y4" s="28"/>
      <c r="Z4" s="27"/>
      <c r="AA4" s="27"/>
      <c r="AB4" s="28"/>
      <c r="AC4" s="27"/>
      <c r="AD4" s="27"/>
      <c r="AE4" s="29"/>
      <c r="AF4" s="27"/>
      <c r="AG4" s="27"/>
      <c r="AH4" s="27"/>
      <c r="AI4" s="27"/>
      <c r="AJ4" s="27"/>
      <c r="AK4" s="27"/>
    </row>
    <row r="5" spans="1:39" s="18" customFormat="1" hidden="1">
      <c r="B5" s="20"/>
      <c r="C5" s="28"/>
      <c r="D5" s="28"/>
      <c r="E5" s="27"/>
      <c r="F5" s="27"/>
      <c r="G5" s="28"/>
      <c r="H5" s="27"/>
      <c r="I5" s="27"/>
      <c r="J5" s="29"/>
      <c r="K5" s="27"/>
      <c r="L5" s="27"/>
      <c r="M5" s="27"/>
      <c r="N5" s="27"/>
      <c r="O5" s="27"/>
      <c r="P5" s="27"/>
      <c r="Q5" s="27"/>
      <c r="R5" s="27"/>
      <c r="S5" s="27"/>
      <c r="T5"/>
      <c r="U5"/>
      <c r="V5"/>
      <c r="W5" s="20"/>
      <c r="X5" s="28" t="s">
        <v>452</v>
      </c>
      <c r="Y5" s="28" t="s">
        <v>456</v>
      </c>
      <c r="Z5" s="27" t="s">
        <v>366</v>
      </c>
      <c r="AA5" s="27" t="s">
        <v>368</v>
      </c>
      <c r="AB5" s="28"/>
      <c r="AC5" s="27" t="s">
        <v>370</v>
      </c>
      <c r="AD5" s="27" t="s">
        <v>372</v>
      </c>
      <c r="AE5" s="29" t="s">
        <v>374</v>
      </c>
      <c r="AF5" s="27" t="s">
        <v>376</v>
      </c>
      <c r="AG5" s="27" t="s">
        <v>377</v>
      </c>
      <c r="AH5" s="27" t="s">
        <v>379</v>
      </c>
      <c r="AI5" s="27" t="s">
        <v>381</v>
      </c>
      <c r="AJ5" s="27" t="s">
        <v>383</v>
      </c>
      <c r="AK5" s="27" t="s">
        <v>385</v>
      </c>
    </row>
    <row r="6" spans="1:39" s="19" customFormat="1" ht="21" hidden="1" customHeight="1">
      <c r="A6" s="18"/>
      <c r="B6" s="18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/>
      <c r="U6"/>
      <c r="V6"/>
      <c r="W6" s="18"/>
      <c r="X6" s="30" t="s">
        <v>453</v>
      </c>
      <c r="Y6" s="30" t="s">
        <v>457</v>
      </c>
      <c r="Z6" s="30" t="s">
        <v>367</v>
      </c>
      <c r="AA6" s="30" t="s">
        <v>369</v>
      </c>
      <c r="AB6" s="30"/>
      <c r="AC6" s="30" t="s">
        <v>371</v>
      </c>
      <c r="AD6" s="30" t="s">
        <v>373</v>
      </c>
      <c r="AE6" s="30" t="s">
        <v>375</v>
      </c>
      <c r="AF6" s="30" t="s">
        <v>376</v>
      </c>
      <c r="AG6" s="30" t="s">
        <v>378</v>
      </c>
      <c r="AH6" s="30" t="s">
        <v>380</v>
      </c>
      <c r="AI6" s="30" t="s">
        <v>382</v>
      </c>
      <c r="AJ6" s="30" t="s">
        <v>384</v>
      </c>
      <c r="AK6" s="30" t="s">
        <v>386</v>
      </c>
    </row>
    <row r="7" spans="1:39" s="19" customFormat="1" ht="21" hidden="1" customHeight="1">
      <c r="A7" s="18"/>
      <c r="B7" s="18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/>
      <c r="U7">
        <v>1</v>
      </c>
      <c r="V7"/>
      <c r="W7" s="18"/>
      <c r="X7" s="30"/>
      <c r="Y7" s="30" t="s">
        <v>454</v>
      </c>
      <c r="Z7" s="30" t="s">
        <v>44</v>
      </c>
      <c r="AA7" s="30" t="s">
        <v>46</v>
      </c>
      <c r="AB7" s="30" t="s">
        <v>45</v>
      </c>
      <c r="AC7" s="30" t="s">
        <v>50</v>
      </c>
      <c r="AD7" s="30" t="s">
        <v>52</v>
      </c>
      <c r="AE7" s="30" t="s">
        <v>54</v>
      </c>
      <c r="AF7" s="30" t="s">
        <v>56</v>
      </c>
      <c r="AG7" s="30" t="s">
        <v>58</v>
      </c>
      <c r="AH7" s="30" t="s">
        <v>60</v>
      </c>
      <c r="AI7" s="30" t="s">
        <v>62</v>
      </c>
      <c r="AJ7" s="30" t="s">
        <v>69</v>
      </c>
      <c r="AK7" s="30" t="s">
        <v>64</v>
      </c>
    </row>
    <row r="8" spans="1:39" s="19" customFormat="1" ht="21" hidden="1" customHeight="1" thickBot="1">
      <c r="A8" s="18"/>
      <c r="B8" s="18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/>
      <c r="U8" t="s">
        <v>74</v>
      </c>
      <c r="V8"/>
      <c r="W8" s="18"/>
      <c r="X8" s="30"/>
      <c r="Y8" s="30" t="s">
        <v>455</v>
      </c>
      <c r="Z8" s="30" t="s">
        <v>47</v>
      </c>
      <c r="AA8" s="30" t="s">
        <v>48</v>
      </c>
      <c r="AB8" s="30" t="s">
        <v>49</v>
      </c>
      <c r="AC8" s="30" t="s">
        <v>51</v>
      </c>
      <c r="AD8" s="30" t="s">
        <v>53</v>
      </c>
      <c r="AE8" s="30" t="s">
        <v>55</v>
      </c>
      <c r="AF8" s="30" t="s">
        <v>57</v>
      </c>
      <c r="AG8" s="30" t="s">
        <v>59</v>
      </c>
      <c r="AH8" s="30" t="s">
        <v>61</v>
      </c>
      <c r="AI8" s="30" t="s">
        <v>63</v>
      </c>
      <c r="AJ8" s="30" t="s">
        <v>70</v>
      </c>
      <c r="AK8" s="30" t="s">
        <v>65</v>
      </c>
    </row>
    <row r="9" spans="1:39" ht="21" customHeight="1">
      <c r="B9" s="65" t="s">
        <v>73</v>
      </c>
      <c r="C9" s="66"/>
      <c r="D9" s="56" t="s">
        <v>458</v>
      </c>
      <c r="E9" s="52" t="s">
        <v>72</v>
      </c>
      <c r="F9" s="34" t="s">
        <v>0</v>
      </c>
      <c r="G9" s="34" t="s">
        <v>1</v>
      </c>
      <c r="H9" s="34" t="s">
        <v>2</v>
      </c>
      <c r="I9" s="34" t="s">
        <v>3</v>
      </c>
      <c r="J9" s="34" t="s">
        <v>4</v>
      </c>
      <c r="K9" s="34" t="s">
        <v>5</v>
      </c>
      <c r="L9" s="34" t="s">
        <v>6</v>
      </c>
      <c r="M9" s="34" t="s">
        <v>7</v>
      </c>
      <c r="N9" s="34" t="s">
        <v>8</v>
      </c>
      <c r="O9" s="34" t="s">
        <v>9</v>
      </c>
      <c r="P9" s="35" t="s">
        <v>10</v>
      </c>
      <c r="Q9" s="25"/>
      <c r="R9" s="25"/>
      <c r="S9" s="25"/>
      <c r="U9" t="s">
        <v>75</v>
      </c>
      <c r="W9" s="63" t="s">
        <v>73</v>
      </c>
      <c r="X9" s="64"/>
      <c r="Y9" s="3"/>
      <c r="Z9" s="3" t="s">
        <v>72</v>
      </c>
      <c r="AA9" s="3" t="s">
        <v>0</v>
      </c>
      <c r="AB9" s="3" t="s">
        <v>1</v>
      </c>
      <c r="AC9" s="3" t="s">
        <v>2</v>
      </c>
      <c r="AD9" s="3" t="s">
        <v>3</v>
      </c>
      <c r="AE9" s="3" t="s">
        <v>4</v>
      </c>
      <c r="AF9" s="3" t="s">
        <v>5</v>
      </c>
      <c r="AG9" s="3" t="s">
        <v>6</v>
      </c>
      <c r="AH9" s="3" t="s">
        <v>7</v>
      </c>
      <c r="AI9" s="3" t="s">
        <v>8</v>
      </c>
      <c r="AJ9" s="3" t="s">
        <v>9</v>
      </c>
      <c r="AK9" s="4" t="s">
        <v>10</v>
      </c>
      <c r="AL9" s="2"/>
      <c r="AM9" s="2"/>
    </row>
    <row r="10" spans="1:39">
      <c r="B10" s="36" t="s">
        <v>426</v>
      </c>
      <c r="C10" s="46"/>
      <c r="D10" s="57">
        <f ca="1">Y10</f>
        <v>519196</v>
      </c>
      <c r="E10" s="53">
        <f ca="1">Z10</f>
        <v>-5873</v>
      </c>
      <c r="F10" s="31">
        <f t="shared" ref="F10:P10" ca="1" si="0">AA10</f>
        <v>7573</v>
      </c>
      <c r="G10" s="31">
        <f t="shared" ca="1" si="0"/>
        <v>-1930</v>
      </c>
      <c r="H10" s="31">
        <f t="shared" ca="1" si="0"/>
        <v>-305</v>
      </c>
      <c r="I10" s="31">
        <f t="shared" ca="1" si="0"/>
        <v>-61</v>
      </c>
      <c r="J10" s="31">
        <f t="shared" ca="1" si="0"/>
        <v>-900</v>
      </c>
      <c r="K10" s="31">
        <f t="shared" ca="1" si="0"/>
        <v>-72</v>
      </c>
      <c r="L10" s="31">
        <f t="shared" ca="1" si="0"/>
        <v>3</v>
      </c>
      <c r="M10" s="31">
        <f t="shared" ca="1" si="0"/>
        <v>-141</v>
      </c>
      <c r="N10" s="31">
        <f t="shared" ca="1" si="0"/>
        <v>-454</v>
      </c>
      <c r="O10" s="31">
        <f t="shared" ca="1" si="0"/>
        <v>0</v>
      </c>
      <c r="P10" s="37">
        <f t="shared" ca="1" si="0"/>
        <v>230</v>
      </c>
      <c r="Q10" s="25"/>
      <c r="R10" s="25"/>
      <c r="S10" s="25"/>
      <c r="U10" t="s">
        <v>66</v>
      </c>
      <c r="V10" s="33" t="s">
        <v>11</v>
      </c>
      <c r="W10" s="12" t="str">
        <f>B10</f>
        <v>KOSPI</v>
      </c>
      <c r="X10" s="13"/>
      <c r="Y10" s="22">
        <f ca="1">_xll.IMDP($U10,$V10,IF($U$7=1,$X$5,$X$6),$O$2)</f>
        <v>519196</v>
      </c>
      <c r="Z10" s="22">
        <f ca="1">_xll.IMDP($U10,$V10,IF($U$7=1,Z$7,Z$8),$O$2)</f>
        <v>-5873</v>
      </c>
      <c r="AA10" s="22">
        <f ca="1">_xll.IMDP($U10,$V10,IF($U$7=1,AA$7,AA$8),$O$2)</f>
        <v>7573</v>
      </c>
      <c r="AB10" s="22">
        <f ca="1">_xll.IMDP($U10,$V10,IF($U$7=1,AB$7,AB$8),$O$2)</f>
        <v>-1930</v>
      </c>
      <c r="AC10" s="22">
        <f ca="1">_xll.IMDP($U10,$V10,IF($U$7=1,AC$7,AC$8),$O$2)</f>
        <v>-305</v>
      </c>
      <c r="AD10" s="22">
        <f ca="1">_xll.IMDP($U10,$V10,IF($U$7=1,AD$7,AD$8),$O$2)</f>
        <v>-61</v>
      </c>
      <c r="AE10" s="22">
        <f ca="1">_xll.IMDP($U10,$V10,IF($U$7=1,AE$7,AE$8),$O$2)</f>
        <v>-900</v>
      </c>
      <c r="AF10" s="22">
        <f ca="1">_xll.IMDP($U10,$V10,IF($U$7=1,AF$7,AF$8),$O$2)</f>
        <v>-72</v>
      </c>
      <c r="AG10" s="22">
        <f ca="1">_xll.IMDP($U10,$V10,IF($U$7=1,AG$7,AG$8),$O$2)</f>
        <v>3</v>
      </c>
      <c r="AH10" s="22">
        <f ca="1">_xll.IMDP($U10,$V10,IF($U$7=1,AH$7,AH$8),$O$2)</f>
        <v>-141</v>
      </c>
      <c r="AI10" s="22">
        <f ca="1">_xll.IMDP($U10,$V10,IF($U$7=1,AI$7,AI$8),$O$2)</f>
        <v>-454</v>
      </c>
      <c r="AJ10" s="22">
        <f ca="1">_xll.IMDP($U10,$V10,IF($U$7=1,AJ$7,AJ$8),$O$2)</f>
        <v>0</v>
      </c>
      <c r="AK10" s="22">
        <f ca="1">_xll.IMDP($U10,$V10,IF($U$7=1,AK$7,AK$8),$O$2)</f>
        <v>230</v>
      </c>
    </row>
    <row r="11" spans="1:39">
      <c r="B11" s="36" t="s">
        <v>236</v>
      </c>
      <c r="C11" s="46"/>
      <c r="D11" s="57">
        <f t="shared" ref="D11:D54" ca="1" si="1">Y11</f>
        <v>1215901</v>
      </c>
      <c r="E11" s="53">
        <f t="shared" ref="E11:E63" ca="1" si="2">Z11</f>
        <v>-13869</v>
      </c>
      <c r="F11" s="31">
        <f t="shared" ref="F11:F63" ca="1" si="3">AA11</f>
        <v>20545</v>
      </c>
      <c r="G11" s="31">
        <f t="shared" ref="G11:G63" ca="1" si="4">AB11</f>
        <v>-2816</v>
      </c>
      <c r="H11" s="31">
        <f t="shared" ref="H11:H63" ca="1" si="5">AC11</f>
        <v>-1236</v>
      </c>
      <c r="I11" s="31">
        <f t="shared" ref="I11:I63" ca="1" si="6">AD11</f>
        <v>-17</v>
      </c>
      <c r="J11" s="31">
        <f t="shared" ref="J11:J63" ca="1" si="7">AE11</f>
        <v>740</v>
      </c>
      <c r="K11" s="31">
        <f t="shared" ref="K11:K63" ca="1" si="8">AF11</f>
        <v>-1824</v>
      </c>
      <c r="L11" s="31">
        <f t="shared" ref="L11:L63" ca="1" si="9">AG11</f>
        <v>-70</v>
      </c>
      <c r="M11" s="31">
        <f t="shared" ref="M11:M63" ca="1" si="10">AH11</f>
        <v>-336</v>
      </c>
      <c r="N11" s="31">
        <f t="shared" ref="N11:N63" ca="1" si="11">AI11</f>
        <v>-73</v>
      </c>
      <c r="O11" s="31">
        <f t="shared" ref="O11:O63" ca="1" si="12">AJ11</f>
        <v>0</v>
      </c>
      <c r="P11" s="37">
        <f t="shared" ref="P11:P63" ca="1" si="13">AK11</f>
        <v>-3859</v>
      </c>
      <c r="Q11" s="25"/>
      <c r="R11" s="25"/>
      <c r="S11" s="25"/>
      <c r="U11" t="s">
        <v>66</v>
      </c>
      <c r="V11" s="33" t="s">
        <v>12</v>
      </c>
      <c r="W11" s="12" t="str">
        <f>B11</f>
        <v>KOSDAQ</v>
      </c>
      <c r="X11" s="13"/>
      <c r="Y11" s="22">
        <f ca="1">_xll.IMDP($U11,$V11,IF($U$7=1,$X$5,$X$6),$O$2)</f>
        <v>1215901</v>
      </c>
      <c r="Z11" s="22">
        <f ca="1">_xll.IMDP($U11,$V11,IF($U$7=1,Z$7,Z$8),$O$2)</f>
        <v>-13869</v>
      </c>
      <c r="AA11" s="22">
        <f ca="1">_xll.IMDP($U11,$V11,IF($U$7=1,AA$7,AA$8),$O$2)</f>
        <v>20545</v>
      </c>
      <c r="AB11" s="22">
        <f ca="1">_xll.IMDP($U11,$V11,IF($U$7=1,AB$7,AB$8),$O$2)</f>
        <v>-2816</v>
      </c>
      <c r="AC11" s="22">
        <f ca="1">_xll.IMDP($U11,$V11,IF($U$7=1,AC$7,AC$8),$O$2)</f>
        <v>-1236</v>
      </c>
      <c r="AD11" s="22">
        <f ca="1">_xll.IMDP($U11,$V11,IF($U$7=1,AD$7,AD$8),$O$2)</f>
        <v>-17</v>
      </c>
      <c r="AE11" s="22">
        <f ca="1">_xll.IMDP($U11,$V11,IF($U$7=1,AE$7,AE$8),$O$2)</f>
        <v>740</v>
      </c>
      <c r="AF11" s="22">
        <f ca="1">_xll.IMDP($U11,$V11,IF($U$7=1,AF$7,AF$8),$O$2)</f>
        <v>-1824</v>
      </c>
      <c r="AG11" s="22">
        <f ca="1">_xll.IMDP($U11,$V11,IF($U$7=1,AG$7,AG$8),$O$2)</f>
        <v>-70</v>
      </c>
      <c r="AH11" s="22">
        <f ca="1">_xll.IMDP($U11,$V11,IF($U$7=1,AH$7,AH$8),$O$2)</f>
        <v>-336</v>
      </c>
      <c r="AI11" s="22">
        <f ca="1">_xll.IMDP($U11,$V11,IF($U$7=1,AI$7,AI$8),$O$2)</f>
        <v>-73</v>
      </c>
      <c r="AJ11" s="22">
        <f ca="1">_xll.IMDP($U11,$V11,IF($U$7=1,AJ$7,AJ$8),$O$2)</f>
        <v>0</v>
      </c>
      <c r="AK11" s="22">
        <f ca="1">_xll.IMDP($U11,$V11,IF($U$7=1,AK$7,AK$8),$O$2)</f>
        <v>-3859</v>
      </c>
    </row>
    <row r="12" spans="1:39">
      <c r="B12" s="36" t="s">
        <v>427</v>
      </c>
      <c r="C12" s="46"/>
      <c r="D12" s="58">
        <f t="shared" ca="1" si="1"/>
        <v>12891854.238</v>
      </c>
      <c r="E12" s="54">
        <f t="shared" ca="1" si="2"/>
        <v>-152457</v>
      </c>
      <c r="F12" s="32">
        <f t="shared" ca="1" si="3"/>
        <v>111496.96799999999</v>
      </c>
      <c r="G12" s="32">
        <f t="shared" ca="1" si="4"/>
        <v>1028324.126</v>
      </c>
      <c r="H12" s="32">
        <f t="shared" ca="1" si="5"/>
        <v>-316570</v>
      </c>
      <c r="I12" s="32">
        <f t="shared" ca="1" si="6"/>
        <v>4700</v>
      </c>
      <c r="J12" s="32">
        <f t="shared" ca="1" si="7"/>
        <v>268000</v>
      </c>
      <c r="K12" s="32">
        <f t="shared" ca="1" si="8"/>
        <v>-89000</v>
      </c>
      <c r="L12" s="32">
        <f t="shared" ca="1" si="9"/>
        <v>565768.875</v>
      </c>
      <c r="M12" s="32">
        <f t="shared" ca="1" si="10"/>
        <v>190000</v>
      </c>
      <c r="N12" s="32">
        <f t="shared" ca="1" si="11"/>
        <v>225300</v>
      </c>
      <c r="O12" s="32">
        <f t="shared" ca="1" si="12"/>
        <v>134000</v>
      </c>
      <c r="P12" s="38">
        <f t="shared" ca="1" si="13"/>
        <v>46125.250999999997</v>
      </c>
      <c r="Q12" s="25"/>
      <c r="R12" s="25"/>
      <c r="S12" s="25"/>
      <c r="U12" t="s">
        <v>365</v>
      </c>
      <c r="V12" s="33" t="s">
        <v>351</v>
      </c>
      <c r="W12" s="12" t="str">
        <f>B12</f>
        <v>장외채권</v>
      </c>
      <c r="X12" s="13"/>
      <c r="Y12" s="23">
        <f ca="1">IFERROR(SUM(Y13:Y18),"")</f>
        <v>12891854.238</v>
      </c>
      <c r="Z12" s="23">
        <f ca="1">_xll.IMDP($U12,$V12,IF($U$7=1,Z$5,Z$6),$O$2)/1000</f>
        <v>-152457</v>
      </c>
      <c r="AA12" s="23">
        <f ca="1">_xll.IMDP($U12,$V12,IF($U$7=1,AA$5,AA$6),$O$2)/1000</f>
        <v>111496.96799999999</v>
      </c>
      <c r="AB12" s="23">
        <f ca="1">SUM(AC12:AK12)</f>
        <v>1028324.126</v>
      </c>
      <c r="AC12" s="23">
        <f ca="1">_xll.IMDP($U12,$V12,IF($U$7=1,AC$5,AC$6),$O$2)/1000</f>
        <v>-316570</v>
      </c>
      <c r="AD12" s="23">
        <f ca="1">_xll.IMDP($U12,$V12,IF($U$7=1,AD$5,AD$6),$O$2)/1000</f>
        <v>4700</v>
      </c>
      <c r="AE12" s="23">
        <f ca="1">_xll.IMDP($U12,$V12,IF($U$7=1,AE$5,AE$6),$O$2)/1000</f>
        <v>268000</v>
      </c>
      <c r="AF12" s="23">
        <f ca="1">_xll.IMDP($U12,$V12,IF($U$7=1,AF$5,AF$6),$O$2)/1000</f>
        <v>-89000</v>
      </c>
      <c r="AG12" s="23">
        <f ca="1">_xll.IMDP($U12,$V12,IF($U$7=1,AG$5,AG$6),$O$2)/1000</f>
        <v>565768.875</v>
      </c>
      <c r="AH12" s="23">
        <f ca="1">_xll.IMDP($U12,$V12,IF($U$7=1,AH$5,AH$6),$O$2)/1000</f>
        <v>190000</v>
      </c>
      <c r="AI12" s="23">
        <f ca="1">_xll.IMDP($U12,$V12,IF($U$7=1,AI$5,AI$6),$O$2)/1000</f>
        <v>225300</v>
      </c>
      <c r="AJ12" s="23">
        <f ca="1">_xll.IMDP($U12,$V12,IF($U$7=1,AJ$5,AJ$6),$O$2)/1000</f>
        <v>134000</v>
      </c>
      <c r="AK12" s="23">
        <f ca="1">_xll.IMDP($U12,$V12,IF($U$7=1,AK$5,AK$6),$O$2)/1000</f>
        <v>46125.250999999997</v>
      </c>
    </row>
    <row r="13" spans="1:39">
      <c r="B13" s="39"/>
      <c r="C13" s="47" t="s">
        <v>428</v>
      </c>
      <c r="D13" s="57">
        <f t="shared" ca="1" si="1"/>
        <v>4112002.41</v>
      </c>
      <c r="E13" s="53">
        <f t="shared" ca="1" si="2"/>
        <v>-92457</v>
      </c>
      <c r="F13" s="31">
        <f t="shared" ca="1" si="3"/>
        <v>43587.758999999998</v>
      </c>
      <c r="G13" s="31">
        <f t="shared" ca="1" si="4"/>
        <v>-69487.934999999998</v>
      </c>
      <c r="H13" s="31">
        <f t="shared" ca="1" si="5"/>
        <v>-55250</v>
      </c>
      <c r="I13" s="31">
        <f t="shared" ca="1" si="6"/>
        <v>-6300</v>
      </c>
      <c r="J13" s="31">
        <f t="shared" ca="1" si="7"/>
        <v>-21500</v>
      </c>
      <c r="K13" s="31">
        <f t="shared" ca="1" si="8"/>
        <v>1000</v>
      </c>
      <c r="L13" s="31">
        <f t="shared" ca="1" si="9"/>
        <v>-128000</v>
      </c>
      <c r="M13" s="31">
        <f t="shared" ca="1" si="10"/>
        <v>-7000</v>
      </c>
      <c r="N13" s="31">
        <f t="shared" ca="1" si="11"/>
        <v>95300</v>
      </c>
      <c r="O13" s="31">
        <f t="shared" ca="1" si="12"/>
        <v>30000</v>
      </c>
      <c r="P13" s="37">
        <f t="shared" ca="1" si="13"/>
        <v>22262.064999999999</v>
      </c>
      <c r="Q13" s="25"/>
      <c r="R13" s="25"/>
      <c r="S13" s="25"/>
      <c r="U13" t="s">
        <v>365</v>
      </c>
      <c r="V13" s="33" t="s">
        <v>352</v>
      </c>
      <c r="W13" s="7"/>
      <c r="X13" s="8" t="str">
        <f t="shared" ref="X13:X18" si="14">C13</f>
        <v>국채</v>
      </c>
      <c r="Y13" s="22">
        <f ca="1">_xll.IMDP($U13,$V13,IF($U$7=1,$Y$5,$Y$6),$O$2)/1000</f>
        <v>4112002.41</v>
      </c>
      <c r="Z13" s="22">
        <f ca="1">_xll.IMDP($U13,$V13,IF($U$7=1,Z$5,Z$6),$O$2)/1000</f>
        <v>-92457</v>
      </c>
      <c r="AA13" s="22">
        <f ca="1">_xll.IMDP($U13,$V13,IF($U$7=1,AA$5,AA$6),$O$2)/1000</f>
        <v>43587.758999999998</v>
      </c>
      <c r="AB13" s="22">
        <f t="shared" ref="AB13:AB18" ca="1" si="15">SUM(AC13:AK13)</f>
        <v>-69487.934999999998</v>
      </c>
      <c r="AC13" s="22">
        <f ca="1">_xll.IMDP($U13,$V13,IF($U$7=1,AC$5,AC$6),$O$2)/1000</f>
        <v>-55250</v>
      </c>
      <c r="AD13" s="22">
        <f ca="1">_xll.IMDP($U13,$V13,IF($U$7=1,AD$5,AD$6),$O$2)/1000</f>
        <v>-6300</v>
      </c>
      <c r="AE13" s="22">
        <f ca="1">_xll.IMDP($U13,$V13,IF($U$7=1,AE$5,AE$6),$O$2)/1000</f>
        <v>-21500</v>
      </c>
      <c r="AF13" s="22">
        <f ca="1">_xll.IMDP($U13,$V13,IF($U$7=1,AF$5,AF$6),$O$2)/1000</f>
        <v>1000</v>
      </c>
      <c r="AG13" s="22">
        <f ca="1">_xll.IMDP($U13,$V13,IF($U$7=1,AG$5,AG$6),$O$2)/1000</f>
        <v>-128000</v>
      </c>
      <c r="AH13" s="22">
        <f ca="1">_xll.IMDP($U13,$V13,IF($U$7=1,AH$5,AH$6),$O$2)/1000</f>
        <v>-7000</v>
      </c>
      <c r="AI13" s="22">
        <f ca="1">_xll.IMDP($U13,$V13,IF($U$7=1,AI$5,AI$6),$O$2)/1000</f>
        <v>95300</v>
      </c>
      <c r="AJ13" s="22">
        <f ca="1">_xll.IMDP($U13,$V13,IF($U$7=1,AJ$5,AJ$6),$O$2)/1000</f>
        <v>30000</v>
      </c>
      <c r="AK13" s="22">
        <f ca="1">_xll.IMDP($U13,$V13,IF($U$7=1,AK$5,AK$6),$O$2)/1000</f>
        <v>22262.064999999999</v>
      </c>
    </row>
    <row r="14" spans="1:39">
      <c r="B14" s="39"/>
      <c r="C14" s="47" t="s">
        <v>360</v>
      </c>
      <c r="D14" s="57">
        <f t="shared" ca="1" si="1"/>
        <v>9041.902</v>
      </c>
      <c r="E14" s="53">
        <f t="shared" ca="1" si="2"/>
        <v>0</v>
      </c>
      <c r="F14" s="31">
        <f t="shared" ca="1" si="3"/>
        <v>1721.9259999999999</v>
      </c>
      <c r="G14" s="31">
        <f t="shared" ca="1" si="4"/>
        <v>126.30500000000001</v>
      </c>
      <c r="H14" s="31">
        <f t="shared" ca="1" si="5"/>
        <v>0</v>
      </c>
      <c r="I14" s="31">
        <f t="shared" ca="1" si="6"/>
        <v>0</v>
      </c>
      <c r="J14" s="31">
        <f t="shared" ca="1" si="7"/>
        <v>0</v>
      </c>
      <c r="K14" s="31">
        <f t="shared" ca="1" si="8"/>
        <v>0</v>
      </c>
      <c r="L14" s="31">
        <f t="shared" ca="1" si="9"/>
        <v>128.875</v>
      </c>
      <c r="M14" s="31">
        <f t="shared" ca="1" si="10"/>
        <v>0</v>
      </c>
      <c r="N14" s="31">
        <f t="shared" ca="1" si="11"/>
        <v>0</v>
      </c>
      <c r="O14" s="31">
        <f t="shared" ca="1" si="12"/>
        <v>0</v>
      </c>
      <c r="P14" s="37">
        <f t="shared" ca="1" si="13"/>
        <v>-2.57</v>
      </c>
      <c r="Q14" s="25"/>
      <c r="R14" s="25"/>
      <c r="S14" s="25"/>
      <c r="U14" t="s">
        <v>365</v>
      </c>
      <c r="V14" s="33" t="s">
        <v>353</v>
      </c>
      <c r="W14" s="7"/>
      <c r="X14" s="8" t="str">
        <f t="shared" si="14"/>
        <v>지방채</v>
      </c>
      <c r="Y14" s="22">
        <f ca="1">_xll.IMDP($U14,$V14,IF($U$7=1,$Y$5,$Y$6),$O$2)/1000</f>
        <v>9041.902</v>
      </c>
      <c r="Z14" s="22">
        <f ca="1">_xll.IMDP($U14,$V14,IF($U$7=1,Z$5,Z$6),$O$2)/1000</f>
        <v>0</v>
      </c>
      <c r="AA14" s="22">
        <f ca="1">_xll.IMDP($U14,$V14,IF($U$7=1,AA$5,AA$6),$O$2)/1000</f>
        <v>1721.9259999999999</v>
      </c>
      <c r="AB14" s="22">
        <f t="shared" ca="1" si="15"/>
        <v>126.30500000000001</v>
      </c>
      <c r="AC14" s="22">
        <f ca="1">_xll.IMDP($U14,$V14,IF($U$7=1,AC$5,AC$6),$O$2)/1000</f>
        <v>0</v>
      </c>
      <c r="AD14" s="22">
        <f ca="1">_xll.IMDP($U14,$V14,IF($U$7=1,AD$5,AD$6),$O$2)/1000</f>
        <v>0</v>
      </c>
      <c r="AE14" s="22">
        <f ca="1">_xll.IMDP($U14,$V14,IF($U$7=1,AE$5,AE$6),$O$2)/1000</f>
        <v>0</v>
      </c>
      <c r="AF14" s="22">
        <f ca="1">_xll.IMDP($U14,$V14,IF($U$7=1,AF$5,AF$6),$O$2)/1000</f>
        <v>0</v>
      </c>
      <c r="AG14" s="22">
        <f ca="1">_xll.IMDP($U14,$V14,IF($U$7=1,AG$5,AG$6),$O$2)/1000</f>
        <v>128.875</v>
      </c>
      <c r="AH14" s="22">
        <f ca="1">_xll.IMDP($U14,$V14,IF($U$7=1,AH$5,AH$6),$O$2)/1000</f>
        <v>0</v>
      </c>
      <c r="AI14" s="22">
        <f ca="1">_xll.IMDP($U14,$V14,IF($U$7=1,AI$5,AI$6),$O$2)/1000</f>
        <v>0</v>
      </c>
      <c r="AJ14" s="22">
        <f ca="1">_xll.IMDP($U14,$V14,IF($U$7=1,AJ$5,AJ$6),$O$2)/1000</f>
        <v>0</v>
      </c>
      <c r="AK14" s="22">
        <f ca="1">_xll.IMDP($U14,$V14,IF($U$7=1,AK$5,AK$6),$O$2)/1000</f>
        <v>-2.57</v>
      </c>
    </row>
    <row r="15" spans="1:39">
      <c r="B15" s="39"/>
      <c r="C15" s="47" t="s">
        <v>361</v>
      </c>
      <c r="D15" s="57">
        <f t="shared" ca="1" si="1"/>
        <v>2690724.071</v>
      </c>
      <c r="E15" s="53">
        <f t="shared" ca="1" si="2"/>
        <v>0</v>
      </c>
      <c r="F15" s="31">
        <f t="shared" ca="1" si="3"/>
        <v>15919.630999999999</v>
      </c>
      <c r="G15" s="31">
        <f t="shared" ca="1" si="4"/>
        <v>990660.35400000005</v>
      </c>
      <c r="H15" s="31">
        <f t="shared" ca="1" si="5"/>
        <v>-10000</v>
      </c>
      <c r="I15" s="31">
        <f t="shared" ca="1" si="6"/>
        <v>21000</v>
      </c>
      <c r="J15" s="31">
        <f t="shared" ca="1" si="7"/>
        <v>145000</v>
      </c>
      <c r="K15" s="31">
        <f t="shared" ca="1" si="8"/>
        <v>0</v>
      </c>
      <c r="L15" s="31">
        <f t="shared" ca="1" si="9"/>
        <v>590000</v>
      </c>
      <c r="M15" s="31">
        <f t="shared" ca="1" si="10"/>
        <v>70000</v>
      </c>
      <c r="N15" s="31">
        <f t="shared" ca="1" si="11"/>
        <v>30000</v>
      </c>
      <c r="O15" s="31">
        <f t="shared" ca="1" si="12"/>
        <v>124000</v>
      </c>
      <c r="P15" s="37">
        <f t="shared" ca="1" si="13"/>
        <v>20660.353999999999</v>
      </c>
      <c r="Q15" s="25"/>
      <c r="R15" s="25"/>
      <c r="S15" s="25"/>
      <c r="U15" t="s">
        <v>365</v>
      </c>
      <c r="V15" s="33" t="s">
        <v>354</v>
      </c>
      <c r="W15" s="7"/>
      <c r="X15" s="8" t="str">
        <f t="shared" si="14"/>
        <v>특수채</v>
      </c>
      <c r="Y15" s="22">
        <f ca="1">_xll.IMDP($U15,$V15,IF($U$7=1,$Y$5,$Y$6),$O$2)/1000</f>
        <v>2690724.071</v>
      </c>
      <c r="Z15" s="22">
        <f ca="1">_xll.IMDP($U15,$V15,IF($U$7=1,Z$5,Z$6),$O$2)/1000</f>
        <v>0</v>
      </c>
      <c r="AA15" s="22">
        <f ca="1">_xll.IMDP($U15,$V15,IF($U$7=1,AA$5,AA$6),$O$2)/1000</f>
        <v>15919.630999999999</v>
      </c>
      <c r="AB15" s="22">
        <f t="shared" ca="1" si="15"/>
        <v>990660.35400000005</v>
      </c>
      <c r="AC15" s="22">
        <f ca="1">_xll.IMDP($U15,$V15,IF($U$7=1,AC$5,AC$6),$O$2)/1000</f>
        <v>-10000</v>
      </c>
      <c r="AD15" s="22">
        <f ca="1">_xll.IMDP($U15,$V15,IF($U$7=1,AD$5,AD$6),$O$2)/1000</f>
        <v>21000</v>
      </c>
      <c r="AE15" s="22">
        <f ca="1">_xll.IMDP($U15,$V15,IF($U$7=1,AE$5,AE$6),$O$2)/1000</f>
        <v>145000</v>
      </c>
      <c r="AF15" s="22">
        <f ca="1">_xll.IMDP($U15,$V15,IF($U$7=1,AF$5,AF$6),$O$2)/1000</f>
        <v>0</v>
      </c>
      <c r="AG15" s="22">
        <f ca="1">_xll.IMDP($U15,$V15,IF($U$7=1,AG$5,AG$6),$O$2)/1000</f>
        <v>590000</v>
      </c>
      <c r="AH15" s="22">
        <f ca="1">_xll.IMDP($U15,$V15,IF($U$7=1,AH$5,AH$6),$O$2)/1000</f>
        <v>70000</v>
      </c>
      <c r="AI15" s="22">
        <f ca="1">_xll.IMDP($U15,$V15,IF($U$7=1,AI$5,AI$6),$O$2)/1000</f>
        <v>30000</v>
      </c>
      <c r="AJ15" s="22">
        <f ca="1">_xll.IMDP($U15,$V15,IF($U$7=1,AJ$5,AJ$6),$O$2)/1000</f>
        <v>124000</v>
      </c>
      <c r="AK15" s="22">
        <f ca="1">_xll.IMDP($U15,$V15,IF($U$7=1,AK$5,AK$6),$O$2)/1000</f>
        <v>20660.353999999999</v>
      </c>
    </row>
    <row r="16" spans="1:39">
      <c r="B16" s="39"/>
      <c r="C16" s="47" t="s">
        <v>362</v>
      </c>
      <c r="D16" s="57">
        <f t="shared" ca="1" si="1"/>
        <v>1074030.1710000001</v>
      </c>
      <c r="E16" s="53">
        <f t="shared" ca="1" si="2"/>
        <v>-60000</v>
      </c>
      <c r="F16" s="31">
        <f t="shared" ca="1" si="3"/>
        <v>30.170999999999999</v>
      </c>
      <c r="G16" s="31">
        <f t="shared" ca="1" si="4"/>
        <v>-418000</v>
      </c>
      <c r="H16" s="31">
        <f t="shared" ca="1" si="5"/>
        <v>-130000</v>
      </c>
      <c r="I16" s="31">
        <f t="shared" ca="1" si="6"/>
        <v>0</v>
      </c>
      <c r="J16" s="31">
        <f t="shared" ca="1" si="7"/>
        <v>-30000</v>
      </c>
      <c r="K16" s="31">
        <f t="shared" ca="1" si="8"/>
        <v>0</v>
      </c>
      <c r="L16" s="31">
        <f t="shared" ca="1" si="9"/>
        <v>-258000</v>
      </c>
      <c r="M16" s="31">
        <f t="shared" ca="1" si="10"/>
        <v>0</v>
      </c>
      <c r="N16" s="31">
        <f t="shared" ca="1" si="11"/>
        <v>0</v>
      </c>
      <c r="O16" s="31">
        <f t="shared" ca="1" si="12"/>
        <v>0</v>
      </c>
      <c r="P16" s="37">
        <f t="shared" ca="1" si="13"/>
        <v>0</v>
      </c>
      <c r="Q16" s="25"/>
      <c r="R16" s="25"/>
      <c r="S16" s="25"/>
      <c r="U16" t="s">
        <v>365</v>
      </c>
      <c r="V16" s="33" t="s">
        <v>355</v>
      </c>
      <c r="W16" s="7"/>
      <c r="X16" s="8" t="str">
        <f t="shared" si="14"/>
        <v>통안채</v>
      </c>
      <c r="Y16" s="22">
        <f ca="1">_xll.IMDP($U16,$V16,IF($U$7=1,$Y$5,$Y$6),$O$2)/1000</f>
        <v>1074030.1710000001</v>
      </c>
      <c r="Z16" s="22">
        <f ca="1">_xll.IMDP($U16,$V16,IF($U$7=1,Z$5,Z$6),$O$2)/1000</f>
        <v>-60000</v>
      </c>
      <c r="AA16" s="22">
        <f ca="1">_xll.IMDP($U16,$V16,IF($U$7=1,AA$5,AA$6),$O$2)/1000</f>
        <v>30.170999999999999</v>
      </c>
      <c r="AB16" s="22">
        <f t="shared" ca="1" si="15"/>
        <v>-418000</v>
      </c>
      <c r="AC16" s="22">
        <f ca="1">_xll.IMDP($U16,$V16,IF($U$7=1,AC$5,AC$6),$O$2)/1000</f>
        <v>-130000</v>
      </c>
      <c r="AD16" s="22">
        <f ca="1">_xll.IMDP($U16,$V16,IF($U$7=1,AD$5,AD$6),$O$2)/1000</f>
        <v>0</v>
      </c>
      <c r="AE16" s="22">
        <f ca="1">_xll.IMDP($U16,$V16,IF($U$7=1,AE$5,AE$6),$O$2)/1000</f>
        <v>-30000</v>
      </c>
      <c r="AF16" s="22">
        <f ca="1">_xll.IMDP($U16,$V16,IF($U$7=1,AF$5,AF$6),$O$2)/1000</f>
        <v>0</v>
      </c>
      <c r="AG16" s="22">
        <f ca="1">_xll.IMDP($U16,$V16,IF($U$7=1,AG$5,AG$6),$O$2)/1000</f>
        <v>-258000</v>
      </c>
      <c r="AH16" s="22">
        <f ca="1">_xll.IMDP($U16,$V16,IF($U$7=1,AH$5,AH$6),$O$2)/1000</f>
        <v>0</v>
      </c>
      <c r="AI16" s="22">
        <f ca="1">_xll.IMDP($U16,$V16,IF($U$7=1,AI$5,AI$6),$O$2)/1000</f>
        <v>0</v>
      </c>
      <c r="AJ16" s="22">
        <f ca="1">_xll.IMDP($U16,$V16,IF($U$7=1,AJ$5,AJ$6),$O$2)/1000</f>
        <v>0</v>
      </c>
      <c r="AK16" s="22">
        <f ca="1">_xll.IMDP($U16,$V16,IF($U$7=1,AK$5,AK$6),$O$2)/1000</f>
        <v>0</v>
      </c>
    </row>
    <row r="17" spans="2:37">
      <c r="B17" s="39"/>
      <c r="C17" s="47" t="s">
        <v>363</v>
      </c>
      <c r="D17" s="57">
        <f t="shared" ca="1" si="1"/>
        <v>3842401.47</v>
      </c>
      <c r="E17" s="53">
        <f t="shared" ca="1" si="2"/>
        <v>0</v>
      </c>
      <c r="F17" s="31">
        <f t="shared" ca="1" si="3"/>
        <v>31497.439999999999</v>
      </c>
      <c r="G17" s="31">
        <f t="shared" ca="1" si="4"/>
        <v>562516.72</v>
      </c>
      <c r="H17" s="31">
        <f t="shared" ca="1" si="5"/>
        <v>-96520</v>
      </c>
      <c r="I17" s="31">
        <f t="shared" ca="1" si="6"/>
        <v>10000</v>
      </c>
      <c r="J17" s="31">
        <f t="shared" ca="1" si="7"/>
        <v>124500</v>
      </c>
      <c r="K17" s="31">
        <f t="shared" ca="1" si="8"/>
        <v>0</v>
      </c>
      <c r="L17" s="31">
        <f t="shared" ca="1" si="9"/>
        <v>350500</v>
      </c>
      <c r="M17" s="31">
        <f t="shared" ca="1" si="10"/>
        <v>120000</v>
      </c>
      <c r="N17" s="31">
        <f t="shared" ca="1" si="11"/>
        <v>50000</v>
      </c>
      <c r="O17" s="31">
        <f t="shared" ca="1" si="12"/>
        <v>-20000</v>
      </c>
      <c r="P17" s="37">
        <f t="shared" ca="1" si="13"/>
        <v>24036.720000000001</v>
      </c>
      <c r="Q17" s="25"/>
      <c r="R17" s="25"/>
      <c r="S17" s="25"/>
      <c r="U17" t="s">
        <v>365</v>
      </c>
      <c r="V17" s="33" t="s">
        <v>356</v>
      </c>
      <c r="W17" s="7"/>
      <c r="X17" s="8" t="str">
        <f t="shared" si="14"/>
        <v>금융채</v>
      </c>
      <c r="Y17" s="22">
        <f ca="1">_xll.IMDP($U17,$V17,IF($U$7=1,$Y$5,$Y$6),$O$2)/1000</f>
        <v>3842401.47</v>
      </c>
      <c r="Z17" s="22">
        <f ca="1">_xll.IMDP($U17,$V17,IF($U$7=1,Z$5,Z$6),$O$2)/1000</f>
        <v>0</v>
      </c>
      <c r="AA17" s="22">
        <f ca="1">_xll.IMDP($U17,$V17,IF($U$7=1,AA$5,AA$6),$O$2)/1000</f>
        <v>31497.439999999999</v>
      </c>
      <c r="AB17" s="22">
        <f t="shared" ca="1" si="15"/>
        <v>562516.72</v>
      </c>
      <c r="AC17" s="22">
        <f ca="1">_xll.IMDP($U17,$V17,IF($U$7=1,AC$5,AC$6),$O$2)/1000</f>
        <v>-96520</v>
      </c>
      <c r="AD17" s="22">
        <f ca="1">_xll.IMDP($U17,$V17,IF($U$7=1,AD$5,AD$6),$O$2)/1000</f>
        <v>10000</v>
      </c>
      <c r="AE17" s="22">
        <f ca="1">_xll.IMDP($U17,$V17,IF($U$7=1,AE$5,AE$6),$O$2)/1000</f>
        <v>124500</v>
      </c>
      <c r="AF17" s="22">
        <f ca="1">_xll.IMDP($U17,$V17,IF($U$7=1,AF$5,AF$6),$O$2)/1000</f>
        <v>0</v>
      </c>
      <c r="AG17" s="22">
        <f ca="1">_xll.IMDP($U17,$V17,IF($U$7=1,AG$5,AG$6),$O$2)/1000</f>
        <v>350500</v>
      </c>
      <c r="AH17" s="22">
        <f ca="1">_xll.IMDP($U17,$V17,IF($U$7=1,AH$5,AH$6),$O$2)/1000</f>
        <v>120000</v>
      </c>
      <c r="AI17" s="22">
        <f ca="1">_xll.IMDP($U17,$V17,IF($U$7=1,AI$5,AI$6),$O$2)/1000</f>
        <v>50000</v>
      </c>
      <c r="AJ17" s="22">
        <f ca="1">_xll.IMDP($U17,$V17,IF($U$7=1,AJ$5,AJ$6),$O$2)/1000</f>
        <v>-20000</v>
      </c>
      <c r="AK17" s="22">
        <f ca="1">_xll.IMDP($U17,$V17,IF($U$7=1,AK$5,AK$6),$O$2)/1000</f>
        <v>24036.720000000001</v>
      </c>
    </row>
    <row r="18" spans="2:37">
      <c r="B18" s="39"/>
      <c r="C18" s="47" t="s">
        <v>364</v>
      </c>
      <c r="D18" s="57">
        <f t="shared" ca="1" si="1"/>
        <v>1163654.2139999999</v>
      </c>
      <c r="E18" s="53">
        <f t="shared" ca="1" si="2"/>
        <v>0</v>
      </c>
      <c r="F18" s="31">
        <f t="shared" ca="1" si="3"/>
        <v>18740.041000000001</v>
      </c>
      <c r="G18" s="31">
        <f t="shared" ca="1" si="4"/>
        <v>-37491.317999999999</v>
      </c>
      <c r="H18" s="31">
        <f t="shared" ca="1" si="5"/>
        <v>-24800</v>
      </c>
      <c r="I18" s="31">
        <f t="shared" ca="1" si="6"/>
        <v>-20000</v>
      </c>
      <c r="J18" s="31">
        <f t="shared" ca="1" si="7"/>
        <v>50000</v>
      </c>
      <c r="K18" s="31">
        <f t="shared" ca="1" si="8"/>
        <v>-90000</v>
      </c>
      <c r="L18" s="31">
        <f t="shared" ca="1" si="9"/>
        <v>11140</v>
      </c>
      <c r="M18" s="31">
        <f t="shared" ca="1" si="10"/>
        <v>7000</v>
      </c>
      <c r="N18" s="31">
        <f t="shared" ca="1" si="11"/>
        <v>50000</v>
      </c>
      <c r="O18" s="31">
        <f t="shared" ca="1" si="12"/>
        <v>0</v>
      </c>
      <c r="P18" s="37">
        <f t="shared" ca="1" si="13"/>
        <v>-20831.317999999999</v>
      </c>
      <c r="Q18" s="25"/>
      <c r="R18" s="25"/>
      <c r="S18" s="25"/>
      <c r="U18" t="s">
        <v>365</v>
      </c>
      <c r="V18" s="33" t="s">
        <v>357</v>
      </c>
      <c r="W18" s="7"/>
      <c r="X18" s="8" t="str">
        <f t="shared" si="14"/>
        <v>회사채</v>
      </c>
      <c r="Y18" s="22">
        <f ca="1">_xll.IMDP($U18,$V18,IF($U$7=1,$Y$5,$Y$6),$O$2)/1000</f>
        <v>1163654.2139999999</v>
      </c>
      <c r="Z18" s="22">
        <f ca="1">_xll.IMDP($U18,$V18,IF($U$7=1,Z$5,Z$6),$O$2)/1000</f>
        <v>0</v>
      </c>
      <c r="AA18" s="22">
        <f ca="1">_xll.IMDP($U18,$V18,IF($U$7=1,AA$5,AA$6),$O$2)/1000</f>
        <v>18740.041000000001</v>
      </c>
      <c r="AB18" s="22">
        <f t="shared" ca="1" si="15"/>
        <v>-37491.317999999999</v>
      </c>
      <c r="AC18" s="22">
        <f ca="1">_xll.IMDP($U18,$V18,IF($U$7=1,AC$5,AC$6),$O$2)/1000</f>
        <v>-24800</v>
      </c>
      <c r="AD18" s="22">
        <f ca="1">_xll.IMDP($U18,$V18,IF($U$7=1,AD$5,AD$6),$O$2)/1000</f>
        <v>-20000</v>
      </c>
      <c r="AE18" s="22">
        <f ca="1">_xll.IMDP($U18,$V18,IF($U$7=1,AE$5,AE$6),$O$2)/1000</f>
        <v>50000</v>
      </c>
      <c r="AF18" s="22">
        <f ca="1">_xll.IMDP($U18,$V18,IF($U$7=1,AF$5,AF$6),$O$2)/1000</f>
        <v>-90000</v>
      </c>
      <c r="AG18" s="22">
        <f ca="1">_xll.IMDP($U18,$V18,IF($U$7=1,AG$5,AG$6),$O$2)/1000</f>
        <v>11140</v>
      </c>
      <c r="AH18" s="22">
        <f ca="1">_xll.IMDP($U18,$V18,IF($U$7=1,AH$5,AH$6),$O$2)/1000</f>
        <v>7000</v>
      </c>
      <c r="AI18" s="22">
        <f ca="1">_xll.IMDP($U18,$V18,IF($U$7=1,AI$5,AI$6),$O$2)/1000</f>
        <v>50000</v>
      </c>
      <c r="AJ18" s="22">
        <f ca="1">_xll.IMDP($U18,$V18,IF($U$7=1,AJ$5,AJ$6),$O$2)/1000</f>
        <v>0</v>
      </c>
      <c r="AK18" s="22">
        <f ca="1">_xll.IMDP($U18,$V18,IF($U$7=1,AK$5,AK$6),$O$2)/1000</f>
        <v>-20831.317999999999</v>
      </c>
    </row>
    <row r="19" spans="2:37">
      <c r="B19" s="36" t="s">
        <v>429</v>
      </c>
      <c r="C19" s="46"/>
      <c r="D19" s="58">
        <f t="shared" ca="1" si="1"/>
        <v>133198</v>
      </c>
      <c r="E19" s="54">
        <f t="shared" ca="1" si="2"/>
        <v>-2587</v>
      </c>
      <c r="F19" s="32">
        <f t="shared" ca="1" si="3"/>
        <v>68</v>
      </c>
      <c r="G19" s="32">
        <f t="shared" ca="1" si="4"/>
        <v>2584</v>
      </c>
      <c r="H19" s="32">
        <f t="shared" ca="1" si="5"/>
        <v>4469</v>
      </c>
      <c r="I19" s="32">
        <f t="shared" ca="1" si="6"/>
        <v>778</v>
      </c>
      <c r="J19" s="32">
        <f t="shared" ca="1" si="7"/>
        <v>188</v>
      </c>
      <c r="K19" s="32">
        <f t="shared" ca="1" si="8"/>
        <v>0</v>
      </c>
      <c r="L19" s="32">
        <f t="shared" ca="1" si="9"/>
        <v>-2371</v>
      </c>
      <c r="M19" s="32">
        <f t="shared" ca="1" si="10"/>
        <v>-735</v>
      </c>
      <c r="N19" s="32">
        <f t="shared" ca="1" si="11"/>
        <v>255</v>
      </c>
      <c r="O19" s="32">
        <f t="shared" ca="1" si="12"/>
        <v>0</v>
      </c>
      <c r="P19" s="38">
        <f t="shared" ca="1" si="13"/>
        <v>-65</v>
      </c>
      <c r="Q19" s="25"/>
      <c r="R19" s="25"/>
      <c r="S19" s="25"/>
      <c r="V19" s="33"/>
      <c r="W19" s="12" t="str">
        <f>B19</f>
        <v>금리선물</v>
      </c>
      <c r="X19" s="13"/>
      <c r="Y19" s="23">
        <f ca="1">IFERROR(SUM(Y20:Y24),"")</f>
        <v>133198</v>
      </c>
      <c r="Z19" s="23">
        <f ca="1">IFERROR(SUM(Z20:Z24),"")</f>
        <v>-2587</v>
      </c>
      <c r="AA19" s="23">
        <f t="shared" ref="AA19:AK19" ca="1" si="16">IFERROR(SUM(AA20:AA24),"")</f>
        <v>68</v>
      </c>
      <c r="AB19" s="23">
        <f t="shared" ca="1" si="16"/>
        <v>2584</v>
      </c>
      <c r="AC19" s="23">
        <f t="shared" ca="1" si="16"/>
        <v>4469</v>
      </c>
      <c r="AD19" s="23">
        <f t="shared" ca="1" si="16"/>
        <v>778</v>
      </c>
      <c r="AE19" s="23">
        <f t="shared" ca="1" si="16"/>
        <v>188</v>
      </c>
      <c r="AF19" s="23">
        <f t="shared" ca="1" si="16"/>
        <v>0</v>
      </c>
      <c r="AG19" s="23">
        <f t="shared" ca="1" si="16"/>
        <v>-2371</v>
      </c>
      <c r="AH19" s="23">
        <f t="shared" ca="1" si="16"/>
        <v>-735</v>
      </c>
      <c r="AI19" s="23">
        <f t="shared" ca="1" si="16"/>
        <v>255</v>
      </c>
      <c r="AJ19" s="23">
        <f t="shared" ca="1" si="16"/>
        <v>0</v>
      </c>
      <c r="AK19" s="23">
        <f t="shared" ca="1" si="16"/>
        <v>-65</v>
      </c>
    </row>
    <row r="20" spans="2:37">
      <c r="B20" s="39"/>
      <c r="C20" s="47" t="s">
        <v>390</v>
      </c>
      <c r="D20" s="57">
        <f t="shared" ca="1" si="1"/>
        <v>89286</v>
      </c>
      <c r="E20" s="53">
        <f t="shared" ca="1" si="2"/>
        <v>-1739</v>
      </c>
      <c r="F20" s="31">
        <f t="shared" ca="1" si="3"/>
        <v>-80</v>
      </c>
      <c r="G20" s="31">
        <f t="shared" ca="1" si="4"/>
        <v>1899</v>
      </c>
      <c r="H20" s="31">
        <f t="shared" ca="1" si="5"/>
        <v>3665</v>
      </c>
      <c r="I20" s="31">
        <f t="shared" ca="1" si="6"/>
        <v>1117</v>
      </c>
      <c r="J20" s="31">
        <f t="shared" ca="1" si="7"/>
        <v>189</v>
      </c>
      <c r="K20" s="31" t="str">
        <f t="shared" ca="1" si="8"/>
        <v/>
      </c>
      <c r="L20" s="31">
        <f t="shared" ca="1" si="9"/>
        <v>-2817</v>
      </c>
      <c r="M20" s="31">
        <f t="shared" ca="1" si="10"/>
        <v>-320</v>
      </c>
      <c r="N20" s="31">
        <f t="shared" ca="1" si="11"/>
        <v>65</v>
      </c>
      <c r="O20" s="31">
        <f t="shared" ca="1" si="12"/>
        <v>0</v>
      </c>
      <c r="P20" s="37">
        <f t="shared" ca="1" si="13"/>
        <v>-80</v>
      </c>
      <c r="Q20" s="25"/>
      <c r="R20" s="25"/>
      <c r="S20" s="25"/>
      <c r="U20" t="s">
        <v>67</v>
      </c>
      <c r="V20" t="s">
        <v>13</v>
      </c>
      <c r="W20" s="7"/>
      <c r="X20" s="8" t="str">
        <f>C20</f>
        <v>KTB03</v>
      </c>
      <c r="Y20" s="22">
        <f ca="1">IFERROR(IF($U$7=2,_xll.IMDP($U20,$V20,IF($U$7=1,Y$7,Y$8),$O$2)/1000000,_xll.IMDP($U20,$V20,IF($U$7=1,Y$7,Y$8),$O$2)),"")</f>
        <v>89286</v>
      </c>
      <c r="Z20" s="22">
        <f ca="1">IFERROR(IF($U$7=2,_xll.IMDP($U20,$V20,IF($U$7=1,Z$7,Z$8),$O$2)/1000000,_xll.IMDP($U20,$V20,IF($U$7=1,Z$7,Z$8),$O$2)),"")</f>
        <v>-1739</v>
      </c>
      <c r="AA20" s="22">
        <f ca="1">IFERROR(IF($U$7=2,_xll.IMDP($U20,$V20,IF($U$7=1,AA$7,AA$8),$O$2)/1000000,_xll.IMDP($U20,$V20,IF($U$7=1,AA$7,AA$8),$O$2)),"")</f>
        <v>-80</v>
      </c>
      <c r="AB20" s="22">
        <f ca="1">IFERROR(IF($U$7=2,_xll.IMDP($U20,$V20,IF($U$7=1,AB$7,AB$8),$O$2)/1000000,_xll.IMDP($U20,$V20,IF($U$7=1,AB$7,AB$8),$O$2)),"")</f>
        <v>1899</v>
      </c>
      <c r="AC20" s="22">
        <f ca="1">IFERROR(IF($U$7=2,_xll.IMDP($U20,$V20,IF($U$7=1,AC$7,AC$8),$O$2)/1000000,_xll.IMDP($U20,$V20,IF($U$7=1,AC$7,AC$8),$O$2)),"")</f>
        <v>3665</v>
      </c>
      <c r="AD20" s="22">
        <f ca="1">IFERROR(IF($U$7=2,_xll.IMDP($U20,$V20,IF($U$7=1,AD$7,AD$8),$O$2)/1000000,_xll.IMDP($U20,$V20,IF($U$7=1,AD$7,AD$8),$O$2)),"")</f>
        <v>1117</v>
      </c>
      <c r="AE20" s="22">
        <f ca="1">IFERROR(IF($U$7=2,_xll.IMDP($U20,$V20,IF($U$7=1,AE$7,AE$8),$O$2)/1000000,_xll.IMDP($U20,$V20,IF($U$7=1,AE$7,AE$8),$O$2)),"")</f>
        <v>189</v>
      </c>
      <c r="AF20" s="22" t="str">
        <f ca="1">IFERROR(IF($U$7=2,_xll.IMDP($U20,$V20,IF($U$7=1,AF$7,AF$8),$O$2)/1000000,_xll.IMDP($U20,$V20,IF($U$7=1,AF$7,AF$8),$O$2)),"")</f>
        <v/>
      </c>
      <c r="AG20" s="22">
        <f ca="1">IFERROR(IF($U$7=2,_xll.IMDP($U20,$V20,IF($U$7=1,AG$7,AG$8),$O$2)/1000000,_xll.IMDP($U20,$V20,IF($U$7=1,AG$7,AG$8),$O$2)),"")</f>
        <v>-2817</v>
      </c>
      <c r="AH20" s="22">
        <f ca="1">IFERROR(IF($U$7=2,_xll.IMDP($U20,$V20,IF($U$7=1,AH$7,AH$8),$O$2)/1000000,_xll.IMDP($U20,$V20,IF($U$7=1,AH$7,AH$8),$O$2)),"")</f>
        <v>-320</v>
      </c>
      <c r="AI20" s="22">
        <f ca="1">IFERROR(IF($U$7=2,_xll.IMDP($U20,$V20,IF($U$7=1,AI$7,AI$8),$O$2)/1000000,_xll.IMDP($U20,$V20,IF($U$7=1,AI$7,AI$8),$O$2)),"")</f>
        <v>65</v>
      </c>
      <c r="AJ20" s="22">
        <f ca="1">IFERROR(IF($U$7=2,_xll.IMDP($U20,$V20,IF($U$7=1,AJ$7,AJ$8),$O$2)/1000000,_xll.IMDP($U20,$V20,IF($U$7=1,AJ$7,AJ$8),$O$2)),"")</f>
        <v>0</v>
      </c>
      <c r="AK20" s="22">
        <f ca="1">IFERROR(IF($U$7=2,_xll.IMDP($U20,$V20,IF($U$7=1,AK$7,AK$8),$O$2)/1000000,_xll.IMDP($U20,$V20,IF($U$7=1,AK$7,AK$8),$O$2)),"")</f>
        <v>-80</v>
      </c>
    </row>
    <row r="21" spans="2:37">
      <c r="B21" s="39"/>
      <c r="C21" s="47" t="s">
        <v>391</v>
      </c>
      <c r="D21" s="57">
        <f t="shared" ca="1" si="1"/>
        <v>110</v>
      </c>
      <c r="E21" s="53">
        <f t="shared" ca="1" si="2"/>
        <v>0</v>
      </c>
      <c r="F21" s="31">
        <f t="shared" ca="1" si="3"/>
        <v>0</v>
      </c>
      <c r="G21" s="31">
        <f t="shared" ca="1" si="4"/>
        <v>0</v>
      </c>
      <c r="H21" s="31">
        <f t="shared" ca="1" si="5"/>
        <v>0</v>
      </c>
      <c r="I21" s="31">
        <f t="shared" ca="1" si="6"/>
        <v>0</v>
      </c>
      <c r="J21" s="31">
        <f t="shared" ca="1" si="7"/>
        <v>0</v>
      </c>
      <c r="K21" s="31" t="str">
        <f t="shared" ca="1" si="8"/>
        <v/>
      </c>
      <c r="L21" s="31">
        <f t="shared" ca="1" si="9"/>
        <v>0</v>
      </c>
      <c r="M21" s="31">
        <f t="shared" ca="1" si="10"/>
        <v>0</v>
      </c>
      <c r="N21" s="31">
        <f t="shared" ca="1" si="11"/>
        <v>0</v>
      </c>
      <c r="O21" s="31">
        <f t="shared" ca="1" si="12"/>
        <v>0</v>
      </c>
      <c r="P21" s="37">
        <f t="shared" ca="1" si="13"/>
        <v>0</v>
      </c>
      <c r="Q21" s="25"/>
      <c r="R21" s="25"/>
      <c r="S21" s="25"/>
      <c r="U21" t="s">
        <v>67</v>
      </c>
      <c r="V21" t="s">
        <v>16</v>
      </c>
      <c r="W21" s="7"/>
      <c r="X21" s="8" t="str">
        <f>C21</f>
        <v>KTB05</v>
      </c>
      <c r="Y21" s="22">
        <f ca="1">IFERROR(IF($U$7=2,_xll.IMDP($U21,$V21,IF($U$7=1,Y$7,Y$8),$O$2)/1000000,_xll.IMDP($U21,$V21,IF($U$7=1,Y$7,Y$8),$O$2)),"")</f>
        <v>110</v>
      </c>
      <c r="Z21" s="22">
        <f ca="1">IFERROR(IF($U$7=2,_xll.IMDP($U21,$V21,IF($U$7=1,Z$7,Z$8),$O$2)/1000000,_xll.IMDP($U21,$V21,IF($U$7=1,Z$7,Z$8),$O$2)),"")</f>
        <v>0</v>
      </c>
      <c r="AA21" s="22">
        <f ca="1">IFERROR(IF($U$7=2,_xll.IMDP($U21,$V21,IF($U$7=1,AA$7,AA$8),$O$2)/1000000,_xll.IMDP($U21,$V21,IF($U$7=1,AA$7,AA$8),$O$2)),"")</f>
        <v>0</v>
      </c>
      <c r="AB21" s="22">
        <f ca="1">IFERROR(IF($U$7=2,_xll.IMDP($U21,$V21,IF($U$7=1,AB$7,AB$8),$O$2)/1000000,_xll.IMDP($U21,$V21,IF($U$7=1,AB$7,AB$8),$O$2)),"")</f>
        <v>0</v>
      </c>
      <c r="AC21" s="22">
        <f ca="1">IFERROR(IF($U$7=2,_xll.IMDP($U21,$V21,IF($U$7=1,AC$7,AC$8),$O$2)/1000000,_xll.IMDP($U21,$V21,IF($U$7=1,AC$7,AC$8),$O$2)),"")</f>
        <v>0</v>
      </c>
      <c r="AD21" s="22">
        <f ca="1">IFERROR(IF($U$7=2,_xll.IMDP($U21,$V21,IF($U$7=1,AD$7,AD$8),$O$2)/1000000,_xll.IMDP($U21,$V21,IF($U$7=1,AD$7,AD$8),$O$2)),"")</f>
        <v>0</v>
      </c>
      <c r="AE21" s="22">
        <f ca="1">IFERROR(IF($U$7=2,_xll.IMDP($U21,$V21,IF($U$7=1,AE$7,AE$8),$O$2)/1000000,_xll.IMDP($U21,$V21,IF($U$7=1,AE$7,AE$8),$O$2)),"")</f>
        <v>0</v>
      </c>
      <c r="AF21" s="22" t="str">
        <f ca="1">IFERROR(IF($U$7=2,_xll.IMDP($U21,$V21,IF($U$7=1,AF$7,AF$8),$O$2)/1000000,_xll.IMDP($U21,$V21,IF($U$7=1,AF$7,AF$8),$O$2)),"")</f>
        <v/>
      </c>
      <c r="AG21" s="22">
        <f ca="1">IFERROR(IF($U$7=2,_xll.IMDP($U21,$V21,IF($U$7=1,AG$7,AG$8),$O$2)/1000000,_xll.IMDP($U21,$V21,IF($U$7=1,AG$7,AG$8),$O$2)),"")</f>
        <v>0</v>
      </c>
      <c r="AH21" s="22">
        <f ca="1">IFERROR(IF($U$7=2,_xll.IMDP($U21,$V21,IF($U$7=1,AH$7,AH$8),$O$2)/1000000,_xll.IMDP($U21,$V21,IF($U$7=1,AH$7,AH$8),$O$2)),"")</f>
        <v>0</v>
      </c>
      <c r="AI21" s="22">
        <f ca="1">IFERROR(IF($U$7=2,_xll.IMDP($U21,$V21,IF($U$7=1,AI$7,AI$8),$O$2)/1000000,_xll.IMDP($U21,$V21,IF($U$7=1,AI$7,AI$8),$O$2)),"")</f>
        <v>0</v>
      </c>
      <c r="AJ21" s="22">
        <f ca="1">IFERROR(IF($U$7=2,_xll.IMDP($U21,$V21,IF($U$7=1,AJ$7,AJ$8),$O$2)/1000000,_xll.IMDP($U21,$V21,IF($U$7=1,AJ$7,AJ$8),$O$2)),"")</f>
        <v>0</v>
      </c>
      <c r="AK21" s="22">
        <f ca="1">IFERROR(IF($U$7=2,_xll.IMDP($U21,$V21,IF($U$7=1,AK$7,AK$8),$O$2)/1000000,_xll.IMDP($U21,$V21,IF($U$7=1,AK$7,AK$8),$O$2)),"")</f>
        <v>0</v>
      </c>
    </row>
    <row r="22" spans="2:37">
      <c r="B22" s="39"/>
      <c r="C22" s="47" t="s">
        <v>392</v>
      </c>
      <c r="D22" s="57">
        <f t="shared" ca="1" si="1"/>
        <v>43719</v>
      </c>
      <c r="E22" s="53">
        <f t="shared" ca="1" si="2"/>
        <v>-848</v>
      </c>
      <c r="F22" s="31">
        <f t="shared" ca="1" si="3"/>
        <v>150</v>
      </c>
      <c r="G22" s="31">
        <f t="shared" ca="1" si="4"/>
        <v>683</v>
      </c>
      <c r="H22" s="31">
        <f t="shared" ca="1" si="5"/>
        <v>795</v>
      </c>
      <c r="I22" s="31">
        <f t="shared" ca="1" si="6"/>
        <v>-339</v>
      </c>
      <c r="J22" s="31">
        <f t="shared" ca="1" si="7"/>
        <v>6</v>
      </c>
      <c r="K22" s="31" t="str">
        <f t="shared" ca="1" si="8"/>
        <v/>
      </c>
      <c r="L22" s="31">
        <f t="shared" ca="1" si="9"/>
        <v>446</v>
      </c>
      <c r="M22" s="31">
        <f t="shared" ca="1" si="10"/>
        <v>-415</v>
      </c>
      <c r="N22" s="31">
        <f t="shared" ca="1" si="11"/>
        <v>190</v>
      </c>
      <c r="O22" s="31">
        <f t="shared" ca="1" si="12"/>
        <v>0</v>
      </c>
      <c r="P22" s="37">
        <f t="shared" ca="1" si="13"/>
        <v>15</v>
      </c>
      <c r="Q22" s="25"/>
      <c r="R22" s="25"/>
      <c r="S22" s="25"/>
      <c r="U22" t="s">
        <v>394</v>
      </c>
      <c r="V22" t="s">
        <v>395</v>
      </c>
      <c r="W22" s="7"/>
      <c r="X22" s="8" t="str">
        <f>C22</f>
        <v>KTB10</v>
      </c>
      <c r="Y22" s="22">
        <f ca="1">IFERROR(IF($U$7=2,_xll.IMDP($U22,$V22,IF($U$7=1,Y$7,Y$8),$O$2)/1000000,_xll.IMDP($U22,$V22,IF($U$7=1,Y$7,Y$8),$O$2)),"")</f>
        <v>43719</v>
      </c>
      <c r="Z22" s="22">
        <f ca="1">IFERROR(IF($U$7=2,_xll.IMDP($U22,$V22,IF($U$7=1,Z$7,Z$8),$O$2)/1000000,_xll.IMDP($U22,$V22,IF($U$7=1,Z$7,Z$8),$O$2)),"")</f>
        <v>-848</v>
      </c>
      <c r="AA22" s="22">
        <f ca="1">IFERROR(IF($U$7=2,_xll.IMDP($U22,$V22,IF($U$7=1,AA$7,AA$8),$O$2)/1000000,_xll.IMDP($U22,$V22,IF($U$7=1,AA$7,AA$8),$O$2)),"")</f>
        <v>150</v>
      </c>
      <c r="AB22" s="22">
        <f ca="1">IFERROR(IF($U$7=2,_xll.IMDP($U22,$V22,IF($U$7=1,AB$7,AB$8),$O$2)/1000000,_xll.IMDP($U22,$V22,IF($U$7=1,AB$7,AB$8),$O$2)),"")</f>
        <v>683</v>
      </c>
      <c r="AC22" s="22">
        <f ca="1">IFERROR(IF($U$7=2,_xll.IMDP($U22,$V22,IF($U$7=1,AC$7,AC$8),$O$2)/1000000,_xll.IMDP($U22,$V22,IF($U$7=1,AC$7,AC$8),$O$2)),"")</f>
        <v>795</v>
      </c>
      <c r="AD22" s="22">
        <f ca="1">IFERROR(IF($U$7=2,_xll.IMDP($U22,$V22,IF($U$7=1,AD$7,AD$8),$O$2)/1000000,_xll.IMDP($U22,$V22,IF($U$7=1,AD$7,AD$8),$O$2)),"")</f>
        <v>-339</v>
      </c>
      <c r="AE22" s="22">
        <f ca="1">IFERROR(IF($U$7=2,_xll.IMDP($U22,$V22,IF($U$7=1,AE$7,AE$8),$O$2)/1000000,_xll.IMDP($U22,$V22,IF($U$7=1,AE$7,AE$8),$O$2)),"")</f>
        <v>6</v>
      </c>
      <c r="AF22" s="22" t="str">
        <f ca="1">IFERROR(IF($U$7=2,_xll.IMDP($U22,$V22,IF($U$7=1,AF$7,AF$8),$O$2)/1000000,_xll.IMDP($U22,$V22,IF($U$7=1,AF$7,AF$8),$O$2)),"")</f>
        <v/>
      </c>
      <c r="AG22" s="22">
        <f ca="1">IFERROR(IF($U$7=2,_xll.IMDP($U22,$V22,IF($U$7=1,AG$7,AG$8),$O$2)/1000000,_xll.IMDP($U22,$V22,IF($U$7=1,AG$7,AG$8),$O$2)),"")</f>
        <v>446</v>
      </c>
      <c r="AH22" s="22">
        <f ca="1">IFERROR(IF($U$7=2,_xll.IMDP($U22,$V22,IF($U$7=1,AH$7,AH$8),$O$2)/1000000,_xll.IMDP($U22,$V22,IF($U$7=1,AH$7,AH$8),$O$2)),"")</f>
        <v>-415</v>
      </c>
      <c r="AI22" s="22">
        <f ca="1">IFERROR(IF($U$7=2,_xll.IMDP($U22,$V22,IF($U$7=1,AI$7,AI$8),$O$2)/1000000,_xll.IMDP($U22,$V22,IF($U$7=1,AI$7,AI$8),$O$2)),"")</f>
        <v>190</v>
      </c>
      <c r="AJ22" s="22">
        <f ca="1">IFERROR(IF($U$7=2,_xll.IMDP($U22,$V22,IF($U$7=1,AJ$7,AJ$8),$O$2)/1000000,_xll.IMDP($U22,$V22,IF($U$7=1,AJ$7,AJ$8),$O$2)),"")</f>
        <v>0</v>
      </c>
      <c r="AK22" s="22">
        <f ca="1">IFERROR(IF($U$7=2,_xll.IMDP($U22,$V22,IF($U$7=1,AK$7,AK$8),$O$2)/1000000,_xll.IMDP($U22,$V22,IF($U$7=1,AK$7,AK$8),$O$2)),"")</f>
        <v>15</v>
      </c>
    </row>
    <row r="23" spans="2:37">
      <c r="B23" s="39"/>
      <c r="C23" s="47" t="s">
        <v>393</v>
      </c>
      <c r="D23" s="57">
        <f t="shared" ca="1" si="1"/>
        <v>33</v>
      </c>
      <c r="E23" s="53">
        <f t="shared" ca="1" si="2"/>
        <v>0</v>
      </c>
      <c r="F23" s="31">
        <f t="shared" ca="1" si="3"/>
        <v>-2</v>
      </c>
      <c r="G23" s="31">
        <f t="shared" ca="1" si="4"/>
        <v>2</v>
      </c>
      <c r="H23" s="31">
        <f t="shared" ca="1" si="5"/>
        <v>9</v>
      </c>
      <c r="I23" s="31">
        <f t="shared" ca="1" si="6"/>
        <v>0</v>
      </c>
      <c r="J23" s="31">
        <f t="shared" ca="1" si="7"/>
        <v>-7</v>
      </c>
      <c r="K23" s="31" t="str">
        <f t="shared" ca="1" si="8"/>
        <v/>
      </c>
      <c r="L23" s="31">
        <f t="shared" ca="1" si="9"/>
        <v>0</v>
      </c>
      <c r="M23" s="31">
        <f t="shared" ca="1" si="10"/>
        <v>0</v>
      </c>
      <c r="N23" s="31">
        <f t="shared" ca="1" si="11"/>
        <v>0</v>
      </c>
      <c r="O23" s="31">
        <f t="shared" ca="1" si="12"/>
        <v>0</v>
      </c>
      <c r="P23" s="37">
        <f t="shared" ca="1" si="13"/>
        <v>0</v>
      </c>
      <c r="Q23" s="25"/>
      <c r="R23" s="25"/>
      <c r="S23" s="25"/>
      <c r="U23" t="s">
        <v>67</v>
      </c>
      <c r="V23" t="s">
        <v>396</v>
      </c>
      <c r="W23" s="7"/>
      <c r="X23" s="8" t="str">
        <f>C23</f>
        <v>KTB30</v>
      </c>
      <c r="Y23" s="22">
        <f ca="1">IFERROR(IF($U$7=2,_xll.IMDP($U23,$V23,IF($U$7=1,Y$7,Y$8),$O$2)/1000000,_xll.IMDP($U23,$V23,IF($U$7=1,Y$7,Y$8),$O$2)),"")</f>
        <v>33</v>
      </c>
      <c r="Z23" s="22">
        <f ca="1">IFERROR(IF($U$7=2,_xll.IMDP($U23,$V23,IF($U$7=1,Z$7,Z$8),$O$2)/1000000,_xll.IMDP($U23,$V23,IF($U$7=1,Z$7,Z$8),$O$2)),"")</f>
        <v>0</v>
      </c>
      <c r="AA23" s="22">
        <f ca="1">IFERROR(IF($U$7=2,_xll.IMDP($U23,$V23,IF($U$7=1,AA$7,AA$8),$O$2)/1000000,_xll.IMDP($U23,$V23,IF($U$7=1,AA$7,AA$8),$O$2)),"")</f>
        <v>-2</v>
      </c>
      <c r="AB23" s="22">
        <f ca="1">IFERROR(IF($U$7=2,_xll.IMDP($U23,$V23,IF($U$7=1,AB$7,AB$8),$O$2)/1000000,_xll.IMDP($U23,$V23,IF($U$7=1,AB$7,AB$8),$O$2)),"")</f>
        <v>2</v>
      </c>
      <c r="AC23" s="22">
        <f ca="1">IFERROR(IF($U$7=2,_xll.IMDP($U23,$V23,IF($U$7=1,AC$7,AC$8),$O$2)/1000000,_xll.IMDP($U23,$V23,IF($U$7=1,AC$7,AC$8),$O$2)),"")</f>
        <v>9</v>
      </c>
      <c r="AD23" s="22">
        <f ca="1">IFERROR(IF($U$7=2,_xll.IMDP($U23,$V23,IF($U$7=1,AD$7,AD$8),$O$2)/1000000,_xll.IMDP($U23,$V23,IF($U$7=1,AD$7,AD$8),$O$2)),"")</f>
        <v>0</v>
      </c>
      <c r="AE23" s="22">
        <f ca="1">IFERROR(IF($U$7=2,_xll.IMDP($U23,$V23,IF($U$7=1,AE$7,AE$8),$O$2)/1000000,_xll.IMDP($U23,$V23,IF($U$7=1,AE$7,AE$8),$O$2)),"")</f>
        <v>-7</v>
      </c>
      <c r="AF23" s="22" t="str">
        <f ca="1">IFERROR(IF($U$7=2,_xll.IMDP($U23,$V23,IF($U$7=1,AF$7,AF$8),$O$2)/1000000,_xll.IMDP($U23,$V23,IF($U$7=1,AF$7,AF$8),$O$2)),"")</f>
        <v/>
      </c>
      <c r="AG23" s="22">
        <f ca="1">IFERROR(IF($U$7=2,_xll.IMDP($U23,$V23,IF($U$7=1,AG$7,AG$8),$O$2)/1000000,_xll.IMDP($U23,$V23,IF($U$7=1,AG$7,AG$8),$O$2)),"")</f>
        <v>0</v>
      </c>
      <c r="AH23" s="22">
        <f ca="1">IFERROR(IF($U$7=2,_xll.IMDP($U23,$V23,IF($U$7=1,AH$7,AH$8),$O$2)/1000000,_xll.IMDP($U23,$V23,IF($U$7=1,AH$7,AH$8),$O$2)),"")</f>
        <v>0</v>
      </c>
      <c r="AI23" s="22">
        <f ca="1">IFERROR(IF($U$7=2,_xll.IMDP($U23,$V23,IF($U$7=1,AI$7,AI$8),$O$2)/1000000,_xll.IMDP($U23,$V23,IF($U$7=1,AI$7,AI$8),$O$2)),"")</f>
        <v>0</v>
      </c>
      <c r="AJ23" s="22">
        <f ca="1">IFERROR(IF($U$7=2,_xll.IMDP($U23,$V23,IF($U$7=1,AJ$7,AJ$8),$O$2)/1000000,_xll.IMDP($U23,$V23,IF($U$7=1,AJ$7,AJ$8),$O$2)),"")</f>
        <v>0</v>
      </c>
      <c r="AK23" s="22">
        <f ca="1">IFERROR(IF($U$7=2,_xll.IMDP($U23,$V23,IF($U$7=1,AK$7,AK$8),$O$2)/1000000,_xll.IMDP($U23,$V23,IF($U$7=1,AK$7,AK$8),$O$2)),"")</f>
        <v>0</v>
      </c>
    </row>
    <row r="24" spans="2:37">
      <c r="B24" s="39"/>
      <c r="C24" s="47" t="s">
        <v>399</v>
      </c>
      <c r="D24" s="57">
        <f t="shared" ca="1" si="1"/>
        <v>50</v>
      </c>
      <c r="E24" s="53">
        <f t="shared" ca="1" si="2"/>
        <v>0</v>
      </c>
      <c r="F24" s="31">
        <f t="shared" ca="1" si="3"/>
        <v>0</v>
      </c>
      <c r="G24" s="31">
        <f t="shared" ca="1" si="4"/>
        <v>0</v>
      </c>
      <c r="H24" s="31">
        <f t="shared" ca="1" si="5"/>
        <v>0</v>
      </c>
      <c r="I24" s="31">
        <f t="shared" ca="1" si="6"/>
        <v>0</v>
      </c>
      <c r="J24" s="31">
        <f t="shared" ca="1" si="7"/>
        <v>0</v>
      </c>
      <c r="K24" s="31" t="str">
        <f t="shared" ca="1" si="8"/>
        <v/>
      </c>
      <c r="L24" s="31">
        <f t="shared" ca="1" si="9"/>
        <v>0</v>
      </c>
      <c r="M24" s="31">
        <f t="shared" ca="1" si="10"/>
        <v>0</v>
      </c>
      <c r="N24" s="31">
        <f t="shared" ca="1" si="11"/>
        <v>0</v>
      </c>
      <c r="O24" s="31">
        <f t="shared" ca="1" si="12"/>
        <v>0</v>
      </c>
      <c r="P24" s="37">
        <f t="shared" ca="1" si="13"/>
        <v>0</v>
      </c>
      <c r="Q24" s="25"/>
      <c r="R24" s="25"/>
      <c r="S24" s="25"/>
      <c r="U24" t="s">
        <v>67</v>
      </c>
      <c r="V24" t="s">
        <v>398</v>
      </c>
      <c r="W24" s="7"/>
      <c r="X24" s="8" t="str">
        <f>C24</f>
        <v>KOFR3M</v>
      </c>
      <c r="Y24" s="22">
        <f ca="1">IFERROR(IF($U$7=2,_xll.IMDP($U24,$V24,IF($U$7=1,Y$7,Y$8),$O$2)/1000000,_xll.IMDP($U24,$V24,IF($U$7=1,Y$7,Y$8),$O$2)),"")</f>
        <v>50</v>
      </c>
      <c r="Z24" s="22">
        <f ca="1">IFERROR(IF($U$7=2,_xll.IMDP($U24,$V24,IF($U$7=1,Z$7,Z$8),$O$2)/1000000,_xll.IMDP($U24,$V24,IF($U$7=1,Z$7,Z$8),$O$2)),"")</f>
        <v>0</v>
      </c>
      <c r="AA24" s="22">
        <f ca="1">IFERROR(IF($U$7=2,_xll.IMDP($U24,$V24,IF($U$7=1,AA$7,AA$8),$O$2)/1000000,_xll.IMDP($U24,$V24,IF($U$7=1,AA$7,AA$8),$O$2)),"")</f>
        <v>0</v>
      </c>
      <c r="AB24" s="22">
        <f ca="1">IFERROR(IF($U$7=2,_xll.IMDP($U24,$V24,IF($U$7=1,AB$7,AB$8),$O$2)/1000000,_xll.IMDP($U24,$V24,IF($U$7=1,AB$7,AB$8),$O$2)),"")</f>
        <v>0</v>
      </c>
      <c r="AC24" s="22">
        <f ca="1">IFERROR(IF($U$7=2,_xll.IMDP($U24,$V24,IF($U$7=1,AC$7,AC$8),$O$2)/1000000,_xll.IMDP($U24,$V24,IF($U$7=1,AC$7,AC$8),$O$2)),"")</f>
        <v>0</v>
      </c>
      <c r="AD24" s="22">
        <f ca="1">IFERROR(IF($U$7=2,_xll.IMDP($U24,$V24,IF($U$7=1,AD$7,AD$8),$O$2)/1000000,_xll.IMDP($U24,$V24,IF($U$7=1,AD$7,AD$8),$O$2)),"")</f>
        <v>0</v>
      </c>
      <c r="AE24" s="22">
        <f ca="1">IFERROR(IF($U$7=2,_xll.IMDP($U24,$V24,IF($U$7=1,AE$7,AE$8),$O$2)/1000000,_xll.IMDP($U24,$V24,IF($U$7=1,AE$7,AE$8),$O$2)),"")</f>
        <v>0</v>
      </c>
      <c r="AF24" s="22" t="str">
        <f ca="1">IFERROR(IF($U$7=2,_xll.IMDP($U24,$V24,IF($U$7=1,AF$7,AF$8),$O$2)/1000000,_xll.IMDP($U24,$V24,IF($U$7=1,AF$7,AF$8),$O$2)),"")</f>
        <v/>
      </c>
      <c r="AG24" s="22">
        <f ca="1">IFERROR(IF($U$7=2,_xll.IMDP($U24,$V24,IF($U$7=1,AG$7,AG$8),$O$2)/1000000,_xll.IMDP($U24,$V24,IF($U$7=1,AG$7,AG$8),$O$2)),"")</f>
        <v>0</v>
      </c>
      <c r="AH24" s="22">
        <f ca="1">IFERROR(IF($U$7=2,_xll.IMDP($U24,$V24,IF($U$7=1,AH$7,AH$8),$O$2)/1000000,_xll.IMDP($U24,$V24,IF($U$7=1,AH$7,AH$8),$O$2)),"")</f>
        <v>0</v>
      </c>
      <c r="AI24" s="22">
        <f ca="1">IFERROR(IF($U$7=2,_xll.IMDP($U24,$V24,IF($U$7=1,AI$7,AI$8),$O$2)/1000000,_xll.IMDP($U24,$V24,IF($U$7=1,AI$7,AI$8),$O$2)),"")</f>
        <v>0</v>
      </c>
      <c r="AJ24" s="22">
        <f ca="1">IFERROR(IF($U$7=2,_xll.IMDP($U24,$V24,IF($U$7=1,AJ$7,AJ$8),$O$2)/1000000,_xll.IMDP($U24,$V24,IF($U$7=1,AJ$7,AJ$8),$O$2)),"")</f>
        <v>0</v>
      </c>
      <c r="AK24" s="22">
        <f ca="1">IFERROR(IF($U$7=2,_xll.IMDP($U24,$V24,IF($U$7=1,AK$7,AK$8),$O$2)/1000000,_xll.IMDP($U24,$V24,IF($U$7=1,AK$7,AK$8),$O$2)),"")</f>
        <v>0</v>
      </c>
    </row>
    <row r="25" spans="2:37">
      <c r="B25" s="36" t="s">
        <v>430</v>
      </c>
      <c r="C25" s="46"/>
      <c r="D25" s="58">
        <f t="shared" ca="1" si="1"/>
        <v>273931</v>
      </c>
      <c r="E25" s="54">
        <f t="shared" ca="1" si="2"/>
        <v>-6844</v>
      </c>
      <c r="F25" s="32">
        <f t="shared" ca="1" si="3"/>
        <v>7951</v>
      </c>
      <c r="G25" s="32">
        <f t="shared" ca="1" si="4"/>
        <v>-1201</v>
      </c>
      <c r="H25" s="32">
        <f t="shared" ca="1" si="5"/>
        <v>-1506</v>
      </c>
      <c r="I25" s="32">
        <f t="shared" ca="1" si="6"/>
        <v>100</v>
      </c>
      <c r="J25" s="32">
        <f t="shared" ca="1" si="7"/>
        <v>198</v>
      </c>
      <c r="K25" s="32">
        <f t="shared" ca="1" si="8"/>
        <v>0</v>
      </c>
      <c r="L25" s="32">
        <f t="shared" ca="1" si="9"/>
        <v>-99</v>
      </c>
      <c r="M25" s="32">
        <f t="shared" ca="1" si="10"/>
        <v>-8</v>
      </c>
      <c r="N25" s="32">
        <f t="shared" ca="1" si="11"/>
        <v>114</v>
      </c>
      <c r="O25" s="32">
        <f t="shared" ca="1" si="12"/>
        <v>0</v>
      </c>
      <c r="P25" s="38">
        <f t="shared" ca="1" si="13"/>
        <v>94</v>
      </c>
      <c r="Q25" s="25"/>
      <c r="R25" s="25"/>
      <c r="S25" s="25"/>
      <c r="W25" s="12" t="str">
        <f>B25</f>
        <v>지수선물</v>
      </c>
      <c r="X25" s="13"/>
      <c r="Y25" s="23">
        <f t="shared" ref="Y25:AK25" ca="1" si="17">IFERROR(SUM(Y26:Y32),"")</f>
        <v>273931</v>
      </c>
      <c r="Z25" s="23">
        <f t="shared" ca="1" si="17"/>
        <v>-6844</v>
      </c>
      <c r="AA25" s="23">
        <f t="shared" ca="1" si="17"/>
        <v>7951</v>
      </c>
      <c r="AB25" s="23">
        <f t="shared" ca="1" si="17"/>
        <v>-1201</v>
      </c>
      <c r="AC25" s="23">
        <f t="shared" ca="1" si="17"/>
        <v>-1506</v>
      </c>
      <c r="AD25" s="23">
        <f t="shared" ca="1" si="17"/>
        <v>100</v>
      </c>
      <c r="AE25" s="23">
        <f t="shared" ca="1" si="17"/>
        <v>198</v>
      </c>
      <c r="AF25" s="23">
        <f t="shared" ca="1" si="17"/>
        <v>0</v>
      </c>
      <c r="AG25" s="23">
        <f t="shared" ca="1" si="17"/>
        <v>-99</v>
      </c>
      <c r="AH25" s="23">
        <f t="shared" ca="1" si="17"/>
        <v>-8</v>
      </c>
      <c r="AI25" s="23">
        <f t="shared" ca="1" si="17"/>
        <v>114</v>
      </c>
      <c r="AJ25" s="23">
        <f t="shared" ca="1" si="17"/>
        <v>0</v>
      </c>
      <c r="AK25" s="23">
        <f t="shared" ca="1" si="17"/>
        <v>94</v>
      </c>
    </row>
    <row r="26" spans="2:37">
      <c r="B26" s="39"/>
      <c r="C26" s="47" t="s">
        <v>431</v>
      </c>
      <c r="D26" s="57">
        <f t="shared" ca="1" si="1"/>
        <v>173258</v>
      </c>
      <c r="E26" s="53">
        <f t="shared" ca="1" si="2"/>
        <v>-8497</v>
      </c>
      <c r="F26" s="31">
        <f t="shared" ca="1" si="3"/>
        <v>3420</v>
      </c>
      <c r="G26" s="31">
        <f t="shared" ca="1" si="4"/>
        <v>5163</v>
      </c>
      <c r="H26" s="31">
        <f t="shared" ca="1" si="5"/>
        <v>5073</v>
      </c>
      <c r="I26" s="31">
        <f t="shared" ca="1" si="6"/>
        <v>100</v>
      </c>
      <c r="J26" s="31">
        <f t="shared" ca="1" si="7"/>
        <v>-27</v>
      </c>
      <c r="K26" s="31" t="str">
        <f t="shared" ca="1" si="8"/>
        <v/>
      </c>
      <c r="L26" s="31">
        <f t="shared" ca="1" si="9"/>
        <v>-49</v>
      </c>
      <c r="M26" s="31">
        <f t="shared" ca="1" si="10"/>
        <v>-8</v>
      </c>
      <c r="N26" s="31">
        <f t="shared" ca="1" si="11"/>
        <v>74</v>
      </c>
      <c r="O26" s="31">
        <f t="shared" ca="1" si="12"/>
        <v>0</v>
      </c>
      <c r="P26" s="37">
        <f t="shared" ca="1" si="13"/>
        <v>-86</v>
      </c>
      <c r="Q26" s="25"/>
      <c r="R26" s="25"/>
      <c r="S26" s="25"/>
      <c r="U26" t="s">
        <v>67</v>
      </c>
      <c r="V26" t="s">
        <v>23</v>
      </c>
      <c r="W26" s="7"/>
      <c r="X26" s="8" t="str">
        <f t="shared" ref="X26:X32" si="18">C26</f>
        <v>KOSPI200</v>
      </c>
      <c r="Y26" s="22">
        <f ca="1">IFERROR(IF($U$7=2,_xll.IMDP($U26,$V26,IF($U$7=1,Y$7,Y$8),$O$2)/1000000,_xll.IMDP($U26,$V26,IF($U$7=1,Y$7,Y$8),$O$2)),"")</f>
        <v>173258</v>
      </c>
      <c r="Z26" s="22">
        <f ca="1">IFERROR(IF($U$7=2,_xll.IMDP($U26,$V26,IF($U$7=1,Z$7,Z$8),$O$2)/1000000,_xll.IMDP($U26,$V26,IF($U$7=1,Z$7,Z$8),$O$2)),"")</f>
        <v>-8497</v>
      </c>
      <c r="AA26" s="22">
        <f ca="1">IFERROR(IF($U$7=2,_xll.IMDP($U26,$V26,IF($U$7=1,AA$7,AA$8),$O$2)/1000000,_xll.IMDP($U26,$V26,IF($U$7=1,AA$7,AA$8),$O$2)),"")</f>
        <v>3420</v>
      </c>
      <c r="AB26" s="22">
        <f ca="1">IFERROR(IF($U$7=2,_xll.IMDP($U26,$V26,IF($U$7=1,AB$7,AB$8),$O$2)/1000000,_xll.IMDP($U26,$V26,IF($U$7=1,AB$7,AB$8),$O$2)),"")</f>
        <v>5163</v>
      </c>
      <c r="AC26" s="22">
        <f ca="1">IFERROR(IF($U$7=2,_xll.IMDP($U26,$V26,IF($U$7=1,AC$7,AC$8),$O$2)/1000000,_xll.IMDP($U26,$V26,IF($U$7=1,AC$7,AC$8),$O$2)),"")</f>
        <v>5073</v>
      </c>
      <c r="AD26" s="22">
        <f ca="1">IFERROR(IF($U$7=2,_xll.IMDP($U26,$V26,IF($U$7=1,AD$7,AD$8),$O$2)/1000000,_xll.IMDP($U26,$V26,IF($U$7=1,AD$7,AD$8),$O$2)),"")</f>
        <v>100</v>
      </c>
      <c r="AE26" s="22">
        <f ca="1">IFERROR(IF($U$7=2,_xll.IMDP($U26,$V26,IF($U$7=1,AE$7,AE$8),$O$2)/1000000,_xll.IMDP($U26,$V26,IF($U$7=1,AE$7,AE$8),$O$2)),"")</f>
        <v>-27</v>
      </c>
      <c r="AF26" s="22" t="str">
        <f ca="1">IFERROR(IF($U$7=2,_xll.IMDP($U26,$V26,IF($U$7=1,AF$7,AF$8),$O$2)/1000000,_xll.IMDP($U26,$V26,IF($U$7=1,AF$7,AF$8),$O$2)),"")</f>
        <v/>
      </c>
      <c r="AG26" s="22">
        <f ca="1">IFERROR(IF($U$7=2,_xll.IMDP($U26,$V26,IF($U$7=1,AG$7,AG$8),$O$2)/1000000,_xll.IMDP($U26,$V26,IF($U$7=1,AG$7,AG$8),$O$2)),"")</f>
        <v>-49</v>
      </c>
      <c r="AH26" s="22">
        <f ca="1">IFERROR(IF($U$7=2,_xll.IMDP($U26,$V26,IF($U$7=1,AH$7,AH$8),$O$2)/1000000,_xll.IMDP($U26,$V26,IF($U$7=1,AH$7,AH$8),$O$2)),"")</f>
        <v>-8</v>
      </c>
      <c r="AI26" s="22">
        <f ca="1">IFERROR(IF($U$7=2,_xll.IMDP($U26,$V26,IF($U$7=1,AI$7,AI$8),$O$2)/1000000,_xll.IMDP($U26,$V26,IF($U$7=1,AI$7,AI$8),$O$2)),"")</f>
        <v>74</v>
      </c>
      <c r="AJ26" s="22">
        <f ca="1">IFERROR(IF($U$7=2,_xll.IMDP($U26,$V26,IF($U$7=1,AJ$7,AJ$8),$O$2)/1000000,_xll.IMDP($U26,$V26,IF($U$7=1,AJ$7,AJ$8),$O$2)),"")</f>
        <v>0</v>
      </c>
      <c r="AK26" s="22">
        <f ca="1">IFERROR(IF($U$7=2,_xll.IMDP($U26,$V26,IF($U$7=1,AK$7,AK$8),$O$2)/1000000,_xll.IMDP($U26,$V26,IF($U$7=1,AK$7,AK$8),$O$2)),"")</f>
        <v>-86</v>
      </c>
    </row>
    <row r="27" spans="2:37">
      <c r="B27" s="39"/>
      <c r="C27" s="47" t="s">
        <v>432</v>
      </c>
      <c r="D27" s="57">
        <f t="shared" ca="1" si="1"/>
        <v>47267</v>
      </c>
      <c r="E27" s="53">
        <f t="shared" ca="1" si="2"/>
        <v>-2752</v>
      </c>
      <c r="F27" s="31">
        <f t="shared" ca="1" si="3"/>
        <v>3207</v>
      </c>
      <c r="G27" s="31">
        <f t="shared" ca="1" si="4"/>
        <v>-425</v>
      </c>
      <c r="H27" s="31">
        <f t="shared" ca="1" si="5"/>
        <v>-432</v>
      </c>
      <c r="I27" s="31">
        <f t="shared" ca="1" si="6"/>
        <v>0</v>
      </c>
      <c r="J27" s="31">
        <f t="shared" ca="1" si="7"/>
        <v>27</v>
      </c>
      <c r="K27" s="31" t="str">
        <f t="shared" ca="1" si="8"/>
        <v/>
      </c>
      <c r="L27" s="31">
        <f t="shared" ca="1" si="9"/>
        <v>-20</v>
      </c>
      <c r="M27" s="31">
        <f t="shared" ca="1" si="10"/>
        <v>0</v>
      </c>
      <c r="N27" s="31">
        <f t="shared" ca="1" si="11"/>
        <v>0</v>
      </c>
      <c r="O27" s="31">
        <f t="shared" ca="1" si="12"/>
        <v>0</v>
      </c>
      <c r="P27" s="37">
        <f t="shared" ca="1" si="13"/>
        <v>-30</v>
      </c>
      <c r="Q27" s="25"/>
      <c r="R27" s="25"/>
      <c r="S27" s="25"/>
      <c r="U27" t="s">
        <v>67</v>
      </c>
      <c r="V27" t="s">
        <v>24</v>
      </c>
      <c r="W27" s="7"/>
      <c r="X27" s="8" t="str">
        <f t="shared" si="18"/>
        <v>MINI-K200</v>
      </c>
      <c r="Y27" s="22">
        <f ca="1">IFERROR(IF($U$7=2,_xll.IMDP($U27,$V27,IF($U$7=1,Y$7,Y$8),$O$2)/1000000,_xll.IMDP($U27,$V27,IF($U$7=1,Y$7,Y$8),$O$2)),"")</f>
        <v>47267</v>
      </c>
      <c r="Z27" s="22">
        <f ca="1">IFERROR(IF($U$7=2,_xll.IMDP($U27,$V27,IF($U$7=1,Z$7,Z$8),$O$2)/1000000,_xll.IMDP($U27,$V27,IF($U$7=1,Z$7,Z$8),$O$2)),"")</f>
        <v>-2752</v>
      </c>
      <c r="AA27" s="22">
        <f ca="1">IFERROR(IF($U$7=2,_xll.IMDP($U27,$V27,IF($U$7=1,AA$7,AA$8),$O$2)/1000000,_xll.IMDP($U27,$V27,IF($U$7=1,AA$7,AA$8),$O$2)),"")</f>
        <v>3207</v>
      </c>
      <c r="AB27" s="22">
        <f ca="1">IFERROR(IF($U$7=2,_xll.IMDP($U27,$V27,IF($U$7=1,AB$7,AB$8),$O$2)/1000000,_xll.IMDP($U27,$V27,IF($U$7=1,AB$7,AB$8),$O$2)),"")</f>
        <v>-425</v>
      </c>
      <c r="AC27" s="22">
        <f ca="1">IFERROR(IF($U$7=2,_xll.IMDP($U27,$V27,IF($U$7=1,AC$7,AC$8),$O$2)/1000000,_xll.IMDP($U27,$V27,IF($U$7=1,AC$7,AC$8),$O$2)),"")</f>
        <v>-432</v>
      </c>
      <c r="AD27" s="22">
        <f ca="1">IFERROR(IF($U$7=2,_xll.IMDP($U27,$V27,IF($U$7=1,AD$7,AD$8),$O$2)/1000000,_xll.IMDP($U27,$V27,IF($U$7=1,AD$7,AD$8),$O$2)),"")</f>
        <v>0</v>
      </c>
      <c r="AE27" s="22">
        <f ca="1">IFERROR(IF($U$7=2,_xll.IMDP($U27,$V27,IF($U$7=1,AE$7,AE$8),$O$2)/1000000,_xll.IMDP($U27,$V27,IF($U$7=1,AE$7,AE$8),$O$2)),"")</f>
        <v>27</v>
      </c>
      <c r="AF27" s="22" t="str">
        <f ca="1">IFERROR(IF($U$7=2,_xll.IMDP($U27,$V27,IF($U$7=1,AF$7,AF$8),$O$2)/1000000,_xll.IMDP($U27,$V27,IF($U$7=1,AF$7,AF$8),$O$2)),"")</f>
        <v/>
      </c>
      <c r="AG27" s="22">
        <f ca="1">IFERROR(IF($U$7=2,_xll.IMDP($U27,$V27,IF($U$7=1,AG$7,AG$8),$O$2)/1000000,_xll.IMDP($U27,$V27,IF($U$7=1,AG$7,AG$8),$O$2)),"")</f>
        <v>-20</v>
      </c>
      <c r="AH27" s="22">
        <f ca="1">IFERROR(IF($U$7=2,_xll.IMDP($U27,$V27,IF($U$7=1,AH$7,AH$8),$O$2)/1000000,_xll.IMDP($U27,$V27,IF($U$7=1,AH$7,AH$8),$O$2)),"")</f>
        <v>0</v>
      </c>
      <c r="AI27" s="22">
        <f ca="1">IFERROR(IF($U$7=2,_xll.IMDP($U27,$V27,IF($U$7=1,AI$7,AI$8),$O$2)/1000000,_xll.IMDP($U27,$V27,IF($U$7=1,AI$7,AI$8),$O$2)),"")</f>
        <v>0</v>
      </c>
      <c r="AJ27" s="22">
        <f ca="1">IFERROR(IF($U$7=2,_xll.IMDP($U27,$V27,IF($U$7=1,AJ$7,AJ$8),$O$2)/1000000,_xll.IMDP($U27,$V27,IF($U$7=1,AJ$7,AJ$8),$O$2)),"")</f>
        <v>0</v>
      </c>
      <c r="AK27" s="22">
        <f ca="1">IFERROR(IF($U$7=2,_xll.IMDP($U27,$V27,IF($U$7=1,AK$7,AK$8),$O$2)/1000000,_xll.IMDP($U27,$V27,IF($U$7=1,AK$7,AK$8),$O$2)),"")</f>
        <v>-30</v>
      </c>
    </row>
    <row r="28" spans="2:37">
      <c r="B28" s="39"/>
      <c r="C28" s="47" t="s">
        <v>433</v>
      </c>
      <c r="D28" s="57">
        <f t="shared" ca="1" si="1"/>
        <v>52865</v>
      </c>
      <c r="E28" s="53">
        <f t="shared" ca="1" si="2"/>
        <v>4405</v>
      </c>
      <c r="F28" s="31">
        <f t="shared" ca="1" si="3"/>
        <v>1324</v>
      </c>
      <c r="G28" s="31">
        <f t="shared" ca="1" si="4"/>
        <v>-5939</v>
      </c>
      <c r="H28" s="31">
        <f t="shared" ca="1" si="5"/>
        <v>-6147</v>
      </c>
      <c r="I28" s="31">
        <f t="shared" ca="1" si="6"/>
        <v>0</v>
      </c>
      <c r="J28" s="31">
        <f t="shared" ca="1" si="7"/>
        <v>198</v>
      </c>
      <c r="K28" s="31" t="str">
        <f t="shared" ca="1" si="8"/>
        <v/>
      </c>
      <c r="L28" s="31">
        <f t="shared" ca="1" si="9"/>
        <v>-30</v>
      </c>
      <c r="M28" s="31">
        <f t="shared" ca="1" si="10"/>
        <v>0</v>
      </c>
      <c r="N28" s="31">
        <f t="shared" ca="1" si="11"/>
        <v>40</v>
      </c>
      <c r="O28" s="31">
        <f t="shared" ca="1" si="12"/>
        <v>0</v>
      </c>
      <c r="P28" s="37">
        <f t="shared" ca="1" si="13"/>
        <v>210</v>
      </c>
      <c r="Q28" s="25"/>
      <c r="R28" s="25"/>
      <c r="S28" s="25"/>
      <c r="U28" t="s">
        <v>67</v>
      </c>
      <c r="V28" t="s">
        <v>25</v>
      </c>
      <c r="W28" s="7"/>
      <c r="X28" s="8" t="str">
        <f t="shared" si="18"/>
        <v>KOSDAQ150</v>
      </c>
      <c r="Y28" s="22">
        <f ca="1">IFERROR(IF($U$7=2,_xll.IMDP($U28,$V28,IF($U$7=1,Y$7,Y$8),$O$2)/1000000,_xll.IMDP($U28,$V28,IF($U$7=1,Y$7,Y$8),$O$2)),"")</f>
        <v>52865</v>
      </c>
      <c r="Z28" s="22">
        <f ca="1">IFERROR(IF($U$7=2,_xll.IMDP($U28,$V28,IF($U$7=1,Z$7,Z$8),$O$2)/1000000,_xll.IMDP($U28,$V28,IF($U$7=1,Z$7,Z$8),$O$2)),"")</f>
        <v>4405</v>
      </c>
      <c r="AA28" s="22">
        <f ca="1">IFERROR(IF($U$7=2,_xll.IMDP($U28,$V28,IF($U$7=1,AA$7,AA$8),$O$2)/1000000,_xll.IMDP($U28,$V28,IF($U$7=1,AA$7,AA$8),$O$2)),"")</f>
        <v>1324</v>
      </c>
      <c r="AB28" s="22">
        <f ca="1">IFERROR(IF($U$7=2,_xll.IMDP($U28,$V28,IF($U$7=1,AB$7,AB$8),$O$2)/1000000,_xll.IMDP($U28,$V28,IF($U$7=1,AB$7,AB$8),$O$2)),"")</f>
        <v>-5939</v>
      </c>
      <c r="AC28" s="22">
        <f ca="1">IFERROR(IF($U$7=2,_xll.IMDP($U28,$V28,IF($U$7=1,AC$7,AC$8),$O$2)/1000000,_xll.IMDP($U28,$V28,IF($U$7=1,AC$7,AC$8),$O$2)),"")</f>
        <v>-6147</v>
      </c>
      <c r="AD28" s="22">
        <f ca="1">IFERROR(IF($U$7=2,_xll.IMDP($U28,$V28,IF($U$7=1,AD$7,AD$8),$O$2)/1000000,_xll.IMDP($U28,$V28,IF($U$7=1,AD$7,AD$8),$O$2)),"")</f>
        <v>0</v>
      </c>
      <c r="AE28" s="22">
        <f ca="1">IFERROR(IF($U$7=2,_xll.IMDP($U28,$V28,IF($U$7=1,AE$7,AE$8),$O$2)/1000000,_xll.IMDP($U28,$V28,IF($U$7=1,AE$7,AE$8),$O$2)),"")</f>
        <v>198</v>
      </c>
      <c r="AF28" s="22" t="str">
        <f ca="1">IFERROR(IF($U$7=2,_xll.IMDP($U28,$V28,IF($U$7=1,AF$7,AF$8),$O$2)/1000000,_xll.IMDP($U28,$V28,IF($U$7=1,AF$7,AF$8),$O$2)),"")</f>
        <v/>
      </c>
      <c r="AG28" s="22">
        <f ca="1">IFERROR(IF($U$7=2,_xll.IMDP($U28,$V28,IF($U$7=1,AG$7,AG$8),$O$2)/1000000,_xll.IMDP($U28,$V28,IF($U$7=1,AG$7,AG$8),$O$2)),"")</f>
        <v>-30</v>
      </c>
      <c r="AH28" s="22">
        <f ca="1">IFERROR(IF($U$7=2,_xll.IMDP($U28,$V28,IF($U$7=1,AH$7,AH$8),$O$2)/1000000,_xll.IMDP($U28,$V28,IF($U$7=1,AH$7,AH$8),$O$2)),"")</f>
        <v>0</v>
      </c>
      <c r="AI28" s="22">
        <f ca="1">IFERROR(IF($U$7=2,_xll.IMDP($U28,$V28,IF($U$7=1,AI$7,AI$8),$O$2)/1000000,_xll.IMDP($U28,$V28,IF($U$7=1,AI$7,AI$8),$O$2)),"")</f>
        <v>40</v>
      </c>
      <c r="AJ28" s="22">
        <f ca="1">IFERROR(IF($U$7=2,_xll.IMDP($U28,$V28,IF($U$7=1,AJ$7,AJ$8),$O$2)/1000000,_xll.IMDP($U28,$V28,IF($U$7=1,AJ$7,AJ$8),$O$2)),"")</f>
        <v>0</v>
      </c>
      <c r="AK28" s="22">
        <f ca="1">IFERROR(IF($U$7=2,_xll.IMDP($U28,$V28,IF($U$7=1,AK$7,AK$8),$O$2)/1000000,_xll.IMDP($U28,$V28,IF($U$7=1,AK$7,AK$8),$O$2)),"")</f>
        <v>210</v>
      </c>
    </row>
    <row r="29" spans="2:37">
      <c r="B29" s="39"/>
      <c r="C29" s="47" t="s">
        <v>401</v>
      </c>
      <c r="D29" s="57">
        <f t="shared" ca="1" si="1"/>
        <v>22</v>
      </c>
      <c r="E29" s="53">
        <f t="shared" ca="1" si="2"/>
        <v>0</v>
      </c>
      <c r="F29" s="31">
        <f t="shared" ca="1" si="3"/>
        <v>0</v>
      </c>
      <c r="G29" s="31">
        <f t="shared" ca="1" si="4"/>
        <v>0</v>
      </c>
      <c r="H29" s="31">
        <f t="shared" ca="1" si="5"/>
        <v>0</v>
      </c>
      <c r="I29" s="31">
        <f t="shared" ca="1" si="6"/>
        <v>0</v>
      </c>
      <c r="J29" s="31">
        <f t="shared" ca="1" si="7"/>
        <v>0</v>
      </c>
      <c r="K29" s="31" t="str">
        <f t="shared" ca="1" si="8"/>
        <v/>
      </c>
      <c r="L29" s="31">
        <f t="shared" ca="1" si="9"/>
        <v>0</v>
      </c>
      <c r="M29" s="31">
        <f t="shared" ca="1" si="10"/>
        <v>0</v>
      </c>
      <c r="N29" s="31">
        <f t="shared" ca="1" si="11"/>
        <v>0</v>
      </c>
      <c r="O29" s="31">
        <f t="shared" ca="1" si="12"/>
        <v>0</v>
      </c>
      <c r="P29" s="37">
        <f t="shared" ca="1" si="13"/>
        <v>0</v>
      </c>
      <c r="Q29" s="25"/>
      <c r="R29" s="25"/>
      <c r="S29" s="25"/>
      <c r="U29" t="s">
        <v>67</v>
      </c>
      <c r="V29" t="s">
        <v>400</v>
      </c>
      <c r="W29" s="7"/>
      <c r="X29" s="8" t="str">
        <f t="shared" si="18"/>
        <v>KRX300</v>
      </c>
      <c r="Y29" s="22">
        <f ca="1">IFERROR(IF($U$7=2,_xll.IMDP($U29,$V29,IF($U$7=1,Y$7,Y$8),$O$2)/1000000,_xll.IMDP($U29,$V29,IF($U$7=1,Y$7,Y$8),$O$2)),"")</f>
        <v>22</v>
      </c>
      <c r="Z29" s="22">
        <f ca="1">IFERROR(IF($U$7=2,_xll.IMDP($U29,$V29,IF($U$7=1,Z$7,Z$8),$O$2)/1000000,_xll.IMDP($U29,$V29,IF($U$7=1,Z$7,Z$8),$O$2)),"")</f>
        <v>0</v>
      </c>
      <c r="AA29" s="22">
        <f ca="1">IFERROR(IF($U$7=2,_xll.IMDP($U29,$V29,IF($U$7=1,AA$7,AA$8),$O$2)/1000000,_xll.IMDP($U29,$V29,IF($U$7=1,AA$7,AA$8),$O$2)),"")</f>
        <v>0</v>
      </c>
      <c r="AB29" s="22">
        <f ca="1">IFERROR(IF($U$7=2,_xll.IMDP($U29,$V29,IF($U$7=1,AB$7,AB$8),$O$2)/1000000,_xll.IMDP($U29,$V29,IF($U$7=1,AB$7,AB$8),$O$2)),"")</f>
        <v>0</v>
      </c>
      <c r="AC29" s="22">
        <f ca="1">IFERROR(IF($U$7=2,_xll.IMDP($U29,$V29,IF($U$7=1,AC$7,AC$8),$O$2)/1000000,_xll.IMDP($U29,$V29,IF($U$7=1,AC$7,AC$8),$O$2)),"")</f>
        <v>0</v>
      </c>
      <c r="AD29" s="22">
        <f ca="1">IFERROR(IF($U$7=2,_xll.IMDP($U29,$V29,IF($U$7=1,AD$7,AD$8),$O$2)/1000000,_xll.IMDP($U29,$V29,IF($U$7=1,AD$7,AD$8),$O$2)),"")</f>
        <v>0</v>
      </c>
      <c r="AE29" s="22">
        <f ca="1">IFERROR(IF($U$7=2,_xll.IMDP($U29,$V29,IF($U$7=1,AE$7,AE$8),$O$2)/1000000,_xll.IMDP($U29,$V29,IF($U$7=1,AE$7,AE$8),$O$2)),"")</f>
        <v>0</v>
      </c>
      <c r="AF29" s="22" t="str">
        <f ca="1">IFERROR(IF($U$7=2,_xll.IMDP($U29,$V29,IF($U$7=1,AF$7,AF$8),$O$2)/1000000,_xll.IMDP($U29,$V29,IF($U$7=1,AF$7,AF$8),$O$2)),"")</f>
        <v/>
      </c>
      <c r="AG29" s="22">
        <f ca="1">IFERROR(IF($U$7=2,_xll.IMDP($U29,$V29,IF($U$7=1,AG$7,AG$8),$O$2)/1000000,_xll.IMDP($U29,$V29,IF($U$7=1,AG$7,AG$8),$O$2)),"")</f>
        <v>0</v>
      </c>
      <c r="AH29" s="22">
        <f ca="1">IFERROR(IF($U$7=2,_xll.IMDP($U29,$V29,IF($U$7=1,AH$7,AH$8),$O$2)/1000000,_xll.IMDP($U29,$V29,IF($U$7=1,AH$7,AH$8),$O$2)),"")</f>
        <v>0</v>
      </c>
      <c r="AI29" s="22">
        <f ca="1">IFERROR(IF($U$7=2,_xll.IMDP($U29,$V29,IF($U$7=1,AI$7,AI$8),$O$2)/1000000,_xll.IMDP($U29,$V29,IF($U$7=1,AI$7,AI$8),$O$2)),"")</f>
        <v>0</v>
      </c>
      <c r="AJ29" s="22">
        <f ca="1">IFERROR(IF($U$7=2,_xll.IMDP($U29,$V29,IF($U$7=1,AJ$7,AJ$8),$O$2)/1000000,_xll.IMDP($U29,$V29,IF($U$7=1,AJ$7,AJ$8),$O$2)),"")</f>
        <v>0</v>
      </c>
      <c r="AK29" s="22">
        <f ca="1">IFERROR(IF($U$7=2,_xll.IMDP($U29,$V29,IF($U$7=1,AK$7,AK$8),$O$2)/1000000,_xll.IMDP($U29,$V29,IF($U$7=1,AK$7,AK$8),$O$2)),"")</f>
        <v>0</v>
      </c>
    </row>
    <row r="30" spans="2:37">
      <c r="B30" s="39"/>
      <c r="C30" s="47" t="s">
        <v>403</v>
      </c>
      <c r="D30" s="57">
        <f t="shared" ca="1" si="1"/>
        <v>81</v>
      </c>
      <c r="E30" s="53">
        <f t="shared" ca="1" si="2"/>
        <v>0</v>
      </c>
      <c r="F30" s="31">
        <f t="shared" ca="1" si="3"/>
        <v>0</v>
      </c>
      <c r="G30" s="31">
        <f t="shared" ca="1" si="4"/>
        <v>0</v>
      </c>
      <c r="H30" s="31">
        <f t="shared" ca="1" si="5"/>
        <v>0</v>
      </c>
      <c r="I30" s="31">
        <f t="shared" ca="1" si="6"/>
        <v>0</v>
      </c>
      <c r="J30" s="31">
        <f t="shared" ca="1" si="7"/>
        <v>0</v>
      </c>
      <c r="K30" s="31" t="str">
        <f t="shared" ca="1" si="8"/>
        <v/>
      </c>
      <c r="L30" s="31">
        <f t="shared" ca="1" si="9"/>
        <v>0</v>
      </c>
      <c r="M30" s="31">
        <f t="shared" ca="1" si="10"/>
        <v>0</v>
      </c>
      <c r="N30" s="31">
        <f t="shared" ca="1" si="11"/>
        <v>0</v>
      </c>
      <c r="O30" s="31">
        <f t="shared" ca="1" si="12"/>
        <v>0</v>
      </c>
      <c r="P30" s="37">
        <f t="shared" ca="1" si="13"/>
        <v>0</v>
      </c>
      <c r="Q30" s="25"/>
      <c r="R30" s="25"/>
      <c r="S30" s="25"/>
      <c r="U30" t="s">
        <v>67</v>
      </c>
      <c r="V30" t="s">
        <v>402</v>
      </c>
      <c r="W30" s="7"/>
      <c r="X30" s="8" t="str">
        <f t="shared" si="18"/>
        <v>변동성지수</v>
      </c>
      <c r="Y30" s="22">
        <f ca="1">IFERROR(IF($U$7=2,_xll.IMDP($U30,$V30,IF($U$7=1,Y$7,Y$8),$O$2)/1000000,_xll.IMDP($U30,$V30,IF($U$7=1,Y$7,Y$8),$O$2)),"")</f>
        <v>81</v>
      </c>
      <c r="Z30" s="22">
        <f ca="1">IFERROR(IF($U$7=2,_xll.IMDP($U30,$V30,IF($U$7=1,Z$7,Z$8),$O$2)/1000000,_xll.IMDP($U30,$V30,IF($U$7=1,Z$7,Z$8),$O$2)),"")</f>
        <v>0</v>
      </c>
      <c r="AA30" s="22">
        <f ca="1">IFERROR(IF($U$7=2,_xll.IMDP($U30,$V30,IF($U$7=1,AA$7,AA$8),$O$2)/1000000,_xll.IMDP($U30,$V30,IF($U$7=1,AA$7,AA$8),$O$2)),"")</f>
        <v>0</v>
      </c>
      <c r="AB30" s="22">
        <f ca="1">IFERROR(IF($U$7=2,_xll.IMDP($U30,$V30,IF($U$7=1,AB$7,AB$8),$O$2)/1000000,_xll.IMDP($U30,$V30,IF($U$7=1,AB$7,AB$8),$O$2)),"")</f>
        <v>0</v>
      </c>
      <c r="AC30" s="22">
        <f ca="1">IFERROR(IF($U$7=2,_xll.IMDP($U30,$V30,IF($U$7=1,AC$7,AC$8),$O$2)/1000000,_xll.IMDP($U30,$V30,IF($U$7=1,AC$7,AC$8),$O$2)),"")</f>
        <v>0</v>
      </c>
      <c r="AD30" s="22">
        <f ca="1">IFERROR(IF($U$7=2,_xll.IMDP($U30,$V30,IF($U$7=1,AD$7,AD$8),$O$2)/1000000,_xll.IMDP($U30,$V30,IF($U$7=1,AD$7,AD$8),$O$2)),"")</f>
        <v>0</v>
      </c>
      <c r="AE30" s="22">
        <f ca="1">IFERROR(IF($U$7=2,_xll.IMDP($U30,$V30,IF($U$7=1,AE$7,AE$8),$O$2)/1000000,_xll.IMDP($U30,$V30,IF($U$7=1,AE$7,AE$8),$O$2)),"")</f>
        <v>0</v>
      </c>
      <c r="AF30" s="22" t="str">
        <f ca="1">IFERROR(IF($U$7=2,_xll.IMDP($U30,$V30,IF($U$7=1,AF$7,AF$8),$O$2)/1000000,_xll.IMDP($U30,$V30,IF($U$7=1,AF$7,AF$8),$O$2)),"")</f>
        <v/>
      </c>
      <c r="AG30" s="22">
        <f ca="1">IFERROR(IF($U$7=2,_xll.IMDP($U30,$V30,IF($U$7=1,AG$7,AG$8),$O$2)/1000000,_xll.IMDP($U30,$V30,IF($U$7=1,AG$7,AG$8),$O$2)),"")</f>
        <v>0</v>
      </c>
      <c r="AH30" s="22">
        <f ca="1">IFERROR(IF($U$7=2,_xll.IMDP($U30,$V30,IF($U$7=1,AH$7,AH$8),$O$2)/1000000,_xll.IMDP($U30,$V30,IF($U$7=1,AH$7,AH$8),$O$2)),"")</f>
        <v>0</v>
      </c>
      <c r="AI30" s="22">
        <f ca="1">IFERROR(IF($U$7=2,_xll.IMDP($U30,$V30,IF($U$7=1,AI$7,AI$8),$O$2)/1000000,_xll.IMDP($U30,$V30,IF($U$7=1,AI$7,AI$8),$O$2)),"")</f>
        <v>0</v>
      </c>
      <c r="AJ30" s="22">
        <f ca="1">IFERROR(IF($U$7=2,_xll.IMDP($U30,$V30,IF($U$7=1,AJ$7,AJ$8),$O$2)/1000000,_xll.IMDP($U30,$V30,IF($U$7=1,AJ$7,AJ$8),$O$2)),"")</f>
        <v>0</v>
      </c>
      <c r="AK30" s="22">
        <f ca="1">IFERROR(IF($U$7=2,_xll.IMDP($U30,$V30,IF($U$7=1,AK$7,AK$8),$O$2)/1000000,_xll.IMDP($U30,$V30,IF($U$7=1,AK$7,AK$8),$O$2)),"")</f>
        <v>0</v>
      </c>
    </row>
    <row r="31" spans="2:37">
      <c r="B31" s="39"/>
      <c r="C31" s="47" t="s">
        <v>434</v>
      </c>
      <c r="D31" s="57">
        <f t="shared" ca="1" si="1"/>
        <v>434</v>
      </c>
      <c r="E31" s="53">
        <f t="shared" ca="1" si="2"/>
        <v>0</v>
      </c>
      <c r="F31" s="31">
        <f t="shared" ca="1" si="3"/>
        <v>0</v>
      </c>
      <c r="G31" s="31">
        <f t="shared" ca="1" si="4"/>
        <v>0</v>
      </c>
      <c r="H31" s="31">
        <f t="shared" ca="1" si="5"/>
        <v>0</v>
      </c>
      <c r="I31" s="31">
        <f t="shared" ca="1" si="6"/>
        <v>0</v>
      </c>
      <c r="J31" s="31">
        <f t="shared" ca="1" si="7"/>
        <v>0</v>
      </c>
      <c r="K31" s="31" t="str">
        <f t="shared" ca="1" si="8"/>
        <v/>
      </c>
      <c r="L31" s="31">
        <f t="shared" ca="1" si="9"/>
        <v>0</v>
      </c>
      <c r="M31" s="31">
        <f t="shared" ca="1" si="10"/>
        <v>0</v>
      </c>
      <c r="N31" s="31">
        <f t="shared" ca="1" si="11"/>
        <v>0</v>
      </c>
      <c r="O31" s="31">
        <f t="shared" ca="1" si="12"/>
        <v>0</v>
      </c>
      <c r="P31" s="37">
        <f t="shared" ca="1" si="13"/>
        <v>0</v>
      </c>
      <c r="Q31" s="25"/>
      <c r="R31" s="25"/>
      <c r="S31" s="25"/>
      <c r="U31" t="s">
        <v>67</v>
      </c>
      <c r="V31" t="s">
        <v>28</v>
      </c>
      <c r="W31" s="7"/>
      <c r="X31" s="8" t="str">
        <f t="shared" si="18"/>
        <v>고배당50</v>
      </c>
      <c r="Y31" s="22">
        <f ca="1">IFERROR(IF($U$7=2,_xll.IMDP($U31,$V31,IF($U$7=1,Y$7,Y$8),$O$2)/1000000,_xll.IMDP($U31,$V31,IF($U$7=1,Y$7,Y$8),$O$2)),"")</f>
        <v>434</v>
      </c>
      <c r="Z31" s="22">
        <f ca="1">IFERROR(IF($U$7=2,_xll.IMDP($U31,$V31,IF($U$7=1,Z$7,Z$8),$O$2)/1000000,_xll.IMDP($U31,$V31,IF($U$7=1,Z$7,Z$8),$O$2)),"")</f>
        <v>0</v>
      </c>
      <c r="AA31" s="22">
        <f ca="1">IFERROR(IF($U$7=2,_xll.IMDP($U31,$V31,IF($U$7=1,AA$7,AA$8),$O$2)/1000000,_xll.IMDP($U31,$V31,IF($U$7=1,AA$7,AA$8),$O$2)),"")</f>
        <v>0</v>
      </c>
      <c r="AB31" s="22">
        <f ca="1">IFERROR(IF($U$7=2,_xll.IMDP($U31,$V31,IF($U$7=1,AB$7,AB$8),$O$2)/1000000,_xll.IMDP($U31,$V31,IF($U$7=1,AB$7,AB$8),$O$2)),"")</f>
        <v>0</v>
      </c>
      <c r="AC31" s="22">
        <f ca="1">IFERROR(IF($U$7=2,_xll.IMDP($U31,$V31,IF($U$7=1,AC$7,AC$8),$O$2)/1000000,_xll.IMDP($U31,$V31,IF($U$7=1,AC$7,AC$8),$O$2)),"")</f>
        <v>0</v>
      </c>
      <c r="AD31" s="22">
        <f ca="1">IFERROR(IF($U$7=2,_xll.IMDP($U31,$V31,IF($U$7=1,AD$7,AD$8),$O$2)/1000000,_xll.IMDP($U31,$V31,IF($U$7=1,AD$7,AD$8),$O$2)),"")</f>
        <v>0</v>
      </c>
      <c r="AE31" s="22">
        <f ca="1">IFERROR(IF($U$7=2,_xll.IMDP($U31,$V31,IF($U$7=1,AE$7,AE$8),$O$2)/1000000,_xll.IMDP($U31,$V31,IF($U$7=1,AE$7,AE$8),$O$2)),"")</f>
        <v>0</v>
      </c>
      <c r="AF31" s="22" t="str">
        <f ca="1">IFERROR(IF($U$7=2,_xll.IMDP($U31,$V31,IF($U$7=1,AF$7,AF$8),$O$2)/1000000,_xll.IMDP($U31,$V31,IF($U$7=1,AF$7,AF$8),$O$2)),"")</f>
        <v/>
      </c>
      <c r="AG31" s="22">
        <f ca="1">IFERROR(IF($U$7=2,_xll.IMDP($U31,$V31,IF($U$7=1,AG$7,AG$8),$O$2)/1000000,_xll.IMDP($U31,$V31,IF($U$7=1,AG$7,AG$8),$O$2)),"")</f>
        <v>0</v>
      </c>
      <c r="AH31" s="22">
        <f ca="1">IFERROR(IF($U$7=2,_xll.IMDP($U31,$V31,IF($U$7=1,AH$7,AH$8),$O$2)/1000000,_xll.IMDP($U31,$V31,IF($U$7=1,AH$7,AH$8),$O$2)),"")</f>
        <v>0</v>
      </c>
      <c r="AI31" s="22">
        <f ca="1">IFERROR(IF($U$7=2,_xll.IMDP($U31,$V31,IF($U$7=1,AI$7,AI$8),$O$2)/1000000,_xll.IMDP($U31,$V31,IF($U$7=1,AI$7,AI$8),$O$2)),"")</f>
        <v>0</v>
      </c>
      <c r="AJ31" s="22">
        <f ca="1">IFERROR(IF($U$7=2,_xll.IMDP($U31,$V31,IF($U$7=1,AJ$7,AJ$8),$O$2)/1000000,_xll.IMDP($U31,$V31,IF($U$7=1,AJ$7,AJ$8),$O$2)),"")</f>
        <v>0</v>
      </c>
      <c r="AK31" s="22">
        <f ca="1">IFERROR(IF($U$7=2,_xll.IMDP($U31,$V31,IF($U$7=1,AK$7,AK$8),$O$2)/1000000,_xll.IMDP($U31,$V31,IF($U$7=1,AK$7,AK$8),$O$2)),"")</f>
        <v>0</v>
      </c>
    </row>
    <row r="32" spans="2:37">
      <c r="B32" s="39"/>
      <c r="C32" s="47" t="s">
        <v>435</v>
      </c>
      <c r="D32" s="57">
        <f t="shared" ca="1" si="1"/>
        <v>4</v>
      </c>
      <c r="E32" s="53">
        <f t="shared" ca="1" si="2"/>
        <v>0</v>
      </c>
      <c r="F32" s="31">
        <f t="shared" ca="1" si="3"/>
        <v>0</v>
      </c>
      <c r="G32" s="31">
        <f t="shared" ca="1" si="4"/>
        <v>0</v>
      </c>
      <c r="H32" s="31">
        <f t="shared" ca="1" si="5"/>
        <v>0</v>
      </c>
      <c r="I32" s="31">
        <f t="shared" ca="1" si="6"/>
        <v>0</v>
      </c>
      <c r="J32" s="31">
        <f t="shared" ca="1" si="7"/>
        <v>0</v>
      </c>
      <c r="K32" s="31" t="str">
        <f t="shared" ca="1" si="8"/>
        <v/>
      </c>
      <c r="L32" s="31">
        <f t="shared" ca="1" si="9"/>
        <v>0</v>
      </c>
      <c r="M32" s="31">
        <f t="shared" ca="1" si="10"/>
        <v>0</v>
      </c>
      <c r="N32" s="31">
        <f t="shared" ca="1" si="11"/>
        <v>0</v>
      </c>
      <c r="O32" s="31">
        <f t="shared" ca="1" si="12"/>
        <v>0</v>
      </c>
      <c r="P32" s="37">
        <f t="shared" ca="1" si="13"/>
        <v>0</v>
      </c>
      <c r="Q32" s="25"/>
      <c r="R32" s="25"/>
      <c r="S32" s="25"/>
      <c r="U32" t="s">
        <v>67</v>
      </c>
      <c r="V32" t="s">
        <v>29</v>
      </c>
      <c r="W32" s="7"/>
      <c r="X32" s="8" t="str">
        <f t="shared" si="18"/>
        <v>배당성장50</v>
      </c>
      <c r="Y32" s="22">
        <f ca="1">IFERROR(IF($U$7=2,_xll.IMDP($U32,$V32,IF($U$7=1,Y$7,Y$8),$O$2)/1000000,_xll.IMDP($U32,$V32,IF($U$7=1,Y$7,Y$8),$O$2)),"")</f>
        <v>4</v>
      </c>
      <c r="Z32" s="22">
        <f ca="1">IFERROR(IF($U$7=2,_xll.IMDP($U32,$V32,IF($U$7=1,Z$7,Z$8),$O$2)/1000000,_xll.IMDP($U32,$V32,IF($U$7=1,Z$7,Z$8),$O$2)),"")</f>
        <v>0</v>
      </c>
      <c r="AA32" s="22">
        <f ca="1">IFERROR(IF($U$7=2,_xll.IMDP($U32,$V32,IF($U$7=1,AA$7,AA$8),$O$2)/1000000,_xll.IMDP($U32,$V32,IF($U$7=1,AA$7,AA$8),$O$2)),"")</f>
        <v>0</v>
      </c>
      <c r="AB32" s="22">
        <f ca="1">IFERROR(IF($U$7=2,_xll.IMDP($U32,$V32,IF($U$7=1,AB$7,AB$8),$O$2)/1000000,_xll.IMDP($U32,$V32,IF($U$7=1,AB$7,AB$8),$O$2)),"")</f>
        <v>0</v>
      </c>
      <c r="AC32" s="22">
        <f ca="1">IFERROR(IF($U$7=2,_xll.IMDP($U32,$V32,IF($U$7=1,AC$7,AC$8),$O$2)/1000000,_xll.IMDP($U32,$V32,IF($U$7=1,AC$7,AC$8),$O$2)),"")</f>
        <v>0</v>
      </c>
      <c r="AD32" s="22">
        <f ca="1">IFERROR(IF($U$7=2,_xll.IMDP($U32,$V32,IF($U$7=1,AD$7,AD$8),$O$2)/1000000,_xll.IMDP($U32,$V32,IF($U$7=1,AD$7,AD$8),$O$2)),"")</f>
        <v>0</v>
      </c>
      <c r="AE32" s="22">
        <f ca="1">IFERROR(IF($U$7=2,_xll.IMDP($U32,$V32,IF($U$7=1,AE$7,AE$8),$O$2)/1000000,_xll.IMDP($U32,$V32,IF($U$7=1,AE$7,AE$8),$O$2)),"")</f>
        <v>0</v>
      </c>
      <c r="AF32" s="22" t="str">
        <f ca="1">IFERROR(IF($U$7=2,_xll.IMDP($U32,$V32,IF($U$7=1,AF$7,AF$8),$O$2)/1000000,_xll.IMDP($U32,$V32,IF($U$7=1,AF$7,AF$8),$O$2)),"")</f>
        <v/>
      </c>
      <c r="AG32" s="22">
        <f ca="1">IFERROR(IF($U$7=2,_xll.IMDP($U32,$V32,IF($U$7=1,AG$7,AG$8),$O$2)/1000000,_xll.IMDP($U32,$V32,IF($U$7=1,AG$7,AG$8),$O$2)),"")</f>
        <v>0</v>
      </c>
      <c r="AH32" s="22">
        <f ca="1">IFERROR(IF($U$7=2,_xll.IMDP($U32,$V32,IF($U$7=1,AH$7,AH$8),$O$2)/1000000,_xll.IMDP($U32,$V32,IF($U$7=1,AH$7,AH$8),$O$2)),"")</f>
        <v>0</v>
      </c>
      <c r="AI32" s="22">
        <f ca="1">IFERROR(IF($U$7=2,_xll.IMDP($U32,$V32,IF($U$7=1,AI$7,AI$8),$O$2)/1000000,_xll.IMDP($U32,$V32,IF($U$7=1,AI$7,AI$8),$O$2)),"")</f>
        <v>0</v>
      </c>
      <c r="AJ32" s="22">
        <f ca="1">IFERROR(IF($U$7=2,_xll.IMDP($U32,$V32,IF($U$7=1,AJ$7,AJ$8),$O$2)/1000000,_xll.IMDP($U32,$V32,IF($U$7=1,AJ$7,AJ$8),$O$2)),"")</f>
        <v>0</v>
      </c>
      <c r="AK32" s="22">
        <f ca="1">IFERROR(IF($U$7=2,_xll.IMDP($U32,$V32,IF($U$7=1,AK$7,AK$8),$O$2)/1000000,_xll.IMDP($U32,$V32,IF($U$7=1,AK$7,AK$8),$O$2)),"")</f>
        <v>0</v>
      </c>
    </row>
    <row r="33" spans="2:37">
      <c r="B33" s="40" t="s">
        <v>436</v>
      </c>
      <c r="C33" s="48"/>
      <c r="D33" s="58">
        <f t="shared" ca="1" si="1"/>
        <v>90</v>
      </c>
      <c r="E33" s="54">
        <f t="shared" ca="1" si="2"/>
        <v>0</v>
      </c>
      <c r="F33" s="32">
        <f t="shared" ca="1" si="3"/>
        <v>0</v>
      </c>
      <c r="G33" s="32">
        <f t="shared" ca="1" si="4"/>
        <v>0</v>
      </c>
      <c r="H33" s="32">
        <f t="shared" ca="1" si="5"/>
        <v>0</v>
      </c>
      <c r="I33" s="32">
        <f t="shared" ca="1" si="6"/>
        <v>0</v>
      </c>
      <c r="J33" s="32">
        <f t="shared" ca="1" si="7"/>
        <v>0</v>
      </c>
      <c r="K33" s="32" t="str">
        <f t="shared" ca="1" si="8"/>
        <v/>
      </c>
      <c r="L33" s="32">
        <f t="shared" ca="1" si="9"/>
        <v>0</v>
      </c>
      <c r="M33" s="32">
        <f t="shared" ca="1" si="10"/>
        <v>0</v>
      </c>
      <c r="N33" s="32">
        <f t="shared" ca="1" si="11"/>
        <v>0</v>
      </c>
      <c r="O33" s="32">
        <f t="shared" ca="1" si="12"/>
        <v>0</v>
      </c>
      <c r="P33" s="38">
        <f t="shared" ca="1" si="13"/>
        <v>0</v>
      </c>
      <c r="Q33" s="25"/>
      <c r="R33" s="25"/>
      <c r="S33" s="25"/>
      <c r="U33" t="s">
        <v>67</v>
      </c>
      <c r="V33" t="s">
        <v>39</v>
      </c>
      <c r="W33" s="15" t="str">
        <f>B33</f>
        <v>해외선물(Eurostoxx50)</v>
      </c>
      <c r="X33" s="14"/>
      <c r="Y33" s="23">
        <f ca="1">IFERROR(IF($U$7=2,_xll.IMDP($U33,$V33,IF($U$7=1,Y$7,Y$8),$O$2)/1000000,_xll.IMDP($U33,$V33,IF($U$7=1,Y$7,Y$8),$O$2)),"")</f>
        <v>90</v>
      </c>
      <c r="Z33" s="23">
        <f ca="1">IFERROR(IF($U$7=2,_xll.IMDP($U33,$V33,IF($U$7=1,Z$7,Z$8),$O$2)/1000000,_xll.IMDP($U33,$V33,IF($U$7=1,Z$7,Z$8),$O$2)),"")</f>
        <v>0</v>
      </c>
      <c r="AA33" s="23">
        <f ca="1">IFERROR(IF($U$7=2,_xll.IMDP($U33,$V33,IF($U$7=1,AA$7,AA$8),$O$2)/1000000,_xll.IMDP($U33,$V33,IF($U$7=1,AA$7,AA$8),$O$2)),"")</f>
        <v>0</v>
      </c>
      <c r="AB33" s="23">
        <f ca="1">IFERROR(IF($U$7=2,_xll.IMDP($U33,$V33,IF($U$7=1,AB$7,AB$8),$O$2)/1000000,_xll.IMDP($U33,$V33,IF($U$7=1,AB$7,AB$8),$O$2)),"")</f>
        <v>0</v>
      </c>
      <c r="AC33" s="23">
        <f ca="1">IFERROR(IF($U$7=2,_xll.IMDP($U33,$V33,IF($U$7=1,AC$7,AC$8),$O$2)/1000000,_xll.IMDP($U33,$V33,IF($U$7=1,AC$7,AC$8),$O$2)),"")</f>
        <v>0</v>
      </c>
      <c r="AD33" s="23">
        <f ca="1">IFERROR(IF($U$7=2,_xll.IMDP($U33,$V33,IF($U$7=1,AD$7,AD$8),$O$2)/1000000,_xll.IMDP($U33,$V33,IF($U$7=1,AD$7,AD$8),$O$2)),"")</f>
        <v>0</v>
      </c>
      <c r="AE33" s="23">
        <f ca="1">IFERROR(IF($U$7=2,_xll.IMDP($U33,$V33,IF($U$7=1,AE$7,AE$8),$O$2)/1000000,_xll.IMDP($U33,$V33,IF($U$7=1,AE$7,AE$8),$O$2)),"")</f>
        <v>0</v>
      </c>
      <c r="AF33" s="23" t="str">
        <f ca="1">IFERROR(IF($U$7=2,_xll.IMDP($U33,$V33,IF($U$7=1,AF$7,AF$8),$O$2)/1000000,_xll.IMDP($U33,$V33,IF($U$7=1,AF$7,AF$8),$O$2)),"")</f>
        <v/>
      </c>
      <c r="AG33" s="23">
        <f ca="1">IFERROR(IF($U$7=2,_xll.IMDP($U33,$V33,IF($U$7=1,AG$7,AG$8),$O$2)/1000000,_xll.IMDP($U33,$V33,IF($U$7=1,AG$7,AG$8),$O$2)),"")</f>
        <v>0</v>
      </c>
      <c r="AH33" s="23">
        <f ca="1">IFERROR(IF($U$7=2,_xll.IMDP($U33,$V33,IF($U$7=1,AH$7,AH$8),$O$2)/1000000,_xll.IMDP($U33,$V33,IF($U$7=1,AH$7,AH$8),$O$2)),"")</f>
        <v>0</v>
      </c>
      <c r="AI33" s="23">
        <f ca="1">IFERROR(IF($U$7=2,_xll.IMDP($U33,$V33,IF($U$7=1,AI$7,AI$8),$O$2)/1000000,_xll.IMDP($U33,$V33,IF($U$7=1,AI$7,AI$8),$O$2)),"")</f>
        <v>0</v>
      </c>
      <c r="AJ33" s="23">
        <f ca="1">IFERROR(IF($U$7=2,_xll.IMDP($U33,$V33,IF($U$7=1,AJ$7,AJ$8),$O$2)/1000000,_xll.IMDP($U33,$V33,IF($U$7=1,AJ$7,AJ$8),$O$2)),"")</f>
        <v>0</v>
      </c>
      <c r="AK33" s="23">
        <f ca="1">IFERROR(IF($U$7=2,_xll.IMDP($U33,$V33,IF($U$7=1,AK$7,AK$8),$O$2)/1000000,_xll.IMDP($U33,$V33,IF($U$7=1,AK$7,AK$8),$O$2)),"")</f>
        <v>0</v>
      </c>
    </row>
    <row r="34" spans="2:37">
      <c r="B34" s="36" t="s">
        <v>437</v>
      </c>
      <c r="C34" s="46"/>
      <c r="D34" s="58">
        <f t="shared" ca="1" si="1"/>
        <v>152974</v>
      </c>
      <c r="E34" s="54">
        <f t="shared" ca="1" si="2"/>
        <v>22794</v>
      </c>
      <c r="F34" s="32">
        <f t="shared" ca="1" si="3"/>
        <v>-118</v>
      </c>
      <c r="G34" s="32">
        <f t="shared" ca="1" si="4"/>
        <v>-21237</v>
      </c>
      <c r="H34" s="32">
        <f t="shared" ca="1" si="5"/>
        <v>-20248</v>
      </c>
      <c r="I34" s="32">
        <f t="shared" ca="1" si="6"/>
        <v>-9</v>
      </c>
      <c r="J34" s="32">
        <f t="shared" ca="1" si="7"/>
        <v>-372</v>
      </c>
      <c r="K34" s="32">
        <f t="shared" ca="1" si="8"/>
        <v>0</v>
      </c>
      <c r="L34" s="32">
        <f t="shared" ca="1" si="9"/>
        <v>-598</v>
      </c>
      <c r="M34" s="32">
        <f t="shared" ca="1" si="10"/>
        <v>-10</v>
      </c>
      <c r="N34" s="32">
        <f t="shared" ca="1" si="11"/>
        <v>0</v>
      </c>
      <c r="O34" s="32">
        <f t="shared" ca="1" si="12"/>
        <v>0</v>
      </c>
      <c r="P34" s="38">
        <f t="shared" ca="1" si="13"/>
        <v>-1439</v>
      </c>
      <c r="Q34" s="25"/>
      <c r="R34" s="25"/>
      <c r="S34" s="25"/>
      <c r="W34" s="12" t="str">
        <f>B34</f>
        <v>통화선물</v>
      </c>
      <c r="X34" s="13"/>
      <c r="Y34" s="23">
        <f t="shared" ref="Y34:AK34" ca="1" si="19">IFERROR(SUM(Y35:Y38),"")</f>
        <v>152974</v>
      </c>
      <c r="Z34" s="23">
        <f t="shared" ca="1" si="19"/>
        <v>22794</v>
      </c>
      <c r="AA34" s="23">
        <f t="shared" ca="1" si="19"/>
        <v>-118</v>
      </c>
      <c r="AB34" s="23">
        <f t="shared" ca="1" si="19"/>
        <v>-21237</v>
      </c>
      <c r="AC34" s="23">
        <f t="shared" ca="1" si="19"/>
        <v>-20248</v>
      </c>
      <c r="AD34" s="23">
        <f t="shared" ca="1" si="19"/>
        <v>-9</v>
      </c>
      <c r="AE34" s="23">
        <f t="shared" ca="1" si="19"/>
        <v>-372</v>
      </c>
      <c r="AF34" s="23">
        <f t="shared" ca="1" si="19"/>
        <v>0</v>
      </c>
      <c r="AG34" s="23">
        <f t="shared" ca="1" si="19"/>
        <v>-598</v>
      </c>
      <c r="AH34" s="23">
        <f t="shared" ca="1" si="19"/>
        <v>-10</v>
      </c>
      <c r="AI34" s="23">
        <f t="shared" ca="1" si="19"/>
        <v>0</v>
      </c>
      <c r="AJ34" s="23">
        <f t="shared" ca="1" si="19"/>
        <v>0</v>
      </c>
      <c r="AK34" s="23">
        <f t="shared" ca="1" si="19"/>
        <v>-1439</v>
      </c>
    </row>
    <row r="35" spans="2:37">
      <c r="B35" s="39"/>
      <c r="C35" s="47" t="s">
        <v>438</v>
      </c>
      <c r="D35" s="57">
        <f t="shared" ca="1" si="1"/>
        <v>152720</v>
      </c>
      <c r="E35" s="53">
        <f t="shared" ca="1" si="2"/>
        <v>22815</v>
      </c>
      <c r="F35" s="31">
        <f t="shared" ca="1" si="3"/>
        <v>-176</v>
      </c>
      <c r="G35" s="31">
        <f t="shared" ca="1" si="4"/>
        <v>-21289</v>
      </c>
      <c r="H35" s="31">
        <f t="shared" ca="1" si="5"/>
        <v>-20302</v>
      </c>
      <c r="I35" s="31">
        <f t="shared" ca="1" si="6"/>
        <v>-8</v>
      </c>
      <c r="J35" s="31">
        <f t="shared" ca="1" si="7"/>
        <v>-371</v>
      </c>
      <c r="K35" s="31" t="str">
        <f t="shared" ca="1" si="8"/>
        <v/>
      </c>
      <c r="L35" s="31">
        <f t="shared" ca="1" si="9"/>
        <v>-598</v>
      </c>
      <c r="M35" s="31">
        <f t="shared" ca="1" si="10"/>
        <v>-10</v>
      </c>
      <c r="N35" s="31">
        <f t="shared" ca="1" si="11"/>
        <v>0</v>
      </c>
      <c r="O35" s="31">
        <f t="shared" ca="1" si="12"/>
        <v>0</v>
      </c>
      <c r="P35" s="37">
        <f t="shared" ca="1" si="13"/>
        <v>-1350</v>
      </c>
      <c r="Q35" s="25"/>
      <c r="R35" s="25"/>
      <c r="S35" s="25"/>
      <c r="U35" t="s">
        <v>67</v>
      </c>
      <c r="V35" t="s">
        <v>34</v>
      </c>
      <c r="W35" s="7"/>
      <c r="X35" s="8" t="str">
        <f>C35</f>
        <v>USD</v>
      </c>
      <c r="Y35" s="22">
        <f ca="1">IFERROR(IF($U$7=2,_xll.IMDP($U35,$V35,IF($U$7=1,Y$7,Y$8),$O$2)/1000000,_xll.IMDP($U35,$V35,IF($U$7=1,Y$7,Y$8),$O$2)),"")</f>
        <v>152720</v>
      </c>
      <c r="Z35" s="22">
        <f ca="1">IFERROR(IF($U$7=2,_xll.IMDP($U35,$V35,IF($U$7=1,Z$7,Z$8),$O$2)/1000000,_xll.IMDP($U35,$V35,IF($U$7=1,Z$7,Z$8),$O$2)),"")</f>
        <v>22815</v>
      </c>
      <c r="AA35" s="22">
        <f ca="1">IFERROR(IF($U$7=2,_xll.IMDP($U35,$V35,IF($U$7=1,AA$7,AA$8),$O$2)/1000000,_xll.IMDP($U35,$V35,IF($U$7=1,AA$7,AA$8),$O$2)),"")</f>
        <v>-176</v>
      </c>
      <c r="AB35" s="22">
        <f ca="1">IFERROR(IF($U$7=2,_xll.IMDP($U35,$V35,IF($U$7=1,AB$7,AB$8),$O$2)/1000000,_xll.IMDP($U35,$V35,IF($U$7=1,AB$7,AB$8),$O$2)),"")</f>
        <v>-21289</v>
      </c>
      <c r="AC35" s="22">
        <f ca="1">IFERROR(IF($U$7=2,_xll.IMDP($U35,$V35,IF($U$7=1,AC$7,AC$8),$O$2)/1000000,_xll.IMDP($U35,$V35,IF($U$7=1,AC$7,AC$8),$O$2)),"")</f>
        <v>-20302</v>
      </c>
      <c r="AD35" s="22">
        <f ca="1">IFERROR(IF($U$7=2,_xll.IMDP($U35,$V35,IF($U$7=1,AD$7,AD$8),$O$2)/1000000,_xll.IMDP($U35,$V35,IF($U$7=1,AD$7,AD$8),$O$2)),"")</f>
        <v>-8</v>
      </c>
      <c r="AE35" s="22">
        <f ca="1">IFERROR(IF($U$7=2,_xll.IMDP($U35,$V35,IF($U$7=1,AE$7,AE$8),$O$2)/1000000,_xll.IMDP($U35,$V35,IF($U$7=1,AE$7,AE$8),$O$2)),"")</f>
        <v>-371</v>
      </c>
      <c r="AF35" s="22" t="str">
        <f ca="1">IFERROR(IF($U$7=2,_xll.IMDP($U35,$V35,IF($U$7=1,AF$7,AF$8),$O$2)/1000000,_xll.IMDP($U35,$V35,IF($U$7=1,AF$7,AF$8),$O$2)),"")</f>
        <v/>
      </c>
      <c r="AG35" s="22">
        <f ca="1">IFERROR(IF($U$7=2,_xll.IMDP($U35,$V35,IF($U$7=1,AG$7,AG$8),$O$2)/1000000,_xll.IMDP($U35,$V35,IF($U$7=1,AG$7,AG$8),$O$2)),"")</f>
        <v>-598</v>
      </c>
      <c r="AH35" s="22">
        <f ca="1">IFERROR(IF($U$7=2,_xll.IMDP($U35,$V35,IF($U$7=1,AH$7,AH$8),$O$2)/1000000,_xll.IMDP($U35,$V35,IF($U$7=1,AH$7,AH$8),$O$2)),"")</f>
        <v>-10</v>
      </c>
      <c r="AI35" s="22">
        <f ca="1">IFERROR(IF($U$7=2,_xll.IMDP($U35,$V35,IF($U$7=1,AI$7,AI$8),$O$2)/1000000,_xll.IMDP($U35,$V35,IF($U$7=1,AI$7,AI$8),$O$2)),"")</f>
        <v>0</v>
      </c>
      <c r="AJ35" s="22">
        <f ca="1">IFERROR(IF($U$7=2,_xll.IMDP($U35,$V35,IF($U$7=1,AJ$7,AJ$8),$O$2)/1000000,_xll.IMDP($U35,$V35,IF($U$7=1,AJ$7,AJ$8),$O$2)),"")</f>
        <v>0</v>
      </c>
      <c r="AK35" s="22">
        <f ca="1">IFERROR(IF($U$7=2,_xll.IMDP($U35,$V35,IF($U$7=1,AK$7,AK$8),$O$2)/1000000,_xll.IMDP($U35,$V35,IF($U$7=1,AK$7,AK$8),$O$2)),"")</f>
        <v>-1350</v>
      </c>
    </row>
    <row r="36" spans="2:37">
      <c r="B36" s="39"/>
      <c r="C36" s="47" t="s">
        <v>439</v>
      </c>
      <c r="D36" s="57">
        <f t="shared" ca="1" si="1"/>
        <v>232</v>
      </c>
      <c r="E36" s="53">
        <f t="shared" ca="1" si="2"/>
        <v>-21</v>
      </c>
      <c r="F36" s="31">
        <f t="shared" ca="1" si="3"/>
        <v>58</v>
      </c>
      <c r="G36" s="31">
        <f t="shared" ca="1" si="4"/>
        <v>52</v>
      </c>
      <c r="H36" s="31">
        <f t="shared" ca="1" si="5"/>
        <v>52</v>
      </c>
      <c r="I36" s="31">
        <f t="shared" ca="1" si="6"/>
        <v>0</v>
      </c>
      <c r="J36" s="31">
        <f t="shared" ca="1" si="7"/>
        <v>0</v>
      </c>
      <c r="K36" s="31" t="str">
        <f t="shared" ca="1" si="8"/>
        <v/>
      </c>
      <c r="L36" s="31">
        <f t="shared" ca="1" si="9"/>
        <v>0</v>
      </c>
      <c r="M36" s="31">
        <f t="shared" ca="1" si="10"/>
        <v>0</v>
      </c>
      <c r="N36" s="31">
        <f t="shared" ca="1" si="11"/>
        <v>0</v>
      </c>
      <c r="O36" s="31">
        <f t="shared" ca="1" si="12"/>
        <v>0</v>
      </c>
      <c r="P36" s="37">
        <f t="shared" ca="1" si="13"/>
        <v>-89</v>
      </c>
      <c r="Q36" s="25"/>
      <c r="R36" s="25"/>
      <c r="S36" s="25"/>
      <c r="U36" t="s">
        <v>67</v>
      </c>
      <c r="V36" t="s">
        <v>35</v>
      </c>
      <c r="W36" s="7"/>
      <c r="X36" s="8" t="str">
        <f>C36</f>
        <v>JPY</v>
      </c>
      <c r="Y36" s="22">
        <f ca="1">IFERROR(IF($U$7=2,_xll.IMDP($U36,$V36,IF($U$7=1,Y$7,Y$8),$O$2)/1000000,_xll.IMDP($U36,$V36,IF($U$7=1,Y$7,Y$8),$O$2)),"")</f>
        <v>232</v>
      </c>
      <c r="Z36" s="22">
        <f ca="1">IFERROR(IF($U$7=2,_xll.IMDP($U36,$V36,IF($U$7=1,Z$7,Z$8),$O$2)/1000000,_xll.IMDP($U36,$V36,IF($U$7=1,Z$7,Z$8),$O$2)),"")</f>
        <v>-21</v>
      </c>
      <c r="AA36" s="22">
        <f ca="1">IFERROR(IF($U$7=2,_xll.IMDP($U36,$V36,IF($U$7=1,AA$7,AA$8),$O$2)/1000000,_xll.IMDP($U36,$V36,IF($U$7=1,AA$7,AA$8),$O$2)),"")</f>
        <v>58</v>
      </c>
      <c r="AB36" s="22">
        <f ca="1">IFERROR(IF($U$7=2,_xll.IMDP($U36,$V36,IF($U$7=1,AB$7,AB$8),$O$2)/1000000,_xll.IMDP($U36,$V36,IF($U$7=1,AB$7,AB$8),$O$2)),"")</f>
        <v>52</v>
      </c>
      <c r="AC36" s="22">
        <f ca="1">IFERROR(IF($U$7=2,_xll.IMDP($U36,$V36,IF($U$7=1,AC$7,AC$8),$O$2)/1000000,_xll.IMDP($U36,$V36,IF($U$7=1,AC$7,AC$8),$O$2)),"")</f>
        <v>52</v>
      </c>
      <c r="AD36" s="22">
        <f ca="1">IFERROR(IF($U$7=2,_xll.IMDP($U36,$V36,IF($U$7=1,AD$7,AD$8),$O$2)/1000000,_xll.IMDP($U36,$V36,IF($U$7=1,AD$7,AD$8),$O$2)),"")</f>
        <v>0</v>
      </c>
      <c r="AE36" s="22">
        <f ca="1">IFERROR(IF($U$7=2,_xll.IMDP($U36,$V36,IF($U$7=1,AE$7,AE$8),$O$2)/1000000,_xll.IMDP($U36,$V36,IF($U$7=1,AE$7,AE$8),$O$2)),"")</f>
        <v>0</v>
      </c>
      <c r="AF36" s="22" t="str">
        <f ca="1">IFERROR(IF($U$7=2,_xll.IMDP($U36,$V36,IF($U$7=1,AF$7,AF$8),$O$2)/1000000,_xll.IMDP($U36,$V36,IF($U$7=1,AF$7,AF$8),$O$2)),"")</f>
        <v/>
      </c>
      <c r="AG36" s="22">
        <f ca="1">IFERROR(IF($U$7=2,_xll.IMDP($U36,$V36,IF($U$7=1,AG$7,AG$8),$O$2)/1000000,_xll.IMDP($U36,$V36,IF($U$7=1,AG$7,AG$8),$O$2)),"")</f>
        <v>0</v>
      </c>
      <c r="AH36" s="22">
        <f ca="1">IFERROR(IF($U$7=2,_xll.IMDP($U36,$V36,IF($U$7=1,AH$7,AH$8),$O$2)/1000000,_xll.IMDP($U36,$V36,IF($U$7=1,AH$7,AH$8),$O$2)),"")</f>
        <v>0</v>
      </c>
      <c r="AI36" s="22">
        <f ca="1">IFERROR(IF($U$7=2,_xll.IMDP($U36,$V36,IF($U$7=1,AI$7,AI$8),$O$2)/1000000,_xll.IMDP($U36,$V36,IF($U$7=1,AI$7,AI$8),$O$2)),"")</f>
        <v>0</v>
      </c>
      <c r="AJ36" s="22">
        <f ca="1">IFERROR(IF($U$7=2,_xll.IMDP($U36,$V36,IF($U$7=1,AJ$7,AJ$8),$O$2)/1000000,_xll.IMDP($U36,$V36,IF($U$7=1,AJ$7,AJ$8),$O$2)),"")</f>
        <v>0</v>
      </c>
      <c r="AK36" s="22">
        <f ca="1">IFERROR(IF($U$7=2,_xll.IMDP($U36,$V36,IF($U$7=1,AK$7,AK$8),$O$2)/1000000,_xll.IMDP($U36,$V36,IF($U$7=1,AK$7,AK$8),$O$2)),"")</f>
        <v>-89</v>
      </c>
    </row>
    <row r="37" spans="2:37">
      <c r="B37" s="39"/>
      <c r="C37" s="47" t="s">
        <v>440</v>
      </c>
      <c r="D37" s="57">
        <f t="shared" ca="1" si="1"/>
        <v>2</v>
      </c>
      <c r="E37" s="53">
        <f t="shared" ca="1" si="2"/>
        <v>0</v>
      </c>
      <c r="F37" s="31">
        <f t="shared" ca="1" si="3"/>
        <v>0</v>
      </c>
      <c r="G37" s="31">
        <f t="shared" ca="1" si="4"/>
        <v>0</v>
      </c>
      <c r="H37" s="31">
        <f t="shared" ca="1" si="5"/>
        <v>2</v>
      </c>
      <c r="I37" s="31">
        <f t="shared" ca="1" si="6"/>
        <v>-1</v>
      </c>
      <c r="J37" s="31">
        <f t="shared" ca="1" si="7"/>
        <v>-1</v>
      </c>
      <c r="K37" s="31" t="str">
        <f t="shared" ca="1" si="8"/>
        <v/>
      </c>
      <c r="L37" s="31">
        <f t="shared" ca="1" si="9"/>
        <v>0</v>
      </c>
      <c r="M37" s="31">
        <f t="shared" ca="1" si="10"/>
        <v>0</v>
      </c>
      <c r="N37" s="31">
        <f t="shared" ca="1" si="11"/>
        <v>0</v>
      </c>
      <c r="O37" s="31">
        <f t="shared" ca="1" si="12"/>
        <v>0</v>
      </c>
      <c r="P37" s="37">
        <f t="shared" ca="1" si="13"/>
        <v>0</v>
      </c>
      <c r="Q37" s="25"/>
      <c r="R37" s="25"/>
      <c r="S37" s="25"/>
      <c r="U37" t="s">
        <v>67</v>
      </c>
      <c r="V37" t="s">
        <v>36</v>
      </c>
      <c r="W37" s="7"/>
      <c r="X37" s="8" t="str">
        <f>C37</f>
        <v>EUR</v>
      </c>
      <c r="Y37" s="22">
        <f ca="1">IFERROR(IF($U$7=2,_xll.IMDP($U37,$V37,IF($U$7=1,Y$7,Y$8),$O$2)/1000000,_xll.IMDP($U37,$V37,IF($U$7=1,Y$7,Y$8),$O$2)),"")</f>
        <v>2</v>
      </c>
      <c r="Z37" s="22">
        <f ca="1">IFERROR(IF($U$7=2,_xll.IMDP($U37,$V37,IF($U$7=1,Z$7,Z$8),$O$2)/1000000,_xll.IMDP($U37,$V37,IF($U$7=1,Z$7,Z$8),$O$2)),"")</f>
        <v>0</v>
      </c>
      <c r="AA37" s="22">
        <f ca="1">IFERROR(IF($U$7=2,_xll.IMDP($U37,$V37,IF($U$7=1,AA$7,AA$8),$O$2)/1000000,_xll.IMDP($U37,$V37,IF($U$7=1,AA$7,AA$8),$O$2)),"")</f>
        <v>0</v>
      </c>
      <c r="AB37" s="22">
        <f ca="1">IFERROR(IF($U$7=2,_xll.IMDP($U37,$V37,IF($U$7=1,AB$7,AB$8),$O$2)/1000000,_xll.IMDP($U37,$V37,IF($U$7=1,AB$7,AB$8),$O$2)),"")</f>
        <v>0</v>
      </c>
      <c r="AC37" s="22">
        <f ca="1">IFERROR(IF($U$7=2,_xll.IMDP($U37,$V37,IF($U$7=1,AC$7,AC$8),$O$2)/1000000,_xll.IMDP($U37,$V37,IF($U$7=1,AC$7,AC$8),$O$2)),"")</f>
        <v>2</v>
      </c>
      <c r="AD37" s="22">
        <f ca="1">IFERROR(IF($U$7=2,_xll.IMDP($U37,$V37,IF($U$7=1,AD$7,AD$8),$O$2)/1000000,_xll.IMDP($U37,$V37,IF($U$7=1,AD$7,AD$8),$O$2)),"")</f>
        <v>-1</v>
      </c>
      <c r="AE37" s="22">
        <f ca="1">IFERROR(IF($U$7=2,_xll.IMDP($U37,$V37,IF($U$7=1,AE$7,AE$8),$O$2)/1000000,_xll.IMDP($U37,$V37,IF($U$7=1,AE$7,AE$8),$O$2)),"")</f>
        <v>-1</v>
      </c>
      <c r="AF37" s="22" t="str">
        <f ca="1">IFERROR(IF($U$7=2,_xll.IMDP($U37,$V37,IF($U$7=1,AF$7,AF$8),$O$2)/1000000,_xll.IMDP($U37,$V37,IF($U$7=1,AF$7,AF$8),$O$2)),"")</f>
        <v/>
      </c>
      <c r="AG37" s="22">
        <f ca="1">IFERROR(IF($U$7=2,_xll.IMDP($U37,$V37,IF($U$7=1,AG$7,AG$8),$O$2)/1000000,_xll.IMDP($U37,$V37,IF($U$7=1,AG$7,AG$8),$O$2)),"")</f>
        <v>0</v>
      </c>
      <c r="AH37" s="22">
        <f ca="1">IFERROR(IF($U$7=2,_xll.IMDP($U37,$V37,IF($U$7=1,AH$7,AH$8),$O$2)/1000000,_xll.IMDP($U37,$V37,IF($U$7=1,AH$7,AH$8),$O$2)),"")</f>
        <v>0</v>
      </c>
      <c r="AI37" s="22">
        <f ca="1">IFERROR(IF($U$7=2,_xll.IMDP($U37,$V37,IF($U$7=1,AI$7,AI$8),$O$2)/1000000,_xll.IMDP($U37,$V37,IF($U$7=1,AI$7,AI$8),$O$2)),"")</f>
        <v>0</v>
      </c>
      <c r="AJ37" s="22">
        <f ca="1">IFERROR(IF($U$7=2,_xll.IMDP($U37,$V37,IF($U$7=1,AJ$7,AJ$8),$O$2)/1000000,_xll.IMDP($U37,$V37,IF($U$7=1,AJ$7,AJ$8),$O$2)),"")</f>
        <v>0</v>
      </c>
      <c r="AK37" s="22">
        <f ca="1">IFERROR(IF($U$7=2,_xll.IMDP($U37,$V37,IF($U$7=1,AK$7,AK$8),$O$2)/1000000,_xll.IMDP($U37,$V37,IF($U$7=1,AK$7,AK$8),$O$2)),"")</f>
        <v>0</v>
      </c>
    </row>
    <row r="38" spans="2:37">
      <c r="B38" s="39"/>
      <c r="C38" s="47" t="s">
        <v>441</v>
      </c>
      <c r="D38" s="57">
        <f t="shared" ca="1" si="1"/>
        <v>20</v>
      </c>
      <c r="E38" s="53">
        <f t="shared" ca="1" si="2"/>
        <v>0</v>
      </c>
      <c r="F38" s="31">
        <f t="shared" ca="1" si="3"/>
        <v>0</v>
      </c>
      <c r="G38" s="31">
        <f t="shared" ca="1" si="4"/>
        <v>0</v>
      </c>
      <c r="H38" s="31">
        <f t="shared" ca="1" si="5"/>
        <v>0</v>
      </c>
      <c r="I38" s="31">
        <f t="shared" ca="1" si="6"/>
        <v>0</v>
      </c>
      <c r="J38" s="31">
        <f t="shared" ca="1" si="7"/>
        <v>0</v>
      </c>
      <c r="K38" s="31" t="str">
        <f t="shared" ca="1" si="8"/>
        <v/>
      </c>
      <c r="L38" s="31">
        <f t="shared" ca="1" si="9"/>
        <v>0</v>
      </c>
      <c r="M38" s="31">
        <f t="shared" ca="1" si="10"/>
        <v>0</v>
      </c>
      <c r="N38" s="31">
        <f t="shared" ca="1" si="11"/>
        <v>0</v>
      </c>
      <c r="O38" s="31">
        <f t="shared" ca="1" si="12"/>
        <v>0</v>
      </c>
      <c r="P38" s="37">
        <f t="shared" ca="1" si="13"/>
        <v>0</v>
      </c>
      <c r="Q38" s="25"/>
      <c r="R38" s="25"/>
      <c r="S38" s="25"/>
      <c r="U38" t="s">
        <v>67</v>
      </c>
      <c r="V38" t="s">
        <v>37</v>
      </c>
      <c r="W38" s="7"/>
      <c r="X38" s="8" t="str">
        <f>C38</f>
        <v>CNH</v>
      </c>
      <c r="Y38" s="22">
        <f ca="1">IFERROR(IF($U$7=2,_xll.IMDP($U38,$V38,IF($U$7=1,Y$7,Y$8),$O$2)/1000000,_xll.IMDP($U38,$V38,IF($U$7=1,Y$7,Y$8),$O$2)),"")</f>
        <v>20</v>
      </c>
      <c r="Z38" s="22">
        <f ca="1">IFERROR(IF($U$7=2,_xll.IMDP($U38,$V38,IF($U$7=1,Z$7,Z$8),$O$2)/1000000,_xll.IMDP($U38,$V38,IF($U$7=1,Z$7,Z$8),$O$2)),"")</f>
        <v>0</v>
      </c>
      <c r="AA38" s="22">
        <f ca="1">IFERROR(IF($U$7=2,_xll.IMDP($U38,$V38,IF($U$7=1,AA$7,AA$8),$O$2)/1000000,_xll.IMDP($U38,$V38,IF($U$7=1,AA$7,AA$8),$O$2)),"")</f>
        <v>0</v>
      </c>
      <c r="AB38" s="22">
        <f ca="1">IFERROR(IF($U$7=2,_xll.IMDP($U38,$V38,IF($U$7=1,AB$7,AB$8),$O$2)/1000000,_xll.IMDP($U38,$V38,IF($U$7=1,AB$7,AB$8),$O$2)),"")</f>
        <v>0</v>
      </c>
      <c r="AC38" s="22">
        <f ca="1">IFERROR(IF($U$7=2,_xll.IMDP($U38,$V38,IF($U$7=1,AC$7,AC$8),$O$2)/1000000,_xll.IMDP($U38,$V38,IF($U$7=1,AC$7,AC$8),$O$2)),"")</f>
        <v>0</v>
      </c>
      <c r="AD38" s="22">
        <f ca="1">IFERROR(IF($U$7=2,_xll.IMDP($U38,$V38,IF($U$7=1,AD$7,AD$8),$O$2)/1000000,_xll.IMDP($U38,$V38,IF($U$7=1,AD$7,AD$8),$O$2)),"")</f>
        <v>0</v>
      </c>
      <c r="AE38" s="22">
        <f ca="1">IFERROR(IF($U$7=2,_xll.IMDP($U38,$V38,IF($U$7=1,AE$7,AE$8),$O$2)/1000000,_xll.IMDP($U38,$V38,IF($U$7=1,AE$7,AE$8),$O$2)),"")</f>
        <v>0</v>
      </c>
      <c r="AF38" s="22" t="str">
        <f ca="1">IFERROR(IF($U$7=2,_xll.IMDP($U38,$V38,IF($U$7=1,AF$7,AF$8),$O$2)/1000000,_xll.IMDP($U38,$V38,IF($U$7=1,AF$7,AF$8),$O$2)),"")</f>
        <v/>
      </c>
      <c r="AG38" s="22">
        <f ca="1">IFERROR(IF($U$7=2,_xll.IMDP($U38,$V38,IF($U$7=1,AG$7,AG$8),$O$2)/1000000,_xll.IMDP($U38,$V38,IF($U$7=1,AG$7,AG$8),$O$2)),"")</f>
        <v>0</v>
      </c>
      <c r="AH38" s="22">
        <f ca="1">IFERROR(IF($U$7=2,_xll.IMDP($U38,$V38,IF($U$7=1,AH$7,AH$8),$O$2)/1000000,_xll.IMDP($U38,$V38,IF($U$7=1,AH$7,AH$8),$O$2)),"")</f>
        <v>0</v>
      </c>
      <c r="AI38" s="22">
        <f ca="1">IFERROR(IF($U$7=2,_xll.IMDP($U38,$V38,IF($U$7=1,AI$7,AI$8),$O$2)/1000000,_xll.IMDP($U38,$V38,IF($U$7=1,AI$7,AI$8),$O$2)),"")</f>
        <v>0</v>
      </c>
      <c r="AJ38" s="22">
        <f ca="1">IFERROR(IF($U$7=2,_xll.IMDP($U38,$V38,IF($U$7=1,AJ$7,AJ$8),$O$2)/1000000,_xll.IMDP($U38,$V38,IF($U$7=1,AJ$7,AJ$8),$O$2)),"")</f>
        <v>0</v>
      </c>
      <c r="AK38" s="22">
        <f ca="1">IFERROR(IF($U$7=2,_xll.IMDP($U38,$V38,IF($U$7=1,AK$7,AK$8),$O$2)/1000000,_xll.IMDP($U38,$V38,IF($U$7=1,AK$7,AK$8),$O$2)),"")</f>
        <v>0</v>
      </c>
    </row>
    <row r="39" spans="2:37">
      <c r="B39" s="40" t="s">
        <v>442</v>
      </c>
      <c r="C39" s="48"/>
      <c r="D39" s="59"/>
      <c r="E39" s="54">
        <f t="shared" ca="1" si="2"/>
        <v>-73328</v>
      </c>
      <c r="F39" s="32">
        <f t="shared" ca="1" si="3"/>
        <v>-15845</v>
      </c>
      <c r="G39" s="32">
        <f t="shared" ca="1" si="4"/>
        <v>86599</v>
      </c>
      <c r="H39" s="32">
        <f t="shared" ca="1" si="5"/>
        <v>88926</v>
      </c>
      <c r="I39" s="32">
        <f t="shared" ca="1" si="6"/>
        <v>1538</v>
      </c>
      <c r="J39" s="32">
        <f t="shared" ca="1" si="7"/>
        <v>1889</v>
      </c>
      <c r="K39" s="32" t="str">
        <f t="shared" ca="1" si="8"/>
        <v/>
      </c>
      <c r="L39" s="32">
        <f t="shared" ca="1" si="9"/>
        <v>0</v>
      </c>
      <c r="M39" s="32">
        <f t="shared" ca="1" si="10"/>
        <v>0</v>
      </c>
      <c r="N39" s="32">
        <f t="shared" ca="1" si="11"/>
        <v>-5754</v>
      </c>
      <c r="O39" s="32">
        <f t="shared" ca="1" si="12"/>
        <v>0</v>
      </c>
      <c r="P39" s="38">
        <f t="shared" ca="1" si="13"/>
        <v>2574</v>
      </c>
      <c r="Q39" s="25"/>
      <c r="R39" s="25"/>
      <c r="S39" s="25"/>
      <c r="U39" t="s">
        <v>67</v>
      </c>
      <c r="V39" t="s">
        <v>38</v>
      </c>
      <c r="W39" s="15" t="str">
        <f>B39</f>
        <v>주식선물</v>
      </c>
      <c r="X39" s="14"/>
      <c r="Y39" s="23"/>
      <c r="Z39" s="23">
        <f ca="1">IFERROR(IF($U$7=2,_xll.IMDP($U39,$V39,IF($U$7=1,Z$7,Z$8),$O$2)/1000000,_xll.IMDP($U39,$V39,IF($U$7=1,Z$7,Z$8),$O$2)),"")</f>
        <v>-73328</v>
      </c>
      <c r="AA39" s="23">
        <f ca="1">IFERROR(IF($U$7=2,_xll.IMDP($U39,$V39,IF($U$7=1,AA$7,AA$8),$O$2)/1000000,_xll.IMDP($U39,$V39,IF($U$7=1,AA$7,AA$8),$O$2)),"")</f>
        <v>-15845</v>
      </c>
      <c r="AB39" s="23">
        <f ca="1">IFERROR(IF($U$7=2,_xll.IMDP($U39,$V39,IF($U$7=1,AB$7,AB$8),$O$2)/1000000,_xll.IMDP($U39,$V39,IF($U$7=1,AB$7,AB$8),$O$2)),"")</f>
        <v>86599</v>
      </c>
      <c r="AC39" s="23">
        <f ca="1">IFERROR(IF($U$7=2,_xll.IMDP($U39,$V39,IF($U$7=1,AC$7,AC$8),$O$2)/1000000,_xll.IMDP($U39,$V39,IF($U$7=1,AC$7,AC$8),$O$2)),"")</f>
        <v>88926</v>
      </c>
      <c r="AD39" s="23">
        <f ca="1">IFERROR(IF($U$7=2,_xll.IMDP($U39,$V39,IF($U$7=1,AD$7,AD$8),$O$2)/1000000,_xll.IMDP($U39,$V39,IF($U$7=1,AD$7,AD$8),$O$2)),"")</f>
        <v>1538</v>
      </c>
      <c r="AE39" s="23">
        <f ca="1">IFERROR(IF($U$7=2,_xll.IMDP($U39,$V39,IF($U$7=1,AE$7,AE$8),$O$2)/1000000,_xll.IMDP($U39,$V39,IF($U$7=1,AE$7,AE$8),$O$2)),"")</f>
        <v>1889</v>
      </c>
      <c r="AF39" s="23" t="str">
        <f ca="1">IFERROR(IF($U$7=2,_xll.IMDP($U39,$V39,IF($U$7=1,AF$7,AF$8),$O$2)/1000000,_xll.IMDP($U39,$V39,IF($U$7=1,AF$7,AF$8),$O$2)),"")</f>
        <v/>
      </c>
      <c r="AG39" s="23">
        <f ca="1">IFERROR(IF($U$7=2,_xll.IMDP($U39,$V39,IF($U$7=1,AG$7,AG$8),$O$2)/1000000,_xll.IMDP($U39,$V39,IF($U$7=1,AG$7,AG$8),$O$2)),"")</f>
        <v>0</v>
      </c>
      <c r="AH39" s="23">
        <f ca="1">IFERROR(IF($U$7=2,_xll.IMDP($U39,$V39,IF($U$7=1,AH$7,AH$8),$O$2)/1000000,_xll.IMDP($U39,$V39,IF($U$7=1,AH$7,AH$8),$O$2)),"")</f>
        <v>0</v>
      </c>
      <c r="AI39" s="23">
        <f ca="1">IFERROR(IF($U$7=2,_xll.IMDP($U39,$V39,IF($U$7=1,AI$7,AI$8),$O$2)/1000000,_xll.IMDP($U39,$V39,IF($U$7=1,AI$7,AI$8),$O$2)),"")</f>
        <v>-5754</v>
      </c>
      <c r="AJ39" s="23">
        <f ca="1">IFERROR(IF($U$7=2,_xll.IMDP($U39,$V39,IF($U$7=1,AJ$7,AJ$8),$O$2)/1000000,_xll.IMDP($U39,$V39,IF($U$7=1,AJ$7,AJ$8),$O$2)),"")</f>
        <v>0</v>
      </c>
      <c r="AK39" s="23">
        <f ca="1">IFERROR(IF($U$7=2,_xll.IMDP($U39,$V39,IF($U$7=1,AK$7,AK$8),$O$2)/1000000,_xll.IMDP($U39,$V39,IF($U$7=1,AK$7,AK$8),$O$2)),"")</f>
        <v>2574</v>
      </c>
    </row>
    <row r="40" spans="2:37">
      <c r="B40" s="36" t="s">
        <v>404</v>
      </c>
      <c r="C40" s="46"/>
      <c r="D40" s="58">
        <f t="shared" ca="1" si="1"/>
        <v>10614</v>
      </c>
      <c r="E40" s="54">
        <f t="shared" ca="1" si="2"/>
        <v>-220</v>
      </c>
      <c r="F40" s="32">
        <f t="shared" ca="1" si="3"/>
        <v>-11</v>
      </c>
      <c r="G40" s="32">
        <f t="shared" ca="1" si="4"/>
        <v>231</v>
      </c>
      <c r="H40" s="32">
        <f t="shared" ca="1" si="5"/>
        <v>231</v>
      </c>
      <c r="I40" s="32">
        <f t="shared" ca="1" si="6"/>
        <v>0</v>
      </c>
      <c r="J40" s="32">
        <f t="shared" ca="1" si="7"/>
        <v>0</v>
      </c>
      <c r="K40" s="32">
        <f t="shared" ca="1" si="8"/>
        <v>0</v>
      </c>
      <c r="L40" s="32">
        <f t="shared" ca="1" si="9"/>
        <v>0</v>
      </c>
      <c r="M40" s="32">
        <f t="shared" ca="1" si="10"/>
        <v>0</v>
      </c>
      <c r="N40" s="32">
        <f t="shared" ca="1" si="11"/>
        <v>0</v>
      </c>
      <c r="O40" s="32">
        <f t="shared" ca="1" si="12"/>
        <v>0</v>
      </c>
      <c r="P40" s="38">
        <f t="shared" ca="1" si="13"/>
        <v>0</v>
      </c>
      <c r="Q40" s="25"/>
      <c r="R40" s="25"/>
      <c r="S40" s="25"/>
      <c r="W40" s="12" t="str">
        <f>B40</f>
        <v>기타선물</v>
      </c>
      <c r="X40" s="13"/>
      <c r="Y40" s="23">
        <f t="shared" ref="Y40:AK40" ca="1" si="20">IFERROR(SUM(Y41:Y54),"")</f>
        <v>10614</v>
      </c>
      <c r="Z40" s="23">
        <f t="shared" ca="1" si="20"/>
        <v>-220</v>
      </c>
      <c r="AA40" s="23">
        <f t="shared" ca="1" si="20"/>
        <v>-11</v>
      </c>
      <c r="AB40" s="23">
        <f t="shared" ca="1" si="20"/>
        <v>231</v>
      </c>
      <c r="AC40" s="23">
        <f t="shared" ca="1" si="20"/>
        <v>231</v>
      </c>
      <c r="AD40" s="23">
        <f t="shared" ca="1" si="20"/>
        <v>0</v>
      </c>
      <c r="AE40" s="23">
        <f t="shared" ca="1" si="20"/>
        <v>0</v>
      </c>
      <c r="AF40" s="23">
        <f t="shared" ca="1" si="20"/>
        <v>0</v>
      </c>
      <c r="AG40" s="23">
        <f t="shared" ca="1" si="20"/>
        <v>0</v>
      </c>
      <c r="AH40" s="23">
        <f t="shared" ca="1" si="20"/>
        <v>0</v>
      </c>
      <c r="AI40" s="23">
        <f t="shared" ca="1" si="20"/>
        <v>0</v>
      </c>
      <c r="AJ40" s="23">
        <f t="shared" ca="1" si="20"/>
        <v>0</v>
      </c>
      <c r="AK40" s="23">
        <f t="shared" ca="1" si="20"/>
        <v>0</v>
      </c>
    </row>
    <row r="41" spans="2:37">
      <c r="B41" s="39"/>
      <c r="C41" s="47" t="s">
        <v>244</v>
      </c>
      <c r="D41" s="57">
        <f t="shared" ca="1" si="1"/>
        <v>2940</v>
      </c>
      <c r="E41" s="53">
        <f t="shared" ca="1" si="2"/>
        <v>0</v>
      </c>
      <c r="F41" s="31">
        <f t="shared" ca="1" si="3"/>
        <v>-10</v>
      </c>
      <c r="G41" s="31">
        <f t="shared" ca="1" si="4"/>
        <v>10</v>
      </c>
      <c r="H41" s="31">
        <f t="shared" ca="1" si="5"/>
        <v>10</v>
      </c>
      <c r="I41" s="31">
        <f t="shared" ca="1" si="6"/>
        <v>0</v>
      </c>
      <c r="J41" s="31">
        <f t="shared" ca="1" si="7"/>
        <v>0</v>
      </c>
      <c r="K41" s="31" t="str">
        <f t="shared" ca="1" si="8"/>
        <v/>
      </c>
      <c r="L41" s="31">
        <f t="shared" ca="1" si="9"/>
        <v>0</v>
      </c>
      <c r="M41" s="31">
        <f t="shared" ca="1" si="10"/>
        <v>0</v>
      </c>
      <c r="N41" s="31">
        <f t="shared" ca="1" si="11"/>
        <v>0</v>
      </c>
      <c r="O41" s="31">
        <f t="shared" ca="1" si="12"/>
        <v>0</v>
      </c>
      <c r="P41" s="37">
        <f t="shared" ca="1" si="13"/>
        <v>0</v>
      </c>
      <c r="Q41" s="25"/>
      <c r="R41" s="25"/>
      <c r="S41" s="25"/>
      <c r="U41" t="s">
        <v>67</v>
      </c>
      <c r="V41" t="s">
        <v>30</v>
      </c>
      <c r="W41" s="7"/>
      <c r="X41" s="8" t="str">
        <f t="shared" ref="X41:X54" si="21">C41</f>
        <v>건설</v>
      </c>
      <c r="Y41" s="22">
        <f ca="1">IFERROR(IF($U$7=2,_xll.IMDP($U41,$V41,IF($U$7=1,Y$7,Y$8),$O$2)/1000000,_xll.IMDP($U41,$V41,IF($U$7=1,Y$7,Y$8),$O$2)),"")</f>
        <v>2940</v>
      </c>
      <c r="Z41" s="22">
        <f ca="1">IFERROR(IF($U$7=2,_xll.IMDP($U41,$V41,IF($U$7=1,Z$7,Z$8),$O$2)/1000000,_xll.IMDP($U41,$V41,IF($U$7=1,Z$7,Z$8),$O$2)),"")</f>
        <v>0</v>
      </c>
      <c r="AA41" s="22">
        <f ca="1">IFERROR(IF($U$7=2,_xll.IMDP($U41,$V41,IF($U$7=1,AA$7,AA$8),$O$2)/1000000,_xll.IMDP($U41,$V41,IF($U$7=1,AA$7,AA$8),$O$2)),"")</f>
        <v>-10</v>
      </c>
      <c r="AB41" s="22">
        <f ca="1">IFERROR(IF($U$7=2,_xll.IMDP($U41,$V41,IF($U$7=1,AB$7,AB$8),$O$2)/1000000,_xll.IMDP($U41,$V41,IF($U$7=1,AB$7,AB$8),$O$2)),"")</f>
        <v>10</v>
      </c>
      <c r="AC41" s="22">
        <f ca="1">IFERROR(IF($U$7=2,_xll.IMDP($U41,$V41,IF($U$7=1,AC$7,AC$8),$O$2)/1000000,_xll.IMDP($U41,$V41,IF($U$7=1,AC$7,AC$8),$O$2)),"")</f>
        <v>10</v>
      </c>
      <c r="AD41" s="22">
        <f ca="1">IFERROR(IF($U$7=2,_xll.IMDP($U41,$V41,IF($U$7=1,AD$7,AD$8),$O$2)/1000000,_xll.IMDP($U41,$V41,IF($U$7=1,AD$7,AD$8),$O$2)),"")</f>
        <v>0</v>
      </c>
      <c r="AE41" s="22">
        <f ca="1">IFERROR(IF($U$7=2,_xll.IMDP($U41,$V41,IF($U$7=1,AE$7,AE$8),$O$2)/1000000,_xll.IMDP($U41,$V41,IF($U$7=1,AE$7,AE$8),$O$2)),"")</f>
        <v>0</v>
      </c>
      <c r="AF41" s="22" t="str">
        <f ca="1">IFERROR(IF($U$7=2,_xll.IMDP($U41,$V41,IF($U$7=1,AF$7,AF$8),$O$2)/1000000,_xll.IMDP($U41,$V41,IF($U$7=1,AF$7,AF$8),$O$2)),"")</f>
        <v/>
      </c>
      <c r="AG41" s="22">
        <f ca="1">IFERROR(IF($U$7=2,_xll.IMDP($U41,$V41,IF($U$7=1,AG$7,AG$8),$O$2)/1000000,_xll.IMDP($U41,$V41,IF($U$7=1,AG$7,AG$8),$O$2)),"")</f>
        <v>0</v>
      </c>
      <c r="AH41" s="22">
        <f ca="1">IFERROR(IF($U$7=2,_xll.IMDP($U41,$V41,IF($U$7=1,AH$7,AH$8),$O$2)/1000000,_xll.IMDP($U41,$V41,IF($U$7=1,AH$7,AH$8),$O$2)),"")</f>
        <v>0</v>
      </c>
      <c r="AI41" s="22">
        <f ca="1">IFERROR(IF($U$7=2,_xll.IMDP($U41,$V41,IF($U$7=1,AI$7,AI$8),$O$2)/1000000,_xll.IMDP($U41,$V41,IF($U$7=1,AI$7,AI$8),$O$2)),"")</f>
        <v>0</v>
      </c>
      <c r="AJ41" s="22">
        <f ca="1">IFERROR(IF($U$7=2,_xll.IMDP($U41,$V41,IF($U$7=1,AJ$7,AJ$8),$O$2)/1000000,_xll.IMDP($U41,$V41,IF($U$7=1,AJ$7,AJ$8),$O$2)),"")</f>
        <v>0</v>
      </c>
      <c r="AK41" s="22">
        <f ca="1">IFERROR(IF($U$7=2,_xll.IMDP($U41,$V41,IF($U$7=1,AK$7,AK$8),$O$2)/1000000,_xll.IMDP($U41,$V41,IF($U$7=1,AK$7,AK$8),$O$2)),"")</f>
        <v>0</v>
      </c>
    </row>
    <row r="42" spans="2:37">
      <c r="B42" s="39"/>
      <c r="C42" s="47" t="s">
        <v>413</v>
      </c>
      <c r="D42" s="57">
        <f t="shared" ca="1" si="1"/>
        <v>307</v>
      </c>
      <c r="E42" s="53">
        <f t="shared" ca="1" si="2"/>
        <v>-48</v>
      </c>
      <c r="F42" s="31">
        <f t="shared" ca="1" si="3"/>
        <v>0</v>
      </c>
      <c r="G42" s="31">
        <f t="shared" ca="1" si="4"/>
        <v>48</v>
      </c>
      <c r="H42" s="31">
        <f t="shared" ca="1" si="5"/>
        <v>48</v>
      </c>
      <c r="I42" s="31">
        <f t="shared" ca="1" si="6"/>
        <v>0</v>
      </c>
      <c r="J42" s="31">
        <f t="shared" ca="1" si="7"/>
        <v>0</v>
      </c>
      <c r="K42" s="31" t="str">
        <f t="shared" ca="1" si="8"/>
        <v/>
      </c>
      <c r="L42" s="31">
        <f t="shared" ca="1" si="9"/>
        <v>0</v>
      </c>
      <c r="M42" s="31">
        <f t="shared" ca="1" si="10"/>
        <v>0</v>
      </c>
      <c r="N42" s="31">
        <f t="shared" ca="1" si="11"/>
        <v>0</v>
      </c>
      <c r="O42" s="31">
        <f t="shared" ca="1" si="12"/>
        <v>0</v>
      </c>
      <c r="P42" s="37">
        <f t="shared" ca="1" si="13"/>
        <v>0</v>
      </c>
      <c r="Q42" s="25"/>
      <c r="R42" s="25"/>
      <c r="S42" s="25"/>
      <c r="U42" t="s">
        <v>67</v>
      </c>
      <c r="V42" t="s">
        <v>26</v>
      </c>
      <c r="W42" s="7"/>
      <c r="X42" s="8" t="str">
        <f t="shared" si="21"/>
        <v>금융지수</v>
      </c>
      <c r="Y42" s="22">
        <f ca="1">IFERROR(IF($U$7=2,_xll.IMDP($U42,$V42,IF($U$7=1,Y$7,Y$8),$O$2)/1000000,_xll.IMDP($U42,$V42,IF($U$7=1,Y$7,Y$8),$O$2)),"")</f>
        <v>307</v>
      </c>
      <c r="Z42" s="22">
        <f ca="1">IFERROR(IF($U$7=2,_xll.IMDP($U42,$V42,IF($U$7=1,Z$7,Z$8),$O$2)/1000000,_xll.IMDP($U42,$V42,IF($U$7=1,Z$7,Z$8),$O$2)),"")</f>
        <v>-48</v>
      </c>
      <c r="AA42" s="22">
        <f ca="1">IFERROR(IF($U$7=2,_xll.IMDP($U42,$V42,IF($U$7=1,AA$7,AA$8),$O$2)/1000000,_xll.IMDP($U42,$V42,IF($U$7=1,AA$7,AA$8),$O$2)),"")</f>
        <v>0</v>
      </c>
      <c r="AB42" s="22">
        <f ca="1">IFERROR(IF($U$7=2,_xll.IMDP($U42,$V42,IF($U$7=1,AB$7,AB$8),$O$2)/1000000,_xll.IMDP($U42,$V42,IF($U$7=1,AB$7,AB$8),$O$2)),"")</f>
        <v>48</v>
      </c>
      <c r="AC42" s="22">
        <f ca="1">IFERROR(IF($U$7=2,_xll.IMDP($U42,$V42,IF($U$7=1,AC$7,AC$8),$O$2)/1000000,_xll.IMDP($U42,$V42,IF($U$7=1,AC$7,AC$8),$O$2)),"")</f>
        <v>48</v>
      </c>
      <c r="AD42" s="22">
        <f ca="1">IFERROR(IF($U$7=2,_xll.IMDP($U42,$V42,IF($U$7=1,AD$7,AD$8),$O$2)/1000000,_xll.IMDP($U42,$V42,IF($U$7=1,AD$7,AD$8),$O$2)),"")</f>
        <v>0</v>
      </c>
      <c r="AE42" s="22">
        <f ca="1">IFERROR(IF($U$7=2,_xll.IMDP($U42,$V42,IF($U$7=1,AE$7,AE$8),$O$2)/1000000,_xll.IMDP($U42,$V42,IF($U$7=1,AE$7,AE$8),$O$2)),"")</f>
        <v>0</v>
      </c>
      <c r="AF42" s="22" t="str">
        <f ca="1">IFERROR(IF($U$7=2,_xll.IMDP($U42,$V42,IF($U$7=1,AF$7,AF$8),$O$2)/1000000,_xll.IMDP($U42,$V42,IF($U$7=1,AF$7,AF$8),$O$2)),"")</f>
        <v/>
      </c>
      <c r="AG42" s="22">
        <f ca="1">IFERROR(IF($U$7=2,_xll.IMDP($U42,$V42,IF($U$7=1,AG$7,AG$8),$O$2)/1000000,_xll.IMDP($U42,$V42,IF($U$7=1,AG$7,AG$8),$O$2)),"")</f>
        <v>0</v>
      </c>
      <c r="AH42" s="22">
        <f ca="1">IFERROR(IF($U$7=2,_xll.IMDP($U42,$V42,IF($U$7=1,AH$7,AH$8),$O$2)/1000000,_xll.IMDP($U42,$V42,IF($U$7=1,AH$7,AH$8),$O$2)),"")</f>
        <v>0</v>
      </c>
      <c r="AI42" s="22">
        <f ca="1">IFERROR(IF($U$7=2,_xll.IMDP($U42,$V42,IF($U$7=1,AI$7,AI$8),$O$2)/1000000,_xll.IMDP($U42,$V42,IF($U$7=1,AI$7,AI$8),$O$2)),"")</f>
        <v>0</v>
      </c>
      <c r="AJ42" s="22">
        <f ca="1">IFERROR(IF($U$7=2,_xll.IMDP($U42,$V42,IF($U$7=1,AJ$7,AJ$8),$O$2)/1000000,_xll.IMDP($U42,$V42,IF($U$7=1,AJ$7,AJ$8),$O$2)),"")</f>
        <v>0</v>
      </c>
      <c r="AK42" s="22">
        <f ca="1">IFERROR(IF($U$7=2,_xll.IMDP($U42,$V42,IF($U$7=1,AK$7,AK$8),$O$2)/1000000,_xll.IMDP($U42,$V42,IF($U$7=1,AK$7,AK$8),$O$2)),"")</f>
        <v>0</v>
      </c>
    </row>
    <row r="43" spans="2:37">
      <c r="B43" s="39"/>
      <c r="C43" s="47" t="s">
        <v>414</v>
      </c>
      <c r="D43" s="57">
        <f t="shared" ca="1" si="1"/>
        <v>1286</v>
      </c>
      <c r="E43" s="53">
        <f t="shared" ca="1" si="2"/>
        <v>0</v>
      </c>
      <c r="F43" s="31">
        <f t="shared" ca="1" si="3"/>
        <v>0</v>
      </c>
      <c r="G43" s="31">
        <f t="shared" ca="1" si="4"/>
        <v>0</v>
      </c>
      <c r="H43" s="31">
        <f t="shared" ca="1" si="5"/>
        <v>0</v>
      </c>
      <c r="I43" s="31">
        <f t="shared" ca="1" si="6"/>
        <v>0</v>
      </c>
      <c r="J43" s="31">
        <f t="shared" ca="1" si="7"/>
        <v>0</v>
      </c>
      <c r="K43" s="31" t="str">
        <f t="shared" ca="1" si="8"/>
        <v/>
      </c>
      <c r="L43" s="31">
        <f t="shared" ca="1" si="9"/>
        <v>0</v>
      </c>
      <c r="M43" s="31">
        <f t="shared" ca="1" si="10"/>
        <v>0</v>
      </c>
      <c r="N43" s="31">
        <f t="shared" ca="1" si="11"/>
        <v>0</v>
      </c>
      <c r="O43" s="31">
        <f t="shared" ca="1" si="12"/>
        <v>0</v>
      </c>
      <c r="P43" s="37">
        <f t="shared" ca="1" si="13"/>
        <v>0</v>
      </c>
      <c r="Q43" s="25"/>
      <c r="R43" s="25"/>
      <c r="S43" s="25"/>
      <c r="U43" t="s">
        <v>67</v>
      </c>
      <c r="V43" t="s">
        <v>405</v>
      </c>
      <c r="W43" s="7"/>
      <c r="X43" s="8" t="str">
        <f t="shared" si="21"/>
        <v>산업재</v>
      </c>
      <c r="Y43" s="22">
        <f ca="1">IFERROR(IF($U$7=2,_xll.IMDP($U43,$V43,IF($U$7=1,Y$7,Y$8),$O$2)/1000000,_xll.IMDP($U43,$V43,IF($U$7=1,Y$7,Y$8),$O$2)),"")</f>
        <v>1286</v>
      </c>
      <c r="Z43" s="22">
        <f ca="1">IFERROR(IF($U$7=2,_xll.IMDP($U43,$V43,IF($U$7=1,Z$7,Z$8),$O$2)/1000000,_xll.IMDP($U43,$V43,IF($U$7=1,Z$7,Z$8),$O$2)),"")</f>
        <v>0</v>
      </c>
      <c r="AA43" s="22">
        <f ca="1">IFERROR(IF($U$7=2,_xll.IMDP($U43,$V43,IF($U$7=1,AA$7,AA$8),$O$2)/1000000,_xll.IMDP($U43,$V43,IF($U$7=1,AA$7,AA$8),$O$2)),"")</f>
        <v>0</v>
      </c>
      <c r="AB43" s="22">
        <f ca="1">IFERROR(IF($U$7=2,_xll.IMDP($U43,$V43,IF($U$7=1,AB$7,AB$8),$O$2)/1000000,_xll.IMDP($U43,$V43,IF($U$7=1,AB$7,AB$8),$O$2)),"")</f>
        <v>0</v>
      </c>
      <c r="AC43" s="22">
        <f ca="1">IFERROR(IF($U$7=2,_xll.IMDP($U43,$V43,IF($U$7=1,AC$7,AC$8),$O$2)/1000000,_xll.IMDP($U43,$V43,IF($U$7=1,AC$7,AC$8),$O$2)),"")</f>
        <v>0</v>
      </c>
      <c r="AD43" s="22">
        <f ca="1">IFERROR(IF($U$7=2,_xll.IMDP($U43,$V43,IF($U$7=1,AD$7,AD$8),$O$2)/1000000,_xll.IMDP($U43,$V43,IF($U$7=1,AD$7,AD$8),$O$2)),"")</f>
        <v>0</v>
      </c>
      <c r="AE43" s="22">
        <f ca="1">IFERROR(IF($U$7=2,_xll.IMDP($U43,$V43,IF($U$7=1,AE$7,AE$8),$O$2)/1000000,_xll.IMDP($U43,$V43,IF($U$7=1,AE$7,AE$8),$O$2)),"")</f>
        <v>0</v>
      </c>
      <c r="AF43" s="22" t="str">
        <f ca="1">IFERROR(IF($U$7=2,_xll.IMDP($U43,$V43,IF($U$7=1,AF$7,AF$8),$O$2)/1000000,_xll.IMDP($U43,$V43,IF($U$7=1,AF$7,AF$8),$O$2)),"")</f>
        <v/>
      </c>
      <c r="AG43" s="22">
        <f ca="1">IFERROR(IF($U$7=2,_xll.IMDP($U43,$V43,IF($U$7=1,AG$7,AG$8),$O$2)/1000000,_xll.IMDP($U43,$V43,IF($U$7=1,AG$7,AG$8),$O$2)),"")</f>
        <v>0</v>
      </c>
      <c r="AH43" s="22">
        <f ca="1">IFERROR(IF($U$7=2,_xll.IMDP($U43,$V43,IF($U$7=1,AH$7,AH$8),$O$2)/1000000,_xll.IMDP($U43,$V43,IF($U$7=1,AH$7,AH$8),$O$2)),"")</f>
        <v>0</v>
      </c>
      <c r="AI43" s="22">
        <f ca="1">IFERROR(IF($U$7=2,_xll.IMDP($U43,$V43,IF($U$7=1,AI$7,AI$8),$O$2)/1000000,_xll.IMDP($U43,$V43,IF($U$7=1,AI$7,AI$8),$O$2)),"")</f>
        <v>0</v>
      </c>
      <c r="AJ43" s="22">
        <f ca="1">IFERROR(IF($U$7=2,_xll.IMDP($U43,$V43,IF($U$7=1,AJ$7,AJ$8),$O$2)/1000000,_xll.IMDP($U43,$V43,IF($U$7=1,AJ$7,AJ$8),$O$2)),"")</f>
        <v>0</v>
      </c>
      <c r="AK43" s="22">
        <f ca="1">IFERROR(IF($U$7=2,_xll.IMDP($U43,$V43,IF($U$7=1,AK$7,AK$8),$O$2)/1000000,_xll.IMDP($U43,$V43,IF($U$7=1,AK$7,AK$8),$O$2)),"")</f>
        <v>0</v>
      </c>
    </row>
    <row r="44" spans="2:37">
      <c r="B44" s="39"/>
      <c r="C44" s="47" t="s">
        <v>415</v>
      </c>
      <c r="D44" s="57">
        <f t="shared" ca="1" si="1"/>
        <v>608</v>
      </c>
      <c r="E44" s="53">
        <f t="shared" ca="1" si="2"/>
        <v>0</v>
      </c>
      <c r="F44" s="31">
        <f t="shared" ca="1" si="3"/>
        <v>10</v>
      </c>
      <c r="G44" s="31">
        <f t="shared" ca="1" si="4"/>
        <v>-10</v>
      </c>
      <c r="H44" s="31">
        <f t="shared" ca="1" si="5"/>
        <v>-10</v>
      </c>
      <c r="I44" s="31">
        <f t="shared" ca="1" si="6"/>
        <v>0</v>
      </c>
      <c r="J44" s="31">
        <f t="shared" ca="1" si="7"/>
        <v>0</v>
      </c>
      <c r="K44" s="31" t="str">
        <f t="shared" ca="1" si="8"/>
        <v/>
      </c>
      <c r="L44" s="31">
        <f t="shared" ca="1" si="9"/>
        <v>0</v>
      </c>
      <c r="M44" s="31">
        <f t="shared" ca="1" si="10"/>
        <v>0</v>
      </c>
      <c r="N44" s="31">
        <f t="shared" ca="1" si="11"/>
        <v>0</v>
      </c>
      <c r="O44" s="31">
        <f t="shared" ca="1" si="12"/>
        <v>0</v>
      </c>
      <c r="P44" s="37">
        <f t="shared" ca="1" si="13"/>
        <v>0</v>
      </c>
      <c r="Q44" s="25"/>
      <c r="R44" s="25"/>
      <c r="S44" s="25"/>
      <c r="U44" t="s">
        <v>67</v>
      </c>
      <c r="V44" t="s">
        <v>406</v>
      </c>
      <c r="W44" s="7"/>
      <c r="X44" s="8" t="str">
        <f t="shared" si="21"/>
        <v>생활소비재</v>
      </c>
      <c r="Y44" s="22">
        <f ca="1">IFERROR(IF($U$7=2,_xll.IMDP($U44,$V44,IF($U$7=1,Y$7,Y$8),$O$2)/1000000,_xll.IMDP($U44,$V44,IF($U$7=1,Y$7,Y$8),$O$2)),"")</f>
        <v>608</v>
      </c>
      <c r="Z44" s="22">
        <f ca="1">IFERROR(IF($U$7=2,_xll.IMDP($U44,$V44,IF($U$7=1,Z$7,Z$8),$O$2)/1000000,_xll.IMDP($U44,$V44,IF($U$7=1,Z$7,Z$8),$O$2)),"")</f>
        <v>0</v>
      </c>
      <c r="AA44" s="22">
        <f ca="1">IFERROR(IF($U$7=2,_xll.IMDP($U44,$V44,IF($U$7=1,AA$7,AA$8),$O$2)/1000000,_xll.IMDP($U44,$V44,IF($U$7=1,AA$7,AA$8),$O$2)),"")</f>
        <v>10</v>
      </c>
      <c r="AB44" s="22">
        <f ca="1">IFERROR(IF($U$7=2,_xll.IMDP($U44,$V44,IF($U$7=1,AB$7,AB$8),$O$2)/1000000,_xll.IMDP($U44,$V44,IF($U$7=1,AB$7,AB$8),$O$2)),"")</f>
        <v>-10</v>
      </c>
      <c r="AC44" s="22">
        <f ca="1">IFERROR(IF($U$7=2,_xll.IMDP($U44,$V44,IF($U$7=1,AC$7,AC$8),$O$2)/1000000,_xll.IMDP($U44,$V44,IF($U$7=1,AC$7,AC$8),$O$2)),"")</f>
        <v>-10</v>
      </c>
      <c r="AD44" s="22">
        <f ca="1">IFERROR(IF($U$7=2,_xll.IMDP($U44,$V44,IF($U$7=1,AD$7,AD$8),$O$2)/1000000,_xll.IMDP($U44,$V44,IF($U$7=1,AD$7,AD$8),$O$2)),"")</f>
        <v>0</v>
      </c>
      <c r="AE44" s="22">
        <f ca="1">IFERROR(IF($U$7=2,_xll.IMDP($U44,$V44,IF($U$7=1,AE$7,AE$8),$O$2)/1000000,_xll.IMDP($U44,$V44,IF($U$7=1,AE$7,AE$8),$O$2)),"")</f>
        <v>0</v>
      </c>
      <c r="AF44" s="22" t="str">
        <f ca="1">IFERROR(IF($U$7=2,_xll.IMDP($U44,$V44,IF($U$7=1,AF$7,AF$8),$O$2)/1000000,_xll.IMDP($U44,$V44,IF($U$7=1,AF$7,AF$8),$O$2)),"")</f>
        <v/>
      </c>
      <c r="AG44" s="22">
        <f ca="1">IFERROR(IF($U$7=2,_xll.IMDP($U44,$V44,IF($U$7=1,AG$7,AG$8),$O$2)/1000000,_xll.IMDP($U44,$V44,IF($U$7=1,AG$7,AG$8),$O$2)),"")</f>
        <v>0</v>
      </c>
      <c r="AH44" s="22">
        <f ca="1">IFERROR(IF($U$7=2,_xll.IMDP($U44,$V44,IF($U$7=1,AH$7,AH$8),$O$2)/1000000,_xll.IMDP($U44,$V44,IF($U$7=1,AH$7,AH$8),$O$2)),"")</f>
        <v>0</v>
      </c>
      <c r="AI44" s="22">
        <f ca="1">IFERROR(IF($U$7=2,_xll.IMDP($U44,$V44,IF($U$7=1,AI$7,AI$8),$O$2)/1000000,_xll.IMDP($U44,$V44,IF($U$7=1,AI$7,AI$8),$O$2)),"")</f>
        <v>0</v>
      </c>
      <c r="AJ44" s="22">
        <f ca="1">IFERROR(IF($U$7=2,_xll.IMDP($U44,$V44,IF($U$7=1,AJ$7,AJ$8),$O$2)/1000000,_xll.IMDP($U44,$V44,IF($U$7=1,AJ$7,AJ$8),$O$2)),"")</f>
        <v>0</v>
      </c>
      <c r="AK44" s="22">
        <f ca="1">IFERROR(IF($U$7=2,_xll.IMDP($U44,$V44,IF($U$7=1,AK$7,AK$8),$O$2)/1000000,_xll.IMDP($U44,$V44,IF($U$7=1,AK$7,AK$8),$O$2)),"")</f>
        <v>0</v>
      </c>
    </row>
    <row r="45" spans="2:37">
      <c r="B45" s="39"/>
      <c r="C45" s="47" t="s">
        <v>416</v>
      </c>
      <c r="D45" s="57">
        <f t="shared" ca="1" si="1"/>
        <v>280</v>
      </c>
      <c r="E45" s="53">
        <f t="shared" ca="1" si="2"/>
        <v>0</v>
      </c>
      <c r="F45" s="31">
        <f t="shared" ca="1" si="3"/>
        <v>-4</v>
      </c>
      <c r="G45" s="31">
        <f t="shared" ca="1" si="4"/>
        <v>4</v>
      </c>
      <c r="H45" s="31">
        <f t="shared" ca="1" si="5"/>
        <v>4</v>
      </c>
      <c r="I45" s="31">
        <f t="shared" ca="1" si="6"/>
        <v>0</v>
      </c>
      <c r="J45" s="31">
        <f t="shared" ca="1" si="7"/>
        <v>0</v>
      </c>
      <c r="K45" s="31" t="str">
        <f t="shared" ca="1" si="8"/>
        <v/>
      </c>
      <c r="L45" s="31">
        <f t="shared" ca="1" si="9"/>
        <v>0</v>
      </c>
      <c r="M45" s="31">
        <f t="shared" ca="1" si="10"/>
        <v>0</v>
      </c>
      <c r="N45" s="31">
        <f t="shared" ca="1" si="11"/>
        <v>0</v>
      </c>
      <c r="O45" s="31">
        <f t="shared" ca="1" si="12"/>
        <v>0</v>
      </c>
      <c r="P45" s="37">
        <f t="shared" ca="1" si="13"/>
        <v>0</v>
      </c>
      <c r="Q45" s="25"/>
      <c r="R45" s="25"/>
      <c r="S45" s="25"/>
      <c r="U45" t="s">
        <v>67</v>
      </c>
      <c r="V45" t="s">
        <v>407</v>
      </c>
      <c r="W45" s="7"/>
      <c r="X45" s="8" t="str">
        <f t="shared" si="21"/>
        <v>에너지화학</v>
      </c>
      <c r="Y45" s="22">
        <f ca="1">IFERROR(IF($U$7=2,_xll.IMDP($U45,$V45,IF($U$7=1,Y$7,Y$8),$O$2)/1000000,_xll.IMDP($U45,$V45,IF($U$7=1,Y$7,Y$8),$O$2)),"")</f>
        <v>280</v>
      </c>
      <c r="Z45" s="22">
        <f ca="1">IFERROR(IF($U$7=2,_xll.IMDP($U45,$V45,IF($U$7=1,Z$7,Z$8),$O$2)/1000000,_xll.IMDP($U45,$V45,IF($U$7=1,Z$7,Z$8),$O$2)),"")</f>
        <v>0</v>
      </c>
      <c r="AA45" s="22">
        <f ca="1">IFERROR(IF($U$7=2,_xll.IMDP($U45,$V45,IF($U$7=1,AA$7,AA$8),$O$2)/1000000,_xll.IMDP($U45,$V45,IF($U$7=1,AA$7,AA$8),$O$2)),"")</f>
        <v>-4</v>
      </c>
      <c r="AB45" s="22">
        <f ca="1">IFERROR(IF($U$7=2,_xll.IMDP($U45,$V45,IF($U$7=1,AB$7,AB$8),$O$2)/1000000,_xll.IMDP($U45,$V45,IF($U$7=1,AB$7,AB$8),$O$2)),"")</f>
        <v>4</v>
      </c>
      <c r="AC45" s="22">
        <f ca="1">IFERROR(IF($U$7=2,_xll.IMDP($U45,$V45,IF($U$7=1,AC$7,AC$8),$O$2)/1000000,_xll.IMDP($U45,$V45,IF($U$7=1,AC$7,AC$8),$O$2)),"")</f>
        <v>4</v>
      </c>
      <c r="AD45" s="22">
        <f ca="1">IFERROR(IF($U$7=2,_xll.IMDP($U45,$V45,IF($U$7=1,AD$7,AD$8),$O$2)/1000000,_xll.IMDP($U45,$V45,IF($U$7=1,AD$7,AD$8),$O$2)),"")</f>
        <v>0</v>
      </c>
      <c r="AE45" s="22">
        <f ca="1">IFERROR(IF($U$7=2,_xll.IMDP($U45,$V45,IF($U$7=1,AE$7,AE$8),$O$2)/1000000,_xll.IMDP($U45,$V45,IF($U$7=1,AE$7,AE$8),$O$2)),"")</f>
        <v>0</v>
      </c>
      <c r="AF45" s="22" t="str">
        <f ca="1">IFERROR(IF($U$7=2,_xll.IMDP($U45,$V45,IF($U$7=1,AF$7,AF$8),$O$2)/1000000,_xll.IMDP($U45,$V45,IF($U$7=1,AF$7,AF$8),$O$2)),"")</f>
        <v/>
      </c>
      <c r="AG45" s="22">
        <f ca="1">IFERROR(IF($U$7=2,_xll.IMDP($U45,$V45,IF($U$7=1,AG$7,AG$8),$O$2)/1000000,_xll.IMDP($U45,$V45,IF($U$7=1,AG$7,AG$8),$O$2)),"")</f>
        <v>0</v>
      </c>
      <c r="AH45" s="22">
        <f ca="1">IFERROR(IF($U$7=2,_xll.IMDP($U45,$V45,IF($U$7=1,AH$7,AH$8),$O$2)/1000000,_xll.IMDP($U45,$V45,IF($U$7=1,AH$7,AH$8),$O$2)),"")</f>
        <v>0</v>
      </c>
      <c r="AI45" s="22">
        <f ca="1">IFERROR(IF($U$7=2,_xll.IMDP($U45,$V45,IF($U$7=1,AI$7,AI$8),$O$2)/1000000,_xll.IMDP($U45,$V45,IF($U$7=1,AI$7,AI$8),$O$2)),"")</f>
        <v>0</v>
      </c>
      <c r="AJ45" s="22">
        <f ca="1">IFERROR(IF($U$7=2,_xll.IMDP($U45,$V45,IF($U$7=1,AJ$7,AJ$8),$O$2)/1000000,_xll.IMDP($U45,$V45,IF($U$7=1,AJ$7,AJ$8),$O$2)),"")</f>
        <v>0</v>
      </c>
      <c r="AK45" s="22">
        <f ca="1">IFERROR(IF($U$7=2,_xll.IMDP($U45,$V45,IF($U$7=1,AK$7,AK$8),$O$2)/1000000,_xll.IMDP($U45,$V45,IF($U$7=1,AK$7,AK$8),$O$2)),"")</f>
        <v>0</v>
      </c>
    </row>
    <row r="46" spans="2:37">
      <c r="B46" s="39"/>
      <c r="C46" s="47" t="s">
        <v>417</v>
      </c>
      <c r="D46" s="57">
        <f t="shared" ca="1" si="1"/>
        <v>512</v>
      </c>
      <c r="E46" s="53">
        <f t="shared" ca="1" si="2"/>
        <v>0</v>
      </c>
      <c r="F46" s="31">
        <f t="shared" ca="1" si="3"/>
        <v>0</v>
      </c>
      <c r="G46" s="31">
        <f t="shared" ca="1" si="4"/>
        <v>0</v>
      </c>
      <c r="H46" s="31">
        <f t="shared" ca="1" si="5"/>
        <v>0</v>
      </c>
      <c r="I46" s="31">
        <f t="shared" ca="1" si="6"/>
        <v>0</v>
      </c>
      <c r="J46" s="31">
        <f t="shared" ca="1" si="7"/>
        <v>0</v>
      </c>
      <c r="K46" s="31" t="str">
        <f t="shared" ca="1" si="8"/>
        <v/>
      </c>
      <c r="L46" s="31">
        <f t="shared" ca="1" si="9"/>
        <v>0</v>
      </c>
      <c r="M46" s="31">
        <f t="shared" ca="1" si="10"/>
        <v>0</v>
      </c>
      <c r="N46" s="31">
        <f t="shared" ca="1" si="11"/>
        <v>0</v>
      </c>
      <c r="O46" s="31">
        <f t="shared" ca="1" si="12"/>
        <v>0</v>
      </c>
      <c r="P46" s="37">
        <f t="shared" ca="1" si="13"/>
        <v>0</v>
      </c>
      <c r="Q46" s="25"/>
      <c r="R46" s="25"/>
      <c r="S46" s="25"/>
      <c r="U46" t="s">
        <v>67</v>
      </c>
      <c r="V46" t="s">
        <v>27</v>
      </c>
      <c r="W46" s="7"/>
      <c r="X46" s="8" t="str">
        <f t="shared" si="21"/>
        <v>경기소비재</v>
      </c>
      <c r="Y46" s="22">
        <f ca="1">IFERROR(IF($U$7=2,_xll.IMDP($U46,$V46,IF($U$7=1,Y$7,Y$8),$O$2)/1000000,_xll.IMDP($U46,$V46,IF($U$7=1,Y$7,Y$8),$O$2)),"")</f>
        <v>512</v>
      </c>
      <c r="Z46" s="22">
        <f ca="1">IFERROR(IF($U$7=2,_xll.IMDP($U46,$V46,IF($U$7=1,Z$7,Z$8),$O$2)/1000000,_xll.IMDP($U46,$V46,IF($U$7=1,Z$7,Z$8),$O$2)),"")</f>
        <v>0</v>
      </c>
      <c r="AA46" s="22">
        <f ca="1">IFERROR(IF($U$7=2,_xll.IMDP($U46,$V46,IF($U$7=1,AA$7,AA$8),$O$2)/1000000,_xll.IMDP($U46,$V46,IF($U$7=1,AA$7,AA$8),$O$2)),"")</f>
        <v>0</v>
      </c>
      <c r="AB46" s="22">
        <f ca="1">IFERROR(IF($U$7=2,_xll.IMDP($U46,$V46,IF($U$7=1,AB$7,AB$8),$O$2)/1000000,_xll.IMDP($U46,$V46,IF($U$7=1,AB$7,AB$8),$O$2)),"")</f>
        <v>0</v>
      </c>
      <c r="AC46" s="22">
        <f ca="1">IFERROR(IF($U$7=2,_xll.IMDP($U46,$V46,IF($U$7=1,AC$7,AC$8),$O$2)/1000000,_xll.IMDP($U46,$V46,IF($U$7=1,AC$7,AC$8),$O$2)),"")</f>
        <v>0</v>
      </c>
      <c r="AD46" s="22">
        <f ca="1">IFERROR(IF($U$7=2,_xll.IMDP($U46,$V46,IF($U$7=1,AD$7,AD$8),$O$2)/1000000,_xll.IMDP($U46,$V46,IF($U$7=1,AD$7,AD$8),$O$2)),"")</f>
        <v>0</v>
      </c>
      <c r="AE46" s="22">
        <f ca="1">IFERROR(IF($U$7=2,_xll.IMDP($U46,$V46,IF($U$7=1,AE$7,AE$8),$O$2)/1000000,_xll.IMDP($U46,$V46,IF($U$7=1,AE$7,AE$8),$O$2)),"")</f>
        <v>0</v>
      </c>
      <c r="AF46" s="22" t="str">
        <f ca="1">IFERROR(IF($U$7=2,_xll.IMDP($U46,$V46,IF($U$7=1,AF$7,AF$8),$O$2)/1000000,_xll.IMDP($U46,$V46,IF($U$7=1,AF$7,AF$8),$O$2)),"")</f>
        <v/>
      </c>
      <c r="AG46" s="22">
        <f ca="1">IFERROR(IF($U$7=2,_xll.IMDP($U46,$V46,IF($U$7=1,AG$7,AG$8),$O$2)/1000000,_xll.IMDP($U46,$V46,IF($U$7=1,AG$7,AG$8),$O$2)),"")</f>
        <v>0</v>
      </c>
      <c r="AH46" s="22">
        <f ca="1">IFERROR(IF($U$7=2,_xll.IMDP($U46,$V46,IF($U$7=1,AH$7,AH$8),$O$2)/1000000,_xll.IMDP($U46,$V46,IF($U$7=1,AH$7,AH$8),$O$2)),"")</f>
        <v>0</v>
      </c>
      <c r="AI46" s="22">
        <f ca="1">IFERROR(IF($U$7=2,_xll.IMDP($U46,$V46,IF($U$7=1,AI$7,AI$8),$O$2)/1000000,_xll.IMDP($U46,$V46,IF($U$7=1,AI$7,AI$8),$O$2)),"")</f>
        <v>0</v>
      </c>
      <c r="AJ46" s="22">
        <f ca="1">IFERROR(IF($U$7=2,_xll.IMDP($U46,$V46,IF($U$7=1,AJ$7,AJ$8),$O$2)/1000000,_xll.IMDP($U46,$V46,IF($U$7=1,AJ$7,AJ$8),$O$2)),"")</f>
        <v>0</v>
      </c>
      <c r="AK46" s="22">
        <f ca="1">IFERROR(IF($U$7=2,_xll.IMDP($U46,$V46,IF($U$7=1,AK$7,AK$8),$O$2)/1000000,_xll.IMDP($U46,$V46,IF($U$7=1,AK$7,AK$8),$O$2)),"")</f>
        <v>0</v>
      </c>
    </row>
    <row r="47" spans="2:37">
      <c r="B47" s="39"/>
      <c r="C47" s="47" t="s">
        <v>418</v>
      </c>
      <c r="D47" s="57">
        <f t="shared" ca="1" si="1"/>
        <v>92</v>
      </c>
      <c r="E47" s="53">
        <f t="shared" ca="1" si="2"/>
        <v>0</v>
      </c>
      <c r="F47" s="31">
        <f t="shared" ca="1" si="3"/>
        <v>0</v>
      </c>
      <c r="G47" s="31">
        <f t="shared" ca="1" si="4"/>
        <v>0</v>
      </c>
      <c r="H47" s="31">
        <f t="shared" ca="1" si="5"/>
        <v>0</v>
      </c>
      <c r="I47" s="31">
        <f t="shared" ca="1" si="6"/>
        <v>0</v>
      </c>
      <c r="J47" s="31">
        <f t="shared" ca="1" si="7"/>
        <v>0</v>
      </c>
      <c r="K47" s="31" t="str">
        <f t="shared" ca="1" si="8"/>
        <v/>
      </c>
      <c r="L47" s="31">
        <f t="shared" ca="1" si="9"/>
        <v>0</v>
      </c>
      <c r="M47" s="31">
        <f t="shared" ca="1" si="10"/>
        <v>0</v>
      </c>
      <c r="N47" s="31">
        <f t="shared" ca="1" si="11"/>
        <v>0</v>
      </c>
      <c r="O47" s="31">
        <f t="shared" ca="1" si="12"/>
        <v>0</v>
      </c>
      <c r="P47" s="37">
        <f t="shared" ca="1" si="13"/>
        <v>0</v>
      </c>
      <c r="Q47" s="25"/>
      <c r="R47" s="25"/>
      <c r="S47" s="25"/>
      <c r="U47" t="s">
        <v>67</v>
      </c>
      <c r="V47" t="s">
        <v>408</v>
      </c>
      <c r="W47" s="7"/>
      <c r="X47" s="8" t="str">
        <f t="shared" si="21"/>
        <v>정보기술</v>
      </c>
      <c r="Y47" s="22">
        <f ca="1">IFERROR(IF($U$7=2,_xll.IMDP($U47,$V47,IF($U$7=1,Y$7,Y$8),$O$2)/1000000,_xll.IMDP($U47,$V47,IF($U$7=1,Y$7,Y$8),$O$2)),"")</f>
        <v>92</v>
      </c>
      <c r="Z47" s="22">
        <f ca="1">IFERROR(IF($U$7=2,_xll.IMDP($U47,$V47,IF($U$7=1,Z$7,Z$8),$O$2)/1000000,_xll.IMDP($U47,$V47,IF($U$7=1,Z$7,Z$8),$O$2)),"")</f>
        <v>0</v>
      </c>
      <c r="AA47" s="22">
        <f ca="1">IFERROR(IF($U$7=2,_xll.IMDP($U47,$V47,IF($U$7=1,AA$7,AA$8),$O$2)/1000000,_xll.IMDP($U47,$V47,IF($U$7=1,AA$7,AA$8),$O$2)),"")</f>
        <v>0</v>
      </c>
      <c r="AB47" s="22">
        <f ca="1">IFERROR(IF($U$7=2,_xll.IMDP($U47,$V47,IF($U$7=1,AB$7,AB$8),$O$2)/1000000,_xll.IMDP($U47,$V47,IF($U$7=1,AB$7,AB$8),$O$2)),"")</f>
        <v>0</v>
      </c>
      <c r="AC47" s="22">
        <f ca="1">IFERROR(IF($U$7=2,_xll.IMDP($U47,$V47,IF($U$7=1,AC$7,AC$8),$O$2)/1000000,_xll.IMDP($U47,$V47,IF($U$7=1,AC$7,AC$8),$O$2)),"")</f>
        <v>0</v>
      </c>
      <c r="AD47" s="22">
        <f ca="1">IFERROR(IF($U$7=2,_xll.IMDP($U47,$V47,IF($U$7=1,AD$7,AD$8),$O$2)/1000000,_xll.IMDP($U47,$V47,IF($U$7=1,AD$7,AD$8),$O$2)),"")</f>
        <v>0</v>
      </c>
      <c r="AE47" s="22">
        <f ca="1">IFERROR(IF($U$7=2,_xll.IMDP($U47,$V47,IF($U$7=1,AE$7,AE$8),$O$2)/1000000,_xll.IMDP($U47,$V47,IF($U$7=1,AE$7,AE$8),$O$2)),"")</f>
        <v>0</v>
      </c>
      <c r="AF47" s="22" t="str">
        <f ca="1">IFERROR(IF($U$7=2,_xll.IMDP($U47,$V47,IF($U$7=1,AF$7,AF$8),$O$2)/1000000,_xll.IMDP($U47,$V47,IF($U$7=1,AF$7,AF$8),$O$2)),"")</f>
        <v/>
      </c>
      <c r="AG47" s="22">
        <f ca="1">IFERROR(IF($U$7=2,_xll.IMDP($U47,$V47,IF($U$7=1,AG$7,AG$8),$O$2)/1000000,_xll.IMDP($U47,$V47,IF($U$7=1,AG$7,AG$8),$O$2)),"")</f>
        <v>0</v>
      </c>
      <c r="AH47" s="22">
        <f ca="1">IFERROR(IF($U$7=2,_xll.IMDP($U47,$V47,IF($U$7=1,AH$7,AH$8),$O$2)/1000000,_xll.IMDP($U47,$V47,IF($U$7=1,AH$7,AH$8),$O$2)),"")</f>
        <v>0</v>
      </c>
      <c r="AI47" s="22">
        <f ca="1">IFERROR(IF($U$7=2,_xll.IMDP($U47,$V47,IF($U$7=1,AI$7,AI$8),$O$2)/1000000,_xll.IMDP($U47,$V47,IF($U$7=1,AI$7,AI$8),$O$2)),"")</f>
        <v>0</v>
      </c>
      <c r="AJ47" s="22">
        <f ca="1">IFERROR(IF($U$7=2,_xll.IMDP($U47,$V47,IF($U$7=1,AJ$7,AJ$8),$O$2)/1000000,_xll.IMDP($U47,$V47,IF($U$7=1,AJ$7,AJ$8),$O$2)),"")</f>
        <v>0</v>
      </c>
      <c r="AK47" s="22">
        <f ca="1">IFERROR(IF($U$7=2,_xll.IMDP($U47,$V47,IF($U$7=1,AK$7,AK$8),$O$2)/1000000,_xll.IMDP($U47,$V47,IF($U$7=1,AK$7,AK$8),$O$2)),"")</f>
        <v>0</v>
      </c>
    </row>
    <row r="48" spans="2:37">
      <c r="B48" s="39"/>
      <c r="C48" s="47" t="s">
        <v>419</v>
      </c>
      <c r="D48" s="57">
        <f t="shared" ca="1" si="1"/>
        <v>260</v>
      </c>
      <c r="E48" s="53">
        <f t="shared" ca="1" si="2"/>
        <v>0</v>
      </c>
      <c r="F48" s="31">
        <f t="shared" ca="1" si="3"/>
        <v>0</v>
      </c>
      <c r="G48" s="31">
        <f t="shared" ca="1" si="4"/>
        <v>0</v>
      </c>
      <c r="H48" s="31">
        <f t="shared" ca="1" si="5"/>
        <v>0</v>
      </c>
      <c r="I48" s="31">
        <f t="shared" ca="1" si="6"/>
        <v>0</v>
      </c>
      <c r="J48" s="31">
        <f t="shared" ca="1" si="7"/>
        <v>0</v>
      </c>
      <c r="K48" s="31" t="str">
        <f t="shared" ca="1" si="8"/>
        <v/>
      </c>
      <c r="L48" s="31">
        <f t="shared" ca="1" si="9"/>
        <v>0</v>
      </c>
      <c r="M48" s="31">
        <f t="shared" ca="1" si="10"/>
        <v>0</v>
      </c>
      <c r="N48" s="31">
        <f t="shared" ca="1" si="11"/>
        <v>0</v>
      </c>
      <c r="O48" s="31">
        <f t="shared" ca="1" si="12"/>
        <v>0</v>
      </c>
      <c r="P48" s="37">
        <f t="shared" ca="1" si="13"/>
        <v>0</v>
      </c>
      <c r="Q48" s="25"/>
      <c r="R48" s="25"/>
      <c r="S48" s="25"/>
      <c r="U48" t="s">
        <v>67</v>
      </c>
      <c r="V48" t="s">
        <v>31</v>
      </c>
      <c r="W48" s="7"/>
      <c r="X48" s="8" t="str">
        <f t="shared" si="21"/>
        <v>중공업</v>
      </c>
      <c r="Y48" s="22">
        <f ca="1">IFERROR(IF($U$7=2,_xll.IMDP($U48,$V48,IF($U$7=1,Y$7,Y$8),$O$2)/1000000,_xll.IMDP($U48,$V48,IF($U$7=1,Y$7,Y$8),$O$2)),"")</f>
        <v>260</v>
      </c>
      <c r="Z48" s="22">
        <f ca="1">IFERROR(IF($U$7=2,_xll.IMDP($U48,$V48,IF($U$7=1,Z$7,Z$8),$O$2)/1000000,_xll.IMDP($U48,$V48,IF($U$7=1,Z$7,Z$8),$O$2)),"")</f>
        <v>0</v>
      </c>
      <c r="AA48" s="22">
        <f ca="1">IFERROR(IF($U$7=2,_xll.IMDP($U48,$V48,IF($U$7=1,AA$7,AA$8),$O$2)/1000000,_xll.IMDP($U48,$V48,IF($U$7=1,AA$7,AA$8),$O$2)),"")</f>
        <v>0</v>
      </c>
      <c r="AB48" s="22">
        <f ca="1">IFERROR(IF($U$7=2,_xll.IMDP($U48,$V48,IF($U$7=1,AB$7,AB$8),$O$2)/1000000,_xll.IMDP($U48,$V48,IF($U$7=1,AB$7,AB$8),$O$2)),"")</f>
        <v>0</v>
      </c>
      <c r="AC48" s="22">
        <f ca="1">IFERROR(IF($U$7=2,_xll.IMDP($U48,$V48,IF($U$7=1,AC$7,AC$8),$O$2)/1000000,_xll.IMDP($U48,$V48,IF($U$7=1,AC$7,AC$8),$O$2)),"")</f>
        <v>0</v>
      </c>
      <c r="AD48" s="22">
        <f ca="1">IFERROR(IF($U$7=2,_xll.IMDP($U48,$V48,IF($U$7=1,AD$7,AD$8),$O$2)/1000000,_xll.IMDP($U48,$V48,IF($U$7=1,AD$7,AD$8),$O$2)),"")</f>
        <v>0</v>
      </c>
      <c r="AE48" s="22">
        <f ca="1">IFERROR(IF($U$7=2,_xll.IMDP($U48,$V48,IF($U$7=1,AE$7,AE$8),$O$2)/1000000,_xll.IMDP($U48,$V48,IF($U$7=1,AE$7,AE$8),$O$2)),"")</f>
        <v>0</v>
      </c>
      <c r="AF48" s="22" t="str">
        <f ca="1">IFERROR(IF($U$7=2,_xll.IMDP($U48,$V48,IF($U$7=1,AF$7,AF$8),$O$2)/1000000,_xll.IMDP($U48,$V48,IF($U$7=1,AF$7,AF$8),$O$2)),"")</f>
        <v/>
      </c>
      <c r="AG48" s="22">
        <f ca="1">IFERROR(IF($U$7=2,_xll.IMDP($U48,$V48,IF($U$7=1,AG$7,AG$8),$O$2)/1000000,_xll.IMDP($U48,$V48,IF($U$7=1,AG$7,AG$8),$O$2)),"")</f>
        <v>0</v>
      </c>
      <c r="AH48" s="22">
        <f ca="1">IFERROR(IF($U$7=2,_xll.IMDP($U48,$V48,IF($U$7=1,AH$7,AH$8),$O$2)/1000000,_xll.IMDP($U48,$V48,IF($U$7=1,AH$7,AH$8),$O$2)),"")</f>
        <v>0</v>
      </c>
      <c r="AI48" s="22">
        <f ca="1">IFERROR(IF($U$7=2,_xll.IMDP($U48,$V48,IF($U$7=1,AI$7,AI$8),$O$2)/1000000,_xll.IMDP($U48,$V48,IF($U$7=1,AI$7,AI$8),$O$2)),"")</f>
        <v>0</v>
      </c>
      <c r="AJ48" s="22">
        <f ca="1">IFERROR(IF($U$7=2,_xll.IMDP($U48,$V48,IF($U$7=1,AJ$7,AJ$8),$O$2)/1000000,_xll.IMDP($U48,$V48,IF($U$7=1,AJ$7,AJ$8),$O$2)),"")</f>
        <v>0</v>
      </c>
      <c r="AK48" s="22">
        <f ca="1">IFERROR(IF($U$7=2,_xll.IMDP($U48,$V48,IF($U$7=1,AK$7,AK$8),$O$2)/1000000,_xll.IMDP($U48,$V48,IF($U$7=1,AK$7,AK$8),$O$2)),"")</f>
        <v>0</v>
      </c>
    </row>
    <row r="49" spans="2:37">
      <c r="B49" s="39"/>
      <c r="C49" s="47" t="s">
        <v>420</v>
      </c>
      <c r="D49" s="57">
        <f t="shared" ca="1" si="1"/>
        <v>16</v>
      </c>
      <c r="E49" s="53">
        <f t="shared" ca="1" si="2"/>
        <v>0</v>
      </c>
      <c r="F49" s="31">
        <f t="shared" ca="1" si="3"/>
        <v>0</v>
      </c>
      <c r="G49" s="31">
        <f t="shared" ca="1" si="4"/>
        <v>0</v>
      </c>
      <c r="H49" s="31">
        <f t="shared" ca="1" si="5"/>
        <v>0</v>
      </c>
      <c r="I49" s="31">
        <f t="shared" ca="1" si="6"/>
        <v>0</v>
      </c>
      <c r="J49" s="31">
        <f t="shared" ca="1" si="7"/>
        <v>0</v>
      </c>
      <c r="K49" s="31" t="str">
        <f t="shared" ca="1" si="8"/>
        <v/>
      </c>
      <c r="L49" s="31">
        <f t="shared" ca="1" si="9"/>
        <v>0</v>
      </c>
      <c r="M49" s="31">
        <f t="shared" ca="1" si="10"/>
        <v>0</v>
      </c>
      <c r="N49" s="31">
        <f t="shared" ca="1" si="11"/>
        <v>0</v>
      </c>
      <c r="O49" s="31">
        <f t="shared" ca="1" si="12"/>
        <v>0</v>
      </c>
      <c r="P49" s="37">
        <f t="shared" ca="1" si="13"/>
        <v>0</v>
      </c>
      <c r="Q49" s="25"/>
      <c r="R49" s="25"/>
      <c r="S49" s="25"/>
      <c r="U49" t="s">
        <v>67</v>
      </c>
      <c r="V49" t="s">
        <v>33</v>
      </c>
      <c r="W49" s="7"/>
      <c r="X49" s="8" t="str">
        <f t="shared" si="21"/>
        <v>철강소재</v>
      </c>
      <c r="Y49" s="22">
        <f ca="1">IFERROR(IF($U$7=2,_xll.IMDP($U49,$V49,IF($U$7=1,Y$7,Y$8),$O$2)/1000000,_xll.IMDP($U49,$V49,IF($U$7=1,Y$7,Y$8),$O$2)),"")</f>
        <v>16</v>
      </c>
      <c r="Z49" s="22">
        <f ca="1">IFERROR(IF($U$7=2,_xll.IMDP($U49,$V49,IF($U$7=1,Z$7,Z$8),$O$2)/1000000,_xll.IMDP($U49,$V49,IF($U$7=1,Z$7,Z$8),$O$2)),"")</f>
        <v>0</v>
      </c>
      <c r="AA49" s="22">
        <f ca="1">IFERROR(IF($U$7=2,_xll.IMDP($U49,$V49,IF($U$7=1,AA$7,AA$8),$O$2)/1000000,_xll.IMDP($U49,$V49,IF($U$7=1,AA$7,AA$8),$O$2)),"")</f>
        <v>0</v>
      </c>
      <c r="AB49" s="22">
        <f ca="1">IFERROR(IF($U$7=2,_xll.IMDP($U49,$V49,IF($U$7=1,AB$7,AB$8),$O$2)/1000000,_xll.IMDP($U49,$V49,IF($U$7=1,AB$7,AB$8),$O$2)),"")</f>
        <v>0</v>
      </c>
      <c r="AC49" s="22">
        <f ca="1">IFERROR(IF($U$7=2,_xll.IMDP($U49,$V49,IF($U$7=1,AC$7,AC$8),$O$2)/1000000,_xll.IMDP($U49,$V49,IF($U$7=1,AC$7,AC$8),$O$2)),"")</f>
        <v>0</v>
      </c>
      <c r="AD49" s="22">
        <f ca="1">IFERROR(IF($U$7=2,_xll.IMDP($U49,$V49,IF($U$7=1,AD$7,AD$8),$O$2)/1000000,_xll.IMDP($U49,$V49,IF($U$7=1,AD$7,AD$8),$O$2)),"")</f>
        <v>0</v>
      </c>
      <c r="AE49" s="22">
        <f ca="1">IFERROR(IF($U$7=2,_xll.IMDP($U49,$V49,IF($U$7=1,AE$7,AE$8),$O$2)/1000000,_xll.IMDP($U49,$V49,IF($U$7=1,AE$7,AE$8),$O$2)),"")</f>
        <v>0</v>
      </c>
      <c r="AF49" s="22" t="str">
        <f ca="1">IFERROR(IF($U$7=2,_xll.IMDP($U49,$V49,IF($U$7=1,AF$7,AF$8),$O$2)/1000000,_xll.IMDP($U49,$V49,IF($U$7=1,AF$7,AF$8),$O$2)),"")</f>
        <v/>
      </c>
      <c r="AG49" s="22">
        <f ca="1">IFERROR(IF($U$7=2,_xll.IMDP($U49,$V49,IF($U$7=1,AG$7,AG$8),$O$2)/1000000,_xll.IMDP($U49,$V49,IF($U$7=1,AG$7,AG$8),$O$2)),"")</f>
        <v>0</v>
      </c>
      <c r="AH49" s="22">
        <f ca="1">IFERROR(IF($U$7=2,_xll.IMDP($U49,$V49,IF($U$7=1,AH$7,AH$8),$O$2)/1000000,_xll.IMDP($U49,$V49,IF($U$7=1,AH$7,AH$8),$O$2)),"")</f>
        <v>0</v>
      </c>
      <c r="AI49" s="22">
        <f ca="1">IFERROR(IF($U$7=2,_xll.IMDP($U49,$V49,IF($U$7=1,AI$7,AI$8),$O$2)/1000000,_xll.IMDP($U49,$V49,IF($U$7=1,AI$7,AI$8),$O$2)),"")</f>
        <v>0</v>
      </c>
      <c r="AJ49" s="22">
        <f ca="1">IFERROR(IF($U$7=2,_xll.IMDP($U49,$V49,IF($U$7=1,AJ$7,AJ$8),$O$2)/1000000,_xll.IMDP($U49,$V49,IF($U$7=1,AJ$7,AJ$8),$O$2)),"")</f>
        <v>0</v>
      </c>
      <c r="AK49" s="22">
        <f ca="1">IFERROR(IF($U$7=2,_xll.IMDP($U49,$V49,IF($U$7=1,AK$7,AK$8),$O$2)/1000000,_xll.IMDP($U49,$V49,IF($U$7=1,AK$7,AK$8),$O$2)),"")</f>
        <v>0</v>
      </c>
    </row>
    <row r="50" spans="2:37">
      <c r="B50" s="39"/>
      <c r="C50" s="47" t="s">
        <v>421</v>
      </c>
      <c r="D50" s="57">
        <f t="shared" ca="1" si="1"/>
        <v>316</v>
      </c>
      <c r="E50" s="53">
        <f t="shared" ca="1" si="2"/>
        <v>0</v>
      </c>
      <c r="F50" s="31">
        <f t="shared" ca="1" si="3"/>
        <v>0</v>
      </c>
      <c r="G50" s="31">
        <f t="shared" ca="1" si="4"/>
        <v>0</v>
      </c>
      <c r="H50" s="31">
        <f t="shared" ca="1" si="5"/>
        <v>0</v>
      </c>
      <c r="I50" s="31">
        <f t="shared" ca="1" si="6"/>
        <v>0</v>
      </c>
      <c r="J50" s="31">
        <f t="shared" ca="1" si="7"/>
        <v>0</v>
      </c>
      <c r="K50" s="31" t="str">
        <f t="shared" ca="1" si="8"/>
        <v/>
      </c>
      <c r="L50" s="31">
        <f t="shared" ca="1" si="9"/>
        <v>0</v>
      </c>
      <c r="M50" s="31">
        <f t="shared" ca="1" si="10"/>
        <v>0</v>
      </c>
      <c r="N50" s="31">
        <f t="shared" ca="1" si="11"/>
        <v>0</v>
      </c>
      <c r="O50" s="31">
        <f t="shared" ca="1" si="12"/>
        <v>0</v>
      </c>
      <c r="P50" s="37">
        <f t="shared" ca="1" si="13"/>
        <v>0</v>
      </c>
      <c r="Q50" s="25"/>
      <c r="R50" s="25"/>
      <c r="S50" s="25"/>
      <c r="U50" t="s">
        <v>67</v>
      </c>
      <c r="V50" t="s">
        <v>32</v>
      </c>
      <c r="W50" s="7"/>
      <c r="X50" s="8" t="str">
        <f t="shared" si="21"/>
        <v>헬스케어</v>
      </c>
      <c r="Y50" s="22">
        <f ca="1">IFERROR(IF($U$7=2,_xll.IMDP($U50,$V50,IF($U$7=1,Y$7,Y$8),$O$2)/1000000,_xll.IMDP($U50,$V50,IF($U$7=1,Y$7,Y$8),$O$2)),"")</f>
        <v>316</v>
      </c>
      <c r="Z50" s="22">
        <f ca="1">IFERROR(IF($U$7=2,_xll.IMDP($U50,$V50,IF($U$7=1,Z$7,Z$8),$O$2)/1000000,_xll.IMDP($U50,$V50,IF($U$7=1,Z$7,Z$8),$O$2)),"")</f>
        <v>0</v>
      </c>
      <c r="AA50" s="22">
        <f ca="1">IFERROR(IF($U$7=2,_xll.IMDP($U50,$V50,IF($U$7=1,AA$7,AA$8),$O$2)/1000000,_xll.IMDP($U50,$V50,IF($U$7=1,AA$7,AA$8),$O$2)),"")</f>
        <v>0</v>
      </c>
      <c r="AB50" s="22">
        <f ca="1">IFERROR(IF($U$7=2,_xll.IMDP($U50,$V50,IF($U$7=1,AB$7,AB$8),$O$2)/1000000,_xll.IMDP($U50,$V50,IF($U$7=1,AB$7,AB$8),$O$2)),"")</f>
        <v>0</v>
      </c>
      <c r="AC50" s="22">
        <f ca="1">IFERROR(IF($U$7=2,_xll.IMDP($U50,$V50,IF($U$7=1,AC$7,AC$8),$O$2)/1000000,_xll.IMDP($U50,$V50,IF($U$7=1,AC$7,AC$8),$O$2)),"")</f>
        <v>0</v>
      </c>
      <c r="AD50" s="22">
        <f ca="1">IFERROR(IF($U$7=2,_xll.IMDP($U50,$V50,IF($U$7=1,AD$7,AD$8),$O$2)/1000000,_xll.IMDP($U50,$V50,IF($U$7=1,AD$7,AD$8),$O$2)),"")</f>
        <v>0</v>
      </c>
      <c r="AE50" s="22">
        <f ca="1">IFERROR(IF($U$7=2,_xll.IMDP($U50,$V50,IF($U$7=1,AE$7,AE$8),$O$2)/1000000,_xll.IMDP($U50,$V50,IF($U$7=1,AE$7,AE$8),$O$2)),"")</f>
        <v>0</v>
      </c>
      <c r="AF50" s="22" t="str">
        <f ca="1">IFERROR(IF($U$7=2,_xll.IMDP($U50,$V50,IF($U$7=1,AF$7,AF$8),$O$2)/1000000,_xll.IMDP($U50,$V50,IF($U$7=1,AF$7,AF$8),$O$2)),"")</f>
        <v/>
      </c>
      <c r="AG50" s="22">
        <f ca="1">IFERROR(IF($U$7=2,_xll.IMDP($U50,$V50,IF($U$7=1,AG$7,AG$8),$O$2)/1000000,_xll.IMDP($U50,$V50,IF($U$7=1,AG$7,AG$8),$O$2)),"")</f>
        <v>0</v>
      </c>
      <c r="AH50" s="22">
        <f ca="1">IFERROR(IF($U$7=2,_xll.IMDP($U50,$V50,IF($U$7=1,AH$7,AH$8),$O$2)/1000000,_xll.IMDP($U50,$V50,IF($U$7=1,AH$7,AH$8),$O$2)),"")</f>
        <v>0</v>
      </c>
      <c r="AI50" s="22">
        <f ca="1">IFERROR(IF($U$7=2,_xll.IMDP($U50,$V50,IF($U$7=1,AI$7,AI$8),$O$2)/1000000,_xll.IMDP($U50,$V50,IF($U$7=1,AI$7,AI$8),$O$2)),"")</f>
        <v>0</v>
      </c>
      <c r="AJ50" s="22">
        <f ca="1">IFERROR(IF($U$7=2,_xll.IMDP($U50,$V50,IF($U$7=1,AJ$7,AJ$8),$O$2)/1000000,_xll.IMDP($U50,$V50,IF($U$7=1,AJ$7,AJ$8),$O$2)),"")</f>
        <v>0</v>
      </c>
      <c r="AK50" s="22">
        <f ca="1">IFERROR(IF($U$7=2,_xll.IMDP($U50,$V50,IF($U$7=1,AK$7,AK$8),$O$2)/1000000,_xll.IMDP($U50,$V50,IF($U$7=1,AK$7,AK$8),$O$2)),"")</f>
        <v>0</v>
      </c>
    </row>
    <row r="51" spans="2:37">
      <c r="B51" s="39"/>
      <c r="C51" s="47" t="s">
        <v>422</v>
      </c>
      <c r="D51" s="57">
        <f t="shared" ca="1" si="1"/>
        <v>2462</v>
      </c>
      <c r="E51" s="53">
        <f t="shared" ca="1" si="2"/>
        <v>-172</v>
      </c>
      <c r="F51" s="31">
        <f t="shared" ca="1" si="3"/>
        <v>-3</v>
      </c>
      <c r="G51" s="31">
        <f t="shared" ca="1" si="4"/>
        <v>175</v>
      </c>
      <c r="H51" s="31">
        <f t="shared" ca="1" si="5"/>
        <v>175</v>
      </c>
      <c r="I51" s="31">
        <f t="shared" ca="1" si="6"/>
        <v>0</v>
      </c>
      <c r="J51" s="31">
        <f t="shared" ca="1" si="7"/>
        <v>0</v>
      </c>
      <c r="K51" s="31" t="str">
        <f t="shared" ca="1" si="8"/>
        <v/>
      </c>
      <c r="L51" s="31">
        <f t="shared" ca="1" si="9"/>
        <v>0</v>
      </c>
      <c r="M51" s="31">
        <f t="shared" ca="1" si="10"/>
        <v>0</v>
      </c>
      <c r="N51" s="31">
        <f t="shared" ca="1" si="11"/>
        <v>0</v>
      </c>
      <c r="O51" s="31">
        <f t="shared" ca="1" si="12"/>
        <v>0</v>
      </c>
      <c r="P51" s="37">
        <f t="shared" ca="1" si="13"/>
        <v>0</v>
      </c>
      <c r="Q51" s="25"/>
      <c r="R51" s="25"/>
      <c r="S51" s="25"/>
      <c r="U51" t="s">
        <v>67</v>
      </c>
      <c r="V51" t="s">
        <v>409</v>
      </c>
      <c r="W51" s="7"/>
      <c r="X51" s="8" t="str">
        <f t="shared" si="21"/>
        <v>2차전지</v>
      </c>
      <c r="Y51" s="22">
        <f ca="1">IFERROR(IF($U$7=2,_xll.IMDP($U51,$V51,IF($U$7=1,Y$7,Y$8),$O$2)/1000000,_xll.IMDP($U51,$V51,IF($U$7=1,Y$7,Y$8),$O$2)),"")</f>
        <v>2462</v>
      </c>
      <c r="Z51" s="22">
        <f ca="1">IFERROR(IF($U$7=2,_xll.IMDP($U51,$V51,IF($U$7=1,Z$7,Z$8),$O$2)/1000000,_xll.IMDP($U51,$V51,IF($U$7=1,Z$7,Z$8),$O$2)),"")</f>
        <v>-172</v>
      </c>
      <c r="AA51" s="22">
        <f ca="1">IFERROR(IF($U$7=2,_xll.IMDP($U51,$V51,IF($U$7=1,AA$7,AA$8),$O$2)/1000000,_xll.IMDP($U51,$V51,IF($U$7=1,AA$7,AA$8),$O$2)),"")</f>
        <v>-3</v>
      </c>
      <c r="AB51" s="22">
        <f ca="1">IFERROR(IF($U$7=2,_xll.IMDP($U51,$V51,IF($U$7=1,AB$7,AB$8),$O$2)/1000000,_xll.IMDP($U51,$V51,IF($U$7=1,AB$7,AB$8),$O$2)),"")</f>
        <v>175</v>
      </c>
      <c r="AC51" s="22">
        <f ca="1">IFERROR(IF($U$7=2,_xll.IMDP($U51,$V51,IF($U$7=1,AC$7,AC$8),$O$2)/1000000,_xll.IMDP($U51,$V51,IF($U$7=1,AC$7,AC$8),$O$2)),"")</f>
        <v>175</v>
      </c>
      <c r="AD51" s="22">
        <f ca="1">IFERROR(IF($U$7=2,_xll.IMDP($U51,$V51,IF($U$7=1,AD$7,AD$8),$O$2)/1000000,_xll.IMDP($U51,$V51,IF($U$7=1,AD$7,AD$8),$O$2)),"")</f>
        <v>0</v>
      </c>
      <c r="AE51" s="22">
        <f ca="1">IFERROR(IF($U$7=2,_xll.IMDP($U51,$V51,IF($U$7=1,AE$7,AE$8),$O$2)/1000000,_xll.IMDP($U51,$V51,IF($U$7=1,AE$7,AE$8),$O$2)),"")</f>
        <v>0</v>
      </c>
      <c r="AF51" s="22" t="str">
        <f ca="1">IFERROR(IF($U$7=2,_xll.IMDP($U51,$V51,IF($U$7=1,AF$7,AF$8),$O$2)/1000000,_xll.IMDP($U51,$V51,IF($U$7=1,AF$7,AF$8),$O$2)),"")</f>
        <v/>
      </c>
      <c r="AG51" s="22">
        <f ca="1">IFERROR(IF($U$7=2,_xll.IMDP($U51,$V51,IF($U$7=1,AG$7,AG$8),$O$2)/1000000,_xll.IMDP($U51,$V51,IF($U$7=1,AG$7,AG$8),$O$2)),"")</f>
        <v>0</v>
      </c>
      <c r="AH51" s="22">
        <f ca="1">IFERROR(IF($U$7=2,_xll.IMDP($U51,$V51,IF($U$7=1,AH$7,AH$8),$O$2)/1000000,_xll.IMDP($U51,$V51,IF($U$7=1,AH$7,AH$8),$O$2)),"")</f>
        <v>0</v>
      </c>
      <c r="AI51" s="22">
        <f ca="1">IFERROR(IF($U$7=2,_xll.IMDP($U51,$V51,IF($U$7=1,AI$7,AI$8),$O$2)/1000000,_xll.IMDP($U51,$V51,IF($U$7=1,AI$7,AI$8),$O$2)),"")</f>
        <v>0</v>
      </c>
      <c r="AJ51" s="22">
        <f ca="1">IFERROR(IF($U$7=2,_xll.IMDP($U51,$V51,IF($U$7=1,AJ$7,AJ$8),$O$2)/1000000,_xll.IMDP($U51,$V51,IF($U$7=1,AJ$7,AJ$8),$O$2)),"")</f>
        <v>0</v>
      </c>
      <c r="AK51" s="22">
        <f ca="1">IFERROR(IF($U$7=2,_xll.IMDP($U51,$V51,IF($U$7=1,AK$7,AK$8),$O$2)/1000000,_xll.IMDP($U51,$V51,IF($U$7=1,AK$7,AK$8),$O$2)),"")</f>
        <v>0</v>
      </c>
    </row>
    <row r="52" spans="2:37">
      <c r="B52" s="39"/>
      <c r="C52" s="47" t="s">
        <v>423</v>
      </c>
      <c r="D52" s="57">
        <f t="shared" ca="1" si="1"/>
        <v>276</v>
      </c>
      <c r="E52" s="53">
        <f t="shared" ca="1" si="2"/>
        <v>0</v>
      </c>
      <c r="F52" s="31">
        <f t="shared" ca="1" si="3"/>
        <v>0</v>
      </c>
      <c r="G52" s="31">
        <f t="shared" ca="1" si="4"/>
        <v>0</v>
      </c>
      <c r="H52" s="31">
        <f t="shared" ca="1" si="5"/>
        <v>0</v>
      </c>
      <c r="I52" s="31">
        <f t="shared" ca="1" si="6"/>
        <v>0</v>
      </c>
      <c r="J52" s="31">
        <f t="shared" ca="1" si="7"/>
        <v>0</v>
      </c>
      <c r="K52" s="31" t="str">
        <f t="shared" ca="1" si="8"/>
        <v/>
      </c>
      <c r="L52" s="31">
        <f t="shared" ca="1" si="9"/>
        <v>0</v>
      </c>
      <c r="M52" s="31">
        <f t="shared" ca="1" si="10"/>
        <v>0</v>
      </c>
      <c r="N52" s="31">
        <f t="shared" ca="1" si="11"/>
        <v>0</v>
      </c>
      <c r="O52" s="31">
        <f t="shared" ca="1" si="12"/>
        <v>0</v>
      </c>
      <c r="P52" s="37">
        <f t="shared" ca="1" si="13"/>
        <v>0</v>
      </c>
      <c r="Q52" s="25"/>
      <c r="R52" s="25"/>
      <c r="S52" s="25"/>
      <c r="U52" t="s">
        <v>67</v>
      </c>
      <c r="V52" t="s">
        <v>410</v>
      </c>
      <c r="W52" s="7"/>
      <c r="X52" s="8" t="str">
        <f t="shared" si="21"/>
        <v>BBIG</v>
      </c>
      <c r="Y52" s="22">
        <f ca="1">IFERROR(IF($U$7=2,_xll.IMDP($U52,$V52,IF($U$7=1,Y$7,Y$8),$O$2)/1000000,_xll.IMDP($U52,$V52,IF($U$7=1,Y$7,Y$8),$O$2)),"")</f>
        <v>276</v>
      </c>
      <c r="Z52" s="22">
        <f ca="1">IFERROR(IF($U$7=2,_xll.IMDP($U52,$V52,IF($U$7=1,Z$7,Z$8),$O$2)/1000000,_xll.IMDP($U52,$V52,IF($U$7=1,Z$7,Z$8),$O$2)),"")</f>
        <v>0</v>
      </c>
      <c r="AA52" s="22">
        <f ca="1">IFERROR(IF($U$7=2,_xll.IMDP($U52,$V52,IF($U$7=1,AA$7,AA$8),$O$2)/1000000,_xll.IMDP($U52,$V52,IF($U$7=1,AA$7,AA$8),$O$2)),"")</f>
        <v>0</v>
      </c>
      <c r="AB52" s="22">
        <f ca="1">IFERROR(IF($U$7=2,_xll.IMDP($U52,$V52,IF($U$7=1,AB$7,AB$8),$O$2)/1000000,_xll.IMDP($U52,$V52,IF($U$7=1,AB$7,AB$8),$O$2)),"")</f>
        <v>0</v>
      </c>
      <c r="AC52" s="22">
        <f ca="1">IFERROR(IF($U$7=2,_xll.IMDP($U52,$V52,IF($U$7=1,AC$7,AC$8),$O$2)/1000000,_xll.IMDP($U52,$V52,IF($U$7=1,AC$7,AC$8),$O$2)),"")</f>
        <v>0</v>
      </c>
      <c r="AD52" s="22">
        <f ca="1">IFERROR(IF($U$7=2,_xll.IMDP($U52,$V52,IF($U$7=1,AD$7,AD$8),$O$2)/1000000,_xll.IMDP($U52,$V52,IF($U$7=1,AD$7,AD$8),$O$2)),"")</f>
        <v>0</v>
      </c>
      <c r="AE52" s="22">
        <f ca="1">IFERROR(IF($U$7=2,_xll.IMDP($U52,$V52,IF($U$7=1,AE$7,AE$8),$O$2)/1000000,_xll.IMDP($U52,$V52,IF($U$7=1,AE$7,AE$8),$O$2)),"")</f>
        <v>0</v>
      </c>
      <c r="AF52" s="22" t="str">
        <f ca="1">IFERROR(IF($U$7=2,_xll.IMDP($U52,$V52,IF($U$7=1,AF$7,AF$8),$O$2)/1000000,_xll.IMDP($U52,$V52,IF($U$7=1,AF$7,AF$8),$O$2)),"")</f>
        <v/>
      </c>
      <c r="AG52" s="22">
        <f ca="1">IFERROR(IF($U$7=2,_xll.IMDP($U52,$V52,IF($U$7=1,AG$7,AG$8),$O$2)/1000000,_xll.IMDP($U52,$V52,IF($U$7=1,AG$7,AG$8),$O$2)),"")</f>
        <v>0</v>
      </c>
      <c r="AH52" s="22">
        <f ca="1">IFERROR(IF($U$7=2,_xll.IMDP($U52,$V52,IF($U$7=1,AH$7,AH$8),$O$2)/1000000,_xll.IMDP($U52,$V52,IF($U$7=1,AH$7,AH$8),$O$2)),"")</f>
        <v>0</v>
      </c>
      <c r="AI52" s="22">
        <f ca="1">IFERROR(IF($U$7=2,_xll.IMDP($U52,$V52,IF($U$7=1,AI$7,AI$8),$O$2)/1000000,_xll.IMDP($U52,$V52,IF($U$7=1,AI$7,AI$8),$O$2)),"")</f>
        <v>0</v>
      </c>
      <c r="AJ52" s="22">
        <f ca="1">IFERROR(IF($U$7=2,_xll.IMDP($U52,$V52,IF($U$7=1,AJ$7,AJ$8),$O$2)/1000000,_xll.IMDP($U52,$V52,IF($U$7=1,AJ$7,AJ$8),$O$2)),"")</f>
        <v>0</v>
      </c>
      <c r="AK52" s="22">
        <f ca="1">IFERROR(IF($U$7=2,_xll.IMDP($U52,$V52,IF($U$7=1,AK$7,AK$8),$O$2)/1000000,_xll.IMDP($U52,$V52,IF($U$7=1,AK$7,AK$8),$O$2)),"")</f>
        <v>0</v>
      </c>
    </row>
    <row r="53" spans="2:37">
      <c r="B53" s="39"/>
      <c r="C53" s="47" t="s">
        <v>424</v>
      </c>
      <c r="D53" s="57">
        <f t="shared" ca="1" si="1"/>
        <v>1169</v>
      </c>
      <c r="E53" s="53">
        <f t="shared" ca="1" si="2"/>
        <v>0</v>
      </c>
      <c r="F53" s="31">
        <f t="shared" ca="1" si="3"/>
        <v>-4</v>
      </c>
      <c r="G53" s="31">
        <f t="shared" ca="1" si="4"/>
        <v>4</v>
      </c>
      <c r="H53" s="31">
        <f t="shared" ca="1" si="5"/>
        <v>4</v>
      </c>
      <c r="I53" s="31">
        <f t="shared" ca="1" si="6"/>
        <v>0</v>
      </c>
      <c r="J53" s="31">
        <f t="shared" ca="1" si="7"/>
        <v>0</v>
      </c>
      <c r="K53" s="31" t="str">
        <f t="shared" ca="1" si="8"/>
        <v/>
      </c>
      <c r="L53" s="31">
        <f t="shared" ca="1" si="9"/>
        <v>0</v>
      </c>
      <c r="M53" s="31">
        <f t="shared" ca="1" si="10"/>
        <v>0</v>
      </c>
      <c r="N53" s="31">
        <f t="shared" ca="1" si="11"/>
        <v>0</v>
      </c>
      <c r="O53" s="31">
        <f t="shared" ca="1" si="12"/>
        <v>0</v>
      </c>
      <c r="P53" s="37">
        <f t="shared" ca="1" si="13"/>
        <v>0</v>
      </c>
      <c r="Q53" s="25"/>
      <c r="R53" s="25"/>
      <c r="S53" s="25"/>
      <c r="U53" t="s">
        <v>67</v>
      </c>
      <c r="V53" t="s">
        <v>411</v>
      </c>
      <c r="W53" s="7"/>
      <c r="X53" s="8" t="str">
        <f t="shared" si="21"/>
        <v>바이오</v>
      </c>
      <c r="Y53" s="22">
        <f ca="1">IFERROR(IF($U$7=2,_xll.IMDP($U53,$V53,IF($U$7=1,Y$7,Y$8),$O$2)/1000000,_xll.IMDP($U53,$V53,IF($U$7=1,Y$7,Y$8),$O$2)),"")</f>
        <v>1169</v>
      </c>
      <c r="Z53" s="22">
        <f ca="1">IFERROR(IF($U$7=2,_xll.IMDP($U53,$V53,IF($U$7=1,Z$7,Z$8),$O$2)/1000000,_xll.IMDP($U53,$V53,IF($U$7=1,Z$7,Z$8),$O$2)),"")</f>
        <v>0</v>
      </c>
      <c r="AA53" s="22">
        <f ca="1">IFERROR(IF($U$7=2,_xll.IMDP($U53,$V53,IF($U$7=1,AA$7,AA$8),$O$2)/1000000,_xll.IMDP($U53,$V53,IF($U$7=1,AA$7,AA$8),$O$2)),"")</f>
        <v>-4</v>
      </c>
      <c r="AB53" s="22">
        <f ca="1">IFERROR(IF($U$7=2,_xll.IMDP($U53,$V53,IF($U$7=1,AB$7,AB$8),$O$2)/1000000,_xll.IMDP($U53,$V53,IF($U$7=1,AB$7,AB$8),$O$2)),"")</f>
        <v>4</v>
      </c>
      <c r="AC53" s="22">
        <f ca="1">IFERROR(IF($U$7=2,_xll.IMDP($U53,$V53,IF($U$7=1,AC$7,AC$8),$O$2)/1000000,_xll.IMDP($U53,$V53,IF($U$7=1,AC$7,AC$8),$O$2)),"")</f>
        <v>4</v>
      </c>
      <c r="AD53" s="22">
        <f ca="1">IFERROR(IF($U$7=2,_xll.IMDP($U53,$V53,IF($U$7=1,AD$7,AD$8),$O$2)/1000000,_xll.IMDP($U53,$V53,IF($U$7=1,AD$7,AD$8),$O$2)),"")</f>
        <v>0</v>
      </c>
      <c r="AE53" s="22">
        <f ca="1">IFERROR(IF($U$7=2,_xll.IMDP($U53,$V53,IF($U$7=1,AE$7,AE$8),$O$2)/1000000,_xll.IMDP($U53,$V53,IF($U$7=1,AE$7,AE$8),$O$2)),"")</f>
        <v>0</v>
      </c>
      <c r="AF53" s="22" t="str">
        <f ca="1">IFERROR(IF($U$7=2,_xll.IMDP($U53,$V53,IF($U$7=1,AF$7,AF$8),$O$2)/1000000,_xll.IMDP($U53,$V53,IF($U$7=1,AF$7,AF$8),$O$2)),"")</f>
        <v/>
      </c>
      <c r="AG53" s="22">
        <f ca="1">IFERROR(IF($U$7=2,_xll.IMDP($U53,$V53,IF($U$7=1,AG$7,AG$8),$O$2)/1000000,_xll.IMDP($U53,$V53,IF($U$7=1,AG$7,AG$8),$O$2)),"")</f>
        <v>0</v>
      </c>
      <c r="AH53" s="22">
        <f ca="1">IFERROR(IF($U$7=2,_xll.IMDP($U53,$V53,IF($U$7=1,AH$7,AH$8),$O$2)/1000000,_xll.IMDP($U53,$V53,IF($U$7=1,AH$7,AH$8),$O$2)),"")</f>
        <v>0</v>
      </c>
      <c r="AI53" s="22">
        <f ca="1">IFERROR(IF($U$7=2,_xll.IMDP($U53,$V53,IF($U$7=1,AI$7,AI$8),$O$2)/1000000,_xll.IMDP($U53,$V53,IF($U$7=1,AI$7,AI$8),$O$2)),"")</f>
        <v>0</v>
      </c>
      <c r="AJ53" s="22">
        <f ca="1">IFERROR(IF($U$7=2,_xll.IMDP($U53,$V53,IF($U$7=1,AJ$7,AJ$8),$O$2)/1000000,_xll.IMDP($U53,$V53,IF($U$7=1,AJ$7,AJ$8),$O$2)),"")</f>
        <v>0</v>
      </c>
      <c r="AK53" s="22">
        <f ca="1">IFERROR(IF($U$7=2,_xll.IMDP($U53,$V53,IF($U$7=1,AK$7,AK$8),$O$2)/1000000,_xll.IMDP($U53,$V53,IF($U$7=1,AK$7,AK$8),$O$2)),"")</f>
        <v>0</v>
      </c>
    </row>
    <row r="54" spans="2:37">
      <c r="B54" s="39"/>
      <c r="C54" s="47" t="s">
        <v>425</v>
      </c>
      <c r="D54" s="57">
        <f t="shared" ca="1" si="1"/>
        <v>90</v>
      </c>
      <c r="E54" s="53">
        <f t="shared" ca="1" si="2"/>
        <v>0</v>
      </c>
      <c r="F54" s="31">
        <f t="shared" ca="1" si="3"/>
        <v>0</v>
      </c>
      <c r="G54" s="31">
        <f t="shared" ca="1" si="4"/>
        <v>0</v>
      </c>
      <c r="H54" s="31">
        <f t="shared" ca="1" si="5"/>
        <v>0</v>
      </c>
      <c r="I54" s="31">
        <f t="shared" ca="1" si="6"/>
        <v>0</v>
      </c>
      <c r="J54" s="31">
        <f t="shared" ca="1" si="7"/>
        <v>0</v>
      </c>
      <c r="K54" s="31" t="str">
        <f t="shared" ca="1" si="8"/>
        <v/>
      </c>
      <c r="L54" s="31">
        <f t="shared" ca="1" si="9"/>
        <v>0</v>
      </c>
      <c r="M54" s="31">
        <f t="shared" ca="1" si="10"/>
        <v>0</v>
      </c>
      <c r="N54" s="31">
        <f t="shared" ca="1" si="11"/>
        <v>0</v>
      </c>
      <c r="O54" s="31">
        <f t="shared" ca="1" si="12"/>
        <v>0</v>
      </c>
      <c r="P54" s="37">
        <f t="shared" ca="1" si="13"/>
        <v>0</v>
      </c>
      <c r="Q54" s="25"/>
      <c r="R54" s="25"/>
      <c r="S54" s="25"/>
      <c r="U54" t="s">
        <v>67</v>
      </c>
      <c r="V54" t="s">
        <v>412</v>
      </c>
      <c r="W54" s="7"/>
      <c r="X54" s="8" t="str">
        <f t="shared" si="21"/>
        <v>GOLD</v>
      </c>
      <c r="Y54" s="22">
        <f ca="1">IFERROR(IF($U$7=2,_xll.IMDP($U54,$V54,IF($U$7=1,Y$7,Y$8),$O$2)/1000000,_xll.IMDP($U54,$V54,IF($U$7=1,Y$7,Y$8),$O$2)),"")</f>
        <v>90</v>
      </c>
      <c r="Z54" s="22">
        <f ca="1">IFERROR(IF($U$7=2,_xll.IMDP($U54,$V54,IF($U$7=1,Z$7,Z$8),$O$2)/1000000,_xll.IMDP($U54,$V54,IF($U$7=1,Z$7,Z$8),$O$2)),"")</f>
        <v>0</v>
      </c>
      <c r="AA54" s="22">
        <f ca="1">IFERROR(IF($U$7=2,_xll.IMDP($U54,$V54,IF($U$7=1,AA$7,AA$8),$O$2)/1000000,_xll.IMDP($U54,$V54,IF($U$7=1,AA$7,AA$8),$O$2)),"")</f>
        <v>0</v>
      </c>
      <c r="AB54" s="22">
        <f ca="1">IFERROR(IF($U$7=2,_xll.IMDP($U54,$V54,IF($U$7=1,AB$7,AB$8),$O$2)/1000000,_xll.IMDP($U54,$V54,IF($U$7=1,AB$7,AB$8),$O$2)),"")</f>
        <v>0</v>
      </c>
      <c r="AC54" s="22">
        <f ca="1">IFERROR(IF($U$7=2,_xll.IMDP($U54,$V54,IF($U$7=1,AC$7,AC$8),$O$2)/1000000,_xll.IMDP($U54,$V54,IF($U$7=1,AC$7,AC$8),$O$2)),"")</f>
        <v>0</v>
      </c>
      <c r="AD54" s="22">
        <f ca="1">IFERROR(IF($U$7=2,_xll.IMDP($U54,$V54,IF($U$7=1,AD$7,AD$8),$O$2)/1000000,_xll.IMDP($U54,$V54,IF($U$7=1,AD$7,AD$8),$O$2)),"")</f>
        <v>0</v>
      </c>
      <c r="AE54" s="22">
        <f ca="1">IFERROR(IF($U$7=2,_xll.IMDP($U54,$V54,IF($U$7=1,AE$7,AE$8),$O$2)/1000000,_xll.IMDP($U54,$V54,IF($U$7=1,AE$7,AE$8),$O$2)),"")</f>
        <v>0</v>
      </c>
      <c r="AF54" s="22" t="str">
        <f ca="1">IFERROR(IF($U$7=2,_xll.IMDP($U54,$V54,IF($U$7=1,AF$7,AF$8),$O$2)/1000000,_xll.IMDP($U54,$V54,IF($U$7=1,AF$7,AF$8),$O$2)),"")</f>
        <v/>
      </c>
      <c r="AG54" s="22">
        <f ca="1">IFERROR(IF($U$7=2,_xll.IMDP($U54,$V54,IF($U$7=1,AG$7,AG$8),$O$2)/1000000,_xll.IMDP($U54,$V54,IF($U$7=1,AG$7,AG$8),$O$2)),"")</f>
        <v>0</v>
      </c>
      <c r="AH54" s="22">
        <f ca="1">IFERROR(IF($U$7=2,_xll.IMDP($U54,$V54,IF($U$7=1,AH$7,AH$8),$O$2)/1000000,_xll.IMDP($U54,$V54,IF($U$7=1,AH$7,AH$8),$O$2)),"")</f>
        <v>0</v>
      </c>
      <c r="AI54" s="22">
        <f ca="1">IFERROR(IF($U$7=2,_xll.IMDP($U54,$V54,IF($U$7=1,AI$7,AI$8),$O$2)/1000000,_xll.IMDP($U54,$V54,IF($U$7=1,AI$7,AI$8),$O$2)),"")</f>
        <v>0</v>
      </c>
      <c r="AJ54" s="22">
        <f ca="1">IFERROR(IF($U$7=2,_xll.IMDP($U54,$V54,IF($U$7=1,AJ$7,AJ$8),$O$2)/1000000,_xll.IMDP($U54,$V54,IF($U$7=1,AJ$7,AJ$8),$O$2)),"")</f>
        <v>0</v>
      </c>
      <c r="AK54" s="22">
        <f ca="1">IFERROR(IF($U$7=2,_xll.IMDP($U54,$V54,IF($U$7=1,AK$7,AK$8),$O$2)/1000000,_xll.IMDP($U54,$V54,IF($U$7=1,AK$7,AK$8),$O$2)),"")</f>
        <v>0</v>
      </c>
    </row>
    <row r="55" spans="2:37">
      <c r="B55" s="36" t="s">
        <v>443</v>
      </c>
      <c r="C55" s="46"/>
      <c r="D55" s="59"/>
      <c r="E55" s="54">
        <f t="shared" ca="1" si="2"/>
        <v>9906</v>
      </c>
      <c r="F55" s="32">
        <f t="shared" ca="1" si="3"/>
        <v>-10994</v>
      </c>
      <c r="G55" s="32">
        <f t="shared" ca="1" si="4"/>
        <v>1727</v>
      </c>
      <c r="H55" s="32">
        <f t="shared" ca="1" si="5"/>
        <v>3425</v>
      </c>
      <c r="I55" s="32">
        <f t="shared" ca="1" si="6"/>
        <v>0</v>
      </c>
      <c r="J55" s="32">
        <f t="shared" ca="1" si="7"/>
        <v>-1732</v>
      </c>
      <c r="K55" s="32">
        <f t="shared" ca="1" si="8"/>
        <v>0</v>
      </c>
      <c r="L55" s="32">
        <f t="shared" ca="1" si="9"/>
        <v>-3</v>
      </c>
      <c r="M55" s="32">
        <f t="shared" ca="1" si="10"/>
        <v>37</v>
      </c>
      <c r="N55" s="32">
        <f t="shared" ca="1" si="11"/>
        <v>0</v>
      </c>
      <c r="O55" s="32">
        <f t="shared" ca="1" si="12"/>
        <v>0</v>
      </c>
      <c r="P55" s="38">
        <f t="shared" ca="1" si="13"/>
        <v>-639</v>
      </c>
      <c r="Q55" s="25"/>
      <c r="R55" s="25"/>
      <c r="S55" s="25"/>
      <c r="W55" s="12" t="str">
        <f>B55</f>
        <v>지수옵션</v>
      </c>
      <c r="X55" s="13"/>
      <c r="Y55" s="23"/>
      <c r="Z55" s="23">
        <f ca="1">IFERROR(SUM(Z56:Z59),"")</f>
        <v>9906</v>
      </c>
      <c r="AA55" s="23">
        <f t="shared" ref="AA55:AK55" ca="1" si="22">IFERROR(SUM(AA56:AA59),"")</f>
        <v>-10994</v>
      </c>
      <c r="AB55" s="23">
        <f t="shared" ca="1" si="22"/>
        <v>1727</v>
      </c>
      <c r="AC55" s="23">
        <f t="shared" ca="1" si="22"/>
        <v>3425</v>
      </c>
      <c r="AD55" s="23">
        <f t="shared" ca="1" si="22"/>
        <v>0</v>
      </c>
      <c r="AE55" s="23">
        <f t="shared" ca="1" si="22"/>
        <v>-1732</v>
      </c>
      <c r="AF55" s="23">
        <f t="shared" ca="1" si="22"/>
        <v>0</v>
      </c>
      <c r="AG55" s="23">
        <f t="shared" ca="1" si="22"/>
        <v>-3</v>
      </c>
      <c r="AH55" s="23">
        <f t="shared" ca="1" si="22"/>
        <v>37</v>
      </c>
      <c r="AI55" s="23">
        <f t="shared" ca="1" si="22"/>
        <v>0</v>
      </c>
      <c r="AJ55" s="23">
        <f t="shared" ca="1" si="22"/>
        <v>0</v>
      </c>
      <c r="AK55" s="23">
        <f t="shared" ca="1" si="22"/>
        <v>-639</v>
      </c>
    </row>
    <row r="56" spans="2:37">
      <c r="B56" s="39"/>
      <c r="C56" s="47" t="s">
        <v>444</v>
      </c>
      <c r="D56" s="60"/>
      <c r="E56" s="53">
        <f t="shared" ca="1" si="2"/>
        <v>-7066</v>
      </c>
      <c r="F56" s="31">
        <f t="shared" ca="1" si="3"/>
        <v>3814</v>
      </c>
      <c r="G56" s="31">
        <f t="shared" ca="1" si="4"/>
        <v>2887</v>
      </c>
      <c r="H56" s="31">
        <f t="shared" ca="1" si="5"/>
        <v>2849</v>
      </c>
      <c r="I56" s="31">
        <f t="shared" ca="1" si="6"/>
        <v>0</v>
      </c>
      <c r="J56" s="31">
        <f t="shared" ca="1" si="7"/>
        <v>-1</v>
      </c>
      <c r="K56" s="31" t="str">
        <f t="shared" ca="1" si="8"/>
        <v/>
      </c>
      <c r="L56" s="31">
        <f t="shared" ca="1" si="9"/>
        <v>-4</v>
      </c>
      <c r="M56" s="31">
        <f t="shared" ca="1" si="10"/>
        <v>43</v>
      </c>
      <c r="N56" s="31">
        <f t="shared" ca="1" si="11"/>
        <v>0</v>
      </c>
      <c r="O56" s="31">
        <f t="shared" ca="1" si="12"/>
        <v>0</v>
      </c>
      <c r="P56" s="37">
        <f t="shared" ca="1" si="13"/>
        <v>365</v>
      </c>
      <c r="Q56" s="25"/>
      <c r="R56" s="25"/>
      <c r="S56" s="25"/>
      <c r="U56" t="s">
        <v>68</v>
      </c>
      <c r="V56" s="33" t="s">
        <v>40</v>
      </c>
      <c r="W56" s="7"/>
      <c r="X56" s="8" t="str">
        <f>C56</f>
        <v>KOSPI200 콜</v>
      </c>
      <c r="Y56" s="22"/>
      <c r="Z56" s="22">
        <f ca="1">IFERROR(IF($U$7=2,_xll.IMDP($U56,$V56,IF($U$7=1,Z$7,Z$8),$O$2)/1000000,_xll.IMDP($U56,$V56,IF($U$7=1,Z$7,Z$8),$O$2)),"")</f>
        <v>-7066</v>
      </c>
      <c r="AA56" s="22">
        <f ca="1">IFERROR(IF($U$7=2,_xll.IMDP($U56,$V56,IF($U$7=1,AA$7,AA$8),$O$2)/1000000,_xll.IMDP($U56,$V56,IF($U$7=1,AA$7,AA$8),$O$2)),"")</f>
        <v>3814</v>
      </c>
      <c r="AB56" s="22">
        <f ca="1">IFERROR(IF($U$7=2,_xll.IMDP($U56,$V56,IF($U$7=1,AB$7,AB$8),$O$2)/1000000,_xll.IMDP($U56,$V56,IF($U$7=1,AB$7,AB$8),$O$2)),"")</f>
        <v>2887</v>
      </c>
      <c r="AC56" s="22">
        <f ca="1">IFERROR(IF($U$7=2,_xll.IMDP($U56,$V56,IF($U$7=1,AC$7,AC$8),$O$2)/1000000,_xll.IMDP($U56,$V56,IF($U$7=1,AC$7,AC$8),$O$2)),"")</f>
        <v>2849</v>
      </c>
      <c r="AD56" s="22">
        <f ca="1">IFERROR(IF($U$7=2,_xll.IMDP($U56,$V56,IF($U$7=1,AD$7,AD$8),$O$2)/1000000,_xll.IMDP($U56,$V56,IF($U$7=1,AD$7,AD$8),$O$2)),"")</f>
        <v>0</v>
      </c>
      <c r="AE56" s="22">
        <f ca="1">IFERROR(IF($U$7=2,_xll.IMDP($U56,$V56,IF($U$7=1,AE$7,AE$8),$O$2)/1000000,_xll.IMDP($U56,$V56,IF($U$7=1,AE$7,AE$8),$O$2)),"")</f>
        <v>-1</v>
      </c>
      <c r="AF56" s="22" t="str">
        <f ca="1">IFERROR(IF($U$7=2,_xll.IMDP($U56,$V56,IF($U$7=1,AF$7,AF$8),$O$2)/1000000,_xll.IMDP($U56,$V56,IF($U$7=1,AF$7,AF$8),$O$2)),"")</f>
        <v/>
      </c>
      <c r="AG56" s="22">
        <f ca="1">IFERROR(IF($U$7=2,_xll.IMDP($U56,$V56,IF($U$7=1,AG$7,AG$8),$O$2)/1000000,_xll.IMDP($U56,$V56,IF($U$7=1,AG$7,AG$8),$O$2)),"")</f>
        <v>-4</v>
      </c>
      <c r="AH56" s="22">
        <f ca="1">IFERROR(IF($U$7=2,_xll.IMDP($U56,$V56,IF($U$7=1,AH$7,AH$8),$O$2)/1000000,_xll.IMDP($U56,$V56,IF($U$7=1,AH$7,AH$8),$O$2)),"")</f>
        <v>43</v>
      </c>
      <c r="AI56" s="22">
        <f ca="1">IFERROR(IF($U$7=2,_xll.IMDP($U56,$V56,IF($U$7=1,AI$7,AI$8),$O$2)/1000000,_xll.IMDP($U56,$V56,IF($U$7=1,AI$7,AI$8),$O$2)),"")</f>
        <v>0</v>
      </c>
      <c r="AJ56" s="22">
        <f ca="1">IFERROR(IF($U$7=2,_xll.IMDP($U56,$V56,IF($U$7=1,AJ$7,AJ$8),$O$2)/1000000,_xll.IMDP($U56,$V56,IF($U$7=1,AJ$7,AJ$8),$O$2)),"")</f>
        <v>0</v>
      </c>
      <c r="AK56" s="22">
        <f ca="1">IFERROR(IF($U$7=2,_xll.IMDP($U56,$V56,IF($U$7=1,AK$7,AK$8),$O$2)/1000000,_xll.IMDP($U56,$V56,IF($U$7=1,AK$7,AK$8),$O$2)),"")</f>
        <v>365</v>
      </c>
    </row>
    <row r="57" spans="2:37">
      <c r="B57" s="39"/>
      <c r="C57" s="47" t="s">
        <v>445</v>
      </c>
      <c r="D57" s="60"/>
      <c r="E57" s="53">
        <f t="shared" ca="1" si="2"/>
        <v>16363</v>
      </c>
      <c r="F57" s="31">
        <f t="shared" ca="1" si="3"/>
        <v>-14385</v>
      </c>
      <c r="G57" s="31">
        <f t="shared" ca="1" si="4"/>
        <v>-843</v>
      </c>
      <c r="H57" s="31">
        <f t="shared" ca="1" si="5"/>
        <v>893</v>
      </c>
      <c r="I57" s="31">
        <f t="shared" ca="1" si="6"/>
        <v>0</v>
      </c>
      <c r="J57" s="31">
        <f t="shared" ca="1" si="7"/>
        <v>-1731</v>
      </c>
      <c r="K57" s="31" t="str">
        <f t="shared" ca="1" si="8"/>
        <v/>
      </c>
      <c r="L57" s="31">
        <f t="shared" ca="1" si="9"/>
        <v>1</v>
      </c>
      <c r="M57" s="31">
        <f t="shared" ca="1" si="10"/>
        <v>-6</v>
      </c>
      <c r="N57" s="31">
        <f t="shared" ca="1" si="11"/>
        <v>0</v>
      </c>
      <c r="O57" s="31">
        <f t="shared" ca="1" si="12"/>
        <v>0</v>
      </c>
      <c r="P57" s="37">
        <f t="shared" ca="1" si="13"/>
        <v>-1135</v>
      </c>
      <c r="Q57" s="25"/>
      <c r="R57" s="25"/>
      <c r="S57" s="25"/>
      <c r="U57" t="s">
        <v>68</v>
      </c>
      <c r="V57" s="33" t="s">
        <v>41</v>
      </c>
      <c r="W57" s="7"/>
      <c r="X57" s="8" t="str">
        <f>C57</f>
        <v>KOSPI200 풋</v>
      </c>
      <c r="Y57" s="22"/>
      <c r="Z57" s="22">
        <f ca="1">IFERROR(IF($U$7=2,_xll.IMDP($U57,$V57,IF($U$7=1,Z$7,Z$8),$O$2)/1000000,_xll.IMDP($U57,$V57,IF($U$7=1,Z$7,Z$8),$O$2)),"")</f>
        <v>16363</v>
      </c>
      <c r="AA57" s="22">
        <f ca="1">IFERROR(IF($U$7=2,_xll.IMDP($U57,$V57,IF($U$7=1,AA$7,AA$8),$O$2)/1000000,_xll.IMDP($U57,$V57,IF($U$7=1,AA$7,AA$8),$O$2)),"")</f>
        <v>-14385</v>
      </c>
      <c r="AB57" s="22">
        <f ca="1">IFERROR(IF($U$7=2,_xll.IMDP($U57,$V57,IF($U$7=1,AB$7,AB$8),$O$2)/1000000,_xll.IMDP($U57,$V57,IF($U$7=1,AB$7,AB$8),$O$2)),"")</f>
        <v>-843</v>
      </c>
      <c r="AC57" s="22">
        <f ca="1">IFERROR(IF($U$7=2,_xll.IMDP($U57,$V57,IF($U$7=1,AC$7,AC$8),$O$2)/1000000,_xll.IMDP($U57,$V57,IF($U$7=1,AC$7,AC$8),$O$2)),"")</f>
        <v>893</v>
      </c>
      <c r="AD57" s="22">
        <f ca="1">IFERROR(IF($U$7=2,_xll.IMDP($U57,$V57,IF($U$7=1,AD$7,AD$8),$O$2)/1000000,_xll.IMDP($U57,$V57,IF($U$7=1,AD$7,AD$8),$O$2)),"")</f>
        <v>0</v>
      </c>
      <c r="AE57" s="22">
        <f ca="1">IFERROR(IF($U$7=2,_xll.IMDP($U57,$V57,IF($U$7=1,AE$7,AE$8),$O$2)/1000000,_xll.IMDP($U57,$V57,IF($U$7=1,AE$7,AE$8),$O$2)),"")</f>
        <v>-1731</v>
      </c>
      <c r="AF57" s="22" t="str">
        <f ca="1">IFERROR(IF($U$7=2,_xll.IMDP($U57,$V57,IF($U$7=1,AF$7,AF$8),$O$2)/1000000,_xll.IMDP($U57,$V57,IF($U$7=1,AF$7,AF$8),$O$2)),"")</f>
        <v/>
      </c>
      <c r="AG57" s="22">
        <f ca="1">IFERROR(IF($U$7=2,_xll.IMDP($U57,$V57,IF($U$7=1,AG$7,AG$8),$O$2)/1000000,_xll.IMDP($U57,$V57,IF($U$7=1,AG$7,AG$8),$O$2)),"")</f>
        <v>1</v>
      </c>
      <c r="AH57" s="22">
        <f ca="1">IFERROR(IF($U$7=2,_xll.IMDP($U57,$V57,IF($U$7=1,AH$7,AH$8),$O$2)/1000000,_xll.IMDP($U57,$V57,IF($U$7=1,AH$7,AH$8),$O$2)),"")</f>
        <v>-6</v>
      </c>
      <c r="AI57" s="22">
        <f ca="1">IFERROR(IF($U$7=2,_xll.IMDP($U57,$V57,IF($U$7=1,AI$7,AI$8),$O$2)/1000000,_xll.IMDP($U57,$V57,IF($U$7=1,AI$7,AI$8),$O$2)),"")</f>
        <v>0</v>
      </c>
      <c r="AJ57" s="22">
        <f ca="1">IFERROR(IF($U$7=2,_xll.IMDP($U57,$V57,IF($U$7=1,AJ$7,AJ$8),$O$2)/1000000,_xll.IMDP($U57,$V57,IF($U$7=1,AJ$7,AJ$8),$O$2)),"")</f>
        <v>0</v>
      </c>
      <c r="AK57" s="22">
        <f ca="1">IFERROR(IF($U$7=2,_xll.IMDP($U57,$V57,IF($U$7=1,AK$7,AK$8),$O$2)/1000000,_xll.IMDP($U57,$V57,IF($U$7=1,AK$7,AK$8),$O$2)),"")</f>
        <v>-1135</v>
      </c>
    </row>
    <row r="58" spans="2:37">
      <c r="B58" s="39"/>
      <c r="C58" s="47" t="s">
        <v>446</v>
      </c>
      <c r="D58" s="60"/>
      <c r="E58" s="53">
        <f t="shared" ca="1" si="2"/>
        <v>207</v>
      </c>
      <c r="F58" s="31">
        <f t="shared" ca="1" si="3"/>
        <v>223</v>
      </c>
      <c r="G58" s="31">
        <f t="shared" ca="1" si="4"/>
        <v>-558</v>
      </c>
      <c r="H58" s="31">
        <f t="shared" ca="1" si="5"/>
        <v>-558</v>
      </c>
      <c r="I58" s="31">
        <f t="shared" ca="1" si="6"/>
        <v>0</v>
      </c>
      <c r="J58" s="31">
        <f t="shared" ca="1" si="7"/>
        <v>0</v>
      </c>
      <c r="K58" s="31" t="str">
        <f t="shared" ca="1" si="8"/>
        <v/>
      </c>
      <c r="L58" s="31">
        <f t="shared" ca="1" si="9"/>
        <v>0</v>
      </c>
      <c r="M58" s="31">
        <f t="shared" ca="1" si="10"/>
        <v>0</v>
      </c>
      <c r="N58" s="31">
        <f t="shared" ca="1" si="11"/>
        <v>0</v>
      </c>
      <c r="O58" s="31">
        <f t="shared" ca="1" si="12"/>
        <v>0</v>
      </c>
      <c r="P58" s="37">
        <f t="shared" ca="1" si="13"/>
        <v>128</v>
      </c>
      <c r="Q58" s="25"/>
      <c r="R58" s="25"/>
      <c r="S58" s="25"/>
      <c r="U58" t="s">
        <v>68</v>
      </c>
      <c r="V58" s="33" t="s">
        <v>42</v>
      </c>
      <c r="W58" s="7"/>
      <c r="X58" s="8" t="str">
        <f>C58</f>
        <v>MINI-K200 콜</v>
      </c>
      <c r="Y58" s="22"/>
      <c r="Z58" s="22">
        <f ca="1">IFERROR(IF($U$7=2,_xll.IMDP($U58,$V58,IF($U$7=1,Z$7,Z$8),$O$2)/1000000,_xll.IMDP($U58,$V58,IF($U$7=1,Z$7,Z$8),$O$2)),"")</f>
        <v>207</v>
      </c>
      <c r="AA58" s="22">
        <f ca="1">IFERROR(IF($U$7=2,_xll.IMDP($U58,$V58,IF($U$7=1,AA$7,AA$8),$O$2)/1000000,_xll.IMDP($U58,$V58,IF($U$7=1,AA$7,AA$8),$O$2)),"")</f>
        <v>223</v>
      </c>
      <c r="AB58" s="22">
        <f ca="1">IFERROR(IF($U$7=2,_xll.IMDP($U58,$V58,IF($U$7=1,AB$7,AB$8),$O$2)/1000000,_xll.IMDP($U58,$V58,IF($U$7=1,AB$7,AB$8),$O$2)),"")</f>
        <v>-558</v>
      </c>
      <c r="AC58" s="22">
        <f ca="1">IFERROR(IF($U$7=2,_xll.IMDP($U58,$V58,IF($U$7=1,AC$7,AC$8),$O$2)/1000000,_xll.IMDP($U58,$V58,IF($U$7=1,AC$7,AC$8),$O$2)),"")</f>
        <v>-558</v>
      </c>
      <c r="AD58" s="22">
        <f ca="1">IFERROR(IF($U$7=2,_xll.IMDP($U58,$V58,IF($U$7=1,AD$7,AD$8),$O$2)/1000000,_xll.IMDP($U58,$V58,IF($U$7=1,AD$7,AD$8),$O$2)),"")</f>
        <v>0</v>
      </c>
      <c r="AE58" s="22">
        <f ca="1">IFERROR(IF($U$7=2,_xll.IMDP($U58,$V58,IF($U$7=1,AE$7,AE$8),$O$2)/1000000,_xll.IMDP($U58,$V58,IF($U$7=1,AE$7,AE$8),$O$2)),"")</f>
        <v>0</v>
      </c>
      <c r="AF58" s="22" t="str">
        <f ca="1">IFERROR(IF($U$7=2,_xll.IMDP($U58,$V58,IF($U$7=1,AF$7,AF$8),$O$2)/1000000,_xll.IMDP($U58,$V58,IF($U$7=1,AF$7,AF$8),$O$2)),"")</f>
        <v/>
      </c>
      <c r="AG58" s="22">
        <f ca="1">IFERROR(IF($U$7=2,_xll.IMDP($U58,$V58,IF($U$7=1,AG$7,AG$8),$O$2)/1000000,_xll.IMDP($U58,$V58,IF($U$7=1,AG$7,AG$8),$O$2)),"")</f>
        <v>0</v>
      </c>
      <c r="AH58" s="22">
        <f ca="1">IFERROR(IF($U$7=2,_xll.IMDP($U58,$V58,IF($U$7=1,AH$7,AH$8),$O$2)/1000000,_xll.IMDP($U58,$V58,IF($U$7=1,AH$7,AH$8),$O$2)),"")</f>
        <v>0</v>
      </c>
      <c r="AI58" s="22">
        <f ca="1">IFERROR(IF($U$7=2,_xll.IMDP($U58,$V58,IF($U$7=1,AI$7,AI$8),$O$2)/1000000,_xll.IMDP($U58,$V58,IF($U$7=1,AI$7,AI$8),$O$2)),"")</f>
        <v>0</v>
      </c>
      <c r="AJ58" s="22">
        <f ca="1">IFERROR(IF($U$7=2,_xll.IMDP($U58,$V58,IF($U$7=1,AJ$7,AJ$8),$O$2)/1000000,_xll.IMDP($U58,$V58,IF($U$7=1,AJ$7,AJ$8),$O$2)),"")</f>
        <v>0</v>
      </c>
      <c r="AK58" s="22">
        <f ca="1">IFERROR(IF($U$7=2,_xll.IMDP($U58,$V58,IF($U$7=1,AK$7,AK$8),$O$2)/1000000,_xll.IMDP($U58,$V58,IF($U$7=1,AK$7,AK$8),$O$2)),"")</f>
        <v>128</v>
      </c>
    </row>
    <row r="59" spans="2:37">
      <c r="B59" s="39"/>
      <c r="C59" s="47" t="s">
        <v>447</v>
      </c>
      <c r="D59" s="60"/>
      <c r="E59" s="53">
        <f t="shared" ca="1" si="2"/>
        <v>402</v>
      </c>
      <c r="F59" s="31">
        <f t="shared" ca="1" si="3"/>
        <v>-646</v>
      </c>
      <c r="G59" s="31">
        <f t="shared" ca="1" si="4"/>
        <v>241</v>
      </c>
      <c r="H59" s="31">
        <f t="shared" ca="1" si="5"/>
        <v>241</v>
      </c>
      <c r="I59" s="31">
        <f t="shared" ca="1" si="6"/>
        <v>0</v>
      </c>
      <c r="J59" s="31">
        <f t="shared" ca="1" si="7"/>
        <v>0</v>
      </c>
      <c r="K59" s="31" t="str">
        <f t="shared" ca="1" si="8"/>
        <v/>
      </c>
      <c r="L59" s="31">
        <f t="shared" ca="1" si="9"/>
        <v>0</v>
      </c>
      <c r="M59" s="31">
        <f t="shared" ca="1" si="10"/>
        <v>0</v>
      </c>
      <c r="N59" s="31">
        <f t="shared" ca="1" si="11"/>
        <v>0</v>
      </c>
      <c r="O59" s="31">
        <f t="shared" ca="1" si="12"/>
        <v>0</v>
      </c>
      <c r="P59" s="37">
        <f t="shared" ca="1" si="13"/>
        <v>3</v>
      </c>
      <c r="Q59" s="25"/>
      <c r="R59" s="25"/>
      <c r="S59" s="25"/>
      <c r="U59" t="s">
        <v>68</v>
      </c>
      <c r="V59" s="33" t="s">
        <v>43</v>
      </c>
      <c r="W59" s="7"/>
      <c r="X59" s="8" t="str">
        <f>C59</f>
        <v>MINI-K200 풋</v>
      </c>
      <c r="Y59" s="22"/>
      <c r="Z59" s="22">
        <f ca="1">IFERROR(IF($U$7=2,_xll.IMDP($U59,$V59,IF($U$7=1,Z$7,Z$8),$O$2)/1000000,_xll.IMDP($U59,$V59,IF($U$7=1,Z$7,Z$8),$O$2)),"")</f>
        <v>402</v>
      </c>
      <c r="AA59" s="22">
        <f ca="1">IFERROR(IF($U$7=2,_xll.IMDP($U59,$V59,IF($U$7=1,AA$7,AA$8),$O$2)/1000000,_xll.IMDP($U59,$V59,IF($U$7=1,AA$7,AA$8),$O$2)),"")</f>
        <v>-646</v>
      </c>
      <c r="AB59" s="22">
        <f ca="1">IFERROR(IF($U$7=2,_xll.IMDP($U59,$V59,IF($U$7=1,AB$7,AB$8),$O$2)/1000000,_xll.IMDP($U59,$V59,IF($U$7=1,AB$7,AB$8),$O$2)),"")</f>
        <v>241</v>
      </c>
      <c r="AC59" s="22">
        <f ca="1">IFERROR(IF($U$7=2,_xll.IMDP($U59,$V59,IF($U$7=1,AC$7,AC$8),$O$2)/1000000,_xll.IMDP($U59,$V59,IF($U$7=1,AC$7,AC$8),$O$2)),"")</f>
        <v>241</v>
      </c>
      <c r="AD59" s="22">
        <f ca="1">IFERROR(IF($U$7=2,_xll.IMDP($U59,$V59,IF($U$7=1,AD$7,AD$8),$O$2)/1000000,_xll.IMDP($U59,$V59,IF($U$7=1,AD$7,AD$8),$O$2)),"")</f>
        <v>0</v>
      </c>
      <c r="AE59" s="22">
        <f ca="1">IFERROR(IF($U$7=2,_xll.IMDP($U59,$V59,IF($U$7=1,AE$7,AE$8),$O$2)/1000000,_xll.IMDP($U59,$V59,IF($U$7=1,AE$7,AE$8),$O$2)),"")</f>
        <v>0</v>
      </c>
      <c r="AF59" s="22" t="str">
        <f ca="1">IFERROR(IF($U$7=2,_xll.IMDP($U59,$V59,IF($U$7=1,AF$7,AF$8),$O$2)/1000000,_xll.IMDP($U59,$V59,IF($U$7=1,AF$7,AF$8),$O$2)),"")</f>
        <v/>
      </c>
      <c r="AG59" s="22">
        <f ca="1">IFERROR(IF($U$7=2,_xll.IMDP($U59,$V59,IF($U$7=1,AG$7,AG$8),$O$2)/1000000,_xll.IMDP($U59,$V59,IF($U$7=1,AG$7,AG$8),$O$2)),"")</f>
        <v>0</v>
      </c>
      <c r="AH59" s="22">
        <f ca="1">IFERROR(IF($U$7=2,_xll.IMDP($U59,$V59,IF($U$7=1,AH$7,AH$8),$O$2)/1000000,_xll.IMDP($U59,$V59,IF($U$7=1,AH$7,AH$8),$O$2)),"")</f>
        <v>0</v>
      </c>
      <c r="AI59" s="22">
        <f ca="1">IFERROR(IF($U$7=2,_xll.IMDP($U59,$V59,IF($U$7=1,AI$7,AI$8),$O$2)/1000000,_xll.IMDP($U59,$V59,IF($U$7=1,AI$7,AI$8),$O$2)),"")</f>
        <v>0</v>
      </c>
      <c r="AJ59" s="22">
        <f ca="1">IFERROR(IF($U$7=2,_xll.IMDP($U59,$V59,IF($U$7=1,AJ$7,AJ$8),$O$2)/1000000,_xll.IMDP($U59,$V59,IF($U$7=1,AJ$7,AJ$8),$O$2)),"")</f>
        <v>0</v>
      </c>
      <c r="AK59" s="22">
        <f ca="1">IFERROR(IF($U$7=2,_xll.IMDP($U59,$V59,IF($U$7=1,AK$7,AK$8),$O$2)/1000000,_xll.IMDP($U59,$V59,IF($U$7=1,AK$7,AK$8),$O$2)),"")</f>
        <v>3</v>
      </c>
    </row>
    <row r="60" spans="2:37" ht="13.5" thickBot="1">
      <c r="B60" s="41" t="s">
        <v>448</v>
      </c>
      <c r="C60" s="49"/>
      <c r="D60" s="59"/>
      <c r="E60" s="54">
        <f t="shared" ca="1" si="2"/>
        <v>8698</v>
      </c>
      <c r="F60" s="32">
        <f t="shared" ca="1" si="3"/>
        <v>19647</v>
      </c>
      <c r="G60" s="32">
        <f t="shared" ca="1" si="4"/>
        <v>-26670</v>
      </c>
      <c r="H60" s="32">
        <f t="shared" ca="1" si="5"/>
        <v>-26340</v>
      </c>
      <c r="I60" s="32">
        <f t="shared" ca="1" si="6"/>
        <v>-472</v>
      </c>
      <c r="J60" s="32">
        <f t="shared" ca="1" si="7"/>
        <v>382</v>
      </c>
      <c r="K60" s="32">
        <f t="shared" ca="1" si="8"/>
        <v>569</v>
      </c>
      <c r="L60" s="32">
        <f t="shared" ca="1" si="9"/>
        <v>2063</v>
      </c>
      <c r="M60" s="32">
        <f t="shared" ca="1" si="10"/>
        <v>18</v>
      </c>
      <c r="N60" s="32">
        <f t="shared" ca="1" si="11"/>
        <v>-2890</v>
      </c>
      <c r="O60" s="32">
        <f t="shared" ca="1" si="12"/>
        <v>0</v>
      </c>
      <c r="P60" s="38">
        <f t="shared" ca="1" si="13"/>
        <v>-1674</v>
      </c>
      <c r="Q60" s="25"/>
      <c r="R60" s="25"/>
      <c r="S60" s="25"/>
      <c r="V60" s="33"/>
      <c r="W60" s="16" t="str">
        <f>B60</f>
        <v>ELW/ETF/ETN(원)</v>
      </c>
      <c r="X60" s="17"/>
      <c r="Y60" s="23"/>
      <c r="Z60" s="23">
        <f ca="1">IFERROR(SUM(Z61:Z63),"")</f>
        <v>8698</v>
      </c>
      <c r="AA60" s="23">
        <f t="shared" ref="AA60:AK60" ca="1" si="23">IFERROR(SUM(AA61:AA63),"")</f>
        <v>19647</v>
      </c>
      <c r="AB60" s="23">
        <f t="shared" ca="1" si="23"/>
        <v>-26670</v>
      </c>
      <c r="AC60" s="23">
        <f t="shared" ca="1" si="23"/>
        <v>-26340</v>
      </c>
      <c r="AD60" s="23">
        <f t="shared" ca="1" si="23"/>
        <v>-472</v>
      </c>
      <c r="AE60" s="23">
        <f t="shared" ca="1" si="23"/>
        <v>382</v>
      </c>
      <c r="AF60" s="23">
        <f t="shared" ca="1" si="23"/>
        <v>569</v>
      </c>
      <c r="AG60" s="23">
        <f t="shared" ca="1" si="23"/>
        <v>2063</v>
      </c>
      <c r="AH60" s="23">
        <f t="shared" ca="1" si="23"/>
        <v>18</v>
      </c>
      <c r="AI60" s="23">
        <f t="shared" ca="1" si="23"/>
        <v>-2890</v>
      </c>
      <c r="AJ60" s="23">
        <f t="shared" ca="1" si="23"/>
        <v>0</v>
      </c>
      <c r="AK60" s="23">
        <f t="shared" ca="1" si="23"/>
        <v>-1674</v>
      </c>
    </row>
    <row r="61" spans="2:37">
      <c r="B61" s="42"/>
      <c r="C61" s="50" t="s">
        <v>449</v>
      </c>
      <c r="D61" s="60"/>
      <c r="E61" s="53">
        <f t="shared" ca="1" si="2"/>
        <v>-3030</v>
      </c>
      <c r="F61" s="31">
        <f t="shared" ca="1" si="3"/>
        <v>16989</v>
      </c>
      <c r="G61" s="31">
        <f t="shared" ca="1" si="4"/>
        <v>-13859</v>
      </c>
      <c r="H61" s="31">
        <f t="shared" ca="1" si="5"/>
        <v>-13859</v>
      </c>
      <c r="I61" s="31">
        <f t="shared" ca="1" si="6"/>
        <v>0</v>
      </c>
      <c r="J61" s="31">
        <f t="shared" ca="1" si="7"/>
        <v>0</v>
      </c>
      <c r="K61" s="31">
        <f t="shared" ca="1" si="8"/>
        <v>0</v>
      </c>
      <c r="L61" s="31">
        <f t="shared" ca="1" si="9"/>
        <v>0</v>
      </c>
      <c r="M61" s="31">
        <f t="shared" ca="1" si="10"/>
        <v>0</v>
      </c>
      <c r="N61" s="31">
        <f t="shared" ca="1" si="11"/>
        <v>0</v>
      </c>
      <c r="O61" s="31">
        <f t="shared" ca="1" si="12"/>
        <v>0</v>
      </c>
      <c r="P61" s="37">
        <f t="shared" ca="1" si="13"/>
        <v>-101</v>
      </c>
      <c r="Q61" s="25"/>
      <c r="R61" s="25"/>
      <c r="S61" s="25"/>
      <c r="U61" t="s">
        <v>71</v>
      </c>
      <c r="V61" t="s">
        <v>18</v>
      </c>
      <c r="W61" s="9"/>
      <c r="X61" s="10" t="str">
        <f>C61</f>
        <v>ELW</v>
      </c>
      <c r="Y61" s="22"/>
      <c r="Z61" s="22">
        <f ca="1">IFERROR(IF($U$7=2,_xll.IMDP($U61,$V61,IF($U$7=1,Z$7,Z$8),$O$2),_xll.IMDP($U61,$V61,IF($U$7=1,Z$7,Z$8),$O$2)),"")</f>
        <v>-3030</v>
      </c>
      <c r="AA61" s="22">
        <f ca="1">IFERROR(IF($U$7=2,_xll.IMDP($U61,$V61,IF($U$7=1,AA$7,AA$8),$O$2),_xll.IMDP($U61,$V61,IF($U$7=1,AA$7,AA$8),$O$2)),"")</f>
        <v>16989</v>
      </c>
      <c r="AB61" s="22">
        <f ca="1">IFERROR(IF($U$7=2,_xll.IMDP($U61,$V61,IF($U$7=1,AB$7,AB$8),$O$2),_xll.IMDP($U61,$V61,IF($U$7=1,AB$7,AB$8),$O$2)),"")</f>
        <v>-13859</v>
      </c>
      <c r="AC61" s="22">
        <f ca="1">IFERROR(IF($U$7=2,_xll.IMDP($U61,$V61,IF($U$7=1,AC$7,AC$8),$O$2),_xll.IMDP($U61,$V61,IF($U$7=1,AC$7,AC$8),$O$2)),"")</f>
        <v>-13859</v>
      </c>
      <c r="AD61" s="22">
        <f ca="1">IFERROR(IF($U$7=2,_xll.IMDP($U61,$V61,IF($U$7=1,AD$7,AD$8),$O$2),_xll.IMDP($U61,$V61,IF($U$7=1,AD$7,AD$8),$O$2)),"")</f>
        <v>0</v>
      </c>
      <c r="AE61" s="22">
        <f ca="1">IFERROR(IF($U$7=2,_xll.IMDP($U61,$V61,IF($U$7=1,AE$7,AE$8),$O$2),_xll.IMDP($U61,$V61,IF($U$7=1,AE$7,AE$8),$O$2)),"")</f>
        <v>0</v>
      </c>
      <c r="AF61" s="22">
        <f ca="1">IFERROR(IF($U$7=2,_xll.IMDP($U61,$V61,IF($U$7=1,AF$7,AF$8),$O$2),_xll.IMDP($U61,$V61,IF($U$7=1,AF$7,AF$8),$O$2)),"")</f>
        <v>0</v>
      </c>
      <c r="AG61" s="22">
        <f ca="1">IFERROR(IF($U$7=2,_xll.IMDP($U61,$V61,IF($U$7=1,AG$7,AG$8),$O$2),_xll.IMDP($U61,$V61,IF($U$7=1,AG$7,AG$8),$O$2)),"")</f>
        <v>0</v>
      </c>
      <c r="AH61" s="22">
        <f ca="1">IFERROR(IF($U$7=2,_xll.IMDP($U61,$V61,IF($U$7=1,AH$7,AH$8),$O$2),_xll.IMDP($U61,$V61,IF($U$7=1,AH$7,AH$8),$O$2)),"")</f>
        <v>0</v>
      </c>
      <c r="AI61" s="22">
        <f ca="1">IFERROR(IF($U$7=2,_xll.IMDP($U61,$V61,IF($U$7=1,AI$7,AI$8),$O$2),_xll.IMDP($U61,$V61,IF($U$7=1,AI$7,AI$8),$O$2)),"")</f>
        <v>0</v>
      </c>
      <c r="AJ61" s="22">
        <f ca="1">IFERROR(IF($U$7=2,_xll.IMDP($U61,$V61,IF($U$7=1,AJ$7,AJ$8),$O$2),_xll.IMDP($U61,$V61,IF($U$7=1,AJ$7,AJ$8),$O$2)),"")</f>
        <v>0</v>
      </c>
      <c r="AK61" s="22">
        <f ca="1">IFERROR(IF($U$7=2,_xll.IMDP($U61,$V61,IF($U$7=1,AK$7,AK$8),$O$2),_xll.IMDP($U61,$V61,IF($U$7=1,AK$7,AK$8),$O$2)),"")</f>
        <v>-101</v>
      </c>
    </row>
    <row r="62" spans="2:37">
      <c r="B62" s="39"/>
      <c r="C62" s="47" t="s">
        <v>450</v>
      </c>
      <c r="D62" s="60"/>
      <c r="E62" s="53">
        <f t="shared" ca="1" si="2"/>
        <v>11631</v>
      </c>
      <c r="F62" s="31">
        <f t="shared" ca="1" si="3"/>
        <v>-11020</v>
      </c>
      <c r="G62" s="31">
        <f t="shared" ca="1" si="4"/>
        <v>942</v>
      </c>
      <c r="H62" s="31">
        <f t="shared" ca="1" si="5"/>
        <v>1316</v>
      </c>
      <c r="I62" s="31">
        <f t="shared" ca="1" si="6"/>
        <v>-472</v>
      </c>
      <c r="J62" s="31">
        <f t="shared" ca="1" si="7"/>
        <v>381</v>
      </c>
      <c r="K62" s="31">
        <f t="shared" ca="1" si="8"/>
        <v>526</v>
      </c>
      <c r="L62" s="31">
        <f t="shared" ca="1" si="9"/>
        <v>2063</v>
      </c>
      <c r="M62" s="31">
        <f t="shared" ca="1" si="10"/>
        <v>18</v>
      </c>
      <c r="N62" s="31">
        <f t="shared" ca="1" si="11"/>
        <v>-2890</v>
      </c>
      <c r="O62" s="31">
        <f t="shared" ca="1" si="12"/>
        <v>0</v>
      </c>
      <c r="P62" s="37">
        <f t="shared" ca="1" si="13"/>
        <v>-1552</v>
      </c>
      <c r="Q62" s="25"/>
      <c r="R62" s="25"/>
      <c r="S62" s="25"/>
      <c r="U62" t="s">
        <v>71</v>
      </c>
      <c r="V62" t="s">
        <v>19</v>
      </c>
      <c r="W62" s="11"/>
      <c r="X62" s="8" t="str">
        <f>C62</f>
        <v>ETF</v>
      </c>
      <c r="Y62" s="22"/>
      <c r="Z62" s="22">
        <f ca="1">IFERROR(IF($U$7=2,_xll.IMDP($U62,$V62,IF($U$7=1,Z$7,Z$8),$O$2),_xll.IMDP($U62,$V62,IF($U$7=1,Z$7,Z$8),$O$2)),"")</f>
        <v>11631</v>
      </c>
      <c r="AA62" s="22">
        <f ca="1">IFERROR(IF($U$7=2,_xll.IMDP($U62,$V62,IF($U$7=1,AA$7,AA$8),$O$2),_xll.IMDP($U62,$V62,IF($U$7=1,AA$7,AA$8),$O$2)),"")</f>
        <v>-11020</v>
      </c>
      <c r="AB62" s="22">
        <f ca="1">IFERROR(IF($U$7=2,_xll.IMDP($U62,$V62,IF($U$7=1,AB$7,AB$8),$O$2),_xll.IMDP($U62,$V62,IF($U$7=1,AB$7,AB$8),$O$2)),"")</f>
        <v>942</v>
      </c>
      <c r="AC62" s="22">
        <f ca="1">IFERROR(IF($U$7=2,_xll.IMDP($U62,$V62,IF($U$7=1,AC$7,AC$8),$O$2),_xll.IMDP($U62,$V62,IF($U$7=1,AC$7,AC$8),$O$2)),"")</f>
        <v>1316</v>
      </c>
      <c r="AD62" s="22">
        <f ca="1">IFERROR(IF($U$7=2,_xll.IMDP($U62,$V62,IF($U$7=1,AD$7,AD$8),$O$2),_xll.IMDP($U62,$V62,IF($U$7=1,AD$7,AD$8),$O$2)),"")</f>
        <v>-472</v>
      </c>
      <c r="AE62" s="22">
        <f ca="1">IFERROR(IF($U$7=2,_xll.IMDP($U62,$V62,IF($U$7=1,AE$7,AE$8),$O$2),_xll.IMDP($U62,$V62,IF($U$7=1,AE$7,AE$8),$O$2)),"")</f>
        <v>381</v>
      </c>
      <c r="AF62" s="22">
        <f ca="1">IFERROR(IF($U$7=2,_xll.IMDP($U62,$V62,IF($U$7=1,AF$7,AF$8),$O$2),_xll.IMDP($U62,$V62,IF($U$7=1,AF$7,AF$8),$O$2)),"")</f>
        <v>526</v>
      </c>
      <c r="AG62" s="22">
        <f ca="1">IFERROR(IF($U$7=2,_xll.IMDP($U62,$V62,IF($U$7=1,AG$7,AG$8),$O$2),_xll.IMDP($U62,$V62,IF($U$7=1,AG$7,AG$8),$O$2)),"")</f>
        <v>2063</v>
      </c>
      <c r="AH62" s="22">
        <f ca="1">IFERROR(IF($U$7=2,_xll.IMDP($U62,$V62,IF($U$7=1,AH$7,AH$8),$O$2),_xll.IMDP($U62,$V62,IF($U$7=1,AH$7,AH$8),$O$2)),"")</f>
        <v>18</v>
      </c>
      <c r="AI62" s="22">
        <f ca="1">IFERROR(IF($U$7=2,_xll.IMDP($U62,$V62,IF($U$7=1,AI$7,AI$8),$O$2),_xll.IMDP($U62,$V62,IF($U$7=1,AI$7,AI$8),$O$2)),"")</f>
        <v>-2890</v>
      </c>
      <c r="AJ62" s="22">
        <f ca="1">IFERROR(IF($U$7=2,_xll.IMDP($U62,$V62,IF($U$7=1,AJ$7,AJ$8),$O$2),_xll.IMDP($U62,$V62,IF($U$7=1,AJ$7,AJ$8),$O$2)),"")</f>
        <v>0</v>
      </c>
      <c r="AK62" s="22">
        <f ca="1">IFERROR(IF($U$7=2,_xll.IMDP($U62,$V62,IF($U$7=1,AK$7,AK$8),$O$2),_xll.IMDP($U62,$V62,IF($U$7=1,AK$7,AK$8),$O$2)),"")</f>
        <v>-1552</v>
      </c>
    </row>
    <row r="63" spans="2:37" ht="13.5" thickBot="1">
      <c r="B63" s="43"/>
      <c r="C63" s="51" t="s">
        <v>451</v>
      </c>
      <c r="D63" s="61"/>
      <c r="E63" s="55">
        <f t="shared" ca="1" si="2"/>
        <v>97</v>
      </c>
      <c r="F63" s="44">
        <f t="shared" ca="1" si="3"/>
        <v>13678</v>
      </c>
      <c r="G63" s="44">
        <f t="shared" ca="1" si="4"/>
        <v>-13753</v>
      </c>
      <c r="H63" s="44">
        <f t="shared" ca="1" si="5"/>
        <v>-13797</v>
      </c>
      <c r="I63" s="44">
        <f t="shared" ca="1" si="6"/>
        <v>0</v>
      </c>
      <c r="J63" s="44">
        <f t="shared" ca="1" si="7"/>
        <v>1</v>
      </c>
      <c r="K63" s="44">
        <f t="shared" ca="1" si="8"/>
        <v>43</v>
      </c>
      <c r="L63" s="44">
        <f t="shared" ca="1" si="9"/>
        <v>0</v>
      </c>
      <c r="M63" s="44">
        <f t="shared" ca="1" si="10"/>
        <v>0</v>
      </c>
      <c r="N63" s="44">
        <f t="shared" ca="1" si="11"/>
        <v>0</v>
      </c>
      <c r="O63" s="44">
        <f t="shared" ca="1" si="12"/>
        <v>0</v>
      </c>
      <c r="P63" s="45">
        <f t="shared" ca="1" si="13"/>
        <v>-21</v>
      </c>
      <c r="Q63" s="25"/>
      <c r="R63" s="25"/>
      <c r="S63" s="25"/>
      <c r="U63" t="s">
        <v>71</v>
      </c>
      <c r="V63" t="s">
        <v>20</v>
      </c>
      <c r="W63" s="11"/>
      <c r="X63" s="8" t="str">
        <f>C63</f>
        <v>ETN</v>
      </c>
      <c r="Y63" s="22"/>
      <c r="Z63" s="22">
        <f ca="1">IFERROR(IF($U$7=2,_xll.IMDP($U63,$V63,IF($U$7=1,Z$7,Z$8),$O$2),_xll.IMDP($U63,$V63,IF($U$7=1,Z$7,Z$8),$O$2)),"")</f>
        <v>97</v>
      </c>
      <c r="AA63" s="22">
        <f ca="1">IFERROR(IF($U$7=2,_xll.IMDP($U63,$V63,IF($U$7=1,AA$7,AA$8),$O$2),_xll.IMDP($U63,$V63,IF($U$7=1,AA$7,AA$8),$O$2)),"")</f>
        <v>13678</v>
      </c>
      <c r="AB63" s="22">
        <f ca="1">IFERROR(IF($U$7=2,_xll.IMDP($U63,$V63,IF($U$7=1,AB$7,AB$8),$O$2),_xll.IMDP($U63,$V63,IF($U$7=1,AB$7,AB$8),$O$2)),"")</f>
        <v>-13753</v>
      </c>
      <c r="AC63" s="22">
        <f ca="1">IFERROR(IF($U$7=2,_xll.IMDP($U63,$V63,IF($U$7=1,AC$7,AC$8),$O$2),_xll.IMDP($U63,$V63,IF($U$7=1,AC$7,AC$8),$O$2)),"")</f>
        <v>-13797</v>
      </c>
      <c r="AD63" s="22">
        <f ca="1">IFERROR(IF($U$7=2,_xll.IMDP($U63,$V63,IF($U$7=1,AD$7,AD$8),$O$2),_xll.IMDP($U63,$V63,IF($U$7=1,AD$7,AD$8),$O$2)),"")</f>
        <v>0</v>
      </c>
      <c r="AE63" s="22">
        <f ca="1">IFERROR(IF($U$7=2,_xll.IMDP($U63,$V63,IF($U$7=1,AE$7,AE$8),$O$2),_xll.IMDP($U63,$V63,IF($U$7=1,AE$7,AE$8),$O$2)),"")</f>
        <v>1</v>
      </c>
      <c r="AF63" s="22">
        <f ca="1">IFERROR(IF($U$7=2,_xll.IMDP($U63,$V63,IF($U$7=1,AF$7,AF$8),$O$2),_xll.IMDP($U63,$V63,IF($U$7=1,AF$7,AF$8),$O$2)),"")</f>
        <v>43</v>
      </c>
      <c r="AG63" s="22">
        <f ca="1">IFERROR(IF($U$7=2,_xll.IMDP($U63,$V63,IF($U$7=1,AG$7,AG$8),$O$2),_xll.IMDP($U63,$V63,IF($U$7=1,AG$7,AG$8),$O$2)),"")</f>
        <v>0</v>
      </c>
      <c r="AH63" s="22">
        <f ca="1">IFERROR(IF($U$7=2,_xll.IMDP($U63,$V63,IF($U$7=1,AH$7,AH$8),$O$2),_xll.IMDP($U63,$V63,IF($U$7=1,AH$7,AH$8),$O$2)),"")</f>
        <v>0</v>
      </c>
      <c r="AI63" s="22">
        <f ca="1">IFERROR(IF($U$7=2,_xll.IMDP($U63,$V63,IF($U$7=1,AI$7,AI$8),$O$2),_xll.IMDP($U63,$V63,IF($U$7=1,AI$7,AI$8),$O$2)),"")</f>
        <v>0</v>
      </c>
      <c r="AJ63" s="22">
        <f ca="1">IFERROR(IF($U$7=2,_xll.IMDP($U63,$V63,IF($U$7=1,AJ$7,AJ$8),$O$2),_xll.IMDP($U63,$V63,IF($U$7=1,AJ$7,AJ$8),$O$2)),"")</f>
        <v>0</v>
      </c>
      <c r="AK63" s="22">
        <f ca="1">IFERROR(IF($U$7=2,_xll.IMDP($U63,$V63,IF($U$7=1,AK$7,AK$8),$O$2),_xll.IMDP($U63,$V63,IF($U$7=1,AK$7,AK$8),$O$2)),"")</f>
        <v>-21</v>
      </c>
    </row>
    <row r="64" spans="2:37">
      <c r="Q64" s="25"/>
      <c r="R64" s="25"/>
      <c r="S64" s="25"/>
    </row>
    <row r="72" spans="32:32" hidden="1">
      <c r="AF72">
        <v>0</v>
      </c>
    </row>
  </sheetData>
  <mergeCells count="2">
    <mergeCell ref="W9:X9"/>
    <mergeCell ref="B9:C9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defaultSize="0" autoLine="0" autoPict="0">
                <anchor moveWithCells="1">
                  <from>
                    <xdr:col>0</xdr:col>
                    <xdr:colOff>95250</xdr:colOff>
                    <xdr:row>4</xdr:row>
                    <xdr:rowOff>0</xdr:rowOff>
                  </from>
                  <to>
                    <xdr:col>2</xdr:col>
                    <xdr:colOff>1028700</xdr:colOff>
                    <xdr:row>8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M600"/>
  <sheetViews>
    <sheetView showGridLines="0" showRowColHeaders="0" workbookViewId="0"/>
  </sheetViews>
  <sheetFormatPr defaultColWidth="0" defaultRowHeight="12.75" zeroHeight="1"/>
  <cols>
    <col min="1" max="1" width="1.5703125" customWidth="1"/>
    <col min="2" max="2" width="13.28515625" hidden="1" customWidth="1"/>
    <col min="3" max="3" width="12.7109375" hidden="1" customWidth="1"/>
    <col min="4" max="5" width="9.140625" hidden="1" customWidth="1"/>
    <col min="6" max="6" width="11.42578125" style="18" customWidth="1"/>
    <col min="7" max="18" width="14.7109375" style="18" customWidth="1"/>
    <col min="19" max="19" width="9.140625" style="18" customWidth="1"/>
    <col min="20" max="20" width="9.140625" hidden="1"/>
    <col min="21" max="21" width="12.28515625" hidden="1"/>
    <col min="22" max="33" width="13.7109375" hidden="1"/>
    <col min="34" max="34" width="9.140625" hidden="1"/>
    <col min="35" max="35" width="15" hidden="1"/>
    <col min="36" max="58" width="9.140625" hidden="1"/>
    <col min="59" max="59" width="12.5703125" hidden="1"/>
    <col min="60" max="60" width="9.140625" hidden="1"/>
    <col min="61" max="61" width="6.5703125" hidden="1"/>
    <col min="62" max="67" width="9.140625" hidden="1"/>
    <col min="68" max="68" width="3.7109375" hidden="1"/>
    <col min="69" max="71" width="4.7109375" hidden="1"/>
    <col min="72" max="89" width="4.85546875" hidden="1"/>
    <col min="90" max="91" width="9.140625" hidden="1"/>
    <col min="92" max="92" width="4.7109375" hidden="1"/>
    <col min="93" max="93" width="19.7109375" hidden="1"/>
    <col min="94" max="97" width="9.140625" hidden="1"/>
    <col min="98" max="98" width="4.85546875" hidden="1"/>
    <col min="99" max="99" width="12.5703125" hidden="1"/>
    <col min="100" max="100" width="9.140625" hidden="1"/>
    <col min="101" max="101" width="4.85546875" hidden="1"/>
    <col min="102" max="103" width="9.140625" hidden="1"/>
    <col min="104" max="104" width="4.85546875" hidden="1"/>
    <col min="105" max="105" width="6.5703125" hidden="1"/>
    <col min="106" max="106" width="9.140625" hidden="1"/>
    <col min="107" max="107" width="4.85546875" hidden="1"/>
    <col min="108" max="116" width="9.140625" hidden="1"/>
    <col min="117" max="117" width="11.28515625" hidden="1"/>
    <col min="118" max="16384" width="9.140625" hidden="1"/>
  </cols>
  <sheetData>
    <row r="1" spans="1:33" ht="7.5" customHeight="1"/>
    <row r="2" spans="1:33" ht="21.75" customHeight="1" thickBot="1">
      <c r="F2" s="21" t="s">
        <v>389</v>
      </c>
    </row>
    <row r="3" spans="1:33" ht="21" customHeight="1" thickBot="1">
      <c r="K3" s="67">
        <f ca="1">TODAY()</f>
        <v>45342</v>
      </c>
      <c r="R3" s="26" t="s">
        <v>397</v>
      </c>
    </row>
    <row r="4" spans="1:33" ht="6" customHeight="1" thickBot="1"/>
    <row r="5" spans="1:33" hidden="1">
      <c r="A5" s="2"/>
    </row>
    <row r="6" spans="1:33" ht="6" hidden="1" customHeight="1" thickBot="1"/>
    <row r="7" spans="1:33" hidden="1">
      <c r="A7" s="18"/>
      <c r="U7">
        <v>1</v>
      </c>
      <c r="V7">
        <v>1</v>
      </c>
      <c r="W7">
        <v>2</v>
      </c>
      <c r="X7">
        <v>3</v>
      </c>
      <c r="Y7">
        <v>4</v>
      </c>
      <c r="Z7">
        <v>5</v>
      </c>
      <c r="AA7">
        <v>6</v>
      </c>
      <c r="AB7">
        <v>7</v>
      </c>
      <c r="AC7">
        <v>8</v>
      </c>
      <c r="AD7">
        <v>9</v>
      </c>
      <c r="AE7">
        <v>10</v>
      </c>
      <c r="AF7">
        <v>11</v>
      </c>
      <c r="AG7">
        <v>12</v>
      </c>
    </row>
    <row r="8" spans="1:33" hidden="1">
      <c r="A8" s="18"/>
      <c r="U8" t="s">
        <v>276</v>
      </c>
      <c r="V8" t="s">
        <v>279</v>
      </c>
      <c r="W8" t="s">
        <v>275</v>
      </c>
      <c r="X8" t="s">
        <v>281</v>
      </c>
      <c r="Y8" t="s">
        <v>284</v>
      </c>
      <c r="Z8" t="s">
        <v>285</v>
      </c>
      <c r="AA8" t="s">
        <v>287</v>
      </c>
      <c r="AB8" t="s">
        <v>289</v>
      </c>
      <c r="AC8" t="s">
        <v>291</v>
      </c>
      <c r="AD8" t="s">
        <v>293</v>
      </c>
      <c r="AE8" t="s">
        <v>295</v>
      </c>
      <c r="AF8" t="s">
        <v>297</v>
      </c>
      <c r="AG8" t="s">
        <v>299</v>
      </c>
    </row>
    <row r="9" spans="1:33" hidden="1">
      <c r="A9" s="18"/>
      <c r="U9" t="s">
        <v>277</v>
      </c>
      <c r="V9" t="s">
        <v>278</v>
      </c>
      <c r="W9" t="s">
        <v>280</v>
      </c>
      <c r="X9" t="s">
        <v>282</v>
      </c>
      <c r="Y9" t="s">
        <v>283</v>
      </c>
      <c r="Z9" t="s">
        <v>286</v>
      </c>
      <c r="AA9" t="s">
        <v>288</v>
      </c>
      <c r="AB9" t="s">
        <v>290</v>
      </c>
      <c r="AC9" t="s">
        <v>292</v>
      </c>
      <c r="AD9" t="s">
        <v>294</v>
      </c>
      <c r="AE9" t="s">
        <v>296</v>
      </c>
      <c r="AF9" t="s">
        <v>298</v>
      </c>
      <c r="AG9" t="s">
        <v>300</v>
      </c>
    </row>
    <row r="10" spans="1:33" hidden="1">
      <c r="A10" s="19"/>
      <c r="V10" t="s">
        <v>326</v>
      </c>
      <c r="W10" t="s">
        <v>327</v>
      </c>
      <c r="X10" t="s">
        <v>328</v>
      </c>
      <c r="Y10" t="s">
        <v>329</v>
      </c>
      <c r="Z10" t="s">
        <v>330</v>
      </c>
      <c r="AA10" t="s">
        <v>331</v>
      </c>
      <c r="AB10" t="s">
        <v>332</v>
      </c>
      <c r="AC10" t="s">
        <v>333</v>
      </c>
      <c r="AD10" t="s">
        <v>334</v>
      </c>
      <c r="AE10" t="s">
        <v>335</v>
      </c>
      <c r="AF10" t="s">
        <v>336</v>
      </c>
      <c r="AG10" t="s">
        <v>337</v>
      </c>
    </row>
    <row r="11" spans="1:33" hidden="1">
      <c r="A11" s="18"/>
      <c r="V11" t="s">
        <v>324</v>
      </c>
      <c r="W11" t="s">
        <v>325</v>
      </c>
      <c r="X11" t="s">
        <v>319</v>
      </c>
      <c r="Y11" t="s">
        <v>321</v>
      </c>
      <c r="Z11" t="s">
        <v>315</v>
      </c>
      <c r="AA11" t="s">
        <v>316</v>
      </c>
      <c r="AB11" t="s">
        <v>323</v>
      </c>
      <c r="AC11" t="s">
        <v>314</v>
      </c>
      <c r="AD11" t="s">
        <v>317</v>
      </c>
      <c r="AE11" t="s">
        <v>318</v>
      </c>
      <c r="AF11" t="s">
        <v>322</v>
      </c>
      <c r="AG11" t="s">
        <v>320</v>
      </c>
    </row>
    <row r="12" spans="1:33" hidden="1">
      <c r="A12" s="19"/>
      <c r="V12" t="s">
        <v>313</v>
      </c>
      <c r="W12" t="s">
        <v>301</v>
      </c>
      <c r="X12" t="s">
        <v>302</v>
      </c>
      <c r="Y12" t="s">
        <v>2</v>
      </c>
      <c r="Z12" t="s">
        <v>303</v>
      </c>
      <c r="AA12" t="s">
        <v>304</v>
      </c>
      <c r="AB12" t="s">
        <v>305</v>
      </c>
      <c r="AC12" t="s">
        <v>306</v>
      </c>
      <c r="AD12" t="s">
        <v>307</v>
      </c>
      <c r="AE12" t="s">
        <v>308</v>
      </c>
      <c r="AF12" t="s">
        <v>309</v>
      </c>
      <c r="AG12" t="s">
        <v>310</v>
      </c>
    </row>
    <row r="13" spans="1:33" hidden="1">
      <c r="A13" s="19"/>
      <c r="V13" t="s">
        <v>338</v>
      </c>
      <c r="W13" t="s">
        <v>341</v>
      </c>
      <c r="X13" t="s">
        <v>342</v>
      </c>
      <c r="Y13" t="s">
        <v>301</v>
      </c>
      <c r="Z13" t="s">
        <v>303</v>
      </c>
      <c r="AA13" t="s">
        <v>304</v>
      </c>
      <c r="AB13" t="s">
        <v>305</v>
      </c>
      <c r="AC13" t="s">
        <v>339</v>
      </c>
      <c r="AD13" t="s">
        <v>307</v>
      </c>
      <c r="AE13" t="s">
        <v>308</v>
      </c>
      <c r="AF13" t="s">
        <v>309</v>
      </c>
      <c r="AG13" t="s">
        <v>340</v>
      </c>
    </row>
    <row r="15" spans="1:33" ht="13.5" hidden="1" thickBot="1">
      <c r="C15" t="str">
        <f>INDEX($E$18:$E$53,$C$17,1)</f>
        <v>IDX</v>
      </c>
      <c r="D15" t="str">
        <f>INDEX($D$18:$D$53,$C$17,1)</f>
        <v>001</v>
      </c>
      <c r="E15" t="str">
        <f>INDEX($C$18:$C$53,$C$17,1)</f>
        <v>KOSPI</v>
      </c>
      <c r="U15" t="str">
        <f ca="1">_xll.IMDH($C$15, $D$15, $U$17:$AG$17, , $K$3, 582, "Per=일, sort=D, real=true, Bizday=0, Quote=종가, Pos=30, Orient=V, Title="&amp;$E$15&amp;",DtFmt=1,TmFmt=1,unit=true")</f>
        <v>KOSPI</v>
      </c>
    </row>
    <row r="16" spans="1:33" ht="16.5" customHeight="1" thickBot="1">
      <c r="A16" s="1"/>
      <c r="F16" s="80" t="str">
        <f>U16</f>
        <v>일자</v>
      </c>
      <c r="G16" s="81" t="str">
        <f t="shared" ref="G16:R16" si="0">V16</f>
        <v>외국인</v>
      </c>
      <c r="H16" s="82" t="str">
        <f t="shared" si="0"/>
        <v>개인</v>
      </c>
      <c r="I16" s="82" t="str">
        <f t="shared" si="0"/>
        <v>기관</v>
      </c>
      <c r="J16" s="82" t="str">
        <f t="shared" si="0"/>
        <v>증권/선물</v>
      </c>
      <c r="K16" s="82" t="str">
        <f t="shared" si="0"/>
        <v>보험</v>
      </c>
      <c r="L16" s="82" t="str">
        <f t="shared" si="0"/>
        <v>투신</v>
      </c>
      <c r="M16" s="82" t="str">
        <f t="shared" si="0"/>
        <v>사모펀드</v>
      </c>
      <c r="N16" s="82" t="str">
        <f t="shared" si="0"/>
        <v>은행</v>
      </c>
      <c r="O16" s="82" t="str">
        <f t="shared" si="0"/>
        <v>종금/저축</v>
      </c>
      <c r="P16" s="82" t="str">
        <f t="shared" si="0"/>
        <v>연기금</v>
      </c>
      <c r="Q16" s="82" t="str">
        <f t="shared" si="0"/>
        <v>정부</v>
      </c>
      <c r="R16" s="83" t="str">
        <f t="shared" si="0"/>
        <v>기타법인</v>
      </c>
      <c r="S16" s="20"/>
      <c r="U16" t="s">
        <v>312</v>
      </c>
      <c r="V16" t="str">
        <f>INDEX(IF($B$17=3,$V$13:$AG$13,$V$12:$AG$12),1,V$7)</f>
        <v>외국인</v>
      </c>
      <c r="W16" t="str">
        <f t="shared" ref="W16:AG16" si="1">INDEX(IF($B$17=3,$V$13:$AG$13,$V$12:$AG$12),1,W$7)</f>
        <v>개인</v>
      </c>
      <c r="X16" t="str">
        <f t="shared" si="1"/>
        <v>기관</v>
      </c>
      <c r="Y16" t="str">
        <f t="shared" si="1"/>
        <v>증권/선물</v>
      </c>
      <c r="Z16" t="str">
        <f t="shared" si="1"/>
        <v>보험</v>
      </c>
      <c r="AA16" t="str">
        <f t="shared" si="1"/>
        <v>투신</v>
      </c>
      <c r="AB16" t="str">
        <f t="shared" si="1"/>
        <v>사모펀드</v>
      </c>
      <c r="AC16" t="str">
        <f t="shared" si="1"/>
        <v>은행</v>
      </c>
      <c r="AD16" t="str">
        <f t="shared" si="1"/>
        <v>종금/저축</v>
      </c>
      <c r="AE16" t="str">
        <f t="shared" si="1"/>
        <v>연기금</v>
      </c>
      <c r="AF16" t="str">
        <f t="shared" si="1"/>
        <v>정부</v>
      </c>
      <c r="AG16" t="str">
        <f t="shared" si="1"/>
        <v>기타법인</v>
      </c>
    </row>
    <row r="17" spans="2:114" hidden="1">
      <c r="B17">
        <v>1</v>
      </c>
      <c r="C17">
        <v>1</v>
      </c>
      <c r="F17" s="76"/>
      <c r="G17" s="77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9"/>
      <c r="U17" t="s">
        <v>311</v>
      </c>
      <c r="V17" t="str">
        <f>INDEX(IF($B$17=3,$V$10:$AG$11,$V$8:$AG$9),$U$7,V$7)</f>
        <v>외국인합순매수수량</v>
      </c>
      <c r="W17" t="str">
        <f t="shared" ref="W17:AG17" si="2">INDEX(IF($B$17=3,$V$10:$AG$11,$V$8:$AG$9),$U$7,W$7)</f>
        <v>개인순매수수량</v>
      </c>
      <c r="X17" t="str">
        <f t="shared" si="2"/>
        <v>기관순매수수량</v>
      </c>
      <c r="Y17" t="str">
        <f t="shared" si="2"/>
        <v>증권/선물순매수수량</v>
      </c>
      <c r="Z17" t="str">
        <f t="shared" si="2"/>
        <v>보험순매수수량</v>
      </c>
      <c r="AA17" t="str">
        <f t="shared" si="2"/>
        <v>투신순매수수량</v>
      </c>
      <c r="AB17" t="str">
        <f t="shared" si="2"/>
        <v>사모펀드순매수수량</v>
      </c>
      <c r="AC17" t="str">
        <f t="shared" si="2"/>
        <v>은행순매수수량</v>
      </c>
      <c r="AD17" t="str">
        <f t="shared" si="2"/>
        <v>종신금순매수수량</v>
      </c>
      <c r="AE17" t="str">
        <f t="shared" si="2"/>
        <v>연기금순매수수량</v>
      </c>
      <c r="AF17" t="str">
        <f t="shared" si="2"/>
        <v>국가/지방순매수수량</v>
      </c>
      <c r="AG17" t="str">
        <f t="shared" si="2"/>
        <v>기타순매수수량</v>
      </c>
      <c r="BC17" t="s">
        <v>76</v>
      </c>
      <c r="BQ17" t="s">
        <v>274</v>
      </c>
      <c r="BR17" t="s">
        <v>274</v>
      </c>
      <c r="BS17" t="s">
        <v>358</v>
      </c>
      <c r="BT17" t="s">
        <v>216</v>
      </c>
      <c r="BU17" t="s">
        <v>216</v>
      </c>
      <c r="BV17" t="s">
        <v>216</v>
      </c>
      <c r="BW17" t="s">
        <v>216</v>
      </c>
      <c r="BX17" t="s">
        <v>216</v>
      </c>
      <c r="BY17" t="s">
        <v>216</v>
      </c>
      <c r="BZ17" t="s">
        <v>222</v>
      </c>
      <c r="CA17" t="s">
        <v>274</v>
      </c>
      <c r="CB17" t="s">
        <v>274</v>
      </c>
      <c r="CC17" t="s">
        <v>274</v>
      </c>
      <c r="CL17" t="s">
        <v>126</v>
      </c>
      <c r="CM17" t="s">
        <v>127</v>
      </c>
      <c r="CP17" t="s">
        <v>166</v>
      </c>
      <c r="CS17" t="s">
        <v>167</v>
      </c>
      <c r="CV17" t="s">
        <v>204</v>
      </c>
      <c r="CY17" t="s">
        <v>215</v>
      </c>
      <c r="DB17" t="s">
        <v>219</v>
      </c>
      <c r="DE17" t="s">
        <v>221</v>
      </c>
      <c r="DH17" t="s">
        <v>231</v>
      </c>
    </row>
    <row r="18" spans="2:114">
      <c r="B18" t="s">
        <v>76</v>
      </c>
      <c r="C18" t="str">
        <f t="shared" ref="C18:C30" si="3">IF(INDEX($BC$18:$BO$54,$BB18,$B$17)=0,"",INDEX($BC$18:$BO$54,$BB18,$B$17))</f>
        <v>KOSPI</v>
      </c>
      <c r="D18" t="str">
        <f t="shared" ref="D18:D53" si="4">IF(INDEX($BQ$18:$CC$54,$BP18,$B$17)=0,"",INDEX($BQ$18:$CC$54,$BP18,$B$17))</f>
        <v>001</v>
      </c>
      <c r="E18" t="str">
        <f t="shared" ref="E18:E53" si="5">IF($D18="","",INDEX($BQ$17:$CC$17,1,$B$17))</f>
        <v>IDX</v>
      </c>
      <c r="F18" s="74">
        <f>IF(U18=0,"",U18)</f>
        <v>45342</v>
      </c>
      <c r="G18" s="72">
        <f>IF(IF($B$17=3,V18/1000,V18)=0,"",IF($B$17=3,V18/1000,V18))</f>
        <v>-5873</v>
      </c>
      <c r="H18" s="68">
        <f t="shared" ref="H18:R18" si="6">IF(IF($B$17=3,W18/1000,W18)=0,"",IF($B$17=3,W18/1000,W18))</f>
        <v>7573</v>
      </c>
      <c r="I18" s="68">
        <f t="shared" si="6"/>
        <v>-1930</v>
      </c>
      <c r="J18" s="68">
        <f t="shared" si="6"/>
        <v>-305</v>
      </c>
      <c r="K18" s="68">
        <f t="shared" si="6"/>
        <v>-61</v>
      </c>
      <c r="L18" s="68">
        <f t="shared" si="6"/>
        <v>-900</v>
      </c>
      <c r="M18" s="68">
        <f t="shared" si="6"/>
        <v>-72</v>
      </c>
      <c r="N18" s="68">
        <f t="shared" si="6"/>
        <v>3</v>
      </c>
      <c r="O18" s="68">
        <f t="shared" si="6"/>
        <v>-141</v>
      </c>
      <c r="P18" s="68">
        <f t="shared" si="6"/>
        <v>-454</v>
      </c>
      <c r="Q18" s="68" t="str">
        <f t="shared" si="6"/>
        <v/>
      </c>
      <c r="R18" s="69">
        <f t="shared" si="6"/>
        <v>230</v>
      </c>
      <c r="U18" s="5">
        <v>45342</v>
      </c>
      <c r="V18">
        <v>-5873</v>
      </c>
      <c r="W18">
        <v>7573</v>
      </c>
      <c r="X18">
        <v>-1930</v>
      </c>
      <c r="Y18">
        <v>-305</v>
      </c>
      <c r="Z18">
        <v>-61</v>
      </c>
      <c r="AA18">
        <v>-900</v>
      </c>
      <c r="AB18">
        <v>-72</v>
      </c>
      <c r="AC18">
        <v>3</v>
      </c>
      <c r="AD18">
        <v>-141</v>
      </c>
      <c r="AE18">
        <v>-454</v>
      </c>
      <c r="AF18">
        <v>0</v>
      </c>
      <c r="AG18">
        <v>230</v>
      </c>
      <c r="BB18">
        <v>1</v>
      </c>
      <c r="BC18" t="s">
        <v>426</v>
      </c>
      <c r="BD18" t="s">
        <v>236</v>
      </c>
      <c r="BE18" t="s">
        <v>344</v>
      </c>
      <c r="BF18" t="s">
        <v>390</v>
      </c>
      <c r="BG18" t="s">
        <v>186</v>
      </c>
      <c r="BH18" t="s">
        <v>210</v>
      </c>
      <c r="BI18" t="s">
        <v>218</v>
      </c>
      <c r="BJ18" t="s">
        <v>219</v>
      </c>
      <c r="BK18" t="s">
        <v>272</v>
      </c>
      <c r="BL18" t="s">
        <v>224</v>
      </c>
      <c r="BM18" t="s">
        <v>269</v>
      </c>
      <c r="BN18" t="s">
        <v>270</v>
      </c>
      <c r="BO18" t="s">
        <v>271</v>
      </c>
      <c r="BP18">
        <v>1</v>
      </c>
      <c r="BQ18" s="33" t="s">
        <v>527</v>
      </c>
      <c r="BR18" s="33" t="s">
        <v>598</v>
      </c>
      <c r="BS18" s="33" t="s">
        <v>351</v>
      </c>
      <c r="BT18" t="s">
        <v>13</v>
      </c>
      <c r="BU18" t="s">
        <v>168</v>
      </c>
      <c r="BV18" t="s">
        <v>205</v>
      </c>
      <c r="BW18" t="s">
        <v>217</v>
      </c>
      <c r="BX18" t="s">
        <v>220</v>
      </c>
      <c r="BY18" t="s">
        <v>273</v>
      </c>
      <c r="BZ18" t="s">
        <v>223</v>
      </c>
      <c r="CA18" t="s">
        <v>269</v>
      </c>
      <c r="CB18" t="s">
        <v>270</v>
      </c>
      <c r="CC18" t="s">
        <v>271</v>
      </c>
      <c r="CL18" t="s">
        <v>82</v>
      </c>
      <c r="CM18" t="s">
        <v>66</v>
      </c>
      <c r="CN18" s="33" t="s">
        <v>128</v>
      </c>
      <c r="CO18" t="str">
        <f>_xll.IMDP("IDX",CN18,"한글종목명")</f>
        <v>KOSDAQ</v>
      </c>
      <c r="CP18" t="s">
        <v>67</v>
      </c>
      <c r="CQ18" t="s">
        <v>13</v>
      </c>
      <c r="CR18" t="s">
        <v>14</v>
      </c>
      <c r="CS18" t="s">
        <v>67</v>
      </c>
      <c r="CT18" t="s">
        <v>168</v>
      </c>
      <c r="CU18" t="s">
        <v>186</v>
      </c>
      <c r="CV18" t="s">
        <v>67</v>
      </c>
      <c r="CW18" t="s">
        <v>205</v>
      </c>
      <c r="CX18" t="s">
        <v>210</v>
      </c>
      <c r="CY18" t="s">
        <v>216</v>
      </c>
      <c r="CZ18" t="s">
        <v>217</v>
      </c>
      <c r="DA18" t="s">
        <v>218</v>
      </c>
      <c r="DB18" t="s">
        <v>216</v>
      </c>
      <c r="DC18" t="s">
        <v>220</v>
      </c>
      <c r="DD18" t="s">
        <v>219</v>
      </c>
      <c r="DE18" t="s">
        <v>222</v>
      </c>
      <c r="DF18" t="s">
        <v>223</v>
      </c>
      <c r="DG18" t="s">
        <v>224</v>
      </c>
      <c r="DH18" t="s">
        <v>222</v>
      </c>
      <c r="DI18" t="s">
        <v>234</v>
      </c>
      <c r="DJ18" t="s">
        <v>232</v>
      </c>
    </row>
    <row r="19" spans="2:114">
      <c r="B19" t="s">
        <v>343</v>
      </c>
      <c r="C19" t="str">
        <f t="shared" si="3"/>
        <v>KOSPI200</v>
      </c>
      <c r="D19" t="str">
        <f t="shared" si="4"/>
        <v>211</v>
      </c>
      <c r="E19" t="str">
        <f t="shared" si="5"/>
        <v>IDX</v>
      </c>
      <c r="F19" s="74">
        <f t="shared" ref="F19:F82" si="7">IF(U19=0,"",U19)</f>
        <v>45341</v>
      </c>
      <c r="G19" s="72">
        <f t="shared" ref="G19:G82" si="8">IF(IF($B$17=3,V19/1000,V19)=0,"",IF($B$17=3,V19/1000,V19))</f>
        <v>17751</v>
      </c>
      <c r="H19" s="68">
        <f t="shared" ref="H19:H82" si="9">IF(IF($B$17=3,W19/1000,W19)=0,"",IF($B$17=3,W19/1000,W19))</f>
        <v>-28929</v>
      </c>
      <c r="I19" s="68">
        <f t="shared" ref="I19:I82" si="10">IF(IF($B$17=3,X19/1000,X19)=0,"",IF($B$17=3,X19/1000,X19))</f>
        <v>12989</v>
      </c>
      <c r="J19" s="68">
        <f t="shared" ref="J19:J82" si="11">IF(IF($B$17=3,Y19/1000,Y19)=0,"",IF($B$17=3,Y19/1000,Y19))</f>
        <v>7830</v>
      </c>
      <c r="K19" s="68">
        <f t="shared" ref="K19:K82" si="12">IF(IF($B$17=3,Z19/1000,Z19)=0,"",IF($B$17=3,Z19/1000,Z19))</f>
        <v>-440</v>
      </c>
      <c r="L19" s="68">
        <f t="shared" ref="L19:L82" si="13">IF(IF($B$17=3,AA19/1000,AA19)=0,"",IF($B$17=3,AA19/1000,AA19))</f>
        <v>1706</v>
      </c>
      <c r="M19" s="68">
        <f t="shared" ref="M19:M82" si="14">IF(IF($B$17=3,AB19/1000,AB19)=0,"",IF($B$17=3,AB19/1000,AB19))</f>
        <v>1586</v>
      </c>
      <c r="N19" s="68">
        <f t="shared" ref="N19:N82" si="15">IF(IF($B$17=3,AC19/1000,AC19)=0,"",IF($B$17=3,AC19/1000,AC19))</f>
        <v>-134</v>
      </c>
      <c r="O19" s="68">
        <f t="shared" ref="O19:O82" si="16">IF(IF($B$17=3,AD19/1000,AD19)=0,"",IF($B$17=3,AD19/1000,AD19))</f>
        <v>-241</v>
      </c>
      <c r="P19" s="68">
        <f t="shared" ref="P19:P82" si="17">IF(IF($B$17=3,AE19/1000,AE19)=0,"",IF($B$17=3,AE19/1000,AE19))</f>
        <v>2682</v>
      </c>
      <c r="Q19" s="68" t="str">
        <f t="shared" ref="Q19:Q82" si="18">IF(IF($B$17=3,AF19/1000,AF19)=0,"",IF($B$17=3,AF19/1000,AF19))</f>
        <v/>
      </c>
      <c r="R19" s="69">
        <f t="shared" ref="R19:R82" si="19">IF(IF($B$17=3,AG19/1000,AG19)=0,"",IF($B$17=3,AG19/1000,AG19))</f>
        <v>-1813</v>
      </c>
      <c r="U19" s="5">
        <v>45341</v>
      </c>
      <c r="V19">
        <v>17751</v>
      </c>
      <c r="W19">
        <v>-28929</v>
      </c>
      <c r="X19">
        <v>12989</v>
      </c>
      <c r="Y19">
        <v>7830</v>
      </c>
      <c r="Z19">
        <v>-440</v>
      </c>
      <c r="AA19">
        <v>1706</v>
      </c>
      <c r="AB19">
        <v>1586</v>
      </c>
      <c r="AC19">
        <v>-134</v>
      </c>
      <c r="AD19">
        <v>-241</v>
      </c>
      <c r="AE19">
        <v>2682</v>
      </c>
      <c r="AF19">
        <v>0</v>
      </c>
      <c r="AG19">
        <v>-1813</v>
      </c>
      <c r="BB19">
        <v>2</v>
      </c>
      <c r="BC19" t="s">
        <v>431</v>
      </c>
      <c r="BD19" t="s">
        <v>237</v>
      </c>
      <c r="BE19" t="s">
        <v>345</v>
      </c>
      <c r="BF19" t="s">
        <v>391</v>
      </c>
      <c r="BG19" t="s">
        <v>187</v>
      </c>
      <c r="BH19" t="s">
        <v>439</v>
      </c>
      <c r="BL19" t="s">
        <v>226</v>
      </c>
      <c r="BP19">
        <v>2</v>
      </c>
      <c r="BQ19" s="33" t="s">
        <v>528</v>
      </c>
      <c r="BR19" s="33" t="s">
        <v>599</v>
      </c>
      <c r="BS19" s="33" t="s">
        <v>352</v>
      </c>
      <c r="BT19" t="s">
        <v>16</v>
      </c>
      <c r="BU19" t="s">
        <v>169</v>
      </c>
      <c r="BV19" t="s">
        <v>460</v>
      </c>
      <c r="BZ19" t="s">
        <v>225</v>
      </c>
      <c r="CL19" t="s">
        <v>83</v>
      </c>
      <c r="CM19" t="s">
        <v>66</v>
      </c>
      <c r="CN19" s="33" t="s">
        <v>129</v>
      </c>
      <c r="CO19" t="str">
        <f>_xll.IMDP("IDX",CN19,"한글종목명")</f>
        <v>우량기업부</v>
      </c>
      <c r="CP19" t="s">
        <v>67</v>
      </c>
      <c r="CQ19" t="s">
        <v>16</v>
      </c>
      <c r="CR19" t="s">
        <v>15</v>
      </c>
      <c r="CS19" t="s">
        <v>67</v>
      </c>
      <c r="CT19" t="s">
        <v>169</v>
      </c>
      <c r="CU19" t="s">
        <v>187</v>
      </c>
      <c r="CV19" t="s">
        <v>67</v>
      </c>
      <c r="CW19" t="s">
        <v>206</v>
      </c>
      <c r="CX19" t="s">
        <v>211</v>
      </c>
      <c r="DE19" t="s">
        <v>222</v>
      </c>
      <c r="DF19" t="s">
        <v>225</v>
      </c>
      <c r="DG19" t="s">
        <v>226</v>
      </c>
      <c r="DH19" t="s">
        <v>222</v>
      </c>
      <c r="DI19" t="s">
        <v>235</v>
      </c>
      <c r="DJ19" t="s">
        <v>233</v>
      </c>
    </row>
    <row r="20" spans="2:114">
      <c r="B20" t="s">
        <v>359</v>
      </c>
      <c r="C20" t="str">
        <f t="shared" si="3"/>
        <v>음식료품</v>
      </c>
      <c r="D20" t="str">
        <f t="shared" si="4"/>
        <v>005</v>
      </c>
      <c r="E20" t="str">
        <f t="shared" si="5"/>
        <v>IDX</v>
      </c>
      <c r="F20" s="74">
        <f t="shared" si="7"/>
        <v>45338</v>
      </c>
      <c r="G20" s="72">
        <f t="shared" si="8"/>
        <v>14331</v>
      </c>
      <c r="H20" s="68">
        <f t="shared" si="9"/>
        <v>-16716</v>
      </c>
      <c r="I20" s="68">
        <f t="shared" si="10"/>
        <v>3159</v>
      </c>
      <c r="J20" s="68">
        <f t="shared" si="11"/>
        <v>5570</v>
      </c>
      <c r="K20" s="68">
        <f t="shared" si="12"/>
        <v>-54</v>
      </c>
      <c r="L20" s="68">
        <f t="shared" si="13"/>
        <v>-167</v>
      </c>
      <c r="M20" s="68">
        <f t="shared" si="14"/>
        <v>-1156</v>
      </c>
      <c r="N20" s="68">
        <f t="shared" si="15"/>
        <v>-85</v>
      </c>
      <c r="O20" s="68">
        <f t="shared" si="16"/>
        <v>79</v>
      </c>
      <c r="P20" s="68">
        <f t="shared" si="17"/>
        <v>-1028</v>
      </c>
      <c r="Q20" s="68" t="str">
        <f t="shared" si="18"/>
        <v/>
      </c>
      <c r="R20" s="69">
        <f t="shared" si="19"/>
        <v>-775</v>
      </c>
      <c r="U20" s="5">
        <v>45338</v>
      </c>
      <c r="V20">
        <v>14331</v>
      </c>
      <c r="W20">
        <v>-16716</v>
      </c>
      <c r="X20">
        <v>3159</v>
      </c>
      <c r="Y20">
        <v>5570</v>
      </c>
      <c r="Z20">
        <v>-54</v>
      </c>
      <c r="AA20">
        <v>-167</v>
      </c>
      <c r="AB20">
        <v>-1156</v>
      </c>
      <c r="AC20">
        <v>-85</v>
      </c>
      <c r="AD20">
        <v>79</v>
      </c>
      <c r="AE20">
        <v>-1028</v>
      </c>
      <c r="AF20">
        <v>0</v>
      </c>
      <c r="AG20">
        <v>-775</v>
      </c>
      <c r="BB20">
        <v>3</v>
      </c>
      <c r="BC20" t="s">
        <v>463</v>
      </c>
      <c r="BD20" t="s">
        <v>238</v>
      </c>
      <c r="BE20" t="s">
        <v>346</v>
      </c>
      <c r="BF20" t="s">
        <v>392</v>
      </c>
      <c r="BG20" t="s">
        <v>188</v>
      </c>
      <c r="BH20" t="s">
        <v>440</v>
      </c>
      <c r="BL20" t="s">
        <v>228</v>
      </c>
      <c r="BP20">
        <v>3</v>
      </c>
      <c r="BQ20" s="33" t="s">
        <v>529</v>
      </c>
      <c r="BR20" s="33" t="s">
        <v>130</v>
      </c>
      <c r="BS20" s="33" t="s">
        <v>353</v>
      </c>
      <c r="BT20" t="s">
        <v>17</v>
      </c>
      <c r="BU20" t="s">
        <v>170</v>
      </c>
      <c r="BV20" t="s">
        <v>461</v>
      </c>
      <c r="BZ20" t="s">
        <v>227</v>
      </c>
      <c r="CL20" t="s">
        <v>84</v>
      </c>
      <c r="CM20" t="s">
        <v>66</v>
      </c>
      <c r="CN20" s="33" t="s">
        <v>130</v>
      </c>
      <c r="CO20" t="str">
        <f>_xll.IMDP("IDX",CN20,"한글종목명")</f>
        <v>벤처기업부</v>
      </c>
      <c r="CP20" t="s">
        <v>67</v>
      </c>
      <c r="CQ20" t="s">
        <v>17</v>
      </c>
      <c r="CR20" t="s">
        <v>165</v>
      </c>
      <c r="CS20" t="s">
        <v>67</v>
      </c>
      <c r="CT20" t="s">
        <v>170</v>
      </c>
      <c r="CU20" t="s">
        <v>188</v>
      </c>
      <c r="CV20" t="s">
        <v>67</v>
      </c>
      <c r="CW20" t="s">
        <v>207</v>
      </c>
      <c r="CX20" t="s">
        <v>212</v>
      </c>
      <c r="DE20" t="s">
        <v>222</v>
      </c>
      <c r="DF20" t="s">
        <v>227</v>
      </c>
      <c r="DG20" t="s">
        <v>228</v>
      </c>
    </row>
    <row r="21" spans="2:114">
      <c r="B21" t="s">
        <v>77</v>
      </c>
      <c r="C21" t="str">
        <f t="shared" si="3"/>
        <v>섬유.의복</v>
      </c>
      <c r="D21" t="str">
        <f t="shared" si="4"/>
        <v>006</v>
      </c>
      <c r="E21" t="str">
        <f t="shared" si="5"/>
        <v>IDX</v>
      </c>
      <c r="F21" s="74">
        <f t="shared" si="7"/>
        <v>45337</v>
      </c>
      <c r="G21" s="72">
        <f t="shared" si="8"/>
        <v>-4713</v>
      </c>
      <c r="H21" s="68">
        <f t="shared" si="9"/>
        <v>4803</v>
      </c>
      <c r="I21" s="68">
        <f t="shared" si="10"/>
        <v>-1562</v>
      </c>
      <c r="J21" s="68">
        <f t="shared" si="11"/>
        <v>3470</v>
      </c>
      <c r="K21" s="68">
        <f t="shared" si="12"/>
        <v>-851</v>
      </c>
      <c r="L21" s="68">
        <f t="shared" si="13"/>
        <v>-1066</v>
      </c>
      <c r="M21" s="68">
        <f t="shared" si="14"/>
        <v>-1620</v>
      </c>
      <c r="N21" s="68">
        <f t="shared" si="15"/>
        <v>-12</v>
      </c>
      <c r="O21" s="68">
        <f t="shared" si="16"/>
        <v>98</v>
      </c>
      <c r="P21" s="68">
        <f t="shared" si="17"/>
        <v>-1581</v>
      </c>
      <c r="Q21" s="68" t="str">
        <f t="shared" si="18"/>
        <v/>
      </c>
      <c r="R21" s="69">
        <f t="shared" si="19"/>
        <v>1471</v>
      </c>
      <c r="U21" s="5">
        <v>45337</v>
      </c>
      <c r="V21">
        <v>-4713</v>
      </c>
      <c r="W21">
        <v>4803</v>
      </c>
      <c r="X21">
        <v>-1562</v>
      </c>
      <c r="Y21">
        <v>3470</v>
      </c>
      <c r="Z21">
        <v>-851</v>
      </c>
      <c r="AA21">
        <v>-1066</v>
      </c>
      <c r="AB21">
        <v>-1620</v>
      </c>
      <c r="AC21">
        <v>-12</v>
      </c>
      <c r="AD21">
        <v>98</v>
      </c>
      <c r="AE21">
        <v>-1581</v>
      </c>
      <c r="AF21">
        <v>0</v>
      </c>
      <c r="AG21">
        <v>1471</v>
      </c>
      <c r="BB21">
        <v>4</v>
      </c>
      <c r="BC21" t="s">
        <v>464</v>
      </c>
      <c r="BD21" t="s">
        <v>239</v>
      </c>
      <c r="BE21" t="s">
        <v>347</v>
      </c>
      <c r="BF21" t="s">
        <v>393</v>
      </c>
      <c r="BG21" t="s">
        <v>189</v>
      </c>
      <c r="BH21" t="s">
        <v>441</v>
      </c>
      <c r="BL21" t="s">
        <v>230</v>
      </c>
      <c r="BP21">
        <v>4</v>
      </c>
      <c r="BQ21" s="33" t="s">
        <v>530</v>
      </c>
      <c r="BR21" s="33" t="s">
        <v>131</v>
      </c>
      <c r="BS21" s="33" t="s">
        <v>354</v>
      </c>
      <c r="BT21" t="s">
        <v>396</v>
      </c>
      <c r="BU21" t="s">
        <v>171</v>
      </c>
      <c r="BV21" t="s">
        <v>462</v>
      </c>
      <c r="BZ21" t="s">
        <v>229</v>
      </c>
      <c r="CL21" t="s">
        <v>85</v>
      </c>
      <c r="CM21" t="s">
        <v>66</v>
      </c>
      <c r="CN21" s="33" t="s">
        <v>131</v>
      </c>
      <c r="CO21" t="str">
        <f>_xll.IMDP("IDX",CN21,"한글종목명")</f>
        <v>중견기업부</v>
      </c>
      <c r="CS21" t="s">
        <v>67</v>
      </c>
      <c r="CT21" t="s">
        <v>171</v>
      </c>
      <c r="CU21" t="s">
        <v>189</v>
      </c>
      <c r="CV21" t="s">
        <v>67</v>
      </c>
      <c r="CW21" t="s">
        <v>208</v>
      </c>
      <c r="CX21" t="s">
        <v>213</v>
      </c>
      <c r="DE21" t="s">
        <v>222</v>
      </c>
      <c r="DF21" t="s">
        <v>229</v>
      </c>
      <c r="DG21" t="s">
        <v>230</v>
      </c>
    </row>
    <row r="22" spans="2:114">
      <c r="B22" t="s">
        <v>78</v>
      </c>
      <c r="C22" t="str">
        <f t="shared" si="3"/>
        <v>종이.목재</v>
      </c>
      <c r="D22" t="str">
        <f t="shared" si="4"/>
        <v>007</v>
      </c>
      <c r="E22" t="str">
        <f t="shared" si="5"/>
        <v>IDX</v>
      </c>
      <c r="F22" s="74">
        <f t="shared" si="7"/>
        <v>45336</v>
      </c>
      <c r="G22" s="72">
        <f t="shared" si="8"/>
        <v>3444</v>
      </c>
      <c r="H22" s="68">
        <f t="shared" si="9"/>
        <v>9384</v>
      </c>
      <c r="I22" s="68">
        <f t="shared" si="10"/>
        <v>-10454</v>
      </c>
      <c r="J22" s="68">
        <f t="shared" si="11"/>
        <v>-8110</v>
      </c>
      <c r="K22" s="68">
        <f t="shared" si="12"/>
        <v>-580</v>
      </c>
      <c r="L22" s="68">
        <f t="shared" si="13"/>
        <v>-1291</v>
      </c>
      <c r="M22" s="68">
        <f t="shared" si="14"/>
        <v>-523</v>
      </c>
      <c r="N22" s="68">
        <f t="shared" si="15"/>
        <v>-46</v>
      </c>
      <c r="O22" s="68">
        <f t="shared" si="16"/>
        <v>-57</v>
      </c>
      <c r="P22" s="68">
        <f t="shared" si="17"/>
        <v>153</v>
      </c>
      <c r="Q22" s="68" t="str">
        <f t="shared" si="18"/>
        <v/>
      </c>
      <c r="R22" s="69">
        <f t="shared" si="19"/>
        <v>-2375</v>
      </c>
      <c r="U22" s="5">
        <v>45336</v>
      </c>
      <c r="V22">
        <v>3444</v>
      </c>
      <c r="W22">
        <v>9384</v>
      </c>
      <c r="X22">
        <v>-10454</v>
      </c>
      <c r="Y22">
        <v>-8110</v>
      </c>
      <c r="Z22">
        <v>-580</v>
      </c>
      <c r="AA22">
        <v>-1291</v>
      </c>
      <c r="AB22">
        <v>-523</v>
      </c>
      <c r="AC22">
        <v>-46</v>
      </c>
      <c r="AD22">
        <v>-57</v>
      </c>
      <c r="AE22">
        <v>153</v>
      </c>
      <c r="AF22">
        <v>0</v>
      </c>
      <c r="AG22">
        <v>-2375</v>
      </c>
      <c r="BB22">
        <v>5</v>
      </c>
      <c r="BC22" t="s">
        <v>465</v>
      </c>
      <c r="BD22" t="s">
        <v>240</v>
      </c>
      <c r="BE22" t="s">
        <v>348</v>
      </c>
      <c r="BG22" t="s">
        <v>190</v>
      </c>
      <c r="BP22">
        <v>5</v>
      </c>
      <c r="BQ22" s="33" t="s">
        <v>531</v>
      </c>
      <c r="BR22" s="33" t="s">
        <v>132</v>
      </c>
      <c r="BS22" s="33" t="s">
        <v>355</v>
      </c>
      <c r="BU22" t="s">
        <v>172</v>
      </c>
      <c r="CL22" t="s">
        <v>86</v>
      </c>
      <c r="CM22" t="s">
        <v>66</v>
      </c>
      <c r="CN22" s="33" t="s">
        <v>132</v>
      </c>
      <c r="CO22" t="str">
        <f>_xll.IMDP("IDX",CN22,"한글종목명")</f>
        <v>기술성장기업부</v>
      </c>
      <c r="CS22" t="s">
        <v>67</v>
      </c>
      <c r="CT22" t="s">
        <v>172</v>
      </c>
      <c r="CU22" t="s">
        <v>190</v>
      </c>
      <c r="CV22" t="s">
        <v>67</v>
      </c>
      <c r="CW22" t="s">
        <v>209</v>
      </c>
      <c r="CX22" t="s">
        <v>214</v>
      </c>
    </row>
    <row r="23" spans="2:114">
      <c r="B23" t="s">
        <v>79</v>
      </c>
      <c r="C23" t="str">
        <f t="shared" si="3"/>
        <v>화학</v>
      </c>
      <c r="D23" t="str">
        <f t="shared" si="4"/>
        <v>008</v>
      </c>
      <c r="E23" t="str">
        <f t="shared" si="5"/>
        <v>IDX</v>
      </c>
      <c r="F23" s="74">
        <f t="shared" si="7"/>
        <v>45335</v>
      </c>
      <c r="G23" s="72">
        <f t="shared" si="8"/>
        <v>25614</v>
      </c>
      <c r="H23" s="68">
        <f t="shared" si="9"/>
        <v>-31870</v>
      </c>
      <c r="I23" s="68">
        <f t="shared" si="10"/>
        <v>9778</v>
      </c>
      <c r="J23" s="68">
        <f t="shared" si="11"/>
        <v>14794</v>
      </c>
      <c r="K23" s="68">
        <f t="shared" si="12"/>
        <v>-419</v>
      </c>
      <c r="L23" s="68">
        <f t="shared" si="13"/>
        <v>-2355</v>
      </c>
      <c r="M23" s="68">
        <f t="shared" si="14"/>
        <v>-1279</v>
      </c>
      <c r="N23" s="68">
        <f t="shared" si="15"/>
        <v>-111</v>
      </c>
      <c r="O23" s="68">
        <f t="shared" si="16"/>
        <v>-40</v>
      </c>
      <c r="P23" s="68">
        <f t="shared" si="17"/>
        <v>-812</v>
      </c>
      <c r="Q23" s="68" t="str">
        <f t="shared" si="18"/>
        <v/>
      </c>
      <c r="R23" s="69">
        <f t="shared" si="19"/>
        <v>-3523</v>
      </c>
      <c r="U23" s="5">
        <v>45335</v>
      </c>
      <c r="V23">
        <v>25614</v>
      </c>
      <c r="W23">
        <v>-31870</v>
      </c>
      <c r="X23">
        <v>9778</v>
      </c>
      <c r="Y23">
        <v>14794</v>
      </c>
      <c r="Z23">
        <v>-419</v>
      </c>
      <c r="AA23">
        <v>-2355</v>
      </c>
      <c r="AB23">
        <v>-1279</v>
      </c>
      <c r="AC23">
        <v>-111</v>
      </c>
      <c r="AD23">
        <v>-40</v>
      </c>
      <c r="AE23">
        <v>-812</v>
      </c>
      <c r="AF23">
        <v>0</v>
      </c>
      <c r="AG23">
        <v>-3523</v>
      </c>
      <c r="BB23">
        <v>6</v>
      </c>
      <c r="BC23" t="s">
        <v>466</v>
      </c>
      <c r="BD23" t="s">
        <v>582</v>
      </c>
      <c r="BE23" t="s">
        <v>349</v>
      </c>
      <c r="BG23" t="s">
        <v>191</v>
      </c>
      <c r="BP23">
        <v>6</v>
      </c>
      <c r="BQ23" s="33" t="s">
        <v>532</v>
      </c>
      <c r="BR23" s="33" t="s">
        <v>600</v>
      </c>
      <c r="BS23" s="33" t="s">
        <v>356</v>
      </c>
      <c r="BU23" t="s">
        <v>173</v>
      </c>
      <c r="CL23" t="s">
        <v>87</v>
      </c>
      <c r="CM23" t="s">
        <v>66</v>
      </c>
      <c r="CN23" s="33" t="s">
        <v>133</v>
      </c>
      <c r="CO23" t="str">
        <f>_xll.IMDP("IDX",CN23,"한글종목명")</f>
        <v>기타서비스</v>
      </c>
      <c r="CS23" t="s">
        <v>67</v>
      </c>
      <c r="CT23" t="s">
        <v>173</v>
      </c>
      <c r="CU23" t="s">
        <v>191</v>
      </c>
    </row>
    <row r="24" spans="2:114">
      <c r="B24" t="s">
        <v>425</v>
      </c>
      <c r="C24" t="str">
        <f t="shared" si="3"/>
        <v>의약품</v>
      </c>
      <c r="D24" t="str">
        <f t="shared" si="4"/>
        <v>009</v>
      </c>
      <c r="E24" t="str">
        <f t="shared" si="5"/>
        <v>IDX</v>
      </c>
      <c r="F24" s="74">
        <f t="shared" si="7"/>
        <v>45330</v>
      </c>
      <c r="G24" s="72">
        <f t="shared" si="8"/>
        <v>7355</v>
      </c>
      <c r="H24" s="68">
        <f t="shared" si="9"/>
        <v>-17169</v>
      </c>
      <c r="I24" s="68">
        <f t="shared" si="10"/>
        <v>9535</v>
      </c>
      <c r="J24" s="68">
        <f t="shared" si="11"/>
        <v>4522</v>
      </c>
      <c r="K24" s="68">
        <f t="shared" si="12"/>
        <v>-109</v>
      </c>
      <c r="L24" s="68">
        <f t="shared" si="13"/>
        <v>953</v>
      </c>
      <c r="M24" s="68">
        <f t="shared" si="14"/>
        <v>1876</v>
      </c>
      <c r="N24" s="68">
        <f t="shared" si="15"/>
        <v>-68</v>
      </c>
      <c r="O24" s="68">
        <f t="shared" si="16"/>
        <v>-145</v>
      </c>
      <c r="P24" s="68">
        <f t="shared" si="17"/>
        <v>2506</v>
      </c>
      <c r="Q24" s="68" t="str">
        <f t="shared" si="18"/>
        <v/>
      </c>
      <c r="R24" s="69">
        <f t="shared" si="19"/>
        <v>276</v>
      </c>
      <c r="U24" s="5">
        <v>45330</v>
      </c>
      <c r="V24">
        <v>7355</v>
      </c>
      <c r="W24">
        <v>-17169</v>
      </c>
      <c r="X24">
        <v>9535</v>
      </c>
      <c r="Y24">
        <v>4522</v>
      </c>
      <c r="Z24">
        <v>-109</v>
      </c>
      <c r="AA24">
        <v>953</v>
      </c>
      <c r="AB24">
        <v>1876</v>
      </c>
      <c r="AC24">
        <v>-68</v>
      </c>
      <c r="AD24">
        <v>-145</v>
      </c>
      <c r="AE24">
        <v>2506</v>
      </c>
      <c r="AF24">
        <v>0</v>
      </c>
      <c r="AG24">
        <v>276</v>
      </c>
      <c r="BB24">
        <v>7</v>
      </c>
      <c r="BC24" t="s">
        <v>467</v>
      </c>
      <c r="BD24" t="s">
        <v>241</v>
      </c>
      <c r="BE24" t="s">
        <v>350</v>
      </c>
      <c r="BG24" t="s">
        <v>192</v>
      </c>
      <c r="BP24">
        <v>7</v>
      </c>
      <c r="BQ24" s="33" t="s">
        <v>533</v>
      </c>
      <c r="BR24" s="33" t="s">
        <v>601</v>
      </c>
      <c r="BS24" s="33" t="s">
        <v>357</v>
      </c>
      <c r="BU24" t="s">
        <v>174</v>
      </c>
      <c r="CL24" t="s">
        <v>88</v>
      </c>
      <c r="CM24" t="s">
        <v>66</v>
      </c>
      <c r="CN24" s="33" t="s">
        <v>134</v>
      </c>
      <c r="CO24" t="str">
        <f>_xll.IMDP("IDX",CN24,"한글종목명")</f>
        <v>IT종합</v>
      </c>
      <c r="CS24" t="s">
        <v>67</v>
      </c>
      <c r="CT24" t="s">
        <v>174</v>
      </c>
      <c r="CU24" t="s">
        <v>192</v>
      </c>
    </row>
    <row r="25" spans="2:114">
      <c r="B25" t="s">
        <v>80</v>
      </c>
      <c r="C25" t="str">
        <f t="shared" si="3"/>
        <v>비금속광물</v>
      </c>
      <c r="D25" t="str">
        <f t="shared" si="4"/>
        <v>010</v>
      </c>
      <c r="E25" t="str">
        <f t="shared" si="5"/>
        <v>IDX</v>
      </c>
      <c r="F25" s="74">
        <f t="shared" si="7"/>
        <v>45329</v>
      </c>
      <c r="G25" s="72">
        <f t="shared" si="8"/>
        <v>15906</v>
      </c>
      <c r="H25" s="68">
        <f t="shared" si="9"/>
        <v>-32424</v>
      </c>
      <c r="I25" s="68">
        <f t="shared" si="10"/>
        <v>17046</v>
      </c>
      <c r="J25" s="68">
        <f t="shared" si="11"/>
        <v>12402</v>
      </c>
      <c r="K25" s="68">
        <f t="shared" si="12"/>
        <v>280</v>
      </c>
      <c r="L25" s="68">
        <f t="shared" si="13"/>
        <v>324</v>
      </c>
      <c r="M25" s="68">
        <f t="shared" si="14"/>
        <v>1793</v>
      </c>
      <c r="N25" s="68">
        <f t="shared" si="15"/>
        <v>3</v>
      </c>
      <c r="O25" s="68">
        <f t="shared" si="16"/>
        <v>509</v>
      </c>
      <c r="P25" s="68">
        <f t="shared" si="17"/>
        <v>1735</v>
      </c>
      <c r="Q25" s="68" t="str">
        <f t="shared" si="18"/>
        <v/>
      </c>
      <c r="R25" s="69">
        <f t="shared" si="19"/>
        <v>-529</v>
      </c>
      <c r="U25" s="5">
        <v>45329</v>
      </c>
      <c r="V25">
        <v>15906</v>
      </c>
      <c r="W25">
        <v>-32424</v>
      </c>
      <c r="X25">
        <v>17046</v>
      </c>
      <c r="Y25">
        <v>12402</v>
      </c>
      <c r="Z25">
        <v>280</v>
      </c>
      <c r="AA25">
        <v>324</v>
      </c>
      <c r="AB25">
        <v>1793</v>
      </c>
      <c r="AC25">
        <v>3</v>
      </c>
      <c r="AD25">
        <v>509</v>
      </c>
      <c r="AE25">
        <v>1735</v>
      </c>
      <c r="AF25">
        <v>0</v>
      </c>
      <c r="AG25">
        <v>-529</v>
      </c>
      <c r="BB25">
        <v>8</v>
      </c>
      <c r="BC25" t="s">
        <v>468</v>
      </c>
      <c r="BD25" t="s">
        <v>242</v>
      </c>
      <c r="BG25" t="s">
        <v>193</v>
      </c>
      <c r="BP25">
        <v>8</v>
      </c>
      <c r="BQ25" s="33" t="s">
        <v>534</v>
      </c>
      <c r="BR25" s="33" t="s">
        <v>602</v>
      </c>
      <c r="BS25" s="33"/>
      <c r="BU25" t="s">
        <v>175</v>
      </c>
      <c r="CL25" t="s">
        <v>89</v>
      </c>
      <c r="CM25" t="s">
        <v>66</v>
      </c>
      <c r="CN25" s="33" t="s">
        <v>135</v>
      </c>
      <c r="CO25" t="str">
        <f>_xll.IMDP("IDX",CN25,"한글종목명")</f>
        <v>제조</v>
      </c>
      <c r="CS25" t="s">
        <v>67</v>
      </c>
      <c r="CT25" t="s">
        <v>175</v>
      </c>
      <c r="CU25" t="s">
        <v>193</v>
      </c>
    </row>
    <row r="26" spans="2:114">
      <c r="B26" t="s">
        <v>459</v>
      </c>
      <c r="C26" t="str">
        <f t="shared" si="3"/>
        <v>철강.금속</v>
      </c>
      <c r="D26" t="str">
        <f t="shared" si="4"/>
        <v>011</v>
      </c>
      <c r="E26" t="str">
        <f t="shared" si="5"/>
        <v>IDX</v>
      </c>
      <c r="F26" s="74">
        <f t="shared" si="7"/>
        <v>45328</v>
      </c>
      <c r="G26" s="72">
        <f t="shared" si="8"/>
        <v>-4064</v>
      </c>
      <c r="H26" s="68">
        <f t="shared" si="9"/>
        <v>3602</v>
      </c>
      <c r="I26" s="68">
        <f t="shared" si="10"/>
        <v>-918</v>
      </c>
      <c r="J26" s="68">
        <f t="shared" si="11"/>
        <v>1002</v>
      </c>
      <c r="K26" s="68">
        <f t="shared" si="12"/>
        <v>-689</v>
      </c>
      <c r="L26" s="68">
        <f t="shared" si="13"/>
        <v>-1890</v>
      </c>
      <c r="M26" s="68">
        <f t="shared" si="14"/>
        <v>-704</v>
      </c>
      <c r="N26" s="68">
        <f t="shared" si="15"/>
        <v>-176</v>
      </c>
      <c r="O26" s="68">
        <f t="shared" si="16"/>
        <v>88</v>
      </c>
      <c r="P26" s="68">
        <f t="shared" si="17"/>
        <v>1451</v>
      </c>
      <c r="Q26" s="68" t="str">
        <f t="shared" si="18"/>
        <v/>
      </c>
      <c r="R26" s="69">
        <f t="shared" si="19"/>
        <v>1384</v>
      </c>
      <c r="U26" s="5">
        <v>45328</v>
      </c>
      <c r="V26">
        <v>-4064</v>
      </c>
      <c r="W26">
        <v>3602</v>
      </c>
      <c r="X26">
        <v>-918</v>
      </c>
      <c r="Y26">
        <v>1002</v>
      </c>
      <c r="Z26">
        <v>-689</v>
      </c>
      <c r="AA26">
        <v>-1890</v>
      </c>
      <c r="AB26">
        <v>-704</v>
      </c>
      <c r="AC26">
        <v>-176</v>
      </c>
      <c r="AD26">
        <v>88</v>
      </c>
      <c r="AE26">
        <v>1451</v>
      </c>
      <c r="AF26">
        <v>0</v>
      </c>
      <c r="AG26">
        <v>1384</v>
      </c>
      <c r="BB26">
        <v>9</v>
      </c>
      <c r="BC26" t="s">
        <v>469</v>
      </c>
      <c r="BD26" t="s">
        <v>243</v>
      </c>
      <c r="BG26" t="s">
        <v>194</v>
      </c>
      <c r="BP26">
        <v>9</v>
      </c>
      <c r="BQ26" s="33" t="s">
        <v>535</v>
      </c>
      <c r="BR26" s="33" t="s">
        <v>603</v>
      </c>
      <c r="BS26" s="33"/>
      <c r="BU26" t="s">
        <v>176</v>
      </c>
      <c r="CL26" t="s">
        <v>90</v>
      </c>
      <c r="CM26" t="s">
        <v>66</v>
      </c>
      <c r="CN26" s="33" t="s">
        <v>136</v>
      </c>
      <c r="CO26" t="str">
        <f>_xll.IMDP("IDX",CN26,"한글종목명")</f>
        <v>건설</v>
      </c>
      <c r="CS26" t="s">
        <v>67</v>
      </c>
      <c r="CT26" t="s">
        <v>176</v>
      </c>
      <c r="CU26" t="s">
        <v>194</v>
      </c>
    </row>
    <row r="27" spans="2:114">
      <c r="B27" t="s">
        <v>81</v>
      </c>
      <c r="C27" t="str">
        <f t="shared" si="3"/>
        <v>기계</v>
      </c>
      <c r="D27" t="str">
        <f t="shared" si="4"/>
        <v>012</v>
      </c>
      <c r="E27" t="str">
        <f t="shared" si="5"/>
        <v>IDX</v>
      </c>
      <c r="F27" s="74">
        <f t="shared" si="7"/>
        <v>45327</v>
      </c>
      <c r="G27" s="72">
        <f t="shared" si="8"/>
        <v>-394</v>
      </c>
      <c r="H27" s="68">
        <f t="shared" si="9"/>
        <v>10166</v>
      </c>
      <c r="I27" s="68">
        <f t="shared" si="10"/>
        <v>-9698</v>
      </c>
      <c r="J27" s="68">
        <f t="shared" si="11"/>
        <v>-14686</v>
      </c>
      <c r="K27" s="68">
        <f t="shared" si="12"/>
        <v>-584</v>
      </c>
      <c r="L27" s="68">
        <f t="shared" si="13"/>
        <v>-19</v>
      </c>
      <c r="M27" s="68">
        <f t="shared" si="14"/>
        <v>1193</v>
      </c>
      <c r="N27" s="68">
        <f t="shared" si="15"/>
        <v>2104</v>
      </c>
      <c r="O27" s="68">
        <f t="shared" si="16"/>
        <v>6</v>
      </c>
      <c r="P27" s="68">
        <f t="shared" si="17"/>
        <v>2288</v>
      </c>
      <c r="Q27" s="68" t="str">
        <f t="shared" si="18"/>
        <v/>
      </c>
      <c r="R27" s="69">
        <f t="shared" si="19"/>
        <v>-74</v>
      </c>
      <c r="U27" s="5">
        <v>45327</v>
      </c>
      <c r="V27">
        <v>-394</v>
      </c>
      <c r="W27">
        <v>10166</v>
      </c>
      <c r="X27">
        <v>-9698</v>
      </c>
      <c r="Y27">
        <v>-14686</v>
      </c>
      <c r="Z27">
        <v>-584</v>
      </c>
      <c r="AA27">
        <v>-19</v>
      </c>
      <c r="AB27">
        <v>1193</v>
      </c>
      <c r="AC27">
        <v>2104</v>
      </c>
      <c r="AD27">
        <v>6</v>
      </c>
      <c r="AE27">
        <v>2288</v>
      </c>
      <c r="AF27">
        <v>0</v>
      </c>
      <c r="AG27">
        <v>-74</v>
      </c>
      <c r="BB27">
        <v>10</v>
      </c>
      <c r="BC27" t="s">
        <v>470</v>
      </c>
      <c r="BD27" t="s">
        <v>244</v>
      </c>
      <c r="BG27" t="s">
        <v>195</v>
      </c>
      <c r="BP27">
        <v>10</v>
      </c>
      <c r="BQ27" s="33" t="s">
        <v>536</v>
      </c>
      <c r="BR27" s="33" t="s">
        <v>604</v>
      </c>
      <c r="BS27" s="33"/>
      <c r="BU27" t="s">
        <v>177</v>
      </c>
      <c r="CL27" t="s">
        <v>91</v>
      </c>
      <c r="CM27" t="s">
        <v>66</v>
      </c>
      <c r="CN27" s="33" t="s">
        <v>137</v>
      </c>
      <c r="CO27" t="str">
        <f>_xll.IMDP("IDX",CN27,"한글종목명")</f>
        <v>유통</v>
      </c>
      <c r="CS27" t="s">
        <v>67</v>
      </c>
      <c r="CT27" t="s">
        <v>177</v>
      </c>
      <c r="CU27" t="s">
        <v>195</v>
      </c>
    </row>
    <row r="28" spans="2:114">
      <c r="B28" t="s">
        <v>449</v>
      </c>
      <c r="C28" t="str">
        <f t="shared" si="3"/>
        <v>전기.전자</v>
      </c>
      <c r="D28" t="str">
        <f t="shared" si="4"/>
        <v>013</v>
      </c>
      <c r="E28" t="str">
        <f t="shared" si="5"/>
        <v>IDX</v>
      </c>
      <c r="F28" s="74">
        <f t="shared" si="7"/>
        <v>45324</v>
      </c>
      <c r="G28" s="72">
        <f t="shared" si="8"/>
        <v>39543</v>
      </c>
      <c r="H28" s="68">
        <f t="shared" si="9"/>
        <v>-46314</v>
      </c>
      <c r="I28" s="68">
        <f t="shared" si="10"/>
        <v>14413</v>
      </c>
      <c r="J28" s="68">
        <f t="shared" si="11"/>
        <v>6826</v>
      </c>
      <c r="K28" s="68">
        <f t="shared" si="12"/>
        <v>128</v>
      </c>
      <c r="L28" s="68">
        <f t="shared" si="13"/>
        <v>1448</v>
      </c>
      <c r="M28" s="68">
        <f t="shared" si="14"/>
        <v>839</v>
      </c>
      <c r="N28" s="68">
        <f t="shared" si="15"/>
        <v>-223</v>
      </c>
      <c r="O28" s="68">
        <f t="shared" si="16"/>
        <v>-47</v>
      </c>
      <c r="P28" s="68">
        <f t="shared" si="17"/>
        <v>5442</v>
      </c>
      <c r="Q28" s="68" t="str">
        <f t="shared" si="18"/>
        <v/>
      </c>
      <c r="R28" s="69">
        <f t="shared" si="19"/>
        <v>-7641</v>
      </c>
      <c r="U28" s="5">
        <v>45324</v>
      </c>
      <c r="V28">
        <v>39543</v>
      </c>
      <c r="W28">
        <v>-46314</v>
      </c>
      <c r="X28">
        <v>14413</v>
      </c>
      <c r="Y28">
        <v>6826</v>
      </c>
      <c r="Z28">
        <v>128</v>
      </c>
      <c r="AA28">
        <v>1448</v>
      </c>
      <c r="AB28">
        <v>839</v>
      </c>
      <c r="AC28">
        <v>-223</v>
      </c>
      <c r="AD28">
        <v>-47</v>
      </c>
      <c r="AE28">
        <v>5442</v>
      </c>
      <c r="AF28">
        <v>0</v>
      </c>
      <c r="AG28">
        <v>-7641</v>
      </c>
      <c r="BB28">
        <v>11</v>
      </c>
      <c r="BC28" t="s">
        <v>471</v>
      </c>
      <c r="BD28" t="s">
        <v>245</v>
      </c>
      <c r="BG28" t="s">
        <v>196</v>
      </c>
      <c r="BP28">
        <v>11</v>
      </c>
      <c r="BQ28" s="33" t="s">
        <v>537</v>
      </c>
      <c r="BR28" s="33" t="s">
        <v>605</v>
      </c>
      <c r="BS28" s="33"/>
      <c r="BU28" t="s">
        <v>178</v>
      </c>
      <c r="CL28" t="s">
        <v>95</v>
      </c>
      <c r="CM28" t="s">
        <v>66</v>
      </c>
      <c r="CN28" s="33" t="s">
        <v>138</v>
      </c>
      <c r="CO28" t="str">
        <f>_xll.IMDP("IDX",CN28,"한글종목명")</f>
        <v>운송</v>
      </c>
      <c r="CS28" t="s">
        <v>67</v>
      </c>
      <c r="CT28" t="s">
        <v>178</v>
      </c>
      <c r="CU28" t="s">
        <v>196</v>
      </c>
    </row>
    <row r="29" spans="2:114">
      <c r="B29" t="s">
        <v>450</v>
      </c>
      <c r="C29" t="str">
        <f t="shared" si="3"/>
        <v>의료정밀</v>
      </c>
      <c r="D29" t="str">
        <f t="shared" si="4"/>
        <v>014</v>
      </c>
      <c r="E29" t="str">
        <f t="shared" si="5"/>
        <v>IDX</v>
      </c>
      <c r="F29" s="74">
        <f t="shared" si="7"/>
        <v>45323</v>
      </c>
      <c r="G29" s="72">
        <f t="shared" si="8"/>
        <v>30376</v>
      </c>
      <c r="H29" s="68">
        <f t="shared" si="9"/>
        <v>-15478</v>
      </c>
      <c r="I29" s="68">
        <f t="shared" si="10"/>
        <v>11656</v>
      </c>
      <c r="J29" s="68">
        <f t="shared" si="11"/>
        <v>2296</v>
      </c>
      <c r="K29" s="68">
        <f t="shared" si="12"/>
        <v>341</v>
      </c>
      <c r="L29" s="68">
        <f t="shared" si="13"/>
        <v>4111</v>
      </c>
      <c r="M29" s="68">
        <f t="shared" si="14"/>
        <v>2119</v>
      </c>
      <c r="N29" s="68">
        <f t="shared" si="15"/>
        <v>-92</v>
      </c>
      <c r="O29" s="68">
        <f t="shared" si="16"/>
        <v>-255</v>
      </c>
      <c r="P29" s="68">
        <f t="shared" si="17"/>
        <v>3136</v>
      </c>
      <c r="Q29" s="68" t="str">
        <f t="shared" si="18"/>
        <v/>
      </c>
      <c r="R29" s="69">
        <f t="shared" si="19"/>
        <v>-26552</v>
      </c>
      <c r="U29" s="5">
        <v>45323</v>
      </c>
      <c r="V29">
        <v>30376</v>
      </c>
      <c r="W29">
        <v>-15478</v>
      </c>
      <c r="X29">
        <v>11656</v>
      </c>
      <c r="Y29">
        <v>2296</v>
      </c>
      <c r="Z29">
        <v>341</v>
      </c>
      <c r="AA29">
        <v>4111</v>
      </c>
      <c r="AB29">
        <v>2119</v>
      </c>
      <c r="AC29">
        <v>-92</v>
      </c>
      <c r="AD29">
        <v>-255</v>
      </c>
      <c r="AE29">
        <v>3136</v>
      </c>
      <c r="AF29">
        <v>0</v>
      </c>
      <c r="AG29">
        <v>-26552</v>
      </c>
      <c r="BB29">
        <v>12</v>
      </c>
      <c r="BC29" t="s">
        <v>472</v>
      </c>
      <c r="BD29" t="s">
        <v>246</v>
      </c>
      <c r="BG29" t="s">
        <v>197</v>
      </c>
      <c r="BP29">
        <v>12</v>
      </c>
      <c r="BQ29" s="33" t="s">
        <v>92</v>
      </c>
      <c r="BR29" s="33" t="s">
        <v>606</v>
      </c>
      <c r="BS29" s="33"/>
      <c r="BU29" t="s">
        <v>179</v>
      </c>
      <c r="CL29" t="s">
        <v>96</v>
      </c>
      <c r="CM29" t="s">
        <v>66</v>
      </c>
      <c r="CN29" s="33" t="s">
        <v>139</v>
      </c>
      <c r="CO29" t="str">
        <f>_xll.IMDP("IDX",CN29,"한글종목명")</f>
        <v>금융</v>
      </c>
      <c r="CS29" t="s">
        <v>67</v>
      </c>
      <c r="CT29" t="s">
        <v>179</v>
      </c>
      <c r="CU29" t="s">
        <v>197</v>
      </c>
    </row>
    <row r="30" spans="2:114">
      <c r="B30" t="s">
        <v>451</v>
      </c>
      <c r="C30" t="str">
        <f t="shared" si="3"/>
        <v>운수.장비</v>
      </c>
      <c r="D30" t="str">
        <f t="shared" si="4"/>
        <v>015</v>
      </c>
      <c r="E30" t="str">
        <f t="shared" si="5"/>
        <v>IDX</v>
      </c>
      <c r="F30" s="74">
        <f t="shared" si="7"/>
        <v>45322</v>
      </c>
      <c r="G30" s="72">
        <f t="shared" si="8"/>
        <v>-1178</v>
      </c>
      <c r="H30" s="68">
        <f t="shared" si="9"/>
        <v>9150</v>
      </c>
      <c r="I30" s="68">
        <f t="shared" si="10"/>
        <v>2643</v>
      </c>
      <c r="J30" s="68">
        <f t="shared" si="11"/>
        <v>1644</v>
      </c>
      <c r="K30" s="68">
        <f t="shared" si="12"/>
        <v>158</v>
      </c>
      <c r="L30" s="68">
        <f t="shared" si="13"/>
        <v>724</v>
      </c>
      <c r="M30" s="68">
        <f t="shared" si="14"/>
        <v>-231</v>
      </c>
      <c r="N30" s="68">
        <f t="shared" si="15"/>
        <v>-131</v>
      </c>
      <c r="O30" s="68">
        <f t="shared" si="16"/>
        <v>-186</v>
      </c>
      <c r="P30" s="68">
        <f t="shared" si="17"/>
        <v>665</v>
      </c>
      <c r="Q30" s="68" t="str">
        <f t="shared" si="18"/>
        <v/>
      </c>
      <c r="R30" s="69">
        <f t="shared" si="19"/>
        <v>-10616</v>
      </c>
      <c r="U30" s="5">
        <v>45322</v>
      </c>
      <c r="V30">
        <v>-1178</v>
      </c>
      <c r="W30">
        <v>9150</v>
      </c>
      <c r="X30">
        <v>2643</v>
      </c>
      <c r="Y30">
        <v>1644</v>
      </c>
      <c r="Z30">
        <v>158</v>
      </c>
      <c r="AA30">
        <v>724</v>
      </c>
      <c r="AB30">
        <v>-231</v>
      </c>
      <c r="AC30">
        <v>-131</v>
      </c>
      <c r="AD30">
        <v>-186</v>
      </c>
      <c r="AE30">
        <v>665</v>
      </c>
      <c r="AF30">
        <v>0</v>
      </c>
      <c r="AG30">
        <v>-10616</v>
      </c>
      <c r="BB30">
        <v>13</v>
      </c>
      <c r="BC30" t="s">
        <v>473</v>
      </c>
      <c r="BD30" t="s">
        <v>247</v>
      </c>
      <c r="BG30" t="s">
        <v>22</v>
      </c>
      <c r="BP30">
        <v>13</v>
      </c>
      <c r="BQ30" s="33" t="s">
        <v>93</v>
      </c>
      <c r="BR30" s="33" t="s">
        <v>607</v>
      </c>
      <c r="BS30" s="33"/>
      <c r="BU30" t="s">
        <v>180</v>
      </c>
      <c r="CL30" t="s">
        <v>97</v>
      </c>
      <c r="CM30" t="s">
        <v>66</v>
      </c>
      <c r="CN30" s="33" t="s">
        <v>140</v>
      </c>
      <c r="CO30" t="str">
        <f>_xll.IMDP("IDX",CN30,"한글종목명")</f>
        <v>오락문화</v>
      </c>
      <c r="CS30" t="s">
        <v>67</v>
      </c>
      <c r="CT30" t="s">
        <v>180</v>
      </c>
      <c r="CU30" t="s">
        <v>198</v>
      </c>
    </row>
    <row r="31" spans="2:114">
      <c r="D31" t="str">
        <f t="shared" si="4"/>
        <v>016</v>
      </c>
      <c r="E31" t="str">
        <f t="shared" si="5"/>
        <v>IDX</v>
      </c>
      <c r="F31" s="74">
        <f t="shared" si="7"/>
        <v>45321</v>
      </c>
      <c r="G31" s="72">
        <f t="shared" si="8"/>
        <v>1464</v>
      </c>
      <c r="H31" s="68">
        <f t="shared" si="9"/>
        <v>-9972</v>
      </c>
      <c r="I31" s="68">
        <f t="shared" si="10"/>
        <v>8492</v>
      </c>
      <c r="J31" s="68">
        <f t="shared" si="11"/>
        <v>3008</v>
      </c>
      <c r="K31" s="68">
        <f t="shared" si="12"/>
        <v>352</v>
      </c>
      <c r="L31" s="68">
        <f t="shared" si="13"/>
        <v>1585</v>
      </c>
      <c r="M31" s="68">
        <f t="shared" si="14"/>
        <v>1524</v>
      </c>
      <c r="N31" s="68">
        <f t="shared" si="15"/>
        <v>-99</v>
      </c>
      <c r="O31" s="68">
        <f t="shared" si="16"/>
        <v>-395</v>
      </c>
      <c r="P31" s="68">
        <f t="shared" si="17"/>
        <v>2517</v>
      </c>
      <c r="Q31" s="68" t="str">
        <f t="shared" si="18"/>
        <v/>
      </c>
      <c r="R31" s="69">
        <f t="shared" si="19"/>
        <v>14</v>
      </c>
      <c r="U31" s="5">
        <v>45321</v>
      </c>
      <c r="V31">
        <v>1464</v>
      </c>
      <c r="W31">
        <v>-9972</v>
      </c>
      <c r="X31">
        <v>8492</v>
      </c>
      <c r="Y31">
        <v>3008</v>
      </c>
      <c r="Z31">
        <v>352</v>
      </c>
      <c r="AA31">
        <v>1585</v>
      </c>
      <c r="AB31">
        <v>1524</v>
      </c>
      <c r="AC31">
        <v>-99</v>
      </c>
      <c r="AD31">
        <v>-395</v>
      </c>
      <c r="AE31">
        <v>2517</v>
      </c>
      <c r="AF31">
        <v>0</v>
      </c>
      <c r="AG31">
        <v>14</v>
      </c>
      <c r="BB31">
        <v>14</v>
      </c>
      <c r="BC31" t="s">
        <v>474</v>
      </c>
      <c r="BD31" t="s">
        <v>248</v>
      </c>
      <c r="BG31" t="s">
        <v>199</v>
      </c>
      <c r="BP31">
        <v>14</v>
      </c>
      <c r="BQ31" s="33" t="s">
        <v>94</v>
      </c>
      <c r="BR31" s="33" t="s">
        <v>608</v>
      </c>
      <c r="BS31" s="33"/>
      <c r="BU31" t="s">
        <v>181</v>
      </c>
      <c r="CL31" t="s">
        <v>98</v>
      </c>
      <c r="CM31" t="s">
        <v>66</v>
      </c>
      <c r="CN31" s="33" t="s">
        <v>141</v>
      </c>
      <c r="CO31" t="str">
        <f>_xll.IMDP("IDX",CN31,"한글종목명")</f>
        <v>통신방송</v>
      </c>
      <c r="CS31" t="s">
        <v>67</v>
      </c>
      <c r="CT31" t="s">
        <v>181</v>
      </c>
      <c r="CU31" t="s">
        <v>199</v>
      </c>
    </row>
    <row r="32" spans="2:114">
      <c r="D32" t="str">
        <f t="shared" si="4"/>
        <v>017</v>
      </c>
      <c r="E32" t="str">
        <f t="shared" si="5"/>
        <v>IDX</v>
      </c>
      <c r="F32" s="74">
        <f t="shared" si="7"/>
        <v>45320</v>
      </c>
      <c r="G32" s="72">
        <f t="shared" si="8"/>
        <v>7830</v>
      </c>
      <c r="H32" s="68">
        <f t="shared" si="9"/>
        <v>-17632</v>
      </c>
      <c r="I32" s="68">
        <f t="shared" si="10"/>
        <v>10156</v>
      </c>
      <c r="J32" s="68">
        <f t="shared" si="11"/>
        <v>2737</v>
      </c>
      <c r="K32" s="68">
        <f t="shared" si="12"/>
        <v>1083</v>
      </c>
      <c r="L32" s="68">
        <f t="shared" si="13"/>
        <v>1492</v>
      </c>
      <c r="M32" s="68">
        <f t="shared" si="14"/>
        <v>1229</v>
      </c>
      <c r="N32" s="68">
        <f t="shared" si="15"/>
        <v>-57</v>
      </c>
      <c r="O32" s="68">
        <f t="shared" si="16"/>
        <v>-47</v>
      </c>
      <c r="P32" s="68">
        <f t="shared" si="17"/>
        <v>3719</v>
      </c>
      <c r="Q32" s="68" t="str">
        <f t="shared" si="18"/>
        <v/>
      </c>
      <c r="R32" s="69">
        <f t="shared" si="19"/>
        <v>-353</v>
      </c>
      <c r="U32" s="5">
        <v>45320</v>
      </c>
      <c r="V32">
        <v>7830</v>
      </c>
      <c r="W32">
        <v>-17632</v>
      </c>
      <c r="X32">
        <v>10156</v>
      </c>
      <c r="Y32">
        <v>2737</v>
      </c>
      <c r="Z32">
        <v>1083</v>
      </c>
      <c r="AA32">
        <v>1492</v>
      </c>
      <c r="AB32">
        <v>1229</v>
      </c>
      <c r="AC32">
        <v>-57</v>
      </c>
      <c r="AD32">
        <v>-47</v>
      </c>
      <c r="AE32">
        <v>3719</v>
      </c>
      <c r="AF32">
        <v>0</v>
      </c>
      <c r="AG32">
        <v>-353</v>
      </c>
      <c r="BB32">
        <v>15</v>
      </c>
      <c r="BC32" t="s">
        <v>475</v>
      </c>
      <c r="BD32" t="s">
        <v>249</v>
      </c>
      <c r="BG32" t="s">
        <v>200</v>
      </c>
      <c r="BP32">
        <v>15</v>
      </c>
      <c r="BQ32" s="33" t="s">
        <v>100</v>
      </c>
      <c r="BR32" s="33" t="s">
        <v>609</v>
      </c>
      <c r="BS32" s="33"/>
      <c r="BU32" t="s">
        <v>182</v>
      </c>
      <c r="CL32" t="s">
        <v>99</v>
      </c>
      <c r="CM32" t="s">
        <v>66</v>
      </c>
      <c r="CN32" s="33" t="s">
        <v>142</v>
      </c>
      <c r="CO32" t="str">
        <f>_xll.IMDP("IDX",CN32,"한글종목명")</f>
        <v>IT S/W</v>
      </c>
      <c r="CS32" t="s">
        <v>67</v>
      </c>
      <c r="CT32" t="s">
        <v>182</v>
      </c>
      <c r="CU32" t="s">
        <v>200</v>
      </c>
    </row>
    <row r="33" spans="3:99">
      <c r="D33" t="str">
        <f t="shared" si="4"/>
        <v>018</v>
      </c>
      <c r="E33" t="str">
        <f t="shared" si="5"/>
        <v>IDX</v>
      </c>
      <c r="F33" s="74">
        <f t="shared" si="7"/>
        <v>45317</v>
      </c>
      <c r="G33" s="72">
        <f t="shared" si="8"/>
        <v>16341</v>
      </c>
      <c r="H33" s="68">
        <f t="shared" si="9"/>
        <v>-18659</v>
      </c>
      <c r="I33" s="68">
        <f t="shared" si="10"/>
        <v>3012</v>
      </c>
      <c r="J33" s="68">
        <f t="shared" si="11"/>
        <v>-896</v>
      </c>
      <c r="K33" s="68">
        <f t="shared" si="12"/>
        <v>428</v>
      </c>
      <c r="L33" s="68">
        <f t="shared" si="13"/>
        <v>1062</v>
      </c>
      <c r="M33" s="68">
        <f t="shared" si="14"/>
        <v>995</v>
      </c>
      <c r="N33" s="68">
        <f t="shared" si="15"/>
        <v>-4</v>
      </c>
      <c r="O33" s="68">
        <f t="shared" si="16"/>
        <v>-119</v>
      </c>
      <c r="P33" s="68">
        <f t="shared" si="17"/>
        <v>1546</v>
      </c>
      <c r="Q33" s="68" t="str">
        <f t="shared" si="18"/>
        <v/>
      </c>
      <c r="R33" s="69">
        <f t="shared" si="19"/>
        <v>-693</v>
      </c>
      <c r="U33" s="5">
        <v>45317</v>
      </c>
      <c r="V33">
        <v>16341</v>
      </c>
      <c r="W33">
        <v>-18659</v>
      </c>
      <c r="X33">
        <v>3012</v>
      </c>
      <c r="Y33">
        <v>-896</v>
      </c>
      <c r="Z33">
        <v>428</v>
      </c>
      <c r="AA33">
        <v>1062</v>
      </c>
      <c r="AB33">
        <v>995</v>
      </c>
      <c r="AC33">
        <v>-4</v>
      </c>
      <c r="AD33">
        <v>-119</v>
      </c>
      <c r="AE33">
        <v>1546</v>
      </c>
      <c r="AF33">
        <v>0</v>
      </c>
      <c r="AG33">
        <v>-693</v>
      </c>
      <c r="BB33">
        <v>16</v>
      </c>
      <c r="BC33" t="s">
        <v>476</v>
      </c>
      <c r="BD33" t="s">
        <v>250</v>
      </c>
      <c r="BG33" t="s">
        <v>201</v>
      </c>
      <c r="BP33">
        <v>16</v>
      </c>
      <c r="BQ33" s="33" t="s">
        <v>101</v>
      </c>
      <c r="BR33" s="33" t="s">
        <v>610</v>
      </c>
      <c r="BS33" s="33"/>
      <c r="BU33" t="s">
        <v>183</v>
      </c>
      <c r="CL33" t="s">
        <v>102</v>
      </c>
      <c r="CM33" t="s">
        <v>66</v>
      </c>
      <c r="CN33" s="33" t="s">
        <v>143</v>
      </c>
      <c r="CO33" t="str">
        <f>_xll.IMDP("IDX",CN33,"한글종목명")</f>
        <v>IT H/W</v>
      </c>
      <c r="CS33" t="s">
        <v>67</v>
      </c>
      <c r="CT33" t="s">
        <v>183</v>
      </c>
      <c r="CU33" t="s">
        <v>201</v>
      </c>
    </row>
    <row r="34" spans="3:99">
      <c r="D34" t="str">
        <f t="shared" si="4"/>
        <v>019</v>
      </c>
      <c r="E34" t="str">
        <f t="shared" si="5"/>
        <v>IDX</v>
      </c>
      <c r="F34" s="74">
        <f t="shared" si="7"/>
        <v>45316</v>
      </c>
      <c r="G34" s="72">
        <f t="shared" si="8"/>
        <v>741</v>
      </c>
      <c r="H34" s="68">
        <f t="shared" si="9"/>
        <v>-7293</v>
      </c>
      <c r="I34" s="68">
        <f t="shared" si="10"/>
        <v>7692</v>
      </c>
      <c r="J34" s="68">
        <f t="shared" si="11"/>
        <v>2094</v>
      </c>
      <c r="K34" s="68">
        <f t="shared" si="12"/>
        <v>597</v>
      </c>
      <c r="L34" s="68">
        <f t="shared" si="13"/>
        <v>867</v>
      </c>
      <c r="M34" s="68">
        <f t="shared" si="14"/>
        <v>597</v>
      </c>
      <c r="N34" s="68">
        <f t="shared" si="15"/>
        <v>63</v>
      </c>
      <c r="O34" s="68">
        <f t="shared" si="16"/>
        <v>1738</v>
      </c>
      <c r="P34" s="68">
        <f t="shared" si="17"/>
        <v>1736</v>
      </c>
      <c r="Q34" s="68" t="str">
        <f t="shared" si="18"/>
        <v/>
      </c>
      <c r="R34" s="69">
        <f t="shared" si="19"/>
        <v>-1140</v>
      </c>
      <c r="U34" s="5">
        <v>45316</v>
      </c>
      <c r="V34">
        <v>741</v>
      </c>
      <c r="W34">
        <v>-7293</v>
      </c>
      <c r="X34">
        <v>7692</v>
      </c>
      <c r="Y34">
        <v>2094</v>
      </c>
      <c r="Z34">
        <v>597</v>
      </c>
      <c r="AA34">
        <v>867</v>
      </c>
      <c r="AB34">
        <v>597</v>
      </c>
      <c r="AC34">
        <v>63</v>
      </c>
      <c r="AD34">
        <v>1738</v>
      </c>
      <c r="AE34">
        <v>1736</v>
      </c>
      <c r="AF34">
        <v>0</v>
      </c>
      <c r="AG34">
        <v>-1140</v>
      </c>
      <c r="BB34">
        <v>17</v>
      </c>
      <c r="BC34" t="s">
        <v>477</v>
      </c>
      <c r="BD34" t="s">
        <v>251</v>
      </c>
      <c r="BG34" t="s">
        <v>202</v>
      </c>
      <c r="BP34">
        <v>17</v>
      </c>
      <c r="BQ34" s="33" t="s">
        <v>538</v>
      </c>
      <c r="BR34" s="33" t="s">
        <v>611</v>
      </c>
      <c r="BS34" s="33"/>
      <c r="BU34" t="s">
        <v>184</v>
      </c>
      <c r="CL34" t="s">
        <v>103</v>
      </c>
      <c r="CM34" t="s">
        <v>66</v>
      </c>
      <c r="CN34" s="33" t="s">
        <v>144</v>
      </c>
      <c r="CO34" t="str">
        <f>_xll.IMDP("IDX",CN34,"한글종목명")</f>
        <v>음식.담배</v>
      </c>
      <c r="CS34" t="s">
        <v>67</v>
      </c>
      <c r="CT34" t="s">
        <v>184</v>
      </c>
      <c r="CU34" t="s">
        <v>202</v>
      </c>
    </row>
    <row r="35" spans="3:99">
      <c r="D35" t="str">
        <f t="shared" si="4"/>
        <v>020</v>
      </c>
      <c r="E35" t="str">
        <f t="shared" si="5"/>
        <v>IDX</v>
      </c>
      <c r="F35" s="74">
        <f t="shared" si="7"/>
        <v>45315</v>
      </c>
      <c r="G35" s="72">
        <f t="shared" si="8"/>
        <v>655</v>
      </c>
      <c r="H35" s="68">
        <f t="shared" si="9"/>
        <v>7152</v>
      </c>
      <c r="I35" s="68">
        <f t="shared" si="10"/>
        <v>-5670</v>
      </c>
      <c r="J35" s="68">
        <f t="shared" si="11"/>
        <v>-1092</v>
      </c>
      <c r="K35" s="68">
        <f t="shared" si="12"/>
        <v>415</v>
      </c>
      <c r="L35" s="68">
        <f t="shared" si="13"/>
        <v>-1550</v>
      </c>
      <c r="M35" s="68">
        <f t="shared" si="14"/>
        <v>-2807</v>
      </c>
      <c r="N35" s="68">
        <f t="shared" si="15"/>
        <v>-19</v>
      </c>
      <c r="O35" s="68">
        <f t="shared" si="16"/>
        <v>-161</v>
      </c>
      <c r="P35" s="68">
        <f t="shared" si="17"/>
        <v>-456</v>
      </c>
      <c r="Q35" s="68" t="str">
        <f t="shared" si="18"/>
        <v/>
      </c>
      <c r="R35" s="69">
        <f t="shared" si="19"/>
        <v>-2137</v>
      </c>
      <c r="U35" s="5">
        <v>45315</v>
      </c>
      <c r="V35">
        <v>655</v>
      </c>
      <c r="W35">
        <v>7152</v>
      </c>
      <c r="X35">
        <v>-5670</v>
      </c>
      <c r="Y35">
        <v>-1092</v>
      </c>
      <c r="Z35">
        <v>415</v>
      </c>
      <c r="AA35">
        <v>-1550</v>
      </c>
      <c r="AB35">
        <v>-2807</v>
      </c>
      <c r="AC35">
        <v>-19</v>
      </c>
      <c r="AD35">
        <v>-161</v>
      </c>
      <c r="AE35">
        <v>-456</v>
      </c>
      <c r="AF35">
        <v>0</v>
      </c>
      <c r="AG35">
        <v>-2137</v>
      </c>
      <c r="BB35">
        <v>18</v>
      </c>
      <c r="BC35" t="s">
        <v>478</v>
      </c>
      <c r="BD35" t="s">
        <v>252</v>
      </c>
      <c r="BG35" t="s">
        <v>203</v>
      </c>
      <c r="BP35">
        <v>18</v>
      </c>
      <c r="BQ35" s="33" t="s">
        <v>539</v>
      </c>
      <c r="BR35" s="33" t="s">
        <v>612</v>
      </c>
      <c r="BS35" s="33"/>
      <c r="BU35" t="s">
        <v>185</v>
      </c>
      <c r="CL35" t="s">
        <v>104</v>
      </c>
      <c r="CM35" t="s">
        <v>66</v>
      </c>
      <c r="CN35" s="33" t="s">
        <v>145</v>
      </c>
      <c r="CO35" t="str">
        <f>_xll.IMDP("IDX",CN35,"한글종목명")</f>
        <v>비금속</v>
      </c>
      <c r="CS35" t="s">
        <v>67</v>
      </c>
      <c r="CT35" t="s">
        <v>185</v>
      </c>
      <c r="CU35" t="s">
        <v>203</v>
      </c>
    </row>
    <row r="36" spans="3:99">
      <c r="D36" t="str">
        <f t="shared" si="4"/>
        <v>021</v>
      </c>
      <c r="E36" t="str">
        <f t="shared" si="5"/>
        <v>IDX</v>
      </c>
      <c r="F36" s="74">
        <f t="shared" si="7"/>
        <v>45314</v>
      </c>
      <c r="G36" s="72">
        <f t="shared" si="8"/>
        <v>7917</v>
      </c>
      <c r="H36" s="68">
        <f t="shared" si="9"/>
        <v>-13253</v>
      </c>
      <c r="I36" s="68">
        <f t="shared" si="10"/>
        <v>4895</v>
      </c>
      <c r="J36" s="68">
        <f t="shared" si="11"/>
        <v>2390</v>
      </c>
      <c r="K36" s="68">
        <f t="shared" si="12"/>
        <v>628</v>
      </c>
      <c r="L36" s="68">
        <f t="shared" si="13"/>
        <v>249</v>
      </c>
      <c r="M36" s="68">
        <f t="shared" si="14"/>
        <v>360</v>
      </c>
      <c r="N36" s="68">
        <f t="shared" si="15"/>
        <v>12</v>
      </c>
      <c r="O36" s="68">
        <f t="shared" si="16"/>
        <v>7</v>
      </c>
      <c r="P36" s="68">
        <f t="shared" si="17"/>
        <v>1249</v>
      </c>
      <c r="Q36" s="68" t="str">
        <f t="shared" si="18"/>
        <v/>
      </c>
      <c r="R36" s="69">
        <f t="shared" si="19"/>
        <v>442</v>
      </c>
      <c r="U36" s="5">
        <v>45314</v>
      </c>
      <c r="V36">
        <v>7917</v>
      </c>
      <c r="W36">
        <v>-13253</v>
      </c>
      <c r="X36">
        <v>4895</v>
      </c>
      <c r="Y36">
        <v>2390</v>
      </c>
      <c r="Z36">
        <v>628</v>
      </c>
      <c r="AA36">
        <v>249</v>
      </c>
      <c r="AB36">
        <v>360</v>
      </c>
      <c r="AC36">
        <v>12</v>
      </c>
      <c r="AD36">
        <v>7</v>
      </c>
      <c r="AE36">
        <v>1249</v>
      </c>
      <c r="AF36">
        <v>0</v>
      </c>
      <c r="AG36">
        <v>442</v>
      </c>
      <c r="BB36">
        <v>19</v>
      </c>
      <c r="BC36" t="s">
        <v>479</v>
      </c>
      <c r="BD36" t="s">
        <v>583</v>
      </c>
      <c r="BP36">
        <v>19</v>
      </c>
      <c r="BQ36" s="33" t="s">
        <v>540</v>
      </c>
      <c r="BR36" s="33" t="s">
        <v>613</v>
      </c>
      <c r="BS36" s="33"/>
      <c r="CL36" t="s">
        <v>6</v>
      </c>
      <c r="CM36" t="s">
        <v>66</v>
      </c>
      <c r="CN36" s="33" t="s">
        <v>146</v>
      </c>
      <c r="CO36" t="str">
        <f>_xll.IMDP("IDX",CN36,"한글종목명")</f>
        <v>금속</v>
      </c>
    </row>
    <row r="37" spans="3:99">
      <c r="D37" t="str">
        <f t="shared" si="4"/>
        <v>024</v>
      </c>
      <c r="E37" t="str">
        <f t="shared" si="5"/>
        <v>IDX</v>
      </c>
      <c r="F37" s="74">
        <f t="shared" si="7"/>
        <v>45313</v>
      </c>
      <c r="G37" s="72">
        <f t="shared" si="8"/>
        <v>5365</v>
      </c>
      <c r="H37" s="68">
        <f t="shared" si="9"/>
        <v>-1488</v>
      </c>
      <c r="I37" s="68">
        <f t="shared" si="10"/>
        <v>-546</v>
      </c>
      <c r="J37" s="68">
        <f t="shared" si="11"/>
        <v>-180</v>
      </c>
      <c r="K37" s="68">
        <f t="shared" si="12"/>
        <v>65</v>
      </c>
      <c r="L37" s="68">
        <f t="shared" si="13"/>
        <v>303</v>
      </c>
      <c r="M37" s="68">
        <f t="shared" si="14"/>
        <v>-608</v>
      </c>
      <c r="N37" s="68">
        <f t="shared" si="15"/>
        <v>13</v>
      </c>
      <c r="O37" s="68">
        <f t="shared" si="16"/>
        <v>15</v>
      </c>
      <c r="P37" s="68">
        <f t="shared" si="17"/>
        <v>-154</v>
      </c>
      <c r="Q37" s="68" t="str">
        <f t="shared" si="18"/>
        <v/>
      </c>
      <c r="R37" s="69">
        <f t="shared" si="19"/>
        <v>-3330</v>
      </c>
      <c r="U37" s="5">
        <v>45313</v>
      </c>
      <c r="V37">
        <v>5365</v>
      </c>
      <c r="W37">
        <v>-1488</v>
      </c>
      <c r="X37">
        <v>-546</v>
      </c>
      <c r="Y37">
        <v>-180</v>
      </c>
      <c r="Z37">
        <v>65</v>
      </c>
      <c r="AA37">
        <v>303</v>
      </c>
      <c r="AB37">
        <v>-608</v>
      </c>
      <c r="AC37">
        <v>13</v>
      </c>
      <c r="AD37">
        <v>15</v>
      </c>
      <c r="AE37">
        <v>-154</v>
      </c>
      <c r="AF37">
        <v>0</v>
      </c>
      <c r="AG37">
        <v>-3330</v>
      </c>
      <c r="BB37">
        <v>20</v>
      </c>
      <c r="BC37" t="s">
        <v>480</v>
      </c>
      <c r="BD37" t="s">
        <v>465</v>
      </c>
      <c r="BP37">
        <v>20</v>
      </c>
      <c r="BQ37" s="33" t="s">
        <v>541</v>
      </c>
      <c r="BR37" s="33" t="s">
        <v>614</v>
      </c>
      <c r="BS37" s="33"/>
      <c r="CL37" t="s">
        <v>105</v>
      </c>
      <c r="CM37" t="s">
        <v>66</v>
      </c>
      <c r="CN37" s="33" t="s">
        <v>147</v>
      </c>
      <c r="CO37" t="str">
        <f>_xll.IMDP("IDX",CN37,"한글종목명")</f>
        <v>기계.장비</v>
      </c>
    </row>
    <row r="38" spans="3:99">
      <c r="C38" t="str">
        <f t="shared" ref="C38:C53" si="20">IF(INDEX($BC$18:$BO$54,$BB38,$B$17)=0,"",INDEX($BC$18:$BO$54,$BB38,$B$17))</f>
        <v>보험</v>
      </c>
      <c r="D38" t="str">
        <f t="shared" si="4"/>
        <v>025</v>
      </c>
      <c r="E38" t="str">
        <f t="shared" si="5"/>
        <v>IDX</v>
      </c>
      <c r="F38" s="74">
        <f t="shared" si="7"/>
        <v>45310</v>
      </c>
      <c r="G38" s="72">
        <f t="shared" si="8"/>
        <v>16100</v>
      </c>
      <c r="H38" s="68">
        <f t="shared" si="9"/>
        <v>-10164</v>
      </c>
      <c r="I38" s="68">
        <f t="shared" si="10"/>
        <v>1426</v>
      </c>
      <c r="J38" s="68">
        <f t="shared" si="11"/>
        <v>-313</v>
      </c>
      <c r="K38" s="68">
        <f t="shared" si="12"/>
        <v>397</v>
      </c>
      <c r="L38" s="68">
        <f t="shared" si="13"/>
        <v>2273</v>
      </c>
      <c r="M38" s="68">
        <f t="shared" si="14"/>
        <v>27</v>
      </c>
      <c r="N38" s="68">
        <f t="shared" si="15"/>
        <v>17</v>
      </c>
      <c r="O38" s="68">
        <f t="shared" si="16"/>
        <v>-13</v>
      </c>
      <c r="P38" s="68">
        <f t="shared" si="17"/>
        <v>-962</v>
      </c>
      <c r="Q38" s="68" t="str">
        <f t="shared" si="18"/>
        <v/>
      </c>
      <c r="R38" s="69">
        <f t="shared" si="19"/>
        <v>-7362</v>
      </c>
      <c r="U38" s="5">
        <v>45310</v>
      </c>
      <c r="V38">
        <v>16100</v>
      </c>
      <c r="W38">
        <v>-10164</v>
      </c>
      <c r="X38">
        <v>1426</v>
      </c>
      <c r="Y38">
        <v>-313</v>
      </c>
      <c r="Z38">
        <v>397</v>
      </c>
      <c r="AA38">
        <v>2273</v>
      </c>
      <c r="AB38">
        <v>27</v>
      </c>
      <c r="AC38">
        <v>17</v>
      </c>
      <c r="AD38">
        <v>-13</v>
      </c>
      <c r="AE38">
        <v>-962</v>
      </c>
      <c r="AF38">
        <v>0</v>
      </c>
      <c r="AG38">
        <v>-7362</v>
      </c>
      <c r="BB38">
        <v>21</v>
      </c>
      <c r="BC38" t="s">
        <v>481</v>
      </c>
      <c r="BD38" t="s">
        <v>584</v>
      </c>
      <c r="BP38">
        <v>21</v>
      </c>
      <c r="BQ38" s="33" t="s">
        <v>542</v>
      </c>
      <c r="BR38" s="33" t="s">
        <v>615</v>
      </c>
      <c r="BS38" s="33"/>
      <c r="CL38" t="s">
        <v>3</v>
      </c>
      <c r="CM38" t="s">
        <v>66</v>
      </c>
      <c r="CN38" s="33" t="s">
        <v>148</v>
      </c>
      <c r="CO38" t="str">
        <f>_xll.IMDP("IDX",CN38,"한글종목명")</f>
        <v>일반전기전자</v>
      </c>
    </row>
    <row r="39" spans="3:99">
      <c r="C39" t="str">
        <f t="shared" si="20"/>
        <v>서비스업</v>
      </c>
      <c r="D39" t="str">
        <f t="shared" si="4"/>
        <v>026</v>
      </c>
      <c r="E39" t="str">
        <f t="shared" si="5"/>
        <v>IDX</v>
      </c>
      <c r="F39" s="74">
        <f t="shared" si="7"/>
        <v>45309</v>
      </c>
      <c r="G39" s="72">
        <f t="shared" si="8"/>
        <v>2529</v>
      </c>
      <c r="H39" s="68">
        <f t="shared" si="9"/>
        <v>-3347</v>
      </c>
      <c r="I39" s="68">
        <f t="shared" si="10"/>
        <v>271</v>
      </c>
      <c r="J39" s="68">
        <f t="shared" si="11"/>
        <v>-290</v>
      </c>
      <c r="K39" s="68">
        <f t="shared" si="12"/>
        <v>205</v>
      </c>
      <c r="L39" s="68">
        <f t="shared" si="13"/>
        <v>123</v>
      </c>
      <c r="M39" s="68">
        <f t="shared" si="14"/>
        <v>225</v>
      </c>
      <c r="N39" s="68">
        <f t="shared" si="15"/>
        <v>27</v>
      </c>
      <c r="O39" s="68">
        <f t="shared" si="16"/>
        <v>66</v>
      </c>
      <c r="P39" s="68">
        <f t="shared" si="17"/>
        <v>-85</v>
      </c>
      <c r="Q39" s="68" t="str">
        <f t="shared" si="18"/>
        <v/>
      </c>
      <c r="R39" s="69">
        <f t="shared" si="19"/>
        <v>547</v>
      </c>
      <c r="U39" s="5">
        <v>45309</v>
      </c>
      <c r="V39">
        <v>2529</v>
      </c>
      <c r="W39">
        <v>-3347</v>
      </c>
      <c r="X39">
        <v>271</v>
      </c>
      <c r="Y39">
        <v>-290</v>
      </c>
      <c r="Z39">
        <v>205</v>
      </c>
      <c r="AA39">
        <v>123</v>
      </c>
      <c r="AB39">
        <v>225</v>
      </c>
      <c r="AC39">
        <v>27</v>
      </c>
      <c r="AD39">
        <v>66</v>
      </c>
      <c r="AE39">
        <v>-85</v>
      </c>
      <c r="AF39">
        <v>0</v>
      </c>
      <c r="AG39">
        <v>547</v>
      </c>
      <c r="BB39">
        <v>22</v>
      </c>
      <c r="BC39" t="s">
        <v>482</v>
      </c>
      <c r="BD39" t="s">
        <v>466</v>
      </c>
      <c r="BP39">
        <v>22</v>
      </c>
      <c r="BQ39" s="33" t="s">
        <v>108</v>
      </c>
      <c r="BR39" s="33" t="s">
        <v>616</v>
      </c>
      <c r="BS39" s="33"/>
      <c r="CL39" t="s">
        <v>106</v>
      </c>
      <c r="CM39" t="s">
        <v>66</v>
      </c>
      <c r="CN39" s="33" t="s">
        <v>149</v>
      </c>
      <c r="CO39" t="str">
        <f>_xll.IMDP("IDX",CN39,"한글종목명")</f>
        <v>의료정밀기기</v>
      </c>
    </row>
    <row r="40" spans="3:99">
      <c r="C40" t="str">
        <f t="shared" si="20"/>
        <v>제조업</v>
      </c>
      <c r="D40" t="str">
        <f t="shared" si="4"/>
        <v>027</v>
      </c>
      <c r="E40" t="str">
        <f t="shared" si="5"/>
        <v>IDX</v>
      </c>
      <c r="F40" s="74">
        <f t="shared" si="7"/>
        <v>45308</v>
      </c>
      <c r="G40" s="72">
        <f t="shared" si="8"/>
        <v>-20373</v>
      </c>
      <c r="H40" s="68">
        <f t="shared" si="9"/>
        <v>17566</v>
      </c>
      <c r="I40" s="68">
        <f t="shared" si="10"/>
        <v>870</v>
      </c>
      <c r="J40" s="68">
        <f t="shared" si="11"/>
        <v>1027</v>
      </c>
      <c r="K40" s="68">
        <f t="shared" si="12"/>
        <v>688</v>
      </c>
      <c r="L40" s="68">
        <f t="shared" si="13"/>
        <v>119</v>
      </c>
      <c r="M40" s="68">
        <f t="shared" si="14"/>
        <v>18</v>
      </c>
      <c r="N40" s="68">
        <f t="shared" si="15"/>
        <v>-422</v>
      </c>
      <c r="O40" s="68">
        <f t="shared" si="16"/>
        <v>-13</v>
      </c>
      <c r="P40" s="68">
        <f t="shared" si="17"/>
        <v>-547</v>
      </c>
      <c r="Q40" s="68" t="str">
        <f t="shared" si="18"/>
        <v/>
      </c>
      <c r="R40" s="69">
        <f t="shared" si="19"/>
        <v>1938</v>
      </c>
      <c r="U40" s="5">
        <v>45308</v>
      </c>
      <c r="V40">
        <v>-20373</v>
      </c>
      <c r="W40">
        <v>17566</v>
      </c>
      <c r="X40">
        <v>870</v>
      </c>
      <c r="Y40">
        <v>1027</v>
      </c>
      <c r="Z40">
        <v>688</v>
      </c>
      <c r="AA40">
        <v>119</v>
      </c>
      <c r="AB40">
        <v>18</v>
      </c>
      <c r="AC40">
        <v>-422</v>
      </c>
      <c r="AD40">
        <v>-13</v>
      </c>
      <c r="AE40">
        <v>-547</v>
      </c>
      <c r="AF40">
        <v>0</v>
      </c>
      <c r="AG40">
        <v>1938</v>
      </c>
      <c r="BB40">
        <v>23</v>
      </c>
      <c r="BC40" t="s">
        <v>483</v>
      </c>
      <c r="BD40" t="s">
        <v>585</v>
      </c>
      <c r="BP40">
        <v>23</v>
      </c>
      <c r="BQ40" s="33" t="s">
        <v>109</v>
      </c>
      <c r="BR40" s="33" t="s">
        <v>617</v>
      </c>
      <c r="BS40" s="33"/>
      <c r="CL40" t="s">
        <v>107</v>
      </c>
      <c r="CM40" t="s">
        <v>66</v>
      </c>
      <c r="CN40" s="33" t="s">
        <v>150</v>
      </c>
      <c r="CO40" t="str">
        <f>_xll.IMDP("IDX",CN40,"한글종목명")</f>
        <v>운송장비부품</v>
      </c>
    </row>
    <row r="41" spans="3:99">
      <c r="C41" t="str">
        <f t="shared" si="20"/>
        <v>KRX 부동산리츠인프라 지수</v>
      </c>
      <c r="D41" t="str">
        <f t="shared" si="4"/>
        <v>028</v>
      </c>
      <c r="E41" t="str">
        <f t="shared" si="5"/>
        <v>IDX</v>
      </c>
      <c r="F41" s="74">
        <f t="shared" si="7"/>
        <v>45307</v>
      </c>
      <c r="G41" s="72">
        <f t="shared" si="8"/>
        <v>-8962</v>
      </c>
      <c r="H41" s="68">
        <f t="shared" si="9"/>
        <v>15349</v>
      </c>
      <c r="I41" s="68">
        <f t="shared" si="10"/>
        <v>-7191</v>
      </c>
      <c r="J41" s="68">
        <f t="shared" si="11"/>
        <v>-4917</v>
      </c>
      <c r="K41" s="68">
        <f t="shared" si="12"/>
        <v>430</v>
      </c>
      <c r="L41" s="68">
        <f t="shared" si="13"/>
        <v>-841</v>
      </c>
      <c r="M41" s="68">
        <f t="shared" si="14"/>
        <v>134</v>
      </c>
      <c r="N41" s="68">
        <f t="shared" si="15"/>
        <v>-716</v>
      </c>
      <c r="O41" s="68">
        <f t="shared" si="16"/>
        <v>122</v>
      </c>
      <c r="P41" s="68">
        <f t="shared" si="17"/>
        <v>-1403</v>
      </c>
      <c r="Q41" s="68" t="str">
        <f t="shared" si="18"/>
        <v/>
      </c>
      <c r="R41" s="69">
        <f t="shared" si="19"/>
        <v>805</v>
      </c>
      <c r="U41" s="5">
        <v>45307</v>
      </c>
      <c r="V41">
        <v>-8962</v>
      </c>
      <c r="W41">
        <v>15349</v>
      </c>
      <c r="X41">
        <v>-7191</v>
      </c>
      <c r="Y41">
        <v>-4917</v>
      </c>
      <c r="Z41">
        <v>430</v>
      </c>
      <c r="AA41">
        <v>-841</v>
      </c>
      <c r="AB41">
        <v>134</v>
      </c>
      <c r="AC41">
        <v>-716</v>
      </c>
      <c r="AD41">
        <v>122</v>
      </c>
      <c r="AE41">
        <v>-1403</v>
      </c>
      <c r="AF41">
        <v>0</v>
      </c>
      <c r="AG41">
        <v>805</v>
      </c>
      <c r="BB41">
        <v>24</v>
      </c>
      <c r="BC41" t="s">
        <v>484</v>
      </c>
      <c r="BD41" t="s">
        <v>253</v>
      </c>
      <c r="BP41">
        <v>24</v>
      </c>
      <c r="BQ41" s="33" t="s">
        <v>543</v>
      </c>
      <c r="BR41" s="33" t="s">
        <v>618</v>
      </c>
      <c r="BS41" s="33"/>
      <c r="CL41" t="s">
        <v>110</v>
      </c>
      <c r="CM41" t="s">
        <v>66</v>
      </c>
      <c r="CN41" s="33" t="s">
        <v>151</v>
      </c>
      <c r="CO41" t="str">
        <f>_xll.IMDP("IDX",CN41,"한글종목명")</f>
        <v>가구</v>
      </c>
    </row>
    <row r="42" spans="3:99">
      <c r="C42" t="str">
        <f t="shared" si="20"/>
        <v>KOSPI 대형주</v>
      </c>
      <c r="D42" t="str">
        <f t="shared" si="4"/>
        <v>201</v>
      </c>
      <c r="E42" t="str">
        <f t="shared" si="5"/>
        <v>IDX</v>
      </c>
      <c r="F42" s="74">
        <f t="shared" si="7"/>
        <v>45306</v>
      </c>
      <c r="G42" s="72">
        <f t="shared" si="8"/>
        <v>-10011</v>
      </c>
      <c r="H42" s="68">
        <f t="shared" si="9"/>
        <v>9357</v>
      </c>
      <c r="I42" s="68">
        <f t="shared" si="10"/>
        <v>503</v>
      </c>
      <c r="J42" s="68">
        <f t="shared" si="11"/>
        <v>2484</v>
      </c>
      <c r="K42" s="68">
        <f t="shared" si="12"/>
        <v>-236</v>
      </c>
      <c r="L42" s="68">
        <f t="shared" si="13"/>
        <v>-1400</v>
      </c>
      <c r="M42" s="68">
        <f t="shared" si="14"/>
        <v>279</v>
      </c>
      <c r="N42" s="68">
        <f t="shared" si="15"/>
        <v>-105</v>
      </c>
      <c r="O42" s="68">
        <f t="shared" si="16"/>
        <v>523</v>
      </c>
      <c r="P42" s="68">
        <f t="shared" si="17"/>
        <v>-1042</v>
      </c>
      <c r="Q42" s="68" t="str">
        <f t="shared" si="18"/>
        <v/>
      </c>
      <c r="R42" s="69">
        <f t="shared" si="19"/>
        <v>150</v>
      </c>
      <c r="U42" s="5">
        <v>45306</v>
      </c>
      <c r="V42">
        <v>-10011</v>
      </c>
      <c r="W42">
        <v>9357</v>
      </c>
      <c r="X42">
        <v>503</v>
      </c>
      <c r="Y42">
        <v>2484</v>
      </c>
      <c r="Z42">
        <v>-236</v>
      </c>
      <c r="AA42">
        <v>-1400</v>
      </c>
      <c r="AB42">
        <v>279</v>
      </c>
      <c r="AC42">
        <v>-105</v>
      </c>
      <c r="AD42">
        <v>523</v>
      </c>
      <c r="AE42">
        <v>-1042</v>
      </c>
      <c r="AF42">
        <v>0</v>
      </c>
      <c r="AG42">
        <v>150</v>
      </c>
      <c r="BB42">
        <v>25</v>
      </c>
      <c r="BC42" t="s">
        <v>485</v>
      </c>
      <c r="BD42" t="s">
        <v>254</v>
      </c>
      <c r="BP42">
        <v>25</v>
      </c>
      <c r="BQ42" s="33" t="s">
        <v>544</v>
      </c>
      <c r="BR42" s="33" t="s">
        <v>619</v>
      </c>
      <c r="BS42" s="33"/>
      <c r="CL42" t="s">
        <v>111</v>
      </c>
      <c r="CM42" t="s">
        <v>66</v>
      </c>
      <c r="CN42" s="33" t="s">
        <v>152</v>
      </c>
      <c r="CO42" t="str">
        <f>_xll.IMDP("IDX",CN42,"한글종목명")</f>
        <v>통신서비스</v>
      </c>
    </row>
    <row r="43" spans="3:99">
      <c r="C43" t="str">
        <f t="shared" si="20"/>
        <v>KOSPI 중형주</v>
      </c>
      <c r="D43" t="str">
        <f t="shared" si="4"/>
        <v>202</v>
      </c>
      <c r="E43" t="str">
        <f t="shared" si="5"/>
        <v>IDX</v>
      </c>
      <c r="F43" s="74">
        <f t="shared" si="7"/>
        <v>45303</v>
      </c>
      <c r="G43" s="72">
        <f t="shared" si="8"/>
        <v>-9910</v>
      </c>
      <c r="H43" s="68">
        <f t="shared" si="9"/>
        <v>9781</v>
      </c>
      <c r="I43" s="68">
        <f t="shared" si="10"/>
        <v>-1924</v>
      </c>
      <c r="J43" s="68">
        <f t="shared" si="11"/>
        <v>-577</v>
      </c>
      <c r="K43" s="68">
        <f t="shared" si="12"/>
        <v>153</v>
      </c>
      <c r="L43" s="68">
        <f t="shared" si="13"/>
        <v>-915</v>
      </c>
      <c r="M43" s="68">
        <f t="shared" si="14"/>
        <v>-62</v>
      </c>
      <c r="N43" s="68">
        <f t="shared" si="15"/>
        <v>240</v>
      </c>
      <c r="O43" s="68">
        <f t="shared" si="16"/>
        <v>-63</v>
      </c>
      <c r="P43" s="68">
        <f t="shared" si="17"/>
        <v>-700</v>
      </c>
      <c r="Q43" s="68" t="str">
        <f t="shared" si="18"/>
        <v/>
      </c>
      <c r="R43" s="69">
        <f t="shared" si="19"/>
        <v>2052</v>
      </c>
      <c r="U43" s="5">
        <v>45303</v>
      </c>
      <c r="V43">
        <v>-9910</v>
      </c>
      <c r="W43">
        <v>9781</v>
      </c>
      <c r="X43">
        <v>-1924</v>
      </c>
      <c r="Y43">
        <v>-577</v>
      </c>
      <c r="Z43">
        <v>153</v>
      </c>
      <c r="AA43">
        <v>-915</v>
      </c>
      <c r="AB43">
        <v>-62</v>
      </c>
      <c r="AC43">
        <v>240</v>
      </c>
      <c r="AD43">
        <v>-63</v>
      </c>
      <c r="AE43">
        <v>-700</v>
      </c>
      <c r="AF43">
        <v>0</v>
      </c>
      <c r="AG43">
        <v>2052</v>
      </c>
      <c r="BB43">
        <v>26</v>
      </c>
      <c r="BC43" t="s">
        <v>486</v>
      </c>
      <c r="BD43" t="s">
        <v>255</v>
      </c>
      <c r="BP43">
        <v>26</v>
      </c>
      <c r="BQ43" s="33" t="s">
        <v>545</v>
      </c>
      <c r="BR43" s="33" t="s">
        <v>620</v>
      </c>
      <c r="BS43" s="33"/>
      <c r="CL43" t="s">
        <v>112</v>
      </c>
      <c r="CM43" t="s">
        <v>66</v>
      </c>
      <c r="CN43" s="33" t="s">
        <v>153</v>
      </c>
      <c r="CO43" t="str">
        <f>_xll.IMDP("IDX",CN43,"한글종목명")</f>
        <v>방송서비스</v>
      </c>
    </row>
    <row r="44" spans="3:99">
      <c r="C44" t="str">
        <f t="shared" si="20"/>
        <v>KOSPI 소형주</v>
      </c>
      <c r="D44" t="str">
        <f t="shared" si="4"/>
        <v>203</v>
      </c>
      <c r="E44" t="str">
        <f t="shared" si="5"/>
        <v>IDX</v>
      </c>
      <c r="F44" s="74">
        <f t="shared" si="7"/>
        <v>45302</v>
      </c>
      <c r="G44" s="72">
        <f t="shared" si="8"/>
        <v>38488</v>
      </c>
      <c r="H44" s="68">
        <f t="shared" si="9"/>
        <v>4830</v>
      </c>
      <c r="I44" s="68">
        <f t="shared" si="10"/>
        <v>-40826</v>
      </c>
      <c r="J44" s="68">
        <f t="shared" si="11"/>
        <v>-7426</v>
      </c>
      <c r="K44" s="68">
        <f t="shared" si="12"/>
        <v>589</v>
      </c>
      <c r="L44" s="68">
        <f t="shared" si="13"/>
        <v>1783</v>
      </c>
      <c r="M44" s="68">
        <f t="shared" si="14"/>
        <v>-303</v>
      </c>
      <c r="N44" s="68">
        <f t="shared" si="15"/>
        <v>-34597</v>
      </c>
      <c r="O44" s="68">
        <f t="shared" si="16"/>
        <v>-399</v>
      </c>
      <c r="P44" s="68">
        <f t="shared" si="17"/>
        <v>-473</v>
      </c>
      <c r="Q44" s="68" t="str">
        <f t="shared" si="18"/>
        <v/>
      </c>
      <c r="R44" s="69">
        <f t="shared" si="19"/>
        <v>-2493</v>
      </c>
      <c r="U44" s="5">
        <v>45302</v>
      </c>
      <c r="V44">
        <v>38488</v>
      </c>
      <c r="W44">
        <v>4830</v>
      </c>
      <c r="X44">
        <v>-40826</v>
      </c>
      <c r="Y44">
        <v>-7426</v>
      </c>
      <c r="Z44">
        <v>589</v>
      </c>
      <c r="AA44">
        <v>1783</v>
      </c>
      <c r="AB44">
        <v>-303</v>
      </c>
      <c r="AC44">
        <v>-34597</v>
      </c>
      <c r="AD44">
        <v>-399</v>
      </c>
      <c r="AE44">
        <v>-473</v>
      </c>
      <c r="AF44">
        <v>0</v>
      </c>
      <c r="AG44">
        <v>-2493</v>
      </c>
      <c r="BB44">
        <v>27</v>
      </c>
      <c r="BC44" t="s">
        <v>487</v>
      </c>
      <c r="BD44" t="s">
        <v>256</v>
      </c>
      <c r="BP44">
        <v>27</v>
      </c>
      <c r="BQ44" s="33" t="s">
        <v>546</v>
      </c>
      <c r="BR44" s="33" t="s">
        <v>621</v>
      </c>
      <c r="BS44" s="33"/>
      <c r="CL44" t="s">
        <v>21</v>
      </c>
      <c r="CM44" t="s">
        <v>66</v>
      </c>
      <c r="CN44" s="33" t="s">
        <v>154</v>
      </c>
      <c r="CO44" t="str">
        <f>_xll.IMDP("IDX",CN44,"한글종목명")</f>
        <v>인터넷</v>
      </c>
    </row>
    <row r="45" spans="3:99">
      <c r="C45" t="str">
        <f t="shared" si="20"/>
        <v>KTOP 30</v>
      </c>
      <c r="D45" t="str">
        <f t="shared" si="4"/>
        <v>204</v>
      </c>
      <c r="E45" t="str">
        <f t="shared" si="5"/>
        <v>IDX</v>
      </c>
      <c r="F45" s="74">
        <f t="shared" si="7"/>
        <v>45301</v>
      </c>
      <c r="G45" s="72">
        <f t="shared" si="8"/>
        <v>-6604</v>
      </c>
      <c r="H45" s="68">
        <f t="shared" si="9"/>
        <v>8917</v>
      </c>
      <c r="I45" s="68">
        <f t="shared" si="10"/>
        <v>-375</v>
      </c>
      <c r="J45" s="68">
        <f t="shared" si="11"/>
        <v>-161</v>
      </c>
      <c r="K45" s="68">
        <f t="shared" si="12"/>
        <v>734</v>
      </c>
      <c r="L45" s="68">
        <f t="shared" si="13"/>
        <v>-137</v>
      </c>
      <c r="M45" s="68">
        <f t="shared" si="14"/>
        <v>155</v>
      </c>
      <c r="N45" s="68">
        <f t="shared" si="15"/>
        <v>-30</v>
      </c>
      <c r="O45" s="68">
        <f t="shared" si="16"/>
        <v>-143</v>
      </c>
      <c r="P45" s="68">
        <f t="shared" si="17"/>
        <v>-793</v>
      </c>
      <c r="Q45" s="68" t="str">
        <f t="shared" si="18"/>
        <v/>
      </c>
      <c r="R45" s="69">
        <f t="shared" si="19"/>
        <v>-1938</v>
      </c>
      <c r="U45" s="5">
        <v>45301</v>
      </c>
      <c r="V45">
        <v>-6604</v>
      </c>
      <c r="W45">
        <v>8917</v>
      </c>
      <c r="X45">
        <v>-375</v>
      </c>
      <c r="Y45">
        <v>-161</v>
      </c>
      <c r="Z45">
        <v>734</v>
      </c>
      <c r="AA45">
        <v>-137</v>
      </c>
      <c r="AB45">
        <v>155</v>
      </c>
      <c r="AC45">
        <v>-30</v>
      </c>
      <c r="AD45">
        <v>-143</v>
      </c>
      <c r="AE45">
        <v>-793</v>
      </c>
      <c r="AF45">
        <v>0</v>
      </c>
      <c r="AG45">
        <v>-1938</v>
      </c>
      <c r="BB45">
        <v>28</v>
      </c>
      <c r="BC45" t="s">
        <v>488</v>
      </c>
      <c r="BD45" t="s">
        <v>257</v>
      </c>
      <c r="BP45">
        <v>28</v>
      </c>
      <c r="BQ45" s="33" t="s">
        <v>547</v>
      </c>
      <c r="BR45" s="33" t="s">
        <v>622</v>
      </c>
      <c r="BS45" s="33"/>
      <c r="CL45" t="s">
        <v>117</v>
      </c>
      <c r="CM45" t="s">
        <v>66</v>
      </c>
      <c r="CN45" s="33" t="s">
        <v>156</v>
      </c>
      <c r="CO45" t="str">
        <f>_xll.IMDP("IDX",CN45,"한글종목명")</f>
        <v>디지털컨텐츠</v>
      </c>
    </row>
    <row r="46" spans="3:99">
      <c r="C46" t="str">
        <f t="shared" si="20"/>
        <v>K200제외 코스피지수</v>
      </c>
      <c r="D46" t="str">
        <f t="shared" si="4"/>
        <v>205</v>
      </c>
      <c r="E46" t="str">
        <f t="shared" si="5"/>
        <v>IDX</v>
      </c>
      <c r="F46" s="74">
        <f t="shared" si="7"/>
        <v>45300</v>
      </c>
      <c r="G46" s="72">
        <f t="shared" si="8"/>
        <v>11828</v>
      </c>
      <c r="H46" s="68">
        <f t="shared" si="9"/>
        <v>-11812</v>
      </c>
      <c r="I46" s="68">
        <f t="shared" si="10"/>
        <v>-500</v>
      </c>
      <c r="J46" s="68">
        <f t="shared" si="11"/>
        <v>2607</v>
      </c>
      <c r="K46" s="68">
        <f t="shared" si="12"/>
        <v>645</v>
      </c>
      <c r="L46" s="68">
        <f t="shared" si="13"/>
        <v>59</v>
      </c>
      <c r="M46" s="68">
        <f t="shared" si="14"/>
        <v>-1873</v>
      </c>
      <c r="N46" s="68">
        <f t="shared" si="15"/>
        <v>21</v>
      </c>
      <c r="O46" s="68">
        <f t="shared" si="16"/>
        <v>-145</v>
      </c>
      <c r="P46" s="68">
        <f t="shared" si="17"/>
        <v>-1814</v>
      </c>
      <c r="Q46" s="68" t="str">
        <f t="shared" si="18"/>
        <v/>
      </c>
      <c r="R46" s="69">
        <f t="shared" si="19"/>
        <v>487</v>
      </c>
      <c r="U46" s="5">
        <v>45300</v>
      </c>
      <c r="V46">
        <v>11828</v>
      </c>
      <c r="W46">
        <v>-11812</v>
      </c>
      <c r="X46">
        <v>-500</v>
      </c>
      <c r="Y46">
        <v>2607</v>
      </c>
      <c r="Z46">
        <v>645</v>
      </c>
      <c r="AA46">
        <v>59</v>
      </c>
      <c r="AB46">
        <v>-1873</v>
      </c>
      <c r="AC46">
        <v>21</v>
      </c>
      <c r="AD46">
        <v>-145</v>
      </c>
      <c r="AE46">
        <v>-1814</v>
      </c>
      <c r="AF46">
        <v>0</v>
      </c>
      <c r="AG46">
        <v>487</v>
      </c>
      <c r="BB46">
        <v>29</v>
      </c>
      <c r="BC46" t="s">
        <v>489</v>
      </c>
      <c r="BD46" t="s">
        <v>258</v>
      </c>
      <c r="BP46">
        <v>29</v>
      </c>
      <c r="BQ46" s="33" t="s">
        <v>548</v>
      </c>
      <c r="BR46" s="33" t="s">
        <v>623</v>
      </c>
      <c r="BS46" s="33"/>
      <c r="CL46" t="s">
        <v>118</v>
      </c>
      <c r="CM46" t="s">
        <v>66</v>
      </c>
      <c r="CN46" s="33" t="s">
        <v>155</v>
      </c>
      <c r="CO46" t="str">
        <f>_xll.IMDP("IDX",CN46,"한글종목명")</f>
        <v>소프트웨어</v>
      </c>
    </row>
    <row r="47" spans="3:99">
      <c r="C47" t="str">
        <f t="shared" si="20"/>
        <v>K200 건설</v>
      </c>
      <c r="D47" t="str">
        <f t="shared" si="4"/>
        <v>212</v>
      </c>
      <c r="E47" t="str">
        <f t="shared" si="5"/>
        <v>IDX</v>
      </c>
      <c r="F47" s="74">
        <f t="shared" si="7"/>
        <v>45299</v>
      </c>
      <c r="G47" s="72">
        <f t="shared" si="8"/>
        <v>7610</v>
      </c>
      <c r="H47" s="68">
        <f t="shared" si="9"/>
        <v>-836</v>
      </c>
      <c r="I47" s="68">
        <f t="shared" si="10"/>
        <v>-7079</v>
      </c>
      <c r="J47" s="68">
        <f t="shared" si="11"/>
        <v>-4623</v>
      </c>
      <c r="K47" s="68">
        <f t="shared" si="12"/>
        <v>-142</v>
      </c>
      <c r="L47" s="68">
        <f t="shared" si="13"/>
        <v>-521</v>
      </c>
      <c r="M47" s="68">
        <f t="shared" si="14"/>
        <v>-1100</v>
      </c>
      <c r="N47" s="68">
        <f t="shared" si="15"/>
        <v>-29</v>
      </c>
      <c r="O47" s="68">
        <f t="shared" si="16"/>
        <v>-15</v>
      </c>
      <c r="P47" s="68">
        <f t="shared" si="17"/>
        <v>-649</v>
      </c>
      <c r="Q47" s="68" t="str">
        <f t="shared" si="18"/>
        <v/>
      </c>
      <c r="R47" s="69">
        <f t="shared" si="19"/>
        <v>304</v>
      </c>
      <c r="U47" s="5">
        <v>45299</v>
      </c>
      <c r="V47">
        <v>7610</v>
      </c>
      <c r="W47">
        <v>-836</v>
      </c>
      <c r="X47">
        <v>-7079</v>
      </c>
      <c r="Y47">
        <v>-4623</v>
      </c>
      <c r="Z47">
        <v>-142</v>
      </c>
      <c r="AA47">
        <v>-521</v>
      </c>
      <c r="AB47">
        <v>-1100</v>
      </c>
      <c r="AC47">
        <v>-29</v>
      </c>
      <c r="AD47">
        <v>-15</v>
      </c>
      <c r="AE47">
        <v>-649</v>
      </c>
      <c r="AF47">
        <v>0</v>
      </c>
      <c r="AG47">
        <v>304</v>
      </c>
      <c r="BB47">
        <v>30</v>
      </c>
      <c r="BC47" t="s">
        <v>490</v>
      </c>
      <c r="BD47" t="s">
        <v>586</v>
      </c>
      <c r="BP47">
        <v>30</v>
      </c>
      <c r="BQ47" s="33" t="s">
        <v>549</v>
      </c>
      <c r="BR47" s="33" t="s">
        <v>624</v>
      </c>
      <c r="BS47" s="33"/>
      <c r="CL47" t="s">
        <v>119</v>
      </c>
      <c r="CM47" t="s">
        <v>66</v>
      </c>
      <c r="CN47" s="33" t="s">
        <v>157</v>
      </c>
      <c r="CO47" t="str">
        <f>_xll.IMDP("IDX",CN47,"한글종목명")</f>
        <v>컴퓨터서비스</v>
      </c>
    </row>
    <row r="48" spans="3:99">
      <c r="C48" t="str">
        <f t="shared" si="20"/>
        <v>K200 중공업</v>
      </c>
      <c r="D48" t="str">
        <f t="shared" si="4"/>
        <v>213</v>
      </c>
      <c r="E48" t="str">
        <f t="shared" si="5"/>
        <v>IDX</v>
      </c>
      <c r="F48" s="74">
        <f t="shared" si="7"/>
        <v>45296</v>
      </c>
      <c r="G48" s="72">
        <f t="shared" si="8"/>
        <v>-8045</v>
      </c>
      <c r="H48" s="68">
        <f t="shared" si="9"/>
        <v>16889</v>
      </c>
      <c r="I48" s="68">
        <f t="shared" si="10"/>
        <v>-9062</v>
      </c>
      <c r="J48" s="68">
        <f t="shared" si="11"/>
        <v>-3548</v>
      </c>
      <c r="K48" s="68">
        <f t="shared" si="12"/>
        <v>-608</v>
      </c>
      <c r="L48" s="68">
        <f t="shared" si="13"/>
        <v>-226</v>
      </c>
      <c r="M48" s="68">
        <f t="shared" si="14"/>
        <v>-1191</v>
      </c>
      <c r="N48" s="68">
        <f t="shared" si="15"/>
        <v>-25</v>
      </c>
      <c r="O48" s="68">
        <f t="shared" si="16"/>
        <v>-422</v>
      </c>
      <c r="P48" s="68">
        <f t="shared" si="17"/>
        <v>-3042</v>
      </c>
      <c r="Q48" s="68" t="str">
        <f t="shared" si="18"/>
        <v/>
      </c>
      <c r="R48" s="69">
        <f t="shared" si="19"/>
        <v>218</v>
      </c>
      <c r="U48" s="5">
        <v>45296</v>
      </c>
      <c r="V48">
        <v>-8045</v>
      </c>
      <c r="W48">
        <v>16889</v>
      </c>
      <c r="X48">
        <v>-9062</v>
      </c>
      <c r="Y48">
        <v>-3548</v>
      </c>
      <c r="Z48">
        <v>-608</v>
      </c>
      <c r="AA48">
        <v>-226</v>
      </c>
      <c r="AB48">
        <v>-1191</v>
      </c>
      <c r="AC48">
        <v>-25</v>
      </c>
      <c r="AD48">
        <v>-422</v>
      </c>
      <c r="AE48">
        <v>-3042</v>
      </c>
      <c r="AF48">
        <v>0</v>
      </c>
      <c r="AG48">
        <v>218</v>
      </c>
      <c r="BB48">
        <v>31</v>
      </c>
      <c r="BC48" t="s">
        <v>491</v>
      </c>
      <c r="BD48" t="s">
        <v>259</v>
      </c>
      <c r="BP48">
        <v>31</v>
      </c>
      <c r="BQ48" s="33" t="s">
        <v>113</v>
      </c>
      <c r="BR48" s="33" t="s">
        <v>625</v>
      </c>
      <c r="BS48" s="33"/>
      <c r="CL48" t="s">
        <v>120</v>
      </c>
      <c r="CM48" t="s">
        <v>66</v>
      </c>
      <c r="CN48" s="33" t="s">
        <v>158</v>
      </c>
      <c r="CO48" t="str">
        <f>_xll.IMDP("IDX",CN48,"한글종목명")</f>
        <v>통신장비</v>
      </c>
    </row>
    <row r="49" spans="3:93">
      <c r="C49" t="str">
        <f t="shared" si="20"/>
        <v>K200 철강소재</v>
      </c>
      <c r="D49" t="str">
        <f t="shared" si="4"/>
        <v>214</v>
      </c>
      <c r="E49" t="str">
        <f t="shared" si="5"/>
        <v>IDX</v>
      </c>
      <c r="F49" s="74">
        <f t="shared" si="7"/>
        <v>45295</v>
      </c>
      <c r="G49" s="72">
        <f t="shared" si="8"/>
        <v>-11633</v>
      </c>
      <c r="H49" s="68">
        <f t="shared" si="9"/>
        <v>25309</v>
      </c>
      <c r="I49" s="68">
        <f t="shared" si="10"/>
        <v>-14014</v>
      </c>
      <c r="J49" s="68">
        <f t="shared" si="11"/>
        <v>-8656</v>
      </c>
      <c r="K49" s="68">
        <f t="shared" si="12"/>
        <v>-510</v>
      </c>
      <c r="L49" s="68">
        <f t="shared" si="13"/>
        <v>-1317</v>
      </c>
      <c r="M49" s="68">
        <f t="shared" si="14"/>
        <v>-1991</v>
      </c>
      <c r="N49" s="68">
        <f t="shared" si="15"/>
        <v>-56</v>
      </c>
      <c r="O49" s="68">
        <f t="shared" si="16"/>
        <v>-176</v>
      </c>
      <c r="P49" s="68">
        <f t="shared" si="17"/>
        <v>-1308</v>
      </c>
      <c r="Q49" s="68" t="str">
        <f t="shared" si="18"/>
        <v/>
      </c>
      <c r="R49" s="69">
        <f t="shared" si="19"/>
        <v>339</v>
      </c>
      <c r="U49" s="5">
        <v>45295</v>
      </c>
      <c r="V49">
        <v>-11633</v>
      </c>
      <c r="W49">
        <v>25309</v>
      </c>
      <c r="X49">
        <v>-14014</v>
      </c>
      <c r="Y49">
        <v>-8656</v>
      </c>
      <c r="Z49">
        <v>-510</v>
      </c>
      <c r="AA49">
        <v>-1317</v>
      </c>
      <c r="AB49">
        <v>-1991</v>
      </c>
      <c r="AC49">
        <v>-56</v>
      </c>
      <c r="AD49">
        <v>-176</v>
      </c>
      <c r="AE49">
        <v>-1308</v>
      </c>
      <c r="AF49">
        <v>0</v>
      </c>
      <c r="AG49">
        <v>339</v>
      </c>
      <c r="BB49">
        <v>32</v>
      </c>
      <c r="BC49" t="s">
        <v>492</v>
      </c>
      <c r="BD49" t="s">
        <v>260</v>
      </c>
      <c r="BP49">
        <v>32</v>
      </c>
      <c r="BQ49" s="33" t="s">
        <v>114</v>
      </c>
      <c r="BR49" s="33" t="s">
        <v>626</v>
      </c>
      <c r="BS49" s="33"/>
      <c r="CL49" t="s">
        <v>121</v>
      </c>
      <c r="CM49" t="s">
        <v>66</v>
      </c>
      <c r="CN49" s="33" t="s">
        <v>159</v>
      </c>
      <c r="CO49" t="str">
        <f>_xll.IMDP("IDX",CN49,"한글종목명")</f>
        <v>정보기기</v>
      </c>
    </row>
    <row r="50" spans="3:93">
      <c r="C50" t="str">
        <f t="shared" si="20"/>
        <v>K200 에너지화학</v>
      </c>
      <c r="D50" t="str">
        <f t="shared" si="4"/>
        <v>215</v>
      </c>
      <c r="E50" t="str">
        <f t="shared" si="5"/>
        <v>IDX</v>
      </c>
      <c r="F50" s="74">
        <f t="shared" si="7"/>
        <v>45294</v>
      </c>
      <c r="G50" s="72">
        <f t="shared" si="8"/>
        <v>-6888</v>
      </c>
      <c r="H50" s="68">
        <f t="shared" si="9"/>
        <v>27964</v>
      </c>
      <c r="I50" s="68">
        <f t="shared" si="10"/>
        <v>-20456</v>
      </c>
      <c r="J50" s="68">
        <f t="shared" si="11"/>
        <v>-17137</v>
      </c>
      <c r="K50" s="68">
        <f t="shared" si="12"/>
        <v>631</v>
      </c>
      <c r="L50" s="68">
        <f t="shared" si="13"/>
        <v>-1350</v>
      </c>
      <c r="M50" s="68">
        <f t="shared" si="14"/>
        <v>-1674</v>
      </c>
      <c r="N50" s="68">
        <f t="shared" si="15"/>
        <v>-134</v>
      </c>
      <c r="O50" s="68">
        <f t="shared" si="16"/>
        <v>17</v>
      </c>
      <c r="P50" s="68">
        <f t="shared" si="17"/>
        <v>-809</v>
      </c>
      <c r="Q50" s="68" t="str">
        <f t="shared" si="18"/>
        <v/>
      </c>
      <c r="R50" s="69">
        <f t="shared" si="19"/>
        <v>-620</v>
      </c>
      <c r="U50" s="5">
        <v>45294</v>
      </c>
      <c r="V50">
        <v>-6888</v>
      </c>
      <c r="W50">
        <v>27964</v>
      </c>
      <c r="X50">
        <v>-20456</v>
      </c>
      <c r="Y50">
        <v>-17137</v>
      </c>
      <c r="Z50">
        <v>631</v>
      </c>
      <c r="AA50">
        <v>-1350</v>
      </c>
      <c r="AB50">
        <v>-1674</v>
      </c>
      <c r="AC50">
        <v>-134</v>
      </c>
      <c r="AD50">
        <v>17</v>
      </c>
      <c r="AE50">
        <v>-809</v>
      </c>
      <c r="AF50">
        <v>0</v>
      </c>
      <c r="AG50">
        <v>-620</v>
      </c>
      <c r="BB50">
        <v>33</v>
      </c>
      <c r="BC50" t="s">
        <v>493</v>
      </c>
      <c r="BD50" t="s">
        <v>261</v>
      </c>
      <c r="BP50">
        <v>33</v>
      </c>
      <c r="BQ50" s="33" t="s">
        <v>115</v>
      </c>
      <c r="BR50" s="33" t="s">
        <v>627</v>
      </c>
      <c r="BS50" s="33"/>
      <c r="CL50" t="s">
        <v>122</v>
      </c>
      <c r="CM50" t="s">
        <v>66</v>
      </c>
      <c r="CN50" s="33" t="s">
        <v>160</v>
      </c>
      <c r="CO50" t="str">
        <f>_xll.IMDP("IDX",CN50,"한글종목명")</f>
        <v>반도체</v>
      </c>
    </row>
    <row r="51" spans="3:93">
      <c r="C51" t="str">
        <f t="shared" si="20"/>
        <v>K200 정보기술</v>
      </c>
      <c r="D51" t="str">
        <f t="shared" si="4"/>
        <v>216</v>
      </c>
      <c r="E51" t="str">
        <f t="shared" si="5"/>
        <v>IDX</v>
      </c>
      <c r="F51" s="74">
        <f t="shared" si="7"/>
        <v>45293</v>
      </c>
      <c r="G51" s="72">
        <f t="shared" si="8"/>
        <v>11452</v>
      </c>
      <c r="H51" s="68">
        <f t="shared" si="9"/>
        <v>-13550</v>
      </c>
      <c r="I51" s="68">
        <f t="shared" si="10"/>
        <v>1401</v>
      </c>
      <c r="J51" s="68">
        <f t="shared" si="11"/>
        <v>3549</v>
      </c>
      <c r="K51" s="68">
        <f t="shared" si="12"/>
        <v>148</v>
      </c>
      <c r="L51" s="68">
        <f t="shared" si="13"/>
        <v>-1924</v>
      </c>
      <c r="M51" s="68">
        <f t="shared" si="14"/>
        <v>1034</v>
      </c>
      <c r="N51" s="68">
        <f t="shared" si="15"/>
        <v>-121</v>
      </c>
      <c r="O51" s="68">
        <f t="shared" si="16"/>
        <v>-51</v>
      </c>
      <c r="P51" s="68">
        <f t="shared" si="17"/>
        <v>-1234</v>
      </c>
      <c r="Q51" s="68" t="str">
        <f t="shared" si="18"/>
        <v/>
      </c>
      <c r="R51" s="69">
        <f t="shared" si="19"/>
        <v>699</v>
      </c>
      <c r="U51" s="5">
        <v>45293</v>
      </c>
      <c r="V51">
        <v>11452</v>
      </c>
      <c r="W51">
        <v>-13550</v>
      </c>
      <c r="X51">
        <v>1401</v>
      </c>
      <c r="Y51">
        <v>3549</v>
      </c>
      <c r="Z51">
        <v>148</v>
      </c>
      <c r="AA51">
        <v>-1924</v>
      </c>
      <c r="AB51">
        <v>1034</v>
      </c>
      <c r="AC51">
        <v>-121</v>
      </c>
      <c r="AD51">
        <v>-51</v>
      </c>
      <c r="AE51">
        <v>-1234</v>
      </c>
      <c r="AF51">
        <v>0</v>
      </c>
      <c r="AG51">
        <v>699</v>
      </c>
      <c r="BB51">
        <v>34</v>
      </c>
      <c r="BC51" t="s">
        <v>494</v>
      </c>
      <c r="BD51" t="s">
        <v>262</v>
      </c>
      <c r="BP51">
        <v>34</v>
      </c>
      <c r="BQ51" s="33" t="s">
        <v>116</v>
      </c>
      <c r="BR51" s="33" t="s">
        <v>628</v>
      </c>
      <c r="BS51" s="33"/>
      <c r="CL51" t="s">
        <v>123</v>
      </c>
      <c r="CM51" t="s">
        <v>66</v>
      </c>
      <c r="CN51" s="33" t="s">
        <v>161</v>
      </c>
      <c r="CO51" t="str">
        <f>_xll.IMDP("IDX",CN51,"한글종목명")</f>
        <v>IT부품</v>
      </c>
    </row>
    <row r="52" spans="3:93">
      <c r="C52" t="str">
        <f t="shared" si="20"/>
        <v>K200 금융</v>
      </c>
      <c r="D52" t="str">
        <f t="shared" si="4"/>
        <v>217</v>
      </c>
      <c r="E52" t="str">
        <f t="shared" si="5"/>
        <v>IDX</v>
      </c>
      <c r="F52" s="74">
        <f t="shared" si="7"/>
        <v>45288</v>
      </c>
      <c r="G52" s="72">
        <f t="shared" si="8"/>
        <v>24273</v>
      </c>
      <c r="H52" s="68">
        <f t="shared" si="9"/>
        <v>-39201</v>
      </c>
      <c r="I52" s="68">
        <f t="shared" si="10"/>
        <v>14472</v>
      </c>
      <c r="J52" s="68">
        <f t="shared" si="11"/>
        <v>13230</v>
      </c>
      <c r="K52" s="68">
        <f t="shared" si="12"/>
        <v>337</v>
      </c>
      <c r="L52" s="68">
        <f t="shared" si="13"/>
        <v>382</v>
      </c>
      <c r="M52" s="68">
        <f t="shared" si="14"/>
        <v>2632</v>
      </c>
      <c r="N52" s="68">
        <f t="shared" si="15"/>
        <v>-593</v>
      </c>
      <c r="O52" s="68">
        <f t="shared" si="16"/>
        <v>-2581</v>
      </c>
      <c r="P52" s="68">
        <f t="shared" si="17"/>
        <v>1065</v>
      </c>
      <c r="Q52" s="68" t="str">
        <f t="shared" si="18"/>
        <v/>
      </c>
      <c r="R52" s="69">
        <f t="shared" si="19"/>
        <v>456</v>
      </c>
      <c r="U52" s="5">
        <v>45288</v>
      </c>
      <c r="V52">
        <v>24273</v>
      </c>
      <c r="W52">
        <v>-39201</v>
      </c>
      <c r="X52">
        <v>14472</v>
      </c>
      <c r="Y52">
        <v>13230</v>
      </c>
      <c r="Z52">
        <v>337</v>
      </c>
      <c r="AA52">
        <v>382</v>
      </c>
      <c r="AB52">
        <v>2632</v>
      </c>
      <c r="AC52">
        <v>-593</v>
      </c>
      <c r="AD52">
        <v>-2581</v>
      </c>
      <c r="AE52">
        <v>1065</v>
      </c>
      <c r="AF52">
        <v>0</v>
      </c>
      <c r="AG52">
        <v>456</v>
      </c>
      <c r="BB52">
        <v>35</v>
      </c>
      <c r="BC52" t="s">
        <v>495</v>
      </c>
      <c r="BD52" t="s">
        <v>263</v>
      </c>
      <c r="BP52">
        <v>35</v>
      </c>
      <c r="BQ52" s="33" t="s">
        <v>550</v>
      </c>
      <c r="BR52" s="33" t="s">
        <v>629</v>
      </c>
      <c r="BS52" s="33"/>
      <c r="CL52" t="s">
        <v>124</v>
      </c>
      <c r="CM52" t="s">
        <v>66</v>
      </c>
      <c r="CN52" s="33" t="s">
        <v>162</v>
      </c>
      <c r="CO52" t="str">
        <f>_xll.IMDP("IDX",CN52,"한글종목명")</f>
        <v>KQ 100</v>
      </c>
    </row>
    <row r="53" spans="3:93">
      <c r="C53" t="str">
        <f t="shared" si="20"/>
        <v>K200 생활소비재</v>
      </c>
      <c r="D53" t="str">
        <f t="shared" si="4"/>
        <v>218</v>
      </c>
      <c r="E53" t="str">
        <f t="shared" si="5"/>
        <v>IDX</v>
      </c>
      <c r="F53" s="74">
        <f t="shared" si="7"/>
        <v>45287</v>
      </c>
      <c r="G53" s="72">
        <f t="shared" si="8"/>
        <v>1678</v>
      </c>
      <c r="H53" s="68">
        <f t="shared" si="9"/>
        <v>6571</v>
      </c>
      <c r="I53" s="68">
        <f t="shared" si="10"/>
        <v>-8688</v>
      </c>
      <c r="J53" s="68">
        <f t="shared" si="11"/>
        <v>-5180</v>
      </c>
      <c r="K53" s="68">
        <f t="shared" si="12"/>
        <v>-1420</v>
      </c>
      <c r="L53" s="68">
        <f t="shared" si="13"/>
        <v>-576</v>
      </c>
      <c r="M53" s="68">
        <f t="shared" si="14"/>
        <v>393</v>
      </c>
      <c r="N53" s="68">
        <f t="shared" si="15"/>
        <v>-1562</v>
      </c>
      <c r="O53" s="68">
        <f t="shared" si="16"/>
        <v>-167</v>
      </c>
      <c r="P53" s="68">
        <f t="shared" si="17"/>
        <v>-176</v>
      </c>
      <c r="Q53" s="68" t="str">
        <f t="shared" si="18"/>
        <v/>
      </c>
      <c r="R53" s="69">
        <f t="shared" si="19"/>
        <v>442</v>
      </c>
      <c r="U53" s="5">
        <v>45287</v>
      </c>
      <c r="V53">
        <v>1678</v>
      </c>
      <c r="W53">
        <v>6571</v>
      </c>
      <c r="X53">
        <v>-8688</v>
      </c>
      <c r="Y53">
        <v>-5180</v>
      </c>
      <c r="Z53">
        <v>-1420</v>
      </c>
      <c r="AA53">
        <v>-576</v>
      </c>
      <c r="AB53">
        <v>393</v>
      </c>
      <c r="AC53">
        <v>-1562</v>
      </c>
      <c r="AD53">
        <v>-167</v>
      </c>
      <c r="AE53">
        <v>-176</v>
      </c>
      <c r="AF53">
        <v>0</v>
      </c>
      <c r="AG53">
        <v>442</v>
      </c>
      <c r="BB53">
        <v>36</v>
      </c>
      <c r="BC53" t="s">
        <v>496</v>
      </c>
      <c r="BD53" t="s">
        <v>264</v>
      </c>
      <c r="BP53">
        <v>36</v>
      </c>
      <c r="BQ53" s="33" t="s">
        <v>551</v>
      </c>
      <c r="BR53" s="33" t="s">
        <v>630</v>
      </c>
      <c r="BS53" s="33"/>
      <c r="CL53" t="s">
        <v>125</v>
      </c>
      <c r="CM53" t="s">
        <v>66</v>
      </c>
      <c r="CN53" s="33" t="s">
        <v>163</v>
      </c>
      <c r="CO53" t="str">
        <f>_xll.IMDP("IDX",CN53,"한글종목명")</f>
        <v>KQ Mid 300</v>
      </c>
    </row>
    <row r="54" spans="3:93">
      <c r="F54" s="74">
        <f t="shared" si="7"/>
        <v>45286</v>
      </c>
      <c r="G54" s="72">
        <f t="shared" si="8"/>
        <v>-1886</v>
      </c>
      <c r="H54" s="68">
        <f t="shared" si="9"/>
        <v>-18518</v>
      </c>
      <c r="I54" s="68">
        <f t="shared" si="10"/>
        <v>17948</v>
      </c>
      <c r="J54" s="68">
        <f t="shared" si="11"/>
        <v>17096</v>
      </c>
      <c r="K54" s="68">
        <f t="shared" si="12"/>
        <v>226</v>
      </c>
      <c r="L54" s="68">
        <f t="shared" si="13"/>
        <v>-734</v>
      </c>
      <c r="M54" s="68">
        <f t="shared" si="14"/>
        <v>500</v>
      </c>
      <c r="N54" s="68">
        <f t="shared" si="15"/>
        <v>211</v>
      </c>
      <c r="O54" s="68">
        <f t="shared" si="16"/>
        <v>-174</v>
      </c>
      <c r="P54" s="68">
        <f t="shared" si="17"/>
        <v>823</v>
      </c>
      <c r="Q54" s="68" t="str">
        <f t="shared" si="18"/>
        <v/>
      </c>
      <c r="R54" s="69">
        <f t="shared" si="19"/>
        <v>2458</v>
      </c>
      <c r="U54" s="5">
        <v>45286</v>
      </c>
      <c r="V54">
        <v>-1886</v>
      </c>
      <c r="W54">
        <v>-18518</v>
      </c>
      <c r="X54">
        <v>17948</v>
      </c>
      <c r="Y54">
        <v>17096</v>
      </c>
      <c r="Z54">
        <v>226</v>
      </c>
      <c r="AA54">
        <v>-734</v>
      </c>
      <c r="AB54">
        <v>500</v>
      </c>
      <c r="AC54">
        <v>211</v>
      </c>
      <c r="AD54">
        <v>-174</v>
      </c>
      <c r="AE54">
        <v>823</v>
      </c>
      <c r="AF54">
        <v>0</v>
      </c>
      <c r="AG54">
        <v>2458</v>
      </c>
      <c r="BB54">
        <v>37</v>
      </c>
      <c r="BC54" t="s">
        <v>497</v>
      </c>
      <c r="BD54" t="s">
        <v>265</v>
      </c>
      <c r="BP54">
        <v>37</v>
      </c>
      <c r="BQ54" s="33" t="s">
        <v>552</v>
      </c>
      <c r="BR54" s="33" t="s">
        <v>631</v>
      </c>
      <c r="BS54" s="33"/>
      <c r="CM54" t="s">
        <v>66</v>
      </c>
      <c r="CN54" s="33" t="s">
        <v>164</v>
      </c>
      <c r="CO54" t="str">
        <f>_xll.IMDP("IDX",CN54,"한글종목명")</f>
        <v>KQ Small</v>
      </c>
    </row>
    <row r="55" spans="3:93">
      <c r="F55" s="74">
        <f t="shared" si="7"/>
        <v>45282</v>
      </c>
      <c r="G55" s="72">
        <f t="shared" si="8"/>
        <v>-4269</v>
      </c>
      <c r="H55" s="68">
        <f t="shared" si="9"/>
        <v>-1618</v>
      </c>
      <c r="I55" s="68">
        <f t="shared" si="10"/>
        <v>5966</v>
      </c>
      <c r="J55" s="68">
        <f t="shared" si="11"/>
        <v>7105</v>
      </c>
      <c r="K55" s="68">
        <f t="shared" si="12"/>
        <v>6</v>
      </c>
      <c r="L55" s="68">
        <f t="shared" si="13"/>
        <v>-516</v>
      </c>
      <c r="M55" s="68">
        <f t="shared" si="14"/>
        <v>-533</v>
      </c>
      <c r="N55" s="68">
        <f t="shared" si="15"/>
        <v>9</v>
      </c>
      <c r="O55" s="68">
        <f t="shared" si="16"/>
        <v>-85</v>
      </c>
      <c r="P55" s="68">
        <f t="shared" si="17"/>
        <v>-20</v>
      </c>
      <c r="Q55" s="68" t="str">
        <f t="shared" si="18"/>
        <v/>
      </c>
      <c r="R55" s="69">
        <f t="shared" si="19"/>
        <v>-81</v>
      </c>
      <c r="U55" s="5">
        <v>45282</v>
      </c>
      <c r="V55">
        <v>-4269</v>
      </c>
      <c r="W55">
        <v>-1618</v>
      </c>
      <c r="X55">
        <v>5966</v>
      </c>
      <c r="Y55">
        <v>7105</v>
      </c>
      <c r="Z55">
        <v>6</v>
      </c>
      <c r="AA55">
        <v>-516</v>
      </c>
      <c r="AB55">
        <v>-533</v>
      </c>
      <c r="AC55">
        <v>9</v>
      </c>
      <c r="AD55">
        <v>-85</v>
      </c>
      <c r="AE55">
        <v>-20</v>
      </c>
      <c r="AF55">
        <v>0</v>
      </c>
      <c r="AG55">
        <v>-81</v>
      </c>
      <c r="BB55">
        <v>38</v>
      </c>
      <c r="BC55" t="s">
        <v>498</v>
      </c>
      <c r="BD55" t="s">
        <v>266</v>
      </c>
      <c r="BP55">
        <v>38</v>
      </c>
      <c r="BQ55" s="33" t="s">
        <v>553</v>
      </c>
      <c r="BR55" s="33" t="s">
        <v>632</v>
      </c>
    </row>
    <row r="56" spans="3:93">
      <c r="F56" s="74">
        <f t="shared" si="7"/>
        <v>45281</v>
      </c>
      <c r="G56" s="72">
        <f t="shared" si="8"/>
        <v>-8103</v>
      </c>
      <c r="H56" s="68">
        <f t="shared" si="9"/>
        <v>10939</v>
      </c>
      <c r="I56" s="68">
        <f t="shared" si="10"/>
        <v>-1718</v>
      </c>
      <c r="J56" s="68">
        <f t="shared" si="11"/>
        <v>2943</v>
      </c>
      <c r="K56" s="68">
        <f t="shared" si="12"/>
        <v>-341</v>
      </c>
      <c r="L56" s="68">
        <f t="shared" si="13"/>
        <v>-1369</v>
      </c>
      <c r="M56" s="68">
        <f t="shared" si="14"/>
        <v>-1259</v>
      </c>
      <c r="N56" s="68">
        <f t="shared" si="15"/>
        <v>71</v>
      </c>
      <c r="O56" s="68">
        <f t="shared" si="16"/>
        <v>-295</v>
      </c>
      <c r="P56" s="68">
        <f t="shared" si="17"/>
        <v>-1468</v>
      </c>
      <c r="Q56" s="68" t="str">
        <f t="shared" si="18"/>
        <v/>
      </c>
      <c r="R56" s="69">
        <f t="shared" si="19"/>
        <v>-1118</v>
      </c>
      <c r="U56" s="5">
        <v>45281</v>
      </c>
      <c r="V56">
        <v>-8103</v>
      </c>
      <c r="W56">
        <v>10939</v>
      </c>
      <c r="X56">
        <v>-1718</v>
      </c>
      <c r="Y56">
        <v>2943</v>
      </c>
      <c r="Z56">
        <v>-341</v>
      </c>
      <c r="AA56">
        <v>-1369</v>
      </c>
      <c r="AB56">
        <v>-1259</v>
      </c>
      <c r="AC56">
        <v>71</v>
      </c>
      <c r="AD56">
        <v>-295</v>
      </c>
      <c r="AE56">
        <v>-1468</v>
      </c>
      <c r="AF56">
        <v>0</v>
      </c>
      <c r="AG56">
        <v>-1118</v>
      </c>
      <c r="BB56">
        <v>39</v>
      </c>
      <c r="BC56" t="s">
        <v>499</v>
      </c>
      <c r="BD56" t="s">
        <v>267</v>
      </c>
      <c r="BP56">
        <v>39</v>
      </c>
      <c r="BQ56" s="33" t="s">
        <v>554</v>
      </c>
      <c r="BR56" s="33" t="s">
        <v>633</v>
      </c>
    </row>
    <row r="57" spans="3:93">
      <c r="F57" s="74">
        <f t="shared" si="7"/>
        <v>45280</v>
      </c>
      <c r="G57" s="72">
        <f t="shared" si="8"/>
        <v>15405</v>
      </c>
      <c r="H57" s="68">
        <f t="shared" si="9"/>
        <v>-23949</v>
      </c>
      <c r="I57" s="68">
        <f t="shared" si="10"/>
        <v>14511</v>
      </c>
      <c r="J57" s="68">
        <f t="shared" si="11"/>
        <v>18084</v>
      </c>
      <c r="K57" s="68">
        <f t="shared" si="12"/>
        <v>-428</v>
      </c>
      <c r="L57" s="68">
        <f t="shared" si="13"/>
        <v>-382</v>
      </c>
      <c r="M57" s="68">
        <f t="shared" si="14"/>
        <v>-330</v>
      </c>
      <c r="N57" s="68">
        <f t="shared" si="15"/>
        <v>-183</v>
      </c>
      <c r="O57" s="68">
        <f t="shared" si="16"/>
        <v>-564</v>
      </c>
      <c r="P57" s="68">
        <f t="shared" si="17"/>
        <v>-1686</v>
      </c>
      <c r="Q57" s="68" t="str">
        <f t="shared" si="18"/>
        <v/>
      </c>
      <c r="R57" s="69">
        <f t="shared" si="19"/>
        <v>-5969</v>
      </c>
      <c r="U57" s="5">
        <v>45280</v>
      </c>
      <c r="V57">
        <v>15405</v>
      </c>
      <c r="W57">
        <v>-23949</v>
      </c>
      <c r="X57">
        <v>14511</v>
      </c>
      <c r="Y57">
        <v>18084</v>
      </c>
      <c r="Z57">
        <v>-428</v>
      </c>
      <c r="AA57">
        <v>-382</v>
      </c>
      <c r="AB57">
        <v>-330</v>
      </c>
      <c r="AC57">
        <v>-183</v>
      </c>
      <c r="AD57">
        <v>-564</v>
      </c>
      <c r="AE57">
        <v>-1686</v>
      </c>
      <c r="AF57">
        <v>0</v>
      </c>
      <c r="AG57">
        <v>-5969</v>
      </c>
      <c r="BB57">
        <v>40</v>
      </c>
      <c r="BC57" t="s">
        <v>500</v>
      </c>
      <c r="BD57" t="s">
        <v>268</v>
      </c>
      <c r="BP57">
        <v>40</v>
      </c>
      <c r="BQ57" s="33" t="s">
        <v>555</v>
      </c>
      <c r="BR57" s="33" t="s">
        <v>634</v>
      </c>
    </row>
    <row r="58" spans="3:93">
      <c r="F58" s="74">
        <f t="shared" si="7"/>
        <v>45279</v>
      </c>
      <c r="G58" s="72">
        <f t="shared" si="8"/>
        <v>-4423</v>
      </c>
      <c r="H58" s="68">
        <f t="shared" si="9"/>
        <v>12066</v>
      </c>
      <c r="I58" s="68">
        <f t="shared" si="10"/>
        <v>-6053</v>
      </c>
      <c r="J58" s="68">
        <f t="shared" si="11"/>
        <v>775</v>
      </c>
      <c r="K58" s="68">
        <f t="shared" si="12"/>
        <v>-930</v>
      </c>
      <c r="L58" s="68">
        <f t="shared" si="13"/>
        <v>-2750</v>
      </c>
      <c r="M58" s="68">
        <f t="shared" si="14"/>
        <v>840</v>
      </c>
      <c r="N58" s="68">
        <f t="shared" si="15"/>
        <v>-343</v>
      </c>
      <c r="O58" s="68">
        <f t="shared" si="16"/>
        <v>-223</v>
      </c>
      <c r="P58" s="68">
        <f t="shared" si="17"/>
        <v>-3422</v>
      </c>
      <c r="Q58" s="68" t="str">
        <f t="shared" si="18"/>
        <v/>
      </c>
      <c r="R58" s="69">
        <f t="shared" si="19"/>
        <v>-1590</v>
      </c>
      <c r="U58" s="5">
        <v>45279</v>
      </c>
      <c r="V58">
        <v>-4423</v>
      </c>
      <c r="W58">
        <v>12066</v>
      </c>
      <c r="X58">
        <v>-6053</v>
      </c>
      <c r="Y58">
        <v>775</v>
      </c>
      <c r="Z58">
        <v>-930</v>
      </c>
      <c r="AA58">
        <v>-2750</v>
      </c>
      <c r="AB58">
        <v>840</v>
      </c>
      <c r="AC58">
        <v>-343</v>
      </c>
      <c r="AD58">
        <v>-223</v>
      </c>
      <c r="AE58">
        <v>-3422</v>
      </c>
      <c r="AF58">
        <v>0</v>
      </c>
      <c r="AG58">
        <v>-1590</v>
      </c>
      <c r="BB58">
        <v>41</v>
      </c>
      <c r="BC58" t="s">
        <v>501</v>
      </c>
      <c r="BD58" t="s">
        <v>587</v>
      </c>
      <c r="BP58">
        <v>41</v>
      </c>
      <c r="BQ58" s="33" t="s">
        <v>556</v>
      </c>
      <c r="BR58" s="33" t="s">
        <v>635</v>
      </c>
    </row>
    <row r="59" spans="3:93">
      <c r="F59" s="74">
        <f t="shared" si="7"/>
        <v>45278</v>
      </c>
      <c r="G59" s="72">
        <f t="shared" si="8"/>
        <v>-1954</v>
      </c>
      <c r="H59" s="68">
        <f t="shared" si="9"/>
        <v>7589</v>
      </c>
      <c r="I59" s="68">
        <f t="shared" si="10"/>
        <v>-3726</v>
      </c>
      <c r="J59" s="68">
        <f t="shared" si="11"/>
        <v>-3121</v>
      </c>
      <c r="K59" s="68">
        <f t="shared" si="12"/>
        <v>-443</v>
      </c>
      <c r="L59" s="68">
        <f t="shared" si="13"/>
        <v>681</v>
      </c>
      <c r="M59" s="68">
        <f t="shared" si="14"/>
        <v>-1273</v>
      </c>
      <c r="N59" s="68">
        <f t="shared" si="15"/>
        <v>-392</v>
      </c>
      <c r="O59" s="68">
        <f t="shared" si="16"/>
        <v>-28</v>
      </c>
      <c r="P59" s="68">
        <f t="shared" si="17"/>
        <v>850</v>
      </c>
      <c r="Q59" s="68" t="str">
        <f t="shared" si="18"/>
        <v/>
      </c>
      <c r="R59" s="69">
        <f t="shared" si="19"/>
        <v>-1909</v>
      </c>
      <c r="U59" s="5">
        <v>45278</v>
      </c>
      <c r="V59">
        <v>-1954</v>
      </c>
      <c r="W59">
        <v>7589</v>
      </c>
      <c r="X59">
        <v>-3726</v>
      </c>
      <c r="Y59">
        <v>-3121</v>
      </c>
      <c r="Z59">
        <v>-443</v>
      </c>
      <c r="AA59">
        <v>681</v>
      </c>
      <c r="AB59">
        <v>-1273</v>
      </c>
      <c r="AC59">
        <v>-392</v>
      </c>
      <c r="AD59">
        <v>-28</v>
      </c>
      <c r="AE59">
        <v>850</v>
      </c>
      <c r="AF59">
        <v>0</v>
      </c>
      <c r="AG59">
        <v>-1909</v>
      </c>
      <c r="BB59">
        <v>42</v>
      </c>
      <c r="BC59" t="s">
        <v>502</v>
      </c>
      <c r="BD59" t="s">
        <v>588</v>
      </c>
      <c r="BP59">
        <v>42</v>
      </c>
      <c r="BQ59" s="33" t="s">
        <v>557</v>
      </c>
      <c r="BR59" s="33" t="s">
        <v>636</v>
      </c>
    </row>
    <row r="60" spans="3:93">
      <c r="F60" s="74">
        <f t="shared" si="7"/>
        <v>45275</v>
      </c>
      <c r="G60" s="72">
        <f t="shared" si="8"/>
        <v>16007</v>
      </c>
      <c r="H60" s="68">
        <f t="shared" si="9"/>
        <v>-17141</v>
      </c>
      <c r="I60" s="68">
        <f t="shared" si="10"/>
        <v>2044</v>
      </c>
      <c r="J60" s="68">
        <f t="shared" si="11"/>
        <v>4366</v>
      </c>
      <c r="K60" s="68">
        <f t="shared" si="12"/>
        <v>269</v>
      </c>
      <c r="L60" s="68">
        <f t="shared" si="13"/>
        <v>-2404</v>
      </c>
      <c r="M60" s="68">
        <f t="shared" si="14"/>
        <v>-799</v>
      </c>
      <c r="N60" s="68">
        <f t="shared" si="15"/>
        <v>-25</v>
      </c>
      <c r="O60" s="68">
        <f t="shared" si="16"/>
        <v>64</v>
      </c>
      <c r="P60" s="68">
        <f t="shared" si="17"/>
        <v>573</v>
      </c>
      <c r="Q60" s="68" t="str">
        <f t="shared" si="18"/>
        <v/>
      </c>
      <c r="R60" s="69">
        <f t="shared" si="19"/>
        <v>-912</v>
      </c>
      <c r="U60" s="5">
        <v>45275</v>
      </c>
      <c r="V60">
        <v>16007</v>
      </c>
      <c r="W60">
        <v>-17141</v>
      </c>
      <c r="X60">
        <v>2044</v>
      </c>
      <c r="Y60">
        <v>4366</v>
      </c>
      <c r="Z60">
        <v>269</v>
      </c>
      <c r="AA60">
        <v>-2404</v>
      </c>
      <c r="AB60">
        <v>-799</v>
      </c>
      <c r="AC60">
        <v>-25</v>
      </c>
      <c r="AD60">
        <v>64</v>
      </c>
      <c r="AE60">
        <v>573</v>
      </c>
      <c r="AF60">
        <v>0</v>
      </c>
      <c r="AG60">
        <v>-912</v>
      </c>
      <c r="BB60">
        <v>43</v>
      </c>
      <c r="BC60" t="s">
        <v>503</v>
      </c>
      <c r="BD60" t="s">
        <v>589</v>
      </c>
      <c r="BP60">
        <v>43</v>
      </c>
      <c r="BQ60" s="33" t="s">
        <v>558</v>
      </c>
      <c r="BR60" s="33" t="s">
        <v>637</v>
      </c>
    </row>
    <row r="61" spans="3:93">
      <c r="F61" s="74">
        <f t="shared" si="7"/>
        <v>45274</v>
      </c>
      <c r="G61" s="72">
        <f t="shared" si="8"/>
        <v>2976</v>
      </c>
      <c r="H61" s="68">
        <f t="shared" si="9"/>
        <v>-16650</v>
      </c>
      <c r="I61" s="68">
        <f t="shared" si="10"/>
        <v>13723</v>
      </c>
      <c r="J61" s="68">
        <f t="shared" si="11"/>
        <v>7676</v>
      </c>
      <c r="K61" s="68">
        <f t="shared" si="12"/>
        <v>802</v>
      </c>
      <c r="L61" s="68">
        <f t="shared" si="13"/>
        <v>447</v>
      </c>
      <c r="M61" s="68">
        <f t="shared" si="14"/>
        <v>1252</v>
      </c>
      <c r="N61" s="68">
        <f t="shared" si="15"/>
        <v>-94</v>
      </c>
      <c r="O61" s="68">
        <f t="shared" si="16"/>
        <v>118</v>
      </c>
      <c r="P61" s="68">
        <f t="shared" si="17"/>
        <v>3522</v>
      </c>
      <c r="Q61" s="68" t="str">
        <f t="shared" si="18"/>
        <v/>
      </c>
      <c r="R61" s="69">
        <f t="shared" si="19"/>
        <v>-48</v>
      </c>
      <c r="U61" s="5">
        <v>45274</v>
      </c>
      <c r="V61">
        <v>2976</v>
      </c>
      <c r="W61">
        <v>-16650</v>
      </c>
      <c r="X61">
        <v>13723</v>
      </c>
      <c r="Y61">
        <v>7676</v>
      </c>
      <c r="Z61">
        <v>802</v>
      </c>
      <c r="AA61">
        <v>447</v>
      </c>
      <c r="AB61">
        <v>1252</v>
      </c>
      <c r="AC61">
        <v>-94</v>
      </c>
      <c r="AD61">
        <v>118</v>
      </c>
      <c r="AE61">
        <v>3522</v>
      </c>
      <c r="AF61">
        <v>0</v>
      </c>
      <c r="AG61">
        <v>-48</v>
      </c>
      <c r="BB61">
        <v>44</v>
      </c>
      <c r="BC61" t="s">
        <v>504</v>
      </c>
      <c r="BD61" t="s">
        <v>590</v>
      </c>
      <c r="BP61">
        <v>44</v>
      </c>
      <c r="BQ61" s="33" t="s">
        <v>559</v>
      </c>
      <c r="BR61" s="33" t="s">
        <v>638</v>
      </c>
    </row>
    <row r="62" spans="3:93">
      <c r="F62" s="74">
        <f t="shared" si="7"/>
        <v>45273</v>
      </c>
      <c r="G62" s="72">
        <f t="shared" si="8"/>
        <v>-10124</v>
      </c>
      <c r="H62" s="68">
        <f t="shared" si="9"/>
        <v>7807</v>
      </c>
      <c r="I62" s="68">
        <f t="shared" si="10"/>
        <v>1862</v>
      </c>
      <c r="J62" s="68">
        <f t="shared" si="11"/>
        <v>1077</v>
      </c>
      <c r="K62" s="68">
        <f t="shared" si="12"/>
        <v>179</v>
      </c>
      <c r="L62" s="68">
        <f t="shared" si="13"/>
        <v>-521</v>
      </c>
      <c r="M62" s="68">
        <f t="shared" si="14"/>
        <v>-1107</v>
      </c>
      <c r="N62" s="68">
        <f t="shared" si="15"/>
        <v>-117</v>
      </c>
      <c r="O62" s="68">
        <f t="shared" si="16"/>
        <v>-45</v>
      </c>
      <c r="P62" s="68">
        <f t="shared" si="17"/>
        <v>2396</v>
      </c>
      <c r="Q62" s="68" t="str">
        <f t="shared" si="18"/>
        <v/>
      </c>
      <c r="R62" s="69">
        <f t="shared" si="19"/>
        <v>455</v>
      </c>
      <c r="U62" s="5">
        <v>45273</v>
      </c>
      <c r="V62">
        <v>-10124</v>
      </c>
      <c r="W62">
        <v>7807</v>
      </c>
      <c r="X62">
        <v>1862</v>
      </c>
      <c r="Y62">
        <v>1077</v>
      </c>
      <c r="Z62">
        <v>179</v>
      </c>
      <c r="AA62">
        <v>-521</v>
      </c>
      <c r="AB62">
        <v>-1107</v>
      </c>
      <c r="AC62">
        <v>-117</v>
      </c>
      <c r="AD62">
        <v>-45</v>
      </c>
      <c r="AE62">
        <v>2396</v>
      </c>
      <c r="AF62">
        <v>0</v>
      </c>
      <c r="AG62">
        <v>455</v>
      </c>
      <c r="BB62">
        <v>45</v>
      </c>
      <c r="BC62" t="s">
        <v>505</v>
      </c>
      <c r="BD62" t="s">
        <v>591</v>
      </c>
      <c r="BP62">
        <v>45</v>
      </c>
      <c r="BQ62" s="33" t="s">
        <v>560</v>
      </c>
      <c r="BR62" s="33" t="s">
        <v>639</v>
      </c>
    </row>
    <row r="63" spans="3:93">
      <c r="F63" s="74">
        <f t="shared" si="7"/>
        <v>45272</v>
      </c>
      <c r="G63" s="72">
        <f t="shared" si="8"/>
        <v>-2040</v>
      </c>
      <c r="H63" s="68">
        <f t="shared" si="9"/>
        <v>-11083</v>
      </c>
      <c r="I63" s="68">
        <f t="shared" si="10"/>
        <v>13133</v>
      </c>
      <c r="J63" s="68">
        <f t="shared" si="11"/>
        <v>11769</v>
      </c>
      <c r="K63" s="68">
        <f t="shared" si="12"/>
        <v>648</v>
      </c>
      <c r="L63" s="68">
        <f t="shared" si="13"/>
        <v>239</v>
      </c>
      <c r="M63" s="68">
        <f t="shared" si="14"/>
        <v>60</v>
      </c>
      <c r="N63" s="68">
        <f t="shared" si="15"/>
        <v>-119</v>
      </c>
      <c r="O63" s="68">
        <f t="shared" si="16"/>
        <v>35</v>
      </c>
      <c r="P63" s="68">
        <f t="shared" si="17"/>
        <v>501</v>
      </c>
      <c r="Q63" s="68" t="str">
        <f t="shared" si="18"/>
        <v/>
      </c>
      <c r="R63" s="69">
        <f t="shared" si="19"/>
        <v>-10</v>
      </c>
      <c r="U63" s="5">
        <v>45272</v>
      </c>
      <c r="V63">
        <v>-2040</v>
      </c>
      <c r="W63">
        <v>-11083</v>
      </c>
      <c r="X63">
        <v>13133</v>
      </c>
      <c r="Y63">
        <v>11769</v>
      </c>
      <c r="Z63">
        <v>648</v>
      </c>
      <c r="AA63">
        <v>239</v>
      </c>
      <c r="AB63">
        <v>60</v>
      </c>
      <c r="AC63">
        <v>-119</v>
      </c>
      <c r="AD63">
        <v>35</v>
      </c>
      <c r="AE63">
        <v>501</v>
      </c>
      <c r="AF63">
        <v>0</v>
      </c>
      <c r="AG63">
        <v>-10</v>
      </c>
      <c r="BB63">
        <v>46</v>
      </c>
      <c r="BC63" t="s">
        <v>506</v>
      </c>
      <c r="BD63" t="s">
        <v>592</v>
      </c>
      <c r="BP63">
        <v>46</v>
      </c>
      <c r="BQ63" s="33" t="s">
        <v>561</v>
      </c>
      <c r="BR63" s="33" t="s">
        <v>640</v>
      </c>
    </row>
    <row r="64" spans="3:93">
      <c r="F64" s="74">
        <f t="shared" si="7"/>
        <v>45271</v>
      </c>
      <c r="G64" s="72">
        <f t="shared" si="8"/>
        <v>1354</v>
      </c>
      <c r="H64" s="68">
        <f t="shared" si="9"/>
        <v>-5434</v>
      </c>
      <c r="I64" s="68">
        <f t="shared" si="10"/>
        <v>5090</v>
      </c>
      <c r="J64" s="68">
        <f t="shared" si="11"/>
        <v>3464</v>
      </c>
      <c r="K64" s="68">
        <f t="shared" si="12"/>
        <v>-381</v>
      </c>
      <c r="L64" s="68">
        <f t="shared" si="13"/>
        <v>-469</v>
      </c>
      <c r="M64" s="68">
        <f t="shared" si="14"/>
        <v>600</v>
      </c>
      <c r="N64" s="68">
        <f t="shared" si="15"/>
        <v>-71</v>
      </c>
      <c r="O64" s="68">
        <f t="shared" si="16"/>
        <v>115</v>
      </c>
      <c r="P64" s="68">
        <f t="shared" si="17"/>
        <v>1832</v>
      </c>
      <c r="Q64" s="68" t="str">
        <f t="shared" si="18"/>
        <v/>
      </c>
      <c r="R64" s="69">
        <f t="shared" si="19"/>
        <v>-1009</v>
      </c>
      <c r="U64" s="5">
        <v>45271</v>
      </c>
      <c r="V64">
        <v>1354</v>
      </c>
      <c r="W64">
        <v>-5434</v>
      </c>
      <c r="X64">
        <v>5090</v>
      </c>
      <c r="Y64">
        <v>3464</v>
      </c>
      <c r="Z64">
        <v>-381</v>
      </c>
      <c r="AA64">
        <v>-469</v>
      </c>
      <c r="AB64">
        <v>600</v>
      </c>
      <c r="AC64">
        <v>-71</v>
      </c>
      <c r="AD64">
        <v>115</v>
      </c>
      <c r="AE64">
        <v>1832</v>
      </c>
      <c r="AF64">
        <v>0</v>
      </c>
      <c r="AG64">
        <v>-1009</v>
      </c>
      <c r="BB64">
        <v>47</v>
      </c>
      <c r="BC64" t="s">
        <v>507</v>
      </c>
      <c r="BD64" t="s">
        <v>593</v>
      </c>
      <c r="BP64">
        <v>47</v>
      </c>
      <c r="BQ64" s="33" t="s">
        <v>562</v>
      </c>
      <c r="BR64" s="33" t="s">
        <v>641</v>
      </c>
    </row>
    <row r="65" spans="6:70">
      <c r="F65" s="74">
        <f t="shared" si="7"/>
        <v>45268</v>
      </c>
      <c r="G65" s="72">
        <f t="shared" si="8"/>
        <v>2306</v>
      </c>
      <c r="H65" s="68">
        <f t="shared" si="9"/>
        <v>-7236</v>
      </c>
      <c r="I65" s="68">
        <f t="shared" si="10"/>
        <v>5789</v>
      </c>
      <c r="J65" s="68">
        <f t="shared" si="11"/>
        <v>4871</v>
      </c>
      <c r="K65" s="68">
        <f t="shared" si="12"/>
        <v>-489</v>
      </c>
      <c r="L65" s="68">
        <f t="shared" si="13"/>
        <v>-26</v>
      </c>
      <c r="M65" s="68">
        <f t="shared" si="14"/>
        <v>62</v>
      </c>
      <c r="N65" s="68">
        <f t="shared" si="15"/>
        <v>-99</v>
      </c>
      <c r="O65" s="68">
        <f t="shared" si="16"/>
        <v>85</v>
      </c>
      <c r="P65" s="68">
        <f t="shared" si="17"/>
        <v>1385</v>
      </c>
      <c r="Q65" s="68" t="str">
        <f t="shared" si="18"/>
        <v/>
      </c>
      <c r="R65" s="69">
        <f t="shared" si="19"/>
        <v>-857</v>
      </c>
      <c r="U65" s="5">
        <v>45268</v>
      </c>
      <c r="V65">
        <v>2306</v>
      </c>
      <c r="W65">
        <v>-7236</v>
      </c>
      <c r="X65">
        <v>5789</v>
      </c>
      <c r="Y65">
        <v>4871</v>
      </c>
      <c r="Z65">
        <v>-489</v>
      </c>
      <c r="AA65">
        <v>-26</v>
      </c>
      <c r="AB65">
        <v>62</v>
      </c>
      <c r="AC65">
        <v>-99</v>
      </c>
      <c r="AD65">
        <v>85</v>
      </c>
      <c r="AE65">
        <v>1385</v>
      </c>
      <c r="AF65">
        <v>0</v>
      </c>
      <c r="AG65">
        <v>-857</v>
      </c>
      <c r="BB65">
        <v>48</v>
      </c>
      <c r="BC65" t="s">
        <v>508</v>
      </c>
      <c r="BD65" t="s">
        <v>594</v>
      </c>
      <c r="BP65">
        <v>48</v>
      </c>
      <c r="BQ65" s="33" t="s">
        <v>563</v>
      </c>
      <c r="BR65" s="33" t="s">
        <v>642</v>
      </c>
    </row>
    <row r="66" spans="6:70">
      <c r="F66" s="74">
        <f t="shared" si="7"/>
        <v>45267</v>
      </c>
      <c r="G66" s="72">
        <f t="shared" si="8"/>
        <v>-9189</v>
      </c>
      <c r="H66" s="68">
        <f t="shared" si="9"/>
        <v>17906</v>
      </c>
      <c r="I66" s="68">
        <f t="shared" si="10"/>
        <v>-4030</v>
      </c>
      <c r="J66" s="68">
        <f t="shared" si="11"/>
        <v>-3727</v>
      </c>
      <c r="K66" s="68">
        <f t="shared" si="12"/>
        <v>-47</v>
      </c>
      <c r="L66" s="68">
        <f t="shared" si="13"/>
        <v>-1092</v>
      </c>
      <c r="M66" s="68">
        <f t="shared" si="14"/>
        <v>-807</v>
      </c>
      <c r="N66" s="68">
        <f t="shared" si="15"/>
        <v>-116</v>
      </c>
      <c r="O66" s="68">
        <f t="shared" si="16"/>
        <v>10</v>
      </c>
      <c r="P66" s="68">
        <f t="shared" si="17"/>
        <v>1749</v>
      </c>
      <c r="Q66" s="68" t="str">
        <f t="shared" si="18"/>
        <v/>
      </c>
      <c r="R66" s="69">
        <f t="shared" si="19"/>
        <v>-4689</v>
      </c>
      <c r="U66" s="5">
        <v>45267</v>
      </c>
      <c r="V66">
        <v>-9189</v>
      </c>
      <c r="W66">
        <v>17906</v>
      </c>
      <c r="X66">
        <v>-4030</v>
      </c>
      <c r="Y66">
        <v>-3727</v>
      </c>
      <c r="Z66">
        <v>-47</v>
      </c>
      <c r="AA66">
        <v>-1092</v>
      </c>
      <c r="AB66">
        <v>-807</v>
      </c>
      <c r="AC66">
        <v>-116</v>
      </c>
      <c r="AD66">
        <v>10</v>
      </c>
      <c r="AE66">
        <v>1749</v>
      </c>
      <c r="AF66">
        <v>0</v>
      </c>
      <c r="AG66">
        <v>-4689</v>
      </c>
      <c r="BB66">
        <v>49</v>
      </c>
      <c r="BC66" t="s">
        <v>509</v>
      </c>
      <c r="BD66" t="s">
        <v>595</v>
      </c>
      <c r="BP66">
        <v>49</v>
      </c>
      <c r="BQ66" s="33" t="s">
        <v>564</v>
      </c>
      <c r="BR66" s="33" t="s">
        <v>643</v>
      </c>
    </row>
    <row r="67" spans="6:70">
      <c r="F67" s="74">
        <f t="shared" si="7"/>
        <v>45266</v>
      </c>
      <c r="G67" s="72">
        <f t="shared" si="8"/>
        <v>-2023</v>
      </c>
      <c r="H67" s="68">
        <f t="shared" si="9"/>
        <v>652</v>
      </c>
      <c r="I67" s="68">
        <f t="shared" si="10"/>
        <v>3630</v>
      </c>
      <c r="J67" s="68">
        <f t="shared" si="11"/>
        <v>4160</v>
      </c>
      <c r="K67" s="68">
        <f t="shared" si="12"/>
        <v>186</v>
      </c>
      <c r="L67" s="68">
        <f t="shared" si="13"/>
        <v>-590</v>
      </c>
      <c r="M67" s="68">
        <f t="shared" si="14"/>
        <v>-856</v>
      </c>
      <c r="N67" s="68">
        <f t="shared" si="15"/>
        <v>-70</v>
      </c>
      <c r="O67" s="68">
        <f t="shared" si="16"/>
        <v>96</v>
      </c>
      <c r="P67" s="68">
        <f t="shared" si="17"/>
        <v>704</v>
      </c>
      <c r="Q67" s="68" t="str">
        <f t="shared" si="18"/>
        <v/>
      </c>
      <c r="R67" s="69">
        <f t="shared" si="19"/>
        <v>-2260</v>
      </c>
      <c r="U67" s="5">
        <v>45266</v>
      </c>
      <c r="V67">
        <v>-2023</v>
      </c>
      <c r="W67">
        <v>652</v>
      </c>
      <c r="X67">
        <v>3630</v>
      </c>
      <c r="Y67">
        <v>4160</v>
      </c>
      <c r="Z67">
        <v>186</v>
      </c>
      <c r="AA67">
        <v>-590</v>
      </c>
      <c r="AB67">
        <v>-856</v>
      </c>
      <c r="AC67">
        <v>-70</v>
      </c>
      <c r="AD67">
        <v>96</v>
      </c>
      <c r="AE67">
        <v>704</v>
      </c>
      <c r="AF67">
        <v>0</v>
      </c>
      <c r="AG67">
        <v>-2260</v>
      </c>
      <c r="BB67">
        <v>50</v>
      </c>
      <c r="BC67" t="s">
        <v>510</v>
      </c>
      <c r="BD67" t="s">
        <v>596</v>
      </c>
      <c r="BP67">
        <v>50</v>
      </c>
      <c r="BQ67" s="33" t="s">
        <v>565</v>
      </c>
      <c r="BR67" s="33" t="s">
        <v>644</v>
      </c>
    </row>
    <row r="68" spans="6:70">
      <c r="F68" s="74">
        <f t="shared" si="7"/>
        <v>45265</v>
      </c>
      <c r="G68" s="72">
        <f t="shared" si="8"/>
        <v>-92</v>
      </c>
      <c r="H68" s="68">
        <f t="shared" si="9"/>
        <v>2647</v>
      </c>
      <c r="I68" s="68">
        <f t="shared" si="10"/>
        <v>-4024</v>
      </c>
      <c r="J68" s="68">
        <f t="shared" si="11"/>
        <v>-3986</v>
      </c>
      <c r="K68" s="68">
        <f t="shared" si="12"/>
        <v>224</v>
      </c>
      <c r="L68" s="68">
        <f t="shared" si="13"/>
        <v>-2145</v>
      </c>
      <c r="M68" s="68">
        <f t="shared" si="14"/>
        <v>239</v>
      </c>
      <c r="N68" s="68">
        <f t="shared" si="15"/>
        <v>-57</v>
      </c>
      <c r="O68" s="68">
        <f t="shared" si="16"/>
        <v>-340</v>
      </c>
      <c r="P68" s="68">
        <f t="shared" si="17"/>
        <v>2041</v>
      </c>
      <c r="Q68" s="68" t="str">
        <f t="shared" si="18"/>
        <v/>
      </c>
      <c r="R68" s="69">
        <f t="shared" si="19"/>
        <v>1467</v>
      </c>
      <c r="U68" s="5">
        <v>45265</v>
      </c>
      <c r="V68">
        <v>-92</v>
      </c>
      <c r="W68">
        <v>2647</v>
      </c>
      <c r="X68">
        <v>-4024</v>
      </c>
      <c r="Y68">
        <v>-3986</v>
      </c>
      <c r="Z68">
        <v>224</v>
      </c>
      <c r="AA68">
        <v>-2145</v>
      </c>
      <c r="AB68">
        <v>239</v>
      </c>
      <c r="AC68">
        <v>-57</v>
      </c>
      <c r="AD68">
        <v>-340</v>
      </c>
      <c r="AE68">
        <v>2041</v>
      </c>
      <c r="AF68">
        <v>0</v>
      </c>
      <c r="AG68">
        <v>1467</v>
      </c>
      <c r="BB68">
        <v>51</v>
      </c>
      <c r="BC68" t="s">
        <v>511</v>
      </c>
      <c r="BD68" t="s">
        <v>597</v>
      </c>
      <c r="BP68">
        <v>51</v>
      </c>
      <c r="BQ68" s="33" t="s">
        <v>566</v>
      </c>
      <c r="BR68" s="33" t="s">
        <v>645</v>
      </c>
    </row>
    <row r="69" spans="6:70">
      <c r="F69" s="74">
        <f t="shared" si="7"/>
        <v>45264</v>
      </c>
      <c r="G69" s="72">
        <f t="shared" si="8"/>
        <v>4067</v>
      </c>
      <c r="H69" s="68">
        <f t="shared" si="9"/>
        <v>-5029</v>
      </c>
      <c r="I69" s="68">
        <f t="shared" si="10"/>
        <v>2612</v>
      </c>
      <c r="J69" s="68">
        <f t="shared" si="11"/>
        <v>1997</v>
      </c>
      <c r="K69" s="68">
        <f t="shared" si="12"/>
        <v>121</v>
      </c>
      <c r="L69" s="68">
        <f t="shared" si="13"/>
        <v>288</v>
      </c>
      <c r="M69" s="68">
        <f t="shared" si="14"/>
        <v>64</v>
      </c>
      <c r="N69" s="68">
        <f t="shared" si="15"/>
        <v>-85</v>
      </c>
      <c r="O69" s="68">
        <f t="shared" si="16"/>
        <v>201</v>
      </c>
      <c r="P69" s="68">
        <f t="shared" si="17"/>
        <v>26</v>
      </c>
      <c r="Q69" s="68" t="str">
        <f t="shared" si="18"/>
        <v/>
      </c>
      <c r="R69" s="69">
        <f t="shared" si="19"/>
        <v>-1649</v>
      </c>
      <c r="U69" s="5">
        <v>45264</v>
      </c>
      <c r="V69">
        <v>4067</v>
      </c>
      <c r="W69">
        <v>-5029</v>
      </c>
      <c r="X69">
        <v>2612</v>
      </c>
      <c r="Y69">
        <v>1997</v>
      </c>
      <c r="Z69">
        <v>121</v>
      </c>
      <c r="AA69">
        <v>288</v>
      </c>
      <c r="AB69">
        <v>64</v>
      </c>
      <c r="AC69">
        <v>-85</v>
      </c>
      <c r="AD69">
        <v>201</v>
      </c>
      <c r="AE69">
        <v>26</v>
      </c>
      <c r="AF69">
        <v>0</v>
      </c>
      <c r="AG69">
        <v>-1649</v>
      </c>
      <c r="BB69">
        <v>52</v>
      </c>
      <c r="BC69" t="s">
        <v>512</v>
      </c>
      <c r="BP69">
        <v>52</v>
      </c>
      <c r="BQ69" s="33" t="s">
        <v>567</v>
      </c>
    </row>
    <row r="70" spans="6:70">
      <c r="F70" s="74">
        <f t="shared" si="7"/>
        <v>45261</v>
      </c>
      <c r="G70" s="72">
        <f t="shared" si="8"/>
        <v>-3295</v>
      </c>
      <c r="H70" s="68">
        <f t="shared" si="9"/>
        <v>9223</v>
      </c>
      <c r="I70" s="68">
        <f t="shared" si="10"/>
        <v>-3029</v>
      </c>
      <c r="J70" s="68">
        <f t="shared" si="11"/>
        <v>-5207</v>
      </c>
      <c r="K70" s="68">
        <f t="shared" si="12"/>
        <v>355</v>
      </c>
      <c r="L70" s="68">
        <f t="shared" si="13"/>
        <v>390</v>
      </c>
      <c r="M70" s="68">
        <f t="shared" si="14"/>
        <v>-589</v>
      </c>
      <c r="N70" s="68">
        <f t="shared" si="15"/>
        <v>-54</v>
      </c>
      <c r="O70" s="68">
        <f t="shared" si="16"/>
        <v>-5</v>
      </c>
      <c r="P70" s="68">
        <f t="shared" si="17"/>
        <v>2081</v>
      </c>
      <c r="Q70" s="68" t="str">
        <f t="shared" si="18"/>
        <v/>
      </c>
      <c r="R70" s="69">
        <f t="shared" si="19"/>
        <v>-2897</v>
      </c>
      <c r="U70" s="5">
        <v>45261</v>
      </c>
      <c r="V70">
        <v>-3295</v>
      </c>
      <c r="W70">
        <v>9223</v>
      </c>
      <c r="X70">
        <v>-3029</v>
      </c>
      <c r="Y70">
        <v>-5207</v>
      </c>
      <c r="Z70">
        <v>355</v>
      </c>
      <c r="AA70">
        <v>390</v>
      </c>
      <c r="AB70">
        <v>-589</v>
      </c>
      <c r="AC70">
        <v>-54</v>
      </c>
      <c r="AD70">
        <v>-5</v>
      </c>
      <c r="AE70">
        <v>2081</v>
      </c>
      <c r="AF70">
        <v>0</v>
      </c>
      <c r="AG70">
        <v>-2897</v>
      </c>
      <c r="BB70">
        <v>53</v>
      </c>
      <c r="BC70" t="s">
        <v>513</v>
      </c>
      <c r="BP70">
        <v>53</v>
      </c>
      <c r="BQ70" s="33" t="s">
        <v>568</v>
      </c>
    </row>
    <row r="71" spans="6:70">
      <c r="F71" s="74">
        <f t="shared" si="7"/>
        <v>45260</v>
      </c>
      <c r="G71" s="72">
        <f t="shared" si="8"/>
        <v>10002</v>
      </c>
      <c r="H71" s="68">
        <f t="shared" si="9"/>
        <v>-14993</v>
      </c>
      <c r="I71" s="68">
        <f t="shared" si="10"/>
        <v>6172</v>
      </c>
      <c r="J71" s="68">
        <f t="shared" si="11"/>
        <v>4299</v>
      </c>
      <c r="K71" s="68">
        <f t="shared" si="12"/>
        <v>145</v>
      </c>
      <c r="L71" s="68">
        <f t="shared" si="13"/>
        <v>353</v>
      </c>
      <c r="M71" s="68">
        <f t="shared" si="14"/>
        <v>1448</v>
      </c>
      <c r="N71" s="68">
        <f t="shared" si="15"/>
        <v>377</v>
      </c>
      <c r="O71" s="68">
        <f t="shared" si="16"/>
        <v>28</v>
      </c>
      <c r="P71" s="68">
        <f t="shared" si="17"/>
        <v>-478</v>
      </c>
      <c r="Q71" s="68" t="str">
        <f t="shared" si="18"/>
        <v/>
      </c>
      <c r="R71" s="69">
        <f t="shared" si="19"/>
        <v>-1180</v>
      </c>
      <c r="U71" s="5">
        <v>45260</v>
      </c>
      <c r="V71">
        <v>10002</v>
      </c>
      <c r="W71">
        <v>-14993</v>
      </c>
      <c r="X71">
        <v>6172</v>
      </c>
      <c r="Y71">
        <v>4299</v>
      </c>
      <c r="Z71">
        <v>145</v>
      </c>
      <c r="AA71">
        <v>353</v>
      </c>
      <c r="AB71">
        <v>1448</v>
      </c>
      <c r="AC71">
        <v>377</v>
      </c>
      <c r="AD71">
        <v>28</v>
      </c>
      <c r="AE71">
        <v>-478</v>
      </c>
      <c r="AF71">
        <v>0</v>
      </c>
      <c r="AG71">
        <v>-1180</v>
      </c>
      <c r="BB71">
        <v>54</v>
      </c>
      <c r="BC71" t="s">
        <v>514</v>
      </c>
      <c r="BP71">
        <v>54</v>
      </c>
      <c r="BQ71" s="33" t="s">
        <v>569</v>
      </c>
    </row>
    <row r="72" spans="6:70">
      <c r="F72" s="74">
        <f t="shared" si="7"/>
        <v>45259</v>
      </c>
      <c r="G72" s="72">
        <f t="shared" si="8"/>
        <v>-7592</v>
      </c>
      <c r="H72" s="68">
        <f t="shared" si="9"/>
        <v>11504</v>
      </c>
      <c r="I72" s="68">
        <f t="shared" si="10"/>
        <v>-4194</v>
      </c>
      <c r="J72" s="68">
        <f t="shared" si="11"/>
        <v>-4330</v>
      </c>
      <c r="K72" s="68">
        <f t="shared" si="12"/>
        <v>59</v>
      </c>
      <c r="L72" s="68">
        <f t="shared" si="13"/>
        <v>190</v>
      </c>
      <c r="M72" s="68">
        <f t="shared" si="14"/>
        <v>-52</v>
      </c>
      <c r="N72" s="68">
        <f t="shared" si="15"/>
        <v>211</v>
      </c>
      <c r="O72" s="68">
        <f t="shared" si="16"/>
        <v>30</v>
      </c>
      <c r="P72" s="68">
        <f t="shared" si="17"/>
        <v>-302</v>
      </c>
      <c r="Q72" s="68" t="str">
        <f t="shared" si="18"/>
        <v/>
      </c>
      <c r="R72" s="69">
        <f t="shared" si="19"/>
        <v>278</v>
      </c>
      <c r="U72" s="5">
        <v>45259</v>
      </c>
      <c r="V72">
        <v>-7592</v>
      </c>
      <c r="W72">
        <v>11504</v>
      </c>
      <c r="X72">
        <v>-4194</v>
      </c>
      <c r="Y72">
        <v>-4330</v>
      </c>
      <c r="Z72">
        <v>59</v>
      </c>
      <c r="AA72">
        <v>190</v>
      </c>
      <c r="AB72">
        <v>-52</v>
      </c>
      <c r="AC72">
        <v>211</v>
      </c>
      <c r="AD72">
        <v>30</v>
      </c>
      <c r="AE72">
        <v>-302</v>
      </c>
      <c r="AF72">
        <v>0</v>
      </c>
      <c r="AG72">
        <v>278</v>
      </c>
      <c r="BB72">
        <v>55</v>
      </c>
      <c r="BC72" t="s">
        <v>515</v>
      </c>
      <c r="BP72">
        <v>55</v>
      </c>
      <c r="BQ72" s="33" t="s">
        <v>570</v>
      </c>
    </row>
    <row r="73" spans="6:70">
      <c r="F73" s="74">
        <f t="shared" si="7"/>
        <v>45258</v>
      </c>
      <c r="G73" s="72">
        <f t="shared" si="8"/>
        <v>-4352</v>
      </c>
      <c r="H73" s="68">
        <f t="shared" si="9"/>
        <v>-8421</v>
      </c>
      <c r="I73" s="68">
        <f t="shared" si="10"/>
        <v>13262</v>
      </c>
      <c r="J73" s="68">
        <f t="shared" si="11"/>
        <v>8403</v>
      </c>
      <c r="K73" s="68">
        <f t="shared" si="12"/>
        <v>423</v>
      </c>
      <c r="L73" s="68">
        <f t="shared" si="13"/>
        <v>1604</v>
      </c>
      <c r="M73" s="68">
        <f t="shared" si="14"/>
        <v>1698</v>
      </c>
      <c r="N73" s="68">
        <f t="shared" si="15"/>
        <v>250</v>
      </c>
      <c r="O73" s="68">
        <f t="shared" si="16"/>
        <v>9</v>
      </c>
      <c r="P73" s="68">
        <f t="shared" si="17"/>
        <v>875</v>
      </c>
      <c r="Q73" s="68" t="str">
        <f t="shared" si="18"/>
        <v/>
      </c>
      <c r="R73" s="69">
        <f t="shared" si="19"/>
        <v>-490</v>
      </c>
      <c r="U73" s="5">
        <v>45258</v>
      </c>
      <c r="V73">
        <v>-4352</v>
      </c>
      <c r="W73">
        <v>-8421</v>
      </c>
      <c r="X73">
        <v>13262</v>
      </c>
      <c r="Y73">
        <v>8403</v>
      </c>
      <c r="Z73">
        <v>423</v>
      </c>
      <c r="AA73">
        <v>1604</v>
      </c>
      <c r="AB73">
        <v>1698</v>
      </c>
      <c r="AC73">
        <v>250</v>
      </c>
      <c r="AD73">
        <v>9</v>
      </c>
      <c r="AE73">
        <v>875</v>
      </c>
      <c r="AF73">
        <v>0</v>
      </c>
      <c r="AG73">
        <v>-490</v>
      </c>
      <c r="BB73">
        <v>56</v>
      </c>
      <c r="BC73" t="s">
        <v>516</v>
      </c>
      <c r="BP73">
        <v>56</v>
      </c>
      <c r="BQ73" s="33" t="s">
        <v>571</v>
      </c>
    </row>
    <row r="74" spans="6:70">
      <c r="F74" s="74">
        <f t="shared" si="7"/>
        <v>45257</v>
      </c>
      <c r="G74" s="72">
        <f t="shared" si="8"/>
        <v>-7482</v>
      </c>
      <c r="H74" s="68">
        <f t="shared" si="9"/>
        <v>1968</v>
      </c>
      <c r="I74" s="68">
        <f t="shared" si="10"/>
        <v>5554</v>
      </c>
      <c r="J74" s="68">
        <f t="shared" si="11"/>
        <v>4083</v>
      </c>
      <c r="K74" s="68">
        <f t="shared" si="12"/>
        <v>-469</v>
      </c>
      <c r="L74" s="68">
        <f t="shared" si="13"/>
        <v>-68</v>
      </c>
      <c r="M74" s="68">
        <f t="shared" si="14"/>
        <v>669</v>
      </c>
      <c r="N74" s="68">
        <f t="shared" si="15"/>
        <v>628</v>
      </c>
      <c r="O74" s="68">
        <f t="shared" si="16"/>
        <v>-13</v>
      </c>
      <c r="P74" s="68">
        <f t="shared" si="17"/>
        <v>724</v>
      </c>
      <c r="Q74" s="68" t="str">
        <f t="shared" si="18"/>
        <v/>
      </c>
      <c r="R74" s="69">
        <f t="shared" si="19"/>
        <v>-42</v>
      </c>
      <c r="U74" s="5">
        <v>45257</v>
      </c>
      <c r="V74">
        <v>-7482</v>
      </c>
      <c r="W74">
        <v>1968</v>
      </c>
      <c r="X74">
        <v>5554</v>
      </c>
      <c r="Y74">
        <v>4083</v>
      </c>
      <c r="Z74">
        <v>-469</v>
      </c>
      <c r="AA74">
        <v>-68</v>
      </c>
      <c r="AB74">
        <v>669</v>
      </c>
      <c r="AC74">
        <v>628</v>
      </c>
      <c r="AD74">
        <v>-13</v>
      </c>
      <c r="AE74">
        <v>724</v>
      </c>
      <c r="AF74">
        <v>0</v>
      </c>
      <c r="AG74">
        <v>-42</v>
      </c>
      <c r="BB74">
        <v>57</v>
      </c>
      <c r="BC74" t="s">
        <v>517</v>
      </c>
      <c r="BP74">
        <v>57</v>
      </c>
      <c r="BQ74" s="33" t="s">
        <v>572</v>
      </c>
    </row>
    <row r="75" spans="6:70">
      <c r="F75" s="74">
        <f t="shared" si="7"/>
        <v>45254</v>
      </c>
      <c r="G75" s="72">
        <f t="shared" si="8"/>
        <v>-3167</v>
      </c>
      <c r="H75" s="68">
        <f t="shared" si="9"/>
        <v>5554</v>
      </c>
      <c r="I75" s="68">
        <f t="shared" si="10"/>
        <v>-101</v>
      </c>
      <c r="J75" s="68">
        <f t="shared" si="11"/>
        <v>1326</v>
      </c>
      <c r="K75" s="68">
        <f t="shared" si="12"/>
        <v>-203</v>
      </c>
      <c r="L75" s="68">
        <f t="shared" si="13"/>
        <v>-45</v>
      </c>
      <c r="M75" s="68">
        <f t="shared" si="14"/>
        <v>-527</v>
      </c>
      <c r="N75" s="68">
        <f t="shared" si="15"/>
        <v>-48</v>
      </c>
      <c r="O75" s="68">
        <f t="shared" si="16"/>
        <v>188</v>
      </c>
      <c r="P75" s="68">
        <f t="shared" si="17"/>
        <v>-792</v>
      </c>
      <c r="Q75" s="68" t="str">
        <f t="shared" si="18"/>
        <v/>
      </c>
      <c r="R75" s="69">
        <f t="shared" si="19"/>
        <v>-2286</v>
      </c>
      <c r="U75" s="5">
        <v>45254</v>
      </c>
      <c r="V75">
        <v>-3167</v>
      </c>
      <c r="W75">
        <v>5554</v>
      </c>
      <c r="X75">
        <v>-101</v>
      </c>
      <c r="Y75">
        <v>1326</v>
      </c>
      <c r="Z75">
        <v>-203</v>
      </c>
      <c r="AA75">
        <v>-45</v>
      </c>
      <c r="AB75">
        <v>-527</v>
      </c>
      <c r="AC75">
        <v>-48</v>
      </c>
      <c r="AD75">
        <v>188</v>
      </c>
      <c r="AE75">
        <v>-792</v>
      </c>
      <c r="AF75">
        <v>0</v>
      </c>
      <c r="AG75">
        <v>-2286</v>
      </c>
      <c r="BB75">
        <v>58</v>
      </c>
      <c r="BC75" t="s">
        <v>518</v>
      </c>
      <c r="BP75">
        <v>58</v>
      </c>
      <c r="BQ75" s="33" t="s">
        <v>573</v>
      </c>
    </row>
    <row r="76" spans="6:70">
      <c r="F76" s="74">
        <f t="shared" si="7"/>
        <v>45253</v>
      </c>
      <c r="G76" s="72">
        <f t="shared" si="8"/>
        <v>-2495</v>
      </c>
      <c r="H76" s="68">
        <f t="shared" si="9"/>
        <v>4196</v>
      </c>
      <c r="I76" s="68">
        <f t="shared" si="10"/>
        <v>-2214</v>
      </c>
      <c r="J76" s="68">
        <f t="shared" si="11"/>
        <v>127</v>
      </c>
      <c r="K76" s="68">
        <f t="shared" si="12"/>
        <v>-48</v>
      </c>
      <c r="L76" s="68">
        <f t="shared" si="13"/>
        <v>-358</v>
      </c>
      <c r="M76" s="68">
        <f t="shared" si="14"/>
        <v>-274</v>
      </c>
      <c r="N76" s="68">
        <f t="shared" si="15"/>
        <v>214</v>
      </c>
      <c r="O76" s="68">
        <f t="shared" si="16"/>
        <v>49</v>
      </c>
      <c r="P76" s="68">
        <f t="shared" si="17"/>
        <v>-1924</v>
      </c>
      <c r="Q76" s="68" t="str">
        <f t="shared" si="18"/>
        <v/>
      </c>
      <c r="R76" s="69">
        <f t="shared" si="19"/>
        <v>512</v>
      </c>
      <c r="U76" s="5">
        <v>45253</v>
      </c>
      <c r="V76">
        <v>-2495</v>
      </c>
      <c r="W76">
        <v>4196</v>
      </c>
      <c r="X76">
        <v>-2214</v>
      </c>
      <c r="Y76">
        <v>127</v>
      </c>
      <c r="Z76">
        <v>-48</v>
      </c>
      <c r="AA76">
        <v>-358</v>
      </c>
      <c r="AB76">
        <v>-274</v>
      </c>
      <c r="AC76">
        <v>214</v>
      </c>
      <c r="AD76">
        <v>49</v>
      </c>
      <c r="AE76">
        <v>-1924</v>
      </c>
      <c r="AF76">
        <v>0</v>
      </c>
      <c r="AG76">
        <v>512</v>
      </c>
      <c r="BB76">
        <v>59</v>
      </c>
      <c r="BC76" t="s">
        <v>519</v>
      </c>
      <c r="BP76">
        <v>59</v>
      </c>
      <c r="BQ76" s="33" t="s">
        <v>574</v>
      </c>
    </row>
    <row r="77" spans="6:70">
      <c r="F77" s="74">
        <f t="shared" si="7"/>
        <v>45252</v>
      </c>
      <c r="G77" s="72">
        <f t="shared" si="8"/>
        <v>-5919</v>
      </c>
      <c r="H77" s="68">
        <f t="shared" si="9"/>
        <v>7233</v>
      </c>
      <c r="I77" s="68">
        <f t="shared" si="10"/>
        <v>-869</v>
      </c>
      <c r="J77" s="68">
        <f t="shared" si="11"/>
        <v>-1114</v>
      </c>
      <c r="K77" s="68">
        <f t="shared" si="12"/>
        <v>-142</v>
      </c>
      <c r="L77" s="68">
        <f t="shared" si="13"/>
        <v>534</v>
      </c>
      <c r="M77" s="68">
        <f t="shared" si="14"/>
        <v>-104</v>
      </c>
      <c r="N77" s="68">
        <f t="shared" si="15"/>
        <v>-3</v>
      </c>
      <c r="O77" s="68">
        <f t="shared" si="16"/>
        <v>103</v>
      </c>
      <c r="P77" s="68">
        <f t="shared" si="17"/>
        <v>-143</v>
      </c>
      <c r="Q77" s="68" t="str">
        <f t="shared" si="18"/>
        <v/>
      </c>
      <c r="R77" s="69">
        <f t="shared" si="19"/>
        <v>-447</v>
      </c>
      <c r="U77" s="5">
        <v>45252</v>
      </c>
      <c r="V77">
        <v>-5919</v>
      </c>
      <c r="W77">
        <v>7233</v>
      </c>
      <c r="X77">
        <v>-869</v>
      </c>
      <c r="Y77">
        <v>-1114</v>
      </c>
      <c r="Z77">
        <v>-142</v>
      </c>
      <c r="AA77">
        <v>534</v>
      </c>
      <c r="AB77">
        <v>-104</v>
      </c>
      <c r="AC77">
        <v>-3</v>
      </c>
      <c r="AD77">
        <v>103</v>
      </c>
      <c r="AE77">
        <v>-143</v>
      </c>
      <c r="AF77">
        <v>0</v>
      </c>
      <c r="AG77">
        <v>-447</v>
      </c>
      <c r="BB77">
        <v>60</v>
      </c>
      <c r="BC77" t="s">
        <v>520</v>
      </c>
      <c r="BP77">
        <v>60</v>
      </c>
      <c r="BQ77" s="33" t="s">
        <v>575</v>
      </c>
    </row>
    <row r="78" spans="6:70">
      <c r="F78" s="74">
        <f t="shared" si="7"/>
        <v>45251</v>
      </c>
      <c r="G78" s="72">
        <f t="shared" si="8"/>
        <v>10262</v>
      </c>
      <c r="H78" s="68">
        <f t="shared" si="9"/>
        <v>-11769</v>
      </c>
      <c r="I78" s="68">
        <f t="shared" si="10"/>
        <v>1881</v>
      </c>
      <c r="J78" s="68">
        <f t="shared" si="11"/>
        <v>2007</v>
      </c>
      <c r="K78" s="68">
        <f t="shared" si="12"/>
        <v>-171</v>
      </c>
      <c r="L78" s="68">
        <f t="shared" si="13"/>
        <v>213</v>
      </c>
      <c r="M78" s="68">
        <f t="shared" si="14"/>
        <v>-212</v>
      </c>
      <c r="N78" s="68">
        <f t="shared" si="15"/>
        <v>10</v>
      </c>
      <c r="O78" s="68">
        <f t="shared" si="16"/>
        <v>-14</v>
      </c>
      <c r="P78" s="68">
        <f t="shared" si="17"/>
        <v>48</v>
      </c>
      <c r="Q78" s="68" t="str">
        <f t="shared" si="18"/>
        <v/>
      </c>
      <c r="R78" s="69">
        <f t="shared" si="19"/>
        <v>-372</v>
      </c>
      <c r="U78" s="5">
        <v>45251</v>
      </c>
      <c r="V78">
        <v>10262</v>
      </c>
      <c r="W78">
        <v>-11769</v>
      </c>
      <c r="X78">
        <v>1881</v>
      </c>
      <c r="Y78">
        <v>2007</v>
      </c>
      <c r="Z78">
        <v>-171</v>
      </c>
      <c r="AA78">
        <v>213</v>
      </c>
      <c r="AB78">
        <v>-212</v>
      </c>
      <c r="AC78">
        <v>10</v>
      </c>
      <c r="AD78">
        <v>-14</v>
      </c>
      <c r="AE78">
        <v>48</v>
      </c>
      <c r="AF78">
        <v>0</v>
      </c>
      <c r="AG78">
        <v>-372</v>
      </c>
      <c r="BB78">
        <v>61</v>
      </c>
      <c r="BC78" t="s">
        <v>521</v>
      </c>
      <c r="BP78">
        <v>61</v>
      </c>
      <c r="BQ78" s="33" t="s">
        <v>576</v>
      </c>
    </row>
    <row r="79" spans="6:70">
      <c r="F79" s="74">
        <f t="shared" si="7"/>
        <v>45250</v>
      </c>
      <c r="G79" s="72">
        <f t="shared" si="8"/>
        <v>12001</v>
      </c>
      <c r="H79" s="68">
        <f t="shared" si="9"/>
        <v>-20638</v>
      </c>
      <c r="I79" s="68">
        <f t="shared" si="10"/>
        <v>8328</v>
      </c>
      <c r="J79" s="68">
        <f t="shared" si="11"/>
        <v>5824</v>
      </c>
      <c r="K79" s="68">
        <f t="shared" si="12"/>
        <v>394</v>
      </c>
      <c r="L79" s="68">
        <f t="shared" si="13"/>
        <v>1444</v>
      </c>
      <c r="M79" s="68">
        <f t="shared" si="14"/>
        <v>293</v>
      </c>
      <c r="N79" s="68">
        <f t="shared" si="15"/>
        <v>20</v>
      </c>
      <c r="O79" s="68">
        <f t="shared" si="16"/>
        <v>90</v>
      </c>
      <c r="P79" s="68">
        <f t="shared" si="17"/>
        <v>263</v>
      </c>
      <c r="Q79" s="68" t="str">
        <f t="shared" si="18"/>
        <v/>
      </c>
      <c r="R79" s="69">
        <f t="shared" si="19"/>
        <v>309</v>
      </c>
      <c r="U79" s="5">
        <v>45250</v>
      </c>
      <c r="V79">
        <v>12001</v>
      </c>
      <c r="W79">
        <v>-20638</v>
      </c>
      <c r="X79">
        <v>8328</v>
      </c>
      <c r="Y79">
        <v>5824</v>
      </c>
      <c r="Z79">
        <v>394</v>
      </c>
      <c r="AA79">
        <v>1444</v>
      </c>
      <c r="AB79">
        <v>293</v>
      </c>
      <c r="AC79">
        <v>20</v>
      </c>
      <c r="AD79">
        <v>90</v>
      </c>
      <c r="AE79">
        <v>263</v>
      </c>
      <c r="AF79">
        <v>0</v>
      </c>
      <c r="AG79">
        <v>309</v>
      </c>
      <c r="BB79">
        <v>62</v>
      </c>
      <c r="BC79" t="s">
        <v>522</v>
      </c>
      <c r="BP79">
        <v>62</v>
      </c>
      <c r="BQ79" s="33" t="s">
        <v>577</v>
      </c>
    </row>
    <row r="80" spans="6:70">
      <c r="F80" s="74">
        <f t="shared" si="7"/>
        <v>45247</v>
      </c>
      <c r="G80" s="72">
        <f t="shared" si="8"/>
        <v>-14371</v>
      </c>
      <c r="H80" s="68">
        <f t="shared" si="9"/>
        <v>15886</v>
      </c>
      <c r="I80" s="68">
        <f t="shared" si="10"/>
        <v>-3397</v>
      </c>
      <c r="J80" s="68">
        <f t="shared" si="11"/>
        <v>-1175</v>
      </c>
      <c r="K80" s="68">
        <f t="shared" si="12"/>
        <v>-174</v>
      </c>
      <c r="L80" s="68">
        <f t="shared" si="13"/>
        <v>-353</v>
      </c>
      <c r="M80" s="68">
        <f t="shared" si="14"/>
        <v>-1316</v>
      </c>
      <c r="N80" s="68">
        <f t="shared" si="15"/>
        <v>206</v>
      </c>
      <c r="O80" s="68">
        <f t="shared" si="16"/>
        <v>70</v>
      </c>
      <c r="P80" s="68">
        <f t="shared" si="17"/>
        <v>-655</v>
      </c>
      <c r="Q80" s="68" t="str">
        <f t="shared" si="18"/>
        <v/>
      </c>
      <c r="R80" s="69">
        <f t="shared" si="19"/>
        <v>1884</v>
      </c>
      <c r="U80" s="5">
        <v>45247</v>
      </c>
      <c r="V80">
        <v>-14371</v>
      </c>
      <c r="W80">
        <v>15886</v>
      </c>
      <c r="X80">
        <v>-3397</v>
      </c>
      <c r="Y80">
        <v>-1175</v>
      </c>
      <c r="Z80">
        <v>-174</v>
      </c>
      <c r="AA80">
        <v>-353</v>
      </c>
      <c r="AB80">
        <v>-1316</v>
      </c>
      <c r="AC80">
        <v>206</v>
      </c>
      <c r="AD80">
        <v>70</v>
      </c>
      <c r="AE80">
        <v>-655</v>
      </c>
      <c r="AF80">
        <v>0</v>
      </c>
      <c r="AG80">
        <v>1884</v>
      </c>
      <c r="BB80">
        <v>63</v>
      </c>
      <c r="BC80" t="s">
        <v>523</v>
      </c>
      <c r="BP80">
        <v>63</v>
      </c>
      <c r="BQ80" s="33" t="s">
        <v>578</v>
      </c>
    </row>
    <row r="81" spans="6:69">
      <c r="F81" s="74">
        <f t="shared" si="7"/>
        <v>45246</v>
      </c>
      <c r="G81" s="72">
        <f t="shared" si="8"/>
        <v>6899</v>
      </c>
      <c r="H81" s="68">
        <f t="shared" si="9"/>
        <v>-5875</v>
      </c>
      <c r="I81" s="68">
        <f t="shared" si="10"/>
        <v>-1078</v>
      </c>
      <c r="J81" s="68">
        <f t="shared" si="11"/>
        <v>-2054</v>
      </c>
      <c r="K81" s="68">
        <f t="shared" si="12"/>
        <v>180</v>
      </c>
      <c r="L81" s="68">
        <f t="shared" si="13"/>
        <v>247</v>
      </c>
      <c r="M81" s="68">
        <f t="shared" si="14"/>
        <v>51</v>
      </c>
      <c r="N81" s="68">
        <f t="shared" si="15"/>
        <v>95</v>
      </c>
      <c r="O81" s="68">
        <f t="shared" si="16"/>
        <v>61</v>
      </c>
      <c r="P81" s="68">
        <f t="shared" si="17"/>
        <v>342</v>
      </c>
      <c r="Q81" s="68" t="str">
        <f t="shared" si="18"/>
        <v/>
      </c>
      <c r="R81" s="69">
        <f t="shared" si="19"/>
        <v>56</v>
      </c>
      <c r="U81" s="5">
        <v>45246</v>
      </c>
      <c r="V81">
        <v>6899</v>
      </c>
      <c r="W81">
        <v>-5875</v>
      </c>
      <c r="X81">
        <v>-1078</v>
      </c>
      <c r="Y81">
        <v>-2054</v>
      </c>
      <c r="Z81">
        <v>180</v>
      </c>
      <c r="AA81">
        <v>247</v>
      </c>
      <c r="AB81">
        <v>51</v>
      </c>
      <c r="AC81">
        <v>95</v>
      </c>
      <c r="AD81">
        <v>61</v>
      </c>
      <c r="AE81">
        <v>342</v>
      </c>
      <c r="AF81">
        <v>0</v>
      </c>
      <c r="AG81">
        <v>56</v>
      </c>
      <c r="BB81">
        <v>64</v>
      </c>
      <c r="BC81" t="s">
        <v>524</v>
      </c>
      <c r="BP81">
        <v>64</v>
      </c>
      <c r="BQ81" s="33" t="s">
        <v>579</v>
      </c>
    </row>
    <row r="82" spans="6:69">
      <c r="F82" s="74">
        <f t="shared" si="7"/>
        <v>45245</v>
      </c>
      <c r="G82" s="72">
        <f t="shared" si="8"/>
        <v>21255</v>
      </c>
      <c r="H82" s="68">
        <f t="shared" si="9"/>
        <v>-42759</v>
      </c>
      <c r="I82" s="68">
        <f t="shared" si="10"/>
        <v>20278</v>
      </c>
      <c r="J82" s="68">
        <f t="shared" si="11"/>
        <v>20363</v>
      </c>
      <c r="K82" s="68">
        <f t="shared" si="12"/>
        <v>92</v>
      </c>
      <c r="L82" s="68">
        <f t="shared" si="13"/>
        <v>859</v>
      </c>
      <c r="M82" s="68">
        <f t="shared" si="14"/>
        <v>-698</v>
      </c>
      <c r="N82" s="68">
        <f t="shared" si="15"/>
        <v>155</v>
      </c>
      <c r="O82" s="68">
        <f t="shared" si="16"/>
        <v>-17</v>
      </c>
      <c r="P82" s="68">
        <f t="shared" si="17"/>
        <v>-476</v>
      </c>
      <c r="Q82" s="68" t="str">
        <f t="shared" si="18"/>
        <v/>
      </c>
      <c r="R82" s="69">
        <f t="shared" si="19"/>
        <v>1227</v>
      </c>
      <c r="U82" s="5">
        <v>45245</v>
      </c>
      <c r="V82">
        <v>21255</v>
      </c>
      <c r="W82">
        <v>-42759</v>
      </c>
      <c r="X82">
        <v>20278</v>
      </c>
      <c r="Y82">
        <v>20363</v>
      </c>
      <c r="Z82">
        <v>92</v>
      </c>
      <c r="AA82">
        <v>859</v>
      </c>
      <c r="AB82">
        <v>-698</v>
      </c>
      <c r="AC82">
        <v>155</v>
      </c>
      <c r="AD82">
        <v>-17</v>
      </c>
      <c r="AE82">
        <v>-476</v>
      </c>
      <c r="AF82">
        <v>0</v>
      </c>
      <c r="AG82">
        <v>1227</v>
      </c>
      <c r="BB82">
        <v>65</v>
      </c>
      <c r="BC82" t="s">
        <v>525</v>
      </c>
      <c r="BP82">
        <v>65</v>
      </c>
      <c r="BQ82" s="33" t="s">
        <v>580</v>
      </c>
    </row>
    <row r="83" spans="6:69">
      <c r="F83" s="74">
        <f t="shared" ref="F83:F146" si="21">IF(U83=0,"",U83)</f>
        <v>45244</v>
      </c>
      <c r="G83" s="72">
        <f t="shared" ref="G83:G146" si="22">IF(IF($B$17=3,V83/1000,V83)=0,"",IF($B$17=3,V83/1000,V83))</f>
        <v>9557</v>
      </c>
      <c r="H83" s="68">
        <f t="shared" ref="H83:H146" si="23">IF(IF($B$17=3,W83/1000,W83)=0,"",IF($B$17=3,W83/1000,W83))</f>
        <v>-19106</v>
      </c>
      <c r="I83" s="68">
        <f t="shared" ref="I83:I146" si="24">IF(IF($B$17=3,X83/1000,X83)=0,"",IF($B$17=3,X83/1000,X83))</f>
        <v>8419</v>
      </c>
      <c r="J83" s="68">
        <f t="shared" ref="J83:J146" si="25">IF(IF($B$17=3,Y83/1000,Y83)=0,"",IF($B$17=3,Y83/1000,Y83))</f>
        <v>8808</v>
      </c>
      <c r="K83" s="68">
        <f t="shared" ref="K83:K146" si="26">IF(IF($B$17=3,Z83/1000,Z83)=0,"",IF($B$17=3,Z83/1000,Z83))</f>
        <v>-287</v>
      </c>
      <c r="L83" s="68">
        <f t="shared" ref="L83:L146" si="27">IF(IF($B$17=3,AA83/1000,AA83)=0,"",IF($B$17=3,AA83/1000,AA83))</f>
        <v>791</v>
      </c>
      <c r="M83" s="68">
        <f t="shared" ref="M83:M146" si="28">IF(IF($B$17=3,AB83/1000,AB83)=0,"",IF($B$17=3,AB83/1000,AB83))</f>
        <v>-1176</v>
      </c>
      <c r="N83" s="68">
        <f t="shared" ref="N83:N146" si="29">IF(IF($B$17=3,AC83/1000,AC83)=0,"",IF($B$17=3,AC83/1000,AC83))</f>
        <v>158</v>
      </c>
      <c r="O83" s="68">
        <f t="shared" ref="O83:O146" si="30">IF(IF($B$17=3,AD83/1000,AD83)=0,"",IF($B$17=3,AD83/1000,AD83))</f>
        <v>56</v>
      </c>
      <c r="P83" s="68">
        <f t="shared" ref="P83:P146" si="31">IF(IF($B$17=3,AE83/1000,AE83)=0,"",IF($B$17=3,AE83/1000,AE83))</f>
        <v>69</v>
      </c>
      <c r="Q83" s="68" t="str">
        <f t="shared" ref="Q83:Q146" si="32">IF(IF($B$17=3,AF83/1000,AF83)=0,"",IF($B$17=3,AF83/1000,AF83))</f>
        <v/>
      </c>
      <c r="R83" s="69">
        <f t="shared" ref="R83:R146" si="33">IF(IF($B$17=3,AG83/1000,AG83)=0,"",IF($B$17=3,AG83/1000,AG83))</f>
        <v>1128</v>
      </c>
      <c r="U83" s="5">
        <v>45244</v>
      </c>
      <c r="V83">
        <v>9557</v>
      </c>
      <c r="W83">
        <v>-19106</v>
      </c>
      <c r="X83">
        <v>8419</v>
      </c>
      <c r="Y83">
        <v>8808</v>
      </c>
      <c r="Z83">
        <v>-287</v>
      </c>
      <c r="AA83">
        <v>791</v>
      </c>
      <c r="AB83">
        <v>-1176</v>
      </c>
      <c r="AC83">
        <v>158</v>
      </c>
      <c r="AD83">
        <v>56</v>
      </c>
      <c r="AE83">
        <v>69</v>
      </c>
      <c r="AF83">
        <v>0</v>
      </c>
      <c r="AG83">
        <v>1128</v>
      </c>
      <c r="BB83">
        <v>66</v>
      </c>
      <c r="BC83" t="s">
        <v>526</v>
      </c>
      <c r="BP83">
        <v>66</v>
      </c>
      <c r="BQ83" s="33" t="s">
        <v>581</v>
      </c>
    </row>
    <row r="84" spans="6:69">
      <c r="F84" s="74">
        <f t="shared" si="21"/>
        <v>45243</v>
      </c>
      <c r="G84" s="72">
        <f t="shared" si="22"/>
        <v>-6475</v>
      </c>
      <c r="H84" s="68">
        <f t="shared" si="23"/>
        <v>7741</v>
      </c>
      <c r="I84" s="68">
        <f t="shared" si="24"/>
        <v>-1295</v>
      </c>
      <c r="J84" s="68">
        <f t="shared" si="25"/>
        <v>117</v>
      </c>
      <c r="K84" s="68">
        <f t="shared" si="26"/>
        <v>-646</v>
      </c>
      <c r="L84" s="68">
        <f t="shared" si="27"/>
        <v>-1065</v>
      </c>
      <c r="M84" s="68">
        <f t="shared" si="28"/>
        <v>-1291</v>
      </c>
      <c r="N84" s="68">
        <f t="shared" si="29"/>
        <v>174</v>
      </c>
      <c r="O84" s="68">
        <f t="shared" si="30"/>
        <v>4</v>
      </c>
      <c r="P84" s="68">
        <f t="shared" si="31"/>
        <v>1412</v>
      </c>
      <c r="Q84" s="68" t="str">
        <f t="shared" si="32"/>
        <v/>
      </c>
      <c r="R84" s="69">
        <f t="shared" si="33"/>
        <v>31</v>
      </c>
      <c r="U84" s="5">
        <v>45243</v>
      </c>
      <c r="V84">
        <v>-6475</v>
      </c>
      <c r="W84">
        <v>7741</v>
      </c>
      <c r="X84">
        <v>-1295</v>
      </c>
      <c r="Y84">
        <v>117</v>
      </c>
      <c r="Z84">
        <v>-646</v>
      </c>
      <c r="AA84">
        <v>-1065</v>
      </c>
      <c r="AB84">
        <v>-1291</v>
      </c>
      <c r="AC84">
        <v>174</v>
      </c>
      <c r="AD84">
        <v>4</v>
      </c>
      <c r="AE84">
        <v>1412</v>
      </c>
      <c r="AF84">
        <v>0</v>
      </c>
      <c r="AG84">
        <v>31</v>
      </c>
    </row>
    <row r="85" spans="6:69">
      <c r="F85" s="74">
        <f t="shared" si="21"/>
        <v>45240</v>
      </c>
      <c r="G85" s="72">
        <f t="shared" si="22"/>
        <v>-8669</v>
      </c>
      <c r="H85" s="68">
        <f t="shared" si="23"/>
        <v>9235</v>
      </c>
      <c r="I85" s="68">
        <f t="shared" si="24"/>
        <v>-1039</v>
      </c>
      <c r="J85" s="68">
        <f t="shared" si="25"/>
        <v>-881</v>
      </c>
      <c r="K85" s="68">
        <f t="shared" si="26"/>
        <v>225</v>
      </c>
      <c r="L85" s="68">
        <f t="shared" si="27"/>
        <v>207</v>
      </c>
      <c r="M85" s="68">
        <f t="shared" si="28"/>
        <v>593</v>
      </c>
      <c r="N85" s="68">
        <f t="shared" si="29"/>
        <v>-48</v>
      </c>
      <c r="O85" s="68">
        <f t="shared" si="30"/>
        <v>14</v>
      </c>
      <c r="P85" s="68">
        <f t="shared" si="31"/>
        <v>-1149</v>
      </c>
      <c r="Q85" s="68" t="str">
        <f t="shared" si="32"/>
        <v/>
      </c>
      <c r="R85" s="69">
        <f t="shared" si="33"/>
        <v>474</v>
      </c>
      <c r="U85" s="5">
        <v>45240</v>
      </c>
      <c r="V85">
        <v>-8669</v>
      </c>
      <c r="W85">
        <v>9235</v>
      </c>
      <c r="X85">
        <v>-1039</v>
      </c>
      <c r="Y85">
        <v>-881</v>
      </c>
      <c r="Z85">
        <v>225</v>
      </c>
      <c r="AA85">
        <v>207</v>
      </c>
      <c r="AB85">
        <v>593</v>
      </c>
      <c r="AC85">
        <v>-48</v>
      </c>
      <c r="AD85">
        <v>14</v>
      </c>
      <c r="AE85">
        <v>-1149</v>
      </c>
      <c r="AF85">
        <v>0</v>
      </c>
      <c r="AG85">
        <v>474</v>
      </c>
    </row>
    <row r="86" spans="6:69">
      <c r="F86" s="74">
        <f t="shared" si="21"/>
        <v>45239</v>
      </c>
      <c r="G86" s="72">
        <f t="shared" si="22"/>
        <v>4182</v>
      </c>
      <c r="H86" s="68">
        <f t="shared" si="23"/>
        <v>-3407</v>
      </c>
      <c r="I86" s="68">
        <f t="shared" si="24"/>
        <v>446</v>
      </c>
      <c r="J86" s="68">
        <f t="shared" si="25"/>
        <v>924</v>
      </c>
      <c r="K86" s="68">
        <f t="shared" si="26"/>
        <v>-183</v>
      </c>
      <c r="L86" s="68">
        <f t="shared" si="27"/>
        <v>286</v>
      </c>
      <c r="M86" s="68">
        <f t="shared" si="28"/>
        <v>417</v>
      </c>
      <c r="N86" s="68">
        <f t="shared" si="29"/>
        <v>-61</v>
      </c>
      <c r="O86" s="68">
        <f t="shared" si="30"/>
        <v>-46</v>
      </c>
      <c r="P86" s="68">
        <f t="shared" si="31"/>
        <v>-891</v>
      </c>
      <c r="Q86" s="68" t="str">
        <f t="shared" si="32"/>
        <v/>
      </c>
      <c r="R86" s="69">
        <f t="shared" si="33"/>
        <v>-1221</v>
      </c>
      <c r="U86" s="5">
        <v>45239</v>
      </c>
      <c r="V86">
        <v>4182</v>
      </c>
      <c r="W86">
        <v>-3407</v>
      </c>
      <c r="X86">
        <v>446</v>
      </c>
      <c r="Y86">
        <v>924</v>
      </c>
      <c r="Z86">
        <v>-183</v>
      </c>
      <c r="AA86">
        <v>286</v>
      </c>
      <c r="AB86">
        <v>417</v>
      </c>
      <c r="AC86">
        <v>-61</v>
      </c>
      <c r="AD86">
        <v>-46</v>
      </c>
      <c r="AE86">
        <v>-891</v>
      </c>
      <c r="AF86">
        <v>0</v>
      </c>
      <c r="AG86">
        <v>-1221</v>
      </c>
    </row>
    <row r="87" spans="6:69">
      <c r="F87" s="74">
        <f t="shared" si="21"/>
        <v>45238</v>
      </c>
      <c r="G87" s="72">
        <f t="shared" si="22"/>
        <v>-10671</v>
      </c>
      <c r="H87" s="68">
        <f t="shared" si="23"/>
        <v>10585</v>
      </c>
      <c r="I87" s="68">
        <f t="shared" si="24"/>
        <v>1592</v>
      </c>
      <c r="J87" s="68">
        <f t="shared" si="25"/>
        <v>4336</v>
      </c>
      <c r="K87" s="68">
        <f t="shared" si="26"/>
        <v>-676</v>
      </c>
      <c r="L87" s="68">
        <f t="shared" si="27"/>
        <v>149</v>
      </c>
      <c r="M87" s="68">
        <f t="shared" si="28"/>
        <v>-7</v>
      </c>
      <c r="N87" s="68">
        <f t="shared" si="29"/>
        <v>-190</v>
      </c>
      <c r="O87" s="68">
        <f t="shared" si="30"/>
        <v>-46</v>
      </c>
      <c r="P87" s="68">
        <f t="shared" si="31"/>
        <v>-1974</v>
      </c>
      <c r="Q87" s="68" t="str">
        <f t="shared" si="32"/>
        <v/>
      </c>
      <c r="R87" s="69">
        <f t="shared" si="33"/>
        <v>-1505</v>
      </c>
      <c r="U87" s="5">
        <v>45238</v>
      </c>
      <c r="V87">
        <v>-10671</v>
      </c>
      <c r="W87">
        <v>10585</v>
      </c>
      <c r="X87">
        <v>1592</v>
      </c>
      <c r="Y87">
        <v>4336</v>
      </c>
      <c r="Z87">
        <v>-676</v>
      </c>
      <c r="AA87">
        <v>149</v>
      </c>
      <c r="AB87">
        <v>-7</v>
      </c>
      <c r="AC87">
        <v>-190</v>
      </c>
      <c r="AD87">
        <v>-46</v>
      </c>
      <c r="AE87">
        <v>-1974</v>
      </c>
      <c r="AF87">
        <v>0</v>
      </c>
      <c r="AG87">
        <v>-1505</v>
      </c>
    </row>
    <row r="88" spans="6:69">
      <c r="F88" s="74">
        <f t="shared" si="21"/>
        <v>45237</v>
      </c>
      <c r="G88" s="72">
        <f t="shared" si="22"/>
        <v>-3882</v>
      </c>
      <c r="H88" s="68">
        <f t="shared" si="23"/>
        <v>13743</v>
      </c>
      <c r="I88" s="68">
        <f t="shared" si="24"/>
        <v>-7119</v>
      </c>
      <c r="J88" s="68">
        <f t="shared" si="25"/>
        <v>-4327</v>
      </c>
      <c r="K88" s="68">
        <f t="shared" si="26"/>
        <v>-569</v>
      </c>
      <c r="L88" s="68">
        <f t="shared" si="27"/>
        <v>249</v>
      </c>
      <c r="M88" s="68">
        <f t="shared" si="28"/>
        <v>-462</v>
      </c>
      <c r="N88" s="68">
        <f t="shared" si="29"/>
        <v>-11</v>
      </c>
      <c r="O88" s="68">
        <f t="shared" si="30"/>
        <v>-87</v>
      </c>
      <c r="P88" s="68">
        <f t="shared" si="31"/>
        <v>-1912</v>
      </c>
      <c r="Q88" s="68" t="str">
        <f t="shared" si="32"/>
        <v/>
      </c>
      <c r="R88" s="69">
        <f t="shared" si="33"/>
        <v>-2742</v>
      </c>
      <c r="U88" s="5">
        <v>45237</v>
      </c>
      <c r="V88">
        <v>-3882</v>
      </c>
      <c r="W88">
        <v>13743</v>
      </c>
      <c r="X88">
        <v>-7119</v>
      </c>
      <c r="Y88">
        <v>-4327</v>
      </c>
      <c r="Z88">
        <v>-569</v>
      </c>
      <c r="AA88">
        <v>249</v>
      </c>
      <c r="AB88">
        <v>-462</v>
      </c>
      <c r="AC88">
        <v>-11</v>
      </c>
      <c r="AD88">
        <v>-87</v>
      </c>
      <c r="AE88">
        <v>-1912</v>
      </c>
      <c r="AF88">
        <v>0</v>
      </c>
      <c r="AG88">
        <v>-2742</v>
      </c>
    </row>
    <row r="89" spans="6:69">
      <c r="F89" s="74">
        <f t="shared" si="21"/>
        <v>45236</v>
      </c>
      <c r="G89" s="72">
        <f t="shared" si="22"/>
        <v>27549</v>
      </c>
      <c r="H89" s="68">
        <f t="shared" si="23"/>
        <v>-35149</v>
      </c>
      <c r="I89" s="68">
        <f t="shared" si="24"/>
        <v>3295</v>
      </c>
      <c r="J89" s="68">
        <f t="shared" si="25"/>
        <v>7883</v>
      </c>
      <c r="K89" s="68">
        <f t="shared" si="26"/>
        <v>-654</v>
      </c>
      <c r="L89" s="68">
        <f t="shared" si="27"/>
        <v>-1676</v>
      </c>
      <c r="M89" s="68">
        <f t="shared" si="28"/>
        <v>344</v>
      </c>
      <c r="N89" s="68">
        <f t="shared" si="29"/>
        <v>-169</v>
      </c>
      <c r="O89" s="68">
        <f t="shared" si="30"/>
        <v>-525</v>
      </c>
      <c r="P89" s="68">
        <f t="shared" si="31"/>
        <v>-1908</v>
      </c>
      <c r="Q89" s="68" t="str">
        <f t="shared" si="32"/>
        <v/>
      </c>
      <c r="R89" s="69">
        <f t="shared" si="33"/>
        <v>4304</v>
      </c>
      <c r="U89" s="5">
        <v>45236</v>
      </c>
      <c r="V89">
        <v>27549</v>
      </c>
      <c r="W89">
        <v>-35149</v>
      </c>
      <c r="X89">
        <v>3295</v>
      </c>
      <c r="Y89">
        <v>7883</v>
      </c>
      <c r="Z89">
        <v>-654</v>
      </c>
      <c r="AA89">
        <v>-1676</v>
      </c>
      <c r="AB89">
        <v>344</v>
      </c>
      <c r="AC89">
        <v>-169</v>
      </c>
      <c r="AD89">
        <v>-525</v>
      </c>
      <c r="AE89">
        <v>-1908</v>
      </c>
      <c r="AF89">
        <v>0</v>
      </c>
      <c r="AG89">
        <v>4304</v>
      </c>
    </row>
    <row r="90" spans="6:69">
      <c r="F90" s="74">
        <f t="shared" si="21"/>
        <v>45233</v>
      </c>
      <c r="G90" s="72">
        <f t="shared" si="22"/>
        <v>10541</v>
      </c>
      <c r="H90" s="68">
        <f t="shared" si="23"/>
        <v>-3227</v>
      </c>
      <c r="I90" s="68">
        <f t="shared" si="24"/>
        <v>2904</v>
      </c>
      <c r="J90" s="68">
        <f t="shared" si="25"/>
        <v>2175</v>
      </c>
      <c r="K90" s="68">
        <f t="shared" si="26"/>
        <v>-226</v>
      </c>
      <c r="L90" s="68">
        <f t="shared" si="27"/>
        <v>290</v>
      </c>
      <c r="M90" s="68">
        <f t="shared" si="28"/>
        <v>80</v>
      </c>
      <c r="N90" s="68">
        <f t="shared" si="29"/>
        <v>216</v>
      </c>
      <c r="O90" s="68">
        <f t="shared" si="30"/>
        <v>-34</v>
      </c>
      <c r="P90" s="68">
        <f t="shared" si="31"/>
        <v>403</v>
      </c>
      <c r="Q90" s="68" t="str">
        <f t="shared" si="32"/>
        <v/>
      </c>
      <c r="R90" s="69">
        <f t="shared" si="33"/>
        <v>-10216</v>
      </c>
      <c r="U90" s="5">
        <v>45233</v>
      </c>
      <c r="V90">
        <v>10541</v>
      </c>
      <c r="W90">
        <v>-3227</v>
      </c>
      <c r="X90">
        <v>2904</v>
      </c>
      <c r="Y90">
        <v>2175</v>
      </c>
      <c r="Z90">
        <v>-226</v>
      </c>
      <c r="AA90">
        <v>290</v>
      </c>
      <c r="AB90">
        <v>80</v>
      </c>
      <c r="AC90">
        <v>216</v>
      </c>
      <c r="AD90">
        <v>-34</v>
      </c>
      <c r="AE90">
        <v>403</v>
      </c>
      <c r="AF90">
        <v>0</v>
      </c>
      <c r="AG90">
        <v>-10216</v>
      </c>
    </row>
    <row r="91" spans="6:69">
      <c r="F91" s="74">
        <f t="shared" si="21"/>
        <v>45232</v>
      </c>
      <c r="G91" s="72">
        <f t="shared" si="22"/>
        <v>14123</v>
      </c>
      <c r="H91" s="68">
        <f t="shared" si="23"/>
        <v>-11363</v>
      </c>
      <c r="I91" s="68">
        <f t="shared" si="24"/>
        <v>-171</v>
      </c>
      <c r="J91" s="68">
        <f t="shared" si="25"/>
        <v>4283</v>
      </c>
      <c r="K91" s="68">
        <f t="shared" si="26"/>
        <v>-555</v>
      </c>
      <c r="L91" s="68">
        <f t="shared" si="27"/>
        <v>-665</v>
      </c>
      <c r="M91" s="68">
        <f t="shared" si="28"/>
        <v>-854</v>
      </c>
      <c r="N91" s="68">
        <f t="shared" si="29"/>
        <v>362</v>
      </c>
      <c r="O91" s="68">
        <f t="shared" si="30"/>
        <v>-122</v>
      </c>
      <c r="P91" s="68">
        <f t="shared" si="31"/>
        <v>-2620</v>
      </c>
      <c r="Q91" s="68" t="str">
        <f t="shared" si="32"/>
        <v/>
      </c>
      <c r="R91" s="69">
        <f t="shared" si="33"/>
        <v>-2587</v>
      </c>
      <c r="U91" s="5">
        <v>45232</v>
      </c>
      <c r="V91">
        <v>14123</v>
      </c>
      <c r="W91">
        <v>-11363</v>
      </c>
      <c r="X91">
        <v>-171</v>
      </c>
      <c r="Y91">
        <v>4283</v>
      </c>
      <c r="Z91">
        <v>-555</v>
      </c>
      <c r="AA91">
        <v>-665</v>
      </c>
      <c r="AB91">
        <v>-854</v>
      </c>
      <c r="AC91">
        <v>362</v>
      </c>
      <c r="AD91">
        <v>-122</v>
      </c>
      <c r="AE91">
        <v>-2620</v>
      </c>
      <c r="AF91">
        <v>0</v>
      </c>
      <c r="AG91">
        <v>-2587</v>
      </c>
    </row>
    <row r="92" spans="6:69">
      <c r="F92" s="74">
        <f t="shared" si="21"/>
        <v>45231</v>
      </c>
      <c r="G92" s="72">
        <f t="shared" si="22"/>
        <v>7920</v>
      </c>
      <c r="H92" s="68">
        <f t="shared" si="23"/>
        <v>-14442</v>
      </c>
      <c r="I92" s="68">
        <f t="shared" si="24"/>
        <v>8617</v>
      </c>
      <c r="J92" s="68">
        <f t="shared" si="25"/>
        <v>7870</v>
      </c>
      <c r="K92" s="68">
        <f t="shared" si="26"/>
        <v>242</v>
      </c>
      <c r="L92" s="68">
        <f t="shared" si="27"/>
        <v>412</v>
      </c>
      <c r="M92" s="68">
        <f t="shared" si="28"/>
        <v>174</v>
      </c>
      <c r="N92" s="68">
        <f t="shared" si="29"/>
        <v>-46</v>
      </c>
      <c r="O92" s="68">
        <f t="shared" si="30"/>
        <v>-4</v>
      </c>
      <c r="P92" s="68">
        <f t="shared" si="31"/>
        <v>-31</v>
      </c>
      <c r="Q92" s="68" t="str">
        <f t="shared" si="32"/>
        <v/>
      </c>
      <c r="R92" s="69">
        <f t="shared" si="33"/>
        <v>-2095</v>
      </c>
      <c r="U92" s="5">
        <v>45231</v>
      </c>
      <c r="V92">
        <v>7920</v>
      </c>
      <c r="W92">
        <v>-14442</v>
      </c>
      <c r="X92">
        <v>8617</v>
      </c>
      <c r="Y92">
        <v>7870</v>
      </c>
      <c r="Z92">
        <v>242</v>
      </c>
      <c r="AA92">
        <v>412</v>
      </c>
      <c r="AB92">
        <v>174</v>
      </c>
      <c r="AC92">
        <v>-46</v>
      </c>
      <c r="AD92">
        <v>-4</v>
      </c>
      <c r="AE92">
        <v>-31</v>
      </c>
      <c r="AF92">
        <v>0</v>
      </c>
      <c r="AG92">
        <v>-2095</v>
      </c>
    </row>
    <row r="93" spans="6:69">
      <c r="F93" s="74">
        <f t="shared" si="21"/>
        <v>45230</v>
      </c>
      <c r="G93" s="72">
        <f t="shared" si="22"/>
        <v>-16422</v>
      </c>
      <c r="H93" s="68">
        <f t="shared" si="23"/>
        <v>17576</v>
      </c>
      <c r="I93" s="68">
        <f t="shared" si="24"/>
        <v>-1407</v>
      </c>
      <c r="J93" s="68">
        <f t="shared" si="25"/>
        <v>110</v>
      </c>
      <c r="K93" s="68">
        <f t="shared" si="26"/>
        <v>-56</v>
      </c>
      <c r="L93" s="68">
        <f t="shared" si="27"/>
        <v>-118</v>
      </c>
      <c r="M93" s="68">
        <f t="shared" si="28"/>
        <v>-918</v>
      </c>
      <c r="N93" s="68">
        <f t="shared" si="29"/>
        <v>103</v>
      </c>
      <c r="O93" s="68">
        <f t="shared" si="30"/>
        <v>-12</v>
      </c>
      <c r="P93" s="68">
        <f t="shared" si="31"/>
        <v>-516</v>
      </c>
      <c r="Q93" s="68" t="str">
        <f t="shared" si="32"/>
        <v/>
      </c>
      <c r="R93" s="69">
        <f t="shared" si="33"/>
        <v>251</v>
      </c>
      <c r="U93" s="5">
        <v>45230</v>
      </c>
      <c r="V93">
        <v>-16422</v>
      </c>
      <c r="W93">
        <v>17576</v>
      </c>
      <c r="X93">
        <v>-1407</v>
      </c>
      <c r="Y93">
        <v>110</v>
      </c>
      <c r="Z93">
        <v>-56</v>
      </c>
      <c r="AA93">
        <v>-118</v>
      </c>
      <c r="AB93">
        <v>-918</v>
      </c>
      <c r="AC93">
        <v>103</v>
      </c>
      <c r="AD93">
        <v>-12</v>
      </c>
      <c r="AE93">
        <v>-516</v>
      </c>
      <c r="AF93">
        <v>0</v>
      </c>
      <c r="AG93">
        <v>251</v>
      </c>
    </row>
    <row r="94" spans="6:69">
      <c r="F94" s="74">
        <f t="shared" si="21"/>
        <v>45229</v>
      </c>
      <c r="G94" s="72">
        <f t="shared" si="22"/>
        <v>5385</v>
      </c>
      <c r="H94" s="68">
        <f t="shared" si="23"/>
        <v>-3864</v>
      </c>
      <c r="I94" s="68">
        <f t="shared" si="24"/>
        <v>-1583</v>
      </c>
      <c r="J94" s="68">
        <f t="shared" si="25"/>
        <v>851</v>
      </c>
      <c r="K94" s="68">
        <f t="shared" si="26"/>
        <v>-50</v>
      </c>
      <c r="L94" s="68">
        <f t="shared" si="27"/>
        <v>-433</v>
      </c>
      <c r="M94" s="68">
        <f t="shared" si="28"/>
        <v>-1478</v>
      </c>
      <c r="N94" s="68">
        <f t="shared" si="29"/>
        <v>-334</v>
      </c>
      <c r="O94" s="68">
        <f t="shared" si="30"/>
        <v>116</v>
      </c>
      <c r="P94" s="68">
        <f t="shared" si="31"/>
        <v>-255</v>
      </c>
      <c r="Q94" s="68" t="str">
        <f t="shared" si="32"/>
        <v/>
      </c>
      <c r="R94" s="69">
        <f t="shared" si="33"/>
        <v>62</v>
      </c>
      <c r="U94" s="5">
        <v>45229</v>
      </c>
      <c r="V94">
        <v>5385</v>
      </c>
      <c r="W94">
        <v>-3864</v>
      </c>
      <c r="X94">
        <v>-1583</v>
      </c>
      <c r="Y94">
        <v>851</v>
      </c>
      <c r="Z94">
        <v>-50</v>
      </c>
      <c r="AA94">
        <v>-433</v>
      </c>
      <c r="AB94">
        <v>-1478</v>
      </c>
      <c r="AC94">
        <v>-334</v>
      </c>
      <c r="AD94">
        <v>116</v>
      </c>
      <c r="AE94">
        <v>-255</v>
      </c>
      <c r="AF94">
        <v>0</v>
      </c>
      <c r="AG94">
        <v>62</v>
      </c>
    </row>
    <row r="95" spans="6:69">
      <c r="F95" s="74">
        <f t="shared" si="21"/>
        <v>45226</v>
      </c>
      <c r="G95" s="72">
        <f t="shared" si="22"/>
        <v>-1285</v>
      </c>
      <c r="H95" s="68">
        <f t="shared" si="23"/>
        <v>649</v>
      </c>
      <c r="I95" s="68">
        <f t="shared" si="24"/>
        <v>1156</v>
      </c>
      <c r="J95" s="68">
        <f t="shared" si="25"/>
        <v>3196</v>
      </c>
      <c r="K95" s="68">
        <f t="shared" si="26"/>
        <v>-240</v>
      </c>
      <c r="L95" s="68">
        <f t="shared" si="27"/>
        <v>-248</v>
      </c>
      <c r="M95" s="68">
        <f t="shared" si="28"/>
        <v>-1061</v>
      </c>
      <c r="N95" s="68">
        <f t="shared" si="29"/>
        <v>-298</v>
      </c>
      <c r="O95" s="68">
        <f t="shared" si="30"/>
        <v>11</v>
      </c>
      <c r="P95" s="68">
        <f t="shared" si="31"/>
        <v>-204</v>
      </c>
      <c r="Q95" s="68" t="str">
        <f t="shared" si="32"/>
        <v/>
      </c>
      <c r="R95" s="69">
        <f t="shared" si="33"/>
        <v>-520</v>
      </c>
      <c r="U95" s="5">
        <v>45226</v>
      </c>
      <c r="V95">
        <v>-1285</v>
      </c>
      <c r="W95">
        <v>649</v>
      </c>
      <c r="X95">
        <v>1156</v>
      </c>
      <c r="Y95">
        <v>3196</v>
      </c>
      <c r="Z95">
        <v>-240</v>
      </c>
      <c r="AA95">
        <v>-248</v>
      </c>
      <c r="AB95">
        <v>-1061</v>
      </c>
      <c r="AC95">
        <v>-298</v>
      </c>
      <c r="AD95">
        <v>11</v>
      </c>
      <c r="AE95">
        <v>-204</v>
      </c>
      <c r="AF95">
        <v>0</v>
      </c>
      <c r="AG95">
        <v>-520</v>
      </c>
    </row>
    <row r="96" spans="6:69">
      <c r="F96" s="74">
        <f t="shared" si="21"/>
        <v>45225</v>
      </c>
      <c r="G96" s="72">
        <f t="shared" si="22"/>
        <v>-22777</v>
      </c>
      <c r="H96" s="68">
        <f t="shared" si="23"/>
        <v>23272</v>
      </c>
      <c r="I96" s="68">
        <f t="shared" si="24"/>
        <v>-678</v>
      </c>
      <c r="J96" s="68">
        <f t="shared" si="25"/>
        <v>3407</v>
      </c>
      <c r="K96" s="68">
        <f t="shared" si="26"/>
        <v>-283</v>
      </c>
      <c r="L96" s="68">
        <f t="shared" si="27"/>
        <v>-1907</v>
      </c>
      <c r="M96" s="68">
        <f t="shared" si="28"/>
        <v>-240</v>
      </c>
      <c r="N96" s="68">
        <f t="shared" si="29"/>
        <v>-686</v>
      </c>
      <c r="O96" s="68">
        <f t="shared" si="30"/>
        <v>-121</v>
      </c>
      <c r="P96" s="68">
        <f t="shared" si="31"/>
        <v>-848</v>
      </c>
      <c r="Q96" s="68" t="str">
        <f t="shared" si="32"/>
        <v/>
      </c>
      <c r="R96" s="69">
        <f t="shared" si="33"/>
        <v>183</v>
      </c>
      <c r="U96" s="5">
        <v>45225</v>
      </c>
      <c r="V96">
        <v>-22777</v>
      </c>
      <c r="W96">
        <v>23272</v>
      </c>
      <c r="X96">
        <v>-678</v>
      </c>
      <c r="Y96">
        <v>3407</v>
      </c>
      <c r="Z96">
        <v>-283</v>
      </c>
      <c r="AA96">
        <v>-1907</v>
      </c>
      <c r="AB96">
        <v>-240</v>
      </c>
      <c r="AC96">
        <v>-686</v>
      </c>
      <c r="AD96">
        <v>-121</v>
      </c>
      <c r="AE96">
        <v>-848</v>
      </c>
      <c r="AF96">
        <v>0</v>
      </c>
      <c r="AG96">
        <v>183</v>
      </c>
    </row>
    <row r="97" spans="6:33">
      <c r="F97" s="74">
        <f t="shared" si="21"/>
        <v>45224</v>
      </c>
      <c r="G97" s="72">
        <f t="shared" si="22"/>
        <v>7044</v>
      </c>
      <c r="H97" s="68">
        <f t="shared" si="23"/>
        <v>-7373</v>
      </c>
      <c r="I97" s="68">
        <f t="shared" si="24"/>
        <v>847</v>
      </c>
      <c r="J97" s="68">
        <f t="shared" si="25"/>
        <v>-384</v>
      </c>
      <c r="K97" s="68">
        <f t="shared" si="26"/>
        <v>250</v>
      </c>
      <c r="L97" s="68">
        <f t="shared" si="27"/>
        <v>1607</v>
      </c>
      <c r="M97" s="68">
        <f t="shared" si="28"/>
        <v>-97</v>
      </c>
      <c r="N97" s="68">
        <f t="shared" si="29"/>
        <v>-996</v>
      </c>
      <c r="O97" s="68">
        <f t="shared" si="30"/>
        <v>-72</v>
      </c>
      <c r="P97" s="68">
        <f t="shared" si="31"/>
        <v>539</v>
      </c>
      <c r="Q97" s="68" t="str">
        <f t="shared" si="32"/>
        <v/>
      </c>
      <c r="R97" s="69">
        <f t="shared" si="33"/>
        <v>-519</v>
      </c>
      <c r="U97" s="5">
        <v>45224</v>
      </c>
      <c r="V97">
        <v>7044</v>
      </c>
      <c r="W97">
        <v>-7373</v>
      </c>
      <c r="X97">
        <v>847</v>
      </c>
      <c r="Y97">
        <v>-384</v>
      </c>
      <c r="Z97">
        <v>250</v>
      </c>
      <c r="AA97">
        <v>1607</v>
      </c>
      <c r="AB97">
        <v>-97</v>
      </c>
      <c r="AC97">
        <v>-996</v>
      </c>
      <c r="AD97">
        <v>-72</v>
      </c>
      <c r="AE97">
        <v>539</v>
      </c>
      <c r="AF97">
        <v>0</v>
      </c>
      <c r="AG97">
        <v>-519</v>
      </c>
    </row>
    <row r="98" spans="6:33">
      <c r="F98" s="74">
        <f t="shared" si="21"/>
        <v>45223</v>
      </c>
      <c r="G98" s="72">
        <f t="shared" si="22"/>
        <v>10029</v>
      </c>
      <c r="H98" s="68">
        <f t="shared" si="23"/>
        <v>-9362</v>
      </c>
      <c r="I98" s="68">
        <f t="shared" si="24"/>
        <v>-1027</v>
      </c>
      <c r="J98" s="68">
        <f t="shared" si="25"/>
        <v>-625</v>
      </c>
      <c r="K98" s="68">
        <f t="shared" si="26"/>
        <v>-269</v>
      </c>
      <c r="L98" s="68">
        <f t="shared" si="27"/>
        <v>-222</v>
      </c>
      <c r="M98" s="68">
        <f t="shared" si="28"/>
        <v>295</v>
      </c>
      <c r="N98" s="68">
        <f t="shared" si="29"/>
        <v>-17</v>
      </c>
      <c r="O98" s="68">
        <f t="shared" si="30"/>
        <v>-58</v>
      </c>
      <c r="P98" s="68">
        <f t="shared" si="31"/>
        <v>-131</v>
      </c>
      <c r="Q98" s="68" t="str">
        <f t="shared" si="32"/>
        <v/>
      </c>
      <c r="R98" s="69">
        <f t="shared" si="33"/>
        <v>359</v>
      </c>
      <c r="U98" s="5">
        <v>45223</v>
      </c>
      <c r="V98">
        <v>10029</v>
      </c>
      <c r="W98">
        <v>-9362</v>
      </c>
      <c r="X98">
        <v>-1027</v>
      </c>
      <c r="Y98">
        <v>-625</v>
      </c>
      <c r="Z98">
        <v>-269</v>
      </c>
      <c r="AA98">
        <v>-222</v>
      </c>
      <c r="AB98">
        <v>295</v>
      </c>
      <c r="AC98">
        <v>-17</v>
      </c>
      <c r="AD98">
        <v>-58</v>
      </c>
      <c r="AE98">
        <v>-131</v>
      </c>
      <c r="AF98">
        <v>0</v>
      </c>
      <c r="AG98">
        <v>359</v>
      </c>
    </row>
    <row r="99" spans="6:33">
      <c r="F99" s="74">
        <f t="shared" si="21"/>
        <v>45222</v>
      </c>
      <c r="G99" s="72">
        <f t="shared" si="22"/>
        <v>-3063</v>
      </c>
      <c r="H99" s="68">
        <f t="shared" si="23"/>
        <v>3242</v>
      </c>
      <c r="I99" s="68">
        <f t="shared" si="24"/>
        <v>-1881</v>
      </c>
      <c r="J99" s="68">
        <f t="shared" si="25"/>
        <v>1806</v>
      </c>
      <c r="K99" s="68">
        <f t="shared" si="26"/>
        <v>-499</v>
      </c>
      <c r="L99" s="68">
        <f t="shared" si="27"/>
        <v>-658</v>
      </c>
      <c r="M99" s="68">
        <f t="shared" si="28"/>
        <v>-1459</v>
      </c>
      <c r="N99" s="68">
        <f t="shared" si="29"/>
        <v>-82</v>
      </c>
      <c r="O99" s="68">
        <f t="shared" si="30"/>
        <v>-33</v>
      </c>
      <c r="P99" s="68">
        <f t="shared" si="31"/>
        <v>-956</v>
      </c>
      <c r="Q99" s="68" t="str">
        <f t="shared" si="32"/>
        <v/>
      </c>
      <c r="R99" s="69">
        <f t="shared" si="33"/>
        <v>1703</v>
      </c>
      <c r="U99" s="5">
        <v>45222</v>
      </c>
      <c r="V99">
        <v>-3063</v>
      </c>
      <c r="W99">
        <v>3242</v>
      </c>
      <c r="X99">
        <v>-1881</v>
      </c>
      <c r="Y99">
        <v>1806</v>
      </c>
      <c r="Z99">
        <v>-499</v>
      </c>
      <c r="AA99">
        <v>-658</v>
      </c>
      <c r="AB99">
        <v>-1459</v>
      </c>
      <c r="AC99">
        <v>-82</v>
      </c>
      <c r="AD99">
        <v>-33</v>
      </c>
      <c r="AE99">
        <v>-956</v>
      </c>
      <c r="AF99">
        <v>0</v>
      </c>
      <c r="AG99">
        <v>1703</v>
      </c>
    </row>
    <row r="100" spans="6:33">
      <c r="F100" s="74">
        <f t="shared" si="21"/>
        <v>45219</v>
      </c>
      <c r="G100" s="72">
        <f t="shared" si="22"/>
        <v>2947</v>
      </c>
      <c r="H100" s="68">
        <f t="shared" si="23"/>
        <v>1518</v>
      </c>
      <c r="I100" s="68">
        <f t="shared" si="24"/>
        <v>-3691</v>
      </c>
      <c r="J100" s="68">
        <f t="shared" si="25"/>
        <v>-712</v>
      </c>
      <c r="K100" s="68">
        <f t="shared" si="26"/>
        <v>-40</v>
      </c>
      <c r="L100" s="68">
        <f t="shared" si="27"/>
        <v>-695</v>
      </c>
      <c r="M100" s="68">
        <f t="shared" si="28"/>
        <v>-1170</v>
      </c>
      <c r="N100" s="68">
        <f t="shared" si="29"/>
        <v>-87</v>
      </c>
      <c r="O100" s="68">
        <f t="shared" si="30"/>
        <v>-82</v>
      </c>
      <c r="P100" s="68">
        <f t="shared" si="31"/>
        <v>-905</v>
      </c>
      <c r="Q100" s="68" t="str">
        <f t="shared" si="32"/>
        <v/>
      </c>
      <c r="R100" s="69">
        <f t="shared" si="33"/>
        <v>-774</v>
      </c>
      <c r="U100" s="5">
        <v>45219</v>
      </c>
      <c r="V100">
        <v>2947</v>
      </c>
      <c r="W100">
        <v>1518</v>
      </c>
      <c r="X100">
        <v>-3691</v>
      </c>
      <c r="Y100">
        <v>-712</v>
      </c>
      <c r="Z100">
        <v>-40</v>
      </c>
      <c r="AA100">
        <v>-695</v>
      </c>
      <c r="AB100">
        <v>-1170</v>
      </c>
      <c r="AC100">
        <v>-87</v>
      </c>
      <c r="AD100">
        <v>-82</v>
      </c>
      <c r="AE100">
        <v>-905</v>
      </c>
      <c r="AF100">
        <v>0</v>
      </c>
      <c r="AG100">
        <v>-774</v>
      </c>
    </row>
    <row r="101" spans="6:33">
      <c r="F101" s="74">
        <f t="shared" si="21"/>
        <v>45218</v>
      </c>
      <c r="G101" s="72">
        <f t="shared" si="22"/>
        <v>-7872</v>
      </c>
      <c r="H101" s="68">
        <f t="shared" si="23"/>
        <v>14067</v>
      </c>
      <c r="I101" s="68">
        <f t="shared" si="24"/>
        <v>-4881</v>
      </c>
      <c r="J101" s="68">
        <f t="shared" si="25"/>
        <v>-4057</v>
      </c>
      <c r="K101" s="68">
        <f t="shared" si="26"/>
        <v>-251</v>
      </c>
      <c r="L101" s="68">
        <f t="shared" si="27"/>
        <v>-202</v>
      </c>
      <c r="M101" s="68">
        <f t="shared" si="28"/>
        <v>-530</v>
      </c>
      <c r="N101" s="68">
        <f t="shared" si="29"/>
        <v>-25</v>
      </c>
      <c r="O101" s="68">
        <f t="shared" si="30"/>
        <v>-16</v>
      </c>
      <c r="P101" s="68">
        <f t="shared" si="31"/>
        <v>200</v>
      </c>
      <c r="Q101" s="68" t="str">
        <f t="shared" si="32"/>
        <v/>
      </c>
      <c r="R101" s="69">
        <f t="shared" si="33"/>
        <v>-1313</v>
      </c>
      <c r="U101" s="5">
        <v>45218</v>
      </c>
      <c r="V101">
        <v>-7872</v>
      </c>
      <c r="W101">
        <v>14067</v>
      </c>
      <c r="X101">
        <v>-4881</v>
      </c>
      <c r="Y101">
        <v>-4057</v>
      </c>
      <c r="Z101">
        <v>-251</v>
      </c>
      <c r="AA101">
        <v>-202</v>
      </c>
      <c r="AB101">
        <v>-530</v>
      </c>
      <c r="AC101">
        <v>-25</v>
      </c>
      <c r="AD101">
        <v>-16</v>
      </c>
      <c r="AE101">
        <v>200</v>
      </c>
      <c r="AF101">
        <v>0</v>
      </c>
      <c r="AG101">
        <v>-1313</v>
      </c>
    </row>
    <row r="102" spans="6:33">
      <c r="F102" s="74">
        <f t="shared" si="21"/>
        <v>45217</v>
      </c>
      <c r="G102" s="72">
        <f t="shared" si="22"/>
        <v>3213</v>
      </c>
      <c r="H102" s="68">
        <f t="shared" si="23"/>
        <v>2622</v>
      </c>
      <c r="I102" s="68">
        <f t="shared" si="24"/>
        <v>-838</v>
      </c>
      <c r="J102" s="68">
        <f t="shared" si="25"/>
        <v>-489</v>
      </c>
      <c r="K102" s="68">
        <f t="shared" si="26"/>
        <v>64</v>
      </c>
      <c r="L102" s="68">
        <f t="shared" si="27"/>
        <v>772</v>
      </c>
      <c r="M102" s="68">
        <f t="shared" si="28"/>
        <v>-353</v>
      </c>
      <c r="N102" s="68">
        <f t="shared" si="29"/>
        <v>93</v>
      </c>
      <c r="O102" s="68">
        <f t="shared" si="30"/>
        <v>-82</v>
      </c>
      <c r="P102" s="68">
        <f t="shared" si="31"/>
        <v>-843</v>
      </c>
      <c r="Q102" s="68" t="str">
        <f t="shared" si="32"/>
        <v/>
      </c>
      <c r="R102" s="69">
        <f t="shared" si="33"/>
        <v>-4999</v>
      </c>
      <c r="U102" s="5">
        <v>45217</v>
      </c>
      <c r="V102">
        <v>3213</v>
      </c>
      <c r="W102">
        <v>2622</v>
      </c>
      <c r="X102">
        <v>-838</v>
      </c>
      <c r="Y102">
        <v>-489</v>
      </c>
      <c r="Z102">
        <v>64</v>
      </c>
      <c r="AA102">
        <v>772</v>
      </c>
      <c r="AB102">
        <v>-353</v>
      </c>
      <c r="AC102">
        <v>93</v>
      </c>
      <c r="AD102">
        <v>-82</v>
      </c>
      <c r="AE102">
        <v>-843</v>
      </c>
      <c r="AF102">
        <v>0</v>
      </c>
      <c r="AG102">
        <v>-4999</v>
      </c>
    </row>
    <row r="103" spans="6:33">
      <c r="F103" s="74">
        <f t="shared" si="21"/>
        <v>45216</v>
      </c>
      <c r="G103" s="72">
        <f t="shared" si="22"/>
        <v>11751</v>
      </c>
      <c r="H103" s="68">
        <f t="shared" si="23"/>
        <v>-5010</v>
      </c>
      <c r="I103" s="68">
        <f t="shared" si="24"/>
        <v>-4011</v>
      </c>
      <c r="J103" s="68">
        <f t="shared" si="25"/>
        <v>-2052</v>
      </c>
      <c r="K103" s="68">
        <f t="shared" si="26"/>
        <v>-857</v>
      </c>
      <c r="L103" s="68">
        <f t="shared" si="27"/>
        <v>-126</v>
      </c>
      <c r="M103" s="68">
        <f t="shared" si="28"/>
        <v>-317</v>
      </c>
      <c r="N103" s="68">
        <f t="shared" si="29"/>
        <v>95</v>
      </c>
      <c r="O103" s="68">
        <f t="shared" si="30"/>
        <v>-56</v>
      </c>
      <c r="P103" s="68">
        <f t="shared" si="31"/>
        <v>-698</v>
      </c>
      <c r="Q103" s="68" t="str">
        <f t="shared" si="32"/>
        <v/>
      </c>
      <c r="R103" s="69">
        <f t="shared" si="33"/>
        <v>-2727</v>
      </c>
      <c r="U103" s="5">
        <v>45216</v>
      </c>
      <c r="V103">
        <v>11751</v>
      </c>
      <c r="W103">
        <v>-5010</v>
      </c>
      <c r="X103">
        <v>-4011</v>
      </c>
      <c r="Y103">
        <v>-2052</v>
      </c>
      <c r="Z103">
        <v>-857</v>
      </c>
      <c r="AA103">
        <v>-126</v>
      </c>
      <c r="AB103">
        <v>-317</v>
      </c>
      <c r="AC103">
        <v>95</v>
      </c>
      <c r="AD103">
        <v>-56</v>
      </c>
      <c r="AE103">
        <v>-698</v>
      </c>
      <c r="AF103">
        <v>0</v>
      </c>
      <c r="AG103">
        <v>-2727</v>
      </c>
    </row>
    <row r="104" spans="6:33">
      <c r="F104" s="74">
        <f t="shared" si="21"/>
        <v>45215</v>
      </c>
      <c r="G104" s="72">
        <f t="shared" si="22"/>
        <v>-8505</v>
      </c>
      <c r="H104" s="68">
        <f t="shared" si="23"/>
        <v>10006</v>
      </c>
      <c r="I104" s="68">
        <f t="shared" si="24"/>
        <v>-583</v>
      </c>
      <c r="J104" s="68">
        <f t="shared" si="25"/>
        <v>229</v>
      </c>
      <c r="K104" s="68">
        <f t="shared" si="26"/>
        <v>-14</v>
      </c>
      <c r="L104" s="68">
        <f t="shared" si="27"/>
        <v>450</v>
      </c>
      <c r="M104" s="68">
        <f t="shared" si="28"/>
        <v>-789</v>
      </c>
      <c r="N104" s="68">
        <f t="shared" si="29"/>
        <v>67</v>
      </c>
      <c r="O104" s="68">
        <f t="shared" si="30"/>
        <v>-18</v>
      </c>
      <c r="P104" s="68">
        <f t="shared" si="31"/>
        <v>-508</v>
      </c>
      <c r="Q104" s="68" t="str">
        <f t="shared" si="32"/>
        <v/>
      </c>
      <c r="R104" s="69">
        <f t="shared" si="33"/>
        <v>-920</v>
      </c>
      <c r="U104" s="5">
        <v>45215</v>
      </c>
      <c r="V104">
        <v>-8505</v>
      </c>
      <c r="W104">
        <v>10006</v>
      </c>
      <c r="X104">
        <v>-583</v>
      </c>
      <c r="Y104">
        <v>229</v>
      </c>
      <c r="Z104">
        <v>-14</v>
      </c>
      <c r="AA104">
        <v>450</v>
      </c>
      <c r="AB104">
        <v>-789</v>
      </c>
      <c r="AC104">
        <v>67</v>
      </c>
      <c r="AD104">
        <v>-18</v>
      </c>
      <c r="AE104">
        <v>-508</v>
      </c>
      <c r="AF104">
        <v>0</v>
      </c>
      <c r="AG104">
        <v>-920</v>
      </c>
    </row>
    <row r="105" spans="6:33">
      <c r="F105" s="74">
        <f t="shared" si="21"/>
        <v>45212</v>
      </c>
      <c r="G105" s="72">
        <f t="shared" si="22"/>
        <v>-12824</v>
      </c>
      <c r="H105" s="68">
        <f t="shared" si="23"/>
        <v>19354</v>
      </c>
      <c r="I105" s="68">
        <f t="shared" si="24"/>
        <v>-8873</v>
      </c>
      <c r="J105" s="68">
        <f t="shared" si="25"/>
        <v>-3844</v>
      </c>
      <c r="K105" s="68">
        <f t="shared" si="26"/>
        <v>-648</v>
      </c>
      <c r="L105" s="68">
        <f t="shared" si="27"/>
        <v>-1050</v>
      </c>
      <c r="M105" s="68">
        <f t="shared" si="28"/>
        <v>-317</v>
      </c>
      <c r="N105" s="68">
        <f t="shared" si="29"/>
        <v>-652</v>
      </c>
      <c r="O105" s="68">
        <f t="shared" si="30"/>
        <v>-124</v>
      </c>
      <c r="P105" s="68">
        <f t="shared" si="31"/>
        <v>-2238</v>
      </c>
      <c r="Q105" s="68" t="str">
        <f t="shared" si="32"/>
        <v/>
      </c>
      <c r="R105" s="69">
        <f t="shared" si="33"/>
        <v>2343</v>
      </c>
      <c r="U105" s="5">
        <v>45212</v>
      </c>
      <c r="V105">
        <v>-12824</v>
      </c>
      <c r="W105">
        <v>19354</v>
      </c>
      <c r="X105">
        <v>-8873</v>
      </c>
      <c r="Y105">
        <v>-3844</v>
      </c>
      <c r="Z105">
        <v>-648</v>
      </c>
      <c r="AA105">
        <v>-1050</v>
      </c>
      <c r="AB105">
        <v>-317</v>
      </c>
      <c r="AC105">
        <v>-652</v>
      </c>
      <c r="AD105">
        <v>-124</v>
      </c>
      <c r="AE105">
        <v>-2238</v>
      </c>
      <c r="AF105">
        <v>0</v>
      </c>
      <c r="AG105">
        <v>2343</v>
      </c>
    </row>
    <row r="106" spans="6:33">
      <c r="F106" s="74">
        <f t="shared" si="21"/>
        <v>45211</v>
      </c>
      <c r="G106" s="72">
        <f t="shared" si="22"/>
        <v>2216</v>
      </c>
      <c r="H106" s="68">
        <f t="shared" si="23"/>
        <v>-2374</v>
      </c>
      <c r="I106" s="68">
        <f t="shared" si="24"/>
        <v>1486</v>
      </c>
      <c r="J106" s="68">
        <f t="shared" si="25"/>
        <v>2694</v>
      </c>
      <c r="K106" s="68">
        <f t="shared" si="26"/>
        <v>-191</v>
      </c>
      <c r="L106" s="68">
        <f t="shared" si="27"/>
        <v>-365</v>
      </c>
      <c r="M106" s="68">
        <f t="shared" si="28"/>
        <v>186</v>
      </c>
      <c r="N106" s="68">
        <f t="shared" si="29"/>
        <v>62</v>
      </c>
      <c r="O106" s="68">
        <f t="shared" si="30"/>
        <v>-51</v>
      </c>
      <c r="P106" s="68">
        <f t="shared" si="31"/>
        <v>-849</v>
      </c>
      <c r="Q106" s="68" t="str">
        <f t="shared" si="32"/>
        <v/>
      </c>
      <c r="R106" s="69">
        <f t="shared" si="33"/>
        <v>-1330</v>
      </c>
      <c r="U106" s="5">
        <v>45211</v>
      </c>
      <c r="V106">
        <v>2216</v>
      </c>
      <c r="W106">
        <v>-2374</v>
      </c>
      <c r="X106">
        <v>1486</v>
      </c>
      <c r="Y106">
        <v>2694</v>
      </c>
      <c r="Z106">
        <v>-191</v>
      </c>
      <c r="AA106">
        <v>-365</v>
      </c>
      <c r="AB106">
        <v>186</v>
      </c>
      <c r="AC106">
        <v>62</v>
      </c>
      <c r="AD106">
        <v>-51</v>
      </c>
      <c r="AE106">
        <v>-849</v>
      </c>
      <c r="AF106">
        <v>0</v>
      </c>
      <c r="AG106">
        <v>-1330</v>
      </c>
    </row>
    <row r="107" spans="6:33">
      <c r="F107" s="74">
        <f t="shared" si="21"/>
        <v>45210</v>
      </c>
      <c r="G107" s="72">
        <f t="shared" si="22"/>
        <v>8431</v>
      </c>
      <c r="H107" s="68">
        <f t="shared" si="23"/>
        <v>-17189</v>
      </c>
      <c r="I107" s="68">
        <f t="shared" si="24"/>
        <v>9369</v>
      </c>
      <c r="J107" s="68">
        <f t="shared" si="25"/>
        <v>8224</v>
      </c>
      <c r="K107" s="68">
        <f t="shared" si="26"/>
        <v>248</v>
      </c>
      <c r="L107" s="68">
        <f t="shared" si="27"/>
        <v>-675</v>
      </c>
      <c r="M107" s="68">
        <f t="shared" si="28"/>
        <v>1280</v>
      </c>
      <c r="N107" s="68">
        <f t="shared" si="29"/>
        <v>187</v>
      </c>
      <c r="O107" s="68">
        <f t="shared" si="30"/>
        <v>-54</v>
      </c>
      <c r="P107" s="68">
        <f t="shared" si="31"/>
        <v>159</v>
      </c>
      <c r="Q107" s="68" t="str">
        <f t="shared" si="32"/>
        <v/>
      </c>
      <c r="R107" s="69">
        <f t="shared" si="33"/>
        <v>-612</v>
      </c>
      <c r="U107" s="5">
        <v>45210</v>
      </c>
      <c r="V107">
        <v>8431</v>
      </c>
      <c r="W107">
        <v>-17189</v>
      </c>
      <c r="X107">
        <v>9369</v>
      </c>
      <c r="Y107">
        <v>8224</v>
      </c>
      <c r="Z107">
        <v>248</v>
      </c>
      <c r="AA107">
        <v>-675</v>
      </c>
      <c r="AB107">
        <v>1280</v>
      </c>
      <c r="AC107">
        <v>187</v>
      </c>
      <c r="AD107">
        <v>-54</v>
      </c>
      <c r="AE107">
        <v>159</v>
      </c>
      <c r="AF107">
        <v>0</v>
      </c>
      <c r="AG107">
        <v>-612</v>
      </c>
    </row>
    <row r="108" spans="6:33">
      <c r="F108" s="74">
        <f t="shared" si="21"/>
        <v>45209</v>
      </c>
      <c r="G108" s="72">
        <f t="shared" si="22"/>
        <v>-3901</v>
      </c>
      <c r="H108" s="68">
        <f t="shared" si="23"/>
        <v>-8509</v>
      </c>
      <c r="I108" s="68">
        <f t="shared" si="24"/>
        <v>11898</v>
      </c>
      <c r="J108" s="68">
        <f t="shared" si="25"/>
        <v>11922</v>
      </c>
      <c r="K108" s="68">
        <f t="shared" si="26"/>
        <v>-378</v>
      </c>
      <c r="L108" s="68">
        <f t="shared" si="27"/>
        <v>64</v>
      </c>
      <c r="M108" s="68">
        <f t="shared" si="28"/>
        <v>-396</v>
      </c>
      <c r="N108" s="68">
        <f t="shared" si="29"/>
        <v>278</v>
      </c>
      <c r="O108" s="68">
        <f t="shared" si="30"/>
        <v>-74</v>
      </c>
      <c r="P108" s="68">
        <f t="shared" si="31"/>
        <v>482</v>
      </c>
      <c r="Q108" s="68" t="str">
        <f t="shared" si="32"/>
        <v/>
      </c>
      <c r="R108" s="69">
        <f t="shared" si="33"/>
        <v>511</v>
      </c>
      <c r="U108" s="5">
        <v>45209</v>
      </c>
      <c r="V108">
        <v>-3901</v>
      </c>
      <c r="W108">
        <v>-8509</v>
      </c>
      <c r="X108">
        <v>11898</v>
      </c>
      <c r="Y108">
        <v>11922</v>
      </c>
      <c r="Z108">
        <v>-378</v>
      </c>
      <c r="AA108">
        <v>64</v>
      </c>
      <c r="AB108">
        <v>-396</v>
      </c>
      <c r="AC108">
        <v>278</v>
      </c>
      <c r="AD108">
        <v>-74</v>
      </c>
      <c r="AE108">
        <v>482</v>
      </c>
      <c r="AF108">
        <v>0</v>
      </c>
      <c r="AG108">
        <v>511</v>
      </c>
    </row>
    <row r="109" spans="6:33">
      <c r="F109" s="74">
        <f t="shared" si="21"/>
        <v>45205</v>
      </c>
      <c r="G109" s="72">
        <f t="shared" si="22"/>
        <v>4513</v>
      </c>
      <c r="H109" s="68">
        <f t="shared" si="23"/>
        <v>-5568</v>
      </c>
      <c r="I109" s="68">
        <f t="shared" si="24"/>
        <v>400</v>
      </c>
      <c r="J109" s="68">
        <f t="shared" si="25"/>
        <v>4006</v>
      </c>
      <c r="K109" s="68">
        <f t="shared" si="26"/>
        <v>-612</v>
      </c>
      <c r="L109" s="68">
        <f t="shared" si="27"/>
        <v>-760</v>
      </c>
      <c r="M109" s="68">
        <f t="shared" si="28"/>
        <v>-1064</v>
      </c>
      <c r="N109" s="68">
        <f t="shared" si="29"/>
        <v>5</v>
      </c>
      <c r="O109" s="68">
        <f t="shared" si="30"/>
        <v>-96</v>
      </c>
      <c r="P109" s="68">
        <f t="shared" si="31"/>
        <v>-1079</v>
      </c>
      <c r="Q109" s="68" t="str">
        <f t="shared" si="32"/>
        <v/>
      </c>
      <c r="R109" s="69">
        <f t="shared" si="33"/>
        <v>655</v>
      </c>
      <c r="U109" s="5">
        <v>45205</v>
      </c>
      <c r="V109">
        <v>4513</v>
      </c>
      <c r="W109">
        <v>-5568</v>
      </c>
      <c r="X109">
        <v>400</v>
      </c>
      <c r="Y109">
        <v>4006</v>
      </c>
      <c r="Z109">
        <v>-612</v>
      </c>
      <c r="AA109">
        <v>-760</v>
      </c>
      <c r="AB109">
        <v>-1064</v>
      </c>
      <c r="AC109">
        <v>5</v>
      </c>
      <c r="AD109">
        <v>-96</v>
      </c>
      <c r="AE109">
        <v>-1079</v>
      </c>
      <c r="AF109">
        <v>0</v>
      </c>
      <c r="AG109">
        <v>655</v>
      </c>
    </row>
    <row r="110" spans="6:33">
      <c r="F110" s="74">
        <f t="shared" si="21"/>
        <v>45204</v>
      </c>
      <c r="G110" s="72">
        <f t="shared" si="22"/>
        <v>-11000</v>
      </c>
      <c r="H110" s="68">
        <f t="shared" si="23"/>
        <v>13717</v>
      </c>
      <c r="I110" s="68">
        <f t="shared" si="24"/>
        <v>-3808</v>
      </c>
      <c r="J110" s="68">
        <f t="shared" si="25"/>
        <v>3417</v>
      </c>
      <c r="K110" s="68">
        <f t="shared" si="26"/>
        <v>-716</v>
      </c>
      <c r="L110" s="68">
        <f t="shared" si="27"/>
        <v>-964</v>
      </c>
      <c r="M110" s="68">
        <f t="shared" si="28"/>
        <v>-1784</v>
      </c>
      <c r="N110" s="68">
        <f t="shared" si="29"/>
        <v>-145</v>
      </c>
      <c r="O110" s="68">
        <f t="shared" si="30"/>
        <v>-2126</v>
      </c>
      <c r="P110" s="68">
        <f t="shared" si="31"/>
        <v>-1490</v>
      </c>
      <c r="Q110" s="68" t="str">
        <f t="shared" si="32"/>
        <v/>
      </c>
      <c r="R110" s="69">
        <f t="shared" si="33"/>
        <v>1090</v>
      </c>
      <c r="U110" s="5">
        <v>45204</v>
      </c>
      <c r="V110">
        <v>-11000</v>
      </c>
      <c r="W110">
        <v>13717</v>
      </c>
      <c r="X110">
        <v>-3808</v>
      </c>
      <c r="Y110">
        <v>3417</v>
      </c>
      <c r="Z110">
        <v>-716</v>
      </c>
      <c r="AA110">
        <v>-964</v>
      </c>
      <c r="AB110">
        <v>-1784</v>
      </c>
      <c r="AC110">
        <v>-145</v>
      </c>
      <c r="AD110">
        <v>-2126</v>
      </c>
      <c r="AE110">
        <v>-1490</v>
      </c>
      <c r="AF110">
        <v>0</v>
      </c>
      <c r="AG110">
        <v>1090</v>
      </c>
    </row>
    <row r="111" spans="6:33">
      <c r="F111" s="74">
        <f t="shared" si="21"/>
        <v>45203</v>
      </c>
      <c r="G111" s="72">
        <f t="shared" si="22"/>
        <v>-20684</v>
      </c>
      <c r="H111" s="68">
        <f t="shared" si="23"/>
        <v>27321</v>
      </c>
      <c r="I111" s="68">
        <f t="shared" si="24"/>
        <v>-8456</v>
      </c>
      <c r="J111" s="68">
        <f t="shared" si="25"/>
        <v>-5121</v>
      </c>
      <c r="K111" s="68">
        <f t="shared" si="26"/>
        <v>-265</v>
      </c>
      <c r="L111" s="68">
        <f t="shared" si="27"/>
        <v>-702</v>
      </c>
      <c r="M111" s="68">
        <f t="shared" si="28"/>
        <v>-1061</v>
      </c>
      <c r="N111" s="68">
        <f t="shared" si="29"/>
        <v>-234</v>
      </c>
      <c r="O111" s="68">
        <f t="shared" si="30"/>
        <v>-778</v>
      </c>
      <c r="P111" s="68">
        <f t="shared" si="31"/>
        <v>-295</v>
      </c>
      <c r="Q111" s="68" t="str">
        <f t="shared" si="32"/>
        <v/>
      </c>
      <c r="R111" s="69">
        <f t="shared" si="33"/>
        <v>1820</v>
      </c>
      <c r="U111" s="5">
        <v>45203</v>
      </c>
      <c r="V111">
        <v>-20684</v>
      </c>
      <c r="W111">
        <v>27321</v>
      </c>
      <c r="X111">
        <v>-8456</v>
      </c>
      <c r="Y111">
        <v>-5121</v>
      </c>
      <c r="Z111">
        <v>-265</v>
      </c>
      <c r="AA111">
        <v>-702</v>
      </c>
      <c r="AB111">
        <v>-1061</v>
      </c>
      <c r="AC111">
        <v>-234</v>
      </c>
      <c r="AD111">
        <v>-778</v>
      </c>
      <c r="AE111">
        <v>-295</v>
      </c>
      <c r="AF111">
        <v>0</v>
      </c>
      <c r="AG111">
        <v>1820</v>
      </c>
    </row>
    <row r="112" spans="6:33">
      <c r="F112" s="74">
        <f t="shared" si="21"/>
        <v>45196</v>
      </c>
      <c r="G112" s="72">
        <f t="shared" si="22"/>
        <v>6268</v>
      </c>
      <c r="H112" s="68">
        <f t="shared" si="23"/>
        <v>3950</v>
      </c>
      <c r="I112" s="68">
        <f t="shared" si="24"/>
        <v>-1161</v>
      </c>
      <c r="J112" s="68">
        <f t="shared" si="25"/>
        <v>-2309</v>
      </c>
      <c r="K112" s="68">
        <f t="shared" si="26"/>
        <v>417</v>
      </c>
      <c r="L112" s="68">
        <f t="shared" si="27"/>
        <v>578</v>
      </c>
      <c r="M112" s="68">
        <f t="shared" si="28"/>
        <v>-119</v>
      </c>
      <c r="N112" s="68">
        <f t="shared" si="29"/>
        <v>10</v>
      </c>
      <c r="O112" s="68">
        <f t="shared" si="30"/>
        <v>-382</v>
      </c>
      <c r="P112" s="68">
        <f t="shared" si="31"/>
        <v>644</v>
      </c>
      <c r="Q112" s="68" t="str">
        <f t="shared" si="32"/>
        <v/>
      </c>
      <c r="R112" s="69">
        <f t="shared" si="33"/>
        <v>-9058</v>
      </c>
      <c r="U112" s="5">
        <v>45196</v>
      </c>
      <c r="V112">
        <v>6268</v>
      </c>
      <c r="W112">
        <v>3950</v>
      </c>
      <c r="X112">
        <v>-1161</v>
      </c>
      <c r="Y112">
        <v>-2309</v>
      </c>
      <c r="Z112">
        <v>417</v>
      </c>
      <c r="AA112">
        <v>578</v>
      </c>
      <c r="AB112">
        <v>-119</v>
      </c>
      <c r="AC112">
        <v>10</v>
      </c>
      <c r="AD112">
        <v>-382</v>
      </c>
      <c r="AE112">
        <v>644</v>
      </c>
      <c r="AF112">
        <v>0</v>
      </c>
      <c r="AG112">
        <v>-9058</v>
      </c>
    </row>
    <row r="113" spans="6:33">
      <c r="F113" s="74">
        <f t="shared" si="21"/>
        <v>45195</v>
      </c>
      <c r="G113" s="72">
        <f t="shared" si="22"/>
        <v>-1627</v>
      </c>
      <c r="H113" s="68">
        <f t="shared" si="23"/>
        <v>18470</v>
      </c>
      <c r="I113" s="68">
        <f t="shared" si="24"/>
        <v>-10229</v>
      </c>
      <c r="J113" s="68">
        <f t="shared" si="25"/>
        <v>-6143</v>
      </c>
      <c r="K113" s="68">
        <f t="shared" si="26"/>
        <v>-400</v>
      </c>
      <c r="L113" s="68">
        <f t="shared" si="27"/>
        <v>-416</v>
      </c>
      <c r="M113" s="68">
        <f t="shared" si="28"/>
        <v>-1976</v>
      </c>
      <c r="N113" s="68">
        <f t="shared" si="29"/>
        <v>-21</v>
      </c>
      <c r="O113" s="68">
        <f t="shared" si="30"/>
        <v>-505</v>
      </c>
      <c r="P113" s="68">
        <f t="shared" si="31"/>
        <v>-768</v>
      </c>
      <c r="Q113" s="68" t="str">
        <f t="shared" si="32"/>
        <v/>
      </c>
      <c r="R113" s="69">
        <f t="shared" si="33"/>
        <v>-6615</v>
      </c>
      <c r="U113" s="5">
        <v>45195</v>
      </c>
      <c r="V113">
        <v>-1627</v>
      </c>
      <c r="W113">
        <v>18470</v>
      </c>
      <c r="X113">
        <v>-10229</v>
      </c>
      <c r="Y113">
        <v>-6143</v>
      </c>
      <c r="Z113">
        <v>-400</v>
      </c>
      <c r="AA113">
        <v>-416</v>
      </c>
      <c r="AB113">
        <v>-1976</v>
      </c>
      <c r="AC113">
        <v>-21</v>
      </c>
      <c r="AD113">
        <v>-505</v>
      </c>
      <c r="AE113">
        <v>-768</v>
      </c>
      <c r="AF113">
        <v>0</v>
      </c>
      <c r="AG113">
        <v>-6615</v>
      </c>
    </row>
    <row r="114" spans="6:33">
      <c r="F114" s="74">
        <f t="shared" si="21"/>
        <v>45194</v>
      </c>
      <c r="G114" s="72">
        <f t="shared" si="22"/>
        <v>-721</v>
      </c>
      <c r="H114" s="68">
        <f t="shared" si="23"/>
        <v>-1133</v>
      </c>
      <c r="I114" s="68">
        <f t="shared" si="24"/>
        <v>1904</v>
      </c>
      <c r="J114" s="68">
        <f t="shared" si="25"/>
        <v>5214</v>
      </c>
      <c r="K114" s="68">
        <f t="shared" si="26"/>
        <v>-394</v>
      </c>
      <c r="L114" s="68">
        <f t="shared" si="27"/>
        <v>-75</v>
      </c>
      <c r="M114" s="68">
        <f t="shared" si="28"/>
        <v>-795</v>
      </c>
      <c r="N114" s="68">
        <f t="shared" si="29"/>
        <v>-17</v>
      </c>
      <c r="O114" s="68">
        <f t="shared" si="30"/>
        <v>-98</v>
      </c>
      <c r="P114" s="68">
        <f t="shared" si="31"/>
        <v>-1931</v>
      </c>
      <c r="Q114" s="68" t="str">
        <f t="shared" si="32"/>
        <v/>
      </c>
      <c r="R114" s="69">
        <f t="shared" si="33"/>
        <v>-51</v>
      </c>
      <c r="U114" s="5">
        <v>45194</v>
      </c>
      <c r="V114">
        <v>-721</v>
      </c>
      <c r="W114">
        <v>-1133</v>
      </c>
      <c r="X114">
        <v>1904</v>
      </c>
      <c r="Y114">
        <v>5214</v>
      </c>
      <c r="Z114">
        <v>-394</v>
      </c>
      <c r="AA114">
        <v>-75</v>
      </c>
      <c r="AB114">
        <v>-795</v>
      </c>
      <c r="AC114">
        <v>-17</v>
      </c>
      <c r="AD114">
        <v>-98</v>
      </c>
      <c r="AE114">
        <v>-1931</v>
      </c>
      <c r="AF114">
        <v>0</v>
      </c>
      <c r="AG114">
        <v>-51</v>
      </c>
    </row>
    <row r="115" spans="6:33">
      <c r="F115" s="74">
        <f t="shared" si="21"/>
        <v>45191</v>
      </c>
      <c r="G115" s="72">
        <f t="shared" si="22"/>
        <v>-4061</v>
      </c>
      <c r="H115" s="68">
        <f t="shared" si="23"/>
        <v>5237</v>
      </c>
      <c r="I115" s="68">
        <f t="shared" si="24"/>
        <v>-2661</v>
      </c>
      <c r="J115" s="68">
        <f t="shared" si="25"/>
        <v>-896</v>
      </c>
      <c r="K115" s="68">
        <f t="shared" si="26"/>
        <v>247</v>
      </c>
      <c r="L115" s="68">
        <f t="shared" si="27"/>
        <v>-186</v>
      </c>
      <c r="M115" s="68">
        <f t="shared" si="28"/>
        <v>-767</v>
      </c>
      <c r="N115" s="68">
        <f t="shared" si="29"/>
        <v>90</v>
      </c>
      <c r="O115" s="68">
        <f t="shared" si="30"/>
        <v>-14</v>
      </c>
      <c r="P115" s="68">
        <f t="shared" si="31"/>
        <v>-1135</v>
      </c>
      <c r="Q115" s="68" t="str">
        <f t="shared" si="32"/>
        <v/>
      </c>
      <c r="R115" s="69">
        <f t="shared" si="33"/>
        <v>1484</v>
      </c>
      <c r="U115" s="5">
        <v>45191</v>
      </c>
      <c r="V115">
        <v>-4061</v>
      </c>
      <c r="W115">
        <v>5237</v>
      </c>
      <c r="X115">
        <v>-2661</v>
      </c>
      <c r="Y115">
        <v>-896</v>
      </c>
      <c r="Z115">
        <v>247</v>
      </c>
      <c r="AA115">
        <v>-186</v>
      </c>
      <c r="AB115">
        <v>-767</v>
      </c>
      <c r="AC115">
        <v>90</v>
      </c>
      <c r="AD115">
        <v>-14</v>
      </c>
      <c r="AE115">
        <v>-1135</v>
      </c>
      <c r="AF115">
        <v>0</v>
      </c>
      <c r="AG115">
        <v>1484</v>
      </c>
    </row>
    <row r="116" spans="6:33">
      <c r="F116" s="74">
        <f t="shared" si="21"/>
        <v>45190</v>
      </c>
      <c r="G116" s="72">
        <f t="shared" si="22"/>
        <v>-8663</v>
      </c>
      <c r="H116" s="68">
        <f t="shared" si="23"/>
        <v>15919</v>
      </c>
      <c r="I116" s="68">
        <f t="shared" si="24"/>
        <v>-8726</v>
      </c>
      <c r="J116" s="68">
        <f t="shared" si="25"/>
        <v>-10357</v>
      </c>
      <c r="K116" s="68">
        <f t="shared" si="26"/>
        <v>249</v>
      </c>
      <c r="L116" s="68">
        <f t="shared" si="27"/>
        <v>-150</v>
      </c>
      <c r="M116" s="68">
        <f t="shared" si="28"/>
        <v>-50</v>
      </c>
      <c r="N116" s="68">
        <f t="shared" si="29"/>
        <v>130</v>
      </c>
      <c r="O116" s="68">
        <f t="shared" si="30"/>
        <v>-50</v>
      </c>
      <c r="P116" s="68">
        <f t="shared" si="31"/>
        <v>1502</v>
      </c>
      <c r="Q116" s="68" t="str">
        <f t="shared" si="32"/>
        <v/>
      </c>
      <c r="R116" s="69">
        <f t="shared" si="33"/>
        <v>1469</v>
      </c>
      <c r="U116" s="5">
        <v>45190</v>
      </c>
      <c r="V116">
        <v>-8663</v>
      </c>
      <c r="W116">
        <v>15919</v>
      </c>
      <c r="X116">
        <v>-8726</v>
      </c>
      <c r="Y116">
        <v>-10357</v>
      </c>
      <c r="Z116">
        <v>249</v>
      </c>
      <c r="AA116">
        <v>-150</v>
      </c>
      <c r="AB116">
        <v>-50</v>
      </c>
      <c r="AC116">
        <v>130</v>
      </c>
      <c r="AD116">
        <v>-50</v>
      </c>
      <c r="AE116">
        <v>1502</v>
      </c>
      <c r="AF116">
        <v>0</v>
      </c>
      <c r="AG116">
        <v>1469</v>
      </c>
    </row>
    <row r="117" spans="6:33">
      <c r="F117" s="74">
        <f t="shared" si="21"/>
        <v>45189</v>
      </c>
      <c r="G117" s="72">
        <f t="shared" si="22"/>
        <v>-1402</v>
      </c>
      <c r="H117" s="68">
        <f t="shared" si="23"/>
        <v>-1206</v>
      </c>
      <c r="I117" s="68">
        <f t="shared" si="24"/>
        <v>2439</v>
      </c>
      <c r="J117" s="68">
        <f t="shared" si="25"/>
        <v>2223</v>
      </c>
      <c r="K117" s="68">
        <f t="shared" si="26"/>
        <v>697</v>
      </c>
      <c r="L117" s="68">
        <f t="shared" si="27"/>
        <v>-184</v>
      </c>
      <c r="M117" s="68">
        <f t="shared" si="28"/>
        <v>-761</v>
      </c>
      <c r="N117" s="68">
        <f t="shared" si="29"/>
        <v>-88</v>
      </c>
      <c r="O117" s="68">
        <f t="shared" si="30"/>
        <v>-50</v>
      </c>
      <c r="P117" s="68">
        <f t="shared" si="31"/>
        <v>602</v>
      </c>
      <c r="Q117" s="68" t="str">
        <f t="shared" si="32"/>
        <v/>
      </c>
      <c r="R117" s="69">
        <f t="shared" si="33"/>
        <v>168</v>
      </c>
      <c r="U117" s="5">
        <v>45189</v>
      </c>
      <c r="V117">
        <v>-1402</v>
      </c>
      <c r="W117">
        <v>-1206</v>
      </c>
      <c r="X117">
        <v>2439</v>
      </c>
      <c r="Y117">
        <v>2223</v>
      </c>
      <c r="Z117">
        <v>697</v>
      </c>
      <c r="AA117">
        <v>-184</v>
      </c>
      <c r="AB117">
        <v>-761</v>
      </c>
      <c r="AC117">
        <v>-88</v>
      </c>
      <c r="AD117">
        <v>-50</v>
      </c>
      <c r="AE117">
        <v>602</v>
      </c>
      <c r="AF117">
        <v>0</v>
      </c>
      <c r="AG117">
        <v>168</v>
      </c>
    </row>
    <row r="118" spans="6:33">
      <c r="F118" s="74">
        <f t="shared" si="21"/>
        <v>45188</v>
      </c>
      <c r="G118" s="72">
        <f t="shared" si="22"/>
        <v>-3519</v>
      </c>
      <c r="H118" s="68">
        <f t="shared" si="23"/>
        <v>7637</v>
      </c>
      <c r="I118" s="68">
        <f t="shared" si="24"/>
        <v>-4603</v>
      </c>
      <c r="J118" s="68">
        <f t="shared" si="25"/>
        <v>-5001</v>
      </c>
      <c r="K118" s="68">
        <f t="shared" si="26"/>
        <v>350</v>
      </c>
      <c r="L118" s="68">
        <f t="shared" si="27"/>
        <v>402</v>
      </c>
      <c r="M118" s="68">
        <f t="shared" si="28"/>
        <v>-892</v>
      </c>
      <c r="N118" s="68">
        <f t="shared" si="29"/>
        <v>-75</v>
      </c>
      <c r="O118" s="68">
        <f t="shared" si="30"/>
        <v>-298</v>
      </c>
      <c r="P118" s="68">
        <f t="shared" si="31"/>
        <v>911</v>
      </c>
      <c r="Q118" s="68" t="str">
        <f t="shared" si="32"/>
        <v/>
      </c>
      <c r="R118" s="69">
        <f t="shared" si="33"/>
        <v>486</v>
      </c>
      <c r="U118" s="5">
        <v>45188</v>
      </c>
      <c r="V118">
        <v>-3519</v>
      </c>
      <c r="W118">
        <v>7637</v>
      </c>
      <c r="X118">
        <v>-4603</v>
      </c>
      <c r="Y118">
        <v>-5001</v>
      </c>
      <c r="Z118">
        <v>350</v>
      </c>
      <c r="AA118">
        <v>402</v>
      </c>
      <c r="AB118">
        <v>-892</v>
      </c>
      <c r="AC118">
        <v>-75</v>
      </c>
      <c r="AD118">
        <v>-298</v>
      </c>
      <c r="AE118">
        <v>911</v>
      </c>
      <c r="AF118">
        <v>0</v>
      </c>
      <c r="AG118">
        <v>486</v>
      </c>
    </row>
    <row r="119" spans="6:33">
      <c r="F119" s="74">
        <f t="shared" si="21"/>
        <v>45187</v>
      </c>
      <c r="G119" s="72">
        <f t="shared" si="22"/>
        <v>-12532</v>
      </c>
      <c r="H119" s="68">
        <f t="shared" si="23"/>
        <v>13911</v>
      </c>
      <c r="I119" s="68">
        <f t="shared" si="24"/>
        <v>-959</v>
      </c>
      <c r="J119" s="68">
        <f t="shared" si="25"/>
        <v>-329</v>
      </c>
      <c r="K119" s="68">
        <f t="shared" si="26"/>
        <v>529</v>
      </c>
      <c r="L119" s="68">
        <f t="shared" si="27"/>
        <v>-730</v>
      </c>
      <c r="M119" s="68">
        <f t="shared" si="28"/>
        <v>-223</v>
      </c>
      <c r="N119" s="68">
        <f t="shared" si="29"/>
        <v>-89</v>
      </c>
      <c r="O119" s="68">
        <f t="shared" si="30"/>
        <v>-269</v>
      </c>
      <c r="P119" s="68">
        <f t="shared" si="31"/>
        <v>152</v>
      </c>
      <c r="Q119" s="68" t="str">
        <f t="shared" si="32"/>
        <v/>
      </c>
      <c r="R119" s="69">
        <f t="shared" si="33"/>
        <v>-420</v>
      </c>
      <c r="U119" s="5">
        <v>45187</v>
      </c>
      <c r="V119">
        <v>-12532</v>
      </c>
      <c r="W119">
        <v>13911</v>
      </c>
      <c r="X119">
        <v>-959</v>
      </c>
      <c r="Y119">
        <v>-329</v>
      </c>
      <c r="Z119">
        <v>529</v>
      </c>
      <c r="AA119">
        <v>-730</v>
      </c>
      <c r="AB119">
        <v>-223</v>
      </c>
      <c r="AC119">
        <v>-89</v>
      </c>
      <c r="AD119">
        <v>-269</v>
      </c>
      <c r="AE119">
        <v>152</v>
      </c>
      <c r="AF119">
        <v>0</v>
      </c>
      <c r="AG119">
        <v>-420</v>
      </c>
    </row>
    <row r="120" spans="6:33">
      <c r="F120" s="74">
        <f t="shared" si="21"/>
        <v>45184</v>
      </c>
      <c r="G120" s="72">
        <f t="shared" si="22"/>
        <v>18655</v>
      </c>
      <c r="H120" s="68">
        <f t="shared" si="23"/>
        <v>-33103</v>
      </c>
      <c r="I120" s="68">
        <f t="shared" si="24"/>
        <v>15411</v>
      </c>
      <c r="J120" s="68">
        <f t="shared" si="25"/>
        <v>17144</v>
      </c>
      <c r="K120" s="68">
        <f t="shared" si="26"/>
        <v>1044</v>
      </c>
      <c r="L120" s="68">
        <f t="shared" si="27"/>
        <v>-1901</v>
      </c>
      <c r="M120" s="68">
        <f t="shared" si="28"/>
        <v>239</v>
      </c>
      <c r="N120" s="68">
        <f t="shared" si="29"/>
        <v>-159</v>
      </c>
      <c r="O120" s="68">
        <f t="shared" si="30"/>
        <v>-85</v>
      </c>
      <c r="P120" s="68">
        <f t="shared" si="31"/>
        <v>-871</v>
      </c>
      <c r="Q120" s="68" t="str">
        <f t="shared" si="32"/>
        <v/>
      </c>
      <c r="R120" s="69">
        <f t="shared" si="33"/>
        <v>-961</v>
      </c>
      <c r="U120" s="5">
        <v>45184</v>
      </c>
      <c r="V120">
        <v>18655</v>
      </c>
      <c r="W120">
        <v>-33103</v>
      </c>
      <c r="X120">
        <v>15411</v>
      </c>
      <c r="Y120">
        <v>17144</v>
      </c>
      <c r="Z120">
        <v>1044</v>
      </c>
      <c r="AA120">
        <v>-1901</v>
      </c>
      <c r="AB120">
        <v>239</v>
      </c>
      <c r="AC120">
        <v>-159</v>
      </c>
      <c r="AD120">
        <v>-85</v>
      </c>
      <c r="AE120">
        <v>-871</v>
      </c>
      <c r="AF120">
        <v>0</v>
      </c>
      <c r="AG120">
        <v>-961</v>
      </c>
    </row>
    <row r="121" spans="6:33">
      <c r="F121" s="74">
        <f t="shared" si="21"/>
        <v>45183</v>
      </c>
      <c r="G121" s="72">
        <f t="shared" si="22"/>
        <v>-14989</v>
      </c>
      <c r="H121" s="68">
        <f t="shared" si="23"/>
        <v>1850</v>
      </c>
      <c r="I121" s="68">
        <f t="shared" si="24"/>
        <v>16825</v>
      </c>
      <c r="J121" s="68">
        <f t="shared" si="25"/>
        <v>18176</v>
      </c>
      <c r="K121" s="68">
        <f t="shared" si="26"/>
        <v>303</v>
      </c>
      <c r="L121" s="68">
        <f t="shared" si="27"/>
        <v>-4383</v>
      </c>
      <c r="M121" s="68">
        <f t="shared" si="28"/>
        <v>415</v>
      </c>
      <c r="N121" s="68">
        <f t="shared" si="29"/>
        <v>-83</v>
      </c>
      <c r="O121" s="68">
        <f t="shared" si="30"/>
        <v>-101</v>
      </c>
      <c r="P121" s="68">
        <f t="shared" si="31"/>
        <v>2498</v>
      </c>
      <c r="Q121" s="68" t="str">
        <f t="shared" si="32"/>
        <v/>
      </c>
      <c r="R121" s="69">
        <f t="shared" si="33"/>
        <v>-3686</v>
      </c>
      <c r="U121" s="5">
        <v>45183</v>
      </c>
      <c r="V121">
        <v>-14989</v>
      </c>
      <c r="W121">
        <v>1850</v>
      </c>
      <c r="X121">
        <v>16825</v>
      </c>
      <c r="Y121">
        <v>18176</v>
      </c>
      <c r="Z121">
        <v>303</v>
      </c>
      <c r="AA121">
        <v>-4383</v>
      </c>
      <c r="AB121">
        <v>415</v>
      </c>
      <c r="AC121">
        <v>-83</v>
      </c>
      <c r="AD121">
        <v>-101</v>
      </c>
      <c r="AE121">
        <v>2498</v>
      </c>
      <c r="AF121">
        <v>0</v>
      </c>
      <c r="AG121">
        <v>-3686</v>
      </c>
    </row>
    <row r="122" spans="6:33">
      <c r="F122" s="74">
        <f t="shared" si="21"/>
        <v>45182</v>
      </c>
      <c r="G122" s="72">
        <f t="shared" si="22"/>
        <v>-2593</v>
      </c>
      <c r="H122" s="68">
        <f t="shared" si="23"/>
        <v>-2687</v>
      </c>
      <c r="I122" s="68">
        <f t="shared" si="24"/>
        <v>4715</v>
      </c>
      <c r="J122" s="68">
        <f t="shared" si="25"/>
        <v>2054</v>
      </c>
      <c r="K122" s="68">
        <f t="shared" si="26"/>
        <v>745</v>
      </c>
      <c r="L122" s="68">
        <f t="shared" si="27"/>
        <v>523</v>
      </c>
      <c r="M122" s="68">
        <f t="shared" si="28"/>
        <v>330</v>
      </c>
      <c r="N122" s="68">
        <f t="shared" si="29"/>
        <v>16</v>
      </c>
      <c r="O122" s="68">
        <f t="shared" si="30"/>
        <v>-15</v>
      </c>
      <c r="P122" s="68">
        <f t="shared" si="31"/>
        <v>1062</v>
      </c>
      <c r="Q122" s="68" t="str">
        <f t="shared" si="32"/>
        <v/>
      </c>
      <c r="R122" s="69">
        <f t="shared" si="33"/>
        <v>565</v>
      </c>
      <c r="U122" s="5">
        <v>45182</v>
      </c>
      <c r="V122">
        <v>-2593</v>
      </c>
      <c r="W122">
        <v>-2687</v>
      </c>
      <c r="X122">
        <v>4715</v>
      </c>
      <c r="Y122">
        <v>2054</v>
      </c>
      <c r="Z122">
        <v>745</v>
      </c>
      <c r="AA122">
        <v>523</v>
      </c>
      <c r="AB122">
        <v>330</v>
      </c>
      <c r="AC122">
        <v>16</v>
      </c>
      <c r="AD122">
        <v>-15</v>
      </c>
      <c r="AE122">
        <v>1062</v>
      </c>
      <c r="AF122">
        <v>0</v>
      </c>
      <c r="AG122">
        <v>565</v>
      </c>
    </row>
    <row r="123" spans="6:33">
      <c r="F123" s="74">
        <f t="shared" si="21"/>
        <v>45181</v>
      </c>
      <c r="G123" s="72">
        <f t="shared" si="22"/>
        <v>-15971</v>
      </c>
      <c r="H123" s="68">
        <f t="shared" si="23"/>
        <v>11730</v>
      </c>
      <c r="I123" s="68">
        <f t="shared" si="24"/>
        <v>2855</v>
      </c>
      <c r="J123" s="68">
        <f t="shared" si="25"/>
        <v>2783</v>
      </c>
      <c r="K123" s="68">
        <f t="shared" si="26"/>
        <v>-32</v>
      </c>
      <c r="L123" s="68">
        <f t="shared" si="27"/>
        <v>-792</v>
      </c>
      <c r="M123" s="68">
        <f t="shared" si="28"/>
        <v>-280</v>
      </c>
      <c r="N123" s="68">
        <f t="shared" si="29"/>
        <v>4</v>
      </c>
      <c r="O123" s="68">
        <f t="shared" si="30"/>
        <v>5</v>
      </c>
      <c r="P123" s="68">
        <f t="shared" si="31"/>
        <v>1167</v>
      </c>
      <c r="Q123" s="68" t="str">
        <f t="shared" si="32"/>
        <v/>
      </c>
      <c r="R123" s="69">
        <f t="shared" si="33"/>
        <v>1388</v>
      </c>
      <c r="U123" s="5">
        <v>45181</v>
      </c>
      <c r="V123">
        <v>-15971</v>
      </c>
      <c r="W123">
        <v>11730</v>
      </c>
      <c r="X123">
        <v>2855</v>
      </c>
      <c r="Y123">
        <v>2783</v>
      </c>
      <c r="Z123">
        <v>-32</v>
      </c>
      <c r="AA123">
        <v>-792</v>
      </c>
      <c r="AB123">
        <v>-280</v>
      </c>
      <c r="AC123">
        <v>4</v>
      </c>
      <c r="AD123">
        <v>5</v>
      </c>
      <c r="AE123">
        <v>1167</v>
      </c>
      <c r="AF123">
        <v>0</v>
      </c>
      <c r="AG123">
        <v>1388</v>
      </c>
    </row>
    <row r="124" spans="6:33">
      <c r="F124" s="74">
        <f t="shared" si="21"/>
        <v>45180</v>
      </c>
      <c r="G124" s="72">
        <f t="shared" si="22"/>
        <v>6145</v>
      </c>
      <c r="H124" s="68">
        <f t="shared" si="23"/>
        <v>-9888</v>
      </c>
      <c r="I124" s="68">
        <f t="shared" si="24"/>
        <v>4487</v>
      </c>
      <c r="J124" s="68">
        <f t="shared" si="25"/>
        <v>1565</v>
      </c>
      <c r="K124" s="68">
        <f t="shared" si="26"/>
        <v>135</v>
      </c>
      <c r="L124" s="68">
        <f t="shared" si="27"/>
        <v>999</v>
      </c>
      <c r="M124" s="68">
        <f t="shared" si="28"/>
        <v>977</v>
      </c>
      <c r="N124" s="68">
        <f t="shared" si="29"/>
        <v>-108</v>
      </c>
      <c r="O124" s="68">
        <f t="shared" si="30"/>
        <v>-36</v>
      </c>
      <c r="P124" s="68">
        <f t="shared" si="31"/>
        <v>955</v>
      </c>
      <c r="Q124" s="68" t="str">
        <f t="shared" si="32"/>
        <v/>
      </c>
      <c r="R124" s="69">
        <f t="shared" si="33"/>
        <v>-745</v>
      </c>
      <c r="U124" s="5">
        <v>45180</v>
      </c>
      <c r="V124">
        <v>6145</v>
      </c>
      <c r="W124">
        <v>-9888</v>
      </c>
      <c r="X124">
        <v>4487</v>
      </c>
      <c r="Y124">
        <v>1565</v>
      </c>
      <c r="Z124">
        <v>135</v>
      </c>
      <c r="AA124">
        <v>999</v>
      </c>
      <c r="AB124">
        <v>977</v>
      </c>
      <c r="AC124">
        <v>-108</v>
      </c>
      <c r="AD124">
        <v>-36</v>
      </c>
      <c r="AE124">
        <v>955</v>
      </c>
      <c r="AF124">
        <v>0</v>
      </c>
      <c r="AG124">
        <v>-745</v>
      </c>
    </row>
    <row r="125" spans="6:33">
      <c r="F125" s="74">
        <f t="shared" si="21"/>
        <v>45177</v>
      </c>
      <c r="G125" s="72">
        <f t="shared" si="22"/>
        <v>1046</v>
      </c>
      <c r="H125" s="68">
        <f t="shared" si="23"/>
        <v>-5275</v>
      </c>
      <c r="I125" s="68">
        <f t="shared" si="24"/>
        <v>2771</v>
      </c>
      <c r="J125" s="68">
        <f t="shared" si="25"/>
        <v>4197</v>
      </c>
      <c r="K125" s="68">
        <f t="shared" si="26"/>
        <v>-257</v>
      </c>
      <c r="L125" s="68">
        <f t="shared" si="27"/>
        <v>-209</v>
      </c>
      <c r="M125" s="68">
        <f t="shared" si="28"/>
        <v>-643</v>
      </c>
      <c r="N125" s="68">
        <f t="shared" si="29"/>
        <v>-34</v>
      </c>
      <c r="O125" s="68">
        <f t="shared" si="30"/>
        <v>27</v>
      </c>
      <c r="P125" s="68">
        <f t="shared" si="31"/>
        <v>-310</v>
      </c>
      <c r="Q125" s="68" t="str">
        <f t="shared" si="32"/>
        <v/>
      </c>
      <c r="R125" s="69">
        <f t="shared" si="33"/>
        <v>1459</v>
      </c>
      <c r="U125" s="5">
        <v>45177</v>
      </c>
      <c r="V125">
        <v>1046</v>
      </c>
      <c r="W125">
        <v>-5275</v>
      </c>
      <c r="X125">
        <v>2771</v>
      </c>
      <c r="Y125">
        <v>4197</v>
      </c>
      <c r="Z125">
        <v>-257</v>
      </c>
      <c r="AA125">
        <v>-209</v>
      </c>
      <c r="AB125">
        <v>-643</v>
      </c>
      <c r="AC125">
        <v>-34</v>
      </c>
      <c r="AD125">
        <v>27</v>
      </c>
      <c r="AE125">
        <v>-310</v>
      </c>
      <c r="AF125">
        <v>0</v>
      </c>
      <c r="AG125">
        <v>1459</v>
      </c>
    </row>
    <row r="126" spans="6:33">
      <c r="F126" s="74">
        <f t="shared" si="21"/>
        <v>45176</v>
      </c>
      <c r="G126" s="72">
        <f t="shared" si="22"/>
        <v>-6816</v>
      </c>
      <c r="H126" s="68">
        <f t="shared" si="23"/>
        <v>10959</v>
      </c>
      <c r="I126" s="68">
        <f t="shared" si="24"/>
        <v>-4023</v>
      </c>
      <c r="J126" s="68">
        <f t="shared" si="25"/>
        <v>-795</v>
      </c>
      <c r="K126" s="68">
        <f t="shared" si="26"/>
        <v>-1024</v>
      </c>
      <c r="L126" s="68">
        <f t="shared" si="27"/>
        <v>-264</v>
      </c>
      <c r="M126" s="68">
        <f t="shared" si="28"/>
        <v>-928</v>
      </c>
      <c r="N126" s="68">
        <f t="shared" si="29"/>
        <v>-2</v>
      </c>
      <c r="O126" s="68">
        <f t="shared" si="30"/>
        <v>-4</v>
      </c>
      <c r="P126" s="68">
        <f t="shared" si="31"/>
        <v>-1006</v>
      </c>
      <c r="Q126" s="68" t="str">
        <f t="shared" si="32"/>
        <v/>
      </c>
      <c r="R126" s="69">
        <f t="shared" si="33"/>
        <v>-121</v>
      </c>
      <c r="U126" s="5">
        <v>45176</v>
      </c>
      <c r="V126">
        <v>-6816</v>
      </c>
      <c r="W126">
        <v>10959</v>
      </c>
      <c r="X126">
        <v>-4023</v>
      </c>
      <c r="Y126">
        <v>-795</v>
      </c>
      <c r="Z126">
        <v>-1024</v>
      </c>
      <c r="AA126">
        <v>-264</v>
      </c>
      <c r="AB126">
        <v>-928</v>
      </c>
      <c r="AC126">
        <v>-2</v>
      </c>
      <c r="AD126">
        <v>-4</v>
      </c>
      <c r="AE126">
        <v>-1006</v>
      </c>
      <c r="AF126">
        <v>0</v>
      </c>
      <c r="AG126">
        <v>-121</v>
      </c>
    </row>
    <row r="127" spans="6:33">
      <c r="F127" s="74">
        <f t="shared" si="21"/>
        <v>45175</v>
      </c>
      <c r="G127" s="72">
        <f t="shared" si="22"/>
        <v>-7752</v>
      </c>
      <c r="H127" s="68">
        <f t="shared" si="23"/>
        <v>15051</v>
      </c>
      <c r="I127" s="68">
        <f t="shared" si="24"/>
        <v>-7039</v>
      </c>
      <c r="J127" s="68">
        <f t="shared" si="25"/>
        <v>-3709</v>
      </c>
      <c r="K127" s="68">
        <f t="shared" si="26"/>
        <v>-204</v>
      </c>
      <c r="L127" s="68">
        <f t="shared" si="27"/>
        <v>-526</v>
      </c>
      <c r="M127" s="68">
        <f t="shared" si="28"/>
        <v>-762</v>
      </c>
      <c r="N127" s="68">
        <f t="shared" si="29"/>
        <v>-91</v>
      </c>
      <c r="O127" s="68">
        <f t="shared" si="30"/>
        <v>68</v>
      </c>
      <c r="P127" s="68">
        <f t="shared" si="31"/>
        <v>-1815</v>
      </c>
      <c r="Q127" s="68" t="str">
        <f t="shared" si="32"/>
        <v/>
      </c>
      <c r="R127" s="69">
        <f t="shared" si="33"/>
        <v>-263</v>
      </c>
      <c r="U127" s="5">
        <v>45175</v>
      </c>
      <c r="V127">
        <v>-7752</v>
      </c>
      <c r="W127">
        <v>15051</v>
      </c>
      <c r="X127">
        <v>-7039</v>
      </c>
      <c r="Y127">
        <v>-3709</v>
      </c>
      <c r="Z127">
        <v>-204</v>
      </c>
      <c r="AA127">
        <v>-526</v>
      </c>
      <c r="AB127">
        <v>-762</v>
      </c>
      <c r="AC127">
        <v>-91</v>
      </c>
      <c r="AD127">
        <v>68</v>
      </c>
      <c r="AE127">
        <v>-1815</v>
      </c>
      <c r="AF127">
        <v>0</v>
      </c>
      <c r="AG127">
        <v>-263</v>
      </c>
    </row>
    <row r="128" spans="6:33">
      <c r="F128" s="74">
        <f t="shared" si="21"/>
        <v>45174</v>
      </c>
      <c r="G128" s="72">
        <f t="shared" si="22"/>
        <v>-4994</v>
      </c>
      <c r="H128" s="68">
        <f t="shared" si="23"/>
        <v>11452</v>
      </c>
      <c r="I128" s="68">
        <f t="shared" si="24"/>
        <v>-5965</v>
      </c>
      <c r="J128" s="68">
        <f t="shared" si="25"/>
        <v>-1556</v>
      </c>
      <c r="K128" s="68">
        <f t="shared" si="26"/>
        <v>14</v>
      </c>
      <c r="L128" s="68">
        <f t="shared" si="27"/>
        <v>-134</v>
      </c>
      <c r="M128" s="68">
        <f t="shared" si="28"/>
        <v>-906</v>
      </c>
      <c r="N128" s="68">
        <f t="shared" si="29"/>
        <v>-96</v>
      </c>
      <c r="O128" s="68">
        <f t="shared" si="30"/>
        <v>12</v>
      </c>
      <c r="P128" s="68">
        <f t="shared" si="31"/>
        <v>-3299</v>
      </c>
      <c r="Q128" s="68" t="str">
        <f t="shared" si="32"/>
        <v/>
      </c>
      <c r="R128" s="69">
        <f t="shared" si="33"/>
        <v>-492</v>
      </c>
      <c r="U128" s="5">
        <v>45174</v>
      </c>
      <c r="V128">
        <v>-4994</v>
      </c>
      <c r="W128">
        <v>11452</v>
      </c>
      <c r="X128">
        <v>-5965</v>
      </c>
      <c r="Y128">
        <v>-1556</v>
      </c>
      <c r="Z128">
        <v>14</v>
      </c>
      <c r="AA128">
        <v>-134</v>
      </c>
      <c r="AB128">
        <v>-906</v>
      </c>
      <c r="AC128">
        <v>-96</v>
      </c>
      <c r="AD128">
        <v>12</v>
      </c>
      <c r="AE128">
        <v>-3299</v>
      </c>
      <c r="AF128">
        <v>0</v>
      </c>
      <c r="AG128">
        <v>-492</v>
      </c>
    </row>
    <row r="129" spans="6:33">
      <c r="F129" s="74">
        <f t="shared" si="21"/>
        <v>45173</v>
      </c>
      <c r="G129" s="72">
        <f t="shared" si="22"/>
        <v>7103</v>
      </c>
      <c r="H129" s="68">
        <f t="shared" si="23"/>
        <v>-5089</v>
      </c>
      <c r="I129" s="68">
        <f t="shared" si="24"/>
        <v>244</v>
      </c>
      <c r="J129" s="68">
        <f t="shared" si="25"/>
        <v>1193</v>
      </c>
      <c r="K129" s="68">
        <f t="shared" si="26"/>
        <v>89</v>
      </c>
      <c r="L129" s="68">
        <f t="shared" si="27"/>
        <v>-103</v>
      </c>
      <c r="M129" s="68">
        <f t="shared" si="28"/>
        <v>518</v>
      </c>
      <c r="N129" s="68">
        <f t="shared" si="29"/>
        <v>-67</v>
      </c>
      <c r="O129" s="68">
        <f t="shared" si="30"/>
        <v>-76</v>
      </c>
      <c r="P129" s="68">
        <f t="shared" si="31"/>
        <v>-1310</v>
      </c>
      <c r="Q129" s="68" t="str">
        <f t="shared" si="32"/>
        <v/>
      </c>
      <c r="R129" s="69">
        <f t="shared" si="33"/>
        <v>-2259</v>
      </c>
      <c r="U129" s="5">
        <v>45173</v>
      </c>
      <c r="V129">
        <v>7103</v>
      </c>
      <c r="W129">
        <v>-5089</v>
      </c>
      <c r="X129">
        <v>244</v>
      </c>
      <c r="Y129">
        <v>1193</v>
      </c>
      <c r="Z129">
        <v>89</v>
      </c>
      <c r="AA129">
        <v>-103</v>
      </c>
      <c r="AB129">
        <v>518</v>
      </c>
      <c r="AC129">
        <v>-67</v>
      </c>
      <c r="AD129">
        <v>-76</v>
      </c>
      <c r="AE129">
        <v>-1310</v>
      </c>
      <c r="AF129">
        <v>0</v>
      </c>
      <c r="AG129">
        <v>-2259</v>
      </c>
    </row>
    <row r="130" spans="6:33">
      <c r="F130" s="74">
        <f t="shared" si="21"/>
        <v>45170</v>
      </c>
      <c r="G130" s="72">
        <f t="shared" si="22"/>
        <v>-169</v>
      </c>
      <c r="H130" s="68">
        <f t="shared" si="23"/>
        <v>3464</v>
      </c>
      <c r="I130" s="68">
        <f t="shared" si="24"/>
        <v>-3295</v>
      </c>
      <c r="J130" s="68">
        <f t="shared" si="25"/>
        <v>-2555</v>
      </c>
      <c r="K130" s="68">
        <f t="shared" si="26"/>
        <v>-212</v>
      </c>
      <c r="L130" s="68">
        <f t="shared" si="27"/>
        <v>-917</v>
      </c>
      <c r="M130" s="68">
        <f t="shared" si="28"/>
        <v>1254</v>
      </c>
      <c r="N130" s="68">
        <f t="shared" si="29"/>
        <v>3</v>
      </c>
      <c r="O130" s="68">
        <f t="shared" si="30"/>
        <v>-41</v>
      </c>
      <c r="P130" s="68">
        <f t="shared" si="31"/>
        <v>-827</v>
      </c>
      <c r="Q130" s="68" t="str">
        <f t="shared" si="32"/>
        <v/>
      </c>
      <c r="R130" s="69">
        <f t="shared" si="33"/>
        <v>-2</v>
      </c>
      <c r="U130" s="5">
        <v>45170</v>
      </c>
      <c r="V130">
        <v>-169</v>
      </c>
      <c r="W130">
        <v>3464</v>
      </c>
      <c r="X130">
        <v>-3295</v>
      </c>
      <c r="Y130">
        <v>-2555</v>
      </c>
      <c r="Z130">
        <v>-212</v>
      </c>
      <c r="AA130">
        <v>-917</v>
      </c>
      <c r="AB130">
        <v>1254</v>
      </c>
      <c r="AC130">
        <v>3</v>
      </c>
      <c r="AD130">
        <v>-41</v>
      </c>
      <c r="AE130">
        <v>-827</v>
      </c>
      <c r="AF130">
        <v>0</v>
      </c>
      <c r="AG130">
        <v>-2</v>
      </c>
    </row>
    <row r="131" spans="6:33">
      <c r="F131" s="74">
        <f t="shared" si="21"/>
        <v>45169</v>
      </c>
      <c r="G131" s="72">
        <f t="shared" si="22"/>
        <v>-70</v>
      </c>
      <c r="H131" s="68">
        <f t="shared" si="23"/>
        <v>-4411</v>
      </c>
      <c r="I131" s="68">
        <f t="shared" si="24"/>
        <v>4477</v>
      </c>
      <c r="J131" s="68">
        <f t="shared" si="25"/>
        <v>5497</v>
      </c>
      <c r="K131" s="68">
        <f t="shared" si="26"/>
        <v>-222</v>
      </c>
      <c r="L131" s="68">
        <f t="shared" si="27"/>
        <v>-570</v>
      </c>
      <c r="M131" s="68">
        <f t="shared" si="28"/>
        <v>-343</v>
      </c>
      <c r="N131" s="68">
        <f t="shared" si="29"/>
        <v>-177</v>
      </c>
      <c r="O131" s="68">
        <f t="shared" si="30"/>
        <v>36</v>
      </c>
      <c r="P131" s="68">
        <f t="shared" si="31"/>
        <v>256</v>
      </c>
      <c r="Q131" s="68" t="str">
        <f t="shared" si="32"/>
        <v/>
      </c>
      <c r="R131" s="69">
        <f t="shared" si="33"/>
        <v>5</v>
      </c>
      <c r="U131" s="5">
        <v>45169</v>
      </c>
      <c r="V131">
        <v>-70</v>
      </c>
      <c r="W131">
        <v>-4411</v>
      </c>
      <c r="X131">
        <v>4477</v>
      </c>
      <c r="Y131">
        <v>5497</v>
      </c>
      <c r="Z131">
        <v>-222</v>
      </c>
      <c r="AA131">
        <v>-570</v>
      </c>
      <c r="AB131">
        <v>-343</v>
      </c>
      <c r="AC131">
        <v>-177</v>
      </c>
      <c r="AD131">
        <v>36</v>
      </c>
      <c r="AE131">
        <v>256</v>
      </c>
      <c r="AF131">
        <v>0</v>
      </c>
      <c r="AG131">
        <v>5</v>
      </c>
    </row>
    <row r="132" spans="6:33">
      <c r="F132" s="74">
        <f t="shared" si="21"/>
        <v>45168</v>
      </c>
      <c r="G132" s="72">
        <f t="shared" si="22"/>
        <v>2305</v>
      </c>
      <c r="H132" s="68">
        <f t="shared" si="23"/>
        <v>-5822</v>
      </c>
      <c r="I132" s="68">
        <f t="shared" si="24"/>
        <v>3559</v>
      </c>
      <c r="J132" s="68">
        <f t="shared" si="25"/>
        <v>3704</v>
      </c>
      <c r="K132" s="68">
        <f t="shared" si="26"/>
        <v>-544</v>
      </c>
      <c r="L132" s="68">
        <f t="shared" si="27"/>
        <v>-358</v>
      </c>
      <c r="M132" s="68">
        <f t="shared" si="28"/>
        <v>259</v>
      </c>
      <c r="N132" s="68">
        <f t="shared" si="29"/>
        <v>37</v>
      </c>
      <c r="O132" s="68">
        <f t="shared" si="30"/>
        <v>48</v>
      </c>
      <c r="P132" s="68">
        <f t="shared" si="31"/>
        <v>413</v>
      </c>
      <c r="Q132" s="68" t="str">
        <f t="shared" si="32"/>
        <v/>
      </c>
      <c r="R132" s="69">
        <f t="shared" si="33"/>
        <v>-42</v>
      </c>
      <c r="U132" s="5">
        <v>45168</v>
      </c>
      <c r="V132">
        <v>2305</v>
      </c>
      <c r="W132">
        <v>-5822</v>
      </c>
      <c r="X132">
        <v>3559</v>
      </c>
      <c r="Y132">
        <v>3704</v>
      </c>
      <c r="Z132">
        <v>-544</v>
      </c>
      <c r="AA132">
        <v>-358</v>
      </c>
      <c r="AB132">
        <v>259</v>
      </c>
      <c r="AC132">
        <v>37</v>
      </c>
      <c r="AD132">
        <v>48</v>
      </c>
      <c r="AE132">
        <v>413</v>
      </c>
      <c r="AF132">
        <v>0</v>
      </c>
      <c r="AG132">
        <v>-42</v>
      </c>
    </row>
    <row r="133" spans="6:33">
      <c r="F133" s="74">
        <f t="shared" si="21"/>
        <v>45167</v>
      </c>
      <c r="G133" s="72">
        <f t="shared" si="22"/>
        <v>6228</v>
      </c>
      <c r="H133" s="68">
        <f t="shared" si="23"/>
        <v>-8087</v>
      </c>
      <c r="I133" s="68">
        <f t="shared" si="24"/>
        <v>2882</v>
      </c>
      <c r="J133" s="68">
        <f t="shared" si="25"/>
        <v>1111</v>
      </c>
      <c r="K133" s="68">
        <f t="shared" si="26"/>
        <v>79</v>
      </c>
      <c r="L133" s="68">
        <f t="shared" si="27"/>
        <v>511</v>
      </c>
      <c r="M133" s="68">
        <f t="shared" si="28"/>
        <v>404</v>
      </c>
      <c r="N133" s="68">
        <f t="shared" si="29"/>
        <v>-47</v>
      </c>
      <c r="O133" s="68">
        <f t="shared" si="30"/>
        <v>75</v>
      </c>
      <c r="P133" s="68">
        <f t="shared" si="31"/>
        <v>749</v>
      </c>
      <c r="Q133" s="68" t="str">
        <f t="shared" si="32"/>
        <v/>
      </c>
      <c r="R133" s="69">
        <f t="shared" si="33"/>
        <v>-1024</v>
      </c>
      <c r="U133" s="5">
        <v>45167</v>
      </c>
      <c r="V133">
        <v>6228</v>
      </c>
      <c r="W133">
        <v>-8087</v>
      </c>
      <c r="X133">
        <v>2882</v>
      </c>
      <c r="Y133">
        <v>1111</v>
      </c>
      <c r="Z133">
        <v>79</v>
      </c>
      <c r="AA133">
        <v>511</v>
      </c>
      <c r="AB133">
        <v>404</v>
      </c>
      <c r="AC133">
        <v>-47</v>
      </c>
      <c r="AD133">
        <v>75</v>
      </c>
      <c r="AE133">
        <v>749</v>
      </c>
      <c r="AF133">
        <v>0</v>
      </c>
      <c r="AG133">
        <v>-1024</v>
      </c>
    </row>
    <row r="134" spans="6:33">
      <c r="F134" s="74">
        <f t="shared" si="21"/>
        <v>45166</v>
      </c>
      <c r="G134" s="72">
        <f t="shared" si="22"/>
        <v>15806</v>
      </c>
      <c r="H134" s="68">
        <f t="shared" si="23"/>
        <v>-21986</v>
      </c>
      <c r="I134" s="68">
        <f t="shared" si="24"/>
        <v>7961</v>
      </c>
      <c r="J134" s="68">
        <f t="shared" si="25"/>
        <v>3560</v>
      </c>
      <c r="K134" s="68">
        <f t="shared" si="26"/>
        <v>254</v>
      </c>
      <c r="L134" s="68">
        <f t="shared" si="27"/>
        <v>1754</v>
      </c>
      <c r="M134" s="68">
        <f t="shared" si="28"/>
        <v>1208</v>
      </c>
      <c r="N134" s="68">
        <f t="shared" si="29"/>
        <v>9</v>
      </c>
      <c r="O134" s="68">
        <f t="shared" si="30"/>
        <v>182</v>
      </c>
      <c r="P134" s="68">
        <f t="shared" si="31"/>
        <v>994</v>
      </c>
      <c r="Q134" s="68" t="str">
        <f t="shared" si="32"/>
        <v/>
      </c>
      <c r="R134" s="69">
        <f t="shared" si="33"/>
        <v>-1780</v>
      </c>
      <c r="U134" s="5">
        <v>45166</v>
      </c>
      <c r="V134">
        <v>15806</v>
      </c>
      <c r="W134">
        <v>-21986</v>
      </c>
      <c r="X134">
        <v>7961</v>
      </c>
      <c r="Y134">
        <v>3560</v>
      </c>
      <c r="Z134">
        <v>254</v>
      </c>
      <c r="AA134">
        <v>1754</v>
      </c>
      <c r="AB134">
        <v>1208</v>
      </c>
      <c r="AC134">
        <v>9</v>
      </c>
      <c r="AD134">
        <v>182</v>
      </c>
      <c r="AE134">
        <v>994</v>
      </c>
      <c r="AF134">
        <v>0</v>
      </c>
      <c r="AG134">
        <v>-1780</v>
      </c>
    </row>
    <row r="135" spans="6:33">
      <c r="F135" s="74">
        <f t="shared" si="21"/>
        <v>45163</v>
      </c>
      <c r="G135" s="72">
        <f t="shared" si="22"/>
        <v>213</v>
      </c>
      <c r="H135" s="68">
        <f t="shared" si="23"/>
        <v>3825</v>
      </c>
      <c r="I135" s="68">
        <f t="shared" si="24"/>
        <v>-3229</v>
      </c>
      <c r="J135" s="68">
        <f t="shared" si="25"/>
        <v>-2541</v>
      </c>
      <c r="K135" s="68">
        <f t="shared" si="26"/>
        <v>-171</v>
      </c>
      <c r="L135" s="68">
        <f t="shared" si="27"/>
        <v>-814</v>
      </c>
      <c r="M135" s="68">
        <f t="shared" si="28"/>
        <v>448</v>
      </c>
      <c r="N135" s="68">
        <f t="shared" si="29"/>
        <v>-32</v>
      </c>
      <c r="O135" s="68">
        <f t="shared" si="30"/>
        <v>89</v>
      </c>
      <c r="P135" s="68">
        <f t="shared" si="31"/>
        <v>-208</v>
      </c>
      <c r="Q135" s="68" t="str">
        <f t="shared" si="32"/>
        <v/>
      </c>
      <c r="R135" s="69">
        <f t="shared" si="33"/>
        <v>-808</v>
      </c>
      <c r="U135" s="5">
        <v>45163</v>
      </c>
      <c r="V135">
        <v>213</v>
      </c>
      <c r="W135">
        <v>3825</v>
      </c>
      <c r="X135">
        <v>-3229</v>
      </c>
      <c r="Y135">
        <v>-2541</v>
      </c>
      <c r="Z135">
        <v>-171</v>
      </c>
      <c r="AA135">
        <v>-814</v>
      </c>
      <c r="AB135">
        <v>448</v>
      </c>
      <c r="AC135">
        <v>-32</v>
      </c>
      <c r="AD135">
        <v>89</v>
      </c>
      <c r="AE135">
        <v>-208</v>
      </c>
      <c r="AF135">
        <v>0</v>
      </c>
      <c r="AG135">
        <v>-808</v>
      </c>
    </row>
    <row r="136" spans="6:33">
      <c r="F136" s="74">
        <f t="shared" si="21"/>
        <v>45162</v>
      </c>
      <c r="G136" s="72">
        <f t="shared" si="22"/>
        <v>5559</v>
      </c>
      <c r="H136" s="68">
        <f t="shared" si="23"/>
        <v>-7689</v>
      </c>
      <c r="I136" s="68">
        <f t="shared" si="24"/>
        <v>2295</v>
      </c>
      <c r="J136" s="68">
        <f t="shared" si="25"/>
        <v>2490</v>
      </c>
      <c r="K136" s="68">
        <f t="shared" si="26"/>
        <v>83</v>
      </c>
      <c r="L136" s="68">
        <f t="shared" si="27"/>
        <v>-668</v>
      </c>
      <c r="M136" s="68">
        <f t="shared" si="28"/>
        <v>806</v>
      </c>
      <c r="N136" s="68">
        <f t="shared" si="29"/>
        <v>-55</v>
      </c>
      <c r="O136" s="68">
        <f t="shared" si="30"/>
        <v>158</v>
      </c>
      <c r="P136" s="68">
        <f t="shared" si="31"/>
        <v>-519</v>
      </c>
      <c r="Q136" s="68" t="str">
        <f t="shared" si="32"/>
        <v/>
      </c>
      <c r="R136" s="69">
        <f t="shared" si="33"/>
        <v>-166</v>
      </c>
      <c r="U136" s="5">
        <v>45162</v>
      </c>
      <c r="V136">
        <v>5559</v>
      </c>
      <c r="W136">
        <v>-7689</v>
      </c>
      <c r="X136">
        <v>2295</v>
      </c>
      <c r="Y136">
        <v>2490</v>
      </c>
      <c r="Z136">
        <v>83</v>
      </c>
      <c r="AA136">
        <v>-668</v>
      </c>
      <c r="AB136">
        <v>806</v>
      </c>
      <c r="AC136">
        <v>-55</v>
      </c>
      <c r="AD136">
        <v>158</v>
      </c>
      <c r="AE136">
        <v>-519</v>
      </c>
      <c r="AF136">
        <v>0</v>
      </c>
      <c r="AG136">
        <v>-166</v>
      </c>
    </row>
    <row r="137" spans="6:33">
      <c r="F137" s="74">
        <f t="shared" si="21"/>
        <v>45161</v>
      </c>
      <c r="G137" s="72">
        <f t="shared" si="22"/>
        <v>10823</v>
      </c>
      <c r="H137" s="68">
        <f t="shared" si="23"/>
        <v>-10290</v>
      </c>
      <c r="I137" s="68">
        <f t="shared" si="24"/>
        <v>626</v>
      </c>
      <c r="J137" s="68">
        <f t="shared" si="25"/>
        <v>2086</v>
      </c>
      <c r="K137" s="68">
        <f t="shared" si="26"/>
        <v>130</v>
      </c>
      <c r="L137" s="68">
        <f t="shared" si="27"/>
        <v>-1193</v>
      </c>
      <c r="M137" s="68">
        <f t="shared" si="28"/>
        <v>154</v>
      </c>
      <c r="N137" s="68">
        <f t="shared" si="29"/>
        <v>7</v>
      </c>
      <c r="O137" s="68">
        <f t="shared" si="30"/>
        <v>345</v>
      </c>
      <c r="P137" s="68">
        <f t="shared" si="31"/>
        <v>-903</v>
      </c>
      <c r="Q137" s="68" t="str">
        <f t="shared" si="32"/>
        <v/>
      </c>
      <c r="R137" s="69">
        <f t="shared" si="33"/>
        <v>-1158</v>
      </c>
      <c r="U137" s="5">
        <v>45161</v>
      </c>
      <c r="V137">
        <v>10823</v>
      </c>
      <c r="W137">
        <v>-10290</v>
      </c>
      <c r="X137">
        <v>626</v>
      </c>
      <c r="Y137">
        <v>2086</v>
      </c>
      <c r="Z137">
        <v>130</v>
      </c>
      <c r="AA137">
        <v>-1193</v>
      </c>
      <c r="AB137">
        <v>154</v>
      </c>
      <c r="AC137">
        <v>7</v>
      </c>
      <c r="AD137">
        <v>345</v>
      </c>
      <c r="AE137">
        <v>-903</v>
      </c>
      <c r="AF137">
        <v>0</v>
      </c>
      <c r="AG137">
        <v>-1158</v>
      </c>
    </row>
    <row r="138" spans="6:33">
      <c r="F138" s="74">
        <f t="shared" si="21"/>
        <v>45160</v>
      </c>
      <c r="G138" s="72">
        <f t="shared" si="22"/>
        <v>1789</v>
      </c>
      <c r="H138" s="68">
        <f t="shared" si="23"/>
        <v>1831</v>
      </c>
      <c r="I138" s="68">
        <f t="shared" si="24"/>
        <v>-2381</v>
      </c>
      <c r="J138" s="68">
        <f t="shared" si="25"/>
        <v>23</v>
      </c>
      <c r="K138" s="68">
        <f t="shared" si="26"/>
        <v>-231</v>
      </c>
      <c r="L138" s="68">
        <f t="shared" si="27"/>
        <v>-614</v>
      </c>
      <c r="M138" s="68">
        <f t="shared" si="28"/>
        <v>199</v>
      </c>
      <c r="N138" s="68">
        <f t="shared" si="29"/>
        <v>144</v>
      </c>
      <c r="O138" s="68">
        <f t="shared" si="30"/>
        <v>402</v>
      </c>
      <c r="P138" s="68">
        <f t="shared" si="31"/>
        <v>-2304</v>
      </c>
      <c r="Q138" s="68" t="str">
        <f t="shared" si="32"/>
        <v/>
      </c>
      <c r="R138" s="69">
        <f t="shared" si="33"/>
        <v>-1242</v>
      </c>
      <c r="U138" s="5">
        <v>45160</v>
      </c>
      <c r="V138">
        <v>1789</v>
      </c>
      <c r="W138">
        <v>1831</v>
      </c>
      <c r="X138">
        <v>-2381</v>
      </c>
      <c r="Y138">
        <v>23</v>
      </c>
      <c r="Z138">
        <v>-231</v>
      </c>
      <c r="AA138">
        <v>-614</v>
      </c>
      <c r="AB138">
        <v>199</v>
      </c>
      <c r="AC138">
        <v>144</v>
      </c>
      <c r="AD138">
        <v>402</v>
      </c>
      <c r="AE138">
        <v>-2304</v>
      </c>
      <c r="AF138">
        <v>0</v>
      </c>
      <c r="AG138">
        <v>-1242</v>
      </c>
    </row>
    <row r="139" spans="6:33">
      <c r="F139" s="74">
        <f t="shared" si="21"/>
        <v>45159</v>
      </c>
      <c r="G139" s="72">
        <f t="shared" si="22"/>
        <v>5614</v>
      </c>
      <c r="H139" s="68">
        <f t="shared" si="23"/>
        <v>-2228</v>
      </c>
      <c r="I139" s="68">
        <f t="shared" si="24"/>
        <v>-4098</v>
      </c>
      <c r="J139" s="68">
        <f t="shared" si="25"/>
        <v>1388</v>
      </c>
      <c r="K139" s="68">
        <f t="shared" si="26"/>
        <v>-13</v>
      </c>
      <c r="L139" s="68">
        <f t="shared" si="27"/>
        <v>-1084</v>
      </c>
      <c r="M139" s="68">
        <f t="shared" si="28"/>
        <v>-3028</v>
      </c>
      <c r="N139" s="68">
        <f t="shared" si="29"/>
        <v>62</v>
      </c>
      <c r="O139" s="68">
        <f t="shared" si="30"/>
        <v>212</v>
      </c>
      <c r="P139" s="68">
        <f t="shared" si="31"/>
        <v>-1635</v>
      </c>
      <c r="Q139" s="68" t="str">
        <f t="shared" si="32"/>
        <v/>
      </c>
      <c r="R139" s="69">
        <f t="shared" si="33"/>
        <v>709</v>
      </c>
      <c r="U139" s="5">
        <v>45159</v>
      </c>
      <c r="V139">
        <v>5614</v>
      </c>
      <c r="W139">
        <v>-2228</v>
      </c>
      <c r="X139">
        <v>-4098</v>
      </c>
      <c r="Y139">
        <v>1388</v>
      </c>
      <c r="Z139">
        <v>-13</v>
      </c>
      <c r="AA139">
        <v>-1084</v>
      </c>
      <c r="AB139">
        <v>-3028</v>
      </c>
      <c r="AC139">
        <v>62</v>
      </c>
      <c r="AD139">
        <v>212</v>
      </c>
      <c r="AE139">
        <v>-1635</v>
      </c>
      <c r="AF139">
        <v>0</v>
      </c>
      <c r="AG139">
        <v>709</v>
      </c>
    </row>
    <row r="140" spans="6:33">
      <c r="F140" s="74">
        <f t="shared" si="21"/>
        <v>45156</v>
      </c>
      <c r="G140" s="72">
        <f t="shared" si="22"/>
        <v>3191</v>
      </c>
      <c r="H140" s="68">
        <f t="shared" si="23"/>
        <v>2689</v>
      </c>
      <c r="I140" s="68">
        <f t="shared" si="24"/>
        <v>-6112</v>
      </c>
      <c r="J140" s="68">
        <f t="shared" si="25"/>
        <v>-3616</v>
      </c>
      <c r="K140" s="68">
        <f t="shared" si="26"/>
        <v>-62</v>
      </c>
      <c r="L140" s="68">
        <f t="shared" si="27"/>
        <v>-60</v>
      </c>
      <c r="M140" s="68">
        <f t="shared" si="28"/>
        <v>-1177</v>
      </c>
      <c r="N140" s="68">
        <f t="shared" si="29"/>
        <v>-88</v>
      </c>
      <c r="O140" s="68">
        <f t="shared" si="30"/>
        <v>348</v>
      </c>
      <c r="P140" s="68">
        <f t="shared" si="31"/>
        <v>-1457</v>
      </c>
      <c r="Q140" s="68" t="str">
        <f t="shared" si="32"/>
        <v/>
      </c>
      <c r="R140" s="69">
        <f t="shared" si="33"/>
        <v>232</v>
      </c>
      <c r="U140" s="5">
        <v>45156</v>
      </c>
      <c r="V140">
        <v>3191</v>
      </c>
      <c r="W140">
        <v>2689</v>
      </c>
      <c r="X140">
        <v>-6112</v>
      </c>
      <c r="Y140">
        <v>-3616</v>
      </c>
      <c r="Z140">
        <v>-62</v>
      </c>
      <c r="AA140">
        <v>-60</v>
      </c>
      <c r="AB140">
        <v>-1177</v>
      </c>
      <c r="AC140">
        <v>-88</v>
      </c>
      <c r="AD140">
        <v>348</v>
      </c>
      <c r="AE140">
        <v>-1457</v>
      </c>
      <c r="AF140">
        <v>0</v>
      </c>
      <c r="AG140">
        <v>232</v>
      </c>
    </row>
    <row r="141" spans="6:33">
      <c r="F141" s="74">
        <f t="shared" si="21"/>
        <v>45155</v>
      </c>
      <c r="G141" s="72">
        <f t="shared" si="22"/>
        <v>-6327</v>
      </c>
      <c r="H141" s="68">
        <f t="shared" si="23"/>
        <v>9522</v>
      </c>
      <c r="I141" s="68">
        <f t="shared" si="24"/>
        <v>-4154</v>
      </c>
      <c r="J141" s="68">
        <f t="shared" si="25"/>
        <v>-3060</v>
      </c>
      <c r="K141" s="68">
        <f t="shared" si="26"/>
        <v>97</v>
      </c>
      <c r="L141" s="68">
        <f t="shared" si="27"/>
        <v>109</v>
      </c>
      <c r="M141" s="68">
        <f t="shared" si="28"/>
        <v>-460</v>
      </c>
      <c r="N141" s="68">
        <f t="shared" si="29"/>
        <v>8</v>
      </c>
      <c r="O141" s="68">
        <f t="shared" si="30"/>
        <v>233</v>
      </c>
      <c r="P141" s="68">
        <f t="shared" si="31"/>
        <v>-1081</v>
      </c>
      <c r="Q141" s="68" t="str">
        <f t="shared" si="32"/>
        <v/>
      </c>
      <c r="R141" s="69">
        <f t="shared" si="33"/>
        <v>960</v>
      </c>
      <c r="U141" s="5">
        <v>45155</v>
      </c>
      <c r="V141">
        <v>-6327</v>
      </c>
      <c r="W141">
        <v>9522</v>
      </c>
      <c r="X141">
        <v>-4154</v>
      </c>
      <c r="Y141">
        <v>-3060</v>
      </c>
      <c r="Z141">
        <v>97</v>
      </c>
      <c r="AA141">
        <v>109</v>
      </c>
      <c r="AB141">
        <v>-460</v>
      </c>
      <c r="AC141">
        <v>8</v>
      </c>
      <c r="AD141">
        <v>233</v>
      </c>
      <c r="AE141">
        <v>-1081</v>
      </c>
      <c r="AF141">
        <v>0</v>
      </c>
      <c r="AG141">
        <v>960</v>
      </c>
    </row>
    <row r="142" spans="6:33">
      <c r="F142" s="74">
        <f t="shared" si="21"/>
        <v>45154</v>
      </c>
      <c r="G142" s="72">
        <f t="shared" si="22"/>
        <v>1646</v>
      </c>
      <c r="H142" s="68">
        <f t="shared" si="23"/>
        <v>4562</v>
      </c>
      <c r="I142" s="68">
        <f t="shared" si="24"/>
        <v>-9754</v>
      </c>
      <c r="J142" s="68">
        <f t="shared" si="25"/>
        <v>-4013</v>
      </c>
      <c r="K142" s="68">
        <f t="shared" si="26"/>
        <v>-557</v>
      </c>
      <c r="L142" s="68">
        <f t="shared" si="27"/>
        <v>-1866</v>
      </c>
      <c r="M142" s="68">
        <f t="shared" si="28"/>
        <v>-2452</v>
      </c>
      <c r="N142" s="68">
        <f t="shared" si="29"/>
        <v>-122</v>
      </c>
      <c r="O142" s="68">
        <f t="shared" si="30"/>
        <v>37</v>
      </c>
      <c r="P142" s="68">
        <f t="shared" si="31"/>
        <v>-781</v>
      </c>
      <c r="Q142" s="68" t="str">
        <f t="shared" si="32"/>
        <v/>
      </c>
      <c r="R142" s="69">
        <f t="shared" si="33"/>
        <v>3543</v>
      </c>
      <c r="U142" s="5">
        <v>45154</v>
      </c>
      <c r="V142">
        <v>1646</v>
      </c>
      <c r="W142">
        <v>4562</v>
      </c>
      <c r="X142">
        <v>-9754</v>
      </c>
      <c r="Y142">
        <v>-4013</v>
      </c>
      <c r="Z142">
        <v>-557</v>
      </c>
      <c r="AA142">
        <v>-1866</v>
      </c>
      <c r="AB142">
        <v>-2452</v>
      </c>
      <c r="AC142">
        <v>-122</v>
      </c>
      <c r="AD142">
        <v>37</v>
      </c>
      <c r="AE142">
        <v>-781</v>
      </c>
      <c r="AF142">
        <v>0</v>
      </c>
      <c r="AG142">
        <v>3543</v>
      </c>
    </row>
    <row r="143" spans="6:33">
      <c r="F143" s="74">
        <f t="shared" si="21"/>
        <v>45152</v>
      </c>
      <c r="G143" s="72">
        <f t="shared" si="22"/>
        <v>-13900</v>
      </c>
      <c r="H143" s="68">
        <f t="shared" si="23"/>
        <v>21058</v>
      </c>
      <c r="I143" s="68">
        <f t="shared" si="24"/>
        <v>-8457</v>
      </c>
      <c r="J143" s="68">
        <f t="shared" si="25"/>
        <v>-4195</v>
      </c>
      <c r="K143" s="68">
        <f t="shared" si="26"/>
        <v>-486</v>
      </c>
      <c r="L143" s="68">
        <f t="shared" si="27"/>
        <v>-1030</v>
      </c>
      <c r="M143" s="68">
        <f t="shared" si="28"/>
        <v>-1311</v>
      </c>
      <c r="N143" s="68">
        <f t="shared" si="29"/>
        <v>-21</v>
      </c>
      <c r="O143" s="68">
        <f t="shared" si="30"/>
        <v>27</v>
      </c>
      <c r="P143" s="68">
        <f t="shared" si="31"/>
        <v>-1441</v>
      </c>
      <c r="Q143" s="68" t="str">
        <f t="shared" si="32"/>
        <v/>
      </c>
      <c r="R143" s="69">
        <f t="shared" si="33"/>
        <v>1299</v>
      </c>
      <c r="U143" s="5">
        <v>45152</v>
      </c>
      <c r="V143">
        <v>-13900</v>
      </c>
      <c r="W143">
        <v>21058</v>
      </c>
      <c r="X143">
        <v>-8457</v>
      </c>
      <c r="Y143">
        <v>-4195</v>
      </c>
      <c r="Z143">
        <v>-486</v>
      </c>
      <c r="AA143">
        <v>-1030</v>
      </c>
      <c r="AB143">
        <v>-1311</v>
      </c>
      <c r="AC143">
        <v>-21</v>
      </c>
      <c r="AD143">
        <v>27</v>
      </c>
      <c r="AE143">
        <v>-1441</v>
      </c>
      <c r="AF143">
        <v>0</v>
      </c>
      <c r="AG143">
        <v>1299</v>
      </c>
    </row>
    <row r="144" spans="6:33">
      <c r="F144" s="74">
        <f t="shared" si="21"/>
        <v>45149</v>
      </c>
      <c r="G144" s="72">
        <f t="shared" si="22"/>
        <v>7349</v>
      </c>
      <c r="H144" s="68">
        <f t="shared" si="23"/>
        <v>-5520</v>
      </c>
      <c r="I144" s="68">
        <f t="shared" si="24"/>
        <v>-1539</v>
      </c>
      <c r="J144" s="68">
        <f t="shared" si="25"/>
        <v>-353</v>
      </c>
      <c r="K144" s="68">
        <f t="shared" si="26"/>
        <v>210</v>
      </c>
      <c r="L144" s="68">
        <f t="shared" si="27"/>
        <v>1309</v>
      </c>
      <c r="M144" s="68">
        <f t="shared" si="28"/>
        <v>-432</v>
      </c>
      <c r="N144" s="68">
        <f t="shared" si="29"/>
        <v>-125</v>
      </c>
      <c r="O144" s="68">
        <f t="shared" si="30"/>
        <v>83</v>
      </c>
      <c r="P144" s="68">
        <f t="shared" si="31"/>
        <v>-2231</v>
      </c>
      <c r="Q144" s="68" t="str">
        <f t="shared" si="32"/>
        <v/>
      </c>
      <c r="R144" s="69">
        <f t="shared" si="33"/>
        <v>-291</v>
      </c>
      <c r="U144" s="5">
        <v>45149</v>
      </c>
      <c r="V144">
        <v>7349</v>
      </c>
      <c r="W144">
        <v>-5520</v>
      </c>
      <c r="X144">
        <v>-1539</v>
      </c>
      <c r="Y144">
        <v>-353</v>
      </c>
      <c r="Z144">
        <v>210</v>
      </c>
      <c r="AA144">
        <v>1309</v>
      </c>
      <c r="AB144">
        <v>-432</v>
      </c>
      <c r="AC144">
        <v>-125</v>
      </c>
      <c r="AD144">
        <v>83</v>
      </c>
      <c r="AE144">
        <v>-2231</v>
      </c>
      <c r="AF144">
        <v>0</v>
      </c>
      <c r="AG144">
        <v>-291</v>
      </c>
    </row>
    <row r="145" spans="6:33">
      <c r="F145" s="74">
        <f t="shared" si="21"/>
        <v>45148</v>
      </c>
      <c r="G145" s="72">
        <f t="shared" si="22"/>
        <v>4874</v>
      </c>
      <c r="H145" s="68">
        <f t="shared" si="23"/>
        <v>-130</v>
      </c>
      <c r="I145" s="68">
        <f t="shared" si="24"/>
        <v>-4972</v>
      </c>
      <c r="J145" s="68">
        <f t="shared" si="25"/>
        <v>290</v>
      </c>
      <c r="K145" s="68">
        <f t="shared" si="26"/>
        <v>469</v>
      </c>
      <c r="L145" s="68">
        <f t="shared" si="27"/>
        <v>-2445</v>
      </c>
      <c r="M145" s="68">
        <f t="shared" si="28"/>
        <v>-468</v>
      </c>
      <c r="N145" s="68">
        <f t="shared" si="29"/>
        <v>-52</v>
      </c>
      <c r="O145" s="68">
        <f t="shared" si="30"/>
        <v>124</v>
      </c>
      <c r="P145" s="68">
        <f t="shared" si="31"/>
        <v>-2890</v>
      </c>
      <c r="Q145" s="68" t="str">
        <f t="shared" si="32"/>
        <v/>
      </c>
      <c r="R145" s="69">
        <f t="shared" si="33"/>
        <v>229</v>
      </c>
      <c r="U145" s="5">
        <v>45148</v>
      </c>
      <c r="V145">
        <v>4874</v>
      </c>
      <c r="W145">
        <v>-130</v>
      </c>
      <c r="X145">
        <v>-4972</v>
      </c>
      <c r="Y145">
        <v>290</v>
      </c>
      <c r="Z145">
        <v>469</v>
      </c>
      <c r="AA145">
        <v>-2445</v>
      </c>
      <c r="AB145">
        <v>-468</v>
      </c>
      <c r="AC145">
        <v>-52</v>
      </c>
      <c r="AD145">
        <v>124</v>
      </c>
      <c r="AE145">
        <v>-2890</v>
      </c>
      <c r="AF145">
        <v>0</v>
      </c>
      <c r="AG145">
        <v>229</v>
      </c>
    </row>
    <row r="146" spans="6:33">
      <c r="F146" s="74">
        <f t="shared" si="21"/>
        <v>45147</v>
      </c>
      <c r="G146" s="72">
        <f t="shared" si="22"/>
        <v>10916</v>
      </c>
      <c r="H146" s="68">
        <f t="shared" si="23"/>
        <v>-3220</v>
      </c>
      <c r="I146" s="68">
        <f t="shared" si="24"/>
        <v>-8750</v>
      </c>
      <c r="J146" s="68">
        <f t="shared" si="25"/>
        <v>-1932</v>
      </c>
      <c r="K146" s="68">
        <f t="shared" si="26"/>
        <v>34</v>
      </c>
      <c r="L146" s="68">
        <f t="shared" si="27"/>
        <v>-4479</v>
      </c>
      <c r="M146" s="68">
        <f t="shared" si="28"/>
        <v>-1256</v>
      </c>
      <c r="N146" s="68">
        <f t="shared" si="29"/>
        <v>-200</v>
      </c>
      <c r="O146" s="68">
        <f t="shared" si="30"/>
        <v>221</v>
      </c>
      <c r="P146" s="68">
        <f t="shared" si="31"/>
        <v>-1138</v>
      </c>
      <c r="Q146" s="68" t="str">
        <f t="shared" si="32"/>
        <v/>
      </c>
      <c r="R146" s="69">
        <f t="shared" si="33"/>
        <v>1055</v>
      </c>
      <c r="U146" s="5">
        <v>45147</v>
      </c>
      <c r="V146">
        <v>10916</v>
      </c>
      <c r="W146">
        <v>-3220</v>
      </c>
      <c r="X146">
        <v>-8750</v>
      </c>
      <c r="Y146">
        <v>-1932</v>
      </c>
      <c r="Z146">
        <v>34</v>
      </c>
      <c r="AA146">
        <v>-4479</v>
      </c>
      <c r="AB146">
        <v>-1256</v>
      </c>
      <c r="AC146">
        <v>-200</v>
      </c>
      <c r="AD146">
        <v>221</v>
      </c>
      <c r="AE146">
        <v>-1138</v>
      </c>
      <c r="AF146">
        <v>0</v>
      </c>
      <c r="AG146">
        <v>1055</v>
      </c>
    </row>
    <row r="147" spans="6:33">
      <c r="F147" s="74">
        <f t="shared" ref="F147:F210" si="34">IF(U147=0,"",U147)</f>
        <v>45146</v>
      </c>
      <c r="G147" s="72">
        <f t="shared" ref="G147:G210" si="35">IF(IF($B$17=3,V147/1000,V147)=0,"",IF($B$17=3,V147/1000,V147))</f>
        <v>-2400</v>
      </c>
      <c r="H147" s="68">
        <f t="shared" ref="H147:H210" si="36">IF(IF($B$17=3,W147/1000,W147)=0,"",IF($B$17=3,W147/1000,W147))</f>
        <v>12544</v>
      </c>
      <c r="I147" s="68">
        <f t="shared" ref="I147:I210" si="37">IF(IF($B$17=3,X147/1000,X147)=0,"",IF($B$17=3,X147/1000,X147))</f>
        <v>-10378</v>
      </c>
      <c r="J147" s="68">
        <f t="shared" ref="J147:J210" si="38">IF(IF($B$17=3,Y147/1000,Y147)=0,"",IF($B$17=3,Y147/1000,Y147))</f>
        <v>-4922</v>
      </c>
      <c r="K147" s="68">
        <f t="shared" ref="K147:K210" si="39">IF(IF($B$17=3,Z147/1000,Z147)=0,"",IF($B$17=3,Z147/1000,Z147))</f>
        <v>-52</v>
      </c>
      <c r="L147" s="68">
        <f t="shared" ref="L147:L210" si="40">IF(IF($B$17=3,AA147/1000,AA147)=0,"",IF($B$17=3,AA147/1000,AA147))</f>
        <v>-1120</v>
      </c>
      <c r="M147" s="68">
        <f t="shared" ref="M147:M210" si="41">IF(IF($B$17=3,AB147/1000,AB147)=0,"",IF($B$17=3,AB147/1000,AB147))</f>
        <v>-1419</v>
      </c>
      <c r="N147" s="68">
        <f t="shared" ref="N147:N210" si="42">IF(IF($B$17=3,AC147/1000,AC147)=0,"",IF($B$17=3,AC147/1000,AC147))</f>
        <v>-165</v>
      </c>
      <c r="O147" s="68">
        <f t="shared" ref="O147:O210" si="43">IF(IF($B$17=3,AD147/1000,AD147)=0,"",IF($B$17=3,AD147/1000,AD147))</f>
        <v>69</v>
      </c>
      <c r="P147" s="68">
        <f t="shared" ref="P147:P210" si="44">IF(IF($B$17=3,AE147/1000,AE147)=0,"",IF($B$17=3,AE147/1000,AE147))</f>
        <v>-2769</v>
      </c>
      <c r="Q147" s="68" t="str">
        <f t="shared" ref="Q147:Q210" si="45">IF(IF($B$17=3,AF147/1000,AF147)=0,"",IF($B$17=3,AF147/1000,AF147))</f>
        <v/>
      </c>
      <c r="R147" s="69">
        <f t="shared" ref="R147:R210" si="46">IF(IF($B$17=3,AG147/1000,AG147)=0,"",IF($B$17=3,AG147/1000,AG147))</f>
        <v>230</v>
      </c>
      <c r="U147" s="5">
        <v>45146</v>
      </c>
      <c r="V147">
        <v>-2400</v>
      </c>
      <c r="W147">
        <v>12544</v>
      </c>
      <c r="X147">
        <v>-10378</v>
      </c>
      <c r="Y147">
        <v>-4922</v>
      </c>
      <c r="Z147">
        <v>-52</v>
      </c>
      <c r="AA147">
        <v>-1120</v>
      </c>
      <c r="AB147">
        <v>-1419</v>
      </c>
      <c r="AC147">
        <v>-165</v>
      </c>
      <c r="AD147">
        <v>69</v>
      </c>
      <c r="AE147">
        <v>-2769</v>
      </c>
      <c r="AF147">
        <v>0</v>
      </c>
      <c r="AG147">
        <v>230</v>
      </c>
    </row>
    <row r="148" spans="6:33">
      <c r="F148" s="74">
        <f t="shared" si="34"/>
        <v>45145</v>
      </c>
      <c r="G148" s="72">
        <f t="shared" si="35"/>
        <v>7763</v>
      </c>
      <c r="H148" s="68">
        <f t="shared" si="36"/>
        <v>-1560</v>
      </c>
      <c r="I148" s="68">
        <f t="shared" si="37"/>
        <v>-4757</v>
      </c>
      <c r="J148" s="68">
        <f t="shared" si="38"/>
        <v>-2359</v>
      </c>
      <c r="K148" s="68">
        <f t="shared" si="39"/>
        <v>-232</v>
      </c>
      <c r="L148" s="68">
        <f t="shared" si="40"/>
        <v>-961</v>
      </c>
      <c r="M148" s="68">
        <f t="shared" si="41"/>
        <v>-227</v>
      </c>
      <c r="N148" s="68">
        <f t="shared" si="42"/>
        <v>-143</v>
      </c>
      <c r="O148" s="68">
        <f t="shared" si="43"/>
        <v>-7</v>
      </c>
      <c r="P148" s="68">
        <f t="shared" si="44"/>
        <v>-828</v>
      </c>
      <c r="Q148" s="68" t="str">
        <f t="shared" si="45"/>
        <v/>
      </c>
      <c r="R148" s="69">
        <f t="shared" si="46"/>
        <v>-1448</v>
      </c>
      <c r="U148" s="5">
        <v>45145</v>
      </c>
      <c r="V148">
        <v>7763</v>
      </c>
      <c r="W148">
        <v>-1560</v>
      </c>
      <c r="X148">
        <v>-4757</v>
      </c>
      <c r="Y148">
        <v>-2359</v>
      </c>
      <c r="Z148">
        <v>-232</v>
      </c>
      <c r="AA148">
        <v>-961</v>
      </c>
      <c r="AB148">
        <v>-227</v>
      </c>
      <c r="AC148">
        <v>-143</v>
      </c>
      <c r="AD148">
        <v>-7</v>
      </c>
      <c r="AE148">
        <v>-828</v>
      </c>
      <c r="AF148">
        <v>0</v>
      </c>
      <c r="AG148">
        <v>-1448</v>
      </c>
    </row>
    <row r="149" spans="6:33">
      <c r="F149" s="74">
        <f t="shared" si="34"/>
        <v>45142</v>
      </c>
      <c r="G149" s="72">
        <f t="shared" si="35"/>
        <v>3515</v>
      </c>
      <c r="H149" s="68">
        <f t="shared" si="36"/>
        <v>3539</v>
      </c>
      <c r="I149" s="68">
        <f t="shared" si="37"/>
        <v>-5594</v>
      </c>
      <c r="J149" s="68">
        <f t="shared" si="38"/>
        <v>-1701</v>
      </c>
      <c r="K149" s="68">
        <f t="shared" si="39"/>
        <v>-736</v>
      </c>
      <c r="L149" s="68">
        <f t="shared" si="40"/>
        <v>32</v>
      </c>
      <c r="M149" s="68">
        <f t="shared" si="41"/>
        <v>-572</v>
      </c>
      <c r="N149" s="68">
        <f t="shared" si="42"/>
        <v>-256</v>
      </c>
      <c r="O149" s="68">
        <f t="shared" si="43"/>
        <v>-41</v>
      </c>
      <c r="P149" s="68">
        <f t="shared" si="44"/>
        <v>-2320</v>
      </c>
      <c r="Q149" s="68" t="str">
        <f t="shared" si="45"/>
        <v/>
      </c>
      <c r="R149" s="69">
        <f t="shared" si="46"/>
        <v>-1458</v>
      </c>
      <c r="U149" s="5">
        <v>45142</v>
      </c>
      <c r="V149">
        <v>3515</v>
      </c>
      <c r="W149">
        <v>3539</v>
      </c>
      <c r="X149">
        <v>-5594</v>
      </c>
      <c r="Y149">
        <v>-1701</v>
      </c>
      <c r="Z149">
        <v>-736</v>
      </c>
      <c r="AA149">
        <v>32</v>
      </c>
      <c r="AB149">
        <v>-572</v>
      </c>
      <c r="AC149">
        <v>-256</v>
      </c>
      <c r="AD149">
        <v>-41</v>
      </c>
      <c r="AE149">
        <v>-2320</v>
      </c>
      <c r="AF149">
        <v>0</v>
      </c>
      <c r="AG149">
        <v>-1458</v>
      </c>
    </row>
    <row r="150" spans="6:33">
      <c r="F150" s="74">
        <f t="shared" si="34"/>
        <v>45141</v>
      </c>
      <c r="G150" s="72">
        <f t="shared" si="35"/>
        <v>-10754</v>
      </c>
      <c r="H150" s="68">
        <f t="shared" si="36"/>
        <v>23406</v>
      </c>
      <c r="I150" s="68">
        <f t="shared" si="37"/>
        <v>-10971</v>
      </c>
      <c r="J150" s="68">
        <f t="shared" si="38"/>
        <v>-6293</v>
      </c>
      <c r="K150" s="68">
        <f t="shared" si="39"/>
        <v>-98</v>
      </c>
      <c r="L150" s="68">
        <f t="shared" si="40"/>
        <v>-655</v>
      </c>
      <c r="M150" s="68">
        <f t="shared" si="41"/>
        <v>-1063</v>
      </c>
      <c r="N150" s="68">
        <f t="shared" si="42"/>
        <v>-16</v>
      </c>
      <c r="O150" s="68">
        <f t="shared" si="43"/>
        <v>4</v>
      </c>
      <c r="P150" s="68">
        <f t="shared" si="44"/>
        <v>-2850</v>
      </c>
      <c r="Q150" s="68" t="str">
        <f t="shared" si="45"/>
        <v/>
      </c>
      <c r="R150" s="69">
        <f t="shared" si="46"/>
        <v>-1680</v>
      </c>
      <c r="U150" s="5">
        <v>45141</v>
      </c>
      <c r="V150">
        <v>-10754</v>
      </c>
      <c r="W150">
        <v>23406</v>
      </c>
      <c r="X150">
        <v>-10971</v>
      </c>
      <c r="Y150">
        <v>-6293</v>
      </c>
      <c r="Z150">
        <v>-98</v>
      </c>
      <c r="AA150">
        <v>-655</v>
      </c>
      <c r="AB150">
        <v>-1063</v>
      </c>
      <c r="AC150">
        <v>-16</v>
      </c>
      <c r="AD150">
        <v>4</v>
      </c>
      <c r="AE150">
        <v>-2850</v>
      </c>
      <c r="AF150">
        <v>0</v>
      </c>
      <c r="AG150">
        <v>-1680</v>
      </c>
    </row>
    <row r="151" spans="6:33">
      <c r="F151" s="74">
        <f t="shared" si="34"/>
        <v>45140</v>
      </c>
      <c r="G151" s="72">
        <f t="shared" si="35"/>
        <v>-7396</v>
      </c>
      <c r="H151" s="68">
        <f t="shared" si="36"/>
        <v>20675</v>
      </c>
      <c r="I151" s="68">
        <f t="shared" si="37"/>
        <v>-9624</v>
      </c>
      <c r="J151" s="68">
        <f t="shared" si="38"/>
        <v>-5985</v>
      </c>
      <c r="K151" s="68">
        <f t="shared" si="39"/>
        <v>-393</v>
      </c>
      <c r="L151" s="68">
        <f t="shared" si="40"/>
        <v>-1403</v>
      </c>
      <c r="M151" s="68">
        <f t="shared" si="41"/>
        <v>-1128</v>
      </c>
      <c r="N151" s="68">
        <f t="shared" si="42"/>
        <v>99</v>
      </c>
      <c r="O151" s="68">
        <f t="shared" si="43"/>
        <v>152</v>
      </c>
      <c r="P151" s="68">
        <f t="shared" si="44"/>
        <v>-966</v>
      </c>
      <c r="Q151" s="68" t="str">
        <f t="shared" si="45"/>
        <v/>
      </c>
      <c r="R151" s="69">
        <f t="shared" si="46"/>
        <v>-3656</v>
      </c>
      <c r="U151" s="5">
        <v>45140</v>
      </c>
      <c r="V151">
        <v>-7396</v>
      </c>
      <c r="W151">
        <v>20675</v>
      </c>
      <c r="X151">
        <v>-9624</v>
      </c>
      <c r="Y151">
        <v>-5985</v>
      </c>
      <c r="Z151">
        <v>-393</v>
      </c>
      <c r="AA151">
        <v>-1403</v>
      </c>
      <c r="AB151">
        <v>-1128</v>
      </c>
      <c r="AC151">
        <v>99</v>
      </c>
      <c r="AD151">
        <v>152</v>
      </c>
      <c r="AE151">
        <v>-966</v>
      </c>
      <c r="AF151">
        <v>0</v>
      </c>
      <c r="AG151">
        <v>-3656</v>
      </c>
    </row>
    <row r="152" spans="6:33">
      <c r="F152" s="74">
        <f t="shared" si="34"/>
        <v>45139</v>
      </c>
      <c r="G152" s="72">
        <f t="shared" si="35"/>
        <v>3970</v>
      </c>
      <c r="H152" s="68">
        <f t="shared" si="36"/>
        <v>-11629</v>
      </c>
      <c r="I152" s="68">
        <f t="shared" si="37"/>
        <v>9407</v>
      </c>
      <c r="J152" s="68">
        <f t="shared" si="38"/>
        <v>6020</v>
      </c>
      <c r="K152" s="68">
        <f t="shared" si="39"/>
        <v>397</v>
      </c>
      <c r="L152" s="68">
        <f t="shared" si="40"/>
        <v>1216</v>
      </c>
      <c r="M152" s="68">
        <f t="shared" si="41"/>
        <v>1117</v>
      </c>
      <c r="N152" s="68">
        <f t="shared" si="42"/>
        <v>-22</v>
      </c>
      <c r="O152" s="68">
        <f t="shared" si="43"/>
        <v>334</v>
      </c>
      <c r="P152" s="68">
        <f t="shared" si="44"/>
        <v>345</v>
      </c>
      <c r="Q152" s="68" t="str">
        <f t="shared" si="45"/>
        <v/>
      </c>
      <c r="R152" s="69">
        <f t="shared" si="46"/>
        <v>-1748</v>
      </c>
      <c r="U152" s="5">
        <v>45139</v>
      </c>
      <c r="V152">
        <v>3970</v>
      </c>
      <c r="W152">
        <v>-11629</v>
      </c>
      <c r="X152">
        <v>9407</v>
      </c>
      <c r="Y152">
        <v>6020</v>
      </c>
      <c r="Z152">
        <v>397</v>
      </c>
      <c r="AA152">
        <v>1216</v>
      </c>
      <c r="AB152">
        <v>1117</v>
      </c>
      <c r="AC152">
        <v>-22</v>
      </c>
      <c r="AD152">
        <v>334</v>
      </c>
      <c r="AE152">
        <v>345</v>
      </c>
      <c r="AF152">
        <v>0</v>
      </c>
      <c r="AG152">
        <v>-1748</v>
      </c>
    </row>
    <row r="153" spans="6:33">
      <c r="F153" s="74">
        <f t="shared" si="34"/>
        <v>45138</v>
      </c>
      <c r="G153" s="72">
        <f t="shared" si="35"/>
        <v>8901</v>
      </c>
      <c r="H153" s="68">
        <f t="shared" si="36"/>
        <v>-8419</v>
      </c>
      <c r="I153" s="68">
        <f t="shared" si="37"/>
        <v>-770</v>
      </c>
      <c r="J153" s="68">
        <f t="shared" si="38"/>
        <v>-1024</v>
      </c>
      <c r="K153" s="68">
        <f t="shared" si="39"/>
        <v>13</v>
      </c>
      <c r="L153" s="68">
        <f t="shared" si="40"/>
        <v>526</v>
      </c>
      <c r="M153" s="68">
        <f t="shared" si="41"/>
        <v>84</v>
      </c>
      <c r="N153" s="68">
        <f t="shared" si="42"/>
        <v>-3</v>
      </c>
      <c r="O153" s="68">
        <f t="shared" si="43"/>
        <v>90</v>
      </c>
      <c r="P153" s="68">
        <f t="shared" si="44"/>
        <v>-456</v>
      </c>
      <c r="Q153" s="68" t="str">
        <f t="shared" si="45"/>
        <v/>
      </c>
      <c r="R153" s="69">
        <f t="shared" si="46"/>
        <v>288</v>
      </c>
      <c r="U153" s="5">
        <v>45138</v>
      </c>
      <c r="V153">
        <v>8901</v>
      </c>
      <c r="W153">
        <v>-8419</v>
      </c>
      <c r="X153">
        <v>-770</v>
      </c>
      <c r="Y153">
        <v>-1024</v>
      </c>
      <c r="Z153">
        <v>13</v>
      </c>
      <c r="AA153">
        <v>526</v>
      </c>
      <c r="AB153">
        <v>84</v>
      </c>
      <c r="AC153">
        <v>-3</v>
      </c>
      <c r="AD153">
        <v>90</v>
      </c>
      <c r="AE153">
        <v>-456</v>
      </c>
      <c r="AF153">
        <v>0</v>
      </c>
      <c r="AG153">
        <v>288</v>
      </c>
    </row>
    <row r="154" spans="6:33">
      <c r="F154" s="74">
        <f t="shared" si="34"/>
        <v>45135</v>
      </c>
      <c r="G154" s="72">
        <f t="shared" si="35"/>
        <v>13780</v>
      </c>
      <c r="H154" s="68">
        <f t="shared" si="36"/>
        <v>-6556</v>
      </c>
      <c r="I154" s="68">
        <f t="shared" si="37"/>
        <v>-5890</v>
      </c>
      <c r="J154" s="68">
        <f t="shared" si="38"/>
        <v>-4593</v>
      </c>
      <c r="K154" s="68">
        <f t="shared" si="39"/>
        <v>-149</v>
      </c>
      <c r="L154" s="68">
        <f t="shared" si="40"/>
        <v>-442</v>
      </c>
      <c r="M154" s="68">
        <f t="shared" si="41"/>
        <v>-261</v>
      </c>
      <c r="N154" s="68">
        <f t="shared" si="42"/>
        <v>-55</v>
      </c>
      <c r="O154" s="68">
        <f t="shared" si="43"/>
        <v>10</v>
      </c>
      <c r="P154" s="68">
        <f t="shared" si="44"/>
        <v>-400</v>
      </c>
      <c r="Q154" s="68" t="str">
        <f t="shared" si="45"/>
        <v/>
      </c>
      <c r="R154" s="69">
        <f t="shared" si="46"/>
        <v>-1332</v>
      </c>
      <c r="U154" s="5">
        <v>45135</v>
      </c>
      <c r="V154">
        <v>13780</v>
      </c>
      <c r="W154">
        <v>-6556</v>
      </c>
      <c r="X154">
        <v>-5890</v>
      </c>
      <c r="Y154">
        <v>-4593</v>
      </c>
      <c r="Z154">
        <v>-149</v>
      </c>
      <c r="AA154">
        <v>-442</v>
      </c>
      <c r="AB154">
        <v>-261</v>
      </c>
      <c r="AC154">
        <v>-55</v>
      </c>
      <c r="AD154">
        <v>10</v>
      </c>
      <c r="AE154">
        <v>-400</v>
      </c>
      <c r="AF154">
        <v>0</v>
      </c>
      <c r="AG154">
        <v>-1332</v>
      </c>
    </row>
    <row r="155" spans="6:33">
      <c r="F155" s="74">
        <f t="shared" si="34"/>
        <v>45134</v>
      </c>
      <c r="G155" s="72">
        <f t="shared" si="35"/>
        <v>19773</v>
      </c>
      <c r="H155" s="68">
        <f t="shared" si="36"/>
        <v>-37600</v>
      </c>
      <c r="I155" s="68">
        <f t="shared" si="37"/>
        <v>17142</v>
      </c>
      <c r="J155" s="68">
        <f t="shared" si="38"/>
        <v>17645</v>
      </c>
      <c r="K155" s="68">
        <f t="shared" si="39"/>
        <v>595</v>
      </c>
      <c r="L155" s="68">
        <f t="shared" si="40"/>
        <v>125</v>
      </c>
      <c r="M155" s="68">
        <f t="shared" si="41"/>
        <v>-703</v>
      </c>
      <c r="N155" s="68">
        <f t="shared" si="42"/>
        <v>-248</v>
      </c>
      <c r="O155" s="68">
        <f t="shared" si="43"/>
        <v>-46</v>
      </c>
      <c r="P155" s="68">
        <f t="shared" si="44"/>
        <v>-226</v>
      </c>
      <c r="Q155" s="68" t="str">
        <f t="shared" si="45"/>
        <v/>
      </c>
      <c r="R155" s="69">
        <f t="shared" si="46"/>
        <v>685</v>
      </c>
      <c r="U155" s="5">
        <v>45134</v>
      </c>
      <c r="V155">
        <v>19773</v>
      </c>
      <c r="W155">
        <v>-37600</v>
      </c>
      <c r="X155">
        <v>17142</v>
      </c>
      <c r="Y155">
        <v>17645</v>
      </c>
      <c r="Z155">
        <v>595</v>
      </c>
      <c r="AA155">
        <v>125</v>
      </c>
      <c r="AB155">
        <v>-703</v>
      </c>
      <c r="AC155">
        <v>-248</v>
      </c>
      <c r="AD155">
        <v>-46</v>
      </c>
      <c r="AE155">
        <v>-226</v>
      </c>
      <c r="AF155">
        <v>0</v>
      </c>
      <c r="AG155">
        <v>685</v>
      </c>
    </row>
    <row r="156" spans="6:33">
      <c r="F156" s="74">
        <f t="shared" si="34"/>
        <v>45133</v>
      </c>
      <c r="G156" s="72">
        <f t="shared" si="35"/>
        <v>3991</v>
      </c>
      <c r="H156" s="68">
        <f t="shared" si="36"/>
        <v>-6379</v>
      </c>
      <c r="I156" s="68">
        <f t="shared" si="37"/>
        <v>74</v>
      </c>
      <c r="J156" s="68">
        <f t="shared" si="38"/>
        <v>6313</v>
      </c>
      <c r="K156" s="68">
        <f t="shared" si="39"/>
        <v>-356</v>
      </c>
      <c r="L156" s="68">
        <f t="shared" si="40"/>
        <v>-2429</v>
      </c>
      <c r="M156" s="68">
        <f t="shared" si="41"/>
        <v>-1545</v>
      </c>
      <c r="N156" s="68">
        <f t="shared" si="42"/>
        <v>-282</v>
      </c>
      <c r="O156" s="68">
        <f t="shared" si="43"/>
        <v>-280</v>
      </c>
      <c r="P156" s="68">
        <f t="shared" si="44"/>
        <v>-1347</v>
      </c>
      <c r="Q156" s="68" t="str">
        <f t="shared" si="45"/>
        <v/>
      </c>
      <c r="R156" s="69">
        <f t="shared" si="46"/>
        <v>2312</v>
      </c>
      <c r="U156" s="5">
        <v>45133</v>
      </c>
      <c r="V156">
        <v>3991</v>
      </c>
      <c r="W156">
        <v>-6379</v>
      </c>
      <c r="X156">
        <v>74</v>
      </c>
      <c r="Y156">
        <v>6313</v>
      </c>
      <c r="Z156">
        <v>-356</v>
      </c>
      <c r="AA156">
        <v>-2429</v>
      </c>
      <c r="AB156">
        <v>-1545</v>
      </c>
      <c r="AC156">
        <v>-282</v>
      </c>
      <c r="AD156">
        <v>-280</v>
      </c>
      <c r="AE156">
        <v>-1347</v>
      </c>
      <c r="AF156">
        <v>0</v>
      </c>
      <c r="AG156">
        <v>2312</v>
      </c>
    </row>
    <row r="157" spans="6:33">
      <c r="F157" s="74">
        <f t="shared" si="34"/>
        <v>45132</v>
      </c>
      <c r="G157" s="72">
        <f t="shared" si="35"/>
        <v>1467</v>
      </c>
      <c r="H157" s="68">
        <f t="shared" si="36"/>
        <v>7524</v>
      </c>
      <c r="I157" s="68">
        <f t="shared" si="37"/>
        <v>-11414</v>
      </c>
      <c r="J157" s="68">
        <f t="shared" si="38"/>
        <v>-934</v>
      </c>
      <c r="K157" s="68">
        <f t="shared" si="39"/>
        <v>-898</v>
      </c>
      <c r="L157" s="68">
        <f t="shared" si="40"/>
        <v>-3911</v>
      </c>
      <c r="M157" s="68">
        <f t="shared" si="41"/>
        <v>-837</v>
      </c>
      <c r="N157" s="68">
        <f t="shared" si="42"/>
        <v>-786</v>
      </c>
      <c r="O157" s="68">
        <f t="shared" si="43"/>
        <v>-321</v>
      </c>
      <c r="P157" s="68">
        <f t="shared" si="44"/>
        <v>-3727</v>
      </c>
      <c r="Q157" s="68" t="str">
        <f t="shared" si="45"/>
        <v/>
      </c>
      <c r="R157" s="69">
        <f t="shared" si="46"/>
        <v>2422</v>
      </c>
      <c r="U157" s="5">
        <v>45132</v>
      </c>
      <c r="V157">
        <v>1467</v>
      </c>
      <c r="W157">
        <v>7524</v>
      </c>
      <c r="X157">
        <v>-11414</v>
      </c>
      <c r="Y157">
        <v>-934</v>
      </c>
      <c r="Z157">
        <v>-898</v>
      </c>
      <c r="AA157">
        <v>-3911</v>
      </c>
      <c r="AB157">
        <v>-837</v>
      </c>
      <c r="AC157">
        <v>-786</v>
      </c>
      <c r="AD157">
        <v>-321</v>
      </c>
      <c r="AE157">
        <v>-3727</v>
      </c>
      <c r="AF157">
        <v>0</v>
      </c>
      <c r="AG157">
        <v>2422</v>
      </c>
    </row>
    <row r="158" spans="6:33">
      <c r="F158" s="74">
        <f t="shared" si="34"/>
        <v>45131</v>
      </c>
      <c r="G158" s="72">
        <f t="shared" si="35"/>
        <v>2512</v>
      </c>
      <c r="H158" s="68">
        <f t="shared" si="36"/>
        <v>3836</v>
      </c>
      <c r="I158" s="68">
        <f t="shared" si="37"/>
        <v>-6936</v>
      </c>
      <c r="J158" s="68">
        <f t="shared" si="38"/>
        <v>-2330</v>
      </c>
      <c r="K158" s="68">
        <f t="shared" si="39"/>
        <v>-471</v>
      </c>
      <c r="L158" s="68">
        <f t="shared" si="40"/>
        <v>-752</v>
      </c>
      <c r="M158" s="68">
        <f t="shared" si="41"/>
        <v>-1491</v>
      </c>
      <c r="N158" s="68">
        <f t="shared" si="42"/>
        <v>-291</v>
      </c>
      <c r="O158" s="68">
        <f t="shared" si="43"/>
        <v>151</v>
      </c>
      <c r="P158" s="68">
        <f t="shared" si="44"/>
        <v>-1752</v>
      </c>
      <c r="Q158" s="68" t="str">
        <f t="shared" si="45"/>
        <v/>
      </c>
      <c r="R158" s="69">
        <f t="shared" si="46"/>
        <v>588</v>
      </c>
      <c r="U158" s="5">
        <v>45131</v>
      </c>
      <c r="V158">
        <v>2512</v>
      </c>
      <c r="W158">
        <v>3836</v>
      </c>
      <c r="X158">
        <v>-6936</v>
      </c>
      <c r="Y158">
        <v>-2330</v>
      </c>
      <c r="Z158">
        <v>-471</v>
      </c>
      <c r="AA158">
        <v>-752</v>
      </c>
      <c r="AB158">
        <v>-1491</v>
      </c>
      <c r="AC158">
        <v>-291</v>
      </c>
      <c r="AD158">
        <v>151</v>
      </c>
      <c r="AE158">
        <v>-1752</v>
      </c>
      <c r="AF158">
        <v>0</v>
      </c>
      <c r="AG158">
        <v>588</v>
      </c>
    </row>
    <row r="159" spans="6:33">
      <c r="F159" s="74">
        <f t="shared" si="34"/>
        <v>45128</v>
      </c>
      <c r="G159" s="72">
        <f t="shared" si="35"/>
        <v>-7583</v>
      </c>
      <c r="H159" s="68">
        <f t="shared" si="36"/>
        <v>8526</v>
      </c>
      <c r="I159" s="68">
        <f t="shared" si="37"/>
        <v>-388</v>
      </c>
      <c r="J159" s="68">
        <f t="shared" si="38"/>
        <v>1723</v>
      </c>
      <c r="K159" s="68">
        <f t="shared" si="39"/>
        <v>-92</v>
      </c>
      <c r="L159" s="68">
        <f t="shared" si="40"/>
        <v>-575</v>
      </c>
      <c r="M159" s="68">
        <f t="shared" si="41"/>
        <v>159</v>
      </c>
      <c r="N159" s="68">
        <f t="shared" si="42"/>
        <v>-239</v>
      </c>
      <c r="O159" s="68">
        <f t="shared" si="43"/>
        <v>97</v>
      </c>
      <c r="P159" s="68">
        <f t="shared" si="44"/>
        <v>-1461</v>
      </c>
      <c r="Q159" s="68" t="str">
        <f t="shared" si="45"/>
        <v/>
      </c>
      <c r="R159" s="69">
        <f t="shared" si="46"/>
        <v>-556</v>
      </c>
      <c r="U159" s="5">
        <v>45128</v>
      </c>
      <c r="V159">
        <v>-7583</v>
      </c>
      <c r="W159">
        <v>8526</v>
      </c>
      <c r="X159">
        <v>-388</v>
      </c>
      <c r="Y159">
        <v>1723</v>
      </c>
      <c r="Z159">
        <v>-92</v>
      </c>
      <c r="AA159">
        <v>-575</v>
      </c>
      <c r="AB159">
        <v>159</v>
      </c>
      <c r="AC159">
        <v>-239</v>
      </c>
      <c r="AD159">
        <v>97</v>
      </c>
      <c r="AE159">
        <v>-1461</v>
      </c>
      <c r="AF159">
        <v>0</v>
      </c>
      <c r="AG159">
        <v>-556</v>
      </c>
    </row>
    <row r="160" spans="6:33">
      <c r="F160" s="74">
        <f t="shared" si="34"/>
        <v>45127</v>
      </c>
      <c r="G160" s="72">
        <f t="shared" si="35"/>
        <v>8380</v>
      </c>
      <c r="H160" s="68">
        <f t="shared" si="36"/>
        <v>-3665</v>
      </c>
      <c r="I160" s="68">
        <f t="shared" si="37"/>
        <v>-5739</v>
      </c>
      <c r="J160" s="68">
        <f t="shared" si="38"/>
        <v>-3946</v>
      </c>
      <c r="K160" s="68">
        <f t="shared" si="39"/>
        <v>-266</v>
      </c>
      <c r="L160" s="68">
        <f t="shared" si="40"/>
        <v>-768</v>
      </c>
      <c r="M160" s="68">
        <f t="shared" si="41"/>
        <v>-814</v>
      </c>
      <c r="N160" s="68">
        <f t="shared" si="42"/>
        <v>-319</v>
      </c>
      <c r="O160" s="68">
        <f t="shared" si="43"/>
        <v>54</v>
      </c>
      <c r="P160" s="68">
        <f t="shared" si="44"/>
        <v>320</v>
      </c>
      <c r="Q160" s="68" t="str">
        <f t="shared" si="45"/>
        <v/>
      </c>
      <c r="R160" s="69">
        <f t="shared" si="46"/>
        <v>1023</v>
      </c>
      <c r="U160" s="5">
        <v>45127</v>
      </c>
      <c r="V160">
        <v>8380</v>
      </c>
      <c r="W160">
        <v>-3665</v>
      </c>
      <c r="X160">
        <v>-5739</v>
      </c>
      <c r="Y160">
        <v>-3946</v>
      </c>
      <c r="Z160">
        <v>-266</v>
      </c>
      <c r="AA160">
        <v>-768</v>
      </c>
      <c r="AB160">
        <v>-814</v>
      </c>
      <c r="AC160">
        <v>-319</v>
      </c>
      <c r="AD160">
        <v>54</v>
      </c>
      <c r="AE160">
        <v>320</v>
      </c>
      <c r="AF160">
        <v>0</v>
      </c>
      <c r="AG160">
        <v>1023</v>
      </c>
    </row>
    <row r="161" spans="6:33">
      <c r="F161" s="74">
        <f t="shared" si="34"/>
        <v>45126</v>
      </c>
      <c r="G161" s="72">
        <f t="shared" si="35"/>
        <v>2312</v>
      </c>
      <c r="H161" s="68">
        <f t="shared" si="36"/>
        <v>3444</v>
      </c>
      <c r="I161" s="68">
        <f t="shared" si="37"/>
        <v>-6331</v>
      </c>
      <c r="J161" s="68">
        <f t="shared" si="38"/>
        <v>-1707</v>
      </c>
      <c r="K161" s="68">
        <f t="shared" si="39"/>
        <v>-174</v>
      </c>
      <c r="L161" s="68">
        <f t="shared" si="40"/>
        <v>-1033</v>
      </c>
      <c r="M161" s="68">
        <f t="shared" si="41"/>
        <v>-2909</v>
      </c>
      <c r="N161" s="68">
        <f t="shared" si="42"/>
        <v>-413</v>
      </c>
      <c r="O161" s="68">
        <f t="shared" si="43"/>
        <v>112</v>
      </c>
      <c r="P161" s="68">
        <f t="shared" si="44"/>
        <v>-207</v>
      </c>
      <c r="Q161" s="68" t="str">
        <f t="shared" si="45"/>
        <v/>
      </c>
      <c r="R161" s="69">
        <f t="shared" si="46"/>
        <v>574</v>
      </c>
      <c r="U161" s="5">
        <v>45126</v>
      </c>
      <c r="V161">
        <v>2312</v>
      </c>
      <c r="W161">
        <v>3444</v>
      </c>
      <c r="X161">
        <v>-6331</v>
      </c>
      <c r="Y161">
        <v>-1707</v>
      </c>
      <c r="Z161">
        <v>-174</v>
      </c>
      <c r="AA161">
        <v>-1033</v>
      </c>
      <c r="AB161">
        <v>-2909</v>
      </c>
      <c r="AC161">
        <v>-413</v>
      </c>
      <c r="AD161">
        <v>112</v>
      </c>
      <c r="AE161">
        <v>-207</v>
      </c>
      <c r="AF161">
        <v>0</v>
      </c>
      <c r="AG161">
        <v>574</v>
      </c>
    </row>
    <row r="162" spans="6:33">
      <c r="F162" s="74">
        <f t="shared" si="34"/>
        <v>45125</v>
      </c>
      <c r="G162" s="72">
        <f t="shared" si="35"/>
        <v>-16080</v>
      </c>
      <c r="H162" s="68">
        <f t="shared" si="36"/>
        <v>28544</v>
      </c>
      <c r="I162" s="68">
        <f t="shared" si="37"/>
        <v>-10726</v>
      </c>
      <c r="J162" s="68">
        <f t="shared" si="38"/>
        <v>-927</v>
      </c>
      <c r="K162" s="68">
        <f t="shared" si="39"/>
        <v>-950</v>
      </c>
      <c r="L162" s="68">
        <f t="shared" si="40"/>
        <v>-2825</v>
      </c>
      <c r="M162" s="68">
        <f t="shared" si="41"/>
        <v>-3225</v>
      </c>
      <c r="N162" s="68">
        <f t="shared" si="42"/>
        <v>-225</v>
      </c>
      <c r="O162" s="68">
        <f t="shared" si="43"/>
        <v>-20</v>
      </c>
      <c r="P162" s="68">
        <f t="shared" si="44"/>
        <v>-2554</v>
      </c>
      <c r="Q162" s="68" t="str">
        <f t="shared" si="45"/>
        <v/>
      </c>
      <c r="R162" s="69">
        <f t="shared" si="46"/>
        <v>-1739</v>
      </c>
      <c r="U162" s="5">
        <v>45125</v>
      </c>
      <c r="V162">
        <v>-16080</v>
      </c>
      <c r="W162">
        <v>28544</v>
      </c>
      <c r="X162">
        <v>-10726</v>
      </c>
      <c r="Y162">
        <v>-927</v>
      </c>
      <c r="Z162">
        <v>-950</v>
      </c>
      <c r="AA162">
        <v>-2825</v>
      </c>
      <c r="AB162">
        <v>-3225</v>
      </c>
      <c r="AC162">
        <v>-225</v>
      </c>
      <c r="AD162">
        <v>-20</v>
      </c>
      <c r="AE162">
        <v>-2554</v>
      </c>
      <c r="AF162">
        <v>0</v>
      </c>
      <c r="AG162">
        <v>-1739</v>
      </c>
    </row>
    <row r="163" spans="6:33">
      <c r="F163" s="74">
        <f t="shared" si="34"/>
        <v>45124</v>
      </c>
      <c r="G163" s="72">
        <f t="shared" si="35"/>
        <v>537</v>
      </c>
      <c r="H163" s="68">
        <f t="shared" si="36"/>
        <v>8497</v>
      </c>
      <c r="I163" s="68">
        <f t="shared" si="37"/>
        <v>-7902</v>
      </c>
      <c r="J163" s="68">
        <f t="shared" si="38"/>
        <v>-456</v>
      </c>
      <c r="K163" s="68">
        <f t="shared" si="39"/>
        <v>-362</v>
      </c>
      <c r="L163" s="68">
        <f t="shared" si="40"/>
        <v>-1482</v>
      </c>
      <c r="M163" s="68">
        <f t="shared" si="41"/>
        <v>-632</v>
      </c>
      <c r="N163" s="68">
        <f t="shared" si="42"/>
        <v>-207</v>
      </c>
      <c r="O163" s="68">
        <f t="shared" si="43"/>
        <v>51</v>
      </c>
      <c r="P163" s="68">
        <f t="shared" si="44"/>
        <v>-4814</v>
      </c>
      <c r="Q163" s="68" t="str">
        <f t="shared" si="45"/>
        <v/>
      </c>
      <c r="R163" s="69">
        <f t="shared" si="46"/>
        <v>-1132</v>
      </c>
      <c r="U163" s="5">
        <v>45124</v>
      </c>
      <c r="V163">
        <v>537</v>
      </c>
      <c r="W163">
        <v>8497</v>
      </c>
      <c r="X163">
        <v>-7902</v>
      </c>
      <c r="Y163">
        <v>-456</v>
      </c>
      <c r="Z163">
        <v>-362</v>
      </c>
      <c r="AA163">
        <v>-1482</v>
      </c>
      <c r="AB163">
        <v>-632</v>
      </c>
      <c r="AC163">
        <v>-207</v>
      </c>
      <c r="AD163">
        <v>51</v>
      </c>
      <c r="AE163">
        <v>-4814</v>
      </c>
      <c r="AF163">
        <v>0</v>
      </c>
      <c r="AG163">
        <v>-1132</v>
      </c>
    </row>
    <row r="164" spans="6:33">
      <c r="F164" s="74">
        <f t="shared" si="34"/>
        <v>45121</v>
      </c>
      <c r="G164" s="72">
        <f t="shared" si="35"/>
        <v>4141</v>
      </c>
      <c r="H164" s="68">
        <f t="shared" si="36"/>
        <v>-13667</v>
      </c>
      <c r="I164" s="68">
        <f t="shared" si="37"/>
        <v>10338</v>
      </c>
      <c r="J164" s="68">
        <f t="shared" si="38"/>
        <v>14040</v>
      </c>
      <c r="K164" s="68">
        <f t="shared" si="39"/>
        <v>-43</v>
      </c>
      <c r="L164" s="68">
        <f t="shared" si="40"/>
        <v>-1443</v>
      </c>
      <c r="M164" s="68">
        <f t="shared" si="41"/>
        <v>-1723</v>
      </c>
      <c r="N164" s="68">
        <f t="shared" si="42"/>
        <v>-311</v>
      </c>
      <c r="O164" s="68">
        <f t="shared" si="43"/>
        <v>177</v>
      </c>
      <c r="P164" s="68">
        <f t="shared" si="44"/>
        <v>-359</v>
      </c>
      <c r="Q164" s="68" t="str">
        <f t="shared" si="45"/>
        <v/>
      </c>
      <c r="R164" s="69">
        <f t="shared" si="46"/>
        <v>-812</v>
      </c>
      <c r="U164" s="5">
        <v>45121</v>
      </c>
      <c r="V164">
        <v>4141</v>
      </c>
      <c r="W164">
        <v>-13667</v>
      </c>
      <c r="X164">
        <v>10338</v>
      </c>
      <c r="Y164">
        <v>14040</v>
      </c>
      <c r="Z164">
        <v>-43</v>
      </c>
      <c r="AA164">
        <v>-1443</v>
      </c>
      <c r="AB164">
        <v>-1723</v>
      </c>
      <c r="AC164">
        <v>-311</v>
      </c>
      <c r="AD164">
        <v>177</v>
      </c>
      <c r="AE164">
        <v>-359</v>
      </c>
      <c r="AF164">
        <v>0</v>
      </c>
      <c r="AG164">
        <v>-812</v>
      </c>
    </row>
    <row r="165" spans="6:33">
      <c r="F165" s="74">
        <f t="shared" si="34"/>
        <v>45120</v>
      </c>
      <c r="G165" s="72">
        <f t="shared" si="35"/>
        <v>8305</v>
      </c>
      <c r="H165" s="68">
        <f t="shared" si="36"/>
        <v>-10916</v>
      </c>
      <c r="I165" s="68">
        <f t="shared" si="37"/>
        <v>4705</v>
      </c>
      <c r="J165" s="68">
        <f t="shared" si="38"/>
        <v>6696</v>
      </c>
      <c r="K165" s="68">
        <f t="shared" si="39"/>
        <v>32</v>
      </c>
      <c r="L165" s="68">
        <f t="shared" si="40"/>
        <v>773</v>
      </c>
      <c r="M165" s="68">
        <f t="shared" si="41"/>
        <v>355</v>
      </c>
      <c r="N165" s="68">
        <f t="shared" si="42"/>
        <v>-319</v>
      </c>
      <c r="O165" s="68">
        <f t="shared" si="43"/>
        <v>217</v>
      </c>
      <c r="P165" s="68">
        <f t="shared" si="44"/>
        <v>-3049</v>
      </c>
      <c r="Q165" s="68" t="str">
        <f t="shared" si="45"/>
        <v/>
      </c>
      <c r="R165" s="69">
        <f t="shared" si="46"/>
        <v>-2093</v>
      </c>
      <c r="U165" s="5">
        <v>45120</v>
      </c>
      <c r="V165">
        <v>8305</v>
      </c>
      <c r="W165">
        <v>-10916</v>
      </c>
      <c r="X165">
        <v>4705</v>
      </c>
      <c r="Y165">
        <v>6696</v>
      </c>
      <c r="Z165">
        <v>32</v>
      </c>
      <c r="AA165">
        <v>773</v>
      </c>
      <c r="AB165">
        <v>355</v>
      </c>
      <c r="AC165">
        <v>-319</v>
      </c>
      <c r="AD165">
        <v>217</v>
      </c>
      <c r="AE165">
        <v>-3049</v>
      </c>
      <c r="AF165">
        <v>0</v>
      </c>
      <c r="AG165">
        <v>-2093</v>
      </c>
    </row>
    <row r="166" spans="6:33">
      <c r="F166" s="74">
        <f t="shared" si="34"/>
        <v>45119</v>
      </c>
      <c r="G166" s="72">
        <f t="shared" si="35"/>
        <v>13962</v>
      </c>
      <c r="H166" s="68">
        <f t="shared" si="36"/>
        <v>-11014</v>
      </c>
      <c r="I166" s="68">
        <f t="shared" si="37"/>
        <v>-3188</v>
      </c>
      <c r="J166" s="68">
        <f t="shared" si="38"/>
        <v>-3655</v>
      </c>
      <c r="K166" s="68">
        <f t="shared" si="39"/>
        <v>128</v>
      </c>
      <c r="L166" s="68">
        <f t="shared" si="40"/>
        <v>1070</v>
      </c>
      <c r="M166" s="68">
        <f t="shared" si="41"/>
        <v>-49</v>
      </c>
      <c r="N166" s="68">
        <f t="shared" si="42"/>
        <v>-757</v>
      </c>
      <c r="O166" s="68">
        <f t="shared" si="43"/>
        <v>-271</v>
      </c>
      <c r="P166" s="68">
        <f t="shared" si="44"/>
        <v>346</v>
      </c>
      <c r="Q166" s="68" t="str">
        <f t="shared" si="45"/>
        <v/>
      </c>
      <c r="R166" s="69">
        <f t="shared" si="46"/>
        <v>242</v>
      </c>
      <c r="U166" s="5">
        <v>45119</v>
      </c>
      <c r="V166">
        <v>13962</v>
      </c>
      <c r="W166">
        <v>-11014</v>
      </c>
      <c r="X166">
        <v>-3188</v>
      </c>
      <c r="Y166">
        <v>-3655</v>
      </c>
      <c r="Z166">
        <v>128</v>
      </c>
      <c r="AA166">
        <v>1070</v>
      </c>
      <c r="AB166">
        <v>-49</v>
      </c>
      <c r="AC166">
        <v>-757</v>
      </c>
      <c r="AD166">
        <v>-271</v>
      </c>
      <c r="AE166">
        <v>346</v>
      </c>
      <c r="AF166">
        <v>0</v>
      </c>
      <c r="AG166">
        <v>242</v>
      </c>
    </row>
    <row r="167" spans="6:33">
      <c r="F167" s="74">
        <f t="shared" si="34"/>
        <v>45118</v>
      </c>
      <c r="G167" s="72">
        <f t="shared" si="35"/>
        <v>12258</v>
      </c>
      <c r="H167" s="68">
        <f t="shared" si="36"/>
        <v>-14524</v>
      </c>
      <c r="I167" s="68">
        <f t="shared" si="37"/>
        <v>3711</v>
      </c>
      <c r="J167" s="68">
        <f t="shared" si="38"/>
        <v>-350</v>
      </c>
      <c r="K167" s="68">
        <f t="shared" si="39"/>
        <v>869</v>
      </c>
      <c r="L167" s="68">
        <f t="shared" si="40"/>
        <v>152</v>
      </c>
      <c r="M167" s="68">
        <f t="shared" si="41"/>
        <v>1231</v>
      </c>
      <c r="N167" s="68">
        <f t="shared" si="42"/>
        <v>-153</v>
      </c>
      <c r="O167" s="68">
        <f t="shared" si="43"/>
        <v>30</v>
      </c>
      <c r="P167" s="68">
        <f t="shared" si="44"/>
        <v>1932</v>
      </c>
      <c r="Q167" s="68" t="str">
        <f t="shared" si="45"/>
        <v/>
      </c>
      <c r="R167" s="69">
        <f t="shared" si="46"/>
        <v>-1448</v>
      </c>
      <c r="U167" s="5">
        <v>45118</v>
      </c>
      <c r="V167">
        <v>12258</v>
      </c>
      <c r="W167">
        <v>-14524</v>
      </c>
      <c r="X167">
        <v>3711</v>
      </c>
      <c r="Y167">
        <v>-350</v>
      </c>
      <c r="Z167">
        <v>869</v>
      </c>
      <c r="AA167">
        <v>152</v>
      </c>
      <c r="AB167">
        <v>1231</v>
      </c>
      <c r="AC167">
        <v>-153</v>
      </c>
      <c r="AD167">
        <v>30</v>
      </c>
      <c r="AE167">
        <v>1932</v>
      </c>
      <c r="AF167">
        <v>0</v>
      </c>
      <c r="AG167">
        <v>-1448</v>
      </c>
    </row>
    <row r="168" spans="6:33">
      <c r="F168" s="74">
        <f t="shared" si="34"/>
        <v>45117</v>
      </c>
      <c r="G168" s="72">
        <f t="shared" si="35"/>
        <v>12262</v>
      </c>
      <c r="H168" s="68">
        <f t="shared" si="36"/>
        <v>-9571</v>
      </c>
      <c r="I168" s="68">
        <f t="shared" si="37"/>
        <v>-3471</v>
      </c>
      <c r="J168" s="68">
        <f t="shared" si="38"/>
        <v>-2306</v>
      </c>
      <c r="K168" s="68">
        <f t="shared" si="39"/>
        <v>119</v>
      </c>
      <c r="L168" s="68">
        <f t="shared" si="40"/>
        <v>-32</v>
      </c>
      <c r="M168" s="68">
        <f t="shared" si="41"/>
        <v>-1070</v>
      </c>
      <c r="N168" s="68">
        <f t="shared" si="42"/>
        <v>-284</v>
      </c>
      <c r="O168" s="68">
        <f t="shared" si="43"/>
        <v>191</v>
      </c>
      <c r="P168" s="68">
        <f t="shared" si="44"/>
        <v>-89</v>
      </c>
      <c r="Q168" s="68" t="str">
        <f t="shared" si="45"/>
        <v/>
      </c>
      <c r="R168" s="69">
        <f t="shared" si="46"/>
        <v>780</v>
      </c>
      <c r="U168" s="5">
        <v>45117</v>
      </c>
      <c r="V168">
        <v>12262</v>
      </c>
      <c r="W168">
        <v>-9571</v>
      </c>
      <c r="X168">
        <v>-3471</v>
      </c>
      <c r="Y168">
        <v>-2306</v>
      </c>
      <c r="Z168">
        <v>119</v>
      </c>
      <c r="AA168">
        <v>-32</v>
      </c>
      <c r="AB168">
        <v>-1070</v>
      </c>
      <c r="AC168">
        <v>-284</v>
      </c>
      <c r="AD168">
        <v>191</v>
      </c>
      <c r="AE168">
        <v>-89</v>
      </c>
      <c r="AF168">
        <v>0</v>
      </c>
      <c r="AG168">
        <v>780</v>
      </c>
    </row>
    <row r="169" spans="6:33">
      <c r="F169" s="74">
        <f t="shared" si="34"/>
        <v>45114</v>
      </c>
      <c r="G169" s="72">
        <f t="shared" si="35"/>
        <v>-2879</v>
      </c>
      <c r="H169" s="68">
        <f t="shared" si="36"/>
        <v>19560</v>
      </c>
      <c r="I169" s="68">
        <f t="shared" si="37"/>
        <v>-17734</v>
      </c>
      <c r="J169" s="68">
        <f t="shared" si="38"/>
        <v>-6394</v>
      </c>
      <c r="K169" s="68">
        <f t="shared" si="39"/>
        <v>-500</v>
      </c>
      <c r="L169" s="68">
        <f t="shared" si="40"/>
        <v>-3952</v>
      </c>
      <c r="M169" s="68">
        <f t="shared" si="41"/>
        <v>-3233</v>
      </c>
      <c r="N169" s="68">
        <f t="shared" si="42"/>
        <v>-151</v>
      </c>
      <c r="O169" s="68">
        <f t="shared" si="43"/>
        <v>-393</v>
      </c>
      <c r="P169" s="68">
        <f t="shared" si="44"/>
        <v>-3111</v>
      </c>
      <c r="Q169" s="68" t="str">
        <f t="shared" si="45"/>
        <v/>
      </c>
      <c r="R169" s="69">
        <f t="shared" si="46"/>
        <v>1053</v>
      </c>
      <c r="U169" s="5">
        <v>45114</v>
      </c>
      <c r="V169">
        <v>-2879</v>
      </c>
      <c r="W169">
        <v>19560</v>
      </c>
      <c r="X169">
        <v>-17734</v>
      </c>
      <c r="Y169">
        <v>-6394</v>
      </c>
      <c r="Z169">
        <v>-500</v>
      </c>
      <c r="AA169">
        <v>-3952</v>
      </c>
      <c r="AB169">
        <v>-3233</v>
      </c>
      <c r="AC169">
        <v>-151</v>
      </c>
      <c r="AD169">
        <v>-393</v>
      </c>
      <c r="AE169">
        <v>-3111</v>
      </c>
      <c r="AF169">
        <v>0</v>
      </c>
      <c r="AG169">
        <v>1053</v>
      </c>
    </row>
    <row r="170" spans="6:33">
      <c r="F170" s="74">
        <f t="shared" si="34"/>
        <v>45113</v>
      </c>
      <c r="G170" s="72">
        <f t="shared" si="35"/>
        <v>-18561</v>
      </c>
      <c r="H170" s="68">
        <f t="shared" si="36"/>
        <v>29731</v>
      </c>
      <c r="I170" s="68">
        <f t="shared" si="37"/>
        <v>-11517</v>
      </c>
      <c r="J170" s="68">
        <f t="shared" si="38"/>
        <v>-9615</v>
      </c>
      <c r="K170" s="68">
        <f t="shared" si="39"/>
        <v>-433</v>
      </c>
      <c r="L170" s="68">
        <f t="shared" si="40"/>
        <v>-1688</v>
      </c>
      <c r="M170" s="68">
        <f t="shared" si="41"/>
        <v>-1477</v>
      </c>
      <c r="N170" s="68">
        <f t="shared" si="42"/>
        <v>-165</v>
      </c>
      <c r="O170" s="68">
        <f t="shared" si="43"/>
        <v>-368</v>
      </c>
      <c r="P170" s="68">
        <f t="shared" si="44"/>
        <v>2229</v>
      </c>
      <c r="Q170" s="68" t="str">
        <f t="shared" si="45"/>
        <v/>
      </c>
      <c r="R170" s="69">
        <f t="shared" si="46"/>
        <v>347</v>
      </c>
      <c r="U170" s="5">
        <v>45113</v>
      </c>
      <c r="V170">
        <v>-18561</v>
      </c>
      <c r="W170">
        <v>29731</v>
      </c>
      <c r="X170">
        <v>-11517</v>
      </c>
      <c r="Y170">
        <v>-9615</v>
      </c>
      <c r="Z170">
        <v>-433</v>
      </c>
      <c r="AA170">
        <v>-1688</v>
      </c>
      <c r="AB170">
        <v>-1477</v>
      </c>
      <c r="AC170">
        <v>-165</v>
      </c>
      <c r="AD170">
        <v>-368</v>
      </c>
      <c r="AE170">
        <v>2229</v>
      </c>
      <c r="AF170">
        <v>0</v>
      </c>
      <c r="AG170">
        <v>347</v>
      </c>
    </row>
    <row r="171" spans="6:33">
      <c r="F171" s="74">
        <f t="shared" si="34"/>
        <v>45112</v>
      </c>
      <c r="G171" s="72">
        <f t="shared" si="35"/>
        <v>-12052</v>
      </c>
      <c r="H171" s="68">
        <f t="shared" si="36"/>
        <v>22863</v>
      </c>
      <c r="I171" s="68">
        <f t="shared" si="37"/>
        <v>-9377</v>
      </c>
      <c r="J171" s="68">
        <f t="shared" si="38"/>
        <v>-9536</v>
      </c>
      <c r="K171" s="68">
        <f t="shared" si="39"/>
        <v>-51</v>
      </c>
      <c r="L171" s="68">
        <f t="shared" si="40"/>
        <v>-160</v>
      </c>
      <c r="M171" s="68">
        <f t="shared" si="41"/>
        <v>480</v>
      </c>
      <c r="N171" s="68">
        <f t="shared" si="42"/>
        <v>-198</v>
      </c>
      <c r="O171" s="68">
        <f t="shared" si="43"/>
        <v>150</v>
      </c>
      <c r="P171" s="68">
        <f t="shared" si="44"/>
        <v>-62</v>
      </c>
      <c r="Q171" s="68" t="str">
        <f t="shared" si="45"/>
        <v/>
      </c>
      <c r="R171" s="69">
        <f t="shared" si="46"/>
        <v>-1435</v>
      </c>
      <c r="U171" s="5">
        <v>45112</v>
      </c>
      <c r="V171">
        <v>-12052</v>
      </c>
      <c r="W171">
        <v>22863</v>
      </c>
      <c r="X171">
        <v>-9377</v>
      </c>
      <c r="Y171">
        <v>-9536</v>
      </c>
      <c r="Z171">
        <v>-51</v>
      </c>
      <c r="AA171">
        <v>-160</v>
      </c>
      <c r="AB171">
        <v>480</v>
      </c>
      <c r="AC171">
        <v>-198</v>
      </c>
      <c r="AD171">
        <v>150</v>
      </c>
      <c r="AE171">
        <v>-62</v>
      </c>
      <c r="AF171">
        <v>0</v>
      </c>
      <c r="AG171">
        <v>-1435</v>
      </c>
    </row>
    <row r="172" spans="6:33">
      <c r="F172" s="74">
        <f t="shared" si="34"/>
        <v>45111</v>
      </c>
      <c r="G172" s="72">
        <f t="shared" si="35"/>
        <v>-7380</v>
      </c>
      <c r="H172" s="68">
        <f t="shared" si="36"/>
        <v>9461</v>
      </c>
      <c r="I172" s="68">
        <f t="shared" si="37"/>
        <v>-4886</v>
      </c>
      <c r="J172" s="68">
        <f t="shared" si="38"/>
        <v>1233</v>
      </c>
      <c r="K172" s="68">
        <f t="shared" si="39"/>
        <v>-130</v>
      </c>
      <c r="L172" s="68">
        <f t="shared" si="40"/>
        <v>-244</v>
      </c>
      <c r="M172" s="68">
        <f t="shared" si="41"/>
        <v>-113</v>
      </c>
      <c r="N172" s="68">
        <f t="shared" si="42"/>
        <v>-117</v>
      </c>
      <c r="O172" s="68">
        <f t="shared" si="43"/>
        <v>55</v>
      </c>
      <c r="P172" s="68">
        <f t="shared" si="44"/>
        <v>-5570</v>
      </c>
      <c r="Q172" s="68" t="str">
        <f t="shared" si="45"/>
        <v/>
      </c>
      <c r="R172" s="69">
        <f t="shared" si="46"/>
        <v>2804</v>
      </c>
      <c r="U172" s="5">
        <v>45111</v>
      </c>
      <c r="V172">
        <v>-7380</v>
      </c>
      <c r="W172">
        <v>9461</v>
      </c>
      <c r="X172">
        <v>-4886</v>
      </c>
      <c r="Y172">
        <v>1233</v>
      </c>
      <c r="Z172">
        <v>-130</v>
      </c>
      <c r="AA172">
        <v>-244</v>
      </c>
      <c r="AB172">
        <v>-113</v>
      </c>
      <c r="AC172">
        <v>-117</v>
      </c>
      <c r="AD172">
        <v>55</v>
      </c>
      <c r="AE172">
        <v>-5570</v>
      </c>
      <c r="AF172">
        <v>0</v>
      </c>
      <c r="AG172">
        <v>2804</v>
      </c>
    </row>
    <row r="173" spans="6:33">
      <c r="F173" s="74">
        <f t="shared" si="34"/>
        <v>45110</v>
      </c>
      <c r="G173" s="72">
        <f t="shared" si="35"/>
        <v>11192</v>
      </c>
      <c r="H173" s="68">
        <f t="shared" si="36"/>
        <v>-23769</v>
      </c>
      <c r="I173" s="68">
        <f t="shared" si="37"/>
        <v>11916</v>
      </c>
      <c r="J173" s="68">
        <f t="shared" si="38"/>
        <v>16256</v>
      </c>
      <c r="K173" s="68">
        <f t="shared" si="39"/>
        <v>-491</v>
      </c>
      <c r="L173" s="68">
        <f t="shared" si="40"/>
        <v>473</v>
      </c>
      <c r="M173" s="68">
        <f t="shared" si="41"/>
        <v>80</v>
      </c>
      <c r="N173" s="68">
        <f t="shared" si="42"/>
        <v>-97</v>
      </c>
      <c r="O173" s="68">
        <f t="shared" si="43"/>
        <v>-5</v>
      </c>
      <c r="P173" s="68">
        <f t="shared" si="44"/>
        <v>-4300</v>
      </c>
      <c r="Q173" s="68" t="str">
        <f t="shared" si="45"/>
        <v/>
      </c>
      <c r="R173" s="69">
        <f t="shared" si="46"/>
        <v>661</v>
      </c>
      <c r="U173" s="5">
        <v>45110</v>
      </c>
      <c r="V173">
        <v>11192</v>
      </c>
      <c r="W173">
        <v>-23769</v>
      </c>
      <c r="X173">
        <v>11916</v>
      </c>
      <c r="Y173">
        <v>16256</v>
      </c>
      <c r="Z173">
        <v>-491</v>
      </c>
      <c r="AA173">
        <v>473</v>
      </c>
      <c r="AB173">
        <v>80</v>
      </c>
      <c r="AC173">
        <v>-97</v>
      </c>
      <c r="AD173">
        <v>-5</v>
      </c>
      <c r="AE173">
        <v>-4300</v>
      </c>
      <c r="AF173">
        <v>0</v>
      </c>
      <c r="AG173">
        <v>661</v>
      </c>
    </row>
    <row r="174" spans="6:33">
      <c r="F174" s="74">
        <f t="shared" si="34"/>
        <v>45107</v>
      </c>
      <c r="G174" s="72">
        <f t="shared" si="35"/>
        <v>615</v>
      </c>
      <c r="H174" s="68">
        <f t="shared" si="36"/>
        <v>-10147</v>
      </c>
      <c r="I174" s="68">
        <f t="shared" si="37"/>
        <v>9264</v>
      </c>
      <c r="J174" s="68">
        <f t="shared" si="38"/>
        <v>6000</v>
      </c>
      <c r="K174" s="68">
        <f t="shared" si="39"/>
        <v>206</v>
      </c>
      <c r="L174" s="68">
        <f t="shared" si="40"/>
        <v>750</v>
      </c>
      <c r="M174" s="68">
        <f t="shared" si="41"/>
        <v>1034</v>
      </c>
      <c r="N174" s="68">
        <f t="shared" si="42"/>
        <v>-182</v>
      </c>
      <c r="O174" s="68">
        <f t="shared" si="43"/>
        <v>76</v>
      </c>
      <c r="P174" s="68">
        <f t="shared" si="44"/>
        <v>1380</v>
      </c>
      <c r="Q174" s="68" t="str">
        <f t="shared" si="45"/>
        <v/>
      </c>
      <c r="R174" s="69">
        <f t="shared" si="46"/>
        <v>267</v>
      </c>
      <c r="U174" s="5">
        <v>45107</v>
      </c>
      <c r="V174">
        <v>615</v>
      </c>
      <c r="W174">
        <v>-10147</v>
      </c>
      <c r="X174">
        <v>9264</v>
      </c>
      <c r="Y174">
        <v>6000</v>
      </c>
      <c r="Z174">
        <v>206</v>
      </c>
      <c r="AA174">
        <v>750</v>
      </c>
      <c r="AB174">
        <v>1034</v>
      </c>
      <c r="AC174">
        <v>-182</v>
      </c>
      <c r="AD174">
        <v>76</v>
      </c>
      <c r="AE174">
        <v>1380</v>
      </c>
      <c r="AF174">
        <v>0</v>
      </c>
      <c r="AG174">
        <v>267</v>
      </c>
    </row>
    <row r="175" spans="6:33">
      <c r="F175" s="74">
        <f t="shared" si="34"/>
        <v>45106</v>
      </c>
      <c r="G175" s="72">
        <f t="shared" si="35"/>
        <v>-11842</v>
      </c>
      <c r="H175" s="68">
        <f t="shared" si="36"/>
        <v>15960</v>
      </c>
      <c r="I175" s="68">
        <f t="shared" si="37"/>
        <v>-2881</v>
      </c>
      <c r="J175" s="68">
        <f t="shared" si="38"/>
        <v>-4889</v>
      </c>
      <c r="K175" s="68">
        <f t="shared" si="39"/>
        <v>268</v>
      </c>
      <c r="L175" s="68">
        <f t="shared" si="40"/>
        <v>943</v>
      </c>
      <c r="M175" s="68">
        <f t="shared" si="41"/>
        <v>503</v>
      </c>
      <c r="N175" s="68">
        <f t="shared" si="42"/>
        <v>-285</v>
      </c>
      <c r="O175" s="68">
        <f t="shared" si="43"/>
        <v>-3</v>
      </c>
      <c r="P175" s="68">
        <f t="shared" si="44"/>
        <v>582</v>
      </c>
      <c r="Q175" s="68" t="str">
        <f t="shared" si="45"/>
        <v/>
      </c>
      <c r="R175" s="69">
        <f t="shared" si="46"/>
        <v>-1236</v>
      </c>
      <c r="U175" s="5">
        <v>45106</v>
      </c>
      <c r="V175">
        <v>-11842</v>
      </c>
      <c r="W175">
        <v>15960</v>
      </c>
      <c r="X175">
        <v>-2881</v>
      </c>
      <c r="Y175">
        <v>-4889</v>
      </c>
      <c r="Z175">
        <v>268</v>
      </c>
      <c r="AA175">
        <v>943</v>
      </c>
      <c r="AB175">
        <v>503</v>
      </c>
      <c r="AC175">
        <v>-285</v>
      </c>
      <c r="AD175">
        <v>-3</v>
      </c>
      <c r="AE175">
        <v>582</v>
      </c>
      <c r="AF175">
        <v>0</v>
      </c>
      <c r="AG175">
        <v>-1236</v>
      </c>
    </row>
    <row r="176" spans="6:33">
      <c r="F176" s="74">
        <f t="shared" si="34"/>
        <v>45105</v>
      </c>
      <c r="G176" s="72">
        <f t="shared" si="35"/>
        <v>-1574</v>
      </c>
      <c r="H176" s="68">
        <f t="shared" si="36"/>
        <v>-3561</v>
      </c>
      <c r="I176" s="68">
        <f t="shared" si="37"/>
        <v>4811</v>
      </c>
      <c r="J176" s="68">
        <f t="shared" si="38"/>
        <v>2068</v>
      </c>
      <c r="K176" s="68">
        <f t="shared" si="39"/>
        <v>608</v>
      </c>
      <c r="L176" s="68">
        <f t="shared" si="40"/>
        <v>1256</v>
      </c>
      <c r="M176" s="68">
        <f t="shared" si="41"/>
        <v>228</v>
      </c>
      <c r="N176" s="68">
        <f t="shared" si="42"/>
        <v>-249</v>
      </c>
      <c r="O176" s="68">
        <f t="shared" si="43"/>
        <v>-70</v>
      </c>
      <c r="P176" s="68">
        <f t="shared" si="44"/>
        <v>970</v>
      </c>
      <c r="Q176" s="68" t="str">
        <f t="shared" si="45"/>
        <v/>
      </c>
      <c r="R176" s="69">
        <f t="shared" si="46"/>
        <v>324</v>
      </c>
      <c r="U176" s="5">
        <v>45105</v>
      </c>
      <c r="V176">
        <v>-1574</v>
      </c>
      <c r="W176">
        <v>-3561</v>
      </c>
      <c r="X176">
        <v>4811</v>
      </c>
      <c r="Y176">
        <v>2068</v>
      </c>
      <c r="Z176">
        <v>608</v>
      </c>
      <c r="AA176">
        <v>1256</v>
      </c>
      <c r="AB176">
        <v>228</v>
      </c>
      <c r="AC176">
        <v>-249</v>
      </c>
      <c r="AD176">
        <v>-70</v>
      </c>
      <c r="AE176">
        <v>970</v>
      </c>
      <c r="AF176">
        <v>0</v>
      </c>
      <c r="AG176">
        <v>324</v>
      </c>
    </row>
    <row r="177" spans="6:33">
      <c r="F177" s="74">
        <f t="shared" si="34"/>
        <v>45104</v>
      </c>
      <c r="G177" s="72">
        <f t="shared" si="35"/>
        <v>-2905</v>
      </c>
      <c r="H177" s="68">
        <f t="shared" si="36"/>
        <v>2081</v>
      </c>
      <c r="I177" s="68">
        <f t="shared" si="37"/>
        <v>624</v>
      </c>
      <c r="J177" s="68">
        <f t="shared" si="38"/>
        <v>-2746</v>
      </c>
      <c r="K177" s="68">
        <f t="shared" si="39"/>
        <v>817</v>
      </c>
      <c r="L177" s="68">
        <f t="shared" si="40"/>
        <v>519</v>
      </c>
      <c r="M177" s="68">
        <f t="shared" si="41"/>
        <v>104</v>
      </c>
      <c r="N177" s="68">
        <f t="shared" si="42"/>
        <v>-242</v>
      </c>
      <c r="O177" s="68">
        <f t="shared" si="43"/>
        <v>-3</v>
      </c>
      <c r="P177" s="68">
        <f t="shared" si="44"/>
        <v>2175</v>
      </c>
      <c r="Q177" s="68" t="str">
        <f t="shared" si="45"/>
        <v/>
      </c>
      <c r="R177" s="69">
        <f t="shared" si="46"/>
        <v>200</v>
      </c>
      <c r="U177" s="5">
        <v>45104</v>
      </c>
      <c r="V177">
        <v>-2905</v>
      </c>
      <c r="W177">
        <v>2081</v>
      </c>
      <c r="X177">
        <v>624</v>
      </c>
      <c r="Y177">
        <v>-2746</v>
      </c>
      <c r="Z177">
        <v>817</v>
      </c>
      <c r="AA177">
        <v>519</v>
      </c>
      <c r="AB177">
        <v>104</v>
      </c>
      <c r="AC177">
        <v>-242</v>
      </c>
      <c r="AD177">
        <v>-3</v>
      </c>
      <c r="AE177">
        <v>2175</v>
      </c>
      <c r="AF177">
        <v>0</v>
      </c>
      <c r="AG177">
        <v>200</v>
      </c>
    </row>
    <row r="178" spans="6:33">
      <c r="F178" s="74">
        <f t="shared" si="34"/>
        <v>45103</v>
      </c>
      <c r="G178" s="72">
        <f t="shared" si="35"/>
        <v>5248</v>
      </c>
      <c r="H178" s="68">
        <f t="shared" si="36"/>
        <v>1003</v>
      </c>
      <c r="I178" s="68">
        <f t="shared" si="37"/>
        <v>2731</v>
      </c>
      <c r="J178" s="68">
        <f t="shared" si="38"/>
        <v>4829</v>
      </c>
      <c r="K178" s="68">
        <f t="shared" si="39"/>
        <v>-543</v>
      </c>
      <c r="L178" s="68">
        <f t="shared" si="40"/>
        <v>-867</v>
      </c>
      <c r="M178" s="68">
        <f t="shared" si="41"/>
        <v>-328</v>
      </c>
      <c r="N178" s="68">
        <f t="shared" si="42"/>
        <v>-159</v>
      </c>
      <c r="O178" s="68">
        <f t="shared" si="43"/>
        <v>83</v>
      </c>
      <c r="P178" s="68">
        <f t="shared" si="44"/>
        <v>-284</v>
      </c>
      <c r="Q178" s="68" t="str">
        <f t="shared" si="45"/>
        <v/>
      </c>
      <c r="R178" s="69">
        <f t="shared" si="46"/>
        <v>-8980</v>
      </c>
      <c r="U178" s="5">
        <v>45103</v>
      </c>
      <c r="V178">
        <v>5248</v>
      </c>
      <c r="W178">
        <v>1003</v>
      </c>
      <c r="X178">
        <v>2731</v>
      </c>
      <c r="Y178">
        <v>4829</v>
      </c>
      <c r="Z178">
        <v>-543</v>
      </c>
      <c r="AA178">
        <v>-867</v>
      </c>
      <c r="AB178">
        <v>-328</v>
      </c>
      <c r="AC178">
        <v>-159</v>
      </c>
      <c r="AD178">
        <v>83</v>
      </c>
      <c r="AE178">
        <v>-284</v>
      </c>
      <c r="AF178">
        <v>0</v>
      </c>
      <c r="AG178">
        <v>-8980</v>
      </c>
    </row>
    <row r="179" spans="6:33">
      <c r="F179" s="74">
        <f t="shared" si="34"/>
        <v>45100</v>
      </c>
      <c r="G179" s="72">
        <f t="shared" si="35"/>
        <v>-10628</v>
      </c>
      <c r="H179" s="68">
        <f t="shared" si="36"/>
        <v>20259</v>
      </c>
      <c r="I179" s="68">
        <f t="shared" si="37"/>
        <v>-9857</v>
      </c>
      <c r="J179" s="68">
        <f t="shared" si="38"/>
        <v>-7303</v>
      </c>
      <c r="K179" s="68">
        <f t="shared" si="39"/>
        <v>-543</v>
      </c>
      <c r="L179" s="68">
        <f t="shared" si="40"/>
        <v>-268</v>
      </c>
      <c r="M179" s="68">
        <f t="shared" si="41"/>
        <v>-555</v>
      </c>
      <c r="N179" s="68">
        <f t="shared" si="42"/>
        <v>-116</v>
      </c>
      <c r="O179" s="68">
        <f t="shared" si="43"/>
        <v>-44</v>
      </c>
      <c r="P179" s="68">
        <f t="shared" si="44"/>
        <v>-1028</v>
      </c>
      <c r="Q179" s="68" t="str">
        <f t="shared" si="45"/>
        <v/>
      </c>
      <c r="R179" s="69">
        <f t="shared" si="46"/>
        <v>226</v>
      </c>
      <c r="U179" s="5">
        <v>45100</v>
      </c>
      <c r="V179">
        <v>-10628</v>
      </c>
      <c r="W179">
        <v>20259</v>
      </c>
      <c r="X179">
        <v>-9857</v>
      </c>
      <c r="Y179">
        <v>-7303</v>
      </c>
      <c r="Z179">
        <v>-543</v>
      </c>
      <c r="AA179">
        <v>-268</v>
      </c>
      <c r="AB179">
        <v>-555</v>
      </c>
      <c r="AC179">
        <v>-116</v>
      </c>
      <c r="AD179">
        <v>-44</v>
      </c>
      <c r="AE179">
        <v>-1028</v>
      </c>
      <c r="AF179">
        <v>0</v>
      </c>
      <c r="AG179">
        <v>226</v>
      </c>
    </row>
    <row r="180" spans="6:33">
      <c r="F180" s="74">
        <f t="shared" si="34"/>
        <v>45099</v>
      </c>
      <c r="G180" s="72">
        <f t="shared" si="35"/>
        <v>-3999</v>
      </c>
      <c r="H180" s="68">
        <f t="shared" si="36"/>
        <v>2186</v>
      </c>
      <c r="I180" s="68">
        <f t="shared" si="37"/>
        <v>2140</v>
      </c>
      <c r="J180" s="68">
        <f t="shared" si="38"/>
        <v>1367</v>
      </c>
      <c r="K180" s="68">
        <f t="shared" si="39"/>
        <v>-405</v>
      </c>
      <c r="L180" s="68">
        <f t="shared" si="40"/>
        <v>166</v>
      </c>
      <c r="M180" s="68">
        <f t="shared" si="41"/>
        <v>-16</v>
      </c>
      <c r="N180" s="68">
        <f t="shared" si="42"/>
        <v>-607</v>
      </c>
      <c r="O180" s="68">
        <f t="shared" si="43"/>
        <v>-21</v>
      </c>
      <c r="P180" s="68">
        <f t="shared" si="44"/>
        <v>1656</v>
      </c>
      <c r="Q180" s="68" t="str">
        <f t="shared" si="45"/>
        <v/>
      </c>
      <c r="R180" s="69">
        <f t="shared" si="46"/>
        <v>-329</v>
      </c>
      <c r="U180" s="5">
        <v>45099</v>
      </c>
      <c r="V180">
        <v>-3999</v>
      </c>
      <c r="W180">
        <v>2186</v>
      </c>
      <c r="X180">
        <v>2140</v>
      </c>
      <c r="Y180">
        <v>1367</v>
      </c>
      <c r="Z180">
        <v>-405</v>
      </c>
      <c r="AA180">
        <v>166</v>
      </c>
      <c r="AB180">
        <v>-16</v>
      </c>
      <c r="AC180">
        <v>-607</v>
      </c>
      <c r="AD180">
        <v>-21</v>
      </c>
      <c r="AE180">
        <v>1656</v>
      </c>
      <c r="AF180">
        <v>0</v>
      </c>
      <c r="AG180">
        <v>-329</v>
      </c>
    </row>
    <row r="181" spans="6:33">
      <c r="F181" s="74">
        <f t="shared" si="34"/>
        <v>45098</v>
      </c>
      <c r="G181" s="72">
        <f t="shared" si="35"/>
        <v>-4814</v>
      </c>
      <c r="H181" s="68">
        <f t="shared" si="36"/>
        <v>14091</v>
      </c>
      <c r="I181" s="68">
        <f t="shared" si="37"/>
        <v>-3810</v>
      </c>
      <c r="J181" s="68">
        <f t="shared" si="38"/>
        <v>-781</v>
      </c>
      <c r="K181" s="68">
        <f t="shared" si="39"/>
        <v>-149</v>
      </c>
      <c r="L181" s="68">
        <f t="shared" si="40"/>
        <v>-65</v>
      </c>
      <c r="M181" s="68">
        <f t="shared" si="41"/>
        <v>-798</v>
      </c>
      <c r="N181" s="68">
        <f t="shared" si="42"/>
        <v>-220</v>
      </c>
      <c r="O181" s="68">
        <f t="shared" si="43"/>
        <v>-83</v>
      </c>
      <c r="P181" s="68">
        <f t="shared" si="44"/>
        <v>-1714</v>
      </c>
      <c r="Q181" s="68" t="str">
        <f t="shared" si="45"/>
        <v/>
      </c>
      <c r="R181" s="69">
        <f t="shared" si="46"/>
        <v>-5467</v>
      </c>
      <c r="U181" s="5">
        <v>45098</v>
      </c>
      <c r="V181">
        <v>-4814</v>
      </c>
      <c r="W181">
        <v>14091</v>
      </c>
      <c r="X181">
        <v>-3810</v>
      </c>
      <c r="Y181">
        <v>-781</v>
      </c>
      <c r="Z181">
        <v>-149</v>
      </c>
      <c r="AA181">
        <v>-65</v>
      </c>
      <c r="AB181">
        <v>-798</v>
      </c>
      <c r="AC181">
        <v>-220</v>
      </c>
      <c r="AD181">
        <v>-83</v>
      </c>
      <c r="AE181">
        <v>-1714</v>
      </c>
      <c r="AF181">
        <v>0</v>
      </c>
      <c r="AG181">
        <v>-5467</v>
      </c>
    </row>
    <row r="182" spans="6:33">
      <c r="F182" s="74">
        <f t="shared" si="34"/>
        <v>45097</v>
      </c>
      <c r="G182" s="72">
        <f t="shared" si="35"/>
        <v>-14856</v>
      </c>
      <c r="H182" s="68">
        <f t="shared" si="36"/>
        <v>14523</v>
      </c>
      <c r="I182" s="68">
        <f t="shared" si="37"/>
        <v>148</v>
      </c>
      <c r="J182" s="68">
        <f t="shared" si="38"/>
        <v>1720</v>
      </c>
      <c r="K182" s="68">
        <f t="shared" si="39"/>
        <v>-100</v>
      </c>
      <c r="L182" s="68">
        <f t="shared" si="40"/>
        <v>-60</v>
      </c>
      <c r="M182" s="68">
        <f t="shared" si="41"/>
        <v>-906</v>
      </c>
      <c r="N182" s="68">
        <f t="shared" si="42"/>
        <v>-102</v>
      </c>
      <c r="O182" s="68">
        <f t="shared" si="43"/>
        <v>-197</v>
      </c>
      <c r="P182" s="68">
        <f t="shared" si="44"/>
        <v>-207</v>
      </c>
      <c r="Q182" s="68" t="str">
        <f t="shared" si="45"/>
        <v/>
      </c>
      <c r="R182" s="69">
        <f t="shared" si="46"/>
        <v>184</v>
      </c>
      <c r="U182" s="5">
        <v>45097</v>
      </c>
      <c r="V182">
        <v>-14856</v>
      </c>
      <c r="W182">
        <v>14523</v>
      </c>
      <c r="X182">
        <v>148</v>
      </c>
      <c r="Y182">
        <v>1720</v>
      </c>
      <c r="Z182">
        <v>-100</v>
      </c>
      <c r="AA182">
        <v>-60</v>
      </c>
      <c r="AB182">
        <v>-906</v>
      </c>
      <c r="AC182">
        <v>-102</v>
      </c>
      <c r="AD182">
        <v>-197</v>
      </c>
      <c r="AE182">
        <v>-207</v>
      </c>
      <c r="AF182">
        <v>0</v>
      </c>
      <c r="AG182">
        <v>184</v>
      </c>
    </row>
    <row r="183" spans="6:33">
      <c r="F183" s="74">
        <f t="shared" si="34"/>
        <v>45096</v>
      </c>
      <c r="G183" s="72">
        <f t="shared" si="35"/>
        <v>8512</v>
      </c>
      <c r="H183" s="68">
        <f t="shared" si="36"/>
        <v>-7222</v>
      </c>
      <c r="I183" s="68">
        <f t="shared" si="37"/>
        <v>1829</v>
      </c>
      <c r="J183" s="68">
        <f t="shared" si="38"/>
        <v>3949</v>
      </c>
      <c r="K183" s="68">
        <f t="shared" si="39"/>
        <v>34</v>
      </c>
      <c r="L183" s="68">
        <f t="shared" si="40"/>
        <v>768</v>
      </c>
      <c r="M183" s="68">
        <f t="shared" si="41"/>
        <v>377</v>
      </c>
      <c r="N183" s="68">
        <f t="shared" si="42"/>
        <v>-400</v>
      </c>
      <c r="O183" s="68">
        <f t="shared" si="43"/>
        <v>-137</v>
      </c>
      <c r="P183" s="68">
        <f t="shared" si="44"/>
        <v>-2762</v>
      </c>
      <c r="Q183" s="68" t="str">
        <f t="shared" si="45"/>
        <v/>
      </c>
      <c r="R183" s="69">
        <f t="shared" si="46"/>
        <v>-3121</v>
      </c>
      <c r="U183" s="5">
        <v>45096</v>
      </c>
      <c r="V183">
        <v>8512</v>
      </c>
      <c r="W183">
        <v>-7222</v>
      </c>
      <c r="X183">
        <v>1829</v>
      </c>
      <c r="Y183">
        <v>3949</v>
      </c>
      <c r="Z183">
        <v>34</v>
      </c>
      <c r="AA183">
        <v>768</v>
      </c>
      <c r="AB183">
        <v>377</v>
      </c>
      <c r="AC183">
        <v>-400</v>
      </c>
      <c r="AD183">
        <v>-137</v>
      </c>
      <c r="AE183">
        <v>-2762</v>
      </c>
      <c r="AF183">
        <v>0</v>
      </c>
      <c r="AG183">
        <v>-3121</v>
      </c>
    </row>
    <row r="184" spans="6:33">
      <c r="F184" s="74">
        <f t="shared" si="34"/>
        <v>45093</v>
      </c>
      <c r="G184" s="72">
        <f t="shared" si="35"/>
        <v>16892</v>
      </c>
      <c r="H184" s="68">
        <f t="shared" si="36"/>
        <v>-16090</v>
      </c>
      <c r="I184" s="68">
        <f t="shared" si="37"/>
        <v>-1159</v>
      </c>
      <c r="J184" s="68">
        <f t="shared" si="38"/>
        <v>-732</v>
      </c>
      <c r="K184" s="68">
        <f t="shared" si="39"/>
        <v>95</v>
      </c>
      <c r="L184" s="68">
        <f t="shared" si="40"/>
        <v>423</v>
      </c>
      <c r="M184" s="68">
        <f t="shared" si="41"/>
        <v>702</v>
      </c>
      <c r="N184" s="68">
        <f t="shared" si="42"/>
        <v>-287</v>
      </c>
      <c r="O184" s="68">
        <f t="shared" si="43"/>
        <v>-176</v>
      </c>
      <c r="P184" s="68">
        <f t="shared" si="44"/>
        <v>-1184</v>
      </c>
      <c r="Q184" s="68" t="str">
        <f t="shared" si="45"/>
        <v/>
      </c>
      <c r="R184" s="69">
        <f t="shared" si="46"/>
        <v>359</v>
      </c>
      <c r="U184" s="5">
        <v>45093</v>
      </c>
      <c r="V184">
        <v>16892</v>
      </c>
      <c r="W184">
        <v>-16090</v>
      </c>
      <c r="X184">
        <v>-1159</v>
      </c>
      <c r="Y184">
        <v>-732</v>
      </c>
      <c r="Z184">
        <v>95</v>
      </c>
      <c r="AA184">
        <v>423</v>
      </c>
      <c r="AB184">
        <v>702</v>
      </c>
      <c r="AC184">
        <v>-287</v>
      </c>
      <c r="AD184">
        <v>-176</v>
      </c>
      <c r="AE184">
        <v>-1184</v>
      </c>
      <c r="AF184">
        <v>0</v>
      </c>
      <c r="AG184">
        <v>359</v>
      </c>
    </row>
    <row r="185" spans="6:33">
      <c r="F185" s="74">
        <f t="shared" si="34"/>
        <v>45092</v>
      </c>
      <c r="G185" s="72">
        <f t="shared" si="35"/>
        <v>-8784</v>
      </c>
      <c r="H185" s="68">
        <f t="shared" si="36"/>
        <v>10234</v>
      </c>
      <c r="I185" s="68">
        <f t="shared" si="37"/>
        <v>-2619</v>
      </c>
      <c r="J185" s="68">
        <f t="shared" si="38"/>
        <v>3146</v>
      </c>
      <c r="K185" s="68">
        <f t="shared" si="39"/>
        <v>-173</v>
      </c>
      <c r="L185" s="68">
        <f t="shared" si="40"/>
        <v>-310</v>
      </c>
      <c r="M185" s="68">
        <f t="shared" si="41"/>
        <v>-603</v>
      </c>
      <c r="N185" s="68">
        <f t="shared" si="42"/>
        <v>-100</v>
      </c>
      <c r="O185" s="68">
        <f t="shared" si="43"/>
        <v>-495</v>
      </c>
      <c r="P185" s="68">
        <f t="shared" si="44"/>
        <v>-4084</v>
      </c>
      <c r="Q185" s="68" t="str">
        <f t="shared" si="45"/>
        <v/>
      </c>
      <c r="R185" s="69">
        <f t="shared" si="46"/>
        <v>1169</v>
      </c>
      <c r="U185" s="5">
        <v>45092</v>
      </c>
      <c r="V185">
        <v>-8784</v>
      </c>
      <c r="W185">
        <v>10234</v>
      </c>
      <c r="X185">
        <v>-2619</v>
      </c>
      <c r="Y185">
        <v>3146</v>
      </c>
      <c r="Z185">
        <v>-173</v>
      </c>
      <c r="AA185">
        <v>-310</v>
      </c>
      <c r="AB185">
        <v>-603</v>
      </c>
      <c r="AC185">
        <v>-100</v>
      </c>
      <c r="AD185">
        <v>-495</v>
      </c>
      <c r="AE185">
        <v>-4084</v>
      </c>
      <c r="AF185">
        <v>0</v>
      </c>
      <c r="AG185">
        <v>1169</v>
      </c>
    </row>
    <row r="186" spans="6:33">
      <c r="F186" s="74">
        <f t="shared" si="34"/>
        <v>45091</v>
      </c>
      <c r="G186" s="72">
        <f t="shared" si="35"/>
        <v>-8926</v>
      </c>
      <c r="H186" s="68">
        <f t="shared" si="36"/>
        <v>12397</v>
      </c>
      <c r="I186" s="68">
        <f t="shared" si="37"/>
        <v>-2038</v>
      </c>
      <c r="J186" s="68">
        <f t="shared" si="38"/>
        <v>-889</v>
      </c>
      <c r="K186" s="68">
        <f t="shared" si="39"/>
        <v>560</v>
      </c>
      <c r="L186" s="68">
        <f t="shared" si="40"/>
        <v>700</v>
      </c>
      <c r="M186" s="68">
        <f t="shared" si="41"/>
        <v>1506</v>
      </c>
      <c r="N186" s="68">
        <f t="shared" si="42"/>
        <v>-428</v>
      </c>
      <c r="O186" s="68">
        <f t="shared" si="43"/>
        <v>-81</v>
      </c>
      <c r="P186" s="68">
        <f t="shared" si="44"/>
        <v>-3406</v>
      </c>
      <c r="Q186" s="68" t="str">
        <f t="shared" si="45"/>
        <v/>
      </c>
      <c r="R186" s="69">
        <f t="shared" si="46"/>
        <v>-1433</v>
      </c>
      <c r="U186" s="5">
        <v>45091</v>
      </c>
      <c r="V186">
        <v>-8926</v>
      </c>
      <c r="W186">
        <v>12397</v>
      </c>
      <c r="X186">
        <v>-2038</v>
      </c>
      <c r="Y186">
        <v>-889</v>
      </c>
      <c r="Z186">
        <v>560</v>
      </c>
      <c r="AA186">
        <v>700</v>
      </c>
      <c r="AB186">
        <v>1506</v>
      </c>
      <c r="AC186">
        <v>-428</v>
      </c>
      <c r="AD186">
        <v>-81</v>
      </c>
      <c r="AE186">
        <v>-3406</v>
      </c>
      <c r="AF186">
        <v>0</v>
      </c>
      <c r="AG186">
        <v>-1433</v>
      </c>
    </row>
    <row r="187" spans="6:33">
      <c r="F187" s="74">
        <f t="shared" si="34"/>
        <v>45090</v>
      </c>
      <c r="G187" s="72">
        <f t="shared" si="35"/>
        <v>1804</v>
      </c>
      <c r="H187" s="68">
        <f t="shared" si="36"/>
        <v>-3277</v>
      </c>
      <c r="I187" s="68">
        <f t="shared" si="37"/>
        <v>1729</v>
      </c>
      <c r="J187" s="68">
        <f t="shared" si="38"/>
        <v>6753</v>
      </c>
      <c r="K187" s="68">
        <f t="shared" si="39"/>
        <v>-577</v>
      </c>
      <c r="L187" s="68">
        <f t="shared" si="40"/>
        <v>379</v>
      </c>
      <c r="M187" s="68">
        <f t="shared" si="41"/>
        <v>-313</v>
      </c>
      <c r="N187" s="68">
        <f t="shared" si="42"/>
        <v>-468</v>
      </c>
      <c r="O187" s="68">
        <f t="shared" si="43"/>
        <v>34</v>
      </c>
      <c r="P187" s="68">
        <f t="shared" si="44"/>
        <v>-4079</v>
      </c>
      <c r="Q187" s="68" t="str">
        <f t="shared" si="45"/>
        <v/>
      </c>
      <c r="R187" s="69">
        <f t="shared" si="46"/>
        <v>-256</v>
      </c>
      <c r="U187" s="5">
        <v>45090</v>
      </c>
      <c r="V187">
        <v>1804</v>
      </c>
      <c r="W187">
        <v>-3277</v>
      </c>
      <c r="X187">
        <v>1729</v>
      </c>
      <c r="Y187">
        <v>6753</v>
      </c>
      <c r="Z187">
        <v>-577</v>
      </c>
      <c r="AA187">
        <v>379</v>
      </c>
      <c r="AB187">
        <v>-313</v>
      </c>
      <c r="AC187">
        <v>-468</v>
      </c>
      <c r="AD187">
        <v>34</v>
      </c>
      <c r="AE187">
        <v>-4079</v>
      </c>
      <c r="AF187">
        <v>0</v>
      </c>
      <c r="AG187">
        <v>-256</v>
      </c>
    </row>
    <row r="188" spans="6:33">
      <c r="F188" s="74">
        <f t="shared" si="34"/>
        <v>45089</v>
      </c>
      <c r="G188" s="72">
        <f t="shared" si="35"/>
        <v>-4790</v>
      </c>
      <c r="H188" s="68">
        <f t="shared" si="36"/>
        <v>4565</v>
      </c>
      <c r="I188" s="68">
        <f t="shared" si="37"/>
        <v>-353</v>
      </c>
      <c r="J188" s="68">
        <f t="shared" si="38"/>
        <v>5313</v>
      </c>
      <c r="K188" s="68">
        <f t="shared" si="39"/>
        <v>-972</v>
      </c>
      <c r="L188" s="68">
        <f t="shared" si="40"/>
        <v>-487</v>
      </c>
      <c r="M188" s="68">
        <f t="shared" si="41"/>
        <v>-743</v>
      </c>
      <c r="N188" s="68">
        <f t="shared" si="42"/>
        <v>-392</v>
      </c>
      <c r="O188" s="68">
        <f t="shared" si="43"/>
        <v>63</v>
      </c>
      <c r="P188" s="68">
        <f t="shared" si="44"/>
        <v>-3135</v>
      </c>
      <c r="Q188" s="68" t="str">
        <f t="shared" si="45"/>
        <v/>
      </c>
      <c r="R188" s="69">
        <f t="shared" si="46"/>
        <v>577</v>
      </c>
      <c r="U188" s="5">
        <v>45089</v>
      </c>
      <c r="V188">
        <v>-4790</v>
      </c>
      <c r="W188">
        <v>4565</v>
      </c>
      <c r="X188">
        <v>-353</v>
      </c>
      <c r="Y188">
        <v>5313</v>
      </c>
      <c r="Z188">
        <v>-972</v>
      </c>
      <c r="AA188">
        <v>-487</v>
      </c>
      <c r="AB188">
        <v>-743</v>
      </c>
      <c r="AC188">
        <v>-392</v>
      </c>
      <c r="AD188">
        <v>63</v>
      </c>
      <c r="AE188">
        <v>-3135</v>
      </c>
      <c r="AF188">
        <v>0</v>
      </c>
      <c r="AG188">
        <v>577</v>
      </c>
    </row>
    <row r="189" spans="6:33">
      <c r="F189" s="74">
        <f t="shared" si="34"/>
        <v>45086</v>
      </c>
      <c r="G189" s="72">
        <f t="shared" si="35"/>
        <v>6398</v>
      </c>
      <c r="H189" s="68">
        <f t="shared" si="36"/>
        <v>-11544</v>
      </c>
      <c r="I189" s="68">
        <f t="shared" si="37"/>
        <v>5965</v>
      </c>
      <c r="J189" s="68">
        <f t="shared" si="38"/>
        <v>6007</v>
      </c>
      <c r="K189" s="68">
        <f t="shared" si="39"/>
        <v>-39</v>
      </c>
      <c r="L189" s="68">
        <f t="shared" si="40"/>
        <v>1473</v>
      </c>
      <c r="M189" s="68">
        <f t="shared" si="41"/>
        <v>-395</v>
      </c>
      <c r="N189" s="68">
        <f t="shared" si="42"/>
        <v>-69</v>
      </c>
      <c r="O189" s="68">
        <f t="shared" si="43"/>
        <v>13</v>
      </c>
      <c r="P189" s="68">
        <f t="shared" si="44"/>
        <v>-1025</v>
      </c>
      <c r="Q189" s="68" t="str">
        <f t="shared" si="45"/>
        <v/>
      </c>
      <c r="R189" s="69">
        <f t="shared" si="46"/>
        <v>-818</v>
      </c>
      <c r="U189" s="5">
        <v>45086</v>
      </c>
      <c r="V189">
        <v>6398</v>
      </c>
      <c r="W189">
        <v>-11544</v>
      </c>
      <c r="X189">
        <v>5965</v>
      </c>
      <c r="Y189">
        <v>6007</v>
      </c>
      <c r="Z189">
        <v>-39</v>
      </c>
      <c r="AA189">
        <v>1473</v>
      </c>
      <c r="AB189">
        <v>-395</v>
      </c>
      <c r="AC189">
        <v>-69</v>
      </c>
      <c r="AD189">
        <v>13</v>
      </c>
      <c r="AE189">
        <v>-1025</v>
      </c>
      <c r="AF189">
        <v>0</v>
      </c>
      <c r="AG189">
        <v>-818</v>
      </c>
    </row>
    <row r="190" spans="6:33">
      <c r="F190" s="74">
        <f t="shared" si="34"/>
        <v>45085</v>
      </c>
      <c r="G190" s="72">
        <f t="shared" si="35"/>
        <v>-7503</v>
      </c>
      <c r="H190" s="68">
        <f t="shared" si="36"/>
        <v>-18</v>
      </c>
      <c r="I190" s="68">
        <f t="shared" si="37"/>
        <v>8536</v>
      </c>
      <c r="J190" s="68">
        <f t="shared" si="38"/>
        <v>3593</v>
      </c>
      <c r="K190" s="68">
        <f t="shared" si="39"/>
        <v>1216</v>
      </c>
      <c r="L190" s="68">
        <f t="shared" si="40"/>
        <v>2880</v>
      </c>
      <c r="M190" s="68">
        <f t="shared" si="41"/>
        <v>-610</v>
      </c>
      <c r="N190" s="68">
        <f t="shared" si="42"/>
        <v>-73</v>
      </c>
      <c r="O190" s="68">
        <f t="shared" si="43"/>
        <v>-46</v>
      </c>
      <c r="P190" s="68">
        <f t="shared" si="44"/>
        <v>1576</v>
      </c>
      <c r="Q190" s="68" t="str">
        <f t="shared" si="45"/>
        <v/>
      </c>
      <c r="R190" s="69">
        <f t="shared" si="46"/>
        <v>-1016</v>
      </c>
      <c r="U190" s="5">
        <v>45085</v>
      </c>
      <c r="V190">
        <v>-7503</v>
      </c>
      <c r="W190">
        <v>-18</v>
      </c>
      <c r="X190">
        <v>8536</v>
      </c>
      <c r="Y190">
        <v>3593</v>
      </c>
      <c r="Z190">
        <v>1216</v>
      </c>
      <c r="AA190">
        <v>2880</v>
      </c>
      <c r="AB190">
        <v>-610</v>
      </c>
      <c r="AC190">
        <v>-73</v>
      </c>
      <c r="AD190">
        <v>-46</v>
      </c>
      <c r="AE190">
        <v>1576</v>
      </c>
      <c r="AF190">
        <v>0</v>
      </c>
      <c r="AG190">
        <v>-1016</v>
      </c>
    </row>
    <row r="191" spans="6:33">
      <c r="F191" s="74">
        <f t="shared" si="34"/>
        <v>45084</v>
      </c>
      <c r="G191" s="72">
        <f t="shared" si="35"/>
        <v>-3446</v>
      </c>
      <c r="H191" s="68">
        <f t="shared" si="36"/>
        <v>-7572</v>
      </c>
      <c r="I191" s="68">
        <f t="shared" si="37"/>
        <v>11450</v>
      </c>
      <c r="J191" s="68">
        <f t="shared" si="38"/>
        <v>9298</v>
      </c>
      <c r="K191" s="68">
        <f t="shared" si="39"/>
        <v>74</v>
      </c>
      <c r="L191" s="68">
        <f t="shared" si="40"/>
        <v>1062</v>
      </c>
      <c r="M191" s="68">
        <f t="shared" si="41"/>
        <v>763</v>
      </c>
      <c r="N191" s="68">
        <f t="shared" si="42"/>
        <v>-28</v>
      </c>
      <c r="O191" s="68">
        <f t="shared" si="43"/>
        <v>115</v>
      </c>
      <c r="P191" s="68">
        <f t="shared" si="44"/>
        <v>166</v>
      </c>
      <c r="Q191" s="68" t="str">
        <f t="shared" si="45"/>
        <v/>
      </c>
      <c r="R191" s="69">
        <f t="shared" si="46"/>
        <v>-432</v>
      </c>
      <c r="U191" s="5">
        <v>45084</v>
      </c>
      <c r="V191">
        <v>-3446</v>
      </c>
      <c r="W191">
        <v>-7572</v>
      </c>
      <c r="X191">
        <v>11450</v>
      </c>
      <c r="Y191">
        <v>9298</v>
      </c>
      <c r="Z191">
        <v>74</v>
      </c>
      <c r="AA191">
        <v>1062</v>
      </c>
      <c r="AB191">
        <v>763</v>
      </c>
      <c r="AC191">
        <v>-28</v>
      </c>
      <c r="AD191">
        <v>115</v>
      </c>
      <c r="AE191">
        <v>166</v>
      </c>
      <c r="AF191">
        <v>0</v>
      </c>
      <c r="AG191">
        <v>-432</v>
      </c>
    </row>
    <row r="192" spans="6:33">
      <c r="F192" s="74">
        <f t="shared" si="34"/>
        <v>45082</v>
      </c>
      <c r="G192" s="72">
        <f t="shared" si="35"/>
        <v>6821</v>
      </c>
      <c r="H192" s="68">
        <f t="shared" si="36"/>
        <v>-19705</v>
      </c>
      <c r="I192" s="68">
        <f t="shared" si="37"/>
        <v>12565</v>
      </c>
      <c r="J192" s="68">
        <f t="shared" si="38"/>
        <v>7491</v>
      </c>
      <c r="K192" s="68">
        <f t="shared" si="39"/>
        <v>310</v>
      </c>
      <c r="L192" s="68">
        <f t="shared" si="40"/>
        <v>1807</v>
      </c>
      <c r="M192" s="68">
        <f t="shared" si="41"/>
        <v>1676</v>
      </c>
      <c r="N192" s="68">
        <f t="shared" si="42"/>
        <v>-59</v>
      </c>
      <c r="O192" s="68">
        <f t="shared" si="43"/>
        <v>-4</v>
      </c>
      <c r="P192" s="68">
        <f t="shared" si="44"/>
        <v>1344</v>
      </c>
      <c r="Q192" s="68" t="str">
        <f t="shared" si="45"/>
        <v/>
      </c>
      <c r="R192" s="69">
        <f t="shared" si="46"/>
        <v>320</v>
      </c>
      <c r="U192" s="5">
        <v>45082</v>
      </c>
      <c r="V192">
        <v>6821</v>
      </c>
      <c r="W192">
        <v>-19705</v>
      </c>
      <c r="X192">
        <v>12565</v>
      </c>
      <c r="Y192">
        <v>7491</v>
      </c>
      <c r="Z192">
        <v>310</v>
      </c>
      <c r="AA192">
        <v>1807</v>
      </c>
      <c r="AB192">
        <v>1676</v>
      </c>
      <c r="AC192">
        <v>-59</v>
      </c>
      <c r="AD192">
        <v>-4</v>
      </c>
      <c r="AE192">
        <v>1344</v>
      </c>
      <c r="AF192">
        <v>0</v>
      </c>
      <c r="AG192">
        <v>320</v>
      </c>
    </row>
    <row r="193" spans="6:33">
      <c r="F193" s="74">
        <f t="shared" si="34"/>
        <v>45079</v>
      </c>
      <c r="G193" s="72">
        <f t="shared" si="35"/>
        <v>12997</v>
      </c>
      <c r="H193" s="68">
        <f t="shared" si="36"/>
        <v>-14773</v>
      </c>
      <c r="I193" s="68">
        <f t="shared" si="37"/>
        <v>2979</v>
      </c>
      <c r="J193" s="68">
        <f t="shared" si="38"/>
        <v>4075</v>
      </c>
      <c r="K193" s="68">
        <f t="shared" si="39"/>
        <v>-442</v>
      </c>
      <c r="L193" s="68">
        <f t="shared" si="40"/>
        <v>887</v>
      </c>
      <c r="M193" s="68">
        <f t="shared" si="41"/>
        <v>868</v>
      </c>
      <c r="N193" s="68">
        <f t="shared" si="42"/>
        <v>-187</v>
      </c>
      <c r="O193" s="68">
        <f t="shared" si="43"/>
        <v>32</v>
      </c>
      <c r="P193" s="68">
        <f t="shared" si="44"/>
        <v>-2254</v>
      </c>
      <c r="Q193" s="68" t="str">
        <f t="shared" si="45"/>
        <v/>
      </c>
      <c r="R193" s="69">
        <f t="shared" si="46"/>
        <v>-1202</v>
      </c>
      <c r="U193" s="5">
        <v>45079</v>
      </c>
      <c r="V193">
        <v>12997</v>
      </c>
      <c r="W193">
        <v>-14773</v>
      </c>
      <c r="X193">
        <v>2979</v>
      </c>
      <c r="Y193">
        <v>4075</v>
      </c>
      <c r="Z193">
        <v>-442</v>
      </c>
      <c r="AA193">
        <v>887</v>
      </c>
      <c r="AB193">
        <v>868</v>
      </c>
      <c r="AC193">
        <v>-187</v>
      </c>
      <c r="AD193">
        <v>32</v>
      </c>
      <c r="AE193">
        <v>-2254</v>
      </c>
      <c r="AF193">
        <v>0</v>
      </c>
      <c r="AG193">
        <v>-1202</v>
      </c>
    </row>
    <row r="194" spans="6:33">
      <c r="F194" s="74">
        <f t="shared" si="34"/>
        <v>45078</v>
      </c>
      <c r="G194" s="72">
        <f t="shared" si="35"/>
        <v>-8630</v>
      </c>
      <c r="H194" s="68">
        <f t="shared" si="36"/>
        <v>14663</v>
      </c>
      <c r="I194" s="68">
        <f t="shared" si="37"/>
        <v>-8652</v>
      </c>
      <c r="J194" s="68">
        <f t="shared" si="38"/>
        <v>-2326</v>
      </c>
      <c r="K194" s="68">
        <f t="shared" si="39"/>
        <v>-289</v>
      </c>
      <c r="L194" s="68">
        <f t="shared" si="40"/>
        <v>-1508</v>
      </c>
      <c r="M194" s="68">
        <f t="shared" si="41"/>
        <v>-1145</v>
      </c>
      <c r="N194" s="68">
        <f t="shared" si="42"/>
        <v>-134</v>
      </c>
      <c r="O194" s="68">
        <f t="shared" si="43"/>
        <v>-249</v>
      </c>
      <c r="P194" s="68">
        <f t="shared" si="44"/>
        <v>-3001</v>
      </c>
      <c r="Q194" s="68" t="str">
        <f t="shared" si="45"/>
        <v/>
      </c>
      <c r="R194" s="69">
        <f t="shared" si="46"/>
        <v>2619</v>
      </c>
      <c r="U194" s="5">
        <v>45078</v>
      </c>
      <c r="V194">
        <v>-8630</v>
      </c>
      <c r="W194">
        <v>14663</v>
      </c>
      <c r="X194">
        <v>-8652</v>
      </c>
      <c r="Y194">
        <v>-2326</v>
      </c>
      <c r="Z194">
        <v>-289</v>
      </c>
      <c r="AA194">
        <v>-1508</v>
      </c>
      <c r="AB194">
        <v>-1145</v>
      </c>
      <c r="AC194">
        <v>-134</v>
      </c>
      <c r="AD194">
        <v>-249</v>
      </c>
      <c r="AE194">
        <v>-3001</v>
      </c>
      <c r="AF194">
        <v>0</v>
      </c>
      <c r="AG194">
        <v>2619</v>
      </c>
    </row>
    <row r="195" spans="6:33">
      <c r="F195" s="74">
        <f t="shared" si="34"/>
        <v>45077</v>
      </c>
      <c r="G195" s="72">
        <f t="shared" si="35"/>
        <v>2919</v>
      </c>
      <c r="H195" s="68">
        <f t="shared" si="36"/>
        <v>2361</v>
      </c>
      <c r="I195" s="68">
        <f t="shared" si="37"/>
        <v>-5078</v>
      </c>
      <c r="J195" s="68">
        <f t="shared" si="38"/>
        <v>-291</v>
      </c>
      <c r="K195" s="68">
        <f t="shared" si="39"/>
        <v>-488</v>
      </c>
      <c r="L195" s="68">
        <f t="shared" si="40"/>
        <v>-600</v>
      </c>
      <c r="M195" s="68">
        <f t="shared" si="41"/>
        <v>-1640</v>
      </c>
      <c r="N195" s="68">
        <f t="shared" si="42"/>
        <v>-32</v>
      </c>
      <c r="O195" s="68">
        <f t="shared" si="43"/>
        <v>244</v>
      </c>
      <c r="P195" s="68">
        <f t="shared" si="44"/>
        <v>-2271</v>
      </c>
      <c r="Q195" s="68" t="str">
        <f t="shared" si="45"/>
        <v/>
      </c>
      <c r="R195" s="69">
        <f t="shared" si="46"/>
        <v>-200</v>
      </c>
      <c r="U195" s="5">
        <v>45077</v>
      </c>
      <c r="V195">
        <v>2919</v>
      </c>
      <c r="W195">
        <v>2361</v>
      </c>
      <c r="X195">
        <v>-5078</v>
      </c>
      <c r="Y195">
        <v>-291</v>
      </c>
      <c r="Z195">
        <v>-488</v>
      </c>
      <c r="AA195">
        <v>-600</v>
      </c>
      <c r="AB195">
        <v>-1640</v>
      </c>
      <c r="AC195">
        <v>-32</v>
      </c>
      <c r="AD195">
        <v>244</v>
      </c>
      <c r="AE195">
        <v>-2271</v>
      </c>
      <c r="AF195">
        <v>0</v>
      </c>
      <c r="AG195">
        <v>-200</v>
      </c>
    </row>
    <row r="196" spans="6:33">
      <c r="F196" s="74">
        <f t="shared" si="34"/>
        <v>45076</v>
      </c>
      <c r="G196" s="72">
        <f t="shared" si="35"/>
        <v>14541</v>
      </c>
      <c r="H196" s="68">
        <f t="shared" si="36"/>
        <v>-17061</v>
      </c>
      <c r="I196" s="68">
        <f t="shared" si="37"/>
        <v>1737</v>
      </c>
      <c r="J196" s="68">
        <f t="shared" si="38"/>
        <v>5017</v>
      </c>
      <c r="K196" s="68">
        <f t="shared" si="39"/>
        <v>-813</v>
      </c>
      <c r="L196" s="68">
        <f t="shared" si="40"/>
        <v>-924</v>
      </c>
      <c r="M196" s="68">
        <f t="shared" si="41"/>
        <v>-323</v>
      </c>
      <c r="N196" s="68">
        <f t="shared" si="42"/>
        <v>-135</v>
      </c>
      <c r="O196" s="68">
        <f t="shared" si="43"/>
        <v>250</v>
      </c>
      <c r="P196" s="68">
        <f t="shared" si="44"/>
        <v>-1335</v>
      </c>
      <c r="Q196" s="68" t="str">
        <f t="shared" si="45"/>
        <v/>
      </c>
      <c r="R196" s="69">
        <f t="shared" si="46"/>
        <v>781</v>
      </c>
      <c r="U196" s="5">
        <v>45076</v>
      </c>
      <c r="V196">
        <v>14541</v>
      </c>
      <c r="W196">
        <v>-17061</v>
      </c>
      <c r="X196">
        <v>1737</v>
      </c>
      <c r="Y196">
        <v>5017</v>
      </c>
      <c r="Z196">
        <v>-813</v>
      </c>
      <c r="AA196">
        <v>-924</v>
      </c>
      <c r="AB196">
        <v>-323</v>
      </c>
      <c r="AC196">
        <v>-135</v>
      </c>
      <c r="AD196">
        <v>250</v>
      </c>
      <c r="AE196">
        <v>-1335</v>
      </c>
      <c r="AF196">
        <v>0</v>
      </c>
      <c r="AG196">
        <v>781</v>
      </c>
    </row>
    <row r="197" spans="6:33">
      <c r="F197" s="74">
        <f t="shared" si="34"/>
        <v>45072</v>
      </c>
      <c r="G197" s="72">
        <f t="shared" si="35"/>
        <v>-2864</v>
      </c>
      <c r="H197" s="68">
        <f t="shared" si="36"/>
        <v>11928</v>
      </c>
      <c r="I197" s="68">
        <f t="shared" si="37"/>
        <v>-9559</v>
      </c>
      <c r="J197" s="68">
        <f t="shared" si="38"/>
        <v>-4735</v>
      </c>
      <c r="K197" s="68">
        <f t="shared" si="39"/>
        <v>-648</v>
      </c>
      <c r="L197" s="68">
        <f t="shared" si="40"/>
        <v>-1670</v>
      </c>
      <c r="M197" s="68">
        <f t="shared" si="41"/>
        <v>-436</v>
      </c>
      <c r="N197" s="68">
        <f t="shared" si="42"/>
        <v>-100</v>
      </c>
      <c r="O197" s="68">
        <f t="shared" si="43"/>
        <v>-12</v>
      </c>
      <c r="P197" s="68">
        <f t="shared" si="44"/>
        <v>-1958</v>
      </c>
      <c r="Q197" s="68" t="str">
        <f t="shared" si="45"/>
        <v/>
      </c>
      <c r="R197" s="69">
        <f t="shared" si="46"/>
        <v>493</v>
      </c>
      <c r="U197" s="5">
        <v>45072</v>
      </c>
      <c r="V197">
        <v>-2864</v>
      </c>
      <c r="W197">
        <v>11928</v>
      </c>
      <c r="X197">
        <v>-9559</v>
      </c>
      <c r="Y197">
        <v>-4735</v>
      </c>
      <c r="Z197">
        <v>-648</v>
      </c>
      <c r="AA197">
        <v>-1670</v>
      </c>
      <c r="AB197">
        <v>-436</v>
      </c>
      <c r="AC197">
        <v>-100</v>
      </c>
      <c r="AD197">
        <v>-12</v>
      </c>
      <c r="AE197">
        <v>-1958</v>
      </c>
      <c r="AF197">
        <v>0</v>
      </c>
      <c r="AG197">
        <v>493</v>
      </c>
    </row>
    <row r="198" spans="6:33">
      <c r="F198" s="74">
        <f t="shared" si="34"/>
        <v>45071</v>
      </c>
      <c r="G198" s="72">
        <f t="shared" si="35"/>
        <v>-10256</v>
      </c>
      <c r="H198" s="68">
        <f t="shared" si="36"/>
        <v>19592</v>
      </c>
      <c r="I198" s="68">
        <f t="shared" si="37"/>
        <v>-10272</v>
      </c>
      <c r="J198" s="68">
        <f t="shared" si="38"/>
        <v>-7448</v>
      </c>
      <c r="K198" s="68">
        <f t="shared" si="39"/>
        <v>-115</v>
      </c>
      <c r="L198" s="68">
        <f t="shared" si="40"/>
        <v>-488</v>
      </c>
      <c r="M198" s="68">
        <f t="shared" si="41"/>
        <v>1096</v>
      </c>
      <c r="N198" s="68">
        <f t="shared" si="42"/>
        <v>-555</v>
      </c>
      <c r="O198" s="68">
        <f t="shared" si="43"/>
        <v>4</v>
      </c>
      <c r="P198" s="68">
        <f t="shared" si="44"/>
        <v>-2766</v>
      </c>
      <c r="Q198" s="68" t="str">
        <f t="shared" si="45"/>
        <v/>
      </c>
      <c r="R198" s="69">
        <f t="shared" si="46"/>
        <v>935</v>
      </c>
      <c r="U198" s="5">
        <v>45071</v>
      </c>
      <c r="V198">
        <v>-10256</v>
      </c>
      <c r="W198">
        <v>19592</v>
      </c>
      <c r="X198">
        <v>-10272</v>
      </c>
      <c r="Y198">
        <v>-7448</v>
      </c>
      <c r="Z198">
        <v>-115</v>
      </c>
      <c r="AA198">
        <v>-488</v>
      </c>
      <c r="AB198">
        <v>1096</v>
      </c>
      <c r="AC198">
        <v>-555</v>
      </c>
      <c r="AD198">
        <v>4</v>
      </c>
      <c r="AE198">
        <v>-2766</v>
      </c>
      <c r="AF198">
        <v>0</v>
      </c>
      <c r="AG198">
        <v>935</v>
      </c>
    </row>
    <row r="199" spans="6:33">
      <c r="F199" s="74">
        <f t="shared" si="34"/>
        <v>45070</v>
      </c>
      <c r="G199" s="72">
        <f t="shared" si="35"/>
        <v>1884</v>
      </c>
      <c r="H199" s="68">
        <f t="shared" si="36"/>
        <v>1381</v>
      </c>
      <c r="I199" s="68">
        <f t="shared" si="37"/>
        <v>-2859</v>
      </c>
      <c r="J199" s="68">
        <f t="shared" si="38"/>
        <v>-2141</v>
      </c>
      <c r="K199" s="68">
        <f t="shared" si="39"/>
        <v>52</v>
      </c>
      <c r="L199" s="68">
        <f t="shared" si="40"/>
        <v>-196</v>
      </c>
      <c r="M199" s="68">
        <f t="shared" si="41"/>
        <v>-1513</v>
      </c>
      <c r="N199" s="68">
        <f t="shared" si="42"/>
        <v>-73</v>
      </c>
      <c r="O199" s="68">
        <f t="shared" si="43"/>
        <v>134</v>
      </c>
      <c r="P199" s="68">
        <f t="shared" si="44"/>
        <v>878</v>
      </c>
      <c r="Q199" s="68" t="str">
        <f t="shared" si="45"/>
        <v/>
      </c>
      <c r="R199" s="69">
        <f t="shared" si="46"/>
        <v>-406</v>
      </c>
      <c r="U199" s="5">
        <v>45070</v>
      </c>
      <c r="V199">
        <v>1884</v>
      </c>
      <c r="W199">
        <v>1381</v>
      </c>
      <c r="X199">
        <v>-2859</v>
      </c>
      <c r="Y199">
        <v>-2141</v>
      </c>
      <c r="Z199">
        <v>52</v>
      </c>
      <c r="AA199">
        <v>-196</v>
      </c>
      <c r="AB199">
        <v>-1513</v>
      </c>
      <c r="AC199">
        <v>-73</v>
      </c>
      <c r="AD199">
        <v>134</v>
      </c>
      <c r="AE199">
        <v>878</v>
      </c>
      <c r="AF199">
        <v>0</v>
      </c>
      <c r="AG199">
        <v>-406</v>
      </c>
    </row>
    <row r="200" spans="6:33">
      <c r="F200" s="74">
        <f t="shared" si="34"/>
        <v>45069</v>
      </c>
      <c r="G200" s="72">
        <f t="shared" si="35"/>
        <v>-3199</v>
      </c>
      <c r="H200" s="68">
        <f t="shared" si="36"/>
        <v>-1456</v>
      </c>
      <c r="I200" s="68">
        <f t="shared" si="37"/>
        <v>5261</v>
      </c>
      <c r="J200" s="68">
        <f t="shared" si="38"/>
        <v>5569</v>
      </c>
      <c r="K200" s="68">
        <f t="shared" si="39"/>
        <v>110</v>
      </c>
      <c r="L200" s="68">
        <f t="shared" si="40"/>
        <v>-528</v>
      </c>
      <c r="M200" s="68">
        <f t="shared" si="41"/>
        <v>122</v>
      </c>
      <c r="N200" s="68">
        <f t="shared" si="42"/>
        <v>-96</v>
      </c>
      <c r="O200" s="68">
        <f t="shared" si="43"/>
        <v>-188</v>
      </c>
      <c r="P200" s="68">
        <f t="shared" si="44"/>
        <v>272</v>
      </c>
      <c r="Q200" s="68" t="str">
        <f t="shared" si="45"/>
        <v/>
      </c>
      <c r="R200" s="69">
        <f t="shared" si="46"/>
        <v>-602</v>
      </c>
      <c r="U200" s="5">
        <v>45069</v>
      </c>
      <c r="V200">
        <v>-3199</v>
      </c>
      <c r="W200">
        <v>-1456</v>
      </c>
      <c r="X200">
        <v>5261</v>
      </c>
      <c r="Y200">
        <v>5569</v>
      </c>
      <c r="Z200">
        <v>110</v>
      </c>
      <c r="AA200">
        <v>-528</v>
      </c>
      <c r="AB200">
        <v>122</v>
      </c>
      <c r="AC200">
        <v>-96</v>
      </c>
      <c r="AD200">
        <v>-188</v>
      </c>
      <c r="AE200">
        <v>272</v>
      </c>
      <c r="AF200">
        <v>0</v>
      </c>
      <c r="AG200">
        <v>-602</v>
      </c>
    </row>
    <row r="201" spans="6:33">
      <c r="F201" s="74">
        <f t="shared" si="34"/>
        <v>45068</v>
      </c>
      <c r="G201" s="72">
        <f t="shared" si="35"/>
        <v>19898</v>
      </c>
      <c r="H201" s="68">
        <f t="shared" si="36"/>
        <v>-29326</v>
      </c>
      <c r="I201" s="68">
        <f t="shared" si="37"/>
        <v>9808</v>
      </c>
      <c r="J201" s="68">
        <f t="shared" si="38"/>
        <v>9757</v>
      </c>
      <c r="K201" s="68">
        <f t="shared" si="39"/>
        <v>-599</v>
      </c>
      <c r="L201" s="68">
        <f t="shared" si="40"/>
        <v>-52</v>
      </c>
      <c r="M201" s="68">
        <f t="shared" si="41"/>
        <v>-207</v>
      </c>
      <c r="N201" s="68">
        <f t="shared" si="42"/>
        <v>157</v>
      </c>
      <c r="O201" s="68">
        <f t="shared" si="43"/>
        <v>165</v>
      </c>
      <c r="P201" s="68">
        <f t="shared" si="44"/>
        <v>587</v>
      </c>
      <c r="Q201" s="68" t="str">
        <f t="shared" si="45"/>
        <v/>
      </c>
      <c r="R201" s="69">
        <f t="shared" si="46"/>
        <v>-381</v>
      </c>
      <c r="U201" s="5">
        <v>45068</v>
      </c>
      <c r="V201">
        <v>19898</v>
      </c>
      <c r="W201">
        <v>-29326</v>
      </c>
      <c r="X201">
        <v>9808</v>
      </c>
      <c r="Y201">
        <v>9757</v>
      </c>
      <c r="Z201">
        <v>-599</v>
      </c>
      <c r="AA201">
        <v>-52</v>
      </c>
      <c r="AB201">
        <v>-207</v>
      </c>
      <c r="AC201">
        <v>157</v>
      </c>
      <c r="AD201">
        <v>165</v>
      </c>
      <c r="AE201">
        <v>587</v>
      </c>
      <c r="AF201">
        <v>0</v>
      </c>
      <c r="AG201">
        <v>-381</v>
      </c>
    </row>
    <row r="202" spans="6:33">
      <c r="F202" s="74">
        <f t="shared" si="34"/>
        <v>45065</v>
      </c>
      <c r="G202" s="72">
        <f t="shared" si="35"/>
        <v>9711</v>
      </c>
      <c r="H202" s="68">
        <f t="shared" si="36"/>
        <v>-19504</v>
      </c>
      <c r="I202" s="68">
        <f t="shared" si="37"/>
        <v>8847</v>
      </c>
      <c r="J202" s="68">
        <f t="shared" si="38"/>
        <v>11433</v>
      </c>
      <c r="K202" s="68">
        <f t="shared" si="39"/>
        <v>150</v>
      </c>
      <c r="L202" s="68">
        <f t="shared" si="40"/>
        <v>467</v>
      </c>
      <c r="M202" s="68">
        <f t="shared" si="41"/>
        <v>-791</v>
      </c>
      <c r="N202" s="68">
        <f t="shared" si="42"/>
        <v>-62</v>
      </c>
      <c r="O202" s="68">
        <f t="shared" si="43"/>
        <v>128</v>
      </c>
      <c r="P202" s="68">
        <f t="shared" si="44"/>
        <v>-2478</v>
      </c>
      <c r="Q202" s="68" t="str">
        <f t="shared" si="45"/>
        <v/>
      </c>
      <c r="R202" s="69">
        <f t="shared" si="46"/>
        <v>947</v>
      </c>
      <c r="U202" s="5">
        <v>45065</v>
      </c>
      <c r="V202">
        <v>9711</v>
      </c>
      <c r="W202">
        <v>-19504</v>
      </c>
      <c r="X202">
        <v>8847</v>
      </c>
      <c r="Y202">
        <v>11433</v>
      </c>
      <c r="Z202">
        <v>150</v>
      </c>
      <c r="AA202">
        <v>467</v>
      </c>
      <c r="AB202">
        <v>-791</v>
      </c>
      <c r="AC202">
        <v>-62</v>
      </c>
      <c r="AD202">
        <v>128</v>
      </c>
      <c r="AE202">
        <v>-2478</v>
      </c>
      <c r="AF202">
        <v>0</v>
      </c>
      <c r="AG202">
        <v>947</v>
      </c>
    </row>
    <row r="203" spans="6:33">
      <c r="F203" s="74">
        <f t="shared" si="34"/>
        <v>45064</v>
      </c>
      <c r="G203" s="72">
        <f t="shared" si="35"/>
        <v>14883</v>
      </c>
      <c r="H203" s="68">
        <f t="shared" si="36"/>
        <v>-11493</v>
      </c>
      <c r="I203" s="68">
        <f t="shared" si="37"/>
        <v>-1095</v>
      </c>
      <c r="J203" s="68">
        <f t="shared" si="38"/>
        <v>-1001</v>
      </c>
      <c r="K203" s="68">
        <f t="shared" si="39"/>
        <v>49</v>
      </c>
      <c r="L203" s="68">
        <f t="shared" si="40"/>
        <v>737</v>
      </c>
      <c r="M203" s="68">
        <f t="shared" si="41"/>
        <v>-1107</v>
      </c>
      <c r="N203" s="68">
        <f t="shared" si="42"/>
        <v>34</v>
      </c>
      <c r="O203" s="68">
        <f t="shared" si="43"/>
        <v>148</v>
      </c>
      <c r="P203" s="68">
        <f t="shared" si="44"/>
        <v>45</v>
      </c>
      <c r="Q203" s="68" t="str">
        <f t="shared" si="45"/>
        <v/>
      </c>
      <c r="R203" s="69">
        <f t="shared" si="46"/>
        <v>-2297</v>
      </c>
      <c r="U203" s="5">
        <v>45064</v>
      </c>
      <c r="V203">
        <v>14883</v>
      </c>
      <c r="W203">
        <v>-11493</v>
      </c>
      <c r="X203">
        <v>-1095</v>
      </c>
      <c r="Y203">
        <v>-1001</v>
      </c>
      <c r="Z203">
        <v>49</v>
      </c>
      <c r="AA203">
        <v>737</v>
      </c>
      <c r="AB203">
        <v>-1107</v>
      </c>
      <c r="AC203">
        <v>34</v>
      </c>
      <c r="AD203">
        <v>148</v>
      </c>
      <c r="AE203">
        <v>45</v>
      </c>
      <c r="AF203">
        <v>0</v>
      </c>
      <c r="AG203">
        <v>-2297</v>
      </c>
    </row>
    <row r="204" spans="6:33">
      <c r="F204" s="74">
        <f t="shared" si="34"/>
        <v>45063</v>
      </c>
      <c r="G204" s="72">
        <f t="shared" si="35"/>
        <v>9318</v>
      </c>
      <c r="H204" s="68">
        <f t="shared" si="36"/>
        <v>-6905</v>
      </c>
      <c r="I204" s="68">
        <f t="shared" si="37"/>
        <v>-1004</v>
      </c>
      <c r="J204" s="68">
        <f t="shared" si="38"/>
        <v>994</v>
      </c>
      <c r="K204" s="68">
        <f t="shared" si="39"/>
        <v>-333</v>
      </c>
      <c r="L204" s="68">
        <f t="shared" si="40"/>
        <v>-144</v>
      </c>
      <c r="M204" s="68">
        <f t="shared" si="41"/>
        <v>-2111</v>
      </c>
      <c r="N204" s="68">
        <f t="shared" si="42"/>
        <v>-75</v>
      </c>
      <c r="O204" s="68">
        <f t="shared" si="43"/>
        <v>257</v>
      </c>
      <c r="P204" s="68">
        <f t="shared" si="44"/>
        <v>408</v>
      </c>
      <c r="Q204" s="68" t="str">
        <f t="shared" si="45"/>
        <v/>
      </c>
      <c r="R204" s="69">
        <f t="shared" si="46"/>
        <v>-1410</v>
      </c>
      <c r="U204" s="5">
        <v>45063</v>
      </c>
      <c r="V204">
        <v>9318</v>
      </c>
      <c r="W204">
        <v>-6905</v>
      </c>
      <c r="X204">
        <v>-1004</v>
      </c>
      <c r="Y204">
        <v>994</v>
      </c>
      <c r="Z204">
        <v>-333</v>
      </c>
      <c r="AA204">
        <v>-144</v>
      </c>
      <c r="AB204">
        <v>-2111</v>
      </c>
      <c r="AC204">
        <v>-75</v>
      </c>
      <c r="AD204">
        <v>257</v>
      </c>
      <c r="AE204">
        <v>408</v>
      </c>
      <c r="AF204">
        <v>0</v>
      </c>
      <c r="AG204">
        <v>-1410</v>
      </c>
    </row>
    <row r="205" spans="6:33">
      <c r="F205" s="74">
        <f t="shared" si="34"/>
        <v>45062</v>
      </c>
      <c r="G205" s="72">
        <f t="shared" si="35"/>
        <v>-3919</v>
      </c>
      <c r="H205" s="68">
        <f t="shared" si="36"/>
        <v>7450</v>
      </c>
      <c r="I205" s="68">
        <f t="shared" si="37"/>
        <v>-3996</v>
      </c>
      <c r="J205" s="68">
        <f t="shared" si="38"/>
        <v>388</v>
      </c>
      <c r="K205" s="68">
        <f t="shared" si="39"/>
        <v>-219</v>
      </c>
      <c r="L205" s="68">
        <f t="shared" si="40"/>
        <v>-841</v>
      </c>
      <c r="M205" s="68">
        <f t="shared" si="41"/>
        <v>-2039</v>
      </c>
      <c r="N205" s="68">
        <f t="shared" si="42"/>
        <v>16</v>
      </c>
      <c r="O205" s="68">
        <f t="shared" si="43"/>
        <v>-107</v>
      </c>
      <c r="P205" s="68">
        <f t="shared" si="44"/>
        <v>-1194</v>
      </c>
      <c r="Q205" s="68" t="str">
        <f t="shared" si="45"/>
        <v/>
      </c>
      <c r="R205" s="69">
        <f t="shared" si="46"/>
        <v>465</v>
      </c>
      <c r="U205" s="5">
        <v>45062</v>
      </c>
      <c r="V205">
        <v>-3919</v>
      </c>
      <c r="W205">
        <v>7450</v>
      </c>
      <c r="X205">
        <v>-3996</v>
      </c>
      <c r="Y205">
        <v>388</v>
      </c>
      <c r="Z205">
        <v>-219</v>
      </c>
      <c r="AA205">
        <v>-841</v>
      </c>
      <c r="AB205">
        <v>-2039</v>
      </c>
      <c r="AC205">
        <v>16</v>
      </c>
      <c r="AD205">
        <v>-107</v>
      </c>
      <c r="AE205">
        <v>-1194</v>
      </c>
      <c r="AF205">
        <v>0</v>
      </c>
      <c r="AG205">
        <v>465</v>
      </c>
    </row>
    <row r="206" spans="6:33">
      <c r="F206" s="74">
        <f t="shared" si="34"/>
        <v>45061</v>
      </c>
      <c r="G206" s="72">
        <f t="shared" si="35"/>
        <v>-13674</v>
      </c>
      <c r="H206" s="68">
        <f t="shared" si="36"/>
        <v>11229</v>
      </c>
      <c r="I206" s="68">
        <f t="shared" si="37"/>
        <v>618</v>
      </c>
      <c r="J206" s="68">
        <f t="shared" si="38"/>
        <v>1813</v>
      </c>
      <c r="K206" s="68">
        <f t="shared" si="39"/>
        <v>-322</v>
      </c>
      <c r="L206" s="68">
        <f t="shared" si="40"/>
        <v>-532</v>
      </c>
      <c r="M206" s="68">
        <f t="shared" si="41"/>
        <v>-1199</v>
      </c>
      <c r="N206" s="68">
        <f t="shared" si="42"/>
        <v>211</v>
      </c>
      <c r="O206" s="68">
        <f t="shared" si="43"/>
        <v>60</v>
      </c>
      <c r="P206" s="68">
        <f t="shared" si="44"/>
        <v>587</v>
      </c>
      <c r="Q206" s="68" t="str">
        <f t="shared" si="45"/>
        <v/>
      </c>
      <c r="R206" s="69">
        <f t="shared" si="46"/>
        <v>1827</v>
      </c>
      <c r="U206" s="5">
        <v>45061</v>
      </c>
      <c r="V206">
        <v>-13674</v>
      </c>
      <c r="W206">
        <v>11229</v>
      </c>
      <c r="X206">
        <v>618</v>
      </c>
      <c r="Y206">
        <v>1813</v>
      </c>
      <c r="Z206">
        <v>-322</v>
      </c>
      <c r="AA206">
        <v>-532</v>
      </c>
      <c r="AB206">
        <v>-1199</v>
      </c>
      <c r="AC206">
        <v>211</v>
      </c>
      <c r="AD206">
        <v>60</v>
      </c>
      <c r="AE206">
        <v>587</v>
      </c>
      <c r="AF206">
        <v>0</v>
      </c>
      <c r="AG206">
        <v>1827</v>
      </c>
    </row>
    <row r="207" spans="6:33">
      <c r="F207" s="74">
        <f t="shared" si="34"/>
        <v>45058</v>
      </c>
      <c r="G207" s="72">
        <f t="shared" si="35"/>
        <v>-15243</v>
      </c>
      <c r="H207" s="68">
        <f t="shared" si="36"/>
        <v>20519</v>
      </c>
      <c r="I207" s="68">
        <f t="shared" si="37"/>
        <v>-2805</v>
      </c>
      <c r="J207" s="68">
        <f t="shared" si="38"/>
        <v>-1263</v>
      </c>
      <c r="K207" s="68">
        <f t="shared" si="39"/>
        <v>-368</v>
      </c>
      <c r="L207" s="68">
        <f t="shared" si="40"/>
        <v>-322</v>
      </c>
      <c r="M207" s="68">
        <f t="shared" si="41"/>
        <v>-261</v>
      </c>
      <c r="N207" s="68">
        <f t="shared" si="42"/>
        <v>-4</v>
      </c>
      <c r="O207" s="68">
        <f t="shared" si="43"/>
        <v>279</v>
      </c>
      <c r="P207" s="68">
        <f t="shared" si="44"/>
        <v>-866</v>
      </c>
      <c r="Q207" s="68" t="str">
        <f t="shared" si="45"/>
        <v/>
      </c>
      <c r="R207" s="69">
        <f t="shared" si="46"/>
        <v>-2468</v>
      </c>
      <c r="U207" s="5">
        <v>45058</v>
      </c>
      <c r="V207">
        <v>-15243</v>
      </c>
      <c r="W207">
        <v>20519</v>
      </c>
      <c r="X207">
        <v>-2805</v>
      </c>
      <c r="Y207">
        <v>-1263</v>
      </c>
      <c r="Z207">
        <v>-368</v>
      </c>
      <c r="AA207">
        <v>-322</v>
      </c>
      <c r="AB207">
        <v>-261</v>
      </c>
      <c r="AC207">
        <v>-4</v>
      </c>
      <c r="AD207">
        <v>279</v>
      </c>
      <c r="AE207">
        <v>-866</v>
      </c>
      <c r="AF207">
        <v>0</v>
      </c>
      <c r="AG207">
        <v>-2468</v>
      </c>
    </row>
    <row r="208" spans="6:33">
      <c r="F208" s="74">
        <f t="shared" si="34"/>
        <v>45057</v>
      </c>
      <c r="G208" s="72">
        <f t="shared" si="35"/>
        <v>7239</v>
      </c>
      <c r="H208" s="68">
        <f t="shared" si="36"/>
        <v>-8704</v>
      </c>
      <c r="I208" s="68">
        <f t="shared" si="37"/>
        <v>1503</v>
      </c>
      <c r="J208" s="68">
        <f t="shared" si="38"/>
        <v>-254</v>
      </c>
      <c r="K208" s="68">
        <f t="shared" si="39"/>
        <v>101</v>
      </c>
      <c r="L208" s="68">
        <f t="shared" si="40"/>
        <v>976</v>
      </c>
      <c r="M208" s="68">
        <f t="shared" si="41"/>
        <v>991</v>
      </c>
      <c r="N208" s="68">
        <f t="shared" si="42"/>
        <v>269</v>
      </c>
      <c r="O208" s="68">
        <f t="shared" si="43"/>
        <v>93</v>
      </c>
      <c r="P208" s="68">
        <f t="shared" si="44"/>
        <v>-673</v>
      </c>
      <c r="Q208" s="68" t="str">
        <f t="shared" si="45"/>
        <v/>
      </c>
      <c r="R208" s="69">
        <f t="shared" si="46"/>
        <v>-37</v>
      </c>
      <c r="U208" s="5">
        <v>45057</v>
      </c>
      <c r="V208">
        <v>7239</v>
      </c>
      <c r="W208">
        <v>-8704</v>
      </c>
      <c r="X208">
        <v>1503</v>
      </c>
      <c r="Y208">
        <v>-254</v>
      </c>
      <c r="Z208">
        <v>101</v>
      </c>
      <c r="AA208">
        <v>976</v>
      </c>
      <c r="AB208">
        <v>991</v>
      </c>
      <c r="AC208">
        <v>269</v>
      </c>
      <c r="AD208">
        <v>93</v>
      </c>
      <c r="AE208">
        <v>-673</v>
      </c>
      <c r="AF208">
        <v>0</v>
      </c>
      <c r="AG208">
        <v>-37</v>
      </c>
    </row>
    <row r="209" spans="6:33">
      <c r="F209" s="74">
        <f t="shared" si="34"/>
        <v>45056</v>
      </c>
      <c r="G209" s="72">
        <f t="shared" si="35"/>
        <v>5011</v>
      </c>
      <c r="H209" s="68">
        <f t="shared" si="36"/>
        <v>4056</v>
      </c>
      <c r="I209" s="68">
        <f t="shared" si="37"/>
        <v>-1327</v>
      </c>
      <c r="J209" s="68">
        <f t="shared" si="38"/>
        <v>-1767</v>
      </c>
      <c r="K209" s="68">
        <f t="shared" si="39"/>
        <v>149</v>
      </c>
      <c r="L209" s="68">
        <f t="shared" si="40"/>
        <v>178</v>
      </c>
      <c r="M209" s="68">
        <f t="shared" si="41"/>
        <v>1613</v>
      </c>
      <c r="N209" s="68">
        <f t="shared" si="42"/>
        <v>105</v>
      </c>
      <c r="O209" s="68">
        <f t="shared" si="43"/>
        <v>37</v>
      </c>
      <c r="P209" s="68">
        <f t="shared" si="44"/>
        <v>-1642</v>
      </c>
      <c r="Q209" s="68" t="str">
        <f t="shared" si="45"/>
        <v/>
      </c>
      <c r="R209" s="69">
        <f t="shared" si="46"/>
        <v>-7738</v>
      </c>
      <c r="U209" s="5">
        <v>45056</v>
      </c>
      <c r="V209">
        <v>5011</v>
      </c>
      <c r="W209">
        <v>4056</v>
      </c>
      <c r="X209">
        <v>-1327</v>
      </c>
      <c r="Y209">
        <v>-1767</v>
      </c>
      <c r="Z209">
        <v>149</v>
      </c>
      <c r="AA209">
        <v>178</v>
      </c>
      <c r="AB209">
        <v>1613</v>
      </c>
      <c r="AC209">
        <v>105</v>
      </c>
      <c r="AD209">
        <v>37</v>
      </c>
      <c r="AE209">
        <v>-1642</v>
      </c>
      <c r="AF209">
        <v>0</v>
      </c>
      <c r="AG209">
        <v>-7738</v>
      </c>
    </row>
    <row r="210" spans="6:33">
      <c r="F210" s="74">
        <f t="shared" si="34"/>
        <v>45055</v>
      </c>
      <c r="G210" s="72">
        <f t="shared" si="35"/>
        <v>744</v>
      </c>
      <c r="H210" s="68">
        <f t="shared" si="36"/>
        <v>313</v>
      </c>
      <c r="I210" s="68">
        <f t="shared" si="37"/>
        <v>2113</v>
      </c>
      <c r="J210" s="68">
        <f t="shared" si="38"/>
        <v>1182</v>
      </c>
      <c r="K210" s="68">
        <f t="shared" si="39"/>
        <v>-158</v>
      </c>
      <c r="L210" s="68">
        <f t="shared" si="40"/>
        <v>217</v>
      </c>
      <c r="M210" s="68">
        <f t="shared" si="41"/>
        <v>-274</v>
      </c>
      <c r="N210" s="68">
        <f t="shared" si="42"/>
        <v>119</v>
      </c>
      <c r="O210" s="68">
        <f t="shared" si="43"/>
        <v>-45</v>
      </c>
      <c r="P210" s="68">
        <f t="shared" si="44"/>
        <v>1072</v>
      </c>
      <c r="Q210" s="68" t="str">
        <f t="shared" si="45"/>
        <v/>
      </c>
      <c r="R210" s="69">
        <f t="shared" si="46"/>
        <v>-3170</v>
      </c>
      <c r="U210" s="5">
        <v>45055</v>
      </c>
      <c r="V210">
        <v>744</v>
      </c>
      <c r="W210">
        <v>313</v>
      </c>
      <c r="X210">
        <v>2113</v>
      </c>
      <c r="Y210">
        <v>1182</v>
      </c>
      <c r="Z210">
        <v>-158</v>
      </c>
      <c r="AA210">
        <v>217</v>
      </c>
      <c r="AB210">
        <v>-274</v>
      </c>
      <c r="AC210">
        <v>119</v>
      </c>
      <c r="AD210">
        <v>-45</v>
      </c>
      <c r="AE210">
        <v>1072</v>
      </c>
      <c r="AF210">
        <v>0</v>
      </c>
      <c r="AG210">
        <v>-3170</v>
      </c>
    </row>
    <row r="211" spans="6:33">
      <c r="F211" s="74">
        <f t="shared" ref="F211:F274" si="47">IF(U211=0,"",U211)</f>
        <v>45054</v>
      </c>
      <c r="G211" s="72">
        <f t="shared" ref="G211:G274" si="48">IF(IF($B$17=3,V211/1000,V211)=0,"",IF($B$17=3,V211/1000,V211))</f>
        <v>13435</v>
      </c>
      <c r="H211" s="68">
        <f t="shared" ref="H211:H274" si="49">IF(IF($B$17=3,W211/1000,W211)=0,"",IF($B$17=3,W211/1000,W211))</f>
        <v>-19062</v>
      </c>
      <c r="I211" s="68">
        <f t="shared" ref="I211:I274" si="50">IF(IF($B$17=3,X211/1000,X211)=0,"",IF($B$17=3,X211/1000,X211))</f>
        <v>7113</v>
      </c>
      <c r="J211" s="68">
        <f t="shared" ref="J211:J274" si="51">IF(IF($B$17=3,Y211/1000,Y211)=0,"",IF($B$17=3,Y211/1000,Y211))</f>
        <v>7800</v>
      </c>
      <c r="K211" s="68">
        <f t="shared" ref="K211:K274" si="52">IF(IF($B$17=3,Z211/1000,Z211)=0,"",IF($B$17=3,Z211/1000,Z211))</f>
        <v>43</v>
      </c>
      <c r="L211" s="68">
        <f t="shared" ref="L211:L274" si="53">IF(IF($B$17=3,AA211/1000,AA211)=0,"",IF($B$17=3,AA211/1000,AA211))</f>
        <v>1284</v>
      </c>
      <c r="M211" s="68">
        <f t="shared" ref="M211:M274" si="54">IF(IF($B$17=3,AB211/1000,AB211)=0,"",IF($B$17=3,AB211/1000,AB211))</f>
        <v>172</v>
      </c>
      <c r="N211" s="68">
        <f t="shared" ref="N211:N274" si="55">IF(IF($B$17=3,AC211/1000,AC211)=0,"",IF($B$17=3,AC211/1000,AC211))</f>
        <v>2</v>
      </c>
      <c r="O211" s="68">
        <f t="shared" ref="O211:O274" si="56">IF(IF($B$17=3,AD211/1000,AD211)=0,"",IF($B$17=3,AD211/1000,AD211))</f>
        <v>58</v>
      </c>
      <c r="P211" s="68">
        <f t="shared" ref="P211:P274" si="57">IF(IF($B$17=3,AE211/1000,AE211)=0,"",IF($B$17=3,AE211/1000,AE211))</f>
        <v>-2246</v>
      </c>
      <c r="Q211" s="68" t="str">
        <f t="shared" ref="Q211:Q274" si="58">IF(IF($B$17=3,AF211/1000,AF211)=0,"",IF($B$17=3,AF211/1000,AF211))</f>
        <v/>
      </c>
      <c r="R211" s="69">
        <f t="shared" ref="R211:R274" si="59">IF(IF($B$17=3,AG211/1000,AG211)=0,"",IF($B$17=3,AG211/1000,AG211))</f>
        <v>-1485</v>
      </c>
      <c r="U211" s="5">
        <v>45054</v>
      </c>
      <c r="V211">
        <v>13435</v>
      </c>
      <c r="W211">
        <v>-19062</v>
      </c>
      <c r="X211">
        <v>7113</v>
      </c>
      <c r="Y211">
        <v>7800</v>
      </c>
      <c r="Z211">
        <v>43</v>
      </c>
      <c r="AA211">
        <v>1284</v>
      </c>
      <c r="AB211">
        <v>172</v>
      </c>
      <c r="AC211">
        <v>2</v>
      </c>
      <c r="AD211">
        <v>58</v>
      </c>
      <c r="AE211">
        <v>-2246</v>
      </c>
      <c r="AF211">
        <v>0</v>
      </c>
      <c r="AG211">
        <v>-1485</v>
      </c>
    </row>
    <row r="212" spans="6:33">
      <c r="F212" s="74">
        <f t="shared" si="47"/>
        <v>45050</v>
      </c>
      <c r="G212" s="72">
        <f t="shared" si="48"/>
        <v>-3680</v>
      </c>
      <c r="H212" s="68">
        <f t="shared" si="49"/>
        <v>10459</v>
      </c>
      <c r="I212" s="68">
        <f t="shared" si="50"/>
        <v>-6494</v>
      </c>
      <c r="J212" s="68">
        <f t="shared" si="51"/>
        <v>-5798</v>
      </c>
      <c r="K212" s="68">
        <f t="shared" si="52"/>
        <v>-353</v>
      </c>
      <c r="L212" s="68">
        <f t="shared" si="53"/>
        <v>694</v>
      </c>
      <c r="M212" s="68">
        <f t="shared" si="54"/>
        <v>-146</v>
      </c>
      <c r="N212" s="68">
        <f t="shared" si="55"/>
        <v>-12</v>
      </c>
      <c r="O212" s="68">
        <f t="shared" si="56"/>
        <v>129</v>
      </c>
      <c r="P212" s="68">
        <f t="shared" si="57"/>
        <v>-1008</v>
      </c>
      <c r="Q212" s="68" t="str">
        <f t="shared" si="58"/>
        <v/>
      </c>
      <c r="R212" s="69">
        <f t="shared" si="59"/>
        <v>-285</v>
      </c>
      <c r="U212" s="5">
        <v>45050</v>
      </c>
      <c r="V212">
        <v>-3680</v>
      </c>
      <c r="W212">
        <v>10459</v>
      </c>
      <c r="X212">
        <v>-6494</v>
      </c>
      <c r="Y212">
        <v>-5798</v>
      </c>
      <c r="Z212">
        <v>-353</v>
      </c>
      <c r="AA212">
        <v>694</v>
      </c>
      <c r="AB212">
        <v>-146</v>
      </c>
      <c r="AC212">
        <v>-12</v>
      </c>
      <c r="AD212">
        <v>129</v>
      </c>
      <c r="AE212">
        <v>-1008</v>
      </c>
      <c r="AF212">
        <v>0</v>
      </c>
      <c r="AG212">
        <v>-285</v>
      </c>
    </row>
    <row r="213" spans="6:33">
      <c r="F213" s="74">
        <f t="shared" si="47"/>
        <v>45049</v>
      </c>
      <c r="G213" s="72">
        <f t="shared" si="48"/>
        <v>44</v>
      </c>
      <c r="H213" s="68">
        <f t="shared" si="49"/>
        <v>7928</v>
      </c>
      <c r="I213" s="68">
        <f t="shared" si="50"/>
        <v>-7092</v>
      </c>
      <c r="J213" s="68">
        <f t="shared" si="51"/>
        <v>-3384</v>
      </c>
      <c r="K213" s="68">
        <f t="shared" si="52"/>
        <v>-142</v>
      </c>
      <c r="L213" s="68">
        <f t="shared" si="53"/>
        <v>-1483</v>
      </c>
      <c r="M213" s="68">
        <f t="shared" si="54"/>
        <v>-444</v>
      </c>
      <c r="N213" s="68">
        <f t="shared" si="55"/>
        <v>-2</v>
      </c>
      <c r="O213" s="68">
        <f t="shared" si="56"/>
        <v>170</v>
      </c>
      <c r="P213" s="68">
        <f t="shared" si="57"/>
        <v>-1807</v>
      </c>
      <c r="Q213" s="68" t="str">
        <f t="shared" si="58"/>
        <v/>
      </c>
      <c r="R213" s="69">
        <f t="shared" si="59"/>
        <v>-880</v>
      </c>
      <c r="U213" s="5">
        <v>45049</v>
      </c>
      <c r="V213">
        <v>44</v>
      </c>
      <c r="W213">
        <v>7928</v>
      </c>
      <c r="X213">
        <v>-7092</v>
      </c>
      <c r="Y213">
        <v>-3384</v>
      </c>
      <c r="Z213">
        <v>-142</v>
      </c>
      <c r="AA213">
        <v>-1483</v>
      </c>
      <c r="AB213">
        <v>-444</v>
      </c>
      <c r="AC213">
        <v>-2</v>
      </c>
      <c r="AD213">
        <v>170</v>
      </c>
      <c r="AE213">
        <v>-1807</v>
      </c>
      <c r="AF213">
        <v>0</v>
      </c>
      <c r="AG213">
        <v>-880</v>
      </c>
    </row>
    <row r="214" spans="6:33">
      <c r="F214" s="74">
        <f t="shared" si="47"/>
        <v>45048</v>
      </c>
      <c r="G214" s="72">
        <f t="shared" si="48"/>
        <v>17612</v>
      </c>
      <c r="H214" s="68">
        <f t="shared" si="49"/>
        <v>-12126</v>
      </c>
      <c r="I214" s="68">
        <f t="shared" si="50"/>
        <v>2330</v>
      </c>
      <c r="J214" s="68">
        <f t="shared" si="51"/>
        <v>4555</v>
      </c>
      <c r="K214" s="68">
        <f t="shared" si="52"/>
        <v>-270</v>
      </c>
      <c r="L214" s="68">
        <f t="shared" si="53"/>
        <v>-623</v>
      </c>
      <c r="M214" s="68">
        <f t="shared" si="54"/>
        <v>-570</v>
      </c>
      <c r="N214" s="68" t="str">
        <f t="shared" si="55"/>
        <v/>
      </c>
      <c r="O214" s="68">
        <f t="shared" si="56"/>
        <v>124</v>
      </c>
      <c r="P214" s="68">
        <f t="shared" si="57"/>
        <v>-886</v>
      </c>
      <c r="Q214" s="68" t="str">
        <f t="shared" si="58"/>
        <v/>
      </c>
      <c r="R214" s="69">
        <f t="shared" si="59"/>
        <v>-7814</v>
      </c>
      <c r="U214" s="5">
        <v>45048</v>
      </c>
      <c r="V214">
        <v>17612</v>
      </c>
      <c r="W214">
        <v>-12126</v>
      </c>
      <c r="X214">
        <v>2330</v>
      </c>
      <c r="Y214">
        <v>4555</v>
      </c>
      <c r="Z214">
        <v>-270</v>
      </c>
      <c r="AA214">
        <v>-623</v>
      </c>
      <c r="AB214">
        <v>-570</v>
      </c>
      <c r="AC214">
        <v>0</v>
      </c>
      <c r="AD214">
        <v>124</v>
      </c>
      <c r="AE214">
        <v>-886</v>
      </c>
      <c r="AF214">
        <v>0</v>
      </c>
      <c r="AG214">
        <v>-7814</v>
      </c>
    </row>
    <row r="215" spans="6:33">
      <c r="F215" s="74">
        <f t="shared" si="47"/>
        <v>45044</v>
      </c>
      <c r="G215" s="72">
        <f t="shared" si="48"/>
        <v>8953</v>
      </c>
      <c r="H215" s="68">
        <f t="shared" si="49"/>
        <v>1541</v>
      </c>
      <c r="I215" s="68">
        <f t="shared" si="50"/>
        <v>-4585</v>
      </c>
      <c r="J215" s="68">
        <f t="shared" si="51"/>
        <v>-5210</v>
      </c>
      <c r="K215" s="68">
        <f t="shared" si="52"/>
        <v>248</v>
      </c>
      <c r="L215" s="68">
        <f t="shared" si="53"/>
        <v>1390</v>
      </c>
      <c r="M215" s="68">
        <f t="shared" si="54"/>
        <v>-1471</v>
      </c>
      <c r="N215" s="68">
        <f t="shared" si="55"/>
        <v>9</v>
      </c>
      <c r="O215" s="68">
        <f t="shared" si="56"/>
        <v>83</v>
      </c>
      <c r="P215" s="68">
        <f t="shared" si="57"/>
        <v>366</v>
      </c>
      <c r="Q215" s="68" t="str">
        <f t="shared" si="58"/>
        <v/>
      </c>
      <c r="R215" s="69">
        <f t="shared" si="59"/>
        <v>-5906</v>
      </c>
      <c r="U215" s="5">
        <v>45044</v>
      </c>
      <c r="V215">
        <v>8953</v>
      </c>
      <c r="W215">
        <v>1541</v>
      </c>
      <c r="X215">
        <v>-4585</v>
      </c>
      <c r="Y215">
        <v>-5210</v>
      </c>
      <c r="Z215">
        <v>248</v>
      </c>
      <c r="AA215">
        <v>1390</v>
      </c>
      <c r="AB215">
        <v>-1471</v>
      </c>
      <c r="AC215">
        <v>9</v>
      </c>
      <c r="AD215">
        <v>83</v>
      </c>
      <c r="AE215">
        <v>366</v>
      </c>
      <c r="AF215">
        <v>0</v>
      </c>
      <c r="AG215">
        <v>-5906</v>
      </c>
    </row>
    <row r="216" spans="6:33">
      <c r="F216" s="74">
        <f t="shared" si="47"/>
        <v>45043</v>
      </c>
      <c r="G216" s="72">
        <f t="shared" si="48"/>
        <v>4394</v>
      </c>
      <c r="H216" s="68">
        <f t="shared" si="49"/>
        <v>6221</v>
      </c>
      <c r="I216" s="68">
        <f t="shared" si="50"/>
        <v>-12078</v>
      </c>
      <c r="J216" s="68">
        <f t="shared" si="51"/>
        <v>-10731</v>
      </c>
      <c r="K216" s="68">
        <f t="shared" si="52"/>
        <v>-188</v>
      </c>
      <c r="L216" s="68">
        <f t="shared" si="53"/>
        <v>-1122</v>
      </c>
      <c r="M216" s="68">
        <f t="shared" si="54"/>
        <v>-931</v>
      </c>
      <c r="N216" s="68">
        <f t="shared" si="55"/>
        <v>29</v>
      </c>
      <c r="O216" s="68">
        <f t="shared" si="56"/>
        <v>-70</v>
      </c>
      <c r="P216" s="68">
        <f t="shared" si="57"/>
        <v>935</v>
      </c>
      <c r="Q216" s="68" t="str">
        <f t="shared" si="58"/>
        <v/>
      </c>
      <c r="R216" s="69">
        <f t="shared" si="59"/>
        <v>1461</v>
      </c>
      <c r="U216" s="5">
        <v>45043</v>
      </c>
      <c r="V216">
        <v>4394</v>
      </c>
      <c r="W216">
        <v>6221</v>
      </c>
      <c r="X216">
        <v>-12078</v>
      </c>
      <c r="Y216">
        <v>-10731</v>
      </c>
      <c r="Z216">
        <v>-188</v>
      </c>
      <c r="AA216">
        <v>-1122</v>
      </c>
      <c r="AB216">
        <v>-931</v>
      </c>
      <c r="AC216">
        <v>29</v>
      </c>
      <c r="AD216">
        <v>-70</v>
      </c>
      <c r="AE216">
        <v>935</v>
      </c>
      <c r="AF216">
        <v>0</v>
      </c>
      <c r="AG216">
        <v>1461</v>
      </c>
    </row>
    <row r="217" spans="6:33">
      <c r="F217" s="74">
        <f t="shared" si="47"/>
        <v>45042</v>
      </c>
      <c r="G217" s="72">
        <f t="shared" si="48"/>
        <v>-4565</v>
      </c>
      <c r="H217" s="68">
        <f t="shared" si="49"/>
        <v>6937</v>
      </c>
      <c r="I217" s="68">
        <f t="shared" si="50"/>
        <v>-3626</v>
      </c>
      <c r="J217" s="68">
        <f t="shared" si="51"/>
        <v>-1691</v>
      </c>
      <c r="K217" s="68">
        <f t="shared" si="52"/>
        <v>-185</v>
      </c>
      <c r="L217" s="68">
        <f t="shared" si="53"/>
        <v>-2303</v>
      </c>
      <c r="M217" s="68">
        <f t="shared" si="54"/>
        <v>-1419</v>
      </c>
      <c r="N217" s="68" t="str">
        <f t="shared" si="55"/>
        <v/>
      </c>
      <c r="O217" s="68">
        <f t="shared" si="56"/>
        <v>-57</v>
      </c>
      <c r="P217" s="68">
        <f t="shared" si="57"/>
        <v>2029</v>
      </c>
      <c r="Q217" s="68" t="str">
        <f t="shared" si="58"/>
        <v/>
      </c>
      <c r="R217" s="69">
        <f t="shared" si="59"/>
        <v>1254</v>
      </c>
      <c r="U217" s="5">
        <v>45042</v>
      </c>
      <c r="V217">
        <v>-4565</v>
      </c>
      <c r="W217">
        <v>6937</v>
      </c>
      <c r="X217">
        <v>-3626</v>
      </c>
      <c r="Y217">
        <v>-1691</v>
      </c>
      <c r="Z217">
        <v>-185</v>
      </c>
      <c r="AA217">
        <v>-2303</v>
      </c>
      <c r="AB217">
        <v>-1419</v>
      </c>
      <c r="AC217">
        <v>0</v>
      </c>
      <c r="AD217">
        <v>-57</v>
      </c>
      <c r="AE217">
        <v>2029</v>
      </c>
      <c r="AF217">
        <v>0</v>
      </c>
      <c r="AG217">
        <v>1254</v>
      </c>
    </row>
    <row r="218" spans="6:33">
      <c r="F218" s="74">
        <f t="shared" si="47"/>
        <v>45041</v>
      </c>
      <c r="G218" s="72">
        <f t="shared" si="48"/>
        <v>-5802</v>
      </c>
      <c r="H218" s="68">
        <f t="shared" si="49"/>
        <v>2871</v>
      </c>
      <c r="I218" s="68">
        <f t="shared" si="50"/>
        <v>521</v>
      </c>
      <c r="J218" s="68">
        <f t="shared" si="51"/>
        <v>-787</v>
      </c>
      <c r="K218" s="68">
        <f t="shared" si="52"/>
        <v>634</v>
      </c>
      <c r="L218" s="68">
        <f t="shared" si="53"/>
        <v>-1703</v>
      </c>
      <c r="M218" s="68">
        <f t="shared" si="54"/>
        <v>-60</v>
      </c>
      <c r="N218" s="68">
        <f t="shared" si="55"/>
        <v>24</v>
      </c>
      <c r="O218" s="68">
        <f t="shared" si="56"/>
        <v>32</v>
      </c>
      <c r="P218" s="68">
        <f t="shared" si="57"/>
        <v>2381</v>
      </c>
      <c r="Q218" s="68" t="str">
        <f t="shared" si="58"/>
        <v/>
      </c>
      <c r="R218" s="69">
        <f t="shared" si="59"/>
        <v>2410</v>
      </c>
      <c r="U218" s="5">
        <v>45041</v>
      </c>
      <c r="V218">
        <v>-5802</v>
      </c>
      <c r="W218">
        <v>2871</v>
      </c>
      <c r="X218">
        <v>521</v>
      </c>
      <c r="Y218">
        <v>-787</v>
      </c>
      <c r="Z218">
        <v>634</v>
      </c>
      <c r="AA218">
        <v>-1703</v>
      </c>
      <c r="AB218">
        <v>-60</v>
      </c>
      <c r="AC218">
        <v>24</v>
      </c>
      <c r="AD218">
        <v>32</v>
      </c>
      <c r="AE218">
        <v>2381</v>
      </c>
      <c r="AF218">
        <v>0</v>
      </c>
      <c r="AG218">
        <v>2410</v>
      </c>
    </row>
    <row r="219" spans="6:33">
      <c r="F219" s="74">
        <f t="shared" si="47"/>
        <v>45040</v>
      </c>
      <c r="G219" s="72">
        <f t="shared" si="48"/>
        <v>-17840</v>
      </c>
      <c r="H219" s="68">
        <f t="shared" si="49"/>
        <v>18040</v>
      </c>
      <c r="I219" s="68">
        <f t="shared" si="50"/>
        <v>-1072</v>
      </c>
      <c r="J219" s="68">
        <f t="shared" si="51"/>
        <v>3417</v>
      </c>
      <c r="K219" s="68">
        <f t="shared" si="52"/>
        <v>310</v>
      </c>
      <c r="L219" s="68">
        <f t="shared" si="53"/>
        <v>-2202</v>
      </c>
      <c r="M219" s="68">
        <f t="shared" si="54"/>
        <v>-2086</v>
      </c>
      <c r="N219" s="68">
        <f t="shared" si="55"/>
        <v>29</v>
      </c>
      <c r="O219" s="68">
        <f t="shared" si="56"/>
        <v>106</v>
      </c>
      <c r="P219" s="68">
        <f t="shared" si="57"/>
        <v>-646</v>
      </c>
      <c r="Q219" s="68" t="str">
        <f t="shared" si="58"/>
        <v/>
      </c>
      <c r="R219" s="69">
        <f t="shared" si="59"/>
        <v>874</v>
      </c>
      <c r="U219" s="5">
        <v>45040</v>
      </c>
      <c r="V219">
        <v>-17840</v>
      </c>
      <c r="W219">
        <v>18040</v>
      </c>
      <c r="X219">
        <v>-1072</v>
      </c>
      <c r="Y219">
        <v>3417</v>
      </c>
      <c r="Z219">
        <v>310</v>
      </c>
      <c r="AA219">
        <v>-2202</v>
      </c>
      <c r="AB219">
        <v>-2086</v>
      </c>
      <c r="AC219">
        <v>29</v>
      </c>
      <c r="AD219">
        <v>106</v>
      </c>
      <c r="AE219">
        <v>-646</v>
      </c>
      <c r="AF219">
        <v>0</v>
      </c>
      <c r="AG219">
        <v>874</v>
      </c>
    </row>
    <row r="220" spans="6:33">
      <c r="F220" s="74">
        <f t="shared" si="47"/>
        <v>45037</v>
      </c>
      <c r="G220" s="72">
        <f t="shared" si="48"/>
        <v>432</v>
      </c>
      <c r="H220" s="68">
        <f t="shared" si="49"/>
        <v>-1682</v>
      </c>
      <c r="I220" s="68">
        <f t="shared" si="50"/>
        <v>1807</v>
      </c>
      <c r="J220" s="68">
        <f t="shared" si="51"/>
        <v>4385</v>
      </c>
      <c r="K220" s="68">
        <f t="shared" si="52"/>
        <v>-134</v>
      </c>
      <c r="L220" s="68">
        <f t="shared" si="53"/>
        <v>-1660</v>
      </c>
      <c r="M220" s="68">
        <f t="shared" si="54"/>
        <v>-1653</v>
      </c>
      <c r="N220" s="68">
        <f t="shared" si="55"/>
        <v>-19</v>
      </c>
      <c r="O220" s="68">
        <f t="shared" si="56"/>
        <v>-21</v>
      </c>
      <c r="P220" s="68">
        <f t="shared" si="57"/>
        <v>909</v>
      </c>
      <c r="Q220" s="68" t="str">
        <f t="shared" si="58"/>
        <v/>
      </c>
      <c r="R220" s="69">
        <f t="shared" si="59"/>
        <v>-559</v>
      </c>
      <c r="U220" s="5">
        <v>45037</v>
      </c>
      <c r="V220">
        <v>432</v>
      </c>
      <c r="W220">
        <v>-1682</v>
      </c>
      <c r="X220">
        <v>1807</v>
      </c>
      <c r="Y220">
        <v>4385</v>
      </c>
      <c r="Z220">
        <v>-134</v>
      </c>
      <c r="AA220">
        <v>-1660</v>
      </c>
      <c r="AB220">
        <v>-1653</v>
      </c>
      <c r="AC220">
        <v>-19</v>
      </c>
      <c r="AD220">
        <v>-21</v>
      </c>
      <c r="AE220">
        <v>909</v>
      </c>
      <c r="AF220">
        <v>0</v>
      </c>
      <c r="AG220">
        <v>-559</v>
      </c>
    </row>
    <row r="221" spans="6:33">
      <c r="F221" s="74">
        <f t="shared" si="47"/>
        <v>45036</v>
      </c>
      <c r="G221" s="72">
        <f t="shared" si="48"/>
        <v>-10708</v>
      </c>
      <c r="H221" s="68">
        <f t="shared" si="49"/>
        <v>8721</v>
      </c>
      <c r="I221" s="68">
        <f t="shared" si="50"/>
        <v>2456</v>
      </c>
      <c r="J221" s="68">
        <f t="shared" si="51"/>
        <v>1204</v>
      </c>
      <c r="K221" s="68">
        <f t="shared" si="52"/>
        <v>-7</v>
      </c>
      <c r="L221" s="68">
        <f t="shared" si="53"/>
        <v>-716</v>
      </c>
      <c r="M221" s="68">
        <f t="shared" si="54"/>
        <v>-518</v>
      </c>
      <c r="N221" s="68">
        <f t="shared" si="55"/>
        <v>986</v>
      </c>
      <c r="O221" s="68">
        <f t="shared" si="56"/>
        <v>8</v>
      </c>
      <c r="P221" s="68">
        <f t="shared" si="57"/>
        <v>1499</v>
      </c>
      <c r="Q221" s="68" t="str">
        <f t="shared" si="58"/>
        <v/>
      </c>
      <c r="R221" s="69">
        <f t="shared" si="59"/>
        <v>-469</v>
      </c>
      <c r="U221" s="5">
        <v>45036</v>
      </c>
      <c r="V221">
        <v>-10708</v>
      </c>
      <c r="W221">
        <v>8721</v>
      </c>
      <c r="X221">
        <v>2456</v>
      </c>
      <c r="Y221">
        <v>1204</v>
      </c>
      <c r="Z221">
        <v>-7</v>
      </c>
      <c r="AA221">
        <v>-716</v>
      </c>
      <c r="AB221">
        <v>-518</v>
      </c>
      <c r="AC221">
        <v>986</v>
      </c>
      <c r="AD221">
        <v>8</v>
      </c>
      <c r="AE221">
        <v>1499</v>
      </c>
      <c r="AF221">
        <v>0</v>
      </c>
      <c r="AG221">
        <v>-469</v>
      </c>
    </row>
    <row r="222" spans="6:33">
      <c r="F222" s="74">
        <f t="shared" si="47"/>
        <v>45035</v>
      </c>
      <c r="G222" s="72">
        <f t="shared" si="48"/>
        <v>25983</v>
      </c>
      <c r="H222" s="68">
        <f t="shared" si="49"/>
        <v>-24576</v>
      </c>
      <c r="I222" s="68">
        <f t="shared" si="50"/>
        <v>3854</v>
      </c>
      <c r="J222" s="68">
        <f t="shared" si="51"/>
        <v>1889</v>
      </c>
      <c r="K222" s="68">
        <f t="shared" si="52"/>
        <v>189</v>
      </c>
      <c r="L222" s="68">
        <f t="shared" si="53"/>
        <v>605</v>
      </c>
      <c r="M222" s="68">
        <f t="shared" si="54"/>
        <v>-1142</v>
      </c>
      <c r="N222" s="68">
        <f t="shared" si="55"/>
        <v>9</v>
      </c>
      <c r="O222" s="68">
        <f t="shared" si="56"/>
        <v>56</v>
      </c>
      <c r="P222" s="68">
        <f t="shared" si="57"/>
        <v>2248</v>
      </c>
      <c r="Q222" s="68" t="str">
        <f t="shared" si="58"/>
        <v/>
      </c>
      <c r="R222" s="69">
        <f t="shared" si="59"/>
        <v>-5262</v>
      </c>
      <c r="U222" s="5">
        <v>45035</v>
      </c>
      <c r="V222">
        <v>25983</v>
      </c>
      <c r="W222">
        <v>-24576</v>
      </c>
      <c r="X222">
        <v>3854</v>
      </c>
      <c r="Y222">
        <v>1889</v>
      </c>
      <c r="Z222">
        <v>189</v>
      </c>
      <c r="AA222">
        <v>605</v>
      </c>
      <c r="AB222">
        <v>-1142</v>
      </c>
      <c r="AC222">
        <v>9</v>
      </c>
      <c r="AD222">
        <v>56</v>
      </c>
      <c r="AE222">
        <v>2248</v>
      </c>
      <c r="AF222">
        <v>0</v>
      </c>
      <c r="AG222">
        <v>-5262</v>
      </c>
    </row>
    <row r="223" spans="6:33">
      <c r="F223" s="74">
        <f t="shared" si="47"/>
        <v>45034</v>
      </c>
      <c r="G223" s="72">
        <f t="shared" si="48"/>
        <v>6948</v>
      </c>
      <c r="H223" s="68">
        <f t="shared" si="49"/>
        <v>21079</v>
      </c>
      <c r="I223" s="68">
        <f t="shared" si="50"/>
        <v>-20809</v>
      </c>
      <c r="J223" s="68">
        <f t="shared" si="51"/>
        <v>-19806</v>
      </c>
      <c r="K223" s="68">
        <f t="shared" si="52"/>
        <v>-258</v>
      </c>
      <c r="L223" s="68">
        <f t="shared" si="53"/>
        <v>915</v>
      </c>
      <c r="M223" s="68">
        <f t="shared" si="54"/>
        <v>-373</v>
      </c>
      <c r="N223" s="68">
        <f t="shared" si="55"/>
        <v>-86</v>
      </c>
      <c r="O223" s="68">
        <f t="shared" si="56"/>
        <v>-121</v>
      </c>
      <c r="P223" s="68">
        <f t="shared" si="57"/>
        <v>-1080</v>
      </c>
      <c r="Q223" s="68" t="str">
        <f t="shared" si="58"/>
        <v/>
      </c>
      <c r="R223" s="69">
        <f t="shared" si="59"/>
        <v>-7218</v>
      </c>
      <c r="U223" s="5">
        <v>45034</v>
      </c>
      <c r="V223">
        <v>6948</v>
      </c>
      <c r="W223">
        <v>21079</v>
      </c>
      <c r="X223">
        <v>-20809</v>
      </c>
      <c r="Y223">
        <v>-19806</v>
      </c>
      <c r="Z223">
        <v>-258</v>
      </c>
      <c r="AA223">
        <v>915</v>
      </c>
      <c r="AB223">
        <v>-373</v>
      </c>
      <c r="AC223">
        <v>-86</v>
      </c>
      <c r="AD223">
        <v>-121</v>
      </c>
      <c r="AE223">
        <v>-1080</v>
      </c>
      <c r="AF223">
        <v>0</v>
      </c>
      <c r="AG223">
        <v>-7218</v>
      </c>
    </row>
    <row r="224" spans="6:33">
      <c r="F224" s="74">
        <f t="shared" si="47"/>
        <v>45033</v>
      </c>
      <c r="G224" s="72">
        <f t="shared" si="48"/>
        <v>-423</v>
      </c>
      <c r="H224" s="68">
        <f t="shared" si="49"/>
        <v>6158</v>
      </c>
      <c r="I224" s="68">
        <f t="shared" si="50"/>
        <v>-3069</v>
      </c>
      <c r="J224" s="68">
        <f t="shared" si="51"/>
        <v>-4699</v>
      </c>
      <c r="K224" s="68">
        <f t="shared" si="52"/>
        <v>297</v>
      </c>
      <c r="L224" s="68">
        <f t="shared" si="53"/>
        <v>154</v>
      </c>
      <c r="M224" s="68">
        <f t="shared" si="54"/>
        <v>282</v>
      </c>
      <c r="N224" s="68">
        <f t="shared" si="55"/>
        <v>-94</v>
      </c>
      <c r="O224" s="68">
        <f t="shared" si="56"/>
        <v>-136</v>
      </c>
      <c r="P224" s="68">
        <f t="shared" si="57"/>
        <v>1127</v>
      </c>
      <c r="Q224" s="68" t="str">
        <f t="shared" si="58"/>
        <v/>
      </c>
      <c r="R224" s="69">
        <f t="shared" si="59"/>
        <v>-2668</v>
      </c>
      <c r="U224" s="5">
        <v>45033</v>
      </c>
      <c r="V224">
        <v>-423</v>
      </c>
      <c r="W224">
        <v>6158</v>
      </c>
      <c r="X224">
        <v>-3069</v>
      </c>
      <c r="Y224">
        <v>-4699</v>
      </c>
      <c r="Z224">
        <v>297</v>
      </c>
      <c r="AA224">
        <v>154</v>
      </c>
      <c r="AB224">
        <v>282</v>
      </c>
      <c r="AC224">
        <v>-94</v>
      </c>
      <c r="AD224">
        <v>-136</v>
      </c>
      <c r="AE224">
        <v>1127</v>
      </c>
      <c r="AF224">
        <v>0</v>
      </c>
      <c r="AG224">
        <v>-2668</v>
      </c>
    </row>
    <row r="225" spans="6:33">
      <c r="F225" s="74">
        <f t="shared" si="47"/>
        <v>45030</v>
      </c>
      <c r="G225" s="72">
        <f t="shared" si="48"/>
        <v>18426</v>
      </c>
      <c r="H225" s="68">
        <f t="shared" si="49"/>
        <v>-22525</v>
      </c>
      <c r="I225" s="68">
        <f t="shared" si="50"/>
        <v>5356</v>
      </c>
      <c r="J225" s="68">
        <f t="shared" si="51"/>
        <v>4649</v>
      </c>
      <c r="K225" s="68">
        <f t="shared" si="52"/>
        <v>535</v>
      </c>
      <c r="L225" s="68">
        <f t="shared" si="53"/>
        <v>-1539</v>
      </c>
      <c r="M225" s="68">
        <f t="shared" si="54"/>
        <v>192</v>
      </c>
      <c r="N225" s="68">
        <f t="shared" si="55"/>
        <v>-7</v>
      </c>
      <c r="O225" s="68">
        <f t="shared" si="56"/>
        <v>-244</v>
      </c>
      <c r="P225" s="68">
        <f t="shared" si="57"/>
        <v>1770</v>
      </c>
      <c r="Q225" s="68" t="str">
        <f t="shared" si="58"/>
        <v/>
      </c>
      <c r="R225" s="69">
        <f t="shared" si="59"/>
        <v>-1258</v>
      </c>
      <c r="U225" s="5">
        <v>45030</v>
      </c>
      <c r="V225">
        <v>18426</v>
      </c>
      <c r="W225">
        <v>-22525</v>
      </c>
      <c r="X225">
        <v>5356</v>
      </c>
      <c r="Y225">
        <v>4649</v>
      </c>
      <c r="Z225">
        <v>535</v>
      </c>
      <c r="AA225">
        <v>-1539</v>
      </c>
      <c r="AB225">
        <v>192</v>
      </c>
      <c r="AC225">
        <v>-7</v>
      </c>
      <c r="AD225">
        <v>-244</v>
      </c>
      <c r="AE225">
        <v>1770</v>
      </c>
      <c r="AF225">
        <v>0</v>
      </c>
      <c r="AG225">
        <v>-1258</v>
      </c>
    </row>
    <row r="226" spans="6:33">
      <c r="F226" s="74">
        <f t="shared" si="47"/>
        <v>45029</v>
      </c>
      <c r="G226" s="72">
        <f t="shared" si="48"/>
        <v>-4397</v>
      </c>
      <c r="H226" s="68">
        <f t="shared" si="49"/>
        <v>-3950</v>
      </c>
      <c r="I226" s="68">
        <f t="shared" si="50"/>
        <v>7460</v>
      </c>
      <c r="J226" s="68">
        <f t="shared" si="51"/>
        <v>9018</v>
      </c>
      <c r="K226" s="68">
        <f t="shared" si="52"/>
        <v>-1156</v>
      </c>
      <c r="L226" s="68">
        <f t="shared" si="53"/>
        <v>543</v>
      </c>
      <c r="M226" s="68">
        <f t="shared" si="54"/>
        <v>-471</v>
      </c>
      <c r="N226" s="68">
        <f t="shared" si="55"/>
        <v>23</v>
      </c>
      <c r="O226" s="68">
        <f t="shared" si="56"/>
        <v>31</v>
      </c>
      <c r="P226" s="68">
        <f t="shared" si="57"/>
        <v>-528</v>
      </c>
      <c r="Q226" s="68" t="str">
        <f t="shared" si="58"/>
        <v/>
      </c>
      <c r="R226" s="69">
        <f t="shared" si="59"/>
        <v>886</v>
      </c>
      <c r="U226" s="5">
        <v>45029</v>
      </c>
      <c r="V226">
        <v>-4397</v>
      </c>
      <c r="W226">
        <v>-3950</v>
      </c>
      <c r="X226">
        <v>7460</v>
      </c>
      <c r="Y226">
        <v>9018</v>
      </c>
      <c r="Z226">
        <v>-1156</v>
      </c>
      <c r="AA226">
        <v>543</v>
      </c>
      <c r="AB226">
        <v>-471</v>
      </c>
      <c r="AC226">
        <v>23</v>
      </c>
      <c r="AD226">
        <v>31</v>
      </c>
      <c r="AE226">
        <v>-528</v>
      </c>
      <c r="AF226">
        <v>0</v>
      </c>
      <c r="AG226">
        <v>886</v>
      </c>
    </row>
    <row r="227" spans="6:33">
      <c r="F227" s="74">
        <f t="shared" si="47"/>
        <v>45028</v>
      </c>
      <c r="G227" s="72">
        <f t="shared" si="48"/>
        <v>32906</v>
      </c>
      <c r="H227" s="68">
        <f t="shared" si="49"/>
        <v>-35330</v>
      </c>
      <c r="I227" s="68">
        <f t="shared" si="50"/>
        <v>2150</v>
      </c>
      <c r="J227" s="68">
        <f t="shared" si="51"/>
        <v>-2043</v>
      </c>
      <c r="K227" s="68">
        <f t="shared" si="52"/>
        <v>-15</v>
      </c>
      <c r="L227" s="68">
        <f t="shared" si="53"/>
        <v>1212</v>
      </c>
      <c r="M227" s="68">
        <f t="shared" si="54"/>
        <v>1827</v>
      </c>
      <c r="N227" s="68">
        <f t="shared" si="55"/>
        <v>-3</v>
      </c>
      <c r="O227" s="68">
        <f t="shared" si="56"/>
        <v>-31</v>
      </c>
      <c r="P227" s="68">
        <f t="shared" si="57"/>
        <v>1203</v>
      </c>
      <c r="Q227" s="68" t="str">
        <f t="shared" si="58"/>
        <v/>
      </c>
      <c r="R227" s="69">
        <f t="shared" si="59"/>
        <v>275</v>
      </c>
      <c r="U227" s="5">
        <v>45028</v>
      </c>
      <c r="V227">
        <v>32906</v>
      </c>
      <c r="W227">
        <v>-35330</v>
      </c>
      <c r="X227">
        <v>2150</v>
      </c>
      <c r="Y227">
        <v>-2043</v>
      </c>
      <c r="Z227">
        <v>-15</v>
      </c>
      <c r="AA227">
        <v>1212</v>
      </c>
      <c r="AB227">
        <v>1827</v>
      </c>
      <c r="AC227">
        <v>-3</v>
      </c>
      <c r="AD227">
        <v>-31</v>
      </c>
      <c r="AE227">
        <v>1203</v>
      </c>
      <c r="AF227">
        <v>0</v>
      </c>
      <c r="AG227">
        <v>275</v>
      </c>
    </row>
    <row r="228" spans="6:33">
      <c r="F228" s="74">
        <f t="shared" si="47"/>
        <v>45027</v>
      </c>
      <c r="G228" s="72">
        <f t="shared" si="48"/>
        <v>21397</v>
      </c>
      <c r="H228" s="68">
        <f t="shared" si="49"/>
        <v>-26452</v>
      </c>
      <c r="I228" s="68">
        <f t="shared" si="50"/>
        <v>2603</v>
      </c>
      <c r="J228" s="68">
        <f t="shared" si="51"/>
        <v>4124</v>
      </c>
      <c r="K228" s="68">
        <f t="shared" si="52"/>
        <v>-226</v>
      </c>
      <c r="L228" s="68">
        <f t="shared" si="53"/>
        <v>-1070</v>
      </c>
      <c r="M228" s="68">
        <f t="shared" si="54"/>
        <v>45</v>
      </c>
      <c r="N228" s="68">
        <f t="shared" si="55"/>
        <v>-9</v>
      </c>
      <c r="O228" s="68">
        <f t="shared" si="56"/>
        <v>-201</v>
      </c>
      <c r="P228" s="68">
        <f t="shared" si="57"/>
        <v>-60</v>
      </c>
      <c r="Q228" s="68" t="str">
        <f t="shared" si="58"/>
        <v/>
      </c>
      <c r="R228" s="69">
        <f t="shared" si="59"/>
        <v>2452</v>
      </c>
      <c r="U228" s="5">
        <v>45027</v>
      </c>
      <c r="V228">
        <v>21397</v>
      </c>
      <c r="W228">
        <v>-26452</v>
      </c>
      <c r="X228">
        <v>2603</v>
      </c>
      <c r="Y228">
        <v>4124</v>
      </c>
      <c r="Z228">
        <v>-226</v>
      </c>
      <c r="AA228">
        <v>-1070</v>
      </c>
      <c r="AB228">
        <v>45</v>
      </c>
      <c r="AC228">
        <v>-9</v>
      </c>
      <c r="AD228">
        <v>-201</v>
      </c>
      <c r="AE228">
        <v>-60</v>
      </c>
      <c r="AF228">
        <v>0</v>
      </c>
      <c r="AG228">
        <v>2452</v>
      </c>
    </row>
    <row r="229" spans="6:33">
      <c r="F229" s="74">
        <f t="shared" si="47"/>
        <v>45026</v>
      </c>
      <c r="G229" s="72">
        <f t="shared" si="48"/>
        <v>-3863</v>
      </c>
      <c r="H229" s="68">
        <f t="shared" si="49"/>
        <v>5547</v>
      </c>
      <c r="I229" s="68">
        <f t="shared" si="50"/>
        <v>-2476</v>
      </c>
      <c r="J229" s="68">
        <f t="shared" si="51"/>
        <v>573</v>
      </c>
      <c r="K229" s="68">
        <f t="shared" si="52"/>
        <v>-393</v>
      </c>
      <c r="L229" s="68">
        <f t="shared" si="53"/>
        <v>-400</v>
      </c>
      <c r="M229" s="68">
        <f t="shared" si="54"/>
        <v>-1365</v>
      </c>
      <c r="N229" s="68">
        <f t="shared" si="55"/>
        <v>-38</v>
      </c>
      <c r="O229" s="68">
        <f t="shared" si="56"/>
        <v>-125</v>
      </c>
      <c r="P229" s="68">
        <f t="shared" si="57"/>
        <v>-728</v>
      </c>
      <c r="Q229" s="68" t="str">
        <f t="shared" si="58"/>
        <v/>
      </c>
      <c r="R229" s="69">
        <f t="shared" si="59"/>
        <v>789</v>
      </c>
      <c r="U229" s="5">
        <v>45026</v>
      </c>
      <c r="V229">
        <v>-3863</v>
      </c>
      <c r="W229">
        <v>5547</v>
      </c>
      <c r="X229">
        <v>-2476</v>
      </c>
      <c r="Y229">
        <v>573</v>
      </c>
      <c r="Z229">
        <v>-393</v>
      </c>
      <c r="AA229">
        <v>-400</v>
      </c>
      <c r="AB229">
        <v>-1365</v>
      </c>
      <c r="AC229">
        <v>-38</v>
      </c>
      <c r="AD229">
        <v>-125</v>
      </c>
      <c r="AE229">
        <v>-728</v>
      </c>
      <c r="AF229">
        <v>0</v>
      </c>
      <c r="AG229">
        <v>789</v>
      </c>
    </row>
    <row r="230" spans="6:33">
      <c r="F230" s="74">
        <f t="shared" si="47"/>
        <v>45023</v>
      </c>
      <c r="G230" s="72">
        <f t="shared" si="48"/>
        <v>11668</v>
      </c>
      <c r="H230" s="68">
        <f t="shared" si="49"/>
        <v>-17916</v>
      </c>
      <c r="I230" s="68">
        <f t="shared" si="50"/>
        <v>2636</v>
      </c>
      <c r="J230" s="68">
        <f t="shared" si="51"/>
        <v>2151</v>
      </c>
      <c r="K230" s="68">
        <f t="shared" si="52"/>
        <v>160</v>
      </c>
      <c r="L230" s="68">
        <f t="shared" si="53"/>
        <v>517</v>
      </c>
      <c r="M230" s="68">
        <f t="shared" si="54"/>
        <v>1424</v>
      </c>
      <c r="N230" s="68">
        <f t="shared" si="55"/>
        <v>-245</v>
      </c>
      <c r="O230" s="68">
        <f t="shared" si="56"/>
        <v>-103</v>
      </c>
      <c r="P230" s="68">
        <f t="shared" si="57"/>
        <v>-1268</v>
      </c>
      <c r="Q230" s="68" t="str">
        <f t="shared" si="58"/>
        <v/>
      </c>
      <c r="R230" s="69">
        <f t="shared" si="59"/>
        <v>3615</v>
      </c>
      <c r="U230" s="5">
        <v>45023</v>
      </c>
      <c r="V230">
        <v>11668</v>
      </c>
      <c r="W230">
        <v>-17916</v>
      </c>
      <c r="X230">
        <v>2636</v>
      </c>
      <c r="Y230">
        <v>2151</v>
      </c>
      <c r="Z230">
        <v>160</v>
      </c>
      <c r="AA230">
        <v>517</v>
      </c>
      <c r="AB230">
        <v>1424</v>
      </c>
      <c r="AC230">
        <v>-245</v>
      </c>
      <c r="AD230">
        <v>-103</v>
      </c>
      <c r="AE230">
        <v>-1268</v>
      </c>
      <c r="AF230">
        <v>0</v>
      </c>
      <c r="AG230">
        <v>3615</v>
      </c>
    </row>
    <row r="231" spans="6:33">
      <c r="F231" s="74">
        <f t="shared" si="47"/>
        <v>45022</v>
      </c>
      <c r="G231" s="72">
        <f t="shared" si="48"/>
        <v>-14015</v>
      </c>
      <c r="H231" s="68">
        <f t="shared" si="49"/>
        <v>22812</v>
      </c>
      <c r="I231" s="68">
        <f t="shared" si="50"/>
        <v>-10080</v>
      </c>
      <c r="J231" s="68">
        <f t="shared" si="51"/>
        <v>-7477</v>
      </c>
      <c r="K231" s="68">
        <f t="shared" si="52"/>
        <v>-57</v>
      </c>
      <c r="L231" s="68">
        <f t="shared" si="53"/>
        <v>-1092</v>
      </c>
      <c r="M231" s="68">
        <f t="shared" si="54"/>
        <v>-243</v>
      </c>
      <c r="N231" s="68">
        <f t="shared" si="55"/>
        <v>-22</v>
      </c>
      <c r="O231" s="68">
        <f t="shared" si="56"/>
        <v>-226</v>
      </c>
      <c r="P231" s="68">
        <f t="shared" si="57"/>
        <v>-963</v>
      </c>
      <c r="Q231" s="68" t="str">
        <f t="shared" si="58"/>
        <v/>
      </c>
      <c r="R231" s="69">
        <f t="shared" si="59"/>
        <v>1283</v>
      </c>
      <c r="U231" s="5">
        <v>45022</v>
      </c>
      <c r="V231">
        <v>-14015</v>
      </c>
      <c r="W231">
        <v>22812</v>
      </c>
      <c r="X231">
        <v>-10080</v>
      </c>
      <c r="Y231">
        <v>-7477</v>
      </c>
      <c r="Z231">
        <v>-57</v>
      </c>
      <c r="AA231">
        <v>-1092</v>
      </c>
      <c r="AB231">
        <v>-243</v>
      </c>
      <c r="AC231">
        <v>-22</v>
      </c>
      <c r="AD231">
        <v>-226</v>
      </c>
      <c r="AE231">
        <v>-963</v>
      </c>
      <c r="AF231">
        <v>0</v>
      </c>
      <c r="AG231">
        <v>1283</v>
      </c>
    </row>
    <row r="232" spans="6:33">
      <c r="F232" s="74">
        <f t="shared" si="47"/>
        <v>45021</v>
      </c>
      <c r="G232" s="72">
        <f t="shared" si="48"/>
        <v>-12129</v>
      </c>
      <c r="H232" s="68">
        <f t="shared" si="49"/>
        <v>9112</v>
      </c>
      <c r="I232" s="68">
        <f t="shared" si="50"/>
        <v>1233</v>
      </c>
      <c r="J232" s="68">
        <f t="shared" si="51"/>
        <v>6315</v>
      </c>
      <c r="K232" s="68">
        <f t="shared" si="52"/>
        <v>-424</v>
      </c>
      <c r="L232" s="68">
        <f t="shared" si="53"/>
        <v>-1446</v>
      </c>
      <c r="M232" s="68">
        <f t="shared" si="54"/>
        <v>-800</v>
      </c>
      <c r="N232" s="68">
        <f t="shared" si="55"/>
        <v>31</v>
      </c>
      <c r="O232" s="68">
        <f t="shared" si="56"/>
        <v>-443</v>
      </c>
      <c r="P232" s="68">
        <f t="shared" si="57"/>
        <v>-2000</v>
      </c>
      <c r="Q232" s="68" t="str">
        <f t="shared" si="58"/>
        <v/>
      </c>
      <c r="R232" s="69">
        <f t="shared" si="59"/>
        <v>1783</v>
      </c>
      <c r="U232" s="5">
        <v>45021</v>
      </c>
      <c r="V232">
        <v>-12129</v>
      </c>
      <c r="W232">
        <v>9112</v>
      </c>
      <c r="X232">
        <v>1233</v>
      </c>
      <c r="Y232">
        <v>6315</v>
      </c>
      <c r="Z232">
        <v>-424</v>
      </c>
      <c r="AA232">
        <v>-1446</v>
      </c>
      <c r="AB232">
        <v>-800</v>
      </c>
      <c r="AC232">
        <v>31</v>
      </c>
      <c r="AD232">
        <v>-443</v>
      </c>
      <c r="AE232">
        <v>-2000</v>
      </c>
      <c r="AF232">
        <v>0</v>
      </c>
      <c r="AG232">
        <v>1783</v>
      </c>
    </row>
    <row r="233" spans="6:33">
      <c r="F233" s="74">
        <f t="shared" si="47"/>
        <v>45020</v>
      </c>
      <c r="G233" s="72">
        <f t="shared" si="48"/>
        <v>5658</v>
      </c>
      <c r="H233" s="68">
        <f t="shared" si="49"/>
        <v>-11470</v>
      </c>
      <c r="I233" s="68">
        <f t="shared" si="50"/>
        <v>4179</v>
      </c>
      <c r="J233" s="68">
        <f t="shared" si="51"/>
        <v>5323</v>
      </c>
      <c r="K233" s="68">
        <f t="shared" si="52"/>
        <v>302</v>
      </c>
      <c r="L233" s="68">
        <f t="shared" si="53"/>
        <v>812</v>
      </c>
      <c r="M233" s="68">
        <f t="shared" si="54"/>
        <v>-1594</v>
      </c>
      <c r="N233" s="68">
        <f t="shared" si="55"/>
        <v>-4</v>
      </c>
      <c r="O233" s="68">
        <f t="shared" si="56"/>
        <v>-607</v>
      </c>
      <c r="P233" s="68">
        <f t="shared" si="57"/>
        <v>-53</v>
      </c>
      <c r="Q233" s="68" t="str">
        <f t="shared" si="58"/>
        <v/>
      </c>
      <c r="R233" s="69">
        <f t="shared" si="59"/>
        <v>1630</v>
      </c>
      <c r="U233" s="5">
        <v>45020</v>
      </c>
      <c r="V233">
        <v>5658</v>
      </c>
      <c r="W233">
        <v>-11470</v>
      </c>
      <c r="X233">
        <v>4179</v>
      </c>
      <c r="Y233">
        <v>5323</v>
      </c>
      <c r="Z233">
        <v>302</v>
      </c>
      <c r="AA233">
        <v>812</v>
      </c>
      <c r="AB233">
        <v>-1594</v>
      </c>
      <c r="AC233">
        <v>-4</v>
      </c>
      <c r="AD233">
        <v>-607</v>
      </c>
      <c r="AE233">
        <v>-53</v>
      </c>
      <c r="AF233">
        <v>0</v>
      </c>
      <c r="AG233">
        <v>1630</v>
      </c>
    </row>
    <row r="234" spans="6:33">
      <c r="F234" s="74">
        <f t="shared" si="47"/>
        <v>45019</v>
      </c>
      <c r="G234" s="72">
        <f t="shared" si="48"/>
        <v>9000</v>
      </c>
      <c r="H234" s="68">
        <f t="shared" si="49"/>
        <v>-4890</v>
      </c>
      <c r="I234" s="68">
        <f t="shared" si="50"/>
        <v>-4814</v>
      </c>
      <c r="J234" s="68">
        <f t="shared" si="51"/>
        <v>-5872</v>
      </c>
      <c r="K234" s="68">
        <f t="shared" si="52"/>
        <v>119</v>
      </c>
      <c r="L234" s="68">
        <f t="shared" si="53"/>
        <v>696</v>
      </c>
      <c r="M234" s="68">
        <f t="shared" si="54"/>
        <v>331</v>
      </c>
      <c r="N234" s="68">
        <f t="shared" si="55"/>
        <v>30</v>
      </c>
      <c r="O234" s="68">
        <f t="shared" si="56"/>
        <v>-222</v>
      </c>
      <c r="P234" s="68">
        <f t="shared" si="57"/>
        <v>104</v>
      </c>
      <c r="Q234" s="68" t="str">
        <f t="shared" si="58"/>
        <v/>
      </c>
      <c r="R234" s="69">
        <f t="shared" si="59"/>
        <v>705</v>
      </c>
      <c r="U234" s="5">
        <v>45019</v>
      </c>
      <c r="V234">
        <v>9000</v>
      </c>
      <c r="W234">
        <v>-4890</v>
      </c>
      <c r="X234">
        <v>-4814</v>
      </c>
      <c r="Y234">
        <v>-5872</v>
      </c>
      <c r="Z234">
        <v>119</v>
      </c>
      <c r="AA234">
        <v>696</v>
      </c>
      <c r="AB234">
        <v>331</v>
      </c>
      <c r="AC234">
        <v>30</v>
      </c>
      <c r="AD234">
        <v>-222</v>
      </c>
      <c r="AE234">
        <v>104</v>
      </c>
      <c r="AF234">
        <v>0</v>
      </c>
      <c r="AG234">
        <v>705</v>
      </c>
    </row>
    <row r="235" spans="6:33">
      <c r="F235" s="74">
        <f t="shared" si="47"/>
        <v>45016</v>
      </c>
      <c r="G235" s="72">
        <f t="shared" si="48"/>
        <v>-1185</v>
      </c>
      <c r="H235" s="68">
        <f t="shared" si="49"/>
        <v>16056</v>
      </c>
      <c r="I235" s="68">
        <f t="shared" si="50"/>
        <v>-16673</v>
      </c>
      <c r="J235" s="68">
        <f t="shared" si="51"/>
        <v>6621</v>
      </c>
      <c r="K235" s="68">
        <f t="shared" si="52"/>
        <v>-2595</v>
      </c>
      <c r="L235" s="68">
        <f t="shared" si="53"/>
        <v>-7823</v>
      </c>
      <c r="M235" s="68">
        <f t="shared" si="54"/>
        <v>-1735</v>
      </c>
      <c r="N235" s="68">
        <f t="shared" si="55"/>
        <v>-1566</v>
      </c>
      <c r="O235" s="68">
        <f t="shared" si="56"/>
        <v>-836</v>
      </c>
      <c r="P235" s="68">
        <f t="shared" si="57"/>
        <v>-8739</v>
      </c>
      <c r="Q235" s="68" t="str">
        <f t="shared" si="58"/>
        <v/>
      </c>
      <c r="R235" s="69">
        <f t="shared" si="59"/>
        <v>1801</v>
      </c>
      <c r="U235" s="5">
        <v>45016</v>
      </c>
      <c r="V235">
        <v>-1185</v>
      </c>
      <c r="W235">
        <v>16056</v>
      </c>
      <c r="X235">
        <v>-16673</v>
      </c>
      <c r="Y235">
        <v>6621</v>
      </c>
      <c r="Z235">
        <v>-2595</v>
      </c>
      <c r="AA235">
        <v>-7823</v>
      </c>
      <c r="AB235">
        <v>-1735</v>
      </c>
      <c r="AC235">
        <v>-1566</v>
      </c>
      <c r="AD235">
        <v>-836</v>
      </c>
      <c r="AE235">
        <v>-8739</v>
      </c>
      <c r="AF235">
        <v>0</v>
      </c>
      <c r="AG235">
        <v>1801</v>
      </c>
    </row>
    <row r="236" spans="6:33">
      <c r="F236" s="74">
        <f t="shared" si="47"/>
        <v>45015</v>
      </c>
      <c r="G236" s="72">
        <f t="shared" si="48"/>
        <v>10113</v>
      </c>
      <c r="H236" s="68">
        <f t="shared" si="49"/>
        <v>-8267</v>
      </c>
      <c r="I236" s="68">
        <f t="shared" si="50"/>
        <v>-40793</v>
      </c>
      <c r="J236" s="68">
        <f t="shared" si="51"/>
        <v>-1214</v>
      </c>
      <c r="K236" s="68">
        <f t="shared" si="52"/>
        <v>-94</v>
      </c>
      <c r="L236" s="68">
        <f t="shared" si="53"/>
        <v>269</v>
      </c>
      <c r="M236" s="68">
        <f t="shared" si="54"/>
        <v>-1239</v>
      </c>
      <c r="N236" s="68">
        <f t="shared" si="55"/>
        <v>6</v>
      </c>
      <c r="O236" s="68">
        <f t="shared" si="56"/>
        <v>-37708</v>
      </c>
      <c r="P236" s="68">
        <f t="shared" si="57"/>
        <v>-813</v>
      </c>
      <c r="Q236" s="68" t="str">
        <f t="shared" si="58"/>
        <v/>
      </c>
      <c r="R236" s="69">
        <f t="shared" si="59"/>
        <v>38945</v>
      </c>
      <c r="U236" s="5">
        <v>45015</v>
      </c>
      <c r="V236">
        <v>10113</v>
      </c>
      <c r="W236">
        <v>-8267</v>
      </c>
      <c r="X236">
        <v>-40793</v>
      </c>
      <c r="Y236">
        <v>-1214</v>
      </c>
      <c r="Z236">
        <v>-94</v>
      </c>
      <c r="AA236">
        <v>269</v>
      </c>
      <c r="AB236">
        <v>-1239</v>
      </c>
      <c r="AC236">
        <v>6</v>
      </c>
      <c r="AD236">
        <v>-37708</v>
      </c>
      <c r="AE236">
        <v>-813</v>
      </c>
      <c r="AF236">
        <v>0</v>
      </c>
      <c r="AG236">
        <v>38945</v>
      </c>
    </row>
    <row r="237" spans="6:33">
      <c r="F237" s="74">
        <f t="shared" si="47"/>
        <v>45014</v>
      </c>
      <c r="G237" s="72">
        <f t="shared" si="48"/>
        <v>9732</v>
      </c>
      <c r="H237" s="68">
        <f t="shared" si="49"/>
        <v>-16076</v>
      </c>
      <c r="I237" s="68">
        <f t="shared" si="50"/>
        <v>6304</v>
      </c>
      <c r="J237" s="68">
        <f t="shared" si="51"/>
        <v>4357</v>
      </c>
      <c r="K237" s="68">
        <f t="shared" si="52"/>
        <v>-343</v>
      </c>
      <c r="L237" s="68">
        <f t="shared" si="53"/>
        <v>1014</v>
      </c>
      <c r="M237" s="68">
        <f t="shared" si="54"/>
        <v>1942</v>
      </c>
      <c r="N237" s="68">
        <f t="shared" si="55"/>
        <v>57</v>
      </c>
      <c r="O237" s="68">
        <f t="shared" si="56"/>
        <v>-537</v>
      </c>
      <c r="P237" s="68">
        <f t="shared" si="57"/>
        <v>-186</v>
      </c>
      <c r="Q237" s="68" t="str">
        <f t="shared" si="58"/>
        <v/>
      </c>
      <c r="R237" s="69">
        <f t="shared" si="59"/>
        <v>40</v>
      </c>
      <c r="U237" s="5">
        <v>45014</v>
      </c>
      <c r="V237">
        <v>9732</v>
      </c>
      <c r="W237">
        <v>-16076</v>
      </c>
      <c r="X237">
        <v>6304</v>
      </c>
      <c r="Y237">
        <v>4357</v>
      </c>
      <c r="Z237">
        <v>-343</v>
      </c>
      <c r="AA237">
        <v>1014</v>
      </c>
      <c r="AB237">
        <v>1942</v>
      </c>
      <c r="AC237">
        <v>57</v>
      </c>
      <c r="AD237">
        <v>-537</v>
      </c>
      <c r="AE237">
        <v>-186</v>
      </c>
      <c r="AF237">
        <v>0</v>
      </c>
      <c r="AG237">
        <v>40</v>
      </c>
    </row>
    <row r="238" spans="6:33">
      <c r="F238" s="74">
        <f t="shared" si="47"/>
        <v>45013</v>
      </c>
      <c r="G238" s="72">
        <f t="shared" si="48"/>
        <v>14200</v>
      </c>
      <c r="H238" s="68">
        <f t="shared" si="49"/>
        <v>-20211</v>
      </c>
      <c r="I238" s="68">
        <f t="shared" si="50"/>
        <v>7837</v>
      </c>
      <c r="J238" s="68">
        <f t="shared" si="51"/>
        <v>6971</v>
      </c>
      <c r="K238" s="68">
        <f t="shared" si="52"/>
        <v>-121</v>
      </c>
      <c r="L238" s="68">
        <f t="shared" si="53"/>
        <v>428</v>
      </c>
      <c r="M238" s="68">
        <f t="shared" si="54"/>
        <v>1341</v>
      </c>
      <c r="N238" s="68">
        <f t="shared" si="55"/>
        <v>76</v>
      </c>
      <c r="O238" s="68">
        <f t="shared" si="56"/>
        <v>-774</v>
      </c>
      <c r="P238" s="68">
        <f t="shared" si="57"/>
        <v>-84</v>
      </c>
      <c r="Q238" s="68" t="str">
        <f t="shared" si="58"/>
        <v/>
      </c>
      <c r="R238" s="69">
        <f t="shared" si="59"/>
        <v>-1826</v>
      </c>
      <c r="U238" s="5">
        <v>45013</v>
      </c>
      <c r="V238">
        <v>14200</v>
      </c>
      <c r="W238">
        <v>-20211</v>
      </c>
      <c r="X238">
        <v>7837</v>
      </c>
      <c r="Y238">
        <v>6971</v>
      </c>
      <c r="Z238">
        <v>-121</v>
      </c>
      <c r="AA238">
        <v>428</v>
      </c>
      <c r="AB238">
        <v>1341</v>
      </c>
      <c r="AC238">
        <v>76</v>
      </c>
      <c r="AD238">
        <v>-774</v>
      </c>
      <c r="AE238">
        <v>-84</v>
      </c>
      <c r="AF238">
        <v>0</v>
      </c>
      <c r="AG238">
        <v>-1826</v>
      </c>
    </row>
    <row r="239" spans="6:33">
      <c r="F239" s="74">
        <f t="shared" si="47"/>
        <v>45012</v>
      </c>
      <c r="G239" s="72">
        <f t="shared" si="48"/>
        <v>590</v>
      </c>
      <c r="H239" s="68">
        <f t="shared" si="49"/>
        <v>67</v>
      </c>
      <c r="I239" s="68">
        <f t="shared" si="50"/>
        <v>-49</v>
      </c>
      <c r="J239" s="68">
        <f t="shared" si="51"/>
        <v>4326</v>
      </c>
      <c r="K239" s="68">
        <f t="shared" si="52"/>
        <v>-352</v>
      </c>
      <c r="L239" s="68">
        <f t="shared" si="53"/>
        <v>-1473</v>
      </c>
      <c r="M239" s="68">
        <f t="shared" si="54"/>
        <v>-725</v>
      </c>
      <c r="N239" s="68">
        <f t="shared" si="55"/>
        <v>163</v>
      </c>
      <c r="O239" s="68">
        <f t="shared" si="56"/>
        <v>-543</v>
      </c>
      <c r="P239" s="68">
        <f t="shared" si="57"/>
        <v>-1445</v>
      </c>
      <c r="Q239" s="68" t="str">
        <f t="shared" si="58"/>
        <v/>
      </c>
      <c r="R239" s="69">
        <f t="shared" si="59"/>
        <v>-607</v>
      </c>
      <c r="U239" s="5">
        <v>45012</v>
      </c>
      <c r="V239">
        <v>590</v>
      </c>
      <c r="W239">
        <v>67</v>
      </c>
      <c r="X239">
        <v>-49</v>
      </c>
      <c r="Y239">
        <v>4326</v>
      </c>
      <c r="Z239">
        <v>-352</v>
      </c>
      <c r="AA239">
        <v>-1473</v>
      </c>
      <c r="AB239">
        <v>-725</v>
      </c>
      <c r="AC239">
        <v>163</v>
      </c>
      <c r="AD239">
        <v>-543</v>
      </c>
      <c r="AE239">
        <v>-1445</v>
      </c>
      <c r="AF239">
        <v>0</v>
      </c>
      <c r="AG239">
        <v>-607</v>
      </c>
    </row>
    <row r="240" spans="6:33">
      <c r="F240" s="74">
        <f t="shared" si="47"/>
        <v>45009</v>
      </c>
      <c r="G240" s="72">
        <f t="shared" si="48"/>
        <v>15931</v>
      </c>
      <c r="H240" s="68">
        <f t="shared" si="49"/>
        <v>-5270</v>
      </c>
      <c r="I240" s="68">
        <f t="shared" si="50"/>
        <v>-4380</v>
      </c>
      <c r="J240" s="68">
        <f t="shared" si="51"/>
        <v>-4852</v>
      </c>
      <c r="K240" s="68">
        <f t="shared" si="52"/>
        <v>-105</v>
      </c>
      <c r="L240" s="68">
        <f t="shared" si="53"/>
        <v>778</v>
      </c>
      <c r="M240" s="68">
        <f t="shared" si="54"/>
        <v>796</v>
      </c>
      <c r="N240" s="68">
        <f t="shared" si="55"/>
        <v>103</v>
      </c>
      <c r="O240" s="68">
        <f t="shared" si="56"/>
        <v>181</v>
      </c>
      <c r="P240" s="68">
        <f t="shared" si="57"/>
        <v>-1281</v>
      </c>
      <c r="Q240" s="68" t="str">
        <f t="shared" si="58"/>
        <v/>
      </c>
      <c r="R240" s="69">
        <f t="shared" si="59"/>
        <v>-6281</v>
      </c>
      <c r="U240" s="5">
        <v>45009</v>
      </c>
      <c r="V240">
        <v>15931</v>
      </c>
      <c r="W240">
        <v>-5270</v>
      </c>
      <c r="X240">
        <v>-4380</v>
      </c>
      <c r="Y240">
        <v>-4852</v>
      </c>
      <c r="Z240">
        <v>-105</v>
      </c>
      <c r="AA240">
        <v>778</v>
      </c>
      <c r="AB240">
        <v>796</v>
      </c>
      <c r="AC240">
        <v>103</v>
      </c>
      <c r="AD240">
        <v>181</v>
      </c>
      <c r="AE240">
        <v>-1281</v>
      </c>
      <c r="AF240">
        <v>0</v>
      </c>
      <c r="AG240">
        <v>-6281</v>
      </c>
    </row>
    <row r="241" spans="6:33">
      <c r="F241" s="74">
        <f t="shared" si="47"/>
        <v>45008</v>
      </c>
      <c r="G241" s="72">
        <f t="shared" si="48"/>
        <v>-2983</v>
      </c>
      <c r="H241" s="68">
        <f t="shared" si="49"/>
        <v>2835</v>
      </c>
      <c r="I241" s="68">
        <f t="shared" si="50"/>
        <v>3707</v>
      </c>
      <c r="J241" s="68">
        <f t="shared" si="51"/>
        <v>6004</v>
      </c>
      <c r="K241" s="68">
        <f t="shared" si="52"/>
        <v>-520</v>
      </c>
      <c r="L241" s="68">
        <f t="shared" si="53"/>
        <v>-966</v>
      </c>
      <c r="M241" s="68">
        <f t="shared" si="54"/>
        <v>1058</v>
      </c>
      <c r="N241" s="68">
        <f t="shared" si="55"/>
        <v>294</v>
      </c>
      <c r="O241" s="68">
        <f t="shared" si="56"/>
        <v>170</v>
      </c>
      <c r="P241" s="68">
        <f t="shared" si="57"/>
        <v>-2333</v>
      </c>
      <c r="Q241" s="68" t="str">
        <f t="shared" si="58"/>
        <v/>
      </c>
      <c r="R241" s="69">
        <f t="shared" si="59"/>
        <v>-3558</v>
      </c>
      <c r="U241" s="5">
        <v>45008</v>
      </c>
      <c r="V241">
        <v>-2983</v>
      </c>
      <c r="W241">
        <v>2835</v>
      </c>
      <c r="X241">
        <v>3707</v>
      </c>
      <c r="Y241">
        <v>6004</v>
      </c>
      <c r="Z241">
        <v>-520</v>
      </c>
      <c r="AA241">
        <v>-966</v>
      </c>
      <c r="AB241">
        <v>1058</v>
      </c>
      <c r="AC241">
        <v>294</v>
      </c>
      <c r="AD241">
        <v>170</v>
      </c>
      <c r="AE241">
        <v>-2333</v>
      </c>
      <c r="AF241">
        <v>0</v>
      </c>
      <c r="AG241">
        <v>-3558</v>
      </c>
    </row>
    <row r="242" spans="6:33">
      <c r="F242" s="74">
        <f t="shared" si="47"/>
        <v>45007</v>
      </c>
      <c r="G242" s="72">
        <f t="shared" si="48"/>
        <v>-6232</v>
      </c>
      <c r="H242" s="68">
        <f t="shared" si="49"/>
        <v>7783</v>
      </c>
      <c r="I242" s="68">
        <f t="shared" si="50"/>
        <v>316</v>
      </c>
      <c r="J242" s="68">
        <f t="shared" si="51"/>
        <v>2547</v>
      </c>
      <c r="K242" s="68">
        <f t="shared" si="52"/>
        <v>-534</v>
      </c>
      <c r="L242" s="68">
        <f t="shared" si="53"/>
        <v>-682</v>
      </c>
      <c r="M242" s="68">
        <f t="shared" si="54"/>
        <v>419</v>
      </c>
      <c r="N242" s="68">
        <f t="shared" si="55"/>
        <v>72</v>
      </c>
      <c r="O242" s="68">
        <f t="shared" si="56"/>
        <v>185</v>
      </c>
      <c r="P242" s="68">
        <f t="shared" si="57"/>
        <v>-1691</v>
      </c>
      <c r="Q242" s="68" t="str">
        <f t="shared" si="58"/>
        <v/>
      </c>
      <c r="R242" s="69">
        <f t="shared" si="59"/>
        <v>-1869</v>
      </c>
      <c r="U242" s="5">
        <v>45007</v>
      </c>
      <c r="V242">
        <v>-6232</v>
      </c>
      <c r="W242">
        <v>7783</v>
      </c>
      <c r="X242">
        <v>316</v>
      </c>
      <c r="Y242">
        <v>2547</v>
      </c>
      <c r="Z242">
        <v>-534</v>
      </c>
      <c r="AA242">
        <v>-682</v>
      </c>
      <c r="AB242">
        <v>419</v>
      </c>
      <c r="AC242">
        <v>72</v>
      </c>
      <c r="AD242">
        <v>185</v>
      </c>
      <c r="AE242">
        <v>-1691</v>
      </c>
      <c r="AF242">
        <v>0</v>
      </c>
      <c r="AG242">
        <v>-1869</v>
      </c>
    </row>
    <row r="243" spans="6:33">
      <c r="F243" s="74">
        <f t="shared" si="47"/>
        <v>45006</v>
      </c>
      <c r="G243" s="72">
        <f t="shared" si="48"/>
        <v>-11920</v>
      </c>
      <c r="H243" s="68">
        <f t="shared" si="49"/>
        <v>10914</v>
      </c>
      <c r="I243" s="68">
        <f t="shared" si="50"/>
        <v>2677</v>
      </c>
      <c r="J243" s="68">
        <f t="shared" si="51"/>
        <v>2346</v>
      </c>
      <c r="K243" s="68">
        <f t="shared" si="52"/>
        <v>-84</v>
      </c>
      <c r="L243" s="68">
        <f t="shared" si="53"/>
        <v>-81</v>
      </c>
      <c r="M243" s="68">
        <f t="shared" si="54"/>
        <v>-115</v>
      </c>
      <c r="N243" s="68">
        <f t="shared" si="55"/>
        <v>320</v>
      </c>
      <c r="O243" s="68">
        <f t="shared" si="56"/>
        <v>238</v>
      </c>
      <c r="P243" s="68">
        <f t="shared" si="57"/>
        <v>53</v>
      </c>
      <c r="Q243" s="68" t="str">
        <f t="shared" si="58"/>
        <v/>
      </c>
      <c r="R243" s="69">
        <f t="shared" si="59"/>
        <v>-1671</v>
      </c>
      <c r="U243" s="5">
        <v>45006</v>
      </c>
      <c r="V243">
        <v>-11920</v>
      </c>
      <c r="W243">
        <v>10914</v>
      </c>
      <c r="X243">
        <v>2677</v>
      </c>
      <c r="Y243">
        <v>2346</v>
      </c>
      <c r="Z243">
        <v>-84</v>
      </c>
      <c r="AA243">
        <v>-81</v>
      </c>
      <c r="AB243">
        <v>-115</v>
      </c>
      <c r="AC243">
        <v>320</v>
      </c>
      <c r="AD243">
        <v>238</v>
      </c>
      <c r="AE243">
        <v>53</v>
      </c>
      <c r="AF243">
        <v>0</v>
      </c>
      <c r="AG243">
        <v>-1671</v>
      </c>
    </row>
    <row r="244" spans="6:33">
      <c r="F244" s="74">
        <f t="shared" si="47"/>
        <v>45005</v>
      </c>
      <c r="G244" s="72">
        <f t="shared" si="48"/>
        <v>-392</v>
      </c>
      <c r="H244" s="68">
        <f t="shared" si="49"/>
        <v>-1455</v>
      </c>
      <c r="I244" s="68">
        <f t="shared" si="50"/>
        <v>1934</v>
      </c>
      <c r="J244" s="68">
        <f t="shared" si="51"/>
        <v>2293</v>
      </c>
      <c r="K244" s="68">
        <f t="shared" si="52"/>
        <v>-147</v>
      </c>
      <c r="L244" s="68">
        <f t="shared" si="53"/>
        <v>-159</v>
      </c>
      <c r="M244" s="68">
        <f t="shared" si="54"/>
        <v>30</v>
      </c>
      <c r="N244" s="68">
        <f t="shared" si="55"/>
        <v>179</v>
      </c>
      <c r="O244" s="68">
        <f t="shared" si="56"/>
        <v>360</v>
      </c>
      <c r="P244" s="68">
        <f t="shared" si="57"/>
        <v>-622</v>
      </c>
      <c r="Q244" s="68" t="str">
        <f t="shared" si="58"/>
        <v/>
      </c>
      <c r="R244" s="69">
        <f t="shared" si="59"/>
        <v>-85</v>
      </c>
      <c r="U244" s="5">
        <v>45005</v>
      </c>
      <c r="V244">
        <v>-392</v>
      </c>
      <c r="W244">
        <v>-1455</v>
      </c>
      <c r="X244">
        <v>1934</v>
      </c>
      <c r="Y244">
        <v>2293</v>
      </c>
      <c r="Z244">
        <v>-147</v>
      </c>
      <c r="AA244">
        <v>-159</v>
      </c>
      <c r="AB244">
        <v>30</v>
      </c>
      <c r="AC244">
        <v>179</v>
      </c>
      <c r="AD244">
        <v>360</v>
      </c>
      <c r="AE244">
        <v>-622</v>
      </c>
      <c r="AF244">
        <v>0</v>
      </c>
      <c r="AG244">
        <v>-85</v>
      </c>
    </row>
    <row r="245" spans="6:33">
      <c r="F245" s="74">
        <f t="shared" si="47"/>
        <v>45002</v>
      </c>
      <c r="G245" s="72">
        <f t="shared" si="48"/>
        <v>15806</v>
      </c>
      <c r="H245" s="68">
        <f t="shared" si="49"/>
        <v>-15495</v>
      </c>
      <c r="I245" s="68">
        <f t="shared" si="50"/>
        <v>2249</v>
      </c>
      <c r="J245" s="68">
        <f t="shared" si="51"/>
        <v>2042</v>
      </c>
      <c r="K245" s="68">
        <f t="shared" si="52"/>
        <v>-18</v>
      </c>
      <c r="L245" s="68">
        <f t="shared" si="53"/>
        <v>-87</v>
      </c>
      <c r="M245" s="68">
        <f t="shared" si="54"/>
        <v>911</v>
      </c>
      <c r="N245" s="68">
        <f t="shared" si="55"/>
        <v>-60</v>
      </c>
      <c r="O245" s="68">
        <f t="shared" si="56"/>
        <v>38</v>
      </c>
      <c r="P245" s="68">
        <f t="shared" si="57"/>
        <v>-577</v>
      </c>
      <c r="Q245" s="68" t="str">
        <f t="shared" si="58"/>
        <v/>
      </c>
      <c r="R245" s="69">
        <f t="shared" si="59"/>
        <v>-2557</v>
      </c>
      <c r="U245" s="5">
        <v>45002</v>
      </c>
      <c r="V245">
        <v>15806</v>
      </c>
      <c r="W245">
        <v>-15495</v>
      </c>
      <c r="X245">
        <v>2249</v>
      </c>
      <c r="Y245">
        <v>2042</v>
      </c>
      <c r="Z245">
        <v>-18</v>
      </c>
      <c r="AA245">
        <v>-87</v>
      </c>
      <c r="AB245">
        <v>911</v>
      </c>
      <c r="AC245">
        <v>-60</v>
      </c>
      <c r="AD245">
        <v>38</v>
      </c>
      <c r="AE245">
        <v>-577</v>
      </c>
      <c r="AF245">
        <v>0</v>
      </c>
      <c r="AG245">
        <v>-2557</v>
      </c>
    </row>
    <row r="246" spans="6:33">
      <c r="F246" s="74">
        <f t="shared" si="47"/>
        <v>45001</v>
      </c>
      <c r="G246" s="72">
        <f t="shared" si="48"/>
        <v>-7305</v>
      </c>
      <c r="H246" s="68">
        <f t="shared" si="49"/>
        <v>10688</v>
      </c>
      <c r="I246" s="68">
        <f t="shared" si="50"/>
        <v>-4609</v>
      </c>
      <c r="J246" s="68">
        <f t="shared" si="51"/>
        <v>-1712</v>
      </c>
      <c r="K246" s="68">
        <f t="shared" si="52"/>
        <v>-578</v>
      </c>
      <c r="L246" s="68">
        <f t="shared" si="53"/>
        <v>-759</v>
      </c>
      <c r="M246" s="68">
        <f t="shared" si="54"/>
        <v>-1435</v>
      </c>
      <c r="N246" s="68">
        <f t="shared" si="55"/>
        <v>160</v>
      </c>
      <c r="O246" s="68">
        <f t="shared" si="56"/>
        <v>252</v>
      </c>
      <c r="P246" s="68">
        <f t="shared" si="57"/>
        <v>-537</v>
      </c>
      <c r="Q246" s="68" t="str">
        <f t="shared" si="58"/>
        <v/>
      </c>
      <c r="R246" s="69">
        <f t="shared" si="59"/>
        <v>1228</v>
      </c>
      <c r="U246" s="5">
        <v>45001</v>
      </c>
      <c r="V246">
        <v>-7305</v>
      </c>
      <c r="W246">
        <v>10688</v>
      </c>
      <c r="X246">
        <v>-4609</v>
      </c>
      <c r="Y246">
        <v>-1712</v>
      </c>
      <c r="Z246">
        <v>-578</v>
      </c>
      <c r="AA246">
        <v>-759</v>
      </c>
      <c r="AB246">
        <v>-1435</v>
      </c>
      <c r="AC246">
        <v>160</v>
      </c>
      <c r="AD246">
        <v>252</v>
      </c>
      <c r="AE246">
        <v>-537</v>
      </c>
      <c r="AF246">
        <v>0</v>
      </c>
      <c r="AG246">
        <v>1228</v>
      </c>
    </row>
    <row r="247" spans="6:33">
      <c r="F247" s="74">
        <f t="shared" si="47"/>
        <v>45000</v>
      </c>
      <c r="G247" s="72">
        <f t="shared" si="48"/>
        <v>13080</v>
      </c>
      <c r="H247" s="68">
        <f t="shared" si="49"/>
        <v>-14716</v>
      </c>
      <c r="I247" s="68">
        <f t="shared" si="50"/>
        <v>3798</v>
      </c>
      <c r="J247" s="68">
        <f t="shared" si="51"/>
        <v>5714</v>
      </c>
      <c r="K247" s="68">
        <f t="shared" si="52"/>
        <v>-173</v>
      </c>
      <c r="L247" s="68">
        <f t="shared" si="53"/>
        <v>286</v>
      </c>
      <c r="M247" s="68">
        <f t="shared" si="54"/>
        <v>-1712</v>
      </c>
      <c r="N247" s="68">
        <f t="shared" si="55"/>
        <v>149</v>
      </c>
      <c r="O247" s="68">
        <f t="shared" si="56"/>
        <v>348</v>
      </c>
      <c r="P247" s="68">
        <f t="shared" si="57"/>
        <v>-814</v>
      </c>
      <c r="Q247" s="68" t="str">
        <f t="shared" si="58"/>
        <v/>
      </c>
      <c r="R247" s="69">
        <f t="shared" si="59"/>
        <v>-2161</v>
      </c>
      <c r="U247" s="5">
        <v>45000</v>
      </c>
      <c r="V247">
        <v>13080</v>
      </c>
      <c r="W247">
        <v>-14716</v>
      </c>
      <c r="X247">
        <v>3798</v>
      </c>
      <c r="Y247">
        <v>5714</v>
      </c>
      <c r="Z247">
        <v>-173</v>
      </c>
      <c r="AA247">
        <v>286</v>
      </c>
      <c r="AB247">
        <v>-1712</v>
      </c>
      <c r="AC247">
        <v>149</v>
      </c>
      <c r="AD247">
        <v>348</v>
      </c>
      <c r="AE247">
        <v>-814</v>
      </c>
      <c r="AF247">
        <v>0</v>
      </c>
      <c r="AG247">
        <v>-2161</v>
      </c>
    </row>
    <row r="248" spans="6:33">
      <c r="F248" s="74">
        <f t="shared" si="47"/>
        <v>44999</v>
      </c>
      <c r="G248" s="72">
        <f t="shared" si="48"/>
        <v>-24136</v>
      </c>
      <c r="H248" s="68">
        <f t="shared" si="49"/>
        <v>26855</v>
      </c>
      <c r="I248" s="68">
        <f t="shared" si="50"/>
        <v>-195</v>
      </c>
      <c r="J248" s="68">
        <f t="shared" si="51"/>
        <v>1709</v>
      </c>
      <c r="K248" s="68">
        <f t="shared" si="52"/>
        <v>-675</v>
      </c>
      <c r="L248" s="68">
        <f t="shared" si="53"/>
        <v>-1358</v>
      </c>
      <c r="M248" s="68">
        <f t="shared" si="54"/>
        <v>-1888</v>
      </c>
      <c r="N248" s="68">
        <f t="shared" si="55"/>
        <v>454</v>
      </c>
      <c r="O248" s="68">
        <f t="shared" si="56"/>
        <v>483</v>
      </c>
      <c r="P248" s="68">
        <f t="shared" si="57"/>
        <v>1080</v>
      </c>
      <c r="Q248" s="68" t="str">
        <f t="shared" si="58"/>
        <v/>
      </c>
      <c r="R248" s="69">
        <f t="shared" si="59"/>
        <v>-2523</v>
      </c>
      <c r="U248" s="5">
        <v>44999</v>
      </c>
      <c r="V248">
        <v>-24136</v>
      </c>
      <c r="W248">
        <v>26855</v>
      </c>
      <c r="X248">
        <v>-195</v>
      </c>
      <c r="Y248">
        <v>1709</v>
      </c>
      <c r="Z248">
        <v>-675</v>
      </c>
      <c r="AA248">
        <v>-1358</v>
      </c>
      <c r="AB248">
        <v>-1888</v>
      </c>
      <c r="AC248">
        <v>454</v>
      </c>
      <c r="AD248">
        <v>483</v>
      </c>
      <c r="AE248">
        <v>1080</v>
      </c>
      <c r="AF248">
        <v>0</v>
      </c>
      <c r="AG248">
        <v>-2523</v>
      </c>
    </row>
    <row r="249" spans="6:33">
      <c r="F249" s="74">
        <f t="shared" si="47"/>
        <v>44998</v>
      </c>
      <c r="G249" s="72">
        <f t="shared" si="48"/>
        <v>6698</v>
      </c>
      <c r="H249" s="68">
        <f t="shared" si="49"/>
        <v>-6317</v>
      </c>
      <c r="I249" s="68">
        <f t="shared" si="50"/>
        <v>558</v>
      </c>
      <c r="J249" s="68">
        <f t="shared" si="51"/>
        <v>2001</v>
      </c>
      <c r="K249" s="68">
        <f t="shared" si="52"/>
        <v>-715</v>
      </c>
      <c r="L249" s="68">
        <f t="shared" si="53"/>
        <v>-715</v>
      </c>
      <c r="M249" s="68">
        <f t="shared" si="54"/>
        <v>-454</v>
      </c>
      <c r="N249" s="68">
        <f t="shared" si="55"/>
        <v>38</v>
      </c>
      <c r="O249" s="68">
        <f t="shared" si="56"/>
        <v>371</v>
      </c>
      <c r="P249" s="68">
        <f t="shared" si="57"/>
        <v>32</v>
      </c>
      <c r="Q249" s="68" t="str">
        <f t="shared" si="58"/>
        <v/>
      </c>
      <c r="R249" s="69">
        <f t="shared" si="59"/>
        <v>-937</v>
      </c>
      <c r="U249" s="5">
        <v>44998</v>
      </c>
      <c r="V249">
        <v>6698</v>
      </c>
      <c r="W249">
        <v>-6317</v>
      </c>
      <c r="X249">
        <v>558</v>
      </c>
      <c r="Y249">
        <v>2001</v>
      </c>
      <c r="Z249">
        <v>-715</v>
      </c>
      <c r="AA249">
        <v>-715</v>
      </c>
      <c r="AB249">
        <v>-454</v>
      </c>
      <c r="AC249">
        <v>38</v>
      </c>
      <c r="AD249">
        <v>371</v>
      </c>
      <c r="AE249">
        <v>32</v>
      </c>
      <c r="AF249">
        <v>0</v>
      </c>
      <c r="AG249">
        <v>-937</v>
      </c>
    </row>
    <row r="250" spans="6:33">
      <c r="F250" s="74">
        <f t="shared" si="47"/>
        <v>44995</v>
      </c>
      <c r="G250" s="72">
        <f t="shared" si="48"/>
        <v>-15460</v>
      </c>
      <c r="H250" s="68">
        <f t="shared" si="49"/>
        <v>24801</v>
      </c>
      <c r="I250" s="68">
        <f t="shared" si="50"/>
        <v>-7614</v>
      </c>
      <c r="J250" s="68">
        <f t="shared" si="51"/>
        <v>-7332</v>
      </c>
      <c r="K250" s="68">
        <f t="shared" si="52"/>
        <v>-259</v>
      </c>
      <c r="L250" s="68">
        <f t="shared" si="53"/>
        <v>-44</v>
      </c>
      <c r="M250" s="68">
        <f t="shared" si="54"/>
        <v>-1064</v>
      </c>
      <c r="N250" s="68">
        <f t="shared" si="55"/>
        <v>94</v>
      </c>
      <c r="O250" s="68">
        <f t="shared" si="56"/>
        <v>391</v>
      </c>
      <c r="P250" s="68">
        <f t="shared" si="57"/>
        <v>600</v>
      </c>
      <c r="Q250" s="68" t="str">
        <f t="shared" si="58"/>
        <v/>
      </c>
      <c r="R250" s="69">
        <f t="shared" si="59"/>
        <v>-1728</v>
      </c>
      <c r="U250" s="5">
        <v>44995</v>
      </c>
      <c r="V250">
        <v>-15460</v>
      </c>
      <c r="W250">
        <v>24801</v>
      </c>
      <c r="X250">
        <v>-7614</v>
      </c>
      <c r="Y250">
        <v>-7332</v>
      </c>
      <c r="Z250">
        <v>-259</v>
      </c>
      <c r="AA250">
        <v>-44</v>
      </c>
      <c r="AB250">
        <v>-1064</v>
      </c>
      <c r="AC250">
        <v>94</v>
      </c>
      <c r="AD250">
        <v>391</v>
      </c>
      <c r="AE250">
        <v>600</v>
      </c>
      <c r="AF250">
        <v>0</v>
      </c>
      <c r="AG250">
        <v>-1728</v>
      </c>
    </row>
    <row r="251" spans="6:33">
      <c r="F251" s="74">
        <f t="shared" si="47"/>
        <v>44994</v>
      </c>
      <c r="G251" s="72">
        <f t="shared" si="48"/>
        <v>-22085</v>
      </c>
      <c r="H251" s="68">
        <f t="shared" si="49"/>
        <v>9098</v>
      </c>
      <c r="I251" s="68">
        <f t="shared" si="50"/>
        <v>14616</v>
      </c>
      <c r="J251" s="68">
        <f t="shared" si="51"/>
        <v>9972</v>
      </c>
      <c r="K251" s="68">
        <f t="shared" si="52"/>
        <v>337</v>
      </c>
      <c r="L251" s="68">
        <f t="shared" si="53"/>
        <v>1673</v>
      </c>
      <c r="M251" s="68">
        <f t="shared" si="54"/>
        <v>537</v>
      </c>
      <c r="N251" s="68">
        <f t="shared" si="55"/>
        <v>169</v>
      </c>
      <c r="O251" s="68">
        <f t="shared" si="56"/>
        <v>343</v>
      </c>
      <c r="P251" s="68">
        <f t="shared" si="57"/>
        <v>1585</v>
      </c>
      <c r="Q251" s="68" t="str">
        <f t="shared" si="58"/>
        <v/>
      </c>
      <c r="R251" s="69">
        <f t="shared" si="59"/>
        <v>-1629</v>
      </c>
      <c r="U251" s="5">
        <v>44994</v>
      </c>
      <c r="V251">
        <v>-22085</v>
      </c>
      <c r="W251">
        <v>9098</v>
      </c>
      <c r="X251">
        <v>14616</v>
      </c>
      <c r="Y251">
        <v>9972</v>
      </c>
      <c r="Z251">
        <v>337</v>
      </c>
      <c r="AA251">
        <v>1673</v>
      </c>
      <c r="AB251">
        <v>537</v>
      </c>
      <c r="AC251">
        <v>169</v>
      </c>
      <c r="AD251">
        <v>343</v>
      </c>
      <c r="AE251">
        <v>1585</v>
      </c>
      <c r="AF251">
        <v>0</v>
      </c>
      <c r="AG251">
        <v>-1629</v>
      </c>
    </row>
    <row r="252" spans="6:33">
      <c r="F252" s="74">
        <f t="shared" si="47"/>
        <v>44993</v>
      </c>
      <c r="G252" s="72">
        <f t="shared" si="48"/>
        <v>-2401</v>
      </c>
      <c r="H252" s="68">
        <f t="shared" si="49"/>
        <v>23520</v>
      </c>
      <c r="I252" s="68">
        <f t="shared" si="50"/>
        <v>-21287</v>
      </c>
      <c r="J252" s="68">
        <f t="shared" si="51"/>
        <v>-18995</v>
      </c>
      <c r="K252" s="68">
        <f t="shared" si="52"/>
        <v>-248</v>
      </c>
      <c r="L252" s="68">
        <f t="shared" si="53"/>
        <v>-464</v>
      </c>
      <c r="M252" s="68">
        <f t="shared" si="54"/>
        <v>-1267</v>
      </c>
      <c r="N252" s="68">
        <f t="shared" si="55"/>
        <v>54</v>
      </c>
      <c r="O252" s="68">
        <f t="shared" si="56"/>
        <v>-1465</v>
      </c>
      <c r="P252" s="68">
        <f t="shared" si="57"/>
        <v>1098</v>
      </c>
      <c r="Q252" s="68" t="str">
        <f t="shared" si="58"/>
        <v/>
      </c>
      <c r="R252" s="69">
        <f t="shared" si="59"/>
        <v>169</v>
      </c>
      <c r="U252" s="5">
        <v>44993</v>
      </c>
      <c r="V252">
        <v>-2401</v>
      </c>
      <c r="W252">
        <v>23520</v>
      </c>
      <c r="X252">
        <v>-21287</v>
      </c>
      <c r="Y252">
        <v>-18995</v>
      </c>
      <c r="Z252">
        <v>-248</v>
      </c>
      <c r="AA252">
        <v>-464</v>
      </c>
      <c r="AB252">
        <v>-1267</v>
      </c>
      <c r="AC252">
        <v>54</v>
      </c>
      <c r="AD252">
        <v>-1465</v>
      </c>
      <c r="AE252">
        <v>1098</v>
      </c>
      <c r="AF252">
        <v>0</v>
      </c>
      <c r="AG252">
        <v>169</v>
      </c>
    </row>
    <row r="253" spans="6:33">
      <c r="F253" s="74">
        <f t="shared" si="47"/>
        <v>44992</v>
      </c>
      <c r="G253" s="72">
        <f t="shared" si="48"/>
        <v>7055</v>
      </c>
      <c r="H253" s="68">
        <f t="shared" si="49"/>
        <v>-320</v>
      </c>
      <c r="I253" s="68">
        <f t="shared" si="50"/>
        <v>-3123</v>
      </c>
      <c r="J253" s="68">
        <f t="shared" si="51"/>
        <v>-2550</v>
      </c>
      <c r="K253" s="68">
        <f t="shared" si="52"/>
        <v>-423</v>
      </c>
      <c r="L253" s="68">
        <f t="shared" si="53"/>
        <v>-516</v>
      </c>
      <c r="M253" s="68">
        <f t="shared" si="54"/>
        <v>195</v>
      </c>
      <c r="N253" s="68">
        <f t="shared" si="55"/>
        <v>6</v>
      </c>
      <c r="O253" s="68">
        <f t="shared" si="56"/>
        <v>251</v>
      </c>
      <c r="P253" s="68">
        <f t="shared" si="57"/>
        <v>-86</v>
      </c>
      <c r="Q253" s="68" t="str">
        <f t="shared" si="58"/>
        <v/>
      </c>
      <c r="R253" s="69">
        <f t="shared" si="59"/>
        <v>-3614</v>
      </c>
      <c r="U253" s="5">
        <v>44992</v>
      </c>
      <c r="V253">
        <v>7055</v>
      </c>
      <c r="W253">
        <v>-320</v>
      </c>
      <c r="X253">
        <v>-3123</v>
      </c>
      <c r="Y253">
        <v>-2550</v>
      </c>
      <c r="Z253">
        <v>-423</v>
      </c>
      <c r="AA253">
        <v>-516</v>
      </c>
      <c r="AB253">
        <v>195</v>
      </c>
      <c r="AC253">
        <v>6</v>
      </c>
      <c r="AD253">
        <v>251</v>
      </c>
      <c r="AE253">
        <v>-86</v>
      </c>
      <c r="AF253">
        <v>0</v>
      </c>
      <c r="AG253">
        <v>-3614</v>
      </c>
    </row>
    <row r="254" spans="6:33">
      <c r="F254" s="74">
        <f t="shared" si="47"/>
        <v>44991</v>
      </c>
      <c r="G254" s="72">
        <f t="shared" si="48"/>
        <v>8112</v>
      </c>
      <c r="H254" s="68">
        <f t="shared" si="49"/>
        <v>-12448</v>
      </c>
      <c r="I254" s="68">
        <f t="shared" si="50"/>
        <v>7469</v>
      </c>
      <c r="J254" s="68">
        <f t="shared" si="51"/>
        <v>8777</v>
      </c>
      <c r="K254" s="68">
        <f t="shared" si="52"/>
        <v>66</v>
      </c>
      <c r="L254" s="68">
        <f t="shared" si="53"/>
        <v>-46</v>
      </c>
      <c r="M254" s="68">
        <f t="shared" si="54"/>
        <v>-977</v>
      </c>
      <c r="N254" s="68">
        <f t="shared" si="55"/>
        <v>-22</v>
      </c>
      <c r="O254" s="68">
        <f t="shared" si="56"/>
        <v>65</v>
      </c>
      <c r="P254" s="68">
        <f t="shared" si="57"/>
        <v>-394</v>
      </c>
      <c r="Q254" s="68" t="str">
        <f t="shared" si="58"/>
        <v/>
      </c>
      <c r="R254" s="69">
        <f t="shared" si="59"/>
        <v>-3131</v>
      </c>
      <c r="U254" s="5">
        <v>44991</v>
      </c>
      <c r="V254">
        <v>8112</v>
      </c>
      <c r="W254">
        <v>-12448</v>
      </c>
      <c r="X254">
        <v>7469</v>
      </c>
      <c r="Y254">
        <v>8777</v>
      </c>
      <c r="Z254">
        <v>66</v>
      </c>
      <c r="AA254">
        <v>-46</v>
      </c>
      <c r="AB254">
        <v>-977</v>
      </c>
      <c r="AC254">
        <v>-22</v>
      </c>
      <c r="AD254">
        <v>65</v>
      </c>
      <c r="AE254">
        <v>-394</v>
      </c>
      <c r="AF254">
        <v>0</v>
      </c>
      <c r="AG254">
        <v>-3131</v>
      </c>
    </row>
    <row r="255" spans="6:33">
      <c r="F255" s="74">
        <f t="shared" si="47"/>
        <v>44988</v>
      </c>
      <c r="G255" s="72">
        <f t="shared" si="48"/>
        <v>-1669</v>
      </c>
      <c r="H255" s="68">
        <f t="shared" si="49"/>
        <v>15118</v>
      </c>
      <c r="I255" s="68">
        <f t="shared" si="50"/>
        <v>-4647</v>
      </c>
      <c r="J255" s="68">
        <f t="shared" si="51"/>
        <v>119</v>
      </c>
      <c r="K255" s="68">
        <f t="shared" si="52"/>
        <v>-583</v>
      </c>
      <c r="L255" s="68">
        <f t="shared" si="53"/>
        <v>-423</v>
      </c>
      <c r="M255" s="68">
        <f t="shared" si="54"/>
        <v>-399</v>
      </c>
      <c r="N255" s="68">
        <f t="shared" si="55"/>
        <v>-76</v>
      </c>
      <c r="O255" s="68">
        <f t="shared" si="56"/>
        <v>-711</v>
      </c>
      <c r="P255" s="68">
        <f t="shared" si="57"/>
        <v>-2574</v>
      </c>
      <c r="Q255" s="68" t="str">
        <f t="shared" si="58"/>
        <v/>
      </c>
      <c r="R255" s="69">
        <f t="shared" si="59"/>
        <v>-8802</v>
      </c>
      <c r="U255" s="5">
        <v>44988</v>
      </c>
      <c r="V255">
        <v>-1669</v>
      </c>
      <c r="W255">
        <v>15118</v>
      </c>
      <c r="X255">
        <v>-4647</v>
      </c>
      <c r="Y255">
        <v>119</v>
      </c>
      <c r="Z255">
        <v>-583</v>
      </c>
      <c r="AA255">
        <v>-423</v>
      </c>
      <c r="AB255">
        <v>-399</v>
      </c>
      <c r="AC255">
        <v>-76</v>
      </c>
      <c r="AD255">
        <v>-711</v>
      </c>
      <c r="AE255">
        <v>-2574</v>
      </c>
      <c r="AF255">
        <v>0</v>
      </c>
      <c r="AG255">
        <v>-8802</v>
      </c>
    </row>
    <row r="256" spans="6:33">
      <c r="F256" s="74">
        <f t="shared" si="47"/>
        <v>44987</v>
      </c>
      <c r="G256" s="72">
        <f t="shared" si="48"/>
        <v>15271</v>
      </c>
      <c r="H256" s="68">
        <f t="shared" si="49"/>
        <v>-8535</v>
      </c>
      <c r="I256" s="68">
        <f t="shared" si="50"/>
        <v>-2792</v>
      </c>
      <c r="J256" s="68">
        <f t="shared" si="51"/>
        <v>-3409</v>
      </c>
      <c r="K256" s="68">
        <f t="shared" si="52"/>
        <v>-218</v>
      </c>
      <c r="L256" s="68">
        <f t="shared" si="53"/>
        <v>106</v>
      </c>
      <c r="M256" s="68">
        <f t="shared" si="54"/>
        <v>1326</v>
      </c>
      <c r="N256" s="68">
        <f t="shared" si="55"/>
        <v>-22</v>
      </c>
      <c r="O256" s="68">
        <f t="shared" si="56"/>
        <v>354</v>
      </c>
      <c r="P256" s="68">
        <f t="shared" si="57"/>
        <v>-929</v>
      </c>
      <c r="Q256" s="68" t="str">
        <f t="shared" si="58"/>
        <v/>
      </c>
      <c r="R256" s="69">
        <f t="shared" si="59"/>
        <v>-3947</v>
      </c>
      <c r="U256" s="5">
        <v>44987</v>
      </c>
      <c r="V256">
        <v>15271</v>
      </c>
      <c r="W256">
        <v>-8535</v>
      </c>
      <c r="X256">
        <v>-2792</v>
      </c>
      <c r="Y256">
        <v>-3409</v>
      </c>
      <c r="Z256">
        <v>-218</v>
      </c>
      <c r="AA256">
        <v>106</v>
      </c>
      <c r="AB256">
        <v>1326</v>
      </c>
      <c r="AC256">
        <v>-22</v>
      </c>
      <c r="AD256">
        <v>354</v>
      </c>
      <c r="AE256">
        <v>-929</v>
      </c>
      <c r="AF256">
        <v>0</v>
      </c>
      <c r="AG256">
        <v>-3947</v>
      </c>
    </row>
    <row r="257" spans="6:33">
      <c r="F257" s="74">
        <f t="shared" si="47"/>
        <v>44985</v>
      </c>
      <c r="G257" s="72">
        <f t="shared" si="48"/>
        <v>-1567</v>
      </c>
      <c r="H257" s="68">
        <f t="shared" si="49"/>
        <v>-4390</v>
      </c>
      <c r="I257" s="68">
        <f t="shared" si="50"/>
        <v>8396</v>
      </c>
      <c r="J257" s="68">
        <f t="shared" si="51"/>
        <v>6340</v>
      </c>
      <c r="K257" s="68">
        <f t="shared" si="52"/>
        <v>-337</v>
      </c>
      <c r="L257" s="68">
        <f t="shared" si="53"/>
        <v>1286</v>
      </c>
      <c r="M257" s="68">
        <f t="shared" si="54"/>
        <v>223</v>
      </c>
      <c r="N257" s="68">
        <f t="shared" si="55"/>
        <v>-187</v>
      </c>
      <c r="O257" s="68">
        <f t="shared" si="56"/>
        <v>345</v>
      </c>
      <c r="P257" s="68">
        <f t="shared" si="57"/>
        <v>726</v>
      </c>
      <c r="Q257" s="68" t="str">
        <f t="shared" si="58"/>
        <v/>
      </c>
      <c r="R257" s="69">
        <f t="shared" si="59"/>
        <v>-2438</v>
      </c>
      <c r="U257" s="5">
        <v>44985</v>
      </c>
      <c r="V257">
        <v>-1567</v>
      </c>
      <c r="W257">
        <v>-4390</v>
      </c>
      <c r="X257">
        <v>8396</v>
      </c>
      <c r="Y257">
        <v>6340</v>
      </c>
      <c r="Z257">
        <v>-337</v>
      </c>
      <c r="AA257">
        <v>1286</v>
      </c>
      <c r="AB257">
        <v>223</v>
      </c>
      <c r="AC257">
        <v>-187</v>
      </c>
      <c r="AD257">
        <v>345</v>
      </c>
      <c r="AE257">
        <v>726</v>
      </c>
      <c r="AF257">
        <v>0</v>
      </c>
      <c r="AG257">
        <v>-2438</v>
      </c>
    </row>
    <row r="258" spans="6:33">
      <c r="F258" s="74">
        <f t="shared" si="47"/>
        <v>44984</v>
      </c>
      <c r="G258" s="72">
        <f t="shared" si="48"/>
        <v>-7295</v>
      </c>
      <c r="H258" s="68">
        <f t="shared" si="49"/>
        <v>12060</v>
      </c>
      <c r="I258" s="68">
        <f t="shared" si="50"/>
        <v>-4102</v>
      </c>
      <c r="J258" s="68">
        <f t="shared" si="51"/>
        <v>-8121</v>
      </c>
      <c r="K258" s="68">
        <f t="shared" si="52"/>
        <v>-232</v>
      </c>
      <c r="L258" s="68">
        <f t="shared" si="53"/>
        <v>1167</v>
      </c>
      <c r="M258" s="68">
        <f t="shared" si="54"/>
        <v>400</v>
      </c>
      <c r="N258" s="68">
        <f t="shared" si="55"/>
        <v>27</v>
      </c>
      <c r="O258" s="68">
        <f t="shared" si="56"/>
        <v>360</v>
      </c>
      <c r="P258" s="68">
        <f t="shared" si="57"/>
        <v>2297</v>
      </c>
      <c r="Q258" s="68" t="str">
        <f t="shared" si="58"/>
        <v/>
      </c>
      <c r="R258" s="69">
        <f t="shared" si="59"/>
        <v>-663</v>
      </c>
      <c r="U258" s="5">
        <v>44984</v>
      </c>
      <c r="V258">
        <v>-7295</v>
      </c>
      <c r="W258">
        <v>12060</v>
      </c>
      <c r="X258">
        <v>-4102</v>
      </c>
      <c r="Y258">
        <v>-8121</v>
      </c>
      <c r="Z258">
        <v>-232</v>
      </c>
      <c r="AA258">
        <v>1167</v>
      </c>
      <c r="AB258">
        <v>400</v>
      </c>
      <c r="AC258">
        <v>27</v>
      </c>
      <c r="AD258">
        <v>360</v>
      </c>
      <c r="AE258">
        <v>2297</v>
      </c>
      <c r="AF258">
        <v>0</v>
      </c>
      <c r="AG258">
        <v>-663</v>
      </c>
    </row>
    <row r="259" spans="6:33">
      <c r="F259" s="74">
        <f t="shared" si="47"/>
        <v>44981</v>
      </c>
      <c r="G259" s="72">
        <f t="shared" si="48"/>
        <v>-11055</v>
      </c>
      <c r="H259" s="68">
        <f t="shared" si="49"/>
        <v>14423</v>
      </c>
      <c r="I259" s="68">
        <f t="shared" si="50"/>
        <v>-2484</v>
      </c>
      <c r="J259" s="68">
        <f t="shared" si="51"/>
        <v>4</v>
      </c>
      <c r="K259" s="68">
        <f t="shared" si="52"/>
        <v>-106</v>
      </c>
      <c r="L259" s="68">
        <f t="shared" si="53"/>
        <v>-210</v>
      </c>
      <c r="M259" s="68">
        <f t="shared" si="54"/>
        <v>-1808</v>
      </c>
      <c r="N259" s="68">
        <f t="shared" si="55"/>
        <v>28</v>
      </c>
      <c r="O259" s="68">
        <f t="shared" si="56"/>
        <v>383</v>
      </c>
      <c r="P259" s="68">
        <f t="shared" si="57"/>
        <v>-775</v>
      </c>
      <c r="Q259" s="68" t="str">
        <f t="shared" si="58"/>
        <v/>
      </c>
      <c r="R259" s="69">
        <f t="shared" si="59"/>
        <v>-885</v>
      </c>
      <c r="U259" s="5">
        <v>44981</v>
      </c>
      <c r="V259">
        <v>-11055</v>
      </c>
      <c r="W259">
        <v>14423</v>
      </c>
      <c r="X259">
        <v>-2484</v>
      </c>
      <c r="Y259">
        <v>4</v>
      </c>
      <c r="Z259">
        <v>-106</v>
      </c>
      <c r="AA259">
        <v>-210</v>
      </c>
      <c r="AB259">
        <v>-1808</v>
      </c>
      <c r="AC259">
        <v>28</v>
      </c>
      <c r="AD259">
        <v>383</v>
      </c>
      <c r="AE259">
        <v>-775</v>
      </c>
      <c r="AF259">
        <v>0</v>
      </c>
      <c r="AG259">
        <v>-885</v>
      </c>
    </row>
    <row r="260" spans="6:33">
      <c r="F260" s="74">
        <f t="shared" si="47"/>
        <v>44980</v>
      </c>
      <c r="G260" s="72">
        <f t="shared" si="48"/>
        <v>193</v>
      </c>
      <c r="H260" s="68">
        <f t="shared" si="49"/>
        <v>-5883</v>
      </c>
      <c r="I260" s="68">
        <f t="shared" si="50"/>
        <v>8795</v>
      </c>
      <c r="J260" s="68">
        <f t="shared" si="51"/>
        <v>7097</v>
      </c>
      <c r="K260" s="68">
        <f t="shared" si="52"/>
        <v>608</v>
      </c>
      <c r="L260" s="68">
        <f t="shared" si="53"/>
        <v>2688</v>
      </c>
      <c r="M260" s="68">
        <f t="shared" si="54"/>
        <v>-1706</v>
      </c>
      <c r="N260" s="68">
        <f t="shared" si="55"/>
        <v>-46</v>
      </c>
      <c r="O260" s="68">
        <f t="shared" si="56"/>
        <v>299</v>
      </c>
      <c r="P260" s="68">
        <f t="shared" si="57"/>
        <v>-145</v>
      </c>
      <c r="Q260" s="68" t="str">
        <f t="shared" si="58"/>
        <v/>
      </c>
      <c r="R260" s="69">
        <f t="shared" si="59"/>
        <v>-3105</v>
      </c>
      <c r="U260" s="5">
        <v>44980</v>
      </c>
      <c r="V260">
        <v>193</v>
      </c>
      <c r="W260">
        <v>-5883</v>
      </c>
      <c r="X260">
        <v>8795</v>
      </c>
      <c r="Y260">
        <v>7097</v>
      </c>
      <c r="Z260">
        <v>608</v>
      </c>
      <c r="AA260">
        <v>2688</v>
      </c>
      <c r="AB260">
        <v>-1706</v>
      </c>
      <c r="AC260">
        <v>-46</v>
      </c>
      <c r="AD260">
        <v>299</v>
      </c>
      <c r="AE260">
        <v>-145</v>
      </c>
      <c r="AF260">
        <v>0</v>
      </c>
      <c r="AG260">
        <v>-3105</v>
      </c>
    </row>
    <row r="261" spans="6:33">
      <c r="F261" s="74">
        <f t="shared" si="47"/>
        <v>44979</v>
      </c>
      <c r="G261" s="72">
        <f t="shared" si="48"/>
        <v>-8725</v>
      </c>
      <c r="H261" s="68">
        <f t="shared" si="49"/>
        <v>24664</v>
      </c>
      <c r="I261" s="68">
        <f t="shared" si="50"/>
        <v>-11050</v>
      </c>
      <c r="J261" s="68">
        <f t="shared" si="51"/>
        <v>-9123</v>
      </c>
      <c r="K261" s="68">
        <f t="shared" si="52"/>
        <v>13</v>
      </c>
      <c r="L261" s="68">
        <f t="shared" si="53"/>
        <v>53</v>
      </c>
      <c r="M261" s="68">
        <f t="shared" si="54"/>
        <v>-2118</v>
      </c>
      <c r="N261" s="68">
        <f t="shared" si="55"/>
        <v>43</v>
      </c>
      <c r="O261" s="68">
        <f t="shared" si="56"/>
        <v>560</v>
      </c>
      <c r="P261" s="68">
        <f t="shared" si="57"/>
        <v>-478</v>
      </c>
      <c r="Q261" s="68" t="str">
        <f t="shared" si="58"/>
        <v/>
      </c>
      <c r="R261" s="69">
        <f t="shared" si="59"/>
        <v>-4888</v>
      </c>
      <c r="U261" s="5">
        <v>44979</v>
      </c>
      <c r="V261">
        <v>-8725</v>
      </c>
      <c r="W261">
        <v>24664</v>
      </c>
      <c r="X261">
        <v>-11050</v>
      </c>
      <c r="Y261">
        <v>-9123</v>
      </c>
      <c r="Z261">
        <v>13</v>
      </c>
      <c r="AA261">
        <v>53</v>
      </c>
      <c r="AB261">
        <v>-2118</v>
      </c>
      <c r="AC261">
        <v>43</v>
      </c>
      <c r="AD261">
        <v>560</v>
      </c>
      <c r="AE261">
        <v>-478</v>
      </c>
      <c r="AF261">
        <v>0</v>
      </c>
      <c r="AG261">
        <v>-4888</v>
      </c>
    </row>
    <row r="262" spans="6:33">
      <c r="F262" s="74">
        <f t="shared" si="47"/>
        <v>44978</v>
      </c>
      <c r="G262" s="72">
        <f t="shared" si="48"/>
        <v>9957</v>
      </c>
      <c r="H262" s="68">
        <f t="shared" si="49"/>
        <v>-5106</v>
      </c>
      <c r="I262" s="68">
        <f t="shared" si="50"/>
        <v>-1296</v>
      </c>
      <c r="J262" s="68">
        <f t="shared" si="51"/>
        <v>-1363</v>
      </c>
      <c r="K262" s="68">
        <f t="shared" si="52"/>
        <v>-484</v>
      </c>
      <c r="L262" s="68">
        <f t="shared" si="53"/>
        <v>496</v>
      </c>
      <c r="M262" s="68">
        <f t="shared" si="54"/>
        <v>-756</v>
      </c>
      <c r="N262" s="68">
        <f t="shared" si="55"/>
        <v>17</v>
      </c>
      <c r="O262" s="68">
        <f t="shared" si="56"/>
        <v>458</v>
      </c>
      <c r="P262" s="68">
        <f t="shared" si="57"/>
        <v>336</v>
      </c>
      <c r="Q262" s="68" t="str">
        <f t="shared" si="58"/>
        <v/>
      </c>
      <c r="R262" s="69">
        <f t="shared" si="59"/>
        <v>-3555</v>
      </c>
      <c r="U262" s="5">
        <v>44978</v>
      </c>
      <c r="V262">
        <v>9957</v>
      </c>
      <c r="W262">
        <v>-5106</v>
      </c>
      <c r="X262">
        <v>-1296</v>
      </c>
      <c r="Y262">
        <v>-1363</v>
      </c>
      <c r="Z262">
        <v>-484</v>
      </c>
      <c r="AA262">
        <v>496</v>
      </c>
      <c r="AB262">
        <v>-756</v>
      </c>
      <c r="AC262">
        <v>17</v>
      </c>
      <c r="AD262">
        <v>458</v>
      </c>
      <c r="AE262">
        <v>336</v>
      </c>
      <c r="AF262">
        <v>0</v>
      </c>
      <c r="AG262">
        <v>-3555</v>
      </c>
    </row>
    <row r="263" spans="6:33">
      <c r="F263" s="74">
        <f t="shared" si="47"/>
        <v>44977</v>
      </c>
      <c r="G263" s="72">
        <f t="shared" si="48"/>
        <v>-1269</v>
      </c>
      <c r="H263" s="68">
        <f t="shared" si="49"/>
        <v>1126</v>
      </c>
      <c r="I263" s="68">
        <f t="shared" si="50"/>
        <v>4094</v>
      </c>
      <c r="J263" s="68">
        <f t="shared" si="51"/>
        <v>4615</v>
      </c>
      <c r="K263" s="68">
        <f t="shared" si="52"/>
        <v>-535</v>
      </c>
      <c r="L263" s="68">
        <f t="shared" si="53"/>
        <v>-348</v>
      </c>
      <c r="M263" s="68">
        <f t="shared" si="54"/>
        <v>-419</v>
      </c>
      <c r="N263" s="68">
        <f t="shared" si="55"/>
        <v>4</v>
      </c>
      <c r="O263" s="68">
        <f t="shared" si="56"/>
        <v>480</v>
      </c>
      <c r="P263" s="68">
        <f t="shared" si="57"/>
        <v>297</v>
      </c>
      <c r="Q263" s="68" t="str">
        <f t="shared" si="58"/>
        <v/>
      </c>
      <c r="R263" s="69">
        <f t="shared" si="59"/>
        <v>-3950</v>
      </c>
      <c r="U263" s="5">
        <v>44977</v>
      </c>
      <c r="V263">
        <v>-1269</v>
      </c>
      <c r="W263">
        <v>1126</v>
      </c>
      <c r="X263">
        <v>4094</v>
      </c>
      <c r="Y263">
        <v>4615</v>
      </c>
      <c r="Z263">
        <v>-535</v>
      </c>
      <c r="AA263">
        <v>-348</v>
      </c>
      <c r="AB263">
        <v>-419</v>
      </c>
      <c r="AC263">
        <v>4</v>
      </c>
      <c r="AD263">
        <v>480</v>
      </c>
      <c r="AE263">
        <v>297</v>
      </c>
      <c r="AF263">
        <v>0</v>
      </c>
      <c r="AG263">
        <v>-3950</v>
      </c>
    </row>
    <row r="264" spans="6:33">
      <c r="F264" s="74">
        <f t="shared" si="47"/>
        <v>44974</v>
      </c>
      <c r="G264" s="72">
        <f t="shared" si="48"/>
        <v>10679</v>
      </c>
      <c r="H264" s="68">
        <f t="shared" si="49"/>
        <v>-4915</v>
      </c>
      <c r="I264" s="68">
        <f t="shared" si="50"/>
        <v>-5801</v>
      </c>
      <c r="J264" s="68">
        <f t="shared" si="51"/>
        <v>-5922</v>
      </c>
      <c r="K264" s="68">
        <f t="shared" si="52"/>
        <v>101</v>
      </c>
      <c r="L264" s="68">
        <f t="shared" si="53"/>
        <v>-113</v>
      </c>
      <c r="M264" s="68">
        <f t="shared" si="54"/>
        <v>-198</v>
      </c>
      <c r="N264" s="68">
        <f t="shared" si="55"/>
        <v>-31</v>
      </c>
      <c r="O264" s="68">
        <f t="shared" si="56"/>
        <v>343</v>
      </c>
      <c r="P264" s="68">
        <f t="shared" si="57"/>
        <v>19</v>
      </c>
      <c r="Q264" s="68" t="str">
        <f t="shared" si="58"/>
        <v/>
      </c>
      <c r="R264" s="69">
        <f t="shared" si="59"/>
        <v>37</v>
      </c>
      <c r="U264" s="5">
        <v>44974</v>
      </c>
      <c r="V264">
        <v>10679</v>
      </c>
      <c r="W264">
        <v>-4915</v>
      </c>
      <c r="X264">
        <v>-5801</v>
      </c>
      <c r="Y264">
        <v>-5922</v>
      </c>
      <c r="Z264">
        <v>101</v>
      </c>
      <c r="AA264">
        <v>-113</v>
      </c>
      <c r="AB264">
        <v>-198</v>
      </c>
      <c r="AC264">
        <v>-31</v>
      </c>
      <c r="AD264">
        <v>343</v>
      </c>
      <c r="AE264">
        <v>19</v>
      </c>
      <c r="AF264">
        <v>0</v>
      </c>
      <c r="AG264">
        <v>37</v>
      </c>
    </row>
    <row r="265" spans="6:33">
      <c r="F265" s="74">
        <f t="shared" si="47"/>
        <v>44973</v>
      </c>
      <c r="G265" s="72">
        <f t="shared" si="48"/>
        <v>4232</v>
      </c>
      <c r="H265" s="68">
        <f t="shared" si="49"/>
        <v>-16564</v>
      </c>
      <c r="I265" s="68">
        <f t="shared" si="50"/>
        <v>13714</v>
      </c>
      <c r="J265" s="68">
        <f t="shared" si="51"/>
        <v>13845</v>
      </c>
      <c r="K265" s="68">
        <f t="shared" si="52"/>
        <v>-209</v>
      </c>
      <c r="L265" s="68">
        <f t="shared" si="53"/>
        <v>908</v>
      </c>
      <c r="M265" s="68">
        <f t="shared" si="54"/>
        <v>386</v>
      </c>
      <c r="N265" s="68">
        <f t="shared" si="55"/>
        <v>37</v>
      </c>
      <c r="O265" s="68">
        <f t="shared" si="56"/>
        <v>445</v>
      </c>
      <c r="P265" s="68">
        <f t="shared" si="57"/>
        <v>-1698</v>
      </c>
      <c r="Q265" s="68" t="str">
        <f t="shared" si="58"/>
        <v/>
      </c>
      <c r="R265" s="69">
        <f t="shared" si="59"/>
        <v>-1383</v>
      </c>
      <c r="U265" s="5">
        <v>44973</v>
      </c>
      <c r="V265">
        <v>4232</v>
      </c>
      <c r="W265">
        <v>-16564</v>
      </c>
      <c r="X265">
        <v>13714</v>
      </c>
      <c r="Y265">
        <v>13845</v>
      </c>
      <c r="Z265">
        <v>-209</v>
      </c>
      <c r="AA265">
        <v>908</v>
      </c>
      <c r="AB265">
        <v>386</v>
      </c>
      <c r="AC265">
        <v>37</v>
      </c>
      <c r="AD265">
        <v>445</v>
      </c>
      <c r="AE265">
        <v>-1698</v>
      </c>
      <c r="AF265">
        <v>0</v>
      </c>
      <c r="AG265">
        <v>-1383</v>
      </c>
    </row>
    <row r="266" spans="6:33">
      <c r="F266" s="74">
        <f t="shared" si="47"/>
        <v>44972</v>
      </c>
      <c r="G266" s="72">
        <f t="shared" si="48"/>
        <v>-13223</v>
      </c>
      <c r="H266" s="68">
        <f t="shared" si="49"/>
        <v>28190</v>
      </c>
      <c r="I266" s="68">
        <f t="shared" si="50"/>
        <v>-15032</v>
      </c>
      <c r="J266" s="68">
        <f t="shared" si="51"/>
        <v>-9603</v>
      </c>
      <c r="K266" s="68">
        <f t="shared" si="52"/>
        <v>-359</v>
      </c>
      <c r="L266" s="68">
        <f t="shared" si="53"/>
        <v>-1527</v>
      </c>
      <c r="M266" s="68">
        <f t="shared" si="54"/>
        <v>-2074</v>
      </c>
      <c r="N266" s="68">
        <f t="shared" si="55"/>
        <v>-10</v>
      </c>
      <c r="O266" s="68">
        <f t="shared" si="56"/>
        <v>387</v>
      </c>
      <c r="P266" s="68">
        <f t="shared" si="57"/>
        <v>-1846</v>
      </c>
      <c r="Q266" s="68" t="str">
        <f t="shared" si="58"/>
        <v/>
      </c>
      <c r="R266" s="69">
        <f t="shared" si="59"/>
        <v>63</v>
      </c>
      <c r="U266" s="5">
        <v>44972</v>
      </c>
      <c r="V266">
        <v>-13223</v>
      </c>
      <c r="W266">
        <v>28190</v>
      </c>
      <c r="X266">
        <v>-15032</v>
      </c>
      <c r="Y266">
        <v>-9603</v>
      </c>
      <c r="Z266">
        <v>-359</v>
      </c>
      <c r="AA266">
        <v>-1527</v>
      </c>
      <c r="AB266">
        <v>-2074</v>
      </c>
      <c r="AC266">
        <v>-10</v>
      </c>
      <c r="AD266">
        <v>387</v>
      </c>
      <c r="AE266">
        <v>-1846</v>
      </c>
      <c r="AF266">
        <v>0</v>
      </c>
      <c r="AG266">
        <v>63</v>
      </c>
    </row>
    <row r="267" spans="6:33">
      <c r="F267" s="74">
        <f t="shared" si="47"/>
        <v>44971</v>
      </c>
      <c r="G267" s="72">
        <f t="shared" si="48"/>
        <v>3900</v>
      </c>
      <c r="H267" s="68">
        <f t="shared" si="49"/>
        <v>-11367</v>
      </c>
      <c r="I267" s="68">
        <f t="shared" si="50"/>
        <v>6796</v>
      </c>
      <c r="J267" s="68">
        <f t="shared" si="51"/>
        <v>6212</v>
      </c>
      <c r="K267" s="68">
        <f t="shared" si="52"/>
        <v>-672</v>
      </c>
      <c r="L267" s="68">
        <f t="shared" si="53"/>
        <v>685</v>
      </c>
      <c r="M267" s="68">
        <f t="shared" si="54"/>
        <v>-1059</v>
      </c>
      <c r="N267" s="68">
        <f t="shared" si="55"/>
        <v>75</v>
      </c>
      <c r="O267" s="68">
        <f t="shared" si="56"/>
        <v>313</v>
      </c>
      <c r="P267" s="68">
        <f t="shared" si="57"/>
        <v>1242</v>
      </c>
      <c r="Q267" s="68" t="str">
        <f t="shared" si="58"/>
        <v/>
      </c>
      <c r="R267" s="69">
        <f t="shared" si="59"/>
        <v>669</v>
      </c>
      <c r="U267" s="5">
        <v>44971</v>
      </c>
      <c r="V267">
        <v>3900</v>
      </c>
      <c r="W267">
        <v>-11367</v>
      </c>
      <c r="X267">
        <v>6796</v>
      </c>
      <c r="Y267">
        <v>6212</v>
      </c>
      <c r="Z267">
        <v>-672</v>
      </c>
      <c r="AA267">
        <v>685</v>
      </c>
      <c r="AB267">
        <v>-1059</v>
      </c>
      <c r="AC267">
        <v>75</v>
      </c>
      <c r="AD267">
        <v>313</v>
      </c>
      <c r="AE267">
        <v>1242</v>
      </c>
      <c r="AF267">
        <v>0</v>
      </c>
      <c r="AG267">
        <v>669</v>
      </c>
    </row>
    <row r="268" spans="6:33">
      <c r="F268" s="74">
        <f t="shared" si="47"/>
        <v>44970</v>
      </c>
      <c r="G268" s="72">
        <f t="shared" si="48"/>
        <v>4460</v>
      </c>
      <c r="H268" s="68">
        <f t="shared" si="49"/>
        <v>-2594</v>
      </c>
      <c r="I268" s="68">
        <f t="shared" si="50"/>
        <v>-819</v>
      </c>
      <c r="J268" s="68">
        <f t="shared" si="51"/>
        <v>-3336</v>
      </c>
      <c r="K268" s="68">
        <f t="shared" si="52"/>
        <v>105</v>
      </c>
      <c r="L268" s="68">
        <f t="shared" si="53"/>
        <v>-495</v>
      </c>
      <c r="M268" s="68">
        <f t="shared" si="54"/>
        <v>356</v>
      </c>
      <c r="N268" s="68">
        <f t="shared" si="55"/>
        <v>6</v>
      </c>
      <c r="O268" s="68">
        <f t="shared" si="56"/>
        <v>221</v>
      </c>
      <c r="P268" s="68">
        <f t="shared" si="57"/>
        <v>2324</v>
      </c>
      <c r="Q268" s="68" t="str">
        <f t="shared" si="58"/>
        <v/>
      </c>
      <c r="R268" s="69">
        <f t="shared" si="59"/>
        <v>-1047</v>
      </c>
      <c r="U268" s="5">
        <v>44970</v>
      </c>
      <c r="V268">
        <v>4460</v>
      </c>
      <c r="W268">
        <v>-2594</v>
      </c>
      <c r="X268">
        <v>-819</v>
      </c>
      <c r="Y268">
        <v>-3336</v>
      </c>
      <c r="Z268">
        <v>105</v>
      </c>
      <c r="AA268">
        <v>-495</v>
      </c>
      <c r="AB268">
        <v>356</v>
      </c>
      <c r="AC268">
        <v>6</v>
      </c>
      <c r="AD268">
        <v>221</v>
      </c>
      <c r="AE268">
        <v>2324</v>
      </c>
      <c r="AF268">
        <v>0</v>
      </c>
      <c r="AG268">
        <v>-1047</v>
      </c>
    </row>
    <row r="269" spans="6:33">
      <c r="F269" s="74">
        <f t="shared" si="47"/>
        <v>44967</v>
      </c>
      <c r="G269" s="72">
        <f t="shared" si="48"/>
        <v>-2693</v>
      </c>
      <c r="H269" s="68">
        <f t="shared" si="49"/>
        <v>11504</v>
      </c>
      <c r="I269" s="68">
        <f t="shared" si="50"/>
        <v>-9059</v>
      </c>
      <c r="J269" s="68">
        <f t="shared" si="51"/>
        <v>-8195</v>
      </c>
      <c r="K269" s="68">
        <f t="shared" si="52"/>
        <v>76</v>
      </c>
      <c r="L269" s="68">
        <f t="shared" si="53"/>
        <v>-312</v>
      </c>
      <c r="M269" s="68">
        <f t="shared" si="54"/>
        <v>-1726</v>
      </c>
      <c r="N269" s="68">
        <f t="shared" si="55"/>
        <v>-23</v>
      </c>
      <c r="O269" s="68">
        <f t="shared" si="56"/>
        <v>364</v>
      </c>
      <c r="P269" s="68">
        <f t="shared" si="57"/>
        <v>757</v>
      </c>
      <c r="Q269" s="68" t="str">
        <f t="shared" si="58"/>
        <v/>
      </c>
      <c r="R269" s="69">
        <f t="shared" si="59"/>
        <v>248</v>
      </c>
      <c r="U269" s="5">
        <v>44967</v>
      </c>
      <c r="V269">
        <v>-2693</v>
      </c>
      <c r="W269">
        <v>11504</v>
      </c>
      <c r="X269">
        <v>-9059</v>
      </c>
      <c r="Y269">
        <v>-8195</v>
      </c>
      <c r="Z269">
        <v>76</v>
      </c>
      <c r="AA269">
        <v>-312</v>
      </c>
      <c r="AB269">
        <v>-1726</v>
      </c>
      <c r="AC269">
        <v>-23</v>
      </c>
      <c r="AD269">
        <v>364</v>
      </c>
      <c r="AE269">
        <v>757</v>
      </c>
      <c r="AF269">
        <v>0</v>
      </c>
      <c r="AG269">
        <v>248</v>
      </c>
    </row>
    <row r="270" spans="6:33">
      <c r="F270" s="74">
        <f t="shared" si="47"/>
        <v>44966</v>
      </c>
      <c r="G270" s="72">
        <f t="shared" si="48"/>
        <v>-8726</v>
      </c>
      <c r="H270" s="68">
        <f t="shared" si="49"/>
        <v>17577</v>
      </c>
      <c r="I270" s="68">
        <f t="shared" si="50"/>
        <v>-8677</v>
      </c>
      <c r="J270" s="68">
        <f t="shared" si="51"/>
        <v>-6760</v>
      </c>
      <c r="K270" s="68">
        <f t="shared" si="52"/>
        <v>-157</v>
      </c>
      <c r="L270" s="68">
        <f t="shared" si="53"/>
        <v>-1255</v>
      </c>
      <c r="M270" s="68">
        <f t="shared" si="54"/>
        <v>-2435</v>
      </c>
      <c r="N270" s="68">
        <f t="shared" si="55"/>
        <v>-51</v>
      </c>
      <c r="O270" s="68">
        <f t="shared" si="56"/>
        <v>423</v>
      </c>
      <c r="P270" s="68">
        <f t="shared" si="57"/>
        <v>1558</v>
      </c>
      <c r="Q270" s="68" t="str">
        <f t="shared" si="58"/>
        <v/>
      </c>
      <c r="R270" s="69">
        <f t="shared" si="59"/>
        <v>-173</v>
      </c>
      <c r="U270" s="5">
        <v>44966</v>
      </c>
      <c r="V270">
        <v>-8726</v>
      </c>
      <c r="W270">
        <v>17577</v>
      </c>
      <c r="X270">
        <v>-8677</v>
      </c>
      <c r="Y270">
        <v>-6760</v>
      </c>
      <c r="Z270">
        <v>-157</v>
      </c>
      <c r="AA270">
        <v>-1255</v>
      </c>
      <c r="AB270">
        <v>-2435</v>
      </c>
      <c r="AC270">
        <v>-51</v>
      </c>
      <c r="AD270">
        <v>423</v>
      </c>
      <c r="AE270">
        <v>1558</v>
      </c>
      <c r="AF270">
        <v>0</v>
      </c>
      <c r="AG270">
        <v>-173</v>
      </c>
    </row>
    <row r="271" spans="6:33">
      <c r="F271" s="74">
        <f t="shared" si="47"/>
        <v>44965</v>
      </c>
      <c r="G271" s="72">
        <f t="shared" si="48"/>
        <v>19090</v>
      </c>
      <c r="H271" s="68">
        <f t="shared" si="49"/>
        <v>-17376</v>
      </c>
      <c r="I271" s="68">
        <f t="shared" si="50"/>
        <v>-1704</v>
      </c>
      <c r="J271" s="68">
        <f t="shared" si="51"/>
        <v>-1509</v>
      </c>
      <c r="K271" s="68">
        <f t="shared" si="52"/>
        <v>-184</v>
      </c>
      <c r="L271" s="68">
        <f t="shared" si="53"/>
        <v>834</v>
      </c>
      <c r="M271" s="68">
        <f t="shared" si="54"/>
        <v>-1117</v>
      </c>
      <c r="N271" s="68">
        <f t="shared" si="55"/>
        <v>154</v>
      </c>
      <c r="O271" s="68">
        <f t="shared" si="56"/>
        <v>409</v>
      </c>
      <c r="P271" s="68">
        <f t="shared" si="57"/>
        <v>-291</v>
      </c>
      <c r="Q271" s="68" t="str">
        <f t="shared" si="58"/>
        <v/>
      </c>
      <c r="R271" s="69">
        <f t="shared" si="59"/>
        <v>-11</v>
      </c>
      <c r="U271" s="5">
        <v>44965</v>
      </c>
      <c r="V271">
        <v>19090</v>
      </c>
      <c r="W271">
        <v>-17376</v>
      </c>
      <c r="X271">
        <v>-1704</v>
      </c>
      <c r="Y271">
        <v>-1509</v>
      </c>
      <c r="Z271">
        <v>-184</v>
      </c>
      <c r="AA271">
        <v>834</v>
      </c>
      <c r="AB271">
        <v>-1117</v>
      </c>
      <c r="AC271">
        <v>154</v>
      </c>
      <c r="AD271">
        <v>409</v>
      </c>
      <c r="AE271">
        <v>-291</v>
      </c>
      <c r="AF271">
        <v>0</v>
      </c>
      <c r="AG271">
        <v>-11</v>
      </c>
    </row>
    <row r="272" spans="6:33">
      <c r="F272" s="74">
        <f t="shared" si="47"/>
        <v>44964</v>
      </c>
      <c r="G272" s="72">
        <f t="shared" si="48"/>
        <v>-7045</v>
      </c>
      <c r="H272" s="68">
        <f t="shared" si="49"/>
        <v>18433</v>
      </c>
      <c r="I272" s="68">
        <f t="shared" si="50"/>
        <v>-11738</v>
      </c>
      <c r="J272" s="68">
        <f t="shared" si="51"/>
        <v>-6412</v>
      </c>
      <c r="K272" s="68">
        <f t="shared" si="52"/>
        <v>-470</v>
      </c>
      <c r="L272" s="68">
        <f t="shared" si="53"/>
        <v>-2005</v>
      </c>
      <c r="M272" s="68">
        <f t="shared" si="54"/>
        <v>-606</v>
      </c>
      <c r="N272" s="68">
        <f t="shared" si="55"/>
        <v>37</v>
      </c>
      <c r="O272" s="68">
        <f t="shared" si="56"/>
        <v>198</v>
      </c>
      <c r="P272" s="68">
        <f t="shared" si="57"/>
        <v>-2480</v>
      </c>
      <c r="Q272" s="68" t="str">
        <f t="shared" si="58"/>
        <v/>
      </c>
      <c r="R272" s="69">
        <f t="shared" si="59"/>
        <v>348</v>
      </c>
      <c r="U272" s="5">
        <v>44964</v>
      </c>
      <c r="V272">
        <v>-7045</v>
      </c>
      <c r="W272">
        <v>18433</v>
      </c>
      <c r="X272">
        <v>-11738</v>
      </c>
      <c r="Y272">
        <v>-6412</v>
      </c>
      <c r="Z272">
        <v>-470</v>
      </c>
      <c r="AA272">
        <v>-2005</v>
      </c>
      <c r="AB272">
        <v>-606</v>
      </c>
      <c r="AC272">
        <v>37</v>
      </c>
      <c r="AD272">
        <v>198</v>
      </c>
      <c r="AE272">
        <v>-2480</v>
      </c>
      <c r="AF272">
        <v>0</v>
      </c>
      <c r="AG272">
        <v>348</v>
      </c>
    </row>
    <row r="273" spans="6:33">
      <c r="F273" s="74">
        <f t="shared" si="47"/>
        <v>44963</v>
      </c>
      <c r="G273" s="72">
        <f t="shared" si="48"/>
        <v>-4022</v>
      </c>
      <c r="H273" s="68">
        <f t="shared" si="49"/>
        <v>16976</v>
      </c>
      <c r="I273" s="68">
        <f t="shared" si="50"/>
        <v>-13081</v>
      </c>
      <c r="J273" s="68">
        <f t="shared" si="51"/>
        <v>-8998</v>
      </c>
      <c r="K273" s="68">
        <f t="shared" si="52"/>
        <v>-267</v>
      </c>
      <c r="L273" s="68">
        <f t="shared" si="53"/>
        <v>-1762</v>
      </c>
      <c r="M273" s="68">
        <f t="shared" si="54"/>
        <v>-2712</v>
      </c>
      <c r="N273" s="68">
        <f t="shared" si="55"/>
        <v>-30</v>
      </c>
      <c r="O273" s="68">
        <f t="shared" si="56"/>
        <v>174</v>
      </c>
      <c r="P273" s="68">
        <f t="shared" si="57"/>
        <v>514</v>
      </c>
      <c r="Q273" s="68" t="str">
        <f t="shared" si="58"/>
        <v/>
      </c>
      <c r="R273" s="69">
        <f t="shared" si="59"/>
        <v>128</v>
      </c>
      <c r="U273" s="5">
        <v>44963</v>
      </c>
      <c r="V273">
        <v>-4022</v>
      </c>
      <c r="W273">
        <v>16976</v>
      </c>
      <c r="X273">
        <v>-13081</v>
      </c>
      <c r="Y273">
        <v>-8998</v>
      </c>
      <c r="Z273">
        <v>-267</v>
      </c>
      <c r="AA273">
        <v>-1762</v>
      </c>
      <c r="AB273">
        <v>-2712</v>
      </c>
      <c r="AC273">
        <v>-30</v>
      </c>
      <c r="AD273">
        <v>174</v>
      </c>
      <c r="AE273">
        <v>514</v>
      </c>
      <c r="AF273">
        <v>0</v>
      </c>
      <c r="AG273">
        <v>128</v>
      </c>
    </row>
    <row r="274" spans="6:33">
      <c r="F274" s="74">
        <f t="shared" si="47"/>
        <v>44960</v>
      </c>
      <c r="G274" s="72">
        <f t="shared" si="48"/>
        <v>4833</v>
      </c>
      <c r="H274" s="68">
        <f t="shared" si="49"/>
        <v>10102</v>
      </c>
      <c r="I274" s="68">
        <f t="shared" si="50"/>
        <v>-14621</v>
      </c>
      <c r="J274" s="68">
        <f t="shared" si="51"/>
        <v>-1049</v>
      </c>
      <c r="K274" s="68">
        <f t="shared" si="52"/>
        <v>-383</v>
      </c>
      <c r="L274" s="68">
        <f t="shared" si="53"/>
        <v>-5052</v>
      </c>
      <c r="M274" s="68">
        <f t="shared" si="54"/>
        <v>-6256</v>
      </c>
      <c r="N274" s="68">
        <f t="shared" si="55"/>
        <v>-89</v>
      </c>
      <c r="O274" s="68">
        <f t="shared" si="56"/>
        <v>116</v>
      </c>
      <c r="P274" s="68">
        <f t="shared" si="57"/>
        <v>-1908</v>
      </c>
      <c r="Q274" s="68" t="str">
        <f t="shared" si="58"/>
        <v/>
      </c>
      <c r="R274" s="69">
        <f t="shared" si="59"/>
        <v>-312</v>
      </c>
      <c r="U274" s="5">
        <v>44960</v>
      </c>
      <c r="V274">
        <v>4833</v>
      </c>
      <c r="W274">
        <v>10102</v>
      </c>
      <c r="X274">
        <v>-14621</v>
      </c>
      <c r="Y274">
        <v>-1049</v>
      </c>
      <c r="Z274">
        <v>-383</v>
      </c>
      <c r="AA274">
        <v>-5052</v>
      </c>
      <c r="AB274">
        <v>-6256</v>
      </c>
      <c r="AC274">
        <v>-89</v>
      </c>
      <c r="AD274">
        <v>116</v>
      </c>
      <c r="AE274">
        <v>-1908</v>
      </c>
      <c r="AF274">
        <v>0</v>
      </c>
      <c r="AG274">
        <v>-312</v>
      </c>
    </row>
    <row r="275" spans="6:33">
      <c r="F275" s="74">
        <f t="shared" ref="F275:F338" si="60">IF(U275=0,"",U275)</f>
        <v>44959</v>
      </c>
      <c r="G275" s="72">
        <f t="shared" ref="G275:G338" si="61">IF(IF($B$17=3,V275/1000,V275)=0,"",IF($B$17=3,V275/1000,V275))</f>
        <v>14924</v>
      </c>
      <c r="H275" s="68">
        <f t="shared" ref="H275:H338" si="62">IF(IF($B$17=3,W275/1000,W275)=0,"",IF($B$17=3,W275/1000,W275))</f>
        <v>-12745</v>
      </c>
      <c r="I275" s="68">
        <f t="shared" ref="I275:I338" si="63">IF(IF($B$17=3,X275/1000,X275)=0,"",IF($B$17=3,X275/1000,X275))</f>
        <v>-2929</v>
      </c>
      <c r="J275" s="68">
        <f t="shared" ref="J275:J338" si="64">IF(IF($B$17=3,Y275/1000,Y275)=0,"",IF($B$17=3,Y275/1000,Y275))</f>
        <v>-3971</v>
      </c>
      <c r="K275" s="68">
        <f t="shared" ref="K275:K338" si="65">IF(IF($B$17=3,Z275/1000,Z275)=0,"",IF($B$17=3,Z275/1000,Z275))</f>
        <v>-1621</v>
      </c>
      <c r="L275" s="68">
        <f t="shared" ref="L275:L338" si="66">IF(IF($B$17=3,AA275/1000,AA275)=0,"",IF($B$17=3,AA275/1000,AA275))</f>
        <v>570</v>
      </c>
      <c r="M275" s="68">
        <f t="shared" ref="M275:M338" si="67">IF(IF($B$17=3,AB275/1000,AB275)=0,"",IF($B$17=3,AB275/1000,AB275))</f>
        <v>5287</v>
      </c>
      <c r="N275" s="68">
        <f t="shared" ref="N275:N338" si="68">IF(IF($B$17=3,AC275/1000,AC275)=0,"",IF($B$17=3,AC275/1000,AC275))</f>
        <v>7</v>
      </c>
      <c r="O275" s="68">
        <f t="shared" ref="O275:O338" si="69">IF(IF($B$17=3,AD275/1000,AD275)=0,"",IF($B$17=3,AD275/1000,AD275))</f>
        <v>140</v>
      </c>
      <c r="P275" s="68">
        <f t="shared" ref="P275:P338" si="70">IF(IF($B$17=3,AE275/1000,AE275)=0,"",IF($B$17=3,AE275/1000,AE275))</f>
        <v>-3341</v>
      </c>
      <c r="Q275" s="68" t="str">
        <f t="shared" ref="Q275:Q338" si="71">IF(IF($B$17=3,AF275/1000,AF275)=0,"",IF($B$17=3,AF275/1000,AF275))</f>
        <v/>
      </c>
      <c r="R275" s="69">
        <f t="shared" ref="R275:R338" si="72">IF(IF($B$17=3,AG275/1000,AG275)=0,"",IF($B$17=3,AG275/1000,AG275))</f>
        <v>752</v>
      </c>
      <c r="U275" s="5">
        <v>44959</v>
      </c>
      <c r="V275">
        <v>14924</v>
      </c>
      <c r="W275">
        <v>-12745</v>
      </c>
      <c r="X275">
        <v>-2929</v>
      </c>
      <c r="Y275">
        <v>-3971</v>
      </c>
      <c r="Z275">
        <v>-1621</v>
      </c>
      <c r="AA275">
        <v>570</v>
      </c>
      <c r="AB275">
        <v>5287</v>
      </c>
      <c r="AC275">
        <v>7</v>
      </c>
      <c r="AD275">
        <v>140</v>
      </c>
      <c r="AE275">
        <v>-3341</v>
      </c>
      <c r="AF275">
        <v>0</v>
      </c>
      <c r="AG275">
        <v>752</v>
      </c>
    </row>
    <row r="276" spans="6:33">
      <c r="F276" s="74">
        <f t="shared" si="60"/>
        <v>44958</v>
      </c>
      <c r="G276" s="72">
        <f t="shared" si="61"/>
        <v>3202</v>
      </c>
      <c r="H276" s="68">
        <f t="shared" si="62"/>
        <v>1684</v>
      </c>
      <c r="I276" s="68">
        <f t="shared" si="63"/>
        <v>-2966</v>
      </c>
      <c r="J276" s="68">
        <f t="shared" si="64"/>
        <v>-5363</v>
      </c>
      <c r="K276" s="68">
        <f t="shared" si="65"/>
        <v>568</v>
      </c>
      <c r="L276" s="68">
        <f t="shared" si="66"/>
        <v>1485</v>
      </c>
      <c r="M276" s="68">
        <f t="shared" si="67"/>
        <v>243</v>
      </c>
      <c r="N276" s="68">
        <f t="shared" si="68"/>
        <v>93</v>
      </c>
      <c r="O276" s="68">
        <f t="shared" si="69"/>
        <v>186</v>
      </c>
      <c r="P276" s="68">
        <f t="shared" si="70"/>
        <v>-178</v>
      </c>
      <c r="Q276" s="68" t="str">
        <f t="shared" si="71"/>
        <v/>
      </c>
      <c r="R276" s="69">
        <f t="shared" si="72"/>
        <v>-1919</v>
      </c>
      <c r="U276" s="5">
        <v>44958</v>
      </c>
      <c r="V276">
        <v>3202</v>
      </c>
      <c r="W276">
        <v>1684</v>
      </c>
      <c r="X276">
        <v>-2966</v>
      </c>
      <c r="Y276">
        <v>-5363</v>
      </c>
      <c r="Z276">
        <v>568</v>
      </c>
      <c r="AA276">
        <v>1485</v>
      </c>
      <c r="AB276">
        <v>243</v>
      </c>
      <c r="AC276">
        <v>93</v>
      </c>
      <c r="AD276">
        <v>186</v>
      </c>
      <c r="AE276">
        <v>-178</v>
      </c>
      <c r="AF276">
        <v>0</v>
      </c>
      <c r="AG276">
        <v>-1919</v>
      </c>
    </row>
    <row r="277" spans="6:33">
      <c r="F277" s="74">
        <f t="shared" si="60"/>
        <v>44957</v>
      </c>
      <c r="G277" s="72">
        <f t="shared" si="61"/>
        <v>11539</v>
      </c>
      <c r="H277" s="68">
        <f t="shared" si="62"/>
        <v>-15986</v>
      </c>
      <c r="I277" s="68">
        <f t="shared" si="63"/>
        <v>4912</v>
      </c>
      <c r="J277" s="68">
        <f t="shared" si="64"/>
        <v>1038</v>
      </c>
      <c r="K277" s="68">
        <f t="shared" si="65"/>
        <v>-113</v>
      </c>
      <c r="L277" s="68">
        <f t="shared" si="66"/>
        <v>-2599</v>
      </c>
      <c r="M277" s="68">
        <f t="shared" si="67"/>
        <v>3870</v>
      </c>
      <c r="N277" s="68">
        <f t="shared" si="68"/>
        <v>123</v>
      </c>
      <c r="O277" s="68">
        <f t="shared" si="69"/>
        <v>212</v>
      </c>
      <c r="P277" s="68">
        <f t="shared" si="70"/>
        <v>2381</v>
      </c>
      <c r="Q277" s="68" t="str">
        <f t="shared" si="71"/>
        <v/>
      </c>
      <c r="R277" s="69">
        <f t="shared" si="72"/>
        <v>-465</v>
      </c>
      <c r="U277" s="5">
        <v>44957</v>
      </c>
      <c r="V277">
        <v>11539</v>
      </c>
      <c r="W277">
        <v>-15986</v>
      </c>
      <c r="X277">
        <v>4912</v>
      </c>
      <c r="Y277">
        <v>1038</v>
      </c>
      <c r="Z277">
        <v>-113</v>
      </c>
      <c r="AA277">
        <v>-2599</v>
      </c>
      <c r="AB277">
        <v>3870</v>
      </c>
      <c r="AC277">
        <v>123</v>
      </c>
      <c r="AD277">
        <v>212</v>
      </c>
      <c r="AE277">
        <v>2381</v>
      </c>
      <c r="AF277">
        <v>0</v>
      </c>
      <c r="AG277">
        <v>-465</v>
      </c>
    </row>
    <row r="278" spans="6:33">
      <c r="F278" s="74">
        <f t="shared" si="60"/>
        <v>44956</v>
      </c>
      <c r="G278" s="72">
        <f t="shared" si="61"/>
        <v>-2695</v>
      </c>
      <c r="H278" s="68">
        <f t="shared" si="62"/>
        <v>13773</v>
      </c>
      <c r="I278" s="68">
        <f t="shared" si="63"/>
        <v>-6638</v>
      </c>
      <c r="J278" s="68">
        <f t="shared" si="64"/>
        <v>-3315</v>
      </c>
      <c r="K278" s="68">
        <f t="shared" si="65"/>
        <v>-382</v>
      </c>
      <c r="L278" s="68">
        <f t="shared" si="66"/>
        <v>-1802</v>
      </c>
      <c r="M278" s="68">
        <f t="shared" si="67"/>
        <v>-2094</v>
      </c>
      <c r="N278" s="68">
        <f t="shared" si="68"/>
        <v>10</v>
      </c>
      <c r="O278" s="68">
        <f t="shared" si="69"/>
        <v>72</v>
      </c>
      <c r="P278" s="68">
        <f t="shared" si="70"/>
        <v>873</v>
      </c>
      <c r="Q278" s="68" t="str">
        <f t="shared" si="71"/>
        <v/>
      </c>
      <c r="R278" s="69">
        <f t="shared" si="72"/>
        <v>-4440</v>
      </c>
      <c r="U278" s="5">
        <v>44956</v>
      </c>
      <c r="V278">
        <v>-2695</v>
      </c>
      <c r="W278">
        <v>13773</v>
      </c>
      <c r="X278">
        <v>-6638</v>
      </c>
      <c r="Y278">
        <v>-3315</v>
      </c>
      <c r="Z278">
        <v>-382</v>
      </c>
      <c r="AA278">
        <v>-1802</v>
      </c>
      <c r="AB278">
        <v>-2094</v>
      </c>
      <c r="AC278">
        <v>10</v>
      </c>
      <c r="AD278">
        <v>72</v>
      </c>
      <c r="AE278">
        <v>873</v>
      </c>
      <c r="AF278">
        <v>0</v>
      </c>
      <c r="AG278">
        <v>-4440</v>
      </c>
    </row>
    <row r="279" spans="6:33">
      <c r="F279" s="74">
        <f t="shared" si="60"/>
        <v>44953</v>
      </c>
      <c r="G279" s="72">
        <f t="shared" si="61"/>
        <v>16408</v>
      </c>
      <c r="H279" s="68">
        <f t="shared" si="62"/>
        <v>-21293</v>
      </c>
      <c r="I279" s="68">
        <f t="shared" si="63"/>
        <v>5000</v>
      </c>
      <c r="J279" s="68">
        <f t="shared" si="64"/>
        <v>3781</v>
      </c>
      <c r="K279" s="68">
        <f t="shared" si="65"/>
        <v>-313</v>
      </c>
      <c r="L279" s="68">
        <f t="shared" si="66"/>
        <v>1650</v>
      </c>
      <c r="M279" s="68">
        <f t="shared" si="67"/>
        <v>-293</v>
      </c>
      <c r="N279" s="68">
        <f t="shared" si="68"/>
        <v>-51</v>
      </c>
      <c r="O279" s="68">
        <f t="shared" si="69"/>
        <v>247</v>
      </c>
      <c r="P279" s="68">
        <f t="shared" si="70"/>
        <v>-21</v>
      </c>
      <c r="Q279" s="68" t="str">
        <f t="shared" si="71"/>
        <v/>
      </c>
      <c r="R279" s="69">
        <f t="shared" si="72"/>
        <v>-118</v>
      </c>
      <c r="U279" s="5">
        <v>44953</v>
      </c>
      <c r="V279">
        <v>16408</v>
      </c>
      <c r="W279">
        <v>-21293</v>
      </c>
      <c r="X279">
        <v>5000</v>
      </c>
      <c r="Y279">
        <v>3781</v>
      </c>
      <c r="Z279">
        <v>-313</v>
      </c>
      <c r="AA279">
        <v>1650</v>
      </c>
      <c r="AB279">
        <v>-293</v>
      </c>
      <c r="AC279">
        <v>-51</v>
      </c>
      <c r="AD279">
        <v>247</v>
      </c>
      <c r="AE279">
        <v>-21</v>
      </c>
      <c r="AF279">
        <v>0</v>
      </c>
      <c r="AG279">
        <v>-118</v>
      </c>
    </row>
    <row r="280" spans="6:33">
      <c r="F280" s="74">
        <f t="shared" si="60"/>
        <v>44952</v>
      </c>
      <c r="G280" s="72">
        <f t="shared" si="61"/>
        <v>19158</v>
      </c>
      <c r="H280" s="68">
        <f t="shared" si="62"/>
        <v>-17308</v>
      </c>
      <c r="I280" s="68">
        <f t="shared" si="63"/>
        <v>1328</v>
      </c>
      <c r="J280" s="68">
        <f t="shared" si="64"/>
        <v>-1658</v>
      </c>
      <c r="K280" s="68">
        <f t="shared" si="65"/>
        <v>-508</v>
      </c>
      <c r="L280" s="68">
        <f t="shared" si="66"/>
        <v>1674</v>
      </c>
      <c r="M280" s="68">
        <f t="shared" si="67"/>
        <v>2050</v>
      </c>
      <c r="N280" s="68">
        <f t="shared" si="68"/>
        <v>89</v>
      </c>
      <c r="O280" s="68">
        <f t="shared" si="69"/>
        <v>149</v>
      </c>
      <c r="P280" s="68">
        <f t="shared" si="70"/>
        <v>-468</v>
      </c>
      <c r="Q280" s="68" t="str">
        <f t="shared" si="71"/>
        <v/>
      </c>
      <c r="R280" s="69">
        <f t="shared" si="72"/>
        <v>-3179</v>
      </c>
      <c r="U280" s="5">
        <v>44952</v>
      </c>
      <c r="V280">
        <v>19158</v>
      </c>
      <c r="W280">
        <v>-17308</v>
      </c>
      <c r="X280">
        <v>1328</v>
      </c>
      <c r="Y280">
        <v>-1658</v>
      </c>
      <c r="Z280">
        <v>-508</v>
      </c>
      <c r="AA280">
        <v>1674</v>
      </c>
      <c r="AB280">
        <v>2050</v>
      </c>
      <c r="AC280">
        <v>89</v>
      </c>
      <c r="AD280">
        <v>149</v>
      </c>
      <c r="AE280">
        <v>-468</v>
      </c>
      <c r="AF280">
        <v>0</v>
      </c>
      <c r="AG280">
        <v>-3179</v>
      </c>
    </row>
    <row r="281" spans="6:33">
      <c r="F281" s="74">
        <f t="shared" si="60"/>
        <v>44951</v>
      </c>
      <c r="G281" s="72">
        <f t="shared" si="61"/>
        <v>15121</v>
      </c>
      <c r="H281" s="68">
        <f t="shared" si="62"/>
        <v>-17198</v>
      </c>
      <c r="I281" s="68">
        <f t="shared" si="63"/>
        <v>2387</v>
      </c>
      <c r="J281" s="68">
        <f t="shared" si="64"/>
        <v>406</v>
      </c>
      <c r="K281" s="68">
        <f t="shared" si="65"/>
        <v>-455</v>
      </c>
      <c r="L281" s="68">
        <f t="shared" si="66"/>
        <v>324</v>
      </c>
      <c r="M281" s="68">
        <f t="shared" si="67"/>
        <v>1860</v>
      </c>
      <c r="N281" s="68">
        <f t="shared" si="68"/>
        <v>-92</v>
      </c>
      <c r="O281" s="68">
        <f t="shared" si="69"/>
        <v>103</v>
      </c>
      <c r="P281" s="68">
        <f t="shared" si="70"/>
        <v>241</v>
      </c>
      <c r="Q281" s="68" t="str">
        <f t="shared" si="71"/>
        <v/>
      </c>
      <c r="R281" s="69">
        <f t="shared" si="72"/>
        <v>-312</v>
      </c>
      <c r="U281" s="5">
        <v>44951</v>
      </c>
      <c r="V281">
        <v>15121</v>
      </c>
      <c r="W281">
        <v>-17198</v>
      </c>
      <c r="X281">
        <v>2387</v>
      </c>
      <c r="Y281">
        <v>406</v>
      </c>
      <c r="Z281">
        <v>-455</v>
      </c>
      <c r="AA281">
        <v>324</v>
      </c>
      <c r="AB281">
        <v>1860</v>
      </c>
      <c r="AC281">
        <v>-92</v>
      </c>
      <c r="AD281">
        <v>103</v>
      </c>
      <c r="AE281">
        <v>241</v>
      </c>
      <c r="AF281">
        <v>0</v>
      </c>
      <c r="AG281">
        <v>-312</v>
      </c>
    </row>
    <row r="282" spans="6:33">
      <c r="F282" s="74">
        <f t="shared" si="60"/>
        <v>44946</v>
      </c>
      <c r="G282" s="72">
        <f t="shared" si="61"/>
        <v>11865</v>
      </c>
      <c r="H282" s="68">
        <f t="shared" si="62"/>
        <v>-14813</v>
      </c>
      <c r="I282" s="68">
        <f t="shared" si="63"/>
        <v>2737</v>
      </c>
      <c r="J282" s="68">
        <f t="shared" si="64"/>
        <v>1304</v>
      </c>
      <c r="K282" s="68">
        <f t="shared" si="65"/>
        <v>204</v>
      </c>
      <c r="L282" s="68">
        <f t="shared" si="66"/>
        <v>-180</v>
      </c>
      <c r="M282" s="68">
        <f t="shared" si="67"/>
        <v>148</v>
      </c>
      <c r="N282" s="68">
        <f t="shared" si="68"/>
        <v>15</v>
      </c>
      <c r="O282" s="68">
        <f t="shared" si="69"/>
        <v>101</v>
      </c>
      <c r="P282" s="68">
        <f t="shared" si="70"/>
        <v>1145</v>
      </c>
      <c r="Q282" s="68" t="str">
        <f t="shared" si="71"/>
        <v/>
      </c>
      <c r="R282" s="69">
        <f t="shared" si="72"/>
        <v>213</v>
      </c>
      <c r="U282" s="5">
        <v>44946</v>
      </c>
      <c r="V282">
        <v>11865</v>
      </c>
      <c r="W282">
        <v>-14813</v>
      </c>
      <c r="X282">
        <v>2737</v>
      </c>
      <c r="Y282">
        <v>1304</v>
      </c>
      <c r="Z282">
        <v>204</v>
      </c>
      <c r="AA282">
        <v>-180</v>
      </c>
      <c r="AB282">
        <v>148</v>
      </c>
      <c r="AC282">
        <v>15</v>
      </c>
      <c r="AD282">
        <v>101</v>
      </c>
      <c r="AE282">
        <v>1145</v>
      </c>
      <c r="AF282">
        <v>0</v>
      </c>
      <c r="AG282">
        <v>213</v>
      </c>
    </row>
    <row r="283" spans="6:33">
      <c r="F283" s="74">
        <f t="shared" si="60"/>
        <v>44945</v>
      </c>
      <c r="G283" s="72">
        <f t="shared" si="61"/>
        <v>5196</v>
      </c>
      <c r="H283" s="68">
        <f t="shared" si="62"/>
        <v>-2592</v>
      </c>
      <c r="I283" s="68">
        <f t="shared" si="63"/>
        <v>-2397</v>
      </c>
      <c r="J283" s="68">
        <f t="shared" si="64"/>
        <v>-3069</v>
      </c>
      <c r="K283" s="68">
        <f t="shared" si="65"/>
        <v>-171</v>
      </c>
      <c r="L283" s="68">
        <f t="shared" si="66"/>
        <v>872</v>
      </c>
      <c r="M283" s="68">
        <f t="shared" si="67"/>
        <v>278</v>
      </c>
      <c r="N283" s="68">
        <f t="shared" si="68"/>
        <v>-128</v>
      </c>
      <c r="O283" s="68">
        <f t="shared" si="69"/>
        <v>41</v>
      </c>
      <c r="P283" s="68">
        <f t="shared" si="70"/>
        <v>-220</v>
      </c>
      <c r="Q283" s="68" t="str">
        <f t="shared" si="71"/>
        <v/>
      </c>
      <c r="R283" s="69">
        <f t="shared" si="72"/>
        <v>-207</v>
      </c>
      <c r="U283" s="5">
        <v>44945</v>
      </c>
      <c r="V283">
        <v>5196</v>
      </c>
      <c r="W283">
        <v>-2592</v>
      </c>
      <c r="X283">
        <v>-2397</v>
      </c>
      <c r="Y283">
        <v>-3069</v>
      </c>
      <c r="Z283">
        <v>-171</v>
      </c>
      <c r="AA283">
        <v>872</v>
      </c>
      <c r="AB283">
        <v>278</v>
      </c>
      <c r="AC283">
        <v>-128</v>
      </c>
      <c r="AD283">
        <v>41</v>
      </c>
      <c r="AE283">
        <v>-220</v>
      </c>
      <c r="AF283">
        <v>0</v>
      </c>
      <c r="AG283">
        <v>-207</v>
      </c>
    </row>
    <row r="284" spans="6:33">
      <c r="F284" s="74">
        <f t="shared" si="60"/>
        <v>44944</v>
      </c>
      <c r="G284" s="72">
        <f t="shared" si="61"/>
        <v>-733</v>
      </c>
      <c r="H284" s="68">
        <f t="shared" si="62"/>
        <v>3524</v>
      </c>
      <c r="I284" s="68">
        <f t="shared" si="63"/>
        <v>-2014</v>
      </c>
      <c r="J284" s="68">
        <f t="shared" si="64"/>
        <v>-1329</v>
      </c>
      <c r="K284" s="68">
        <f t="shared" si="65"/>
        <v>-140</v>
      </c>
      <c r="L284" s="68">
        <f t="shared" si="66"/>
        <v>-1064</v>
      </c>
      <c r="M284" s="68">
        <f t="shared" si="67"/>
        <v>-345</v>
      </c>
      <c r="N284" s="68">
        <f t="shared" si="68"/>
        <v>-36</v>
      </c>
      <c r="O284" s="68">
        <f t="shared" si="69"/>
        <v>-28</v>
      </c>
      <c r="P284" s="68">
        <f t="shared" si="70"/>
        <v>928</v>
      </c>
      <c r="Q284" s="68" t="str">
        <f t="shared" si="71"/>
        <v/>
      </c>
      <c r="R284" s="69">
        <f t="shared" si="72"/>
        <v>-778</v>
      </c>
      <c r="U284" s="5">
        <v>44944</v>
      </c>
      <c r="V284">
        <v>-733</v>
      </c>
      <c r="W284">
        <v>3524</v>
      </c>
      <c r="X284">
        <v>-2014</v>
      </c>
      <c r="Y284">
        <v>-1329</v>
      </c>
      <c r="Z284">
        <v>-140</v>
      </c>
      <c r="AA284">
        <v>-1064</v>
      </c>
      <c r="AB284">
        <v>-345</v>
      </c>
      <c r="AC284">
        <v>-36</v>
      </c>
      <c r="AD284">
        <v>-28</v>
      </c>
      <c r="AE284">
        <v>928</v>
      </c>
      <c r="AF284">
        <v>0</v>
      </c>
      <c r="AG284">
        <v>-778</v>
      </c>
    </row>
    <row r="285" spans="6:33">
      <c r="F285" s="74">
        <f t="shared" si="60"/>
        <v>44943</v>
      </c>
      <c r="G285" s="72">
        <f t="shared" si="61"/>
        <v>-1381</v>
      </c>
      <c r="H285" s="68">
        <f t="shared" si="62"/>
        <v>7159</v>
      </c>
      <c r="I285" s="68">
        <f t="shared" si="63"/>
        <v>-2293</v>
      </c>
      <c r="J285" s="68">
        <f t="shared" si="64"/>
        <v>-2329</v>
      </c>
      <c r="K285" s="68">
        <f t="shared" si="65"/>
        <v>-414</v>
      </c>
      <c r="L285" s="68">
        <f t="shared" si="66"/>
        <v>498</v>
      </c>
      <c r="M285" s="68">
        <f t="shared" si="67"/>
        <v>93</v>
      </c>
      <c r="N285" s="68">
        <f t="shared" si="68"/>
        <v>-99</v>
      </c>
      <c r="O285" s="68">
        <f t="shared" si="69"/>
        <v>137</v>
      </c>
      <c r="P285" s="68">
        <f t="shared" si="70"/>
        <v>-179</v>
      </c>
      <c r="Q285" s="68" t="str">
        <f t="shared" si="71"/>
        <v/>
      </c>
      <c r="R285" s="69">
        <f t="shared" si="72"/>
        <v>-3487</v>
      </c>
      <c r="U285" s="5">
        <v>44943</v>
      </c>
      <c r="V285">
        <v>-1381</v>
      </c>
      <c r="W285">
        <v>7159</v>
      </c>
      <c r="X285">
        <v>-2293</v>
      </c>
      <c r="Y285">
        <v>-2329</v>
      </c>
      <c r="Z285">
        <v>-414</v>
      </c>
      <c r="AA285">
        <v>498</v>
      </c>
      <c r="AB285">
        <v>93</v>
      </c>
      <c r="AC285">
        <v>-99</v>
      </c>
      <c r="AD285">
        <v>137</v>
      </c>
      <c r="AE285">
        <v>-179</v>
      </c>
      <c r="AF285">
        <v>0</v>
      </c>
      <c r="AG285">
        <v>-3487</v>
      </c>
    </row>
    <row r="286" spans="6:33">
      <c r="F286" s="74">
        <f t="shared" si="60"/>
        <v>44942</v>
      </c>
      <c r="G286" s="72">
        <f t="shared" si="61"/>
        <v>2412</v>
      </c>
      <c r="H286" s="68">
        <f t="shared" si="62"/>
        <v>-4900</v>
      </c>
      <c r="I286" s="68">
        <f t="shared" si="63"/>
        <v>7257</v>
      </c>
      <c r="J286" s="68">
        <f t="shared" si="64"/>
        <v>3436</v>
      </c>
      <c r="K286" s="68">
        <f t="shared" si="65"/>
        <v>334</v>
      </c>
      <c r="L286" s="68">
        <f t="shared" si="66"/>
        <v>1923</v>
      </c>
      <c r="M286" s="68">
        <f t="shared" si="67"/>
        <v>1567</v>
      </c>
      <c r="N286" s="68">
        <f t="shared" si="68"/>
        <v>-327</v>
      </c>
      <c r="O286" s="68">
        <f t="shared" si="69"/>
        <v>-228</v>
      </c>
      <c r="P286" s="68">
        <f t="shared" si="70"/>
        <v>552</v>
      </c>
      <c r="Q286" s="68" t="str">
        <f t="shared" si="71"/>
        <v/>
      </c>
      <c r="R286" s="69">
        <f t="shared" si="72"/>
        <v>-4770</v>
      </c>
      <c r="U286" s="5">
        <v>44942</v>
      </c>
      <c r="V286">
        <v>2412</v>
      </c>
      <c r="W286">
        <v>-4900</v>
      </c>
      <c r="X286">
        <v>7257</v>
      </c>
      <c r="Y286">
        <v>3436</v>
      </c>
      <c r="Z286">
        <v>334</v>
      </c>
      <c r="AA286">
        <v>1923</v>
      </c>
      <c r="AB286">
        <v>1567</v>
      </c>
      <c r="AC286">
        <v>-327</v>
      </c>
      <c r="AD286">
        <v>-228</v>
      </c>
      <c r="AE286">
        <v>552</v>
      </c>
      <c r="AF286">
        <v>0</v>
      </c>
      <c r="AG286">
        <v>-4770</v>
      </c>
    </row>
    <row r="287" spans="6:33">
      <c r="F287" s="74">
        <f t="shared" si="60"/>
        <v>44939</v>
      </c>
      <c r="G287" s="72">
        <f t="shared" si="61"/>
        <v>15325</v>
      </c>
      <c r="H287" s="68">
        <f t="shared" si="62"/>
        <v>-22214</v>
      </c>
      <c r="I287" s="68">
        <f t="shared" si="63"/>
        <v>9139</v>
      </c>
      <c r="J287" s="68">
        <f t="shared" si="64"/>
        <v>3660</v>
      </c>
      <c r="K287" s="68">
        <f t="shared" si="65"/>
        <v>785</v>
      </c>
      <c r="L287" s="68">
        <f t="shared" si="66"/>
        <v>1429</v>
      </c>
      <c r="M287" s="68">
        <f t="shared" si="67"/>
        <v>1406</v>
      </c>
      <c r="N287" s="68">
        <f t="shared" si="68"/>
        <v>-345</v>
      </c>
      <c r="O287" s="68">
        <f t="shared" si="69"/>
        <v>48</v>
      </c>
      <c r="P287" s="68">
        <f t="shared" si="70"/>
        <v>2156</v>
      </c>
      <c r="Q287" s="68" t="str">
        <f t="shared" si="71"/>
        <v/>
      </c>
      <c r="R287" s="69">
        <f t="shared" si="72"/>
        <v>-2249</v>
      </c>
      <c r="U287" s="5">
        <v>44939</v>
      </c>
      <c r="V287">
        <v>15325</v>
      </c>
      <c r="W287">
        <v>-22214</v>
      </c>
      <c r="X287">
        <v>9139</v>
      </c>
      <c r="Y287">
        <v>3660</v>
      </c>
      <c r="Z287">
        <v>785</v>
      </c>
      <c r="AA287">
        <v>1429</v>
      </c>
      <c r="AB287">
        <v>1406</v>
      </c>
      <c r="AC287">
        <v>-345</v>
      </c>
      <c r="AD287">
        <v>48</v>
      </c>
      <c r="AE287">
        <v>2156</v>
      </c>
      <c r="AF287">
        <v>0</v>
      </c>
      <c r="AG287">
        <v>-2249</v>
      </c>
    </row>
    <row r="288" spans="6:33">
      <c r="F288" s="74">
        <f t="shared" si="60"/>
        <v>44938</v>
      </c>
      <c r="G288" s="72">
        <f t="shared" si="61"/>
        <v>9308</v>
      </c>
      <c r="H288" s="68">
        <f t="shared" si="62"/>
        <v>2586</v>
      </c>
      <c r="I288" s="68">
        <f t="shared" si="63"/>
        <v>-9425</v>
      </c>
      <c r="J288" s="68">
        <f t="shared" si="64"/>
        <v>-9193</v>
      </c>
      <c r="K288" s="68">
        <f t="shared" si="65"/>
        <v>104</v>
      </c>
      <c r="L288" s="68">
        <f t="shared" si="66"/>
        <v>946</v>
      </c>
      <c r="M288" s="68">
        <f t="shared" si="67"/>
        <v>-653</v>
      </c>
      <c r="N288" s="68">
        <f t="shared" si="68"/>
        <v>-373</v>
      </c>
      <c r="O288" s="68">
        <f t="shared" si="69"/>
        <v>91</v>
      </c>
      <c r="P288" s="68">
        <f t="shared" si="70"/>
        <v>-347</v>
      </c>
      <c r="Q288" s="68" t="str">
        <f t="shared" si="71"/>
        <v/>
      </c>
      <c r="R288" s="69">
        <f t="shared" si="72"/>
        <v>-2470</v>
      </c>
      <c r="U288" s="5">
        <v>44938</v>
      </c>
      <c r="V288">
        <v>9308</v>
      </c>
      <c r="W288">
        <v>2586</v>
      </c>
      <c r="X288">
        <v>-9425</v>
      </c>
      <c r="Y288">
        <v>-9193</v>
      </c>
      <c r="Z288">
        <v>104</v>
      </c>
      <c r="AA288">
        <v>946</v>
      </c>
      <c r="AB288">
        <v>-653</v>
      </c>
      <c r="AC288">
        <v>-373</v>
      </c>
      <c r="AD288">
        <v>91</v>
      </c>
      <c r="AE288">
        <v>-347</v>
      </c>
      <c r="AF288">
        <v>0</v>
      </c>
      <c r="AG288">
        <v>-2470</v>
      </c>
    </row>
    <row r="289" spans="6:33">
      <c r="F289" s="74">
        <f t="shared" si="60"/>
        <v>44937</v>
      </c>
      <c r="G289" s="72">
        <f t="shared" si="61"/>
        <v>-1788</v>
      </c>
      <c r="H289" s="68">
        <f t="shared" si="62"/>
        <v>-629</v>
      </c>
      <c r="I289" s="68">
        <f t="shared" si="63"/>
        <v>2589</v>
      </c>
      <c r="J289" s="68">
        <f t="shared" si="64"/>
        <v>3781</v>
      </c>
      <c r="K289" s="68">
        <f t="shared" si="65"/>
        <v>-332</v>
      </c>
      <c r="L289" s="68">
        <f t="shared" si="66"/>
        <v>96</v>
      </c>
      <c r="M289" s="68">
        <f t="shared" si="67"/>
        <v>-1218</v>
      </c>
      <c r="N289" s="68">
        <f t="shared" si="68"/>
        <v>-128</v>
      </c>
      <c r="O289" s="68">
        <f t="shared" si="69"/>
        <v>88</v>
      </c>
      <c r="P289" s="68">
        <f t="shared" si="70"/>
        <v>302</v>
      </c>
      <c r="Q289" s="68" t="str">
        <f t="shared" si="71"/>
        <v/>
      </c>
      <c r="R289" s="69">
        <f t="shared" si="72"/>
        <v>-174</v>
      </c>
      <c r="U289" s="5">
        <v>44937</v>
      </c>
      <c r="V289">
        <v>-1788</v>
      </c>
      <c r="W289">
        <v>-629</v>
      </c>
      <c r="X289">
        <v>2589</v>
      </c>
      <c r="Y289">
        <v>3781</v>
      </c>
      <c r="Z289">
        <v>-332</v>
      </c>
      <c r="AA289">
        <v>96</v>
      </c>
      <c r="AB289">
        <v>-1218</v>
      </c>
      <c r="AC289">
        <v>-128</v>
      </c>
      <c r="AD289">
        <v>88</v>
      </c>
      <c r="AE289">
        <v>302</v>
      </c>
      <c r="AF289">
        <v>0</v>
      </c>
      <c r="AG289">
        <v>-174</v>
      </c>
    </row>
    <row r="290" spans="6:33">
      <c r="F290" s="74">
        <f t="shared" si="60"/>
        <v>44936</v>
      </c>
      <c r="G290" s="72">
        <f t="shared" si="61"/>
        <v>1867</v>
      </c>
      <c r="H290" s="68">
        <f t="shared" si="62"/>
        <v>-7324</v>
      </c>
      <c r="I290" s="68">
        <f t="shared" si="63"/>
        <v>6209</v>
      </c>
      <c r="J290" s="68">
        <f t="shared" si="64"/>
        <v>5795</v>
      </c>
      <c r="K290" s="68">
        <f t="shared" si="65"/>
        <v>-171</v>
      </c>
      <c r="L290" s="68">
        <f t="shared" si="66"/>
        <v>73</v>
      </c>
      <c r="M290" s="68">
        <f t="shared" si="67"/>
        <v>-251</v>
      </c>
      <c r="N290" s="68">
        <f t="shared" si="68"/>
        <v>-303</v>
      </c>
      <c r="O290" s="68">
        <f t="shared" si="69"/>
        <v>-61</v>
      </c>
      <c r="P290" s="68">
        <f t="shared" si="70"/>
        <v>1127</v>
      </c>
      <c r="Q290" s="68" t="str">
        <f t="shared" si="71"/>
        <v/>
      </c>
      <c r="R290" s="69">
        <f t="shared" si="72"/>
        <v>-752</v>
      </c>
      <c r="U290" s="5">
        <v>44936</v>
      </c>
      <c r="V290">
        <v>1867</v>
      </c>
      <c r="W290">
        <v>-7324</v>
      </c>
      <c r="X290">
        <v>6209</v>
      </c>
      <c r="Y290">
        <v>5795</v>
      </c>
      <c r="Z290">
        <v>-171</v>
      </c>
      <c r="AA290">
        <v>73</v>
      </c>
      <c r="AB290">
        <v>-251</v>
      </c>
      <c r="AC290">
        <v>-303</v>
      </c>
      <c r="AD290">
        <v>-61</v>
      </c>
      <c r="AE290">
        <v>1127</v>
      </c>
      <c r="AF290">
        <v>0</v>
      </c>
      <c r="AG290">
        <v>-752</v>
      </c>
    </row>
    <row r="291" spans="6:33">
      <c r="F291" s="74">
        <f t="shared" si="60"/>
        <v>44935</v>
      </c>
      <c r="G291" s="72">
        <f t="shared" si="61"/>
        <v>20295</v>
      </c>
      <c r="H291" s="68">
        <f t="shared" si="62"/>
        <v>-31212</v>
      </c>
      <c r="I291" s="68">
        <f t="shared" si="63"/>
        <v>12213</v>
      </c>
      <c r="J291" s="68">
        <f t="shared" si="64"/>
        <v>7536</v>
      </c>
      <c r="K291" s="68">
        <f t="shared" si="65"/>
        <v>1548</v>
      </c>
      <c r="L291" s="68">
        <f t="shared" si="66"/>
        <v>464</v>
      </c>
      <c r="M291" s="68">
        <f t="shared" si="67"/>
        <v>1683</v>
      </c>
      <c r="N291" s="68">
        <f t="shared" si="68"/>
        <v>-56</v>
      </c>
      <c r="O291" s="68">
        <f t="shared" si="69"/>
        <v>261</v>
      </c>
      <c r="P291" s="68">
        <f t="shared" si="70"/>
        <v>777</v>
      </c>
      <c r="Q291" s="68" t="str">
        <f t="shared" si="71"/>
        <v/>
      </c>
      <c r="R291" s="69">
        <f t="shared" si="72"/>
        <v>-1296</v>
      </c>
      <c r="U291" s="5">
        <v>44935</v>
      </c>
      <c r="V291">
        <v>20295</v>
      </c>
      <c r="W291">
        <v>-31212</v>
      </c>
      <c r="X291">
        <v>12213</v>
      </c>
      <c r="Y291">
        <v>7536</v>
      </c>
      <c r="Z291">
        <v>1548</v>
      </c>
      <c r="AA291">
        <v>464</v>
      </c>
      <c r="AB291">
        <v>1683</v>
      </c>
      <c r="AC291">
        <v>-56</v>
      </c>
      <c r="AD291">
        <v>261</v>
      </c>
      <c r="AE291">
        <v>777</v>
      </c>
      <c r="AF291">
        <v>0</v>
      </c>
      <c r="AG291">
        <v>-1296</v>
      </c>
    </row>
    <row r="292" spans="6:33">
      <c r="F292" s="74">
        <f t="shared" si="60"/>
        <v>44932</v>
      </c>
      <c r="G292" s="72">
        <f t="shared" si="61"/>
        <v>8275</v>
      </c>
      <c r="H292" s="68">
        <f t="shared" si="62"/>
        <v>-15984</v>
      </c>
      <c r="I292" s="68">
        <f t="shared" si="63"/>
        <v>8766</v>
      </c>
      <c r="J292" s="68">
        <f t="shared" si="64"/>
        <v>-1091</v>
      </c>
      <c r="K292" s="68">
        <f t="shared" si="65"/>
        <v>1246</v>
      </c>
      <c r="L292" s="68">
        <f t="shared" si="66"/>
        <v>3196</v>
      </c>
      <c r="M292" s="68">
        <f t="shared" si="67"/>
        <v>748</v>
      </c>
      <c r="N292" s="68">
        <f t="shared" si="68"/>
        <v>-301</v>
      </c>
      <c r="O292" s="68">
        <f t="shared" si="69"/>
        <v>62</v>
      </c>
      <c r="P292" s="68">
        <f t="shared" si="70"/>
        <v>4906</v>
      </c>
      <c r="Q292" s="68" t="str">
        <f t="shared" si="71"/>
        <v/>
      </c>
      <c r="R292" s="69">
        <f t="shared" si="72"/>
        <v>-1057</v>
      </c>
      <c r="U292" s="5">
        <v>44932</v>
      </c>
      <c r="V292">
        <v>8275</v>
      </c>
      <c r="W292">
        <v>-15984</v>
      </c>
      <c r="X292">
        <v>8766</v>
      </c>
      <c r="Y292">
        <v>-1091</v>
      </c>
      <c r="Z292">
        <v>1246</v>
      </c>
      <c r="AA292">
        <v>3196</v>
      </c>
      <c r="AB292">
        <v>748</v>
      </c>
      <c r="AC292">
        <v>-301</v>
      </c>
      <c r="AD292">
        <v>62</v>
      </c>
      <c r="AE292">
        <v>4906</v>
      </c>
      <c r="AF292">
        <v>0</v>
      </c>
      <c r="AG292">
        <v>-1057</v>
      </c>
    </row>
    <row r="293" spans="6:33">
      <c r="F293" s="74">
        <f t="shared" si="60"/>
        <v>44931</v>
      </c>
      <c r="G293" s="72">
        <f t="shared" si="61"/>
        <v>7684</v>
      </c>
      <c r="H293" s="68">
        <f t="shared" si="62"/>
        <v>1221</v>
      </c>
      <c r="I293" s="68">
        <f t="shared" si="63"/>
        <v>-5933</v>
      </c>
      <c r="J293" s="68">
        <f t="shared" si="64"/>
        <v>-7876</v>
      </c>
      <c r="K293" s="68">
        <f t="shared" si="65"/>
        <v>-472</v>
      </c>
      <c r="L293" s="68">
        <f t="shared" si="66"/>
        <v>900</v>
      </c>
      <c r="M293" s="68">
        <f t="shared" si="67"/>
        <v>-608</v>
      </c>
      <c r="N293" s="68">
        <f t="shared" si="68"/>
        <v>-139</v>
      </c>
      <c r="O293" s="68">
        <f t="shared" si="69"/>
        <v>-242</v>
      </c>
      <c r="P293" s="68">
        <f t="shared" si="70"/>
        <v>2504</v>
      </c>
      <c r="Q293" s="68" t="str">
        <f t="shared" si="71"/>
        <v/>
      </c>
      <c r="R293" s="69">
        <f t="shared" si="72"/>
        <v>-2970</v>
      </c>
      <c r="U293" s="5">
        <v>44931</v>
      </c>
      <c r="V293">
        <v>7684</v>
      </c>
      <c r="W293">
        <v>1221</v>
      </c>
      <c r="X293">
        <v>-5933</v>
      </c>
      <c r="Y293">
        <v>-7876</v>
      </c>
      <c r="Z293">
        <v>-472</v>
      </c>
      <c r="AA293">
        <v>900</v>
      </c>
      <c r="AB293">
        <v>-608</v>
      </c>
      <c r="AC293">
        <v>-139</v>
      </c>
      <c r="AD293">
        <v>-242</v>
      </c>
      <c r="AE293">
        <v>2504</v>
      </c>
      <c r="AF293">
        <v>0</v>
      </c>
      <c r="AG293">
        <v>-2970</v>
      </c>
    </row>
    <row r="294" spans="6:33">
      <c r="F294" s="74">
        <f t="shared" si="60"/>
        <v>44930</v>
      </c>
      <c r="G294" s="72">
        <f t="shared" si="61"/>
        <v>10913</v>
      </c>
      <c r="H294" s="68">
        <f t="shared" si="62"/>
        <v>-12115</v>
      </c>
      <c r="I294" s="68">
        <f t="shared" si="63"/>
        <v>1624</v>
      </c>
      <c r="J294" s="68">
        <f t="shared" si="64"/>
        <v>-2955</v>
      </c>
      <c r="K294" s="68">
        <f t="shared" si="65"/>
        <v>-164</v>
      </c>
      <c r="L294" s="68">
        <f t="shared" si="66"/>
        <v>2261</v>
      </c>
      <c r="M294" s="68">
        <f t="shared" si="67"/>
        <v>-40</v>
      </c>
      <c r="N294" s="68">
        <f t="shared" si="68"/>
        <v>-50</v>
      </c>
      <c r="O294" s="68">
        <f t="shared" si="69"/>
        <v>8</v>
      </c>
      <c r="P294" s="68">
        <f t="shared" si="70"/>
        <v>2564</v>
      </c>
      <c r="Q294" s="68" t="str">
        <f t="shared" si="71"/>
        <v/>
      </c>
      <c r="R294" s="69">
        <f t="shared" si="72"/>
        <v>-423</v>
      </c>
      <c r="U294" s="5">
        <v>44930</v>
      </c>
      <c r="V294">
        <v>10913</v>
      </c>
      <c r="W294">
        <v>-12115</v>
      </c>
      <c r="X294">
        <v>1624</v>
      </c>
      <c r="Y294">
        <v>-2955</v>
      </c>
      <c r="Z294">
        <v>-164</v>
      </c>
      <c r="AA294">
        <v>2261</v>
      </c>
      <c r="AB294">
        <v>-40</v>
      </c>
      <c r="AC294">
        <v>-50</v>
      </c>
      <c r="AD294">
        <v>8</v>
      </c>
      <c r="AE294">
        <v>2564</v>
      </c>
      <c r="AF294">
        <v>0</v>
      </c>
      <c r="AG294">
        <v>-423</v>
      </c>
    </row>
    <row r="295" spans="6:33">
      <c r="F295" s="74">
        <f t="shared" si="60"/>
        <v>44929</v>
      </c>
      <c r="G295" s="72">
        <f t="shared" si="61"/>
        <v>2723</v>
      </c>
      <c r="H295" s="68">
        <f t="shared" si="62"/>
        <v>6056</v>
      </c>
      <c r="I295" s="68">
        <f t="shared" si="63"/>
        <v>-7387</v>
      </c>
      <c r="J295" s="68">
        <f t="shared" si="64"/>
        <v>-6326</v>
      </c>
      <c r="K295" s="68">
        <f t="shared" si="65"/>
        <v>118</v>
      </c>
      <c r="L295" s="68">
        <f t="shared" si="66"/>
        <v>-402</v>
      </c>
      <c r="M295" s="68">
        <f t="shared" si="67"/>
        <v>-700</v>
      </c>
      <c r="N295" s="68">
        <f t="shared" si="68"/>
        <v>-18</v>
      </c>
      <c r="O295" s="68">
        <f t="shared" si="69"/>
        <v>217</v>
      </c>
      <c r="P295" s="68">
        <f t="shared" si="70"/>
        <v>-276</v>
      </c>
      <c r="Q295" s="68" t="str">
        <f t="shared" si="71"/>
        <v/>
      </c>
      <c r="R295" s="69">
        <f t="shared" si="72"/>
        <v>-1391</v>
      </c>
      <c r="U295" s="5">
        <v>44929</v>
      </c>
      <c r="V295">
        <v>2723</v>
      </c>
      <c r="W295">
        <v>6056</v>
      </c>
      <c r="X295">
        <v>-7387</v>
      </c>
      <c r="Y295">
        <v>-6326</v>
      </c>
      <c r="Z295">
        <v>118</v>
      </c>
      <c r="AA295">
        <v>-402</v>
      </c>
      <c r="AB295">
        <v>-700</v>
      </c>
      <c r="AC295">
        <v>-18</v>
      </c>
      <c r="AD295">
        <v>217</v>
      </c>
      <c r="AE295">
        <v>-276</v>
      </c>
      <c r="AF295">
        <v>0</v>
      </c>
      <c r="AG295">
        <v>-1391</v>
      </c>
    </row>
    <row r="296" spans="6:33">
      <c r="F296" s="74">
        <f t="shared" si="60"/>
        <v>44928</v>
      </c>
      <c r="G296" s="72">
        <f t="shared" si="61"/>
        <v>-8257</v>
      </c>
      <c r="H296" s="68">
        <f t="shared" si="62"/>
        <v>16807</v>
      </c>
      <c r="I296" s="68">
        <f t="shared" si="63"/>
        <v>-9152</v>
      </c>
      <c r="J296" s="68">
        <f t="shared" si="64"/>
        <v>-3979</v>
      </c>
      <c r="K296" s="68">
        <f t="shared" si="65"/>
        <v>-1758</v>
      </c>
      <c r="L296" s="68">
        <f t="shared" si="66"/>
        <v>-793</v>
      </c>
      <c r="M296" s="68">
        <f t="shared" si="67"/>
        <v>-2302</v>
      </c>
      <c r="N296" s="68">
        <f t="shared" si="68"/>
        <v>-92</v>
      </c>
      <c r="O296" s="68">
        <f t="shared" si="69"/>
        <v>9</v>
      </c>
      <c r="P296" s="68">
        <f t="shared" si="70"/>
        <v>-237</v>
      </c>
      <c r="Q296" s="68" t="str">
        <f t="shared" si="71"/>
        <v/>
      </c>
      <c r="R296" s="69">
        <f t="shared" si="72"/>
        <v>602</v>
      </c>
      <c r="U296" s="5">
        <v>44928</v>
      </c>
      <c r="V296">
        <v>-8257</v>
      </c>
      <c r="W296">
        <v>16807</v>
      </c>
      <c r="X296">
        <v>-9152</v>
      </c>
      <c r="Y296">
        <v>-3979</v>
      </c>
      <c r="Z296">
        <v>-1758</v>
      </c>
      <c r="AA296">
        <v>-793</v>
      </c>
      <c r="AB296">
        <v>-2302</v>
      </c>
      <c r="AC296">
        <v>-92</v>
      </c>
      <c r="AD296">
        <v>9</v>
      </c>
      <c r="AE296">
        <v>-237</v>
      </c>
      <c r="AF296">
        <v>0</v>
      </c>
      <c r="AG296">
        <v>602</v>
      </c>
    </row>
    <row r="297" spans="6:33">
      <c r="F297" s="74">
        <f t="shared" si="60"/>
        <v>44924</v>
      </c>
      <c r="G297" s="72">
        <f t="shared" si="61"/>
        <v>-9396</v>
      </c>
      <c r="H297" s="68">
        <f t="shared" si="62"/>
        <v>28387</v>
      </c>
      <c r="I297" s="68">
        <f t="shared" si="63"/>
        <v>-10676</v>
      </c>
      <c r="J297" s="68">
        <f t="shared" si="64"/>
        <v>-12746</v>
      </c>
      <c r="K297" s="68">
        <f t="shared" si="65"/>
        <v>320</v>
      </c>
      <c r="L297" s="68">
        <f t="shared" si="66"/>
        <v>1509</v>
      </c>
      <c r="M297" s="68">
        <f t="shared" si="67"/>
        <v>-159</v>
      </c>
      <c r="N297" s="68">
        <f t="shared" si="68"/>
        <v>42</v>
      </c>
      <c r="O297" s="68">
        <f t="shared" si="69"/>
        <v>128</v>
      </c>
      <c r="P297" s="68">
        <f t="shared" si="70"/>
        <v>230</v>
      </c>
      <c r="Q297" s="68" t="str">
        <f t="shared" si="71"/>
        <v/>
      </c>
      <c r="R297" s="69">
        <f t="shared" si="72"/>
        <v>-8314</v>
      </c>
      <c r="U297" s="5">
        <v>44924</v>
      </c>
      <c r="V297">
        <v>-9396</v>
      </c>
      <c r="W297">
        <v>28387</v>
      </c>
      <c r="X297">
        <v>-10676</v>
      </c>
      <c r="Y297">
        <v>-12746</v>
      </c>
      <c r="Z297">
        <v>320</v>
      </c>
      <c r="AA297">
        <v>1509</v>
      </c>
      <c r="AB297">
        <v>-159</v>
      </c>
      <c r="AC297">
        <v>42</v>
      </c>
      <c r="AD297">
        <v>128</v>
      </c>
      <c r="AE297">
        <v>230</v>
      </c>
      <c r="AF297">
        <v>0</v>
      </c>
      <c r="AG297">
        <v>-8314</v>
      </c>
    </row>
    <row r="298" spans="6:33">
      <c r="F298" s="74">
        <f t="shared" si="60"/>
        <v>44923</v>
      </c>
      <c r="G298" s="72">
        <f t="shared" si="61"/>
        <v>-7178</v>
      </c>
      <c r="H298" s="68">
        <f t="shared" si="62"/>
        <v>23271</v>
      </c>
      <c r="I298" s="68">
        <f t="shared" si="63"/>
        <v>-16963</v>
      </c>
      <c r="J298" s="68">
        <f t="shared" si="64"/>
        <v>-17667</v>
      </c>
      <c r="K298" s="68">
        <f t="shared" si="65"/>
        <v>-258</v>
      </c>
      <c r="L298" s="68">
        <f t="shared" si="66"/>
        <v>2810</v>
      </c>
      <c r="M298" s="68">
        <f t="shared" si="67"/>
        <v>-794</v>
      </c>
      <c r="N298" s="68">
        <f t="shared" si="68"/>
        <v>-836</v>
      </c>
      <c r="O298" s="68">
        <f t="shared" si="69"/>
        <v>227</v>
      </c>
      <c r="P298" s="68">
        <f t="shared" si="70"/>
        <v>-445</v>
      </c>
      <c r="Q298" s="68" t="str">
        <f t="shared" si="71"/>
        <v/>
      </c>
      <c r="R298" s="69">
        <f t="shared" si="72"/>
        <v>871</v>
      </c>
      <c r="U298" s="5">
        <v>44923</v>
      </c>
      <c r="V298">
        <v>-7178</v>
      </c>
      <c r="W298">
        <v>23271</v>
      </c>
      <c r="X298">
        <v>-16963</v>
      </c>
      <c r="Y298">
        <v>-17667</v>
      </c>
      <c r="Z298">
        <v>-258</v>
      </c>
      <c r="AA298">
        <v>2810</v>
      </c>
      <c r="AB298">
        <v>-794</v>
      </c>
      <c r="AC298">
        <v>-836</v>
      </c>
      <c r="AD298">
        <v>227</v>
      </c>
      <c r="AE298">
        <v>-445</v>
      </c>
      <c r="AF298">
        <v>0</v>
      </c>
      <c r="AG298">
        <v>871</v>
      </c>
    </row>
    <row r="299" spans="6:33">
      <c r="F299" s="74">
        <f t="shared" si="60"/>
        <v>44922</v>
      </c>
      <c r="G299" s="72">
        <f t="shared" si="61"/>
        <v>14708</v>
      </c>
      <c r="H299" s="68">
        <f t="shared" si="62"/>
        <v>-38497</v>
      </c>
      <c r="I299" s="68">
        <f t="shared" si="63"/>
        <v>11842</v>
      </c>
      <c r="J299" s="68">
        <f t="shared" si="64"/>
        <v>19409</v>
      </c>
      <c r="K299" s="68">
        <f t="shared" si="65"/>
        <v>-10561</v>
      </c>
      <c r="L299" s="68">
        <f t="shared" si="66"/>
        <v>2838</v>
      </c>
      <c r="M299" s="68">
        <f t="shared" si="67"/>
        <v>1033</v>
      </c>
      <c r="N299" s="68">
        <f t="shared" si="68"/>
        <v>84</v>
      </c>
      <c r="O299" s="68">
        <f t="shared" si="69"/>
        <v>193</v>
      </c>
      <c r="P299" s="68">
        <f t="shared" si="70"/>
        <v>-1154</v>
      </c>
      <c r="Q299" s="68" t="str">
        <f t="shared" si="71"/>
        <v/>
      </c>
      <c r="R299" s="69">
        <f t="shared" si="72"/>
        <v>11949</v>
      </c>
      <c r="U299" s="5">
        <v>44922</v>
      </c>
      <c r="V299">
        <v>14708</v>
      </c>
      <c r="W299">
        <v>-38497</v>
      </c>
      <c r="X299">
        <v>11842</v>
      </c>
      <c r="Y299">
        <v>19409</v>
      </c>
      <c r="Z299">
        <v>-10561</v>
      </c>
      <c r="AA299">
        <v>2838</v>
      </c>
      <c r="AB299">
        <v>1033</v>
      </c>
      <c r="AC299">
        <v>84</v>
      </c>
      <c r="AD299">
        <v>193</v>
      </c>
      <c r="AE299">
        <v>-1154</v>
      </c>
      <c r="AF299">
        <v>0</v>
      </c>
      <c r="AG299">
        <v>11949</v>
      </c>
    </row>
    <row r="300" spans="6:33">
      <c r="F300" s="74">
        <f t="shared" si="60"/>
        <v>44921</v>
      </c>
      <c r="G300" s="72">
        <f t="shared" si="61"/>
        <v>-1106</v>
      </c>
      <c r="H300" s="68">
        <f t="shared" si="62"/>
        <v>-4015</v>
      </c>
      <c r="I300" s="68">
        <f t="shared" si="63"/>
        <v>14863</v>
      </c>
      <c r="J300" s="68">
        <f t="shared" si="64"/>
        <v>9865</v>
      </c>
      <c r="K300" s="68">
        <f t="shared" si="65"/>
        <v>1747</v>
      </c>
      <c r="L300" s="68">
        <f t="shared" si="66"/>
        <v>356</v>
      </c>
      <c r="M300" s="68">
        <f t="shared" si="67"/>
        <v>2084</v>
      </c>
      <c r="N300" s="68">
        <f t="shared" si="68"/>
        <v>187</v>
      </c>
      <c r="O300" s="68">
        <f t="shared" si="69"/>
        <v>185</v>
      </c>
      <c r="P300" s="68">
        <f t="shared" si="70"/>
        <v>439</v>
      </c>
      <c r="Q300" s="68" t="str">
        <f t="shared" si="71"/>
        <v/>
      </c>
      <c r="R300" s="69">
        <f t="shared" si="72"/>
        <v>-9740</v>
      </c>
      <c r="U300" s="5">
        <v>44921</v>
      </c>
      <c r="V300">
        <v>-1106</v>
      </c>
      <c r="W300">
        <v>-4015</v>
      </c>
      <c r="X300">
        <v>14863</v>
      </c>
      <c r="Y300">
        <v>9865</v>
      </c>
      <c r="Z300">
        <v>1747</v>
      </c>
      <c r="AA300">
        <v>356</v>
      </c>
      <c r="AB300">
        <v>2084</v>
      </c>
      <c r="AC300">
        <v>187</v>
      </c>
      <c r="AD300">
        <v>185</v>
      </c>
      <c r="AE300">
        <v>439</v>
      </c>
      <c r="AF300">
        <v>0</v>
      </c>
      <c r="AG300">
        <v>-9740</v>
      </c>
    </row>
    <row r="301" spans="6:33">
      <c r="F301" s="74">
        <f t="shared" si="60"/>
        <v>44918</v>
      </c>
      <c r="G301" s="72">
        <f t="shared" si="61"/>
        <v>-5444</v>
      </c>
      <c r="H301" s="68">
        <f t="shared" si="62"/>
        <v>-2153</v>
      </c>
      <c r="I301" s="68">
        <f t="shared" si="63"/>
        <v>9810</v>
      </c>
      <c r="J301" s="68">
        <f t="shared" si="64"/>
        <v>6409</v>
      </c>
      <c r="K301" s="68">
        <f t="shared" si="65"/>
        <v>163</v>
      </c>
      <c r="L301" s="68">
        <f t="shared" si="66"/>
        <v>451</v>
      </c>
      <c r="M301" s="68">
        <f t="shared" si="67"/>
        <v>-378</v>
      </c>
      <c r="N301" s="68">
        <f t="shared" si="68"/>
        <v>82</v>
      </c>
      <c r="O301" s="68">
        <f t="shared" si="69"/>
        <v>-276</v>
      </c>
      <c r="P301" s="68">
        <f t="shared" si="70"/>
        <v>3359</v>
      </c>
      <c r="Q301" s="68" t="str">
        <f t="shared" si="71"/>
        <v/>
      </c>
      <c r="R301" s="69">
        <f t="shared" si="72"/>
        <v>-2215</v>
      </c>
      <c r="U301" s="5">
        <v>44918</v>
      </c>
      <c r="V301">
        <v>-5444</v>
      </c>
      <c r="W301">
        <v>-2153</v>
      </c>
      <c r="X301">
        <v>9810</v>
      </c>
      <c r="Y301">
        <v>6409</v>
      </c>
      <c r="Z301">
        <v>163</v>
      </c>
      <c r="AA301">
        <v>451</v>
      </c>
      <c r="AB301">
        <v>-378</v>
      </c>
      <c r="AC301">
        <v>82</v>
      </c>
      <c r="AD301">
        <v>-276</v>
      </c>
      <c r="AE301">
        <v>3359</v>
      </c>
      <c r="AF301">
        <v>0</v>
      </c>
      <c r="AG301">
        <v>-2215</v>
      </c>
    </row>
    <row r="302" spans="6:33">
      <c r="F302" s="74">
        <f t="shared" si="60"/>
        <v>44917</v>
      </c>
      <c r="G302" s="72">
        <f t="shared" si="61"/>
        <v>6372</v>
      </c>
      <c r="H302" s="68">
        <f t="shared" si="62"/>
        <v>-15602</v>
      </c>
      <c r="I302" s="68">
        <f t="shared" si="63"/>
        <v>11069</v>
      </c>
      <c r="J302" s="68">
        <f t="shared" si="64"/>
        <v>28797</v>
      </c>
      <c r="K302" s="68">
        <f t="shared" si="65"/>
        <v>-97</v>
      </c>
      <c r="L302" s="68">
        <f t="shared" si="66"/>
        <v>849</v>
      </c>
      <c r="M302" s="68">
        <f t="shared" si="67"/>
        <v>-1800</v>
      </c>
      <c r="N302" s="68">
        <f t="shared" si="68"/>
        <v>-38</v>
      </c>
      <c r="O302" s="68">
        <f t="shared" si="69"/>
        <v>-19373</v>
      </c>
      <c r="P302" s="68">
        <f t="shared" si="70"/>
        <v>2731</v>
      </c>
      <c r="Q302" s="68" t="str">
        <f t="shared" si="71"/>
        <v/>
      </c>
      <c r="R302" s="69">
        <f t="shared" si="72"/>
        <v>-1840</v>
      </c>
      <c r="U302" s="5">
        <v>44917</v>
      </c>
      <c r="V302">
        <v>6372</v>
      </c>
      <c r="W302">
        <v>-15602</v>
      </c>
      <c r="X302">
        <v>11069</v>
      </c>
      <c r="Y302">
        <v>28797</v>
      </c>
      <c r="Z302">
        <v>-97</v>
      </c>
      <c r="AA302">
        <v>849</v>
      </c>
      <c r="AB302">
        <v>-1800</v>
      </c>
      <c r="AC302">
        <v>-38</v>
      </c>
      <c r="AD302">
        <v>-19373</v>
      </c>
      <c r="AE302">
        <v>2731</v>
      </c>
      <c r="AF302">
        <v>0</v>
      </c>
      <c r="AG302">
        <v>-1840</v>
      </c>
    </row>
    <row r="303" spans="6:33">
      <c r="F303" s="74">
        <f t="shared" si="60"/>
        <v>44916</v>
      </c>
      <c r="G303" s="72">
        <f t="shared" si="61"/>
        <v>4914</v>
      </c>
      <c r="H303" s="68">
        <f t="shared" si="62"/>
        <v>-4074</v>
      </c>
      <c r="I303" s="68">
        <f t="shared" si="63"/>
        <v>3815</v>
      </c>
      <c r="J303" s="68">
        <f t="shared" si="64"/>
        <v>3597</v>
      </c>
      <c r="K303" s="68">
        <f t="shared" si="65"/>
        <v>282</v>
      </c>
      <c r="L303" s="68">
        <f t="shared" si="66"/>
        <v>287</v>
      </c>
      <c r="M303" s="68">
        <f t="shared" si="67"/>
        <v>-2052</v>
      </c>
      <c r="N303" s="68">
        <f t="shared" si="68"/>
        <v>72</v>
      </c>
      <c r="O303" s="68">
        <f t="shared" si="69"/>
        <v>349</v>
      </c>
      <c r="P303" s="68">
        <f t="shared" si="70"/>
        <v>1280</v>
      </c>
      <c r="Q303" s="68" t="str">
        <f t="shared" si="71"/>
        <v/>
      </c>
      <c r="R303" s="69">
        <f t="shared" si="72"/>
        <v>-4656</v>
      </c>
      <c r="U303" s="5">
        <v>44916</v>
      </c>
      <c r="V303">
        <v>4914</v>
      </c>
      <c r="W303">
        <v>-4074</v>
      </c>
      <c r="X303">
        <v>3815</v>
      </c>
      <c r="Y303">
        <v>3597</v>
      </c>
      <c r="Z303">
        <v>282</v>
      </c>
      <c r="AA303">
        <v>287</v>
      </c>
      <c r="AB303">
        <v>-2052</v>
      </c>
      <c r="AC303">
        <v>72</v>
      </c>
      <c r="AD303">
        <v>349</v>
      </c>
      <c r="AE303">
        <v>1280</v>
      </c>
      <c r="AF303">
        <v>0</v>
      </c>
      <c r="AG303">
        <v>-4656</v>
      </c>
    </row>
    <row r="304" spans="6:33">
      <c r="F304" s="74">
        <f t="shared" si="60"/>
        <v>44915</v>
      </c>
      <c r="G304" s="72">
        <f t="shared" si="61"/>
        <v>-10033</v>
      </c>
      <c r="H304" s="68">
        <f t="shared" si="62"/>
        <v>9921</v>
      </c>
      <c r="I304" s="68">
        <f t="shared" si="63"/>
        <v>160</v>
      </c>
      <c r="J304" s="68">
        <f t="shared" si="64"/>
        <v>1371</v>
      </c>
      <c r="K304" s="68">
        <f t="shared" si="65"/>
        <v>-557</v>
      </c>
      <c r="L304" s="68">
        <f t="shared" si="66"/>
        <v>-93</v>
      </c>
      <c r="M304" s="68">
        <f t="shared" si="67"/>
        <v>-1140</v>
      </c>
      <c r="N304" s="68">
        <f t="shared" si="68"/>
        <v>-100</v>
      </c>
      <c r="O304" s="68">
        <f t="shared" si="69"/>
        <v>-98</v>
      </c>
      <c r="P304" s="68">
        <f t="shared" si="70"/>
        <v>777</v>
      </c>
      <c r="Q304" s="68" t="str">
        <f t="shared" si="71"/>
        <v/>
      </c>
      <c r="R304" s="69">
        <f t="shared" si="72"/>
        <v>-49</v>
      </c>
      <c r="U304" s="5">
        <v>44915</v>
      </c>
      <c r="V304">
        <v>-10033</v>
      </c>
      <c r="W304">
        <v>9921</v>
      </c>
      <c r="X304">
        <v>160</v>
      </c>
      <c r="Y304">
        <v>1371</v>
      </c>
      <c r="Z304">
        <v>-557</v>
      </c>
      <c r="AA304">
        <v>-93</v>
      </c>
      <c r="AB304">
        <v>-1140</v>
      </c>
      <c r="AC304">
        <v>-100</v>
      </c>
      <c r="AD304">
        <v>-98</v>
      </c>
      <c r="AE304">
        <v>777</v>
      </c>
      <c r="AF304">
        <v>0</v>
      </c>
      <c r="AG304">
        <v>-49</v>
      </c>
    </row>
    <row r="305" spans="6:33">
      <c r="F305" s="74">
        <f t="shared" si="60"/>
        <v>44914</v>
      </c>
      <c r="G305" s="72">
        <f t="shared" si="61"/>
        <v>-2609</v>
      </c>
      <c r="H305" s="68">
        <f t="shared" si="62"/>
        <v>-1669</v>
      </c>
      <c r="I305" s="68">
        <f t="shared" si="63"/>
        <v>4853</v>
      </c>
      <c r="J305" s="68">
        <f t="shared" si="64"/>
        <v>2523</v>
      </c>
      <c r="K305" s="68">
        <f t="shared" si="65"/>
        <v>-29</v>
      </c>
      <c r="L305" s="68">
        <f t="shared" si="66"/>
        <v>392</v>
      </c>
      <c r="M305" s="68">
        <f t="shared" si="67"/>
        <v>16</v>
      </c>
      <c r="N305" s="68">
        <f t="shared" si="68"/>
        <v>-39</v>
      </c>
      <c r="O305" s="68">
        <f t="shared" si="69"/>
        <v>74</v>
      </c>
      <c r="P305" s="68">
        <f t="shared" si="70"/>
        <v>1916</v>
      </c>
      <c r="Q305" s="68" t="str">
        <f t="shared" si="71"/>
        <v/>
      </c>
      <c r="R305" s="69">
        <f t="shared" si="72"/>
        <v>-574</v>
      </c>
      <c r="U305" s="5">
        <v>44914</v>
      </c>
      <c r="V305">
        <v>-2609</v>
      </c>
      <c r="W305">
        <v>-1669</v>
      </c>
      <c r="X305">
        <v>4853</v>
      </c>
      <c r="Y305">
        <v>2523</v>
      </c>
      <c r="Z305">
        <v>-29</v>
      </c>
      <c r="AA305">
        <v>392</v>
      </c>
      <c r="AB305">
        <v>16</v>
      </c>
      <c r="AC305">
        <v>-39</v>
      </c>
      <c r="AD305">
        <v>74</v>
      </c>
      <c r="AE305">
        <v>1916</v>
      </c>
      <c r="AF305">
        <v>0</v>
      </c>
      <c r="AG305">
        <v>-574</v>
      </c>
    </row>
    <row r="306" spans="6:33">
      <c r="F306" s="74">
        <f t="shared" si="60"/>
        <v>44911</v>
      </c>
      <c r="G306" s="72">
        <f t="shared" si="61"/>
        <v>1937</v>
      </c>
      <c r="H306" s="68">
        <f t="shared" si="62"/>
        <v>4490</v>
      </c>
      <c r="I306" s="68">
        <f t="shared" si="63"/>
        <v>-4623</v>
      </c>
      <c r="J306" s="68">
        <f t="shared" si="64"/>
        <v>-4942</v>
      </c>
      <c r="K306" s="68">
        <f t="shared" si="65"/>
        <v>-249</v>
      </c>
      <c r="L306" s="68">
        <f t="shared" si="66"/>
        <v>-1158</v>
      </c>
      <c r="M306" s="68">
        <f t="shared" si="67"/>
        <v>-694</v>
      </c>
      <c r="N306" s="68">
        <f t="shared" si="68"/>
        <v>-248</v>
      </c>
      <c r="O306" s="68">
        <f t="shared" si="69"/>
        <v>-62</v>
      </c>
      <c r="P306" s="68">
        <f t="shared" si="70"/>
        <v>2730</v>
      </c>
      <c r="Q306" s="68" t="str">
        <f t="shared" si="71"/>
        <v/>
      </c>
      <c r="R306" s="69">
        <f t="shared" si="72"/>
        <v>-1804</v>
      </c>
      <c r="U306" s="5">
        <v>44911</v>
      </c>
      <c r="V306">
        <v>1937</v>
      </c>
      <c r="W306">
        <v>4490</v>
      </c>
      <c r="X306">
        <v>-4623</v>
      </c>
      <c r="Y306">
        <v>-4942</v>
      </c>
      <c r="Z306">
        <v>-249</v>
      </c>
      <c r="AA306">
        <v>-1158</v>
      </c>
      <c r="AB306">
        <v>-694</v>
      </c>
      <c r="AC306">
        <v>-248</v>
      </c>
      <c r="AD306">
        <v>-62</v>
      </c>
      <c r="AE306">
        <v>2730</v>
      </c>
      <c r="AF306">
        <v>0</v>
      </c>
      <c r="AG306">
        <v>-1804</v>
      </c>
    </row>
    <row r="307" spans="6:33">
      <c r="F307" s="74">
        <f t="shared" si="60"/>
        <v>44910</v>
      </c>
      <c r="G307" s="72">
        <f t="shared" si="61"/>
        <v>-4424</v>
      </c>
      <c r="H307" s="68">
        <f t="shared" si="62"/>
        <v>10367</v>
      </c>
      <c r="I307" s="68">
        <f t="shared" si="63"/>
        <v>-6108</v>
      </c>
      <c r="J307" s="68">
        <f t="shared" si="64"/>
        <v>-5829</v>
      </c>
      <c r="K307" s="68">
        <f t="shared" si="65"/>
        <v>-799</v>
      </c>
      <c r="L307" s="68">
        <f t="shared" si="66"/>
        <v>-590</v>
      </c>
      <c r="M307" s="68">
        <f t="shared" si="67"/>
        <v>-1619</v>
      </c>
      <c r="N307" s="68">
        <f t="shared" si="68"/>
        <v>3</v>
      </c>
      <c r="O307" s="68">
        <f t="shared" si="69"/>
        <v>29</v>
      </c>
      <c r="P307" s="68">
        <f t="shared" si="70"/>
        <v>2697</v>
      </c>
      <c r="Q307" s="68" t="str">
        <f t="shared" si="71"/>
        <v/>
      </c>
      <c r="R307" s="69">
        <f t="shared" si="72"/>
        <v>166</v>
      </c>
      <c r="U307" s="5">
        <v>44910</v>
      </c>
      <c r="V307">
        <v>-4424</v>
      </c>
      <c r="W307">
        <v>10367</v>
      </c>
      <c r="X307">
        <v>-6108</v>
      </c>
      <c r="Y307">
        <v>-5829</v>
      </c>
      <c r="Z307">
        <v>-799</v>
      </c>
      <c r="AA307">
        <v>-590</v>
      </c>
      <c r="AB307">
        <v>-1619</v>
      </c>
      <c r="AC307">
        <v>3</v>
      </c>
      <c r="AD307">
        <v>29</v>
      </c>
      <c r="AE307">
        <v>2697</v>
      </c>
      <c r="AF307">
        <v>0</v>
      </c>
      <c r="AG307">
        <v>166</v>
      </c>
    </row>
    <row r="308" spans="6:33">
      <c r="F308" s="74">
        <f t="shared" si="60"/>
        <v>44909</v>
      </c>
      <c r="G308" s="72">
        <f t="shared" si="61"/>
        <v>10193</v>
      </c>
      <c r="H308" s="68">
        <f t="shared" si="62"/>
        <v>-10620</v>
      </c>
      <c r="I308" s="68">
        <f t="shared" si="63"/>
        <v>671</v>
      </c>
      <c r="J308" s="68">
        <f t="shared" si="64"/>
        <v>3576</v>
      </c>
      <c r="K308" s="68">
        <f t="shared" si="65"/>
        <v>-871</v>
      </c>
      <c r="L308" s="68">
        <f t="shared" si="66"/>
        <v>-4484</v>
      </c>
      <c r="M308" s="68">
        <f t="shared" si="67"/>
        <v>-206</v>
      </c>
      <c r="N308" s="68">
        <f t="shared" si="68"/>
        <v>-115</v>
      </c>
      <c r="O308" s="68">
        <f t="shared" si="69"/>
        <v>5</v>
      </c>
      <c r="P308" s="68">
        <f t="shared" si="70"/>
        <v>2766</v>
      </c>
      <c r="Q308" s="68" t="str">
        <f t="shared" si="71"/>
        <v/>
      </c>
      <c r="R308" s="69">
        <f t="shared" si="72"/>
        <v>-245</v>
      </c>
      <c r="U308" s="5">
        <v>44909</v>
      </c>
      <c r="V308">
        <v>10193</v>
      </c>
      <c r="W308">
        <v>-10620</v>
      </c>
      <c r="X308">
        <v>671</v>
      </c>
      <c r="Y308">
        <v>3576</v>
      </c>
      <c r="Z308">
        <v>-871</v>
      </c>
      <c r="AA308">
        <v>-4484</v>
      </c>
      <c r="AB308">
        <v>-206</v>
      </c>
      <c r="AC308">
        <v>-115</v>
      </c>
      <c r="AD308">
        <v>5</v>
      </c>
      <c r="AE308">
        <v>2766</v>
      </c>
      <c r="AF308">
        <v>0</v>
      </c>
      <c r="AG308">
        <v>-245</v>
      </c>
    </row>
    <row r="309" spans="6:33">
      <c r="F309" s="74">
        <f t="shared" si="60"/>
        <v>44908</v>
      </c>
      <c r="G309" s="72">
        <f t="shared" si="61"/>
        <v>-7645</v>
      </c>
      <c r="H309" s="68">
        <f t="shared" si="62"/>
        <v>4613</v>
      </c>
      <c r="I309" s="68">
        <f t="shared" si="63"/>
        <v>3137</v>
      </c>
      <c r="J309" s="68">
        <f t="shared" si="64"/>
        <v>1019</v>
      </c>
      <c r="K309" s="68">
        <f t="shared" si="65"/>
        <v>-164</v>
      </c>
      <c r="L309" s="68">
        <f t="shared" si="66"/>
        <v>504</v>
      </c>
      <c r="M309" s="68">
        <f t="shared" si="67"/>
        <v>-1014</v>
      </c>
      <c r="N309" s="68">
        <f t="shared" si="68"/>
        <v>-34</v>
      </c>
      <c r="O309" s="68">
        <f t="shared" si="69"/>
        <v>-73</v>
      </c>
      <c r="P309" s="68">
        <f t="shared" si="70"/>
        <v>2899</v>
      </c>
      <c r="Q309" s="68" t="str">
        <f t="shared" si="71"/>
        <v/>
      </c>
      <c r="R309" s="69">
        <f t="shared" si="72"/>
        <v>-106</v>
      </c>
      <c r="U309" s="5">
        <v>44908</v>
      </c>
      <c r="V309">
        <v>-7645</v>
      </c>
      <c r="W309">
        <v>4613</v>
      </c>
      <c r="X309">
        <v>3137</v>
      </c>
      <c r="Y309">
        <v>1019</v>
      </c>
      <c r="Z309">
        <v>-164</v>
      </c>
      <c r="AA309">
        <v>504</v>
      </c>
      <c r="AB309">
        <v>-1014</v>
      </c>
      <c r="AC309">
        <v>-34</v>
      </c>
      <c r="AD309">
        <v>-73</v>
      </c>
      <c r="AE309">
        <v>2899</v>
      </c>
      <c r="AF309">
        <v>0</v>
      </c>
      <c r="AG309">
        <v>-106</v>
      </c>
    </row>
    <row r="310" spans="6:33">
      <c r="F310" s="74">
        <f t="shared" si="60"/>
        <v>44907</v>
      </c>
      <c r="G310" s="72">
        <f t="shared" si="61"/>
        <v>-2038</v>
      </c>
      <c r="H310" s="68">
        <f t="shared" si="62"/>
        <v>834</v>
      </c>
      <c r="I310" s="68">
        <f t="shared" si="63"/>
        <v>3703</v>
      </c>
      <c r="J310" s="68">
        <f t="shared" si="64"/>
        <v>241</v>
      </c>
      <c r="K310" s="68">
        <f t="shared" si="65"/>
        <v>386</v>
      </c>
      <c r="L310" s="68">
        <f t="shared" si="66"/>
        <v>1434</v>
      </c>
      <c r="M310" s="68">
        <f t="shared" si="67"/>
        <v>-631</v>
      </c>
      <c r="N310" s="68">
        <f t="shared" si="68"/>
        <v>-49</v>
      </c>
      <c r="O310" s="68">
        <f t="shared" si="69"/>
        <v>-149</v>
      </c>
      <c r="P310" s="68">
        <f t="shared" si="70"/>
        <v>2471</v>
      </c>
      <c r="Q310" s="68" t="str">
        <f t="shared" si="71"/>
        <v/>
      </c>
      <c r="R310" s="69">
        <f t="shared" si="72"/>
        <v>-2498</v>
      </c>
      <c r="U310" s="5">
        <v>44907</v>
      </c>
      <c r="V310">
        <v>-2038</v>
      </c>
      <c r="W310">
        <v>834</v>
      </c>
      <c r="X310">
        <v>3703</v>
      </c>
      <c r="Y310">
        <v>241</v>
      </c>
      <c r="Z310">
        <v>386</v>
      </c>
      <c r="AA310">
        <v>1434</v>
      </c>
      <c r="AB310">
        <v>-631</v>
      </c>
      <c r="AC310">
        <v>-49</v>
      </c>
      <c r="AD310">
        <v>-149</v>
      </c>
      <c r="AE310">
        <v>2471</v>
      </c>
      <c r="AF310">
        <v>0</v>
      </c>
      <c r="AG310">
        <v>-2498</v>
      </c>
    </row>
    <row r="311" spans="6:33">
      <c r="F311" s="74">
        <f t="shared" si="60"/>
        <v>44904</v>
      </c>
      <c r="G311" s="72">
        <f t="shared" si="61"/>
        <v>3975</v>
      </c>
      <c r="H311" s="68">
        <f t="shared" si="62"/>
        <v>-23609</v>
      </c>
      <c r="I311" s="68">
        <f t="shared" si="63"/>
        <v>19903</v>
      </c>
      <c r="J311" s="68">
        <f t="shared" si="64"/>
        <v>9809</v>
      </c>
      <c r="K311" s="68">
        <f t="shared" si="65"/>
        <v>874</v>
      </c>
      <c r="L311" s="68">
        <f t="shared" si="66"/>
        <v>2652</v>
      </c>
      <c r="M311" s="68">
        <f t="shared" si="67"/>
        <v>2049</v>
      </c>
      <c r="N311" s="68">
        <f t="shared" si="68"/>
        <v>-58</v>
      </c>
      <c r="O311" s="68">
        <f t="shared" si="69"/>
        <v>72</v>
      </c>
      <c r="P311" s="68">
        <f t="shared" si="70"/>
        <v>4505</v>
      </c>
      <c r="Q311" s="68" t="str">
        <f t="shared" si="71"/>
        <v/>
      </c>
      <c r="R311" s="69">
        <f t="shared" si="72"/>
        <v>-267</v>
      </c>
      <c r="U311" s="5">
        <v>44904</v>
      </c>
      <c r="V311">
        <v>3975</v>
      </c>
      <c r="W311">
        <v>-23609</v>
      </c>
      <c r="X311">
        <v>19903</v>
      </c>
      <c r="Y311">
        <v>9809</v>
      </c>
      <c r="Z311">
        <v>874</v>
      </c>
      <c r="AA311">
        <v>2652</v>
      </c>
      <c r="AB311">
        <v>2049</v>
      </c>
      <c r="AC311">
        <v>-58</v>
      </c>
      <c r="AD311">
        <v>72</v>
      </c>
      <c r="AE311">
        <v>4505</v>
      </c>
      <c r="AF311">
        <v>0</v>
      </c>
      <c r="AG311">
        <v>-267</v>
      </c>
    </row>
    <row r="312" spans="6:33">
      <c r="F312" s="74">
        <f t="shared" si="60"/>
        <v>44903</v>
      </c>
      <c r="G312" s="72">
        <f t="shared" si="61"/>
        <v>-18859</v>
      </c>
      <c r="H312" s="68">
        <f t="shared" si="62"/>
        <v>9496</v>
      </c>
      <c r="I312" s="68">
        <f t="shared" si="63"/>
        <v>8767</v>
      </c>
      <c r="J312" s="68">
        <f t="shared" si="64"/>
        <v>4165</v>
      </c>
      <c r="K312" s="68">
        <f t="shared" si="65"/>
        <v>1084</v>
      </c>
      <c r="L312" s="68">
        <f t="shared" si="66"/>
        <v>2852</v>
      </c>
      <c r="M312" s="68">
        <f t="shared" si="67"/>
        <v>332</v>
      </c>
      <c r="N312" s="68">
        <f t="shared" si="68"/>
        <v>58</v>
      </c>
      <c r="O312" s="68">
        <f t="shared" si="69"/>
        <v>70</v>
      </c>
      <c r="P312" s="68">
        <f t="shared" si="70"/>
        <v>206</v>
      </c>
      <c r="Q312" s="68" t="str">
        <f t="shared" si="71"/>
        <v/>
      </c>
      <c r="R312" s="69">
        <f t="shared" si="72"/>
        <v>596</v>
      </c>
      <c r="U312" s="5">
        <v>44903</v>
      </c>
      <c r="V312">
        <v>-18859</v>
      </c>
      <c r="W312">
        <v>9496</v>
      </c>
      <c r="X312">
        <v>8767</v>
      </c>
      <c r="Y312">
        <v>4165</v>
      </c>
      <c r="Z312">
        <v>1084</v>
      </c>
      <c r="AA312">
        <v>2852</v>
      </c>
      <c r="AB312">
        <v>332</v>
      </c>
      <c r="AC312">
        <v>58</v>
      </c>
      <c r="AD312">
        <v>70</v>
      </c>
      <c r="AE312">
        <v>206</v>
      </c>
      <c r="AF312">
        <v>0</v>
      </c>
      <c r="AG312">
        <v>596</v>
      </c>
    </row>
    <row r="313" spans="6:33">
      <c r="F313" s="74">
        <f t="shared" si="60"/>
        <v>44902</v>
      </c>
      <c r="G313" s="72">
        <f t="shared" si="61"/>
        <v>-5020</v>
      </c>
      <c r="H313" s="68">
        <f t="shared" si="62"/>
        <v>3040</v>
      </c>
      <c r="I313" s="68">
        <f t="shared" si="63"/>
        <v>1825</v>
      </c>
      <c r="J313" s="68">
        <f t="shared" si="64"/>
        <v>3762</v>
      </c>
      <c r="K313" s="68">
        <f t="shared" si="65"/>
        <v>-609</v>
      </c>
      <c r="L313" s="68">
        <f t="shared" si="66"/>
        <v>-567</v>
      </c>
      <c r="M313" s="68">
        <f t="shared" si="67"/>
        <v>-1773</v>
      </c>
      <c r="N313" s="68">
        <f t="shared" si="68"/>
        <v>184</v>
      </c>
      <c r="O313" s="68">
        <f t="shared" si="69"/>
        <v>28</v>
      </c>
      <c r="P313" s="68">
        <f t="shared" si="70"/>
        <v>800</v>
      </c>
      <c r="Q313" s="68" t="str">
        <f t="shared" si="71"/>
        <v/>
      </c>
      <c r="R313" s="69">
        <f t="shared" si="72"/>
        <v>154</v>
      </c>
      <c r="U313" s="5">
        <v>44902</v>
      </c>
      <c r="V313">
        <v>-5020</v>
      </c>
      <c r="W313">
        <v>3040</v>
      </c>
      <c r="X313">
        <v>1825</v>
      </c>
      <c r="Y313">
        <v>3762</v>
      </c>
      <c r="Z313">
        <v>-609</v>
      </c>
      <c r="AA313">
        <v>-567</v>
      </c>
      <c r="AB313">
        <v>-1773</v>
      </c>
      <c r="AC313">
        <v>184</v>
      </c>
      <c r="AD313">
        <v>28</v>
      </c>
      <c r="AE313">
        <v>800</v>
      </c>
      <c r="AF313">
        <v>0</v>
      </c>
      <c r="AG313">
        <v>154</v>
      </c>
    </row>
    <row r="314" spans="6:33">
      <c r="F314" s="74">
        <f t="shared" si="60"/>
        <v>44901</v>
      </c>
      <c r="G314" s="72">
        <f t="shared" si="61"/>
        <v>-10961</v>
      </c>
      <c r="H314" s="68">
        <f t="shared" si="62"/>
        <v>14562</v>
      </c>
      <c r="I314" s="68">
        <f t="shared" si="63"/>
        <v>-3470</v>
      </c>
      <c r="J314" s="68">
        <f t="shared" si="64"/>
        <v>-2113</v>
      </c>
      <c r="K314" s="68">
        <f t="shared" si="65"/>
        <v>-330</v>
      </c>
      <c r="L314" s="68">
        <f t="shared" si="66"/>
        <v>35</v>
      </c>
      <c r="M314" s="68">
        <f t="shared" si="67"/>
        <v>-1210</v>
      </c>
      <c r="N314" s="68">
        <f t="shared" si="68"/>
        <v>-312</v>
      </c>
      <c r="O314" s="68">
        <f t="shared" si="69"/>
        <v>-154</v>
      </c>
      <c r="P314" s="68">
        <f t="shared" si="70"/>
        <v>614</v>
      </c>
      <c r="Q314" s="68" t="str">
        <f t="shared" si="71"/>
        <v/>
      </c>
      <c r="R314" s="69">
        <f t="shared" si="72"/>
        <v>-133</v>
      </c>
      <c r="U314" s="5">
        <v>44901</v>
      </c>
      <c r="V314">
        <v>-10961</v>
      </c>
      <c r="W314">
        <v>14562</v>
      </c>
      <c r="X314">
        <v>-3470</v>
      </c>
      <c r="Y314">
        <v>-2113</v>
      </c>
      <c r="Z314">
        <v>-330</v>
      </c>
      <c r="AA314">
        <v>35</v>
      </c>
      <c r="AB314">
        <v>-1210</v>
      </c>
      <c r="AC314">
        <v>-312</v>
      </c>
      <c r="AD314">
        <v>-154</v>
      </c>
      <c r="AE314">
        <v>614</v>
      </c>
      <c r="AF314">
        <v>0</v>
      </c>
      <c r="AG314">
        <v>-133</v>
      </c>
    </row>
    <row r="315" spans="6:33">
      <c r="F315" s="74">
        <f t="shared" si="60"/>
        <v>44900</v>
      </c>
      <c r="G315" s="72">
        <f t="shared" si="61"/>
        <v>-6945</v>
      </c>
      <c r="H315" s="68">
        <f t="shared" si="62"/>
        <v>3309</v>
      </c>
      <c r="I315" s="68">
        <f t="shared" si="63"/>
        <v>3721</v>
      </c>
      <c r="J315" s="68">
        <f t="shared" si="64"/>
        <v>1869</v>
      </c>
      <c r="K315" s="68">
        <f t="shared" si="65"/>
        <v>-145</v>
      </c>
      <c r="L315" s="68">
        <f t="shared" si="66"/>
        <v>708</v>
      </c>
      <c r="M315" s="68">
        <f t="shared" si="67"/>
        <v>369</v>
      </c>
      <c r="N315" s="68">
        <f t="shared" si="68"/>
        <v>-51</v>
      </c>
      <c r="O315" s="68">
        <f t="shared" si="69"/>
        <v>135</v>
      </c>
      <c r="P315" s="68">
        <f t="shared" si="70"/>
        <v>836</v>
      </c>
      <c r="Q315" s="68" t="str">
        <f t="shared" si="71"/>
        <v/>
      </c>
      <c r="R315" s="69">
        <f t="shared" si="72"/>
        <v>-84</v>
      </c>
      <c r="U315" s="5">
        <v>44900</v>
      </c>
      <c r="V315">
        <v>-6945</v>
      </c>
      <c r="W315">
        <v>3309</v>
      </c>
      <c r="X315">
        <v>3721</v>
      </c>
      <c r="Y315">
        <v>1869</v>
      </c>
      <c r="Z315">
        <v>-145</v>
      </c>
      <c r="AA315">
        <v>708</v>
      </c>
      <c r="AB315">
        <v>369</v>
      </c>
      <c r="AC315">
        <v>-51</v>
      </c>
      <c r="AD315">
        <v>135</v>
      </c>
      <c r="AE315">
        <v>836</v>
      </c>
      <c r="AF315">
        <v>0</v>
      </c>
      <c r="AG315">
        <v>-84</v>
      </c>
    </row>
    <row r="316" spans="6:33">
      <c r="F316" s="74">
        <f t="shared" si="60"/>
        <v>44897</v>
      </c>
      <c r="G316" s="72">
        <f t="shared" si="61"/>
        <v>-14886</v>
      </c>
      <c r="H316" s="68">
        <f t="shared" si="62"/>
        <v>35509</v>
      </c>
      <c r="I316" s="68">
        <f t="shared" si="63"/>
        <v>-18363</v>
      </c>
      <c r="J316" s="68">
        <f t="shared" si="64"/>
        <v>-11954</v>
      </c>
      <c r="K316" s="68">
        <f t="shared" si="65"/>
        <v>-838</v>
      </c>
      <c r="L316" s="68">
        <f t="shared" si="66"/>
        <v>-292</v>
      </c>
      <c r="M316" s="68">
        <f t="shared" si="67"/>
        <v>-690</v>
      </c>
      <c r="N316" s="68">
        <f t="shared" si="68"/>
        <v>15</v>
      </c>
      <c r="O316" s="68">
        <f t="shared" si="69"/>
        <v>-4526</v>
      </c>
      <c r="P316" s="68">
        <f t="shared" si="70"/>
        <v>-78</v>
      </c>
      <c r="Q316" s="68" t="str">
        <f t="shared" si="71"/>
        <v/>
      </c>
      <c r="R316" s="69">
        <f t="shared" si="72"/>
        <v>-2261</v>
      </c>
      <c r="U316" s="5">
        <v>44897</v>
      </c>
      <c r="V316">
        <v>-14886</v>
      </c>
      <c r="W316">
        <v>35509</v>
      </c>
      <c r="X316">
        <v>-18363</v>
      </c>
      <c r="Y316">
        <v>-11954</v>
      </c>
      <c r="Z316">
        <v>-838</v>
      </c>
      <c r="AA316">
        <v>-292</v>
      </c>
      <c r="AB316">
        <v>-690</v>
      </c>
      <c r="AC316">
        <v>15</v>
      </c>
      <c r="AD316">
        <v>-4526</v>
      </c>
      <c r="AE316">
        <v>-78</v>
      </c>
      <c r="AF316">
        <v>0</v>
      </c>
      <c r="AG316">
        <v>-2261</v>
      </c>
    </row>
    <row r="317" spans="6:33">
      <c r="F317" s="74">
        <f t="shared" si="60"/>
        <v>44896</v>
      </c>
      <c r="G317" s="72">
        <f t="shared" si="61"/>
        <v>7679</v>
      </c>
      <c r="H317" s="68">
        <f t="shared" si="62"/>
        <v>-14808</v>
      </c>
      <c r="I317" s="68">
        <f t="shared" si="63"/>
        <v>7385</v>
      </c>
      <c r="J317" s="68">
        <f t="shared" si="64"/>
        <v>6262</v>
      </c>
      <c r="K317" s="68">
        <f t="shared" si="65"/>
        <v>-246</v>
      </c>
      <c r="L317" s="68">
        <f t="shared" si="66"/>
        <v>577</v>
      </c>
      <c r="M317" s="68">
        <f t="shared" si="67"/>
        <v>659</v>
      </c>
      <c r="N317" s="68">
        <f t="shared" si="68"/>
        <v>-39</v>
      </c>
      <c r="O317" s="68">
        <f t="shared" si="69"/>
        <v>-177</v>
      </c>
      <c r="P317" s="68">
        <f t="shared" si="70"/>
        <v>349</v>
      </c>
      <c r="Q317" s="68" t="str">
        <f t="shared" si="71"/>
        <v/>
      </c>
      <c r="R317" s="69">
        <f t="shared" si="72"/>
        <v>-256</v>
      </c>
      <c r="U317" s="5">
        <v>44896</v>
      </c>
      <c r="V317">
        <v>7679</v>
      </c>
      <c r="W317">
        <v>-14808</v>
      </c>
      <c r="X317">
        <v>7385</v>
      </c>
      <c r="Y317">
        <v>6262</v>
      </c>
      <c r="Z317">
        <v>-246</v>
      </c>
      <c r="AA317">
        <v>577</v>
      </c>
      <c r="AB317">
        <v>659</v>
      </c>
      <c r="AC317">
        <v>-39</v>
      </c>
      <c r="AD317">
        <v>-177</v>
      </c>
      <c r="AE317">
        <v>349</v>
      </c>
      <c r="AF317">
        <v>0</v>
      </c>
      <c r="AG317">
        <v>-256</v>
      </c>
    </row>
    <row r="318" spans="6:33">
      <c r="F318" s="74">
        <f t="shared" si="60"/>
        <v>44895</v>
      </c>
      <c r="G318" s="72">
        <f t="shared" si="61"/>
        <v>21253</v>
      </c>
      <c r="H318" s="68">
        <f t="shared" si="62"/>
        <v>-11253</v>
      </c>
      <c r="I318" s="68">
        <f t="shared" si="63"/>
        <v>-7940</v>
      </c>
      <c r="J318" s="68">
        <f t="shared" si="64"/>
        <v>-12923</v>
      </c>
      <c r="K318" s="68">
        <f t="shared" si="65"/>
        <v>300</v>
      </c>
      <c r="L318" s="68">
        <f t="shared" si="66"/>
        <v>623</v>
      </c>
      <c r="M318" s="68">
        <f t="shared" si="67"/>
        <v>2910</v>
      </c>
      <c r="N318" s="68">
        <f t="shared" si="68"/>
        <v>-9</v>
      </c>
      <c r="O318" s="68">
        <f t="shared" si="69"/>
        <v>-108</v>
      </c>
      <c r="P318" s="68">
        <f t="shared" si="70"/>
        <v>1267</v>
      </c>
      <c r="Q318" s="68" t="str">
        <f t="shared" si="71"/>
        <v/>
      </c>
      <c r="R318" s="69">
        <f t="shared" si="72"/>
        <v>-2061</v>
      </c>
      <c r="U318" s="5">
        <v>44895</v>
      </c>
      <c r="V318">
        <v>21253</v>
      </c>
      <c r="W318">
        <v>-11253</v>
      </c>
      <c r="X318">
        <v>-7940</v>
      </c>
      <c r="Y318">
        <v>-12923</v>
      </c>
      <c r="Z318">
        <v>300</v>
      </c>
      <c r="AA318">
        <v>623</v>
      </c>
      <c r="AB318">
        <v>2910</v>
      </c>
      <c r="AC318">
        <v>-9</v>
      </c>
      <c r="AD318">
        <v>-108</v>
      </c>
      <c r="AE318">
        <v>1267</v>
      </c>
      <c r="AF318">
        <v>0</v>
      </c>
      <c r="AG318">
        <v>-2061</v>
      </c>
    </row>
    <row r="319" spans="6:33">
      <c r="F319" s="74">
        <f t="shared" si="60"/>
        <v>44894</v>
      </c>
      <c r="G319" s="72">
        <f t="shared" si="61"/>
        <v>8926</v>
      </c>
      <c r="H319" s="68">
        <f t="shared" si="62"/>
        <v>-15928</v>
      </c>
      <c r="I319" s="68">
        <f t="shared" si="63"/>
        <v>7646</v>
      </c>
      <c r="J319" s="68">
        <f t="shared" si="64"/>
        <v>4189</v>
      </c>
      <c r="K319" s="68">
        <f t="shared" si="65"/>
        <v>264</v>
      </c>
      <c r="L319" s="68">
        <f t="shared" si="66"/>
        <v>152</v>
      </c>
      <c r="M319" s="68">
        <f t="shared" si="67"/>
        <v>1103</v>
      </c>
      <c r="N319" s="68">
        <f t="shared" si="68"/>
        <v>11</v>
      </c>
      <c r="O319" s="68">
        <f t="shared" si="69"/>
        <v>-155</v>
      </c>
      <c r="P319" s="68">
        <f t="shared" si="70"/>
        <v>2082</v>
      </c>
      <c r="Q319" s="68" t="str">
        <f t="shared" si="71"/>
        <v/>
      </c>
      <c r="R319" s="69">
        <f t="shared" si="72"/>
        <v>-645</v>
      </c>
      <c r="U319" s="5">
        <v>44894</v>
      </c>
      <c r="V319">
        <v>8926</v>
      </c>
      <c r="W319">
        <v>-15928</v>
      </c>
      <c r="X319">
        <v>7646</v>
      </c>
      <c r="Y319">
        <v>4189</v>
      </c>
      <c r="Z319">
        <v>264</v>
      </c>
      <c r="AA319">
        <v>152</v>
      </c>
      <c r="AB319">
        <v>1103</v>
      </c>
      <c r="AC319">
        <v>11</v>
      </c>
      <c r="AD319">
        <v>-155</v>
      </c>
      <c r="AE319">
        <v>2082</v>
      </c>
      <c r="AF319">
        <v>0</v>
      </c>
      <c r="AG319">
        <v>-645</v>
      </c>
    </row>
    <row r="320" spans="6:33">
      <c r="F320" s="74">
        <f t="shared" si="60"/>
        <v>44893</v>
      </c>
      <c r="G320" s="72">
        <f t="shared" si="61"/>
        <v>-14539</v>
      </c>
      <c r="H320" s="68">
        <f t="shared" si="62"/>
        <v>17212</v>
      </c>
      <c r="I320" s="68">
        <f t="shared" si="63"/>
        <v>-3884</v>
      </c>
      <c r="J320" s="68">
        <f t="shared" si="64"/>
        <v>-2166</v>
      </c>
      <c r="K320" s="68" t="str">
        <f t="shared" si="65"/>
        <v/>
      </c>
      <c r="L320" s="68">
        <f t="shared" si="66"/>
        <v>-420</v>
      </c>
      <c r="M320" s="68">
        <f t="shared" si="67"/>
        <v>-68</v>
      </c>
      <c r="N320" s="68">
        <f t="shared" si="68"/>
        <v>-28</v>
      </c>
      <c r="O320" s="68">
        <f t="shared" si="69"/>
        <v>32</v>
      </c>
      <c r="P320" s="68">
        <f t="shared" si="70"/>
        <v>-1234</v>
      </c>
      <c r="Q320" s="68" t="str">
        <f t="shared" si="71"/>
        <v/>
      </c>
      <c r="R320" s="69">
        <f t="shared" si="72"/>
        <v>1209</v>
      </c>
      <c r="U320" s="5">
        <v>44893</v>
      </c>
      <c r="V320">
        <v>-14539</v>
      </c>
      <c r="W320">
        <v>17212</v>
      </c>
      <c r="X320">
        <v>-3884</v>
      </c>
      <c r="Y320">
        <v>-2166</v>
      </c>
      <c r="Z320">
        <v>0</v>
      </c>
      <c r="AA320">
        <v>-420</v>
      </c>
      <c r="AB320">
        <v>-68</v>
      </c>
      <c r="AC320">
        <v>-28</v>
      </c>
      <c r="AD320">
        <v>32</v>
      </c>
      <c r="AE320">
        <v>-1234</v>
      </c>
      <c r="AF320">
        <v>0</v>
      </c>
      <c r="AG320">
        <v>1209</v>
      </c>
    </row>
    <row r="321" spans="6:33">
      <c r="F321" s="74">
        <f t="shared" si="60"/>
        <v>44890</v>
      </c>
      <c r="G321" s="72">
        <f t="shared" si="61"/>
        <v>3683</v>
      </c>
      <c r="H321" s="68">
        <f t="shared" si="62"/>
        <v>-4850</v>
      </c>
      <c r="I321" s="68">
        <f t="shared" si="63"/>
        <v>1281</v>
      </c>
      <c r="J321" s="68">
        <f t="shared" si="64"/>
        <v>277</v>
      </c>
      <c r="K321" s="68">
        <f t="shared" si="65"/>
        <v>550</v>
      </c>
      <c r="L321" s="68">
        <f t="shared" si="66"/>
        <v>598</v>
      </c>
      <c r="M321" s="68">
        <f t="shared" si="67"/>
        <v>188</v>
      </c>
      <c r="N321" s="68">
        <f t="shared" si="68"/>
        <v>-5</v>
      </c>
      <c r="O321" s="68">
        <f t="shared" si="69"/>
        <v>8</v>
      </c>
      <c r="P321" s="68">
        <f t="shared" si="70"/>
        <v>-335</v>
      </c>
      <c r="Q321" s="68" t="str">
        <f t="shared" si="71"/>
        <v/>
      </c>
      <c r="R321" s="69">
        <f t="shared" si="72"/>
        <v>-115</v>
      </c>
      <c r="U321" s="5">
        <v>44890</v>
      </c>
      <c r="V321">
        <v>3683</v>
      </c>
      <c r="W321">
        <v>-4850</v>
      </c>
      <c r="X321">
        <v>1281</v>
      </c>
      <c r="Y321">
        <v>277</v>
      </c>
      <c r="Z321">
        <v>550</v>
      </c>
      <c r="AA321">
        <v>598</v>
      </c>
      <c r="AB321">
        <v>188</v>
      </c>
      <c r="AC321">
        <v>-5</v>
      </c>
      <c r="AD321">
        <v>8</v>
      </c>
      <c r="AE321">
        <v>-335</v>
      </c>
      <c r="AF321">
        <v>0</v>
      </c>
      <c r="AG321">
        <v>-115</v>
      </c>
    </row>
    <row r="322" spans="6:33">
      <c r="F322" s="74">
        <f t="shared" si="60"/>
        <v>44889</v>
      </c>
      <c r="G322" s="72">
        <f t="shared" si="61"/>
        <v>11474</v>
      </c>
      <c r="H322" s="68">
        <f t="shared" si="62"/>
        <v>-12604</v>
      </c>
      <c r="I322" s="68">
        <f t="shared" si="63"/>
        <v>898</v>
      </c>
      <c r="J322" s="68">
        <f t="shared" si="64"/>
        <v>891</v>
      </c>
      <c r="K322" s="68">
        <f t="shared" si="65"/>
        <v>-368</v>
      </c>
      <c r="L322" s="68">
        <f t="shared" si="66"/>
        <v>139</v>
      </c>
      <c r="M322" s="68">
        <f t="shared" si="67"/>
        <v>756</v>
      </c>
      <c r="N322" s="68">
        <f t="shared" si="68"/>
        <v>96</v>
      </c>
      <c r="O322" s="68">
        <f t="shared" si="69"/>
        <v>-14</v>
      </c>
      <c r="P322" s="68">
        <f t="shared" si="70"/>
        <v>-602</v>
      </c>
      <c r="Q322" s="68" t="str">
        <f t="shared" si="71"/>
        <v/>
      </c>
      <c r="R322" s="69">
        <f t="shared" si="72"/>
        <v>232</v>
      </c>
      <c r="U322" s="5">
        <v>44889</v>
      </c>
      <c r="V322">
        <v>11474</v>
      </c>
      <c r="W322">
        <v>-12604</v>
      </c>
      <c r="X322">
        <v>898</v>
      </c>
      <c r="Y322">
        <v>891</v>
      </c>
      <c r="Z322">
        <v>-368</v>
      </c>
      <c r="AA322">
        <v>139</v>
      </c>
      <c r="AB322">
        <v>756</v>
      </c>
      <c r="AC322">
        <v>96</v>
      </c>
      <c r="AD322">
        <v>-14</v>
      </c>
      <c r="AE322">
        <v>-602</v>
      </c>
      <c r="AF322">
        <v>0</v>
      </c>
      <c r="AG322">
        <v>232</v>
      </c>
    </row>
    <row r="323" spans="6:33">
      <c r="F323" s="74">
        <f t="shared" si="60"/>
        <v>44888</v>
      </c>
      <c r="G323" s="72">
        <f t="shared" si="61"/>
        <v>11265</v>
      </c>
      <c r="H323" s="68">
        <f t="shared" si="62"/>
        <v>-13052</v>
      </c>
      <c r="I323" s="68">
        <f t="shared" si="63"/>
        <v>901</v>
      </c>
      <c r="J323" s="68">
        <f t="shared" si="64"/>
        <v>393</v>
      </c>
      <c r="K323" s="68">
        <f t="shared" si="65"/>
        <v>65</v>
      </c>
      <c r="L323" s="68">
        <f t="shared" si="66"/>
        <v>1022</v>
      </c>
      <c r="M323" s="68">
        <f t="shared" si="67"/>
        <v>764</v>
      </c>
      <c r="N323" s="68">
        <f t="shared" si="68"/>
        <v>-55</v>
      </c>
      <c r="O323" s="68">
        <f t="shared" si="69"/>
        <v>-77</v>
      </c>
      <c r="P323" s="68">
        <f t="shared" si="70"/>
        <v>-1211</v>
      </c>
      <c r="Q323" s="68" t="str">
        <f t="shared" si="71"/>
        <v/>
      </c>
      <c r="R323" s="69">
        <f t="shared" si="72"/>
        <v>885</v>
      </c>
      <c r="U323" s="5">
        <v>44888</v>
      </c>
      <c r="V323">
        <v>11265</v>
      </c>
      <c r="W323">
        <v>-13052</v>
      </c>
      <c r="X323">
        <v>901</v>
      </c>
      <c r="Y323">
        <v>393</v>
      </c>
      <c r="Z323">
        <v>65</v>
      </c>
      <c r="AA323">
        <v>1022</v>
      </c>
      <c r="AB323">
        <v>764</v>
      </c>
      <c r="AC323">
        <v>-55</v>
      </c>
      <c r="AD323">
        <v>-77</v>
      </c>
      <c r="AE323">
        <v>-1211</v>
      </c>
      <c r="AF323">
        <v>0</v>
      </c>
      <c r="AG323">
        <v>885</v>
      </c>
    </row>
    <row r="324" spans="6:33">
      <c r="F324" s="74">
        <f t="shared" si="60"/>
        <v>44887</v>
      </c>
      <c r="G324" s="72">
        <f t="shared" si="61"/>
        <v>3123</v>
      </c>
      <c r="H324" s="68">
        <f t="shared" si="62"/>
        <v>-2105</v>
      </c>
      <c r="I324" s="68">
        <f t="shared" si="63"/>
        <v>-262</v>
      </c>
      <c r="J324" s="68">
        <f t="shared" si="64"/>
        <v>1043</v>
      </c>
      <c r="K324" s="68">
        <f t="shared" si="65"/>
        <v>-61</v>
      </c>
      <c r="L324" s="68">
        <f t="shared" si="66"/>
        <v>748</v>
      </c>
      <c r="M324" s="68">
        <f t="shared" si="67"/>
        <v>-6</v>
      </c>
      <c r="N324" s="68">
        <f t="shared" si="68"/>
        <v>30</v>
      </c>
      <c r="O324" s="68">
        <f t="shared" si="69"/>
        <v>-319</v>
      </c>
      <c r="P324" s="68">
        <f t="shared" si="70"/>
        <v>-1697</v>
      </c>
      <c r="Q324" s="68" t="str">
        <f t="shared" si="71"/>
        <v/>
      </c>
      <c r="R324" s="69">
        <f t="shared" si="72"/>
        <v>-755</v>
      </c>
      <c r="U324" s="5">
        <v>44887</v>
      </c>
      <c r="V324">
        <v>3123</v>
      </c>
      <c r="W324">
        <v>-2105</v>
      </c>
      <c r="X324">
        <v>-262</v>
      </c>
      <c r="Y324">
        <v>1043</v>
      </c>
      <c r="Z324">
        <v>-61</v>
      </c>
      <c r="AA324">
        <v>748</v>
      </c>
      <c r="AB324">
        <v>-6</v>
      </c>
      <c r="AC324">
        <v>30</v>
      </c>
      <c r="AD324">
        <v>-319</v>
      </c>
      <c r="AE324">
        <v>-1697</v>
      </c>
      <c r="AF324">
        <v>0</v>
      </c>
      <c r="AG324">
        <v>-755</v>
      </c>
    </row>
    <row r="325" spans="6:33">
      <c r="F325" s="74">
        <f t="shared" si="60"/>
        <v>44886</v>
      </c>
      <c r="G325" s="72">
        <f t="shared" si="61"/>
        <v>-12726</v>
      </c>
      <c r="H325" s="68">
        <f t="shared" si="62"/>
        <v>11491</v>
      </c>
      <c r="I325" s="68">
        <f t="shared" si="63"/>
        <v>643</v>
      </c>
      <c r="J325" s="68">
        <f t="shared" si="64"/>
        <v>4402</v>
      </c>
      <c r="K325" s="68">
        <f t="shared" si="65"/>
        <v>-422</v>
      </c>
      <c r="L325" s="68">
        <f t="shared" si="66"/>
        <v>-454</v>
      </c>
      <c r="M325" s="68">
        <f t="shared" si="67"/>
        <v>-2189</v>
      </c>
      <c r="N325" s="68">
        <f t="shared" si="68"/>
        <v>-19</v>
      </c>
      <c r="O325" s="68">
        <f t="shared" si="69"/>
        <v>-90</v>
      </c>
      <c r="P325" s="68">
        <f t="shared" si="70"/>
        <v>-585</v>
      </c>
      <c r="Q325" s="68" t="str">
        <f t="shared" si="71"/>
        <v/>
      </c>
      <c r="R325" s="69">
        <f t="shared" si="72"/>
        <v>592</v>
      </c>
      <c r="U325" s="5">
        <v>44886</v>
      </c>
      <c r="V325">
        <v>-12726</v>
      </c>
      <c r="W325">
        <v>11491</v>
      </c>
      <c r="X325">
        <v>643</v>
      </c>
      <c r="Y325">
        <v>4402</v>
      </c>
      <c r="Z325">
        <v>-422</v>
      </c>
      <c r="AA325">
        <v>-454</v>
      </c>
      <c r="AB325">
        <v>-2189</v>
      </c>
      <c r="AC325">
        <v>-19</v>
      </c>
      <c r="AD325">
        <v>-90</v>
      </c>
      <c r="AE325">
        <v>-585</v>
      </c>
      <c r="AF325">
        <v>0</v>
      </c>
      <c r="AG325">
        <v>592</v>
      </c>
    </row>
    <row r="326" spans="6:33">
      <c r="F326" s="74">
        <f t="shared" si="60"/>
        <v>44883</v>
      </c>
      <c r="G326" s="72">
        <f t="shared" si="61"/>
        <v>1030</v>
      </c>
      <c r="H326" s="68">
        <f t="shared" si="62"/>
        <v>1525</v>
      </c>
      <c r="I326" s="68">
        <f t="shared" si="63"/>
        <v>-2189</v>
      </c>
      <c r="J326" s="68">
        <f t="shared" si="64"/>
        <v>-313</v>
      </c>
      <c r="K326" s="68">
        <f t="shared" si="65"/>
        <v>-786</v>
      </c>
      <c r="L326" s="68">
        <f t="shared" si="66"/>
        <v>1267</v>
      </c>
      <c r="M326" s="68">
        <f t="shared" si="67"/>
        <v>-965</v>
      </c>
      <c r="N326" s="68">
        <f t="shared" si="68"/>
        <v>-16</v>
      </c>
      <c r="O326" s="68">
        <f t="shared" si="69"/>
        <v>-85</v>
      </c>
      <c r="P326" s="68">
        <f t="shared" si="70"/>
        <v>-1291</v>
      </c>
      <c r="Q326" s="68" t="str">
        <f t="shared" si="71"/>
        <v/>
      </c>
      <c r="R326" s="69">
        <f t="shared" si="72"/>
        <v>-366</v>
      </c>
      <c r="U326" s="5">
        <v>44883</v>
      </c>
      <c r="V326">
        <v>1030</v>
      </c>
      <c r="W326">
        <v>1525</v>
      </c>
      <c r="X326">
        <v>-2189</v>
      </c>
      <c r="Y326">
        <v>-313</v>
      </c>
      <c r="Z326">
        <v>-786</v>
      </c>
      <c r="AA326">
        <v>1267</v>
      </c>
      <c r="AB326">
        <v>-965</v>
      </c>
      <c r="AC326">
        <v>-16</v>
      </c>
      <c r="AD326">
        <v>-85</v>
      </c>
      <c r="AE326">
        <v>-1291</v>
      </c>
      <c r="AF326">
        <v>0</v>
      </c>
      <c r="AG326">
        <v>-366</v>
      </c>
    </row>
    <row r="327" spans="6:33">
      <c r="F327" s="74">
        <f t="shared" si="60"/>
        <v>44882</v>
      </c>
      <c r="G327" s="72">
        <f t="shared" si="61"/>
        <v>-18477</v>
      </c>
      <c r="H327" s="68">
        <f t="shared" si="62"/>
        <v>25240</v>
      </c>
      <c r="I327" s="68">
        <f t="shared" si="63"/>
        <v>-6088</v>
      </c>
      <c r="J327" s="68">
        <f t="shared" si="64"/>
        <v>-234</v>
      </c>
      <c r="K327" s="68">
        <f t="shared" si="65"/>
        <v>-798</v>
      </c>
      <c r="L327" s="68">
        <f t="shared" si="66"/>
        <v>-488</v>
      </c>
      <c r="M327" s="68">
        <f t="shared" si="67"/>
        <v>-1627</v>
      </c>
      <c r="N327" s="68">
        <f t="shared" si="68"/>
        <v>-7</v>
      </c>
      <c r="O327" s="68">
        <f t="shared" si="69"/>
        <v>-287</v>
      </c>
      <c r="P327" s="68">
        <f t="shared" si="70"/>
        <v>-2647</v>
      </c>
      <c r="Q327" s="68" t="str">
        <f t="shared" si="71"/>
        <v/>
      </c>
      <c r="R327" s="69">
        <f t="shared" si="72"/>
        <v>-675</v>
      </c>
      <c r="U327" s="5">
        <v>44882</v>
      </c>
      <c r="V327">
        <v>-18477</v>
      </c>
      <c r="W327">
        <v>25240</v>
      </c>
      <c r="X327">
        <v>-6088</v>
      </c>
      <c r="Y327">
        <v>-234</v>
      </c>
      <c r="Z327">
        <v>-798</v>
      </c>
      <c r="AA327">
        <v>-488</v>
      </c>
      <c r="AB327">
        <v>-1627</v>
      </c>
      <c r="AC327">
        <v>-7</v>
      </c>
      <c r="AD327">
        <v>-287</v>
      </c>
      <c r="AE327">
        <v>-2647</v>
      </c>
      <c r="AF327">
        <v>0</v>
      </c>
      <c r="AG327">
        <v>-675</v>
      </c>
    </row>
    <row r="328" spans="6:33">
      <c r="F328" s="74">
        <f t="shared" si="60"/>
        <v>44881</v>
      </c>
      <c r="G328" s="72">
        <f t="shared" si="61"/>
        <v>-3199</v>
      </c>
      <c r="H328" s="68">
        <f t="shared" si="62"/>
        <v>7773</v>
      </c>
      <c r="I328" s="68">
        <f t="shared" si="63"/>
        <v>-4236</v>
      </c>
      <c r="J328" s="68">
        <f t="shared" si="64"/>
        <v>1414</v>
      </c>
      <c r="K328" s="68">
        <f t="shared" si="65"/>
        <v>303</v>
      </c>
      <c r="L328" s="68">
        <f t="shared" si="66"/>
        <v>-485</v>
      </c>
      <c r="M328" s="68">
        <f t="shared" si="67"/>
        <v>-2485</v>
      </c>
      <c r="N328" s="68">
        <f t="shared" si="68"/>
        <v>-11</v>
      </c>
      <c r="O328" s="68">
        <f t="shared" si="69"/>
        <v>-438</v>
      </c>
      <c r="P328" s="68">
        <f t="shared" si="70"/>
        <v>-2534</v>
      </c>
      <c r="Q328" s="68" t="str">
        <f t="shared" si="71"/>
        <v/>
      </c>
      <c r="R328" s="69">
        <f t="shared" si="72"/>
        <v>-338</v>
      </c>
      <c r="U328" s="5">
        <v>44881</v>
      </c>
      <c r="V328">
        <v>-3199</v>
      </c>
      <c r="W328">
        <v>7773</v>
      </c>
      <c r="X328">
        <v>-4236</v>
      </c>
      <c r="Y328">
        <v>1414</v>
      </c>
      <c r="Z328">
        <v>303</v>
      </c>
      <c r="AA328">
        <v>-485</v>
      </c>
      <c r="AB328">
        <v>-2485</v>
      </c>
      <c r="AC328">
        <v>-11</v>
      </c>
      <c r="AD328">
        <v>-438</v>
      </c>
      <c r="AE328">
        <v>-2534</v>
      </c>
      <c r="AF328">
        <v>0</v>
      </c>
      <c r="AG328">
        <v>-338</v>
      </c>
    </row>
    <row r="329" spans="6:33">
      <c r="F329" s="74">
        <f t="shared" si="60"/>
        <v>44880</v>
      </c>
      <c r="G329" s="72">
        <f t="shared" si="61"/>
        <v>-7385</v>
      </c>
      <c r="H329" s="68">
        <f t="shared" si="62"/>
        <v>9243</v>
      </c>
      <c r="I329" s="68">
        <f t="shared" si="63"/>
        <v>-773</v>
      </c>
      <c r="J329" s="68">
        <f t="shared" si="64"/>
        <v>4191</v>
      </c>
      <c r="K329" s="68">
        <f t="shared" si="65"/>
        <v>16</v>
      </c>
      <c r="L329" s="68">
        <f t="shared" si="66"/>
        <v>-1454</v>
      </c>
      <c r="M329" s="68">
        <f t="shared" si="67"/>
        <v>-1778</v>
      </c>
      <c r="N329" s="68">
        <f t="shared" si="68"/>
        <v>11</v>
      </c>
      <c r="O329" s="68">
        <f t="shared" si="69"/>
        <v>-176</v>
      </c>
      <c r="P329" s="68">
        <f t="shared" si="70"/>
        <v>-1583</v>
      </c>
      <c r="Q329" s="68" t="str">
        <f t="shared" si="71"/>
        <v/>
      </c>
      <c r="R329" s="69">
        <f t="shared" si="72"/>
        <v>-1086</v>
      </c>
      <c r="U329" s="5">
        <v>44880</v>
      </c>
      <c r="V329">
        <v>-7385</v>
      </c>
      <c r="W329">
        <v>9243</v>
      </c>
      <c r="X329">
        <v>-773</v>
      </c>
      <c r="Y329">
        <v>4191</v>
      </c>
      <c r="Z329">
        <v>16</v>
      </c>
      <c r="AA329">
        <v>-1454</v>
      </c>
      <c r="AB329">
        <v>-1778</v>
      </c>
      <c r="AC329">
        <v>11</v>
      </c>
      <c r="AD329">
        <v>-176</v>
      </c>
      <c r="AE329">
        <v>-1583</v>
      </c>
      <c r="AF329">
        <v>0</v>
      </c>
      <c r="AG329">
        <v>-1086</v>
      </c>
    </row>
    <row r="330" spans="6:33">
      <c r="F330" s="74">
        <f t="shared" si="60"/>
        <v>44879</v>
      </c>
      <c r="G330" s="72">
        <f t="shared" si="61"/>
        <v>17420</v>
      </c>
      <c r="H330" s="68">
        <f t="shared" si="62"/>
        <v>-11957</v>
      </c>
      <c r="I330" s="68">
        <f t="shared" si="63"/>
        <v>-5464</v>
      </c>
      <c r="J330" s="68">
        <f t="shared" si="64"/>
        <v>407</v>
      </c>
      <c r="K330" s="68">
        <f t="shared" si="65"/>
        <v>-372</v>
      </c>
      <c r="L330" s="68">
        <f t="shared" si="66"/>
        <v>-1489</v>
      </c>
      <c r="M330" s="68">
        <f t="shared" si="67"/>
        <v>-1996</v>
      </c>
      <c r="N330" s="68">
        <f t="shared" si="68"/>
        <v>-57</v>
      </c>
      <c r="O330" s="68">
        <f t="shared" si="69"/>
        <v>-220</v>
      </c>
      <c r="P330" s="68">
        <f t="shared" si="70"/>
        <v>-1737</v>
      </c>
      <c r="Q330" s="68" t="str">
        <f t="shared" si="71"/>
        <v/>
      </c>
      <c r="R330" s="69">
        <f t="shared" si="72"/>
        <v>1</v>
      </c>
      <c r="U330" s="5">
        <v>44879</v>
      </c>
      <c r="V330">
        <v>17420</v>
      </c>
      <c r="W330">
        <v>-11957</v>
      </c>
      <c r="X330">
        <v>-5464</v>
      </c>
      <c r="Y330">
        <v>407</v>
      </c>
      <c r="Z330">
        <v>-372</v>
      </c>
      <c r="AA330">
        <v>-1489</v>
      </c>
      <c r="AB330">
        <v>-1996</v>
      </c>
      <c r="AC330">
        <v>-57</v>
      </c>
      <c r="AD330">
        <v>-220</v>
      </c>
      <c r="AE330">
        <v>-1737</v>
      </c>
      <c r="AF330">
        <v>0</v>
      </c>
      <c r="AG330">
        <v>1</v>
      </c>
    </row>
    <row r="331" spans="6:33">
      <c r="F331" s="74">
        <f t="shared" si="60"/>
        <v>44876</v>
      </c>
      <c r="G331" s="72">
        <f t="shared" si="61"/>
        <v>11869</v>
      </c>
      <c r="H331" s="68">
        <f t="shared" si="62"/>
        <v>-29120</v>
      </c>
      <c r="I331" s="68">
        <f t="shared" si="63"/>
        <v>17398</v>
      </c>
      <c r="J331" s="68">
        <f t="shared" si="64"/>
        <v>16846</v>
      </c>
      <c r="K331" s="68">
        <f t="shared" si="65"/>
        <v>14</v>
      </c>
      <c r="L331" s="68">
        <f t="shared" si="66"/>
        <v>-682</v>
      </c>
      <c r="M331" s="68">
        <f t="shared" si="67"/>
        <v>1860</v>
      </c>
      <c r="N331" s="68">
        <f t="shared" si="68"/>
        <v>8</v>
      </c>
      <c r="O331" s="68">
        <f t="shared" si="69"/>
        <v>-4</v>
      </c>
      <c r="P331" s="68">
        <f t="shared" si="70"/>
        <v>-644</v>
      </c>
      <c r="Q331" s="68" t="str">
        <f t="shared" si="71"/>
        <v/>
      </c>
      <c r="R331" s="69">
        <f t="shared" si="72"/>
        <v>-148</v>
      </c>
      <c r="U331" s="5">
        <v>44876</v>
      </c>
      <c r="V331">
        <v>11869</v>
      </c>
      <c r="W331">
        <v>-29120</v>
      </c>
      <c r="X331">
        <v>17398</v>
      </c>
      <c r="Y331">
        <v>16846</v>
      </c>
      <c r="Z331">
        <v>14</v>
      </c>
      <c r="AA331">
        <v>-682</v>
      </c>
      <c r="AB331">
        <v>1860</v>
      </c>
      <c r="AC331">
        <v>8</v>
      </c>
      <c r="AD331">
        <v>-4</v>
      </c>
      <c r="AE331">
        <v>-644</v>
      </c>
      <c r="AF331">
        <v>0</v>
      </c>
      <c r="AG331">
        <v>-148</v>
      </c>
    </row>
    <row r="332" spans="6:33">
      <c r="F332" s="74">
        <f t="shared" si="60"/>
        <v>44875</v>
      </c>
      <c r="G332" s="72">
        <f t="shared" si="61"/>
        <v>-4148</v>
      </c>
      <c r="H332" s="68">
        <f t="shared" si="62"/>
        <v>8313</v>
      </c>
      <c r="I332" s="68">
        <f t="shared" si="63"/>
        <v>-5987</v>
      </c>
      <c r="J332" s="68">
        <f t="shared" si="64"/>
        <v>-1316</v>
      </c>
      <c r="K332" s="68">
        <f t="shared" si="65"/>
        <v>-248</v>
      </c>
      <c r="L332" s="68">
        <f t="shared" si="66"/>
        <v>-834</v>
      </c>
      <c r="M332" s="68">
        <f t="shared" si="67"/>
        <v>-1247</v>
      </c>
      <c r="N332" s="68">
        <f t="shared" si="68"/>
        <v>3</v>
      </c>
      <c r="O332" s="68">
        <f t="shared" si="69"/>
        <v>15</v>
      </c>
      <c r="P332" s="68">
        <f t="shared" si="70"/>
        <v>-2360</v>
      </c>
      <c r="Q332" s="68" t="str">
        <f t="shared" si="71"/>
        <v/>
      </c>
      <c r="R332" s="69">
        <f t="shared" si="72"/>
        <v>1822</v>
      </c>
      <c r="U332" s="5">
        <v>44875</v>
      </c>
      <c r="V332">
        <v>-4148</v>
      </c>
      <c r="W332">
        <v>8313</v>
      </c>
      <c r="X332">
        <v>-5987</v>
      </c>
      <c r="Y332">
        <v>-1316</v>
      </c>
      <c r="Z332">
        <v>-248</v>
      </c>
      <c r="AA332">
        <v>-834</v>
      </c>
      <c r="AB332">
        <v>-1247</v>
      </c>
      <c r="AC332">
        <v>3</v>
      </c>
      <c r="AD332">
        <v>15</v>
      </c>
      <c r="AE332">
        <v>-2360</v>
      </c>
      <c r="AF332">
        <v>0</v>
      </c>
      <c r="AG332">
        <v>1822</v>
      </c>
    </row>
    <row r="333" spans="6:33">
      <c r="F333" s="74">
        <f t="shared" si="60"/>
        <v>44874</v>
      </c>
      <c r="G333" s="72">
        <f t="shared" si="61"/>
        <v>17166</v>
      </c>
      <c r="H333" s="68">
        <f t="shared" si="62"/>
        <v>-22510</v>
      </c>
      <c r="I333" s="68">
        <f t="shared" si="63"/>
        <v>4661</v>
      </c>
      <c r="J333" s="68">
        <f t="shared" si="64"/>
        <v>7004</v>
      </c>
      <c r="K333" s="68">
        <f t="shared" si="65"/>
        <v>-109</v>
      </c>
      <c r="L333" s="68">
        <f t="shared" si="66"/>
        <v>-368</v>
      </c>
      <c r="M333" s="68">
        <f t="shared" si="67"/>
        <v>-1262</v>
      </c>
      <c r="N333" s="68">
        <f t="shared" si="68"/>
        <v>-20</v>
      </c>
      <c r="O333" s="68">
        <f t="shared" si="69"/>
        <v>108</v>
      </c>
      <c r="P333" s="68">
        <f t="shared" si="70"/>
        <v>-692</v>
      </c>
      <c r="Q333" s="68" t="str">
        <f t="shared" si="71"/>
        <v/>
      </c>
      <c r="R333" s="69">
        <f t="shared" si="72"/>
        <v>682</v>
      </c>
      <c r="U333" s="5">
        <v>44874</v>
      </c>
      <c r="V333">
        <v>17166</v>
      </c>
      <c r="W333">
        <v>-22510</v>
      </c>
      <c r="X333">
        <v>4661</v>
      </c>
      <c r="Y333">
        <v>7004</v>
      </c>
      <c r="Z333">
        <v>-109</v>
      </c>
      <c r="AA333">
        <v>-368</v>
      </c>
      <c r="AB333">
        <v>-1262</v>
      </c>
      <c r="AC333">
        <v>-20</v>
      </c>
      <c r="AD333">
        <v>108</v>
      </c>
      <c r="AE333">
        <v>-692</v>
      </c>
      <c r="AF333">
        <v>0</v>
      </c>
      <c r="AG333">
        <v>682</v>
      </c>
    </row>
    <row r="334" spans="6:33">
      <c r="F334" s="74">
        <f t="shared" si="60"/>
        <v>44873</v>
      </c>
      <c r="G334" s="72">
        <f t="shared" si="61"/>
        <v>10173</v>
      </c>
      <c r="H334" s="68">
        <f t="shared" si="62"/>
        <v>-19064</v>
      </c>
      <c r="I334" s="68">
        <f t="shared" si="63"/>
        <v>9308</v>
      </c>
      <c r="J334" s="68">
        <f t="shared" si="64"/>
        <v>9431</v>
      </c>
      <c r="K334" s="68">
        <f t="shared" si="65"/>
        <v>198</v>
      </c>
      <c r="L334" s="68">
        <f t="shared" si="66"/>
        <v>-388</v>
      </c>
      <c r="M334" s="68">
        <f t="shared" si="67"/>
        <v>-461</v>
      </c>
      <c r="N334" s="68">
        <f t="shared" si="68"/>
        <v>-57</v>
      </c>
      <c r="O334" s="68">
        <f t="shared" si="69"/>
        <v>-30</v>
      </c>
      <c r="P334" s="68">
        <f t="shared" si="70"/>
        <v>615</v>
      </c>
      <c r="Q334" s="68" t="str">
        <f t="shared" si="71"/>
        <v/>
      </c>
      <c r="R334" s="69">
        <f t="shared" si="72"/>
        <v>-418</v>
      </c>
      <c r="U334" s="5">
        <v>44873</v>
      </c>
      <c r="V334">
        <v>10173</v>
      </c>
      <c r="W334">
        <v>-19064</v>
      </c>
      <c r="X334">
        <v>9308</v>
      </c>
      <c r="Y334">
        <v>9431</v>
      </c>
      <c r="Z334">
        <v>198</v>
      </c>
      <c r="AA334">
        <v>-388</v>
      </c>
      <c r="AB334">
        <v>-461</v>
      </c>
      <c r="AC334">
        <v>-57</v>
      </c>
      <c r="AD334">
        <v>-30</v>
      </c>
      <c r="AE334">
        <v>615</v>
      </c>
      <c r="AF334">
        <v>0</v>
      </c>
      <c r="AG334">
        <v>-418</v>
      </c>
    </row>
    <row r="335" spans="6:33">
      <c r="F335" s="74">
        <f t="shared" si="60"/>
        <v>44872</v>
      </c>
      <c r="G335" s="72">
        <f t="shared" si="61"/>
        <v>11009</v>
      </c>
      <c r="H335" s="68">
        <f t="shared" si="62"/>
        <v>-15297</v>
      </c>
      <c r="I335" s="68">
        <f t="shared" si="63"/>
        <v>4010</v>
      </c>
      <c r="J335" s="68">
        <f t="shared" si="64"/>
        <v>5678</v>
      </c>
      <c r="K335" s="68">
        <f t="shared" si="65"/>
        <v>-132</v>
      </c>
      <c r="L335" s="68">
        <f t="shared" si="66"/>
        <v>597</v>
      </c>
      <c r="M335" s="68">
        <f t="shared" si="67"/>
        <v>273</v>
      </c>
      <c r="N335" s="68">
        <f t="shared" si="68"/>
        <v>-9</v>
      </c>
      <c r="O335" s="68">
        <f t="shared" si="69"/>
        <v>50</v>
      </c>
      <c r="P335" s="68">
        <f t="shared" si="70"/>
        <v>-2447</v>
      </c>
      <c r="Q335" s="68" t="str">
        <f t="shared" si="71"/>
        <v/>
      </c>
      <c r="R335" s="69">
        <f t="shared" si="72"/>
        <v>278</v>
      </c>
      <c r="U335" s="5">
        <v>44872</v>
      </c>
      <c r="V335">
        <v>11009</v>
      </c>
      <c r="W335">
        <v>-15297</v>
      </c>
      <c r="X335">
        <v>4010</v>
      </c>
      <c r="Y335">
        <v>5678</v>
      </c>
      <c r="Z335">
        <v>-132</v>
      </c>
      <c r="AA335">
        <v>597</v>
      </c>
      <c r="AB335">
        <v>273</v>
      </c>
      <c r="AC335">
        <v>-9</v>
      </c>
      <c r="AD335">
        <v>50</v>
      </c>
      <c r="AE335">
        <v>-2447</v>
      </c>
      <c r="AF335">
        <v>0</v>
      </c>
      <c r="AG335">
        <v>278</v>
      </c>
    </row>
    <row r="336" spans="6:33">
      <c r="F336" s="74">
        <f t="shared" si="60"/>
        <v>44869</v>
      </c>
      <c r="G336" s="72">
        <f t="shared" si="61"/>
        <v>-5675</v>
      </c>
      <c r="H336" s="68">
        <f t="shared" si="62"/>
        <v>5837</v>
      </c>
      <c r="I336" s="68">
        <f t="shared" si="63"/>
        <v>786</v>
      </c>
      <c r="J336" s="68">
        <f t="shared" si="64"/>
        <v>1668</v>
      </c>
      <c r="K336" s="68">
        <f t="shared" si="65"/>
        <v>152</v>
      </c>
      <c r="L336" s="68">
        <f t="shared" si="66"/>
        <v>-99</v>
      </c>
      <c r="M336" s="68">
        <f t="shared" si="67"/>
        <v>-759</v>
      </c>
      <c r="N336" s="68">
        <f t="shared" si="68"/>
        <v>-15</v>
      </c>
      <c r="O336" s="68">
        <f t="shared" si="69"/>
        <v>34</v>
      </c>
      <c r="P336" s="68">
        <f t="shared" si="70"/>
        <v>-195</v>
      </c>
      <c r="Q336" s="68" t="str">
        <f t="shared" si="71"/>
        <v/>
      </c>
      <c r="R336" s="69">
        <f t="shared" si="72"/>
        <v>-949</v>
      </c>
      <c r="U336" s="5">
        <v>44869</v>
      </c>
      <c r="V336">
        <v>-5675</v>
      </c>
      <c r="W336">
        <v>5837</v>
      </c>
      <c r="X336">
        <v>786</v>
      </c>
      <c r="Y336">
        <v>1668</v>
      </c>
      <c r="Z336">
        <v>152</v>
      </c>
      <c r="AA336">
        <v>-99</v>
      </c>
      <c r="AB336">
        <v>-759</v>
      </c>
      <c r="AC336">
        <v>-15</v>
      </c>
      <c r="AD336">
        <v>34</v>
      </c>
      <c r="AE336">
        <v>-195</v>
      </c>
      <c r="AF336">
        <v>0</v>
      </c>
      <c r="AG336">
        <v>-949</v>
      </c>
    </row>
    <row r="337" spans="6:33">
      <c r="F337" s="74">
        <f t="shared" si="60"/>
        <v>44868</v>
      </c>
      <c r="G337" s="72">
        <f t="shared" si="61"/>
        <v>3962</v>
      </c>
      <c r="H337" s="68">
        <f t="shared" si="62"/>
        <v>10194</v>
      </c>
      <c r="I337" s="68">
        <f t="shared" si="63"/>
        <v>-15785</v>
      </c>
      <c r="J337" s="68">
        <f t="shared" si="64"/>
        <v>-13866</v>
      </c>
      <c r="K337" s="68">
        <f t="shared" si="65"/>
        <v>-538</v>
      </c>
      <c r="L337" s="68">
        <f t="shared" si="66"/>
        <v>619</v>
      </c>
      <c r="M337" s="68">
        <f t="shared" si="67"/>
        <v>-2372</v>
      </c>
      <c r="N337" s="68">
        <f t="shared" si="68"/>
        <v>-36</v>
      </c>
      <c r="O337" s="68">
        <f t="shared" si="69"/>
        <v>204</v>
      </c>
      <c r="P337" s="68">
        <f t="shared" si="70"/>
        <v>204</v>
      </c>
      <c r="Q337" s="68" t="str">
        <f t="shared" si="71"/>
        <v/>
      </c>
      <c r="R337" s="69">
        <f t="shared" si="72"/>
        <v>1627</v>
      </c>
      <c r="U337" s="5">
        <v>44868</v>
      </c>
      <c r="V337">
        <v>3962</v>
      </c>
      <c r="W337">
        <v>10194</v>
      </c>
      <c r="X337">
        <v>-15785</v>
      </c>
      <c r="Y337">
        <v>-13866</v>
      </c>
      <c r="Z337">
        <v>-538</v>
      </c>
      <c r="AA337">
        <v>619</v>
      </c>
      <c r="AB337">
        <v>-2372</v>
      </c>
      <c r="AC337">
        <v>-36</v>
      </c>
      <c r="AD337">
        <v>204</v>
      </c>
      <c r="AE337">
        <v>204</v>
      </c>
      <c r="AF337">
        <v>0</v>
      </c>
      <c r="AG337">
        <v>1627</v>
      </c>
    </row>
    <row r="338" spans="6:33">
      <c r="F338" s="74">
        <f t="shared" si="60"/>
        <v>44867</v>
      </c>
      <c r="G338" s="72">
        <f t="shared" si="61"/>
        <v>1169</v>
      </c>
      <c r="H338" s="68">
        <f t="shared" si="62"/>
        <v>9875</v>
      </c>
      <c r="I338" s="68">
        <f t="shared" si="63"/>
        <v>-9171</v>
      </c>
      <c r="J338" s="68">
        <f t="shared" si="64"/>
        <v>-7110</v>
      </c>
      <c r="K338" s="68">
        <f t="shared" si="65"/>
        <v>-14</v>
      </c>
      <c r="L338" s="68">
        <f t="shared" si="66"/>
        <v>303</v>
      </c>
      <c r="M338" s="68">
        <f t="shared" si="67"/>
        <v>-449</v>
      </c>
      <c r="N338" s="68">
        <f t="shared" si="68"/>
        <v>-12</v>
      </c>
      <c r="O338" s="68">
        <f t="shared" si="69"/>
        <v>175</v>
      </c>
      <c r="P338" s="68">
        <f t="shared" si="70"/>
        <v>-2064</v>
      </c>
      <c r="Q338" s="68" t="str">
        <f t="shared" si="71"/>
        <v/>
      </c>
      <c r="R338" s="69">
        <f t="shared" si="72"/>
        <v>-1874</v>
      </c>
      <c r="U338" s="5">
        <v>44867</v>
      </c>
      <c r="V338">
        <v>1169</v>
      </c>
      <c r="W338">
        <v>9875</v>
      </c>
      <c r="X338">
        <v>-9171</v>
      </c>
      <c r="Y338">
        <v>-7110</v>
      </c>
      <c r="Z338">
        <v>-14</v>
      </c>
      <c r="AA338">
        <v>303</v>
      </c>
      <c r="AB338">
        <v>-449</v>
      </c>
      <c r="AC338">
        <v>-12</v>
      </c>
      <c r="AD338">
        <v>175</v>
      </c>
      <c r="AE338">
        <v>-2064</v>
      </c>
      <c r="AF338">
        <v>0</v>
      </c>
      <c r="AG338">
        <v>-1874</v>
      </c>
    </row>
    <row r="339" spans="6:33">
      <c r="F339" s="74">
        <f t="shared" ref="F339:F402" si="73">IF(U339=0,"",U339)</f>
        <v>44866</v>
      </c>
      <c r="G339" s="72">
        <f t="shared" ref="G339:G402" si="74">IF(IF($B$17=3,V339/1000,V339)=0,"",IF($B$17=3,V339/1000,V339))</f>
        <v>22473</v>
      </c>
      <c r="H339" s="68">
        <f t="shared" ref="H339:H402" si="75">IF(IF($B$17=3,W339/1000,W339)=0,"",IF($B$17=3,W339/1000,W339))</f>
        <v>-28183</v>
      </c>
      <c r="I339" s="68">
        <f t="shared" ref="I339:I402" si="76">IF(IF($B$17=3,X339/1000,X339)=0,"",IF($B$17=3,X339/1000,X339))</f>
        <v>3833</v>
      </c>
      <c r="J339" s="68">
        <f t="shared" ref="J339:J402" si="77">IF(IF($B$17=3,Y339/1000,Y339)=0,"",IF($B$17=3,Y339/1000,Y339))</f>
        <v>3549</v>
      </c>
      <c r="K339" s="68">
        <f t="shared" ref="K339:K402" si="78">IF(IF($B$17=3,Z339/1000,Z339)=0,"",IF($B$17=3,Z339/1000,Z339))</f>
        <v>-13</v>
      </c>
      <c r="L339" s="68">
        <f t="shared" ref="L339:L402" si="79">IF(IF($B$17=3,AA339/1000,AA339)=0,"",IF($B$17=3,AA339/1000,AA339))</f>
        <v>67</v>
      </c>
      <c r="M339" s="68">
        <f t="shared" ref="M339:M402" si="80">IF(IF($B$17=3,AB339/1000,AB339)=0,"",IF($B$17=3,AB339/1000,AB339))</f>
        <v>-990</v>
      </c>
      <c r="N339" s="68">
        <f t="shared" ref="N339:N402" si="81">IF(IF($B$17=3,AC339/1000,AC339)=0,"",IF($B$17=3,AC339/1000,AC339))</f>
        <v>35</v>
      </c>
      <c r="O339" s="68">
        <f t="shared" ref="O339:O402" si="82">IF(IF($B$17=3,AD339/1000,AD339)=0,"",IF($B$17=3,AD339/1000,AD339))</f>
        <v>374</v>
      </c>
      <c r="P339" s="68">
        <f t="shared" ref="P339:P402" si="83">IF(IF($B$17=3,AE339/1000,AE339)=0,"",IF($B$17=3,AE339/1000,AE339))</f>
        <v>811</v>
      </c>
      <c r="Q339" s="68" t="str">
        <f t="shared" ref="Q339:Q402" si="84">IF(IF($B$17=3,AF339/1000,AF339)=0,"",IF($B$17=3,AF339/1000,AF339))</f>
        <v/>
      </c>
      <c r="R339" s="69">
        <f t="shared" ref="R339:R402" si="85">IF(IF($B$17=3,AG339/1000,AG339)=0,"",IF($B$17=3,AG339/1000,AG339))</f>
        <v>1879</v>
      </c>
      <c r="U339" s="5">
        <v>44866</v>
      </c>
      <c r="V339">
        <v>22473</v>
      </c>
      <c r="W339">
        <v>-28183</v>
      </c>
      <c r="X339">
        <v>3833</v>
      </c>
      <c r="Y339">
        <v>3549</v>
      </c>
      <c r="Z339">
        <v>-13</v>
      </c>
      <c r="AA339">
        <v>67</v>
      </c>
      <c r="AB339">
        <v>-990</v>
      </c>
      <c r="AC339">
        <v>35</v>
      </c>
      <c r="AD339">
        <v>374</v>
      </c>
      <c r="AE339">
        <v>811</v>
      </c>
      <c r="AF339">
        <v>0</v>
      </c>
      <c r="AG339">
        <v>1879</v>
      </c>
    </row>
    <row r="340" spans="6:33">
      <c r="F340" s="74">
        <f t="shared" si="73"/>
        <v>44865</v>
      </c>
      <c r="G340" s="72">
        <f t="shared" si="74"/>
        <v>-4055</v>
      </c>
      <c r="H340" s="68">
        <f t="shared" si="75"/>
        <v>7203</v>
      </c>
      <c r="I340" s="68">
        <f t="shared" si="76"/>
        <v>-3106</v>
      </c>
      <c r="J340" s="68">
        <f t="shared" si="77"/>
        <v>-412</v>
      </c>
      <c r="K340" s="68">
        <f t="shared" si="78"/>
        <v>-309</v>
      </c>
      <c r="L340" s="68">
        <f t="shared" si="79"/>
        <v>-150</v>
      </c>
      <c r="M340" s="68">
        <f t="shared" si="80"/>
        <v>51</v>
      </c>
      <c r="N340" s="68">
        <f t="shared" si="81"/>
        <v>-36</v>
      </c>
      <c r="O340" s="68">
        <f t="shared" si="82"/>
        <v>67</v>
      </c>
      <c r="P340" s="68">
        <f t="shared" si="83"/>
        <v>-2317</v>
      </c>
      <c r="Q340" s="68" t="str">
        <f t="shared" si="84"/>
        <v/>
      </c>
      <c r="R340" s="69">
        <f t="shared" si="85"/>
        <v>-39</v>
      </c>
      <c r="U340" s="5">
        <v>44865</v>
      </c>
      <c r="V340">
        <v>-4055</v>
      </c>
      <c r="W340">
        <v>7203</v>
      </c>
      <c r="X340">
        <v>-3106</v>
      </c>
      <c r="Y340">
        <v>-412</v>
      </c>
      <c r="Z340">
        <v>-309</v>
      </c>
      <c r="AA340">
        <v>-150</v>
      </c>
      <c r="AB340">
        <v>51</v>
      </c>
      <c r="AC340">
        <v>-36</v>
      </c>
      <c r="AD340">
        <v>67</v>
      </c>
      <c r="AE340">
        <v>-2317</v>
      </c>
      <c r="AF340">
        <v>0</v>
      </c>
      <c r="AG340">
        <v>-39</v>
      </c>
    </row>
    <row r="341" spans="6:33">
      <c r="F341" s="74">
        <f t="shared" si="73"/>
        <v>44862</v>
      </c>
      <c r="G341" s="72">
        <f t="shared" si="74"/>
        <v>-5245</v>
      </c>
      <c r="H341" s="68">
        <f t="shared" si="75"/>
        <v>-211</v>
      </c>
      <c r="I341" s="68">
        <f t="shared" si="76"/>
        <v>4906</v>
      </c>
      <c r="J341" s="68">
        <f t="shared" si="77"/>
        <v>7920</v>
      </c>
      <c r="K341" s="68">
        <f t="shared" si="78"/>
        <v>488</v>
      </c>
      <c r="L341" s="68">
        <f t="shared" si="79"/>
        <v>-1364</v>
      </c>
      <c r="M341" s="68">
        <f t="shared" si="80"/>
        <v>-602</v>
      </c>
      <c r="N341" s="68">
        <f t="shared" si="81"/>
        <v>28</v>
      </c>
      <c r="O341" s="68">
        <f t="shared" si="82"/>
        <v>-47</v>
      </c>
      <c r="P341" s="68">
        <f t="shared" si="83"/>
        <v>-1517</v>
      </c>
      <c r="Q341" s="68" t="str">
        <f t="shared" si="84"/>
        <v/>
      </c>
      <c r="R341" s="69">
        <f t="shared" si="85"/>
        <v>550</v>
      </c>
      <c r="U341" s="5">
        <v>44862</v>
      </c>
      <c r="V341">
        <v>-5245</v>
      </c>
      <c r="W341">
        <v>-211</v>
      </c>
      <c r="X341">
        <v>4906</v>
      </c>
      <c r="Y341">
        <v>7920</v>
      </c>
      <c r="Z341">
        <v>488</v>
      </c>
      <c r="AA341">
        <v>-1364</v>
      </c>
      <c r="AB341">
        <v>-602</v>
      </c>
      <c r="AC341">
        <v>28</v>
      </c>
      <c r="AD341">
        <v>-47</v>
      </c>
      <c r="AE341">
        <v>-1517</v>
      </c>
      <c r="AF341">
        <v>0</v>
      </c>
      <c r="AG341">
        <v>550</v>
      </c>
    </row>
    <row r="342" spans="6:33">
      <c r="F342" s="74">
        <f t="shared" si="73"/>
        <v>44861</v>
      </c>
      <c r="G342" s="72">
        <f t="shared" si="74"/>
        <v>17023</v>
      </c>
      <c r="H342" s="68">
        <f t="shared" si="75"/>
        <v>-27814</v>
      </c>
      <c r="I342" s="68">
        <f t="shared" si="76"/>
        <v>10227</v>
      </c>
      <c r="J342" s="68">
        <f t="shared" si="77"/>
        <v>12888</v>
      </c>
      <c r="K342" s="68">
        <f t="shared" si="78"/>
        <v>488</v>
      </c>
      <c r="L342" s="68">
        <f t="shared" si="79"/>
        <v>-183</v>
      </c>
      <c r="M342" s="68">
        <f t="shared" si="80"/>
        <v>217</v>
      </c>
      <c r="N342" s="68">
        <f t="shared" si="81"/>
        <v>37</v>
      </c>
      <c r="O342" s="68">
        <f t="shared" si="82"/>
        <v>60</v>
      </c>
      <c r="P342" s="68">
        <f t="shared" si="83"/>
        <v>-3280</v>
      </c>
      <c r="Q342" s="68" t="str">
        <f t="shared" si="84"/>
        <v/>
      </c>
      <c r="R342" s="69">
        <f t="shared" si="85"/>
        <v>563</v>
      </c>
      <c r="U342" s="5">
        <v>44861</v>
      </c>
      <c r="V342">
        <v>17023</v>
      </c>
      <c r="W342">
        <v>-27814</v>
      </c>
      <c r="X342">
        <v>10227</v>
      </c>
      <c r="Y342">
        <v>12888</v>
      </c>
      <c r="Z342">
        <v>488</v>
      </c>
      <c r="AA342">
        <v>-183</v>
      </c>
      <c r="AB342">
        <v>217</v>
      </c>
      <c r="AC342">
        <v>37</v>
      </c>
      <c r="AD342">
        <v>60</v>
      </c>
      <c r="AE342">
        <v>-3280</v>
      </c>
      <c r="AF342">
        <v>0</v>
      </c>
      <c r="AG342">
        <v>563</v>
      </c>
    </row>
    <row r="343" spans="6:33">
      <c r="F343" s="74">
        <f t="shared" si="73"/>
        <v>44860</v>
      </c>
      <c r="G343" s="72">
        <f t="shared" si="74"/>
        <v>-995</v>
      </c>
      <c r="H343" s="68">
        <f t="shared" si="75"/>
        <v>7322</v>
      </c>
      <c r="I343" s="68">
        <f t="shared" si="76"/>
        <v>-6960</v>
      </c>
      <c r="J343" s="68">
        <f t="shared" si="77"/>
        <v>-2051</v>
      </c>
      <c r="K343" s="68">
        <f t="shared" si="78"/>
        <v>-764</v>
      </c>
      <c r="L343" s="68">
        <f t="shared" si="79"/>
        <v>-868</v>
      </c>
      <c r="M343" s="68">
        <f t="shared" si="80"/>
        <v>-687</v>
      </c>
      <c r="N343" s="68">
        <f t="shared" si="81"/>
        <v>-20</v>
      </c>
      <c r="O343" s="68">
        <f t="shared" si="82"/>
        <v>-66</v>
      </c>
      <c r="P343" s="68">
        <f t="shared" si="83"/>
        <v>-2504</v>
      </c>
      <c r="Q343" s="68" t="str">
        <f t="shared" si="84"/>
        <v/>
      </c>
      <c r="R343" s="69">
        <f t="shared" si="85"/>
        <v>633</v>
      </c>
      <c r="U343" s="5">
        <v>44860</v>
      </c>
      <c r="V343">
        <v>-995</v>
      </c>
      <c r="W343">
        <v>7322</v>
      </c>
      <c r="X343">
        <v>-6960</v>
      </c>
      <c r="Y343">
        <v>-2051</v>
      </c>
      <c r="Z343">
        <v>-764</v>
      </c>
      <c r="AA343">
        <v>-868</v>
      </c>
      <c r="AB343">
        <v>-687</v>
      </c>
      <c r="AC343">
        <v>-20</v>
      </c>
      <c r="AD343">
        <v>-66</v>
      </c>
      <c r="AE343">
        <v>-2504</v>
      </c>
      <c r="AF343">
        <v>0</v>
      </c>
      <c r="AG343">
        <v>633</v>
      </c>
    </row>
    <row r="344" spans="6:33">
      <c r="F344" s="74">
        <f t="shared" si="73"/>
        <v>44859</v>
      </c>
      <c r="G344" s="72">
        <f t="shared" si="74"/>
        <v>-7201</v>
      </c>
      <c r="H344" s="68">
        <f t="shared" si="75"/>
        <v>11450</v>
      </c>
      <c r="I344" s="68">
        <f t="shared" si="76"/>
        <v>-4872</v>
      </c>
      <c r="J344" s="68">
        <f t="shared" si="77"/>
        <v>2614</v>
      </c>
      <c r="K344" s="68">
        <f t="shared" si="78"/>
        <v>-971</v>
      </c>
      <c r="L344" s="68">
        <f t="shared" si="79"/>
        <v>-1142</v>
      </c>
      <c r="M344" s="68">
        <f t="shared" si="80"/>
        <v>-1256</v>
      </c>
      <c r="N344" s="68">
        <f t="shared" si="81"/>
        <v>-87</v>
      </c>
      <c r="O344" s="68">
        <f t="shared" si="82"/>
        <v>-74</v>
      </c>
      <c r="P344" s="68">
        <f t="shared" si="83"/>
        <v>-3956</v>
      </c>
      <c r="Q344" s="68" t="str">
        <f t="shared" si="84"/>
        <v/>
      </c>
      <c r="R344" s="69">
        <f t="shared" si="85"/>
        <v>624</v>
      </c>
      <c r="U344" s="5">
        <v>44859</v>
      </c>
      <c r="V344">
        <v>-7201</v>
      </c>
      <c r="W344">
        <v>11450</v>
      </c>
      <c r="X344">
        <v>-4872</v>
      </c>
      <c r="Y344">
        <v>2614</v>
      </c>
      <c r="Z344">
        <v>-971</v>
      </c>
      <c r="AA344">
        <v>-1142</v>
      </c>
      <c r="AB344">
        <v>-1256</v>
      </c>
      <c r="AC344">
        <v>-87</v>
      </c>
      <c r="AD344">
        <v>-74</v>
      </c>
      <c r="AE344">
        <v>-3956</v>
      </c>
      <c r="AF344">
        <v>0</v>
      </c>
      <c r="AG344">
        <v>624</v>
      </c>
    </row>
    <row r="345" spans="6:33">
      <c r="F345" s="74">
        <f t="shared" si="73"/>
        <v>44858</v>
      </c>
      <c r="G345" s="72">
        <f t="shared" si="74"/>
        <v>11771</v>
      </c>
      <c r="H345" s="68">
        <f t="shared" si="75"/>
        <v>-16401</v>
      </c>
      <c r="I345" s="68">
        <f t="shared" si="76"/>
        <v>4174</v>
      </c>
      <c r="J345" s="68">
        <f t="shared" si="77"/>
        <v>7166</v>
      </c>
      <c r="K345" s="68">
        <f t="shared" si="78"/>
        <v>-331</v>
      </c>
      <c r="L345" s="68">
        <f t="shared" si="79"/>
        <v>-187</v>
      </c>
      <c r="M345" s="68">
        <f t="shared" si="80"/>
        <v>619</v>
      </c>
      <c r="N345" s="68">
        <f t="shared" si="81"/>
        <v>-44</v>
      </c>
      <c r="O345" s="68">
        <f t="shared" si="82"/>
        <v>-90</v>
      </c>
      <c r="P345" s="68">
        <f t="shared" si="83"/>
        <v>-2959</v>
      </c>
      <c r="Q345" s="68" t="str">
        <f t="shared" si="84"/>
        <v/>
      </c>
      <c r="R345" s="69">
        <f t="shared" si="85"/>
        <v>456</v>
      </c>
      <c r="U345" s="5">
        <v>44858</v>
      </c>
      <c r="V345">
        <v>11771</v>
      </c>
      <c r="W345">
        <v>-16401</v>
      </c>
      <c r="X345">
        <v>4174</v>
      </c>
      <c r="Y345">
        <v>7166</v>
      </c>
      <c r="Z345">
        <v>-331</v>
      </c>
      <c r="AA345">
        <v>-187</v>
      </c>
      <c r="AB345">
        <v>619</v>
      </c>
      <c r="AC345">
        <v>-44</v>
      </c>
      <c r="AD345">
        <v>-90</v>
      </c>
      <c r="AE345">
        <v>-2959</v>
      </c>
      <c r="AF345">
        <v>0</v>
      </c>
      <c r="AG345">
        <v>456</v>
      </c>
    </row>
    <row r="346" spans="6:33">
      <c r="F346" s="74">
        <f t="shared" si="73"/>
        <v>44855</v>
      </c>
      <c r="G346" s="72">
        <f t="shared" si="74"/>
        <v>-17285</v>
      </c>
      <c r="H346" s="68">
        <f t="shared" si="75"/>
        <v>21112</v>
      </c>
      <c r="I346" s="68">
        <f t="shared" si="76"/>
        <v>-6668</v>
      </c>
      <c r="J346" s="68">
        <f t="shared" si="77"/>
        <v>2363</v>
      </c>
      <c r="K346" s="68">
        <f t="shared" si="78"/>
        <v>-978</v>
      </c>
      <c r="L346" s="68">
        <f t="shared" si="79"/>
        <v>-2390</v>
      </c>
      <c r="M346" s="68">
        <f t="shared" si="80"/>
        <v>-2437</v>
      </c>
      <c r="N346" s="68">
        <f t="shared" si="81"/>
        <v>-33</v>
      </c>
      <c r="O346" s="68">
        <f t="shared" si="82"/>
        <v>139</v>
      </c>
      <c r="P346" s="68">
        <f t="shared" si="83"/>
        <v>-3332</v>
      </c>
      <c r="Q346" s="68" t="str">
        <f t="shared" si="84"/>
        <v/>
      </c>
      <c r="R346" s="69">
        <f t="shared" si="85"/>
        <v>2840</v>
      </c>
      <c r="U346" s="5">
        <v>44855</v>
      </c>
      <c r="V346">
        <v>-17285</v>
      </c>
      <c r="W346">
        <v>21112</v>
      </c>
      <c r="X346">
        <v>-6668</v>
      </c>
      <c r="Y346">
        <v>2363</v>
      </c>
      <c r="Z346">
        <v>-978</v>
      </c>
      <c r="AA346">
        <v>-2390</v>
      </c>
      <c r="AB346">
        <v>-2437</v>
      </c>
      <c r="AC346">
        <v>-33</v>
      </c>
      <c r="AD346">
        <v>139</v>
      </c>
      <c r="AE346">
        <v>-3332</v>
      </c>
      <c r="AF346">
        <v>0</v>
      </c>
      <c r="AG346">
        <v>2840</v>
      </c>
    </row>
    <row r="347" spans="6:33">
      <c r="F347" s="74">
        <f t="shared" si="73"/>
        <v>44854</v>
      </c>
      <c r="G347" s="72">
        <f t="shared" si="74"/>
        <v>-13493</v>
      </c>
      <c r="H347" s="68">
        <f t="shared" si="75"/>
        <v>23502</v>
      </c>
      <c r="I347" s="68">
        <f t="shared" si="76"/>
        <v>-11586</v>
      </c>
      <c r="J347" s="68">
        <f t="shared" si="77"/>
        <v>-5551</v>
      </c>
      <c r="K347" s="68">
        <f t="shared" si="78"/>
        <v>-883</v>
      </c>
      <c r="L347" s="68">
        <f t="shared" si="79"/>
        <v>-1445</v>
      </c>
      <c r="M347" s="68">
        <f t="shared" si="80"/>
        <v>-1689</v>
      </c>
      <c r="N347" s="68">
        <f t="shared" si="81"/>
        <v>2</v>
      </c>
      <c r="O347" s="68">
        <f t="shared" si="82"/>
        <v>136</v>
      </c>
      <c r="P347" s="68">
        <f t="shared" si="83"/>
        <v>-2156</v>
      </c>
      <c r="Q347" s="68" t="str">
        <f t="shared" si="84"/>
        <v/>
      </c>
      <c r="R347" s="69">
        <f t="shared" si="85"/>
        <v>1577</v>
      </c>
      <c r="U347" s="5">
        <v>44854</v>
      </c>
      <c r="V347">
        <v>-13493</v>
      </c>
      <c r="W347">
        <v>23502</v>
      </c>
      <c r="X347">
        <v>-11586</v>
      </c>
      <c r="Y347">
        <v>-5551</v>
      </c>
      <c r="Z347">
        <v>-883</v>
      </c>
      <c r="AA347">
        <v>-1445</v>
      </c>
      <c r="AB347">
        <v>-1689</v>
      </c>
      <c r="AC347">
        <v>2</v>
      </c>
      <c r="AD347">
        <v>136</v>
      </c>
      <c r="AE347">
        <v>-2156</v>
      </c>
      <c r="AF347">
        <v>0</v>
      </c>
      <c r="AG347">
        <v>1577</v>
      </c>
    </row>
    <row r="348" spans="6:33">
      <c r="F348" s="74">
        <f t="shared" si="73"/>
        <v>44853</v>
      </c>
      <c r="G348" s="72">
        <f t="shared" si="74"/>
        <v>-1204</v>
      </c>
      <c r="H348" s="68">
        <f t="shared" si="75"/>
        <v>4707</v>
      </c>
      <c r="I348" s="68">
        <f t="shared" si="76"/>
        <v>-4525</v>
      </c>
      <c r="J348" s="68">
        <f t="shared" si="77"/>
        <v>-3370</v>
      </c>
      <c r="K348" s="68">
        <f t="shared" si="78"/>
        <v>66</v>
      </c>
      <c r="L348" s="68">
        <f t="shared" si="79"/>
        <v>373</v>
      </c>
      <c r="M348" s="68">
        <f t="shared" si="80"/>
        <v>-1241</v>
      </c>
      <c r="N348" s="68">
        <f t="shared" si="81"/>
        <v>-29</v>
      </c>
      <c r="O348" s="68">
        <f t="shared" si="82"/>
        <v>44</v>
      </c>
      <c r="P348" s="68">
        <f t="shared" si="83"/>
        <v>-368</v>
      </c>
      <c r="Q348" s="68" t="str">
        <f t="shared" si="84"/>
        <v/>
      </c>
      <c r="R348" s="69">
        <f t="shared" si="85"/>
        <v>1022</v>
      </c>
      <c r="U348" s="5">
        <v>44853</v>
      </c>
      <c r="V348">
        <v>-1204</v>
      </c>
      <c r="W348">
        <v>4707</v>
      </c>
      <c r="X348">
        <v>-4525</v>
      </c>
      <c r="Y348">
        <v>-3370</v>
      </c>
      <c r="Z348">
        <v>66</v>
      </c>
      <c r="AA348">
        <v>373</v>
      </c>
      <c r="AB348">
        <v>-1241</v>
      </c>
      <c r="AC348">
        <v>-29</v>
      </c>
      <c r="AD348">
        <v>44</v>
      </c>
      <c r="AE348">
        <v>-368</v>
      </c>
      <c r="AF348">
        <v>0</v>
      </c>
      <c r="AG348">
        <v>1022</v>
      </c>
    </row>
    <row r="349" spans="6:33">
      <c r="F349" s="74">
        <f t="shared" si="73"/>
        <v>44852</v>
      </c>
      <c r="G349" s="72">
        <f t="shared" si="74"/>
        <v>5685</v>
      </c>
      <c r="H349" s="68">
        <f t="shared" si="75"/>
        <v>-8746</v>
      </c>
      <c r="I349" s="68">
        <f t="shared" si="76"/>
        <v>2743</v>
      </c>
      <c r="J349" s="68">
        <f t="shared" si="77"/>
        <v>2885</v>
      </c>
      <c r="K349" s="68">
        <f t="shared" si="78"/>
        <v>79</v>
      </c>
      <c r="L349" s="68">
        <f t="shared" si="79"/>
        <v>229</v>
      </c>
      <c r="M349" s="68">
        <f t="shared" si="80"/>
        <v>1081</v>
      </c>
      <c r="N349" s="68">
        <f t="shared" si="81"/>
        <v>-16</v>
      </c>
      <c r="O349" s="68">
        <f t="shared" si="82"/>
        <v>126</v>
      </c>
      <c r="P349" s="68">
        <f t="shared" si="83"/>
        <v>-1641</v>
      </c>
      <c r="Q349" s="68" t="str">
        <f t="shared" si="84"/>
        <v/>
      </c>
      <c r="R349" s="69">
        <f t="shared" si="85"/>
        <v>317</v>
      </c>
      <c r="U349" s="5">
        <v>44852</v>
      </c>
      <c r="V349">
        <v>5685</v>
      </c>
      <c r="W349">
        <v>-8746</v>
      </c>
      <c r="X349">
        <v>2743</v>
      </c>
      <c r="Y349">
        <v>2885</v>
      </c>
      <c r="Z349">
        <v>79</v>
      </c>
      <c r="AA349">
        <v>229</v>
      </c>
      <c r="AB349">
        <v>1081</v>
      </c>
      <c r="AC349">
        <v>-16</v>
      </c>
      <c r="AD349">
        <v>126</v>
      </c>
      <c r="AE349">
        <v>-1641</v>
      </c>
      <c r="AF349">
        <v>0</v>
      </c>
      <c r="AG349">
        <v>317</v>
      </c>
    </row>
    <row r="350" spans="6:33">
      <c r="F350" s="74">
        <f t="shared" si="73"/>
        <v>44851</v>
      </c>
      <c r="G350" s="72">
        <f t="shared" si="74"/>
        <v>10999</v>
      </c>
      <c r="H350" s="68">
        <f t="shared" si="75"/>
        <v>-1729</v>
      </c>
      <c r="I350" s="68">
        <f t="shared" si="76"/>
        <v>-9107</v>
      </c>
      <c r="J350" s="68">
        <f t="shared" si="77"/>
        <v>-5724</v>
      </c>
      <c r="K350" s="68">
        <f t="shared" si="78"/>
        <v>-186</v>
      </c>
      <c r="L350" s="68">
        <f t="shared" si="79"/>
        <v>-930</v>
      </c>
      <c r="M350" s="68">
        <f t="shared" si="80"/>
        <v>-1007</v>
      </c>
      <c r="N350" s="68">
        <f t="shared" si="81"/>
        <v>-43</v>
      </c>
      <c r="O350" s="68">
        <f t="shared" si="82"/>
        <v>202</v>
      </c>
      <c r="P350" s="68">
        <f t="shared" si="83"/>
        <v>-1419</v>
      </c>
      <c r="Q350" s="68" t="str">
        <f t="shared" si="84"/>
        <v/>
      </c>
      <c r="R350" s="69">
        <f t="shared" si="85"/>
        <v>-163</v>
      </c>
      <c r="U350" s="5">
        <v>44851</v>
      </c>
      <c r="V350">
        <v>10999</v>
      </c>
      <c r="W350">
        <v>-1729</v>
      </c>
      <c r="X350">
        <v>-9107</v>
      </c>
      <c r="Y350">
        <v>-5724</v>
      </c>
      <c r="Z350">
        <v>-186</v>
      </c>
      <c r="AA350">
        <v>-930</v>
      </c>
      <c r="AB350">
        <v>-1007</v>
      </c>
      <c r="AC350">
        <v>-43</v>
      </c>
      <c r="AD350">
        <v>202</v>
      </c>
      <c r="AE350">
        <v>-1419</v>
      </c>
      <c r="AF350">
        <v>0</v>
      </c>
      <c r="AG350">
        <v>-163</v>
      </c>
    </row>
    <row r="351" spans="6:33">
      <c r="F351" s="74">
        <f t="shared" si="73"/>
        <v>44848</v>
      </c>
      <c r="G351" s="72">
        <f t="shared" si="74"/>
        <v>38017</v>
      </c>
      <c r="H351" s="68">
        <f t="shared" si="75"/>
        <v>-44035</v>
      </c>
      <c r="I351" s="68">
        <f t="shared" si="76"/>
        <v>6032</v>
      </c>
      <c r="J351" s="68">
        <f t="shared" si="77"/>
        <v>5645</v>
      </c>
      <c r="K351" s="68">
        <f t="shared" si="78"/>
        <v>-918</v>
      </c>
      <c r="L351" s="68">
        <f t="shared" si="79"/>
        <v>194</v>
      </c>
      <c r="M351" s="68">
        <f t="shared" si="80"/>
        <v>294</v>
      </c>
      <c r="N351" s="68">
        <f t="shared" si="81"/>
        <v>3</v>
      </c>
      <c r="O351" s="68">
        <f t="shared" si="82"/>
        <v>268</v>
      </c>
      <c r="P351" s="68">
        <f t="shared" si="83"/>
        <v>546</v>
      </c>
      <c r="Q351" s="68" t="str">
        <f t="shared" si="84"/>
        <v/>
      </c>
      <c r="R351" s="69">
        <f t="shared" si="85"/>
        <v>-12</v>
      </c>
      <c r="U351" s="5">
        <v>44848</v>
      </c>
      <c r="V351">
        <v>38017</v>
      </c>
      <c r="W351">
        <v>-44035</v>
      </c>
      <c r="X351">
        <v>6032</v>
      </c>
      <c r="Y351">
        <v>5645</v>
      </c>
      <c r="Z351">
        <v>-918</v>
      </c>
      <c r="AA351">
        <v>194</v>
      </c>
      <c r="AB351">
        <v>294</v>
      </c>
      <c r="AC351">
        <v>3</v>
      </c>
      <c r="AD351">
        <v>268</v>
      </c>
      <c r="AE351">
        <v>546</v>
      </c>
      <c r="AF351">
        <v>0</v>
      </c>
      <c r="AG351">
        <v>-12</v>
      </c>
    </row>
    <row r="352" spans="6:33">
      <c r="F352" s="74">
        <f t="shared" si="73"/>
        <v>44847</v>
      </c>
      <c r="G352" s="72">
        <f t="shared" si="74"/>
        <v>-11816</v>
      </c>
      <c r="H352" s="68">
        <f t="shared" si="75"/>
        <v>18552</v>
      </c>
      <c r="I352" s="68">
        <f t="shared" si="76"/>
        <v>-9716</v>
      </c>
      <c r="J352" s="68">
        <f t="shared" si="77"/>
        <v>-1846</v>
      </c>
      <c r="K352" s="68">
        <f t="shared" si="78"/>
        <v>-597</v>
      </c>
      <c r="L352" s="68">
        <f t="shared" si="79"/>
        <v>-1564</v>
      </c>
      <c r="M352" s="68">
        <f t="shared" si="80"/>
        <v>-1818</v>
      </c>
      <c r="N352" s="68">
        <f t="shared" si="81"/>
        <v>78</v>
      </c>
      <c r="O352" s="68">
        <f t="shared" si="82"/>
        <v>248</v>
      </c>
      <c r="P352" s="68">
        <f t="shared" si="83"/>
        <v>-4217</v>
      </c>
      <c r="Q352" s="68" t="str">
        <f t="shared" si="84"/>
        <v/>
      </c>
      <c r="R352" s="69">
        <f t="shared" si="85"/>
        <v>2980</v>
      </c>
      <c r="U352" s="5">
        <v>44847</v>
      </c>
      <c r="V352">
        <v>-11816</v>
      </c>
      <c r="W352">
        <v>18552</v>
      </c>
      <c r="X352">
        <v>-9716</v>
      </c>
      <c r="Y352">
        <v>-1846</v>
      </c>
      <c r="Z352">
        <v>-597</v>
      </c>
      <c r="AA352">
        <v>-1564</v>
      </c>
      <c r="AB352">
        <v>-1818</v>
      </c>
      <c r="AC352">
        <v>78</v>
      </c>
      <c r="AD352">
        <v>248</v>
      </c>
      <c r="AE352">
        <v>-4217</v>
      </c>
      <c r="AF352">
        <v>0</v>
      </c>
      <c r="AG352">
        <v>2980</v>
      </c>
    </row>
    <row r="353" spans="6:33">
      <c r="F353" s="74">
        <f t="shared" si="73"/>
        <v>44846</v>
      </c>
      <c r="G353" s="72">
        <f t="shared" si="74"/>
        <v>6789</v>
      </c>
      <c r="H353" s="68">
        <f t="shared" si="75"/>
        <v>-3199</v>
      </c>
      <c r="I353" s="68">
        <f t="shared" si="76"/>
        <v>-4856</v>
      </c>
      <c r="J353" s="68">
        <f t="shared" si="77"/>
        <v>-1243</v>
      </c>
      <c r="K353" s="68">
        <f t="shared" si="78"/>
        <v>-554</v>
      </c>
      <c r="L353" s="68">
        <f t="shared" si="79"/>
        <v>-768</v>
      </c>
      <c r="M353" s="68">
        <f t="shared" si="80"/>
        <v>-1161</v>
      </c>
      <c r="N353" s="68">
        <f t="shared" si="81"/>
        <v>-37</v>
      </c>
      <c r="O353" s="68">
        <f t="shared" si="82"/>
        <v>174</v>
      </c>
      <c r="P353" s="68">
        <f t="shared" si="83"/>
        <v>-1267</v>
      </c>
      <c r="Q353" s="68" t="str">
        <f t="shared" si="84"/>
        <v/>
      </c>
      <c r="R353" s="69">
        <f t="shared" si="85"/>
        <v>1264</v>
      </c>
      <c r="U353" s="5">
        <v>44846</v>
      </c>
      <c r="V353">
        <v>6789</v>
      </c>
      <c r="W353">
        <v>-3199</v>
      </c>
      <c r="X353">
        <v>-4856</v>
      </c>
      <c r="Y353">
        <v>-1243</v>
      </c>
      <c r="Z353">
        <v>-554</v>
      </c>
      <c r="AA353">
        <v>-768</v>
      </c>
      <c r="AB353">
        <v>-1161</v>
      </c>
      <c r="AC353">
        <v>-37</v>
      </c>
      <c r="AD353">
        <v>174</v>
      </c>
      <c r="AE353">
        <v>-1267</v>
      </c>
      <c r="AF353">
        <v>0</v>
      </c>
      <c r="AG353">
        <v>1264</v>
      </c>
    </row>
    <row r="354" spans="6:33">
      <c r="F354" s="74">
        <f t="shared" si="73"/>
        <v>44845</v>
      </c>
      <c r="G354" s="72">
        <f t="shared" si="74"/>
        <v>-13495</v>
      </c>
      <c r="H354" s="68">
        <f t="shared" si="75"/>
        <v>19769</v>
      </c>
      <c r="I354" s="68">
        <f t="shared" si="76"/>
        <v>-7223</v>
      </c>
      <c r="J354" s="68">
        <f t="shared" si="77"/>
        <v>-5205</v>
      </c>
      <c r="K354" s="68">
        <f t="shared" si="78"/>
        <v>-379</v>
      </c>
      <c r="L354" s="68">
        <f t="shared" si="79"/>
        <v>-701</v>
      </c>
      <c r="M354" s="68">
        <f t="shared" si="80"/>
        <v>-3238</v>
      </c>
      <c r="N354" s="68">
        <f t="shared" si="81"/>
        <v>160</v>
      </c>
      <c r="O354" s="68">
        <f t="shared" si="82"/>
        <v>261</v>
      </c>
      <c r="P354" s="68">
        <f t="shared" si="83"/>
        <v>1879</v>
      </c>
      <c r="Q354" s="68" t="str">
        <f t="shared" si="84"/>
        <v/>
      </c>
      <c r="R354" s="69">
        <f t="shared" si="85"/>
        <v>949</v>
      </c>
      <c r="U354" s="5">
        <v>44845</v>
      </c>
      <c r="V354">
        <v>-13495</v>
      </c>
      <c r="W354">
        <v>19769</v>
      </c>
      <c r="X354">
        <v>-7223</v>
      </c>
      <c r="Y354">
        <v>-5205</v>
      </c>
      <c r="Z354">
        <v>-379</v>
      </c>
      <c r="AA354">
        <v>-701</v>
      </c>
      <c r="AB354">
        <v>-3238</v>
      </c>
      <c r="AC354">
        <v>160</v>
      </c>
      <c r="AD354">
        <v>261</v>
      </c>
      <c r="AE354">
        <v>1879</v>
      </c>
      <c r="AF354">
        <v>0</v>
      </c>
      <c r="AG354">
        <v>949</v>
      </c>
    </row>
    <row r="355" spans="6:33">
      <c r="F355" s="74">
        <f t="shared" si="73"/>
        <v>44841</v>
      </c>
      <c r="G355" s="72">
        <f t="shared" si="74"/>
        <v>-6374</v>
      </c>
      <c r="H355" s="68">
        <f t="shared" si="75"/>
        <v>10061</v>
      </c>
      <c r="I355" s="68">
        <f t="shared" si="76"/>
        <v>-4288</v>
      </c>
      <c r="J355" s="68">
        <f t="shared" si="77"/>
        <v>-2789</v>
      </c>
      <c r="K355" s="68">
        <f t="shared" si="78"/>
        <v>-417</v>
      </c>
      <c r="L355" s="68">
        <f t="shared" si="79"/>
        <v>-1183</v>
      </c>
      <c r="M355" s="68">
        <f t="shared" si="80"/>
        <v>-1618</v>
      </c>
      <c r="N355" s="68">
        <f t="shared" si="81"/>
        <v>-44</v>
      </c>
      <c r="O355" s="68">
        <f t="shared" si="82"/>
        <v>365</v>
      </c>
      <c r="P355" s="68">
        <f t="shared" si="83"/>
        <v>1398</v>
      </c>
      <c r="Q355" s="68" t="str">
        <f t="shared" si="84"/>
        <v/>
      </c>
      <c r="R355" s="69">
        <f t="shared" si="85"/>
        <v>600</v>
      </c>
      <c r="U355" s="5">
        <v>44841</v>
      </c>
      <c r="V355">
        <v>-6374</v>
      </c>
      <c r="W355">
        <v>10061</v>
      </c>
      <c r="X355">
        <v>-4288</v>
      </c>
      <c r="Y355">
        <v>-2789</v>
      </c>
      <c r="Z355">
        <v>-417</v>
      </c>
      <c r="AA355">
        <v>-1183</v>
      </c>
      <c r="AB355">
        <v>-1618</v>
      </c>
      <c r="AC355">
        <v>-44</v>
      </c>
      <c r="AD355">
        <v>365</v>
      </c>
      <c r="AE355">
        <v>1398</v>
      </c>
      <c r="AF355">
        <v>0</v>
      </c>
      <c r="AG355">
        <v>600</v>
      </c>
    </row>
    <row r="356" spans="6:33">
      <c r="F356" s="74">
        <f t="shared" si="73"/>
        <v>44840</v>
      </c>
      <c r="G356" s="72">
        <f t="shared" si="74"/>
        <v>12158</v>
      </c>
      <c r="H356" s="68">
        <f t="shared" si="75"/>
        <v>-11856</v>
      </c>
      <c r="I356" s="68">
        <f t="shared" si="76"/>
        <v>-1288</v>
      </c>
      <c r="J356" s="68">
        <f t="shared" si="77"/>
        <v>682</v>
      </c>
      <c r="K356" s="68">
        <f t="shared" si="78"/>
        <v>67</v>
      </c>
      <c r="L356" s="68">
        <f t="shared" si="79"/>
        <v>-547</v>
      </c>
      <c r="M356" s="68">
        <f t="shared" si="80"/>
        <v>-676</v>
      </c>
      <c r="N356" s="68">
        <f t="shared" si="81"/>
        <v>-37</v>
      </c>
      <c r="O356" s="68">
        <f t="shared" si="82"/>
        <v>90</v>
      </c>
      <c r="P356" s="68">
        <f t="shared" si="83"/>
        <v>-867</v>
      </c>
      <c r="Q356" s="68" t="str">
        <f t="shared" si="84"/>
        <v/>
      </c>
      <c r="R356" s="69">
        <f t="shared" si="85"/>
        <v>985</v>
      </c>
      <c r="U356" s="5">
        <v>44840</v>
      </c>
      <c r="V356">
        <v>12158</v>
      </c>
      <c r="W356">
        <v>-11856</v>
      </c>
      <c r="X356">
        <v>-1288</v>
      </c>
      <c r="Y356">
        <v>682</v>
      </c>
      <c r="Z356">
        <v>67</v>
      </c>
      <c r="AA356">
        <v>-547</v>
      </c>
      <c r="AB356">
        <v>-676</v>
      </c>
      <c r="AC356">
        <v>-37</v>
      </c>
      <c r="AD356">
        <v>90</v>
      </c>
      <c r="AE356">
        <v>-867</v>
      </c>
      <c r="AF356">
        <v>0</v>
      </c>
      <c r="AG356">
        <v>985</v>
      </c>
    </row>
    <row r="357" spans="6:33">
      <c r="F357" s="74">
        <f t="shared" si="73"/>
        <v>44839</v>
      </c>
      <c r="G357" s="72">
        <f t="shared" si="74"/>
        <v>-10317</v>
      </c>
      <c r="H357" s="68">
        <f t="shared" si="75"/>
        <v>26411</v>
      </c>
      <c r="I357" s="68">
        <f t="shared" si="76"/>
        <v>-17499</v>
      </c>
      <c r="J357" s="68">
        <f t="shared" si="77"/>
        <v>-13344</v>
      </c>
      <c r="K357" s="68">
        <f t="shared" si="78"/>
        <v>-1164</v>
      </c>
      <c r="L357" s="68">
        <f t="shared" si="79"/>
        <v>-1767</v>
      </c>
      <c r="M357" s="68">
        <f t="shared" si="80"/>
        <v>-975</v>
      </c>
      <c r="N357" s="68">
        <f t="shared" si="81"/>
        <v>137</v>
      </c>
      <c r="O357" s="68">
        <f t="shared" si="82"/>
        <v>213</v>
      </c>
      <c r="P357" s="68">
        <f t="shared" si="83"/>
        <v>-599</v>
      </c>
      <c r="Q357" s="68" t="str">
        <f t="shared" si="84"/>
        <v/>
      </c>
      <c r="R357" s="69">
        <f t="shared" si="85"/>
        <v>1402</v>
      </c>
      <c r="U357" s="5">
        <v>44839</v>
      </c>
      <c r="V357">
        <v>-10317</v>
      </c>
      <c r="W357">
        <v>26411</v>
      </c>
      <c r="X357">
        <v>-17499</v>
      </c>
      <c r="Y357">
        <v>-13344</v>
      </c>
      <c r="Z357">
        <v>-1164</v>
      </c>
      <c r="AA357">
        <v>-1767</v>
      </c>
      <c r="AB357">
        <v>-975</v>
      </c>
      <c r="AC357">
        <v>137</v>
      </c>
      <c r="AD357">
        <v>213</v>
      </c>
      <c r="AE357">
        <v>-599</v>
      </c>
      <c r="AF357">
        <v>0</v>
      </c>
      <c r="AG357">
        <v>1402</v>
      </c>
    </row>
    <row r="358" spans="6:33">
      <c r="F358" s="74">
        <f t="shared" si="73"/>
        <v>44838</v>
      </c>
      <c r="G358" s="72">
        <f t="shared" si="74"/>
        <v>18843</v>
      </c>
      <c r="H358" s="68">
        <f t="shared" si="75"/>
        <v>-15308</v>
      </c>
      <c r="I358" s="68">
        <f t="shared" si="76"/>
        <v>-2110</v>
      </c>
      <c r="J358" s="68">
        <f t="shared" si="77"/>
        <v>-247</v>
      </c>
      <c r="K358" s="68">
        <f t="shared" si="78"/>
        <v>-212</v>
      </c>
      <c r="L358" s="68">
        <f t="shared" si="79"/>
        <v>-1104</v>
      </c>
      <c r="M358" s="68">
        <f t="shared" si="80"/>
        <v>905</v>
      </c>
      <c r="N358" s="68">
        <f t="shared" si="81"/>
        <v>-38</v>
      </c>
      <c r="O358" s="68">
        <f t="shared" si="82"/>
        <v>204</v>
      </c>
      <c r="P358" s="68">
        <f t="shared" si="83"/>
        <v>-1618</v>
      </c>
      <c r="Q358" s="68" t="str">
        <f t="shared" si="84"/>
        <v/>
      </c>
      <c r="R358" s="69">
        <f t="shared" si="85"/>
        <v>-1423</v>
      </c>
      <c r="U358" s="5">
        <v>44838</v>
      </c>
      <c r="V358">
        <v>18843</v>
      </c>
      <c r="W358">
        <v>-15308</v>
      </c>
      <c r="X358">
        <v>-2110</v>
      </c>
      <c r="Y358">
        <v>-247</v>
      </c>
      <c r="Z358">
        <v>-212</v>
      </c>
      <c r="AA358">
        <v>-1104</v>
      </c>
      <c r="AB358">
        <v>905</v>
      </c>
      <c r="AC358">
        <v>-38</v>
      </c>
      <c r="AD358">
        <v>204</v>
      </c>
      <c r="AE358">
        <v>-1618</v>
      </c>
      <c r="AF358">
        <v>0</v>
      </c>
      <c r="AG358">
        <v>-1423</v>
      </c>
    </row>
    <row r="359" spans="6:33">
      <c r="F359" s="74">
        <f t="shared" si="73"/>
        <v>44834</v>
      </c>
      <c r="G359" s="72">
        <f t="shared" si="74"/>
        <v>14432</v>
      </c>
      <c r="H359" s="68">
        <f t="shared" si="75"/>
        <v>-14203</v>
      </c>
      <c r="I359" s="68">
        <f t="shared" si="76"/>
        <v>-1254</v>
      </c>
      <c r="J359" s="68">
        <f t="shared" si="77"/>
        <v>147</v>
      </c>
      <c r="K359" s="68">
        <f t="shared" si="78"/>
        <v>-148</v>
      </c>
      <c r="L359" s="68">
        <f t="shared" si="79"/>
        <v>327</v>
      </c>
      <c r="M359" s="68">
        <f t="shared" si="80"/>
        <v>-694</v>
      </c>
      <c r="N359" s="68">
        <f t="shared" si="81"/>
        <v>88</v>
      </c>
      <c r="O359" s="68">
        <f t="shared" si="82"/>
        <v>-1026</v>
      </c>
      <c r="P359" s="68">
        <f t="shared" si="83"/>
        <v>52</v>
      </c>
      <c r="Q359" s="68" t="str">
        <f t="shared" si="84"/>
        <v/>
      </c>
      <c r="R359" s="69">
        <f t="shared" si="85"/>
        <v>1027</v>
      </c>
      <c r="U359" s="5">
        <v>44834</v>
      </c>
      <c r="V359">
        <v>14432</v>
      </c>
      <c r="W359">
        <v>-14203</v>
      </c>
      <c r="X359">
        <v>-1254</v>
      </c>
      <c r="Y359">
        <v>147</v>
      </c>
      <c r="Z359">
        <v>-148</v>
      </c>
      <c r="AA359">
        <v>327</v>
      </c>
      <c r="AB359">
        <v>-694</v>
      </c>
      <c r="AC359">
        <v>88</v>
      </c>
      <c r="AD359">
        <v>-1026</v>
      </c>
      <c r="AE359">
        <v>52</v>
      </c>
      <c r="AF359">
        <v>0</v>
      </c>
      <c r="AG359">
        <v>1027</v>
      </c>
    </row>
    <row r="360" spans="6:33">
      <c r="F360" s="74">
        <f t="shared" si="73"/>
        <v>44833</v>
      </c>
      <c r="G360" s="72">
        <f t="shared" si="74"/>
        <v>14341</v>
      </c>
      <c r="H360" s="68">
        <f t="shared" si="75"/>
        <v>-10814</v>
      </c>
      <c r="I360" s="68">
        <f t="shared" si="76"/>
        <v>-3724</v>
      </c>
      <c r="J360" s="68">
        <f t="shared" si="77"/>
        <v>22</v>
      </c>
      <c r="K360" s="68">
        <f t="shared" si="78"/>
        <v>-435</v>
      </c>
      <c r="L360" s="68">
        <f t="shared" si="79"/>
        <v>-975</v>
      </c>
      <c r="M360" s="68">
        <f t="shared" si="80"/>
        <v>-93</v>
      </c>
      <c r="N360" s="68">
        <f t="shared" si="81"/>
        <v>72</v>
      </c>
      <c r="O360" s="68">
        <f t="shared" si="82"/>
        <v>169</v>
      </c>
      <c r="P360" s="68">
        <f t="shared" si="83"/>
        <v>-2484</v>
      </c>
      <c r="Q360" s="68" t="str">
        <f t="shared" si="84"/>
        <v/>
      </c>
      <c r="R360" s="69">
        <f t="shared" si="85"/>
        <v>197</v>
      </c>
      <c r="U360" s="5">
        <v>44833</v>
      </c>
      <c r="V360">
        <v>14341</v>
      </c>
      <c r="W360">
        <v>-10814</v>
      </c>
      <c r="X360">
        <v>-3724</v>
      </c>
      <c r="Y360">
        <v>22</v>
      </c>
      <c r="Z360">
        <v>-435</v>
      </c>
      <c r="AA360">
        <v>-975</v>
      </c>
      <c r="AB360">
        <v>-93</v>
      </c>
      <c r="AC360">
        <v>72</v>
      </c>
      <c r="AD360">
        <v>169</v>
      </c>
      <c r="AE360">
        <v>-2484</v>
      </c>
      <c r="AF360">
        <v>0</v>
      </c>
      <c r="AG360">
        <v>197</v>
      </c>
    </row>
    <row r="361" spans="6:33">
      <c r="F361" s="74">
        <f t="shared" si="73"/>
        <v>44832</v>
      </c>
      <c r="G361" s="72">
        <f t="shared" si="74"/>
        <v>-1153</v>
      </c>
      <c r="H361" s="68">
        <f t="shared" si="75"/>
        <v>3646</v>
      </c>
      <c r="I361" s="68">
        <f t="shared" si="76"/>
        <v>-4086</v>
      </c>
      <c r="J361" s="68">
        <f t="shared" si="77"/>
        <v>-1061</v>
      </c>
      <c r="K361" s="68">
        <f t="shared" si="78"/>
        <v>-693</v>
      </c>
      <c r="L361" s="68">
        <f t="shared" si="79"/>
        <v>541</v>
      </c>
      <c r="M361" s="68">
        <f t="shared" si="80"/>
        <v>-23</v>
      </c>
      <c r="N361" s="68">
        <f t="shared" si="81"/>
        <v>112</v>
      </c>
      <c r="O361" s="68">
        <f t="shared" si="82"/>
        <v>124</v>
      </c>
      <c r="P361" s="68">
        <f t="shared" si="83"/>
        <v>-3086</v>
      </c>
      <c r="Q361" s="68" t="str">
        <f t="shared" si="84"/>
        <v/>
      </c>
      <c r="R361" s="69">
        <f t="shared" si="85"/>
        <v>1591</v>
      </c>
      <c r="U361" s="5">
        <v>44832</v>
      </c>
      <c r="V361">
        <v>-1153</v>
      </c>
      <c r="W361">
        <v>3646</v>
      </c>
      <c r="X361">
        <v>-4086</v>
      </c>
      <c r="Y361">
        <v>-1061</v>
      </c>
      <c r="Z361">
        <v>-693</v>
      </c>
      <c r="AA361">
        <v>541</v>
      </c>
      <c r="AB361">
        <v>-23</v>
      </c>
      <c r="AC361">
        <v>112</v>
      </c>
      <c r="AD361">
        <v>124</v>
      </c>
      <c r="AE361">
        <v>-3086</v>
      </c>
      <c r="AF361">
        <v>0</v>
      </c>
      <c r="AG361">
        <v>1591</v>
      </c>
    </row>
    <row r="362" spans="6:33">
      <c r="F362" s="74">
        <f t="shared" si="73"/>
        <v>44831</v>
      </c>
      <c r="G362" s="72">
        <f t="shared" si="74"/>
        <v>5389</v>
      </c>
      <c r="H362" s="68">
        <f t="shared" si="75"/>
        <v>-9000</v>
      </c>
      <c r="I362" s="68">
        <f t="shared" si="76"/>
        <v>2482</v>
      </c>
      <c r="J362" s="68">
        <f t="shared" si="77"/>
        <v>6368</v>
      </c>
      <c r="K362" s="68">
        <f t="shared" si="78"/>
        <v>-442</v>
      </c>
      <c r="L362" s="68">
        <f t="shared" si="79"/>
        <v>-840</v>
      </c>
      <c r="M362" s="68">
        <f t="shared" si="80"/>
        <v>-474</v>
      </c>
      <c r="N362" s="68">
        <f t="shared" si="81"/>
        <v>24</v>
      </c>
      <c r="O362" s="68">
        <f t="shared" si="82"/>
        <v>246</v>
      </c>
      <c r="P362" s="68">
        <f t="shared" si="83"/>
        <v>-2400</v>
      </c>
      <c r="Q362" s="68" t="str">
        <f t="shared" si="84"/>
        <v/>
      </c>
      <c r="R362" s="69">
        <f t="shared" si="85"/>
        <v>1129</v>
      </c>
      <c r="U362" s="5">
        <v>44831</v>
      </c>
      <c r="V362">
        <v>5389</v>
      </c>
      <c r="W362">
        <v>-9000</v>
      </c>
      <c r="X362">
        <v>2482</v>
      </c>
      <c r="Y362">
        <v>6368</v>
      </c>
      <c r="Z362">
        <v>-442</v>
      </c>
      <c r="AA362">
        <v>-840</v>
      </c>
      <c r="AB362">
        <v>-474</v>
      </c>
      <c r="AC362">
        <v>24</v>
      </c>
      <c r="AD362">
        <v>246</v>
      </c>
      <c r="AE362">
        <v>-2400</v>
      </c>
      <c r="AF362">
        <v>0</v>
      </c>
      <c r="AG362">
        <v>1129</v>
      </c>
    </row>
    <row r="363" spans="6:33">
      <c r="F363" s="74">
        <f t="shared" si="73"/>
        <v>44830</v>
      </c>
      <c r="G363" s="72">
        <f t="shared" si="74"/>
        <v>10433</v>
      </c>
      <c r="H363" s="68">
        <f t="shared" si="75"/>
        <v>-15198</v>
      </c>
      <c r="I363" s="68">
        <f t="shared" si="76"/>
        <v>3087</v>
      </c>
      <c r="J363" s="68">
        <f t="shared" si="77"/>
        <v>11713</v>
      </c>
      <c r="K363" s="68">
        <f t="shared" si="78"/>
        <v>-679</v>
      </c>
      <c r="L363" s="68">
        <f t="shared" si="79"/>
        <v>-2622</v>
      </c>
      <c r="M363" s="68">
        <f t="shared" si="80"/>
        <v>-2459</v>
      </c>
      <c r="N363" s="68">
        <f t="shared" si="81"/>
        <v>179</v>
      </c>
      <c r="O363" s="68">
        <f t="shared" si="82"/>
        <v>238</v>
      </c>
      <c r="P363" s="68">
        <f t="shared" si="83"/>
        <v>-3283</v>
      </c>
      <c r="Q363" s="68" t="str">
        <f t="shared" si="84"/>
        <v/>
      </c>
      <c r="R363" s="69">
        <f t="shared" si="85"/>
        <v>1680</v>
      </c>
      <c r="U363" s="5">
        <v>44830</v>
      </c>
      <c r="V363">
        <v>10433</v>
      </c>
      <c r="W363">
        <v>-15198</v>
      </c>
      <c r="X363">
        <v>3087</v>
      </c>
      <c r="Y363">
        <v>11713</v>
      </c>
      <c r="Z363">
        <v>-679</v>
      </c>
      <c r="AA363">
        <v>-2622</v>
      </c>
      <c r="AB363">
        <v>-2459</v>
      </c>
      <c r="AC363">
        <v>179</v>
      </c>
      <c r="AD363">
        <v>238</v>
      </c>
      <c r="AE363">
        <v>-3283</v>
      </c>
      <c r="AF363">
        <v>0</v>
      </c>
      <c r="AG363">
        <v>1680</v>
      </c>
    </row>
    <row r="364" spans="6:33">
      <c r="F364" s="74">
        <f t="shared" si="73"/>
        <v>44827</v>
      </c>
      <c r="G364" s="72">
        <f t="shared" si="74"/>
        <v>-11148</v>
      </c>
      <c r="H364" s="68">
        <f t="shared" si="75"/>
        <v>15737</v>
      </c>
      <c r="I364" s="68">
        <f t="shared" si="76"/>
        <v>-5439</v>
      </c>
      <c r="J364" s="68">
        <f t="shared" si="77"/>
        <v>17</v>
      </c>
      <c r="K364" s="68">
        <f t="shared" si="78"/>
        <v>-609</v>
      </c>
      <c r="L364" s="68">
        <f t="shared" si="79"/>
        <v>-1695</v>
      </c>
      <c r="M364" s="68">
        <f t="shared" si="80"/>
        <v>-1971</v>
      </c>
      <c r="N364" s="68">
        <f t="shared" si="81"/>
        <v>193</v>
      </c>
      <c r="O364" s="68">
        <f t="shared" si="82"/>
        <v>78</v>
      </c>
      <c r="P364" s="68">
        <f t="shared" si="83"/>
        <v>-1452</v>
      </c>
      <c r="Q364" s="68" t="str">
        <f t="shared" si="84"/>
        <v/>
      </c>
      <c r="R364" s="69">
        <f t="shared" si="85"/>
        <v>849</v>
      </c>
      <c r="U364" s="5">
        <v>44827</v>
      </c>
      <c r="V364">
        <v>-11148</v>
      </c>
      <c r="W364">
        <v>15737</v>
      </c>
      <c r="X364">
        <v>-5439</v>
      </c>
      <c r="Y364">
        <v>17</v>
      </c>
      <c r="Z364">
        <v>-609</v>
      </c>
      <c r="AA364">
        <v>-1695</v>
      </c>
      <c r="AB364">
        <v>-1971</v>
      </c>
      <c r="AC364">
        <v>193</v>
      </c>
      <c r="AD364">
        <v>78</v>
      </c>
      <c r="AE364">
        <v>-1452</v>
      </c>
      <c r="AF364">
        <v>0</v>
      </c>
      <c r="AG364">
        <v>849</v>
      </c>
    </row>
    <row r="365" spans="6:33">
      <c r="F365" s="74">
        <f t="shared" si="73"/>
        <v>44826</v>
      </c>
      <c r="G365" s="72">
        <f t="shared" si="74"/>
        <v>-5404</v>
      </c>
      <c r="H365" s="68">
        <f t="shared" si="75"/>
        <v>12020</v>
      </c>
      <c r="I365" s="68">
        <f t="shared" si="76"/>
        <v>-5754</v>
      </c>
      <c r="J365" s="68">
        <f t="shared" si="77"/>
        <v>-3431</v>
      </c>
      <c r="K365" s="68">
        <f t="shared" si="78"/>
        <v>343</v>
      </c>
      <c r="L365" s="68">
        <f t="shared" si="79"/>
        <v>-279</v>
      </c>
      <c r="M365" s="68">
        <f t="shared" si="80"/>
        <v>-1357</v>
      </c>
      <c r="N365" s="68">
        <f t="shared" si="81"/>
        <v>135</v>
      </c>
      <c r="O365" s="68">
        <f t="shared" si="82"/>
        <v>109</v>
      </c>
      <c r="P365" s="68">
        <f t="shared" si="83"/>
        <v>-1274</v>
      </c>
      <c r="Q365" s="68" t="str">
        <f t="shared" si="84"/>
        <v/>
      </c>
      <c r="R365" s="69">
        <f t="shared" si="85"/>
        <v>-861</v>
      </c>
      <c r="U365" s="5">
        <v>44826</v>
      </c>
      <c r="V365">
        <v>-5404</v>
      </c>
      <c r="W365">
        <v>12020</v>
      </c>
      <c r="X365">
        <v>-5754</v>
      </c>
      <c r="Y365">
        <v>-3431</v>
      </c>
      <c r="Z365">
        <v>343</v>
      </c>
      <c r="AA365">
        <v>-279</v>
      </c>
      <c r="AB365">
        <v>-1357</v>
      </c>
      <c r="AC365">
        <v>135</v>
      </c>
      <c r="AD365">
        <v>109</v>
      </c>
      <c r="AE365">
        <v>-1274</v>
      </c>
      <c r="AF365">
        <v>0</v>
      </c>
      <c r="AG365">
        <v>-861</v>
      </c>
    </row>
    <row r="366" spans="6:33">
      <c r="F366" s="74">
        <f t="shared" si="73"/>
        <v>44825</v>
      </c>
      <c r="G366" s="72">
        <f t="shared" si="74"/>
        <v>-1683</v>
      </c>
      <c r="H366" s="68">
        <f t="shared" si="75"/>
        <v>2591</v>
      </c>
      <c r="I366" s="68">
        <f t="shared" si="76"/>
        <v>-40</v>
      </c>
      <c r="J366" s="68">
        <f t="shared" si="77"/>
        <v>482</v>
      </c>
      <c r="K366" s="68">
        <f t="shared" si="78"/>
        <v>143</v>
      </c>
      <c r="L366" s="68">
        <f t="shared" si="79"/>
        <v>253</v>
      </c>
      <c r="M366" s="68">
        <f t="shared" si="80"/>
        <v>-313</v>
      </c>
      <c r="N366" s="68">
        <f t="shared" si="81"/>
        <v>95</v>
      </c>
      <c r="O366" s="68">
        <f t="shared" si="82"/>
        <v>89</v>
      </c>
      <c r="P366" s="68">
        <f t="shared" si="83"/>
        <v>-789</v>
      </c>
      <c r="Q366" s="68" t="str">
        <f t="shared" si="84"/>
        <v/>
      </c>
      <c r="R366" s="69">
        <f t="shared" si="85"/>
        <v>-868</v>
      </c>
      <c r="U366" s="5">
        <v>44825</v>
      </c>
      <c r="V366">
        <v>-1683</v>
      </c>
      <c r="W366">
        <v>2591</v>
      </c>
      <c r="X366">
        <v>-40</v>
      </c>
      <c r="Y366">
        <v>482</v>
      </c>
      <c r="Z366">
        <v>143</v>
      </c>
      <c r="AA366">
        <v>253</v>
      </c>
      <c r="AB366">
        <v>-313</v>
      </c>
      <c r="AC366">
        <v>95</v>
      </c>
      <c r="AD366">
        <v>89</v>
      </c>
      <c r="AE366">
        <v>-789</v>
      </c>
      <c r="AF366">
        <v>0</v>
      </c>
      <c r="AG366">
        <v>-868</v>
      </c>
    </row>
    <row r="367" spans="6:33">
      <c r="F367" s="74">
        <f t="shared" si="73"/>
        <v>44824</v>
      </c>
      <c r="G367" s="72">
        <f t="shared" si="74"/>
        <v>9695</v>
      </c>
      <c r="H367" s="68">
        <f t="shared" si="75"/>
        <v>-11979</v>
      </c>
      <c r="I367" s="68">
        <f t="shared" si="76"/>
        <v>4385</v>
      </c>
      <c r="J367" s="68">
        <f t="shared" si="77"/>
        <v>5484</v>
      </c>
      <c r="K367" s="68">
        <f t="shared" si="78"/>
        <v>-370</v>
      </c>
      <c r="L367" s="68">
        <f t="shared" si="79"/>
        <v>80</v>
      </c>
      <c r="M367" s="68">
        <f t="shared" si="80"/>
        <v>-783</v>
      </c>
      <c r="N367" s="68">
        <f t="shared" si="81"/>
        <v>22</v>
      </c>
      <c r="O367" s="68">
        <f t="shared" si="82"/>
        <v>160</v>
      </c>
      <c r="P367" s="68">
        <f t="shared" si="83"/>
        <v>-208</v>
      </c>
      <c r="Q367" s="68" t="str">
        <f t="shared" si="84"/>
        <v/>
      </c>
      <c r="R367" s="69">
        <f t="shared" si="85"/>
        <v>-2101</v>
      </c>
      <c r="U367" s="5">
        <v>44824</v>
      </c>
      <c r="V367">
        <v>9695</v>
      </c>
      <c r="W367">
        <v>-11979</v>
      </c>
      <c r="X367">
        <v>4385</v>
      </c>
      <c r="Y367">
        <v>5484</v>
      </c>
      <c r="Z367">
        <v>-370</v>
      </c>
      <c r="AA367">
        <v>80</v>
      </c>
      <c r="AB367">
        <v>-783</v>
      </c>
      <c r="AC367">
        <v>22</v>
      </c>
      <c r="AD367">
        <v>160</v>
      </c>
      <c r="AE367">
        <v>-208</v>
      </c>
      <c r="AF367">
        <v>0</v>
      </c>
      <c r="AG367">
        <v>-2101</v>
      </c>
    </row>
    <row r="368" spans="6:33">
      <c r="F368" s="74">
        <f t="shared" si="73"/>
        <v>44823</v>
      </c>
      <c r="G368" s="72">
        <f t="shared" si="74"/>
        <v>-7131</v>
      </c>
      <c r="H368" s="68">
        <f t="shared" si="75"/>
        <v>7370</v>
      </c>
      <c r="I368" s="68">
        <f t="shared" si="76"/>
        <v>-1666</v>
      </c>
      <c r="J368" s="68">
        <f t="shared" si="77"/>
        <v>1419</v>
      </c>
      <c r="K368" s="68">
        <f t="shared" si="78"/>
        <v>-382</v>
      </c>
      <c r="L368" s="68">
        <f t="shared" si="79"/>
        <v>-1432</v>
      </c>
      <c r="M368" s="68">
        <f t="shared" si="80"/>
        <v>-1241</v>
      </c>
      <c r="N368" s="68">
        <f t="shared" si="81"/>
        <v>-2</v>
      </c>
      <c r="O368" s="68">
        <f t="shared" si="82"/>
        <v>54</v>
      </c>
      <c r="P368" s="68">
        <f t="shared" si="83"/>
        <v>-82</v>
      </c>
      <c r="Q368" s="68" t="str">
        <f t="shared" si="84"/>
        <v/>
      </c>
      <c r="R368" s="69">
        <f t="shared" si="85"/>
        <v>1428</v>
      </c>
      <c r="U368" s="5">
        <v>44823</v>
      </c>
      <c r="V368">
        <v>-7131</v>
      </c>
      <c r="W368">
        <v>7370</v>
      </c>
      <c r="X368">
        <v>-1666</v>
      </c>
      <c r="Y368">
        <v>1419</v>
      </c>
      <c r="Z368">
        <v>-382</v>
      </c>
      <c r="AA368">
        <v>-1432</v>
      </c>
      <c r="AB368">
        <v>-1241</v>
      </c>
      <c r="AC368">
        <v>-2</v>
      </c>
      <c r="AD368">
        <v>54</v>
      </c>
      <c r="AE368">
        <v>-82</v>
      </c>
      <c r="AF368">
        <v>0</v>
      </c>
      <c r="AG368">
        <v>1428</v>
      </c>
    </row>
    <row r="369" spans="6:33">
      <c r="F369" s="74">
        <f t="shared" si="73"/>
        <v>44820</v>
      </c>
      <c r="G369" s="72">
        <f t="shared" si="74"/>
        <v>-6588</v>
      </c>
      <c r="H369" s="68">
        <f t="shared" si="75"/>
        <v>15923</v>
      </c>
      <c r="I369" s="68">
        <f t="shared" si="76"/>
        <v>-9572</v>
      </c>
      <c r="J369" s="68">
        <f t="shared" si="77"/>
        <v>-4699</v>
      </c>
      <c r="K369" s="68">
        <f t="shared" si="78"/>
        <v>-360</v>
      </c>
      <c r="L369" s="68">
        <f t="shared" si="79"/>
        <v>-886</v>
      </c>
      <c r="M369" s="68">
        <f t="shared" si="80"/>
        <v>-1810</v>
      </c>
      <c r="N369" s="68">
        <f t="shared" si="81"/>
        <v>-30</v>
      </c>
      <c r="O369" s="68">
        <f t="shared" si="82"/>
        <v>31</v>
      </c>
      <c r="P369" s="68">
        <f t="shared" si="83"/>
        <v>-1818</v>
      </c>
      <c r="Q369" s="68" t="str">
        <f t="shared" si="84"/>
        <v/>
      </c>
      <c r="R369" s="69">
        <f t="shared" si="85"/>
        <v>237</v>
      </c>
      <c r="U369" s="5">
        <v>44820</v>
      </c>
      <c r="V369">
        <v>-6588</v>
      </c>
      <c r="W369">
        <v>15923</v>
      </c>
      <c r="X369">
        <v>-9572</v>
      </c>
      <c r="Y369">
        <v>-4699</v>
      </c>
      <c r="Z369">
        <v>-360</v>
      </c>
      <c r="AA369">
        <v>-886</v>
      </c>
      <c r="AB369">
        <v>-1810</v>
      </c>
      <c r="AC369">
        <v>-30</v>
      </c>
      <c r="AD369">
        <v>31</v>
      </c>
      <c r="AE369">
        <v>-1818</v>
      </c>
      <c r="AF369">
        <v>0</v>
      </c>
      <c r="AG369">
        <v>237</v>
      </c>
    </row>
    <row r="370" spans="6:33">
      <c r="F370" s="74">
        <f t="shared" si="73"/>
        <v>44819</v>
      </c>
      <c r="G370" s="72">
        <f t="shared" si="74"/>
        <v>-9461</v>
      </c>
      <c r="H370" s="68">
        <f t="shared" si="75"/>
        <v>16345</v>
      </c>
      <c r="I370" s="68">
        <f t="shared" si="76"/>
        <v>-3576</v>
      </c>
      <c r="J370" s="68">
        <f t="shared" si="77"/>
        <v>-3676</v>
      </c>
      <c r="K370" s="68">
        <f t="shared" si="78"/>
        <v>247</v>
      </c>
      <c r="L370" s="68">
        <f t="shared" si="79"/>
        <v>-386</v>
      </c>
      <c r="M370" s="68">
        <f t="shared" si="80"/>
        <v>-388</v>
      </c>
      <c r="N370" s="68">
        <f t="shared" si="81"/>
        <v>17</v>
      </c>
      <c r="O370" s="68">
        <f t="shared" si="82"/>
        <v>96</v>
      </c>
      <c r="P370" s="68">
        <f t="shared" si="83"/>
        <v>514</v>
      </c>
      <c r="Q370" s="68" t="str">
        <f t="shared" si="84"/>
        <v/>
      </c>
      <c r="R370" s="69">
        <f t="shared" si="85"/>
        <v>-3307</v>
      </c>
      <c r="U370" s="5">
        <v>44819</v>
      </c>
      <c r="V370">
        <v>-9461</v>
      </c>
      <c r="W370">
        <v>16345</v>
      </c>
      <c r="X370">
        <v>-3576</v>
      </c>
      <c r="Y370">
        <v>-3676</v>
      </c>
      <c r="Z370">
        <v>247</v>
      </c>
      <c r="AA370">
        <v>-386</v>
      </c>
      <c r="AB370">
        <v>-388</v>
      </c>
      <c r="AC370">
        <v>17</v>
      </c>
      <c r="AD370">
        <v>96</v>
      </c>
      <c r="AE370">
        <v>514</v>
      </c>
      <c r="AF370">
        <v>0</v>
      </c>
      <c r="AG370">
        <v>-3307</v>
      </c>
    </row>
    <row r="371" spans="6:33">
      <c r="F371" s="74">
        <f t="shared" si="73"/>
        <v>44818</v>
      </c>
      <c r="G371" s="72">
        <f t="shared" si="74"/>
        <v>1839</v>
      </c>
      <c r="H371" s="68">
        <f t="shared" si="75"/>
        <v>4458</v>
      </c>
      <c r="I371" s="68">
        <f t="shared" si="76"/>
        <v>-5619</v>
      </c>
      <c r="J371" s="68">
        <f t="shared" si="77"/>
        <v>-4982</v>
      </c>
      <c r="K371" s="68">
        <f t="shared" si="78"/>
        <v>13</v>
      </c>
      <c r="L371" s="68">
        <f t="shared" si="79"/>
        <v>-400</v>
      </c>
      <c r="M371" s="68">
        <f t="shared" si="80"/>
        <v>-940</v>
      </c>
      <c r="N371" s="68">
        <f t="shared" si="81"/>
        <v>-27</v>
      </c>
      <c r="O371" s="68">
        <f t="shared" si="82"/>
        <v>155</v>
      </c>
      <c r="P371" s="68">
        <f t="shared" si="83"/>
        <v>562</v>
      </c>
      <c r="Q371" s="68" t="str">
        <f t="shared" si="84"/>
        <v/>
      </c>
      <c r="R371" s="69">
        <f t="shared" si="85"/>
        <v>-677</v>
      </c>
      <c r="U371" s="5">
        <v>44818</v>
      </c>
      <c r="V371">
        <v>1839</v>
      </c>
      <c r="W371">
        <v>4458</v>
      </c>
      <c r="X371">
        <v>-5619</v>
      </c>
      <c r="Y371">
        <v>-4982</v>
      </c>
      <c r="Z371">
        <v>13</v>
      </c>
      <c r="AA371">
        <v>-400</v>
      </c>
      <c r="AB371">
        <v>-940</v>
      </c>
      <c r="AC371">
        <v>-27</v>
      </c>
      <c r="AD371">
        <v>155</v>
      </c>
      <c r="AE371">
        <v>562</v>
      </c>
      <c r="AF371">
        <v>0</v>
      </c>
      <c r="AG371">
        <v>-677</v>
      </c>
    </row>
    <row r="372" spans="6:33">
      <c r="F372" s="74">
        <f t="shared" si="73"/>
        <v>44817</v>
      </c>
      <c r="G372" s="72">
        <f t="shared" si="74"/>
        <v>10526</v>
      </c>
      <c r="H372" s="68">
        <f t="shared" si="75"/>
        <v>-22808</v>
      </c>
      <c r="I372" s="68">
        <f t="shared" si="76"/>
        <v>14506</v>
      </c>
      <c r="J372" s="68">
        <f t="shared" si="77"/>
        <v>12789</v>
      </c>
      <c r="K372" s="68">
        <f t="shared" si="78"/>
        <v>192</v>
      </c>
      <c r="L372" s="68">
        <f t="shared" si="79"/>
        <v>-248</v>
      </c>
      <c r="M372" s="68">
        <f t="shared" si="80"/>
        <v>635</v>
      </c>
      <c r="N372" s="68">
        <f t="shared" si="81"/>
        <v>167</v>
      </c>
      <c r="O372" s="68">
        <f t="shared" si="82"/>
        <v>229</v>
      </c>
      <c r="P372" s="68">
        <f t="shared" si="83"/>
        <v>742</v>
      </c>
      <c r="Q372" s="68" t="str">
        <f t="shared" si="84"/>
        <v/>
      </c>
      <c r="R372" s="69">
        <f t="shared" si="85"/>
        <v>-2226</v>
      </c>
      <c r="U372" s="5">
        <v>44817</v>
      </c>
      <c r="V372">
        <v>10526</v>
      </c>
      <c r="W372">
        <v>-22808</v>
      </c>
      <c r="X372">
        <v>14506</v>
      </c>
      <c r="Y372">
        <v>12789</v>
      </c>
      <c r="Z372">
        <v>192</v>
      </c>
      <c r="AA372">
        <v>-248</v>
      </c>
      <c r="AB372">
        <v>635</v>
      </c>
      <c r="AC372">
        <v>167</v>
      </c>
      <c r="AD372">
        <v>229</v>
      </c>
      <c r="AE372">
        <v>742</v>
      </c>
      <c r="AF372">
        <v>0</v>
      </c>
      <c r="AG372">
        <v>-2226</v>
      </c>
    </row>
    <row r="373" spans="6:33">
      <c r="F373" s="74">
        <f t="shared" si="73"/>
        <v>44812</v>
      </c>
      <c r="G373" s="72">
        <f t="shared" si="74"/>
        <v>-8468</v>
      </c>
      <c r="H373" s="68">
        <f t="shared" si="75"/>
        <v>3466</v>
      </c>
      <c r="I373" s="68">
        <f t="shared" si="76"/>
        <v>4862</v>
      </c>
      <c r="J373" s="68">
        <f t="shared" si="77"/>
        <v>5063</v>
      </c>
      <c r="K373" s="68">
        <f t="shared" si="78"/>
        <v>225</v>
      </c>
      <c r="L373" s="68">
        <f t="shared" si="79"/>
        <v>430</v>
      </c>
      <c r="M373" s="68">
        <f t="shared" si="80"/>
        <v>721</v>
      </c>
      <c r="N373" s="68">
        <f t="shared" si="81"/>
        <v>80</v>
      </c>
      <c r="O373" s="68">
        <f t="shared" si="82"/>
        <v>136</v>
      </c>
      <c r="P373" s="68">
        <f t="shared" si="83"/>
        <v>-1793</v>
      </c>
      <c r="Q373" s="68" t="str">
        <f t="shared" si="84"/>
        <v/>
      </c>
      <c r="R373" s="69">
        <f t="shared" si="85"/>
        <v>141</v>
      </c>
      <c r="U373" s="5">
        <v>44812</v>
      </c>
      <c r="V373">
        <v>-8468</v>
      </c>
      <c r="W373">
        <v>3466</v>
      </c>
      <c r="X373">
        <v>4862</v>
      </c>
      <c r="Y373">
        <v>5063</v>
      </c>
      <c r="Z373">
        <v>225</v>
      </c>
      <c r="AA373">
        <v>430</v>
      </c>
      <c r="AB373">
        <v>721</v>
      </c>
      <c r="AC373">
        <v>80</v>
      </c>
      <c r="AD373">
        <v>136</v>
      </c>
      <c r="AE373">
        <v>-1793</v>
      </c>
      <c r="AF373">
        <v>0</v>
      </c>
      <c r="AG373">
        <v>141</v>
      </c>
    </row>
    <row r="374" spans="6:33">
      <c r="F374" s="74">
        <f t="shared" si="73"/>
        <v>44811</v>
      </c>
      <c r="G374" s="72">
        <f t="shared" si="74"/>
        <v>-21182</v>
      </c>
      <c r="H374" s="68">
        <f t="shared" si="75"/>
        <v>28819</v>
      </c>
      <c r="I374" s="68">
        <f t="shared" si="76"/>
        <v>-7114</v>
      </c>
      <c r="J374" s="68">
        <f t="shared" si="77"/>
        <v>-1088</v>
      </c>
      <c r="K374" s="68">
        <f t="shared" si="78"/>
        <v>-1359</v>
      </c>
      <c r="L374" s="68">
        <f t="shared" si="79"/>
        <v>-1965</v>
      </c>
      <c r="M374" s="68">
        <f t="shared" si="80"/>
        <v>-2758</v>
      </c>
      <c r="N374" s="68">
        <f t="shared" si="81"/>
        <v>-72</v>
      </c>
      <c r="O374" s="68">
        <f t="shared" si="82"/>
        <v>30</v>
      </c>
      <c r="P374" s="68">
        <f t="shared" si="83"/>
        <v>98</v>
      </c>
      <c r="Q374" s="68" t="str">
        <f t="shared" si="84"/>
        <v/>
      </c>
      <c r="R374" s="69">
        <f t="shared" si="85"/>
        <v>-524</v>
      </c>
      <c r="U374" s="5">
        <v>44811</v>
      </c>
      <c r="V374">
        <v>-21182</v>
      </c>
      <c r="W374">
        <v>28819</v>
      </c>
      <c r="X374">
        <v>-7114</v>
      </c>
      <c r="Y374">
        <v>-1088</v>
      </c>
      <c r="Z374">
        <v>-1359</v>
      </c>
      <c r="AA374">
        <v>-1965</v>
      </c>
      <c r="AB374">
        <v>-2758</v>
      </c>
      <c r="AC374">
        <v>-72</v>
      </c>
      <c r="AD374">
        <v>30</v>
      </c>
      <c r="AE374">
        <v>98</v>
      </c>
      <c r="AF374">
        <v>0</v>
      </c>
      <c r="AG374">
        <v>-524</v>
      </c>
    </row>
    <row r="375" spans="6:33">
      <c r="F375" s="74">
        <f t="shared" si="73"/>
        <v>44810</v>
      </c>
      <c r="G375" s="72">
        <f t="shared" si="74"/>
        <v>1660</v>
      </c>
      <c r="H375" s="68">
        <f t="shared" si="75"/>
        <v>-918</v>
      </c>
      <c r="I375" s="68">
        <f t="shared" si="76"/>
        <v>-959</v>
      </c>
      <c r="J375" s="68">
        <f t="shared" si="77"/>
        <v>-1074</v>
      </c>
      <c r="K375" s="68">
        <f t="shared" si="78"/>
        <v>-264</v>
      </c>
      <c r="L375" s="68">
        <f t="shared" si="79"/>
        <v>202</v>
      </c>
      <c r="M375" s="68">
        <f t="shared" si="80"/>
        <v>-65</v>
      </c>
      <c r="N375" s="68">
        <f t="shared" si="81"/>
        <v>241</v>
      </c>
      <c r="O375" s="68">
        <f t="shared" si="82"/>
        <v>103</v>
      </c>
      <c r="P375" s="68">
        <f t="shared" si="83"/>
        <v>-102</v>
      </c>
      <c r="Q375" s="68" t="str">
        <f t="shared" si="84"/>
        <v/>
      </c>
      <c r="R375" s="69">
        <f t="shared" si="85"/>
        <v>218</v>
      </c>
      <c r="U375" s="5">
        <v>44810</v>
      </c>
      <c r="V375">
        <v>1660</v>
      </c>
      <c r="W375">
        <v>-918</v>
      </c>
      <c r="X375">
        <v>-959</v>
      </c>
      <c r="Y375">
        <v>-1074</v>
      </c>
      <c r="Z375">
        <v>-264</v>
      </c>
      <c r="AA375">
        <v>202</v>
      </c>
      <c r="AB375">
        <v>-65</v>
      </c>
      <c r="AC375">
        <v>241</v>
      </c>
      <c r="AD375">
        <v>103</v>
      </c>
      <c r="AE375">
        <v>-102</v>
      </c>
      <c r="AF375">
        <v>0</v>
      </c>
      <c r="AG375">
        <v>218</v>
      </c>
    </row>
    <row r="376" spans="6:33">
      <c r="F376" s="74">
        <f t="shared" si="73"/>
        <v>44809</v>
      </c>
      <c r="G376" s="72">
        <f t="shared" si="74"/>
        <v>-2341</v>
      </c>
      <c r="H376" s="68">
        <f t="shared" si="75"/>
        <v>17</v>
      </c>
      <c r="I376" s="68">
        <f t="shared" si="76"/>
        <v>1850</v>
      </c>
      <c r="J376" s="68">
        <f t="shared" si="77"/>
        <v>3268</v>
      </c>
      <c r="K376" s="68">
        <f t="shared" si="78"/>
        <v>101</v>
      </c>
      <c r="L376" s="68">
        <f t="shared" si="79"/>
        <v>353</v>
      </c>
      <c r="M376" s="68">
        <f t="shared" si="80"/>
        <v>-1472</v>
      </c>
      <c r="N376" s="68">
        <f t="shared" si="81"/>
        <v>151</v>
      </c>
      <c r="O376" s="68">
        <f t="shared" si="82"/>
        <v>-703</v>
      </c>
      <c r="P376" s="68">
        <f t="shared" si="83"/>
        <v>152</v>
      </c>
      <c r="Q376" s="68" t="str">
        <f t="shared" si="84"/>
        <v/>
      </c>
      <c r="R376" s="69">
        <f t="shared" si="85"/>
        <v>473</v>
      </c>
      <c r="U376" s="5">
        <v>44809</v>
      </c>
      <c r="V376">
        <v>-2341</v>
      </c>
      <c r="W376">
        <v>17</v>
      </c>
      <c r="X376">
        <v>1850</v>
      </c>
      <c r="Y376">
        <v>3268</v>
      </c>
      <c r="Z376">
        <v>101</v>
      </c>
      <c r="AA376">
        <v>353</v>
      </c>
      <c r="AB376">
        <v>-1472</v>
      </c>
      <c r="AC376">
        <v>151</v>
      </c>
      <c r="AD376">
        <v>-703</v>
      </c>
      <c r="AE376">
        <v>152</v>
      </c>
      <c r="AF376">
        <v>0</v>
      </c>
      <c r="AG376">
        <v>473</v>
      </c>
    </row>
    <row r="377" spans="6:33">
      <c r="F377" s="74">
        <f t="shared" si="73"/>
        <v>44806</v>
      </c>
      <c r="G377" s="72">
        <f t="shared" si="74"/>
        <v>-16000</v>
      </c>
      <c r="H377" s="68">
        <f t="shared" si="75"/>
        <v>20141</v>
      </c>
      <c r="I377" s="68">
        <f t="shared" si="76"/>
        <v>-5398</v>
      </c>
      <c r="J377" s="68">
        <f t="shared" si="77"/>
        <v>-4604</v>
      </c>
      <c r="K377" s="68">
        <f t="shared" si="78"/>
        <v>147</v>
      </c>
      <c r="L377" s="68">
        <f t="shared" si="79"/>
        <v>-443</v>
      </c>
      <c r="M377" s="68">
        <f t="shared" si="80"/>
        <v>225</v>
      </c>
      <c r="N377" s="68">
        <f t="shared" si="81"/>
        <v>136</v>
      </c>
      <c r="O377" s="68">
        <f t="shared" si="82"/>
        <v>-227</v>
      </c>
      <c r="P377" s="68">
        <f t="shared" si="83"/>
        <v>-632</v>
      </c>
      <c r="Q377" s="68" t="str">
        <f t="shared" si="84"/>
        <v/>
      </c>
      <c r="R377" s="69">
        <f t="shared" si="85"/>
        <v>1255</v>
      </c>
      <c r="U377" s="5">
        <v>44806</v>
      </c>
      <c r="V377">
        <v>-16000</v>
      </c>
      <c r="W377">
        <v>20141</v>
      </c>
      <c r="X377">
        <v>-5398</v>
      </c>
      <c r="Y377">
        <v>-4604</v>
      </c>
      <c r="Z377">
        <v>147</v>
      </c>
      <c r="AA377">
        <v>-443</v>
      </c>
      <c r="AB377">
        <v>225</v>
      </c>
      <c r="AC377">
        <v>136</v>
      </c>
      <c r="AD377">
        <v>-227</v>
      </c>
      <c r="AE377">
        <v>-632</v>
      </c>
      <c r="AF377">
        <v>0</v>
      </c>
      <c r="AG377">
        <v>1255</v>
      </c>
    </row>
    <row r="378" spans="6:33">
      <c r="F378" s="74">
        <f t="shared" si="73"/>
        <v>44805</v>
      </c>
      <c r="G378" s="72">
        <f t="shared" si="74"/>
        <v>-23322</v>
      </c>
      <c r="H378" s="68">
        <f t="shared" si="75"/>
        <v>45984</v>
      </c>
      <c r="I378" s="68">
        <f t="shared" si="76"/>
        <v>-23793</v>
      </c>
      <c r="J378" s="68">
        <f t="shared" si="77"/>
        <v>-10706</v>
      </c>
      <c r="K378" s="68">
        <f t="shared" si="78"/>
        <v>-327</v>
      </c>
      <c r="L378" s="68">
        <f t="shared" si="79"/>
        <v>-1426</v>
      </c>
      <c r="M378" s="68">
        <f t="shared" si="80"/>
        <v>-3641</v>
      </c>
      <c r="N378" s="68">
        <f t="shared" si="81"/>
        <v>101</v>
      </c>
      <c r="O378" s="68">
        <f t="shared" si="82"/>
        <v>-5847</v>
      </c>
      <c r="P378" s="68">
        <f t="shared" si="83"/>
        <v>-1947</v>
      </c>
      <c r="Q378" s="68" t="str">
        <f t="shared" si="84"/>
        <v/>
      </c>
      <c r="R378" s="69">
        <f t="shared" si="85"/>
        <v>1131</v>
      </c>
      <c r="U378" s="5">
        <v>44805</v>
      </c>
      <c r="V378">
        <v>-23322</v>
      </c>
      <c r="W378">
        <v>45984</v>
      </c>
      <c r="X378">
        <v>-23793</v>
      </c>
      <c r="Y378">
        <v>-10706</v>
      </c>
      <c r="Z378">
        <v>-327</v>
      </c>
      <c r="AA378">
        <v>-1426</v>
      </c>
      <c r="AB378">
        <v>-3641</v>
      </c>
      <c r="AC378">
        <v>101</v>
      </c>
      <c r="AD378">
        <v>-5847</v>
      </c>
      <c r="AE378">
        <v>-1947</v>
      </c>
      <c r="AF378">
        <v>0</v>
      </c>
      <c r="AG378">
        <v>1131</v>
      </c>
    </row>
    <row r="379" spans="6:33">
      <c r="F379" s="74">
        <f t="shared" si="73"/>
        <v>44804</v>
      </c>
      <c r="G379" s="72">
        <f t="shared" si="74"/>
        <v>13486</v>
      </c>
      <c r="H379" s="68">
        <f t="shared" si="75"/>
        <v>19453</v>
      </c>
      <c r="I379" s="68">
        <f t="shared" si="76"/>
        <v>-4032</v>
      </c>
      <c r="J379" s="68">
        <f t="shared" si="77"/>
        <v>-2917</v>
      </c>
      <c r="K379" s="68">
        <f t="shared" si="78"/>
        <v>52</v>
      </c>
      <c r="L379" s="68">
        <f t="shared" si="79"/>
        <v>270</v>
      </c>
      <c r="M379" s="68">
        <f t="shared" si="80"/>
        <v>-434</v>
      </c>
      <c r="N379" s="68">
        <f t="shared" si="81"/>
        <v>-9</v>
      </c>
      <c r="O379" s="68">
        <f t="shared" si="82"/>
        <v>29</v>
      </c>
      <c r="P379" s="68">
        <f t="shared" si="83"/>
        <v>-1023</v>
      </c>
      <c r="Q379" s="68" t="str">
        <f t="shared" si="84"/>
        <v/>
      </c>
      <c r="R379" s="69">
        <f t="shared" si="85"/>
        <v>-28908</v>
      </c>
      <c r="U379" s="5">
        <v>44804</v>
      </c>
      <c r="V379">
        <v>13486</v>
      </c>
      <c r="W379">
        <v>19453</v>
      </c>
      <c r="X379">
        <v>-4032</v>
      </c>
      <c r="Y379">
        <v>-2917</v>
      </c>
      <c r="Z379">
        <v>52</v>
      </c>
      <c r="AA379">
        <v>270</v>
      </c>
      <c r="AB379">
        <v>-434</v>
      </c>
      <c r="AC379">
        <v>-9</v>
      </c>
      <c r="AD379">
        <v>29</v>
      </c>
      <c r="AE379">
        <v>-1023</v>
      </c>
      <c r="AF379">
        <v>0</v>
      </c>
      <c r="AG379">
        <v>-28908</v>
      </c>
    </row>
    <row r="380" spans="6:33">
      <c r="F380" s="74">
        <f t="shared" si="73"/>
        <v>44803</v>
      </c>
      <c r="G380" s="72">
        <f t="shared" si="74"/>
        <v>-6713</v>
      </c>
      <c r="H380" s="68">
        <f t="shared" si="75"/>
        <v>11739</v>
      </c>
      <c r="I380" s="68">
        <f t="shared" si="76"/>
        <v>-5107</v>
      </c>
      <c r="J380" s="68">
        <f t="shared" si="77"/>
        <v>-984</v>
      </c>
      <c r="K380" s="68">
        <f t="shared" si="78"/>
        <v>-339</v>
      </c>
      <c r="L380" s="68">
        <f t="shared" si="79"/>
        <v>-1457</v>
      </c>
      <c r="M380" s="68">
        <f t="shared" si="80"/>
        <v>-1615</v>
      </c>
      <c r="N380" s="68">
        <f t="shared" si="81"/>
        <v>-24</v>
      </c>
      <c r="O380" s="68">
        <f t="shared" si="82"/>
        <v>57</v>
      </c>
      <c r="P380" s="68">
        <f t="shared" si="83"/>
        <v>-745</v>
      </c>
      <c r="Q380" s="68" t="str">
        <f t="shared" si="84"/>
        <v/>
      </c>
      <c r="R380" s="69">
        <f t="shared" si="85"/>
        <v>81</v>
      </c>
      <c r="U380" s="5">
        <v>44803</v>
      </c>
      <c r="V380">
        <v>-6713</v>
      </c>
      <c r="W380">
        <v>11739</v>
      </c>
      <c r="X380">
        <v>-5107</v>
      </c>
      <c r="Y380">
        <v>-984</v>
      </c>
      <c r="Z380">
        <v>-339</v>
      </c>
      <c r="AA380">
        <v>-1457</v>
      </c>
      <c r="AB380">
        <v>-1615</v>
      </c>
      <c r="AC380">
        <v>-24</v>
      </c>
      <c r="AD380">
        <v>57</v>
      </c>
      <c r="AE380">
        <v>-745</v>
      </c>
      <c r="AF380">
        <v>0</v>
      </c>
      <c r="AG380">
        <v>81</v>
      </c>
    </row>
    <row r="381" spans="6:33">
      <c r="F381" s="74">
        <f t="shared" si="73"/>
        <v>44802</v>
      </c>
      <c r="G381" s="72">
        <f t="shared" si="74"/>
        <v>-10773</v>
      </c>
      <c r="H381" s="68">
        <f t="shared" si="75"/>
        <v>21259</v>
      </c>
      <c r="I381" s="68">
        <f t="shared" si="76"/>
        <v>-10599</v>
      </c>
      <c r="J381" s="68">
        <f t="shared" si="77"/>
        <v>-7705</v>
      </c>
      <c r="K381" s="68">
        <f t="shared" si="78"/>
        <v>-350</v>
      </c>
      <c r="L381" s="68">
        <f t="shared" si="79"/>
        <v>-551</v>
      </c>
      <c r="M381" s="68">
        <f t="shared" si="80"/>
        <v>-2142</v>
      </c>
      <c r="N381" s="68">
        <f t="shared" si="81"/>
        <v>196</v>
      </c>
      <c r="O381" s="68">
        <f t="shared" si="82"/>
        <v>49</v>
      </c>
      <c r="P381" s="68">
        <f t="shared" si="83"/>
        <v>-96</v>
      </c>
      <c r="Q381" s="68" t="str">
        <f t="shared" si="84"/>
        <v/>
      </c>
      <c r="R381" s="69">
        <f t="shared" si="85"/>
        <v>113</v>
      </c>
      <c r="U381" s="5">
        <v>44802</v>
      </c>
      <c r="V381">
        <v>-10773</v>
      </c>
      <c r="W381">
        <v>21259</v>
      </c>
      <c r="X381">
        <v>-10599</v>
      </c>
      <c r="Y381">
        <v>-7705</v>
      </c>
      <c r="Z381">
        <v>-350</v>
      </c>
      <c r="AA381">
        <v>-551</v>
      </c>
      <c r="AB381">
        <v>-2142</v>
      </c>
      <c r="AC381">
        <v>196</v>
      </c>
      <c r="AD381">
        <v>49</v>
      </c>
      <c r="AE381">
        <v>-96</v>
      </c>
      <c r="AF381">
        <v>0</v>
      </c>
      <c r="AG381">
        <v>113</v>
      </c>
    </row>
    <row r="382" spans="6:33">
      <c r="F382" s="74">
        <f t="shared" si="73"/>
        <v>44799</v>
      </c>
      <c r="G382" s="72">
        <f t="shared" si="74"/>
        <v>6115</v>
      </c>
      <c r="H382" s="68">
        <f t="shared" si="75"/>
        <v>-7696</v>
      </c>
      <c r="I382" s="68">
        <f t="shared" si="76"/>
        <v>8754</v>
      </c>
      <c r="J382" s="68">
        <f t="shared" si="77"/>
        <v>1346</v>
      </c>
      <c r="K382" s="68">
        <f t="shared" si="78"/>
        <v>109</v>
      </c>
      <c r="L382" s="68">
        <f t="shared" si="79"/>
        <v>4227</v>
      </c>
      <c r="M382" s="68">
        <f t="shared" si="80"/>
        <v>3271</v>
      </c>
      <c r="N382" s="68">
        <f t="shared" si="81"/>
        <v>156</v>
      </c>
      <c r="O382" s="68">
        <f t="shared" si="82"/>
        <v>-26</v>
      </c>
      <c r="P382" s="68">
        <f t="shared" si="83"/>
        <v>-329</v>
      </c>
      <c r="Q382" s="68" t="str">
        <f t="shared" si="84"/>
        <v/>
      </c>
      <c r="R382" s="69">
        <f t="shared" si="85"/>
        <v>-7174</v>
      </c>
      <c r="U382" s="5">
        <v>44799</v>
      </c>
      <c r="V382">
        <v>6115</v>
      </c>
      <c r="W382">
        <v>-7696</v>
      </c>
      <c r="X382">
        <v>8754</v>
      </c>
      <c r="Y382">
        <v>1346</v>
      </c>
      <c r="Z382">
        <v>109</v>
      </c>
      <c r="AA382">
        <v>4227</v>
      </c>
      <c r="AB382">
        <v>3271</v>
      </c>
      <c r="AC382">
        <v>156</v>
      </c>
      <c r="AD382">
        <v>-26</v>
      </c>
      <c r="AE382">
        <v>-329</v>
      </c>
      <c r="AF382">
        <v>0</v>
      </c>
      <c r="AG382">
        <v>-7174</v>
      </c>
    </row>
    <row r="383" spans="6:33">
      <c r="F383" s="74">
        <f t="shared" si="73"/>
        <v>44798</v>
      </c>
      <c r="G383" s="72">
        <f t="shared" si="74"/>
        <v>13366</v>
      </c>
      <c r="H383" s="68">
        <f t="shared" si="75"/>
        <v>-9410</v>
      </c>
      <c r="I383" s="68">
        <f t="shared" si="76"/>
        <v>3025</v>
      </c>
      <c r="J383" s="68">
        <f t="shared" si="77"/>
        <v>744</v>
      </c>
      <c r="K383" s="68">
        <f t="shared" si="78"/>
        <v>-118</v>
      </c>
      <c r="L383" s="68">
        <f t="shared" si="79"/>
        <v>1207</v>
      </c>
      <c r="M383" s="68">
        <f t="shared" si="80"/>
        <v>772</v>
      </c>
      <c r="N383" s="68">
        <f t="shared" si="81"/>
        <v>127</v>
      </c>
      <c r="O383" s="68">
        <f t="shared" si="82"/>
        <v>69</v>
      </c>
      <c r="P383" s="68">
        <f t="shared" si="83"/>
        <v>224</v>
      </c>
      <c r="Q383" s="68" t="str">
        <f t="shared" si="84"/>
        <v/>
      </c>
      <c r="R383" s="69">
        <f t="shared" si="85"/>
        <v>-6984</v>
      </c>
      <c r="U383" s="5">
        <v>44798</v>
      </c>
      <c r="V383">
        <v>13366</v>
      </c>
      <c r="W383">
        <v>-9410</v>
      </c>
      <c r="X383">
        <v>3025</v>
      </c>
      <c r="Y383">
        <v>744</v>
      </c>
      <c r="Z383">
        <v>-118</v>
      </c>
      <c r="AA383">
        <v>1207</v>
      </c>
      <c r="AB383">
        <v>772</v>
      </c>
      <c r="AC383">
        <v>127</v>
      </c>
      <c r="AD383">
        <v>69</v>
      </c>
      <c r="AE383">
        <v>224</v>
      </c>
      <c r="AF383">
        <v>0</v>
      </c>
      <c r="AG383">
        <v>-6984</v>
      </c>
    </row>
    <row r="384" spans="6:33">
      <c r="F384" s="74">
        <f t="shared" si="73"/>
        <v>44797</v>
      </c>
      <c r="G384" s="72">
        <f t="shared" si="74"/>
        <v>6344</v>
      </c>
      <c r="H384" s="68">
        <f t="shared" si="75"/>
        <v>-5278</v>
      </c>
      <c r="I384" s="68">
        <f t="shared" si="76"/>
        <v>-349</v>
      </c>
      <c r="J384" s="68">
        <f t="shared" si="77"/>
        <v>-2584</v>
      </c>
      <c r="K384" s="68">
        <f t="shared" si="78"/>
        <v>486</v>
      </c>
      <c r="L384" s="68">
        <f t="shared" si="79"/>
        <v>2071</v>
      </c>
      <c r="M384" s="68">
        <f t="shared" si="80"/>
        <v>237</v>
      </c>
      <c r="N384" s="68">
        <f t="shared" si="81"/>
        <v>34</v>
      </c>
      <c r="O384" s="68">
        <f t="shared" si="82"/>
        <v>49</v>
      </c>
      <c r="P384" s="68">
        <f t="shared" si="83"/>
        <v>-642</v>
      </c>
      <c r="Q384" s="68" t="str">
        <f t="shared" si="84"/>
        <v/>
      </c>
      <c r="R384" s="69">
        <f t="shared" si="85"/>
        <v>-716</v>
      </c>
      <c r="U384" s="5">
        <v>44797</v>
      </c>
      <c r="V384">
        <v>6344</v>
      </c>
      <c r="W384">
        <v>-5278</v>
      </c>
      <c r="X384">
        <v>-349</v>
      </c>
      <c r="Y384">
        <v>-2584</v>
      </c>
      <c r="Z384">
        <v>486</v>
      </c>
      <c r="AA384">
        <v>2071</v>
      </c>
      <c r="AB384">
        <v>237</v>
      </c>
      <c r="AC384">
        <v>34</v>
      </c>
      <c r="AD384">
        <v>49</v>
      </c>
      <c r="AE384">
        <v>-642</v>
      </c>
      <c r="AF384">
        <v>0</v>
      </c>
      <c r="AG384">
        <v>-716</v>
      </c>
    </row>
    <row r="385" spans="6:33">
      <c r="F385" s="74">
        <f t="shared" si="73"/>
        <v>44796</v>
      </c>
      <c r="G385" s="72">
        <f t="shared" si="74"/>
        <v>-1320</v>
      </c>
      <c r="H385" s="68">
        <f t="shared" si="75"/>
        <v>3103</v>
      </c>
      <c r="I385" s="68">
        <f t="shared" si="76"/>
        <v>-1103</v>
      </c>
      <c r="J385" s="68">
        <f t="shared" si="77"/>
        <v>-1866</v>
      </c>
      <c r="K385" s="68">
        <f t="shared" si="78"/>
        <v>-296</v>
      </c>
      <c r="L385" s="68">
        <f t="shared" si="79"/>
        <v>683</v>
      </c>
      <c r="M385" s="68">
        <f t="shared" si="80"/>
        <v>269</v>
      </c>
      <c r="N385" s="68">
        <f t="shared" si="81"/>
        <v>12</v>
      </c>
      <c r="O385" s="68">
        <f t="shared" si="82"/>
        <v>75</v>
      </c>
      <c r="P385" s="68">
        <f t="shared" si="83"/>
        <v>20</v>
      </c>
      <c r="Q385" s="68" t="str">
        <f t="shared" si="84"/>
        <v/>
      </c>
      <c r="R385" s="69">
        <f t="shared" si="85"/>
        <v>-680</v>
      </c>
      <c r="U385" s="5">
        <v>44796</v>
      </c>
      <c r="V385">
        <v>-1320</v>
      </c>
      <c r="W385">
        <v>3103</v>
      </c>
      <c r="X385">
        <v>-1103</v>
      </c>
      <c r="Y385">
        <v>-1866</v>
      </c>
      <c r="Z385">
        <v>-296</v>
      </c>
      <c r="AA385">
        <v>683</v>
      </c>
      <c r="AB385">
        <v>269</v>
      </c>
      <c r="AC385">
        <v>12</v>
      </c>
      <c r="AD385">
        <v>75</v>
      </c>
      <c r="AE385">
        <v>20</v>
      </c>
      <c r="AF385">
        <v>0</v>
      </c>
      <c r="AG385">
        <v>-680</v>
      </c>
    </row>
    <row r="386" spans="6:33">
      <c r="F386" s="74">
        <f t="shared" si="73"/>
        <v>44795</v>
      </c>
      <c r="G386" s="72">
        <f t="shared" si="74"/>
        <v>-6124</v>
      </c>
      <c r="H386" s="68">
        <f t="shared" si="75"/>
        <v>12540</v>
      </c>
      <c r="I386" s="68">
        <f t="shared" si="76"/>
        <v>-4852</v>
      </c>
      <c r="J386" s="68">
        <f t="shared" si="77"/>
        <v>-2375</v>
      </c>
      <c r="K386" s="68">
        <f t="shared" si="78"/>
        <v>-555</v>
      </c>
      <c r="L386" s="68">
        <f t="shared" si="79"/>
        <v>166</v>
      </c>
      <c r="M386" s="68">
        <f t="shared" si="80"/>
        <v>-441</v>
      </c>
      <c r="N386" s="68" t="str">
        <f t="shared" si="81"/>
        <v/>
      </c>
      <c r="O386" s="68">
        <f t="shared" si="82"/>
        <v>-47</v>
      </c>
      <c r="P386" s="68">
        <f t="shared" si="83"/>
        <v>-1600</v>
      </c>
      <c r="Q386" s="68" t="str">
        <f t="shared" si="84"/>
        <v/>
      </c>
      <c r="R386" s="69">
        <f t="shared" si="85"/>
        <v>-1566</v>
      </c>
      <c r="U386" s="5">
        <v>44795</v>
      </c>
      <c r="V386">
        <v>-6124</v>
      </c>
      <c r="W386">
        <v>12540</v>
      </c>
      <c r="X386">
        <v>-4852</v>
      </c>
      <c r="Y386">
        <v>-2375</v>
      </c>
      <c r="Z386">
        <v>-555</v>
      </c>
      <c r="AA386">
        <v>166</v>
      </c>
      <c r="AB386">
        <v>-441</v>
      </c>
      <c r="AC386">
        <v>0</v>
      </c>
      <c r="AD386">
        <v>-47</v>
      </c>
      <c r="AE386">
        <v>-1600</v>
      </c>
      <c r="AF386">
        <v>0</v>
      </c>
      <c r="AG386">
        <v>-1566</v>
      </c>
    </row>
    <row r="387" spans="6:33">
      <c r="F387" s="74">
        <f t="shared" si="73"/>
        <v>44792</v>
      </c>
      <c r="G387" s="72">
        <f t="shared" si="74"/>
        <v>1054</v>
      </c>
      <c r="H387" s="68">
        <f t="shared" si="75"/>
        <v>15782</v>
      </c>
      <c r="I387" s="68">
        <f t="shared" si="76"/>
        <v>-17647</v>
      </c>
      <c r="J387" s="68">
        <f t="shared" si="77"/>
        <v>-320</v>
      </c>
      <c r="K387" s="68">
        <f t="shared" si="78"/>
        <v>-436</v>
      </c>
      <c r="L387" s="68">
        <f t="shared" si="79"/>
        <v>764</v>
      </c>
      <c r="M387" s="68">
        <f t="shared" si="80"/>
        <v>487</v>
      </c>
      <c r="N387" s="68">
        <f t="shared" si="81"/>
        <v>-14772</v>
      </c>
      <c r="O387" s="68">
        <f t="shared" si="82"/>
        <v>-1092</v>
      </c>
      <c r="P387" s="68">
        <f t="shared" si="83"/>
        <v>-2278</v>
      </c>
      <c r="Q387" s="68" t="str">
        <f t="shared" si="84"/>
        <v/>
      </c>
      <c r="R387" s="69">
        <f t="shared" si="85"/>
        <v>813</v>
      </c>
      <c r="U387" s="5">
        <v>44792</v>
      </c>
      <c r="V387">
        <v>1054</v>
      </c>
      <c r="W387">
        <v>15782</v>
      </c>
      <c r="X387">
        <v>-17647</v>
      </c>
      <c r="Y387">
        <v>-320</v>
      </c>
      <c r="Z387">
        <v>-436</v>
      </c>
      <c r="AA387">
        <v>764</v>
      </c>
      <c r="AB387">
        <v>487</v>
      </c>
      <c r="AC387">
        <v>-14772</v>
      </c>
      <c r="AD387">
        <v>-1092</v>
      </c>
      <c r="AE387">
        <v>-2278</v>
      </c>
      <c r="AF387">
        <v>0</v>
      </c>
      <c r="AG387">
        <v>813</v>
      </c>
    </row>
    <row r="388" spans="6:33">
      <c r="F388" s="74">
        <f t="shared" si="73"/>
        <v>44791</v>
      </c>
      <c r="G388" s="72">
        <f t="shared" si="74"/>
        <v>5304</v>
      </c>
      <c r="H388" s="68">
        <f t="shared" si="75"/>
        <v>1660</v>
      </c>
      <c r="I388" s="68">
        <f t="shared" si="76"/>
        <v>-7060</v>
      </c>
      <c r="J388" s="68">
        <f t="shared" si="77"/>
        <v>-5354</v>
      </c>
      <c r="K388" s="68">
        <f t="shared" si="78"/>
        <v>183</v>
      </c>
      <c r="L388" s="68">
        <f t="shared" si="79"/>
        <v>38</v>
      </c>
      <c r="M388" s="68">
        <f t="shared" si="80"/>
        <v>-540</v>
      </c>
      <c r="N388" s="68">
        <f t="shared" si="81"/>
        <v>-4</v>
      </c>
      <c r="O388" s="68">
        <f t="shared" si="82"/>
        <v>190</v>
      </c>
      <c r="P388" s="68">
        <f t="shared" si="83"/>
        <v>-1573</v>
      </c>
      <c r="Q388" s="68" t="str">
        <f t="shared" si="84"/>
        <v/>
      </c>
      <c r="R388" s="69">
        <f t="shared" si="85"/>
        <v>98</v>
      </c>
      <c r="U388" s="5">
        <v>44791</v>
      </c>
      <c r="V388">
        <v>5304</v>
      </c>
      <c r="W388">
        <v>1660</v>
      </c>
      <c r="X388">
        <v>-7060</v>
      </c>
      <c r="Y388">
        <v>-5354</v>
      </c>
      <c r="Z388">
        <v>183</v>
      </c>
      <c r="AA388">
        <v>38</v>
      </c>
      <c r="AB388">
        <v>-540</v>
      </c>
      <c r="AC388">
        <v>-4</v>
      </c>
      <c r="AD388">
        <v>190</v>
      </c>
      <c r="AE388">
        <v>-1573</v>
      </c>
      <c r="AF388">
        <v>0</v>
      </c>
      <c r="AG388">
        <v>98</v>
      </c>
    </row>
    <row r="389" spans="6:33">
      <c r="F389" s="74">
        <f t="shared" si="73"/>
        <v>44790</v>
      </c>
      <c r="G389" s="72">
        <f t="shared" si="74"/>
        <v>-5512</v>
      </c>
      <c r="H389" s="68">
        <f t="shared" si="75"/>
        <v>10033</v>
      </c>
      <c r="I389" s="68">
        <f t="shared" si="76"/>
        <v>-3674</v>
      </c>
      <c r="J389" s="68">
        <f t="shared" si="77"/>
        <v>1389</v>
      </c>
      <c r="K389" s="68">
        <f t="shared" si="78"/>
        <v>-987</v>
      </c>
      <c r="L389" s="68">
        <f t="shared" si="79"/>
        <v>-1189</v>
      </c>
      <c r="M389" s="68">
        <f t="shared" si="80"/>
        <v>-1136</v>
      </c>
      <c r="N389" s="68">
        <f t="shared" si="81"/>
        <v>44</v>
      </c>
      <c r="O389" s="68">
        <f t="shared" si="82"/>
        <v>124</v>
      </c>
      <c r="P389" s="68">
        <f t="shared" si="83"/>
        <v>-1919</v>
      </c>
      <c r="Q389" s="68" t="str">
        <f t="shared" si="84"/>
        <v/>
      </c>
      <c r="R389" s="69">
        <f t="shared" si="85"/>
        <v>-848</v>
      </c>
      <c r="U389" s="5">
        <v>44790</v>
      </c>
      <c r="V389">
        <v>-5512</v>
      </c>
      <c r="W389">
        <v>10033</v>
      </c>
      <c r="X389">
        <v>-3674</v>
      </c>
      <c r="Y389">
        <v>1389</v>
      </c>
      <c r="Z389">
        <v>-987</v>
      </c>
      <c r="AA389">
        <v>-1189</v>
      </c>
      <c r="AB389">
        <v>-1136</v>
      </c>
      <c r="AC389">
        <v>44</v>
      </c>
      <c r="AD389">
        <v>124</v>
      </c>
      <c r="AE389">
        <v>-1919</v>
      </c>
      <c r="AF389">
        <v>0</v>
      </c>
      <c r="AG389">
        <v>-848</v>
      </c>
    </row>
    <row r="390" spans="6:33">
      <c r="F390" s="74">
        <f t="shared" si="73"/>
        <v>44789</v>
      </c>
      <c r="G390" s="72">
        <f t="shared" si="74"/>
        <v>-11762</v>
      </c>
      <c r="H390" s="68">
        <f t="shared" si="75"/>
        <v>15259</v>
      </c>
      <c r="I390" s="68">
        <f t="shared" si="76"/>
        <v>-2253</v>
      </c>
      <c r="J390" s="68">
        <f t="shared" si="77"/>
        <v>815</v>
      </c>
      <c r="K390" s="68">
        <f t="shared" si="78"/>
        <v>-437</v>
      </c>
      <c r="L390" s="68">
        <f t="shared" si="79"/>
        <v>-669</v>
      </c>
      <c r="M390" s="68">
        <f t="shared" si="80"/>
        <v>-305</v>
      </c>
      <c r="N390" s="68">
        <f t="shared" si="81"/>
        <v>2</v>
      </c>
      <c r="O390" s="68">
        <f t="shared" si="82"/>
        <v>-57</v>
      </c>
      <c r="P390" s="68">
        <f t="shared" si="83"/>
        <v>-1602</v>
      </c>
      <c r="Q390" s="68" t="str">
        <f t="shared" si="84"/>
        <v/>
      </c>
      <c r="R390" s="69">
        <f t="shared" si="85"/>
        <v>-1243</v>
      </c>
      <c r="U390" s="5">
        <v>44789</v>
      </c>
      <c r="V390">
        <v>-11762</v>
      </c>
      <c r="W390">
        <v>15259</v>
      </c>
      <c r="X390">
        <v>-2253</v>
      </c>
      <c r="Y390">
        <v>815</v>
      </c>
      <c r="Z390">
        <v>-437</v>
      </c>
      <c r="AA390">
        <v>-669</v>
      </c>
      <c r="AB390">
        <v>-305</v>
      </c>
      <c r="AC390">
        <v>2</v>
      </c>
      <c r="AD390">
        <v>-57</v>
      </c>
      <c r="AE390">
        <v>-1602</v>
      </c>
      <c r="AF390">
        <v>0</v>
      </c>
      <c r="AG390">
        <v>-1243</v>
      </c>
    </row>
    <row r="391" spans="6:33">
      <c r="F391" s="74">
        <f t="shared" si="73"/>
        <v>44785</v>
      </c>
      <c r="G391" s="72">
        <f t="shared" si="74"/>
        <v>1581</v>
      </c>
      <c r="H391" s="68">
        <f t="shared" si="75"/>
        <v>-7543</v>
      </c>
      <c r="I391" s="68">
        <f t="shared" si="76"/>
        <v>5476</v>
      </c>
      <c r="J391" s="68">
        <f t="shared" si="77"/>
        <v>3493</v>
      </c>
      <c r="K391" s="68">
        <f t="shared" si="78"/>
        <v>215</v>
      </c>
      <c r="L391" s="68">
        <f t="shared" si="79"/>
        <v>983</v>
      </c>
      <c r="M391" s="68">
        <f t="shared" si="80"/>
        <v>254</v>
      </c>
      <c r="N391" s="68">
        <f t="shared" si="81"/>
        <v>15</v>
      </c>
      <c r="O391" s="68">
        <f t="shared" si="82"/>
        <v>-90</v>
      </c>
      <c r="P391" s="68">
        <f t="shared" si="83"/>
        <v>606</v>
      </c>
      <c r="Q391" s="68" t="str">
        <f t="shared" si="84"/>
        <v/>
      </c>
      <c r="R391" s="69">
        <f t="shared" si="85"/>
        <v>486</v>
      </c>
      <c r="U391" s="5">
        <v>44785</v>
      </c>
      <c r="V391">
        <v>1581</v>
      </c>
      <c r="W391">
        <v>-7543</v>
      </c>
      <c r="X391">
        <v>5476</v>
      </c>
      <c r="Y391">
        <v>3493</v>
      </c>
      <c r="Z391">
        <v>215</v>
      </c>
      <c r="AA391">
        <v>983</v>
      </c>
      <c r="AB391">
        <v>254</v>
      </c>
      <c r="AC391">
        <v>15</v>
      </c>
      <c r="AD391">
        <v>-90</v>
      </c>
      <c r="AE391">
        <v>606</v>
      </c>
      <c r="AF391">
        <v>0</v>
      </c>
      <c r="AG391">
        <v>486</v>
      </c>
    </row>
    <row r="392" spans="6:33">
      <c r="F392" s="74">
        <f t="shared" si="73"/>
        <v>44784</v>
      </c>
      <c r="G392" s="72">
        <f t="shared" si="74"/>
        <v>10586</v>
      </c>
      <c r="H392" s="68">
        <f t="shared" si="75"/>
        <v>-20788</v>
      </c>
      <c r="I392" s="68">
        <f t="shared" si="76"/>
        <v>10118</v>
      </c>
      <c r="J392" s="68">
        <f t="shared" si="77"/>
        <v>8312</v>
      </c>
      <c r="K392" s="68">
        <f t="shared" si="78"/>
        <v>185</v>
      </c>
      <c r="L392" s="68">
        <f t="shared" si="79"/>
        <v>742</v>
      </c>
      <c r="M392" s="68">
        <f t="shared" si="80"/>
        <v>846</v>
      </c>
      <c r="N392" s="68">
        <f t="shared" si="81"/>
        <v>168</v>
      </c>
      <c r="O392" s="68">
        <f t="shared" si="82"/>
        <v>-182</v>
      </c>
      <c r="P392" s="68">
        <f t="shared" si="83"/>
        <v>47</v>
      </c>
      <c r="Q392" s="68" t="str">
        <f t="shared" si="84"/>
        <v/>
      </c>
      <c r="R392" s="69">
        <f t="shared" si="85"/>
        <v>85</v>
      </c>
      <c r="U392" s="5">
        <v>44784</v>
      </c>
      <c r="V392">
        <v>10586</v>
      </c>
      <c r="W392">
        <v>-20788</v>
      </c>
      <c r="X392">
        <v>10118</v>
      </c>
      <c r="Y392">
        <v>8312</v>
      </c>
      <c r="Z392">
        <v>185</v>
      </c>
      <c r="AA392">
        <v>742</v>
      </c>
      <c r="AB392">
        <v>846</v>
      </c>
      <c r="AC392">
        <v>168</v>
      </c>
      <c r="AD392">
        <v>-182</v>
      </c>
      <c r="AE392">
        <v>47</v>
      </c>
      <c r="AF392">
        <v>0</v>
      </c>
      <c r="AG392">
        <v>85</v>
      </c>
    </row>
    <row r="393" spans="6:33">
      <c r="F393" s="74">
        <f t="shared" si="73"/>
        <v>44783</v>
      </c>
      <c r="G393" s="72">
        <f t="shared" si="74"/>
        <v>-4415</v>
      </c>
      <c r="H393" s="68">
        <f t="shared" si="75"/>
        <v>4170</v>
      </c>
      <c r="I393" s="68">
        <f t="shared" si="76"/>
        <v>-430</v>
      </c>
      <c r="J393" s="68">
        <f t="shared" si="77"/>
        <v>-720</v>
      </c>
      <c r="K393" s="68">
        <f t="shared" si="78"/>
        <v>564</v>
      </c>
      <c r="L393" s="68">
        <f t="shared" si="79"/>
        <v>-976</v>
      </c>
      <c r="M393" s="68">
        <f t="shared" si="80"/>
        <v>189</v>
      </c>
      <c r="N393" s="68">
        <f t="shared" si="81"/>
        <v>129</v>
      </c>
      <c r="O393" s="68">
        <f t="shared" si="82"/>
        <v>182</v>
      </c>
      <c r="P393" s="68">
        <f t="shared" si="83"/>
        <v>202</v>
      </c>
      <c r="Q393" s="68" t="str">
        <f t="shared" si="84"/>
        <v/>
      </c>
      <c r="R393" s="69">
        <f t="shared" si="85"/>
        <v>676</v>
      </c>
      <c r="U393" s="5">
        <v>44783</v>
      </c>
      <c r="V393">
        <v>-4415</v>
      </c>
      <c r="W393">
        <v>4170</v>
      </c>
      <c r="X393">
        <v>-430</v>
      </c>
      <c r="Y393">
        <v>-720</v>
      </c>
      <c r="Z393">
        <v>564</v>
      </c>
      <c r="AA393">
        <v>-976</v>
      </c>
      <c r="AB393">
        <v>189</v>
      </c>
      <c r="AC393">
        <v>129</v>
      </c>
      <c r="AD393">
        <v>182</v>
      </c>
      <c r="AE393">
        <v>202</v>
      </c>
      <c r="AF393">
        <v>0</v>
      </c>
      <c r="AG393">
        <v>676</v>
      </c>
    </row>
    <row r="394" spans="6:33">
      <c r="F394" s="74">
        <f t="shared" si="73"/>
        <v>44782</v>
      </c>
      <c r="G394" s="72">
        <f t="shared" si="74"/>
        <v>-6062</v>
      </c>
      <c r="H394" s="68">
        <f t="shared" si="75"/>
        <v>6881</v>
      </c>
      <c r="I394" s="68">
        <f t="shared" si="76"/>
        <v>-1183</v>
      </c>
      <c r="J394" s="68">
        <f t="shared" si="77"/>
        <v>1870</v>
      </c>
      <c r="K394" s="68">
        <f t="shared" si="78"/>
        <v>-245</v>
      </c>
      <c r="L394" s="68">
        <f t="shared" si="79"/>
        <v>-1483</v>
      </c>
      <c r="M394" s="68">
        <f t="shared" si="80"/>
        <v>-1495</v>
      </c>
      <c r="N394" s="68">
        <f t="shared" si="81"/>
        <v>-31</v>
      </c>
      <c r="O394" s="68">
        <f t="shared" si="82"/>
        <v>-132</v>
      </c>
      <c r="P394" s="68">
        <f t="shared" si="83"/>
        <v>333</v>
      </c>
      <c r="Q394" s="68" t="str">
        <f t="shared" si="84"/>
        <v/>
      </c>
      <c r="R394" s="69">
        <f t="shared" si="85"/>
        <v>362</v>
      </c>
      <c r="U394" s="5">
        <v>44782</v>
      </c>
      <c r="V394">
        <v>-6062</v>
      </c>
      <c r="W394">
        <v>6881</v>
      </c>
      <c r="X394">
        <v>-1183</v>
      </c>
      <c r="Y394">
        <v>1870</v>
      </c>
      <c r="Z394">
        <v>-245</v>
      </c>
      <c r="AA394">
        <v>-1483</v>
      </c>
      <c r="AB394">
        <v>-1495</v>
      </c>
      <c r="AC394">
        <v>-31</v>
      </c>
      <c r="AD394">
        <v>-132</v>
      </c>
      <c r="AE394">
        <v>333</v>
      </c>
      <c r="AF394">
        <v>0</v>
      </c>
      <c r="AG394">
        <v>362</v>
      </c>
    </row>
    <row r="395" spans="6:33">
      <c r="F395" s="74">
        <f t="shared" si="73"/>
        <v>44781</v>
      </c>
      <c r="G395" s="72">
        <f t="shared" si="74"/>
        <v>1524</v>
      </c>
      <c r="H395" s="68">
        <f t="shared" si="75"/>
        <v>3312</v>
      </c>
      <c r="I395" s="68">
        <f t="shared" si="76"/>
        <v>-3559</v>
      </c>
      <c r="J395" s="68">
        <f t="shared" si="77"/>
        <v>-4755</v>
      </c>
      <c r="K395" s="68">
        <f t="shared" si="78"/>
        <v>-369</v>
      </c>
      <c r="L395" s="68">
        <f t="shared" si="79"/>
        <v>938</v>
      </c>
      <c r="M395" s="68">
        <f t="shared" si="80"/>
        <v>725</v>
      </c>
      <c r="N395" s="68">
        <f t="shared" si="81"/>
        <v>8</v>
      </c>
      <c r="O395" s="68">
        <f t="shared" si="82"/>
        <v>-145</v>
      </c>
      <c r="P395" s="68">
        <f t="shared" si="83"/>
        <v>39</v>
      </c>
      <c r="Q395" s="68" t="str">
        <f t="shared" si="84"/>
        <v/>
      </c>
      <c r="R395" s="69">
        <f t="shared" si="85"/>
        <v>-1277</v>
      </c>
      <c r="U395" s="5">
        <v>44781</v>
      </c>
      <c r="V395">
        <v>1524</v>
      </c>
      <c r="W395">
        <v>3312</v>
      </c>
      <c r="X395">
        <v>-3559</v>
      </c>
      <c r="Y395">
        <v>-4755</v>
      </c>
      <c r="Z395">
        <v>-369</v>
      </c>
      <c r="AA395">
        <v>938</v>
      </c>
      <c r="AB395">
        <v>725</v>
      </c>
      <c r="AC395">
        <v>8</v>
      </c>
      <c r="AD395">
        <v>-145</v>
      </c>
      <c r="AE395">
        <v>39</v>
      </c>
      <c r="AF395">
        <v>0</v>
      </c>
      <c r="AG395">
        <v>-1277</v>
      </c>
    </row>
    <row r="396" spans="6:33">
      <c r="F396" s="74">
        <f t="shared" si="73"/>
        <v>44778</v>
      </c>
      <c r="G396" s="72">
        <f t="shared" si="74"/>
        <v>4210</v>
      </c>
      <c r="H396" s="68">
        <f t="shared" si="75"/>
        <v>-206</v>
      </c>
      <c r="I396" s="68">
        <f t="shared" si="76"/>
        <v>-2335</v>
      </c>
      <c r="J396" s="68">
        <f t="shared" si="77"/>
        <v>1647</v>
      </c>
      <c r="K396" s="68">
        <f t="shared" si="78"/>
        <v>-75</v>
      </c>
      <c r="L396" s="68">
        <f t="shared" si="79"/>
        <v>-1114</v>
      </c>
      <c r="M396" s="68">
        <f t="shared" si="80"/>
        <v>91</v>
      </c>
      <c r="N396" s="68">
        <f t="shared" si="81"/>
        <v>-16</v>
      </c>
      <c r="O396" s="68">
        <f t="shared" si="82"/>
        <v>-1814</v>
      </c>
      <c r="P396" s="68">
        <f t="shared" si="83"/>
        <v>-1054</v>
      </c>
      <c r="Q396" s="68" t="str">
        <f t="shared" si="84"/>
        <v/>
      </c>
      <c r="R396" s="69">
        <f t="shared" si="85"/>
        <v>-1670</v>
      </c>
      <c r="U396" s="5">
        <v>44778</v>
      </c>
      <c r="V396">
        <v>4210</v>
      </c>
      <c r="W396">
        <v>-206</v>
      </c>
      <c r="X396">
        <v>-2335</v>
      </c>
      <c r="Y396">
        <v>1647</v>
      </c>
      <c r="Z396">
        <v>-75</v>
      </c>
      <c r="AA396">
        <v>-1114</v>
      </c>
      <c r="AB396">
        <v>91</v>
      </c>
      <c r="AC396">
        <v>-16</v>
      </c>
      <c r="AD396">
        <v>-1814</v>
      </c>
      <c r="AE396">
        <v>-1054</v>
      </c>
      <c r="AF396">
        <v>0</v>
      </c>
      <c r="AG396">
        <v>-1670</v>
      </c>
    </row>
    <row r="397" spans="6:33">
      <c r="F397" s="74">
        <f t="shared" si="73"/>
        <v>44777</v>
      </c>
      <c r="G397" s="72">
        <f t="shared" si="74"/>
        <v>4313</v>
      </c>
      <c r="H397" s="68">
        <f t="shared" si="75"/>
        <v>1335</v>
      </c>
      <c r="I397" s="68">
        <f t="shared" si="76"/>
        <v>-5265</v>
      </c>
      <c r="J397" s="68">
        <f t="shared" si="77"/>
        <v>-3863</v>
      </c>
      <c r="K397" s="68">
        <f t="shared" si="78"/>
        <v>309</v>
      </c>
      <c r="L397" s="68">
        <f t="shared" si="79"/>
        <v>-10</v>
      </c>
      <c r="M397" s="68">
        <f t="shared" si="80"/>
        <v>-78</v>
      </c>
      <c r="N397" s="68">
        <f t="shared" si="81"/>
        <v>-60</v>
      </c>
      <c r="O397" s="68">
        <f t="shared" si="82"/>
        <v>153</v>
      </c>
      <c r="P397" s="68">
        <f t="shared" si="83"/>
        <v>-1716</v>
      </c>
      <c r="Q397" s="68" t="str">
        <f t="shared" si="84"/>
        <v/>
      </c>
      <c r="R397" s="69">
        <f t="shared" si="85"/>
        <v>-381</v>
      </c>
      <c r="U397" s="5">
        <v>44777</v>
      </c>
      <c r="V397">
        <v>4313</v>
      </c>
      <c r="W397">
        <v>1335</v>
      </c>
      <c r="X397">
        <v>-5265</v>
      </c>
      <c r="Y397">
        <v>-3863</v>
      </c>
      <c r="Z397">
        <v>309</v>
      </c>
      <c r="AA397">
        <v>-10</v>
      </c>
      <c r="AB397">
        <v>-78</v>
      </c>
      <c r="AC397">
        <v>-60</v>
      </c>
      <c r="AD397">
        <v>153</v>
      </c>
      <c r="AE397">
        <v>-1716</v>
      </c>
      <c r="AF397">
        <v>0</v>
      </c>
      <c r="AG397">
        <v>-381</v>
      </c>
    </row>
    <row r="398" spans="6:33">
      <c r="F398" s="74">
        <f t="shared" si="73"/>
        <v>44776</v>
      </c>
      <c r="G398" s="72">
        <f t="shared" si="74"/>
        <v>5874</v>
      </c>
      <c r="H398" s="68">
        <f t="shared" si="75"/>
        <v>-438</v>
      </c>
      <c r="I398" s="68">
        <f t="shared" si="76"/>
        <v>-3369</v>
      </c>
      <c r="J398" s="68">
        <f t="shared" si="77"/>
        <v>-808</v>
      </c>
      <c r="K398" s="68">
        <f t="shared" si="78"/>
        <v>-472</v>
      </c>
      <c r="L398" s="68">
        <f t="shared" si="79"/>
        <v>-977</v>
      </c>
      <c r="M398" s="68">
        <f t="shared" si="80"/>
        <v>-1115</v>
      </c>
      <c r="N398" s="68">
        <f t="shared" si="81"/>
        <v>132</v>
      </c>
      <c r="O398" s="68">
        <f t="shared" si="82"/>
        <v>151</v>
      </c>
      <c r="P398" s="68">
        <f t="shared" si="83"/>
        <v>-280</v>
      </c>
      <c r="Q398" s="68" t="str">
        <f t="shared" si="84"/>
        <v/>
      </c>
      <c r="R398" s="69">
        <f t="shared" si="85"/>
        <v>-2066</v>
      </c>
      <c r="U398" s="5">
        <v>44776</v>
      </c>
      <c r="V398">
        <v>5874</v>
      </c>
      <c r="W398">
        <v>-438</v>
      </c>
      <c r="X398">
        <v>-3369</v>
      </c>
      <c r="Y398">
        <v>-808</v>
      </c>
      <c r="Z398">
        <v>-472</v>
      </c>
      <c r="AA398">
        <v>-977</v>
      </c>
      <c r="AB398">
        <v>-1115</v>
      </c>
      <c r="AC398">
        <v>132</v>
      </c>
      <c r="AD398">
        <v>151</v>
      </c>
      <c r="AE398">
        <v>-280</v>
      </c>
      <c r="AF398">
        <v>0</v>
      </c>
      <c r="AG398">
        <v>-2066</v>
      </c>
    </row>
    <row r="399" spans="6:33">
      <c r="F399" s="74">
        <f t="shared" si="73"/>
        <v>44775</v>
      </c>
      <c r="G399" s="72">
        <f t="shared" si="74"/>
        <v>-10305</v>
      </c>
      <c r="H399" s="68">
        <f t="shared" si="75"/>
        <v>19249</v>
      </c>
      <c r="I399" s="68">
        <f t="shared" si="76"/>
        <v>-8876</v>
      </c>
      <c r="J399" s="68">
        <f t="shared" si="77"/>
        <v>-6576</v>
      </c>
      <c r="K399" s="68">
        <f t="shared" si="78"/>
        <v>195</v>
      </c>
      <c r="L399" s="68">
        <f t="shared" si="79"/>
        <v>-1524</v>
      </c>
      <c r="M399" s="68">
        <f t="shared" si="80"/>
        <v>-33</v>
      </c>
      <c r="N399" s="68">
        <f t="shared" si="81"/>
        <v>-47</v>
      </c>
      <c r="O399" s="68">
        <f t="shared" si="82"/>
        <v>156</v>
      </c>
      <c r="P399" s="68">
        <f t="shared" si="83"/>
        <v>-1047</v>
      </c>
      <c r="Q399" s="68" t="str">
        <f t="shared" si="84"/>
        <v/>
      </c>
      <c r="R399" s="69">
        <f t="shared" si="85"/>
        <v>-68</v>
      </c>
      <c r="U399" s="5">
        <v>44775</v>
      </c>
      <c r="V399">
        <v>-10305</v>
      </c>
      <c r="W399">
        <v>19249</v>
      </c>
      <c r="X399">
        <v>-8876</v>
      </c>
      <c r="Y399">
        <v>-6576</v>
      </c>
      <c r="Z399">
        <v>195</v>
      </c>
      <c r="AA399">
        <v>-1524</v>
      </c>
      <c r="AB399">
        <v>-33</v>
      </c>
      <c r="AC399">
        <v>-47</v>
      </c>
      <c r="AD399">
        <v>156</v>
      </c>
      <c r="AE399">
        <v>-1047</v>
      </c>
      <c r="AF399">
        <v>0</v>
      </c>
      <c r="AG399">
        <v>-68</v>
      </c>
    </row>
    <row r="400" spans="6:33">
      <c r="F400" s="74">
        <f t="shared" si="73"/>
        <v>44774</v>
      </c>
      <c r="G400" s="72">
        <f t="shared" si="74"/>
        <v>-2752</v>
      </c>
      <c r="H400" s="68">
        <f t="shared" si="75"/>
        <v>4002</v>
      </c>
      <c r="I400" s="68">
        <f t="shared" si="76"/>
        <v>-357</v>
      </c>
      <c r="J400" s="68">
        <f t="shared" si="77"/>
        <v>-369</v>
      </c>
      <c r="K400" s="68">
        <f t="shared" si="78"/>
        <v>256</v>
      </c>
      <c r="L400" s="68">
        <f t="shared" si="79"/>
        <v>537</v>
      </c>
      <c r="M400" s="68">
        <f t="shared" si="80"/>
        <v>120</v>
      </c>
      <c r="N400" s="68">
        <f t="shared" si="81"/>
        <v>-108</v>
      </c>
      <c r="O400" s="68">
        <f t="shared" si="82"/>
        <v>-16</v>
      </c>
      <c r="P400" s="68">
        <f t="shared" si="83"/>
        <v>-777</v>
      </c>
      <c r="Q400" s="68" t="str">
        <f t="shared" si="84"/>
        <v/>
      </c>
      <c r="R400" s="69">
        <f t="shared" si="85"/>
        <v>-892</v>
      </c>
      <c r="U400" s="5">
        <v>44774</v>
      </c>
      <c r="V400">
        <v>-2752</v>
      </c>
      <c r="W400">
        <v>4002</v>
      </c>
      <c r="X400">
        <v>-357</v>
      </c>
      <c r="Y400">
        <v>-369</v>
      </c>
      <c r="Z400">
        <v>256</v>
      </c>
      <c r="AA400">
        <v>537</v>
      </c>
      <c r="AB400">
        <v>120</v>
      </c>
      <c r="AC400">
        <v>-108</v>
      </c>
      <c r="AD400">
        <v>-16</v>
      </c>
      <c r="AE400">
        <v>-777</v>
      </c>
      <c r="AF400">
        <v>0</v>
      </c>
      <c r="AG400">
        <v>-892</v>
      </c>
    </row>
    <row r="401" spans="6:33">
      <c r="F401" s="74">
        <f t="shared" si="73"/>
        <v>44771</v>
      </c>
      <c r="G401" s="72">
        <f t="shared" si="74"/>
        <v>12693</v>
      </c>
      <c r="H401" s="68">
        <f t="shared" si="75"/>
        <v>-17010</v>
      </c>
      <c r="I401" s="68">
        <f t="shared" si="76"/>
        <v>4215</v>
      </c>
      <c r="J401" s="68">
        <f t="shared" si="77"/>
        <v>6701</v>
      </c>
      <c r="K401" s="68">
        <f t="shared" si="78"/>
        <v>-222</v>
      </c>
      <c r="L401" s="68">
        <f t="shared" si="79"/>
        <v>-1209</v>
      </c>
      <c r="M401" s="68">
        <f t="shared" si="80"/>
        <v>1061</v>
      </c>
      <c r="N401" s="68">
        <f t="shared" si="81"/>
        <v>-56</v>
      </c>
      <c r="O401" s="68">
        <f t="shared" si="82"/>
        <v>313</v>
      </c>
      <c r="P401" s="68">
        <f t="shared" si="83"/>
        <v>-2373</v>
      </c>
      <c r="Q401" s="68" t="str">
        <f t="shared" si="84"/>
        <v/>
      </c>
      <c r="R401" s="69">
        <f t="shared" si="85"/>
        <v>100</v>
      </c>
      <c r="U401" s="5">
        <v>44771</v>
      </c>
      <c r="V401">
        <v>12693</v>
      </c>
      <c r="W401">
        <v>-17010</v>
      </c>
      <c r="X401">
        <v>4215</v>
      </c>
      <c r="Y401">
        <v>6701</v>
      </c>
      <c r="Z401">
        <v>-222</v>
      </c>
      <c r="AA401">
        <v>-1209</v>
      </c>
      <c r="AB401">
        <v>1061</v>
      </c>
      <c r="AC401">
        <v>-56</v>
      </c>
      <c r="AD401">
        <v>313</v>
      </c>
      <c r="AE401">
        <v>-2373</v>
      </c>
      <c r="AF401">
        <v>0</v>
      </c>
      <c r="AG401">
        <v>100</v>
      </c>
    </row>
    <row r="402" spans="6:33">
      <c r="F402" s="74">
        <f t="shared" si="73"/>
        <v>44770</v>
      </c>
      <c r="G402" s="72">
        <f t="shared" si="74"/>
        <v>-4798</v>
      </c>
      <c r="H402" s="68">
        <f t="shared" si="75"/>
        <v>10781</v>
      </c>
      <c r="I402" s="68">
        <f t="shared" si="76"/>
        <v>-5775</v>
      </c>
      <c r="J402" s="68">
        <f t="shared" si="77"/>
        <v>1949</v>
      </c>
      <c r="K402" s="68">
        <f t="shared" si="78"/>
        <v>-204</v>
      </c>
      <c r="L402" s="68">
        <f t="shared" si="79"/>
        <v>-700</v>
      </c>
      <c r="M402" s="68">
        <f t="shared" si="80"/>
        <v>-471</v>
      </c>
      <c r="N402" s="68">
        <f t="shared" si="81"/>
        <v>-3038</v>
      </c>
      <c r="O402" s="68">
        <f t="shared" si="82"/>
        <v>117</v>
      </c>
      <c r="P402" s="68">
        <f t="shared" si="83"/>
        <v>-3428</v>
      </c>
      <c r="Q402" s="68" t="str">
        <f t="shared" si="84"/>
        <v/>
      </c>
      <c r="R402" s="69">
        <f t="shared" si="85"/>
        <v>-207</v>
      </c>
      <c r="U402" s="5">
        <v>44770</v>
      </c>
      <c r="V402">
        <v>-4798</v>
      </c>
      <c r="W402">
        <v>10781</v>
      </c>
      <c r="X402">
        <v>-5775</v>
      </c>
      <c r="Y402">
        <v>1949</v>
      </c>
      <c r="Z402">
        <v>-204</v>
      </c>
      <c r="AA402">
        <v>-700</v>
      </c>
      <c r="AB402">
        <v>-471</v>
      </c>
      <c r="AC402">
        <v>-3038</v>
      </c>
      <c r="AD402">
        <v>117</v>
      </c>
      <c r="AE402">
        <v>-3428</v>
      </c>
      <c r="AF402">
        <v>0</v>
      </c>
      <c r="AG402">
        <v>-207</v>
      </c>
    </row>
    <row r="403" spans="6:33">
      <c r="F403" s="74">
        <f t="shared" ref="F403:F466" si="86">IF(U403=0,"",U403)</f>
        <v>44769</v>
      </c>
      <c r="G403" s="72">
        <f t="shared" ref="G403:G466" si="87">IF(IF($B$17=3,V403/1000,V403)=0,"",IF($B$17=3,V403/1000,V403))</f>
        <v>3349</v>
      </c>
      <c r="H403" s="68">
        <f t="shared" ref="H403:H466" si="88">IF(IF($B$17=3,W403/1000,W403)=0,"",IF($B$17=3,W403/1000,W403))</f>
        <v>-3980</v>
      </c>
      <c r="I403" s="68">
        <f t="shared" ref="I403:I466" si="89">IF(IF($B$17=3,X403/1000,X403)=0,"",IF($B$17=3,X403/1000,X403))</f>
        <v>729</v>
      </c>
      <c r="J403" s="68">
        <f t="shared" ref="J403:J466" si="90">IF(IF($B$17=3,Y403/1000,Y403)=0,"",IF($B$17=3,Y403/1000,Y403))</f>
        <v>4084</v>
      </c>
      <c r="K403" s="68">
        <f t="shared" ref="K403:K466" si="91">IF(IF($B$17=3,Z403/1000,Z403)=0,"",IF($B$17=3,Z403/1000,Z403))</f>
        <v>156</v>
      </c>
      <c r="L403" s="68">
        <f t="shared" ref="L403:L466" si="92">IF(IF($B$17=3,AA403/1000,AA403)=0,"",IF($B$17=3,AA403/1000,AA403))</f>
        <v>-784</v>
      </c>
      <c r="M403" s="68">
        <f t="shared" ref="M403:M466" si="93">IF(IF($B$17=3,AB403/1000,AB403)=0,"",IF($B$17=3,AB403/1000,AB403))</f>
        <v>-796</v>
      </c>
      <c r="N403" s="68">
        <f t="shared" ref="N403:N466" si="94">IF(IF($B$17=3,AC403/1000,AC403)=0,"",IF($B$17=3,AC403/1000,AC403))</f>
        <v>-33</v>
      </c>
      <c r="O403" s="68">
        <f t="shared" ref="O403:O466" si="95">IF(IF($B$17=3,AD403/1000,AD403)=0,"",IF($B$17=3,AD403/1000,AD403))</f>
        <v>94</v>
      </c>
      <c r="P403" s="68">
        <f t="shared" ref="P403:P466" si="96">IF(IF($B$17=3,AE403/1000,AE403)=0,"",IF($B$17=3,AE403/1000,AE403))</f>
        <v>-1992</v>
      </c>
      <c r="Q403" s="68" t="str">
        <f t="shared" ref="Q403:Q466" si="97">IF(IF($B$17=3,AF403/1000,AF403)=0,"",IF($B$17=3,AF403/1000,AF403))</f>
        <v/>
      </c>
      <c r="R403" s="69">
        <f t="shared" ref="R403:R466" si="98">IF(IF($B$17=3,AG403/1000,AG403)=0,"",IF($B$17=3,AG403/1000,AG403))</f>
        <v>-100</v>
      </c>
      <c r="U403" s="5">
        <v>44769</v>
      </c>
      <c r="V403">
        <v>3349</v>
      </c>
      <c r="W403">
        <v>-3980</v>
      </c>
      <c r="X403">
        <v>729</v>
      </c>
      <c r="Y403">
        <v>4084</v>
      </c>
      <c r="Z403">
        <v>156</v>
      </c>
      <c r="AA403">
        <v>-784</v>
      </c>
      <c r="AB403">
        <v>-796</v>
      </c>
      <c r="AC403">
        <v>-33</v>
      </c>
      <c r="AD403">
        <v>94</v>
      </c>
      <c r="AE403">
        <v>-1992</v>
      </c>
      <c r="AF403">
        <v>0</v>
      </c>
      <c r="AG403">
        <v>-100</v>
      </c>
    </row>
    <row r="404" spans="6:33">
      <c r="F404" s="74">
        <f t="shared" si="86"/>
        <v>44768</v>
      </c>
      <c r="G404" s="72">
        <f t="shared" si="87"/>
        <v>-3413</v>
      </c>
      <c r="H404" s="68">
        <f t="shared" si="88"/>
        <v>7988</v>
      </c>
      <c r="I404" s="68">
        <f t="shared" si="89"/>
        <v>-2599</v>
      </c>
      <c r="J404" s="68">
        <f t="shared" si="90"/>
        <v>621</v>
      </c>
      <c r="K404" s="68">
        <f t="shared" si="91"/>
        <v>231</v>
      </c>
      <c r="L404" s="68">
        <f t="shared" si="92"/>
        <v>-335</v>
      </c>
      <c r="M404" s="68">
        <f t="shared" si="93"/>
        <v>-974</v>
      </c>
      <c r="N404" s="68">
        <f t="shared" si="94"/>
        <v>-27</v>
      </c>
      <c r="O404" s="68">
        <f t="shared" si="95"/>
        <v>53</v>
      </c>
      <c r="P404" s="68">
        <f t="shared" si="96"/>
        <v>-2168</v>
      </c>
      <c r="Q404" s="68" t="str">
        <f t="shared" si="97"/>
        <v/>
      </c>
      <c r="R404" s="69">
        <f t="shared" si="98"/>
        <v>-1976</v>
      </c>
      <c r="U404" s="5">
        <v>44768</v>
      </c>
      <c r="V404">
        <v>-3413</v>
      </c>
      <c r="W404">
        <v>7988</v>
      </c>
      <c r="X404">
        <v>-2599</v>
      </c>
      <c r="Y404">
        <v>621</v>
      </c>
      <c r="Z404">
        <v>231</v>
      </c>
      <c r="AA404">
        <v>-335</v>
      </c>
      <c r="AB404">
        <v>-974</v>
      </c>
      <c r="AC404">
        <v>-27</v>
      </c>
      <c r="AD404">
        <v>53</v>
      </c>
      <c r="AE404">
        <v>-2168</v>
      </c>
      <c r="AF404">
        <v>0</v>
      </c>
      <c r="AG404">
        <v>-1976</v>
      </c>
    </row>
    <row r="405" spans="6:33">
      <c r="F405" s="74">
        <f t="shared" si="86"/>
        <v>44767</v>
      </c>
      <c r="G405" s="72">
        <f t="shared" si="87"/>
        <v>102</v>
      </c>
      <c r="H405" s="68">
        <f t="shared" si="88"/>
        <v>1309</v>
      </c>
      <c r="I405" s="68">
        <f t="shared" si="89"/>
        <v>1155</v>
      </c>
      <c r="J405" s="68">
        <f t="shared" si="90"/>
        <v>3794</v>
      </c>
      <c r="K405" s="68">
        <f t="shared" si="91"/>
        <v>-32</v>
      </c>
      <c r="L405" s="68">
        <f t="shared" si="92"/>
        <v>703</v>
      </c>
      <c r="M405" s="68">
        <f t="shared" si="93"/>
        <v>-890</v>
      </c>
      <c r="N405" s="68">
        <f t="shared" si="94"/>
        <v>37</v>
      </c>
      <c r="O405" s="68">
        <f t="shared" si="95"/>
        <v>258</v>
      </c>
      <c r="P405" s="68">
        <f t="shared" si="96"/>
        <v>-2715</v>
      </c>
      <c r="Q405" s="68" t="str">
        <f t="shared" si="97"/>
        <v/>
      </c>
      <c r="R405" s="69">
        <f t="shared" si="98"/>
        <v>-2567</v>
      </c>
      <c r="U405" s="5">
        <v>44767</v>
      </c>
      <c r="V405">
        <v>102</v>
      </c>
      <c r="W405">
        <v>1309</v>
      </c>
      <c r="X405">
        <v>1155</v>
      </c>
      <c r="Y405">
        <v>3794</v>
      </c>
      <c r="Z405">
        <v>-32</v>
      </c>
      <c r="AA405">
        <v>703</v>
      </c>
      <c r="AB405">
        <v>-890</v>
      </c>
      <c r="AC405">
        <v>37</v>
      </c>
      <c r="AD405">
        <v>258</v>
      </c>
      <c r="AE405">
        <v>-2715</v>
      </c>
      <c r="AF405">
        <v>0</v>
      </c>
      <c r="AG405">
        <v>-2567</v>
      </c>
    </row>
    <row r="406" spans="6:33">
      <c r="F406" s="74">
        <f t="shared" si="86"/>
        <v>44764</v>
      </c>
      <c r="G406" s="72">
        <f t="shared" si="87"/>
        <v>-10552</v>
      </c>
      <c r="H406" s="68">
        <f t="shared" si="88"/>
        <v>18874</v>
      </c>
      <c r="I406" s="68">
        <f t="shared" si="89"/>
        <v>-7960</v>
      </c>
      <c r="J406" s="68">
        <f t="shared" si="90"/>
        <v>-2303</v>
      </c>
      <c r="K406" s="68">
        <f t="shared" si="91"/>
        <v>-360</v>
      </c>
      <c r="L406" s="68">
        <f t="shared" si="92"/>
        <v>-1730</v>
      </c>
      <c r="M406" s="68">
        <f t="shared" si="93"/>
        <v>-2242</v>
      </c>
      <c r="N406" s="68">
        <f t="shared" si="94"/>
        <v>50</v>
      </c>
      <c r="O406" s="68">
        <f t="shared" si="95"/>
        <v>37</v>
      </c>
      <c r="P406" s="68">
        <f t="shared" si="96"/>
        <v>-1412</v>
      </c>
      <c r="Q406" s="68" t="str">
        <f t="shared" si="97"/>
        <v/>
      </c>
      <c r="R406" s="69">
        <f t="shared" si="98"/>
        <v>-362</v>
      </c>
      <c r="U406" s="5">
        <v>44764</v>
      </c>
      <c r="V406">
        <v>-10552</v>
      </c>
      <c r="W406">
        <v>18874</v>
      </c>
      <c r="X406">
        <v>-7960</v>
      </c>
      <c r="Y406">
        <v>-2303</v>
      </c>
      <c r="Z406">
        <v>-360</v>
      </c>
      <c r="AA406">
        <v>-1730</v>
      </c>
      <c r="AB406">
        <v>-2242</v>
      </c>
      <c r="AC406">
        <v>50</v>
      </c>
      <c r="AD406">
        <v>37</v>
      </c>
      <c r="AE406">
        <v>-1412</v>
      </c>
      <c r="AF406">
        <v>0</v>
      </c>
      <c r="AG406">
        <v>-362</v>
      </c>
    </row>
    <row r="407" spans="6:33">
      <c r="F407" s="74">
        <f t="shared" si="86"/>
        <v>44763</v>
      </c>
      <c r="G407" s="72">
        <f t="shared" si="87"/>
        <v>8434</v>
      </c>
      <c r="H407" s="68">
        <f t="shared" si="88"/>
        <v>-3265</v>
      </c>
      <c r="I407" s="68">
        <f t="shared" si="89"/>
        <v>-5932</v>
      </c>
      <c r="J407" s="68">
        <f t="shared" si="90"/>
        <v>-4253</v>
      </c>
      <c r="K407" s="68">
        <f t="shared" si="91"/>
        <v>-713</v>
      </c>
      <c r="L407" s="68">
        <f t="shared" si="92"/>
        <v>145</v>
      </c>
      <c r="M407" s="68">
        <f t="shared" si="93"/>
        <v>-87</v>
      </c>
      <c r="N407" s="68">
        <f t="shared" si="94"/>
        <v>196</v>
      </c>
      <c r="O407" s="68">
        <f t="shared" si="95"/>
        <v>69</v>
      </c>
      <c r="P407" s="68">
        <f t="shared" si="96"/>
        <v>-1289</v>
      </c>
      <c r="Q407" s="68" t="str">
        <f t="shared" si="97"/>
        <v/>
      </c>
      <c r="R407" s="69">
        <f t="shared" si="98"/>
        <v>764</v>
      </c>
      <c r="U407" s="5">
        <v>44763</v>
      </c>
      <c r="V407">
        <v>8434</v>
      </c>
      <c r="W407">
        <v>-3265</v>
      </c>
      <c r="X407">
        <v>-5932</v>
      </c>
      <c r="Y407">
        <v>-4253</v>
      </c>
      <c r="Z407">
        <v>-713</v>
      </c>
      <c r="AA407">
        <v>145</v>
      </c>
      <c r="AB407">
        <v>-87</v>
      </c>
      <c r="AC407">
        <v>196</v>
      </c>
      <c r="AD407">
        <v>69</v>
      </c>
      <c r="AE407">
        <v>-1289</v>
      </c>
      <c r="AF407">
        <v>0</v>
      </c>
      <c r="AG407">
        <v>764</v>
      </c>
    </row>
    <row r="408" spans="6:33">
      <c r="F408" s="74">
        <f t="shared" si="86"/>
        <v>44762</v>
      </c>
      <c r="G408" s="72">
        <f t="shared" si="87"/>
        <v>-4141</v>
      </c>
      <c r="H408" s="68">
        <f t="shared" si="88"/>
        <v>6980</v>
      </c>
      <c r="I408" s="68">
        <f t="shared" si="89"/>
        <v>-3052</v>
      </c>
      <c r="J408" s="68">
        <f t="shared" si="90"/>
        <v>-1051</v>
      </c>
      <c r="K408" s="68">
        <f t="shared" si="91"/>
        <v>51</v>
      </c>
      <c r="L408" s="68">
        <f t="shared" si="92"/>
        <v>181</v>
      </c>
      <c r="M408" s="68">
        <f t="shared" si="93"/>
        <v>-243</v>
      </c>
      <c r="N408" s="68">
        <f t="shared" si="94"/>
        <v>-41</v>
      </c>
      <c r="O408" s="68">
        <f t="shared" si="95"/>
        <v>117</v>
      </c>
      <c r="P408" s="68">
        <f t="shared" si="96"/>
        <v>-2066</v>
      </c>
      <c r="Q408" s="68" t="str">
        <f t="shared" si="97"/>
        <v/>
      </c>
      <c r="R408" s="69">
        <f t="shared" si="98"/>
        <v>211</v>
      </c>
      <c r="U408" s="5">
        <v>44762</v>
      </c>
      <c r="V408">
        <v>-4141</v>
      </c>
      <c r="W408">
        <v>6980</v>
      </c>
      <c r="X408">
        <v>-3052</v>
      </c>
      <c r="Y408">
        <v>-1051</v>
      </c>
      <c r="Z408">
        <v>51</v>
      </c>
      <c r="AA408">
        <v>181</v>
      </c>
      <c r="AB408">
        <v>-243</v>
      </c>
      <c r="AC408">
        <v>-41</v>
      </c>
      <c r="AD408">
        <v>117</v>
      </c>
      <c r="AE408">
        <v>-2066</v>
      </c>
      <c r="AF408">
        <v>0</v>
      </c>
      <c r="AG408">
        <v>211</v>
      </c>
    </row>
    <row r="409" spans="6:33">
      <c r="F409" s="74">
        <f t="shared" si="86"/>
        <v>44761</v>
      </c>
      <c r="G409" s="72">
        <f t="shared" si="87"/>
        <v>6630</v>
      </c>
      <c r="H409" s="68">
        <f t="shared" si="88"/>
        <v>-3531</v>
      </c>
      <c r="I409" s="68">
        <f t="shared" si="89"/>
        <v>-3794</v>
      </c>
      <c r="J409" s="68">
        <f t="shared" si="90"/>
        <v>-3658</v>
      </c>
      <c r="K409" s="68">
        <f t="shared" si="91"/>
        <v>549</v>
      </c>
      <c r="L409" s="68">
        <f t="shared" si="92"/>
        <v>574</v>
      </c>
      <c r="M409" s="68">
        <f t="shared" si="93"/>
        <v>-537</v>
      </c>
      <c r="N409" s="68">
        <f t="shared" si="94"/>
        <v>30</v>
      </c>
      <c r="O409" s="68">
        <f t="shared" si="95"/>
        <v>111</v>
      </c>
      <c r="P409" s="68">
        <f t="shared" si="96"/>
        <v>-863</v>
      </c>
      <c r="Q409" s="68" t="str">
        <f t="shared" si="97"/>
        <v/>
      </c>
      <c r="R409" s="69">
        <f t="shared" si="98"/>
        <v>696</v>
      </c>
      <c r="U409" s="5">
        <v>44761</v>
      </c>
      <c r="V409">
        <v>6630</v>
      </c>
      <c r="W409">
        <v>-3531</v>
      </c>
      <c r="X409">
        <v>-3794</v>
      </c>
      <c r="Y409">
        <v>-3658</v>
      </c>
      <c r="Z409">
        <v>549</v>
      </c>
      <c r="AA409">
        <v>574</v>
      </c>
      <c r="AB409">
        <v>-537</v>
      </c>
      <c r="AC409">
        <v>30</v>
      </c>
      <c r="AD409">
        <v>111</v>
      </c>
      <c r="AE409">
        <v>-863</v>
      </c>
      <c r="AF409">
        <v>0</v>
      </c>
      <c r="AG409">
        <v>696</v>
      </c>
    </row>
    <row r="410" spans="6:33">
      <c r="F410" s="74">
        <f t="shared" si="86"/>
        <v>44760</v>
      </c>
      <c r="G410" s="72">
        <f t="shared" si="87"/>
        <v>31255</v>
      </c>
      <c r="H410" s="68">
        <f t="shared" si="88"/>
        <v>-28601</v>
      </c>
      <c r="I410" s="68">
        <f t="shared" si="89"/>
        <v>-3075</v>
      </c>
      <c r="J410" s="68">
        <f t="shared" si="90"/>
        <v>-4419</v>
      </c>
      <c r="K410" s="68">
        <f t="shared" si="91"/>
        <v>668</v>
      </c>
      <c r="L410" s="68">
        <f t="shared" si="92"/>
        <v>359</v>
      </c>
      <c r="M410" s="68">
        <f t="shared" si="93"/>
        <v>664</v>
      </c>
      <c r="N410" s="68">
        <f t="shared" si="94"/>
        <v>272</v>
      </c>
      <c r="O410" s="68">
        <f t="shared" si="95"/>
        <v>-188</v>
      </c>
      <c r="P410" s="68">
        <f t="shared" si="96"/>
        <v>-431</v>
      </c>
      <c r="Q410" s="68" t="str">
        <f t="shared" si="97"/>
        <v/>
      </c>
      <c r="R410" s="69">
        <f t="shared" si="98"/>
        <v>421</v>
      </c>
      <c r="U410" s="5">
        <v>44760</v>
      </c>
      <c r="V410">
        <v>31255</v>
      </c>
      <c r="W410">
        <v>-28601</v>
      </c>
      <c r="X410">
        <v>-3075</v>
      </c>
      <c r="Y410">
        <v>-4419</v>
      </c>
      <c r="Z410">
        <v>668</v>
      </c>
      <c r="AA410">
        <v>359</v>
      </c>
      <c r="AB410">
        <v>664</v>
      </c>
      <c r="AC410">
        <v>272</v>
      </c>
      <c r="AD410">
        <v>-188</v>
      </c>
      <c r="AE410">
        <v>-431</v>
      </c>
      <c r="AF410">
        <v>0</v>
      </c>
      <c r="AG410">
        <v>421</v>
      </c>
    </row>
    <row r="411" spans="6:33">
      <c r="F411" s="74">
        <f t="shared" si="86"/>
        <v>44757</v>
      </c>
      <c r="G411" s="72">
        <f t="shared" si="87"/>
        <v>-1506</v>
      </c>
      <c r="H411" s="68">
        <f t="shared" si="88"/>
        <v>11841</v>
      </c>
      <c r="I411" s="68">
        <f t="shared" si="89"/>
        <v>-11301</v>
      </c>
      <c r="J411" s="68">
        <f t="shared" si="90"/>
        <v>-5817</v>
      </c>
      <c r="K411" s="68">
        <f t="shared" si="91"/>
        <v>-251</v>
      </c>
      <c r="L411" s="68">
        <f t="shared" si="92"/>
        <v>-3161</v>
      </c>
      <c r="M411" s="68">
        <f t="shared" si="93"/>
        <v>178</v>
      </c>
      <c r="N411" s="68">
        <f t="shared" si="94"/>
        <v>-19</v>
      </c>
      <c r="O411" s="68">
        <f t="shared" si="95"/>
        <v>284</v>
      </c>
      <c r="P411" s="68">
        <f t="shared" si="96"/>
        <v>-2515</v>
      </c>
      <c r="Q411" s="68" t="str">
        <f t="shared" si="97"/>
        <v/>
      </c>
      <c r="R411" s="69">
        <f t="shared" si="98"/>
        <v>966</v>
      </c>
      <c r="U411" s="5">
        <v>44757</v>
      </c>
      <c r="V411">
        <v>-1506</v>
      </c>
      <c r="W411">
        <v>11841</v>
      </c>
      <c r="X411">
        <v>-11301</v>
      </c>
      <c r="Y411">
        <v>-5817</v>
      </c>
      <c r="Z411">
        <v>-251</v>
      </c>
      <c r="AA411">
        <v>-3161</v>
      </c>
      <c r="AB411">
        <v>178</v>
      </c>
      <c r="AC411">
        <v>-19</v>
      </c>
      <c r="AD411">
        <v>284</v>
      </c>
      <c r="AE411">
        <v>-2515</v>
      </c>
      <c r="AF411">
        <v>0</v>
      </c>
      <c r="AG411">
        <v>966</v>
      </c>
    </row>
    <row r="412" spans="6:33">
      <c r="F412" s="74">
        <f t="shared" si="86"/>
        <v>44756</v>
      </c>
      <c r="G412" s="72">
        <f t="shared" si="87"/>
        <v>4278</v>
      </c>
      <c r="H412" s="68">
        <f t="shared" si="88"/>
        <v>10046</v>
      </c>
      <c r="I412" s="68">
        <f t="shared" si="89"/>
        <v>-16030</v>
      </c>
      <c r="J412" s="68">
        <f t="shared" si="90"/>
        <v>-12004</v>
      </c>
      <c r="K412" s="68">
        <f t="shared" si="91"/>
        <v>-217</v>
      </c>
      <c r="L412" s="68">
        <f t="shared" si="92"/>
        <v>-169</v>
      </c>
      <c r="M412" s="68">
        <f t="shared" si="93"/>
        <v>-203</v>
      </c>
      <c r="N412" s="68">
        <f t="shared" si="94"/>
        <v>-340</v>
      </c>
      <c r="O412" s="68">
        <f t="shared" si="95"/>
        <v>210</v>
      </c>
      <c r="P412" s="68">
        <f t="shared" si="96"/>
        <v>-3307</v>
      </c>
      <c r="Q412" s="68" t="str">
        <f t="shared" si="97"/>
        <v/>
      </c>
      <c r="R412" s="69">
        <f t="shared" si="98"/>
        <v>1708</v>
      </c>
      <c r="U412" s="5">
        <v>44756</v>
      </c>
      <c r="V412">
        <v>4278</v>
      </c>
      <c r="W412">
        <v>10046</v>
      </c>
      <c r="X412">
        <v>-16030</v>
      </c>
      <c r="Y412">
        <v>-12004</v>
      </c>
      <c r="Z412">
        <v>-217</v>
      </c>
      <c r="AA412">
        <v>-169</v>
      </c>
      <c r="AB412">
        <v>-203</v>
      </c>
      <c r="AC412">
        <v>-340</v>
      </c>
      <c r="AD412">
        <v>210</v>
      </c>
      <c r="AE412">
        <v>-3307</v>
      </c>
      <c r="AF412">
        <v>0</v>
      </c>
      <c r="AG412">
        <v>1708</v>
      </c>
    </row>
    <row r="413" spans="6:33">
      <c r="F413" s="74">
        <f t="shared" si="86"/>
        <v>44755</v>
      </c>
      <c r="G413" s="72">
        <f t="shared" si="87"/>
        <v>-2820</v>
      </c>
      <c r="H413" s="68">
        <f t="shared" si="88"/>
        <v>2755</v>
      </c>
      <c r="I413" s="68">
        <f t="shared" si="89"/>
        <v>-571</v>
      </c>
      <c r="J413" s="68">
        <f t="shared" si="90"/>
        <v>4111</v>
      </c>
      <c r="K413" s="68">
        <f t="shared" si="91"/>
        <v>-401</v>
      </c>
      <c r="L413" s="68">
        <f t="shared" si="92"/>
        <v>-1650</v>
      </c>
      <c r="M413" s="68">
        <f t="shared" si="93"/>
        <v>802</v>
      </c>
      <c r="N413" s="68">
        <f t="shared" si="94"/>
        <v>35</v>
      </c>
      <c r="O413" s="68">
        <f t="shared" si="95"/>
        <v>194</v>
      </c>
      <c r="P413" s="68">
        <f t="shared" si="96"/>
        <v>-3662</v>
      </c>
      <c r="Q413" s="68" t="str">
        <f t="shared" si="97"/>
        <v/>
      </c>
      <c r="R413" s="69">
        <f t="shared" si="98"/>
        <v>636</v>
      </c>
      <c r="U413" s="5">
        <v>44755</v>
      </c>
      <c r="V413">
        <v>-2820</v>
      </c>
      <c r="W413">
        <v>2755</v>
      </c>
      <c r="X413">
        <v>-571</v>
      </c>
      <c r="Y413">
        <v>4111</v>
      </c>
      <c r="Z413">
        <v>-401</v>
      </c>
      <c r="AA413">
        <v>-1650</v>
      </c>
      <c r="AB413">
        <v>802</v>
      </c>
      <c r="AC413">
        <v>35</v>
      </c>
      <c r="AD413">
        <v>194</v>
      </c>
      <c r="AE413">
        <v>-3662</v>
      </c>
      <c r="AF413">
        <v>0</v>
      </c>
      <c r="AG413">
        <v>636</v>
      </c>
    </row>
    <row r="414" spans="6:33">
      <c r="F414" s="74">
        <f t="shared" si="86"/>
        <v>44754</v>
      </c>
      <c r="G414" s="72">
        <f t="shared" si="87"/>
        <v>-19402</v>
      </c>
      <c r="H414" s="68">
        <f t="shared" si="88"/>
        <v>28820</v>
      </c>
      <c r="I414" s="68">
        <f t="shared" si="89"/>
        <v>-10440</v>
      </c>
      <c r="J414" s="68">
        <f t="shared" si="90"/>
        <v>-3400</v>
      </c>
      <c r="K414" s="68">
        <f t="shared" si="91"/>
        <v>-407</v>
      </c>
      <c r="L414" s="68">
        <f t="shared" si="92"/>
        <v>-2700</v>
      </c>
      <c r="M414" s="68">
        <f t="shared" si="93"/>
        <v>-1532</v>
      </c>
      <c r="N414" s="68">
        <f t="shared" si="94"/>
        <v>27</v>
      </c>
      <c r="O414" s="68">
        <f t="shared" si="95"/>
        <v>267</v>
      </c>
      <c r="P414" s="68">
        <f t="shared" si="96"/>
        <v>-2695</v>
      </c>
      <c r="Q414" s="68" t="str">
        <f t="shared" si="97"/>
        <v/>
      </c>
      <c r="R414" s="69">
        <f t="shared" si="98"/>
        <v>1021</v>
      </c>
      <c r="U414" s="5">
        <v>44754</v>
      </c>
      <c r="V414">
        <v>-19402</v>
      </c>
      <c r="W414">
        <v>28820</v>
      </c>
      <c r="X414">
        <v>-10440</v>
      </c>
      <c r="Y414">
        <v>-3400</v>
      </c>
      <c r="Z414">
        <v>-407</v>
      </c>
      <c r="AA414">
        <v>-2700</v>
      </c>
      <c r="AB414">
        <v>-1532</v>
      </c>
      <c r="AC414">
        <v>27</v>
      </c>
      <c r="AD414">
        <v>267</v>
      </c>
      <c r="AE414">
        <v>-2695</v>
      </c>
      <c r="AF414">
        <v>0</v>
      </c>
      <c r="AG414">
        <v>1021</v>
      </c>
    </row>
    <row r="415" spans="6:33">
      <c r="F415" s="74">
        <f t="shared" si="86"/>
        <v>44753</v>
      </c>
      <c r="G415" s="72">
        <f t="shared" si="87"/>
        <v>-4973</v>
      </c>
      <c r="H415" s="68">
        <f t="shared" si="88"/>
        <v>11485</v>
      </c>
      <c r="I415" s="68">
        <f t="shared" si="89"/>
        <v>-6373</v>
      </c>
      <c r="J415" s="68">
        <f t="shared" si="90"/>
        <v>-1532</v>
      </c>
      <c r="K415" s="68">
        <f t="shared" si="91"/>
        <v>-274</v>
      </c>
      <c r="L415" s="68">
        <f t="shared" si="92"/>
        <v>-1042</v>
      </c>
      <c r="M415" s="68">
        <f t="shared" si="93"/>
        <v>-1483</v>
      </c>
      <c r="N415" s="68">
        <f t="shared" si="94"/>
        <v>275</v>
      </c>
      <c r="O415" s="68">
        <f t="shared" si="95"/>
        <v>-11</v>
      </c>
      <c r="P415" s="68">
        <f t="shared" si="96"/>
        <v>-2306</v>
      </c>
      <c r="Q415" s="68" t="str">
        <f t="shared" si="97"/>
        <v/>
      </c>
      <c r="R415" s="69">
        <f t="shared" si="98"/>
        <v>-141</v>
      </c>
      <c r="U415" s="5">
        <v>44753</v>
      </c>
      <c r="V415">
        <v>-4973</v>
      </c>
      <c r="W415">
        <v>11485</v>
      </c>
      <c r="X415">
        <v>-6373</v>
      </c>
      <c r="Y415">
        <v>-1532</v>
      </c>
      <c r="Z415">
        <v>-274</v>
      </c>
      <c r="AA415">
        <v>-1042</v>
      </c>
      <c r="AB415">
        <v>-1483</v>
      </c>
      <c r="AC415">
        <v>275</v>
      </c>
      <c r="AD415">
        <v>-11</v>
      </c>
      <c r="AE415">
        <v>-2306</v>
      </c>
      <c r="AF415">
        <v>0</v>
      </c>
      <c r="AG415">
        <v>-141</v>
      </c>
    </row>
    <row r="416" spans="6:33">
      <c r="F416" s="74">
        <f t="shared" si="86"/>
        <v>44750</v>
      </c>
      <c r="G416" s="72">
        <f t="shared" si="87"/>
        <v>5057</v>
      </c>
      <c r="H416" s="68">
        <f t="shared" si="88"/>
        <v>1855</v>
      </c>
      <c r="I416" s="68">
        <f t="shared" si="89"/>
        <v>-12038</v>
      </c>
      <c r="J416" s="68">
        <f t="shared" si="90"/>
        <v>-9179</v>
      </c>
      <c r="K416" s="68">
        <f t="shared" si="91"/>
        <v>-81</v>
      </c>
      <c r="L416" s="68">
        <f t="shared" si="92"/>
        <v>-991</v>
      </c>
      <c r="M416" s="68">
        <f t="shared" si="93"/>
        <v>207</v>
      </c>
      <c r="N416" s="68">
        <f t="shared" si="94"/>
        <v>54</v>
      </c>
      <c r="O416" s="68">
        <f t="shared" si="95"/>
        <v>149</v>
      </c>
      <c r="P416" s="68">
        <f t="shared" si="96"/>
        <v>-2197</v>
      </c>
      <c r="Q416" s="68" t="str">
        <f t="shared" si="97"/>
        <v/>
      </c>
      <c r="R416" s="69">
        <f t="shared" si="98"/>
        <v>5127</v>
      </c>
      <c r="U416" s="5">
        <v>44750</v>
      </c>
      <c r="V416">
        <v>5057</v>
      </c>
      <c r="W416">
        <v>1855</v>
      </c>
      <c r="X416">
        <v>-12038</v>
      </c>
      <c r="Y416">
        <v>-9179</v>
      </c>
      <c r="Z416">
        <v>-81</v>
      </c>
      <c r="AA416">
        <v>-991</v>
      </c>
      <c r="AB416">
        <v>207</v>
      </c>
      <c r="AC416">
        <v>54</v>
      </c>
      <c r="AD416">
        <v>149</v>
      </c>
      <c r="AE416">
        <v>-2197</v>
      </c>
      <c r="AF416">
        <v>0</v>
      </c>
      <c r="AG416">
        <v>5127</v>
      </c>
    </row>
    <row r="417" spans="6:33">
      <c r="F417" s="74">
        <f t="shared" si="86"/>
        <v>44749</v>
      </c>
      <c r="G417" s="72">
        <f t="shared" si="87"/>
        <v>10585</v>
      </c>
      <c r="H417" s="68">
        <f t="shared" si="88"/>
        <v>-12028</v>
      </c>
      <c r="I417" s="68">
        <f t="shared" si="89"/>
        <v>1216</v>
      </c>
      <c r="J417" s="68">
        <f t="shared" si="90"/>
        <v>4599</v>
      </c>
      <c r="K417" s="68">
        <f t="shared" si="91"/>
        <v>-815</v>
      </c>
      <c r="L417" s="68">
        <f t="shared" si="92"/>
        <v>-619</v>
      </c>
      <c r="M417" s="68">
        <f t="shared" si="93"/>
        <v>-204</v>
      </c>
      <c r="N417" s="68">
        <f t="shared" si="94"/>
        <v>-981</v>
      </c>
      <c r="O417" s="68">
        <f t="shared" si="95"/>
        <v>196</v>
      </c>
      <c r="P417" s="68">
        <f t="shared" si="96"/>
        <v>-960</v>
      </c>
      <c r="Q417" s="68" t="str">
        <f t="shared" si="97"/>
        <v/>
      </c>
      <c r="R417" s="69">
        <f t="shared" si="98"/>
        <v>227</v>
      </c>
      <c r="U417" s="5">
        <v>44749</v>
      </c>
      <c r="V417">
        <v>10585</v>
      </c>
      <c r="W417">
        <v>-12028</v>
      </c>
      <c r="X417">
        <v>1216</v>
      </c>
      <c r="Y417">
        <v>4599</v>
      </c>
      <c r="Z417">
        <v>-815</v>
      </c>
      <c r="AA417">
        <v>-619</v>
      </c>
      <c r="AB417">
        <v>-204</v>
      </c>
      <c r="AC417">
        <v>-981</v>
      </c>
      <c r="AD417">
        <v>196</v>
      </c>
      <c r="AE417">
        <v>-960</v>
      </c>
      <c r="AF417">
        <v>0</v>
      </c>
      <c r="AG417">
        <v>227</v>
      </c>
    </row>
    <row r="418" spans="6:33">
      <c r="F418" s="74">
        <f t="shared" si="86"/>
        <v>44748</v>
      </c>
      <c r="G418" s="72">
        <f t="shared" si="87"/>
        <v>-14961</v>
      </c>
      <c r="H418" s="68">
        <f t="shared" si="88"/>
        <v>39206</v>
      </c>
      <c r="I418" s="68">
        <f t="shared" si="89"/>
        <v>-25554</v>
      </c>
      <c r="J418" s="68">
        <f t="shared" si="90"/>
        <v>-10338</v>
      </c>
      <c r="K418" s="68">
        <f t="shared" si="91"/>
        <v>-1259</v>
      </c>
      <c r="L418" s="68">
        <f t="shared" si="92"/>
        <v>-2750</v>
      </c>
      <c r="M418" s="68">
        <f t="shared" si="93"/>
        <v>-2380</v>
      </c>
      <c r="N418" s="68">
        <f t="shared" si="94"/>
        <v>-721</v>
      </c>
      <c r="O418" s="68">
        <f t="shared" si="95"/>
        <v>-3095</v>
      </c>
      <c r="P418" s="68">
        <f t="shared" si="96"/>
        <v>-5011</v>
      </c>
      <c r="Q418" s="68" t="str">
        <f t="shared" si="97"/>
        <v/>
      </c>
      <c r="R418" s="69">
        <f t="shared" si="98"/>
        <v>1308</v>
      </c>
      <c r="U418" s="5">
        <v>44748</v>
      </c>
      <c r="V418">
        <v>-14961</v>
      </c>
      <c r="W418">
        <v>39206</v>
      </c>
      <c r="X418">
        <v>-25554</v>
      </c>
      <c r="Y418">
        <v>-10338</v>
      </c>
      <c r="Z418">
        <v>-1259</v>
      </c>
      <c r="AA418">
        <v>-2750</v>
      </c>
      <c r="AB418">
        <v>-2380</v>
      </c>
      <c r="AC418">
        <v>-721</v>
      </c>
      <c r="AD418">
        <v>-3095</v>
      </c>
      <c r="AE418">
        <v>-5011</v>
      </c>
      <c r="AF418">
        <v>0</v>
      </c>
      <c r="AG418">
        <v>1308</v>
      </c>
    </row>
    <row r="419" spans="6:33">
      <c r="F419" s="74">
        <f t="shared" si="86"/>
        <v>44747</v>
      </c>
      <c r="G419" s="72">
        <f t="shared" si="87"/>
        <v>17582</v>
      </c>
      <c r="H419" s="68">
        <f t="shared" si="88"/>
        <v>-19667</v>
      </c>
      <c r="I419" s="68">
        <f t="shared" si="89"/>
        <v>1326</v>
      </c>
      <c r="J419" s="68">
        <f t="shared" si="90"/>
        <v>1844</v>
      </c>
      <c r="K419" s="68">
        <f t="shared" si="91"/>
        <v>207</v>
      </c>
      <c r="L419" s="68">
        <f t="shared" si="92"/>
        <v>-531</v>
      </c>
      <c r="M419" s="68">
        <f t="shared" si="93"/>
        <v>469</v>
      </c>
      <c r="N419" s="68">
        <f t="shared" si="94"/>
        <v>-59</v>
      </c>
      <c r="O419" s="68">
        <f t="shared" si="95"/>
        <v>77</v>
      </c>
      <c r="P419" s="68">
        <f t="shared" si="96"/>
        <v>-681</v>
      </c>
      <c r="Q419" s="68" t="str">
        <f t="shared" si="97"/>
        <v/>
      </c>
      <c r="R419" s="69">
        <f t="shared" si="98"/>
        <v>759</v>
      </c>
      <c r="U419" s="5">
        <v>44747</v>
      </c>
      <c r="V419">
        <v>17582</v>
      </c>
      <c r="W419">
        <v>-19667</v>
      </c>
      <c r="X419">
        <v>1326</v>
      </c>
      <c r="Y419">
        <v>1844</v>
      </c>
      <c r="Z419">
        <v>207</v>
      </c>
      <c r="AA419">
        <v>-531</v>
      </c>
      <c r="AB419">
        <v>469</v>
      </c>
      <c r="AC419">
        <v>-59</v>
      </c>
      <c r="AD419">
        <v>77</v>
      </c>
      <c r="AE419">
        <v>-681</v>
      </c>
      <c r="AF419">
        <v>0</v>
      </c>
      <c r="AG419">
        <v>759</v>
      </c>
    </row>
    <row r="420" spans="6:33">
      <c r="F420" s="74">
        <f t="shared" si="86"/>
        <v>44746</v>
      </c>
      <c r="G420" s="72">
        <f t="shared" si="87"/>
        <v>-9876</v>
      </c>
      <c r="H420" s="68">
        <f t="shared" si="88"/>
        <v>5839</v>
      </c>
      <c r="I420" s="68">
        <f t="shared" si="89"/>
        <v>2477</v>
      </c>
      <c r="J420" s="68">
        <f t="shared" si="90"/>
        <v>8474</v>
      </c>
      <c r="K420" s="68">
        <f t="shared" si="91"/>
        <v>-261</v>
      </c>
      <c r="L420" s="68">
        <f t="shared" si="92"/>
        <v>-2675</v>
      </c>
      <c r="M420" s="68">
        <f t="shared" si="93"/>
        <v>-2085</v>
      </c>
      <c r="N420" s="68">
        <f t="shared" si="94"/>
        <v>-433</v>
      </c>
      <c r="O420" s="68">
        <f t="shared" si="95"/>
        <v>259</v>
      </c>
      <c r="P420" s="68">
        <f t="shared" si="96"/>
        <v>-802</v>
      </c>
      <c r="Q420" s="68" t="str">
        <f t="shared" si="97"/>
        <v/>
      </c>
      <c r="R420" s="69">
        <f t="shared" si="98"/>
        <v>1560</v>
      </c>
      <c r="U420" s="5">
        <v>44746</v>
      </c>
      <c r="V420">
        <v>-9876</v>
      </c>
      <c r="W420">
        <v>5839</v>
      </c>
      <c r="X420">
        <v>2477</v>
      </c>
      <c r="Y420">
        <v>8474</v>
      </c>
      <c r="Z420">
        <v>-261</v>
      </c>
      <c r="AA420">
        <v>-2675</v>
      </c>
      <c r="AB420">
        <v>-2085</v>
      </c>
      <c r="AC420">
        <v>-433</v>
      </c>
      <c r="AD420">
        <v>259</v>
      </c>
      <c r="AE420">
        <v>-802</v>
      </c>
      <c r="AF420">
        <v>0</v>
      </c>
      <c r="AG420">
        <v>1560</v>
      </c>
    </row>
    <row r="421" spans="6:33">
      <c r="F421" s="74">
        <f t="shared" si="86"/>
        <v>44743</v>
      </c>
      <c r="G421" s="72">
        <f t="shared" si="87"/>
        <v>-14094</v>
      </c>
      <c r="H421" s="68">
        <f t="shared" si="88"/>
        <v>9834</v>
      </c>
      <c r="I421" s="68">
        <f t="shared" si="89"/>
        <v>2911</v>
      </c>
      <c r="J421" s="68">
        <f t="shared" si="90"/>
        <v>3596</v>
      </c>
      <c r="K421" s="68">
        <f t="shared" si="91"/>
        <v>-28</v>
      </c>
      <c r="L421" s="68">
        <f t="shared" si="92"/>
        <v>-294</v>
      </c>
      <c r="M421" s="68">
        <f t="shared" si="93"/>
        <v>-914</v>
      </c>
      <c r="N421" s="68">
        <f t="shared" si="94"/>
        <v>-580</v>
      </c>
      <c r="O421" s="68" t="str">
        <f t="shared" si="95"/>
        <v/>
      </c>
      <c r="P421" s="68">
        <f t="shared" si="96"/>
        <v>1131</v>
      </c>
      <c r="Q421" s="68" t="str">
        <f t="shared" si="97"/>
        <v/>
      </c>
      <c r="R421" s="69">
        <f t="shared" si="98"/>
        <v>1348</v>
      </c>
      <c r="U421" s="5">
        <v>44743</v>
      </c>
      <c r="V421">
        <v>-14094</v>
      </c>
      <c r="W421">
        <v>9834</v>
      </c>
      <c r="X421">
        <v>2911</v>
      </c>
      <c r="Y421">
        <v>3596</v>
      </c>
      <c r="Z421">
        <v>-28</v>
      </c>
      <c r="AA421">
        <v>-294</v>
      </c>
      <c r="AB421">
        <v>-914</v>
      </c>
      <c r="AC421">
        <v>-580</v>
      </c>
      <c r="AD421">
        <v>0</v>
      </c>
      <c r="AE421">
        <v>1131</v>
      </c>
      <c r="AF421">
        <v>0</v>
      </c>
      <c r="AG421">
        <v>1348</v>
      </c>
    </row>
    <row r="422" spans="6:33">
      <c r="F422" s="74">
        <f t="shared" si="86"/>
        <v>44742</v>
      </c>
      <c r="G422" s="72">
        <f t="shared" si="87"/>
        <v>-21850</v>
      </c>
      <c r="H422" s="68">
        <f t="shared" si="88"/>
        <v>22205</v>
      </c>
      <c r="I422" s="68">
        <f t="shared" si="89"/>
        <v>-3448</v>
      </c>
      <c r="J422" s="68">
        <f t="shared" si="90"/>
        <v>-4348</v>
      </c>
      <c r="K422" s="68">
        <f t="shared" si="91"/>
        <v>837</v>
      </c>
      <c r="L422" s="68">
        <f t="shared" si="92"/>
        <v>216</v>
      </c>
      <c r="M422" s="68">
        <f t="shared" si="93"/>
        <v>-1596</v>
      </c>
      <c r="N422" s="68">
        <f t="shared" si="94"/>
        <v>-149</v>
      </c>
      <c r="O422" s="68">
        <f t="shared" si="95"/>
        <v>247</v>
      </c>
      <c r="P422" s="68">
        <f t="shared" si="96"/>
        <v>1345</v>
      </c>
      <c r="Q422" s="68" t="str">
        <f t="shared" si="97"/>
        <v/>
      </c>
      <c r="R422" s="69">
        <f t="shared" si="98"/>
        <v>3092</v>
      </c>
      <c r="U422" s="5">
        <v>44742</v>
      </c>
      <c r="V422">
        <v>-21850</v>
      </c>
      <c r="W422">
        <v>22205</v>
      </c>
      <c r="X422">
        <v>-3448</v>
      </c>
      <c r="Y422">
        <v>-4348</v>
      </c>
      <c r="Z422">
        <v>837</v>
      </c>
      <c r="AA422">
        <v>216</v>
      </c>
      <c r="AB422">
        <v>-1596</v>
      </c>
      <c r="AC422">
        <v>-149</v>
      </c>
      <c r="AD422">
        <v>247</v>
      </c>
      <c r="AE422">
        <v>1345</v>
      </c>
      <c r="AF422">
        <v>0</v>
      </c>
      <c r="AG422">
        <v>3092</v>
      </c>
    </row>
    <row r="423" spans="6:33">
      <c r="F423" s="74">
        <f t="shared" si="86"/>
        <v>44741</v>
      </c>
      <c r="G423" s="72">
        <f t="shared" si="87"/>
        <v>-5048</v>
      </c>
      <c r="H423" s="68">
        <f t="shared" si="88"/>
        <v>12521</v>
      </c>
      <c r="I423" s="68">
        <f t="shared" si="89"/>
        <v>-8837</v>
      </c>
      <c r="J423" s="68">
        <f t="shared" si="90"/>
        <v>-7325</v>
      </c>
      <c r="K423" s="68">
        <f t="shared" si="91"/>
        <v>537</v>
      </c>
      <c r="L423" s="68">
        <f t="shared" si="92"/>
        <v>-591</v>
      </c>
      <c r="M423" s="68">
        <f t="shared" si="93"/>
        <v>-1398</v>
      </c>
      <c r="N423" s="68">
        <f t="shared" si="94"/>
        <v>-251</v>
      </c>
      <c r="O423" s="68">
        <f t="shared" si="95"/>
        <v>190</v>
      </c>
      <c r="P423" s="68">
        <f t="shared" si="96"/>
        <v>1</v>
      </c>
      <c r="Q423" s="68" t="str">
        <f t="shared" si="97"/>
        <v/>
      </c>
      <c r="R423" s="69">
        <f t="shared" si="98"/>
        <v>1363</v>
      </c>
      <c r="U423" s="5">
        <v>44741</v>
      </c>
      <c r="V423">
        <v>-5048</v>
      </c>
      <c r="W423">
        <v>12521</v>
      </c>
      <c r="X423">
        <v>-8837</v>
      </c>
      <c r="Y423">
        <v>-7325</v>
      </c>
      <c r="Z423">
        <v>537</v>
      </c>
      <c r="AA423">
        <v>-591</v>
      </c>
      <c r="AB423">
        <v>-1398</v>
      </c>
      <c r="AC423">
        <v>-251</v>
      </c>
      <c r="AD423">
        <v>190</v>
      </c>
      <c r="AE423">
        <v>1</v>
      </c>
      <c r="AF423">
        <v>0</v>
      </c>
      <c r="AG423">
        <v>1363</v>
      </c>
    </row>
    <row r="424" spans="6:33">
      <c r="F424" s="74">
        <f t="shared" si="86"/>
        <v>44740</v>
      </c>
      <c r="G424" s="72">
        <f t="shared" si="87"/>
        <v>-13390</v>
      </c>
      <c r="H424" s="68">
        <f t="shared" si="88"/>
        <v>13158</v>
      </c>
      <c r="I424" s="68">
        <f t="shared" si="89"/>
        <v>-1517</v>
      </c>
      <c r="J424" s="68">
        <f t="shared" si="90"/>
        <v>-388</v>
      </c>
      <c r="K424" s="68">
        <f t="shared" si="91"/>
        <v>325</v>
      </c>
      <c r="L424" s="68">
        <f t="shared" si="92"/>
        <v>-1473</v>
      </c>
      <c r="M424" s="68">
        <f t="shared" si="93"/>
        <v>-852</v>
      </c>
      <c r="N424" s="68">
        <f t="shared" si="94"/>
        <v>-42</v>
      </c>
      <c r="O424" s="68">
        <f t="shared" si="95"/>
        <v>537</v>
      </c>
      <c r="P424" s="68">
        <f t="shared" si="96"/>
        <v>376</v>
      </c>
      <c r="Q424" s="68" t="str">
        <f t="shared" si="97"/>
        <v/>
      </c>
      <c r="R424" s="69">
        <f t="shared" si="98"/>
        <v>1749</v>
      </c>
      <c r="U424" s="5">
        <v>44740</v>
      </c>
      <c r="V424">
        <v>-13390</v>
      </c>
      <c r="W424">
        <v>13158</v>
      </c>
      <c r="X424">
        <v>-1517</v>
      </c>
      <c r="Y424">
        <v>-388</v>
      </c>
      <c r="Z424">
        <v>325</v>
      </c>
      <c r="AA424">
        <v>-1473</v>
      </c>
      <c r="AB424">
        <v>-852</v>
      </c>
      <c r="AC424">
        <v>-42</v>
      </c>
      <c r="AD424">
        <v>537</v>
      </c>
      <c r="AE424">
        <v>376</v>
      </c>
      <c r="AF424">
        <v>0</v>
      </c>
      <c r="AG424">
        <v>1749</v>
      </c>
    </row>
    <row r="425" spans="6:33">
      <c r="F425" s="74">
        <f t="shared" si="86"/>
        <v>44739</v>
      </c>
      <c r="G425" s="72">
        <f t="shared" si="87"/>
        <v>17419</v>
      </c>
      <c r="H425" s="68">
        <f t="shared" si="88"/>
        <v>-12842</v>
      </c>
      <c r="I425" s="68">
        <f t="shared" si="89"/>
        <v>-5938</v>
      </c>
      <c r="J425" s="68">
        <f t="shared" si="90"/>
        <v>-5903</v>
      </c>
      <c r="K425" s="68">
        <f t="shared" si="91"/>
        <v>194</v>
      </c>
      <c r="L425" s="68">
        <f t="shared" si="92"/>
        <v>-679</v>
      </c>
      <c r="M425" s="68">
        <f t="shared" si="93"/>
        <v>830</v>
      </c>
      <c r="N425" s="68">
        <f t="shared" si="94"/>
        <v>70</v>
      </c>
      <c r="O425" s="68">
        <f t="shared" si="95"/>
        <v>-55</v>
      </c>
      <c r="P425" s="68">
        <f t="shared" si="96"/>
        <v>-395</v>
      </c>
      <c r="Q425" s="68" t="str">
        <f t="shared" si="97"/>
        <v/>
      </c>
      <c r="R425" s="69">
        <f t="shared" si="98"/>
        <v>1362</v>
      </c>
      <c r="U425" s="5">
        <v>44739</v>
      </c>
      <c r="V425">
        <v>17419</v>
      </c>
      <c r="W425">
        <v>-12842</v>
      </c>
      <c r="X425">
        <v>-5938</v>
      </c>
      <c r="Y425">
        <v>-5903</v>
      </c>
      <c r="Z425">
        <v>194</v>
      </c>
      <c r="AA425">
        <v>-679</v>
      </c>
      <c r="AB425">
        <v>830</v>
      </c>
      <c r="AC425">
        <v>70</v>
      </c>
      <c r="AD425">
        <v>-55</v>
      </c>
      <c r="AE425">
        <v>-395</v>
      </c>
      <c r="AF425">
        <v>0</v>
      </c>
      <c r="AG425">
        <v>1362</v>
      </c>
    </row>
    <row r="426" spans="6:33">
      <c r="F426" s="74">
        <f t="shared" si="86"/>
        <v>44736</v>
      </c>
      <c r="G426" s="72">
        <f t="shared" si="87"/>
        <v>35358</v>
      </c>
      <c r="H426" s="68">
        <f t="shared" si="88"/>
        <v>-47800</v>
      </c>
      <c r="I426" s="68">
        <f t="shared" si="89"/>
        <v>11151</v>
      </c>
      <c r="J426" s="68">
        <f t="shared" si="90"/>
        <v>10690</v>
      </c>
      <c r="K426" s="68">
        <f t="shared" si="91"/>
        <v>25</v>
      </c>
      <c r="L426" s="68">
        <f t="shared" si="92"/>
        <v>134</v>
      </c>
      <c r="M426" s="68">
        <f t="shared" si="93"/>
        <v>1287</v>
      </c>
      <c r="N426" s="68">
        <f t="shared" si="94"/>
        <v>-255</v>
      </c>
      <c r="O426" s="68">
        <f t="shared" si="95"/>
        <v>-138</v>
      </c>
      <c r="P426" s="68">
        <f t="shared" si="96"/>
        <v>-592</v>
      </c>
      <c r="Q426" s="68" t="str">
        <f t="shared" si="97"/>
        <v/>
      </c>
      <c r="R426" s="69">
        <f t="shared" si="98"/>
        <v>1291</v>
      </c>
      <c r="U426" s="5">
        <v>44736</v>
      </c>
      <c r="V426">
        <v>35358</v>
      </c>
      <c r="W426">
        <v>-47800</v>
      </c>
      <c r="X426">
        <v>11151</v>
      </c>
      <c r="Y426">
        <v>10690</v>
      </c>
      <c r="Z426">
        <v>25</v>
      </c>
      <c r="AA426">
        <v>134</v>
      </c>
      <c r="AB426">
        <v>1287</v>
      </c>
      <c r="AC426">
        <v>-255</v>
      </c>
      <c r="AD426">
        <v>-138</v>
      </c>
      <c r="AE426">
        <v>-592</v>
      </c>
      <c r="AF426">
        <v>0</v>
      </c>
      <c r="AG426">
        <v>1291</v>
      </c>
    </row>
    <row r="427" spans="6:33">
      <c r="F427" s="74">
        <f t="shared" si="86"/>
        <v>44735</v>
      </c>
      <c r="G427" s="72">
        <f t="shared" si="87"/>
        <v>9388</v>
      </c>
      <c r="H427" s="68">
        <f t="shared" si="88"/>
        <v>-28631</v>
      </c>
      <c r="I427" s="68">
        <f t="shared" si="89"/>
        <v>14974</v>
      </c>
      <c r="J427" s="68">
        <f t="shared" si="90"/>
        <v>20294</v>
      </c>
      <c r="K427" s="68">
        <f t="shared" si="91"/>
        <v>-470</v>
      </c>
      <c r="L427" s="68">
        <f t="shared" si="92"/>
        <v>-1468</v>
      </c>
      <c r="M427" s="68">
        <f t="shared" si="93"/>
        <v>-836</v>
      </c>
      <c r="N427" s="68">
        <f t="shared" si="94"/>
        <v>-1341</v>
      </c>
      <c r="O427" s="68">
        <f t="shared" si="95"/>
        <v>-112</v>
      </c>
      <c r="P427" s="68">
        <f t="shared" si="96"/>
        <v>-1093</v>
      </c>
      <c r="Q427" s="68" t="str">
        <f t="shared" si="97"/>
        <v/>
      </c>
      <c r="R427" s="69">
        <f t="shared" si="98"/>
        <v>4270</v>
      </c>
      <c r="U427" s="5">
        <v>44735</v>
      </c>
      <c r="V427">
        <v>9388</v>
      </c>
      <c r="W427">
        <v>-28631</v>
      </c>
      <c r="X427">
        <v>14974</v>
      </c>
      <c r="Y427">
        <v>20294</v>
      </c>
      <c r="Z427">
        <v>-470</v>
      </c>
      <c r="AA427">
        <v>-1468</v>
      </c>
      <c r="AB427">
        <v>-836</v>
      </c>
      <c r="AC427">
        <v>-1341</v>
      </c>
      <c r="AD427">
        <v>-112</v>
      </c>
      <c r="AE427">
        <v>-1093</v>
      </c>
      <c r="AF427">
        <v>0</v>
      </c>
      <c r="AG427">
        <v>4270</v>
      </c>
    </row>
    <row r="428" spans="6:33">
      <c r="F428" s="74">
        <f t="shared" si="86"/>
        <v>44734</v>
      </c>
      <c r="G428" s="72">
        <f t="shared" si="87"/>
        <v>-12673</v>
      </c>
      <c r="H428" s="68">
        <f t="shared" si="88"/>
        <v>13879</v>
      </c>
      <c r="I428" s="68">
        <f t="shared" si="89"/>
        <v>-757</v>
      </c>
      <c r="J428" s="68">
        <f t="shared" si="90"/>
        <v>1273</v>
      </c>
      <c r="K428" s="68">
        <f t="shared" si="91"/>
        <v>-427</v>
      </c>
      <c r="L428" s="68">
        <f t="shared" si="92"/>
        <v>-448</v>
      </c>
      <c r="M428" s="68">
        <f t="shared" si="93"/>
        <v>-1243</v>
      </c>
      <c r="N428" s="68">
        <f t="shared" si="94"/>
        <v>-42</v>
      </c>
      <c r="O428" s="68">
        <f t="shared" si="95"/>
        <v>-3</v>
      </c>
      <c r="P428" s="68">
        <f t="shared" si="96"/>
        <v>133</v>
      </c>
      <c r="Q428" s="68" t="str">
        <f t="shared" si="97"/>
        <v/>
      </c>
      <c r="R428" s="69">
        <f t="shared" si="98"/>
        <v>-449</v>
      </c>
      <c r="U428" s="5">
        <v>44734</v>
      </c>
      <c r="V428">
        <v>-12673</v>
      </c>
      <c r="W428">
        <v>13879</v>
      </c>
      <c r="X428">
        <v>-757</v>
      </c>
      <c r="Y428">
        <v>1273</v>
      </c>
      <c r="Z428">
        <v>-427</v>
      </c>
      <c r="AA428">
        <v>-448</v>
      </c>
      <c r="AB428">
        <v>-1243</v>
      </c>
      <c r="AC428">
        <v>-42</v>
      </c>
      <c r="AD428">
        <v>-3</v>
      </c>
      <c r="AE428">
        <v>133</v>
      </c>
      <c r="AF428">
        <v>0</v>
      </c>
      <c r="AG428">
        <v>-449</v>
      </c>
    </row>
    <row r="429" spans="6:33">
      <c r="F429" s="74">
        <f t="shared" si="86"/>
        <v>44733</v>
      </c>
      <c r="G429" s="72">
        <f t="shared" si="87"/>
        <v>3539</v>
      </c>
      <c r="H429" s="68">
        <f t="shared" si="88"/>
        <v>-16942</v>
      </c>
      <c r="I429" s="68">
        <f t="shared" si="89"/>
        <v>12248</v>
      </c>
      <c r="J429" s="68">
        <f t="shared" si="90"/>
        <v>10116</v>
      </c>
      <c r="K429" s="68">
        <f t="shared" si="91"/>
        <v>-50</v>
      </c>
      <c r="L429" s="68">
        <f t="shared" si="92"/>
        <v>263</v>
      </c>
      <c r="M429" s="68">
        <f t="shared" si="93"/>
        <v>1377</v>
      </c>
      <c r="N429" s="68">
        <f t="shared" si="94"/>
        <v>-18</v>
      </c>
      <c r="O429" s="68">
        <f t="shared" si="95"/>
        <v>-61</v>
      </c>
      <c r="P429" s="68">
        <f t="shared" si="96"/>
        <v>621</v>
      </c>
      <c r="Q429" s="68" t="str">
        <f t="shared" si="97"/>
        <v/>
      </c>
      <c r="R429" s="69">
        <f t="shared" si="98"/>
        <v>1156</v>
      </c>
      <c r="U429" s="5">
        <v>44733</v>
      </c>
      <c r="V429">
        <v>3539</v>
      </c>
      <c r="W429">
        <v>-16942</v>
      </c>
      <c r="X429">
        <v>12248</v>
      </c>
      <c r="Y429">
        <v>10116</v>
      </c>
      <c r="Z429">
        <v>-50</v>
      </c>
      <c r="AA429">
        <v>263</v>
      </c>
      <c r="AB429">
        <v>1377</v>
      </c>
      <c r="AC429">
        <v>-18</v>
      </c>
      <c r="AD429">
        <v>-61</v>
      </c>
      <c r="AE429">
        <v>621</v>
      </c>
      <c r="AF429">
        <v>0</v>
      </c>
      <c r="AG429">
        <v>1156</v>
      </c>
    </row>
    <row r="430" spans="6:33">
      <c r="F430" s="74">
        <f t="shared" si="86"/>
        <v>44732</v>
      </c>
      <c r="G430" s="72">
        <f t="shared" si="87"/>
        <v>-23963</v>
      </c>
      <c r="H430" s="68">
        <f t="shared" si="88"/>
        <v>14104</v>
      </c>
      <c r="I430" s="68">
        <f t="shared" si="89"/>
        <v>6692</v>
      </c>
      <c r="J430" s="68">
        <f t="shared" si="90"/>
        <v>9916</v>
      </c>
      <c r="K430" s="68">
        <f t="shared" si="91"/>
        <v>-617</v>
      </c>
      <c r="L430" s="68">
        <f t="shared" si="92"/>
        <v>-435</v>
      </c>
      <c r="M430" s="68">
        <f t="shared" si="93"/>
        <v>-902</v>
      </c>
      <c r="N430" s="68">
        <f t="shared" si="94"/>
        <v>-130</v>
      </c>
      <c r="O430" s="68">
        <f t="shared" si="95"/>
        <v>-89</v>
      </c>
      <c r="P430" s="68">
        <f t="shared" si="96"/>
        <v>-1051</v>
      </c>
      <c r="Q430" s="68" t="str">
        <f t="shared" si="97"/>
        <v/>
      </c>
      <c r="R430" s="69">
        <f t="shared" si="98"/>
        <v>3166</v>
      </c>
      <c r="U430" s="5">
        <v>44732</v>
      </c>
      <c r="V430">
        <v>-23963</v>
      </c>
      <c r="W430">
        <v>14104</v>
      </c>
      <c r="X430">
        <v>6692</v>
      </c>
      <c r="Y430">
        <v>9916</v>
      </c>
      <c r="Z430">
        <v>-617</v>
      </c>
      <c r="AA430">
        <v>-435</v>
      </c>
      <c r="AB430">
        <v>-902</v>
      </c>
      <c r="AC430">
        <v>-130</v>
      </c>
      <c r="AD430">
        <v>-89</v>
      </c>
      <c r="AE430">
        <v>-1051</v>
      </c>
      <c r="AF430">
        <v>0</v>
      </c>
      <c r="AG430">
        <v>3166</v>
      </c>
    </row>
    <row r="431" spans="6:33">
      <c r="F431" s="74">
        <f t="shared" si="86"/>
        <v>44729</v>
      </c>
      <c r="G431" s="72">
        <f t="shared" si="87"/>
        <v>17157</v>
      </c>
      <c r="H431" s="68">
        <f t="shared" si="88"/>
        <v>-1923</v>
      </c>
      <c r="I431" s="68">
        <f t="shared" si="89"/>
        <v>-17656</v>
      </c>
      <c r="J431" s="68">
        <f t="shared" si="90"/>
        <v>7810</v>
      </c>
      <c r="K431" s="68">
        <f t="shared" si="91"/>
        <v>-23317</v>
      </c>
      <c r="L431" s="68">
        <f t="shared" si="92"/>
        <v>-1398</v>
      </c>
      <c r="M431" s="68">
        <f t="shared" si="93"/>
        <v>-322</v>
      </c>
      <c r="N431" s="68">
        <f t="shared" si="94"/>
        <v>-75</v>
      </c>
      <c r="O431" s="68">
        <f t="shared" si="95"/>
        <v>13</v>
      </c>
      <c r="P431" s="68">
        <f t="shared" si="96"/>
        <v>-367</v>
      </c>
      <c r="Q431" s="68" t="str">
        <f t="shared" si="97"/>
        <v/>
      </c>
      <c r="R431" s="69">
        <f t="shared" si="98"/>
        <v>2422</v>
      </c>
      <c r="U431" s="5">
        <v>44729</v>
      </c>
      <c r="V431">
        <v>17157</v>
      </c>
      <c r="W431">
        <v>-1923</v>
      </c>
      <c r="X431">
        <v>-17656</v>
      </c>
      <c r="Y431">
        <v>7810</v>
      </c>
      <c r="Z431">
        <v>-23317</v>
      </c>
      <c r="AA431">
        <v>-1398</v>
      </c>
      <c r="AB431">
        <v>-322</v>
      </c>
      <c r="AC431">
        <v>-75</v>
      </c>
      <c r="AD431">
        <v>13</v>
      </c>
      <c r="AE431">
        <v>-367</v>
      </c>
      <c r="AF431">
        <v>0</v>
      </c>
      <c r="AG431">
        <v>2422</v>
      </c>
    </row>
    <row r="432" spans="6:33">
      <c r="F432" s="74">
        <f t="shared" si="86"/>
        <v>44728</v>
      </c>
      <c r="G432" s="72">
        <f t="shared" si="87"/>
        <v>8149</v>
      </c>
      <c r="H432" s="68">
        <f t="shared" si="88"/>
        <v>-5226</v>
      </c>
      <c r="I432" s="68">
        <f t="shared" si="89"/>
        <v>-1407</v>
      </c>
      <c r="J432" s="68">
        <f t="shared" si="90"/>
        <v>1118</v>
      </c>
      <c r="K432" s="68">
        <f t="shared" si="91"/>
        <v>-593</v>
      </c>
      <c r="L432" s="68">
        <f t="shared" si="92"/>
        <v>-1405</v>
      </c>
      <c r="M432" s="68">
        <f t="shared" si="93"/>
        <v>-423</v>
      </c>
      <c r="N432" s="68">
        <f t="shared" si="94"/>
        <v>-9</v>
      </c>
      <c r="O432" s="68">
        <f t="shared" si="95"/>
        <v>-97</v>
      </c>
      <c r="P432" s="68">
        <f t="shared" si="96"/>
        <v>2</v>
      </c>
      <c r="Q432" s="68" t="str">
        <f t="shared" si="97"/>
        <v/>
      </c>
      <c r="R432" s="69">
        <f t="shared" si="98"/>
        <v>-1516</v>
      </c>
      <c r="U432" s="5">
        <v>44728</v>
      </c>
      <c r="V432">
        <v>8149</v>
      </c>
      <c r="W432">
        <v>-5226</v>
      </c>
      <c r="X432">
        <v>-1407</v>
      </c>
      <c r="Y432">
        <v>1118</v>
      </c>
      <c r="Z432">
        <v>-593</v>
      </c>
      <c r="AA432">
        <v>-1405</v>
      </c>
      <c r="AB432">
        <v>-423</v>
      </c>
      <c r="AC432">
        <v>-9</v>
      </c>
      <c r="AD432">
        <v>-97</v>
      </c>
      <c r="AE432">
        <v>2</v>
      </c>
      <c r="AF432">
        <v>0</v>
      </c>
      <c r="AG432">
        <v>-1516</v>
      </c>
    </row>
    <row r="433" spans="6:33">
      <c r="F433" s="74">
        <f t="shared" si="86"/>
        <v>44727</v>
      </c>
      <c r="G433" s="72">
        <f t="shared" si="87"/>
        <v>-17033</v>
      </c>
      <c r="H433" s="68">
        <f t="shared" si="88"/>
        <v>13053</v>
      </c>
      <c r="I433" s="68">
        <f t="shared" si="89"/>
        <v>266</v>
      </c>
      <c r="J433" s="68">
        <f t="shared" si="90"/>
        <v>3279</v>
      </c>
      <c r="K433" s="68">
        <f t="shared" si="91"/>
        <v>-573</v>
      </c>
      <c r="L433" s="68">
        <f t="shared" si="92"/>
        <v>-1503</v>
      </c>
      <c r="M433" s="68">
        <f t="shared" si="93"/>
        <v>-362</v>
      </c>
      <c r="N433" s="68">
        <f t="shared" si="94"/>
        <v>-59</v>
      </c>
      <c r="O433" s="68">
        <f t="shared" si="95"/>
        <v>-72</v>
      </c>
      <c r="P433" s="68">
        <f t="shared" si="96"/>
        <v>-444</v>
      </c>
      <c r="Q433" s="68" t="str">
        <f t="shared" si="97"/>
        <v/>
      </c>
      <c r="R433" s="69">
        <f t="shared" si="98"/>
        <v>3718</v>
      </c>
      <c r="U433" s="5">
        <v>44727</v>
      </c>
      <c r="V433">
        <v>-17033</v>
      </c>
      <c r="W433">
        <v>13053</v>
      </c>
      <c r="X433">
        <v>266</v>
      </c>
      <c r="Y433">
        <v>3279</v>
      </c>
      <c r="Z433">
        <v>-573</v>
      </c>
      <c r="AA433">
        <v>-1503</v>
      </c>
      <c r="AB433">
        <v>-362</v>
      </c>
      <c r="AC433">
        <v>-59</v>
      </c>
      <c r="AD433">
        <v>-72</v>
      </c>
      <c r="AE433">
        <v>-444</v>
      </c>
      <c r="AF433">
        <v>0</v>
      </c>
      <c r="AG433">
        <v>3718</v>
      </c>
    </row>
    <row r="434" spans="6:33">
      <c r="F434" s="74">
        <f t="shared" si="86"/>
        <v>44726</v>
      </c>
      <c r="G434" s="72">
        <f t="shared" si="87"/>
        <v>732</v>
      </c>
      <c r="H434" s="68">
        <f t="shared" si="88"/>
        <v>-5799</v>
      </c>
      <c r="I434" s="68">
        <f t="shared" si="89"/>
        <v>2660</v>
      </c>
      <c r="J434" s="68">
        <f t="shared" si="90"/>
        <v>3499</v>
      </c>
      <c r="K434" s="68">
        <f t="shared" si="91"/>
        <v>-1036</v>
      </c>
      <c r="L434" s="68">
        <f t="shared" si="92"/>
        <v>639</v>
      </c>
      <c r="M434" s="68">
        <f t="shared" si="93"/>
        <v>-604</v>
      </c>
      <c r="N434" s="68">
        <f t="shared" si="94"/>
        <v>-71</v>
      </c>
      <c r="O434" s="68">
        <f t="shared" si="95"/>
        <v>-30</v>
      </c>
      <c r="P434" s="68">
        <f t="shared" si="96"/>
        <v>263</v>
      </c>
      <c r="Q434" s="68" t="str">
        <f t="shared" si="97"/>
        <v/>
      </c>
      <c r="R434" s="69">
        <f t="shared" si="98"/>
        <v>2408</v>
      </c>
      <c r="U434" s="5">
        <v>44726</v>
      </c>
      <c r="V434">
        <v>732</v>
      </c>
      <c r="W434">
        <v>-5799</v>
      </c>
      <c r="X434">
        <v>2660</v>
      </c>
      <c r="Y434">
        <v>3499</v>
      </c>
      <c r="Z434">
        <v>-1036</v>
      </c>
      <c r="AA434">
        <v>639</v>
      </c>
      <c r="AB434">
        <v>-604</v>
      </c>
      <c r="AC434">
        <v>-71</v>
      </c>
      <c r="AD434">
        <v>-30</v>
      </c>
      <c r="AE434">
        <v>263</v>
      </c>
      <c r="AF434">
        <v>0</v>
      </c>
      <c r="AG434">
        <v>2408</v>
      </c>
    </row>
    <row r="435" spans="6:33">
      <c r="F435" s="74">
        <f t="shared" si="86"/>
        <v>44725</v>
      </c>
      <c r="G435" s="72">
        <f t="shared" si="87"/>
        <v>-10118</v>
      </c>
      <c r="H435" s="68">
        <f t="shared" si="88"/>
        <v>15128</v>
      </c>
      <c r="I435" s="68">
        <f t="shared" si="89"/>
        <v>-6130</v>
      </c>
      <c r="J435" s="68">
        <f t="shared" si="90"/>
        <v>-631</v>
      </c>
      <c r="K435" s="68">
        <f t="shared" si="91"/>
        <v>-1523</v>
      </c>
      <c r="L435" s="68">
        <f t="shared" si="92"/>
        <v>-708</v>
      </c>
      <c r="M435" s="68">
        <f t="shared" si="93"/>
        <v>-2675</v>
      </c>
      <c r="N435" s="68">
        <f t="shared" si="94"/>
        <v>179</v>
      </c>
      <c r="O435" s="68">
        <f t="shared" si="95"/>
        <v>14</v>
      </c>
      <c r="P435" s="68">
        <f t="shared" si="96"/>
        <v>-786</v>
      </c>
      <c r="Q435" s="68" t="str">
        <f t="shared" si="97"/>
        <v/>
      </c>
      <c r="R435" s="69">
        <f t="shared" si="98"/>
        <v>1120</v>
      </c>
      <c r="U435" s="5">
        <v>44725</v>
      </c>
      <c r="V435">
        <v>-10118</v>
      </c>
      <c r="W435">
        <v>15128</v>
      </c>
      <c r="X435">
        <v>-6130</v>
      </c>
      <c r="Y435">
        <v>-631</v>
      </c>
      <c r="Z435">
        <v>-1523</v>
      </c>
      <c r="AA435">
        <v>-708</v>
      </c>
      <c r="AB435">
        <v>-2675</v>
      </c>
      <c r="AC435">
        <v>179</v>
      </c>
      <c r="AD435">
        <v>14</v>
      </c>
      <c r="AE435">
        <v>-786</v>
      </c>
      <c r="AF435">
        <v>0</v>
      </c>
      <c r="AG435">
        <v>1120</v>
      </c>
    </row>
    <row r="436" spans="6:33">
      <c r="F436" s="74">
        <f t="shared" si="86"/>
        <v>44722</v>
      </c>
      <c r="G436" s="72">
        <f t="shared" si="87"/>
        <v>-18319</v>
      </c>
      <c r="H436" s="68">
        <f t="shared" si="88"/>
        <v>24418</v>
      </c>
      <c r="I436" s="68">
        <f t="shared" si="89"/>
        <v>-5629</v>
      </c>
      <c r="J436" s="68">
        <f t="shared" si="90"/>
        <v>-4194</v>
      </c>
      <c r="K436" s="68">
        <f t="shared" si="91"/>
        <v>-934</v>
      </c>
      <c r="L436" s="68">
        <f t="shared" si="92"/>
        <v>-1194</v>
      </c>
      <c r="M436" s="68">
        <f t="shared" si="93"/>
        <v>-1249</v>
      </c>
      <c r="N436" s="68">
        <f t="shared" si="94"/>
        <v>252</v>
      </c>
      <c r="O436" s="68">
        <f t="shared" si="95"/>
        <v>14</v>
      </c>
      <c r="P436" s="68">
        <f t="shared" si="96"/>
        <v>1676</v>
      </c>
      <c r="Q436" s="68" t="str">
        <f t="shared" si="97"/>
        <v/>
      </c>
      <c r="R436" s="69">
        <f t="shared" si="98"/>
        <v>-469</v>
      </c>
      <c r="U436" s="5">
        <v>44722</v>
      </c>
      <c r="V436">
        <v>-18319</v>
      </c>
      <c r="W436">
        <v>24418</v>
      </c>
      <c r="X436">
        <v>-5629</v>
      </c>
      <c r="Y436">
        <v>-4194</v>
      </c>
      <c r="Z436">
        <v>-934</v>
      </c>
      <c r="AA436">
        <v>-1194</v>
      </c>
      <c r="AB436">
        <v>-1249</v>
      </c>
      <c r="AC436">
        <v>252</v>
      </c>
      <c r="AD436">
        <v>14</v>
      </c>
      <c r="AE436">
        <v>1676</v>
      </c>
      <c r="AF436">
        <v>0</v>
      </c>
      <c r="AG436">
        <v>-469</v>
      </c>
    </row>
    <row r="437" spans="6:33">
      <c r="F437" s="74">
        <f t="shared" si="86"/>
        <v>44721</v>
      </c>
      <c r="G437" s="72">
        <f t="shared" si="87"/>
        <v>-18917</v>
      </c>
      <c r="H437" s="68">
        <f t="shared" si="88"/>
        <v>15316</v>
      </c>
      <c r="I437" s="68">
        <f t="shared" si="89"/>
        <v>3348</v>
      </c>
      <c r="J437" s="68">
        <f t="shared" si="90"/>
        <v>12238</v>
      </c>
      <c r="K437" s="68">
        <f t="shared" si="91"/>
        <v>-278</v>
      </c>
      <c r="L437" s="68">
        <f t="shared" si="92"/>
        <v>-4103</v>
      </c>
      <c r="M437" s="68">
        <f t="shared" si="93"/>
        <v>-2407</v>
      </c>
      <c r="N437" s="68">
        <f t="shared" si="94"/>
        <v>-47</v>
      </c>
      <c r="O437" s="68">
        <f t="shared" si="95"/>
        <v>-298</v>
      </c>
      <c r="P437" s="68">
        <f t="shared" si="96"/>
        <v>-1757</v>
      </c>
      <c r="Q437" s="68" t="str">
        <f t="shared" si="97"/>
        <v/>
      </c>
      <c r="R437" s="69">
        <f t="shared" si="98"/>
        <v>255</v>
      </c>
      <c r="U437" s="5">
        <v>44721</v>
      </c>
      <c r="V437">
        <v>-18917</v>
      </c>
      <c r="W437">
        <v>15316</v>
      </c>
      <c r="X437">
        <v>3348</v>
      </c>
      <c r="Y437">
        <v>12238</v>
      </c>
      <c r="Z437">
        <v>-278</v>
      </c>
      <c r="AA437">
        <v>-4103</v>
      </c>
      <c r="AB437">
        <v>-2407</v>
      </c>
      <c r="AC437">
        <v>-47</v>
      </c>
      <c r="AD437">
        <v>-298</v>
      </c>
      <c r="AE437">
        <v>-1757</v>
      </c>
      <c r="AF437">
        <v>0</v>
      </c>
      <c r="AG437">
        <v>255</v>
      </c>
    </row>
    <row r="438" spans="6:33">
      <c r="F438" s="74">
        <f t="shared" si="86"/>
        <v>44720</v>
      </c>
      <c r="G438" s="72">
        <f t="shared" si="87"/>
        <v>-788</v>
      </c>
      <c r="H438" s="68">
        <f t="shared" si="88"/>
        <v>1832</v>
      </c>
      <c r="I438" s="68">
        <f t="shared" si="89"/>
        <v>-2334</v>
      </c>
      <c r="J438" s="68">
        <f t="shared" si="90"/>
        <v>846</v>
      </c>
      <c r="K438" s="68">
        <f t="shared" si="91"/>
        <v>-644</v>
      </c>
      <c r="L438" s="68">
        <f t="shared" si="92"/>
        <v>-296</v>
      </c>
      <c r="M438" s="68">
        <f t="shared" si="93"/>
        <v>-1810</v>
      </c>
      <c r="N438" s="68">
        <f t="shared" si="94"/>
        <v>-122</v>
      </c>
      <c r="O438" s="68">
        <f t="shared" si="95"/>
        <v>-226</v>
      </c>
      <c r="P438" s="68">
        <f t="shared" si="96"/>
        <v>-82</v>
      </c>
      <c r="Q438" s="68" t="str">
        <f t="shared" si="97"/>
        <v/>
      </c>
      <c r="R438" s="69">
        <f t="shared" si="98"/>
        <v>1291</v>
      </c>
      <c r="U438" s="5">
        <v>44720</v>
      </c>
      <c r="V438">
        <v>-788</v>
      </c>
      <c r="W438">
        <v>1832</v>
      </c>
      <c r="X438">
        <v>-2334</v>
      </c>
      <c r="Y438">
        <v>846</v>
      </c>
      <c r="Z438">
        <v>-644</v>
      </c>
      <c r="AA438">
        <v>-296</v>
      </c>
      <c r="AB438">
        <v>-1810</v>
      </c>
      <c r="AC438">
        <v>-122</v>
      </c>
      <c r="AD438">
        <v>-226</v>
      </c>
      <c r="AE438">
        <v>-82</v>
      </c>
      <c r="AF438">
        <v>0</v>
      </c>
      <c r="AG438">
        <v>1291</v>
      </c>
    </row>
    <row r="439" spans="6:33">
      <c r="F439" s="74">
        <f t="shared" si="86"/>
        <v>44719</v>
      </c>
      <c r="G439" s="72">
        <f t="shared" si="87"/>
        <v>-7390</v>
      </c>
      <c r="H439" s="68">
        <f t="shared" si="88"/>
        <v>20795</v>
      </c>
      <c r="I439" s="68">
        <f t="shared" si="89"/>
        <v>-14494</v>
      </c>
      <c r="J439" s="68">
        <f t="shared" si="90"/>
        <v>-12268</v>
      </c>
      <c r="K439" s="68">
        <f t="shared" si="91"/>
        <v>-240</v>
      </c>
      <c r="L439" s="68">
        <f t="shared" si="92"/>
        <v>-484</v>
      </c>
      <c r="M439" s="68">
        <f t="shared" si="93"/>
        <v>-977</v>
      </c>
      <c r="N439" s="68">
        <f t="shared" si="94"/>
        <v>-214</v>
      </c>
      <c r="O439" s="68">
        <f t="shared" si="95"/>
        <v>-222</v>
      </c>
      <c r="P439" s="68">
        <f t="shared" si="96"/>
        <v>-89</v>
      </c>
      <c r="Q439" s="68" t="str">
        <f t="shared" si="97"/>
        <v/>
      </c>
      <c r="R439" s="69">
        <f t="shared" si="98"/>
        <v>1090</v>
      </c>
      <c r="U439" s="5">
        <v>44719</v>
      </c>
      <c r="V439">
        <v>-7390</v>
      </c>
      <c r="W439">
        <v>20795</v>
      </c>
      <c r="X439">
        <v>-14494</v>
      </c>
      <c r="Y439">
        <v>-12268</v>
      </c>
      <c r="Z439">
        <v>-240</v>
      </c>
      <c r="AA439">
        <v>-484</v>
      </c>
      <c r="AB439">
        <v>-977</v>
      </c>
      <c r="AC439">
        <v>-214</v>
      </c>
      <c r="AD439">
        <v>-222</v>
      </c>
      <c r="AE439">
        <v>-89</v>
      </c>
      <c r="AF439">
        <v>0</v>
      </c>
      <c r="AG439">
        <v>1090</v>
      </c>
    </row>
    <row r="440" spans="6:33">
      <c r="F440" s="74">
        <f t="shared" si="86"/>
        <v>44715</v>
      </c>
      <c r="G440" s="72">
        <f t="shared" si="87"/>
        <v>-5903</v>
      </c>
      <c r="H440" s="68">
        <f t="shared" si="88"/>
        <v>2417</v>
      </c>
      <c r="I440" s="68">
        <f t="shared" si="89"/>
        <v>3065</v>
      </c>
      <c r="J440" s="68">
        <f t="shared" si="90"/>
        <v>3671</v>
      </c>
      <c r="K440" s="68">
        <f t="shared" si="91"/>
        <v>-294</v>
      </c>
      <c r="L440" s="68">
        <f t="shared" si="92"/>
        <v>-724</v>
      </c>
      <c r="M440" s="68">
        <f t="shared" si="93"/>
        <v>264</v>
      </c>
      <c r="N440" s="68">
        <f t="shared" si="94"/>
        <v>94</v>
      </c>
      <c r="O440" s="68">
        <f t="shared" si="95"/>
        <v>-144</v>
      </c>
      <c r="P440" s="68">
        <f t="shared" si="96"/>
        <v>198</v>
      </c>
      <c r="Q440" s="68" t="str">
        <f t="shared" si="97"/>
        <v/>
      </c>
      <c r="R440" s="69">
        <f t="shared" si="98"/>
        <v>419</v>
      </c>
      <c r="U440" s="5">
        <v>44715</v>
      </c>
      <c r="V440">
        <v>-5903</v>
      </c>
      <c r="W440">
        <v>2417</v>
      </c>
      <c r="X440">
        <v>3065</v>
      </c>
      <c r="Y440">
        <v>3671</v>
      </c>
      <c r="Z440">
        <v>-294</v>
      </c>
      <c r="AA440">
        <v>-724</v>
      </c>
      <c r="AB440">
        <v>264</v>
      </c>
      <c r="AC440">
        <v>94</v>
      </c>
      <c r="AD440">
        <v>-144</v>
      </c>
      <c r="AE440">
        <v>198</v>
      </c>
      <c r="AF440">
        <v>0</v>
      </c>
      <c r="AG440">
        <v>419</v>
      </c>
    </row>
    <row r="441" spans="6:33">
      <c r="F441" s="74">
        <f t="shared" si="86"/>
        <v>44714</v>
      </c>
      <c r="G441" s="72">
        <f t="shared" si="87"/>
        <v>-1185</v>
      </c>
      <c r="H441" s="68">
        <f t="shared" si="88"/>
        <v>16290</v>
      </c>
      <c r="I441" s="68">
        <f t="shared" si="89"/>
        <v>-15177</v>
      </c>
      <c r="J441" s="68">
        <f t="shared" si="90"/>
        <v>-12213</v>
      </c>
      <c r="K441" s="68">
        <f t="shared" si="91"/>
        <v>-337</v>
      </c>
      <c r="L441" s="68">
        <f t="shared" si="92"/>
        <v>68</v>
      </c>
      <c r="M441" s="68">
        <f t="shared" si="93"/>
        <v>-1133</v>
      </c>
      <c r="N441" s="68">
        <f t="shared" si="94"/>
        <v>-219</v>
      </c>
      <c r="O441" s="68">
        <f t="shared" si="95"/>
        <v>-376</v>
      </c>
      <c r="P441" s="68">
        <f t="shared" si="96"/>
        <v>-967</v>
      </c>
      <c r="Q441" s="68" t="str">
        <f t="shared" si="97"/>
        <v/>
      </c>
      <c r="R441" s="69">
        <f t="shared" si="98"/>
        <v>74</v>
      </c>
      <c r="U441" s="5">
        <v>44714</v>
      </c>
      <c r="V441">
        <v>-1185</v>
      </c>
      <c r="W441">
        <v>16290</v>
      </c>
      <c r="X441">
        <v>-15177</v>
      </c>
      <c r="Y441">
        <v>-12213</v>
      </c>
      <c r="Z441">
        <v>-337</v>
      </c>
      <c r="AA441">
        <v>68</v>
      </c>
      <c r="AB441">
        <v>-1133</v>
      </c>
      <c r="AC441">
        <v>-219</v>
      </c>
      <c r="AD441">
        <v>-376</v>
      </c>
      <c r="AE441">
        <v>-967</v>
      </c>
      <c r="AF441">
        <v>0</v>
      </c>
      <c r="AG441">
        <v>74</v>
      </c>
    </row>
    <row r="442" spans="6:33">
      <c r="F442" s="74">
        <f t="shared" si="86"/>
        <v>44712</v>
      </c>
      <c r="G442" s="72">
        <f t="shared" si="87"/>
        <v>17976</v>
      </c>
      <c r="H442" s="68">
        <f t="shared" si="88"/>
        <v>-5816</v>
      </c>
      <c r="I442" s="68">
        <f t="shared" si="89"/>
        <v>-12741</v>
      </c>
      <c r="J442" s="68">
        <f t="shared" si="90"/>
        <v>-10266</v>
      </c>
      <c r="K442" s="68">
        <f t="shared" si="91"/>
        <v>-767</v>
      </c>
      <c r="L442" s="68">
        <f t="shared" si="92"/>
        <v>-626</v>
      </c>
      <c r="M442" s="68">
        <f t="shared" si="93"/>
        <v>-725</v>
      </c>
      <c r="N442" s="68">
        <f t="shared" si="94"/>
        <v>-7</v>
      </c>
      <c r="O442" s="68">
        <f t="shared" si="95"/>
        <v>-302</v>
      </c>
      <c r="P442" s="68">
        <f t="shared" si="96"/>
        <v>-48</v>
      </c>
      <c r="Q442" s="68" t="str">
        <f t="shared" si="97"/>
        <v/>
      </c>
      <c r="R442" s="69">
        <f t="shared" si="98"/>
        <v>583</v>
      </c>
      <c r="U442" s="5">
        <v>44712</v>
      </c>
      <c r="V442">
        <v>17976</v>
      </c>
      <c r="W442">
        <v>-5816</v>
      </c>
      <c r="X442">
        <v>-12741</v>
      </c>
      <c r="Y442">
        <v>-10266</v>
      </c>
      <c r="Z442">
        <v>-767</v>
      </c>
      <c r="AA442">
        <v>-626</v>
      </c>
      <c r="AB442">
        <v>-725</v>
      </c>
      <c r="AC442">
        <v>-7</v>
      </c>
      <c r="AD442">
        <v>-302</v>
      </c>
      <c r="AE442">
        <v>-48</v>
      </c>
      <c r="AF442">
        <v>0</v>
      </c>
      <c r="AG442">
        <v>583</v>
      </c>
    </row>
    <row r="443" spans="6:33">
      <c r="F443" s="74">
        <f t="shared" si="86"/>
        <v>44711</v>
      </c>
      <c r="G443" s="72">
        <f t="shared" si="87"/>
        <v>11327</v>
      </c>
      <c r="H443" s="68">
        <f t="shared" si="88"/>
        <v>-15911</v>
      </c>
      <c r="I443" s="68">
        <f t="shared" si="89"/>
        <v>3537</v>
      </c>
      <c r="J443" s="68">
        <f t="shared" si="90"/>
        <v>4632</v>
      </c>
      <c r="K443" s="68">
        <f t="shared" si="91"/>
        <v>-229</v>
      </c>
      <c r="L443" s="68">
        <f t="shared" si="92"/>
        <v>338</v>
      </c>
      <c r="M443" s="68">
        <f t="shared" si="93"/>
        <v>-100</v>
      </c>
      <c r="N443" s="68">
        <f t="shared" si="94"/>
        <v>-58</v>
      </c>
      <c r="O443" s="68">
        <f t="shared" si="95"/>
        <v>-144</v>
      </c>
      <c r="P443" s="68">
        <f t="shared" si="96"/>
        <v>-902</v>
      </c>
      <c r="Q443" s="68" t="str">
        <f t="shared" si="97"/>
        <v/>
      </c>
      <c r="R443" s="69">
        <f t="shared" si="98"/>
        <v>1046</v>
      </c>
      <c r="U443" s="5">
        <v>44711</v>
      </c>
      <c r="V443">
        <v>11327</v>
      </c>
      <c r="W443">
        <v>-15911</v>
      </c>
      <c r="X443">
        <v>3537</v>
      </c>
      <c r="Y443">
        <v>4632</v>
      </c>
      <c r="Z443">
        <v>-229</v>
      </c>
      <c r="AA443">
        <v>338</v>
      </c>
      <c r="AB443">
        <v>-100</v>
      </c>
      <c r="AC443">
        <v>-58</v>
      </c>
      <c r="AD443">
        <v>-144</v>
      </c>
      <c r="AE443">
        <v>-902</v>
      </c>
      <c r="AF443">
        <v>0</v>
      </c>
      <c r="AG443">
        <v>1046</v>
      </c>
    </row>
    <row r="444" spans="6:33">
      <c r="F444" s="74">
        <f t="shared" si="86"/>
        <v>44708</v>
      </c>
      <c r="G444" s="72">
        <f t="shared" si="87"/>
        <v>14915</v>
      </c>
      <c r="H444" s="68">
        <f t="shared" si="88"/>
        <v>-29221</v>
      </c>
      <c r="I444" s="68">
        <f t="shared" si="89"/>
        <v>14248</v>
      </c>
      <c r="J444" s="68">
        <f t="shared" si="90"/>
        <v>9781</v>
      </c>
      <c r="K444" s="68">
        <f t="shared" si="91"/>
        <v>221</v>
      </c>
      <c r="L444" s="68">
        <f t="shared" si="92"/>
        <v>1427</v>
      </c>
      <c r="M444" s="68">
        <f t="shared" si="93"/>
        <v>688</v>
      </c>
      <c r="N444" s="68">
        <f t="shared" si="94"/>
        <v>18</v>
      </c>
      <c r="O444" s="68">
        <f t="shared" si="95"/>
        <v>-303</v>
      </c>
      <c r="P444" s="68">
        <f t="shared" si="96"/>
        <v>2416</v>
      </c>
      <c r="Q444" s="68" t="str">
        <f t="shared" si="97"/>
        <v/>
      </c>
      <c r="R444" s="69">
        <f t="shared" si="98"/>
        <v>58</v>
      </c>
      <c r="U444" s="5">
        <v>44708</v>
      </c>
      <c r="V444">
        <v>14915</v>
      </c>
      <c r="W444">
        <v>-29221</v>
      </c>
      <c r="X444">
        <v>14248</v>
      </c>
      <c r="Y444">
        <v>9781</v>
      </c>
      <c r="Z444">
        <v>221</v>
      </c>
      <c r="AA444">
        <v>1427</v>
      </c>
      <c r="AB444">
        <v>688</v>
      </c>
      <c r="AC444">
        <v>18</v>
      </c>
      <c r="AD444">
        <v>-303</v>
      </c>
      <c r="AE444">
        <v>2416</v>
      </c>
      <c r="AF444">
        <v>0</v>
      </c>
      <c r="AG444">
        <v>58</v>
      </c>
    </row>
    <row r="445" spans="6:33">
      <c r="F445" s="74">
        <f t="shared" si="86"/>
        <v>44707</v>
      </c>
      <c r="G445" s="72">
        <f t="shared" si="87"/>
        <v>7645</v>
      </c>
      <c r="H445" s="68">
        <f t="shared" si="88"/>
        <v>-7290</v>
      </c>
      <c r="I445" s="68">
        <f t="shared" si="89"/>
        <v>-813</v>
      </c>
      <c r="J445" s="68">
        <f t="shared" si="90"/>
        <v>14</v>
      </c>
      <c r="K445" s="68">
        <f t="shared" si="91"/>
        <v>-201</v>
      </c>
      <c r="L445" s="68">
        <f t="shared" si="92"/>
        <v>468</v>
      </c>
      <c r="M445" s="68">
        <f t="shared" si="93"/>
        <v>-560</v>
      </c>
      <c r="N445" s="68">
        <f t="shared" si="94"/>
        <v>-32</v>
      </c>
      <c r="O445" s="68">
        <f t="shared" si="95"/>
        <v>-203</v>
      </c>
      <c r="P445" s="68">
        <f t="shared" si="96"/>
        <v>-299</v>
      </c>
      <c r="Q445" s="68" t="str">
        <f t="shared" si="97"/>
        <v/>
      </c>
      <c r="R445" s="69">
        <f t="shared" si="98"/>
        <v>459</v>
      </c>
      <c r="U445" s="5">
        <v>44707</v>
      </c>
      <c r="V445">
        <v>7645</v>
      </c>
      <c r="W445">
        <v>-7290</v>
      </c>
      <c r="X445">
        <v>-813</v>
      </c>
      <c r="Y445">
        <v>14</v>
      </c>
      <c r="Z445">
        <v>-201</v>
      </c>
      <c r="AA445">
        <v>468</v>
      </c>
      <c r="AB445">
        <v>-560</v>
      </c>
      <c r="AC445">
        <v>-32</v>
      </c>
      <c r="AD445">
        <v>-203</v>
      </c>
      <c r="AE445">
        <v>-299</v>
      </c>
      <c r="AF445">
        <v>0</v>
      </c>
      <c r="AG445">
        <v>459</v>
      </c>
    </row>
    <row r="446" spans="6:33">
      <c r="F446" s="74">
        <f t="shared" si="86"/>
        <v>44706</v>
      </c>
      <c r="G446" s="72">
        <f t="shared" si="87"/>
        <v>-4114</v>
      </c>
      <c r="H446" s="68">
        <f t="shared" si="88"/>
        <v>-7948</v>
      </c>
      <c r="I446" s="68">
        <f t="shared" si="89"/>
        <v>11977</v>
      </c>
      <c r="J446" s="68">
        <f t="shared" si="90"/>
        <v>10660</v>
      </c>
      <c r="K446" s="68">
        <f t="shared" si="91"/>
        <v>-829</v>
      </c>
      <c r="L446" s="68">
        <f t="shared" si="92"/>
        <v>1004</v>
      </c>
      <c r="M446" s="68">
        <f t="shared" si="93"/>
        <v>-186</v>
      </c>
      <c r="N446" s="68">
        <f t="shared" si="94"/>
        <v>11</v>
      </c>
      <c r="O446" s="68">
        <f t="shared" si="95"/>
        <v>-38</v>
      </c>
      <c r="P446" s="68">
        <f t="shared" si="96"/>
        <v>1355</v>
      </c>
      <c r="Q446" s="68" t="str">
        <f t="shared" si="97"/>
        <v/>
      </c>
      <c r="R446" s="69">
        <f t="shared" si="98"/>
        <v>86</v>
      </c>
      <c r="U446" s="5">
        <v>44706</v>
      </c>
      <c r="V446">
        <v>-4114</v>
      </c>
      <c r="W446">
        <v>-7948</v>
      </c>
      <c r="X446">
        <v>11977</v>
      </c>
      <c r="Y446">
        <v>10660</v>
      </c>
      <c r="Z446">
        <v>-829</v>
      </c>
      <c r="AA446">
        <v>1004</v>
      </c>
      <c r="AB446">
        <v>-186</v>
      </c>
      <c r="AC446">
        <v>11</v>
      </c>
      <c r="AD446">
        <v>-38</v>
      </c>
      <c r="AE446">
        <v>1355</v>
      </c>
      <c r="AF446">
        <v>0</v>
      </c>
      <c r="AG446">
        <v>86</v>
      </c>
    </row>
    <row r="447" spans="6:33">
      <c r="F447" s="74">
        <f t="shared" si="86"/>
        <v>44705</v>
      </c>
      <c r="G447" s="72">
        <f t="shared" si="87"/>
        <v>-16654</v>
      </c>
      <c r="H447" s="68">
        <f t="shared" si="88"/>
        <v>16737</v>
      </c>
      <c r="I447" s="68">
        <f t="shared" si="89"/>
        <v>-591</v>
      </c>
      <c r="J447" s="68">
        <f t="shared" si="90"/>
        <v>-1885</v>
      </c>
      <c r="K447" s="68">
        <f t="shared" si="91"/>
        <v>-48</v>
      </c>
      <c r="L447" s="68">
        <f t="shared" si="92"/>
        <v>169</v>
      </c>
      <c r="M447" s="68">
        <f t="shared" si="93"/>
        <v>657</v>
      </c>
      <c r="N447" s="68">
        <f t="shared" si="94"/>
        <v>38</v>
      </c>
      <c r="O447" s="68">
        <f t="shared" si="95"/>
        <v>188</v>
      </c>
      <c r="P447" s="68">
        <f t="shared" si="96"/>
        <v>290</v>
      </c>
      <c r="Q447" s="68" t="str">
        <f t="shared" si="97"/>
        <v/>
      </c>
      <c r="R447" s="69">
        <f t="shared" si="98"/>
        <v>508</v>
      </c>
      <c r="U447" s="5">
        <v>44705</v>
      </c>
      <c r="V447">
        <v>-16654</v>
      </c>
      <c r="W447">
        <v>16737</v>
      </c>
      <c r="X447">
        <v>-591</v>
      </c>
      <c r="Y447">
        <v>-1885</v>
      </c>
      <c r="Z447">
        <v>-48</v>
      </c>
      <c r="AA447">
        <v>169</v>
      </c>
      <c r="AB447">
        <v>657</v>
      </c>
      <c r="AC447">
        <v>38</v>
      </c>
      <c r="AD447">
        <v>188</v>
      </c>
      <c r="AE447">
        <v>290</v>
      </c>
      <c r="AF447">
        <v>0</v>
      </c>
      <c r="AG447">
        <v>508</v>
      </c>
    </row>
    <row r="448" spans="6:33">
      <c r="F448" s="74">
        <f t="shared" si="86"/>
        <v>44704</v>
      </c>
      <c r="G448" s="72">
        <f t="shared" si="87"/>
        <v>133</v>
      </c>
      <c r="H448" s="68">
        <f t="shared" si="88"/>
        <v>-2391</v>
      </c>
      <c r="I448" s="68">
        <f t="shared" si="89"/>
        <v>2214</v>
      </c>
      <c r="J448" s="68">
        <f t="shared" si="90"/>
        <v>6505</v>
      </c>
      <c r="K448" s="68">
        <f t="shared" si="91"/>
        <v>-211</v>
      </c>
      <c r="L448" s="68">
        <f t="shared" si="92"/>
        <v>-1362</v>
      </c>
      <c r="M448" s="68">
        <f t="shared" si="93"/>
        <v>-2166</v>
      </c>
      <c r="N448" s="68">
        <f t="shared" si="94"/>
        <v>-25</v>
      </c>
      <c r="O448" s="68">
        <f t="shared" si="95"/>
        <v>141</v>
      </c>
      <c r="P448" s="68">
        <f t="shared" si="96"/>
        <v>-668</v>
      </c>
      <c r="Q448" s="68" t="str">
        <f t="shared" si="97"/>
        <v/>
      </c>
      <c r="R448" s="69">
        <f t="shared" si="98"/>
        <v>41</v>
      </c>
      <c r="U448" s="5">
        <v>44704</v>
      </c>
      <c r="V448">
        <v>133</v>
      </c>
      <c r="W448">
        <v>-2391</v>
      </c>
      <c r="X448">
        <v>2214</v>
      </c>
      <c r="Y448">
        <v>6505</v>
      </c>
      <c r="Z448">
        <v>-211</v>
      </c>
      <c r="AA448">
        <v>-1362</v>
      </c>
      <c r="AB448">
        <v>-2166</v>
      </c>
      <c r="AC448">
        <v>-25</v>
      </c>
      <c r="AD448">
        <v>141</v>
      </c>
      <c r="AE448">
        <v>-668</v>
      </c>
      <c r="AF448">
        <v>0</v>
      </c>
      <c r="AG448">
        <v>41</v>
      </c>
    </row>
    <row r="449" spans="6:33">
      <c r="F449" s="74">
        <f t="shared" si="86"/>
        <v>44701</v>
      </c>
      <c r="G449" s="72">
        <f t="shared" si="87"/>
        <v>-2806</v>
      </c>
      <c r="H449" s="68">
        <f t="shared" si="88"/>
        <v>-7405</v>
      </c>
      <c r="I449" s="68">
        <f t="shared" si="89"/>
        <v>10950</v>
      </c>
      <c r="J449" s="68">
        <f t="shared" si="90"/>
        <v>13748</v>
      </c>
      <c r="K449" s="68">
        <f t="shared" si="91"/>
        <v>-331</v>
      </c>
      <c r="L449" s="68">
        <f t="shared" si="92"/>
        <v>-322</v>
      </c>
      <c r="M449" s="68">
        <f t="shared" si="93"/>
        <v>-866</v>
      </c>
      <c r="N449" s="68">
        <f t="shared" si="94"/>
        <v>-2551</v>
      </c>
      <c r="O449" s="68">
        <f t="shared" si="95"/>
        <v>636</v>
      </c>
      <c r="P449" s="68">
        <f t="shared" si="96"/>
        <v>636</v>
      </c>
      <c r="Q449" s="68" t="str">
        <f t="shared" si="97"/>
        <v/>
      </c>
      <c r="R449" s="69">
        <f t="shared" si="98"/>
        <v>-739</v>
      </c>
      <c r="U449" s="5">
        <v>44701</v>
      </c>
      <c r="V449">
        <v>-2806</v>
      </c>
      <c r="W449">
        <v>-7405</v>
      </c>
      <c r="X449">
        <v>10950</v>
      </c>
      <c r="Y449">
        <v>13748</v>
      </c>
      <c r="Z449">
        <v>-331</v>
      </c>
      <c r="AA449">
        <v>-322</v>
      </c>
      <c r="AB449">
        <v>-866</v>
      </c>
      <c r="AC449">
        <v>-2551</v>
      </c>
      <c r="AD449">
        <v>636</v>
      </c>
      <c r="AE449">
        <v>636</v>
      </c>
      <c r="AF449">
        <v>0</v>
      </c>
      <c r="AG449">
        <v>-739</v>
      </c>
    </row>
    <row r="450" spans="6:33">
      <c r="F450" s="74">
        <f t="shared" si="86"/>
        <v>44700</v>
      </c>
      <c r="G450" s="72">
        <f t="shared" si="87"/>
        <v>-13227</v>
      </c>
      <c r="H450" s="68">
        <f t="shared" si="88"/>
        <v>23005</v>
      </c>
      <c r="I450" s="68">
        <f t="shared" si="89"/>
        <v>-9817</v>
      </c>
      <c r="J450" s="68">
        <f t="shared" si="90"/>
        <v>-6003</v>
      </c>
      <c r="K450" s="68">
        <f t="shared" si="91"/>
        <v>-188</v>
      </c>
      <c r="L450" s="68">
        <f t="shared" si="92"/>
        <v>-645</v>
      </c>
      <c r="M450" s="68">
        <f t="shared" si="93"/>
        <v>-2486</v>
      </c>
      <c r="N450" s="68">
        <f t="shared" si="94"/>
        <v>58</v>
      </c>
      <c r="O450" s="68">
        <f t="shared" si="95"/>
        <v>-83</v>
      </c>
      <c r="P450" s="68">
        <f t="shared" si="96"/>
        <v>-470</v>
      </c>
      <c r="Q450" s="68" t="str">
        <f t="shared" si="97"/>
        <v/>
      </c>
      <c r="R450" s="69">
        <f t="shared" si="98"/>
        <v>40</v>
      </c>
      <c r="U450" s="5">
        <v>44700</v>
      </c>
      <c r="V450">
        <v>-13227</v>
      </c>
      <c r="W450">
        <v>23005</v>
      </c>
      <c r="X450">
        <v>-9817</v>
      </c>
      <c r="Y450">
        <v>-6003</v>
      </c>
      <c r="Z450">
        <v>-188</v>
      </c>
      <c r="AA450">
        <v>-645</v>
      </c>
      <c r="AB450">
        <v>-2486</v>
      </c>
      <c r="AC450">
        <v>58</v>
      </c>
      <c r="AD450">
        <v>-83</v>
      </c>
      <c r="AE450">
        <v>-470</v>
      </c>
      <c r="AF450">
        <v>0</v>
      </c>
      <c r="AG450">
        <v>40</v>
      </c>
    </row>
    <row r="451" spans="6:33">
      <c r="F451" s="74">
        <f t="shared" si="86"/>
        <v>44699</v>
      </c>
      <c r="G451" s="72">
        <f t="shared" si="87"/>
        <v>-22364</v>
      </c>
      <c r="H451" s="68">
        <f t="shared" si="88"/>
        <v>17396</v>
      </c>
      <c r="I451" s="68">
        <f t="shared" si="89"/>
        <v>4096</v>
      </c>
      <c r="J451" s="68">
        <f t="shared" si="90"/>
        <v>-5135</v>
      </c>
      <c r="K451" s="68">
        <f t="shared" si="91"/>
        <v>-301</v>
      </c>
      <c r="L451" s="68">
        <f t="shared" si="92"/>
        <v>484</v>
      </c>
      <c r="M451" s="68">
        <f t="shared" si="93"/>
        <v>27044</v>
      </c>
      <c r="N451" s="68">
        <f t="shared" si="94"/>
        <v>100</v>
      </c>
      <c r="O451" s="68">
        <f t="shared" si="95"/>
        <v>-57</v>
      </c>
      <c r="P451" s="68">
        <f t="shared" si="96"/>
        <v>-18039</v>
      </c>
      <c r="Q451" s="68" t="str">
        <f t="shared" si="97"/>
        <v/>
      </c>
      <c r="R451" s="69">
        <f t="shared" si="98"/>
        <v>872</v>
      </c>
      <c r="U451" s="5">
        <v>44699</v>
      </c>
      <c r="V451">
        <v>-22364</v>
      </c>
      <c r="W451">
        <v>17396</v>
      </c>
      <c r="X451">
        <v>4096</v>
      </c>
      <c r="Y451">
        <v>-5135</v>
      </c>
      <c r="Z451">
        <v>-301</v>
      </c>
      <c r="AA451">
        <v>484</v>
      </c>
      <c r="AB451">
        <v>27044</v>
      </c>
      <c r="AC451">
        <v>100</v>
      </c>
      <c r="AD451">
        <v>-57</v>
      </c>
      <c r="AE451">
        <v>-18039</v>
      </c>
      <c r="AF451">
        <v>0</v>
      </c>
      <c r="AG451">
        <v>872</v>
      </c>
    </row>
    <row r="452" spans="6:33">
      <c r="F452" s="74">
        <f t="shared" si="86"/>
        <v>44698</v>
      </c>
      <c r="G452" s="72">
        <f t="shared" si="87"/>
        <v>-12711</v>
      </c>
      <c r="H452" s="68">
        <f t="shared" si="88"/>
        <v>12623</v>
      </c>
      <c r="I452" s="68">
        <f t="shared" si="89"/>
        <v>4564</v>
      </c>
      <c r="J452" s="68">
        <f t="shared" si="90"/>
        <v>8934</v>
      </c>
      <c r="K452" s="68">
        <f t="shared" si="91"/>
        <v>-595</v>
      </c>
      <c r="L452" s="68">
        <f t="shared" si="92"/>
        <v>-2543</v>
      </c>
      <c r="M452" s="68">
        <f t="shared" si="93"/>
        <v>-474</v>
      </c>
      <c r="N452" s="68">
        <f t="shared" si="94"/>
        <v>-95</v>
      </c>
      <c r="O452" s="68">
        <f t="shared" si="95"/>
        <v>-2</v>
      </c>
      <c r="P452" s="68">
        <f t="shared" si="96"/>
        <v>-661</v>
      </c>
      <c r="Q452" s="68" t="str">
        <f t="shared" si="97"/>
        <v/>
      </c>
      <c r="R452" s="69">
        <f t="shared" si="98"/>
        <v>-4477</v>
      </c>
      <c r="U452" s="5">
        <v>44698</v>
      </c>
      <c r="V452">
        <v>-12711</v>
      </c>
      <c r="W452">
        <v>12623</v>
      </c>
      <c r="X452">
        <v>4564</v>
      </c>
      <c r="Y452">
        <v>8934</v>
      </c>
      <c r="Z452">
        <v>-595</v>
      </c>
      <c r="AA452">
        <v>-2543</v>
      </c>
      <c r="AB452">
        <v>-474</v>
      </c>
      <c r="AC452">
        <v>-95</v>
      </c>
      <c r="AD452">
        <v>-2</v>
      </c>
      <c r="AE452">
        <v>-661</v>
      </c>
      <c r="AF452">
        <v>0</v>
      </c>
      <c r="AG452">
        <v>-4477</v>
      </c>
    </row>
    <row r="453" spans="6:33">
      <c r="F453" s="74">
        <f t="shared" si="86"/>
        <v>44697</v>
      </c>
      <c r="G453" s="72">
        <f t="shared" si="87"/>
        <v>15437</v>
      </c>
      <c r="H453" s="68">
        <f t="shared" si="88"/>
        <v>-13610</v>
      </c>
      <c r="I453" s="68">
        <f t="shared" si="89"/>
        <v>-2152</v>
      </c>
      <c r="J453" s="68">
        <f t="shared" si="90"/>
        <v>-2273</v>
      </c>
      <c r="K453" s="68">
        <f t="shared" si="91"/>
        <v>-414</v>
      </c>
      <c r="L453" s="68">
        <f t="shared" si="92"/>
        <v>-406</v>
      </c>
      <c r="M453" s="68">
        <f t="shared" si="93"/>
        <v>440</v>
      </c>
      <c r="N453" s="68">
        <f t="shared" si="94"/>
        <v>20</v>
      </c>
      <c r="O453" s="68">
        <f t="shared" si="95"/>
        <v>-52</v>
      </c>
      <c r="P453" s="68">
        <f t="shared" si="96"/>
        <v>533</v>
      </c>
      <c r="Q453" s="68" t="str">
        <f t="shared" si="97"/>
        <v/>
      </c>
      <c r="R453" s="69">
        <f t="shared" si="98"/>
        <v>324</v>
      </c>
      <c r="U453" s="5">
        <v>44697</v>
      </c>
      <c r="V453">
        <v>15437</v>
      </c>
      <c r="W453">
        <v>-13610</v>
      </c>
      <c r="X453">
        <v>-2152</v>
      </c>
      <c r="Y453">
        <v>-2273</v>
      </c>
      <c r="Z453">
        <v>-414</v>
      </c>
      <c r="AA453">
        <v>-406</v>
      </c>
      <c r="AB453">
        <v>440</v>
      </c>
      <c r="AC453">
        <v>20</v>
      </c>
      <c r="AD453">
        <v>-52</v>
      </c>
      <c r="AE453">
        <v>533</v>
      </c>
      <c r="AF453">
        <v>0</v>
      </c>
      <c r="AG453">
        <v>324</v>
      </c>
    </row>
    <row r="454" spans="6:33">
      <c r="F454" s="74">
        <f t="shared" si="86"/>
        <v>44694</v>
      </c>
      <c r="G454" s="72">
        <f t="shared" si="87"/>
        <v>9523</v>
      </c>
      <c r="H454" s="68">
        <f t="shared" si="88"/>
        <v>-23622</v>
      </c>
      <c r="I454" s="68">
        <f t="shared" si="89"/>
        <v>17121</v>
      </c>
      <c r="J454" s="68">
        <f t="shared" si="90"/>
        <v>12635</v>
      </c>
      <c r="K454" s="68">
        <f t="shared" si="91"/>
        <v>-515</v>
      </c>
      <c r="L454" s="68">
        <f t="shared" si="92"/>
        <v>818</v>
      </c>
      <c r="M454" s="68">
        <f t="shared" si="93"/>
        <v>1282</v>
      </c>
      <c r="N454" s="68">
        <f t="shared" si="94"/>
        <v>-3</v>
      </c>
      <c r="O454" s="68">
        <f t="shared" si="95"/>
        <v>-146</v>
      </c>
      <c r="P454" s="68">
        <f t="shared" si="96"/>
        <v>3050</v>
      </c>
      <c r="Q454" s="68" t="str">
        <f t="shared" si="97"/>
        <v/>
      </c>
      <c r="R454" s="69">
        <f t="shared" si="98"/>
        <v>-3022</v>
      </c>
      <c r="U454" s="5">
        <v>44694</v>
      </c>
      <c r="V454">
        <v>9523</v>
      </c>
      <c r="W454">
        <v>-23622</v>
      </c>
      <c r="X454">
        <v>17121</v>
      </c>
      <c r="Y454">
        <v>12635</v>
      </c>
      <c r="Z454">
        <v>-515</v>
      </c>
      <c r="AA454">
        <v>818</v>
      </c>
      <c r="AB454">
        <v>1282</v>
      </c>
      <c r="AC454">
        <v>-3</v>
      </c>
      <c r="AD454">
        <v>-146</v>
      </c>
      <c r="AE454">
        <v>3050</v>
      </c>
      <c r="AF454">
        <v>0</v>
      </c>
      <c r="AG454">
        <v>-3022</v>
      </c>
    </row>
    <row r="455" spans="6:33">
      <c r="F455" s="74">
        <f t="shared" si="86"/>
        <v>44693</v>
      </c>
      <c r="G455" s="72">
        <f t="shared" si="87"/>
        <v>-6753</v>
      </c>
      <c r="H455" s="68">
        <f t="shared" si="88"/>
        <v>10469</v>
      </c>
      <c r="I455" s="68">
        <f t="shared" si="89"/>
        <v>-1986</v>
      </c>
      <c r="J455" s="68">
        <f t="shared" si="90"/>
        <v>-2203</v>
      </c>
      <c r="K455" s="68">
        <f t="shared" si="91"/>
        <v>-102</v>
      </c>
      <c r="L455" s="68">
        <f t="shared" si="92"/>
        <v>1166</v>
      </c>
      <c r="M455" s="68">
        <f t="shared" si="93"/>
        <v>-742</v>
      </c>
      <c r="N455" s="68">
        <f t="shared" si="94"/>
        <v>-51</v>
      </c>
      <c r="O455" s="68">
        <f t="shared" si="95"/>
        <v>86</v>
      </c>
      <c r="P455" s="68">
        <f t="shared" si="96"/>
        <v>-140</v>
      </c>
      <c r="Q455" s="68" t="str">
        <f t="shared" si="97"/>
        <v/>
      </c>
      <c r="R455" s="69">
        <f t="shared" si="98"/>
        <v>-1729</v>
      </c>
      <c r="U455" s="5">
        <v>44693</v>
      </c>
      <c r="V455">
        <v>-6753</v>
      </c>
      <c r="W455">
        <v>10469</v>
      </c>
      <c r="X455">
        <v>-1986</v>
      </c>
      <c r="Y455">
        <v>-2203</v>
      </c>
      <c r="Z455">
        <v>-102</v>
      </c>
      <c r="AA455">
        <v>1166</v>
      </c>
      <c r="AB455">
        <v>-742</v>
      </c>
      <c r="AC455">
        <v>-51</v>
      </c>
      <c r="AD455">
        <v>86</v>
      </c>
      <c r="AE455">
        <v>-140</v>
      </c>
      <c r="AF455">
        <v>0</v>
      </c>
      <c r="AG455">
        <v>-1729</v>
      </c>
    </row>
    <row r="456" spans="6:33">
      <c r="F456" s="74">
        <f t="shared" si="86"/>
        <v>44692</v>
      </c>
      <c r="G456" s="72">
        <f t="shared" si="87"/>
        <v>-14644</v>
      </c>
      <c r="H456" s="68">
        <f t="shared" si="88"/>
        <v>18070</v>
      </c>
      <c r="I456" s="68">
        <f t="shared" si="89"/>
        <v>-4060</v>
      </c>
      <c r="J456" s="68">
        <f t="shared" si="90"/>
        <v>-2583</v>
      </c>
      <c r="K456" s="68">
        <f t="shared" si="91"/>
        <v>-458</v>
      </c>
      <c r="L456" s="68">
        <f t="shared" si="92"/>
        <v>264</v>
      </c>
      <c r="M456" s="68">
        <f t="shared" si="93"/>
        <v>-1008</v>
      </c>
      <c r="N456" s="68">
        <f t="shared" si="94"/>
        <v>51</v>
      </c>
      <c r="O456" s="68">
        <f t="shared" si="95"/>
        <v>197</v>
      </c>
      <c r="P456" s="68">
        <f t="shared" si="96"/>
        <v>-523</v>
      </c>
      <c r="Q456" s="68" t="str">
        <f t="shared" si="97"/>
        <v/>
      </c>
      <c r="R456" s="69">
        <f t="shared" si="98"/>
        <v>633</v>
      </c>
      <c r="U456" s="5">
        <v>44692</v>
      </c>
      <c r="V456">
        <v>-14644</v>
      </c>
      <c r="W456">
        <v>18070</v>
      </c>
      <c r="X456">
        <v>-4060</v>
      </c>
      <c r="Y456">
        <v>-2583</v>
      </c>
      <c r="Z456">
        <v>-458</v>
      </c>
      <c r="AA456">
        <v>264</v>
      </c>
      <c r="AB456">
        <v>-1008</v>
      </c>
      <c r="AC456">
        <v>51</v>
      </c>
      <c r="AD456">
        <v>197</v>
      </c>
      <c r="AE456">
        <v>-523</v>
      </c>
      <c r="AF456">
        <v>0</v>
      </c>
      <c r="AG456">
        <v>633</v>
      </c>
    </row>
    <row r="457" spans="6:33">
      <c r="F457" s="74">
        <f t="shared" si="86"/>
        <v>44691</v>
      </c>
      <c r="G457" s="72">
        <f t="shared" si="87"/>
        <v>-8201</v>
      </c>
      <c r="H457" s="68">
        <f t="shared" si="88"/>
        <v>12043</v>
      </c>
      <c r="I457" s="68">
        <f t="shared" si="89"/>
        <v>-4615</v>
      </c>
      <c r="J457" s="68">
        <f t="shared" si="90"/>
        <v>-370</v>
      </c>
      <c r="K457" s="68">
        <f t="shared" si="91"/>
        <v>-561</v>
      </c>
      <c r="L457" s="68">
        <f t="shared" si="92"/>
        <v>-159</v>
      </c>
      <c r="M457" s="68">
        <f t="shared" si="93"/>
        <v>-2036</v>
      </c>
      <c r="N457" s="68">
        <f t="shared" si="94"/>
        <v>371</v>
      </c>
      <c r="O457" s="68">
        <f t="shared" si="95"/>
        <v>-210</v>
      </c>
      <c r="P457" s="68">
        <f t="shared" si="96"/>
        <v>-1650</v>
      </c>
      <c r="Q457" s="68" t="str">
        <f t="shared" si="97"/>
        <v/>
      </c>
      <c r="R457" s="69">
        <f t="shared" si="98"/>
        <v>774</v>
      </c>
      <c r="U457" s="5">
        <v>44691</v>
      </c>
      <c r="V457">
        <v>-8201</v>
      </c>
      <c r="W457">
        <v>12043</v>
      </c>
      <c r="X457">
        <v>-4615</v>
      </c>
      <c r="Y457">
        <v>-370</v>
      </c>
      <c r="Z457">
        <v>-561</v>
      </c>
      <c r="AA457">
        <v>-159</v>
      </c>
      <c r="AB457">
        <v>-2036</v>
      </c>
      <c r="AC457">
        <v>371</v>
      </c>
      <c r="AD457">
        <v>-210</v>
      </c>
      <c r="AE457">
        <v>-1650</v>
      </c>
      <c r="AF457">
        <v>0</v>
      </c>
      <c r="AG457">
        <v>774</v>
      </c>
    </row>
    <row r="458" spans="6:33">
      <c r="F458" s="74">
        <f t="shared" si="86"/>
        <v>44690</v>
      </c>
      <c r="G458" s="72">
        <f t="shared" si="87"/>
        <v>-27497</v>
      </c>
      <c r="H458" s="68">
        <f t="shared" si="88"/>
        <v>28592</v>
      </c>
      <c r="I458" s="68">
        <f t="shared" si="89"/>
        <v>-2911</v>
      </c>
      <c r="J458" s="68">
        <f t="shared" si="90"/>
        <v>5806</v>
      </c>
      <c r="K458" s="68">
        <f t="shared" si="91"/>
        <v>-5152</v>
      </c>
      <c r="L458" s="68">
        <f t="shared" si="92"/>
        <v>-512</v>
      </c>
      <c r="M458" s="68">
        <f t="shared" si="93"/>
        <v>-1362</v>
      </c>
      <c r="N458" s="68">
        <f t="shared" si="94"/>
        <v>124</v>
      </c>
      <c r="O458" s="68">
        <f t="shared" si="95"/>
        <v>-227</v>
      </c>
      <c r="P458" s="68">
        <f t="shared" si="96"/>
        <v>-1588</v>
      </c>
      <c r="Q458" s="68" t="str">
        <f t="shared" si="97"/>
        <v/>
      </c>
      <c r="R458" s="69">
        <f t="shared" si="98"/>
        <v>1816</v>
      </c>
      <c r="U458" s="5">
        <v>44690</v>
      </c>
      <c r="V458">
        <v>-27497</v>
      </c>
      <c r="W458">
        <v>28592</v>
      </c>
      <c r="X458">
        <v>-2911</v>
      </c>
      <c r="Y458">
        <v>5806</v>
      </c>
      <c r="Z458">
        <v>-5152</v>
      </c>
      <c r="AA458">
        <v>-512</v>
      </c>
      <c r="AB458">
        <v>-1362</v>
      </c>
      <c r="AC458">
        <v>124</v>
      </c>
      <c r="AD458">
        <v>-227</v>
      </c>
      <c r="AE458">
        <v>-1588</v>
      </c>
      <c r="AF458">
        <v>0</v>
      </c>
      <c r="AG458">
        <v>1816</v>
      </c>
    </row>
    <row r="459" spans="6:33">
      <c r="F459" s="74">
        <f t="shared" si="86"/>
        <v>44687</v>
      </c>
      <c r="G459" s="72">
        <f t="shared" si="87"/>
        <v>-1687</v>
      </c>
      <c r="H459" s="68">
        <f t="shared" si="88"/>
        <v>7741</v>
      </c>
      <c r="I459" s="68">
        <f t="shared" si="89"/>
        <v>-4398</v>
      </c>
      <c r="J459" s="68">
        <f t="shared" si="90"/>
        <v>-3172</v>
      </c>
      <c r="K459" s="68">
        <f t="shared" si="91"/>
        <v>-119</v>
      </c>
      <c r="L459" s="68">
        <f t="shared" si="92"/>
        <v>-58</v>
      </c>
      <c r="M459" s="68">
        <f t="shared" si="93"/>
        <v>-1690</v>
      </c>
      <c r="N459" s="68">
        <f t="shared" si="94"/>
        <v>99</v>
      </c>
      <c r="O459" s="68">
        <f t="shared" si="95"/>
        <v>-162</v>
      </c>
      <c r="P459" s="68">
        <f t="shared" si="96"/>
        <v>704</v>
      </c>
      <c r="Q459" s="68" t="str">
        <f t="shared" si="97"/>
        <v/>
      </c>
      <c r="R459" s="69">
        <f t="shared" si="98"/>
        <v>-1658</v>
      </c>
      <c r="U459" s="5">
        <v>44687</v>
      </c>
      <c r="V459">
        <v>-1687</v>
      </c>
      <c r="W459">
        <v>7741</v>
      </c>
      <c r="X459">
        <v>-4398</v>
      </c>
      <c r="Y459">
        <v>-3172</v>
      </c>
      <c r="Z459">
        <v>-119</v>
      </c>
      <c r="AA459">
        <v>-58</v>
      </c>
      <c r="AB459">
        <v>-1690</v>
      </c>
      <c r="AC459">
        <v>99</v>
      </c>
      <c r="AD459">
        <v>-162</v>
      </c>
      <c r="AE459">
        <v>704</v>
      </c>
      <c r="AF459">
        <v>0</v>
      </c>
      <c r="AG459">
        <v>-1658</v>
      </c>
    </row>
    <row r="460" spans="6:33">
      <c r="F460" s="74">
        <f t="shared" si="86"/>
        <v>44685</v>
      </c>
      <c r="G460" s="72">
        <f t="shared" si="87"/>
        <v>-195</v>
      </c>
      <c r="H460" s="68">
        <f t="shared" si="88"/>
        <v>3339</v>
      </c>
      <c r="I460" s="68">
        <f t="shared" si="89"/>
        <v>-1763</v>
      </c>
      <c r="J460" s="68">
        <f t="shared" si="90"/>
        <v>1348</v>
      </c>
      <c r="K460" s="68">
        <f t="shared" si="91"/>
        <v>-105</v>
      </c>
      <c r="L460" s="68">
        <f t="shared" si="92"/>
        <v>-1064</v>
      </c>
      <c r="M460" s="68">
        <f t="shared" si="93"/>
        <v>-1007</v>
      </c>
      <c r="N460" s="68">
        <f t="shared" si="94"/>
        <v>31</v>
      </c>
      <c r="O460" s="68">
        <f t="shared" si="95"/>
        <v>-639</v>
      </c>
      <c r="P460" s="68">
        <f t="shared" si="96"/>
        <v>-327</v>
      </c>
      <c r="Q460" s="68" t="str">
        <f t="shared" si="97"/>
        <v/>
      </c>
      <c r="R460" s="69">
        <f t="shared" si="98"/>
        <v>-1380</v>
      </c>
      <c r="U460" s="5">
        <v>44685</v>
      </c>
      <c r="V460">
        <v>-195</v>
      </c>
      <c r="W460">
        <v>3339</v>
      </c>
      <c r="X460">
        <v>-1763</v>
      </c>
      <c r="Y460">
        <v>1348</v>
      </c>
      <c r="Z460">
        <v>-105</v>
      </c>
      <c r="AA460">
        <v>-1064</v>
      </c>
      <c r="AB460">
        <v>-1007</v>
      </c>
      <c r="AC460">
        <v>31</v>
      </c>
      <c r="AD460">
        <v>-639</v>
      </c>
      <c r="AE460">
        <v>-327</v>
      </c>
      <c r="AF460">
        <v>0</v>
      </c>
      <c r="AG460">
        <v>-1380</v>
      </c>
    </row>
    <row r="461" spans="6:33">
      <c r="F461" s="74">
        <f t="shared" si="86"/>
        <v>44684</v>
      </c>
      <c r="G461" s="72">
        <f t="shared" si="87"/>
        <v>-717</v>
      </c>
      <c r="H461" s="68">
        <f t="shared" si="88"/>
        <v>4725</v>
      </c>
      <c r="I461" s="68">
        <f t="shared" si="89"/>
        <v>-2754</v>
      </c>
      <c r="J461" s="68">
        <f t="shared" si="90"/>
        <v>-2733</v>
      </c>
      <c r="K461" s="68">
        <f t="shared" si="91"/>
        <v>-387</v>
      </c>
      <c r="L461" s="68">
        <f t="shared" si="92"/>
        <v>1413</v>
      </c>
      <c r="M461" s="68">
        <f t="shared" si="93"/>
        <v>343</v>
      </c>
      <c r="N461" s="68">
        <f t="shared" si="94"/>
        <v>163</v>
      </c>
      <c r="O461" s="68">
        <f t="shared" si="95"/>
        <v>-3</v>
      </c>
      <c r="P461" s="68">
        <f t="shared" si="96"/>
        <v>-1550</v>
      </c>
      <c r="Q461" s="68" t="str">
        <f t="shared" si="97"/>
        <v/>
      </c>
      <c r="R461" s="69">
        <f t="shared" si="98"/>
        <v>-1254</v>
      </c>
      <c r="U461" s="5">
        <v>44684</v>
      </c>
      <c r="V461">
        <v>-717</v>
      </c>
      <c r="W461">
        <v>4725</v>
      </c>
      <c r="X461">
        <v>-2754</v>
      </c>
      <c r="Y461">
        <v>-2733</v>
      </c>
      <c r="Z461">
        <v>-387</v>
      </c>
      <c r="AA461">
        <v>1413</v>
      </c>
      <c r="AB461">
        <v>343</v>
      </c>
      <c r="AC461">
        <v>163</v>
      </c>
      <c r="AD461">
        <v>-3</v>
      </c>
      <c r="AE461">
        <v>-1550</v>
      </c>
      <c r="AF461">
        <v>0</v>
      </c>
      <c r="AG461">
        <v>-1254</v>
      </c>
    </row>
    <row r="462" spans="6:33">
      <c r="F462" s="74">
        <f t="shared" si="86"/>
        <v>44683</v>
      </c>
      <c r="G462" s="72">
        <f t="shared" si="87"/>
        <v>4443</v>
      </c>
      <c r="H462" s="68">
        <f t="shared" si="88"/>
        <v>-2283</v>
      </c>
      <c r="I462" s="68">
        <f t="shared" si="89"/>
        <v>-676</v>
      </c>
      <c r="J462" s="68">
        <f t="shared" si="90"/>
        <v>-584</v>
      </c>
      <c r="K462" s="68">
        <f t="shared" si="91"/>
        <v>-469</v>
      </c>
      <c r="L462" s="68">
        <f t="shared" si="92"/>
        <v>1285</v>
      </c>
      <c r="M462" s="68">
        <f t="shared" si="93"/>
        <v>-990</v>
      </c>
      <c r="N462" s="68">
        <f t="shared" si="94"/>
        <v>238</v>
      </c>
      <c r="O462" s="68">
        <f t="shared" si="95"/>
        <v>-141</v>
      </c>
      <c r="P462" s="68">
        <f t="shared" si="96"/>
        <v>-15</v>
      </c>
      <c r="Q462" s="68" t="str">
        <f t="shared" si="97"/>
        <v/>
      </c>
      <c r="R462" s="69">
        <f t="shared" si="98"/>
        <v>-1485</v>
      </c>
      <c r="U462" s="5">
        <v>44683</v>
      </c>
      <c r="V462">
        <v>4443</v>
      </c>
      <c r="W462">
        <v>-2283</v>
      </c>
      <c r="X462">
        <v>-676</v>
      </c>
      <c r="Y462">
        <v>-584</v>
      </c>
      <c r="Z462">
        <v>-469</v>
      </c>
      <c r="AA462">
        <v>1285</v>
      </c>
      <c r="AB462">
        <v>-990</v>
      </c>
      <c r="AC462">
        <v>238</v>
      </c>
      <c r="AD462">
        <v>-141</v>
      </c>
      <c r="AE462">
        <v>-15</v>
      </c>
      <c r="AF462">
        <v>0</v>
      </c>
      <c r="AG462">
        <v>-1485</v>
      </c>
    </row>
    <row r="463" spans="6:33">
      <c r="F463" s="74">
        <f t="shared" si="86"/>
        <v>44680</v>
      </c>
      <c r="G463" s="72">
        <f t="shared" si="87"/>
        <v>8040</v>
      </c>
      <c r="H463" s="68">
        <f t="shared" si="88"/>
        <v>-12357</v>
      </c>
      <c r="I463" s="68">
        <f t="shared" si="89"/>
        <v>6971</v>
      </c>
      <c r="J463" s="68">
        <f t="shared" si="90"/>
        <v>4841</v>
      </c>
      <c r="K463" s="68">
        <f t="shared" si="91"/>
        <v>-273</v>
      </c>
      <c r="L463" s="68">
        <f t="shared" si="92"/>
        <v>853</v>
      </c>
      <c r="M463" s="68">
        <f t="shared" si="93"/>
        <v>1972</v>
      </c>
      <c r="N463" s="68">
        <f t="shared" si="94"/>
        <v>-623</v>
      </c>
      <c r="O463" s="68">
        <f t="shared" si="95"/>
        <v>-340</v>
      </c>
      <c r="P463" s="68">
        <f t="shared" si="96"/>
        <v>541</v>
      </c>
      <c r="Q463" s="68" t="str">
        <f t="shared" si="97"/>
        <v/>
      </c>
      <c r="R463" s="69">
        <f t="shared" si="98"/>
        <v>-2656</v>
      </c>
      <c r="U463" s="5">
        <v>44680</v>
      </c>
      <c r="V463">
        <v>8040</v>
      </c>
      <c r="W463">
        <v>-12357</v>
      </c>
      <c r="X463">
        <v>6971</v>
      </c>
      <c r="Y463">
        <v>4841</v>
      </c>
      <c r="Z463">
        <v>-273</v>
      </c>
      <c r="AA463">
        <v>853</v>
      </c>
      <c r="AB463">
        <v>1972</v>
      </c>
      <c r="AC463">
        <v>-623</v>
      </c>
      <c r="AD463">
        <v>-340</v>
      </c>
      <c r="AE463">
        <v>541</v>
      </c>
      <c r="AF463">
        <v>0</v>
      </c>
      <c r="AG463">
        <v>-2656</v>
      </c>
    </row>
    <row r="464" spans="6:33">
      <c r="F464" s="74">
        <f t="shared" si="86"/>
        <v>44679</v>
      </c>
      <c r="G464" s="72">
        <f t="shared" si="87"/>
        <v>-3008</v>
      </c>
      <c r="H464" s="68">
        <f t="shared" si="88"/>
        <v>1804</v>
      </c>
      <c r="I464" s="68">
        <f t="shared" si="89"/>
        <v>2509</v>
      </c>
      <c r="J464" s="68">
        <f t="shared" si="90"/>
        <v>-261</v>
      </c>
      <c r="K464" s="68">
        <f t="shared" si="91"/>
        <v>-839</v>
      </c>
      <c r="L464" s="68">
        <f t="shared" si="92"/>
        <v>2993</v>
      </c>
      <c r="M464" s="68">
        <f t="shared" si="93"/>
        <v>1488</v>
      </c>
      <c r="N464" s="68">
        <f t="shared" si="94"/>
        <v>-198</v>
      </c>
      <c r="O464" s="68">
        <f t="shared" si="95"/>
        <v>-556</v>
      </c>
      <c r="P464" s="68">
        <f t="shared" si="96"/>
        <v>-118</v>
      </c>
      <c r="Q464" s="68" t="str">
        <f t="shared" si="97"/>
        <v/>
      </c>
      <c r="R464" s="69">
        <f t="shared" si="98"/>
        <v>-1305</v>
      </c>
      <c r="U464" s="5">
        <v>44679</v>
      </c>
      <c r="V464">
        <v>-3008</v>
      </c>
      <c r="W464">
        <v>1804</v>
      </c>
      <c r="X464">
        <v>2509</v>
      </c>
      <c r="Y464">
        <v>-261</v>
      </c>
      <c r="Z464">
        <v>-839</v>
      </c>
      <c r="AA464">
        <v>2993</v>
      </c>
      <c r="AB464">
        <v>1488</v>
      </c>
      <c r="AC464">
        <v>-198</v>
      </c>
      <c r="AD464">
        <v>-556</v>
      </c>
      <c r="AE464">
        <v>-118</v>
      </c>
      <c r="AF464">
        <v>0</v>
      </c>
      <c r="AG464">
        <v>-1305</v>
      </c>
    </row>
    <row r="465" spans="6:33">
      <c r="F465" s="74">
        <f t="shared" si="86"/>
        <v>44678</v>
      </c>
      <c r="G465" s="72">
        <f t="shared" si="87"/>
        <v>-11512</v>
      </c>
      <c r="H465" s="68">
        <f t="shared" si="88"/>
        <v>17314</v>
      </c>
      <c r="I465" s="68">
        <f t="shared" si="89"/>
        <v>-5357</v>
      </c>
      <c r="J465" s="68">
        <f t="shared" si="90"/>
        <v>-670</v>
      </c>
      <c r="K465" s="68">
        <f t="shared" si="91"/>
        <v>-676</v>
      </c>
      <c r="L465" s="68">
        <f t="shared" si="92"/>
        <v>-1233</v>
      </c>
      <c r="M465" s="68">
        <f t="shared" si="93"/>
        <v>-1172</v>
      </c>
      <c r="N465" s="68">
        <f t="shared" si="94"/>
        <v>-63</v>
      </c>
      <c r="O465" s="68">
        <f t="shared" si="95"/>
        <v>-615</v>
      </c>
      <c r="P465" s="68">
        <f t="shared" si="96"/>
        <v>-928</v>
      </c>
      <c r="Q465" s="68" t="str">
        <f t="shared" si="97"/>
        <v/>
      </c>
      <c r="R465" s="69">
        <f t="shared" si="98"/>
        <v>-446</v>
      </c>
      <c r="U465" s="5">
        <v>44678</v>
      </c>
      <c r="V465">
        <v>-11512</v>
      </c>
      <c r="W465">
        <v>17314</v>
      </c>
      <c r="X465">
        <v>-5357</v>
      </c>
      <c r="Y465">
        <v>-670</v>
      </c>
      <c r="Z465">
        <v>-676</v>
      </c>
      <c r="AA465">
        <v>-1233</v>
      </c>
      <c r="AB465">
        <v>-1172</v>
      </c>
      <c r="AC465">
        <v>-63</v>
      </c>
      <c r="AD465">
        <v>-615</v>
      </c>
      <c r="AE465">
        <v>-928</v>
      </c>
      <c r="AF465">
        <v>0</v>
      </c>
      <c r="AG465">
        <v>-446</v>
      </c>
    </row>
    <row r="466" spans="6:33">
      <c r="F466" s="74">
        <f t="shared" si="86"/>
        <v>44677</v>
      </c>
      <c r="G466" s="72">
        <f t="shared" si="87"/>
        <v>-471</v>
      </c>
      <c r="H466" s="68">
        <f t="shared" si="88"/>
        <v>1266</v>
      </c>
      <c r="I466" s="68">
        <f t="shared" si="89"/>
        <v>-1086</v>
      </c>
      <c r="J466" s="68">
        <f t="shared" si="90"/>
        <v>2680</v>
      </c>
      <c r="K466" s="68">
        <f t="shared" si="91"/>
        <v>-976</v>
      </c>
      <c r="L466" s="68">
        <f t="shared" si="92"/>
        <v>-2234</v>
      </c>
      <c r="M466" s="68">
        <f t="shared" si="93"/>
        <v>-2615</v>
      </c>
      <c r="N466" s="68">
        <f t="shared" si="94"/>
        <v>-10</v>
      </c>
      <c r="O466" s="68">
        <f t="shared" si="95"/>
        <v>-56</v>
      </c>
      <c r="P466" s="68">
        <f t="shared" si="96"/>
        <v>2125</v>
      </c>
      <c r="Q466" s="68" t="str">
        <f t="shared" si="97"/>
        <v/>
      </c>
      <c r="R466" s="69">
        <f t="shared" si="98"/>
        <v>290</v>
      </c>
      <c r="U466" s="5">
        <v>44677</v>
      </c>
      <c r="V466">
        <v>-471</v>
      </c>
      <c r="W466">
        <v>1266</v>
      </c>
      <c r="X466">
        <v>-1086</v>
      </c>
      <c r="Y466">
        <v>2680</v>
      </c>
      <c r="Z466">
        <v>-976</v>
      </c>
      <c r="AA466">
        <v>-2234</v>
      </c>
      <c r="AB466">
        <v>-2615</v>
      </c>
      <c r="AC466">
        <v>-10</v>
      </c>
      <c r="AD466">
        <v>-56</v>
      </c>
      <c r="AE466">
        <v>2125</v>
      </c>
      <c r="AF466">
        <v>0</v>
      </c>
      <c r="AG466">
        <v>290</v>
      </c>
    </row>
    <row r="467" spans="6:33">
      <c r="F467" s="74">
        <f t="shared" ref="F467:F530" si="99">IF(U467=0,"",U467)</f>
        <v>44676</v>
      </c>
      <c r="G467" s="72">
        <f t="shared" ref="G467:G530" si="100">IF(IF($B$17=3,V467/1000,V467)=0,"",IF($B$17=3,V467/1000,V467))</f>
        <v>-18488</v>
      </c>
      <c r="H467" s="68">
        <f t="shared" ref="H467:H530" si="101">IF(IF($B$17=3,W467/1000,W467)=0,"",IF($B$17=3,W467/1000,W467))</f>
        <v>27733</v>
      </c>
      <c r="I467" s="68">
        <f t="shared" ref="I467:I530" si="102">IF(IF($B$17=3,X467/1000,X467)=0,"",IF($B$17=3,X467/1000,X467))</f>
        <v>-4693</v>
      </c>
      <c r="J467" s="68">
        <f t="shared" ref="J467:J530" si="103">IF(IF($B$17=3,Y467/1000,Y467)=0,"",IF($B$17=3,Y467/1000,Y467))</f>
        <v>-3150</v>
      </c>
      <c r="K467" s="68">
        <f t="shared" ref="K467:K530" si="104">IF(IF($B$17=3,Z467/1000,Z467)=0,"",IF($B$17=3,Z467/1000,Z467))</f>
        <v>-345</v>
      </c>
      <c r="L467" s="68">
        <f t="shared" ref="L467:L530" si="105">IF(IF($B$17=3,AA467/1000,AA467)=0,"",IF($B$17=3,AA467/1000,AA467))</f>
        <v>-243</v>
      </c>
      <c r="M467" s="68">
        <f t="shared" ref="M467:M530" si="106">IF(IF($B$17=3,AB467/1000,AB467)=0,"",IF($B$17=3,AB467/1000,AB467))</f>
        <v>-2287</v>
      </c>
      <c r="N467" s="68">
        <f t="shared" ref="N467:N530" si="107">IF(IF($B$17=3,AC467/1000,AC467)=0,"",IF($B$17=3,AC467/1000,AC467))</f>
        <v>-125</v>
      </c>
      <c r="O467" s="68">
        <f t="shared" ref="O467:O530" si="108">IF(IF($B$17=3,AD467/1000,AD467)=0,"",IF($B$17=3,AD467/1000,AD467))</f>
        <v>-21</v>
      </c>
      <c r="P467" s="68">
        <f t="shared" ref="P467:P530" si="109">IF(IF($B$17=3,AE467/1000,AE467)=0,"",IF($B$17=3,AE467/1000,AE467))</f>
        <v>1478</v>
      </c>
      <c r="Q467" s="68" t="str">
        <f t="shared" ref="Q467:Q530" si="110">IF(IF($B$17=3,AF467/1000,AF467)=0,"",IF($B$17=3,AF467/1000,AF467))</f>
        <v/>
      </c>
      <c r="R467" s="69">
        <f t="shared" ref="R467:R530" si="111">IF(IF($B$17=3,AG467/1000,AG467)=0,"",IF($B$17=3,AG467/1000,AG467))</f>
        <v>-4553</v>
      </c>
      <c r="U467" s="5">
        <v>44676</v>
      </c>
      <c r="V467">
        <v>-18488</v>
      </c>
      <c r="W467">
        <v>27733</v>
      </c>
      <c r="X467">
        <v>-4693</v>
      </c>
      <c r="Y467">
        <v>-3150</v>
      </c>
      <c r="Z467">
        <v>-345</v>
      </c>
      <c r="AA467">
        <v>-243</v>
      </c>
      <c r="AB467">
        <v>-2287</v>
      </c>
      <c r="AC467">
        <v>-125</v>
      </c>
      <c r="AD467">
        <v>-21</v>
      </c>
      <c r="AE467">
        <v>1478</v>
      </c>
      <c r="AF467">
        <v>0</v>
      </c>
      <c r="AG467">
        <v>-4553</v>
      </c>
    </row>
    <row r="468" spans="6:33">
      <c r="F468" s="74">
        <f t="shared" si="99"/>
        <v>44673</v>
      </c>
      <c r="G468" s="72">
        <f t="shared" si="100"/>
        <v>-8037</v>
      </c>
      <c r="H468" s="68">
        <f t="shared" si="101"/>
        <v>18453</v>
      </c>
      <c r="I468" s="68">
        <f t="shared" si="102"/>
        <v>-10484</v>
      </c>
      <c r="J468" s="68">
        <f t="shared" si="103"/>
        <v>-9862</v>
      </c>
      <c r="K468" s="68">
        <f t="shared" si="104"/>
        <v>-534</v>
      </c>
      <c r="L468" s="68">
        <f t="shared" si="105"/>
        <v>508</v>
      </c>
      <c r="M468" s="68">
        <f t="shared" si="106"/>
        <v>455</v>
      </c>
      <c r="N468" s="68">
        <f t="shared" si="107"/>
        <v>4</v>
      </c>
      <c r="O468" s="68">
        <f t="shared" si="108"/>
        <v>-3</v>
      </c>
      <c r="P468" s="68">
        <f t="shared" si="109"/>
        <v>-1052</v>
      </c>
      <c r="Q468" s="68" t="str">
        <f t="shared" si="110"/>
        <v/>
      </c>
      <c r="R468" s="69">
        <f t="shared" si="111"/>
        <v>68</v>
      </c>
      <c r="U468" s="5">
        <v>44673</v>
      </c>
      <c r="V468">
        <v>-8037</v>
      </c>
      <c r="W468">
        <v>18453</v>
      </c>
      <c r="X468">
        <v>-10484</v>
      </c>
      <c r="Y468">
        <v>-9862</v>
      </c>
      <c r="Z468">
        <v>-534</v>
      </c>
      <c r="AA468">
        <v>508</v>
      </c>
      <c r="AB468">
        <v>455</v>
      </c>
      <c r="AC468">
        <v>4</v>
      </c>
      <c r="AD468">
        <v>-3</v>
      </c>
      <c r="AE468">
        <v>-1052</v>
      </c>
      <c r="AF468">
        <v>0</v>
      </c>
      <c r="AG468">
        <v>68</v>
      </c>
    </row>
    <row r="469" spans="6:33">
      <c r="F469" s="74">
        <f t="shared" si="99"/>
        <v>44672</v>
      </c>
      <c r="G469" s="72">
        <f t="shared" si="100"/>
        <v>-6231</v>
      </c>
      <c r="H469" s="68">
        <f t="shared" si="101"/>
        <v>-4505</v>
      </c>
      <c r="I469" s="68">
        <f t="shared" si="102"/>
        <v>10608</v>
      </c>
      <c r="J469" s="68">
        <f t="shared" si="103"/>
        <v>8719</v>
      </c>
      <c r="K469" s="68">
        <f t="shared" si="104"/>
        <v>-246</v>
      </c>
      <c r="L469" s="68">
        <f t="shared" si="105"/>
        <v>-856</v>
      </c>
      <c r="M469" s="68">
        <f t="shared" si="106"/>
        <v>1136</v>
      </c>
      <c r="N469" s="68">
        <f t="shared" si="107"/>
        <v>86</v>
      </c>
      <c r="O469" s="68">
        <f t="shared" si="108"/>
        <v>-141</v>
      </c>
      <c r="P469" s="68">
        <f t="shared" si="109"/>
        <v>1910</v>
      </c>
      <c r="Q469" s="68" t="str">
        <f t="shared" si="110"/>
        <v/>
      </c>
      <c r="R469" s="69">
        <f t="shared" si="111"/>
        <v>130</v>
      </c>
      <c r="U469" s="5">
        <v>44672</v>
      </c>
      <c r="V469">
        <v>-6231</v>
      </c>
      <c r="W469">
        <v>-4505</v>
      </c>
      <c r="X469">
        <v>10608</v>
      </c>
      <c r="Y469">
        <v>8719</v>
      </c>
      <c r="Z469">
        <v>-246</v>
      </c>
      <c r="AA469">
        <v>-856</v>
      </c>
      <c r="AB469">
        <v>1136</v>
      </c>
      <c r="AC469">
        <v>86</v>
      </c>
      <c r="AD469">
        <v>-141</v>
      </c>
      <c r="AE469">
        <v>1910</v>
      </c>
      <c r="AF469">
        <v>0</v>
      </c>
      <c r="AG469">
        <v>130</v>
      </c>
    </row>
    <row r="470" spans="6:33">
      <c r="F470" s="74">
        <f t="shared" si="99"/>
        <v>44671</v>
      </c>
      <c r="G470" s="72">
        <f t="shared" si="100"/>
        <v>-1724</v>
      </c>
      <c r="H470" s="68">
        <f t="shared" si="101"/>
        <v>3408</v>
      </c>
      <c r="I470" s="68">
        <f t="shared" si="102"/>
        <v>626</v>
      </c>
      <c r="J470" s="68">
        <f t="shared" si="103"/>
        <v>-3883</v>
      </c>
      <c r="K470" s="68">
        <f t="shared" si="104"/>
        <v>-63</v>
      </c>
      <c r="L470" s="68">
        <f t="shared" si="105"/>
        <v>1892</v>
      </c>
      <c r="M470" s="68">
        <f t="shared" si="106"/>
        <v>196</v>
      </c>
      <c r="N470" s="68">
        <f t="shared" si="107"/>
        <v>-101</v>
      </c>
      <c r="O470" s="68">
        <f t="shared" si="108"/>
        <v>-224</v>
      </c>
      <c r="P470" s="68">
        <f t="shared" si="109"/>
        <v>2809</v>
      </c>
      <c r="Q470" s="68" t="str">
        <f t="shared" si="110"/>
        <v/>
      </c>
      <c r="R470" s="69">
        <f t="shared" si="111"/>
        <v>-2309</v>
      </c>
      <c r="U470" s="5">
        <v>44671</v>
      </c>
      <c r="V470">
        <v>-1724</v>
      </c>
      <c r="W470">
        <v>3408</v>
      </c>
      <c r="X470">
        <v>626</v>
      </c>
      <c r="Y470">
        <v>-3883</v>
      </c>
      <c r="Z470">
        <v>-63</v>
      </c>
      <c r="AA470">
        <v>1892</v>
      </c>
      <c r="AB470">
        <v>196</v>
      </c>
      <c r="AC470">
        <v>-101</v>
      </c>
      <c r="AD470">
        <v>-224</v>
      </c>
      <c r="AE470">
        <v>2809</v>
      </c>
      <c r="AF470">
        <v>0</v>
      </c>
      <c r="AG470">
        <v>-2309</v>
      </c>
    </row>
    <row r="471" spans="6:33">
      <c r="F471" s="74">
        <f t="shared" si="99"/>
        <v>44670</v>
      </c>
      <c r="G471" s="72">
        <f t="shared" si="100"/>
        <v>10500</v>
      </c>
      <c r="H471" s="68">
        <f t="shared" si="101"/>
        <v>-9060</v>
      </c>
      <c r="I471" s="68">
        <f t="shared" si="102"/>
        <v>6785</v>
      </c>
      <c r="J471" s="68">
        <f t="shared" si="103"/>
        <v>1604</v>
      </c>
      <c r="K471" s="68">
        <f t="shared" si="104"/>
        <v>-336</v>
      </c>
      <c r="L471" s="68">
        <f t="shared" si="105"/>
        <v>1389</v>
      </c>
      <c r="M471" s="68">
        <f t="shared" si="106"/>
        <v>349</v>
      </c>
      <c r="N471" s="68">
        <f t="shared" si="107"/>
        <v>-42</v>
      </c>
      <c r="O471" s="68">
        <f t="shared" si="108"/>
        <v>-300</v>
      </c>
      <c r="P471" s="68">
        <f t="shared" si="109"/>
        <v>4121</v>
      </c>
      <c r="Q471" s="68" t="str">
        <f t="shared" si="110"/>
        <v/>
      </c>
      <c r="R471" s="69">
        <f t="shared" si="111"/>
        <v>-8228</v>
      </c>
      <c r="U471" s="5">
        <v>44670</v>
      </c>
      <c r="V471">
        <v>10500</v>
      </c>
      <c r="W471">
        <v>-9060</v>
      </c>
      <c r="X471">
        <v>6785</v>
      </c>
      <c r="Y471">
        <v>1604</v>
      </c>
      <c r="Z471">
        <v>-336</v>
      </c>
      <c r="AA471">
        <v>1389</v>
      </c>
      <c r="AB471">
        <v>349</v>
      </c>
      <c r="AC471">
        <v>-42</v>
      </c>
      <c r="AD471">
        <v>-300</v>
      </c>
      <c r="AE471">
        <v>4121</v>
      </c>
      <c r="AF471">
        <v>0</v>
      </c>
      <c r="AG471">
        <v>-8228</v>
      </c>
    </row>
    <row r="472" spans="6:33">
      <c r="F472" s="74">
        <f t="shared" si="99"/>
        <v>44669</v>
      </c>
      <c r="G472" s="72">
        <f t="shared" si="100"/>
        <v>-1689</v>
      </c>
      <c r="H472" s="68">
        <f t="shared" si="101"/>
        <v>1588</v>
      </c>
      <c r="I472" s="68">
        <f t="shared" si="102"/>
        <v>-235</v>
      </c>
      <c r="J472" s="68">
        <f t="shared" si="103"/>
        <v>-770</v>
      </c>
      <c r="K472" s="68">
        <f t="shared" si="104"/>
        <v>-422</v>
      </c>
      <c r="L472" s="68">
        <f t="shared" si="105"/>
        <v>1336</v>
      </c>
      <c r="M472" s="68">
        <f t="shared" si="106"/>
        <v>-1497</v>
      </c>
      <c r="N472" s="68">
        <f t="shared" si="107"/>
        <v>5</v>
      </c>
      <c r="O472" s="68">
        <f t="shared" si="108"/>
        <v>-415</v>
      </c>
      <c r="P472" s="68">
        <f t="shared" si="109"/>
        <v>1528</v>
      </c>
      <c r="Q472" s="68" t="str">
        <f t="shared" si="110"/>
        <v/>
      </c>
      <c r="R472" s="69">
        <f t="shared" si="111"/>
        <v>335</v>
      </c>
      <c r="U472" s="5">
        <v>44669</v>
      </c>
      <c r="V472">
        <v>-1689</v>
      </c>
      <c r="W472">
        <v>1588</v>
      </c>
      <c r="X472">
        <v>-235</v>
      </c>
      <c r="Y472">
        <v>-770</v>
      </c>
      <c r="Z472">
        <v>-422</v>
      </c>
      <c r="AA472">
        <v>1336</v>
      </c>
      <c r="AB472">
        <v>-1497</v>
      </c>
      <c r="AC472">
        <v>5</v>
      </c>
      <c r="AD472">
        <v>-415</v>
      </c>
      <c r="AE472">
        <v>1528</v>
      </c>
      <c r="AF472">
        <v>0</v>
      </c>
      <c r="AG472">
        <v>335</v>
      </c>
    </row>
    <row r="473" spans="6:33">
      <c r="F473" s="74">
        <f t="shared" si="99"/>
        <v>44666</v>
      </c>
      <c r="G473" s="72">
        <f t="shared" si="100"/>
        <v>-6194</v>
      </c>
      <c r="H473" s="68">
        <f t="shared" si="101"/>
        <v>11044</v>
      </c>
      <c r="I473" s="68">
        <f t="shared" si="102"/>
        <v>-4263</v>
      </c>
      <c r="J473" s="68">
        <f t="shared" si="103"/>
        <v>-6820</v>
      </c>
      <c r="K473" s="68">
        <f t="shared" si="104"/>
        <v>-471</v>
      </c>
      <c r="L473" s="68">
        <f t="shared" si="105"/>
        <v>667</v>
      </c>
      <c r="M473" s="68">
        <f t="shared" si="106"/>
        <v>1050</v>
      </c>
      <c r="N473" s="68">
        <f t="shared" si="107"/>
        <v>-7</v>
      </c>
      <c r="O473" s="68">
        <f t="shared" si="108"/>
        <v>-118</v>
      </c>
      <c r="P473" s="68">
        <f t="shared" si="109"/>
        <v>1436</v>
      </c>
      <c r="Q473" s="68" t="str">
        <f t="shared" si="110"/>
        <v/>
      </c>
      <c r="R473" s="69">
        <f t="shared" si="111"/>
        <v>-586</v>
      </c>
      <c r="U473" s="5">
        <v>44666</v>
      </c>
      <c r="V473">
        <v>-6194</v>
      </c>
      <c r="W473">
        <v>11044</v>
      </c>
      <c r="X473">
        <v>-4263</v>
      </c>
      <c r="Y473">
        <v>-6820</v>
      </c>
      <c r="Z473">
        <v>-471</v>
      </c>
      <c r="AA473">
        <v>667</v>
      </c>
      <c r="AB473">
        <v>1050</v>
      </c>
      <c r="AC473">
        <v>-7</v>
      </c>
      <c r="AD473">
        <v>-118</v>
      </c>
      <c r="AE473">
        <v>1436</v>
      </c>
      <c r="AF473">
        <v>0</v>
      </c>
      <c r="AG473">
        <v>-586</v>
      </c>
    </row>
    <row r="474" spans="6:33">
      <c r="F474" s="74">
        <f t="shared" si="99"/>
        <v>44665</v>
      </c>
      <c r="G474" s="72">
        <f t="shared" si="100"/>
        <v>2184</v>
      </c>
      <c r="H474" s="68">
        <f t="shared" si="101"/>
        <v>-3852</v>
      </c>
      <c r="I474" s="68">
        <f t="shared" si="102"/>
        <v>2215</v>
      </c>
      <c r="J474" s="68">
        <f t="shared" si="103"/>
        <v>3442</v>
      </c>
      <c r="K474" s="68">
        <f t="shared" si="104"/>
        <v>-495</v>
      </c>
      <c r="L474" s="68">
        <f t="shared" si="105"/>
        <v>1243</v>
      </c>
      <c r="M474" s="68">
        <f t="shared" si="106"/>
        <v>1001</v>
      </c>
      <c r="N474" s="68">
        <f t="shared" si="107"/>
        <v>15</v>
      </c>
      <c r="O474" s="68">
        <f t="shared" si="108"/>
        <v>199</v>
      </c>
      <c r="P474" s="68">
        <f t="shared" si="109"/>
        <v>-3190</v>
      </c>
      <c r="Q474" s="68" t="str">
        <f t="shared" si="110"/>
        <v/>
      </c>
      <c r="R474" s="69">
        <f t="shared" si="111"/>
        <v>-548</v>
      </c>
      <c r="U474" s="5">
        <v>44665</v>
      </c>
      <c r="V474">
        <v>2184</v>
      </c>
      <c r="W474">
        <v>-3852</v>
      </c>
      <c r="X474">
        <v>2215</v>
      </c>
      <c r="Y474">
        <v>3442</v>
      </c>
      <c r="Z474">
        <v>-495</v>
      </c>
      <c r="AA474">
        <v>1243</v>
      </c>
      <c r="AB474">
        <v>1001</v>
      </c>
      <c r="AC474">
        <v>15</v>
      </c>
      <c r="AD474">
        <v>199</v>
      </c>
      <c r="AE474">
        <v>-3190</v>
      </c>
      <c r="AF474">
        <v>0</v>
      </c>
      <c r="AG474">
        <v>-548</v>
      </c>
    </row>
    <row r="475" spans="6:33">
      <c r="F475" s="74">
        <f t="shared" si="99"/>
        <v>44664</v>
      </c>
      <c r="G475" s="72">
        <f t="shared" si="100"/>
        <v>7323</v>
      </c>
      <c r="H475" s="68">
        <f t="shared" si="101"/>
        <v>-17543</v>
      </c>
      <c r="I475" s="68">
        <f t="shared" si="102"/>
        <v>9865</v>
      </c>
      <c r="J475" s="68">
        <f t="shared" si="103"/>
        <v>6271</v>
      </c>
      <c r="K475" s="68">
        <f t="shared" si="104"/>
        <v>-914</v>
      </c>
      <c r="L475" s="68">
        <f t="shared" si="105"/>
        <v>977</v>
      </c>
      <c r="M475" s="68">
        <f t="shared" si="106"/>
        <v>1642</v>
      </c>
      <c r="N475" s="68">
        <f t="shared" si="107"/>
        <v>21</v>
      </c>
      <c r="O475" s="68">
        <f t="shared" si="108"/>
        <v>288</v>
      </c>
      <c r="P475" s="68">
        <f t="shared" si="109"/>
        <v>1580</v>
      </c>
      <c r="Q475" s="68" t="str">
        <f t="shared" si="110"/>
        <v/>
      </c>
      <c r="R475" s="69">
        <f t="shared" si="111"/>
        <v>353</v>
      </c>
      <c r="U475" s="5">
        <v>44664</v>
      </c>
      <c r="V475">
        <v>7323</v>
      </c>
      <c r="W475">
        <v>-17543</v>
      </c>
      <c r="X475">
        <v>9865</v>
      </c>
      <c r="Y475">
        <v>6271</v>
      </c>
      <c r="Z475">
        <v>-914</v>
      </c>
      <c r="AA475">
        <v>977</v>
      </c>
      <c r="AB475">
        <v>1642</v>
      </c>
      <c r="AC475">
        <v>21</v>
      </c>
      <c r="AD475">
        <v>288</v>
      </c>
      <c r="AE475">
        <v>1580</v>
      </c>
      <c r="AF475">
        <v>0</v>
      </c>
      <c r="AG475">
        <v>353</v>
      </c>
    </row>
    <row r="476" spans="6:33">
      <c r="F476" s="74">
        <f t="shared" si="99"/>
        <v>44663</v>
      </c>
      <c r="G476" s="72">
        <f t="shared" si="100"/>
        <v>-9509</v>
      </c>
      <c r="H476" s="68">
        <f t="shared" si="101"/>
        <v>10719</v>
      </c>
      <c r="I476" s="68">
        <f t="shared" si="102"/>
        <v>-2051</v>
      </c>
      <c r="J476" s="68">
        <f t="shared" si="103"/>
        <v>-1376</v>
      </c>
      <c r="K476" s="68">
        <f t="shared" si="104"/>
        <v>-877</v>
      </c>
      <c r="L476" s="68">
        <f t="shared" si="105"/>
        <v>198</v>
      </c>
      <c r="M476" s="68">
        <f t="shared" si="106"/>
        <v>-812</v>
      </c>
      <c r="N476" s="68">
        <f t="shared" si="107"/>
        <v>172</v>
      </c>
      <c r="O476" s="68">
        <f t="shared" si="108"/>
        <v>338</v>
      </c>
      <c r="P476" s="68">
        <f t="shared" si="109"/>
        <v>306</v>
      </c>
      <c r="Q476" s="68" t="str">
        <f t="shared" si="110"/>
        <v/>
      </c>
      <c r="R476" s="69">
        <f t="shared" si="111"/>
        <v>841</v>
      </c>
      <c r="U476" s="5">
        <v>44663</v>
      </c>
      <c r="V476">
        <v>-9509</v>
      </c>
      <c r="W476">
        <v>10719</v>
      </c>
      <c r="X476">
        <v>-2051</v>
      </c>
      <c r="Y476">
        <v>-1376</v>
      </c>
      <c r="Z476">
        <v>-877</v>
      </c>
      <c r="AA476">
        <v>198</v>
      </c>
      <c r="AB476">
        <v>-812</v>
      </c>
      <c r="AC476">
        <v>172</v>
      </c>
      <c r="AD476">
        <v>338</v>
      </c>
      <c r="AE476">
        <v>306</v>
      </c>
      <c r="AF476">
        <v>0</v>
      </c>
      <c r="AG476">
        <v>841</v>
      </c>
    </row>
    <row r="477" spans="6:33">
      <c r="F477" s="74">
        <f t="shared" si="99"/>
        <v>44662</v>
      </c>
      <c r="G477" s="72">
        <f t="shared" si="100"/>
        <v>3371</v>
      </c>
      <c r="H477" s="68">
        <f t="shared" si="101"/>
        <v>-6708</v>
      </c>
      <c r="I477" s="68">
        <f t="shared" si="102"/>
        <v>1853</v>
      </c>
      <c r="J477" s="68">
        <f t="shared" si="103"/>
        <v>-304</v>
      </c>
      <c r="K477" s="68">
        <f t="shared" si="104"/>
        <v>-613</v>
      </c>
      <c r="L477" s="68">
        <f t="shared" si="105"/>
        <v>1111</v>
      </c>
      <c r="M477" s="68">
        <f t="shared" si="106"/>
        <v>265</v>
      </c>
      <c r="N477" s="68">
        <f t="shared" si="107"/>
        <v>-47</v>
      </c>
      <c r="O477" s="68">
        <f t="shared" si="108"/>
        <v>59</v>
      </c>
      <c r="P477" s="68">
        <f t="shared" si="109"/>
        <v>1382</v>
      </c>
      <c r="Q477" s="68" t="str">
        <f t="shared" si="110"/>
        <v/>
      </c>
      <c r="R477" s="69">
        <f t="shared" si="111"/>
        <v>1484</v>
      </c>
      <c r="U477" s="5">
        <v>44662</v>
      </c>
      <c r="V477">
        <v>3371</v>
      </c>
      <c r="W477">
        <v>-6708</v>
      </c>
      <c r="X477">
        <v>1853</v>
      </c>
      <c r="Y477">
        <v>-304</v>
      </c>
      <c r="Z477">
        <v>-613</v>
      </c>
      <c r="AA477">
        <v>1111</v>
      </c>
      <c r="AB477">
        <v>265</v>
      </c>
      <c r="AC477">
        <v>-47</v>
      </c>
      <c r="AD477">
        <v>59</v>
      </c>
      <c r="AE477">
        <v>1382</v>
      </c>
      <c r="AF477">
        <v>0</v>
      </c>
      <c r="AG477">
        <v>1484</v>
      </c>
    </row>
    <row r="478" spans="6:33">
      <c r="F478" s="74">
        <f t="shared" si="99"/>
        <v>44659</v>
      </c>
      <c r="G478" s="72">
        <f t="shared" si="100"/>
        <v>-14479</v>
      </c>
      <c r="H478" s="68">
        <f t="shared" si="101"/>
        <v>15245</v>
      </c>
      <c r="I478" s="68">
        <f t="shared" si="102"/>
        <v>-1697</v>
      </c>
      <c r="J478" s="68">
        <f t="shared" si="103"/>
        <v>-126</v>
      </c>
      <c r="K478" s="68">
        <f t="shared" si="104"/>
        <v>-1095</v>
      </c>
      <c r="L478" s="68">
        <f t="shared" si="105"/>
        <v>-536</v>
      </c>
      <c r="M478" s="68">
        <f t="shared" si="106"/>
        <v>284</v>
      </c>
      <c r="N478" s="68">
        <f t="shared" si="107"/>
        <v>-177</v>
      </c>
      <c r="O478" s="68">
        <f t="shared" si="108"/>
        <v>213</v>
      </c>
      <c r="P478" s="68">
        <f t="shared" si="109"/>
        <v>-260</v>
      </c>
      <c r="Q478" s="68" t="str">
        <f t="shared" si="110"/>
        <v/>
      </c>
      <c r="R478" s="69">
        <f t="shared" si="111"/>
        <v>931</v>
      </c>
      <c r="U478" s="5">
        <v>44659</v>
      </c>
      <c r="V478">
        <v>-14479</v>
      </c>
      <c r="W478">
        <v>15245</v>
      </c>
      <c r="X478">
        <v>-1697</v>
      </c>
      <c r="Y478">
        <v>-126</v>
      </c>
      <c r="Z478">
        <v>-1095</v>
      </c>
      <c r="AA478">
        <v>-536</v>
      </c>
      <c r="AB478">
        <v>284</v>
      </c>
      <c r="AC478">
        <v>-177</v>
      </c>
      <c r="AD478">
        <v>213</v>
      </c>
      <c r="AE478">
        <v>-260</v>
      </c>
      <c r="AF478">
        <v>0</v>
      </c>
      <c r="AG478">
        <v>931</v>
      </c>
    </row>
    <row r="479" spans="6:33">
      <c r="F479" s="74">
        <f t="shared" si="99"/>
        <v>44658</v>
      </c>
      <c r="G479" s="72">
        <f t="shared" si="100"/>
        <v>-20652</v>
      </c>
      <c r="H479" s="68">
        <f t="shared" si="101"/>
        <v>30111</v>
      </c>
      <c r="I479" s="68">
        <f t="shared" si="102"/>
        <v>-8546</v>
      </c>
      <c r="J479" s="68">
        <f t="shared" si="103"/>
        <v>-6022</v>
      </c>
      <c r="K479" s="68">
        <f t="shared" si="104"/>
        <v>-1048</v>
      </c>
      <c r="L479" s="68">
        <f t="shared" si="105"/>
        <v>-566</v>
      </c>
      <c r="M479" s="68">
        <f t="shared" si="106"/>
        <v>-542</v>
      </c>
      <c r="N479" s="68">
        <f t="shared" si="107"/>
        <v>-195</v>
      </c>
      <c r="O479" s="68">
        <f t="shared" si="108"/>
        <v>203</v>
      </c>
      <c r="P479" s="68">
        <f t="shared" si="109"/>
        <v>-376</v>
      </c>
      <c r="Q479" s="68" t="str">
        <f t="shared" si="110"/>
        <v/>
      </c>
      <c r="R479" s="69">
        <f t="shared" si="111"/>
        <v>-913</v>
      </c>
      <c r="U479" s="5">
        <v>44658</v>
      </c>
      <c r="V479">
        <v>-20652</v>
      </c>
      <c r="W479">
        <v>30111</v>
      </c>
      <c r="X479">
        <v>-8546</v>
      </c>
      <c r="Y479">
        <v>-6022</v>
      </c>
      <c r="Z479">
        <v>-1048</v>
      </c>
      <c r="AA479">
        <v>-566</v>
      </c>
      <c r="AB479">
        <v>-542</v>
      </c>
      <c r="AC479">
        <v>-195</v>
      </c>
      <c r="AD479">
        <v>203</v>
      </c>
      <c r="AE479">
        <v>-376</v>
      </c>
      <c r="AF479">
        <v>0</v>
      </c>
      <c r="AG479">
        <v>-913</v>
      </c>
    </row>
    <row r="480" spans="6:33">
      <c r="F480" s="74">
        <f t="shared" si="99"/>
        <v>44657</v>
      </c>
      <c r="G480" s="72">
        <f t="shared" si="100"/>
        <v>-12523</v>
      </c>
      <c r="H480" s="68">
        <f t="shared" si="101"/>
        <v>24719</v>
      </c>
      <c r="I480" s="68">
        <f t="shared" si="102"/>
        <v>-8788</v>
      </c>
      <c r="J480" s="68">
        <f t="shared" si="103"/>
        <v>-5620</v>
      </c>
      <c r="K480" s="68">
        <f t="shared" si="104"/>
        <v>-1161</v>
      </c>
      <c r="L480" s="68">
        <f t="shared" si="105"/>
        <v>-241</v>
      </c>
      <c r="M480" s="68">
        <f t="shared" si="106"/>
        <v>-62</v>
      </c>
      <c r="N480" s="68">
        <f t="shared" si="107"/>
        <v>-38</v>
      </c>
      <c r="O480" s="68">
        <f t="shared" si="108"/>
        <v>285</v>
      </c>
      <c r="P480" s="68">
        <f t="shared" si="109"/>
        <v>-1951</v>
      </c>
      <c r="Q480" s="68" t="str">
        <f t="shared" si="110"/>
        <v/>
      </c>
      <c r="R480" s="69">
        <f t="shared" si="111"/>
        <v>-3406</v>
      </c>
      <c r="U480" s="5">
        <v>44657</v>
      </c>
      <c r="V480">
        <v>-12523</v>
      </c>
      <c r="W480">
        <v>24719</v>
      </c>
      <c r="X480">
        <v>-8788</v>
      </c>
      <c r="Y480">
        <v>-5620</v>
      </c>
      <c r="Z480">
        <v>-1161</v>
      </c>
      <c r="AA480">
        <v>-241</v>
      </c>
      <c r="AB480">
        <v>-62</v>
      </c>
      <c r="AC480">
        <v>-38</v>
      </c>
      <c r="AD480">
        <v>285</v>
      </c>
      <c r="AE480">
        <v>-1951</v>
      </c>
      <c r="AF480">
        <v>0</v>
      </c>
      <c r="AG480">
        <v>-3406</v>
      </c>
    </row>
    <row r="481" spans="6:33">
      <c r="F481" s="74">
        <f t="shared" si="99"/>
        <v>44656</v>
      </c>
      <c r="G481" s="72">
        <f t="shared" si="100"/>
        <v>-2611</v>
      </c>
      <c r="H481" s="68">
        <f t="shared" si="101"/>
        <v>15220</v>
      </c>
      <c r="I481" s="68">
        <f t="shared" si="102"/>
        <v>-10493</v>
      </c>
      <c r="J481" s="68">
        <f t="shared" si="103"/>
        <v>-2499</v>
      </c>
      <c r="K481" s="68">
        <f t="shared" si="104"/>
        <v>-1439</v>
      </c>
      <c r="L481" s="68">
        <f t="shared" si="105"/>
        <v>-2040</v>
      </c>
      <c r="M481" s="68">
        <f t="shared" si="106"/>
        <v>-835</v>
      </c>
      <c r="N481" s="68">
        <f t="shared" si="107"/>
        <v>-234</v>
      </c>
      <c r="O481" s="68">
        <f t="shared" si="108"/>
        <v>183</v>
      </c>
      <c r="P481" s="68">
        <f t="shared" si="109"/>
        <v>-3629</v>
      </c>
      <c r="Q481" s="68" t="str">
        <f t="shared" si="110"/>
        <v/>
      </c>
      <c r="R481" s="69">
        <f t="shared" si="111"/>
        <v>-2119</v>
      </c>
      <c r="U481" s="5">
        <v>44656</v>
      </c>
      <c r="V481">
        <v>-2611</v>
      </c>
      <c r="W481">
        <v>15220</v>
      </c>
      <c r="X481">
        <v>-10493</v>
      </c>
      <c r="Y481">
        <v>-2499</v>
      </c>
      <c r="Z481">
        <v>-1439</v>
      </c>
      <c r="AA481">
        <v>-2040</v>
      </c>
      <c r="AB481">
        <v>-835</v>
      </c>
      <c r="AC481">
        <v>-234</v>
      </c>
      <c r="AD481">
        <v>183</v>
      </c>
      <c r="AE481">
        <v>-3629</v>
      </c>
      <c r="AF481">
        <v>0</v>
      </c>
      <c r="AG481">
        <v>-2119</v>
      </c>
    </row>
    <row r="482" spans="6:33">
      <c r="F482" s="74">
        <f t="shared" si="99"/>
        <v>44655</v>
      </c>
      <c r="G482" s="72">
        <f t="shared" si="100"/>
        <v>2413</v>
      </c>
      <c r="H482" s="68">
        <f t="shared" si="101"/>
        <v>11657</v>
      </c>
      <c r="I482" s="68">
        <f t="shared" si="102"/>
        <v>-2633</v>
      </c>
      <c r="J482" s="68">
        <f t="shared" si="103"/>
        <v>205</v>
      </c>
      <c r="K482" s="68">
        <f t="shared" si="104"/>
        <v>-1096</v>
      </c>
      <c r="L482" s="68">
        <f t="shared" si="105"/>
        <v>595</v>
      </c>
      <c r="M482" s="68">
        <f t="shared" si="106"/>
        <v>-793</v>
      </c>
      <c r="N482" s="68">
        <f t="shared" si="107"/>
        <v>-232</v>
      </c>
      <c r="O482" s="68">
        <f t="shared" si="108"/>
        <v>173</v>
      </c>
      <c r="P482" s="68">
        <f t="shared" si="109"/>
        <v>-1485</v>
      </c>
      <c r="Q482" s="68" t="str">
        <f t="shared" si="110"/>
        <v/>
      </c>
      <c r="R482" s="69">
        <f t="shared" si="111"/>
        <v>-11437</v>
      </c>
      <c r="U482" s="5">
        <v>44655</v>
      </c>
      <c r="V482">
        <v>2413</v>
      </c>
      <c r="W482">
        <v>11657</v>
      </c>
      <c r="X482">
        <v>-2633</v>
      </c>
      <c r="Y482">
        <v>205</v>
      </c>
      <c r="Z482">
        <v>-1096</v>
      </c>
      <c r="AA482">
        <v>595</v>
      </c>
      <c r="AB482">
        <v>-793</v>
      </c>
      <c r="AC482">
        <v>-232</v>
      </c>
      <c r="AD482">
        <v>173</v>
      </c>
      <c r="AE482">
        <v>-1485</v>
      </c>
      <c r="AF482">
        <v>0</v>
      </c>
      <c r="AG482">
        <v>-11437</v>
      </c>
    </row>
    <row r="483" spans="6:33">
      <c r="F483" s="74">
        <f t="shared" si="99"/>
        <v>44652</v>
      </c>
      <c r="G483" s="72">
        <f t="shared" si="100"/>
        <v>-12875</v>
      </c>
      <c r="H483" s="68">
        <f t="shared" si="101"/>
        <v>28869</v>
      </c>
      <c r="I483" s="68">
        <f t="shared" si="102"/>
        <v>-12550</v>
      </c>
      <c r="J483" s="68">
        <f t="shared" si="103"/>
        <v>-10961</v>
      </c>
      <c r="K483" s="68">
        <f t="shared" si="104"/>
        <v>-714</v>
      </c>
      <c r="L483" s="68">
        <f t="shared" si="105"/>
        <v>1914</v>
      </c>
      <c r="M483" s="68">
        <f t="shared" si="106"/>
        <v>-38</v>
      </c>
      <c r="N483" s="68">
        <f t="shared" si="107"/>
        <v>-176</v>
      </c>
      <c r="O483" s="68">
        <f t="shared" si="108"/>
        <v>223</v>
      </c>
      <c r="P483" s="68">
        <f t="shared" si="109"/>
        <v>-2798</v>
      </c>
      <c r="Q483" s="68" t="str">
        <f t="shared" si="110"/>
        <v/>
      </c>
      <c r="R483" s="69">
        <f t="shared" si="111"/>
        <v>-3443</v>
      </c>
      <c r="U483" s="5">
        <v>44652</v>
      </c>
      <c r="V483">
        <v>-12875</v>
      </c>
      <c r="W483">
        <v>28869</v>
      </c>
      <c r="X483">
        <v>-12550</v>
      </c>
      <c r="Y483">
        <v>-10961</v>
      </c>
      <c r="Z483">
        <v>-714</v>
      </c>
      <c r="AA483">
        <v>1914</v>
      </c>
      <c r="AB483">
        <v>-38</v>
      </c>
      <c r="AC483">
        <v>-176</v>
      </c>
      <c r="AD483">
        <v>223</v>
      </c>
      <c r="AE483">
        <v>-2798</v>
      </c>
      <c r="AF483">
        <v>0</v>
      </c>
      <c r="AG483">
        <v>-3443</v>
      </c>
    </row>
    <row r="484" spans="6:33">
      <c r="F484" s="74">
        <f t="shared" si="99"/>
        <v>44651</v>
      </c>
      <c r="G484" s="72">
        <f t="shared" si="100"/>
        <v>7817</v>
      </c>
      <c r="H484" s="68">
        <f t="shared" si="101"/>
        <v>-4444</v>
      </c>
      <c r="I484" s="68">
        <f t="shared" si="102"/>
        <v>706</v>
      </c>
      <c r="J484" s="68">
        <f t="shared" si="103"/>
        <v>1058</v>
      </c>
      <c r="K484" s="68">
        <f t="shared" si="104"/>
        <v>-851</v>
      </c>
      <c r="L484" s="68">
        <f t="shared" si="105"/>
        <v>-478</v>
      </c>
      <c r="M484" s="68">
        <f t="shared" si="106"/>
        <v>1299</v>
      </c>
      <c r="N484" s="68">
        <f t="shared" si="107"/>
        <v>-263</v>
      </c>
      <c r="O484" s="68">
        <f t="shared" si="108"/>
        <v>247</v>
      </c>
      <c r="P484" s="68">
        <f t="shared" si="109"/>
        <v>-306</v>
      </c>
      <c r="Q484" s="68" t="str">
        <f t="shared" si="110"/>
        <v/>
      </c>
      <c r="R484" s="69">
        <f t="shared" si="111"/>
        <v>-4075</v>
      </c>
      <c r="U484" s="5">
        <v>44651</v>
      </c>
      <c r="V484">
        <v>7817</v>
      </c>
      <c r="W484">
        <v>-4444</v>
      </c>
      <c r="X484">
        <v>706</v>
      </c>
      <c r="Y484">
        <v>1058</v>
      </c>
      <c r="Z484">
        <v>-851</v>
      </c>
      <c r="AA484">
        <v>-478</v>
      </c>
      <c r="AB484">
        <v>1299</v>
      </c>
      <c r="AC484">
        <v>-263</v>
      </c>
      <c r="AD484">
        <v>247</v>
      </c>
      <c r="AE484">
        <v>-306</v>
      </c>
      <c r="AF484">
        <v>0</v>
      </c>
      <c r="AG484">
        <v>-4075</v>
      </c>
    </row>
    <row r="485" spans="6:33">
      <c r="F485" s="74">
        <f t="shared" si="99"/>
        <v>44650</v>
      </c>
      <c r="G485" s="72">
        <f t="shared" si="100"/>
        <v>883</v>
      </c>
      <c r="H485" s="68">
        <f t="shared" si="101"/>
        <v>3638</v>
      </c>
      <c r="I485" s="68">
        <f t="shared" si="102"/>
        <v>-3274</v>
      </c>
      <c r="J485" s="68">
        <f t="shared" si="103"/>
        <v>1432</v>
      </c>
      <c r="K485" s="68">
        <f t="shared" si="104"/>
        <v>-361</v>
      </c>
      <c r="L485" s="68">
        <f t="shared" si="105"/>
        <v>-3885</v>
      </c>
      <c r="M485" s="68">
        <f t="shared" si="106"/>
        <v>484</v>
      </c>
      <c r="N485" s="68">
        <f t="shared" si="107"/>
        <v>-111</v>
      </c>
      <c r="O485" s="68">
        <f t="shared" si="108"/>
        <v>460</v>
      </c>
      <c r="P485" s="68">
        <f t="shared" si="109"/>
        <v>-1293</v>
      </c>
      <c r="Q485" s="68" t="str">
        <f t="shared" si="110"/>
        <v/>
      </c>
      <c r="R485" s="69">
        <f t="shared" si="111"/>
        <v>-1246</v>
      </c>
      <c r="U485" s="5">
        <v>44650</v>
      </c>
      <c r="V485">
        <v>883</v>
      </c>
      <c r="W485">
        <v>3638</v>
      </c>
      <c r="X485">
        <v>-3274</v>
      </c>
      <c r="Y485">
        <v>1432</v>
      </c>
      <c r="Z485">
        <v>-361</v>
      </c>
      <c r="AA485">
        <v>-3885</v>
      </c>
      <c r="AB485">
        <v>484</v>
      </c>
      <c r="AC485">
        <v>-111</v>
      </c>
      <c r="AD485">
        <v>460</v>
      </c>
      <c r="AE485">
        <v>-1293</v>
      </c>
      <c r="AF485">
        <v>0</v>
      </c>
      <c r="AG485">
        <v>-1246</v>
      </c>
    </row>
    <row r="486" spans="6:33">
      <c r="F486" s="74">
        <f t="shared" si="99"/>
        <v>44649</v>
      </c>
      <c r="G486" s="72">
        <f t="shared" si="100"/>
        <v>-2083</v>
      </c>
      <c r="H486" s="68">
        <f t="shared" si="101"/>
        <v>3365</v>
      </c>
      <c r="I486" s="68">
        <f t="shared" si="102"/>
        <v>1652</v>
      </c>
      <c r="J486" s="68">
        <f t="shared" si="103"/>
        <v>5604</v>
      </c>
      <c r="K486" s="68">
        <f t="shared" si="104"/>
        <v>-750</v>
      </c>
      <c r="L486" s="68">
        <f t="shared" si="105"/>
        <v>-1366</v>
      </c>
      <c r="M486" s="68">
        <f t="shared" si="106"/>
        <v>-710</v>
      </c>
      <c r="N486" s="68">
        <f t="shared" si="107"/>
        <v>-189</v>
      </c>
      <c r="O486" s="68">
        <f t="shared" si="108"/>
        <v>125</v>
      </c>
      <c r="P486" s="68">
        <f t="shared" si="109"/>
        <v>-1062</v>
      </c>
      <c r="Q486" s="68" t="str">
        <f t="shared" si="110"/>
        <v/>
      </c>
      <c r="R486" s="69">
        <f t="shared" si="111"/>
        <v>-2931</v>
      </c>
      <c r="U486" s="5">
        <v>44649</v>
      </c>
      <c r="V486">
        <v>-2083</v>
      </c>
      <c r="W486">
        <v>3365</v>
      </c>
      <c r="X486">
        <v>1652</v>
      </c>
      <c r="Y486">
        <v>5604</v>
      </c>
      <c r="Z486">
        <v>-750</v>
      </c>
      <c r="AA486">
        <v>-1366</v>
      </c>
      <c r="AB486">
        <v>-710</v>
      </c>
      <c r="AC486">
        <v>-189</v>
      </c>
      <c r="AD486">
        <v>125</v>
      </c>
      <c r="AE486">
        <v>-1062</v>
      </c>
      <c r="AF486">
        <v>0</v>
      </c>
      <c r="AG486">
        <v>-2931</v>
      </c>
    </row>
    <row r="487" spans="6:33">
      <c r="F487" s="74">
        <f t="shared" si="99"/>
        <v>44648</v>
      </c>
      <c r="G487" s="72">
        <f t="shared" si="100"/>
        <v>1020</v>
      </c>
      <c r="H487" s="68">
        <f t="shared" si="101"/>
        <v>4952</v>
      </c>
      <c r="I487" s="68">
        <f t="shared" si="102"/>
        <v>-6674</v>
      </c>
      <c r="J487" s="68">
        <f t="shared" si="103"/>
        <v>-4134</v>
      </c>
      <c r="K487" s="68">
        <f t="shared" si="104"/>
        <v>-1203</v>
      </c>
      <c r="L487" s="68">
        <f t="shared" si="105"/>
        <v>40</v>
      </c>
      <c r="M487" s="68">
        <f t="shared" si="106"/>
        <v>-1668</v>
      </c>
      <c r="N487" s="68">
        <f t="shared" si="107"/>
        <v>-165</v>
      </c>
      <c r="O487" s="68">
        <f t="shared" si="108"/>
        <v>-90</v>
      </c>
      <c r="P487" s="68">
        <f t="shared" si="109"/>
        <v>546</v>
      </c>
      <c r="Q487" s="68" t="str">
        <f t="shared" si="110"/>
        <v/>
      </c>
      <c r="R487" s="69">
        <f t="shared" si="111"/>
        <v>701</v>
      </c>
      <c r="U487" s="5">
        <v>44648</v>
      </c>
      <c r="V487">
        <v>1020</v>
      </c>
      <c r="W487">
        <v>4952</v>
      </c>
      <c r="X487">
        <v>-6674</v>
      </c>
      <c r="Y487">
        <v>-4134</v>
      </c>
      <c r="Z487">
        <v>-1203</v>
      </c>
      <c r="AA487">
        <v>40</v>
      </c>
      <c r="AB487">
        <v>-1668</v>
      </c>
      <c r="AC487">
        <v>-165</v>
      </c>
      <c r="AD487">
        <v>-90</v>
      </c>
      <c r="AE487">
        <v>546</v>
      </c>
      <c r="AF487">
        <v>0</v>
      </c>
      <c r="AG487">
        <v>701</v>
      </c>
    </row>
    <row r="488" spans="6:33">
      <c r="F488" s="74">
        <f t="shared" si="99"/>
        <v>44645</v>
      </c>
      <c r="G488" s="72">
        <f t="shared" si="100"/>
        <v>-12809</v>
      </c>
      <c r="H488" s="68">
        <f t="shared" si="101"/>
        <v>20458</v>
      </c>
      <c r="I488" s="68">
        <f t="shared" si="102"/>
        <v>-5500</v>
      </c>
      <c r="J488" s="68">
        <f t="shared" si="103"/>
        <v>-2449</v>
      </c>
      <c r="K488" s="68">
        <f t="shared" si="104"/>
        <v>-953</v>
      </c>
      <c r="L488" s="68">
        <f t="shared" si="105"/>
        <v>-1022</v>
      </c>
      <c r="M488" s="68">
        <f t="shared" si="106"/>
        <v>-96</v>
      </c>
      <c r="N488" s="68">
        <f t="shared" si="107"/>
        <v>-320</v>
      </c>
      <c r="O488" s="68">
        <f t="shared" si="108"/>
        <v>390</v>
      </c>
      <c r="P488" s="68">
        <f t="shared" si="109"/>
        <v>-1050</v>
      </c>
      <c r="Q488" s="68" t="str">
        <f t="shared" si="110"/>
        <v/>
      </c>
      <c r="R488" s="69">
        <f t="shared" si="111"/>
        <v>-2149</v>
      </c>
      <c r="U488" s="5">
        <v>44645</v>
      </c>
      <c r="V488">
        <v>-12809</v>
      </c>
      <c r="W488">
        <v>20458</v>
      </c>
      <c r="X488">
        <v>-5500</v>
      </c>
      <c r="Y488">
        <v>-2449</v>
      </c>
      <c r="Z488">
        <v>-953</v>
      </c>
      <c r="AA488">
        <v>-1022</v>
      </c>
      <c r="AB488">
        <v>-96</v>
      </c>
      <c r="AC488">
        <v>-320</v>
      </c>
      <c r="AD488">
        <v>390</v>
      </c>
      <c r="AE488">
        <v>-1050</v>
      </c>
      <c r="AF488">
        <v>0</v>
      </c>
      <c r="AG488">
        <v>-2149</v>
      </c>
    </row>
    <row r="489" spans="6:33">
      <c r="F489" s="74">
        <f t="shared" si="99"/>
        <v>44644</v>
      </c>
      <c r="G489" s="72">
        <f t="shared" si="100"/>
        <v>10839</v>
      </c>
      <c r="H489" s="68">
        <f t="shared" si="101"/>
        <v>19002</v>
      </c>
      <c r="I489" s="68">
        <f t="shared" si="102"/>
        <v>-25103</v>
      </c>
      <c r="J489" s="68">
        <f t="shared" si="103"/>
        <v>-2440</v>
      </c>
      <c r="K489" s="68">
        <f t="shared" si="104"/>
        <v>-450</v>
      </c>
      <c r="L489" s="68">
        <f t="shared" si="105"/>
        <v>-598</v>
      </c>
      <c r="M489" s="68">
        <f t="shared" si="106"/>
        <v>141</v>
      </c>
      <c r="N489" s="68">
        <f t="shared" si="107"/>
        <v>-20472</v>
      </c>
      <c r="O489" s="68">
        <f t="shared" si="108"/>
        <v>51</v>
      </c>
      <c r="P489" s="68">
        <f t="shared" si="109"/>
        <v>-1335</v>
      </c>
      <c r="Q489" s="68" t="str">
        <f t="shared" si="110"/>
        <v/>
      </c>
      <c r="R489" s="69">
        <f t="shared" si="111"/>
        <v>-4739</v>
      </c>
      <c r="U489" s="5">
        <v>44644</v>
      </c>
      <c r="V489">
        <v>10839</v>
      </c>
      <c r="W489">
        <v>19002</v>
      </c>
      <c r="X489">
        <v>-25103</v>
      </c>
      <c r="Y489">
        <v>-2440</v>
      </c>
      <c r="Z489">
        <v>-450</v>
      </c>
      <c r="AA489">
        <v>-598</v>
      </c>
      <c r="AB489">
        <v>141</v>
      </c>
      <c r="AC489">
        <v>-20472</v>
      </c>
      <c r="AD489">
        <v>51</v>
      </c>
      <c r="AE489">
        <v>-1335</v>
      </c>
      <c r="AF489">
        <v>0</v>
      </c>
      <c r="AG489">
        <v>-4739</v>
      </c>
    </row>
    <row r="490" spans="6:33">
      <c r="F490" s="74">
        <f t="shared" si="99"/>
        <v>44643</v>
      </c>
      <c r="G490" s="72">
        <f t="shared" si="100"/>
        <v>6936</v>
      </c>
      <c r="H490" s="68">
        <f t="shared" si="101"/>
        <v>-7996</v>
      </c>
      <c r="I490" s="68">
        <f t="shared" si="102"/>
        <v>2376</v>
      </c>
      <c r="J490" s="68">
        <f t="shared" si="103"/>
        <v>4396</v>
      </c>
      <c r="K490" s="68">
        <f t="shared" si="104"/>
        <v>-819</v>
      </c>
      <c r="L490" s="68">
        <f t="shared" si="105"/>
        <v>-646</v>
      </c>
      <c r="M490" s="68">
        <f t="shared" si="106"/>
        <v>-1186</v>
      </c>
      <c r="N490" s="68">
        <f t="shared" si="107"/>
        <v>-102</v>
      </c>
      <c r="O490" s="68">
        <f t="shared" si="108"/>
        <v>-232</v>
      </c>
      <c r="P490" s="68">
        <f t="shared" si="109"/>
        <v>965</v>
      </c>
      <c r="Q490" s="68" t="str">
        <f t="shared" si="110"/>
        <v/>
      </c>
      <c r="R490" s="69">
        <f t="shared" si="111"/>
        <v>-1316</v>
      </c>
      <c r="U490" s="5">
        <v>44643</v>
      </c>
      <c r="V490">
        <v>6936</v>
      </c>
      <c r="W490">
        <v>-7996</v>
      </c>
      <c r="X490">
        <v>2376</v>
      </c>
      <c r="Y490">
        <v>4396</v>
      </c>
      <c r="Z490">
        <v>-819</v>
      </c>
      <c r="AA490">
        <v>-646</v>
      </c>
      <c r="AB490">
        <v>-1186</v>
      </c>
      <c r="AC490">
        <v>-102</v>
      </c>
      <c r="AD490">
        <v>-232</v>
      </c>
      <c r="AE490">
        <v>965</v>
      </c>
      <c r="AF490">
        <v>0</v>
      </c>
      <c r="AG490">
        <v>-1316</v>
      </c>
    </row>
    <row r="491" spans="6:33">
      <c r="F491" s="74">
        <f t="shared" si="99"/>
        <v>44642</v>
      </c>
      <c r="G491" s="72">
        <f t="shared" si="100"/>
        <v>10316</v>
      </c>
      <c r="H491" s="68">
        <f t="shared" si="101"/>
        <v>-11723</v>
      </c>
      <c r="I491" s="68">
        <f t="shared" si="102"/>
        <v>2464</v>
      </c>
      <c r="J491" s="68">
        <f t="shared" si="103"/>
        <v>5062</v>
      </c>
      <c r="K491" s="68">
        <f t="shared" si="104"/>
        <v>-518</v>
      </c>
      <c r="L491" s="68">
        <f t="shared" si="105"/>
        <v>-105</v>
      </c>
      <c r="M491" s="68">
        <f t="shared" si="106"/>
        <v>523</v>
      </c>
      <c r="N491" s="68">
        <f t="shared" si="107"/>
        <v>-3171</v>
      </c>
      <c r="O491" s="68">
        <f t="shared" si="108"/>
        <v>-178</v>
      </c>
      <c r="P491" s="68">
        <f t="shared" si="109"/>
        <v>851</v>
      </c>
      <c r="Q491" s="68" t="str">
        <f t="shared" si="110"/>
        <v/>
      </c>
      <c r="R491" s="69">
        <f t="shared" si="111"/>
        <v>-1058</v>
      </c>
      <c r="U491" s="5">
        <v>44642</v>
      </c>
      <c r="V491">
        <v>10316</v>
      </c>
      <c r="W491">
        <v>-11723</v>
      </c>
      <c r="X491">
        <v>2464</v>
      </c>
      <c r="Y491">
        <v>5062</v>
      </c>
      <c r="Z491">
        <v>-518</v>
      </c>
      <c r="AA491">
        <v>-105</v>
      </c>
      <c r="AB491">
        <v>523</v>
      </c>
      <c r="AC491">
        <v>-3171</v>
      </c>
      <c r="AD491">
        <v>-178</v>
      </c>
      <c r="AE491">
        <v>851</v>
      </c>
      <c r="AF491">
        <v>0</v>
      </c>
      <c r="AG491">
        <v>-1058</v>
      </c>
    </row>
    <row r="492" spans="6:33">
      <c r="F492" s="74">
        <f t="shared" si="99"/>
        <v>44641</v>
      </c>
      <c r="G492" s="72">
        <f t="shared" si="100"/>
        <v>-3872</v>
      </c>
      <c r="H492" s="68">
        <f t="shared" si="101"/>
        <v>10939</v>
      </c>
      <c r="I492" s="68">
        <f t="shared" si="102"/>
        <v>-6405</v>
      </c>
      <c r="J492" s="68">
        <f t="shared" si="103"/>
        <v>-3414</v>
      </c>
      <c r="K492" s="68">
        <f t="shared" si="104"/>
        <v>-348</v>
      </c>
      <c r="L492" s="68">
        <f t="shared" si="105"/>
        <v>-88</v>
      </c>
      <c r="M492" s="68">
        <f t="shared" si="106"/>
        <v>-510</v>
      </c>
      <c r="N492" s="68">
        <f t="shared" si="107"/>
        <v>-539</v>
      </c>
      <c r="O492" s="68">
        <f t="shared" si="108"/>
        <v>-128</v>
      </c>
      <c r="P492" s="68">
        <f t="shared" si="109"/>
        <v>-1378</v>
      </c>
      <c r="Q492" s="68" t="str">
        <f t="shared" si="110"/>
        <v/>
      </c>
      <c r="R492" s="69">
        <f t="shared" si="111"/>
        <v>-663</v>
      </c>
      <c r="U492" s="5">
        <v>44641</v>
      </c>
      <c r="V492">
        <v>-3872</v>
      </c>
      <c r="W492">
        <v>10939</v>
      </c>
      <c r="X492">
        <v>-6405</v>
      </c>
      <c r="Y492">
        <v>-3414</v>
      </c>
      <c r="Z492">
        <v>-348</v>
      </c>
      <c r="AA492">
        <v>-88</v>
      </c>
      <c r="AB492">
        <v>-510</v>
      </c>
      <c r="AC492">
        <v>-539</v>
      </c>
      <c r="AD492">
        <v>-128</v>
      </c>
      <c r="AE492">
        <v>-1378</v>
      </c>
      <c r="AF492">
        <v>0</v>
      </c>
      <c r="AG492">
        <v>-663</v>
      </c>
    </row>
    <row r="493" spans="6:33">
      <c r="F493" s="74">
        <f t="shared" si="99"/>
        <v>44638</v>
      </c>
      <c r="G493" s="72">
        <f t="shared" si="100"/>
        <v>4240</v>
      </c>
      <c r="H493" s="68">
        <f t="shared" si="101"/>
        <v>-278</v>
      </c>
      <c r="I493" s="68">
        <f t="shared" si="102"/>
        <v>-1446</v>
      </c>
      <c r="J493" s="68">
        <f t="shared" si="103"/>
        <v>102</v>
      </c>
      <c r="K493" s="68">
        <f t="shared" si="104"/>
        <v>-666</v>
      </c>
      <c r="L493" s="68">
        <f t="shared" si="105"/>
        <v>-566</v>
      </c>
      <c r="M493" s="68">
        <f t="shared" si="106"/>
        <v>-770</v>
      </c>
      <c r="N493" s="68">
        <f t="shared" si="107"/>
        <v>-247</v>
      </c>
      <c r="O493" s="68">
        <f t="shared" si="108"/>
        <v>-12</v>
      </c>
      <c r="P493" s="68">
        <f t="shared" si="109"/>
        <v>713</v>
      </c>
      <c r="Q493" s="68" t="str">
        <f t="shared" si="110"/>
        <v/>
      </c>
      <c r="R493" s="69">
        <f t="shared" si="111"/>
        <v>-2516</v>
      </c>
      <c r="U493" s="5">
        <v>44638</v>
      </c>
      <c r="V493">
        <v>4240</v>
      </c>
      <c r="W493">
        <v>-278</v>
      </c>
      <c r="X493">
        <v>-1446</v>
      </c>
      <c r="Y493">
        <v>102</v>
      </c>
      <c r="Z493">
        <v>-666</v>
      </c>
      <c r="AA493">
        <v>-566</v>
      </c>
      <c r="AB493">
        <v>-770</v>
      </c>
      <c r="AC493">
        <v>-247</v>
      </c>
      <c r="AD493">
        <v>-12</v>
      </c>
      <c r="AE493">
        <v>713</v>
      </c>
      <c r="AF493">
        <v>0</v>
      </c>
      <c r="AG493">
        <v>-2516</v>
      </c>
    </row>
    <row r="494" spans="6:33">
      <c r="F494" s="74">
        <f t="shared" si="99"/>
        <v>44637</v>
      </c>
      <c r="G494" s="72">
        <f t="shared" si="100"/>
        <v>14646</v>
      </c>
      <c r="H494" s="68">
        <f t="shared" si="101"/>
        <v>-8617</v>
      </c>
      <c r="I494" s="68">
        <f t="shared" si="102"/>
        <v>-4792</v>
      </c>
      <c r="J494" s="68">
        <f t="shared" si="103"/>
        <v>2281</v>
      </c>
      <c r="K494" s="68">
        <f t="shared" si="104"/>
        <v>-687</v>
      </c>
      <c r="L494" s="68">
        <f t="shared" si="105"/>
        <v>-2066</v>
      </c>
      <c r="M494" s="68">
        <f t="shared" si="106"/>
        <v>-1555</v>
      </c>
      <c r="N494" s="68">
        <f t="shared" si="107"/>
        <v>-159</v>
      </c>
      <c r="O494" s="68">
        <f t="shared" si="108"/>
        <v>-19</v>
      </c>
      <c r="P494" s="68">
        <f t="shared" si="109"/>
        <v>-2587</v>
      </c>
      <c r="Q494" s="68" t="str">
        <f t="shared" si="110"/>
        <v/>
      </c>
      <c r="R494" s="69">
        <f t="shared" si="111"/>
        <v>-1236</v>
      </c>
      <c r="U494" s="5">
        <v>44637</v>
      </c>
      <c r="V494">
        <v>14646</v>
      </c>
      <c r="W494">
        <v>-8617</v>
      </c>
      <c r="X494">
        <v>-4792</v>
      </c>
      <c r="Y494">
        <v>2281</v>
      </c>
      <c r="Z494">
        <v>-687</v>
      </c>
      <c r="AA494">
        <v>-2066</v>
      </c>
      <c r="AB494">
        <v>-1555</v>
      </c>
      <c r="AC494">
        <v>-159</v>
      </c>
      <c r="AD494">
        <v>-19</v>
      </c>
      <c r="AE494">
        <v>-2587</v>
      </c>
      <c r="AF494">
        <v>0</v>
      </c>
      <c r="AG494">
        <v>-1236</v>
      </c>
    </row>
    <row r="495" spans="6:33">
      <c r="F495" s="74">
        <f t="shared" si="99"/>
        <v>44636</v>
      </c>
      <c r="G495" s="72">
        <f t="shared" si="100"/>
        <v>10916</v>
      </c>
      <c r="H495" s="68">
        <f t="shared" si="101"/>
        <v>-8940</v>
      </c>
      <c r="I495" s="68">
        <f t="shared" si="102"/>
        <v>1325</v>
      </c>
      <c r="J495" s="68">
        <f t="shared" si="103"/>
        <v>4114</v>
      </c>
      <c r="K495" s="68">
        <f t="shared" si="104"/>
        <v>-722</v>
      </c>
      <c r="L495" s="68">
        <f t="shared" si="105"/>
        <v>-1088</v>
      </c>
      <c r="M495" s="68">
        <f t="shared" si="106"/>
        <v>193</v>
      </c>
      <c r="N495" s="68">
        <f t="shared" si="107"/>
        <v>-1714</v>
      </c>
      <c r="O495" s="68">
        <f t="shared" si="108"/>
        <v>85</v>
      </c>
      <c r="P495" s="68">
        <f t="shared" si="109"/>
        <v>457</v>
      </c>
      <c r="Q495" s="68" t="str">
        <f t="shared" si="110"/>
        <v/>
      </c>
      <c r="R495" s="69">
        <f t="shared" si="111"/>
        <v>-3301</v>
      </c>
      <c r="U495" s="5">
        <v>44636</v>
      </c>
      <c r="V495">
        <v>10916</v>
      </c>
      <c r="W495">
        <v>-8940</v>
      </c>
      <c r="X495">
        <v>1325</v>
      </c>
      <c r="Y495">
        <v>4114</v>
      </c>
      <c r="Z495">
        <v>-722</v>
      </c>
      <c r="AA495">
        <v>-1088</v>
      </c>
      <c r="AB495">
        <v>193</v>
      </c>
      <c r="AC495">
        <v>-1714</v>
      </c>
      <c r="AD495">
        <v>85</v>
      </c>
      <c r="AE495">
        <v>457</v>
      </c>
      <c r="AF495">
        <v>0</v>
      </c>
      <c r="AG495">
        <v>-3301</v>
      </c>
    </row>
    <row r="496" spans="6:33">
      <c r="F496" s="74">
        <f t="shared" si="99"/>
        <v>44635</v>
      </c>
      <c r="G496" s="72">
        <f t="shared" si="100"/>
        <v>-12792</v>
      </c>
      <c r="H496" s="68">
        <f t="shared" si="101"/>
        <v>15291</v>
      </c>
      <c r="I496" s="68">
        <f t="shared" si="102"/>
        <v>-2138</v>
      </c>
      <c r="J496" s="68">
        <f t="shared" si="103"/>
        <v>-1047</v>
      </c>
      <c r="K496" s="68">
        <f t="shared" si="104"/>
        <v>-621</v>
      </c>
      <c r="L496" s="68">
        <f t="shared" si="105"/>
        <v>-446</v>
      </c>
      <c r="M496" s="68">
        <f t="shared" si="106"/>
        <v>-1436</v>
      </c>
      <c r="N496" s="68">
        <f t="shared" si="107"/>
        <v>193</v>
      </c>
      <c r="O496" s="68">
        <f t="shared" si="108"/>
        <v>97</v>
      </c>
      <c r="P496" s="68">
        <f t="shared" si="109"/>
        <v>1122</v>
      </c>
      <c r="Q496" s="68" t="str">
        <f t="shared" si="110"/>
        <v/>
      </c>
      <c r="R496" s="69">
        <f t="shared" si="111"/>
        <v>-360</v>
      </c>
      <c r="U496" s="5">
        <v>44635</v>
      </c>
      <c r="V496">
        <v>-12792</v>
      </c>
      <c r="W496">
        <v>15291</v>
      </c>
      <c r="X496">
        <v>-2138</v>
      </c>
      <c r="Y496">
        <v>-1047</v>
      </c>
      <c r="Z496">
        <v>-621</v>
      </c>
      <c r="AA496">
        <v>-446</v>
      </c>
      <c r="AB496">
        <v>-1436</v>
      </c>
      <c r="AC496">
        <v>193</v>
      </c>
      <c r="AD496">
        <v>97</v>
      </c>
      <c r="AE496">
        <v>1122</v>
      </c>
      <c r="AF496">
        <v>0</v>
      </c>
      <c r="AG496">
        <v>-360</v>
      </c>
    </row>
    <row r="497" spans="6:33">
      <c r="F497" s="74">
        <f t="shared" si="99"/>
        <v>44634</v>
      </c>
      <c r="G497" s="72">
        <f t="shared" si="100"/>
        <v>-14716</v>
      </c>
      <c r="H497" s="68">
        <f t="shared" si="101"/>
        <v>15416</v>
      </c>
      <c r="I497" s="68">
        <f t="shared" si="102"/>
        <v>646</v>
      </c>
      <c r="J497" s="68">
        <f t="shared" si="103"/>
        <v>-135</v>
      </c>
      <c r="K497" s="68">
        <f t="shared" si="104"/>
        <v>91</v>
      </c>
      <c r="L497" s="68">
        <f t="shared" si="105"/>
        <v>296</v>
      </c>
      <c r="M497" s="68">
        <f t="shared" si="106"/>
        <v>-803</v>
      </c>
      <c r="N497" s="68">
        <f t="shared" si="107"/>
        <v>-553</v>
      </c>
      <c r="O497" s="68">
        <f t="shared" si="108"/>
        <v>-25</v>
      </c>
      <c r="P497" s="68">
        <f t="shared" si="109"/>
        <v>1775</v>
      </c>
      <c r="Q497" s="68" t="str">
        <f t="shared" si="110"/>
        <v/>
      </c>
      <c r="R497" s="69">
        <f t="shared" si="111"/>
        <v>-1348</v>
      </c>
      <c r="U497" s="5">
        <v>44634</v>
      </c>
      <c r="V497">
        <v>-14716</v>
      </c>
      <c r="W497">
        <v>15416</v>
      </c>
      <c r="X497">
        <v>646</v>
      </c>
      <c r="Y497">
        <v>-135</v>
      </c>
      <c r="Z497">
        <v>91</v>
      </c>
      <c r="AA497">
        <v>296</v>
      </c>
      <c r="AB497">
        <v>-803</v>
      </c>
      <c r="AC497">
        <v>-553</v>
      </c>
      <c r="AD497">
        <v>-25</v>
      </c>
      <c r="AE497">
        <v>1775</v>
      </c>
      <c r="AF497">
        <v>0</v>
      </c>
      <c r="AG497">
        <v>-1348</v>
      </c>
    </row>
    <row r="498" spans="6:33">
      <c r="F498" s="74">
        <f t="shared" si="99"/>
        <v>44631</v>
      </c>
      <c r="G498" s="72">
        <f t="shared" si="100"/>
        <v>14133</v>
      </c>
      <c r="H498" s="68">
        <f t="shared" si="101"/>
        <v>-7550</v>
      </c>
      <c r="I498" s="68">
        <f t="shared" si="102"/>
        <v>-1915</v>
      </c>
      <c r="J498" s="68">
        <f t="shared" si="103"/>
        <v>-6185</v>
      </c>
      <c r="K498" s="68">
        <f t="shared" si="104"/>
        <v>-70</v>
      </c>
      <c r="L498" s="68">
        <f t="shared" si="105"/>
        <v>1025</v>
      </c>
      <c r="M498" s="68">
        <f t="shared" si="106"/>
        <v>597</v>
      </c>
      <c r="N498" s="68">
        <f t="shared" si="107"/>
        <v>21</v>
      </c>
      <c r="O498" s="68">
        <f t="shared" si="108"/>
        <v>40</v>
      </c>
      <c r="P498" s="68">
        <f t="shared" si="109"/>
        <v>2657</v>
      </c>
      <c r="Q498" s="68" t="str">
        <f t="shared" si="110"/>
        <v/>
      </c>
      <c r="R498" s="69">
        <f t="shared" si="111"/>
        <v>-4670</v>
      </c>
      <c r="U498" s="5">
        <v>44631</v>
      </c>
      <c r="V498">
        <v>14133</v>
      </c>
      <c r="W498">
        <v>-7550</v>
      </c>
      <c r="X498">
        <v>-1915</v>
      </c>
      <c r="Y498">
        <v>-6185</v>
      </c>
      <c r="Z498">
        <v>-70</v>
      </c>
      <c r="AA498">
        <v>1025</v>
      </c>
      <c r="AB498">
        <v>597</v>
      </c>
      <c r="AC498">
        <v>21</v>
      </c>
      <c r="AD498">
        <v>40</v>
      </c>
      <c r="AE498">
        <v>2657</v>
      </c>
      <c r="AF498">
        <v>0</v>
      </c>
      <c r="AG498">
        <v>-4670</v>
      </c>
    </row>
    <row r="499" spans="6:33">
      <c r="F499" s="74">
        <f t="shared" si="99"/>
        <v>44630</v>
      </c>
      <c r="G499" s="72">
        <f t="shared" si="100"/>
        <v>-1206</v>
      </c>
      <c r="H499" s="68">
        <f t="shared" si="101"/>
        <v>-3160</v>
      </c>
      <c r="I499" s="68">
        <f t="shared" si="102"/>
        <v>8251</v>
      </c>
      <c r="J499" s="68">
        <f t="shared" si="103"/>
        <v>12571</v>
      </c>
      <c r="K499" s="68">
        <f t="shared" si="104"/>
        <v>-551</v>
      </c>
      <c r="L499" s="68">
        <f t="shared" si="105"/>
        <v>-2912</v>
      </c>
      <c r="M499" s="68">
        <f t="shared" si="106"/>
        <v>102</v>
      </c>
      <c r="N499" s="68">
        <f t="shared" si="107"/>
        <v>28</v>
      </c>
      <c r="O499" s="68">
        <f t="shared" si="108"/>
        <v>20</v>
      </c>
      <c r="P499" s="68">
        <f t="shared" si="109"/>
        <v>-1007</v>
      </c>
      <c r="Q499" s="68" t="str">
        <f t="shared" si="110"/>
        <v/>
      </c>
      <c r="R499" s="69">
        <f t="shared" si="111"/>
        <v>-3883</v>
      </c>
      <c r="U499" s="5">
        <v>44630</v>
      </c>
      <c r="V499">
        <v>-1206</v>
      </c>
      <c r="W499">
        <v>-3160</v>
      </c>
      <c r="X499">
        <v>8251</v>
      </c>
      <c r="Y499">
        <v>12571</v>
      </c>
      <c r="Z499">
        <v>-551</v>
      </c>
      <c r="AA499">
        <v>-2912</v>
      </c>
      <c r="AB499">
        <v>102</v>
      </c>
      <c r="AC499">
        <v>28</v>
      </c>
      <c r="AD499">
        <v>20</v>
      </c>
      <c r="AE499">
        <v>-1007</v>
      </c>
      <c r="AF499">
        <v>0</v>
      </c>
      <c r="AG499">
        <v>-3883</v>
      </c>
    </row>
    <row r="500" spans="6:33">
      <c r="F500" s="74">
        <f t="shared" si="99"/>
        <v>44628</v>
      </c>
      <c r="G500" s="72">
        <f t="shared" si="100"/>
        <v>-20792</v>
      </c>
      <c r="H500" s="68">
        <f t="shared" si="101"/>
        <v>29273</v>
      </c>
      <c r="I500" s="68">
        <f t="shared" si="102"/>
        <v>-9465</v>
      </c>
      <c r="J500" s="68">
        <f t="shared" si="103"/>
        <v>-4857</v>
      </c>
      <c r="K500" s="68">
        <f t="shared" si="104"/>
        <v>-217</v>
      </c>
      <c r="L500" s="68">
        <f t="shared" si="105"/>
        <v>-1826</v>
      </c>
      <c r="M500" s="68">
        <f t="shared" si="106"/>
        <v>-2187</v>
      </c>
      <c r="N500" s="68">
        <f t="shared" si="107"/>
        <v>219</v>
      </c>
      <c r="O500" s="68">
        <f t="shared" si="108"/>
        <v>90</v>
      </c>
      <c r="P500" s="68">
        <f t="shared" si="109"/>
        <v>-687</v>
      </c>
      <c r="Q500" s="68" t="str">
        <f t="shared" si="110"/>
        <v/>
      </c>
      <c r="R500" s="69">
        <f t="shared" si="111"/>
        <v>983</v>
      </c>
      <c r="U500" s="5">
        <v>44628</v>
      </c>
      <c r="V500">
        <v>-20792</v>
      </c>
      <c r="W500">
        <v>29273</v>
      </c>
      <c r="X500">
        <v>-9465</v>
      </c>
      <c r="Y500">
        <v>-4857</v>
      </c>
      <c r="Z500">
        <v>-217</v>
      </c>
      <c r="AA500">
        <v>-1826</v>
      </c>
      <c r="AB500">
        <v>-2187</v>
      </c>
      <c r="AC500">
        <v>219</v>
      </c>
      <c r="AD500">
        <v>90</v>
      </c>
      <c r="AE500">
        <v>-687</v>
      </c>
      <c r="AF500">
        <v>0</v>
      </c>
      <c r="AG500">
        <v>983</v>
      </c>
    </row>
    <row r="501" spans="6:33">
      <c r="F501" s="74">
        <f t="shared" si="99"/>
        <v>44627</v>
      </c>
      <c r="G501" s="72">
        <f t="shared" si="100"/>
        <v>-33534</v>
      </c>
      <c r="H501" s="68">
        <f t="shared" si="101"/>
        <v>45556</v>
      </c>
      <c r="I501" s="68">
        <f t="shared" si="102"/>
        <v>-12010</v>
      </c>
      <c r="J501" s="68">
        <f t="shared" si="103"/>
        <v>-9984</v>
      </c>
      <c r="K501" s="68">
        <f t="shared" si="104"/>
        <v>105</v>
      </c>
      <c r="L501" s="68">
        <f t="shared" si="105"/>
        <v>-87</v>
      </c>
      <c r="M501" s="68">
        <f t="shared" si="106"/>
        <v>-1809</v>
      </c>
      <c r="N501" s="68">
        <f t="shared" si="107"/>
        <v>79</v>
      </c>
      <c r="O501" s="68">
        <f t="shared" si="108"/>
        <v>198</v>
      </c>
      <c r="P501" s="68">
        <f t="shared" si="109"/>
        <v>-512</v>
      </c>
      <c r="Q501" s="68" t="str">
        <f t="shared" si="110"/>
        <v/>
      </c>
      <c r="R501" s="69">
        <f t="shared" si="111"/>
        <v>-13</v>
      </c>
      <c r="U501" s="5">
        <v>44627</v>
      </c>
      <c r="V501">
        <v>-33534</v>
      </c>
      <c r="W501">
        <v>45556</v>
      </c>
      <c r="X501">
        <v>-12010</v>
      </c>
      <c r="Y501">
        <v>-9984</v>
      </c>
      <c r="Z501">
        <v>105</v>
      </c>
      <c r="AA501">
        <v>-87</v>
      </c>
      <c r="AB501">
        <v>-1809</v>
      </c>
      <c r="AC501">
        <v>79</v>
      </c>
      <c r="AD501">
        <v>198</v>
      </c>
      <c r="AE501">
        <v>-512</v>
      </c>
      <c r="AF501">
        <v>0</v>
      </c>
      <c r="AG501">
        <v>-13</v>
      </c>
    </row>
    <row r="502" spans="6:33">
      <c r="F502" s="74">
        <f t="shared" si="99"/>
        <v>44624</v>
      </c>
      <c r="G502" s="72">
        <f t="shared" si="100"/>
        <v>-9764</v>
      </c>
      <c r="H502" s="68">
        <f t="shared" si="101"/>
        <v>18031</v>
      </c>
      <c r="I502" s="68">
        <f t="shared" si="102"/>
        <v>-9043</v>
      </c>
      <c r="J502" s="68">
        <f t="shared" si="103"/>
        <v>-13761</v>
      </c>
      <c r="K502" s="68">
        <f t="shared" si="104"/>
        <v>971</v>
      </c>
      <c r="L502" s="68">
        <f t="shared" si="105"/>
        <v>430</v>
      </c>
      <c r="M502" s="68">
        <f t="shared" si="106"/>
        <v>752</v>
      </c>
      <c r="N502" s="68">
        <f t="shared" si="107"/>
        <v>202</v>
      </c>
      <c r="O502" s="68">
        <f t="shared" si="108"/>
        <v>281</v>
      </c>
      <c r="P502" s="68">
        <f t="shared" si="109"/>
        <v>2082</v>
      </c>
      <c r="Q502" s="68" t="str">
        <f t="shared" si="110"/>
        <v/>
      </c>
      <c r="R502" s="69">
        <f t="shared" si="111"/>
        <v>777</v>
      </c>
      <c r="U502" s="5">
        <v>44624</v>
      </c>
      <c r="V502">
        <v>-9764</v>
      </c>
      <c r="W502">
        <v>18031</v>
      </c>
      <c r="X502">
        <v>-9043</v>
      </c>
      <c r="Y502">
        <v>-13761</v>
      </c>
      <c r="Z502">
        <v>971</v>
      </c>
      <c r="AA502">
        <v>430</v>
      </c>
      <c r="AB502">
        <v>752</v>
      </c>
      <c r="AC502">
        <v>202</v>
      </c>
      <c r="AD502">
        <v>281</v>
      </c>
      <c r="AE502">
        <v>2082</v>
      </c>
      <c r="AF502">
        <v>0</v>
      </c>
      <c r="AG502">
        <v>777</v>
      </c>
    </row>
    <row r="503" spans="6:33">
      <c r="F503" s="74">
        <f t="shared" si="99"/>
        <v>44623</v>
      </c>
      <c r="G503" s="72">
        <f t="shared" si="100"/>
        <v>-104</v>
      </c>
      <c r="H503" s="68">
        <f t="shared" si="101"/>
        <v>-5284</v>
      </c>
      <c r="I503" s="68">
        <f t="shared" si="102"/>
        <v>5885</v>
      </c>
      <c r="J503" s="68">
        <f t="shared" si="103"/>
        <v>1680</v>
      </c>
      <c r="K503" s="68">
        <f t="shared" si="104"/>
        <v>25</v>
      </c>
      <c r="L503" s="68">
        <f t="shared" si="105"/>
        <v>606</v>
      </c>
      <c r="M503" s="68">
        <f t="shared" si="106"/>
        <v>1015</v>
      </c>
      <c r="N503" s="68">
        <f t="shared" si="107"/>
        <v>155</v>
      </c>
      <c r="O503" s="68">
        <f t="shared" si="108"/>
        <v>-101</v>
      </c>
      <c r="P503" s="68">
        <f t="shared" si="109"/>
        <v>2505</v>
      </c>
      <c r="Q503" s="68" t="str">
        <f t="shared" si="110"/>
        <v/>
      </c>
      <c r="R503" s="69">
        <f t="shared" si="111"/>
        <v>-497</v>
      </c>
      <c r="U503" s="5">
        <v>44623</v>
      </c>
      <c r="V503">
        <v>-104</v>
      </c>
      <c r="W503">
        <v>-5284</v>
      </c>
      <c r="X503">
        <v>5885</v>
      </c>
      <c r="Y503">
        <v>1680</v>
      </c>
      <c r="Z503">
        <v>25</v>
      </c>
      <c r="AA503">
        <v>606</v>
      </c>
      <c r="AB503">
        <v>1015</v>
      </c>
      <c r="AC503">
        <v>155</v>
      </c>
      <c r="AD503">
        <v>-101</v>
      </c>
      <c r="AE503">
        <v>2505</v>
      </c>
      <c r="AF503">
        <v>0</v>
      </c>
      <c r="AG503">
        <v>-497</v>
      </c>
    </row>
    <row r="504" spans="6:33">
      <c r="F504" s="74">
        <f t="shared" si="99"/>
        <v>44622</v>
      </c>
      <c r="G504" s="72">
        <f t="shared" si="100"/>
        <v>8040</v>
      </c>
      <c r="H504" s="68">
        <f t="shared" si="101"/>
        <v>-5735</v>
      </c>
      <c r="I504" s="68">
        <f t="shared" si="102"/>
        <v>-2746</v>
      </c>
      <c r="J504" s="68">
        <f t="shared" si="103"/>
        <v>-1107</v>
      </c>
      <c r="K504" s="68">
        <f t="shared" si="104"/>
        <v>-751</v>
      </c>
      <c r="L504" s="68">
        <f t="shared" si="105"/>
        <v>-535</v>
      </c>
      <c r="M504" s="68">
        <f t="shared" si="106"/>
        <v>605</v>
      </c>
      <c r="N504" s="68">
        <f t="shared" si="107"/>
        <v>57</v>
      </c>
      <c r="O504" s="68">
        <f t="shared" si="108"/>
        <v>117</v>
      </c>
      <c r="P504" s="68">
        <f t="shared" si="109"/>
        <v>-1132</v>
      </c>
      <c r="Q504" s="68" t="str">
        <f t="shared" si="110"/>
        <v/>
      </c>
      <c r="R504" s="69">
        <f t="shared" si="111"/>
        <v>440</v>
      </c>
      <c r="U504" s="5">
        <v>44622</v>
      </c>
      <c r="V504">
        <v>8040</v>
      </c>
      <c r="W504">
        <v>-5735</v>
      </c>
      <c r="X504">
        <v>-2746</v>
      </c>
      <c r="Y504">
        <v>-1107</v>
      </c>
      <c r="Z504">
        <v>-751</v>
      </c>
      <c r="AA504">
        <v>-535</v>
      </c>
      <c r="AB504">
        <v>605</v>
      </c>
      <c r="AC504">
        <v>57</v>
      </c>
      <c r="AD504">
        <v>117</v>
      </c>
      <c r="AE504">
        <v>-1132</v>
      </c>
      <c r="AF504">
        <v>0</v>
      </c>
      <c r="AG504">
        <v>440</v>
      </c>
    </row>
    <row r="505" spans="6:33">
      <c r="F505" s="74">
        <f t="shared" si="99"/>
        <v>44620</v>
      </c>
      <c r="G505" s="72">
        <f t="shared" si="100"/>
        <v>9629</v>
      </c>
      <c r="H505" s="68">
        <f t="shared" si="101"/>
        <v>-7344</v>
      </c>
      <c r="I505" s="68">
        <f t="shared" si="102"/>
        <v>-2269</v>
      </c>
      <c r="J505" s="68">
        <f t="shared" si="103"/>
        <v>-4444</v>
      </c>
      <c r="K505" s="68">
        <f t="shared" si="104"/>
        <v>-752</v>
      </c>
      <c r="L505" s="68">
        <f t="shared" si="105"/>
        <v>858</v>
      </c>
      <c r="M505" s="68">
        <f t="shared" si="106"/>
        <v>445</v>
      </c>
      <c r="N505" s="68">
        <f t="shared" si="107"/>
        <v>-79</v>
      </c>
      <c r="O505" s="68">
        <f t="shared" si="108"/>
        <v>-49</v>
      </c>
      <c r="P505" s="68">
        <f t="shared" si="109"/>
        <v>1752</v>
      </c>
      <c r="Q505" s="68" t="str">
        <f t="shared" si="110"/>
        <v/>
      </c>
      <c r="R505" s="69">
        <f t="shared" si="111"/>
        <v>-14</v>
      </c>
      <c r="U505" s="5">
        <v>44620</v>
      </c>
      <c r="V505">
        <v>9629</v>
      </c>
      <c r="W505">
        <v>-7344</v>
      </c>
      <c r="X505">
        <v>-2269</v>
      </c>
      <c r="Y505">
        <v>-4444</v>
      </c>
      <c r="Z505">
        <v>-752</v>
      </c>
      <c r="AA505">
        <v>858</v>
      </c>
      <c r="AB505">
        <v>445</v>
      </c>
      <c r="AC505">
        <v>-79</v>
      </c>
      <c r="AD505">
        <v>-49</v>
      </c>
      <c r="AE505">
        <v>1752</v>
      </c>
      <c r="AF505">
        <v>0</v>
      </c>
      <c r="AG505">
        <v>-14</v>
      </c>
    </row>
    <row r="506" spans="6:33">
      <c r="F506" s="74">
        <f t="shared" si="99"/>
        <v>44617</v>
      </c>
      <c r="G506" s="72">
        <f t="shared" si="100"/>
        <v>8307</v>
      </c>
      <c r="H506" s="68">
        <f t="shared" si="101"/>
        <v>-12354</v>
      </c>
      <c r="I506" s="68">
        <f t="shared" si="102"/>
        <v>3244</v>
      </c>
      <c r="J506" s="68">
        <f t="shared" si="103"/>
        <v>5553</v>
      </c>
      <c r="K506" s="68">
        <f t="shared" si="104"/>
        <v>-860</v>
      </c>
      <c r="L506" s="68">
        <f t="shared" si="105"/>
        <v>-48</v>
      </c>
      <c r="M506" s="68">
        <f t="shared" si="106"/>
        <v>-311</v>
      </c>
      <c r="N506" s="68">
        <f t="shared" si="107"/>
        <v>166</v>
      </c>
      <c r="O506" s="68">
        <f t="shared" si="108"/>
        <v>2</v>
      </c>
      <c r="P506" s="68">
        <f t="shared" si="109"/>
        <v>-1258</v>
      </c>
      <c r="Q506" s="68" t="str">
        <f t="shared" si="110"/>
        <v/>
      </c>
      <c r="R506" s="69">
        <f t="shared" si="111"/>
        <v>804</v>
      </c>
      <c r="U506" s="5">
        <v>44617</v>
      </c>
      <c r="V506">
        <v>8307</v>
      </c>
      <c r="W506">
        <v>-12354</v>
      </c>
      <c r="X506">
        <v>3244</v>
      </c>
      <c r="Y506">
        <v>5553</v>
      </c>
      <c r="Z506">
        <v>-860</v>
      </c>
      <c r="AA506">
        <v>-48</v>
      </c>
      <c r="AB506">
        <v>-311</v>
      </c>
      <c r="AC506">
        <v>166</v>
      </c>
      <c r="AD506">
        <v>2</v>
      </c>
      <c r="AE506">
        <v>-1258</v>
      </c>
      <c r="AF506">
        <v>0</v>
      </c>
      <c r="AG506">
        <v>804</v>
      </c>
    </row>
    <row r="507" spans="6:33">
      <c r="F507" s="74">
        <f t="shared" si="99"/>
        <v>44616</v>
      </c>
      <c r="G507" s="72">
        <f t="shared" si="100"/>
        <v>-14443</v>
      </c>
      <c r="H507" s="68">
        <f t="shared" si="101"/>
        <v>20728</v>
      </c>
      <c r="I507" s="68">
        <f t="shared" si="102"/>
        <v>-4386</v>
      </c>
      <c r="J507" s="68">
        <f t="shared" si="103"/>
        <v>-4899</v>
      </c>
      <c r="K507" s="68">
        <f t="shared" si="104"/>
        <v>-320</v>
      </c>
      <c r="L507" s="68">
        <f t="shared" si="105"/>
        <v>893</v>
      </c>
      <c r="M507" s="68">
        <f t="shared" si="106"/>
        <v>65</v>
      </c>
      <c r="N507" s="68">
        <f t="shared" si="107"/>
        <v>169</v>
      </c>
      <c r="O507" s="68">
        <f t="shared" si="108"/>
        <v>414</v>
      </c>
      <c r="P507" s="68">
        <f t="shared" si="109"/>
        <v>-708</v>
      </c>
      <c r="Q507" s="68" t="str">
        <f t="shared" si="110"/>
        <v/>
      </c>
      <c r="R507" s="69">
        <f t="shared" si="111"/>
        <v>-1898</v>
      </c>
      <c r="U507" s="5">
        <v>44616</v>
      </c>
      <c r="V507">
        <v>-14443</v>
      </c>
      <c r="W507">
        <v>20728</v>
      </c>
      <c r="X507">
        <v>-4386</v>
      </c>
      <c r="Y507">
        <v>-4899</v>
      </c>
      <c r="Z507">
        <v>-320</v>
      </c>
      <c r="AA507">
        <v>893</v>
      </c>
      <c r="AB507">
        <v>65</v>
      </c>
      <c r="AC507">
        <v>169</v>
      </c>
      <c r="AD507">
        <v>414</v>
      </c>
      <c r="AE507">
        <v>-708</v>
      </c>
      <c r="AF507">
        <v>0</v>
      </c>
      <c r="AG507">
        <v>-1898</v>
      </c>
    </row>
    <row r="508" spans="6:33">
      <c r="F508" s="74">
        <f t="shared" si="99"/>
        <v>44615</v>
      </c>
      <c r="G508" s="72">
        <f t="shared" si="100"/>
        <v>5984</v>
      </c>
      <c r="H508" s="68">
        <f t="shared" si="101"/>
        <v>-12620</v>
      </c>
      <c r="I508" s="68">
        <f t="shared" si="102"/>
        <v>6187</v>
      </c>
      <c r="J508" s="68">
        <f t="shared" si="103"/>
        <v>4687</v>
      </c>
      <c r="K508" s="68">
        <f t="shared" si="104"/>
        <v>-773</v>
      </c>
      <c r="L508" s="68">
        <f t="shared" si="105"/>
        <v>343</v>
      </c>
      <c r="M508" s="68">
        <f t="shared" si="106"/>
        <v>500</v>
      </c>
      <c r="N508" s="68">
        <f t="shared" si="107"/>
        <v>31</v>
      </c>
      <c r="O508" s="68">
        <f t="shared" si="108"/>
        <v>65</v>
      </c>
      <c r="P508" s="68">
        <f t="shared" si="109"/>
        <v>1334</v>
      </c>
      <c r="Q508" s="68" t="str">
        <f t="shared" si="110"/>
        <v/>
      </c>
      <c r="R508" s="69">
        <f t="shared" si="111"/>
        <v>449</v>
      </c>
      <c r="U508" s="5">
        <v>44615</v>
      </c>
      <c r="V508">
        <v>5984</v>
      </c>
      <c r="W508">
        <v>-12620</v>
      </c>
      <c r="X508">
        <v>6187</v>
      </c>
      <c r="Y508">
        <v>4687</v>
      </c>
      <c r="Z508">
        <v>-773</v>
      </c>
      <c r="AA508">
        <v>343</v>
      </c>
      <c r="AB508">
        <v>500</v>
      </c>
      <c r="AC508">
        <v>31</v>
      </c>
      <c r="AD508">
        <v>65</v>
      </c>
      <c r="AE508">
        <v>1334</v>
      </c>
      <c r="AF508">
        <v>0</v>
      </c>
      <c r="AG508">
        <v>449</v>
      </c>
    </row>
    <row r="509" spans="6:33">
      <c r="F509" s="74">
        <f t="shared" si="99"/>
        <v>44614</v>
      </c>
      <c r="G509" s="72">
        <f t="shared" si="100"/>
        <v>-12837</v>
      </c>
      <c r="H509" s="68">
        <f t="shared" si="101"/>
        <v>16724</v>
      </c>
      <c r="I509" s="68">
        <f t="shared" si="102"/>
        <v>-4564</v>
      </c>
      <c r="J509" s="68">
        <f t="shared" si="103"/>
        <v>-3135</v>
      </c>
      <c r="K509" s="68">
        <f t="shared" si="104"/>
        <v>-606</v>
      </c>
      <c r="L509" s="68">
        <f t="shared" si="105"/>
        <v>-96</v>
      </c>
      <c r="M509" s="68">
        <f t="shared" si="106"/>
        <v>-593</v>
      </c>
      <c r="N509" s="68">
        <f t="shared" si="107"/>
        <v>46</v>
      </c>
      <c r="O509" s="68">
        <f t="shared" si="108"/>
        <v>176</v>
      </c>
      <c r="P509" s="68">
        <f t="shared" si="109"/>
        <v>-356</v>
      </c>
      <c r="Q509" s="68" t="str">
        <f t="shared" si="110"/>
        <v/>
      </c>
      <c r="R509" s="69">
        <f t="shared" si="111"/>
        <v>676</v>
      </c>
      <c r="U509" s="5">
        <v>44614</v>
      </c>
      <c r="V509">
        <v>-12837</v>
      </c>
      <c r="W509">
        <v>16724</v>
      </c>
      <c r="X509">
        <v>-4564</v>
      </c>
      <c r="Y509">
        <v>-3135</v>
      </c>
      <c r="Z509">
        <v>-606</v>
      </c>
      <c r="AA509">
        <v>-96</v>
      </c>
      <c r="AB509">
        <v>-593</v>
      </c>
      <c r="AC509">
        <v>46</v>
      </c>
      <c r="AD509">
        <v>176</v>
      </c>
      <c r="AE509">
        <v>-356</v>
      </c>
      <c r="AF509">
        <v>0</v>
      </c>
      <c r="AG509">
        <v>676</v>
      </c>
    </row>
    <row r="510" spans="6:33">
      <c r="F510" s="74">
        <f t="shared" si="99"/>
        <v>44613</v>
      </c>
      <c r="G510" s="72">
        <f t="shared" si="100"/>
        <v>-5452</v>
      </c>
      <c r="H510" s="68">
        <f t="shared" si="101"/>
        <v>4219</v>
      </c>
      <c r="I510" s="68">
        <f t="shared" si="102"/>
        <v>-1101</v>
      </c>
      <c r="J510" s="68">
        <f t="shared" si="103"/>
        <v>-1259</v>
      </c>
      <c r="K510" s="68">
        <f t="shared" si="104"/>
        <v>449</v>
      </c>
      <c r="L510" s="68">
        <f t="shared" si="105"/>
        <v>711</v>
      </c>
      <c r="M510" s="68">
        <f t="shared" si="106"/>
        <v>-962</v>
      </c>
      <c r="N510" s="68">
        <f t="shared" si="107"/>
        <v>13</v>
      </c>
      <c r="O510" s="68">
        <f t="shared" si="108"/>
        <v>196</v>
      </c>
      <c r="P510" s="68">
        <f t="shared" si="109"/>
        <v>-249</v>
      </c>
      <c r="Q510" s="68" t="str">
        <f t="shared" si="110"/>
        <v/>
      </c>
      <c r="R510" s="69">
        <f t="shared" si="111"/>
        <v>2335</v>
      </c>
      <c r="U510" s="5">
        <v>44613</v>
      </c>
      <c r="V510">
        <v>-5452</v>
      </c>
      <c r="W510">
        <v>4219</v>
      </c>
      <c r="X510">
        <v>-1101</v>
      </c>
      <c r="Y510">
        <v>-1259</v>
      </c>
      <c r="Z510">
        <v>449</v>
      </c>
      <c r="AA510">
        <v>711</v>
      </c>
      <c r="AB510">
        <v>-962</v>
      </c>
      <c r="AC510">
        <v>13</v>
      </c>
      <c r="AD510">
        <v>196</v>
      </c>
      <c r="AE510">
        <v>-249</v>
      </c>
      <c r="AF510">
        <v>0</v>
      </c>
      <c r="AG510">
        <v>2335</v>
      </c>
    </row>
    <row r="511" spans="6:33">
      <c r="F511" s="74">
        <f t="shared" si="99"/>
        <v>44610</v>
      </c>
      <c r="G511" s="72">
        <f t="shared" si="100"/>
        <v>10044</v>
      </c>
      <c r="H511" s="68">
        <f t="shared" si="101"/>
        <v>-12261</v>
      </c>
      <c r="I511" s="68">
        <f t="shared" si="102"/>
        <v>2544</v>
      </c>
      <c r="J511" s="68">
        <f t="shared" si="103"/>
        <v>1264</v>
      </c>
      <c r="K511" s="68">
        <f t="shared" si="104"/>
        <v>-237</v>
      </c>
      <c r="L511" s="68">
        <f t="shared" si="105"/>
        <v>-759</v>
      </c>
      <c r="M511" s="68">
        <f t="shared" si="106"/>
        <v>-63</v>
      </c>
      <c r="N511" s="68">
        <f t="shared" si="107"/>
        <v>17</v>
      </c>
      <c r="O511" s="68">
        <f t="shared" si="108"/>
        <v>462</v>
      </c>
      <c r="P511" s="68">
        <f t="shared" si="109"/>
        <v>1860</v>
      </c>
      <c r="Q511" s="68" t="str">
        <f t="shared" si="110"/>
        <v/>
      </c>
      <c r="R511" s="69">
        <f t="shared" si="111"/>
        <v>-328</v>
      </c>
      <c r="U511" s="5">
        <v>44610</v>
      </c>
      <c r="V511">
        <v>10044</v>
      </c>
      <c r="W511">
        <v>-12261</v>
      </c>
      <c r="X511">
        <v>2544</v>
      </c>
      <c r="Y511">
        <v>1264</v>
      </c>
      <c r="Z511">
        <v>-237</v>
      </c>
      <c r="AA511">
        <v>-759</v>
      </c>
      <c r="AB511">
        <v>-63</v>
      </c>
      <c r="AC511">
        <v>17</v>
      </c>
      <c r="AD511">
        <v>462</v>
      </c>
      <c r="AE511">
        <v>1860</v>
      </c>
      <c r="AF511">
        <v>0</v>
      </c>
      <c r="AG511">
        <v>-328</v>
      </c>
    </row>
    <row r="512" spans="6:33">
      <c r="F512" s="74">
        <f t="shared" si="99"/>
        <v>44609</v>
      </c>
      <c r="G512" s="72">
        <f t="shared" si="100"/>
        <v>18176</v>
      </c>
      <c r="H512" s="68">
        <f t="shared" si="101"/>
        <v>-24145</v>
      </c>
      <c r="I512" s="68">
        <f t="shared" si="102"/>
        <v>5800</v>
      </c>
      <c r="J512" s="68">
        <f t="shared" si="103"/>
        <v>2115</v>
      </c>
      <c r="K512" s="68">
        <f t="shared" si="104"/>
        <v>-193</v>
      </c>
      <c r="L512" s="68">
        <f t="shared" si="105"/>
        <v>3136</v>
      </c>
      <c r="M512" s="68">
        <f t="shared" si="106"/>
        <v>47</v>
      </c>
      <c r="N512" s="68">
        <f t="shared" si="107"/>
        <v>9</v>
      </c>
      <c r="O512" s="68">
        <f t="shared" si="108"/>
        <v>-114</v>
      </c>
      <c r="P512" s="68">
        <f t="shared" si="109"/>
        <v>800</v>
      </c>
      <c r="Q512" s="68" t="str">
        <f t="shared" si="110"/>
        <v/>
      </c>
      <c r="R512" s="69">
        <f t="shared" si="111"/>
        <v>169</v>
      </c>
      <c r="U512" s="5">
        <v>44609</v>
      </c>
      <c r="V512">
        <v>18176</v>
      </c>
      <c r="W512">
        <v>-24145</v>
      </c>
      <c r="X512">
        <v>5800</v>
      </c>
      <c r="Y512">
        <v>2115</v>
      </c>
      <c r="Z512">
        <v>-193</v>
      </c>
      <c r="AA512">
        <v>3136</v>
      </c>
      <c r="AB512">
        <v>47</v>
      </c>
      <c r="AC512">
        <v>9</v>
      </c>
      <c r="AD512">
        <v>-114</v>
      </c>
      <c r="AE512">
        <v>800</v>
      </c>
      <c r="AF512">
        <v>0</v>
      </c>
      <c r="AG512">
        <v>169</v>
      </c>
    </row>
    <row r="513" spans="6:33">
      <c r="F513" s="74">
        <f t="shared" si="99"/>
        <v>44608</v>
      </c>
      <c r="G513" s="72">
        <f t="shared" si="100"/>
        <v>23406</v>
      </c>
      <c r="H513" s="68">
        <f t="shared" si="101"/>
        <v>-29646</v>
      </c>
      <c r="I513" s="68">
        <f t="shared" si="102"/>
        <v>4768</v>
      </c>
      <c r="J513" s="68">
        <f t="shared" si="103"/>
        <v>4424</v>
      </c>
      <c r="K513" s="68">
        <f t="shared" si="104"/>
        <v>90</v>
      </c>
      <c r="L513" s="68">
        <f t="shared" si="105"/>
        <v>897</v>
      </c>
      <c r="M513" s="68">
        <f t="shared" si="106"/>
        <v>-475</v>
      </c>
      <c r="N513" s="68">
        <f t="shared" si="107"/>
        <v>-24</v>
      </c>
      <c r="O513" s="68">
        <f t="shared" si="108"/>
        <v>-38</v>
      </c>
      <c r="P513" s="68">
        <f t="shared" si="109"/>
        <v>-106</v>
      </c>
      <c r="Q513" s="68" t="str">
        <f t="shared" si="110"/>
        <v/>
      </c>
      <c r="R513" s="69">
        <f t="shared" si="111"/>
        <v>1473</v>
      </c>
      <c r="U513" s="5">
        <v>44608</v>
      </c>
      <c r="V513">
        <v>23406</v>
      </c>
      <c r="W513">
        <v>-29646</v>
      </c>
      <c r="X513">
        <v>4768</v>
      </c>
      <c r="Y513">
        <v>4424</v>
      </c>
      <c r="Z513">
        <v>90</v>
      </c>
      <c r="AA513">
        <v>897</v>
      </c>
      <c r="AB513">
        <v>-475</v>
      </c>
      <c r="AC513">
        <v>-24</v>
      </c>
      <c r="AD513">
        <v>-38</v>
      </c>
      <c r="AE513">
        <v>-106</v>
      </c>
      <c r="AF513">
        <v>0</v>
      </c>
      <c r="AG513">
        <v>1473</v>
      </c>
    </row>
    <row r="514" spans="6:33">
      <c r="F514" s="74">
        <f t="shared" si="99"/>
        <v>44607</v>
      </c>
      <c r="G514" s="72">
        <f t="shared" si="100"/>
        <v>-4079</v>
      </c>
      <c r="H514" s="68">
        <f t="shared" si="101"/>
        <v>3819</v>
      </c>
      <c r="I514" s="68">
        <f t="shared" si="102"/>
        <v>269</v>
      </c>
      <c r="J514" s="68">
        <f t="shared" si="103"/>
        <v>3535</v>
      </c>
      <c r="K514" s="68">
        <f t="shared" si="104"/>
        <v>-381</v>
      </c>
      <c r="L514" s="68">
        <f t="shared" si="105"/>
        <v>-24</v>
      </c>
      <c r="M514" s="68">
        <f t="shared" si="106"/>
        <v>-1141</v>
      </c>
      <c r="N514" s="68">
        <f t="shared" si="107"/>
        <v>-42</v>
      </c>
      <c r="O514" s="68">
        <f t="shared" si="108"/>
        <v>182</v>
      </c>
      <c r="P514" s="68">
        <f t="shared" si="109"/>
        <v>-1860</v>
      </c>
      <c r="Q514" s="68" t="str">
        <f t="shared" si="110"/>
        <v/>
      </c>
      <c r="R514" s="69">
        <f t="shared" si="111"/>
        <v>-9</v>
      </c>
      <c r="U514" s="5">
        <v>44607</v>
      </c>
      <c r="V514">
        <v>-4079</v>
      </c>
      <c r="W514">
        <v>3819</v>
      </c>
      <c r="X514">
        <v>269</v>
      </c>
      <c r="Y514">
        <v>3535</v>
      </c>
      <c r="Z514">
        <v>-381</v>
      </c>
      <c r="AA514">
        <v>-24</v>
      </c>
      <c r="AB514">
        <v>-1141</v>
      </c>
      <c r="AC514">
        <v>-42</v>
      </c>
      <c r="AD514">
        <v>182</v>
      </c>
      <c r="AE514">
        <v>-1860</v>
      </c>
      <c r="AF514">
        <v>0</v>
      </c>
      <c r="AG514">
        <v>-9</v>
      </c>
    </row>
    <row r="515" spans="6:33">
      <c r="F515" s="74">
        <f t="shared" si="99"/>
        <v>44606</v>
      </c>
      <c r="G515" s="72">
        <f t="shared" si="100"/>
        <v>-9050</v>
      </c>
      <c r="H515" s="68">
        <f t="shared" si="101"/>
        <v>2859</v>
      </c>
      <c r="I515" s="68">
        <f t="shared" si="102"/>
        <v>5444</v>
      </c>
      <c r="J515" s="68">
        <f t="shared" si="103"/>
        <v>1551</v>
      </c>
      <c r="K515" s="68">
        <f t="shared" si="104"/>
        <v>237</v>
      </c>
      <c r="L515" s="68">
        <f t="shared" si="105"/>
        <v>315</v>
      </c>
      <c r="M515" s="68">
        <f t="shared" si="106"/>
        <v>-50</v>
      </c>
      <c r="N515" s="68">
        <f t="shared" si="107"/>
        <v>24</v>
      </c>
      <c r="O515" s="68">
        <f t="shared" si="108"/>
        <v>-44</v>
      </c>
      <c r="P515" s="68">
        <f t="shared" si="109"/>
        <v>3411</v>
      </c>
      <c r="Q515" s="68" t="str">
        <f t="shared" si="110"/>
        <v/>
      </c>
      <c r="R515" s="69">
        <f t="shared" si="111"/>
        <v>748</v>
      </c>
      <c r="U515" s="5">
        <v>44606</v>
      </c>
      <c r="V515">
        <v>-9050</v>
      </c>
      <c r="W515">
        <v>2859</v>
      </c>
      <c r="X515">
        <v>5444</v>
      </c>
      <c r="Y515">
        <v>1551</v>
      </c>
      <c r="Z515">
        <v>237</v>
      </c>
      <c r="AA515">
        <v>315</v>
      </c>
      <c r="AB515">
        <v>-50</v>
      </c>
      <c r="AC515">
        <v>24</v>
      </c>
      <c r="AD515">
        <v>-44</v>
      </c>
      <c r="AE515">
        <v>3411</v>
      </c>
      <c r="AF515">
        <v>0</v>
      </c>
      <c r="AG515">
        <v>748</v>
      </c>
    </row>
    <row r="516" spans="6:33">
      <c r="F516" s="74">
        <f t="shared" si="99"/>
        <v>44603</v>
      </c>
      <c r="G516" s="72">
        <f t="shared" si="100"/>
        <v>15600</v>
      </c>
      <c r="H516" s="68">
        <f t="shared" si="101"/>
        <v>5657</v>
      </c>
      <c r="I516" s="68">
        <f t="shared" si="102"/>
        <v>-20741</v>
      </c>
      <c r="J516" s="68">
        <f t="shared" si="103"/>
        <v>-5280</v>
      </c>
      <c r="K516" s="68">
        <f t="shared" si="104"/>
        <v>333</v>
      </c>
      <c r="L516" s="68">
        <f t="shared" si="105"/>
        <v>928</v>
      </c>
      <c r="M516" s="68">
        <f t="shared" si="106"/>
        <v>-498</v>
      </c>
      <c r="N516" s="68">
        <f t="shared" si="107"/>
        <v>7</v>
      </c>
      <c r="O516" s="68">
        <f t="shared" si="108"/>
        <v>-219</v>
      </c>
      <c r="P516" s="68">
        <f t="shared" si="109"/>
        <v>-16012</v>
      </c>
      <c r="Q516" s="68" t="str">
        <f t="shared" si="110"/>
        <v/>
      </c>
      <c r="R516" s="69">
        <f t="shared" si="111"/>
        <v>-515</v>
      </c>
      <c r="U516" s="5">
        <v>44603</v>
      </c>
      <c r="V516">
        <v>15600</v>
      </c>
      <c r="W516">
        <v>5657</v>
      </c>
      <c r="X516">
        <v>-20741</v>
      </c>
      <c r="Y516">
        <v>-5280</v>
      </c>
      <c r="Z516">
        <v>333</v>
      </c>
      <c r="AA516">
        <v>928</v>
      </c>
      <c r="AB516">
        <v>-498</v>
      </c>
      <c r="AC516">
        <v>7</v>
      </c>
      <c r="AD516">
        <v>-219</v>
      </c>
      <c r="AE516">
        <v>-16012</v>
      </c>
      <c r="AF516">
        <v>0</v>
      </c>
      <c r="AG516">
        <v>-515</v>
      </c>
    </row>
    <row r="517" spans="6:33">
      <c r="F517" s="74">
        <f t="shared" si="99"/>
        <v>44602</v>
      </c>
      <c r="G517" s="72">
        <f t="shared" si="100"/>
        <v>11331</v>
      </c>
      <c r="H517" s="68">
        <f t="shared" si="101"/>
        <v>-2534</v>
      </c>
      <c r="I517" s="68">
        <f t="shared" si="102"/>
        <v>-9451</v>
      </c>
      <c r="J517" s="68">
        <f t="shared" si="103"/>
        <v>-7767</v>
      </c>
      <c r="K517" s="68">
        <f t="shared" si="104"/>
        <v>-144</v>
      </c>
      <c r="L517" s="68">
        <f t="shared" si="105"/>
        <v>-503</v>
      </c>
      <c r="M517" s="68">
        <f t="shared" si="106"/>
        <v>-558</v>
      </c>
      <c r="N517" s="68">
        <f t="shared" si="107"/>
        <v>43</v>
      </c>
      <c r="O517" s="68">
        <f t="shared" si="108"/>
        <v>-227</v>
      </c>
      <c r="P517" s="68">
        <f t="shared" si="109"/>
        <v>-295</v>
      </c>
      <c r="Q517" s="68" t="str">
        <f t="shared" si="110"/>
        <v/>
      </c>
      <c r="R517" s="69">
        <f t="shared" si="111"/>
        <v>653</v>
      </c>
      <c r="U517" s="5">
        <v>44602</v>
      </c>
      <c r="V517">
        <v>11331</v>
      </c>
      <c r="W517">
        <v>-2534</v>
      </c>
      <c r="X517">
        <v>-9451</v>
      </c>
      <c r="Y517">
        <v>-7767</v>
      </c>
      <c r="Z517">
        <v>-144</v>
      </c>
      <c r="AA517">
        <v>-503</v>
      </c>
      <c r="AB517">
        <v>-558</v>
      </c>
      <c r="AC517">
        <v>43</v>
      </c>
      <c r="AD517">
        <v>-227</v>
      </c>
      <c r="AE517">
        <v>-295</v>
      </c>
      <c r="AF517">
        <v>0</v>
      </c>
      <c r="AG517">
        <v>653</v>
      </c>
    </row>
    <row r="518" spans="6:33">
      <c r="F518" s="74">
        <f t="shared" si="99"/>
        <v>44601</v>
      </c>
      <c r="G518" s="72">
        <f t="shared" si="100"/>
        <v>24148</v>
      </c>
      <c r="H518" s="68">
        <f t="shared" si="101"/>
        <v>-29112</v>
      </c>
      <c r="I518" s="68">
        <f t="shared" si="102"/>
        <v>5446</v>
      </c>
      <c r="J518" s="68">
        <f t="shared" si="103"/>
        <v>3772</v>
      </c>
      <c r="K518" s="68">
        <f t="shared" si="104"/>
        <v>-14</v>
      </c>
      <c r="L518" s="68">
        <f t="shared" si="105"/>
        <v>1003</v>
      </c>
      <c r="M518" s="68">
        <f t="shared" si="106"/>
        <v>390</v>
      </c>
      <c r="N518" s="68">
        <f t="shared" si="107"/>
        <v>34</v>
      </c>
      <c r="O518" s="68">
        <f t="shared" si="108"/>
        <v>-42</v>
      </c>
      <c r="P518" s="68">
        <f t="shared" si="109"/>
        <v>303</v>
      </c>
      <c r="Q518" s="68" t="str">
        <f t="shared" si="110"/>
        <v/>
      </c>
      <c r="R518" s="69">
        <f t="shared" si="111"/>
        <v>-481</v>
      </c>
      <c r="U518" s="5">
        <v>44601</v>
      </c>
      <c r="V518">
        <v>24148</v>
      </c>
      <c r="W518">
        <v>-29112</v>
      </c>
      <c r="X518">
        <v>5446</v>
      </c>
      <c r="Y518">
        <v>3772</v>
      </c>
      <c r="Z518">
        <v>-14</v>
      </c>
      <c r="AA518">
        <v>1003</v>
      </c>
      <c r="AB518">
        <v>390</v>
      </c>
      <c r="AC518">
        <v>34</v>
      </c>
      <c r="AD518">
        <v>-42</v>
      </c>
      <c r="AE518">
        <v>303</v>
      </c>
      <c r="AF518">
        <v>0</v>
      </c>
      <c r="AG518">
        <v>-481</v>
      </c>
    </row>
    <row r="519" spans="6:33">
      <c r="F519" s="74">
        <f t="shared" si="99"/>
        <v>44600</v>
      </c>
      <c r="G519" s="72">
        <f t="shared" si="100"/>
        <v>-11926</v>
      </c>
      <c r="H519" s="68">
        <f t="shared" si="101"/>
        <v>11849</v>
      </c>
      <c r="I519" s="68">
        <f t="shared" si="102"/>
        <v>536</v>
      </c>
      <c r="J519" s="68">
        <f t="shared" si="103"/>
        <v>904</v>
      </c>
      <c r="K519" s="68">
        <f t="shared" si="104"/>
        <v>-726</v>
      </c>
      <c r="L519" s="68">
        <f t="shared" si="105"/>
        <v>449</v>
      </c>
      <c r="M519" s="68">
        <f t="shared" si="106"/>
        <v>-85</v>
      </c>
      <c r="N519" s="68">
        <f t="shared" si="107"/>
        <v>52</v>
      </c>
      <c r="O519" s="68">
        <f t="shared" si="108"/>
        <v>109</v>
      </c>
      <c r="P519" s="68">
        <f t="shared" si="109"/>
        <v>-167</v>
      </c>
      <c r="Q519" s="68" t="str">
        <f t="shared" si="110"/>
        <v/>
      </c>
      <c r="R519" s="69">
        <f t="shared" si="111"/>
        <v>-457</v>
      </c>
      <c r="U519" s="5">
        <v>44600</v>
      </c>
      <c r="V519">
        <v>-11926</v>
      </c>
      <c r="W519">
        <v>11849</v>
      </c>
      <c r="X519">
        <v>536</v>
      </c>
      <c r="Y519">
        <v>904</v>
      </c>
      <c r="Z519">
        <v>-726</v>
      </c>
      <c r="AA519">
        <v>449</v>
      </c>
      <c r="AB519">
        <v>-85</v>
      </c>
      <c r="AC519">
        <v>52</v>
      </c>
      <c r="AD519">
        <v>109</v>
      </c>
      <c r="AE519">
        <v>-167</v>
      </c>
      <c r="AF519">
        <v>0</v>
      </c>
      <c r="AG519">
        <v>-457</v>
      </c>
    </row>
    <row r="520" spans="6:33">
      <c r="F520" s="74">
        <f t="shared" si="99"/>
        <v>44599</v>
      </c>
      <c r="G520" s="72">
        <f t="shared" si="100"/>
        <v>-4522</v>
      </c>
      <c r="H520" s="68">
        <f t="shared" si="101"/>
        <v>19615</v>
      </c>
      <c r="I520" s="68">
        <f t="shared" si="102"/>
        <v>-15236</v>
      </c>
      <c r="J520" s="68">
        <f t="shared" si="103"/>
        <v>-14254</v>
      </c>
      <c r="K520" s="68">
        <f t="shared" si="104"/>
        <v>412</v>
      </c>
      <c r="L520" s="68">
        <f t="shared" si="105"/>
        <v>103</v>
      </c>
      <c r="M520" s="68">
        <f t="shared" si="106"/>
        <v>-494</v>
      </c>
      <c r="N520" s="68">
        <f t="shared" si="107"/>
        <v>-6</v>
      </c>
      <c r="O520" s="68">
        <f t="shared" si="108"/>
        <v>47</v>
      </c>
      <c r="P520" s="68">
        <f t="shared" si="109"/>
        <v>-1044</v>
      </c>
      <c r="Q520" s="68" t="str">
        <f t="shared" si="110"/>
        <v/>
      </c>
      <c r="R520" s="69">
        <f t="shared" si="111"/>
        <v>142</v>
      </c>
      <c r="U520" s="5">
        <v>44599</v>
      </c>
      <c r="V520">
        <v>-4522</v>
      </c>
      <c r="W520">
        <v>19615</v>
      </c>
      <c r="X520">
        <v>-15236</v>
      </c>
      <c r="Y520">
        <v>-14254</v>
      </c>
      <c r="Z520">
        <v>412</v>
      </c>
      <c r="AA520">
        <v>103</v>
      </c>
      <c r="AB520">
        <v>-494</v>
      </c>
      <c r="AC520">
        <v>-6</v>
      </c>
      <c r="AD520">
        <v>47</v>
      </c>
      <c r="AE520">
        <v>-1044</v>
      </c>
      <c r="AF520">
        <v>0</v>
      </c>
      <c r="AG520">
        <v>142</v>
      </c>
    </row>
    <row r="521" spans="6:33">
      <c r="F521" s="74">
        <f t="shared" si="99"/>
        <v>44596</v>
      </c>
      <c r="G521" s="72">
        <f t="shared" si="100"/>
        <v>16083</v>
      </c>
      <c r="H521" s="68">
        <f t="shared" si="101"/>
        <v>-18822</v>
      </c>
      <c r="I521" s="68">
        <f t="shared" si="102"/>
        <v>2558</v>
      </c>
      <c r="J521" s="68">
        <f t="shared" si="103"/>
        <v>-3129</v>
      </c>
      <c r="K521" s="68">
        <f t="shared" si="104"/>
        <v>-27</v>
      </c>
      <c r="L521" s="68">
        <f t="shared" si="105"/>
        <v>1617</v>
      </c>
      <c r="M521" s="68">
        <f t="shared" si="106"/>
        <v>1181</v>
      </c>
      <c r="N521" s="68">
        <f t="shared" si="107"/>
        <v>107</v>
      </c>
      <c r="O521" s="68">
        <f t="shared" si="108"/>
        <v>66</v>
      </c>
      <c r="P521" s="68">
        <f t="shared" si="109"/>
        <v>2743</v>
      </c>
      <c r="Q521" s="68" t="str">
        <f t="shared" si="110"/>
        <v/>
      </c>
      <c r="R521" s="69">
        <f t="shared" si="111"/>
        <v>184</v>
      </c>
      <c r="U521" s="5">
        <v>44596</v>
      </c>
      <c r="V521">
        <v>16083</v>
      </c>
      <c r="W521">
        <v>-18822</v>
      </c>
      <c r="X521">
        <v>2558</v>
      </c>
      <c r="Y521">
        <v>-3129</v>
      </c>
      <c r="Z521">
        <v>-27</v>
      </c>
      <c r="AA521">
        <v>1617</v>
      </c>
      <c r="AB521">
        <v>1181</v>
      </c>
      <c r="AC521">
        <v>107</v>
      </c>
      <c r="AD521">
        <v>66</v>
      </c>
      <c r="AE521">
        <v>2743</v>
      </c>
      <c r="AF521">
        <v>0</v>
      </c>
      <c r="AG521">
        <v>184</v>
      </c>
    </row>
    <row r="522" spans="6:33">
      <c r="F522" s="74">
        <f t="shared" si="99"/>
        <v>44595</v>
      </c>
      <c r="G522" s="72">
        <f t="shared" si="100"/>
        <v>22912</v>
      </c>
      <c r="H522" s="68">
        <f t="shared" si="101"/>
        <v>-23009</v>
      </c>
      <c r="I522" s="68">
        <f t="shared" si="102"/>
        <v>559</v>
      </c>
      <c r="J522" s="68">
        <f t="shared" si="103"/>
        <v>-1532</v>
      </c>
      <c r="K522" s="68">
        <f t="shared" si="104"/>
        <v>75</v>
      </c>
      <c r="L522" s="68">
        <f t="shared" si="105"/>
        <v>1367</v>
      </c>
      <c r="M522" s="68">
        <f t="shared" si="106"/>
        <v>-755</v>
      </c>
      <c r="N522" s="68">
        <f t="shared" si="107"/>
        <v>106</v>
      </c>
      <c r="O522" s="68">
        <f t="shared" si="108"/>
        <v>72</v>
      </c>
      <c r="P522" s="68">
        <f t="shared" si="109"/>
        <v>1226</v>
      </c>
      <c r="Q522" s="68" t="str">
        <f t="shared" si="110"/>
        <v/>
      </c>
      <c r="R522" s="69">
        <f t="shared" si="111"/>
        <v>-461</v>
      </c>
      <c r="U522" s="5">
        <v>44595</v>
      </c>
      <c r="V522">
        <v>22912</v>
      </c>
      <c r="W522">
        <v>-23009</v>
      </c>
      <c r="X522">
        <v>559</v>
      </c>
      <c r="Y522">
        <v>-1532</v>
      </c>
      <c r="Z522">
        <v>75</v>
      </c>
      <c r="AA522">
        <v>1367</v>
      </c>
      <c r="AB522">
        <v>-755</v>
      </c>
      <c r="AC522">
        <v>106</v>
      </c>
      <c r="AD522">
        <v>72</v>
      </c>
      <c r="AE522">
        <v>1226</v>
      </c>
      <c r="AF522">
        <v>0</v>
      </c>
      <c r="AG522">
        <v>-461</v>
      </c>
    </row>
    <row r="523" spans="6:33">
      <c r="F523" s="74">
        <f t="shared" si="99"/>
        <v>44589</v>
      </c>
      <c r="G523" s="72">
        <f t="shared" si="100"/>
        <v>12974</v>
      </c>
      <c r="H523" s="68">
        <f t="shared" si="101"/>
        <v>-17790</v>
      </c>
      <c r="I523" s="68">
        <f t="shared" si="102"/>
        <v>4099</v>
      </c>
      <c r="J523" s="68">
        <f t="shared" si="103"/>
        <v>1375</v>
      </c>
      <c r="K523" s="68">
        <f t="shared" si="104"/>
        <v>1300</v>
      </c>
      <c r="L523" s="68">
        <f t="shared" si="105"/>
        <v>1769</v>
      </c>
      <c r="M523" s="68">
        <f t="shared" si="106"/>
        <v>726</v>
      </c>
      <c r="N523" s="68">
        <f t="shared" si="107"/>
        <v>-65</v>
      </c>
      <c r="O523" s="68">
        <f t="shared" si="108"/>
        <v>20</v>
      </c>
      <c r="P523" s="68">
        <f t="shared" si="109"/>
        <v>-1026</v>
      </c>
      <c r="Q523" s="68" t="str">
        <f t="shared" si="110"/>
        <v/>
      </c>
      <c r="R523" s="69">
        <f t="shared" si="111"/>
        <v>721</v>
      </c>
      <c r="U523" s="5">
        <v>44589</v>
      </c>
      <c r="V523">
        <v>12974</v>
      </c>
      <c r="W523">
        <v>-17790</v>
      </c>
      <c r="X523">
        <v>4099</v>
      </c>
      <c r="Y523">
        <v>1375</v>
      </c>
      <c r="Z523">
        <v>1300</v>
      </c>
      <c r="AA523">
        <v>1769</v>
      </c>
      <c r="AB523">
        <v>726</v>
      </c>
      <c r="AC523">
        <v>-65</v>
      </c>
      <c r="AD523">
        <v>20</v>
      </c>
      <c r="AE523">
        <v>-1026</v>
      </c>
      <c r="AF523">
        <v>0</v>
      </c>
      <c r="AG523">
        <v>721</v>
      </c>
    </row>
    <row r="524" spans="6:33">
      <c r="F524" s="74">
        <f t="shared" si="99"/>
        <v>44588</v>
      </c>
      <c r="G524" s="72">
        <f t="shared" si="100"/>
        <v>-18612</v>
      </c>
      <c r="H524" s="68">
        <f t="shared" si="101"/>
        <v>28936</v>
      </c>
      <c r="I524" s="68">
        <f t="shared" si="102"/>
        <v>-12186</v>
      </c>
      <c r="J524" s="68">
        <f t="shared" si="103"/>
        <v>2580</v>
      </c>
      <c r="K524" s="68">
        <f t="shared" si="104"/>
        <v>-2177</v>
      </c>
      <c r="L524" s="68">
        <f t="shared" si="105"/>
        <v>-1836</v>
      </c>
      <c r="M524" s="68">
        <f t="shared" si="106"/>
        <v>-272</v>
      </c>
      <c r="N524" s="68">
        <f t="shared" si="107"/>
        <v>66</v>
      </c>
      <c r="O524" s="68">
        <f t="shared" si="108"/>
        <v>354</v>
      </c>
      <c r="P524" s="68">
        <f t="shared" si="109"/>
        <v>-10901</v>
      </c>
      <c r="Q524" s="68" t="str">
        <f t="shared" si="110"/>
        <v/>
      </c>
      <c r="R524" s="69">
        <f t="shared" si="111"/>
        <v>1863</v>
      </c>
      <c r="U524" s="5">
        <v>44588</v>
      </c>
      <c r="V524">
        <v>-18612</v>
      </c>
      <c r="W524">
        <v>28936</v>
      </c>
      <c r="X524">
        <v>-12186</v>
      </c>
      <c r="Y524">
        <v>2580</v>
      </c>
      <c r="Z524">
        <v>-2177</v>
      </c>
      <c r="AA524">
        <v>-1836</v>
      </c>
      <c r="AB524">
        <v>-272</v>
      </c>
      <c r="AC524">
        <v>66</v>
      </c>
      <c r="AD524">
        <v>354</v>
      </c>
      <c r="AE524">
        <v>-10901</v>
      </c>
      <c r="AF524">
        <v>0</v>
      </c>
      <c r="AG524">
        <v>1863</v>
      </c>
    </row>
    <row r="525" spans="6:33">
      <c r="F525" s="74">
        <f t="shared" si="99"/>
        <v>44587</v>
      </c>
      <c r="G525" s="72">
        <f t="shared" si="100"/>
        <v>11517</v>
      </c>
      <c r="H525" s="68">
        <f t="shared" si="101"/>
        <v>-13360</v>
      </c>
      <c r="I525" s="68">
        <f t="shared" si="102"/>
        <v>1551</v>
      </c>
      <c r="J525" s="68">
        <f t="shared" si="103"/>
        <v>5072</v>
      </c>
      <c r="K525" s="68">
        <f t="shared" si="104"/>
        <v>-1586</v>
      </c>
      <c r="L525" s="68">
        <f t="shared" si="105"/>
        <v>-95</v>
      </c>
      <c r="M525" s="68">
        <f t="shared" si="106"/>
        <v>595</v>
      </c>
      <c r="N525" s="68">
        <f t="shared" si="107"/>
        <v>-13</v>
      </c>
      <c r="O525" s="68">
        <f t="shared" si="108"/>
        <v>-3</v>
      </c>
      <c r="P525" s="68">
        <f t="shared" si="109"/>
        <v>-2419</v>
      </c>
      <c r="Q525" s="68" t="str">
        <f t="shared" si="110"/>
        <v/>
      </c>
      <c r="R525" s="69">
        <f t="shared" si="111"/>
        <v>288</v>
      </c>
      <c r="U525" s="5">
        <v>44587</v>
      </c>
      <c r="V525">
        <v>11517</v>
      </c>
      <c r="W525">
        <v>-13360</v>
      </c>
      <c r="X525">
        <v>1551</v>
      </c>
      <c r="Y525">
        <v>5072</v>
      </c>
      <c r="Z525">
        <v>-1586</v>
      </c>
      <c r="AA525">
        <v>-95</v>
      </c>
      <c r="AB525">
        <v>595</v>
      </c>
      <c r="AC525">
        <v>-13</v>
      </c>
      <c r="AD525">
        <v>-3</v>
      </c>
      <c r="AE525">
        <v>-2419</v>
      </c>
      <c r="AF525">
        <v>0</v>
      </c>
      <c r="AG525">
        <v>288</v>
      </c>
    </row>
    <row r="526" spans="6:33">
      <c r="F526" s="74">
        <f t="shared" si="99"/>
        <v>44586</v>
      </c>
      <c r="G526" s="72">
        <f t="shared" si="100"/>
        <v>-4766</v>
      </c>
      <c r="H526" s="68">
        <f t="shared" si="101"/>
        <v>4246</v>
      </c>
      <c r="I526" s="68">
        <f t="shared" si="102"/>
        <v>-1771</v>
      </c>
      <c r="J526" s="68">
        <f t="shared" si="103"/>
        <v>1452</v>
      </c>
      <c r="K526" s="68">
        <f t="shared" si="104"/>
        <v>-243</v>
      </c>
      <c r="L526" s="68">
        <f t="shared" si="105"/>
        <v>-43</v>
      </c>
      <c r="M526" s="68">
        <f t="shared" si="106"/>
        <v>794</v>
      </c>
      <c r="N526" s="68">
        <f t="shared" si="107"/>
        <v>-82</v>
      </c>
      <c r="O526" s="68">
        <f t="shared" si="108"/>
        <v>256</v>
      </c>
      <c r="P526" s="68">
        <f t="shared" si="109"/>
        <v>-3905</v>
      </c>
      <c r="Q526" s="68" t="str">
        <f t="shared" si="110"/>
        <v/>
      </c>
      <c r="R526" s="69">
        <f t="shared" si="111"/>
        <v>2291</v>
      </c>
      <c r="U526" s="5">
        <v>44586</v>
      </c>
      <c r="V526">
        <v>-4766</v>
      </c>
      <c r="W526">
        <v>4246</v>
      </c>
      <c r="X526">
        <v>-1771</v>
      </c>
      <c r="Y526">
        <v>1452</v>
      </c>
      <c r="Z526">
        <v>-243</v>
      </c>
      <c r="AA526">
        <v>-43</v>
      </c>
      <c r="AB526">
        <v>794</v>
      </c>
      <c r="AC526">
        <v>-82</v>
      </c>
      <c r="AD526">
        <v>256</v>
      </c>
      <c r="AE526">
        <v>-3905</v>
      </c>
      <c r="AF526">
        <v>0</v>
      </c>
      <c r="AG526">
        <v>2291</v>
      </c>
    </row>
    <row r="527" spans="6:33">
      <c r="F527" s="74">
        <f t="shared" si="99"/>
        <v>44585</v>
      </c>
      <c r="G527" s="72">
        <f t="shared" si="100"/>
        <v>-20105</v>
      </c>
      <c r="H527" s="68">
        <f t="shared" si="101"/>
        <v>10136</v>
      </c>
      <c r="I527" s="68">
        <f t="shared" si="102"/>
        <v>10656</v>
      </c>
      <c r="J527" s="68">
        <f t="shared" si="103"/>
        <v>13133</v>
      </c>
      <c r="K527" s="68">
        <f t="shared" si="104"/>
        <v>-1481</v>
      </c>
      <c r="L527" s="68">
        <f t="shared" si="105"/>
        <v>-510</v>
      </c>
      <c r="M527" s="68">
        <f t="shared" si="106"/>
        <v>271</v>
      </c>
      <c r="N527" s="68">
        <f t="shared" si="107"/>
        <v>54</v>
      </c>
      <c r="O527" s="68">
        <f t="shared" si="108"/>
        <v>146</v>
      </c>
      <c r="P527" s="68">
        <f t="shared" si="109"/>
        <v>-957</v>
      </c>
      <c r="Q527" s="68" t="str">
        <f t="shared" si="110"/>
        <v/>
      </c>
      <c r="R527" s="69">
        <f t="shared" si="111"/>
        <v>-687</v>
      </c>
      <c r="U527" s="5">
        <v>44585</v>
      </c>
      <c r="V527">
        <v>-20105</v>
      </c>
      <c r="W527">
        <v>10136</v>
      </c>
      <c r="X527">
        <v>10656</v>
      </c>
      <c r="Y527">
        <v>13133</v>
      </c>
      <c r="Z527">
        <v>-1481</v>
      </c>
      <c r="AA527">
        <v>-510</v>
      </c>
      <c r="AB527">
        <v>271</v>
      </c>
      <c r="AC527">
        <v>54</v>
      </c>
      <c r="AD527">
        <v>146</v>
      </c>
      <c r="AE527">
        <v>-957</v>
      </c>
      <c r="AF527">
        <v>0</v>
      </c>
      <c r="AG527">
        <v>-687</v>
      </c>
    </row>
    <row r="528" spans="6:33">
      <c r="F528" s="74">
        <f t="shared" si="99"/>
        <v>44582</v>
      </c>
      <c r="G528" s="72">
        <f t="shared" si="100"/>
        <v>-5259</v>
      </c>
      <c r="H528" s="68">
        <f t="shared" si="101"/>
        <v>12581</v>
      </c>
      <c r="I528" s="68">
        <f t="shared" si="102"/>
        <v>-6635</v>
      </c>
      <c r="J528" s="68">
        <f t="shared" si="103"/>
        <v>-2398</v>
      </c>
      <c r="K528" s="68">
        <f t="shared" si="104"/>
        <v>-1112</v>
      </c>
      <c r="L528" s="68">
        <f t="shared" si="105"/>
        <v>-606</v>
      </c>
      <c r="M528" s="68">
        <f t="shared" si="106"/>
        <v>-841</v>
      </c>
      <c r="N528" s="68">
        <f t="shared" si="107"/>
        <v>-23</v>
      </c>
      <c r="O528" s="68">
        <f t="shared" si="108"/>
        <v>59</v>
      </c>
      <c r="P528" s="68">
        <f t="shared" si="109"/>
        <v>-1714</v>
      </c>
      <c r="Q528" s="68" t="str">
        <f t="shared" si="110"/>
        <v/>
      </c>
      <c r="R528" s="69">
        <f t="shared" si="111"/>
        <v>-690</v>
      </c>
      <c r="U528" s="5">
        <v>44582</v>
      </c>
      <c r="V528">
        <v>-5259</v>
      </c>
      <c r="W528">
        <v>12581</v>
      </c>
      <c r="X528">
        <v>-6635</v>
      </c>
      <c r="Y528">
        <v>-2398</v>
      </c>
      <c r="Z528">
        <v>-1112</v>
      </c>
      <c r="AA528">
        <v>-606</v>
      </c>
      <c r="AB528">
        <v>-841</v>
      </c>
      <c r="AC528">
        <v>-23</v>
      </c>
      <c r="AD528">
        <v>59</v>
      </c>
      <c r="AE528">
        <v>-1714</v>
      </c>
      <c r="AF528">
        <v>0</v>
      </c>
      <c r="AG528">
        <v>-690</v>
      </c>
    </row>
    <row r="529" spans="6:33">
      <c r="F529" s="74">
        <f t="shared" si="99"/>
        <v>44581</v>
      </c>
      <c r="G529" s="72">
        <f t="shared" si="100"/>
        <v>2336</v>
      </c>
      <c r="H529" s="68">
        <f t="shared" si="101"/>
        <v>-3065</v>
      </c>
      <c r="I529" s="68">
        <f t="shared" si="102"/>
        <v>972</v>
      </c>
      <c r="J529" s="68">
        <f t="shared" si="103"/>
        <v>3862</v>
      </c>
      <c r="K529" s="68">
        <f t="shared" si="104"/>
        <v>-57</v>
      </c>
      <c r="L529" s="68">
        <f t="shared" si="105"/>
        <v>-607</v>
      </c>
      <c r="M529" s="68">
        <f t="shared" si="106"/>
        <v>-816</v>
      </c>
      <c r="N529" s="68">
        <f t="shared" si="107"/>
        <v>-40</v>
      </c>
      <c r="O529" s="68">
        <f t="shared" si="108"/>
        <v>171</v>
      </c>
      <c r="P529" s="68">
        <f t="shared" si="109"/>
        <v>-1541</v>
      </c>
      <c r="Q529" s="68" t="str">
        <f t="shared" si="110"/>
        <v/>
      </c>
      <c r="R529" s="69">
        <f t="shared" si="111"/>
        <v>-243</v>
      </c>
      <c r="U529" s="5">
        <v>44581</v>
      </c>
      <c r="V529">
        <v>2336</v>
      </c>
      <c r="W529">
        <v>-3065</v>
      </c>
      <c r="X529">
        <v>972</v>
      </c>
      <c r="Y529">
        <v>3862</v>
      </c>
      <c r="Z529">
        <v>-57</v>
      </c>
      <c r="AA529">
        <v>-607</v>
      </c>
      <c r="AB529">
        <v>-816</v>
      </c>
      <c r="AC529">
        <v>-40</v>
      </c>
      <c r="AD529">
        <v>171</v>
      </c>
      <c r="AE529">
        <v>-1541</v>
      </c>
      <c r="AF529">
        <v>0</v>
      </c>
      <c r="AG529">
        <v>-243</v>
      </c>
    </row>
    <row r="530" spans="6:33">
      <c r="F530" s="74">
        <f t="shared" si="99"/>
        <v>44580</v>
      </c>
      <c r="G530" s="72">
        <f t="shared" si="100"/>
        <v>6596</v>
      </c>
      <c r="H530" s="68">
        <f t="shared" si="101"/>
        <v>-1660</v>
      </c>
      <c r="I530" s="68">
        <f t="shared" si="102"/>
        <v>-1492</v>
      </c>
      <c r="J530" s="68">
        <f t="shared" si="103"/>
        <v>1625</v>
      </c>
      <c r="K530" s="68">
        <f t="shared" si="104"/>
        <v>246</v>
      </c>
      <c r="L530" s="68">
        <f t="shared" si="105"/>
        <v>-629</v>
      </c>
      <c r="M530" s="68">
        <f t="shared" si="106"/>
        <v>-3</v>
      </c>
      <c r="N530" s="68">
        <f t="shared" si="107"/>
        <v>-330</v>
      </c>
      <c r="O530" s="68">
        <f t="shared" si="108"/>
        <v>-12</v>
      </c>
      <c r="P530" s="68">
        <f t="shared" si="109"/>
        <v>-2389</v>
      </c>
      <c r="Q530" s="68" t="str">
        <f t="shared" si="110"/>
        <v/>
      </c>
      <c r="R530" s="69">
        <f t="shared" si="111"/>
        <v>-3445</v>
      </c>
      <c r="U530" s="5">
        <v>44580</v>
      </c>
      <c r="V530">
        <v>6596</v>
      </c>
      <c r="W530">
        <v>-1660</v>
      </c>
      <c r="X530">
        <v>-1492</v>
      </c>
      <c r="Y530">
        <v>1625</v>
      </c>
      <c r="Z530">
        <v>246</v>
      </c>
      <c r="AA530">
        <v>-629</v>
      </c>
      <c r="AB530">
        <v>-3</v>
      </c>
      <c r="AC530">
        <v>-330</v>
      </c>
      <c r="AD530">
        <v>-12</v>
      </c>
      <c r="AE530">
        <v>-2389</v>
      </c>
      <c r="AF530">
        <v>0</v>
      </c>
      <c r="AG530">
        <v>-3445</v>
      </c>
    </row>
    <row r="531" spans="6:33">
      <c r="F531" s="74">
        <f t="shared" ref="F531:F594" si="112">IF(U531=0,"",U531)</f>
        <v>44579</v>
      </c>
      <c r="G531" s="72">
        <f t="shared" ref="G531:G594" si="113">IF(IF($B$17=3,V531/1000,V531)=0,"",IF($B$17=3,V531/1000,V531))</f>
        <v>-5527</v>
      </c>
      <c r="H531" s="68">
        <f t="shared" ref="H531:H594" si="114">IF(IF($B$17=3,W531/1000,W531)=0,"",IF($B$17=3,W531/1000,W531))</f>
        <v>11141</v>
      </c>
      <c r="I531" s="68">
        <f t="shared" ref="I531:I594" si="115">IF(IF($B$17=3,X531/1000,X531)=0,"",IF($B$17=3,X531/1000,X531))</f>
        <v>-5506</v>
      </c>
      <c r="J531" s="68">
        <f t="shared" ref="J531:J594" si="116">IF(IF($B$17=3,Y531/1000,Y531)=0,"",IF($B$17=3,Y531/1000,Y531))</f>
        <v>-439</v>
      </c>
      <c r="K531" s="68">
        <f t="shared" ref="K531:K594" si="117">IF(IF($B$17=3,Z531/1000,Z531)=0,"",IF($B$17=3,Z531/1000,Z531))</f>
        <v>-790</v>
      </c>
      <c r="L531" s="68">
        <f t="shared" ref="L531:L594" si="118">IF(IF($B$17=3,AA531/1000,AA531)=0,"",IF($B$17=3,AA531/1000,AA531))</f>
        <v>-1691</v>
      </c>
      <c r="M531" s="68">
        <f t="shared" ref="M531:M594" si="119">IF(IF($B$17=3,AB531/1000,AB531)=0,"",IF($B$17=3,AB531/1000,AB531))</f>
        <v>-1220</v>
      </c>
      <c r="N531" s="68">
        <f t="shared" ref="N531:N594" si="120">IF(IF($B$17=3,AC531/1000,AC531)=0,"",IF($B$17=3,AC531/1000,AC531))</f>
        <v>-84</v>
      </c>
      <c r="O531" s="68">
        <f t="shared" ref="O531:O594" si="121">IF(IF($B$17=3,AD531/1000,AD531)=0,"",IF($B$17=3,AD531/1000,AD531))</f>
        <v>106</v>
      </c>
      <c r="P531" s="68">
        <f t="shared" ref="P531:P594" si="122">IF(IF($B$17=3,AE531/1000,AE531)=0,"",IF($B$17=3,AE531/1000,AE531))</f>
        <v>-1388</v>
      </c>
      <c r="Q531" s="68" t="str">
        <f t="shared" ref="Q531:Q594" si="123">IF(IF($B$17=3,AF531/1000,AF531)=0,"",IF($B$17=3,AF531/1000,AF531))</f>
        <v/>
      </c>
      <c r="R531" s="69">
        <f t="shared" ref="R531:R594" si="124">IF(IF($B$17=3,AG531/1000,AG531)=0,"",IF($B$17=3,AG531/1000,AG531))</f>
        <v>-110</v>
      </c>
      <c r="U531" s="5">
        <v>44579</v>
      </c>
      <c r="V531">
        <v>-5527</v>
      </c>
      <c r="W531">
        <v>11141</v>
      </c>
      <c r="X531">
        <v>-5506</v>
      </c>
      <c r="Y531">
        <v>-439</v>
      </c>
      <c r="Z531">
        <v>-790</v>
      </c>
      <c r="AA531">
        <v>-1691</v>
      </c>
      <c r="AB531">
        <v>-1220</v>
      </c>
      <c r="AC531">
        <v>-84</v>
      </c>
      <c r="AD531">
        <v>106</v>
      </c>
      <c r="AE531">
        <v>-1388</v>
      </c>
      <c r="AF531">
        <v>0</v>
      </c>
      <c r="AG531">
        <v>-110</v>
      </c>
    </row>
    <row r="532" spans="6:33">
      <c r="F532" s="74">
        <f t="shared" si="112"/>
        <v>44578</v>
      </c>
      <c r="G532" s="72">
        <f t="shared" si="113"/>
        <v>-28801</v>
      </c>
      <c r="H532" s="68">
        <f t="shared" si="114"/>
        <v>19432</v>
      </c>
      <c r="I532" s="68">
        <f t="shared" si="115"/>
        <v>10128</v>
      </c>
      <c r="J532" s="68">
        <f t="shared" si="116"/>
        <v>33</v>
      </c>
      <c r="K532" s="68">
        <f t="shared" si="117"/>
        <v>-772</v>
      </c>
      <c r="L532" s="68">
        <f t="shared" si="118"/>
        <v>-1716</v>
      </c>
      <c r="M532" s="68">
        <f t="shared" si="119"/>
        <v>-1080</v>
      </c>
      <c r="N532" s="68">
        <f t="shared" si="120"/>
        <v>14203</v>
      </c>
      <c r="O532" s="68">
        <f t="shared" si="121"/>
        <v>187</v>
      </c>
      <c r="P532" s="68">
        <f t="shared" si="122"/>
        <v>-727</v>
      </c>
      <c r="Q532" s="68" t="str">
        <f t="shared" si="123"/>
        <v/>
      </c>
      <c r="R532" s="69">
        <f t="shared" si="124"/>
        <v>-757</v>
      </c>
      <c r="U532" s="5">
        <v>44578</v>
      </c>
      <c r="V532">
        <v>-28801</v>
      </c>
      <c r="W532">
        <v>19432</v>
      </c>
      <c r="X532">
        <v>10128</v>
      </c>
      <c r="Y532">
        <v>33</v>
      </c>
      <c r="Z532">
        <v>-772</v>
      </c>
      <c r="AA532">
        <v>-1716</v>
      </c>
      <c r="AB532">
        <v>-1080</v>
      </c>
      <c r="AC532">
        <v>14203</v>
      </c>
      <c r="AD532">
        <v>187</v>
      </c>
      <c r="AE532">
        <v>-727</v>
      </c>
      <c r="AF532">
        <v>0</v>
      </c>
      <c r="AG532">
        <v>-757</v>
      </c>
    </row>
    <row r="533" spans="6:33">
      <c r="F533" s="74">
        <f t="shared" si="112"/>
        <v>44575</v>
      </c>
      <c r="G533" s="72">
        <f t="shared" si="113"/>
        <v>-15176</v>
      </c>
      <c r="H533" s="68">
        <f t="shared" si="114"/>
        <v>23552</v>
      </c>
      <c r="I533" s="68">
        <f t="shared" si="115"/>
        <v>-8087</v>
      </c>
      <c r="J533" s="68">
        <f t="shared" si="116"/>
        <v>-7263</v>
      </c>
      <c r="K533" s="68">
        <f t="shared" si="117"/>
        <v>-491</v>
      </c>
      <c r="L533" s="68">
        <f t="shared" si="118"/>
        <v>-129</v>
      </c>
      <c r="M533" s="68">
        <f t="shared" si="119"/>
        <v>-359</v>
      </c>
      <c r="N533" s="68">
        <f t="shared" si="120"/>
        <v>5</v>
      </c>
      <c r="O533" s="68">
        <f t="shared" si="121"/>
        <v>-69</v>
      </c>
      <c r="P533" s="68">
        <f t="shared" si="122"/>
        <v>219</v>
      </c>
      <c r="Q533" s="68" t="str">
        <f t="shared" si="123"/>
        <v/>
      </c>
      <c r="R533" s="69">
        <f t="shared" si="124"/>
        <v>-291</v>
      </c>
      <c r="U533" s="5">
        <v>44575</v>
      </c>
      <c r="V533">
        <v>-15176</v>
      </c>
      <c r="W533">
        <v>23552</v>
      </c>
      <c r="X533">
        <v>-8087</v>
      </c>
      <c r="Y533">
        <v>-7263</v>
      </c>
      <c r="Z533">
        <v>-491</v>
      </c>
      <c r="AA533">
        <v>-129</v>
      </c>
      <c r="AB533">
        <v>-359</v>
      </c>
      <c r="AC533">
        <v>5</v>
      </c>
      <c r="AD533">
        <v>-69</v>
      </c>
      <c r="AE533">
        <v>219</v>
      </c>
      <c r="AF533">
        <v>0</v>
      </c>
      <c r="AG533">
        <v>-291</v>
      </c>
    </row>
    <row r="534" spans="6:33">
      <c r="F534" s="74">
        <f t="shared" si="112"/>
        <v>44574</v>
      </c>
      <c r="G534" s="72">
        <f t="shared" si="113"/>
        <v>9230</v>
      </c>
      <c r="H534" s="68">
        <f t="shared" si="114"/>
        <v>-7565</v>
      </c>
      <c r="I534" s="68">
        <f t="shared" si="115"/>
        <v>-2310</v>
      </c>
      <c r="J534" s="68">
        <f t="shared" si="116"/>
        <v>-1734</v>
      </c>
      <c r="K534" s="68">
        <f t="shared" si="117"/>
        <v>-414</v>
      </c>
      <c r="L534" s="68">
        <f t="shared" si="118"/>
        <v>802</v>
      </c>
      <c r="M534" s="68">
        <f t="shared" si="119"/>
        <v>-205</v>
      </c>
      <c r="N534" s="68">
        <f t="shared" si="120"/>
        <v>-95</v>
      </c>
      <c r="O534" s="68">
        <f t="shared" si="121"/>
        <v>-51</v>
      </c>
      <c r="P534" s="68">
        <f t="shared" si="122"/>
        <v>-613</v>
      </c>
      <c r="Q534" s="68" t="str">
        <f t="shared" si="123"/>
        <v/>
      </c>
      <c r="R534" s="69">
        <f t="shared" si="124"/>
        <v>646</v>
      </c>
      <c r="U534" s="5">
        <v>44574</v>
      </c>
      <c r="V534">
        <v>9230</v>
      </c>
      <c r="W534">
        <v>-7565</v>
      </c>
      <c r="X534">
        <v>-2310</v>
      </c>
      <c r="Y534">
        <v>-1734</v>
      </c>
      <c r="Z534">
        <v>-414</v>
      </c>
      <c r="AA534">
        <v>802</v>
      </c>
      <c r="AB534">
        <v>-205</v>
      </c>
      <c r="AC534">
        <v>-95</v>
      </c>
      <c r="AD534">
        <v>-51</v>
      </c>
      <c r="AE534">
        <v>-613</v>
      </c>
      <c r="AF534">
        <v>0</v>
      </c>
      <c r="AG534">
        <v>646</v>
      </c>
    </row>
    <row r="535" spans="6:33">
      <c r="F535" s="74">
        <f t="shared" si="112"/>
        <v>44573</v>
      </c>
      <c r="G535" s="72">
        <f t="shared" si="113"/>
        <v>16212</v>
      </c>
      <c r="H535" s="68">
        <f t="shared" si="114"/>
        <v>-20745</v>
      </c>
      <c r="I535" s="68">
        <f t="shared" si="115"/>
        <v>4061</v>
      </c>
      <c r="J535" s="68">
        <f t="shared" si="116"/>
        <v>8515</v>
      </c>
      <c r="K535" s="68">
        <f t="shared" si="117"/>
        <v>-1975</v>
      </c>
      <c r="L535" s="68">
        <f t="shared" si="118"/>
        <v>-752</v>
      </c>
      <c r="M535" s="68">
        <f t="shared" si="119"/>
        <v>-1375</v>
      </c>
      <c r="N535" s="68">
        <f t="shared" si="120"/>
        <v>-404</v>
      </c>
      <c r="O535" s="68">
        <f t="shared" si="121"/>
        <v>120</v>
      </c>
      <c r="P535" s="68">
        <f t="shared" si="122"/>
        <v>-68</v>
      </c>
      <c r="Q535" s="68" t="str">
        <f t="shared" si="123"/>
        <v/>
      </c>
      <c r="R535" s="69">
        <f t="shared" si="124"/>
        <v>470</v>
      </c>
      <c r="U535" s="5">
        <v>44573</v>
      </c>
      <c r="V535">
        <v>16212</v>
      </c>
      <c r="W535">
        <v>-20745</v>
      </c>
      <c r="X535">
        <v>4061</v>
      </c>
      <c r="Y535">
        <v>8515</v>
      </c>
      <c r="Z535">
        <v>-1975</v>
      </c>
      <c r="AA535">
        <v>-752</v>
      </c>
      <c r="AB535">
        <v>-1375</v>
      </c>
      <c r="AC535">
        <v>-404</v>
      </c>
      <c r="AD535">
        <v>120</v>
      </c>
      <c r="AE535">
        <v>-68</v>
      </c>
      <c r="AF535">
        <v>0</v>
      </c>
      <c r="AG535">
        <v>470</v>
      </c>
    </row>
    <row r="536" spans="6:33">
      <c r="F536" s="74">
        <f t="shared" si="112"/>
        <v>44572</v>
      </c>
      <c r="G536" s="72">
        <f t="shared" si="113"/>
        <v>-9797</v>
      </c>
      <c r="H536" s="68">
        <f t="shared" si="114"/>
        <v>13220</v>
      </c>
      <c r="I536" s="68">
        <f t="shared" si="115"/>
        <v>-3013</v>
      </c>
      <c r="J536" s="68">
        <f t="shared" si="116"/>
        <v>-2309</v>
      </c>
      <c r="K536" s="68">
        <f t="shared" si="117"/>
        <v>-444</v>
      </c>
      <c r="L536" s="68">
        <f t="shared" si="118"/>
        <v>1200</v>
      </c>
      <c r="M536" s="68">
        <f t="shared" si="119"/>
        <v>-1142</v>
      </c>
      <c r="N536" s="68">
        <f t="shared" si="120"/>
        <v>-16</v>
      </c>
      <c r="O536" s="68">
        <f t="shared" si="121"/>
        <v>-18</v>
      </c>
      <c r="P536" s="68">
        <f t="shared" si="122"/>
        <v>-284</v>
      </c>
      <c r="Q536" s="68" t="str">
        <f t="shared" si="123"/>
        <v/>
      </c>
      <c r="R536" s="69">
        <f t="shared" si="124"/>
        <v>-408</v>
      </c>
      <c r="U536" s="5">
        <v>44572</v>
      </c>
      <c r="V536">
        <v>-9797</v>
      </c>
      <c r="W536">
        <v>13220</v>
      </c>
      <c r="X536">
        <v>-3013</v>
      </c>
      <c r="Y536">
        <v>-2309</v>
      </c>
      <c r="Z536">
        <v>-444</v>
      </c>
      <c r="AA536">
        <v>1200</v>
      </c>
      <c r="AB536">
        <v>-1142</v>
      </c>
      <c r="AC536">
        <v>-16</v>
      </c>
      <c r="AD536">
        <v>-18</v>
      </c>
      <c r="AE536">
        <v>-284</v>
      </c>
      <c r="AF536">
        <v>0</v>
      </c>
      <c r="AG536">
        <v>-408</v>
      </c>
    </row>
    <row r="537" spans="6:33">
      <c r="F537" s="74">
        <f t="shared" si="112"/>
        <v>44571</v>
      </c>
      <c r="G537" s="72">
        <f t="shared" si="113"/>
        <v>-8040</v>
      </c>
      <c r="H537" s="68">
        <f t="shared" si="114"/>
        <v>12387</v>
      </c>
      <c r="I537" s="68">
        <f t="shared" si="115"/>
        <v>-2987</v>
      </c>
      <c r="J537" s="68">
        <f t="shared" si="116"/>
        <v>-6860</v>
      </c>
      <c r="K537" s="68">
        <f t="shared" si="117"/>
        <v>659</v>
      </c>
      <c r="L537" s="68">
        <f t="shared" si="118"/>
        <v>1551</v>
      </c>
      <c r="M537" s="68">
        <f t="shared" si="119"/>
        <v>-316</v>
      </c>
      <c r="N537" s="68">
        <f t="shared" si="120"/>
        <v>15</v>
      </c>
      <c r="O537" s="68">
        <f t="shared" si="121"/>
        <v>63</v>
      </c>
      <c r="P537" s="68">
        <f t="shared" si="122"/>
        <v>1901</v>
      </c>
      <c r="Q537" s="68" t="str">
        <f t="shared" si="123"/>
        <v/>
      </c>
      <c r="R537" s="69">
        <f t="shared" si="124"/>
        <v>-1360</v>
      </c>
      <c r="U537" s="5">
        <v>44571</v>
      </c>
      <c r="V537">
        <v>-8040</v>
      </c>
      <c r="W537">
        <v>12387</v>
      </c>
      <c r="X537">
        <v>-2987</v>
      </c>
      <c r="Y537">
        <v>-6860</v>
      </c>
      <c r="Z537">
        <v>659</v>
      </c>
      <c r="AA537">
        <v>1551</v>
      </c>
      <c r="AB537">
        <v>-316</v>
      </c>
      <c r="AC537">
        <v>15</v>
      </c>
      <c r="AD537">
        <v>63</v>
      </c>
      <c r="AE537">
        <v>1901</v>
      </c>
      <c r="AF537">
        <v>0</v>
      </c>
      <c r="AG537">
        <v>-1360</v>
      </c>
    </row>
    <row r="538" spans="6:33">
      <c r="F538" s="74">
        <f t="shared" si="112"/>
        <v>44568</v>
      </c>
      <c r="G538" s="72">
        <f t="shared" si="113"/>
        <v>13202</v>
      </c>
      <c r="H538" s="68">
        <f t="shared" si="114"/>
        <v>-9199</v>
      </c>
      <c r="I538" s="68">
        <f t="shared" si="115"/>
        <v>-820</v>
      </c>
      <c r="J538" s="68">
        <f t="shared" si="116"/>
        <v>-4865</v>
      </c>
      <c r="K538" s="68">
        <f t="shared" si="117"/>
        <v>457</v>
      </c>
      <c r="L538" s="68">
        <f t="shared" si="118"/>
        <v>825</v>
      </c>
      <c r="M538" s="68">
        <f t="shared" si="119"/>
        <v>2139</v>
      </c>
      <c r="N538" s="68">
        <f t="shared" si="120"/>
        <v>180</v>
      </c>
      <c r="O538" s="68">
        <f t="shared" si="121"/>
        <v>-324</v>
      </c>
      <c r="P538" s="68">
        <f t="shared" si="122"/>
        <v>768</v>
      </c>
      <c r="Q538" s="68" t="str">
        <f t="shared" si="123"/>
        <v/>
      </c>
      <c r="R538" s="69">
        <f t="shared" si="124"/>
        <v>-3183</v>
      </c>
      <c r="U538" s="5">
        <v>44568</v>
      </c>
      <c r="V538">
        <v>13202</v>
      </c>
      <c r="W538">
        <v>-9199</v>
      </c>
      <c r="X538">
        <v>-820</v>
      </c>
      <c r="Y538">
        <v>-4865</v>
      </c>
      <c r="Z538">
        <v>457</v>
      </c>
      <c r="AA538">
        <v>825</v>
      </c>
      <c r="AB538">
        <v>2139</v>
      </c>
      <c r="AC538">
        <v>180</v>
      </c>
      <c r="AD538">
        <v>-324</v>
      </c>
      <c r="AE538">
        <v>768</v>
      </c>
      <c r="AF538">
        <v>0</v>
      </c>
      <c r="AG538">
        <v>-3183</v>
      </c>
    </row>
    <row r="539" spans="6:33">
      <c r="F539" s="74">
        <f t="shared" si="112"/>
        <v>44567</v>
      </c>
      <c r="G539" s="72">
        <f t="shared" si="113"/>
        <v>-5633</v>
      </c>
      <c r="H539" s="68">
        <f t="shared" si="114"/>
        <v>11493</v>
      </c>
      <c r="I539" s="68">
        <f t="shared" si="115"/>
        <v>-4942</v>
      </c>
      <c r="J539" s="68">
        <f t="shared" si="116"/>
        <v>-5513</v>
      </c>
      <c r="K539" s="68">
        <f t="shared" si="117"/>
        <v>-165</v>
      </c>
      <c r="L539" s="68">
        <f t="shared" si="118"/>
        <v>1540</v>
      </c>
      <c r="M539" s="68">
        <f t="shared" si="119"/>
        <v>-463</v>
      </c>
      <c r="N539" s="68">
        <f t="shared" si="120"/>
        <v>-398</v>
      </c>
      <c r="O539" s="68">
        <f t="shared" si="121"/>
        <v>166</v>
      </c>
      <c r="P539" s="68">
        <f t="shared" si="122"/>
        <v>-109</v>
      </c>
      <c r="Q539" s="68" t="str">
        <f t="shared" si="123"/>
        <v/>
      </c>
      <c r="R539" s="69">
        <f t="shared" si="124"/>
        <v>-919</v>
      </c>
      <c r="U539" s="5">
        <v>44567</v>
      </c>
      <c r="V539">
        <v>-5633</v>
      </c>
      <c r="W539">
        <v>11493</v>
      </c>
      <c r="X539">
        <v>-4942</v>
      </c>
      <c r="Y539">
        <v>-5513</v>
      </c>
      <c r="Z539">
        <v>-165</v>
      </c>
      <c r="AA539">
        <v>1540</v>
      </c>
      <c r="AB539">
        <v>-463</v>
      </c>
      <c r="AC539">
        <v>-398</v>
      </c>
      <c r="AD539">
        <v>166</v>
      </c>
      <c r="AE539">
        <v>-109</v>
      </c>
      <c r="AF539">
        <v>0</v>
      </c>
      <c r="AG539">
        <v>-919</v>
      </c>
    </row>
    <row r="540" spans="6:33">
      <c r="F540" s="74">
        <f t="shared" si="112"/>
        <v>44566</v>
      </c>
      <c r="G540" s="72">
        <f t="shared" si="113"/>
        <v>-4092</v>
      </c>
      <c r="H540" s="68">
        <f t="shared" si="114"/>
        <v>14770</v>
      </c>
      <c r="I540" s="68">
        <f t="shared" si="115"/>
        <v>-9982</v>
      </c>
      <c r="J540" s="68">
        <f t="shared" si="116"/>
        <v>-13798</v>
      </c>
      <c r="K540" s="68">
        <f t="shared" si="117"/>
        <v>343</v>
      </c>
      <c r="L540" s="68">
        <f t="shared" si="118"/>
        <v>881</v>
      </c>
      <c r="M540" s="68">
        <f t="shared" si="119"/>
        <v>-1211</v>
      </c>
      <c r="N540" s="68">
        <f t="shared" si="120"/>
        <v>-150</v>
      </c>
      <c r="O540" s="68">
        <f t="shared" si="121"/>
        <v>122</v>
      </c>
      <c r="P540" s="68">
        <f t="shared" si="122"/>
        <v>3831</v>
      </c>
      <c r="Q540" s="68" t="str">
        <f t="shared" si="123"/>
        <v/>
      </c>
      <c r="R540" s="69">
        <f t="shared" si="124"/>
        <v>-693</v>
      </c>
      <c r="U540" s="5">
        <v>44566</v>
      </c>
      <c r="V540">
        <v>-4092</v>
      </c>
      <c r="W540">
        <v>14770</v>
      </c>
      <c r="X540">
        <v>-9982</v>
      </c>
      <c r="Y540">
        <v>-13798</v>
      </c>
      <c r="Z540">
        <v>343</v>
      </c>
      <c r="AA540">
        <v>881</v>
      </c>
      <c r="AB540">
        <v>-1211</v>
      </c>
      <c r="AC540">
        <v>-150</v>
      </c>
      <c r="AD540">
        <v>122</v>
      </c>
      <c r="AE540">
        <v>3831</v>
      </c>
      <c r="AF540">
        <v>0</v>
      </c>
      <c r="AG540">
        <v>-693</v>
      </c>
    </row>
    <row r="541" spans="6:33">
      <c r="F541" s="74">
        <f t="shared" si="112"/>
        <v>44565</v>
      </c>
      <c r="G541" s="72">
        <f t="shared" si="113"/>
        <v>9986</v>
      </c>
      <c r="H541" s="68">
        <f t="shared" si="114"/>
        <v>-988</v>
      </c>
      <c r="I541" s="68">
        <f t="shared" si="115"/>
        <v>-8100</v>
      </c>
      <c r="J541" s="68">
        <f t="shared" si="116"/>
        <v>-10759</v>
      </c>
      <c r="K541" s="68">
        <f t="shared" si="117"/>
        <v>182</v>
      </c>
      <c r="L541" s="68">
        <f t="shared" si="118"/>
        <v>1176</v>
      </c>
      <c r="M541" s="68">
        <f t="shared" si="119"/>
        <v>-116</v>
      </c>
      <c r="N541" s="68">
        <f t="shared" si="120"/>
        <v>44</v>
      </c>
      <c r="O541" s="68">
        <f t="shared" si="121"/>
        <v>129</v>
      </c>
      <c r="P541" s="68">
        <f t="shared" si="122"/>
        <v>1244</v>
      </c>
      <c r="Q541" s="68" t="str">
        <f t="shared" si="123"/>
        <v/>
      </c>
      <c r="R541" s="69">
        <f t="shared" si="124"/>
        <v>-898</v>
      </c>
      <c r="U541" s="5">
        <v>44565</v>
      </c>
      <c r="V541">
        <v>9986</v>
      </c>
      <c r="W541">
        <v>-988</v>
      </c>
      <c r="X541">
        <v>-8100</v>
      </c>
      <c r="Y541">
        <v>-10759</v>
      </c>
      <c r="Z541">
        <v>182</v>
      </c>
      <c r="AA541">
        <v>1176</v>
      </c>
      <c r="AB541">
        <v>-116</v>
      </c>
      <c r="AC541">
        <v>44</v>
      </c>
      <c r="AD541">
        <v>129</v>
      </c>
      <c r="AE541">
        <v>1244</v>
      </c>
      <c r="AF541">
        <v>0</v>
      </c>
      <c r="AG541">
        <v>-898</v>
      </c>
    </row>
    <row r="542" spans="6:33">
      <c r="F542" s="74">
        <f t="shared" si="112"/>
        <v>44564</v>
      </c>
      <c r="G542" s="72">
        <f t="shared" si="113"/>
        <v>10619</v>
      </c>
      <c r="H542" s="68">
        <f t="shared" si="114"/>
        <v>1003</v>
      </c>
      <c r="I542" s="68">
        <f t="shared" si="115"/>
        <v>-10707</v>
      </c>
      <c r="J542" s="68">
        <f t="shared" si="116"/>
        <v>-8986</v>
      </c>
      <c r="K542" s="68">
        <f t="shared" si="117"/>
        <v>-794</v>
      </c>
      <c r="L542" s="68">
        <f t="shared" si="118"/>
        <v>245</v>
      </c>
      <c r="M542" s="68">
        <f t="shared" si="119"/>
        <v>-1342</v>
      </c>
      <c r="N542" s="68">
        <f t="shared" si="120"/>
        <v>-30</v>
      </c>
      <c r="O542" s="68">
        <f t="shared" si="121"/>
        <v>172</v>
      </c>
      <c r="P542" s="68">
        <f t="shared" si="122"/>
        <v>28</v>
      </c>
      <c r="Q542" s="68" t="str">
        <f t="shared" si="123"/>
        <v/>
      </c>
      <c r="R542" s="69">
        <f t="shared" si="124"/>
        <v>-916</v>
      </c>
      <c r="U542" s="5">
        <v>44564</v>
      </c>
      <c r="V542">
        <v>10619</v>
      </c>
      <c r="W542">
        <v>1003</v>
      </c>
      <c r="X542">
        <v>-10707</v>
      </c>
      <c r="Y542">
        <v>-8986</v>
      </c>
      <c r="Z542">
        <v>-794</v>
      </c>
      <c r="AA542">
        <v>245</v>
      </c>
      <c r="AB542">
        <v>-1342</v>
      </c>
      <c r="AC542">
        <v>-30</v>
      </c>
      <c r="AD542">
        <v>172</v>
      </c>
      <c r="AE542">
        <v>28</v>
      </c>
      <c r="AF542">
        <v>0</v>
      </c>
      <c r="AG542">
        <v>-916</v>
      </c>
    </row>
    <row r="543" spans="6:33">
      <c r="F543" s="74">
        <f t="shared" si="112"/>
        <v>44560</v>
      </c>
      <c r="G543" s="72">
        <f t="shared" si="113"/>
        <v>-10543</v>
      </c>
      <c r="H543" s="68">
        <f t="shared" si="114"/>
        <v>21934</v>
      </c>
      <c r="I543" s="68">
        <f t="shared" si="115"/>
        <v>-11110</v>
      </c>
      <c r="J543" s="68">
        <f t="shared" si="116"/>
        <v>-14657</v>
      </c>
      <c r="K543" s="68">
        <f t="shared" si="117"/>
        <v>846</v>
      </c>
      <c r="L543" s="68">
        <f t="shared" si="118"/>
        <v>1814</v>
      </c>
      <c r="M543" s="68">
        <f t="shared" si="119"/>
        <v>240</v>
      </c>
      <c r="N543" s="68">
        <f t="shared" si="120"/>
        <v>-279</v>
      </c>
      <c r="O543" s="68">
        <f t="shared" si="121"/>
        <v>101</v>
      </c>
      <c r="P543" s="68">
        <f t="shared" si="122"/>
        <v>825</v>
      </c>
      <c r="Q543" s="68" t="str">
        <f t="shared" si="123"/>
        <v/>
      </c>
      <c r="R543" s="69">
        <f t="shared" si="124"/>
        <v>-281</v>
      </c>
      <c r="U543" s="5">
        <v>44560</v>
      </c>
      <c r="V543">
        <v>-10543</v>
      </c>
      <c r="W543">
        <v>21934</v>
      </c>
      <c r="X543">
        <v>-11110</v>
      </c>
      <c r="Y543">
        <v>-14657</v>
      </c>
      <c r="Z543">
        <v>846</v>
      </c>
      <c r="AA543">
        <v>1814</v>
      </c>
      <c r="AB543">
        <v>240</v>
      </c>
      <c r="AC543">
        <v>-279</v>
      </c>
      <c r="AD543">
        <v>101</v>
      </c>
      <c r="AE543">
        <v>825</v>
      </c>
      <c r="AF543">
        <v>0</v>
      </c>
      <c r="AG543">
        <v>-281</v>
      </c>
    </row>
    <row r="544" spans="6:33">
      <c r="F544" s="74">
        <f t="shared" si="112"/>
        <v>44559</v>
      </c>
      <c r="G544" s="72">
        <f t="shared" si="113"/>
        <v>18265</v>
      </c>
      <c r="H544" s="68">
        <f t="shared" si="114"/>
        <v>13942</v>
      </c>
      <c r="I544" s="68">
        <f t="shared" si="115"/>
        <v>-29596</v>
      </c>
      <c r="J544" s="68">
        <f t="shared" si="116"/>
        <v>-24379</v>
      </c>
      <c r="K544" s="68">
        <f t="shared" si="117"/>
        <v>-1128</v>
      </c>
      <c r="L544" s="68">
        <f t="shared" si="118"/>
        <v>613</v>
      </c>
      <c r="M544" s="68">
        <f t="shared" si="119"/>
        <v>-193</v>
      </c>
      <c r="N544" s="68">
        <f t="shared" si="120"/>
        <v>-1356</v>
      </c>
      <c r="O544" s="68">
        <f t="shared" si="121"/>
        <v>-620</v>
      </c>
      <c r="P544" s="68">
        <f t="shared" si="122"/>
        <v>-2533</v>
      </c>
      <c r="Q544" s="68" t="str">
        <f t="shared" si="123"/>
        <v/>
      </c>
      <c r="R544" s="69">
        <f t="shared" si="124"/>
        <v>-2609</v>
      </c>
      <c r="U544" s="5">
        <v>44559</v>
      </c>
      <c r="V544">
        <v>18265</v>
      </c>
      <c r="W544">
        <v>13942</v>
      </c>
      <c r="X544">
        <v>-29596</v>
      </c>
      <c r="Y544">
        <v>-24379</v>
      </c>
      <c r="Z544">
        <v>-1128</v>
      </c>
      <c r="AA544">
        <v>613</v>
      </c>
      <c r="AB544">
        <v>-193</v>
      </c>
      <c r="AC544">
        <v>-1356</v>
      </c>
      <c r="AD544">
        <v>-620</v>
      </c>
      <c r="AE544">
        <v>-2533</v>
      </c>
      <c r="AF544">
        <v>0</v>
      </c>
      <c r="AG544">
        <v>-2609</v>
      </c>
    </row>
    <row r="545" spans="6:33">
      <c r="F545" s="74">
        <f t="shared" si="112"/>
        <v>44558</v>
      </c>
      <c r="G545" s="72">
        <f t="shared" si="113"/>
        <v>14524</v>
      </c>
      <c r="H545" s="68">
        <f t="shared" si="114"/>
        <v>-36736</v>
      </c>
      <c r="I545" s="68">
        <f t="shared" si="115"/>
        <v>18343</v>
      </c>
      <c r="J545" s="68">
        <f t="shared" si="116"/>
        <v>21498</v>
      </c>
      <c r="K545" s="68">
        <f t="shared" si="117"/>
        <v>1371</v>
      </c>
      <c r="L545" s="68">
        <f t="shared" si="118"/>
        <v>-127</v>
      </c>
      <c r="M545" s="68">
        <f t="shared" si="119"/>
        <v>664</v>
      </c>
      <c r="N545" s="68">
        <f t="shared" si="120"/>
        <v>-49</v>
      </c>
      <c r="O545" s="68">
        <f t="shared" si="121"/>
        <v>-1034</v>
      </c>
      <c r="P545" s="68">
        <f t="shared" si="122"/>
        <v>-3980</v>
      </c>
      <c r="Q545" s="68" t="str">
        <f t="shared" si="123"/>
        <v/>
      </c>
      <c r="R545" s="69">
        <f t="shared" si="124"/>
        <v>3868</v>
      </c>
      <c r="U545" s="5">
        <v>44558</v>
      </c>
      <c r="V545">
        <v>14524</v>
      </c>
      <c r="W545">
        <v>-36736</v>
      </c>
      <c r="X545">
        <v>18343</v>
      </c>
      <c r="Y545">
        <v>21498</v>
      </c>
      <c r="Z545">
        <v>1371</v>
      </c>
      <c r="AA545">
        <v>-127</v>
      </c>
      <c r="AB545">
        <v>664</v>
      </c>
      <c r="AC545">
        <v>-49</v>
      </c>
      <c r="AD545">
        <v>-1034</v>
      </c>
      <c r="AE545">
        <v>-3980</v>
      </c>
      <c r="AF545">
        <v>0</v>
      </c>
      <c r="AG545">
        <v>3868</v>
      </c>
    </row>
    <row r="546" spans="6:33">
      <c r="F546" s="74">
        <f t="shared" si="112"/>
        <v>44557</v>
      </c>
      <c r="G546" s="72">
        <f t="shared" si="113"/>
        <v>2265</v>
      </c>
      <c r="H546" s="68">
        <f t="shared" si="114"/>
        <v>-9556</v>
      </c>
      <c r="I546" s="68">
        <f t="shared" si="115"/>
        <v>4863</v>
      </c>
      <c r="J546" s="68">
        <f t="shared" si="116"/>
        <v>3682</v>
      </c>
      <c r="K546" s="68">
        <f t="shared" si="117"/>
        <v>475</v>
      </c>
      <c r="L546" s="68">
        <f t="shared" si="118"/>
        <v>1398</v>
      </c>
      <c r="M546" s="68">
        <f t="shared" si="119"/>
        <v>1571</v>
      </c>
      <c r="N546" s="68">
        <f t="shared" si="120"/>
        <v>61</v>
      </c>
      <c r="O546" s="68">
        <f t="shared" si="121"/>
        <v>-503</v>
      </c>
      <c r="P546" s="68">
        <f t="shared" si="122"/>
        <v>-1821</v>
      </c>
      <c r="Q546" s="68" t="str">
        <f t="shared" si="123"/>
        <v/>
      </c>
      <c r="R546" s="69">
        <f t="shared" si="124"/>
        <v>2427</v>
      </c>
      <c r="U546" s="5">
        <v>44557</v>
      </c>
      <c r="V546">
        <v>2265</v>
      </c>
      <c r="W546">
        <v>-9556</v>
      </c>
      <c r="X546">
        <v>4863</v>
      </c>
      <c r="Y546">
        <v>3682</v>
      </c>
      <c r="Z546">
        <v>475</v>
      </c>
      <c r="AA546">
        <v>1398</v>
      </c>
      <c r="AB546">
        <v>1571</v>
      </c>
      <c r="AC546">
        <v>61</v>
      </c>
      <c r="AD546">
        <v>-503</v>
      </c>
      <c r="AE546">
        <v>-1821</v>
      </c>
      <c r="AF546">
        <v>0</v>
      </c>
      <c r="AG546">
        <v>2427</v>
      </c>
    </row>
    <row r="547" spans="6:33">
      <c r="F547" s="74">
        <f t="shared" si="112"/>
        <v>44554</v>
      </c>
      <c r="G547" s="72">
        <f t="shared" si="113"/>
        <v>12373</v>
      </c>
      <c r="H547" s="68">
        <f t="shared" si="114"/>
        <v>-23328</v>
      </c>
      <c r="I547" s="68">
        <f t="shared" si="115"/>
        <v>8855</v>
      </c>
      <c r="J547" s="68">
        <f t="shared" si="116"/>
        <v>11083</v>
      </c>
      <c r="K547" s="68">
        <f t="shared" si="117"/>
        <v>-44</v>
      </c>
      <c r="L547" s="68">
        <f t="shared" si="118"/>
        <v>-1431</v>
      </c>
      <c r="M547" s="68">
        <f t="shared" si="119"/>
        <v>351</v>
      </c>
      <c r="N547" s="68">
        <f t="shared" si="120"/>
        <v>-6</v>
      </c>
      <c r="O547" s="68">
        <f t="shared" si="121"/>
        <v>-524</v>
      </c>
      <c r="P547" s="68">
        <f t="shared" si="122"/>
        <v>-574</v>
      </c>
      <c r="Q547" s="68" t="str">
        <f t="shared" si="123"/>
        <v/>
      </c>
      <c r="R547" s="69">
        <f t="shared" si="124"/>
        <v>2102</v>
      </c>
      <c r="U547" s="5">
        <v>44554</v>
      </c>
      <c r="V547">
        <v>12373</v>
      </c>
      <c r="W547">
        <v>-23328</v>
      </c>
      <c r="X547">
        <v>8855</v>
      </c>
      <c r="Y547">
        <v>11083</v>
      </c>
      <c r="Z547">
        <v>-44</v>
      </c>
      <c r="AA547">
        <v>-1431</v>
      </c>
      <c r="AB547">
        <v>351</v>
      </c>
      <c r="AC547">
        <v>-6</v>
      </c>
      <c r="AD547">
        <v>-524</v>
      </c>
      <c r="AE547">
        <v>-574</v>
      </c>
      <c r="AF547">
        <v>0</v>
      </c>
      <c r="AG547">
        <v>2102</v>
      </c>
    </row>
    <row r="548" spans="6:33">
      <c r="F548" s="74">
        <f t="shared" si="112"/>
        <v>44553</v>
      </c>
      <c r="G548" s="72">
        <f t="shared" si="113"/>
        <v>1208</v>
      </c>
      <c r="H548" s="68">
        <f t="shared" si="114"/>
        <v>-8810</v>
      </c>
      <c r="I548" s="68">
        <f t="shared" si="115"/>
        <v>6472</v>
      </c>
      <c r="J548" s="68">
        <f t="shared" si="116"/>
        <v>8483</v>
      </c>
      <c r="K548" s="68">
        <f t="shared" si="117"/>
        <v>-310</v>
      </c>
      <c r="L548" s="68">
        <f t="shared" si="118"/>
        <v>-997</v>
      </c>
      <c r="M548" s="68">
        <f t="shared" si="119"/>
        <v>292</v>
      </c>
      <c r="N548" s="68">
        <f t="shared" si="120"/>
        <v>50</v>
      </c>
      <c r="O548" s="68">
        <f t="shared" si="121"/>
        <v>-958</v>
      </c>
      <c r="P548" s="68">
        <f t="shared" si="122"/>
        <v>-88</v>
      </c>
      <c r="Q548" s="68" t="str">
        <f t="shared" si="123"/>
        <v/>
      </c>
      <c r="R548" s="69">
        <f t="shared" si="124"/>
        <v>1128</v>
      </c>
      <c r="U548" s="5">
        <v>44553</v>
      </c>
      <c r="V548">
        <v>1208</v>
      </c>
      <c r="W548">
        <v>-8810</v>
      </c>
      <c r="X548">
        <v>6472</v>
      </c>
      <c r="Y548">
        <v>8483</v>
      </c>
      <c r="Z548">
        <v>-310</v>
      </c>
      <c r="AA548">
        <v>-997</v>
      </c>
      <c r="AB548">
        <v>292</v>
      </c>
      <c r="AC548">
        <v>50</v>
      </c>
      <c r="AD548">
        <v>-958</v>
      </c>
      <c r="AE548">
        <v>-88</v>
      </c>
      <c r="AF548">
        <v>0</v>
      </c>
      <c r="AG548">
        <v>1128</v>
      </c>
    </row>
    <row r="549" spans="6:33">
      <c r="F549" s="74">
        <f t="shared" si="112"/>
        <v>44552</v>
      </c>
      <c r="G549" s="72">
        <f t="shared" si="113"/>
        <v>10515</v>
      </c>
      <c r="H549" s="68">
        <f t="shared" si="114"/>
        <v>-13407</v>
      </c>
      <c r="I549" s="68">
        <f t="shared" si="115"/>
        <v>1597</v>
      </c>
      <c r="J549" s="68">
        <f t="shared" si="116"/>
        <v>649</v>
      </c>
      <c r="K549" s="68">
        <f t="shared" si="117"/>
        <v>60</v>
      </c>
      <c r="L549" s="68">
        <f t="shared" si="118"/>
        <v>73</v>
      </c>
      <c r="M549" s="68">
        <f t="shared" si="119"/>
        <v>880</v>
      </c>
      <c r="N549" s="68">
        <f t="shared" si="120"/>
        <v>-20</v>
      </c>
      <c r="O549" s="68">
        <f t="shared" si="121"/>
        <v>-205</v>
      </c>
      <c r="P549" s="68">
        <f t="shared" si="122"/>
        <v>160</v>
      </c>
      <c r="Q549" s="68" t="str">
        <f t="shared" si="123"/>
        <v/>
      </c>
      <c r="R549" s="69">
        <f t="shared" si="124"/>
        <v>1296</v>
      </c>
      <c r="U549" s="5">
        <v>44552</v>
      </c>
      <c r="V549">
        <v>10515</v>
      </c>
      <c r="W549">
        <v>-13407</v>
      </c>
      <c r="X549">
        <v>1597</v>
      </c>
      <c r="Y549">
        <v>649</v>
      </c>
      <c r="Z549">
        <v>60</v>
      </c>
      <c r="AA549">
        <v>73</v>
      </c>
      <c r="AB549">
        <v>880</v>
      </c>
      <c r="AC549">
        <v>-20</v>
      </c>
      <c r="AD549">
        <v>-205</v>
      </c>
      <c r="AE549">
        <v>160</v>
      </c>
      <c r="AF549">
        <v>0</v>
      </c>
      <c r="AG549">
        <v>1296</v>
      </c>
    </row>
    <row r="550" spans="6:33">
      <c r="F550" s="74">
        <f t="shared" si="112"/>
        <v>44551</v>
      </c>
      <c r="G550" s="72">
        <f t="shared" si="113"/>
        <v>1832</v>
      </c>
      <c r="H550" s="68">
        <f t="shared" si="114"/>
        <v>-13312</v>
      </c>
      <c r="I550" s="68">
        <f t="shared" si="115"/>
        <v>8552</v>
      </c>
      <c r="J550" s="68">
        <f t="shared" si="116"/>
        <v>8352</v>
      </c>
      <c r="K550" s="68">
        <f t="shared" si="117"/>
        <v>84</v>
      </c>
      <c r="L550" s="68">
        <f t="shared" si="118"/>
        <v>360</v>
      </c>
      <c r="M550" s="68">
        <f t="shared" si="119"/>
        <v>-258</v>
      </c>
      <c r="N550" s="68">
        <f t="shared" si="120"/>
        <v>-29</v>
      </c>
      <c r="O550" s="68">
        <f t="shared" si="121"/>
        <v>-49</v>
      </c>
      <c r="P550" s="68">
        <f t="shared" si="122"/>
        <v>92</v>
      </c>
      <c r="Q550" s="68" t="str">
        <f t="shared" si="123"/>
        <v/>
      </c>
      <c r="R550" s="69">
        <f t="shared" si="124"/>
        <v>2926</v>
      </c>
      <c r="U550" s="5">
        <v>44551</v>
      </c>
      <c r="V550">
        <v>1832</v>
      </c>
      <c r="W550">
        <v>-13312</v>
      </c>
      <c r="X550">
        <v>8552</v>
      </c>
      <c r="Y550">
        <v>8352</v>
      </c>
      <c r="Z550">
        <v>84</v>
      </c>
      <c r="AA550">
        <v>360</v>
      </c>
      <c r="AB550">
        <v>-258</v>
      </c>
      <c r="AC550">
        <v>-29</v>
      </c>
      <c r="AD550">
        <v>-49</v>
      </c>
      <c r="AE550">
        <v>92</v>
      </c>
      <c r="AF550">
        <v>0</v>
      </c>
      <c r="AG550">
        <v>2926</v>
      </c>
    </row>
    <row r="551" spans="6:33">
      <c r="F551" s="74">
        <f t="shared" si="112"/>
        <v>44550</v>
      </c>
      <c r="G551" s="72">
        <f t="shared" si="113"/>
        <v>-16001</v>
      </c>
      <c r="H551" s="68">
        <f t="shared" si="114"/>
        <v>19085</v>
      </c>
      <c r="I551" s="68">
        <f t="shared" si="115"/>
        <v>-4622</v>
      </c>
      <c r="J551" s="68">
        <f t="shared" si="116"/>
        <v>-4376</v>
      </c>
      <c r="K551" s="68">
        <f t="shared" si="117"/>
        <v>149</v>
      </c>
      <c r="L551" s="68">
        <f t="shared" si="118"/>
        <v>987</v>
      </c>
      <c r="M551" s="68">
        <f t="shared" si="119"/>
        <v>-1156</v>
      </c>
      <c r="N551" s="68">
        <f t="shared" si="120"/>
        <v>-124</v>
      </c>
      <c r="O551" s="68">
        <f t="shared" si="121"/>
        <v>-161</v>
      </c>
      <c r="P551" s="68">
        <f t="shared" si="122"/>
        <v>59</v>
      </c>
      <c r="Q551" s="68" t="str">
        <f t="shared" si="123"/>
        <v/>
      </c>
      <c r="R551" s="69">
        <f t="shared" si="124"/>
        <v>1537</v>
      </c>
      <c r="U551" s="5">
        <v>44550</v>
      </c>
      <c r="V551">
        <v>-16001</v>
      </c>
      <c r="W551">
        <v>19085</v>
      </c>
      <c r="X551">
        <v>-4622</v>
      </c>
      <c r="Y551">
        <v>-4376</v>
      </c>
      <c r="Z551">
        <v>149</v>
      </c>
      <c r="AA551">
        <v>987</v>
      </c>
      <c r="AB551">
        <v>-1156</v>
      </c>
      <c r="AC551">
        <v>-124</v>
      </c>
      <c r="AD551">
        <v>-161</v>
      </c>
      <c r="AE551">
        <v>59</v>
      </c>
      <c r="AF551">
        <v>0</v>
      </c>
      <c r="AG551">
        <v>1537</v>
      </c>
    </row>
    <row r="552" spans="6:33">
      <c r="F552" s="74">
        <f t="shared" si="112"/>
        <v>44547</v>
      </c>
      <c r="G552" s="72">
        <f t="shared" si="113"/>
        <v>17150</v>
      </c>
      <c r="H552" s="68">
        <f t="shared" si="114"/>
        <v>-17264</v>
      </c>
      <c r="I552" s="68">
        <f t="shared" si="115"/>
        <v>542</v>
      </c>
      <c r="J552" s="68">
        <f t="shared" si="116"/>
        <v>2267</v>
      </c>
      <c r="K552" s="68">
        <f t="shared" si="117"/>
        <v>397</v>
      </c>
      <c r="L552" s="68">
        <f t="shared" si="118"/>
        <v>-205</v>
      </c>
      <c r="M552" s="68">
        <f t="shared" si="119"/>
        <v>-1609</v>
      </c>
      <c r="N552" s="68">
        <f t="shared" si="120"/>
        <v>-115</v>
      </c>
      <c r="O552" s="68">
        <f t="shared" si="121"/>
        <v>-21</v>
      </c>
      <c r="P552" s="68">
        <f t="shared" si="122"/>
        <v>-172</v>
      </c>
      <c r="Q552" s="68" t="str">
        <f t="shared" si="123"/>
        <v/>
      </c>
      <c r="R552" s="69">
        <f t="shared" si="124"/>
        <v>-428</v>
      </c>
      <c r="U552" s="5">
        <v>44547</v>
      </c>
      <c r="V552">
        <v>17150</v>
      </c>
      <c r="W552">
        <v>-17264</v>
      </c>
      <c r="X552">
        <v>542</v>
      </c>
      <c r="Y552">
        <v>2267</v>
      </c>
      <c r="Z552">
        <v>397</v>
      </c>
      <c r="AA552">
        <v>-205</v>
      </c>
      <c r="AB552">
        <v>-1609</v>
      </c>
      <c r="AC552">
        <v>-115</v>
      </c>
      <c r="AD552">
        <v>-21</v>
      </c>
      <c r="AE552">
        <v>-172</v>
      </c>
      <c r="AF552">
        <v>0</v>
      </c>
      <c r="AG552">
        <v>-428</v>
      </c>
    </row>
    <row r="553" spans="6:33">
      <c r="F553" s="74">
        <f t="shared" si="112"/>
        <v>44546</v>
      </c>
      <c r="G553" s="72">
        <f t="shared" si="113"/>
        <v>251</v>
      </c>
      <c r="H553" s="68">
        <f t="shared" si="114"/>
        <v>354</v>
      </c>
      <c r="I553" s="68">
        <f t="shared" si="115"/>
        <v>-1379</v>
      </c>
      <c r="J553" s="68">
        <f t="shared" si="116"/>
        <v>2040</v>
      </c>
      <c r="K553" s="68">
        <f t="shared" si="117"/>
        <v>-62</v>
      </c>
      <c r="L553" s="68">
        <f t="shared" si="118"/>
        <v>-1074</v>
      </c>
      <c r="M553" s="68">
        <f t="shared" si="119"/>
        <v>-680</v>
      </c>
      <c r="N553" s="68">
        <f t="shared" si="120"/>
        <v>-85</v>
      </c>
      <c r="O553" s="68">
        <f t="shared" si="121"/>
        <v>-20</v>
      </c>
      <c r="P553" s="68">
        <f t="shared" si="122"/>
        <v>-1498</v>
      </c>
      <c r="Q553" s="68" t="str">
        <f t="shared" si="123"/>
        <v/>
      </c>
      <c r="R553" s="69">
        <f t="shared" si="124"/>
        <v>775</v>
      </c>
      <c r="U553" s="5">
        <v>44546</v>
      </c>
      <c r="V553">
        <v>251</v>
      </c>
      <c r="W553">
        <v>354</v>
      </c>
      <c r="X553">
        <v>-1379</v>
      </c>
      <c r="Y553">
        <v>2040</v>
      </c>
      <c r="Z553">
        <v>-62</v>
      </c>
      <c r="AA553">
        <v>-1074</v>
      </c>
      <c r="AB553">
        <v>-680</v>
      </c>
      <c r="AC553">
        <v>-85</v>
      </c>
      <c r="AD553">
        <v>-20</v>
      </c>
      <c r="AE553">
        <v>-1498</v>
      </c>
      <c r="AF553">
        <v>0</v>
      </c>
      <c r="AG553">
        <v>775</v>
      </c>
    </row>
    <row r="554" spans="6:33">
      <c r="F554" s="74">
        <f t="shared" si="112"/>
        <v>44545</v>
      </c>
      <c r="G554" s="72">
        <f t="shared" si="113"/>
        <v>-2590</v>
      </c>
      <c r="H554" s="68">
        <f t="shared" si="114"/>
        <v>6010</v>
      </c>
      <c r="I554" s="68">
        <f t="shared" si="115"/>
        <v>-3641</v>
      </c>
      <c r="J554" s="68">
        <f t="shared" si="116"/>
        <v>-117</v>
      </c>
      <c r="K554" s="68">
        <f t="shared" si="117"/>
        <v>-185</v>
      </c>
      <c r="L554" s="68">
        <f t="shared" si="118"/>
        <v>-1041</v>
      </c>
      <c r="M554" s="68">
        <f t="shared" si="119"/>
        <v>-938</v>
      </c>
      <c r="N554" s="68">
        <f t="shared" si="120"/>
        <v>-245</v>
      </c>
      <c r="O554" s="68">
        <f t="shared" si="121"/>
        <v>88</v>
      </c>
      <c r="P554" s="68">
        <f t="shared" si="122"/>
        <v>-1203</v>
      </c>
      <c r="Q554" s="68" t="str">
        <f t="shared" si="123"/>
        <v/>
      </c>
      <c r="R554" s="69">
        <f t="shared" si="124"/>
        <v>220</v>
      </c>
      <c r="U554" s="5">
        <v>44545</v>
      </c>
      <c r="V554">
        <v>-2590</v>
      </c>
      <c r="W554">
        <v>6010</v>
      </c>
      <c r="X554">
        <v>-3641</v>
      </c>
      <c r="Y554">
        <v>-117</v>
      </c>
      <c r="Z554">
        <v>-185</v>
      </c>
      <c r="AA554">
        <v>-1041</v>
      </c>
      <c r="AB554">
        <v>-938</v>
      </c>
      <c r="AC554">
        <v>-245</v>
      </c>
      <c r="AD554">
        <v>88</v>
      </c>
      <c r="AE554">
        <v>-1203</v>
      </c>
      <c r="AF554">
        <v>0</v>
      </c>
      <c r="AG554">
        <v>220</v>
      </c>
    </row>
    <row r="555" spans="6:33">
      <c r="F555" s="74">
        <f t="shared" si="112"/>
        <v>44544</v>
      </c>
      <c r="G555" s="72">
        <f t="shared" si="113"/>
        <v>-5153</v>
      </c>
      <c r="H555" s="68">
        <f t="shared" si="114"/>
        <v>11072</v>
      </c>
      <c r="I555" s="68">
        <f t="shared" si="115"/>
        <v>-6153</v>
      </c>
      <c r="J555" s="68">
        <f t="shared" si="116"/>
        <v>-2334</v>
      </c>
      <c r="K555" s="68">
        <f t="shared" si="117"/>
        <v>-704</v>
      </c>
      <c r="L555" s="68">
        <f t="shared" si="118"/>
        <v>-2321</v>
      </c>
      <c r="M555" s="68">
        <f t="shared" si="119"/>
        <v>-1195</v>
      </c>
      <c r="N555" s="68">
        <f t="shared" si="120"/>
        <v>-173</v>
      </c>
      <c r="O555" s="68">
        <f t="shared" si="121"/>
        <v>-350</v>
      </c>
      <c r="P555" s="68">
        <f t="shared" si="122"/>
        <v>924</v>
      </c>
      <c r="Q555" s="68" t="str">
        <f t="shared" si="123"/>
        <v/>
      </c>
      <c r="R555" s="69">
        <f t="shared" si="124"/>
        <v>234</v>
      </c>
      <c r="U555" s="5">
        <v>44544</v>
      </c>
      <c r="V555">
        <v>-5153</v>
      </c>
      <c r="W555">
        <v>11072</v>
      </c>
      <c r="X555">
        <v>-6153</v>
      </c>
      <c r="Y555">
        <v>-2334</v>
      </c>
      <c r="Z555">
        <v>-704</v>
      </c>
      <c r="AA555">
        <v>-2321</v>
      </c>
      <c r="AB555">
        <v>-1195</v>
      </c>
      <c r="AC555">
        <v>-173</v>
      </c>
      <c r="AD555">
        <v>-350</v>
      </c>
      <c r="AE555">
        <v>924</v>
      </c>
      <c r="AF555">
        <v>0</v>
      </c>
      <c r="AG555">
        <v>234</v>
      </c>
    </row>
    <row r="556" spans="6:33">
      <c r="F556" s="74">
        <f t="shared" si="112"/>
        <v>44543</v>
      </c>
      <c r="G556" s="72">
        <f t="shared" si="113"/>
        <v>2048</v>
      </c>
      <c r="H556" s="68">
        <f t="shared" si="114"/>
        <v>-11258</v>
      </c>
      <c r="I556" s="68">
        <f t="shared" si="115"/>
        <v>7780</v>
      </c>
      <c r="J556" s="68">
        <f t="shared" si="116"/>
        <v>6317</v>
      </c>
      <c r="K556" s="68">
        <f t="shared" si="117"/>
        <v>-451</v>
      </c>
      <c r="L556" s="68">
        <f t="shared" si="118"/>
        <v>450</v>
      </c>
      <c r="M556" s="68">
        <f t="shared" si="119"/>
        <v>-39</v>
      </c>
      <c r="N556" s="68">
        <f t="shared" si="120"/>
        <v>-232</v>
      </c>
      <c r="O556" s="68">
        <f t="shared" si="121"/>
        <v>17</v>
      </c>
      <c r="P556" s="68">
        <f t="shared" si="122"/>
        <v>1718</v>
      </c>
      <c r="Q556" s="68" t="str">
        <f t="shared" si="123"/>
        <v/>
      </c>
      <c r="R556" s="69">
        <f t="shared" si="124"/>
        <v>1431</v>
      </c>
      <c r="U556" s="5">
        <v>44543</v>
      </c>
      <c r="V556">
        <v>2048</v>
      </c>
      <c r="W556">
        <v>-11258</v>
      </c>
      <c r="X556">
        <v>7780</v>
      </c>
      <c r="Y556">
        <v>6317</v>
      </c>
      <c r="Z556">
        <v>-451</v>
      </c>
      <c r="AA556">
        <v>450</v>
      </c>
      <c r="AB556">
        <v>-39</v>
      </c>
      <c r="AC556">
        <v>-232</v>
      </c>
      <c r="AD556">
        <v>17</v>
      </c>
      <c r="AE556">
        <v>1718</v>
      </c>
      <c r="AF556">
        <v>0</v>
      </c>
      <c r="AG556">
        <v>1431</v>
      </c>
    </row>
    <row r="557" spans="6:33">
      <c r="F557" s="74">
        <f t="shared" si="112"/>
        <v>44540</v>
      </c>
      <c r="G557" s="72">
        <f t="shared" si="113"/>
        <v>-11590</v>
      </c>
      <c r="H557" s="68">
        <f t="shared" si="114"/>
        <v>12706</v>
      </c>
      <c r="I557" s="68">
        <f t="shared" si="115"/>
        <v>-1490</v>
      </c>
      <c r="J557" s="68">
        <f t="shared" si="116"/>
        <v>-1118</v>
      </c>
      <c r="K557" s="68">
        <f t="shared" si="117"/>
        <v>-606</v>
      </c>
      <c r="L557" s="68">
        <f t="shared" si="118"/>
        <v>-42</v>
      </c>
      <c r="M557" s="68">
        <f t="shared" si="119"/>
        <v>-581</v>
      </c>
      <c r="N557" s="68">
        <f t="shared" si="120"/>
        <v>-130</v>
      </c>
      <c r="O557" s="68">
        <f t="shared" si="121"/>
        <v>-286</v>
      </c>
      <c r="P557" s="68">
        <f t="shared" si="122"/>
        <v>1273</v>
      </c>
      <c r="Q557" s="68" t="str">
        <f t="shared" si="123"/>
        <v/>
      </c>
      <c r="R557" s="69">
        <f t="shared" si="124"/>
        <v>374</v>
      </c>
      <c r="U557" s="5">
        <v>44540</v>
      </c>
      <c r="V557">
        <v>-11590</v>
      </c>
      <c r="W557">
        <v>12706</v>
      </c>
      <c r="X557">
        <v>-1490</v>
      </c>
      <c r="Y557">
        <v>-1118</v>
      </c>
      <c r="Z557">
        <v>-606</v>
      </c>
      <c r="AA557">
        <v>-42</v>
      </c>
      <c r="AB557">
        <v>-581</v>
      </c>
      <c r="AC557">
        <v>-130</v>
      </c>
      <c r="AD557">
        <v>-286</v>
      </c>
      <c r="AE557">
        <v>1273</v>
      </c>
      <c r="AF557">
        <v>0</v>
      </c>
      <c r="AG557">
        <v>374</v>
      </c>
    </row>
    <row r="558" spans="6:33">
      <c r="F558" s="74">
        <f t="shared" si="112"/>
        <v>44539</v>
      </c>
      <c r="G558" s="72">
        <f t="shared" si="113"/>
        <v>10770</v>
      </c>
      <c r="H558" s="68">
        <f t="shared" si="114"/>
        <v>-11625</v>
      </c>
      <c r="I558" s="68">
        <f t="shared" si="115"/>
        <v>8462</v>
      </c>
      <c r="J558" s="68">
        <f t="shared" si="116"/>
        <v>14818</v>
      </c>
      <c r="K558" s="68">
        <f t="shared" si="117"/>
        <v>-87</v>
      </c>
      <c r="L558" s="68">
        <f t="shared" si="118"/>
        <v>-3627</v>
      </c>
      <c r="M558" s="68">
        <f t="shared" si="119"/>
        <v>-85</v>
      </c>
      <c r="N558" s="68">
        <f t="shared" si="120"/>
        <v>-266</v>
      </c>
      <c r="O558" s="68">
        <f t="shared" si="121"/>
        <v>-54</v>
      </c>
      <c r="P558" s="68">
        <f t="shared" si="122"/>
        <v>-2237</v>
      </c>
      <c r="Q558" s="68" t="str">
        <f t="shared" si="123"/>
        <v/>
      </c>
      <c r="R558" s="69">
        <f t="shared" si="124"/>
        <v>-7608</v>
      </c>
      <c r="U558" s="5">
        <v>44539</v>
      </c>
      <c r="V558">
        <v>10770</v>
      </c>
      <c r="W558">
        <v>-11625</v>
      </c>
      <c r="X558">
        <v>8462</v>
      </c>
      <c r="Y558">
        <v>14818</v>
      </c>
      <c r="Z558">
        <v>-87</v>
      </c>
      <c r="AA558">
        <v>-3627</v>
      </c>
      <c r="AB558">
        <v>-85</v>
      </c>
      <c r="AC558">
        <v>-266</v>
      </c>
      <c r="AD558">
        <v>-54</v>
      </c>
      <c r="AE558">
        <v>-2237</v>
      </c>
      <c r="AF558">
        <v>0</v>
      </c>
      <c r="AG558">
        <v>-7608</v>
      </c>
    </row>
    <row r="559" spans="6:33">
      <c r="F559" s="74">
        <f t="shared" si="112"/>
        <v>44538</v>
      </c>
      <c r="G559" s="72">
        <f t="shared" si="113"/>
        <v>-3166</v>
      </c>
      <c r="H559" s="68">
        <f t="shared" si="114"/>
        <v>-9233</v>
      </c>
      <c r="I559" s="68">
        <f t="shared" si="115"/>
        <v>12008</v>
      </c>
      <c r="J559" s="68">
        <f t="shared" si="116"/>
        <v>14393</v>
      </c>
      <c r="K559" s="68">
        <f t="shared" si="117"/>
        <v>-956</v>
      </c>
      <c r="L559" s="68">
        <f t="shared" si="118"/>
        <v>-644</v>
      </c>
      <c r="M559" s="68">
        <f t="shared" si="119"/>
        <v>-747</v>
      </c>
      <c r="N559" s="68">
        <f t="shared" si="120"/>
        <v>-372</v>
      </c>
      <c r="O559" s="68">
        <f t="shared" si="121"/>
        <v>-126</v>
      </c>
      <c r="P559" s="68">
        <f t="shared" si="122"/>
        <v>460</v>
      </c>
      <c r="Q559" s="68" t="str">
        <f t="shared" si="123"/>
        <v/>
      </c>
      <c r="R559" s="69">
        <f t="shared" si="124"/>
        <v>392</v>
      </c>
      <c r="U559" s="5">
        <v>44538</v>
      </c>
      <c r="V559">
        <v>-3166</v>
      </c>
      <c r="W559">
        <v>-9233</v>
      </c>
      <c r="X559">
        <v>12008</v>
      </c>
      <c r="Y559">
        <v>14393</v>
      </c>
      <c r="Z559">
        <v>-956</v>
      </c>
      <c r="AA559">
        <v>-644</v>
      </c>
      <c r="AB559">
        <v>-747</v>
      </c>
      <c r="AC559">
        <v>-372</v>
      </c>
      <c r="AD559">
        <v>-126</v>
      </c>
      <c r="AE559">
        <v>460</v>
      </c>
      <c r="AF559">
        <v>0</v>
      </c>
      <c r="AG559">
        <v>392</v>
      </c>
    </row>
    <row r="560" spans="6:33">
      <c r="F560" s="74">
        <f t="shared" si="112"/>
        <v>44537</v>
      </c>
      <c r="G560" s="72">
        <f t="shared" si="113"/>
        <v>-3701</v>
      </c>
      <c r="H560" s="68">
        <f t="shared" si="114"/>
        <v>3629</v>
      </c>
      <c r="I560" s="68">
        <f t="shared" si="115"/>
        <v>2577</v>
      </c>
      <c r="J560" s="68">
        <f t="shared" si="116"/>
        <v>1754</v>
      </c>
      <c r="K560" s="68">
        <f t="shared" si="117"/>
        <v>-582</v>
      </c>
      <c r="L560" s="68">
        <f t="shared" si="118"/>
        <v>985</v>
      </c>
      <c r="M560" s="68">
        <f t="shared" si="119"/>
        <v>988</v>
      </c>
      <c r="N560" s="68">
        <f t="shared" si="120"/>
        <v>-50</v>
      </c>
      <c r="O560" s="68">
        <f t="shared" si="121"/>
        <v>-197</v>
      </c>
      <c r="P560" s="68">
        <f t="shared" si="122"/>
        <v>-321</v>
      </c>
      <c r="Q560" s="68" t="str">
        <f t="shared" si="123"/>
        <v/>
      </c>
      <c r="R560" s="69">
        <f t="shared" si="124"/>
        <v>-2506</v>
      </c>
      <c r="U560" s="5">
        <v>44537</v>
      </c>
      <c r="V560">
        <v>-3701</v>
      </c>
      <c r="W560">
        <v>3629</v>
      </c>
      <c r="X560">
        <v>2577</v>
      </c>
      <c r="Y560">
        <v>1754</v>
      </c>
      <c r="Z560">
        <v>-582</v>
      </c>
      <c r="AA560">
        <v>985</v>
      </c>
      <c r="AB560">
        <v>988</v>
      </c>
      <c r="AC560">
        <v>-50</v>
      </c>
      <c r="AD560">
        <v>-197</v>
      </c>
      <c r="AE560">
        <v>-321</v>
      </c>
      <c r="AF560">
        <v>0</v>
      </c>
      <c r="AG560">
        <v>-2506</v>
      </c>
    </row>
    <row r="561" spans="6:33">
      <c r="F561" s="74">
        <f t="shared" si="112"/>
        <v>44536</v>
      </c>
      <c r="G561" s="72">
        <f t="shared" si="113"/>
        <v>-233</v>
      </c>
      <c r="H561" s="68">
        <f t="shared" si="114"/>
        <v>-4325</v>
      </c>
      <c r="I561" s="68">
        <f t="shared" si="115"/>
        <v>3891</v>
      </c>
      <c r="J561" s="68">
        <f t="shared" si="116"/>
        <v>953</v>
      </c>
      <c r="K561" s="68">
        <f t="shared" si="117"/>
        <v>-350</v>
      </c>
      <c r="L561" s="68">
        <f t="shared" si="118"/>
        <v>1181</v>
      </c>
      <c r="M561" s="68">
        <f t="shared" si="119"/>
        <v>240</v>
      </c>
      <c r="N561" s="68">
        <f t="shared" si="120"/>
        <v>-60</v>
      </c>
      <c r="O561" s="68">
        <f t="shared" si="121"/>
        <v>-181</v>
      </c>
      <c r="P561" s="68">
        <f t="shared" si="122"/>
        <v>2108</v>
      </c>
      <c r="Q561" s="68" t="str">
        <f t="shared" si="123"/>
        <v/>
      </c>
      <c r="R561" s="69">
        <f t="shared" si="124"/>
        <v>666</v>
      </c>
      <c r="U561" s="5">
        <v>44536</v>
      </c>
      <c r="V561">
        <v>-233</v>
      </c>
      <c r="W561">
        <v>-4325</v>
      </c>
      <c r="X561">
        <v>3891</v>
      </c>
      <c r="Y561">
        <v>953</v>
      </c>
      <c r="Z561">
        <v>-350</v>
      </c>
      <c r="AA561">
        <v>1181</v>
      </c>
      <c r="AB561">
        <v>240</v>
      </c>
      <c r="AC561">
        <v>-60</v>
      </c>
      <c r="AD561">
        <v>-181</v>
      </c>
      <c r="AE561">
        <v>2108</v>
      </c>
      <c r="AF561">
        <v>0</v>
      </c>
      <c r="AG561">
        <v>666</v>
      </c>
    </row>
    <row r="562" spans="6:33">
      <c r="F562" s="74">
        <f t="shared" si="112"/>
        <v>44533</v>
      </c>
      <c r="G562" s="72">
        <f t="shared" si="113"/>
        <v>44</v>
      </c>
      <c r="H562" s="68">
        <f t="shared" si="114"/>
        <v>-1504</v>
      </c>
      <c r="I562" s="68">
        <f t="shared" si="115"/>
        <v>840</v>
      </c>
      <c r="J562" s="68">
        <f t="shared" si="116"/>
        <v>-1528</v>
      </c>
      <c r="K562" s="68">
        <f t="shared" si="117"/>
        <v>-531</v>
      </c>
      <c r="L562" s="68">
        <f t="shared" si="118"/>
        <v>698</v>
      </c>
      <c r="M562" s="68">
        <f t="shared" si="119"/>
        <v>-156</v>
      </c>
      <c r="N562" s="68">
        <f t="shared" si="120"/>
        <v>10</v>
      </c>
      <c r="O562" s="68">
        <f t="shared" si="121"/>
        <v>-477</v>
      </c>
      <c r="P562" s="68">
        <f t="shared" si="122"/>
        <v>2824</v>
      </c>
      <c r="Q562" s="68" t="str">
        <f t="shared" si="123"/>
        <v/>
      </c>
      <c r="R562" s="69">
        <f t="shared" si="124"/>
        <v>622</v>
      </c>
      <c r="U562" s="5">
        <v>44533</v>
      </c>
      <c r="V562">
        <v>44</v>
      </c>
      <c r="W562">
        <v>-1504</v>
      </c>
      <c r="X562">
        <v>840</v>
      </c>
      <c r="Y562">
        <v>-1528</v>
      </c>
      <c r="Z562">
        <v>-531</v>
      </c>
      <c r="AA562">
        <v>698</v>
      </c>
      <c r="AB562">
        <v>-156</v>
      </c>
      <c r="AC562">
        <v>10</v>
      </c>
      <c r="AD562">
        <v>-477</v>
      </c>
      <c r="AE562">
        <v>2824</v>
      </c>
      <c r="AF562">
        <v>0</v>
      </c>
      <c r="AG562">
        <v>622</v>
      </c>
    </row>
    <row r="563" spans="6:33">
      <c r="F563" s="74">
        <f t="shared" si="112"/>
        <v>44532</v>
      </c>
      <c r="G563" s="72">
        <f t="shared" si="113"/>
        <v>23236</v>
      </c>
      <c r="H563" s="68">
        <f t="shared" si="114"/>
        <v>-25420</v>
      </c>
      <c r="I563" s="68">
        <f t="shared" si="115"/>
        <v>1097</v>
      </c>
      <c r="J563" s="68">
        <f t="shared" si="116"/>
        <v>1060</v>
      </c>
      <c r="K563" s="68">
        <f t="shared" si="117"/>
        <v>-1558</v>
      </c>
      <c r="L563" s="68">
        <f t="shared" si="118"/>
        <v>1381</v>
      </c>
      <c r="M563" s="68">
        <f t="shared" si="119"/>
        <v>-1058</v>
      </c>
      <c r="N563" s="68">
        <f t="shared" si="120"/>
        <v>-107</v>
      </c>
      <c r="O563" s="68">
        <f t="shared" si="121"/>
        <v>72</v>
      </c>
      <c r="P563" s="68">
        <f t="shared" si="122"/>
        <v>1307</v>
      </c>
      <c r="Q563" s="68" t="str">
        <f t="shared" si="123"/>
        <v/>
      </c>
      <c r="R563" s="69">
        <f t="shared" si="124"/>
        <v>1088</v>
      </c>
      <c r="U563" s="5">
        <v>44532</v>
      </c>
      <c r="V563">
        <v>23236</v>
      </c>
      <c r="W563">
        <v>-25420</v>
      </c>
      <c r="X563">
        <v>1097</v>
      </c>
      <c r="Y563">
        <v>1060</v>
      </c>
      <c r="Z563">
        <v>-1558</v>
      </c>
      <c r="AA563">
        <v>1381</v>
      </c>
      <c r="AB563">
        <v>-1058</v>
      </c>
      <c r="AC563">
        <v>-107</v>
      </c>
      <c r="AD563">
        <v>72</v>
      </c>
      <c r="AE563">
        <v>1307</v>
      </c>
      <c r="AF563">
        <v>0</v>
      </c>
      <c r="AG563">
        <v>1088</v>
      </c>
    </row>
    <row r="564" spans="6:33">
      <c r="F564" s="74">
        <f t="shared" si="112"/>
        <v>44531</v>
      </c>
      <c r="G564" s="72">
        <f t="shared" si="113"/>
        <v>33354</v>
      </c>
      <c r="H564" s="68">
        <f t="shared" si="114"/>
        <v>-34923</v>
      </c>
      <c r="I564" s="68">
        <f t="shared" si="115"/>
        <v>-2000</v>
      </c>
      <c r="J564" s="68">
        <f t="shared" si="116"/>
        <v>-1592</v>
      </c>
      <c r="K564" s="68">
        <f t="shared" si="117"/>
        <v>-533</v>
      </c>
      <c r="L564" s="68">
        <f t="shared" si="118"/>
        <v>1434</v>
      </c>
      <c r="M564" s="68">
        <f t="shared" si="119"/>
        <v>956</v>
      </c>
      <c r="N564" s="68">
        <f t="shared" si="120"/>
        <v>-3457</v>
      </c>
      <c r="O564" s="68">
        <f t="shared" si="121"/>
        <v>189</v>
      </c>
      <c r="P564" s="68">
        <f t="shared" si="122"/>
        <v>1003</v>
      </c>
      <c r="Q564" s="68" t="str">
        <f t="shared" si="123"/>
        <v/>
      </c>
      <c r="R564" s="69">
        <f t="shared" si="124"/>
        <v>3570</v>
      </c>
      <c r="U564" s="5">
        <v>44531</v>
      </c>
      <c r="V564">
        <v>33354</v>
      </c>
      <c r="W564">
        <v>-34923</v>
      </c>
      <c r="X564">
        <v>-2000</v>
      </c>
      <c r="Y564">
        <v>-1592</v>
      </c>
      <c r="Z564">
        <v>-533</v>
      </c>
      <c r="AA564">
        <v>1434</v>
      </c>
      <c r="AB564">
        <v>956</v>
      </c>
      <c r="AC564">
        <v>-3457</v>
      </c>
      <c r="AD564">
        <v>189</v>
      </c>
      <c r="AE564">
        <v>1003</v>
      </c>
      <c r="AF564">
        <v>0</v>
      </c>
      <c r="AG564">
        <v>3570</v>
      </c>
    </row>
    <row r="565" spans="6:33">
      <c r="F565" s="74">
        <f t="shared" si="112"/>
        <v>44530</v>
      </c>
      <c r="G565" s="72">
        <f t="shared" si="113"/>
        <v>-12658</v>
      </c>
      <c r="H565" s="68">
        <f t="shared" si="114"/>
        <v>25110</v>
      </c>
      <c r="I565" s="68">
        <f t="shared" si="115"/>
        <v>-14598</v>
      </c>
      <c r="J565" s="68">
        <f t="shared" si="116"/>
        <v>-5479</v>
      </c>
      <c r="K565" s="68">
        <f t="shared" si="117"/>
        <v>-558</v>
      </c>
      <c r="L565" s="68">
        <f t="shared" si="118"/>
        <v>-3508</v>
      </c>
      <c r="M565" s="68">
        <f t="shared" si="119"/>
        <v>-2006</v>
      </c>
      <c r="N565" s="68">
        <f t="shared" si="120"/>
        <v>-243</v>
      </c>
      <c r="O565" s="68">
        <f t="shared" si="121"/>
        <v>213</v>
      </c>
      <c r="P565" s="68">
        <f t="shared" si="122"/>
        <v>-3017</v>
      </c>
      <c r="Q565" s="68" t="str">
        <f t="shared" si="123"/>
        <v/>
      </c>
      <c r="R565" s="69">
        <f t="shared" si="124"/>
        <v>2149</v>
      </c>
      <c r="U565" s="5">
        <v>44530</v>
      </c>
      <c r="V565">
        <v>-12658</v>
      </c>
      <c r="W565">
        <v>25110</v>
      </c>
      <c r="X565">
        <v>-14598</v>
      </c>
      <c r="Y565">
        <v>-5479</v>
      </c>
      <c r="Z565">
        <v>-558</v>
      </c>
      <c r="AA565">
        <v>-3508</v>
      </c>
      <c r="AB565">
        <v>-2006</v>
      </c>
      <c r="AC565">
        <v>-243</v>
      </c>
      <c r="AD565">
        <v>213</v>
      </c>
      <c r="AE565">
        <v>-3017</v>
      </c>
      <c r="AF565">
        <v>0</v>
      </c>
      <c r="AG565">
        <v>2149</v>
      </c>
    </row>
    <row r="566" spans="6:33">
      <c r="F566" s="74">
        <f t="shared" si="112"/>
        <v>44529</v>
      </c>
      <c r="G566" s="72">
        <f t="shared" si="113"/>
        <v>14225</v>
      </c>
      <c r="H566" s="68">
        <f t="shared" si="114"/>
        <v>-26017</v>
      </c>
      <c r="I566" s="68">
        <f t="shared" si="115"/>
        <v>8625</v>
      </c>
      <c r="J566" s="68">
        <f t="shared" si="116"/>
        <v>9884</v>
      </c>
      <c r="K566" s="68">
        <f t="shared" si="117"/>
        <v>-485</v>
      </c>
      <c r="L566" s="68">
        <f t="shared" si="118"/>
        <v>864</v>
      </c>
      <c r="M566" s="68">
        <f t="shared" si="119"/>
        <v>850</v>
      </c>
      <c r="N566" s="68">
        <f t="shared" si="120"/>
        <v>-198</v>
      </c>
      <c r="O566" s="68">
        <f t="shared" si="121"/>
        <v>-25</v>
      </c>
      <c r="P566" s="68">
        <f t="shared" si="122"/>
        <v>-2265</v>
      </c>
      <c r="Q566" s="68" t="str">
        <f t="shared" si="123"/>
        <v/>
      </c>
      <c r="R566" s="69">
        <f t="shared" si="124"/>
        <v>3167</v>
      </c>
      <c r="U566" s="5">
        <v>44529</v>
      </c>
      <c r="V566">
        <v>14225</v>
      </c>
      <c r="W566">
        <v>-26017</v>
      </c>
      <c r="X566">
        <v>8625</v>
      </c>
      <c r="Y566">
        <v>9884</v>
      </c>
      <c r="Z566">
        <v>-485</v>
      </c>
      <c r="AA566">
        <v>864</v>
      </c>
      <c r="AB566">
        <v>850</v>
      </c>
      <c r="AC566">
        <v>-198</v>
      </c>
      <c r="AD566">
        <v>-25</v>
      </c>
      <c r="AE566">
        <v>-2265</v>
      </c>
      <c r="AF566">
        <v>0</v>
      </c>
      <c r="AG566">
        <v>3167</v>
      </c>
    </row>
    <row r="567" spans="6:33">
      <c r="F567" s="74">
        <f t="shared" si="112"/>
        <v>44526</v>
      </c>
      <c r="G567" s="72">
        <f t="shared" si="113"/>
        <v>-8062</v>
      </c>
      <c r="H567" s="68">
        <f t="shared" si="114"/>
        <v>12017</v>
      </c>
      <c r="I567" s="68">
        <f t="shared" si="115"/>
        <v>-6753</v>
      </c>
      <c r="J567" s="68">
        <f t="shared" si="116"/>
        <v>-3501</v>
      </c>
      <c r="K567" s="68">
        <f t="shared" si="117"/>
        <v>-796</v>
      </c>
      <c r="L567" s="68">
        <f t="shared" si="118"/>
        <v>-693</v>
      </c>
      <c r="M567" s="68">
        <f t="shared" si="119"/>
        <v>-309</v>
      </c>
      <c r="N567" s="68">
        <f t="shared" si="120"/>
        <v>-307</v>
      </c>
      <c r="O567" s="68">
        <f t="shared" si="121"/>
        <v>71</v>
      </c>
      <c r="P567" s="68">
        <f t="shared" si="122"/>
        <v>-1218</v>
      </c>
      <c r="Q567" s="68" t="str">
        <f t="shared" si="123"/>
        <v/>
      </c>
      <c r="R567" s="69">
        <f t="shared" si="124"/>
        <v>2798</v>
      </c>
      <c r="U567" s="5">
        <v>44526</v>
      </c>
      <c r="V567">
        <v>-8062</v>
      </c>
      <c r="W567">
        <v>12017</v>
      </c>
      <c r="X567">
        <v>-6753</v>
      </c>
      <c r="Y567">
        <v>-3501</v>
      </c>
      <c r="Z567">
        <v>-796</v>
      </c>
      <c r="AA567">
        <v>-693</v>
      </c>
      <c r="AB567">
        <v>-309</v>
      </c>
      <c r="AC567">
        <v>-307</v>
      </c>
      <c r="AD567">
        <v>71</v>
      </c>
      <c r="AE567">
        <v>-1218</v>
      </c>
      <c r="AF567">
        <v>0</v>
      </c>
      <c r="AG567">
        <v>2798</v>
      </c>
    </row>
    <row r="568" spans="6:33">
      <c r="F568" s="74">
        <f t="shared" si="112"/>
        <v>44525</v>
      </c>
      <c r="G568" s="72">
        <f t="shared" si="113"/>
        <v>-8587</v>
      </c>
      <c r="H568" s="68">
        <f t="shared" si="114"/>
        <v>11803</v>
      </c>
      <c r="I568" s="68">
        <f t="shared" si="115"/>
        <v>-3977</v>
      </c>
      <c r="J568" s="68">
        <f t="shared" si="116"/>
        <v>169</v>
      </c>
      <c r="K568" s="68">
        <f t="shared" si="117"/>
        <v>-337</v>
      </c>
      <c r="L568" s="68">
        <f t="shared" si="118"/>
        <v>-341</v>
      </c>
      <c r="M568" s="68">
        <f t="shared" si="119"/>
        <v>-764</v>
      </c>
      <c r="N568" s="68">
        <f t="shared" si="120"/>
        <v>-1598</v>
      </c>
      <c r="O568" s="68">
        <f t="shared" si="121"/>
        <v>123</v>
      </c>
      <c r="P568" s="68">
        <f t="shared" si="122"/>
        <v>-1229</v>
      </c>
      <c r="Q568" s="68" t="str">
        <f t="shared" si="123"/>
        <v/>
      </c>
      <c r="R568" s="69">
        <f t="shared" si="124"/>
        <v>761</v>
      </c>
      <c r="U568" s="5">
        <v>44525</v>
      </c>
      <c r="V568">
        <v>-8587</v>
      </c>
      <c r="W568">
        <v>11803</v>
      </c>
      <c r="X568">
        <v>-3977</v>
      </c>
      <c r="Y568">
        <v>169</v>
      </c>
      <c r="Z568">
        <v>-337</v>
      </c>
      <c r="AA568">
        <v>-341</v>
      </c>
      <c r="AB568">
        <v>-764</v>
      </c>
      <c r="AC568">
        <v>-1598</v>
      </c>
      <c r="AD568">
        <v>123</v>
      </c>
      <c r="AE568">
        <v>-1229</v>
      </c>
      <c r="AF568">
        <v>0</v>
      </c>
      <c r="AG568">
        <v>761</v>
      </c>
    </row>
    <row r="569" spans="6:33">
      <c r="F569" s="74">
        <f t="shared" si="112"/>
        <v>44524</v>
      </c>
      <c r="G569" s="72">
        <f t="shared" si="113"/>
        <v>9395</v>
      </c>
      <c r="H569" s="68">
        <f t="shared" si="114"/>
        <v>2048</v>
      </c>
      <c r="I569" s="68">
        <f t="shared" si="115"/>
        <v>-12693</v>
      </c>
      <c r="J569" s="68">
        <f t="shared" si="116"/>
        <v>-13970</v>
      </c>
      <c r="K569" s="68">
        <f t="shared" si="117"/>
        <v>274</v>
      </c>
      <c r="L569" s="68">
        <f t="shared" si="118"/>
        <v>574</v>
      </c>
      <c r="M569" s="68">
        <f t="shared" si="119"/>
        <v>-18</v>
      </c>
      <c r="N569" s="68">
        <f t="shared" si="120"/>
        <v>-215</v>
      </c>
      <c r="O569" s="68">
        <f t="shared" si="121"/>
        <v>238</v>
      </c>
      <c r="P569" s="68">
        <f t="shared" si="122"/>
        <v>424</v>
      </c>
      <c r="Q569" s="68" t="str">
        <f t="shared" si="123"/>
        <v/>
      </c>
      <c r="R569" s="69">
        <f t="shared" si="124"/>
        <v>1249</v>
      </c>
      <c r="U569" s="5">
        <v>44524</v>
      </c>
      <c r="V569">
        <v>9395</v>
      </c>
      <c r="W569">
        <v>2048</v>
      </c>
      <c r="X569">
        <v>-12693</v>
      </c>
      <c r="Y569">
        <v>-13970</v>
      </c>
      <c r="Z569">
        <v>274</v>
      </c>
      <c r="AA569">
        <v>574</v>
      </c>
      <c r="AB569">
        <v>-18</v>
      </c>
      <c r="AC569">
        <v>-215</v>
      </c>
      <c r="AD569">
        <v>238</v>
      </c>
      <c r="AE569">
        <v>424</v>
      </c>
      <c r="AF569">
        <v>0</v>
      </c>
      <c r="AG569">
        <v>1249</v>
      </c>
    </row>
    <row r="570" spans="6:33">
      <c r="F570" s="74">
        <f t="shared" si="112"/>
        <v>44523</v>
      </c>
      <c r="G570" s="72">
        <f t="shared" si="113"/>
        <v>4640</v>
      </c>
      <c r="H570" s="68">
        <f t="shared" si="114"/>
        <v>4951</v>
      </c>
      <c r="I570" s="68">
        <f t="shared" si="115"/>
        <v>-11179</v>
      </c>
      <c r="J570" s="68">
        <f t="shared" si="116"/>
        <v>-9537</v>
      </c>
      <c r="K570" s="68">
        <f t="shared" si="117"/>
        <v>-99</v>
      </c>
      <c r="L570" s="68">
        <f t="shared" si="118"/>
        <v>-1689</v>
      </c>
      <c r="M570" s="68">
        <f t="shared" si="119"/>
        <v>-666</v>
      </c>
      <c r="N570" s="68">
        <f t="shared" si="120"/>
        <v>-23</v>
      </c>
      <c r="O570" s="68">
        <f t="shared" si="121"/>
        <v>154</v>
      </c>
      <c r="P570" s="68">
        <f t="shared" si="122"/>
        <v>681</v>
      </c>
      <c r="Q570" s="68" t="str">
        <f t="shared" si="123"/>
        <v/>
      </c>
      <c r="R570" s="69">
        <f t="shared" si="124"/>
        <v>1590</v>
      </c>
      <c r="U570" s="5">
        <v>44523</v>
      </c>
      <c r="V570">
        <v>4640</v>
      </c>
      <c r="W570">
        <v>4951</v>
      </c>
      <c r="X570">
        <v>-11179</v>
      </c>
      <c r="Y570">
        <v>-9537</v>
      </c>
      <c r="Z570">
        <v>-99</v>
      </c>
      <c r="AA570">
        <v>-1689</v>
      </c>
      <c r="AB570">
        <v>-666</v>
      </c>
      <c r="AC570">
        <v>-23</v>
      </c>
      <c r="AD570">
        <v>154</v>
      </c>
      <c r="AE570">
        <v>681</v>
      </c>
      <c r="AF570">
        <v>0</v>
      </c>
      <c r="AG570">
        <v>1590</v>
      </c>
    </row>
    <row r="571" spans="6:33">
      <c r="F571" s="74">
        <f t="shared" si="112"/>
        <v>44522</v>
      </c>
      <c r="G571" s="72">
        <f t="shared" si="113"/>
        <v>5166</v>
      </c>
      <c r="H571" s="68">
        <f t="shared" si="114"/>
        <v>-10959</v>
      </c>
      <c r="I571" s="68">
        <f t="shared" si="115"/>
        <v>4381</v>
      </c>
      <c r="J571" s="68">
        <f t="shared" si="116"/>
        <v>7280</v>
      </c>
      <c r="K571" s="68">
        <f t="shared" si="117"/>
        <v>-659</v>
      </c>
      <c r="L571" s="68">
        <f t="shared" si="118"/>
        <v>-999</v>
      </c>
      <c r="M571" s="68">
        <f t="shared" si="119"/>
        <v>-1374</v>
      </c>
      <c r="N571" s="68">
        <f t="shared" si="120"/>
        <v>7</v>
      </c>
      <c r="O571" s="68">
        <f t="shared" si="121"/>
        <v>163</v>
      </c>
      <c r="P571" s="68">
        <f t="shared" si="122"/>
        <v>-37</v>
      </c>
      <c r="Q571" s="68" t="str">
        <f t="shared" si="123"/>
        <v/>
      </c>
      <c r="R571" s="69">
        <f t="shared" si="124"/>
        <v>1410</v>
      </c>
      <c r="U571" s="5">
        <v>44522</v>
      </c>
      <c r="V571">
        <v>5166</v>
      </c>
      <c r="W571">
        <v>-10959</v>
      </c>
      <c r="X571">
        <v>4381</v>
      </c>
      <c r="Y571">
        <v>7280</v>
      </c>
      <c r="Z571">
        <v>-659</v>
      </c>
      <c r="AA571">
        <v>-999</v>
      </c>
      <c r="AB571">
        <v>-1374</v>
      </c>
      <c r="AC571">
        <v>7</v>
      </c>
      <c r="AD571">
        <v>163</v>
      </c>
      <c r="AE571">
        <v>-37</v>
      </c>
      <c r="AF571">
        <v>0</v>
      </c>
      <c r="AG571">
        <v>1410</v>
      </c>
    </row>
    <row r="572" spans="6:33">
      <c r="F572" s="74">
        <f t="shared" si="112"/>
        <v>44519</v>
      </c>
      <c r="G572" s="72">
        <f t="shared" si="113"/>
        <v>6082</v>
      </c>
      <c r="H572" s="68">
        <f t="shared" si="114"/>
        <v>-7148</v>
      </c>
      <c r="I572" s="68">
        <f t="shared" si="115"/>
        <v>226</v>
      </c>
      <c r="J572" s="68">
        <f t="shared" si="116"/>
        <v>1405</v>
      </c>
      <c r="K572" s="68">
        <f t="shared" si="117"/>
        <v>-514</v>
      </c>
      <c r="L572" s="68">
        <f t="shared" si="118"/>
        <v>794</v>
      </c>
      <c r="M572" s="68">
        <f t="shared" si="119"/>
        <v>-827</v>
      </c>
      <c r="N572" s="68">
        <f t="shared" si="120"/>
        <v>2</v>
      </c>
      <c r="O572" s="68">
        <f t="shared" si="121"/>
        <v>113</v>
      </c>
      <c r="P572" s="68">
        <f t="shared" si="122"/>
        <v>-747</v>
      </c>
      <c r="Q572" s="68" t="str">
        <f t="shared" si="123"/>
        <v/>
      </c>
      <c r="R572" s="69">
        <f t="shared" si="124"/>
        <v>840</v>
      </c>
      <c r="U572" s="5">
        <v>44519</v>
      </c>
      <c r="V572">
        <v>6082</v>
      </c>
      <c r="W572">
        <v>-7148</v>
      </c>
      <c r="X572">
        <v>226</v>
      </c>
      <c r="Y572">
        <v>1405</v>
      </c>
      <c r="Z572">
        <v>-514</v>
      </c>
      <c r="AA572">
        <v>794</v>
      </c>
      <c r="AB572">
        <v>-827</v>
      </c>
      <c r="AC572">
        <v>2</v>
      </c>
      <c r="AD572">
        <v>113</v>
      </c>
      <c r="AE572">
        <v>-747</v>
      </c>
      <c r="AF572">
        <v>0</v>
      </c>
      <c r="AG572">
        <v>840</v>
      </c>
    </row>
    <row r="573" spans="6:33">
      <c r="F573" s="74">
        <f t="shared" si="112"/>
        <v>44518</v>
      </c>
      <c r="G573" s="72">
        <f t="shared" si="113"/>
        <v>-2469</v>
      </c>
      <c r="H573" s="68">
        <f t="shared" si="114"/>
        <v>7470</v>
      </c>
      <c r="I573" s="68">
        <f t="shared" si="115"/>
        <v>-5386</v>
      </c>
      <c r="J573" s="68">
        <f t="shared" si="116"/>
        <v>-416</v>
      </c>
      <c r="K573" s="68">
        <f t="shared" si="117"/>
        <v>-102</v>
      </c>
      <c r="L573" s="68">
        <f t="shared" si="118"/>
        <v>-485</v>
      </c>
      <c r="M573" s="68">
        <f t="shared" si="119"/>
        <v>-2608</v>
      </c>
      <c r="N573" s="68">
        <f t="shared" si="120"/>
        <v>28</v>
      </c>
      <c r="O573" s="68">
        <f t="shared" si="121"/>
        <v>-266</v>
      </c>
      <c r="P573" s="68">
        <f t="shared" si="122"/>
        <v>-1537</v>
      </c>
      <c r="Q573" s="68" t="str">
        <f t="shared" si="123"/>
        <v/>
      </c>
      <c r="R573" s="69">
        <f t="shared" si="124"/>
        <v>386</v>
      </c>
      <c r="U573" s="5">
        <v>44518</v>
      </c>
      <c r="V573">
        <v>-2469</v>
      </c>
      <c r="W573">
        <v>7470</v>
      </c>
      <c r="X573">
        <v>-5386</v>
      </c>
      <c r="Y573">
        <v>-416</v>
      </c>
      <c r="Z573">
        <v>-102</v>
      </c>
      <c r="AA573">
        <v>-485</v>
      </c>
      <c r="AB573">
        <v>-2608</v>
      </c>
      <c r="AC573">
        <v>28</v>
      </c>
      <c r="AD573">
        <v>-266</v>
      </c>
      <c r="AE573">
        <v>-1537</v>
      </c>
      <c r="AF573">
        <v>0</v>
      </c>
      <c r="AG573">
        <v>386</v>
      </c>
    </row>
    <row r="574" spans="6:33">
      <c r="F574" s="74">
        <f t="shared" si="112"/>
        <v>44517</v>
      </c>
      <c r="G574" s="72">
        <f t="shared" si="113"/>
        <v>-14598</v>
      </c>
      <c r="H574" s="68">
        <f t="shared" si="114"/>
        <v>29998</v>
      </c>
      <c r="I574" s="68">
        <f t="shared" si="115"/>
        <v>-17085</v>
      </c>
      <c r="J574" s="68">
        <f t="shared" si="116"/>
        <v>-9100</v>
      </c>
      <c r="K574" s="68">
        <f t="shared" si="117"/>
        <v>-738</v>
      </c>
      <c r="L574" s="68">
        <f t="shared" si="118"/>
        <v>-1691</v>
      </c>
      <c r="M574" s="68">
        <f t="shared" si="119"/>
        <v>-1760</v>
      </c>
      <c r="N574" s="68">
        <f t="shared" si="120"/>
        <v>316</v>
      </c>
      <c r="O574" s="68">
        <f t="shared" si="121"/>
        <v>-586</v>
      </c>
      <c r="P574" s="68">
        <f t="shared" si="122"/>
        <v>-3526</v>
      </c>
      <c r="Q574" s="68" t="str">
        <f t="shared" si="123"/>
        <v/>
      </c>
      <c r="R574" s="69">
        <f t="shared" si="124"/>
        <v>1686</v>
      </c>
      <c r="U574" s="5">
        <v>44517</v>
      </c>
      <c r="V574">
        <v>-14598</v>
      </c>
      <c r="W574">
        <v>29998</v>
      </c>
      <c r="X574">
        <v>-17085</v>
      </c>
      <c r="Y574">
        <v>-9100</v>
      </c>
      <c r="Z574">
        <v>-738</v>
      </c>
      <c r="AA574">
        <v>-1691</v>
      </c>
      <c r="AB574">
        <v>-1760</v>
      </c>
      <c r="AC574">
        <v>316</v>
      </c>
      <c r="AD574">
        <v>-586</v>
      </c>
      <c r="AE574">
        <v>-3526</v>
      </c>
      <c r="AF574">
        <v>0</v>
      </c>
      <c r="AG574">
        <v>1686</v>
      </c>
    </row>
    <row r="575" spans="6:33">
      <c r="F575" s="74">
        <f t="shared" si="112"/>
        <v>44516</v>
      </c>
      <c r="G575" s="72">
        <f t="shared" si="113"/>
        <v>-9954</v>
      </c>
      <c r="H575" s="68">
        <f t="shared" si="114"/>
        <v>14655</v>
      </c>
      <c r="I575" s="68">
        <f t="shared" si="115"/>
        <v>-5478</v>
      </c>
      <c r="J575" s="68">
        <f t="shared" si="116"/>
        <v>1457</v>
      </c>
      <c r="K575" s="68">
        <f t="shared" si="117"/>
        <v>-163</v>
      </c>
      <c r="L575" s="68">
        <f t="shared" si="118"/>
        <v>-1560</v>
      </c>
      <c r="M575" s="68">
        <f t="shared" si="119"/>
        <v>-896</v>
      </c>
      <c r="N575" s="68">
        <f t="shared" si="120"/>
        <v>-205</v>
      </c>
      <c r="O575" s="68">
        <f t="shared" si="121"/>
        <v>-2697</v>
      </c>
      <c r="P575" s="68">
        <f t="shared" si="122"/>
        <v>-1414</v>
      </c>
      <c r="Q575" s="68" t="str">
        <f t="shared" si="123"/>
        <v/>
      </c>
      <c r="R575" s="69">
        <f t="shared" si="124"/>
        <v>778</v>
      </c>
      <c r="U575" s="5">
        <v>44516</v>
      </c>
      <c r="V575">
        <v>-9954</v>
      </c>
      <c r="W575">
        <v>14655</v>
      </c>
      <c r="X575">
        <v>-5478</v>
      </c>
      <c r="Y575">
        <v>1457</v>
      </c>
      <c r="Z575">
        <v>-163</v>
      </c>
      <c r="AA575">
        <v>-1560</v>
      </c>
      <c r="AB575">
        <v>-896</v>
      </c>
      <c r="AC575">
        <v>-205</v>
      </c>
      <c r="AD575">
        <v>-2697</v>
      </c>
      <c r="AE575">
        <v>-1414</v>
      </c>
      <c r="AF575">
        <v>0</v>
      </c>
      <c r="AG575">
        <v>778</v>
      </c>
    </row>
    <row r="576" spans="6:33">
      <c r="F576" s="74">
        <f t="shared" si="112"/>
        <v>44515</v>
      </c>
      <c r="G576" s="72">
        <f t="shared" si="113"/>
        <v>9210</v>
      </c>
      <c r="H576" s="68">
        <f t="shared" si="114"/>
        <v>-15288</v>
      </c>
      <c r="I576" s="68">
        <f t="shared" si="115"/>
        <v>6821</v>
      </c>
      <c r="J576" s="68">
        <f t="shared" si="116"/>
        <v>7834</v>
      </c>
      <c r="K576" s="68">
        <f t="shared" si="117"/>
        <v>-622</v>
      </c>
      <c r="L576" s="68">
        <f t="shared" si="118"/>
        <v>-340</v>
      </c>
      <c r="M576" s="68">
        <f t="shared" si="119"/>
        <v>-513</v>
      </c>
      <c r="N576" s="68">
        <f t="shared" si="120"/>
        <v>-230</v>
      </c>
      <c r="O576" s="68">
        <f t="shared" si="121"/>
        <v>120</v>
      </c>
      <c r="P576" s="68">
        <f t="shared" si="122"/>
        <v>572</v>
      </c>
      <c r="Q576" s="68" t="str">
        <f t="shared" si="123"/>
        <v/>
      </c>
      <c r="R576" s="69">
        <f t="shared" si="124"/>
        <v>-741</v>
      </c>
      <c r="U576" s="5">
        <v>44515</v>
      </c>
      <c r="V576">
        <v>9210</v>
      </c>
      <c r="W576">
        <v>-15288</v>
      </c>
      <c r="X576">
        <v>6821</v>
      </c>
      <c r="Y576">
        <v>7834</v>
      </c>
      <c r="Z576">
        <v>-622</v>
      </c>
      <c r="AA576">
        <v>-340</v>
      </c>
      <c r="AB576">
        <v>-513</v>
      </c>
      <c r="AC576">
        <v>-230</v>
      </c>
      <c r="AD576">
        <v>120</v>
      </c>
      <c r="AE576">
        <v>572</v>
      </c>
      <c r="AF576">
        <v>0</v>
      </c>
      <c r="AG576">
        <v>-741</v>
      </c>
    </row>
    <row r="577" spans="6:33">
      <c r="F577" s="74">
        <f t="shared" si="112"/>
        <v>44512</v>
      </c>
      <c r="G577" s="72">
        <f t="shared" si="113"/>
        <v>18185</v>
      </c>
      <c r="H577" s="68">
        <f t="shared" si="114"/>
        <v>-28027</v>
      </c>
      <c r="I577" s="68">
        <f t="shared" si="115"/>
        <v>9490</v>
      </c>
      <c r="J577" s="68">
        <f t="shared" si="116"/>
        <v>8351</v>
      </c>
      <c r="K577" s="68">
        <f t="shared" si="117"/>
        <v>-413</v>
      </c>
      <c r="L577" s="68">
        <f t="shared" si="118"/>
        <v>1078</v>
      </c>
      <c r="M577" s="68">
        <f t="shared" si="119"/>
        <v>-584</v>
      </c>
      <c r="N577" s="68">
        <f t="shared" si="120"/>
        <v>-122</v>
      </c>
      <c r="O577" s="68">
        <f t="shared" si="121"/>
        <v>53</v>
      </c>
      <c r="P577" s="68">
        <f t="shared" si="122"/>
        <v>1127</v>
      </c>
      <c r="Q577" s="68" t="str">
        <f t="shared" si="123"/>
        <v/>
      </c>
      <c r="R577" s="69">
        <f t="shared" si="124"/>
        <v>348</v>
      </c>
      <c r="U577" s="5">
        <v>44512</v>
      </c>
      <c r="V577">
        <v>18185</v>
      </c>
      <c r="W577">
        <v>-28027</v>
      </c>
      <c r="X577">
        <v>9490</v>
      </c>
      <c r="Y577">
        <v>8351</v>
      </c>
      <c r="Z577">
        <v>-413</v>
      </c>
      <c r="AA577">
        <v>1078</v>
      </c>
      <c r="AB577">
        <v>-584</v>
      </c>
      <c r="AC577">
        <v>-122</v>
      </c>
      <c r="AD577">
        <v>53</v>
      </c>
      <c r="AE577">
        <v>1127</v>
      </c>
      <c r="AF577">
        <v>0</v>
      </c>
      <c r="AG577">
        <v>348</v>
      </c>
    </row>
    <row r="578" spans="6:33">
      <c r="F578" s="74">
        <f t="shared" si="112"/>
        <v>44511</v>
      </c>
      <c r="G578" s="72">
        <f t="shared" si="113"/>
        <v>-3596</v>
      </c>
      <c r="H578" s="68">
        <f t="shared" si="114"/>
        <v>10018</v>
      </c>
      <c r="I578" s="68">
        <f t="shared" si="115"/>
        <v>-7188</v>
      </c>
      <c r="J578" s="68">
        <f t="shared" si="116"/>
        <v>-293</v>
      </c>
      <c r="K578" s="68">
        <f t="shared" si="117"/>
        <v>-158</v>
      </c>
      <c r="L578" s="68">
        <f t="shared" si="118"/>
        <v>-1876</v>
      </c>
      <c r="M578" s="68">
        <f t="shared" si="119"/>
        <v>-1191</v>
      </c>
      <c r="N578" s="68">
        <f t="shared" si="120"/>
        <v>-187</v>
      </c>
      <c r="O578" s="68">
        <f t="shared" si="121"/>
        <v>-97</v>
      </c>
      <c r="P578" s="68">
        <f t="shared" si="122"/>
        <v>-3386</v>
      </c>
      <c r="Q578" s="68" t="str">
        <f t="shared" si="123"/>
        <v/>
      </c>
      <c r="R578" s="69">
        <f t="shared" si="124"/>
        <v>766</v>
      </c>
      <c r="U578" s="5">
        <v>44511</v>
      </c>
      <c r="V578">
        <v>-3596</v>
      </c>
      <c r="W578">
        <v>10018</v>
      </c>
      <c r="X578">
        <v>-7188</v>
      </c>
      <c r="Y578">
        <v>-293</v>
      </c>
      <c r="Z578">
        <v>-158</v>
      </c>
      <c r="AA578">
        <v>-1876</v>
      </c>
      <c r="AB578">
        <v>-1191</v>
      </c>
      <c r="AC578">
        <v>-187</v>
      </c>
      <c r="AD578">
        <v>-97</v>
      </c>
      <c r="AE578">
        <v>-3386</v>
      </c>
      <c r="AF578">
        <v>0</v>
      </c>
      <c r="AG578">
        <v>766</v>
      </c>
    </row>
    <row r="579" spans="6:33">
      <c r="F579" s="74">
        <f t="shared" si="112"/>
        <v>44510</v>
      </c>
      <c r="G579" s="72">
        <f t="shared" si="113"/>
        <v>-2676</v>
      </c>
      <c r="H579" s="68">
        <f t="shared" si="114"/>
        <v>8173</v>
      </c>
      <c r="I579" s="68">
        <f t="shared" si="115"/>
        <v>-4461</v>
      </c>
      <c r="J579" s="68">
        <f t="shared" si="116"/>
        <v>-29</v>
      </c>
      <c r="K579" s="68">
        <f t="shared" si="117"/>
        <v>108</v>
      </c>
      <c r="L579" s="68">
        <f t="shared" si="118"/>
        <v>-1018</v>
      </c>
      <c r="M579" s="68">
        <f t="shared" si="119"/>
        <v>-2196</v>
      </c>
      <c r="N579" s="68">
        <f t="shared" si="120"/>
        <v>204</v>
      </c>
      <c r="O579" s="68">
        <f t="shared" si="121"/>
        <v>126</v>
      </c>
      <c r="P579" s="68">
        <f t="shared" si="122"/>
        <v>-1656</v>
      </c>
      <c r="Q579" s="68" t="str">
        <f t="shared" si="123"/>
        <v/>
      </c>
      <c r="R579" s="69">
        <f t="shared" si="124"/>
        <v>-1036</v>
      </c>
      <c r="U579" s="5">
        <v>44510</v>
      </c>
      <c r="V579">
        <v>-2676</v>
      </c>
      <c r="W579">
        <v>8173</v>
      </c>
      <c r="X579">
        <v>-4461</v>
      </c>
      <c r="Y579">
        <v>-29</v>
      </c>
      <c r="Z579">
        <v>108</v>
      </c>
      <c r="AA579">
        <v>-1018</v>
      </c>
      <c r="AB579">
        <v>-2196</v>
      </c>
      <c r="AC579">
        <v>204</v>
      </c>
      <c r="AD579">
        <v>126</v>
      </c>
      <c r="AE579">
        <v>-1656</v>
      </c>
      <c r="AF579">
        <v>0</v>
      </c>
      <c r="AG579">
        <v>-1036</v>
      </c>
    </row>
    <row r="580" spans="6:33">
      <c r="F580" s="74">
        <f t="shared" si="112"/>
        <v>44509</v>
      </c>
      <c r="G580" s="72">
        <f t="shared" si="113"/>
        <v>-19177</v>
      </c>
      <c r="H580" s="68">
        <f t="shared" si="114"/>
        <v>15648</v>
      </c>
      <c r="I580" s="68">
        <f t="shared" si="115"/>
        <v>2964</v>
      </c>
      <c r="J580" s="68">
        <f t="shared" si="116"/>
        <v>7178</v>
      </c>
      <c r="K580" s="68">
        <f t="shared" si="117"/>
        <v>110</v>
      </c>
      <c r="L580" s="68">
        <f t="shared" si="118"/>
        <v>-615</v>
      </c>
      <c r="M580" s="68">
        <f t="shared" si="119"/>
        <v>-1393</v>
      </c>
      <c r="N580" s="68">
        <f t="shared" si="120"/>
        <v>38</v>
      </c>
      <c r="O580" s="68">
        <f t="shared" si="121"/>
        <v>83</v>
      </c>
      <c r="P580" s="68">
        <f t="shared" si="122"/>
        <v>-2437</v>
      </c>
      <c r="Q580" s="68" t="str">
        <f t="shared" si="123"/>
        <v/>
      </c>
      <c r="R580" s="69">
        <f t="shared" si="124"/>
        <v>561</v>
      </c>
      <c r="U580" s="5">
        <v>44509</v>
      </c>
      <c r="V580">
        <v>-19177</v>
      </c>
      <c r="W580">
        <v>15648</v>
      </c>
      <c r="X580">
        <v>2964</v>
      </c>
      <c r="Y580">
        <v>7178</v>
      </c>
      <c r="Z580">
        <v>110</v>
      </c>
      <c r="AA580">
        <v>-615</v>
      </c>
      <c r="AB580">
        <v>-1393</v>
      </c>
      <c r="AC580">
        <v>38</v>
      </c>
      <c r="AD580">
        <v>83</v>
      </c>
      <c r="AE580">
        <v>-2437</v>
      </c>
      <c r="AF580">
        <v>0</v>
      </c>
      <c r="AG580">
        <v>561</v>
      </c>
    </row>
    <row r="581" spans="6:33">
      <c r="F581" s="74">
        <f t="shared" si="112"/>
        <v>44508</v>
      </c>
      <c r="G581" s="72">
        <f t="shared" si="113"/>
        <v>13557</v>
      </c>
      <c r="H581" s="68">
        <f t="shared" si="114"/>
        <v>-5256</v>
      </c>
      <c r="I581" s="68">
        <f t="shared" si="115"/>
        <v>-7490</v>
      </c>
      <c r="J581" s="68">
        <f t="shared" si="116"/>
        <v>-20</v>
      </c>
      <c r="K581" s="68">
        <f t="shared" si="117"/>
        <v>382</v>
      </c>
      <c r="L581" s="68">
        <f t="shared" si="118"/>
        <v>-1743</v>
      </c>
      <c r="M581" s="68">
        <f t="shared" si="119"/>
        <v>-5506</v>
      </c>
      <c r="N581" s="68">
        <f t="shared" si="120"/>
        <v>-634</v>
      </c>
      <c r="O581" s="68">
        <f t="shared" si="121"/>
        <v>-346</v>
      </c>
      <c r="P581" s="68">
        <f t="shared" si="122"/>
        <v>377</v>
      </c>
      <c r="Q581" s="68" t="str">
        <f t="shared" si="123"/>
        <v/>
      </c>
      <c r="R581" s="69">
        <f t="shared" si="124"/>
        <v>-812</v>
      </c>
      <c r="U581" s="5">
        <v>44508</v>
      </c>
      <c r="V581">
        <v>13557</v>
      </c>
      <c r="W581">
        <v>-5256</v>
      </c>
      <c r="X581">
        <v>-7490</v>
      </c>
      <c r="Y581">
        <v>-20</v>
      </c>
      <c r="Z581">
        <v>382</v>
      </c>
      <c r="AA581">
        <v>-1743</v>
      </c>
      <c r="AB581">
        <v>-5506</v>
      </c>
      <c r="AC581">
        <v>-634</v>
      </c>
      <c r="AD581">
        <v>-346</v>
      </c>
      <c r="AE581">
        <v>377</v>
      </c>
      <c r="AF581">
        <v>0</v>
      </c>
      <c r="AG581">
        <v>-812</v>
      </c>
    </row>
    <row r="582" spans="6:33">
      <c r="F582" s="74">
        <f t="shared" si="112"/>
        <v>44505</v>
      </c>
      <c r="G582" s="72">
        <f t="shared" si="113"/>
        <v>-6222</v>
      </c>
      <c r="H582" s="68">
        <f t="shared" si="114"/>
        <v>13277</v>
      </c>
      <c r="I582" s="68">
        <f t="shared" si="115"/>
        <v>-6940</v>
      </c>
      <c r="J582" s="68">
        <f t="shared" si="116"/>
        <v>-1105</v>
      </c>
      <c r="K582" s="68">
        <f t="shared" si="117"/>
        <v>289</v>
      </c>
      <c r="L582" s="68">
        <f t="shared" si="118"/>
        <v>-1764</v>
      </c>
      <c r="M582" s="68">
        <f t="shared" si="119"/>
        <v>-1172</v>
      </c>
      <c r="N582" s="68">
        <f t="shared" si="120"/>
        <v>-36</v>
      </c>
      <c r="O582" s="68">
        <f t="shared" si="121"/>
        <v>217</v>
      </c>
      <c r="P582" s="68">
        <f t="shared" si="122"/>
        <v>-3369</v>
      </c>
      <c r="Q582" s="68" t="str">
        <f t="shared" si="123"/>
        <v/>
      </c>
      <c r="R582" s="69">
        <f t="shared" si="124"/>
        <v>-112</v>
      </c>
      <c r="U582" s="5">
        <v>44505</v>
      </c>
      <c r="V582">
        <v>-6222</v>
      </c>
      <c r="W582">
        <v>13277</v>
      </c>
      <c r="X582">
        <v>-6940</v>
      </c>
      <c r="Y582">
        <v>-1105</v>
      </c>
      <c r="Z582">
        <v>289</v>
      </c>
      <c r="AA582">
        <v>-1764</v>
      </c>
      <c r="AB582">
        <v>-1172</v>
      </c>
      <c r="AC582">
        <v>-36</v>
      </c>
      <c r="AD582">
        <v>217</v>
      </c>
      <c r="AE582">
        <v>-3369</v>
      </c>
      <c r="AF582">
        <v>0</v>
      </c>
      <c r="AG582">
        <v>-112</v>
      </c>
    </row>
    <row r="583" spans="6:33">
      <c r="F583" s="74">
        <f t="shared" si="112"/>
        <v>44504</v>
      </c>
      <c r="G583" s="72">
        <f t="shared" si="113"/>
        <v>5397</v>
      </c>
      <c r="H583" s="68">
        <f t="shared" si="114"/>
        <v>-9970</v>
      </c>
      <c r="I583" s="68">
        <f t="shared" si="115"/>
        <v>4558</v>
      </c>
      <c r="J583" s="68">
        <f t="shared" si="116"/>
        <v>7400</v>
      </c>
      <c r="K583" s="68">
        <f t="shared" si="117"/>
        <v>-225</v>
      </c>
      <c r="L583" s="68">
        <f t="shared" si="118"/>
        <v>-508</v>
      </c>
      <c r="M583" s="68">
        <f t="shared" si="119"/>
        <v>55</v>
      </c>
      <c r="N583" s="68">
        <f t="shared" si="120"/>
        <v>-5</v>
      </c>
      <c r="O583" s="68">
        <f t="shared" si="121"/>
        <v>226</v>
      </c>
      <c r="P583" s="68">
        <f t="shared" si="122"/>
        <v>-2385</v>
      </c>
      <c r="Q583" s="68" t="str">
        <f t="shared" si="123"/>
        <v/>
      </c>
      <c r="R583" s="69">
        <f t="shared" si="124"/>
        <v>16</v>
      </c>
      <c r="U583" s="5">
        <v>44504</v>
      </c>
      <c r="V583">
        <v>5397</v>
      </c>
      <c r="W583">
        <v>-9970</v>
      </c>
      <c r="X583">
        <v>4558</v>
      </c>
      <c r="Y583">
        <v>7400</v>
      </c>
      <c r="Z583">
        <v>-225</v>
      </c>
      <c r="AA583">
        <v>-508</v>
      </c>
      <c r="AB583">
        <v>55</v>
      </c>
      <c r="AC583">
        <v>-5</v>
      </c>
      <c r="AD583">
        <v>226</v>
      </c>
      <c r="AE583">
        <v>-2385</v>
      </c>
      <c r="AF583">
        <v>0</v>
      </c>
      <c r="AG583">
        <v>16</v>
      </c>
    </row>
    <row r="584" spans="6:33">
      <c r="F584" s="74">
        <f t="shared" si="112"/>
        <v>44503</v>
      </c>
      <c r="G584" s="72">
        <f t="shared" si="113"/>
        <v>-27927</v>
      </c>
      <c r="H584" s="68">
        <f t="shared" si="114"/>
        <v>39213</v>
      </c>
      <c r="I584" s="68">
        <f t="shared" si="115"/>
        <v>-11680</v>
      </c>
      <c r="J584" s="68">
        <f t="shared" si="116"/>
        <v>-8876</v>
      </c>
      <c r="K584" s="68">
        <f t="shared" si="117"/>
        <v>67</v>
      </c>
      <c r="L584" s="68">
        <f t="shared" si="118"/>
        <v>-1754</v>
      </c>
      <c r="M584" s="68">
        <f t="shared" si="119"/>
        <v>-1833</v>
      </c>
      <c r="N584" s="68">
        <f t="shared" si="120"/>
        <v>-29</v>
      </c>
      <c r="O584" s="68">
        <f t="shared" si="121"/>
        <v>198</v>
      </c>
      <c r="P584" s="68">
        <f t="shared" si="122"/>
        <v>547</v>
      </c>
      <c r="Q584" s="68" t="str">
        <f t="shared" si="123"/>
        <v/>
      </c>
      <c r="R584" s="69">
        <f t="shared" si="124"/>
        <v>395</v>
      </c>
      <c r="U584" s="5">
        <v>44503</v>
      </c>
      <c r="V584">
        <v>-27927</v>
      </c>
      <c r="W584">
        <v>39213</v>
      </c>
      <c r="X584">
        <v>-11680</v>
      </c>
      <c r="Y584">
        <v>-8876</v>
      </c>
      <c r="Z584">
        <v>67</v>
      </c>
      <c r="AA584">
        <v>-1754</v>
      </c>
      <c r="AB584">
        <v>-1833</v>
      </c>
      <c r="AC584">
        <v>-29</v>
      </c>
      <c r="AD584">
        <v>198</v>
      </c>
      <c r="AE584">
        <v>547</v>
      </c>
      <c r="AF584">
        <v>0</v>
      </c>
      <c r="AG584">
        <v>395</v>
      </c>
    </row>
    <row r="585" spans="6:33">
      <c r="F585" s="74">
        <f t="shared" si="112"/>
        <v>44502</v>
      </c>
      <c r="G585" s="72">
        <f t="shared" si="113"/>
        <v>15246</v>
      </c>
      <c r="H585" s="68">
        <f t="shared" si="114"/>
        <v>-27135</v>
      </c>
      <c r="I585" s="68">
        <f t="shared" si="115"/>
        <v>12521</v>
      </c>
      <c r="J585" s="68">
        <f t="shared" si="116"/>
        <v>16009</v>
      </c>
      <c r="K585" s="68">
        <f t="shared" si="117"/>
        <v>-641</v>
      </c>
      <c r="L585" s="68">
        <f t="shared" si="118"/>
        <v>-579</v>
      </c>
      <c r="M585" s="68">
        <f t="shared" si="119"/>
        <v>370</v>
      </c>
      <c r="N585" s="68">
        <f t="shared" si="120"/>
        <v>13</v>
      </c>
      <c r="O585" s="68">
        <f t="shared" si="121"/>
        <v>-2467</v>
      </c>
      <c r="P585" s="68">
        <f t="shared" si="122"/>
        <v>-184</v>
      </c>
      <c r="Q585" s="68" t="str">
        <f t="shared" si="123"/>
        <v/>
      </c>
      <c r="R585" s="69">
        <f t="shared" si="124"/>
        <v>-633</v>
      </c>
      <c r="U585" s="5">
        <v>44502</v>
      </c>
      <c r="V585">
        <v>15246</v>
      </c>
      <c r="W585">
        <v>-27135</v>
      </c>
      <c r="X585">
        <v>12521</v>
      </c>
      <c r="Y585">
        <v>16009</v>
      </c>
      <c r="Z585">
        <v>-641</v>
      </c>
      <c r="AA585">
        <v>-579</v>
      </c>
      <c r="AB585">
        <v>370</v>
      </c>
      <c r="AC585">
        <v>13</v>
      </c>
      <c r="AD585">
        <v>-2467</v>
      </c>
      <c r="AE585">
        <v>-184</v>
      </c>
      <c r="AF585">
        <v>0</v>
      </c>
      <c r="AG585">
        <v>-633</v>
      </c>
    </row>
    <row r="586" spans="6:33">
      <c r="F586" s="74">
        <f t="shared" si="112"/>
        <v>44501</v>
      </c>
      <c r="G586" s="72">
        <f t="shared" si="113"/>
        <v>-9241</v>
      </c>
      <c r="H586" s="68">
        <f t="shared" si="114"/>
        <v>-226</v>
      </c>
      <c r="I586" s="68">
        <f t="shared" si="115"/>
        <v>10114</v>
      </c>
      <c r="J586" s="68">
        <f t="shared" si="116"/>
        <v>12920</v>
      </c>
      <c r="K586" s="68">
        <f t="shared" si="117"/>
        <v>-155</v>
      </c>
      <c r="L586" s="68">
        <f t="shared" si="118"/>
        <v>-1341</v>
      </c>
      <c r="M586" s="68">
        <f t="shared" si="119"/>
        <v>-671</v>
      </c>
      <c r="N586" s="68">
        <f t="shared" si="120"/>
        <v>-68</v>
      </c>
      <c r="O586" s="68">
        <f t="shared" si="121"/>
        <v>-400</v>
      </c>
      <c r="P586" s="68">
        <f t="shared" si="122"/>
        <v>-171</v>
      </c>
      <c r="Q586" s="68" t="str">
        <f t="shared" si="123"/>
        <v/>
      </c>
      <c r="R586" s="69">
        <f t="shared" si="124"/>
        <v>-645</v>
      </c>
      <c r="U586" s="5">
        <v>44501</v>
      </c>
      <c r="V586">
        <v>-9241</v>
      </c>
      <c r="W586">
        <v>-226</v>
      </c>
      <c r="X586">
        <v>10114</v>
      </c>
      <c r="Y586">
        <v>12920</v>
      </c>
      <c r="Z586">
        <v>-155</v>
      </c>
      <c r="AA586">
        <v>-1341</v>
      </c>
      <c r="AB586">
        <v>-671</v>
      </c>
      <c r="AC586">
        <v>-68</v>
      </c>
      <c r="AD586">
        <v>-400</v>
      </c>
      <c r="AE586">
        <v>-171</v>
      </c>
      <c r="AF586">
        <v>0</v>
      </c>
      <c r="AG586">
        <v>-645</v>
      </c>
    </row>
    <row r="587" spans="6:33">
      <c r="F587" s="74">
        <f t="shared" si="112"/>
        <v>44498</v>
      </c>
      <c r="G587" s="72">
        <f t="shared" si="113"/>
        <v>-14456</v>
      </c>
      <c r="H587" s="68">
        <f t="shared" si="114"/>
        <v>19469</v>
      </c>
      <c r="I587" s="68">
        <f t="shared" si="115"/>
        <v>-5809</v>
      </c>
      <c r="J587" s="68">
        <f t="shared" si="116"/>
        <v>-4260</v>
      </c>
      <c r="K587" s="68">
        <f t="shared" si="117"/>
        <v>351</v>
      </c>
      <c r="L587" s="68">
        <f t="shared" si="118"/>
        <v>211</v>
      </c>
      <c r="M587" s="68">
        <f t="shared" si="119"/>
        <v>-1206</v>
      </c>
      <c r="N587" s="68">
        <f t="shared" si="120"/>
        <v>54</v>
      </c>
      <c r="O587" s="68">
        <f t="shared" si="121"/>
        <v>-782</v>
      </c>
      <c r="P587" s="68">
        <f t="shared" si="122"/>
        <v>-177</v>
      </c>
      <c r="Q587" s="68" t="str">
        <f t="shared" si="123"/>
        <v/>
      </c>
      <c r="R587" s="69">
        <f t="shared" si="124"/>
        <v>797</v>
      </c>
      <c r="U587" s="5">
        <v>44498</v>
      </c>
      <c r="V587">
        <v>-14456</v>
      </c>
      <c r="W587">
        <v>19469</v>
      </c>
      <c r="X587">
        <v>-5809</v>
      </c>
      <c r="Y587">
        <v>-4260</v>
      </c>
      <c r="Z587">
        <v>351</v>
      </c>
      <c r="AA587">
        <v>211</v>
      </c>
      <c r="AB587">
        <v>-1206</v>
      </c>
      <c r="AC587">
        <v>54</v>
      </c>
      <c r="AD587">
        <v>-782</v>
      </c>
      <c r="AE587">
        <v>-177</v>
      </c>
      <c r="AF587">
        <v>0</v>
      </c>
      <c r="AG587">
        <v>797</v>
      </c>
    </row>
    <row r="588" spans="6:33">
      <c r="F588" s="74">
        <f t="shared" si="112"/>
        <v>44497</v>
      </c>
      <c r="G588" s="72">
        <f t="shared" si="113"/>
        <v>-13285</v>
      </c>
      <c r="H588" s="68">
        <f t="shared" si="114"/>
        <v>14108</v>
      </c>
      <c r="I588" s="68">
        <f t="shared" si="115"/>
        <v>-1577</v>
      </c>
      <c r="J588" s="68">
        <f t="shared" si="116"/>
        <v>-1060</v>
      </c>
      <c r="K588" s="68">
        <f t="shared" si="117"/>
        <v>-204</v>
      </c>
      <c r="L588" s="68">
        <f t="shared" si="118"/>
        <v>-199</v>
      </c>
      <c r="M588" s="68">
        <f t="shared" si="119"/>
        <v>-344</v>
      </c>
      <c r="N588" s="68">
        <f t="shared" si="120"/>
        <v>457</v>
      </c>
      <c r="O588" s="68">
        <f t="shared" si="121"/>
        <v>-904</v>
      </c>
      <c r="P588" s="68">
        <f t="shared" si="122"/>
        <v>677</v>
      </c>
      <c r="Q588" s="68" t="str">
        <f t="shared" si="123"/>
        <v/>
      </c>
      <c r="R588" s="69">
        <f t="shared" si="124"/>
        <v>754</v>
      </c>
      <c r="U588" s="5">
        <v>44497</v>
      </c>
      <c r="V588">
        <v>-13285</v>
      </c>
      <c r="W588">
        <v>14108</v>
      </c>
      <c r="X588">
        <v>-1577</v>
      </c>
      <c r="Y588">
        <v>-1060</v>
      </c>
      <c r="Z588">
        <v>-204</v>
      </c>
      <c r="AA588">
        <v>-199</v>
      </c>
      <c r="AB588">
        <v>-344</v>
      </c>
      <c r="AC588">
        <v>457</v>
      </c>
      <c r="AD588">
        <v>-904</v>
      </c>
      <c r="AE588">
        <v>677</v>
      </c>
      <c r="AF588">
        <v>0</v>
      </c>
      <c r="AG588">
        <v>754</v>
      </c>
    </row>
    <row r="589" spans="6:33">
      <c r="F589" s="74">
        <f t="shared" si="112"/>
        <v>44496</v>
      </c>
      <c r="G589" s="72">
        <f t="shared" si="113"/>
        <v>-13764</v>
      </c>
      <c r="H589" s="68">
        <f t="shared" si="114"/>
        <v>21234</v>
      </c>
      <c r="I589" s="68">
        <f t="shared" si="115"/>
        <v>-6626</v>
      </c>
      <c r="J589" s="68">
        <f t="shared" si="116"/>
        <v>-3072</v>
      </c>
      <c r="K589" s="68">
        <f t="shared" si="117"/>
        <v>117</v>
      </c>
      <c r="L589" s="68">
        <f t="shared" si="118"/>
        <v>-1022</v>
      </c>
      <c r="M589" s="68">
        <f t="shared" si="119"/>
        <v>-2397</v>
      </c>
      <c r="N589" s="68">
        <f t="shared" si="120"/>
        <v>-12</v>
      </c>
      <c r="O589" s="68">
        <f t="shared" si="121"/>
        <v>-877</v>
      </c>
      <c r="P589" s="68">
        <f t="shared" si="122"/>
        <v>637</v>
      </c>
      <c r="Q589" s="68" t="str">
        <f t="shared" si="123"/>
        <v/>
      </c>
      <c r="R589" s="69">
        <f t="shared" si="124"/>
        <v>-842</v>
      </c>
      <c r="U589" s="5">
        <v>44496</v>
      </c>
      <c r="V589">
        <v>-13764</v>
      </c>
      <c r="W589">
        <v>21234</v>
      </c>
      <c r="X589">
        <v>-6626</v>
      </c>
      <c r="Y589">
        <v>-3072</v>
      </c>
      <c r="Z589">
        <v>117</v>
      </c>
      <c r="AA589">
        <v>-1022</v>
      </c>
      <c r="AB589">
        <v>-2397</v>
      </c>
      <c r="AC589">
        <v>-12</v>
      </c>
      <c r="AD589">
        <v>-877</v>
      </c>
      <c r="AE589">
        <v>637</v>
      </c>
      <c r="AF589">
        <v>0</v>
      </c>
      <c r="AG589">
        <v>-842</v>
      </c>
    </row>
    <row r="590" spans="6:33">
      <c r="F590" s="74">
        <f t="shared" si="112"/>
        <v>44495</v>
      </c>
      <c r="G590" s="72">
        <f t="shared" si="113"/>
        <v>-1247</v>
      </c>
      <c r="H590" s="68">
        <f t="shared" si="114"/>
        <v>-3222</v>
      </c>
      <c r="I590" s="68">
        <f t="shared" si="115"/>
        <v>7293</v>
      </c>
      <c r="J590" s="68">
        <f t="shared" si="116"/>
        <v>6102</v>
      </c>
      <c r="K590" s="68">
        <f t="shared" si="117"/>
        <v>286</v>
      </c>
      <c r="L590" s="68">
        <f t="shared" si="118"/>
        <v>-244</v>
      </c>
      <c r="M590" s="68">
        <f t="shared" si="119"/>
        <v>1330</v>
      </c>
      <c r="N590" s="68">
        <f t="shared" si="120"/>
        <v>-46</v>
      </c>
      <c r="O590" s="68">
        <f t="shared" si="121"/>
        <v>368</v>
      </c>
      <c r="P590" s="68">
        <f t="shared" si="122"/>
        <v>-503</v>
      </c>
      <c r="Q590" s="68" t="str">
        <f t="shared" si="123"/>
        <v/>
      </c>
      <c r="R590" s="69">
        <f t="shared" si="124"/>
        <v>-2823</v>
      </c>
      <c r="U590" s="5">
        <v>44495</v>
      </c>
      <c r="V590">
        <v>-1247</v>
      </c>
      <c r="W590">
        <v>-3222</v>
      </c>
      <c r="X590">
        <v>7293</v>
      </c>
      <c r="Y590">
        <v>6102</v>
      </c>
      <c r="Z590">
        <v>286</v>
      </c>
      <c r="AA590">
        <v>-244</v>
      </c>
      <c r="AB590">
        <v>1330</v>
      </c>
      <c r="AC590">
        <v>-46</v>
      </c>
      <c r="AD590">
        <v>368</v>
      </c>
      <c r="AE590">
        <v>-503</v>
      </c>
      <c r="AF590">
        <v>0</v>
      </c>
      <c r="AG590">
        <v>-2823</v>
      </c>
    </row>
    <row r="591" spans="6:33">
      <c r="F591" s="74">
        <f t="shared" si="112"/>
        <v>44494</v>
      </c>
      <c r="G591" s="72">
        <f t="shared" si="113"/>
        <v>7455</v>
      </c>
      <c r="H591" s="68">
        <f t="shared" si="114"/>
        <v>-13537</v>
      </c>
      <c r="I591" s="68">
        <f t="shared" si="115"/>
        <v>6079</v>
      </c>
      <c r="J591" s="68">
        <f t="shared" si="116"/>
        <v>4400</v>
      </c>
      <c r="K591" s="68">
        <f t="shared" si="117"/>
        <v>100</v>
      </c>
      <c r="L591" s="68">
        <f t="shared" si="118"/>
        <v>599</v>
      </c>
      <c r="M591" s="68">
        <f t="shared" si="119"/>
        <v>2</v>
      </c>
      <c r="N591" s="68">
        <f t="shared" si="120"/>
        <v>-114</v>
      </c>
      <c r="O591" s="68">
        <f t="shared" si="121"/>
        <v>175</v>
      </c>
      <c r="P591" s="68">
        <f t="shared" si="122"/>
        <v>917</v>
      </c>
      <c r="Q591" s="68" t="str">
        <f t="shared" si="123"/>
        <v/>
      </c>
      <c r="R591" s="69">
        <f t="shared" si="124"/>
        <v>4</v>
      </c>
      <c r="U591" s="5">
        <v>44494</v>
      </c>
      <c r="V591">
        <v>7455</v>
      </c>
      <c r="W591">
        <v>-13537</v>
      </c>
      <c r="X591">
        <v>6079</v>
      </c>
      <c r="Y591">
        <v>4400</v>
      </c>
      <c r="Z591">
        <v>100</v>
      </c>
      <c r="AA591">
        <v>599</v>
      </c>
      <c r="AB591">
        <v>2</v>
      </c>
      <c r="AC591">
        <v>-114</v>
      </c>
      <c r="AD591">
        <v>175</v>
      </c>
      <c r="AE591">
        <v>917</v>
      </c>
      <c r="AF591">
        <v>0</v>
      </c>
      <c r="AG591">
        <v>4</v>
      </c>
    </row>
    <row r="592" spans="6:33">
      <c r="F592" s="74">
        <f t="shared" si="112"/>
        <v>44491</v>
      </c>
      <c r="G592" s="72">
        <f t="shared" si="113"/>
        <v>-12329</v>
      </c>
      <c r="H592" s="68">
        <f t="shared" si="114"/>
        <v>9409</v>
      </c>
      <c r="I592" s="68">
        <f t="shared" si="115"/>
        <v>3200</v>
      </c>
      <c r="J592" s="68">
        <f t="shared" si="116"/>
        <v>4512</v>
      </c>
      <c r="K592" s="68">
        <f t="shared" si="117"/>
        <v>532</v>
      </c>
      <c r="L592" s="68">
        <f t="shared" si="118"/>
        <v>-414</v>
      </c>
      <c r="M592" s="68">
        <f t="shared" si="119"/>
        <v>-1030</v>
      </c>
      <c r="N592" s="68">
        <f t="shared" si="120"/>
        <v>-247</v>
      </c>
      <c r="O592" s="68">
        <f t="shared" si="121"/>
        <v>186</v>
      </c>
      <c r="P592" s="68">
        <f t="shared" si="122"/>
        <v>-339</v>
      </c>
      <c r="Q592" s="68" t="str">
        <f t="shared" si="123"/>
        <v/>
      </c>
      <c r="R592" s="69">
        <f t="shared" si="124"/>
        <v>-281</v>
      </c>
      <c r="U592" s="5">
        <v>44491</v>
      </c>
      <c r="V592">
        <v>-12329</v>
      </c>
      <c r="W592">
        <v>9409</v>
      </c>
      <c r="X592">
        <v>3200</v>
      </c>
      <c r="Y592">
        <v>4512</v>
      </c>
      <c r="Z592">
        <v>532</v>
      </c>
      <c r="AA592">
        <v>-414</v>
      </c>
      <c r="AB592">
        <v>-1030</v>
      </c>
      <c r="AC592">
        <v>-247</v>
      </c>
      <c r="AD592">
        <v>186</v>
      </c>
      <c r="AE592">
        <v>-339</v>
      </c>
      <c r="AF592">
        <v>0</v>
      </c>
      <c r="AG592">
        <v>-281</v>
      </c>
    </row>
    <row r="593" spans="6:33">
      <c r="F593" s="74">
        <f t="shared" si="112"/>
        <v>44490</v>
      </c>
      <c r="G593" s="72">
        <f t="shared" si="113"/>
        <v>-6105</v>
      </c>
      <c r="H593" s="68">
        <f t="shared" si="114"/>
        <v>1649</v>
      </c>
      <c r="I593" s="68">
        <f t="shared" si="115"/>
        <v>4315</v>
      </c>
      <c r="J593" s="68">
        <f t="shared" si="116"/>
        <v>4237</v>
      </c>
      <c r="K593" s="68">
        <f t="shared" si="117"/>
        <v>150</v>
      </c>
      <c r="L593" s="68">
        <f t="shared" si="118"/>
        <v>-153</v>
      </c>
      <c r="M593" s="68">
        <f t="shared" si="119"/>
        <v>2422</v>
      </c>
      <c r="N593" s="68">
        <f t="shared" si="120"/>
        <v>-2998</v>
      </c>
      <c r="O593" s="68">
        <f t="shared" si="121"/>
        <v>70</v>
      </c>
      <c r="P593" s="68">
        <f t="shared" si="122"/>
        <v>587</v>
      </c>
      <c r="Q593" s="68" t="str">
        <f t="shared" si="123"/>
        <v/>
      </c>
      <c r="R593" s="69">
        <f t="shared" si="124"/>
        <v>142</v>
      </c>
      <c r="U593" s="5">
        <v>44490</v>
      </c>
      <c r="V593">
        <v>-6105</v>
      </c>
      <c r="W593">
        <v>1649</v>
      </c>
      <c r="X593">
        <v>4315</v>
      </c>
      <c r="Y593">
        <v>4237</v>
      </c>
      <c r="Z593">
        <v>150</v>
      </c>
      <c r="AA593">
        <v>-153</v>
      </c>
      <c r="AB593">
        <v>2422</v>
      </c>
      <c r="AC593">
        <v>-2998</v>
      </c>
      <c r="AD593">
        <v>70</v>
      </c>
      <c r="AE593">
        <v>587</v>
      </c>
      <c r="AF593">
        <v>0</v>
      </c>
      <c r="AG593">
        <v>142</v>
      </c>
    </row>
    <row r="594" spans="6:33">
      <c r="F594" s="74">
        <f t="shared" si="112"/>
        <v>44489</v>
      </c>
      <c r="G594" s="72">
        <f t="shared" si="113"/>
        <v>2248</v>
      </c>
      <c r="H594" s="68">
        <f t="shared" si="114"/>
        <v>3720</v>
      </c>
      <c r="I594" s="68">
        <f t="shared" si="115"/>
        <v>-3895</v>
      </c>
      <c r="J594" s="68">
        <f t="shared" si="116"/>
        <v>379</v>
      </c>
      <c r="K594" s="68">
        <f t="shared" si="117"/>
        <v>-523</v>
      </c>
      <c r="L594" s="68">
        <f t="shared" si="118"/>
        <v>-895</v>
      </c>
      <c r="M594" s="68">
        <f t="shared" si="119"/>
        <v>-1537</v>
      </c>
      <c r="N594" s="68">
        <f t="shared" si="120"/>
        <v>-222</v>
      </c>
      <c r="O594" s="68">
        <f t="shared" si="121"/>
        <v>-44</v>
      </c>
      <c r="P594" s="68">
        <f t="shared" si="122"/>
        <v>-1053</v>
      </c>
      <c r="Q594" s="68" t="str">
        <f t="shared" si="123"/>
        <v/>
      </c>
      <c r="R594" s="69">
        <f t="shared" si="124"/>
        <v>-2072</v>
      </c>
      <c r="U594" s="5">
        <v>44489</v>
      </c>
      <c r="V594">
        <v>2248</v>
      </c>
      <c r="W594">
        <v>3720</v>
      </c>
      <c r="X594">
        <v>-3895</v>
      </c>
      <c r="Y594">
        <v>379</v>
      </c>
      <c r="Z594">
        <v>-523</v>
      </c>
      <c r="AA594">
        <v>-895</v>
      </c>
      <c r="AB594">
        <v>-1537</v>
      </c>
      <c r="AC594">
        <v>-222</v>
      </c>
      <c r="AD594">
        <v>-44</v>
      </c>
      <c r="AE594">
        <v>-1053</v>
      </c>
      <c r="AF594">
        <v>0</v>
      </c>
      <c r="AG594">
        <v>-2072</v>
      </c>
    </row>
    <row r="595" spans="6:33">
      <c r="F595" s="74">
        <f>IF(U595=0,"",U595)</f>
        <v>44488</v>
      </c>
      <c r="G595" s="72">
        <f t="shared" ref="G595:R599" si="125">IF(IF($B$17=3,V595/1000,V595)=0,"",IF($B$17=3,V595/1000,V595))</f>
        <v>-7396</v>
      </c>
      <c r="H595" s="68">
        <f t="shared" si="125"/>
        <v>8481</v>
      </c>
      <c r="I595" s="68">
        <f t="shared" si="125"/>
        <v>-120</v>
      </c>
      <c r="J595" s="68">
        <f t="shared" si="125"/>
        <v>5752</v>
      </c>
      <c r="K595" s="68">
        <f t="shared" si="125"/>
        <v>-222</v>
      </c>
      <c r="L595" s="68">
        <f t="shared" si="125"/>
        <v>-1128</v>
      </c>
      <c r="M595" s="68">
        <f t="shared" si="125"/>
        <v>-1627</v>
      </c>
      <c r="N595" s="68">
        <f t="shared" si="125"/>
        <v>-383</v>
      </c>
      <c r="O595" s="68">
        <f t="shared" si="125"/>
        <v>52</v>
      </c>
      <c r="P595" s="68">
        <f t="shared" si="125"/>
        <v>-2564</v>
      </c>
      <c r="Q595" s="68" t="str">
        <f t="shared" si="125"/>
        <v/>
      </c>
      <c r="R595" s="69">
        <f t="shared" si="125"/>
        <v>-964</v>
      </c>
      <c r="U595" s="5">
        <v>44488</v>
      </c>
      <c r="V595">
        <v>-7396</v>
      </c>
      <c r="W595">
        <v>8481</v>
      </c>
      <c r="X595">
        <v>-120</v>
      </c>
      <c r="Y595">
        <v>5752</v>
      </c>
      <c r="Z595">
        <v>-222</v>
      </c>
      <c r="AA595">
        <v>-1128</v>
      </c>
      <c r="AB595">
        <v>-1627</v>
      </c>
      <c r="AC595">
        <v>-383</v>
      </c>
      <c r="AD595">
        <v>52</v>
      </c>
      <c r="AE595">
        <v>-2564</v>
      </c>
      <c r="AF595">
        <v>0</v>
      </c>
      <c r="AG595">
        <v>-964</v>
      </c>
    </row>
    <row r="596" spans="6:33">
      <c r="F596" s="74">
        <f>IF(U596=0,"",U596)</f>
        <v>44487</v>
      </c>
      <c r="G596" s="72">
        <f t="shared" si="125"/>
        <v>-6699</v>
      </c>
      <c r="H596" s="68">
        <f t="shared" si="125"/>
        <v>14329</v>
      </c>
      <c r="I596" s="68">
        <f t="shared" si="125"/>
        <v>-6216</v>
      </c>
      <c r="J596" s="68">
        <f t="shared" si="125"/>
        <v>-3465</v>
      </c>
      <c r="K596" s="68">
        <f t="shared" si="125"/>
        <v>-245</v>
      </c>
      <c r="L596" s="68">
        <f t="shared" si="125"/>
        <v>-367</v>
      </c>
      <c r="M596" s="68">
        <f t="shared" si="125"/>
        <v>-1797</v>
      </c>
      <c r="N596" s="68">
        <f t="shared" si="125"/>
        <v>-133</v>
      </c>
      <c r="O596" s="68">
        <f t="shared" si="125"/>
        <v>-26</v>
      </c>
      <c r="P596" s="68">
        <f t="shared" si="125"/>
        <v>-183</v>
      </c>
      <c r="Q596" s="68" t="str">
        <f t="shared" si="125"/>
        <v/>
      </c>
      <c r="R596" s="69">
        <f t="shared" si="125"/>
        <v>-1413</v>
      </c>
      <c r="U596" s="5">
        <v>44487</v>
      </c>
      <c r="V596">
        <v>-6699</v>
      </c>
      <c r="W596">
        <v>14329</v>
      </c>
      <c r="X596">
        <v>-6216</v>
      </c>
      <c r="Y596">
        <v>-3465</v>
      </c>
      <c r="Z596">
        <v>-245</v>
      </c>
      <c r="AA596">
        <v>-367</v>
      </c>
      <c r="AB596">
        <v>-1797</v>
      </c>
      <c r="AC596">
        <v>-133</v>
      </c>
      <c r="AD596">
        <v>-26</v>
      </c>
      <c r="AE596">
        <v>-183</v>
      </c>
      <c r="AF596">
        <v>0</v>
      </c>
      <c r="AG596">
        <v>-1413</v>
      </c>
    </row>
    <row r="597" spans="6:33">
      <c r="F597" s="74">
        <f>IF(U597=0,"",U597)</f>
        <v>44484</v>
      </c>
      <c r="G597" s="72">
        <f t="shared" si="125"/>
        <v>13849</v>
      </c>
      <c r="H597" s="68">
        <f t="shared" si="125"/>
        <v>-20032</v>
      </c>
      <c r="I597" s="68">
        <f t="shared" si="125"/>
        <v>6653</v>
      </c>
      <c r="J597" s="68">
        <f t="shared" si="125"/>
        <v>3805</v>
      </c>
      <c r="K597" s="68">
        <f t="shared" si="125"/>
        <v>67</v>
      </c>
      <c r="L597" s="68">
        <f t="shared" si="125"/>
        <v>2187</v>
      </c>
      <c r="M597" s="68">
        <f t="shared" si="125"/>
        <v>344</v>
      </c>
      <c r="N597" s="68">
        <f t="shared" si="125"/>
        <v>-336</v>
      </c>
      <c r="O597" s="68">
        <f t="shared" si="125"/>
        <v>68</v>
      </c>
      <c r="P597" s="68">
        <f t="shared" si="125"/>
        <v>518</v>
      </c>
      <c r="Q597" s="68" t="str">
        <f t="shared" si="125"/>
        <v/>
      </c>
      <c r="R597" s="69">
        <f t="shared" si="125"/>
        <v>-469</v>
      </c>
      <c r="U597" s="5">
        <v>44484</v>
      </c>
      <c r="V597">
        <v>13849</v>
      </c>
      <c r="W597">
        <v>-20032</v>
      </c>
      <c r="X597">
        <v>6653</v>
      </c>
      <c r="Y597">
        <v>3805</v>
      </c>
      <c r="Z597">
        <v>67</v>
      </c>
      <c r="AA597">
        <v>2187</v>
      </c>
      <c r="AB597">
        <v>344</v>
      </c>
      <c r="AC597">
        <v>-336</v>
      </c>
      <c r="AD597">
        <v>68</v>
      </c>
      <c r="AE597">
        <v>518</v>
      </c>
      <c r="AF597">
        <v>0</v>
      </c>
      <c r="AG597">
        <v>-469</v>
      </c>
    </row>
    <row r="598" spans="6:33">
      <c r="F598" s="74">
        <f>IF(U598=0,"",U598)</f>
        <v>44483</v>
      </c>
      <c r="G598" s="72">
        <f t="shared" si="125"/>
        <v>-3267</v>
      </c>
      <c r="H598" s="68">
        <f t="shared" si="125"/>
        <v>343</v>
      </c>
      <c r="I598" s="68">
        <f t="shared" si="125"/>
        <v>3978</v>
      </c>
      <c r="J598" s="68">
        <f t="shared" si="125"/>
        <v>5762</v>
      </c>
      <c r="K598" s="68">
        <f t="shared" si="125"/>
        <v>97</v>
      </c>
      <c r="L598" s="68">
        <f t="shared" si="125"/>
        <v>-402</v>
      </c>
      <c r="M598" s="68">
        <f t="shared" si="125"/>
        <v>-1288</v>
      </c>
      <c r="N598" s="68">
        <f t="shared" si="125"/>
        <v>-387</v>
      </c>
      <c r="O598" s="68">
        <f t="shared" si="125"/>
        <v>-45</v>
      </c>
      <c r="P598" s="68">
        <f t="shared" si="125"/>
        <v>241</v>
      </c>
      <c r="Q598" s="68" t="str">
        <f t="shared" si="125"/>
        <v/>
      </c>
      <c r="R598" s="69">
        <f t="shared" si="125"/>
        <v>-1053</v>
      </c>
      <c r="U598" s="5">
        <v>44483</v>
      </c>
      <c r="V598">
        <v>-3267</v>
      </c>
      <c r="W598">
        <v>343</v>
      </c>
      <c r="X598">
        <v>3978</v>
      </c>
      <c r="Y598">
        <v>5762</v>
      </c>
      <c r="Z598">
        <v>97</v>
      </c>
      <c r="AA598">
        <v>-402</v>
      </c>
      <c r="AB598">
        <v>-1288</v>
      </c>
      <c r="AC598">
        <v>-387</v>
      </c>
      <c r="AD598">
        <v>-45</v>
      </c>
      <c r="AE598">
        <v>241</v>
      </c>
      <c r="AF598">
        <v>0</v>
      </c>
      <c r="AG598">
        <v>-1053</v>
      </c>
    </row>
    <row r="599" spans="6:33" ht="13.5" thickBot="1">
      <c r="F599" s="75">
        <f>IF(U599=0,"",U599)</f>
        <v>44482</v>
      </c>
      <c r="G599" s="73">
        <f t="shared" si="125"/>
        <v>11662</v>
      </c>
      <c r="H599" s="70">
        <f t="shared" si="125"/>
        <v>-17128</v>
      </c>
      <c r="I599" s="70">
        <f t="shared" si="125"/>
        <v>6106</v>
      </c>
      <c r="J599" s="70">
        <f t="shared" si="125"/>
        <v>8368</v>
      </c>
      <c r="K599" s="70">
        <f t="shared" si="125"/>
        <v>438</v>
      </c>
      <c r="L599" s="70">
        <f t="shared" si="125"/>
        <v>962</v>
      </c>
      <c r="M599" s="70">
        <f t="shared" si="125"/>
        <v>-686</v>
      </c>
      <c r="N599" s="70">
        <f t="shared" si="125"/>
        <v>-220</v>
      </c>
      <c r="O599" s="70">
        <f t="shared" si="125"/>
        <v>-5700</v>
      </c>
      <c r="P599" s="70">
        <f t="shared" si="125"/>
        <v>2944</v>
      </c>
      <c r="Q599" s="70" t="str">
        <f t="shared" si="125"/>
        <v/>
      </c>
      <c r="R599" s="71">
        <f t="shared" si="125"/>
        <v>-642</v>
      </c>
      <c r="U599" s="5">
        <v>44482</v>
      </c>
      <c r="V599">
        <v>11662</v>
      </c>
      <c r="W599">
        <v>-17128</v>
      </c>
      <c r="X599">
        <v>6106</v>
      </c>
      <c r="Y599">
        <v>8368</v>
      </c>
      <c r="Z599">
        <v>438</v>
      </c>
      <c r="AA599">
        <v>962</v>
      </c>
      <c r="AB599">
        <v>-686</v>
      </c>
      <c r="AC599">
        <v>-220</v>
      </c>
      <c r="AD599">
        <v>-5700</v>
      </c>
      <c r="AE599">
        <v>2944</v>
      </c>
      <c r="AF599">
        <v>0</v>
      </c>
      <c r="AG599">
        <v>-642</v>
      </c>
    </row>
    <row r="600" spans="6:33"/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5</xdr:col>
                    <xdr:colOff>9525</xdr:colOff>
                    <xdr:row>2</xdr:row>
                    <xdr:rowOff>28575</xdr:rowOff>
                  </from>
                  <to>
                    <xdr:col>6</xdr:col>
                    <xdr:colOff>400050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defaultSize="0" autoLine="0" autoPict="0">
                <anchor moveWithCells="1">
                  <from>
                    <xdr:col>6</xdr:col>
                    <xdr:colOff>552450</xdr:colOff>
                    <xdr:row>2</xdr:row>
                    <xdr:rowOff>28575</xdr:rowOff>
                  </from>
                  <to>
                    <xdr:col>8</xdr:col>
                    <xdr:colOff>200025</xdr:colOff>
                    <xdr:row>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defaultSize="0" autoLine="0" autoPict="0">
                <anchor moveWithCells="1">
                  <from>
                    <xdr:col>8</xdr:col>
                    <xdr:colOff>371475</xdr:colOff>
                    <xdr:row>2</xdr:row>
                    <xdr:rowOff>38100</xdr:rowOff>
                  </from>
                  <to>
                    <xdr:col>9</xdr:col>
                    <xdr:colOff>352425</xdr:colOff>
                    <xdr:row>2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ALL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Snow Jung</cp:lastModifiedBy>
  <dcterms:created xsi:type="dcterms:W3CDTF">2018-07-09T07:32:56Z</dcterms:created>
  <dcterms:modified xsi:type="dcterms:W3CDTF">2024-02-20T05:34:31Z</dcterms:modified>
</cp:coreProperties>
</file>