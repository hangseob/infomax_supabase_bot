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930" yWindow="0" windowWidth="19950" windowHeight="5310"/>
  </bookViews>
  <sheets>
    <sheet name="국내시장주요지표" sheetId="1" r:id="rId1"/>
    <sheet name="KOSPI200 선물옵션" sheetId="2" r:id="rId2"/>
  </sheets>
  <calcPr calcId="145621"/>
</workbook>
</file>

<file path=xl/calcChain.xml><?xml version="1.0" encoding="utf-8"?>
<calcChain xmlns="http://schemas.openxmlformats.org/spreadsheetml/2006/main">
  <c r="I129" i="1" l="1"/>
  <c r="H129" i="1"/>
  <c r="G129" i="1"/>
  <c r="F129" i="1"/>
  <c r="E129" i="1"/>
  <c r="I128" i="1"/>
  <c r="H128" i="1"/>
  <c r="G128" i="1"/>
  <c r="F128" i="1"/>
  <c r="E128" i="1"/>
  <c r="I127" i="1"/>
  <c r="H127" i="1"/>
  <c r="G127" i="1"/>
  <c r="F127" i="1"/>
  <c r="E127" i="1"/>
  <c r="I126" i="1"/>
  <c r="H126" i="1"/>
  <c r="G126" i="1"/>
  <c r="F126" i="1"/>
  <c r="E126" i="1"/>
  <c r="I125" i="1"/>
  <c r="H125" i="1"/>
  <c r="G125" i="1"/>
  <c r="F125" i="1"/>
  <c r="E125" i="1"/>
  <c r="I124" i="1"/>
  <c r="H124" i="1"/>
  <c r="G124" i="1"/>
  <c r="F124" i="1"/>
  <c r="E124" i="1"/>
  <c r="F123" i="1"/>
  <c r="G123" i="1"/>
  <c r="H123" i="1"/>
  <c r="I123" i="1"/>
  <c r="E123" i="1"/>
  <c r="I100" i="1"/>
  <c r="H100" i="1"/>
  <c r="G100" i="1"/>
  <c r="F100" i="1"/>
  <c r="I99" i="1"/>
  <c r="H99" i="1"/>
  <c r="G99" i="1"/>
  <c r="F99" i="1"/>
  <c r="I98" i="1"/>
  <c r="H98" i="1"/>
  <c r="G98" i="1"/>
  <c r="F98" i="1"/>
  <c r="I97" i="1"/>
  <c r="H97" i="1"/>
  <c r="G97" i="1"/>
  <c r="F97" i="1"/>
  <c r="I96" i="1"/>
  <c r="H96" i="1"/>
  <c r="G96" i="1"/>
  <c r="F96" i="1"/>
  <c r="I95" i="1"/>
  <c r="H95" i="1"/>
  <c r="G95" i="1"/>
  <c r="F95" i="1"/>
  <c r="I94" i="1"/>
  <c r="H94" i="1"/>
  <c r="G94" i="1"/>
  <c r="F94" i="1"/>
  <c r="I93" i="1"/>
  <c r="H93" i="1"/>
  <c r="G93" i="1"/>
  <c r="F93" i="1"/>
  <c r="E5" i="1"/>
  <c r="AA30" i="2" l="1"/>
  <c r="AO33" i="2"/>
  <c r="AT33" i="2" s="1"/>
  <c r="V52" i="1"/>
  <c r="AN62" i="1"/>
  <c r="AN58" i="1"/>
  <c r="AT66" i="1"/>
  <c r="AN66" i="1"/>
  <c r="V53" i="1"/>
  <c r="AR66" i="1"/>
  <c r="AN60" i="1"/>
  <c r="AQ66" i="1"/>
  <c r="AN61" i="1"/>
  <c r="AN64" i="1"/>
  <c r="AN63" i="1"/>
  <c r="AN59" i="1"/>
  <c r="AV66" i="1"/>
  <c r="AP66" i="1"/>
  <c r="AA53" i="1"/>
  <c r="AI53" i="1"/>
  <c r="BB66" i="1"/>
  <c r="AE53" i="1"/>
  <c r="D4" i="2" l="1"/>
  <c r="AN56" i="1"/>
  <c r="BF69" i="1" l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68" i="1"/>
  <c r="BG126" i="1"/>
  <c r="BG127" i="1"/>
  <c r="BG122" i="1"/>
  <c r="BG123" i="1"/>
  <c r="BG124" i="1"/>
  <c r="BG125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68" i="1"/>
  <c r="E122" i="1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EE121" i="2"/>
  <c r="EF121" i="2"/>
  <c r="EG121" i="2"/>
  <c r="EH121" i="2"/>
  <c r="EI121" i="2"/>
  <c r="EJ121" i="2"/>
  <c r="EK121" i="2"/>
  <c r="EL121" i="2"/>
  <c r="EM121" i="2"/>
  <c r="EN121" i="2"/>
  <c r="EO121" i="2"/>
  <c r="EP121" i="2"/>
  <c r="EQ121" i="2"/>
  <c r="ER121" i="2"/>
  <c r="ES121" i="2"/>
  <c r="ET121" i="2"/>
  <c r="EU121" i="2"/>
  <c r="EV121" i="2"/>
  <c r="EW121" i="2"/>
  <c r="EX121" i="2"/>
  <c r="EY121" i="2"/>
  <c r="EZ121" i="2"/>
  <c r="FA121" i="2"/>
  <c r="FB121" i="2"/>
  <c r="FC121" i="2"/>
  <c r="FD121" i="2"/>
  <c r="FE121" i="2"/>
  <c r="FF121" i="2"/>
  <c r="FG121" i="2"/>
  <c r="FH121" i="2"/>
  <c r="FI121" i="2"/>
  <c r="FJ121" i="2"/>
  <c r="FK121" i="2"/>
  <c r="FL121" i="2"/>
  <c r="FM121" i="2"/>
  <c r="FN121" i="2"/>
  <c r="FO121" i="2"/>
  <c r="FP121" i="2"/>
  <c r="FQ121" i="2"/>
  <c r="FR121" i="2"/>
  <c r="FS121" i="2"/>
  <c r="FT121" i="2"/>
  <c r="FU121" i="2"/>
  <c r="FV121" i="2"/>
  <c r="FW121" i="2"/>
  <c r="FX121" i="2"/>
  <c r="FY121" i="2"/>
  <c r="FZ121" i="2"/>
  <c r="GA121" i="2"/>
  <c r="GB121" i="2"/>
  <c r="GC121" i="2"/>
  <c r="GD121" i="2"/>
  <c r="GE121" i="2"/>
  <c r="GF121" i="2"/>
  <c r="GG121" i="2"/>
  <c r="GH121" i="2"/>
  <c r="GI121" i="2"/>
  <c r="GJ121" i="2"/>
  <c r="GK121" i="2"/>
  <c r="GL121" i="2"/>
  <c r="GM121" i="2"/>
  <c r="GN121" i="2"/>
  <c r="GO121" i="2"/>
  <c r="GP121" i="2"/>
  <c r="GQ121" i="2"/>
  <c r="GR121" i="2"/>
  <c r="GS121" i="2"/>
  <c r="GT121" i="2"/>
  <c r="GU121" i="2"/>
  <c r="GV121" i="2"/>
  <c r="GW121" i="2"/>
  <c r="GX121" i="2"/>
  <c r="GY121" i="2"/>
  <c r="GZ121" i="2"/>
  <c r="HA121" i="2"/>
  <c r="HB121" i="2"/>
  <c r="HC121" i="2"/>
  <c r="HD121" i="2"/>
  <c r="HE121" i="2"/>
  <c r="HF121" i="2"/>
  <c r="HG121" i="2"/>
  <c r="HH121" i="2"/>
  <c r="HI121" i="2"/>
  <c r="HJ121" i="2"/>
  <c r="HK121" i="2"/>
  <c r="HL121" i="2"/>
  <c r="HM121" i="2"/>
  <c r="HN121" i="2"/>
  <c r="HO121" i="2"/>
  <c r="HP121" i="2"/>
  <c r="HQ121" i="2"/>
  <c r="HR121" i="2"/>
  <c r="HS121" i="2"/>
  <c r="HT121" i="2"/>
  <c r="HU121" i="2"/>
  <c r="HV121" i="2"/>
  <c r="HW121" i="2"/>
  <c r="HX121" i="2"/>
  <c r="HY121" i="2"/>
  <c r="HZ121" i="2"/>
  <c r="IA121" i="2"/>
  <c r="IB121" i="2"/>
  <c r="IC121" i="2"/>
  <c r="ID121" i="2"/>
  <c r="IE121" i="2"/>
  <c r="IF121" i="2"/>
  <c r="IG121" i="2"/>
  <c r="IH121" i="2"/>
  <c r="II121" i="2"/>
  <c r="IJ121" i="2"/>
  <c r="IK121" i="2"/>
  <c r="IL121" i="2"/>
  <c r="IM121" i="2"/>
  <c r="IN121" i="2"/>
  <c r="IO121" i="2"/>
  <c r="IP121" i="2"/>
  <c r="IQ121" i="2"/>
  <c r="IR121" i="2"/>
  <c r="IS121" i="2"/>
  <c r="IT121" i="2"/>
  <c r="IU121" i="2"/>
  <c r="IV121" i="2"/>
  <c r="IW121" i="2"/>
  <c r="IX121" i="2"/>
  <c r="IY121" i="2"/>
  <c r="IZ121" i="2"/>
  <c r="JA121" i="2"/>
  <c r="JB121" i="2"/>
  <c r="JC121" i="2"/>
  <c r="JD121" i="2"/>
  <c r="JE121" i="2"/>
  <c r="JF121" i="2"/>
  <c r="JG121" i="2"/>
  <c r="JH121" i="2"/>
  <c r="JI121" i="2"/>
  <c r="JJ121" i="2"/>
  <c r="JK121" i="2"/>
  <c r="JL121" i="2"/>
  <c r="JM121" i="2"/>
  <c r="JN121" i="2"/>
  <c r="JO121" i="2"/>
  <c r="JP121" i="2"/>
  <c r="JQ121" i="2"/>
  <c r="JR121" i="2"/>
  <c r="JS121" i="2"/>
  <c r="JT121" i="2"/>
  <c r="JU121" i="2"/>
  <c r="JV121" i="2"/>
  <c r="JW121" i="2"/>
  <c r="JX121" i="2"/>
  <c r="JY121" i="2"/>
  <c r="JZ121" i="2"/>
  <c r="KA121" i="2"/>
  <c r="KB121" i="2"/>
  <c r="KC121" i="2"/>
  <c r="KD121" i="2"/>
  <c r="KE121" i="2"/>
  <c r="KF121" i="2"/>
  <c r="KG121" i="2"/>
  <c r="KH121" i="2"/>
  <c r="KI121" i="2"/>
  <c r="KJ121" i="2"/>
  <c r="KK121" i="2"/>
  <c r="KL121" i="2"/>
  <c r="KM121" i="2"/>
  <c r="KN121" i="2"/>
  <c r="KO121" i="2"/>
  <c r="KP121" i="2"/>
  <c r="KQ121" i="2"/>
  <c r="KR121" i="2"/>
  <c r="KS121" i="2"/>
  <c r="KT121" i="2"/>
  <c r="KU121" i="2"/>
  <c r="KV121" i="2"/>
  <c r="KW121" i="2"/>
  <c r="KX121" i="2"/>
  <c r="KY121" i="2"/>
  <c r="KZ121" i="2"/>
  <c r="LA121" i="2"/>
  <c r="LB121" i="2"/>
  <c r="LC121" i="2"/>
  <c r="LD121" i="2"/>
  <c r="LE121" i="2"/>
  <c r="LF121" i="2"/>
  <c r="LG121" i="2"/>
  <c r="LH121" i="2"/>
  <c r="LI121" i="2"/>
  <c r="LJ121" i="2"/>
  <c r="LK121" i="2"/>
  <c r="LL121" i="2"/>
  <c r="LM121" i="2"/>
  <c r="LN121" i="2"/>
  <c r="LO121" i="2"/>
  <c r="LP121" i="2"/>
  <c r="LQ121" i="2"/>
  <c r="LR121" i="2"/>
  <c r="LS121" i="2"/>
  <c r="LT121" i="2"/>
  <c r="LU121" i="2"/>
  <c r="LV121" i="2"/>
  <c r="LW121" i="2"/>
  <c r="LX121" i="2"/>
  <c r="LY121" i="2"/>
  <c r="LZ121" i="2"/>
  <c r="MA121" i="2"/>
  <c r="MB121" i="2"/>
  <c r="MC121" i="2"/>
  <c r="MD121" i="2"/>
  <c r="ME121" i="2"/>
  <c r="MF121" i="2"/>
  <c r="MG121" i="2"/>
  <c r="MH121" i="2"/>
  <c r="MI121" i="2"/>
  <c r="MJ121" i="2"/>
  <c r="MK121" i="2"/>
  <c r="ML121" i="2"/>
  <c r="MM121" i="2"/>
  <c r="MN121" i="2"/>
  <c r="AM121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EL122" i="2"/>
  <c r="EM122" i="2"/>
  <c r="EN122" i="2"/>
  <c r="EO122" i="2"/>
  <c r="EP122" i="2"/>
  <c r="EQ122" i="2"/>
  <c r="ER122" i="2"/>
  <c r="ES122" i="2"/>
  <c r="ET122" i="2"/>
  <c r="EU122" i="2"/>
  <c r="EV122" i="2"/>
  <c r="EW122" i="2"/>
  <c r="EX122" i="2"/>
  <c r="EY122" i="2"/>
  <c r="EZ122" i="2"/>
  <c r="FA122" i="2"/>
  <c r="FB122" i="2"/>
  <c r="FC122" i="2"/>
  <c r="FD122" i="2"/>
  <c r="FE122" i="2"/>
  <c r="FF122" i="2"/>
  <c r="FG122" i="2"/>
  <c r="FH122" i="2"/>
  <c r="FI122" i="2"/>
  <c r="FJ122" i="2"/>
  <c r="FK122" i="2"/>
  <c r="FL122" i="2"/>
  <c r="FM122" i="2"/>
  <c r="FN122" i="2"/>
  <c r="FO122" i="2"/>
  <c r="FP122" i="2"/>
  <c r="FQ122" i="2"/>
  <c r="FR122" i="2"/>
  <c r="FS122" i="2"/>
  <c r="FT122" i="2"/>
  <c r="FU122" i="2"/>
  <c r="FV122" i="2"/>
  <c r="FW122" i="2"/>
  <c r="FX122" i="2"/>
  <c r="FY122" i="2"/>
  <c r="FZ122" i="2"/>
  <c r="GA122" i="2"/>
  <c r="GB122" i="2"/>
  <c r="GC122" i="2"/>
  <c r="GD122" i="2"/>
  <c r="GE122" i="2"/>
  <c r="GF122" i="2"/>
  <c r="GG122" i="2"/>
  <c r="GH122" i="2"/>
  <c r="GI122" i="2"/>
  <c r="GJ122" i="2"/>
  <c r="GK122" i="2"/>
  <c r="GL122" i="2"/>
  <c r="GM122" i="2"/>
  <c r="GN122" i="2"/>
  <c r="GO122" i="2"/>
  <c r="GP122" i="2"/>
  <c r="GQ122" i="2"/>
  <c r="GR122" i="2"/>
  <c r="GS122" i="2"/>
  <c r="GT122" i="2"/>
  <c r="GU122" i="2"/>
  <c r="GV122" i="2"/>
  <c r="GW122" i="2"/>
  <c r="GX122" i="2"/>
  <c r="GY122" i="2"/>
  <c r="GZ122" i="2"/>
  <c r="HA122" i="2"/>
  <c r="HB122" i="2"/>
  <c r="HC122" i="2"/>
  <c r="HD122" i="2"/>
  <c r="HE122" i="2"/>
  <c r="HF122" i="2"/>
  <c r="HG122" i="2"/>
  <c r="HH122" i="2"/>
  <c r="HI122" i="2"/>
  <c r="HJ122" i="2"/>
  <c r="HK122" i="2"/>
  <c r="HL122" i="2"/>
  <c r="HM122" i="2"/>
  <c r="HN122" i="2"/>
  <c r="HO122" i="2"/>
  <c r="HP122" i="2"/>
  <c r="HQ122" i="2"/>
  <c r="HR122" i="2"/>
  <c r="HS122" i="2"/>
  <c r="HT122" i="2"/>
  <c r="HU122" i="2"/>
  <c r="HV122" i="2"/>
  <c r="HW122" i="2"/>
  <c r="HX122" i="2"/>
  <c r="HY122" i="2"/>
  <c r="HZ122" i="2"/>
  <c r="IA122" i="2"/>
  <c r="IB122" i="2"/>
  <c r="IC122" i="2"/>
  <c r="ID122" i="2"/>
  <c r="IE122" i="2"/>
  <c r="IF122" i="2"/>
  <c r="IG122" i="2"/>
  <c r="IH122" i="2"/>
  <c r="II122" i="2"/>
  <c r="IJ122" i="2"/>
  <c r="IK122" i="2"/>
  <c r="IL122" i="2"/>
  <c r="IM122" i="2"/>
  <c r="IN122" i="2"/>
  <c r="IO122" i="2"/>
  <c r="IP122" i="2"/>
  <c r="IQ122" i="2"/>
  <c r="IR122" i="2"/>
  <c r="IS122" i="2"/>
  <c r="IT122" i="2"/>
  <c r="IU122" i="2"/>
  <c r="IV122" i="2"/>
  <c r="IW122" i="2"/>
  <c r="IX122" i="2"/>
  <c r="IY122" i="2"/>
  <c r="IZ122" i="2"/>
  <c r="JA122" i="2"/>
  <c r="JB122" i="2"/>
  <c r="JC122" i="2"/>
  <c r="JD122" i="2"/>
  <c r="JE122" i="2"/>
  <c r="JF122" i="2"/>
  <c r="JG122" i="2"/>
  <c r="JH122" i="2"/>
  <c r="JI122" i="2"/>
  <c r="JJ122" i="2"/>
  <c r="JK122" i="2"/>
  <c r="JL122" i="2"/>
  <c r="JM122" i="2"/>
  <c r="JN122" i="2"/>
  <c r="JO122" i="2"/>
  <c r="JP122" i="2"/>
  <c r="JQ122" i="2"/>
  <c r="JR122" i="2"/>
  <c r="JS122" i="2"/>
  <c r="JT122" i="2"/>
  <c r="JU122" i="2"/>
  <c r="JV122" i="2"/>
  <c r="JW122" i="2"/>
  <c r="JX122" i="2"/>
  <c r="JY122" i="2"/>
  <c r="JZ122" i="2"/>
  <c r="KA122" i="2"/>
  <c r="KB122" i="2"/>
  <c r="KC122" i="2"/>
  <c r="KD122" i="2"/>
  <c r="KE122" i="2"/>
  <c r="KF122" i="2"/>
  <c r="KG122" i="2"/>
  <c r="KH122" i="2"/>
  <c r="KI122" i="2"/>
  <c r="KJ122" i="2"/>
  <c r="KK122" i="2"/>
  <c r="KL122" i="2"/>
  <c r="KM122" i="2"/>
  <c r="KN122" i="2"/>
  <c r="KO122" i="2"/>
  <c r="KP122" i="2"/>
  <c r="KQ122" i="2"/>
  <c r="KR122" i="2"/>
  <c r="KS122" i="2"/>
  <c r="KT122" i="2"/>
  <c r="KU122" i="2"/>
  <c r="KV122" i="2"/>
  <c r="KW122" i="2"/>
  <c r="KX122" i="2"/>
  <c r="KY122" i="2"/>
  <c r="KZ122" i="2"/>
  <c r="LA122" i="2"/>
  <c r="LB122" i="2"/>
  <c r="LC122" i="2"/>
  <c r="LD122" i="2"/>
  <c r="LE122" i="2"/>
  <c r="LF122" i="2"/>
  <c r="LG122" i="2"/>
  <c r="LH122" i="2"/>
  <c r="LI122" i="2"/>
  <c r="LJ122" i="2"/>
  <c r="LK122" i="2"/>
  <c r="LL122" i="2"/>
  <c r="LM122" i="2"/>
  <c r="LN122" i="2"/>
  <c r="LO122" i="2"/>
  <c r="LP122" i="2"/>
  <c r="LQ122" i="2"/>
  <c r="LR122" i="2"/>
  <c r="LS122" i="2"/>
  <c r="LT122" i="2"/>
  <c r="LU122" i="2"/>
  <c r="LV122" i="2"/>
  <c r="LW122" i="2"/>
  <c r="LX122" i="2"/>
  <c r="LY122" i="2"/>
  <c r="LZ122" i="2"/>
  <c r="MA122" i="2"/>
  <c r="MB122" i="2"/>
  <c r="MC122" i="2"/>
  <c r="MD122" i="2"/>
  <c r="ME122" i="2"/>
  <c r="MF122" i="2"/>
  <c r="MG122" i="2"/>
  <c r="MH122" i="2"/>
  <c r="MI122" i="2"/>
  <c r="MJ122" i="2"/>
  <c r="MK122" i="2"/>
  <c r="ML122" i="2"/>
  <c r="MM122" i="2"/>
  <c r="MN122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EE123" i="2"/>
  <c r="EF123" i="2"/>
  <c r="EG123" i="2"/>
  <c r="EH123" i="2"/>
  <c r="EI123" i="2"/>
  <c r="EJ123" i="2"/>
  <c r="EK123" i="2"/>
  <c r="EL123" i="2"/>
  <c r="EM123" i="2"/>
  <c r="EN123" i="2"/>
  <c r="EO123" i="2"/>
  <c r="EP123" i="2"/>
  <c r="EQ123" i="2"/>
  <c r="ER123" i="2"/>
  <c r="ES123" i="2"/>
  <c r="ET123" i="2"/>
  <c r="EU123" i="2"/>
  <c r="EV123" i="2"/>
  <c r="EW123" i="2"/>
  <c r="EX123" i="2"/>
  <c r="EY123" i="2"/>
  <c r="EZ123" i="2"/>
  <c r="FA123" i="2"/>
  <c r="FB123" i="2"/>
  <c r="FC123" i="2"/>
  <c r="FD123" i="2"/>
  <c r="FE123" i="2"/>
  <c r="FF123" i="2"/>
  <c r="FG123" i="2"/>
  <c r="FH123" i="2"/>
  <c r="FI123" i="2"/>
  <c r="FJ123" i="2"/>
  <c r="FK123" i="2"/>
  <c r="FL123" i="2"/>
  <c r="FM123" i="2"/>
  <c r="FN123" i="2"/>
  <c r="FO123" i="2"/>
  <c r="FP123" i="2"/>
  <c r="FQ123" i="2"/>
  <c r="FR123" i="2"/>
  <c r="FS123" i="2"/>
  <c r="FT123" i="2"/>
  <c r="FU123" i="2"/>
  <c r="FV123" i="2"/>
  <c r="FW123" i="2"/>
  <c r="FX123" i="2"/>
  <c r="FY123" i="2"/>
  <c r="FZ123" i="2"/>
  <c r="GA123" i="2"/>
  <c r="GB123" i="2"/>
  <c r="GC123" i="2"/>
  <c r="GD123" i="2"/>
  <c r="GE123" i="2"/>
  <c r="GF123" i="2"/>
  <c r="GG123" i="2"/>
  <c r="GH123" i="2"/>
  <c r="GI123" i="2"/>
  <c r="GJ123" i="2"/>
  <c r="GK123" i="2"/>
  <c r="GL123" i="2"/>
  <c r="GM123" i="2"/>
  <c r="GN123" i="2"/>
  <c r="GO123" i="2"/>
  <c r="GP123" i="2"/>
  <c r="GQ123" i="2"/>
  <c r="GR123" i="2"/>
  <c r="GS123" i="2"/>
  <c r="GT123" i="2"/>
  <c r="GU123" i="2"/>
  <c r="GV123" i="2"/>
  <c r="GW123" i="2"/>
  <c r="GX123" i="2"/>
  <c r="GY123" i="2"/>
  <c r="GZ123" i="2"/>
  <c r="HA123" i="2"/>
  <c r="HB123" i="2"/>
  <c r="HC123" i="2"/>
  <c r="HD123" i="2"/>
  <c r="HE123" i="2"/>
  <c r="HF123" i="2"/>
  <c r="HG123" i="2"/>
  <c r="HH123" i="2"/>
  <c r="HI123" i="2"/>
  <c r="HJ123" i="2"/>
  <c r="HK123" i="2"/>
  <c r="HL123" i="2"/>
  <c r="HM123" i="2"/>
  <c r="HN123" i="2"/>
  <c r="HO123" i="2"/>
  <c r="HP123" i="2"/>
  <c r="HQ123" i="2"/>
  <c r="HR123" i="2"/>
  <c r="HS123" i="2"/>
  <c r="HT123" i="2"/>
  <c r="HU123" i="2"/>
  <c r="HV123" i="2"/>
  <c r="HW123" i="2"/>
  <c r="HX123" i="2"/>
  <c r="HY123" i="2"/>
  <c r="HZ123" i="2"/>
  <c r="IA123" i="2"/>
  <c r="IB123" i="2"/>
  <c r="IC123" i="2"/>
  <c r="ID123" i="2"/>
  <c r="IE123" i="2"/>
  <c r="IF123" i="2"/>
  <c r="IG123" i="2"/>
  <c r="IH123" i="2"/>
  <c r="II123" i="2"/>
  <c r="IJ123" i="2"/>
  <c r="IK123" i="2"/>
  <c r="IL123" i="2"/>
  <c r="IM123" i="2"/>
  <c r="IN123" i="2"/>
  <c r="IO123" i="2"/>
  <c r="IP123" i="2"/>
  <c r="IQ123" i="2"/>
  <c r="IR123" i="2"/>
  <c r="IS123" i="2"/>
  <c r="IT123" i="2"/>
  <c r="IU123" i="2"/>
  <c r="IV123" i="2"/>
  <c r="IW123" i="2"/>
  <c r="IX123" i="2"/>
  <c r="IY123" i="2"/>
  <c r="IZ123" i="2"/>
  <c r="JA123" i="2"/>
  <c r="JB123" i="2"/>
  <c r="JC123" i="2"/>
  <c r="JD123" i="2"/>
  <c r="JE123" i="2"/>
  <c r="JF123" i="2"/>
  <c r="JG123" i="2"/>
  <c r="JH123" i="2"/>
  <c r="JI123" i="2"/>
  <c r="JJ123" i="2"/>
  <c r="JK123" i="2"/>
  <c r="JL123" i="2"/>
  <c r="JM123" i="2"/>
  <c r="JN123" i="2"/>
  <c r="JO123" i="2"/>
  <c r="JP123" i="2"/>
  <c r="JQ123" i="2"/>
  <c r="JR123" i="2"/>
  <c r="JS123" i="2"/>
  <c r="JT123" i="2"/>
  <c r="JU123" i="2"/>
  <c r="JV123" i="2"/>
  <c r="JW123" i="2"/>
  <c r="JX123" i="2"/>
  <c r="JY123" i="2"/>
  <c r="JZ123" i="2"/>
  <c r="KA123" i="2"/>
  <c r="KB123" i="2"/>
  <c r="KC123" i="2"/>
  <c r="KD123" i="2"/>
  <c r="KE123" i="2"/>
  <c r="KF123" i="2"/>
  <c r="KG123" i="2"/>
  <c r="KH123" i="2"/>
  <c r="KI123" i="2"/>
  <c r="KJ123" i="2"/>
  <c r="KK123" i="2"/>
  <c r="KL123" i="2"/>
  <c r="KM123" i="2"/>
  <c r="KN123" i="2"/>
  <c r="KO123" i="2"/>
  <c r="KP123" i="2"/>
  <c r="KQ123" i="2"/>
  <c r="KR123" i="2"/>
  <c r="KS123" i="2"/>
  <c r="KT123" i="2"/>
  <c r="KU123" i="2"/>
  <c r="KV123" i="2"/>
  <c r="KW123" i="2"/>
  <c r="KX123" i="2"/>
  <c r="KY123" i="2"/>
  <c r="KZ123" i="2"/>
  <c r="LA123" i="2"/>
  <c r="LB123" i="2"/>
  <c r="LC123" i="2"/>
  <c r="LD123" i="2"/>
  <c r="LE123" i="2"/>
  <c r="LF123" i="2"/>
  <c r="LG123" i="2"/>
  <c r="LH123" i="2"/>
  <c r="LI123" i="2"/>
  <c r="LJ123" i="2"/>
  <c r="LK123" i="2"/>
  <c r="LL123" i="2"/>
  <c r="LM123" i="2"/>
  <c r="LN123" i="2"/>
  <c r="LO123" i="2"/>
  <c r="LP123" i="2"/>
  <c r="LQ123" i="2"/>
  <c r="LR123" i="2"/>
  <c r="LS123" i="2"/>
  <c r="LT123" i="2"/>
  <c r="LU123" i="2"/>
  <c r="LV123" i="2"/>
  <c r="LW123" i="2"/>
  <c r="LX123" i="2"/>
  <c r="LY123" i="2"/>
  <c r="LZ123" i="2"/>
  <c r="MA123" i="2"/>
  <c r="MB123" i="2"/>
  <c r="MC123" i="2"/>
  <c r="MD123" i="2"/>
  <c r="ME123" i="2"/>
  <c r="MF123" i="2"/>
  <c r="MG123" i="2"/>
  <c r="MH123" i="2"/>
  <c r="MI123" i="2"/>
  <c r="MJ123" i="2"/>
  <c r="MK123" i="2"/>
  <c r="ML123" i="2"/>
  <c r="MM123" i="2"/>
  <c r="MN123" i="2"/>
  <c r="AM123" i="2"/>
  <c r="AM122" i="2"/>
  <c r="AK116" i="2"/>
  <c r="AQ34" i="2"/>
  <c r="AK117" i="2"/>
  <c r="AK119" i="2"/>
  <c r="AL112" i="2" l="1"/>
  <c r="AL113" i="2"/>
  <c r="AB30" i="2"/>
  <c r="AF30" i="2" s="1"/>
  <c r="AO27" i="2" l="1"/>
  <c r="AS27" i="2" s="1" a="1"/>
  <c r="AS27" i="2" s="1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06" i="2"/>
  <c r="J48" i="2" l="1"/>
  <c r="J49" i="2" s="1"/>
  <c r="J50" i="2" s="1"/>
  <c r="J51" i="2" s="1"/>
  <c r="J52" i="2" s="1"/>
  <c r="AT27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06" i="2"/>
  <c r="AE89" i="2"/>
  <c r="AF89" i="2"/>
  <c r="AG89" i="2"/>
  <c r="AE90" i="2"/>
  <c r="AF90" i="2"/>
  <c r="AG90" i="2"/>
  <c r="AE91" i="2"/>
  <c r="AF91" i="2"/>
  <c r="AG91" i="2"/>
  <c r="AE92" i="2"/>
  <c r="AF92" i="2"/>
  <c r="AG92" i="2"/>
  <c r="AE93" i="2"/>
  <c r="AF93" i="2"/>
  <c r="AG93" i="2"/>
  <c r="AE94" i="2"/>
  <c r="AF94" i="2"/>
  <c r="AG94" i="2"/>
  <c r="AE95" i="2"/>
  <c r="AF95" i="2"/>
  <c r="AG95" i="2"/>
  <c r="AE96" i="2"/>
  <c r="AF96" i="2"/>
  <c r="AG96" i="2"/>
  <c r="AE97" i="2"/>
  <c r="AF97" i="2"/>
  <c r="AG97" i="2"/>
  <c r="AE98" i="2"/>
  <c r="AF98" i="2"/>
  <c r="AG98" i="2"/>
  <c r="AE99" i="2"/>
  <c r="AF99" i="2"/>
  <c r="AG99" i="2"/>
  <c r="AE100" i="2"/>
  <c r="AF100" i="2"/>
  <c r="AG100" i="2"/>
  <c r="AE101" i="2"/>
  <c r="AF101" i="2"/>
  <c r="AG101" i="2"/>
  <c r="AE102" i="2"/>
  <c r="AF102" i="2"/>
  <c r="AG102" i="2"/>
  <c r="AE103" i="2"/>
  <c r="AF103" i="2"/>
  <c r="AB175" i="2" s="1"/>
  <c r="AG103" i="2"/>
  <c r="AC175" i="2" s="1"/>
  <c r="AF88" i="2"/>
  <c r="AG88" i="2"/>
  <c r="AE88" i="2"/>
  <c r="J47" i="2" l="1"/>
  <c r="J46" i="2" s="1"/>
  <c r="J45" i="2" s="1"/>
  <c r="J44" i="2" s="1"/>
  <c r="AB160" i="2"/>
  <c r="AC174" i="2"/>
  <c r="AB173" i="2"/>
  <c r="AB169" i="2"/>
  <c r="AC160" i="2"/>
  <c r="AA174" i="2"/>
  <c r="AC173" i="2"/>
  <c r="AB171" i="2"/>
  <c r="AA172" i="2"/>
  <c r="AC170" i="2"/>
  <c r="AA168" i="2"/>
  <c r="AC166" i="2"/>
  <c r="AB165" i="2"/>
  <c r="AA164" i="2"/>
  <c r="AC162" i="2"/>
  <c r="AB161" i="2"/>
  <c r="AB174" i="2"/>
  <c r="AA173" i="2"/>
  <c r="AC171" i="2"/>
  <c r="AB170" i="2"/>
  <c r="AA169" i="2"/>
  <c r="AC167" i="2"/>
  <c r="AB166" i="2"/>
  <c r="AA165" i="2"/>
  <c r="AC163" i="2"/>
  <c r="AB162" i="2"/>
  <c r="AA161" i="2"/>
  <c r="AA160" i="2"/>
  <c r="AC172" i="2"/>
  <c r="AC168" i="2"/>
  <c r="AC164" i="2"/>
  <c r="AA170" i="2"/>
  <c r="AC169" i="2"/>
  <c r="AB167" i="2"/>
  <c r="AA166" i="2"/>
  <c r="AC165" i="2"/>
  <c r="AB163" i="2"/>
  <c r="AA162" i="2"/>
  <c r="AC161" i="2"/>
  <c r="AA175" i="2"/>
  <c r="AA171" i="2"/>
  <c r="AA167" i="2"/>
  <c r="AA163" i="2"/>
  <c r="AB172" i="2"/>
  <c r="AB168" i="2"/>
  <c r="AB164" i="2"/>
  <c r="AE35" i="2"/>
  <c r="AF35" i="2"/>
  <c r="AG35" i="2"/>
  <c r="AE36" i="2"/>
  <c r="AF36" i="2"/>
  <c r="AG36" i="2"/>
  <c r="AE37" i="2"/>
  <c r="AF37" i="2"/>
  <c r="AG37" i="2"/>
  <c r="AE38" i="2"/>
  <c r="AF38" i="2"/>
  <c r="AG38" i="2"/>
  <c r="AE39" i="2"/>
  <c r="AF39" i="2"/>
  <c r="AG39" i="2"/>
  <c r="AE40" i="2"/>
  <c r="AF40" i="2"/>
  <c r="AG40" i="2"/>
  <c r="AE41" i="2"/>
  <c r="AF41" i="2"/>
  <c r="AG41" i="2"/>
  <c r="AE42" i="2"/>
  <c r="AF42" i="2"/>
  <c r="AG42" i="2"/>
  <c r="AE43" i="2"/>
  <c r="AF43" i="2"/>
  <c r="AG43" i="2"/>
  <c r="AE44" i="2"/>
  <c r="AF44" i="2"/>
  <c r="AG44" i="2"/>
  <c r="AE45" i="2"/>
  <c r="AF45" i="2"/>
  <c r="AG45" i="2"/>
  <c r="AE46" i="2"/>
  <c r="AF46" i="2"/>
  <c r="AG46" i="2"/>
  <c r="AE47" i="2"/>
  <c r="AF47" i="2"/>
  <c r="AG47" i="2"/>
  <c r="AE48" i="2"/>
  <c r="AF48" i="2"/>
  <c r="AG48" i="2"/>
  <c r="AE49" i="2"/>
  <c r="AF49" i="2"/>
  <c r="AG49" i="2"/>
  <c r="AE50" i="2"/>
  <c r="AF50" i="2"/>
  <c r="AG50" i="2"/>
  <c r="AE51" i="2"/>
  <c r="AF51" i="2"/>
  <c r="AG51" i="2"/>
  <c r="AE52" i="2"/>
  <c r="AF52" i="2"/>
  <c r="AG52" i="2"/>
  <c r="AE53" i="2"/>
  <c r="AF53" i="2"/>
  <c r="AG53" i="2"/>
  <c r="AE54" i="2"/>
  <c r="AF54" i="2"/>
  <c r="AG54" i="2"/>
  <c r="AE55" i="2"/>
  <c r="AF55" i="2"/>
  <c r="AG55" i="2"/>
  <c r="AE56" i="2"/>
  <c r="AF56" i="2"/>
  <c r="AG56" i="2"/>
  <c r="AE57" i="2"/>
  <c r="AF57" i="2"/>
  <c r="AG57" i="2"/>
  <c r="AE58" i="2"/>
  <c r="AF58" i="2"/>
  <c r="AG58" i="2"/>
  <c r="AE59" i="2"/>
  <c r="AF59" i="2"/>
  <c r="AG59" i="2"/>
  <c r="AE60" i="2"/>
  <c r="AF60" i="2"/>
  <c r="AG60" i="2"/>
  <c r="AE61" i="2"/>
  <c r="AF61" i="2"/>
  <c r="AG61" i="2"/>
  <c r="AE62" i="2"/>
  <c r="AF62" i="2"/>
  <c r="AG62" i="2"/>
  <c r="AE63" i="2"/>
  <c r="AF63" i="2"/>
  <c r="AG63" i="2"/>
  <c r="AE64" i="2"/>
  <c r="AF64" i="2"/>
  <c r="AG64" i="2"/>
  <c r="AE65" i="2"/>
  <c r="AF65" i="2"/>
  <c r="AG65" i="2"/>
  <c r="AE66" i="2"/>
  <c r="AF66" i="2"/>
  <c r="AG66" i="2"/>
  <c r="AE67" i="2"/>
  <c r="AF67" i="2"/>
  <c r="AG67" i="2"/>
  <c r="AE68" i="2"/>
  <c r="AF68" i="2"/>
  <c r="AG68" i="2"/>
  <c r="AE69" i="2"/>
  <c r="AF69" i="2"/>
  <c r="AG69" i="2"/>
  <c r="AE70" i="2"/>
  <c r="AF70" i="2"/>
  <c r="AG70" i="2"/>
  <c r="AE71" i="2"/>
  <c r="AF71" i="2"/>
  <c r="AG71" i="2"/>
  <c r="AE72" i="2"/>
  <c r="AF72" i="2"/>
  <c r="AG72" i="2"/>
  <c r="AE73" i="2"/>
  <c r="AF73" i="2"/>
  <c r="AG73" i="2"/>
  <c r="AE74" i="2"/>
  <c r="AF74" i="2"/>
  <c r="AG74" i="2"/>
  <c r="AE75" i="2"/>
  <c r="AF75" i="2"/>
  <c r="AG75" i="2"/>
  <c r="AE76" i="2"/>
  <c r="AF76" i="2"/>
  <c r="AG76" i="2"/>
  <c r="AE77" i="2"/>
  <c r="AF77" i="2"/>
  <c r="AG77" i="2"/>
  <c r="AE78" i="2"/>
  <c r="AF78" i="2"/>
  <c r="AG78" i="2"/>
  <c r="AE79" i="2"/>
  <c r="AF79" i="2"/>
  <c r="AG79" i="2"/>
  <c r="AE80" i="2"/>
  <c r="AF80" i="2"/>
  <c r="AG80" i="2"/>
  <c r="AE81" i="2"/>
  <c r="AF81" i="2"/>
  <c r="AG81" i="2"/>
  <c r="AE82" i="2"/>
  <c r="AF82" i="2"/>
  <c r="AG82" i="2"/>
  <c r="AE83" i="2"/>
  <c r="AF83" i="2"/>
  <c r="AG83" i="2"/>
  <c r="AE84" i="2"/>
  <c r="AF84" i="2"/>
  <c r="AG84" i="2"/>
  <c r="AE85" i="2"/>
  <c r="AF85" i="2"/>
  <c r="AG85" i="2"/>
  <c r="AE86" i="2"/>
  <c r="AF86" i="2"/>
  <c r="AG86" i="2"/>
  <c r="AE87" i="2"/>
  <c r="AA159" i="2" s="1"/>
  <c r="AF87" i="2"/>
  <c r="AB159" i="2" s="1"/>
  <c r="AG87" i="2"/>
  <c r="AC159" i="2" s="1"/>
  <c r="AF34" i="2"/>
  <c r="AG34" i="2"/>
  <c r="AE34" i="2"/>
  <c r="AP33" i="2"/>
  <c r="AP34" i="2" s="1"/>
  <c r="AQ27" i="2"/>
  <c r="E19" i="2"/>
  <c r="F19" i="2"/>
  <c r="G19" i="2"/>
  <c r="H19" i="2"/>
  <c r="I19" i="2"/>
  <c r="J19" i="2"/>
  <c r="K19" i="2"/>
  <c r="L19" i="2"/>
  <c r="M19" i="2"/>
  <c r="N19" i="2"/>
  <c r="O19" i="2"/>
  <c r="E20" i="2"/>
  <c r="F20" i="2"/>
  <c r="G20" i="2"/>
  <c r="H20" i="2"/>
  <c r="I20" i="2"/>
  <c r="J20" i="2"/>
  <c r="K20" i="2"/>
  <c r="L20" i="2"/>
  <c r="M20" i="2"/>
  <c r="N20" i="2"/>
  <c r="O20" i="2"/>
  <c r="E21" i="2"/>
  <c r="F21" i="2"/>
  <c r="G21" i="2"/>
  <c r="H21" i="2"/>
  <c r="I21" i="2"/>
  <c r="J21" i="2"/>
  <c r="K21" i="2"/>
  <c r="L21" i="2"/>
  <c r="M21" i="2"/>
  <c r="N21" i="2"/>
  <c r="O21" i="2"/>
  <c r="E17" i="2"/>
  <c r="F17" i="2"/>
  <c r="G17" i="2"/>
  <c r="H17" i="2"/>
  <c r="I17" i="2"/>
  <c r="J17" i="2"/>
  <c r="K17" i="2"/>
  <c r="L17" i="2"/>
  <c r="M17" i="2"/>
  <c r="N17" i="2"/>
  <c r="O17" i="2"/>
  <c r="E18" i="2"/>
  <c r="F18" i="2"/>
  <c r="G18" i="2"/>
  <c r="H18" i="2"/>
  <c r="I18" i="2"/>
  <c r="J18" i="2"/>
  <c r="K18" i="2"/>
  <c r="L18" i="2"/>
  <c r="M18" i="2"/>
  <c r="N18" i="2"/>
  <c r="O18" i="2"/>
  <c r="E7" i="2"/>
  <c r="F7" i="2"/>
  <c r="G7" i="2"/>
  <c r="H7" i="2"/>
  <c r="I7" i="2"/>
  <c r="J7" i="2"/>
  <c r="K7" i="2"/>
  <c r="L7" i="2"/>
  <c r="M7" i="2"/>
  <c r="N7" i="2"/>
  <c r="O7" i="2"/>
  <c r="E8" i="2"/>
  <c r="F8" i="2"/>
  <c r="G8" i="2"/>
  <c r="H8" i="2"/>
  <c r="I8" i="2"/>
  <c r="J8" i="2"/>
  <c r="K8" i="2"/>
  <c r="L8" i="2"/>
  <c r="M8" i="2"/>
  <c r="N8" i="2"/>
  <c r="O8" i="2"/>
  <c r="E9" i="2"/>
  <c r="F9" i="2"/>
  <c r="G9" i="2"/>
  <c r="H9" i="2"/>
  <c r="I9" i="2"/>
  <c r="J9" i="2"/>
  <c r="K9" i="2"/>
  <c r="L9" i="2"/>
  <c r="M9" i="2"/>
  <c r="N9" i="2"/>
  <c r="O9" i="2"/>
  <c r="E10" i="2"/>
  <c r="F10" i="2"/>
  <c r="G10" i="2"/>
  <c r="H10" i="2"/>
  <c r="I10" i="2"/>
  <c r="J10" i="2"/>
  <c r="K10" i="2"/>
  <c r="L10" i="2"/>
  <c r="M10" i="2"/>
  <c r="N10" i="2"/>
  <c r="O10" i="2"/>
  <c r="E11" i="2"/>
  <c r="F11" i="2"/>
  <c r="G11" i="2"/>
  <c r="H11" i="2"/>
  <c r="I11" i="2"/>
  <c r="J11" i="2"/>
  <c r="K11" i="2"/>
  <c r="L11" i="2"/>
  <c r="M11" i="2"/>
  <c r="N11" i="2"/>
  <c r="O11" i="2"/>
  <c r="E12" i="2"/>
  <c r="F12" i="2"/>
  <c r="G12" i="2"/>
  <c r="H12" i="2"/>
  <c r="I12" i="2"/>
  <c r="J12" i="2"/>
  <c r="K12" i="2"/>
  <c r="L12" i="2"/>
  <c r="M12" i="2"/>
  <c r="N12" i="2"/>
  <c r="O12" i="2"/>
  <c r="E13" i="2"/>
  <c r="F13" i="2"/>
  <c r="G13" i="2"/>
  <c r="H13" i="2"/>
  <c r="I13" i="2"/>
  <c r="J13" i="2"/>
  <c r="K13" i="2"/>
  <c r="L13" i="2"/>
  <c r="M13" i="2"/>
  <c r="N13" i="2"/>
  <c r="O13" i="2"/>
  <c r="E14" i="2"/>
  <c r="F14" i="2"/>
  <c r="G14" i="2"/>
  <c r="H14" i="2"/>
  <c r="I14" i="2"/>
  <c r="J14" i="2"/>
  <c r="K14" i="2"/>
  <c r="L14" i="2"/>
  <c r="M14" i="2"/>
  <c r="N14" i="2"/>
  <c r="O14" i="2"/>
  <c r="E15" i="2"/>
  <c r="F15" i="2"/>
  <c r="G15" i="2"/>
  <c r="H15" i="2"/>
  <c r="I15" i="2"/>
  <c r="J15" i="2"/>
  <c r="K15" i="2"/>
  <c r="L15" i="2"/>
  <c r="M15" i="2"/>
  <c r="N15" i="2"/>
  <c r="O15" i="2"/>
  <c r="D20" i="2"/>
  <c r="D21" i="2"/>
  <c r="D19" i="2"/>
  <c r="D18" i="2"/>
  <c r="D17" i="2"/>
  <c r="D8" i="2"/>
  <c r="D9" i="2"/>
  <c r="D10" i="2"/>
  <c r="D11" i="2"/>
  <c r="D12" i="2"/>
  <c r="D13" i="2"/>
  <c r="D14" i="2"/>
  <c r="D15" i="2"/>
  <c r="D7" i="2"/>
  <c r="E6" i="2"/>
  <c r="F6" i="2"/>
  <c r="G6" i="2"/>
  <c r="H6" i="2"/>
  <c r="I6" i="2"/>
  <c r="J6" i="2"/>
  <c r="K6" i="2"/>
  <c r="L6" i="2"/>
  <c r="M6" i="2"/>
  <c r="N6" i="2"/>
  <c r="O6" i="2"/>
  <c r="D6" i="2"/>
  <c r="AT10" i="1"/>
  <c r="AU10" i="1"/>
  <c r="AV10" i="1"/>
  <c r="AT11" i="1"/>
  <c r="AU11" i="1"/>
  <c r="AV11" i="1"/>
  <c r="AT12" i="1"/>
  <c r="AU12" i="1"/>
  <c r="AV12" i="1"/>
  <c r="AT13" i="1"/>
  <c r="AU13" i="1"/>
  <c r="AV13" i="1"/>
  <c r="AT14" i="1"/>
  <c r="AU14" i="1"/>
  <c r="AV14" i="1"/>
  <c r="AT15" i="1"/>
  <c r="AU15" i="1"/>
  <c r="AV15" i="1"/>
  <c r="AT16" i="1"/>
  <c r="AU16" i="1"/>
  <c r="AV16" i="1"/>
  <c r="AT17" i="1"/>
  <c r="AU17" i="1"/>
  <c r="AV17" i="1"/>
  <c r="AT18" i="1"/>
  <c r="AU18" i="1"/>
  <c r="AV18" i="1"/>
  <c r="AT19" i="1"/>
  <c r="AU19" i="1"/>
  <c r="AV19" i="1"/>
  <c r="AT20" i="1"/>
  <c r="AU20" i="1"/>
  <c r="AV20" i="1"/>
  <c r="AT21" i="1"/>
  <c r="AU21" i="1"/>
  <c r="AV21" i="1"/>
  <c r="AT22" i="1"/>
  <c r="AU22" i="1"/>
  <c r="AV22" i="1"/>
  <c r="AT23" i="1"/>
  <c r="AU23" i="1"/>
  <c r="AV23" i="1"/>
  <c r="AT24" i="1"/>
  <c r="AU24" i="1"/>
  <c r="AV24" i="1"/>
  <c r="AT25" i="1"/>
  <c r="AU25" i="1"/>
  <c r="AV25" i="1"/>
  <c r="AT26" i="1"/>
  <c r="AU26" i="1"/>
  <c r="AV26" i="1"/>
  <c r="AT27" i="1"/>
  <c r="AU27" i="1"/>
  <c r="AV27" i="1"/>
  <c r="AT28" i="1"/>
  <c r="AU28" i="1"/>
  <c r="AV28" i="1"/>
  <c r="AV9" i="1"/>
  <c r="AU9" i="1"/>
  <c r="AT9" i="1"/>
  <c r="AP10" i="1"/>
  <c r="AQ10" i="1"/>
  <c r="AR10" i="1"/>
  <c r="AP11" i="1"/>
  <c r="AQ11" i="1"/>
  <c r="AR11" i="1"/>
  <c r="AP12" i="1"/>
  <c r="AQ12" i="1"/>
  <c r="AR12" i="1"/>
  <c r="AP13" i="1"/>
  <c r="AQ13" i="1"/>
  <c r="AR13" i="1"/>
  <c r="AP14" i="1"/>
  <c r="AQ14" i="1"/>
  <c r="AR14" i="1"/>
  <c r="AP15" i="1"/>
  <c r="AQ15" i="1"/>
  <c r="AR15" i="1"/>
  <c r="AP16" i="1"/>
  <c r="AQ16" i="1"/>
  <c r="AR16" i="1"/>
  <c r="AP17" i="1"/>
  <c r="AQ17" i="1"/>
  <c r="AR17" i="1"/>
  <c r="AP18" i="1"/>
  <c r="AQ18" i="1"/>
  <c r="AR18" i="1"/>
  <c r="AP19" i="1"/>
  <c r="AQ19" i="1"/>
  <c r="AR19" i="1"/>
  <c r="AP20" i="1"/>
  <c r="AQ20" i="1"/>
  <c r="AR20" i="1"/>
  <c r="AP21" i="1"/>
  <c r="AQ21" i="1"/>
  <c r="AR21" i="1"/>
  <c r="AP22" i="1"/>
  <c r="AQ22" i="1"/>
  <c r="AR22" i="1"/>
  <c r="AP23" i="1"/>
  <c r="AQ23" i="1"/>
  <c r="AR23" i="1"/>
  <c r="AP24" i="1"/>
  <c r="AQ24" i="1"/>
  <c r="AR24" i="1"/>
  <c r="AP25" i="1"/>
  <c r="AQ25" i="1"/>
  <c r="AR25" i="1"/>
  <c r="AP26" i="1"/>
  <c r="AQ26" i="1"/>
  <c r="AR26" i="1"/>
  <c r="AP27" i="1"/>
  <c r="AQ27" i="1"/>
  <c r="AR27" i="1"/>
  <c r="AP28" i="1"/>
  <c r="AQ28" i="1"/>
  <c r="AR28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R9" i="1"/>
  <c r="AQ9" i="1"/>
  <c r="AP9" i="1"/>
  <c r="AN9" i="1"/>
  <c r="AM9" i="1"/>
  <c r="AI10" i="1"/>
  <c r="AJ10" i="1"/>
  <c r="AI11" i="1"/>
  <c r="AJ11" i="1"/>
  <c r="AI12" i="1"/>
  <c r="AJ12" i="1"/>
  <c r="AI13" i="1"/>
  <c r="AJ13" i="1"/>
  <c r="AI14" i="1"/>
  <c r="AJ14" i="1"/>
  <c r="AI15" i="1"/>
  <c r="AJ15" i="1"/>
  <c r="AI16" i="1"/>
  <c r="AJ16" i="1"/>
  <c r="AI17" i="1"/>
  <c r="AJ17" i="1"/>
  <c r="AI18" i="1"/>
  <c r="AJ18" i="1"/>
  <c r="AI19" i="1"/>
  <c r="AJ19" i="1"/>
  <c r="AI20" i="1"/>
  <c r="AJ20" i="1"/>
  <c r="AI21" i="1"/>
  <c r="AJ21" i="1"/>
  <c r="AI22" i="1"/>
  <c r="AJ22" i="1"/>
  <c r="AI23" i="1"/>
  <c r="AJ23" i="1"/>
  <c r="AI24" i="1"/>
  <c r="AJ24" i="1"/>
  <c r="AI25" i="1"/>
  <c r="AJ25" i="1"/>
  <c r="AI26" i="1"/>
  <c r="AJ26" i="1"/>
  <c r="AI27" i="1"/>
  <c r="AJ27" i="1"/>
  <c r="AI28" i="1"/>
  <c r="AJ28" i="1"/>
  <c r="AL9" i="1"/>
  <c r="AJ9" i="1"/>
  <c r="AI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9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10" i="1"/>
  <c r="AF9" i="1"/>
  <c r="I84" i="1"/>
  <c r="I83" i="1"/>
  <c r="I82" i="1"/>
  <c r="I81" i="1"/>
  <c r="I75" i="1"/>
  <c r="I74" i="1"/>
  <c r="I73" i="1"/>
  <c r="I72" i="1"/>
  <c r="I66" i="1"/>
  <c r="I65" i="1"/>
  <c r="I64" i="1"/>
  <c r="I63" i="1"/>
  <c r="I57" i="1"/>
  <c r="I56" i="1"/>
  <c r="I55" i="1"/>
  <c r="I54" i="1"/>
  <c r="H84" i="1"/>
  <c r="H83" i="1"/>
  <c r="H82" i="1"/>
  <c r="H81" i="1"/>
  <c r="H75" i="1"/>
  <c r="H74" i="1"/>
  <c r="H73" i="1"/>
  <c r="H72" i="1"/>
  <c r="H66" i="1"/>
  <c r="H65" i="1"/>
  <c r="H64" i="1"/>
  <c r="H63" i="1"/>
  <c r="H57" i="1"/>
  <c r="H56" i="1"/>
  <c r="H55" i="1"/>
  <c r="H54" i="1"/>
  <c r="G54" i="1"/>
  <c r="G84" i="1"/>
  <c r="G83" i="1"/>
  <c r="G82" i="1"/>
  <c r="G81" i="1"/>
  <c r="G75" i="1"/>
  <c r="G74" i="1"/>
  <c r="G73" i="1"/>
  <c r="G72" i="1"/>
  <c r="G66" i="1"/>
  <c r="G65" i="1"/>
  <c r="G64" i="1"/>
  <c r="G63" i="1"/>
  <c r="G57" i="1"/>
  <c r="G56" i="1"/>
  <c r="G55" i="1"/>
  <c r="F84" i="1"/>
  <c r="F83" i="1"/>
  <c r="F82" i="1"/>
  <c r="F81" i="1"/>
  <c r="F75" i="1"/>
  <c r="F74" i="1"/>
  <c r="F73" i="1"/>
  <c r="F72" i="1"/>
  <c r="F66" i="1"/>
  <c r="F65" i="1"/>
  <c r="F64" i="1"/>
  <c r="F63" i="1"/>
  <c r="F57" i="1"/>
  <c r="F56" i="1"/>
  <c r="F55" i="1"/>
  <c r="F54" i="1"/>
  <c r="E84" i="1"/>
  <c r="E83" i="1"/>
  <c r="E82" i="1"/>
  <c r="E81" i="1"/>
  <c r="E75" i="1"/>
  <c r="E74" i="1"/>
  <c r="E73" i="1"/>
  <c r="E72" i="1"/>
  <c r="E66" i="1"/>
  <c r="E65" i="1"/>
  <c r="E64" i="1"/>
  <c r="E63" i="1"/>
  <c r="E57" i="1"/>
  <c r="E56" i="1"/>
  <c r="E55" i="1"/>
  <c r="E54" i="1"/>
  <c r="AO34" i="2" l="1"/>
  <c r="AB158" i="2"/>
  <c r="AA158" i="2"/>
  <c r="AB106" i="2"/>
  <c r="AC158" i="2"/>
  <c r="AB157" i="2"/>
  <c r="AA156" i="2"/>
  <c r="AA157" i="2"/>
  <c r="AB151" i="2"/>
  <c r="AC106" i="2"/>
  <c r="AC157" i="2"/>
  <c r="AB156" i="2"/>
  <c r="AA155" i="2"/>
  <c r="AC153" i="2"/>
  <c r="AB152" i="2"/>
  <c r="AA151" i="2"/>
  <c r="AC149" i="2"/>
  <c r="AB148" i="2"/>
  <c r="AA147" i="2"/>
  <c r="AC145" i="2"/>
  <c r="AB144" i="2"/>
  <c r="AA143" i="2"/>
  <c r="AC141" i="2"/>
  <c r="AB140" i="2"/>
  <c r="AA139" i="2"/>
  <c r="AC137" i="2"/>
  <c r="AB136" i="2"/>
  <c r="AA135" i="2"/>
  <c r="AC133" i="2"/>
  <c r="AB132" i="2"/>
  <c r="AA131" i="2"/>
  <c r="AC129" i="2"/>
  <c r="AB128" i="2"/>
  <c r="AA127" i="2"/>
  <c r="AC125" i="2"/>
  <c r="AB124" i="2"/>
  <c r="AA123" i="2"/>
  <c r="AC121" i="2"/>
  <c r="AB120" i="2"/>
  <c r="AA119" i="2"/>
  <c r="AC117" i="2"/>
  <c r="AB116" i="2"/>
  <c r="AA115" i="2"/>
  <c r="AC113" i="2"/>
  <c r="AB112" i="2"/>
  <c r="AA111" i="2"/>
  <c r="AC109" i="2"/>
  <c r="AB108" i="2"/>
  <c r="AA107" i="2"/>
  <c r="AC154" i="2"/>
  <c r="AB153" i="2"/>
  <c r="AA152" i="2"/>
  <c r="AC150" i="2"/>
  <c r="AB149" i="2"/>
  <c r="AA148" i="2"/>
  <c r="AC146" i="2"/>
  <c r="AB145" i="2"/>
  <c r="AA144" i="2"/>
  <c r="AC142" i="2"/>
  <c r="AB141" i="2"/>
  <c r="AA140" i="2"/>
  <c r="AC138" i="2"/>
  <c r="AB137" i="2"/>
  <c r="AA136" i="2"/>
  <c r="AC134" i="2"/>
  <c r="AB133" i="2"/>
  <c r="AA132" i="2"/>
  <c r="AC130" i="2"/>
  <c r="AB129" i="2"/>
  <c r="AA128" i="2"/>
  <c r="AC126" i="2"/>
  <c r="AB125" i="2"/>
  <c r="AA124" i="2"/>
  <c r="AC122" i="2"/>
  <c r="AB121" i="2"/>
  <c r="AA120" i="2"/>
  <c r="AC118" i="2"/>
  <c r="AB117" i="2"/>
  <c r="AA116" i="2"/>
  <c r="AC114" i="2"/>
  <c r="AB113" i="2"/>
  <c r="AA112" i="2"/>
  <c r="AC110" i="2"/>
  <c r="AB109" i="2"/>
  <c r="AA108" i="2"/>
  <c r="AC155" i="2"/>
  <c r="AB154" i="2"/>
  <c r="AA153" i="2"/>
  <c r="AC151" i="2"/>
  <c r="AB150" i="2"/>
  <c r="AA149" i="2"/>
  <c r="AC147" i="2"/>
  <c r="AB146" i="2"/>
  <c r="AA145" i="2"/>
  <c r="AC143" i="2"/>
  <c r="AB142" i="2"/>
  <c r="AA141" i="2"/>
  <c r="AC139" i="2"/>
  <c r="AB138" i="2"/>
  <c r="AA137" i="2"/>
  <c r="AC135" i="2"/>
  <c r="AB134" i="2"/>
  <c r="AA133" i="2"/>
  <c r="AC131" i="2"/>
  <c r="AB130" i="2"/>
  <c r="AA129" i="2"/>
  <c r="AC127" i="2"/>
  <c r="AB126" i="2"/>
  <c r="AA125" i="2"/>
  <c r="AC123" i="2"/>
  <c r="AB122" i="2"/>
  <c r="AA121" i="2"/>
  <c r="AC119" i="2"/>
  <c r="AB118" i="2"/>
  <c r="AA117" i="2"/>
  <c r="AC115" i="2"/>
  <c r="AB114" i="2"/>
  <c r="AA113" i="2"/>
  <c r="AC111" i="2"/>
  <c r="AB110" i="2"/>
  <c r="AA109" i="2"/>
  <c r="AC107" i="2"/>
  <c r="AA106" i="2"/>
  <c r="AC156" i="2"/>
  <c r="AB155" i="2"/>
  <c r="AA154" i="2"/>
  <c r="AC152" i="2"/>
  <c r="AA150" i="2"/>
  <c r="AC148" i="2"/>
  <c r="AB147" i="2"/>
  <c r="AA146" i="2"/>
  <c r="AC144" i="2"/>
  <c r="AB143" i="2"/>
  <c r="AA142" i="2"/>
  <c r="AC140" i="2"/>
  <c r="AB139" i="2"/>
  <c r="AA138" i="2"/>
  <c r="AC136" i="2"/>
  <c r="AB135" i="2"/>
  <c r="AA134" i="2"/>
  <c r="AC132" i="2"/>
  <c r="AB131" i="2"/>
  <c r="AA130" i="2"/>
  <c r="AC128" i="2"/>
  <c r="AB127" i="2"/>
  <c r="AA126" i="2"/>
  <c r="AC124" i="2"/>
  <c r="AB123" i="2"/>
  <c r="AA122" i="2"/>
  <c r="AC120" i="2"/>
  <c r="AB119" i="2"/>
  <c r="AA118" i="2"/>
  <c r="AC116" i="2"/>
  <c r="AB115" i="2"/>
  <c r="AA114" i="2"/>
  <c r="AC112" i="2"/>
  <c r="AB111" i="2"/>
  <c r="AA110" i="2"/>
  <c r="AC108" i="2"/>
  <c r="AB107" i="2"/>
  <c r="D16" i="2"/>
  <c r="AR33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31" i="2"/>
  <c r="AR31" i="2"/>
  <c r="AT34" i="2" l="1"/>
  <c r="AS33" i="2"/>
  <c r="C42" i="2" s="1"/>
  <c r="AR34" i="2"/>
  <c r="AD30" i="2"/>
  <c r="E16" i="2"/>
  <c r="AD28" i="2"/>
  <c r="AS34" i="2" l="1"/>
  <c r="AU34" i="2" s="1"/>
  <c r="AE30" i="2"/>
  <c r="AG30" i="2" s="1"/>
  <c r="AU33" i="2"/>
  <c r="M16" i="2"/>
  <c r="I16" i="2"/>
  <c r="N16" i="2"/>
  <c r="J16" i="2"/>
  <c r="F16" i="2"/>
  <c r="L16" i="2"/>
  <c r="H16" i="2"/>
  <c r="O16" i="2"/>
  <c r="K16" i="2"/>
  <c r="G16" i="2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68" i="1"/>
  <c r="I92" i="1"/>
  <c r="H92" i="1"/>
  <c r="G92" i="1"/>
  <c r="F92" i="1"/>
  <c r="U23" i="2"/>
  <c r="Y31" i="2"/>
  <c r="U5" i="2"/>
  <c r="U19" i="2"/>
  <c r="Z31" i="2"/>
  <c r="H122" i="1" l="1"/>
  <c r="F122" i="1"/>
  <c r="I122" i="1"/>
  <c r="G122" i="1"/>
  <c r="H48" i="2"/>
  <c r="F44" i="2"/>
  <c r="D48" i="2"/>
  <c r="G45" i="2"/>
  <c r="F52" i="2"/>
  <c r="P50" i="2"/>
  <c r="P49" i="2"/>
  <c r="G50" i="2"/>
  <c r="H52" i="2"/>
  <c r="F50" i="2"/>
  <c r="F48" i="2"/>
  <c r="I48" i="2"/>
  <c r="G48" i="2"/>
  <c r="K49" i="2"/>
  <c r="F47" i="2"/>
  <c r="D52" i="2"/>
  <c r="D50" i="2"/>
  <c r="I44" i="2"/>
  <c r="L50" i="2"/>
  <c r="O49" i="2"/>
  <c r="H45" i="2"/>
  <c r="F45" i="2"/>
  <c r="O52" i="2"/>
  <c r="D45" i="2"/>
  <c r="I45" i="2"/>
  <c r="I52" i="2"/>
  <c r="D46" i="2"/>
  <c r="L49" i="2"/>
  <c r="G46" i="2"/>
  <c r="E52" i="2"/>
  <c r="N52" i="2"/>
  <c r="E46" i="2"/>
  <c r="H47" i="2"/>
  <c r="G47" i="2"/>
  <c r="O50" i="2"/>
  <c r="P52" i="2"/>
  <c r="D44" i="2"/>
  <c r="H44" i="2"/>
  <c r="D47" i="2"/>
  <c r="K52" i="2"/>
  <c r="I46" i="2"/>
  <c r="I50" i="2"/>
  <c r="E47" i="2"/>
  <c r="E50" i="2"/>
  <c r="M49" i="2"/>
  <c r="G52" i="2"/>
  <c r="F46" i="2"/>
  <c r="N49" i="2"/>
  <c r="N50" i="2"/>
  <c r="H46" i="2"/>
  <c r="K50" i="2"/>
  <c r="G44" i="2"/>
  <c r="E45" i="2"/>
  <c r="M52" i="2"/>
  <c r="M50" i="2"/>
  <c r="H50" i="2"/>
  <c r="E48" i="2"/>
  <c r="E44" i="2"/>
  <c r="L52" i="2"/>
  <c r="I47" i="2"/>
  <c r="H49" i="2"/>
  <c r="P48" i="2"/>
  <c r="K48" i="2"/>
  <c r="P51" i="2"/>
  <c r="K44" i="2"/>
  <c r="I51" i="2"/>
  <c r="K45" i="2"/>
  <c r="F49" i="2"/>
  <c r="K51" i="2"/>
  <c r="E51" i="2"/>
  <c r="O45" i="2"/>
  <c r="L48" i="2"/>
  <c r="P44" i="2"/>
  <c r="K47" i="2"/>
  <c r="P47" i="2"/>
  <c r="O48" i="2"/>
  <c r="L51" i="2"/>
  <c r="F51" i="2"/>
  <c r="M48" i="2"/>
  <c r="O44" i="2"/>
  <c r="M45" i="2"/>
  <c r="N51" i="2"/>
  <c r="L44" i="2"/>
  <c r="O51" i="2"/>
  <c r="I49" i="2"/>
  <c r="G49" i="2"/>
  <c r="O47" i="2"/>
  <c r="H51" i="2"/>
  <c r="M47" i="2"/>
  <c r="P46" i="2"/>
  <c r="L46" i="2"/>
  <c r="L45" i="2"/>
  <c r="E49" i="2"/>
  <c r="N45" i="2"/>
  <c r="N44" i="2"/>
  <c r="O46" i="2"/>
  <c r="P45" i="2"/>
  <c r="M44" i="2"/>
  <c r="D49" i="2"/>
  <c r="M46" i="2"/>
  <c r="N47" i="2"/>
  <c r="D51" i="2"/>
  <c r="G51" i="2"/>
  <c r="K46" i="2"/>
  <c r="M51" i="2"/>
  <c r="N46" i="2"/>
  <c r="L47" i="2"/>
  <c r="N48" i="2"/>
  <c r="C46" i="2" l="1"/>
  <c r="C50" i="2"/>
  <c r="E92" i="1" l="1"/>
  <c r="E80" i="1"/>
  <c r="E62" i="1"/>
  <c r="J92" i="1"/>
  <c r="J71" i="1"/>
  <c r="J53" i="1"/>
  <c r="J51" i="1" s="1"/>
  <c r="E71" i="1"/>
  <c r="E53" i="1"/>
  <c r="J80" i="1"/>
  <c r="J62" i="1"/>
  <c r="C47" i="2"/>
  <c r="C44" i="2"/>
  <c r="C48" i="2"/>
  <c r="C51" i="2"/>
  <c r="C45" i="2"/>
  <c r="C49" i="2"/>
  <c r="C52" i="2"/>
  <c r="D46" i="1"/>
  <c r="J83" i="1"/>
  <c r="J84" i="1"/>
  <c r="J75" i="1"/>
  <c r="J72" i="1"/>
  <c r="J73" i="1"/>
  <c r="J74" i="1"/>
  <c r="J63" i="1"/>
  <c r="J64" i="1"/>
  <c r="J65" i="1"/>
  <c r="J66" i="1"/>
  <c r="J54" i="1"/>
  <c r="J55" i="1"/>
  <c r="J56" i="1"/>
  <c r="J57" i="1"/>
  <c r="J81" i="1"/>
  <c r="J82" i="1"/>
  <c r="J93" i="1" l="1"/>
  <c r="J100" i="1"/>
  <c r="J98" i="1"/>
  <c r="J96" i="1"/>
  <c r="J94" i="1"/>
  <c r="J99" i="1"/>
  <c r="J97" i="1"/>
  <c r="J95" i="1"/>
  <c r="E93" i="1"/>
  <c r="E94" i="1"/>
  <c r="E99" i="1"/>
  <c r="E97" i="1"/>
  <c r="E100" i="1"/>
  <c r="E98" i="1"/>
  <c r="E96" i="1"/>
  <c r="E95" i="1"/>
  <c r="J122" i="1"/>
  <c r="J129" i="1" s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8" i="1"/>
  <c r="J128" i="1" l="1"/>
  <c r="J126" i="1"/>
  <c r="J127" i="1"/>
  <c r="J125" i="1"/>
  <c r="J124" i="1"/>
  <c r="J123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45" i="1"/>
  <c r="A43" i="1"/>
  <c r="A41" i="1"/>
  <c r="A39" i="1"/>
  <c r="A37" i="1"/>
  <c r="A35" i="1"/>
  <c r="A33" i="1"/>
  <c r="A31" i="1"/>
  <c r="A29" i="1"/>
  <c r="A27" i="1"/>
  <c r="A25" i="1"/>
  <c r="A23" i="1"/>
  <c r="A21" i="1"/>
  <c r="A19" i="1"/>
  <c r="A17" i="1"/>
  <c r="A15" i="1"/>
  <c r="A13" i="1"/>
  <c r="A11" i="1"/>
  <c r="A9" i="1"/>
  <c r="A8" i="1"/>
  <c r="M30" i="1"/>
  <c r="M22" i="1"/>
  <c r="M14" i="1"/>
  <c r="M27" i="1"/>
  <c r="M19" i="1"/>
  <c r="M11" i="1"/>
  <c r="M26" i="1"/>
  <c r="M18" i="1"/>
  <c r="M10" i="1"/>
  <c r="M31" i="1"/>
  <c r="M15" i="1"/>
  <c r="M24" i="1"/>
  <c r="M29" i="1"/>
  <c r="M21" i="1"/>
  <c r="M28" i="1"/>
  <c r="M20" i="1"/>
  <c r="M12" i="1"/>
  <c r="M25" i="1"/>
  <c r="M17" i="1"/>
  <c r="M9" i="1"/>
  <c r="M23" i="1"/>
  <c r="M16" i="1"/>
  <c r="M13" i="1"/>
  <c r="F31" i="1"/>
  <c r="F10" i="1"/>
  <c r="G14" i="1"/>
  <c r="G18" i="1"/>
  <c r="E14" i="1"/>
  <c r="E10" i="1"/>
  <c r="F30" i="1"/>
  <c r="F8" i="1"/>
  <c r="F28" i="1"/>
  <c r="E17" i="1"/>
  <c r="E13" i="1"/>
  <c r="G28" i="1"/>
  <c r="E18" i="1"/>
  <c r="F16" i="1"/>
  <c r="F18" i="1"/>
  <c r="E8" i="1"/>
  <c r="F29" i="1"/>
  <c r="F17" i="1"/>
  <c r="E27" i="1"/>
  <c r="E31" i="1"/>
  <c r="G10" i="1"/>
  <c r="G16" i="1"/>
  <c r="G13" i="1"/>
  <c r="F13" i="1"/>
  <c r="E16" i="1"/>
  <c r="F12" i="1"/>
  <c r="G29" i="1"/>
  <c r="G31" i="1"/>
  <c r="G8" i="1"/>
  <c r="E12" i="1"/>
  <c r="G9" i="1"/>
  <c r="E21" i="1"/>
  <c r="F11" i="1"/>
  <c r="E11" i="1"/>
  <c r="G19" i="1"/>
  <c r="E24" i="1"/>
  <c r="F23" i="1"/>
  <c r="F26" i="1"/>
  <c r="G26" i="1"/>
  <c r="E22" i="1"/>
  <c r="E26" i="1"/>
  <c r="E23" i="1"/>
  <c r="G23" i="1"/>
  <c r="G24" i="1"/>
  <c r="F15" i="1"/>
  <c r="F24" i="1"/>
  <c r="E19" i="1"/>
  <c r="K14" i="1"/>
  <c r="J14" i="1"/>
  <c r="I14" i="1"/>
  <c r="L14" i="1"/>
  <c r="H14" i="1"/>
  <c r="K10" i="1"/>
  <c r="J10" i="1"/>
  <c r="I10" i="1"/>
  <c r="L10" i="1"/>
  <c r="H10" i="1"/>
  <c r="K17" i="1"/>
  <c r="J17" i="1"/>
  <c r="I17" i="1"/>
  <c r="L17" i="1"/>
  <c r="H17" i="1"/>
  <c r="K13" i="1"/>
  <c r="J13" i="1"/>
  <c r="I13" i="1"/>
  <c r="L13" i="1"/>
  <c r="H13" i="1"/>
  <c r="K18" i="1"/>
  <c r="J18" i="1"/>
  <c r="I18" i="1"/>
  <c r="L18" i="1"/>
  <c r="H18" i="1"/>
  <c r="L8" i="1"/>
  <c r="K8" i="1"/>
  <c r="J8" i="1"/>
  <c r="I8" i="1"/>
  <c r="H8" i="1"/>
  <c r="K27" i="1"/>
  <c r="J27" i="1"/>
  <c r="I27" i="1"/>
  <c r="L27" i="1"/>
  <c r="H27" i="1"/>
  <c r="K31" i="1"/>
  <c r="J31" i="1"/>
  <c r="I31" i="1"/>
  <c r="L31" i="1"/>
  <c r="H31" i="1"/>
  <c r="K16" i="1"/>
  <c r="J16" i="1"/>
  <c r="I16" i="1"/>
  <c r="L16" i="1"/>
  <c r="H16" i="1"/>
  <c r="K12" i="1"/>
  <c r="J12" i="1"/>
  <c r="I12" i="1"/>
  <c r="L12" i="1"/>
  <c r="H12" i="1"/>
  <c r="K21" i="1"/>
  <c r="J21" i="1"/>
  <c r="I21" i="1"/>
  <c r="L21" i="1"/>
  <c r="H21" i="1"/>
  <c r="K11" i="1"/>
  <c r="J11" i="1"/>
  <c r="L11" i="1"/>
  <c r="H11" i="1"/>
  <c r="I11" i="1"/>
  <c r="K24" i="1"/>
  <c r="J24" i="1"/>
  <c r="I24" i="1"/>
  <c r="L24" i="1"/>
  <c r="H24" i="1"/>
  <c r="K22" i="1"/>
  <c r="J22" i="1"/>
  <c r="I22" i="1"/>
  <c r="L22" i="1"/>
  <c r="H22" i="1"/>
  <c r="K26" i="1"/>
  <c r="J26" i="1"/>
  <c r="I26" i="1"/>
  <c r="L26" i="1"/>
  <c r="H26" i="1"/>
  <c r="K23" i="1"/>
  <c r="J23" i="1"/>
  <c r="I23" i="1"/>
  <c r="L23" i="1"/>
  <c r="H23" i="1"/>
  <c r="K19" i="1"/>
  <c r="J19" i="1"/>
  <c r="I19" i="1"/>
  <c r="L19" i="1"/>
  <c r="H19" i="1"/>
  <c r="N16" i="1" l="1"/>
  <c r="N17" i="1"/>
  <c r="N12" i="1"/>
  <c r="N21" i="1"/>
  <c r="N24" i="1"/>
  <c r="N18" i="1"/>
  <c r="N27" i="1"/>
  <c r="O35" i="1"/>
  <c r="K35" i="1"/>
  <c r="N35" i="1"/>
  <c r="J35" i="1"/>
  <c r="M35" i="1"/>
  <c r="I35" i="1"/>
  <c r="L35" i="1"/>
  <c r="H35" i="1"/>
  <c r="O37" i="1"/>
  <c r="K37" i="1"/>
  <c r="N37" i="1"/>
  <c r="J37" i="1"/>
  <c r="M37" i="1"/>
  <c r="I37" i="1"/>
  <c r="L37" i="1"/>
  <c r="H37" i="1"/>
  <c r="O45" i="1"/>
  <c r="K45" i="1"/>
  <c r="N45" i="1"/>
  <c r="J45" i="1"/>
  <c r="M45" i="1"/>
  <c r="I45" i="1"/>
  <c r="L45" i="1"/>
  <c r="H45" i="1"/>
  <c r="E32" i="1"/>
  <c r="O32" i="1"/>
  <c r="K32" i="1"/>
  <c r="N32" i="1"/>
  <c r="J32" i="1"/>
  <c r="M32" i="1"/>
  <c r="I32" i="1"/>
  <c r="L32" i="1"/>
  <c r="H32" i="1"/>
  <c r="O40" i="1"/>
  <c r="K40" i="1"/>
  <c r="N40" i="1"/>
  <c r="J40" i="1"/>
  <c r="M40" i="1"/>
  <c r="I40" i="1"/>
  <c r="L40" i="1"/>
  <c r="H40" i="1"/>
  <c r="O38" i="1"/>
  <c r="K38" i="1"/>
  <c r="N38" i="1"/>
  <c r="J38" i="1"/>
  <c r="M38" i="1"/>
  <c r="I38" i="1"/>
  <c r="L38" i="1"/>
  <c r="H38" i="1"/>
  <c r="O39" i="1"/>
  <c r="K39" i="1"/>
  <c r="N39" i="1"/>
  <c r="J39" i="1"/>
  <c r="M39" i="1"/>
  <c r="I39" i="1"/>
  <c r="L39" i="1"/>
  <c r="H39" i="1"/>
  <c r="O34" i="1"/>
  <c r="K34" i="1"/>
  <c r="N34" i="1"/>
  <c r="J34" i="1"/>
  <c r="M34" i="1"/>
  <c r="I34" i="1"/>
  <c r="L34" i="1"/>
  <c r="H34" i="1"/>
  <c r="O42" i="1"/>
  <c r="K42" i="1"/>
  <c r="N42" i="1"/>
  <c r="J42" i="1"/>
  <c r="M42" i="1"/>
  <c r="I42" i="1"/>
  <c r="L42" i="1"/>
  <c r="H42" i="1"/>
  <c r="O33" i="1"/>
  <c r="K33" i="1"/>
  <c r="N33" i="1"/>
  <c r="J33" i="1"/>
  <c r="M33" i="1"/>
  <c r="I33" i="1"/>
  <c r="L33" i="1"/>
  <c r="H33" i="1"/>
  <c r="O41" i="1"/>
  <c r="K41" i="1"/>
  <c r="N41" i="1"/>
  <c r="J41" i="1"/>
  <c r="M41" i="1"/>
  <c r="I41" i="1"/>
  <c r="L41" i="1"/>
  <c r="H41" i="1"/>
  <c r="O36" i="1"/>
  <c r="K36" i="1"/>
  <c r="N36" i="1"/>
  <c r="J36" i="1"/>
  <c r="M36" i="1"/>
  <c r="I36" i="1"/>
  <c r="L36" i="1"/>
  <c r="H36" i="1"/>
  <c r="O44" i="1"/>
  <c r="K44" i="1"/>
  <c r="N44" i="1"/>
  <c r="J44" i="1"/>
  <c r="M44" i="1"/>
  <c r="I44" i="1"/>
  <c r="L44" i="1"/>
  <c r="H44" i="1"/>
  <c r="O43" i="1"/>
  <c r="K43" i="1"/>
  <c r="N43" i="1"/>
  <c r="J43" i="1"/>
  <c r="M43" i="1"/>
  <c r="I43" i="1"/>
  <c r="L43" i="1"/>
  <c r="H43" i="1"/>
  <c r="O46" i="1"/>
  <c r="K46" i="1"/>
  <c r="N46" i="1"/>
  <c r="J46" i="1"/>
  <c r="M46" i="1"/>
  <c r="I46" i="1"/>
  <c r="L46" i="1"/>
  <c r="H46" i="1"/>
  <c r="C8" i="1"/>
  <c r="C19" i="1"/>
  <c r="C27" i="1"/>
  <c r="C35" i="1"/>
  <c r="C39" i="1"/>
  <c r="C43" i="1"/>
  <c r="C10" i="1"/>
  <c r="C14" i="1"/>
  <c r="C18" i="1"/>
  <c r="C22" i="1"/>
  <c r="C26" i="1"/>
  <c r="C30" i="1"/>
  <c r="C34" i="1"/>
  <c r="C38" i="1"/>
  <c r="C42" i="1"/>
  <c r="C46" i="1"/>
  <c r="C11" i="1"/>
  <c r="C15" i="1"/>
  <c r="C23" i="1"/>
  <c r="C31" i="1"/>
  <c r="C9" i="1"/>
  <c r="C13" i="1"/>
  <c r="C17" i="1"/>
  <c r="C21" i="1"/>
  <c r="C25" i="1"/>
  <c r="C29" i="1"/>
  <c r="C33" i="1"/>
  <c r="C37" i="1"/>
  <c r="C41" i="1"/>
  <c r="C45" i="1"/>
  <c r="C12" i="1"/>
  <c r="C16" i="1"/>
  <c r="C20" i="1"/>
  <c r="C24" i="1"/>
  <c r="C28" i="1"/>
  <c r="C32" i="1"/>
  <c r="C36" i="1"/>
  <c r="C40" i="1"/>
  <c r="C44" i="1"/>
  <c r="G39" i="1"/>
  <c r="F39" i="1"/>
  <c r="G35" i="1"/>
  <c r="F34" i="1"/>
  <c r="F43" i="1"/>
  <c r="E40" i="1"/>
  <c r="E35" i="1"/>
  <c r="F46" i="1"/>
  <c r="F40" i="1"/>
  <c r="G37" i="1"/>
  <c r="F45" i="1"/>
  <c r="G32" i="1"/>
  <c r="E45" i="1"/>
  <c r="E39" i="1"/>
  <c r="G41" i="1"/>
  <c r="E36" i="1"/>
  <c r="E34" i="1"/>
  <c r="G34" i="1"/>
  <c r="F33" i="1"/>
  <c r="G33" i="1"/>
  <c r="E38" i="1"/>
  <c r="F36" i="1"/>
  <c r="F37" i="1"/>
  <c r="F41" i="1"/>
  <c r="E43" i="1"/>
  <c r="G45" i="1"/>
  <c r="E41" i="1"/>
  <c r="G36" i="1"/>
  <c r="G42" i="1"/>
  <c r="E44" i="1"/>
  <c r="E33" i="1"/>
  <c r="G40" i="1"/>
  <c r="F42" i="1"/>
  <c r="F32" i="1"/>
  <c r="F38" i="1"/>
  <c r="F44" i="1"/>
  <c r="G43" i="1"/>
  <c r="E37" i="1"/>
  <c r="G46" i="1"/>
  <c r="G38" i="1"/>
  <c r="E42" i="1"/>
  <c r="E46" i="1"/>
  <c r="F35" i="1"/>
  <c r="G44" i="1"/>
  <c r="G27" i="1"/>
  <c r="F9" i="1"/>
  <c r="G17" i="1"/>
  <c r="E30" i="1"/>
  <c r="G25" i="1"/>
  <c r="G30" i="1"/>
  <c r="F27" i="1"/>
  <c r="E20" i="1"/>
  <c r="G20" i="1"/>
  <c r="F20" i="1"/>
  <c r="E25" i="1"/>
  <c r="F14" i="1"/>
  <c r="E9" i="1"/>
  <c r="E28" i="1"/>
  <c r="G12" i="1"/>
  <c r="M8" i="1"/>
  <c r="E29" i="1"/>
  <c r="F25" i="1"/>
  <c r="F21" i="1"/>
  <c r="G21" i="1"/>
  <c r="G11" i="1"/>
  <c r="F22" i="1"/>
  <c r="E15" i="1"/>
  <c r="F19" i="1"/>
  <c r="G22" i="1"/>
  <c r="G15" i="1"/>
  <c r="K30" i="1"/>
  <c r="J30" i="1"/>
  <c r="I30" i="1"/>
  <c r="L30" i="1"/>
  <c r="H30" i="1"/>
  <c r="K20" i="1"/>
  <c r="J20" i="1"/>
  <c r="I20" i="1"/>
  <c r="L20" i="1"/>
  <c r="H20" i="1"/>
  <c r="K25" i="1"/>
  <c r="J25" i="1"/>
  <c r="I25" i="1"/>
  <c r="L25" i="1"/>
  <c r="H25" i="1"/>
  <c r="K9" i="1"/>
  <c r="J9" i="1"/>
  <c r="L9" i="1"/>
  <c r="H9" i="1"/>
  <c r="I9" i="1"/>
  <c r="K28" i="1"/>
  <c r="J28" i="1"/>
  <c r="I28" i="1"/>
  <c r="L28" i="1"/>
  <c r="H28" i="1"/>
  <c r="K29" i="1"/>
  <c r="J29" i="1"/>
  <c r="I29" i="1"/>
  <c r="L29" i="1"/>
  <c r="H29" i="1"/>
  <c r="K15" i="1"/>
  <c r="J15" i="1"/>
  <c r="I15" i="1"/>
  <c r="L15" i="1"/>
  <c r="H15" i="1"/>
  <c r="N13" i="1" l="1"/>
  <c r="N10" i="1"/>
  <c r="N19" i="1"/>
  <c r="N23" i="1"/>
  <c r="N26" i="1"/>
  <c r="N14" i="1"/>
  <c r="N31" i="1"/>
  <c r="N11" i="1"/>
  <c r="N22" i="1"/>
  <c r="N15" i="1"/>
  <c r="N29" i="1"/>
  <c r="N28" i="1"/>
  <c r="N9" i="1"/>
  <c r="N25" i="1"/>
  <c r="N20" i="1"/>
  <c r="N30" i="1"/>
  <c r="O9" i="1"/>
  <c r="O11" i="1"/>
  <c r="O15" i="1"/>
  <c r="O21" i="1"/>
  <c r="O29" i="1"/>
  <c r="O8" i="1"/>
  <c r="O13" i="1"/>
  <c r="O17" i="1"/>
  <c r="O25" i="1"/>
  <c r="O14" i="1"/>
  <c r="O26" i="1"/>
  <c r="O30" i="1"/>
  <c r="O23" i="1"/>
  <c r="O31" i="1"/>
  <c r="O10" i="1"/>
  <c r="O12" i="1"/>
  <c r="O16" i="1"/>
  <c r="O18" i="1"/>
  <c r="O20" i="1"/>
  <c r="O22" i="1"/>
  <c r="O24" i="1"/>
  <c r="O28" i="1"/>
  <c r="O19" i="1"/>
  <c r="O27" i="1"/>
  <c r="N8" i="1"/>
</calcChain>
</file>

<file path=xl/sharedStrings.xml><?xml version="1.0" encoding="utf-8"?>
<sst xmlns="http://schemas.openxmlformats.org/spreadsheetml/2006/main" count="455" uniqueCount="374">
  <si>
    <t>종목명</t>
  </si>
  <si>
    <t>코드</t>
  </si>
  <si>
    <t>현재지수</t>
  </si>
  <si>
    <t>전일대비</t>
  </si>
  <si>
    <t>KOSPI</t>
  </si>
  <si>
    <t>001</t>
  </si>
  <si>
    <t>KOSPI200</t>
  </si>
  <si>
    <t>211</t>
  </si>
  <si>
    <t>음식료품</t>
  </si>
  <si>
    <t>005</t>
  </si>
  <si>
    <t>섬유.의복</t>
  </si>
  <si>
    <t>006</t>
  </si>
  <si>
    <t>종이.목재</t>
  </si>
  <si>
    <t>007</t>
  </si>
  <si>
    <t>화학</t>
  </si>
  <si>
    <t>008</t>
  </si>
  <si>
    <t>의약품</t>
  </si>
  <si>
    <t>009</t>
  </si>
  <si>
    <t>비금속광물</t>
  </si>
  <si>
    <t>010</t>
  </si>
  <si>
    <t>철강.금속</t>
  </si>
  <si>
    <t>011</t>
  </si>
  <si>
    <t>기계</t>
  </si>
  <si>
    <t>012</t>
  </si>
  <si>
    <t>전기.전자</t>
  </si>
  <si>
    <t>013</t>
  </si>
  <si>
    <t>의료정밀</t>
  </si>
  <si>
    <t>014</t>
  </si>
  <si>
    <t>운수.장비</t>
  </si>
  <si>
    <t>015</t>
  </si>
  <si>
    <t>유통업</t>
  </si>
  <si>
    <t>016</t>
  </si>
  <si>
    <t>전기.가스업</t>
  </si>
  <si>
    <t>017</t>
  </si>
  <si>
    <t>건설업</t>
  </si>
  <si>
    <t>018</t>
  </si>
  <si>
    <t>운수.창고</t>
  </si>
  <si>
    <t>019</t>
  </si>
  <si>
    <t>통신업</t>
  </si>
  <si>
    <t>020</t>
  </si>
  <si>
    <t>금융업</t>
  </si>
  <si>
    <t>021</t>
  </si>
  <si>
    <t>증권</t>
  </si>
  <si>
    <t>024</t>
  </si>
  <si>
    <t>보험</t>
  </si>
  <si>
    <t>025</t>
  </si>
  <si>
    <t>서비스업</t>
  </si>
  <si>
    <t>026</t>
  </si>
  <si>
    <t>제조업</t>
  </si>
  <si>
    <t>027</t>
  </si>
  <si>
    <t>대형주</t>
  </si>
  <si>
    <t>201</t>
  </si>
  <si>
    <t>중형주</t>
  </si>
  <si>
    <t>202</t>
  </si>
  <si>
    <t>소형주</t>
  </si>
  <si>
    <t>203</t>
  </si>
  <si>
    <t>K건설기계</t>
  </si>
  <si>
    <t>212</t>
  </si>
  <si>
    <t>K조선운송</t>
  </si>
  <si>
    <t>213</t>
  </si>
  <si>
    <t>K철강소재</t>
  </si>
  <si>
    <t>214</t>
  </si>
  <si>
    <t>K에너지화학</t>
  </si>
  <si>
    <t>215</t>
  </si>
  <si>
    <t>K정보통신</t>
  </si>
  <si>
    <t>216</t>
  </si>
  <si>
    <t>K금융</t>
  </si>
  <si>
    <t>217</t>
  </si>
  <si>
    <t>K필수소비재</t>
  </si>
  <si>
    <t>218</t>
  </si>
  <si>
    <t>K자유소비재</t>
  </si>
  <si>
    <t>219</t>
  </si>
  <si>
    <t>KOSPI100</t>
  </si>
  <si>
    <t>221</t>
  </si>
  <si>
    <t>KOSPI50</t>
  </si>
  <si>
    <t>222</t>
  </si>
  <si>
    <t>KODI</t>
  </si>
  <si>
    <t>231</t>
  </si>
  <si>
    <t>지배구조지수</t>
  </si>
  <si>
    <t>232</t>
  </si>
  <si>
    <t>사회책임투자지수</t>
  </si>
  <si>
    <t>233</t>
  </si>
  <si>
    <t>레버리지 KOSPI200</t>
  </si>
  <si>
    <t>234</t>
  </si>
  <si>
    <t>환경책임투자지수</t>
  </si>
  <si>
    <t>235</t>
  </si>
  <si>
    <t>KOSDAQ</t>
  </si>
  <si>
    <t>801</t>
  </si>
  <si>
    <t>우량기업부</t>
  </si>
  <si>
    <t>802</t>
  </si>
  <si>
    <t>벤처기업부</t>
  </si>
  <si>
    <t>803</t>
  </si>
  <si>
    <t>중견기업부</t>
  </si>
  <si>
    <t>804</t>
  </si>
  <si>
    <t>기술성장기업부</t>
  </si>
  <si>
    <t>805</t>
  </si>
  <si>
    <t>기타서비스</t>
  </si>
  <si>
    <t>812</t>
  </si>
  <si>
    <t>IT종합</t>
  </si>
  <si>
    <t>815</t>
  </si>
  <si>
    <t>제조</t>
  </si>
  <si>
    <t>824</t>
  </si>
  <si>
    <t>건설</t>
  </si>
  <si>
    <t>826</t>
  </si>
  <si>
    <t>유통</t>
  </si>
  <si>
    <t>827</t>
  </si>
  <si>
    <t>운송</t>
  </si>
  <si>
    <t>829</t>
  </si>
  <si>
    <t>금융</t>
  </si>
  <si>
    <t>831</t>
  </si>
  <si>
    <t>오락문화</t>
  </si>
  <si>
    <t>837</t>
  </si>
  <si>
    <t>통신방송</t>
  </si>
  <si>
    <t>841</t>
  </si>
  <si>
    <t>IT S/W</t>
  </si>
  <si>
    <t>842</t>
  </si>
  <si>
    <t>IT H/W</t>
  </si>
  <si>
    <t>843</t>
  </si>
  <si>
    <t>음식.담배</t>
  </si>
  <si>
    <t>856</t>
  </si>
  <si>
    <t>섬유.의류</t>
  </si>
  <si>
    <t>858</t>
  </si>
  <si>
    <t>862</t>
  </si>
  <si>
    <t>출판.매체</t>
  </si>
  <si>
    <t>863</t>
  </si>
  <si>
    <t>865</t>
  </si>
  <si>
    <t>제약</t>
  </si>
  <si>
    <t>866</t>
  </si>
  <si>
    <t>비금속</t>
  </si>
  <si>
    <t>867</t>
  </si>
  <si>
    <t>금속</t>
  </si>
  <si>
    <t>868</t>
  </si>
  <si>
    <t>기계.장비</t>
  </si>
  <si>
    <t>870</t>
  </si>
  <si>
    <t>일반전기전자</t>
  </si>
  <si>
    <t>872</t>
  </si>
  <si>
    <t>의료정밀기기</t>
  </si>
  <si>
    <t>874</t>
  </si>
  <si>
    <t>운송장비부품</t>
  </si>
  <si>
    <t>875</t>
  </si>
  <si>
    <t>가구</t>
  </si>
  <si>
    <t>877</t>
  </si>
  <si>
    <t>통신서비스</t>
  </si>
  <si>
    <t>951</t>
  </si>
  <si>
    <t>방송서비스</t>
  </si>
  <si>
    <t>952</t>
  </si>
  <si>
    <t>인터넷</t>
  </si>
  <si>
    <t>953</t>
  </si>
  <si>
    <t>디지털컨텐츠</t>
  </si>
  <si>
    <t>954</t>
  </si>
  <si>
    <t>소프트웨어</t>
  </si>
  <si>
    <t>955</t>
  </si>
  <si>
    <t>컴퓨터서비스</t>
  </si>
  <si>
    <t>956</t>
  </si>
  <si>
    <t>통신장비</t>
  </si>
  <si>
    <t>957</t>
  </si>
  <si>
    <t>정보기기</t>
  </si>
  <si>
    <t>958</t>
  </si>
  <si>
    <t>반도체</t>
  </si>
  <si>
    <t>959</t>
  </si>
  <si>
    <t>IT부품</t>
  </si>
  <si>
    <t>960</t>
  </si>
  <si>
    <t>KQ 100</t>
  </si>
  <si>
    <t>981</t>
  </si>
  <si>
    <t>KQ Mid 300</t>
  </si>
  <si>
    <t>982</t>
  </si>
  <si>
    <t>KQ Small</t>
  </si>
  <si>
    <t>983</t>
  </si>
  <si>
    <t>KOSTAR</t>
  </si>
  <si>
    <t>984</t>
  </si>
  <si>
    <t>KQ 프리미어지수</t>
  </si>
  <si>
    <t>985</t>
  </si>
  <si>
    <t>MATCH</t>
    <phoneticPr fontId="3" type="noConversion"/>
  </si>
  <si>
    <t>기관순매수금액</t>
  </si>
  <si>
    <t>외국인합순매수금액</t>
  </si>
  <si>
    <t>개인순매수금액</t>
  </si>
  <si>
    <t>일자</t>
  </si>
  <si>
    <t>SECTOR</t>
    <phoneticPr fontId="3" type="noConversion"/>
  </si>
  <si>
    <t>업종</t>
    <phoneticPr fontId="3" type="noConversion"/>
  </si>
  <si>
    <t>1D(%)</t>
    <phoneticPr fontId="3" type="noConversion"/>
  </si>
  <si>
    <t>1W(%)</t>
    <phoneticPr fontId="3" type="noConversion"/>
  </si>
  <si>
    <t>1M(%)</t>
    <phoneticPr fontId="3" type="noConversion"/>
  </si>
  <si>
    <t>3M(%)</t>
    <phoneticPr fontId="3" type="noConversion"/>
  </si>
  <si>
    <t>6M(%)</t>
    <phoneticPr fontId="3" type="noConversion"/>
  </si>
  <si>
    <t>1Y(%)</t>
    <phoneticPr fontId="3" type="noConversion"/>
  </si>
  <si>
    <t>3M 누적등락률</t>
    <phoneticPr fontId="3" type="noConversion"/>
  </si>
  <si>
    <t>KOSPI</t>
    <phoneticPr fontId="3" type="noConversion"/>
  </si>
  <si>
    <t>KOSDAQ</t>
    <phoneticPr fontId="3" type="noConversion"/>
  </si>
  <si>
    <t>외국인비중</t>
    <phoneticPr fontId="3" type="noConversion"/>
  </si>
  <si>
    <t>기준일</t>
    <phoneticPr fontId="3" type="noConversion"/>
  </si>
  <si>
    <t>기관계</t>
    <phoneticPr fontId="3" type="noConversion"/>
  </si>
  <si>
    <t>개인</t>
    <phoneticPr fontId="3" type="noConversion"/>
  </si>
  <si>
    <t>투신</t>
    <phoneticPr fontId="3" type="noConversion"/>
  </si>
  <si>
    <t>거래소</t>
    <phoneticPr fontId="3" type="noConversion"/>
  </si>
  <si>
    <t>투신순매수금액</t>
  </si>
  <si>
    <t>누적 매매동향 (억원)</t>
    <phoneticPr fontId="3" type="noConversion"/>
  </si>
  <si>
    <t>외국인합순매수수량</t>
    <phoneticPr fontId="3" type="noConversion"/>
  </si>
  <si>
    <t>개인순매수수량</t>
    <phoneticPr fontId="3" type="noConversion"/>
  </si>
  <si>
    <t>기관순매수수량</t>
    <phoneticPr fontId="3" type="noConversion"/>
  </si>
  <si>
    <t>투신순매수수량</t>
    <phoneticPr fontId="3" type="noConversion"/>
  </si>
  <si>
    <t>외국인합</t>
    <phoneticPr fontId="3" type="noConversion"/>
  </si>
  <si>
    <t>외국인합</t>
    <phoneticPr fontId="3" type="noConversion"/>
  </si>
  <si>
    <t>개인</t>
    <phoneticPr fontId="3" type="noConversion"/>
  </si>
  <si>
    <t>기관계</t>
    <phoneticPr fontId="3" type="noConversion"/>
  </si>
  <si>
    <t>코스닥</t>
    <phoneticPr fontId="3" type="noConversion"/>
  </si>
  <si>
    <t>ETF</t>
    <phoneticPr fontId="3" type="noConversion"/>
  </si>
  <si>
    <t>투자자</t>
    <phoneticPr fontId="3" type="noConversion"/>
  </si>
  <si>
    <t>콜금리</t>
    <phoneticPr fontId="3" type="noConversion"/>
  </si>
  <si>
    <t>CD 91일물</t>
    <phoneticPr fontId="3" type="noConversion"/>
  </si>
  <si>
    <t>CP 91일물</t>
    <phoneticPr fontId="3" type="noConversion"/>
  </si>
  <si>
    <t>국고 1Y</t>
    <phoneticPr fontId="3" type="noConversion"/>
  </si>
  <si>
    <t>국고 3Y</t>
    <phoneticPr fontId="3" type="noConversion"/>
  </si>
  <si>
    <t>회사채 AA-(3Y)</t>
    <phoneticPr fontId="3" type="noConversion"/>
  </si>
  <si>
    <t>회사채 BBB-(3Y)</t>
    <phoneticPr fontId="3" type="noConversion"/>
  </si>
  <si>
    <t>최종호가 수익률</t>
    <phoneticPr fontId="3" type="noConversion"/>
  </si>
  <si>
    <t>코스닥</t>
    <phoneticPr fontId="3" type="noConversion"/>
  </si>
  <si>
    <t>투자자</t>
    <phoneticPr fontId="3" type="noConversion"/>
  </si>
  <si>
    <t>외국인합</t>
    <phoneticPr fontId="3" type="noConversion"/>
  </si>
  <si>
    <t>개인</t>
    <phoneticPr fontId="3" type="noConversion"/>
  </si>
  <si>
    <t>기관계</t>
    <phoneticPr fontId="3" type="noConversion"/>
  </si>
  <si>
    <t>투신</t>
    <phoneticPr fontId="3" type="noConversion"/>
  </si>
  <si>
    <t>ETF</t>
    <phoneticPr fontId="3" type="noConversion"/>
  </si>
  <si>
    <t>개인</t>
    <phoneticPr fontId="3" type="noConversion"/>
  </si>
  <si>
    <t>기관계</t>
    <phoneticPr fontId="3" type="noConversion"/>
  </si>
  <si>
    <t>투신</t>
    <phoneticPr fontId="3" type="noConversion"/>
  </si>
  <si>
    <t>K200선물(계약, 천)</t>
    <phoneticPr fontId="3" type="noConversion"/>
  </si>
  <si>
    <t>K200</t>
    <phoneticPr fontId="3" type="noConversion"/>
  </si>
  <si>
    <t>외국인합</t>
    <phoneticPr fontId="3" type="noConversion"/>
  </si>
  <si>
    <t>기관계</t>
    <phoneticPr fontId="3" type="noConversion"/>
  </si>
  <si>
    <t>대표수익률</t>
  </si>
  <si>
    <t>5D</t>
    <phoneticPr fontId="3" type="noConversion"/>
  </si>
  <si>
    <t>20D</t>
    <phoneticPr fontId="3" type="noConversion"/>
  </si>
  <si>
    <t>60D</t>
    <phoneticPr fontId="3" type="noConversion"/>
  </si>
  <si>
    <t>120D</t>
    <phoneticPr fontId="3" type="noConversion"/>
  </si>
  <si>
    <t>현재가</t>
    <phoneticPr fontId="3" type="noConversion"/>
  </si>
  <si>
    <t>T-5</t>
    <phoneticPr fontId="3" type="noConversion"/>
  </si>
  <si>
    <t>T-20</t>
    <phoneticPr fontId="3" type="noConversion"/>
  </si>
  <si>
    <t>T-60</t>
    <phoneticPr fontId="3" type="noConversion"/>
  </si>
  <si>
    <t>T-120</t>
    <phoneticPr fontId="3" type="noConversion"/>
  </si>
  <si>
    <t>스프레드</t>
    <phoneticPr fontId="3" type="noConversion"/>
  </si>
  <si>
    <t>스프레드 = 회사채(AA-)-국고3년</t>
    <phoneticPr fontId="3" type="noConversion"/>
  </si>
  <si>
    <t>증시주변자금 (억원)</t>
    <phoneticPr fontId="3" type="noConversion"/>
  </si>
  <si>
    <t>주식형</t>
    <phoneticPr fontId="3" type="noConversion"/>
  </si>
  <si>
    <t>혼합주식형</t>
    <phoneticPr fontId="3" type="noConversion"/>
  </si>
  <si>
    <t>혼합채권형</t>
    <phoneticPr fontId="3" type="noConversion"/>
  </si>
  <si>
    <t>국내시장 주요지표</t>
    <phoneticPr fontId="3" type="noConversion"/>
  </si>
  <si>
    <t>KOSPI200 선물/옵션</t>
    <phoneticPr fontId="3" type="noConversion"/>
  </si>
  <si>
    <t>선물시장주요지표</t>
    <phoneticPr fontId="3" type="noConversion"/>
  </si>
  <si>
    <t>전일대비</t>
    <phoneticPr fontId="3" type="noConversion"/>
  </si>
  <si>
    <t>이론가</t>
    <phoneticPr fontId="3" type="noConversion"/>
  </si>
  <si>
    <t>미결제약정</t>
    <phoneticPr fontId="3" type="noConversion"/>
  </si>
  <si>
    <t>현재가</t>
  </si>
  <si>
    <t>이론가</t>
  </si>
  <si>
    <t>기초자산가격</t>
  </si>
  <si>
    <t>거래량</t>
  </si>
  <si>
    <t>미결제약정수량</t>
  </si>
  <si>
    <t>미결제약정증감</t>
  </si>
  <si>
    <t>외국인합순매수수량</t>
  </si>
  <si>
    <t>개인순매수수량</t>
  </si>
  <si>
    <t>차익거래순매수금액</t>
  </si>
  <si>
    <t>비차익거래순매수금액</t>
  </si>
  <si>
    <t>K200</t>
    <phoneticPr fontId="3" type="noConversion"/>
  </si>
  <si>
    <t>약정수량</t>
    <phoneticPr fontId="3" type="noConversion"/>
  </si>
  <si>
    <t>메결제증감</t>
    <phoneticPr fontId="3" type="noConversion"/>
  </si>
  <si>
    <t xml:space="preserve">  - 비차익</t>
    <phoneticPr fontId="3" type="noConversion"/>
  </si>
  <si>
    <t xml:space="preserve">  - 차익</t>
    <phoneticPr fontId="3" type="noConversion"/>
  </si>
  <si>
    <t>기관순매수수량</t>
  </si>
  <si>
    <t>기관순매수수량</t>
    <phoneticPr fontId="3" type="noConversion"/>
  </si>
  <si>
    <t>외국인순매수 (수량,천)</t>
    <phoneticPr fontId="3" type="noConversion"/>
  </si>
  <si>
    <t>개인순매수 (수량,천)</t>
    <phoneticPr fontId="3" type="noConversion"/>
  </si>
  <si>
    <t>기관계순매수 (수량,천)</t>
    <phoneticPr fontId="3" type="noConversion"/>
  </si>
  <si>
    <t>일자</t>
    <phoneticPr fontId="3" type="noConversion"/>
  </si>
  <si>
    <t>프로그램합계(K200, 백만)</t>
    <phoneticPr fontId="3" type="noConversion"/>
  </si>
  <si>
    <t>시장베이시스</t>
    <phoneticPr fontId="3" type="noConversion"/>
  </si>
  <si>
    <t>시장베이시스(종가)</t>
    <phoneticPr fontId="3" type="noConversion"/>
  </si>
  <si>
    <t>이론베이시스(종가)</t>
    <phoneticPr fontId="3" type="noConversion"/>
  </si>
  <si>
    <t>이론베이시스</t>
    <phoneticPr fontId="3" type="noConversion"/>
  </si>
  <si>
    <t>이론갭</t>
    <phoneticPr fontId="3" type="noConversion"/>
  </si>
  <si>
    <t>기초자산가격</t>
    <phoneticPr fontId="3" type="noConversion"/>
  </si>
  <si>
    <t>기준</t>
    <phoneticPr fontId="3" type="noConversion"/>
  </si>
  <si>
    <t>P</t>
    <phoneticPr fontId="3" type="noConversion"/>
  </si>
  <si>
    <t>Q</t>
    <phoneticPr fontId="3" type="noConversion"/>
  </si>
  <si>
    <t>R</t>
    <phoneticPr fontId="3" type="noConversion"/>
  </si>
  <si>
    <t>S</t>
    <phoneticPr fontId="3" type="noConversion"/>
  </si>
  <si>
    <t>T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</si>
  <si>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</si>
  <si>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</si>
  <si>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</si>
  <si>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C/P</t>
    <phoneticPr fontId="3" type="noConversion"/>
  </si>
  <si>
    <t>연도</t>
    <phoneticPr fontId="3" type="noConversion"/>
  </si>
  <si>
    <t>월</t>
    <phoneticPr fontId="3" type="noConversion"/>
  </si>
  <si>
    <t>만기test</t>
    <phoneticPr fontId="3" type="noConversion"/>
  </si>
  <si>
    <t>testing</t>
    <phoneticPr fontId="3" type="noConversion"/>
  </si>
  <si>
    <t>설정월</t>
    <phoneticPr fontId="3" type="noConversion"/>
  </si>
  <si>
    <t>설정년</t>
    <phoneticPr fontId="3" type="noConversion"/>
  </si>
  <si>
    <t>현재 옵션</t>
    <phoneticPr fontId="3" type="noConversion"/>
  </si>
  <si>
    <t>OPT</t>
    <phoneticPr fontId="3" type="noConversion"/>
  </si>
  <si>
    <t>가까운 값</t>
    <phoneticPr fontId="3" type="noConversion"/>
  </si>
  <si>
    <t>000</t>
    <phoneticPr fontId="3" type="noConversion"/>
  </si>
  <si>
    <t>월-index</t>
    <phoneticPr fontId="3" type="noConversion"/>
  </si>
  <si>
    <t>FUT</t>
    <phoneticPr fontId="3" type="noConversion"/>
  </si>
  <si>
    <t>value</t>
    <phoneticPr fontId="3" type="noConversion"/>
  </si>
  <si>
    <t>설정월</t>
    <phoneticPr fontId="3" type="noConversion"/>
  </si>
  <si>
    <t>test</t>
    <phoneticPr fontId="3" type="noConversion"/>
  </si>
  <si>
    <t>외국인합</t>
    <phoneticPr fontId="3" type="noConversion"/>
  </si>
  <si>
    <t>개인</t>
    <phoneticPr fontId="3" type="noConversion"/>
  </si>
  <si>
    <t>기관계</t>
    <phoneticPr fontId="3" type="noConversion"/>
  </si>
  <si>
    <t>기초자산가격</t>
    <phoneticPr fontId="3" type="noConversion"/>
  </si>
  <si>
    <t>K200</t>
    <phoneticPr fontId="3" type="noConversion"/>
  </si>
  <si>
    <t>C</t>
    <phoneticPr fontId="3" type="noConversion"/>
  </si>
  <si>
    <t>C</t>
    <phoneticPr fontId="3" type="noConversion"/>
  </si>
  <si>
    <t>이전선물</t>
    <phoneticPr fontId="3" type="noConversion"/>
  </si>
  <si>
    <t>콜</t>
    <phoneticPr fontId="3" type="noConversion"/>
  </si>
  <si>
    <t>풋</t>
    <phoneticPr fontId="3" type="noConversion"/>
  </si>
  <si>
    <t>콜-풋</t>
    <phoneticPr fontId="3" type="noConversion"/>
  </si>
  <si>
    <t>KOSPI200 옵션 시세표(최근월물)</t>
    <phoneticPr fontId="3" type="noConversion"/>
  </si>
  <si>
    <t>일자</t>
    <phoneticPr fontId="3" type="noConversion"/>
  </si>
  <si>
    <t>현재가</t>
    <phoneticPr fontId="3" type="noConversion"/>
  </si>
  <si>
    <t>K200</t>
    <phoneticPr fontId="3" type="noConversion"/>
  </si>
  <si>
    <t>VKOSPI</t>
    <phoneticPr fontId="3" type="noConversion"/>
  </si>
  <si>
    <t>KOSPI200 vs VKOSPI</t>
    <phoneticPr fontId="3" type="noConversion"/>
  </si>
  <si>
    <t>변동성 스큐</t>
    <phoneticPr fontId="3" type="noConversion"/>
  </si>
  <si>
    <t>설정액(주식)</t>
    <phoneticPr fontId="3" type="noConversion"/>
  </si>
  <si>
    <t>설정액(혼합주식)</t>
    <phoneticPr fontId="3" type="noConversion"/>
  </si>
  <si>
    <t>설정액(혼합채권)</t>
    <phoneticPr fontId="3" type="noConversion"/>
  </si>
  <si>
    <t>설정액(MMF)</t>
    <phoneticPr fontId="3" type="noConversion"/>
  </si>
  <si>
    <t>설정액(채권)</t>
    <phoneticPr fontId="3" type="noConversion"/>
  </si>
  <si>
    <t>채권형</t>
    <phoneticPr fontId="3" type="noConversion"/>
  </si>
  <si>
    <t>RP잔고</t>
    <phoneticPr fontId="3" type="noConversion"/>
  </si>
  <si>
    <t>MMF</t>
    <phoneticPr fontId="3" type="noConversion"/>
  </si>
  <si>
    <t>고객예탁금</t>
    <phoneticPr fontId="3" type="noConversion"/>
  </si>
  <si>
    <t>V</t>
    <phoneticPr fontId="3" type="noConversion"/>
  </si>
  <si>
    <t>W</t>
    <phoneticPr fontId="3" type="noConversion"/>
  </si>
  <si>
    <t>A</t>
  </si>
  <si>
    <t>N</t>
  </si>
  <si>
    <t>P</t>
  </si>
  <si>
    <t>Q</t>
  </si>
  <si>
    <t>R</t>
  </si>
  <si>
    <t>S</t>
  </si>
  <si>
    <t>T</t>
  </si>
  <si>
    <t>V</t>
  </si>
  <si>
    <t>W</t>
  </si>
  <si>
    <t>N</t>
    <phoneticPr fontId="3" type="noConversion"/>
  </si>
  <si>
    <t>델타</t>
    <phoneticPr fontId="3" type="noConversion"/>
  </si>
  <si>
    <t>IV종가</t>
    <phoneticPr fontId="3" type="noConversion"/>
  </si>
  <si>
    <t>미결제증감</t>
    <phoneticPr fontId="3" type="noConversion"/>
  </si>
  <si>
    <t>미결제약정</t>
    <phoneticPr fontId="3" type="noConversion"/>
  </si>
  <si>
    <t>등락률</t>
    <phoneticPr fontId="3" type="noConversion"/>
  </si>
  <si>
    <t>현재가</t>
    <phoneticPr fontId="3" type="noConversion"/>
  </si>
  <si>
    <t>행사가</t>
    <phoneticPr fontId="3" type="noConversion"/>
  </si>
  <si>
    <t>미결제약정</t>
    <phoneticPr fontId="3" type="noConversion"/>
  </si>
  <si>
    <t>W</t>
    <phoneticPr fontId="3" type="noConversion"/>
  </si>
  <si>
    <t>X</t>
    <phoneticPr fontId="3" type="noConversion"/>
  </si>
  <si>
    <t>Y</t>
    <phoneticPr fontId="3" type="noConversion"/>
  </si>
  <si>
    <t>Z</t>
    <phoneticPr fontId="3" type="noConversion"/>
  </si>
  <si>
    <t>AA</t>
    <phoneticPr fontId="3" type="noConversion"/>
  </si>
  <si>
    <t>AB</t>
    <phoneticPr fontId="3" type="noConversion"/>
  </si>
  <si>
    <t>AC</t>
    <phoneticPr fontId="3" type="noConversion"/>
  </si>
  <si>
    <t>AD</t>
    <phoneticPr fontId="3" type="noConversion"/>
  </si>
  <si>
    <t>AE</t>
    <phoneticPr fontId="3" type="noConversion"/>
  </si>
  <si>
    <t>AF</t>
    <phoneticPr fontId="3" type="noConversion"/>
  </si>
  <si>
    <t>AG</t>
    <phoneticPr fontId="3" type="noConversion"/>
  </si>
  <si>
    <t>AH</t>
    <phoneticPr fontId="3" type="noConversion"/>
  </si>
  <si>
    <t>AI</t>
    <phoneticPr fontId="3" type="noConversion"/>
  </si>
  <si>
    <t>AJ</t>
    <phoneticPr fontId="3" type="noConversion"/>
  </si>
  <si>
    <t>AK</t>
    <phoneticPr fontId="3" type="noConversion"/>
  </si>
  <si>
    <t>AL</t>
    <phoneticPr fontId="3" type="noConversion"/>
  </si>
  <si>
    <t>.</t>
    <phoneticPr fontId="3" type="noConversion"/>
  </si>
  <si>
    <t>대표수익률</t>
    <phoneticPr fontId="3" type="noConversion"/>
  </si>
  <si>
    <t>최근</t>
    <phoneticPr fontId="3" type="noConversion"/>
  </si>
  <si>
    <t>028</t>
    <phoneticPr fontId="3" type="noConversion"/>
  </si>
  <si>
    <t>KRX 리츠인프라 지수</t>
    <phoneticPr fontId="3" type="noConversion"/>
  </si>
  <si>
    <t>국고 2Y</t>
    <phoneticPr fontId="3" type="noConversion"/>
  </si>
  <si>
    <t>단위: 100 Mil. 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</si>
</sst>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_-* #,##0.00_-;\-* #,##0.00_-;_-* &quot;-&quot;_-;_-@_-"/>
    <numFmt numFmtId="177" formatCode="yy\/mm\/dd&quot;~&quot;"/>
    <numFmt numFmtId="178" formatCode="yy\/mm\/dd"/>
    <numFmt numFmtId="179" formatCode="#,##0_ "/>
    <numFmt numFmtId="180" formatCode="#,##0.00_ "/>
    <numFmt numFmtId="181" formatCode="\+#,##0.00_ ;\-#,##0.00\ "/>
    <numFmt numFmtId="184" formatCode="#,##0.0000_ "/>
  </numFmts>
  <fonts count="32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6"/>
      <color theme="5" tint="-0.24997711111789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0"/>
      <color theme="0" tint="-4.9989318521683403E-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C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/>
      <top/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77111117893"/>
      </right>
      <top/>
      <bottom style="thin">
        <color theme="0" tint="-0.14996795556505021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rgb="FFCCCCFF"/>
      </right>
      <top style="thin">
        <color indexed="64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indexed="64"/>
      </top>
      <bottom style="thin">
        <color rgb="FFCCCCFF"/>
      </bottom>
      <diagonal/>
    </border>
    <border>
      <left style="thin">
        <color rgb="FFCCCCFF"/>
      </left>
      <right style="thin">
        <color indexed="64"/>
      </right>
      <top style="thin">
        <color indexed="64"/>
      </top>
      <bottom style="thin">
        <color rgb="FFCCCCFF"/>
      </bottom>
      <diagonal/>
    </border>
    <border>
      <left style="thin">
        <color indexed="64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n">
        <color indexed="64"/>
      </right>
      <top style="thin">
        <color rgb="FFCCCCFF"/>
      </top>
      <bottom style="thin">
        <color rgb="FFCCCCFF"/>
      </bottom>
      <diagonal/>
    </border>
    <border>
      <left style="thin">
        <color indexed="64"/>
      </left>
      <right style="thin">
        <color rgb="FFCCCCFF"/>
      </right>
      <top style="thin">
        <color rgb="FFCCCCFF"/>
      </top>
      <bottom style="thin">
        <color indexed="64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indexed="64"/>
      </bottom>
      <diagonal/>
    </border>
    <border>
      <left style="thin">
        <color rgb="FFCCCCFF"/>
      </left>
      <right style="thin">
        <color indexed="64"/>
      </right>
      <top style="thin">
        <color rgb="FFCCCCFF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969696"/>
      </top>
      <bottom style="thin">
        <color rgb="FF969696"/>
      </bottom>
      <diagonal/>
    </border>
    <border>
      <left style="medium">
        <color indexed="64"/>
      </left>
      <right/>
      <top style="thin">
        <color rgb="FF969696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96969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CCCCFF"/>
      </left>
      <right style="medium">
        <color indexed="64"/>
      </right>
      <top style="thin">
        <color indexed="64"/>
      </top>
      <bottom style="thin">
        <color rgb="FFCCCCFF"/>
      </bottom>
      <diagonal/>
    </border>
    <border>
      <left style="thin">
        <color rgb="FFCCCCFF"/>
      </left>
      <right style="medium">
        <color indexed="64"/>
      </right>
      <top style="thin">
        <color rgb="FFCCCCFF"/>
      </top>
      <bottom style="thin">
        <color rgb="FFCCCCFF"/>
      </bottom>
      <diagonal/>
    </border>
    <border>
      <left style="thin">
        <color indexed="64"/>
      </left>
      <right style="thin">
        <color rgb="FFCCCCFF"/>
      </right>
      <top style="thin">
        <color rgb="FFCCCCFF"/>
      </top>
      <bottom style="medium">
        <color indexed="64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medium">
        <color indexed="64"/>
      </bottom>
      <diagonal/>
    </border>
    <border>
      <left style="thin">
        <color rgb="FFCCCCFF"/>
      </left>
      <right style="medium">
        <color indexed="64"/>
      </right>
      <top style="thin">
        <color rgb="FFCCCCFF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176" fontId="7" fillId="0" borderId="5" xfId="1" applyNumberFormat="1" applyFont="1" applyBorder="1">
      <alignment vertical="center"/>
    </xf>
    <xf numFmtId="0" fontId="8" fillId="0" borderId="0" xfId="0" applyFont="1" applyBorder="1">
      <alignment vertical="center"/>
    </xf>
    <xf numFmtId="176" fontId="7" fillId="0" borderId="5" xfId="1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9" fillId="5" borderId="6" xfId="0" applyFont="1" applyFill="1" applyBorder="1" applyAlignment="1">
      <alignment horizontal="center" vertical="center"/>
    </xf>
    <xf numFmtId="41" fontId="10" fillId="5" borderId="6" xfId="1" applyFont="1" applyFill="1" applyBorder="1" applyAlignment="1">
      <alignment horizontal="center" vertical="center"/>
    </xf>
    <xf numFmtId="0" fontId="7" fillId="6" borderId="7" xfId="3" applyFont="1" applyFill="1" applyBorder="1">
      <alignment vertical="center"/>
    </xf>
    <xf numFmtId="0" fontId="12" fillId="0" borderId="8" xfId="0" applyFont="1" applyBorder="1">
      <alignment vertical="center"/>
    </xf>
    <xf numFmtId="0" fontId="7" fillId="6" borderId="9" xfId="3" applyFont="1" applyFill="1" applyBorder="1">
      <alignment vertical="center"/>
    </xf>
    <xf numFmtId="176" fontId="7" fillId="0" borderId="11" xfId="1" applyNumberFormat="1" applyFont="1" applyBorder="1" applyAlignment="1">
      <alignment horizontal="right" vertical="center"/>
    </xf>
    <xf numFmtId="0" fontId="11" fillId="0" borderId="10" xfId="0" applyFont="1" applyBorder="1" applyAlignment="1">
      <alignment horizontal="right" vertical="center"/>
    </xf>
    <xf numFmtId="0" fontId="12" fillId="0" borderId="12" xfId="0" applyFont="1" applyBorder="1">
      <alignment vertical="center"/>
    </xf>
    <xf numFmtId="0" fontId="7" fillId="6" borderId="13" xfId="3" applyFont="1" applyFill="1" applyBorder="1">
      <alignment vertical="center"/>
    </xf>
    <xf numFmtId="0" fontId="12" fillId="0" borderId="14" xfId="0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15" fillId="0" borderId="0" xfId="0" applyFont="1">
      <alignment vertical="center"/>
    </xf>
    <xf numFmtId="0" fontId="7" fillId="0" borderId="0" xfId="3" applyFont="1" applyFill="1" applyBorder="1" applyAlignment="1">
      <alignment horizontal="center" vertical="center"/>
    </xf>
    <xf numFmtId="1" fontId="7" fillId="0" borderId="0" xfId="0" applyNumberFormat="1" applyFont="1" applyFill="1" applyBorder="1">
      <alignment vertical="center"/>
    </xf>
    <xf numFmtId="0" fontId="7" fillId="0" borderId="0" xfId="3" applyFont="1" applyFill="1" applyBorder="1">
      <alignment vertical="center"/>
    </xf>
    <xf numFmtId="14" fontId="7" fillId="0" borderId="0" xfId="3" applyNumberFormat="1" applyFont="1" applyFill="1" applyBorder="1">
      <alignment vertical="center"/>
    </xf>
    <xf numFmtId="0" fontId="6" fillId="7" borderId="16" xfId="0" applyFont="1" applyFill="1" applyBorder="1" applyAlignment="1">
      <alignment horizontal="center" vertical="center"/>
    </xf>
    <xf numFmtId="0" fontId="13" fillId="8" borderId="15" xfId="2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178" fontId="5" fillId="4" borderId="15" xfId="3" applyNumberFormat="1" applyFont="1" applyFill="1" applyBorder="1" applyAlignment="1">
      <alignment horizontal="center" vertical="center"/>
    </xf>
    <xf numFmtId="0" fontId="5" fillId="4" borderId="15" xfId="3" applyFont="1" applyFill="1" applyBorder="1" applyAlignment="1">
      <alignment horizontal="center" vertical="center"/>
    </xf>
    <xf numFmtId="0" fontId="5" fillId="4" borderId="20" xfId="3" applyFont="1" applyFill="1" applyBorder="1" applyAlignment="1">
      <alignment horizontal="center" vertical="center"/>
    </xf>
    <xf numFmtId="177" fontId="5" fillId="4" borderId="21" xfId="3" applyNumberFormat="1" applyFont="1" applyFill="1" applyBorder="1" applyAlignment="1">
      <alignment horizontal="center" vertical="center"/>
    </xf>
    <xf numFmtId="0" fontId="7" fillId="6" borderId="20" xfId="3" applyFont="1" applyFill="1" applyBorder="1">
      <alignment vertical="center"/>
    </xf>
    <xf numFmtId="0" fontId="7" fillId="6" borderId="22" xfId="3" applyFont="1" applyFill="1" applyBorder="1">
      <alignment vertical="center"/>
    </xf>
    <xf numFmtId="178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0" fontId="17" fillId="0" borderId="0" xfId="0" applyFont="1" applyAlignment="1">
      <alignment horizontal="center" vertical="center"/>
    </xf>
    <xf numFmtId="0" fontId="7" fillId="0" borderId="0" xfId="0" applyNumberFormat="1" applyFont="1" applyFill="1" applyBorder="1">
      <alignment vertical="center"/>
    </xf>
    <xf numFmtId="178" fontId="9" fillId="5" borderId="18" xfId="0" applyNumberFormat="1" applyFont="1" applyFill="1" applyBorder="1" applyAlignment="1">
      <alignment horizontal="center" vertical="center"/>
    </xf>
    <xf numFmtId="178" fontId="9" fillId="5" borderId="19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14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14" fillId="0" borderId="15" xfId="0" applyFont="1" applyBorder="1">
      <alignment vertical="center"/>
    </xf>
    <xf numFmtId="0" fontId="0" fillId="0" borderId="0" xfId="0" applyBorder="1">
      <alignment vertical="center"/>
    </xf>
    <xf numFmtId="0" fontId="9" fillId="5" borderId="17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14" fontId="15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>
      <alignment vertical="center"/>
    </xf>
    <xf numFmtId="0" fontId="21" fillId="0" borderId="0" xfId="0" applyFont="1" applyFill="1" applyBorder="1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8" borderId="32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19" fillId="4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1" fillId="0" borderId="0" xfId="0" applyFont="1">
      <alignment vertical="center"/>
    </xf>
    <xf numFmtId="41" fontId="25" fillId="0" borderId="15" xfId="1" applyFont="1" applyBorder="1">
      <alignment vertical="center"/>
    </xf>
    <xf numFmtId="41" fontId="25" fillId="0" borderId="23" xfId="1" applyFont="1" applyBorder="1">
      <alignment vertical="center"/>
    </xf>
    <xf numFmtId="41" fontId="26" fillId="0" borderId="15" xfId="1" applyFont="1" applyFill="1" applyBorder="1">
      <alignment vertical="center"/>
    </xf>
    <xf numFmtId="41" fontId="26" fillId="0" borderId="21" xfId="1" applyFont="1" applyFill="1" applyBorder="1">
      <alignment vertical="center"/>
    </xf>
    <xf numFmtId="41" fontId="25" fillId="0" borderId="21" xfId="1" applyFont="1" applyBorder="1">
      <alignment vertical="center"/>
    </xf>
    <xf numFmtId="41" fontId="25" fillId="0" borderId="24" xfId="1" applyFont="1" applyBorder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14" fontId="17" fillId="0" borderId="0" xfId="0" applyNumberFormat="1" applyFont="1">
      <alignment vertical="center"/>
    </xf>
    <xf numFmtId="49" fontId="28" fillId="0" borderId="0" xfId="0" applyNumberFormat="1" applyFont="1">
      <alignment vertical="center"/>
    </xf>
    <xf numFmtId="49" fontId="28" fillId="0" borderId="0" xfId="0" applyNumberFormat="1" applyFont="1" applyFill="1">
      <alignment vertical="center"/>
    </xf>
    <xf numFmtId="0" fontId="17" fillId="0" borderId="0" xfId="0" applyNumberFormat="1" applyFont="1">
      <alignment vertical="center"/>
    </xf>
    <xf numFmtId="0" fontId="17" fillId="0" borderId="0" xfId="0" applyFont="1">
      <alignment vertical="center"/>
    </xf>
    <xf numFmtId="0" fontId="28" fillId="0" borderId="0" xfId="0" applyNumberFormat="1" applyFont="1">
      <alignment vertical="center"/>
    </xf>
    <xf numFmtId="0" fontId="29" fillId="0" borderId="29" xfId="0" applyNumberFormat="1" applyFont="1" applyBorder="1" applyAlignment="1">
      <alignment horizontal="center" vertical="center"/>
    </xf>
    <xf numFmtId="0" fontId="17" fillId="0" borderId="30" xfId="0" applyNumberFormat="1" applyFont="1" applyBorder="1">
      <alignment vertical="center"/>
    </xf>
    <xf numFmtId="0" fontId="17" fillId="0" borderId="31" xfId="0" applyNumberFormat="1" applyFont="1" applyBorder="1">
      <alignment vertical="center"/>
    </xf>
    <xf numFmtId="0" fontId="17" fillId="0" borderId="26" xfId="0" applyNumberFormat="1" applyFont="1" applyBorder="1">
      <alignment vertical="center"/>
    </xf>
    <xf numFmtId="0" fontId="17" fillId="0" borderId="0" xfId="0" applyNumberFormat="1" applyFont="1" applyBorder="1">
      <alignment vertical="center"/>
    </xf>
    <xf numFmtId="0" fontId="17" fillId="0" borderId="39" xfId="0" applyNumberFormat="1" applyFont="1" applyBorder="1" applyAlignment="1">
      <alignment horizontal="right" vertical="center"/>
    </xf>
    <xf numFmtId="0" fontId="17" fillId="0" borderId="40" xfId="0" applyNumberFormat="1" applyFont="1" applyBorder="1" applyAlignment="1">
      <alignment horizontal="left" vertical="center"/>
    </xf>
    <xf numFmtId="0" fontId="29" fillId="0" borderId="25" xfId="0" applyFont="1" applyBorder="1" applyAlignment="1">
      <alignment horizontal="center" vertical="center"/>
    </xf>
    <xf numFmtId="0" fontId="17" fillId="0" borderId="30" xfId="0" applyFont="1" applyBorder="1">
      <alignment vertical="center"/>
    </xf>
    <xf numFmtId="0" fontId="17" fillId="0" borderId="30" xfId="0" applyNumberFormat="1" applyFont="1" applyBorder="1" applyAlignment="1">
      <alignment horizontal="right" vertical="center"/>
    </xf>
    <xf numFmtId="0" fontId="17" fillId="0" borderId="46" xfId="0" applyFont="1" applyBorder="1">
      <alignment vertical="center"/>
    </xf>
    <xf numFmtId="0" fontId="17" fillId="0" borderId="26" xfId="0" applyFont="1" applyBorder="1">
      <alignment vertical="center"/>
    </xf>
    <xf numFmtId="0" fontId="17" fillId="0" borderId="0" xfId="0" applyNumberFormat="1" applyFont="1" applyAlignment="1">
      <alignment horizontal="center" vertical="center"/>
    </xf>
    <xf numFmtId="0" fontId="17" fillId="0" borderId="32" xfId="0" applyNumberFormat="1" applyFont="1" applyBorder="1" applyAlignment="1">
      <alignment horizontal="center" vertical="center"/>
    </xf>
    <xf numFmtId="0" fontId="17" fillId="0" borderId="0" xfId="0" applyNumberFormat="1" applyFont="1" applyBorder="1" applyAlignment="1">
      <alignment horizontal="center" vertical="center"/>
    </xf>
    <xf numFmtId="0" fontId="17" fillId="0" borderId="35" xfId="0" applyNumberFormat="1" applyFont="1" applyBorder="1" applyAlignment="1">
      <alignment horizontal="center" vertical="center"/>
    </xf>
    <xf numFmtId="0" fontId="17" fillId="0" borderId="41" xfId="0" applyNumberFormat="1" applyFont="1" applyBorder="1" applyAlignment="1">
      <alignment horizontal="right" vertical="center"/>
    </xf>
    <xf numFmtId="0" fontId="17" fillId="0" borderId="0" xfId="0" applyNumberFormat="1" applyFont="1" applyBorder="1" applyAlignment="1">
      <alignment horizontal="left" vertical="center"/>
    </xf>
    <xf numFmtId="0" fontId="17" fillId="0" borderId="0" xfId="0" applyNumberFormat="1" applyFont="1" applyBorder="1" applyAlignment="1">
      <alignment horizontal="right" vertical="center"/>
    </xf>
    <xf numFmtId="0" fontId="17" fillId="0" borderId="42" xfId="0" applyNumberFormat="1" applyFont="1" applyBorder="1" applyAlignment="1">
      <alignment horizontal="left" vertical="center"/>
    </xf>
    <xf numFmtId="0" fontId="17" fillId="0" borderId="32" xfId="0" applyFont="1" applyBorder="1">
      <alignment vertical="center"/>
    </xf>
    <xf numFmtId="0" fontId="17" fillId="0" borderId="0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2" xfId="0" applyNumberFormat="1" applyFont="1" applyBorder="1">
      <alignment vertical="center"/>
    </xf>
    <xf numFmtId="0" fontId="17" fillId="0" borderId="36" xfId="0" applyNumberFormat="1" applyFont="1" applyBorder="1">
      <alignment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4" xfId="0" applyNumberFormat="1" applyFont="1" applyBorder="1" applyAlignment="1">
      <alignment horizontal="center" vertical="center"/>
    </xf>
    <xf numFmtId="49" fontId="17" fillId="0" borderId="34" xfId="0" applyNumberFormat="1" applyFont="1" applyFill="1" applyBorder="1" applyAlignment="1">
      <alignment horizontal="center" vertical="center"/>
    </xf>
    <xf numFmtId="0" fontId="17" fillId="0" borderId="37" xfId="0" applyNumberFormat="1" applyFont="1" applyBorder="1" applyAlignment="1">
      <alignment horizontal="center" vertical="center"/>
    </xf>
    <xf numFmtId="0" fontId="17" fillId="0" borderId="33" xfId="0" applyNumberFormat="1" applyFont="1" applyBorder="1">
      <alignment vertical="center"/>
    </xf>
    <xf numFmtId="0" fontId="17" fillId="0" borderId="34" xfId="0" applyNumberFormat="1" applyFont="1" applyBorder="1">
      <alignment vertical="center"/>
    </xf>
    <xf numFmtId="0" fontId="17" fillId="0" borderId="37" xfId="0" applyNumberFormat="1" applyFont="1" applyBorder="1">
      <alignment vertical="center"/>
    </xf>
    <xf numFmtId="0" fontId="17" fillId="0" borderId="0" xfId="0" applyNumberFormat="1" applyFont="1" applyFill="1" applyBorder="1" applyAlignment="1">
      <alignment horizontal="right" vertical="center"/>
    </xf>
    <xf numFmtId="0" fontId="17" fillId="0" borderId="42" xfId="0" applyFont="1" applyBorder="1" applyAlignment="1">
      <alignment horizontal="left" vertical="center"/>
    </xf>
    <xf numFmtId="0" fontId="17" fillId="0" borderId="38" xfId="0" applyFont="1" applyBorder="1">
      <alignment vertical="center"/>
    </xf>
    <xf numFmtId="0" fontId="17" fillId="0" borderId="39" xfId="0" applyFont="1" applyBorder="1">
      <alignment vertical="center"/>
    </xf>
    <xf numFmtId="0" fontId="17" fillId="0" borderId="40" xfId="0" applyFont="1" applyBorder="1">
      <alignment vertical="center"/>
    </xf>
    <xf numFmtId="0" fontId="17" fillId="0" borderId="41" xfId="0" applyFont="1" applyBorder="1">
      <alignment vertical="center"/>
    </xf>
    <xf numFmtId="0" fontId="17" fillId="0" borderId="0" xfId="0" applyFont="1" applyBorder="1">
      <alignment vertical="center"/>
    </xf>
    <xf numFmtId="0" fontId="17" fillId="0" borderId="42" xfId="0" applyFont="1" applyBorder="1">
      <alignment vertical="center"/>
    </xf>
    <xf numFmtId="0" fontId="17" fillId="0" borderId="44" xfId="0" applyFont="1" applyBorder="1">
      <alignment vertical="center"/>
    </xf>
    <xf numFmtId="0" fontId="17" fillId="0" borderId="43" xfId="0" applyFont="1" applyBorder="1">
      <alignment vertical="center"/>
    </xf>
    <xf numFmtId="0" fontId="17" fillId="0" borderId="45" xfId="0" applyFont="1" applyBorder="1">
      <alignment vertical="center"/>
    </xf>
    <xf numFmtId="0" fontId="17" fillId="0" borderId="47" xfId="0" applyNumberFormat="1" applyFont="1" applyBorder="1" applyAlignment="1">
      <alignment horizontal="center" vertical="center"/>
    </xf>
    <xf numFmtId="14" fontId="17" fillId="0" borderId="48" xfId="0" applyNumberFormat="1" applyFont="1" applyBorder="1" applyAlignment="1">
      <alignment horizontal="center" vertical="center"/>
    </xf>
    <xf numFmtId="0" fontId="17" fillId="0" borderId="49" xfId="0" applyNumberFormat="1" applyFont="1" applyBorder="1" applyAlignment="1">
      <alignment horizontal="center" vertical="center"/>
    </xf>
    <xf numFmtId="0" fontId="17" fillId="0" borderId="25" xfId="0" applyFont="1" applyBorder="1">
      <alignment vertical="center"/>
    </xf>
    <xf numFmtId="0" fontId="17" fillId="0" borderId="27" xfId="0" applyFont="1" applyBorder="1">
      <alignment vertical="center"/>
    </xf>
    <xf numFmtId="0" fontId="17" fillId="0" borderId="0" xfId="0" applyFont="1" applyAlignment="1">
      <alignment horizontal="right" vertical="center"/>
    </xf>
    <xf numFmtId="0" fontId="17" fillId="0" borderId="33" xfId="0" applyFont="1" applyBorder="1">
      <alignment vertical="center"/>
    </xf>
    <xf numFmtId="0" fontId="17" fillId="0" borderId="34" xfId="0" applyFont="1" applyBorder="1">
      <alignment vertical="center"/>
    </xf>
    <xf numFmtId="0" fontId="17" fillId="0" borderId="28" xfId="0" applyFont="1" applyBorder="1">
      <alignment vertical="center"/>
    </xf>
    <xf numFmtId="0" fontId="23" fillId="0" borderId="0" xfId="0" applyNumberFormat="1" applyFont="1" applyFill="1" applyBorder="1">
      <alignment vertical="center"/>
    </xf>
    <xf numFmtId="41" fontId="23" fillId="0" borderId="0" xfId="1" applyFont="1">
      <alignment vertical="center"/>
    </xf>
    <xf numFmtId="0" fontId="30" fillId="0" borderId="0" xfId="0" applyFont="1" applyBorder="1">
      <alignment vertical="center"/>
    </xf>
    <xf numFmtId="0" fontId="31" fillId="0" borderId="0" xfId="0" applyFont="1" applyFill="1" applyBorder="1" applyAlignment="1">
      <alignment vertical="center"/>
    </xf>
    <xf numFmtId="0" fontId="24" fillId="0" borderId="0" xfId="0" applyFont="1" applyFill="1" applyBorder="1">
      <alignment vertical="center"/>
    </xf>
    <xf numFmtId="1" fontId="30" fillId="0" borderId="0" xfId="0" applyNumberFormat="1" applyFont="1" applyBorder="1">
      <alignment vertical="center"/>
    </xf>
    <xf numFmtId="14" fontId="23" fillId="9" borderId="30" xfId="0" applyNumberFormat="1" applyFont="1" applyFill="1" applyBorder="1" applyAlignment="1">
      <alignment horizontal="center" vertical="center"/>
    </xf>
    <xf numFmtId="14" fontId="23" fillId="9" borderId="26" xfId="0" applyNumberFormat="1" applyFont="1" applyFill="1" applyBorder="1" applyAlignment="1">
      <alignment horizontal="center" vertical="center"/>
    </xf>
    <xf numFmtId="0" fontId="0" fillId="4" borderId="50" xfId="0" applyFill="1" applyBorder="1">
      <alignment vertical="center"/>
    </xf>
    <xf numFmtId="0" fontId="0" fillId="4" borderId="50" xfId="0" quotePrefix="1" applyFill="1" applyBorder="1">
      <alignment vertical="center"/>
    </xf>
    <xf numFmtId="0" fontId="0" fillId="4" borderId="51" xfId="0" applyFill="1" applyBorder="1">
      <alignment vertical="center"/>
    </xf>
    <xf numFmtId="0" fontId="0" fillId="4" borderId="52" xfId="0" applyFill="1" applyBorder="1">
      <alignment vertical="center"/>
    </xf>
    <xf numFmtId="0" fontId="19" fillId="0" borderId="53" xfId="0" applyFont="1" applyBorder="1" applyAlignment="1">
      <alignment horizontal="center" vertical="center"/>
    </xf>
    <xf numFmtId="180" fontId="0" fillId="0" borderId="17" xfId="1" applyNumberFormat="1" applyFont="1" applyBorder="1" applyAlignment="1">
      <alignment horizontal="right" vertical="center"/>
    </xf>
    <xf numFmtId="180" fontId="0" fillId="0" borderId="18" xfId="1" applyNumberFormat="1" applyFont="1" applyBorder="1" applyAlignment="1">
      <alignment horizontal="right" vertical="center"/>
    </xf>
    <xf numFmtId="180" fontId="0" fillId="0" borderId="54" xfId="1" applyNumberFormat="1" applyFont="1" applyBorder="1" applyAlignment="1">
      <alignment horizontal="right" vertical="center"/>
    </xf>
    <xf numFmtId="180" fontId="0" fillId="0" borderId="20" xfId="1" applyNumberFormat="1" applyFont="1" applyBorder="1" applyAlignment="1">
      <alignment horizontal="right" vertical="center"/>
    </xf>
    <xf numFmtId="180" fontId="0" fillId="0" borderId="15" xfId="1" applyNumberFormat="1" applyFont="1" applyBorder="1" applyAlignment="1">
      <alignment horizontal="right" vertical="center"/>
    </xf>
    <xf numFmtId="180" fontId="0" fillId="0" borderId="55" xfId="1" applyNumberFormat="1" applyFont="1" applyBorder="1" applyAlignment="1">
      <alignment horizontal="right" vertical="center"/>
    </xf>
    <xf numFmtId="179" fontId="0" fillId="0" borderId="20" xfId="1" applyNumberFormat="1" applyFont="1" applyBorder="1" applyAlignment="1">
      <alignment horizontal="right" vertical="center"/>
    </xf>
    <xf numFmtId="179" fontId="0" fillId="0" borderId="15" xfId="1" applyNumberFormat="1" applyFont="1" applyBorder="1" applyAlignment="1">
      <alignment horizontal="right" vertical="center"/>
    </xf>
    <xf numFmtId="179" fontId="0" fillId="0" borderId="55" xfId="1" applyNumberFormat="1" applyFont="1" applyBorder="1" applyAlignment="1">
      <alignment horizontal="right" vertical="center"/>
    </xf>
    <xf numFmtId="179" fontId="0" fillId="0" borderId="56" xfId="1" applyNumberFormat="1" applyFont="1" applyBorder="1" applyAlignment="1">
      <alignment horizontal="right" vertical="center"/>
    </xf>
    <xf numFmtId="179" fontId="0" fillId="0" borderId="57" xfId="1" applyNumberFormat="1" applyFont="1" applyBorder="1" applyAlignment="1">
      <alignment horizontal="right" vertical="center"/>
    </xf>
    <xf numFmtId="179" fontId="0" fillId="0" borderId="58" xfId="1" applyNumberFormat="1" applyFont="1" applyBorder="1" applyAlignment="1">
      <alignment horizontal="right" vertical="center"/>
    </xf>
    <xf numFmtId="0" fontId="0" fillId="0" borderId="0" xfId="0" applyFill="1">
      <alignment vertical="center"/>
    </xf>
    <xf numFmtId="0" fontId="18" fillId="0" borderId="0" xfId="0" applyFont="1" applyFill="1" applyBorder="1" applyAlignment="1">
      <alignment horizontal="left" vertical="center"/>
    </xf>
    <xf numFmtId="0" fontId="26" fillId="0" borderId="0" xfId="0" applyFont="1" applyFill="1">
      <alignment vertical="center"/>
    </xf>
    <xf numFmtId="0" fontId="17" fillId="0" borderId="43" xfId="0" applyNumberFormat="1" applyFont="1" applyBorder="1">
      <alignment vertical="center"/>
    </xf>
    <xf numFmtId="0" fontId="17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26" fillId="0" borderId="0" xfId="0" applyFont="1" applyBorder="1">
      <alignment vertical="center"/>
    </xf>
    <xf numFmtId="0" fontId="17" fillId="0" borderId="41" xfId="0" applyNumberFormat="1" applyFont="1" applyBorder="1">
      <alignment vertical="center"/>
    </xf>
    <xf numFmtId="0" fontId="26" fillId="0" borderId="42" xfId="0" applyFont="1" applyBorder="1">
      <alignment vertical="center"/>
    </xf>
    <xf numFmtId="0" fontId="26" fillId="0" borderId="44" xfId="0" applyFont="1" applyBorder="1" applyAlignment="1">
      <alignment horizontal="left" vertical="center"/>
    </xf>
    <xf numFmtId="0" fontId="26" fillId="0" borderId="44" xfId="0" applyFont="1" applyBorder="1">
      <alignment vertical="center"/>
    </xf>
    <xf numFmtId="0" fontId="26" fillId="0" borderId="45" xfId="0" applyFont="1" applyBorder="1">
      <alignment vertical="center"/>
    </xf>
    <xf numFmtId="0" fontId="15" fillId="0" borderId="38" xfId="0" applyNumberFormat="1" applyFont="1" applyBorder="1" applyAlignment="1">
      <alignment horizontal="right" vertical="center"/>
    </xf>
    <xf numFmtId="0" fontId="15" fillId="0" borderId="39" xfId="0" applyNumberFormat="1" applyFont="1" applyBorder="1" applyAlignment="1">
      <alignment horizontal="left" vertical="center"/>
    </xf>
    <xf numFmtId="0" fontId="15" fillId="0" borderId="41" xfId="0" applyNumberFormat="1" applyFont="1" applyBorder="1" applyAlignment="1">
      <alignment horizontal="right" vertical="center"/>
    </xf>
    <xf numFmtId="0" fontId="15" fillId="0" borderId="0" xfId="0" applyNumberFormat="1" applyFont="1" applyBorder="1" applyAlignment="1">
      <alignment horizontal="left" vertical="center"/>
    </xf>
    <xf numFmtId="0" fontId="15" fillId="0" borderId="41" xfId="0" applyNumberFormat="1" applyFont="1" applyBorder="1">
      <alignment vertical="center"/>
    </xf>
    <xf numFmtId="0" fontId="15" fillId="0" borderId="0" xfId="0" applyFont="1" applyBorder="1" applyAlignment="1">
      <alignment horizontal="left" vertical="center"/>
    </xf>
    <xf numFmtId="0" fontId="15" fillId="0" borderId="43" xfId="0" applyNumberFormat="1" applyFont="1" applyBorder="1">
      <alignment vertical="center"/>
    </xf>
    <xf numFmtId="0" fontId="15" fillId="0" borderId="39" xfId="0" applyNumberFormat="1" applyFont="1" applyBorder="1" applyAlignment="1">
      <alignment horizontal="right" vertical="center"/>
    </xf>
    <xf numFmtId="0" fontId="15" fillId="0" borderId="0" xfId="0" applyNumberFormat="1" applyFont="1" applyBorder="1" applyAlignment="1">
      <alignment horizontal="right" vertical="center"/>
    </xf>
    <xf numFmtId="0" fontId="15" fillId="0" borderId="42" xfId="0" applyNumberFormat="1" applyFont="1" applyBorder="1" applyAlignment="1">
      <alignment horizontal="right" vertical="center"/>
    </xf>
    <xf numFmtId="0" fontId="15" fillId="0" borderId="0" xfId="0" applyNumberFormat="1" applyFont="1" applyBorder="1">
      <alignment vertical="center"/>
    </xf>
    <xf numFmtId="0" fontId="15" fillId="0" borderId="42" xfId="0" applyNumberFormat="1" applyFont="1" applyBorder="1">
      <alignment vertical="center"/>
    </xf>
    <xf numFmtId="0" fontId="15" fillId="0" borderId="44" xfId="0" applyNumberFormat="1" applyFont="1" applyBorder="1">
      <alignment vertical="center"/>
    </xf>
    <xf numFmtId="0" fontId="15" fillId="0" borderId="44" xfId="0" applyFont="1" applyBorder="1" applyAlignment="1">
      <alignment horizontal="left" vertical="center"/>
    </xf>
    <xf numFmtId="0" fontId="15" fillId="0" borderId="45" xfId="0" applyNumberFormat="1" applyFont="1" applyBorder="1">
      <alignment vertical="center"/>
    </xf>
    <xf numFmtId="0" fontId="15" fillId="0" borderId="40" xfId="0" applyNumberFormat="1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8" fillId="0" borderId="0" xfId="0" applyNumberFormat="1" applyFont="1" applyBorder="1" applyAlignment="1">
      <alignment horizontal="center" vertical="center"/>
    </xf>
    <xf numFmtId="0" fontId="17" fillId="0" borderId="0" xfId="0" applyNumberFormat="1" applyFont="1" applyBorder="1" applyAlignment="1">
      <alignment vertical="center"/>
    </xf>
    <xf numFmtId="0" fontId="29" fillId="0" borderId="0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9" fillId="4" borderId="30" xfId="0" applyFont="1" applyFill="1" applyBorder="1" applyAlignment="1">
      <alignment horizontal="center" vertical="center"/>
    </xf>
    <xf numFmtId="0" fontId="19" fillId="4" borderId="2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4" fontId="15" fillId="0" borderId="0" xfId="0" applyNumberFormat="1" applyFont="1">
      <alignment vertical="center"/>
    </xf>
    <xf numFmtId="0" fontId="0" fillId="0" borderId="0" xfId="0" quotePrefix="1">
      <alignment vertical="center"/>
    </xf>
    <xf numFmtId="180" fontId="7" fillId="0" borderId="3" xfId="0" applyNumberFormat="1" applyFont="1" applyBorder="1">
      <alignment vertical="center"/>
    </xf>
    <xf numFmtId="180" fontId="7" fillId="0" borderId="2" xfId="0" applyNumberFormat="1" applyFont="1" applyBorder="1">
      <alignment vertical="center"/>
    </xf>
    <xf numFmtId="180" fontId="7" fillId="0" borderId="2" xfId="0" applyNumberFormat="1" applyFont="1" applyBorder="1" applyAlignment="1">
      <alignment horizontal="right" vertical="center"/>
    </xf>
    <xf numFmtId="180" fontId="7" fillId="0" borderId="10" xfId="0" applyNumberFormat="1" applyFont="1" applyBorder="1" applyAlignment="1">
      <alignment horizontal="right" vertical="center"/>
    </xf>
    <xf numFmtId="181" fontId="7" fillId="0" borderId="3" xfId="0" applyNumberFormat="1" applyFont="1" applyBorder="1">
      <alignment vertical="center"/>
    </xf>
    <xf numFmtId="181" fontId="7" fillId="0" borderId="2" xfId="0" applyNumberFormat="1" applyFont="1" applyBorder="1">
      <alignment vertical="center"/>
    </xf>
    <xf numFmtId="181" fontId="7" fillId="0" borderId="4" xfId="0" applyNumberFormat="1" applyFont="1" applyBorder="1">
      <alignment vertical="center"/>
    </xf>
    <xf numFmtId="181" fontId="7" fillId="0" borderId="2" xfId="0" applyNumberFormat="1" applyFont="1" applyBorder="1" applyAlignment="1">
      <alignment horizontal="right" vertical="center"/>
    </xf>
    <xf numFmtId="181" fontId="7" fillId="0" borderId="10" xfId="0" applyNumberFormat="1" applyFont="1" applyBorder="1" applyAlignment="1">
      <alignment horizontal="right" vertical="center"/>
    </xf>
    <xf numFmtId="14" fontId="0" fillId="10" borderId="0" xfId="0" applyNumberFormat="1" applyFill="1" applyAlignment="1">
      <alignment horizontal="center" vertical="center"/>
    </xf>
    <xf numFmtId="0" fontId="18" fillId="9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41" fontId="9" fillId="5" borderId="6" xfId="1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8" borderId="35" xfId="0" applyFont="1" applyFill="1" applyBorder="1" applyAlignment="1">
      <alignment horizontal="center" vertical="center"/>
    </xf>
    <xf numFmtId="0" fontId="19" fillId="8" borderId="36" xfId="0" applyFont="1" applyFill="1" applyBorder="1" applyAlignment="1">
      <alignment horizontal="center" vertical="center"/>
    </xf>
    <xf numFmtId="179" fontId="7" fillId="0" borderId="15" xfId="0" applyNumberFormat="1" applyFont="1" applyBorder="1">
      <alignment vertical="center"/>
    </xf>
    <xf numFmtId="179" fontId="7" fillId="0" borderId="21" xfId="0" applyNumberFormat="1" applyFont="1" applyBorder="1">
      <alignment vertical="center"/>
    </xf>
    <xf numFmtId="179" fontId="7" fillId="0" borderId="23" xfId="0" applyNumberFormat="1" applyFont="1" applyBorder="1">
      <alignment vertical="center"/>
    </xf>
    <xf numFmtId="179" fontId="7" fillId="0" borderId="24" xfId="0" applyNumberFormat="1" applyFont="1" applyBorder="1">
      <alignment vertical="center"/>
    </xf>
    <xf numFmtId="184" fontId="7" fillId="0" borderId="15" xfId="0" applyNumberFormat="1" applyFont="1" applyBorder="1">
      <alignment vertical="center"/>
    </xf>
    <xf numFmtId="184" fontId="7" fillId="0" borderId="21" xfId="0" applyNumberFormat="1" applyFont="1" applyBorder="1">
      <alignment vertical="center"/>
    </xf>
    <xf numFmtId="184" fontId="7" fillId="0" borderId="23" xfId="0" applyNumberFormat="1" applyFont="1" applyBorder="1">
      <alignment vertical="center"/>
    </xf>
    <xf numFmtId="184" fontId="7" fillId="0" borderId="24" xfId="0" applyNumberFormat="1" applyFont="1" applyBorder="1">
      <alignment vertical="center"/>
    </xf>
  </cellXfs>
  <cellStyles count="4">
    <cellStyle name="20% - 강조색1" xfId="3" builtinId="30"/>
    <cellStyle name="쉼표 [0]" xfId="1" builtinId="6"/>
    <cellStyle name="입력" xfId="2" builtinId="20"/>
    <cellStyle name="표준" xfId="0" builtinId="0"/>
  </cellStyles>
  <dxfs count="0"/>
  <tableStyles count="0" defaultTableStyle="TableStyleMedium9" defaultPivotStyle="PivotStyleLight16"/>
  <colors>
    <mruColors>
      <color rgb="FFCCCCFF"/>
      <color rgb="FF9999FF"/>
      <color rgb="FF96969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0.46279999999999999</v>
        <stp/>
        <stp>P</stp>
        <stp>0</stp>
        <stp>OPT</stp>
        <stp>201T9332</stp>
        <stp>델타</stp>
        <stp>45155</stp>
        <stp/>
        <tr r="D47" s="2"/>
      </tp>
      <tp>
        <v>0.77190000000000003</v>
        <stp/>
        <stp>P</stp>
        <stp>0</stp>
        <stp>OPT</stp>
        <stp>201T9322</stp>
        <stp>델타</stp>
        <stp>45155</stp>
        <stp/>
        <tr r="D51" s="2"/>
      </tp>
      <tp>
        <v>-0.53700000000000003</v>
        <stp/>
        <stp>P</stp>
        <stp>0</stp>
        <stp>OPT</stp>
        <stp>301T9332</stp>
        <stp>델타</stp>
        <stp>45155</stp>
        <stp/>
        <tr r="P47" s="2"/>
      </tp>
      <tp>
        <v>-0.2281</v>
        <stp/>
        <stp>P</stp>
        <stp>0</stp>
        <stp>OPT</stp>
        <stp>301T9322</stp>
        <stp>델타</stp>
        <stp>45155</stp>
        <stp/>
        <tr r="P51" s="2"/>
      </tp>
      <tp>
        <v>0.23960000000000001</v>
        <stp/>
        <stp>P</stp>
        <stp>0</stp>
        <stp>OPT</stp>
        <stp>201T9340</stp>
        <stp>델타</stp>
        <stp>45155</stp>
        <stp/>
        <tr r="D44" s="2"/>
      </tp>
      <tp>
        <v>0.54549999999999998</v>
        <stp/>
        <stp>P</stp>
        <stp>0</stp>
        <stp>OPT</stp>
        <stp>201T9330</stp>
        <stp>델타</stp>
        <stp>45155</stp>
        <stp/>
        <tr r="D48" s="2"/>
      </tp>
      <tp>
        <v>0.83199999999999996</v>
        <stp/>
        <stp>P</stp>
        <stp>0</stp>
        <stp>OPT</stp>
        <stp>201T9320</stp>
        <stp>델타</stp>
        <stp>45155</stp>
        <stp/>
        <tr r="D52" s="2"/>
      </tp>
      <tp>
        <v>-0.76039999999999996</v>
        <stp/>
        <stp>P</stp>
        <stp>0</stp>
        <stp>OPT</stp>
        <stp>301T9340</stp>
        <stp>델타</stp>
        <stp>45155</stp>
        <stp/>
        <tr r="P44" s="2"/>
      </tp>
      <tp>
        <v>-0.45440000000000003</v>
        <stp/>
        <stp>P</stp>
        <stp>0</stp>
        <stp>OPT</stp>
        <stp>301T9330</stp>
        <stp>델타</stp>
        <stp>45155</stp>
        <stp/>
        <tr r="P48" s="2"/>
      </tp>
      <tp>
        <v>-0.16889999999999999</v>
        <stp/>
        <stp>P</stp>
        <stp>0</stp>
        <stp>OPT</stp>
        <stp>301T9320</stp>
        <stp>델타</stp>
        <stp>45155</stp>
        <stp/>
        <tr r="P52" s="2"/>
      </tp>
      <tp>
        <v>15.000299999999999</v>
        <stp/>
        <stp>P</stp>
        <stp>0</stp>
        <stp>OPT</stp>
        <stp>301T9337</stp>
        <stp>IV종가</stp>
        <stp>45155</stp>
        <stp/>
        <tr r="O45" s="2"/>
      </tp>
      <tp>
        <v>13.8284</v>
        <stp/>
        <stp>P</stp>
        <stp>0</stp>
        <stp>OPT</stp>
        <stp>201T9337</stp>
        <stp>IV종가</stp>
        <stp>45155</stp>
        <stp/>
        <tr r="E45" s="2"/>
      </tp>
      <tp>
        <v>14.3833</v>
        <stp/>
        <stp>P</stp>
        <stp>0</stp>
        <stp>OPT</stp>
        <stp>301T9335</stp>
        <stp>IV종가</stp>
        <stp>45155</stp>
        <stp/>
        <tr r="O46" s="2"/>
      </tp>
      <tp>
        <v>14.1328</v>
        <stp/>
        <stp>P</stp>
        <stp>0</stp>
        <stp>OPT</stp>
        <stp>201T9335</stp>
        <stp>IV종가</stp>
        <stp>45155</stp>
        <stp/>
        <tr r="E46" s="2"/>
      </tp>
      <tp>
        <v>14.628500000000001</v>
        <stp/>
        <stp>P</stp>
        <stp>0</stp>
        <stp>OPT</stp>
        <stp>301T9332</stp>
        <stp>IV종가</stp>
        <stp>45155</stp>
        <stp/>
        <tr r="O47" s="2"/>
      </tp>
      <tp>
        <v>14.185700000000001</v>
        <stp/>
        <stp>P</stp>
        <stp>0</stp>
        <stp>OPT</stp>
        <stp>201T9332</stp>
        <stp>IV종가</stp>
        <stp>45155</stp>
        <stp/>
        <tr r="E47" s="2"/>
      </tp>
      <tp>
        <v>15.051600000000001</v>
        <stp/>
        <stp>P</stp>
        <stp>0</stp>
        <stp>OPT</stp>
        <stp>301T9330</stp>
        <stp>IV종가</stp>
        <stp>45155</stp>
        <stp/>
        <tr r="O48" s="2"/>
      </tp>
      <tp>
        <v>14.599600000000001</v>
        <stp/>
        <stp>P</stp>
        <stp>0</stp>
        <stp>OPT</stp>
        <stp>201T9330</stp>
        <stp>IV종가</stp>
        <stp>45155</stp>
        <stp/>
        <tr r="E48" s="2"/>
      </tp>
      <tp>
        <v>15.290800000000001</v>
        <stp/>
        <stp>P</stp>
        <stp>0</stp>
        <stp>OPT</stp>
        <stp>301T9327</stp>
        <stp>IV종가</stp>
        <stp>45155</stp>
        <stp/>
        <tr r="O49" s="2"/>
      </tp>
      <tp>
        <v>14.842700000000001</v>
        <stp/>
        <stp>P</stp>
        <stp>0</stp>
        <stp>OPT</stp>
        <stp>201T9327</stp>
        <stp>IV종가</stp>
        <stp>45155</stp>
        <stp/>
        <tr r="E49" s="2"/>
      </tp>
      <tp>
        <v>15.452500000000001</v>
        <stp/>
        <stp>P</stp>
        <stp>0</stp>
        <stp>OPT</stp>
        <stp>301T9325</stp>
        <stp>IV종가</stp>
        <stp>45155</stp>
        <stp/>
        <tr r="O50" s="2"/>
      </tp>
      <tp>
        <v>14.192500000000001</v>
        <stp/>
        <stp>P</stp>
        <stp>0</stp>
        <stp>OPT</stp>
        <stp>201T9325</stp>
        <stp>IV종가</stp>
        <stp>45155</stp>
        <stp/>
        <tr r="E50" s="2"/>
      </tp>
      <tp>
        <v>15.8649</v>
        <stp/>
        <stp>P</stp>
        <stp>0</stp>
        <stp>OPT</stp>
        <stp>301T9322</stp>
        <stp>IV종가</stp>
        <stp>45155</stp>
        <stp/>
        <tr r="O51" s="2"/>
      </tp>
      <tp>
        <v>13.8706</v>
        <stp/>
        <stp>P</stp>
        <stp>0</stp>
        <stp>OPT</stp>
        <stp>201T9322</stp>
        <stp>IV종가</stp>
        <stp>45155</stp>
        <stp/>
        <tr r="E51" s="2"/>
      </tp>
      <tp>
        <v>16.119499999999999</v>
        <stp/>
        <stp>P</stp>
        <stp>0</stp>
        <stp>OPT</stp>
        <stp>301T9320</stp>
        <stp>IV종가</stp>
        <stp>45155</stp>
        <stp/>
        <tr r="O52" s="2"/>
      </tp>
      <tp>
        <v>14.104200000000001</v>
        <stp/>
        <stp>P</stp>
        <stp>0</stp>
        <stp>OPT</stp>
        <stp>201T9320</stp>
        <stp>IV종가</stp>
        <stp>45155</stp>
        <stp/>
        <tr r="E52" s="2"/>
      </tp>
      <tp>
        <v>14.898400000000001</v>
        <stp/>
        <stp>P</stp>
        <stp>0</stp>
        <stp>OPT</stp>
        <stp>301T9340</stp>
        <stp>IV종가</stp>
        <stp>45155</stp>
        <stp/>
        <tr r="O44" s="2"/>
      </tp>
      <tp>
        <v>13.569900000000001</v>
        <stp/>
        <stp>P</stp>
        <stp>0</stp>
        <stp>OPT</stp>
        <stp>201T9340</stp>
        <stp>IV종가</stp>
        <stp>45155</stp>
        <stp/>
        <tr r="E44" s="2"/>
      </tp>
      <tp>
        <v>0.30769999999999997</v>
        <stp/>
        <stp>P</stp>
        <stp>0</stp>
        <stp>OPT</stp>
        <stp>201T9337</stp>
        <stp>델타</stp>
        <stp>45155</stp>
        <stp/>
        <tr r="D45" s="2"/>
      </tp>
      <tp>
        <v>0.62660000000000005</v>
        <stp/>
        <stp>P</stp>
        <stp>0</stp>
        <stp>OPT</stp>
        <stp>201T9327</stp>
        <stp>델타</stp>
        <stp>45155</stp>
        <stp/>
        <tr r="D49" s="2"/>
      </tp>
      <tp>
        <v>-0.69299999999999995</v>
        <stp/>
        <stp>P</stp>
        <stp>0</stp>
        <stp>OPT</stp>
        <stp>301T9337</stp>
        <stp>델타</stp>
        <stp>45155</stp>
        <stp/>
        <tr r="P45" s="2"/>
      </tp>
      <tp>
        <v>-0.373</v>
        <stp/>
        <stp>P</stp>
        <stp>0</stp>
        <stp>OPT</stp>
        <stp>301T9327</stp>
        <stp>델타</stp>
        <stp>45155</stp>
        <stp/>
        <tr r="P49" s="2"/>
      </tp>
      <tp>
        <v>0.38219999999999998</v>
        <stp/>
        <stp>P</stp>
        <stp>0</stp>
        <stp>OPT</stp>
        <stp>201T9335</stp>
        <stp>델타</stp>
        <stp>45155</stp>
        <stp/>
        <tr r="D46" s="2"/>
      </tp>
      <tp>
        <v>0.70299999999999996</v>
        <stp/>
        <stp>P</stp>
        <stp>0</stp>
        <stp>OPT</stp>
        <stp>201T9325</stp>
        <stp>델타</stp>
        <stp>45155</stp>
        <stp/>
        <tr r="D50" s="2"/>
      </tp>
      <tp>
        <v>-0.61780000000000002</v>
        <stp/>
        <stp>P</stp>
        <stp>0</stp>
        <stp>OPT</stp>
        <stp>301T9335</stp>
        <stp>델타</stp>
        <stp>45155</stp>
        <stp/>
        <tr r="P46" s="2"/>
      </tp>
      <tp>
        <v>-0.29699999999999999</v>
        <stp/>
        <stp>P</stp>
        <stp>0</stp>
        <stp>OPT</stp>
        <stp>301T9325</stp>
        <stp>델타</stp>
        <stp>45155</stp>
        <stp/>
        <tr r="P50" s="2"/>
      </tp>
      <tp>
        <v>0</v>
        <stp/>
        <stp>H</stp>
        <stp>x8.XKfR1</stp>
        <stp>55</stp>
        <stp>202822</stp>
        <tr r="AQ66" s="1"/>
      </tp>
      <tp>
        <v>0</v>
        <stp/>
        <stp>H</stp>
        <stp>x9.XKfR1</stp>
        <stp>56</stp>
        <stp>202822</stp>
        <tr r="AN61" s="1"/>
      </tp>
      <tp>
        <v>0</v>
        <stp/>
        <stp>H</stp>
        <stp>x4.XKfR1</stp>
        <stp>51</stp>
        <stp>202822</stp>
        <tr r="AN66" s="1"/>
      </tp>
      <tp>
        <v>0</v>
        <stp/>
        <stp>H</stp>
        <stp>x5.XKfR1</stp>
        <stp>52</stp>
        <stp>202822</stp>
        <tr r="V53" s="1"/>
      </tp>
      <tp>
        <v>0</v>
        <stp/>
        <stp>H</stp>
        <stp>x6.XKfR1</stp>
        <stp>53</stp>
        <stp>202822</stp>
        <tr r="AR66" s="1"/>
      </tp>
      <tp>
        <v>0</v>
        <stp/>
        <stp>H</stp>
        <stp>x7.XKfR1</stp>
        <stp>54</stp>
        <stp>202822</stp>
        <tr r="AN60" s="1"/>
      </tp>
      <tp>
        <v>0</v>
        <stp/>
        <stp>H</stp>
        <stp>x1.XKfR1</stp>
        <stp>48</stp>
        <stp>202822</stp>
        <tr r="AN62" s="1"/>
      </tp>
      <tp>
        <v>0</v>
        <stp/>
        <stp>H</stp>
        <stp>x2.XKfR1</stp>
        <stp>49</stp>
        <stp>202822</stp>
        <tr r="AN58" s="1"/>
      </tp>
      <tp>
        <v>0</v>
        <stp/>
        <stp>H</stp>
        <stp>x3.XKfR1</stp>
        <stp>50</stp>
        <stp>202822</stp>
        <tr r="AT66" s="1"/>
      </tp>
      <tp>
        <v>32.880000000000003</v>
        <stp/>
        <stp>P</stp>
        <stp>0</stp>
        <stp>IDX</stp>
        <stp>211</stp>
        <stp>외국인보유비중(시총)</stp>
        <stp>45155</stp>
        <stp/>
        <tr r="M9" s="1"/>
      </tp>
      <tp>
        <v>27.57</v>
        <stp/>
        <stp>P</stp>
        <stp>0</stp>
        <stp>IDX</stp>
        <stp>026</stp>
        <stp>외국인보유비중(시총)</stp>
        <stp>45155</stp>
        <stp/>
        <tr r="M29" s="1"/>
      </tp>
      <tp>
        <v>33.43</v>
        <stp/>
        <stp>P</stp>
        <stp>0</stp>
        <stp>IDX</stp>
        <stp>027</stp>
        <stp>외국인보유비중(시총)</stp>
        <stp>45155</stp>
        <stp/>
        <tr r="M30" s="1"/>
      </tp>
      <tp>
        <v>18.13</v>
        <stp/>
        <stp>P</stp>
        <stp>0</stp>
        <stp>IDX</stp>
        <stp>024</stp>
        <stp>외국인보유비중(시총)</stp>
        <stp>45155</stp>
        <stp/>
        <tr r="M27" s="1"/>
      </tp>
      <tp>
        <v>33.729999999999997</v>
        <stp/>
        <stp>P</stp>
        <stp>0</stp>
        <stp>IDX</stp>
        <stp>025</stp>
        <stp>외국인보유비중(시총)</stp>
        <stp>45155</stp>
        <stp/>
        <tr r="M28" s="1"/>
      </tp>
      <tp>
        <v>39.76</v>
        <stp/>
        <stp>P</stp>
        <stp>0</stp>
        <stp>IDX</stp>
        <stp>020</stp>
        <stp>외국인보유비중(시총)</stp>
        <stp>45155</stp>
        <stp/>
        <tr r="M25" s="1"/>
      </tp>
      <tp>
        <v>32.24</v>
        <stp/>
        <stp>P</stp>
        <stp>0</stp>
        <stp>IDX</stp>
        <stp>021</stp>
        <stp>외국인보유비중(시총)</stp>
        <stp>45155</stp>
        <stp/>
        <tr r="M26" s="1"/>
      </tp>
      <tp t="s">
        <v/>
        <stp/>
        <stp>P</stp>
        <stp>0</stp>
        <stp>IDX</stp>
        <stp>028</stp>
        <stp>외국인보유비중(시총)</stp>
        <stp>45155</stp>
        <stp/>
        <tr r="M31" s="1"/>
      </tp>
      <tp>
        <v>11.29</v>
        <stp/>
        <stp>P</stp>
        <stp>0</stp>
        <stp>IDX</stp>
        <stp>006</stp>
        <stp>외국인보유비중(시총)</stp>
        <stp>45155</stp>
        <stp/>
        <tr r="M11" s="1"/>
      </tp>
      <tp>
        <v>2.69</v>
        <stp/>
        <stp>P</stp>
        <stp>0</stp>
        <stp>IDX</stp>
        <stp>007</stp>
        <stp>외국인보유비중(시총)</stp>
        <stp>45155</stp>
        <stp/>
        <tr r="M12" s="1"/>
      </tp>
      <tp>
        <v>18.86</v>
        <stp/>
        <stp>P</stp>
        <stp>0</stp>
        <stp>IDX</stp>
        <stp>005</stp>
        <stp>외국인보유비중(시총)</stp>
        <stp>45155</stp>
        <stp/>
        <tr r="M10" s="1"/>
      </tp>
      <tp>
        <v>31.64</v>
        <stp/>
        <stp>P</stp>
        <stp>0</stp>
        <stp>IDX</stp>
        <stp>001</stp>
        <stp>외국인보유비중(시총)</stp>
        <stp>45155</stp>
        <stp/>
        <tr r="M8" s="1"/>
      </tp>
      <tp>
        <v>28.3</v>
        <stp/>
        <stp>P</stp>
        <stp>0</stp>
        <stp>IDX</stp>
        <stp>008</stp>
        <stp>외국인보유비중(시총)</stp>
        <stp>45155</stp>
        <stp/>
        <tr r="M13" s="1"/>
      </tp>
      <tp>
        <v>12.38</v>
        <stp/>
        <stp>P</stp>
        <stp>0</stp>
        <stp>IDX</stp>
        <stp>009</stp>
        <stp>외국인보유비중(시총)</stp>
        <stp>45155</stp>
        <stp/>
        <tr r="M14" s="1"/>
      </tp>
      <tp>
        <v>14.89</v>
        <stp/>
        <stp>P</stp>
        <stp>0</stp>
        <stp>IDX</stp>
        <stp>016</stp>
        <stp>외국인보유비중(시총)</stp>
        <stp>45155</stp>
        <stp/>
        <tr r="M21" s="1"/>
      </tp>
      <tp>
        <v>12.08</v>
        <stp/>
        <stp>P</stp>
        <stp>0</stp>
        <stp>IDX</stp>
        <stp>017</stp>
        <stp>외국인보유비중(시총)</stp>
        <stp>45155</stp>
        <stp/>
        <tr r="M22" s="1"/>
      </tp>
      <tp>
        <v>11.42</v>
        <stp/>
        <stp>P</stp>
        <stp>0</stp>
        <stp>IDX</stp>
        <stp>014</stp>
        <stp>외국인보유비중(시총)</stp>
        <stp>45155</stp>
        <stp/>
        <tr r="M19" s="1"/>
      </tp>
      <tp>
        <v>28.96</v>
        <stp/>
        <stp>P</stp>
        <stp>0</stp>
        <stp>IDX</stp>
        <stp>015</stp>
        <stp>외국인보유비중(시총)</stp>
        <stp>45155</stp>
        <stp/>
        <tr r="M20" s="1"/>
      </tp>
      <tp>
        <v>16.739999999999998</v>
        <stp/>
        <stp>P</stp>
        <stp>0</stp>
        <stp>IDX</stp>
        <stp>012</stp>
        <stp>외국인보유비중(시총)</stp>
        <stp>45155</stp>
        <stp/>
        <tr r="M17" s="1"/>
      </tp>
      <tp>
        <v>41.08</v>
        <stp/>
        <stp>P</stp>
        <stp>0</stp>
        <stp>IDX</stp>
        <stp>013</stp>
        <stp>외국인보유비중(시총)</stp>
        <stp>45155</stp>
        <stp/>
        <tr r="M18" s="1"/>
      </tp>
      <tp>
        <v>3.32</v>
        <stp/>
        <stp>P</stp>
        <stp>0</stp>
        <stp>IDX</stp>
        <stp>010</stp>
        <stp>외국인보유비중(시총)</stp>
        <stp>45155</stp>
        <stp/>
        <tr r="M15" s="1"/>
      </tp>
      <tp>
        <v>24.59</v>
        <stp/>
        <stp>P</stp>
        <stp>0</stp>
        <stp>IDX</stp>
        <stp>011</stp>
        <stp>외국인보유비중(시총)</stp>
        <stp>45155</stp>
        <stp/>
        <tr r="M16" s="1"/>
      </tp>
      <tp>
        <v>14.77</v>
        <stp/>
        <stp>P</stp>
        <stp>0</stp>
        <stp>IDX</stp>
        <stp>018</stp>
        <stp>외국인보유비중(시총)</stp>
        <stp>45155</stp>
        <stp/>
        <tr r="M23" s="1"/>
      </tp>
      <tp>
        <v>18.75</v>
        <stp/>
        <stp>P</stp>
        <stp>0</stp>
        <stp>IDX</stp>
        <stp>019</stp>
        <stp>외국인보유비중(시총)</stp>
        <stp>45155</stp>
        <stp/>
        <tr r="M24" s="1"/>
      </tp>
      <tp>
        <v>7299</v>
        <stp/>
        <stp>P</stp>
        <stp>0</stp>
        <stp>OPT</stp>
        <stp>201T9340</stp>
        <stp>미결제증감</stp>
        <stp>45155</stp>
        <stp/>
        <tr r="F44" s="2"/>
      </tp>
      <tp>
        <v>-156</v>
        <stp/>
        <stp>P</stp>
        <stp>0</stp>
        <stp>OPT</stp>
        <stp>301T9340</stp>
        <stp>미결제증감</stp>
        <stp>45155</stp>
        <stp/>
        <tr r="N44" s="2"/>
      </tp>
      <tp>
        <v>24791</v>
        <stp/>
        <stp>P</stp>
        <stp>0</stp>
        <stp>OPT</stp>
        <stp>201T9340</stp>
        <stp>미결제약정</stp>
        <stp>45155</stp>
        <stp/>
        <tr r="G44" s="2"/>
      </tp>
      <tp>
        <v>12380</v>
        <stp/>
        <stp>P</stp>
        <stp>0</stp>
        <stp>OPT</stp>
        <stp>301T9340</stp>
        <stp>미결제약정</stp>
        <stp>45155</stp>
        <stp/>
        <tr r="M44" s="2"/>
      </tp>
      <tp>
        <v>0</v>
        <stp/>
        <stp>H</stp>
        <stp>x11.XKfR1</stp>
        <stp>58</stp>
        <stp>202822</stp>
        <tr r="AN63" s="1"/>
      </tp>
      <tp>
        <v>0</v>
        <stp/>
        <stp>H</stp>
        <stp>x10.XKfR1</stp>
        <stp>57</stp>
        <stp>202822</stp>
        <tr r="AN64" s="1"/>
      </tp>
      <tp>
        <v>0</v>
        <stp/>
        <stp>H</stp>
        <stp>x13.XKfR1</stp>
        <stp>60</stp>
        <stp>202822</stp>
        <tr r="AV66" s="1"/>
      </tp>
      <tp>
        <v>0</v>
        <stp/>
        <stp>H</stp>
        <stp>x12.XKfR1</stp>
        <stp>59</stp>
        <stp>202822</stp>
        <tr r="AN59" s="1"/>
      </tp>
      <tp>
        <v>0</v>
        <stp/>
        <stp>H</stp>
        <stp>x16.XKfR1</stp>
        <stp>67</stp>
        <stp>202822</stp>
        <tr r="AN56" s="1"/>
      </tp>
      <tp>
        <v>0</v>
        <stp/>
        <stp>H</stp>
        <stp>x17.XKfR1</stp>
        <stp>64</stp>
        <stp>202822</stp>
        <tr r="AI53" s="1"/>
      </tp>
      <tp>
        <v>0</v>
        <stp/>
        <stp>H</stp>
        <stp>x14.XKfR1</stp>
        <stp>61</stp>
        <stp>202822</stp>
        <tr r="AP66" s="1"/>
      </tp>
      <tp>
        <v>0</v>
        <stp/>
        <stp>H</stp>
        <stp>x15.XKfR1</stp>
        <stp>62</stp>
        <stp>202822</stp>
        <tr r="AA53" s="1"/>
      </tp>
      <tp>
        <v>0</v>
        <stp/>
        <stp>H</stp>
        <stp>x18.XKfR1</stp>
        <stp>65</stp>
        <stp>202822</stp>
        <tr r="BB66" s="1"/>
      </tp>
      <tp>
        <v>0</v>
        <stp/>
        <stp>H</stp>
        <stp>x19.XKfR1</stp>
        <stp>66</stp>
        <stp>202822</stp>
        <tr r="AE53" s="1"/>
      </tp>
      <tp>
        <v>0</v>
        <stp/>
        <stp>H</stp>
        <stp>x26.XKfR1</stp>
        <stp>28</stp>
        <stp>202822</stp>
        <tr r="AK119" s="2"/>
      </tp>
      <tp>
        <v>0</v>
        <stp/>
        <stp>H</stp>
        <stp>x24.XKfR1</stp>
        <stp>24</stp>
        <stp>202822</stp>
        <tr r="Z31" s="2"/>
      </tp>
      <tp>
        <v>0</v>
        <stp/>
        <stp>H</stp>
        <stp>x25.XKfR1</stp>
        <stp>27</stp>
        <stp>202822</stp>
        <tr r="AK117" s="2"/>
      </tp>
      <tp>
        <v>0</v>
        <stp/>
        <stp>H</stp>
        <stp>x22.XKfR1</stp>
        <stp>22</stp>
        <stp>202822</stp>
        <tr r="U5" s="2"/>
      </tp>
      <tp>
        <v>0</v>
        <stp/>
        <stp>H</stp>
        <stp>x23.XKfR1</stp>
        <stp>23</stp>
        <stp>202822</stp>
        <tr r="U19" s="2"/>
      </tp>
      <tp>
        <v>0</v>
        <stp/>
        <stp>H</stp>
        <stp>x20.XKfR1</stp>
        <stp>20</stp>
        <stp>202822</stp>
        <tr r="U23" s="2"/>
      </tp>
      <tp>
        <v>0</v>
        <stp/>
        <stp>H</stp>
        <stp>x21.XKfR1</stp>
        <stp>21</stp>
        <stp>202822</stp>
        <tr r="Y31" s="2"/>
      </tp>
      <tp>
        <v>3292</v>
        <stp/>
        <stp>P</stp>
        <stp>0</stp>
        <stp>OPT</stp>
        <stp>201T9327</stp>
        <stp>미결제증감</stp>
        <stp>45155</stp>
        <stp/>
        <tr r="F49" s="2"/>
      </tp>
      <tp>
        <v>-3353</v>
        <stp/>
        <stp>P</stp>
        <stp>0</stp>
        <stp>OPT</stp>
        <stp>301T9327</stp>
        <stp>미결제증감</stp>
        <stp>45155</stp>
        <stp/>
        <tr r="N49" s="2"/>
      </tp>
      <tp>
        <v>1138</v>
        <stp/>
        <stp>P</stp>
        <stp>0</stp>
        <stp>OPT</stp>
        <stp>201T9325</stp>
        <stp>미결제증감</stp>
        <stp>45155</stp>
        <stp/>
        <tr r="F50" s="2"/>
      </tp>
      <tp>
        <v>-1906</v>
        <stp/>
        <stp>P</stp>
        <stp>0</stp>
        <stp>OPT</stp>
        <stp>301T9325</stp>
        <stp>미결제증감</stp>
        <stp>45155</stp>
        <stp/>
        <tr r="N50" s="2"/>
      </tp>
      <tp>
        <v>264</v>
        <stp/>
        <stp>P</stp>
        <stp>0</stp>
        <stp>OPT</stp>
        <stp>201T9322</stp>
        <stp>미결제증감</stp>
        <stp>45155</stp>
        <stp/>
        <tr r="F51" s="2"/>
      </tp>
      <tp>
        <v>-1364</v>
        <stp/>
        <stp>P</stp>
        <stp>0</stp>
        <stp>OPT</stp>
        <stp>301T9322</stp>
        <stp>미결제증감</stp>
        <stp>45155</stp>
        <stp/>
        <tr r="N51" s="2"/>
      </tp>
      <tp>
        <v>82</v>
        <stp/>
        <stp>P</stp>
        <stp>0</stp>
        <stp>OPT</stp>
        <stp>201T9320</stp>
        <stp>미결제증감</stp>
        <stp>45155</stp>
        <stp/>
        <tr r="F52" s="2"/>
      </tp>
      <tp>
        <v>-2882</v>
        <stp/>
        <stp>P</stp>
        <stp>0</stp>
        <stp>OPT</stp>
        <stp>301T9320</stp>
        <stp>미결제증감</stp>
        <stp>45155</stp>
        <stp/>
        <tr r="N52" s="2"/>
      </tp>
      <tp>
        <v>303</v>
        <stp/>
        <stp>P</stp>
        <stp>0</stp>
        <stp>OPT</stp>
        <stp>201T9322</stp>
        <stp>미결제약정</stp>
        <stp>45155</stp>
        <stp/>
        <tr r="G51" s="2"/>
      </tp>
      <tp>
        <v>12999</v>
        <stp/>
        <stp>P</stp>
        <stp>0</stp>
        <stp>OPT</stp>
        <stp>301T9322</stp>
        <stp>미결제약정</stp>
        <stp>45155</stp>
        <stp/>
        <tr r="M51" s="2"/>
      </tp>
      <tp>
        <v>3582</v>
        <stp/>
        <stp>P</stp>
        <stp>0</stp>
        <stp>OPT</stp>
        <stp>201T9320</stp>
        <stp>미결제약정</stp>
        <stp>45155</stp>
        <stp/>
        <tr r="G52" s="2"/>
      </tp>
      <tp>
        <v>22023</v>
        <stp/>
        <stp>P</stp>
        <stp>0</stp>
        <stp>OPT</stp>
        <stp>301T9320</stp>
        <stp>미결제약정</stp>
        <stp>45155</stp>
        <stp/>
        <tr r="M52" s="2"/>
      </tp>
      <tp>
        <v>3587</v>
        <stp/>
        <stp>P</stp>
        <stp>0</stp>
        <stp>OPT</stp>
        <stp>201T9327</stp>
        <stp>미결제약정</stp>
        <stp>45155</stp>
        <stp/>
        <tr r="G49" s="2"/>
      </tp>
      <tp>
        <v>13123</v>
        <stp/>
        <stp>P</stp>
        <stp>0</stp>
        <stp>OPT</stp>
        <stp>301T9327</stp>
        <stp>미결제약정</stp>
        <stp>45155</stp>
        <stp/>
        <tr r="M49" s="2"/>
      </tp>
      <tp>
        <v>8152</v>
        <stp/>
        <stp>P</stp>
        <stp>0</stp>
        <stp>OPT</stp>
        <stp>201T9325</stp>
        <stp>미결제약정</stp>
        <stp>45155</stp>
        <stp/>
        <tr r="G50" s="2"/>
      </tp>
      <tp>
        <v>20732</v>
        <stp/>
        <stp>P</stp>
        <stp>0</stp>
        <stp>OPT</stp>
        <stp>301T9325</stp>
        <stp>미결제약정</stp>
        <stp>45155</stp>
        <stp/>
        <tr r="M50" s="2"/>
      </tp>
      <tp>
        <v>5514</v>
        <stp/>
        <stp>P</stp>
        <stp>0</stp>
        <stp>OPT</stp>
        <stp>201T9337</stp>
        <stp>미결제증감</stp>
        <stp>45155</stp>
        <stp/>
        <tr r="F45" s="2"/>
      </tp>
      <tp>
        <v>-216</v>
        <stp/>
        <stp>P</stp>
        <stp>0</stp>
        <stp>OPT</stp>
        <stp>301T9337</stp>
        <stp>미결제증감</stp>
        <stp>45155</stp>
        <stp/>
        <tr r="N45" s="2"/>
      </tp>
      <tp>
        <v>5850</v>
        <stp/>
        <stp>P</stp>
        <stp>0</stp>
        <stp>OPT</stp>
        <stp>201T9335</stp>
        <stp>미결제증감</stp>
        <stp>45155</stp>
        <stp/>
        <tr r="F46" s="2"/>
      </tp>
      <tp>
        <v>-932</v>
        <stp/>
        <stp>P</stp>
        <stp>0</stp>
        <stp>OPT</stp>
        <stp>301T9335</stp>
        <stp>미결제증감</stp>
        <stp>45155</stp>
        <stp/>
        <tr r="N46" s="2"/>
      </tp>
      <tp>
        <v>5938</v>
        <stp/>
        <stp>P</stp>
        <stp>0</stp>
        <stp>OPT</stp>
        <stp>201T9332</stp>
        <stp>미결제증감</stp>
        <stp>45155</stp>
        <stp/>
        <tr r="F47" s="2"/>
      </tp>
      <tp>
        <v>262</v>
        <stp/>
        <stp>P</stp>
        <stp>0</stp>
        <stp>OPT</stp>
        <stp>301T9332</stp>
        <stp>미결제증감</stp>
        <stp>45155</stp>
        <stp/>
        <tr r="N47" s="2"/>
      </tp>
      <tp>
        <v>3563</v>
        <stp/>
        <stp>P</stp>
        <stp>0</stp>
        <stp>OPT</stp>
        <stp>201T9330</stp>
        <stp>미결제증감</stp>
        <stp>45155</stp>
        <stp/>
        <tr r="F48" s="2"/>
      </tp>
      <tp>
        <v>-967</v>
        <stp/>
        <stp>P</stp>
        <stp>0</stp>
        <stp>OPT</stp>
        <stp>301T9330</stp>
        <stp>미결제증감</stp>
        <stp>45155</stp>
        <stp/>
        <tr r="N48" s="2"/>
      </tp>
      <tp>
        <v>8917</v>
        <stp/>
        <stp>P</stp>
        <stp>0</stp>
        <stp>OPT</stp>
        <stp>201T9332</stp>
        <stp>미결제약정</stp>
        <stp>45155</stp>
        <stp/>
        <tr r="G47" s="2"/>
      </tp>
      <tp>
        <v>9058</v>
        <stp/>
        <stp>P</stp>
        <stp>0</stp>
        <stp>OPT</stp>
        <stp>301T9332</stp>
        <stp>미결제약정</stp>
        <stp>45155</stp>
        <stp/>
        <tr r="M47" s="2"/>
      </tp>
      <tp>
        <v>12701</v>
        <stp/>
        <stp>P</stp>
        <stp>0</stp>
        <stp>OPT</stp>
        <stp>201T9330</stp>
        <stp>미결제약정</stp>
        <stp>45155</stp>
        <stp/>
        <tr r="G48" s="2"/>
      </tp>
      <tp>
        <v>17671</v>
        <stp/>
        <stp>P</stp>
        <stp>0</stp>
        <stp>OPT</stp>
        <stp>301T9330</stp>
        <stp>미결제약정</stp>
        <stp>45155</stp>
        <stp/>
        <tr r="M48" s="2"/>
      </tp>
      <tp>
        <v>11334</v>
        <stp/>
        <stp>P</stp>
        <stp>0</stp>
        <stp>OPT</stp>
        <stp>201T9337</stp>
        <stp>미결제약정</stp>
        <stp>45155</stp>
        <stp/>
        <tr r="G45" s="2"/>
      </tp>
      <tp>
        <v>8896</v>
        <stp/>
        <stp>P</stp>
        <stp>0</stp>
        <stp>OPT</stp>
        <stp>301T9337</stp>
        <stp>미결제약정</stp>
        <stp>45155</stp>
        <stp/>
        <tr r="M45" s="2"/>
      </tp>
      <tp>
        <v>15396</v>
        <stp/>
        <stp>P</stp>
        <stp>0</stp>
        <stp>OPT</stp>
        <stp>201T9335</stp>
        <stp>미결제약정</stp>
        <stp>45155</stp>
        <stp/>
        <tr r="G46" s="2"/>
      </tp>
      <tp>
        <v>13647</v>
        <stp/>
        <stp>P</stp>
        <stp>0</stp>
        <stp>OPT</stp>
        <stp>301T9335</stp>
        <stp>미결제약정</stp>
        <stp>45155</stp>
        <stp/>
        <tr r="M46" s="2"/>
      </tp>
      <tp>
        <v>330.23</v>
        <stp/>
        <stp>P</stp>
        <stp>0</stp>
        <stp>IDX</stp>
        <stp>211</stp>
        <stp>현재가</stp>
        <stp>45155</stp>
        <stp/>
        <tr r="E9" s="1"/>
      </tp>
      <tp>
        <v>5183.71</v>
        <stp/>
        <stp>P</stp>
        <stp>0</stp>
        <stp>IDX</stp>
        <stp>008</stp>
        <stp>현재가</stp>
        <stp>45155</stp>
        <stp/>
        <tr r="E13" s="1"/>
      </tp>
      <tp>
        <v>13017.73</v>
        <stp/>
        <stp>P</stp>
        <stp>0</stp>
        <stp>IDX</stp>
        <stp>009</stp>
        <stp>현재가</stp>
        <stp>45155</stp>
        <stp/>
        <tr r="E14" s="1"/>
      </tp>
      <tp>
        <v>2519.85</v>
        <stp/>
        <stp>P</stp>
        <stp>0</stp>
        <stp>IDX</stp>
        <stp>001</stp>
        <stp>현재가</stp>
        <stp>45155</stp>
        <stp/>
        <tr r="E8" s="1"/>
        <tr r="V52" s="1"/>
      </tp>
      <tp>
        <v>322.47000000000003</v>
        <stp/>
        <stp>P</stp>
        <stp>0</stp>
        <stp>IDX</stp>
        <stp>006</stp>
        <stp>현재가</stp>
        <stp>45155</stp>
        <stp/>
        <tr r="E11" s="1"/>
      </tp>
      <tp>
        <v>517.35</v>
        <stp/>
        <stp>P</stp>
        <stp>0</stp>
        <stp>IDX</stp>
        <stp>007</stp>
        <stp>현재가</stp>
        <stp>45155</stp>
        <stp/>
        <tr r="E12" s="1"/>
      </tp>
      <tp>
        <v>3576.75</v>
        <stp/>
        <stp>P</stp>
        <stp>0</stp>
        <stp>IDX</stp>
        <stp>005</stp>
        <stp>현재가</stp>
        <stp>45155</stp>
        <stp/>
        <tr r="E10" s="1"/>
      </tp>
      <tp>
        <v>70.08</v>
        <stp/>
        <stp>P</stp>
        <stp>0</stp>
        <stp>IDX</stp>
        <stp>018</stp>
        <stp>현재가</stp>
        <stp>45155</stp>
        <stp/>
        <tr r="E23" s="1"/>
      </tp>
      <tp>
        <v>1540.71</v>
        <stp/>
        <stp>P</stp>
        <stp>0</stp>
        <stp>IDX</stp>
        <stp>019</stp>
        <stp>현재가</stp>
        <stp>45155</stp>
        <stp/>
        <tr r="E24" s="1"/>
      </tp>
      <tp>
        <v>1144.69</v>
        <stp/>
        <stp>P</stp>
        <stp>0</stp>
        <stp>IDX</stp>
        <stp>012</stp>
        <stp>현재가</stp>
        <stp>45155</stp>
        <stp/>
        <tr r="E17" s="1"/>
      </tp>
      <tp>
        <v>26342.23</v>
        <stp/>
        <stp>P</stp>
        <stp>0</stp>
        <stp>IDX</stp>
        <stp>013</stp>
        <stp>현재가</stp>
        <stp>45155</stp>
        <stp/>
        <tr r="E18" s="1"/>
      </tp>
      <tp>
        <v>3905.63</v>
        <stp/>
        <stp>P</stp>
        <stp>0</stp>
        <stp>IDX</stp>
        <stp>010</stp>
        <stp>현재가</stp>
        <stp>45155</stp>
        <stp/>
        <tr r="E15" s="1"/>
      </tp>
      <tp>
        <v>6398.87</v>
        <stp/>
        <stp>P</stp>
        <stp>0</stp>
        <stp>IDX</stp>
        <stp>011</stp>
        <stp>현재가</stp>
        <stp>45155</stp>
        <stp/>
        <tr r="E16" s="1"/>
      </tp>
      <tp>
        <v>382.21</v>
        <stp/>
        <stp>P</stp>
        <stp>0</stp>
        <stp>IDX</stp>
        <stp>016</stp>
        <stp>현재가</stp>
        <stp>45155</stp>
        <stp/>
        <tr r="E21" s="1"/>
      </tp>
      <tp>
        <v>601.55999999999995</v>
        <stp/>
        <stp>P</stp>
        <stp>0</stp>
        <stp>IDX</stp>
        <stp>017</stp>
        <stp>현재가</stp>
        <stp>45155</stp>
        <stp/>
        <tr r="E22" s="1"/>
      </tp>
      <tp>
        <v>1550.82</v>
        <stp/>
        <stp>P</stp>
        <stp>0</stp>
        <stp>IDX</stp>
        <stp>014</stp>
        <stp>현재가</stp>
        <stp>45155</stp>
        <stp/>
        <tr r="E19" s="1"/>
      </tp>
      <tp>
        <v>2095.15</v>
        <stp/>
        <stp>P</stp>
        <stp>0</stp>
        <stp>IDX</stp>
        <stp>015</stp>
        <stp>현재가</stp>
        <stp>45155</stp>
        <stp/>
        <tr r="E20" s="1"/>
      </tp>
      <tp>
        <v>1340.16</v>
        <stp/>
        <stp>P</stp>
        <stp>0</stp>
        <stp>IDX</stp>
        <stp>028</stp>
        <stp>현재가</stp>
        <stp>45155</stp>
        <stp/>
        <tr r="E31" s="1"/>
      </tp>
      <tp>
        <v>359.71</v>
        <stp/>
        <stp>P</stp>
        <stp>0</stp>
        <stp>IDX</stp>
        <stp>020</stp>
        <stp>현재가</stp>
        <stp>45155</stp>
        <stp/>
        <tr r="E25" s="1"/>
      </tp>
      <tp>
        <v>351.56</v>
        <stp/>
        <stp>P</stp>
        <stp>0</stp>
        <stp>IDX</stp>
        <stp>021</stp>
        <stp>현재가</stp>
        <stp>45155</stp>
        <stp/>
        <tr r="E26" s="1"/>
      </tp>
      <tp>
        <v>1113.03</v>
        <stp/>
        <stp>P</stp>
        <stp>0</stp>
        <stp>IDX</stp>
        <stp>026</stp>
        <stp>현재가</stp>
        <stp>45155</stp>
        <stp/>
        <tr r="E29" s="1"/>
      </tp>
      <tp>
        <v>6811.7</v>
        <stp/>
        <stp>P</stp>
        <stp>0</stp>
        <stp>IDX</stp>
        <stp>027</stp>
        <stp>현재가</stp>
        <stp>45155</stp>
        <stp/>
        <tr r="E30" s="1"/>
      </tp>
      <tp>
        <v>1748.54</v>
        <stp/>
        <stp>P</stp>
        <stp>0</stp>
        <stp>IDX</stp>
        <stp>024</stp>
        <stp>현재가</stp>
        <stp>45155</stp>
        <stp/>
        <tr r="E27" s="1"/>
      </tp>
      <tp>
        <v>15431.43</v>
        <stp/>
        <stp>P</stp>
        <stp>0</stp>
        <stp>IDX</stp>
        <stp>025</stp>
        <stp>현재가</stp>
        <stp>45155</stp>
        <stp/>
        <tr r="E28" s="1"/>
      </tp>
      <tp>
        <v>12.02</v>
        <stp/>
        <stp>P</stp>
        <stp>0</stp>
        <stp>OPT</stp>
        <stp>301T9340</stp>
        <stp>등락률</stp>
        <stp>45155</stp>
        <stp/>
        <tr r="L44" s="2"/>
      </tp>
      <tp>
        <v>11.85</v>
        <stp/>
        <stp>P</stp>
        <stp>0</stp>
        <stp>OPT</stp>
        <stp>301T9332</stp>
        <stp>등락률</stp>
        <stp>45155</stp>
        <stp/>
        <tr r="L47" s="2"/>
      </tp>
      <tp>
        <v>13.63</v>
        <stp/>
        <stp>P</stp>
        <stp>0</stp>
        <stp>OPT</stp>
        <stp>301T9330</stp>
        <stp>등락률</stp>
        <stp>45155</stp>
        <stp/>
        <tr r="L48" s="2"/>
      </tp>
      <tp>
        <v>13.22</v>
        <stp/>
        <stp>P</stp>
        <stp>0</stp>
        <stp>OPT</stp>
        <stp>301T9337</stp>
        <stp>등락률</stp>
        <stp>45155</stp>
        <stp/>
        <tr r="L45" s="2"/>
      </tp>
      <tp>
        <v>11.09</v>
        <stp/>
        <stp>P</stp>
        <stp>0</stp>
        <stp>OPT</stp>
        <stp>301T9335</stp>
        <stp>등락률</stp>
        <stp>45155</stp>
        <stp/>
        <tr r="L46" s="2"/>
      </tp>
      <tp>
        <v>16.5</v>
        <stp/>
        <stp>P</stp>
        <stp>0</stp>
        <stp>OPT</stp>
        <stp>301T9322</stp>
        <stp>등락률</stp>
        <stp>45155</stp>
        <stp/>
        <tr r="L51" s="2"/>
      </tp>
      <tp>
        <v>18.71</v>
        <stp/>
        <stp>P</stp>
        <stp>0</stp>
        <stp>OPT</stp>
        <stp>301T9320</stp>
        <stp>등락률</stp>
        <stp>45155</stp>
        <stp/>
        <tr r="L52" s="2"/>
      </tp>
      <tp>
        <v>16.37</v>
        <stp/>
        <stp>P</stp>
        <stp>0</stp>
        <stp>OPT</stp>
        <stp>301T9327</stp>
        <stp>등락률</stp>
        <stp>45155</stp>
        <stp/>
        <tr r="L49" s="2"/>
      </tp>
      <tp>
        <v>13.86</v>
        <stp/>
        <stp>P</stp>
        <stp>0</stp>
        <stp>OPT</stp>
        <stp>301T9325</stp>
        <stp>등락률</stp>
        <stp>45155</stp>
        <stp/>
        <tr r="L50" s="2"/>
      </tp>
      <tp>
        <v>-17.510000000000002</v>
        <stp/>
        <stp>P</stp>
        <stp>0</stp>
        <stp>OPT</stp>
        <stp>201T9340</stp>
        <stp>등락률</stp>
        <stp>45155</stp>
        <stp/>
        <tr r="H44" s="2"/>
      </tp>
      <tp>
        <v>-12.19</v>
        <stp/>
        <stp>P</stp>
        <stp>0</stp>
        <stp>OPT</stp>
        <stp>201T9332</stp>
        <stp>등락률</stp>
        <stp>45155</stp>
        <stp/>
        <tr r="H47" s="2"/>
      </tp>
      <tp>
        <v>-9.91</v>
        <stp/>
        <stp>P</stp>
        <stp>0</stp>
        <stp>OPT</stp>
        <stp>201T9330</stp>
        <stp>등락률</stp>
        <stp>45155</stp>
        <stp/>
        <tr r="H48" s="2"/>
      </tp>
      <tp>
        <v>-14.48</v>
        <stp/>
        <stp>P</stp>
        <stp>0</stp>
        <stp>OPT</stp>
        <stp>201T9337</stp>
        <stp>등락률</stp>
        <stp>45155</stp>
        <stp/>
        <tr r="H45" s="2"/>
      </tp>
      <tp>
        <v>-11.42</v>
        <stp/>
        <stp>P</stp>
        <stp>0</stp>
        <stp>OPT</stp>
        <stp>201T9335</stp>
        <stp>등락률</stp>
        <stp>45155</stp>
        <stp/>
        <tr r="H46" s="2"/>
      </tp>
      <tp>
        <v>-9.91</v>
        <stp/>
        <stp>P</stp>
        <stp>0</stp>
        <stp>OPT</stp>
        <stp>201T9322</stp>
        <stp>등락률</stp>
        <stp>45155</stp>
        <stp/>
        <tr r="H51" s="2"/>
      </tp>
      <tp>
        <v>-8.4600000000000009</v>
        <stp/>
        <stp>P</stp>
        <stp>0</stp>
        <stp>OPT</stp>
        <stp>201T9320</stp>
        <stp>등락률</stp>
        <stp>45155</stp>
        <stp/>
        <tr r="H52" s="2"/>
      </tp>
      <tp>
        <v>-7.38</v>
        <stp/>
        <stp>P</stp>
        <stp>0</stp>
        <stp>OPT</stp>
        <stp>201T9327</stp>
        <stp>등락률</stp>
        <stp>45155</stp>
        <stp/>
        <tr r="H49" s="2"/>
      </tp>
      <tp>
        <v>-10.14</v>
        <stp/>
        <stp>P</stp>
        <stp>0</stp>
        <stp>OPT</stp>
        <stp>201T9325</stp>
        <stp>등락률</stp>
        <stp>45155</stp>
        <stp/>
        <tr r="H50" s="2"/>
      </tp>
      <tp>
        <v>3471.29</v>
        <stp/>
        <stp>P</stp>
        <stp>0</stp>
        <stp>IDX</stp>
        <stp>005</stp>
        <stp>현재가</stp>
        <stp>45148</stp>
        <stp>fill=true</stp>
        <tr r="H10" s="1"/>
        <tr r="H10" s="1"/>
      </tp>
      <tp>
        <v>329.17</v>
        <stp/>
        <stp>P</stp>
        <stp>0</stp>
        <stp>IDX</stp>
        <stp>006</stp>
        <stp>현재가</stp>
        <stp>45148</stp>
        <stp>fill=true</stp>
        <tr r="H11" s="1"/>
        <tr r="H11" s="1"/>
      </tp>
      <tp>
        <v>550.88</v>
        <stp/>
        <stp>P</stp>
        <stp>0</stp>
        <stp>IDX</stp>
        <stp>007</stp>
        <stp>현재가</stp>
        <stp>45148</stp>
        <stp>fill=true</stp>
        <tr r="H12" s="1"/>
        <tr r="H12" s="1"/>
      </tp>
      <tp>
        <v>2601.56</v>
        <stp/>
        <stp>P</stp>
        <stp>0</stp>
        <stp>IDX</stp>
        <stp>001</stp>
        <stp>현재가</stp>
        <stp>45148</stp>
        <stp>fill=true</stp>
        <tr r="H8" s="1"/>
        <tr r="H8" s="1"/>
      </tp>
      <tp>
        <v>5509.78</v>
        <stp/>
        <stp>P</stp>
        <stp>0</stp>
        <stp>IDX</stp>
        <stp>008</stp>
        <stp>현재가</stp>
        <stp>45148</stp>
        <stp>fill=true</stp>
        <tr r="H13" s="1"/>
        <tr r="H13" s="1"/>
      </tp>
      <tp>
        <v>13718.31</v>
        <stp/>
        <stp>P</stp>
        <stp>0</stp>
        <stp>IDX</stp>
        <stp>009</stp>
        <stp>현재가</stp>
        <stp>45148</stp>
        <stp>fill=true</stp>
        <tr r="H14" s="1"/>
        <tr r="H14" s="1"/>
      </tp>
      <tp>
        <v>1702.11</v>
        <stp/>
        <stp>P</stp>
        <stp>0</stp>
        <stp>IDX</stp>
        <stp>014</stp>
        <stp>현재가</stp>
        <stp>45148</stp>
        <stp>fill=true</stp>
        <tr r="H19" s="1"/>
        <tr r="H19" s="1"/>
      </tp>
      <tp>
        <v>2162.79</v>
        <stp/>
        <stp>P</stp>
        <stp>0</stp>
        <stp>IDX</stp>
        <stp>015</stp>
        <stp>현재가</stp>
        <stp>45148</stp>
        <stp>fill=true</stp>
        <tr r="H20" s="1"/>
        <tr r="H20" s="1"/>
      </tp>
      <tp>
        <v>391.95</v>
        <stp/>
        <stp>P</stp>
        <stp>0</stp>
        <stp>IDX</stp>
        <stp>016</stp>
        <stp>현재가</stp>
        <stp>45148</stp>
        <stp>fill=true</stp>
        <tr r="H21" s="1"/>
        <tr r="H21" s="1"/>
      </tp>
      <tp>
        <v>634.51</v>
        <stp/>
        <stp>P</stp>
        <stp>0</stp>
        <stp>IDX</stp>
        <stp>017</stp>
        <stp>현재가</stp>
        <stp>45148</stp>
        <stp>fill=true</stp>
        <tr r="H22" s="1"/>
        <tr r="H22" s="1"/>
      </tp>
      <tp>
        <v>4019.13</v>
        <stp/>
        <stp>P</stp>
        <stp>0</stp>
        <stp>IDX</stp>
        <stp>010</stp>
        <stp>현재가</stp>
        <stp>45148</stp>
        <stp>fill=true</stp>
        <tr r="H15" s="1"/>
        <tr r="H15" s="1"/>
      </tp>
      <tp>
        <v>6840.88</v>
        <stp/>
        <stp>P</stp>
        <stp>0</stp>
        <stp>IDX</stp>
        <stp>011</stp>
        <stp>현재가</stp>
        <stp>45148</stp>
        <stp>fill=true</stp>
        <tr r="H16" s="1"/>
        <tr r="H16" s="1"/>
      </tp>
      <tp>
        <v>1175.6199999999999</v>
        <stp/>
        <stp>P</stp>
        <stp>0</stp>
        <stp>IDX</stp>
        <stp>012</stp>
        <stp>현재가</stp>
        <stp>45148</stp>
        <stp>fill=true</stp>
        <tr r="H17" s="1"/>
        <tr r="H17" s="1"/>
      </tp>
      <tp>
        <v>27021</v>
        <stp/>
        <stp>P</stp>
        <stp>0</stp>
        <stp>IDX</stp>
        <stp>013</stp>
        <stp>현재가</stp>
        <stp>45148</stp>
        <stp>fill=true</stp>
        <tr r="H18" s="1"/>
        <tr r="H18" s="1"/>
      </tp>
      <tp>
        <v>71.819999999999993</v>
        <stp/>
        <stp>P</stp>
        <stp>0</stp>
        <stp>IDX</stp>
        <stp>018</stp>
        <stp>현재가</stp>
        <stp>45148</stp>
        <stp>fill=true</stp>
        <tr r="H23" s="1"/>
        <tr r="H23" s="1"/>
      </tp>
      <tp>
        <v>1583.24</v>
        <stp/>
        <stp>P</stp>
        <stp>0</stp>
        <stp>IDX</stp>
        <stp>019</stp>
        <stp>현재가</stp>
        <stp>45148</stp>
        <stp>fill=true</stp>
        <tr r="H24" s="1"/>
        <tr r="H24" s="1"/>
      </tp>
      <tp>
        <v>1765.97</v>
        <stp/>
        <stp>P</stp>
        <stp>0</stp>
        <stp>IDX</stp>
        <stp>024</stp>
        <stp>현재가</stp>
        <stp>45148</stp>
        <stp>fill=true</stp>
        <tr r="H27" s="1"/>
        <tr r="H27" s="1"/>
      </tp>
      <tp>
        <v>15762.77</v>
        <stp/>
        <stp>P</stp>
        <stp>0</stp>
        <stp>IDX</stp>
        <stp>025</stp>
        <stp>현재가</stp>
        <stp>45148</stp>
        <stp>fill=true</stp>
        <tr r="H28" s="1"/>
        <tr r="H28" s="1"/>
      </tp>
      <tp>
        <v>1154.49</v>
        <stp/>
        <stp>P</stp>
        <stp>0</stp>
        <stp>IDX</stp>
        <stp>026</stp>
        <stp>현재가</stp>
        <stp>45148</stp>
        <stp>fill=true</stp>
        <tr r="H29" s="1"/>
        <tr r="H29" s="1"/>
      </tp>
      <tp>
        <v>7048.84</v>
        <stp/>
        <stp>P</stp>
        <stp>0</stp>
        <stp>IDX</stp>
        <stp>027</stp>
        <stp>현재가</stp>
        <stp>45148</stp>
        <stp>fill=true</stp>
        <tr r="H30" s="1"/>
        <tr r="H30" s="1"/>
      </tp>
      <tp>
        <v>355.43</v>
        <stp/>
        <stp>P</stp>
        <stp>0</stp>
        <stp>IDX</stp>
        <stp>020</stp>
        <stp>현재가</stp>
        <stp>45148</stp>
        <stp>fill=true</stp>
        <tr r="H25" s="1"/>
        <tr r="H25" s="1"/>
      </tp>
      <tp>
        <v>359.34</v>
        <stp/>
        <stp>P</stp>
        <stp>0</stp>
        <stp>IDX</stp>
        <stp>021</stp>
        <stp>현재가</stp>
        <stp>45148</stp>
        <stp>fill=true</stp>
        <tr r="H26" s="1"/>
        <tr r="H26" s="1"/>
      </tp>
      <tp>
        <v>1346.59</v>
        <stp/>
        <stp>P</stp>
        <stp>0</stp>
        <stp>IDX</stp>
        <stp>028</stp>
        <stp>현재가</stp>
        <stp>45148</stp>
        <stp>fill=true</stp>
        <tr r="H31" s="1"/>
        <tr r="H31" s="1"/>
      </tp>
      <tp>
        <v>340.46</v>
        <stp/>
        <stp>P</stp>
        <stp>0</stp>
        <stp>IDX</stp>
        <stp>211</stp>
        <stp>현재가</stp>
        <stp>45148</stp>
        <stp>fill=true</stp>
        <tr r="H9" s="1"/>
        <tr r="H9" s="1"/>
      </tp>
      <tp>
        <v>331</v>
        <stp/>
        <stp>P</stp>
        <stp>0</stp>
        <stp>FUT</stp>
        <stp>101T9000</stp>
        <stp>현재가</stp>
        <stp>45155</stp>
        <stp/>
        <tr r="AD28" s="2"/>
      </tp>
      <tp>
        <v>1058.82</v>
        <stp/>
        <stp>P</stp>
        <stp>0</stp>
        <stp>IDX</stp>
        <stp>012</stp>
        <stp>현재가</stp>
        <stp>44790</stp>
        <stp>fill=true</stp>
        <tr r="L17" s="1"/>
        <tr r="L17" s="1"/>
      </tp>
      <tp>
        <v>23689.89</v>
        <stp/>
        <stp>P</stp>
        <stp>0</stp>
        <stp>IDX</stp>
        <stp>013</stp>
        <stp>현재가</stp>
        <stp>44790</stp>
        <stp>fill=true</stp>
        <tr r="L18" s="1"/>
        <tr r="L18" s="1"/>
      </tp>
      <tp>
        <v>2631.46</v>
        <stp/>
        <stp>P</stp>
        <stp>0</stp>
        <stp>IDX</stp>
        <stp>010</stp>
        <stp>현재가</stp>
        <stp>44790</stp>
        <stp>fill=true</stp>
        <tr r="L15" s="1"/>
        <tr r="L15" s="1"/>
      </tp>
      <tp>
        <v>4454.3999999999996</v>
        <stp/>
        <stp>P</stp>
        <stp>0</stp>
        <stp>IDX</stp>
        <stp>011</stp>
        <stp>현재가</stp>
        <stp>44790</stp>
        <stp>fill=true</stp>
        <tr r="L16" s="1"/>
        <tr r="L16" s="1"/>
      </tp>
      <tp>
        <v>356</v>
        <stp/>
        <stp>P</stp>
        <stp>0</stp>
        <stp>IDX</stp>
        <stp>016</stp>
        <stp>현재가</stp>
        <stp>44790</stp>
        <stp>fill=true</stp>
        <tr r="L21" s="1"/>
        <tr r="L21" s="1"/>
      </tp>
      <tp>
        <v>820.72</v>
        <stp/>
        <stp>P</stp>
        <stp>0</stp>
        <stp>IDX</stp>
        <stp>017</stp>
        <stp>현재가</stp>
        <stp>44790</stp>
        <stp>fill=true</stp>
        <tr r="L22" s="1"/>
        <tr r="L22" s="1"/>
      </tp>
      <tp>
        <v>2469.98</v>
        <stp/>
        <stp>P</stp>
        <stp>0</stp>
        <stp>IDX</stp>
        <stp>014</stp>
        <stp>현재가</stp>
        <stp>44790</stp>
        <stp>fill=true</stp>
        <tr r="L19" s="1"/>
        <tr r="L19" s="1"/>
      </tp>
      <tp>
        <v>2068.27</v>
        <stp/>
        <stp>P</stp>
        <stp>0</stp>
        <stp>IDX</stp>
        <stp>015</stp>
        <stp>현재가</stp>
        <stp>44790</stp>
        <stp>fill=true</stp>
        <tr r="L20" s="1"/>
        <tr r="L20" s="1"/>
      </tp>
      <tp>
        <v>99.79</v>
        <stp/>
        <stp>P</stp>
        <stp>0</stp>
        <stp>IDX</stp>
        <stp>018</stp>
        <stp>현재가</stp>
        <stp>44790</stp>
        <stp>fill=true</stp>
        <tr r="L23" s="1"/>
        <tr r="L23" s="1"/>
      </tp>
      <tp>
        <v>1903.72</v>
        <stp/>
        <stp>P</stp>
        <stp>0</stp>
        <stp>IDX</stp>
        <stp>019</stp>
        <stp>현재가</stp>
        <stp>44790</stp>
        <stp>fill=true</stp>
        <tr r="L24" s="1"/>
        <tr r="L24" s="1"/>
      </tp>
      <tp>
        <v>2516.4699999999998</v>
        <stp/>
        <stp>P</stp>
        <stp>0</stp>
        <stp>IDX</stp>
        <stp>001</stp>
        <stp>현재가</stp>
        <stp>44790</stp>
        <stp>fill=true</stp>
        <tr r="L8" s="1"/>
        <tr r="L8" s="1"/>
      </tp>
      <tp>
        <v>426.44</v>
        <stp/>
        <stp>P</stp>
        <stp>0</stp>
        <stp>IDX</stp>
        <stp>006</stp>
        <stp>현재가</stp>
        <stp>44790</stp>
        <stp>fill=true</stp>
        <tr r="L11" s="1"/>
        <tr r="L11" s="1"/>
      </tp>
      <tp>
        <v>363.46</v>
        <stp/>
        <stp>P</stp>
        <stp>0</stp>
        <stp>IDX</stp>
        <stp>007</stp>
        <stp>현재가</stp>
        <stp>44790</stp>
        <stp>fill=true</stp>
        <tr r="L12" s="1"/>
        <tr r="L12" s="1"/>
      </tp>
      <tp>
        <v>3897.67</v>
        <stp/>
        <stp>P</stp>
        <stp>0</stp>
        <stp>IDX</stp>
        <stp>005</stp>
        <stp>현재가</stp>
        <stp>44790</stp>
        <stp>fill=true</stp>
        <tr r="L10" s="1"/>
        <tr r="L10" s="1"/>
      </tp>
      <tp>
        <v>5709.6</v>
        <stp/>
        <stp>P</stp>
        <stp>0</stp>
        <stp>IDX</stp>
        <stp>008</stp>
        <stp>현재가</stp>
        <stp>44790</stp>
        <stp>fill=true</stp>
        <tr r="L13" s="1"/>
        <tr r="L13" s="1"/>
      </tp>
      <tp>
        <v>15914.45</v>
        <stp/>
        <stp>P</stp>
        <stp>0</stp>
        <stp>IDX</stp>
        <stp>009</stp>
        <stp>현재가</stp>
        <stp>44790</stp>
        <stp>fill=true</stp>
        <tr r="L14" s="1"/>
        <tr r="L14" s="1"/>
      </tp>
      <tp>
        <v>412.35</v>
        <stp/>
        <stp>P</stp>
        <stp>0</stp>
        <stp>IDX</stp>
        <stp>020</stp>
        <stp>현재가</stp>
        <stp>44790</stp>
        <stp>fill=true</stp>
        <tr r="L25" s="1"/>
        <tr r="L25" s="1"/>
      </tp>
      <tp>
        <v>366.74</v>
        <stp/>
        <stp>P</stp>
        <stp>0</stp>
        <stp>IDX</stp>
        <stp>021</stp>
        <stp>현재가</stp>
        <stp>44790</stp>
        <stp>fill=true</stp>
        <tr r="L26" s="1"/>
        <tr r="L26" s="1"/>
      </tp>
      <tp>
        <v>1372.16</v>
        <stp/>
        <stp>P</stp>
        <stp>0</stp>
        <stp>IDX</stp>
        <stp>026</stp>
        <stp>현재가</stp>
        <stp>44790</stp>
        <stp>fill=true</stp>
        <tr r="L29" s="1"/>
        <tr r="L29" s="1"/>
      </tp>
      <tp>
        <v>6473.79</v>
        <stp/>
        <stp>P</stp>
        <stp>0</stp>
        <stp>IDX</stp>
        <stp>027</stp>
        <stp>현재가</stp>
        <stp>44790</stp>
        <stp>fill=true</stp>
        <tr r="L30" s="1"/>
        <tr r="L30" s="1"/>
      </tp>
      <tp>
        <v>1726.29</v>
        <stp/>
        <stp>P</stp>
        <stp>0</stp>
        <stp>IDX</stp>
        <stp>024</stp>
        <stp>현재가</stp>
        <stp>44790</stp>
        <stp>fill=true</stp>
        <tr r="L27" s="1"/>
        <tr r="L27" s="1"/>
      </tp>
      <tp>
        <v>13641.57</v>
        <stp/>
        <stp>P</stp>
        <stp>0</stp>
        <stp>IDX</stp>
        <stp>025</stp>
        <stp>현재가</stp>
        <stp>44790</stp>
        <stp>fill=true</stp>
        <tr r="L28" s="1"/>
        <tr r="L28" s="1"/>
      </tp>
      <tp>
        <v>1701.68</v>
        <stp/>
        <stp>P</stp>
        <stp>0</stp>
        <stp>IDX</stp>
        <stp>028</stp>
        <stp>현재가</stp>
        <stp>44790</stp>
        <stp>fill=true</stp>
        <tr r="L31" s="1"/>
        <tr r="L31" s="1"/>
      </tp>
      <tp>
        <v>6.04</v>
        <stp/>
        <stp>P</stp>
        <stp>0</stp>
        <stp>OPT</stp>
        <stp>301T9332</stp>
        <stp>현재가</stp>
        <stp>45155</stp>
        <stp/>
        <tr r="K47" s="2"/>
      </tp>
      <tp>
        <v>4.92</v>
        <stp/>
        <stp>P</stp>
        <stp>0</stp>
        <stp>OPT</stp>
        <stp>301T9330</stp>
        <stp>현재가</stp>
        <stp>45155</stp>
        <stp/>
        <tr r="K48" s="2"/>
      </tp>
      <tp>
        <v>9.25</v>
        <stp/>
        <stp>P</stp>
        <stp>0</stp>
        <stp>OPT</stp>
        <stp>301T9337</stp>
        <stp>현재가</stp>
        <stp>45155</stp>
        <stp/>
        <tr r="K45" s="2"/>
      </tp>
      <tp>
        <v>7.41</v>
        <stp/>
        <stp>P</stp>
        <stp>0</stp>
        <stp>OPT</stp>
        <stp>301T9335</stp>
        <stp>현재가</stp>
        <stp>45155</stp>
        <stp/>
        <tr r="K46" s="2"/>
      </tp>
      <tp>
        <v>2.4</v>
        <stp/>
        <stp>P</stp>
        <stp>0</stp>
        <stp>OPT</stp>
        <stp>301T9322</stp>
        <stp>현재가</stp>
        <stp>45155</stp>
        <stp/>
        <tr r="K51" s="2"/>
      </tp>
      <tp>
        <v>1.84</v>
        <stp/>
        <stp>P</stp>
        <stp>0</stp>
        <stp>OPT</stp>
        <stp>301T9320</stp>
        <stp>현재가</stp>
        <stp>45155</stp>
        <stp/>
        <tr r="K52" s="2"/>
      </tp>
      <tp>
        <v>3.91</v>
        <stp/>
        <stp>P</stp>
        <stp>0</stp>
        <stp>OPT</stp>
        <stp>301T9327</stp>
        <stp>현재가</stp>
        <stp>45155</stp>
        <stp/>
        <tr r="K49" s="2"/>
      </tp>
      <tp>
        <v>3.04</v>
        <stp/>
        <stp>P</stp>
        <stp>0</stp>
        <stp>OPT</stp>
        <stp>301T9325</stp>
        <stp>현재가</stp>
        <stp>45155</stp>
        <stp/>
        <tr r="K50" s="2"/>
      </tp>
      <tp>
        <v>11</v>
        <stp/>
        <stp>P</stp>
        <stp>0</stp>
        <stp>OPT</stp>
        <stp>301T9340</stp>
        <stp>현재가</stp>
        <stp>45155</stp>
        <stp/>
        <tr r="K44" s="2"/>
      </tp>
      <tp t="s">
        <v/>
        <stp/>
        <stp>P</stp>
        <stp>0</stp>
        <stp>OPT</stp>
        <stp>201T8265</stp>
        <stp>현재가</stp>
        <stp>45155</stp>
        <stp/>
        <tr r="AR31" s="2"/>
      </tp>
      <tp>
        <v>326.61</v>
        <stp/>
        <stp>P</stp>
        <stp>0</stp>
        <stp>IDX</stp>
        <stp>211</stp>
        <stp>현재가</stp>
        <stp>45063</stp>
        <stp>fill=true</stp>
        <tr r="J9" s="1"/>
        <tr r="J9" s="1"/>
      </tp>
      <tp>
        <v>4.54</v>
        <stp/>
        <stp>P</stp>
        <stp>0</stp>
        <stp>OPT</stp>
        <stp>201T9332</stp>
        <stp>현재가</stp>
        <stp>45155</stp>
        <stp/>
        <tr r="I47" s="2"/>
      </tp>
      <tp>
        <v>5.91</v>
        <stp/>
        <stp>P</stp>
        <stp>0</stp>
        <stp>OPT</stp>
        <stp>201T9330</stp>
        <stp>현재가</stp>
        <stp>45155</stp>
        <stp/>
        <tr r="I48" s="2"/>
      </tp>
      <tp>
        <v>2.54</v>
        <stp/>
        <stp>P</stp>
        <stp>0</stp>
        <stp>OPT</stp>
        <stp>201T9337</stp>
        <stp>현재가</stp>
        <stp>45155</stp>
        <stp/>
        <tr r="I45" s="2"/>
      </tp>
      <tp>
        <v>3.49</v>
        <stp/>
        <stp>P</stp>
        <stp>0</stp>
        <stp>OPT</stp>
        <stp>201T9335</stp>
        <stp>현재가</stp>
        <stp>45155</stp>
        <stp/>
        <tr r="I46" s="2"/>
      </tp>
      <tp>
        <v>10.45</v>
        <stp/>
        <stp>P</stp>
        <stp>0</stp>
        <stp>OPT</stp>
        <stp>201T9322</stp>
        <stp>현재가</stp>
        <stp>45155</stp>
        <stp/>
        <tr r="I51" s="2"/>
      </tp>
      <tp>
        <v>12.45</v>
        <stp/>
        <stp>P</stp>
        <stp>0</stp>
        <stp>OPT</stp>
        <stp>201T9320</stp>
        <stp>현재가</stp>
        <stp>45155</stp>
        <stp/>
        <tr r="I52" s="2"/>
      </tp>
      <tp>
        <v>7.4</v>
        <stp/>
        <stp>P</stp>
        <stp>0</stp>
        <stp>OPT</stp>
        <stp>201T9327</stp>
        <stp>현재가</stp>
        <stp>45155</stp>
        <stp/>
        <tr r="I49" s="2"/>
      </tp>
      <tp>
        <v>8.77</v>
        <stp/>
        <stp>P</stp>
        <stp>0</stp>
        <stp>OPT</stp>
        <stp>201T9325</stp>
        <stp>현재가</stp>
        <stp>45155</stp>
        <stp/>
        <tr r="I50" s="2"/>
      </tp>
      <tp>
        <v>1.79</v>
        <stp/>
        <stp>P</stp>
        <stp>0</stp>
        <stp>OPT</stp>
        <stp>201T9340</stp>
        <stp>현재가</stp>
        <stp>45155</stp>
        <stp/>
        <tr r="I44" s="2"/>
      </tp>
      <tp>
        <v>329.91</v>
        <stp/>
        <stp>P</stp>
        <stp>0</stp>
        <stp>IDX</stp>
        <stp>211</stp>
        <stp>현재가</stp>
        <stp>44790</stp>
        <stp>fill=true</stp>
        <tr r="L9" s="1"/>
        <tr r="L9" s="1"/>
      </tp>
      <tp>
        <v>3737.83</v>
        <stp/>
        <stp>P</stp>
        <stp>0</stp>
        <stp>IDX</stp>
        <stp>005</stp>
        <stp>현재가</stp>
        <stp>45063</stp>
        <stp>fill=true</stp>
        <tr r="J10" s="1"/>
        <tr r="J10" s="1"/>
      </tp>
      <tp>
        <v>390.47</v>
        <stp/>
        <stp>P</stp>
        <stp>0</stp>
        <stp>IDX</stp>
        <stp>007</stp>
        <stp>현재가</stp>
        <stp>45063</stp>
        <stp>fill=true</stp>
        <tr r="J12" s="1"/>
        <tr r="J12" s="1"/>
      </tp>
      <tp>
        <v>400.94</v>
        <stp/>
        <stp>P</stp>
        <stp>0</stp>
        <stp>IDX</stp>
        <stp>006</stp>
        <stp>현재가</stp>
        <stp>45063</stp>
        <stp>fill=true</stp>
        <tr r="J11" s="1"/>
        <tr r="J11" s="1"/>
      </tp>
      <tp>
        <v>2494.66</v>
        <stp/>
        <stp>P</stp>
        <stp>0</stp>
        <stp>IDX</stp>
        <stp>001</stp>
        <stp>현재가</stp>
        <stp>45063</stp>
        <stp>fill=true</stp>
        <tr r="J8" s="1"/>
        <tr r="J8" s="1"/>
      </tp>
      <tp>
        <v>13495</v>
        <stp/>
        <stp>P</stp>
        <stp>0</stp>
        <stp>IDX</stp>
        <stp>009</stp>
        <stp>현재가</stp>
        <stp>45063</stp>
        <stp>fill=true</stp>
        <tr r="J14" s="1"/>
        <tr r="J14" s="1"/>
      </tp>
      <tp>
        <v>5549.44</v>
        <stp/>
        <stp>P</stp>
        <stp>0</stp>
        <stp>IDX</stp>
        <stp>008</stp>
        <stp>현재가</stp>
        <stp>45063</stp>
        <stp>fill=true</stp>
        <tr r="J13" s="1"/>
        <tr r="J13" s="1"/>
      </tp>
      <tp>
        <v>2137.38</v>
        <stp/>
        <stp>P</stp>
        <stp>0</stp>
        <stp>IDX</stp>
        <stp>015</stp>
        <stp>현재가</stp>
        <stp>45063</stp>
        <stp>fill=true</stp>
        <tr r="J20" s="1"/>
        <tr r="J20" s="1"/>
      </tp>
      <tp>
        <v>1922.82</v>
        <stp/>
        <stp>P</stp>
        <stp>0</stp>
        <stp>IDX</stp>
        <stp>014</stp>
        <stp>현재가</stp>
        <stp>45063</stp>
        <stp>fill=true</stp>
        <tr r="J19" s="1"/>
        <tr r="J19" s="1"/>
      </tp>
      <tp>
        <v>624.04999999999995</v>
        <stp/>
        <stp>P</stp>
        <stp>0</stp>
        <stp>IDX</stp>
        <stp>017</stp>
        <stp>현재가</stp>
        <stp>45063</stp>
        <stp>fill=true</stp>
        <tr r="J22" s="1"/>
        <tr r="J22" s="1"/>
      </tp>
      <tp>
        <v>330.37</v>
        <stp/>
        <stp>P</stp>
        <stp>0</stp>
        <stp>IDX</stp>
        <stp>016</stp>
        <stp>현재가</stp>
        <stp>45063</stp>
        <stp>fill=true</stp>
        <tr r="J21" s="1"/>
        <tr r="J21" s="1"/>
      </tp>
      <tp>
        <v>5173.12</v>
        <stp/>
        <stp>P</stp>
        <stp>0</stp>
        <stp>IDX</stp>
        <stp>011</stp>
        <stp>현재가</stp>
        <stp>45063</stp>
        <stp>fill=true</stp>
        <tr r="J16" s="1"/>
        <tr r="J16" s="1"/>
      </tp>
      <tp>
        <v>4033.16</v>
        <stp/>
        <stp>P</stp>
        <stp>0</stp>
        <stp>IDX</stp>
        <stp>010</stp>
        <stp>현재가</stp>
        <stp>45063</stp>
        <stp>fill=true</stp>
        <tr r="J15" s="1"/>
        <tr r="J15" s="1"/>
      </tp>
      <tp>
        <v>25456.38</v>
        <stp/>
        <stp>P</stp>
        <stp>0</stp>
        <stp>IDX</stp>
        <stp>013</stp>
        <stp>현재가</stp>
        <stp>45063</stp>
        <stp>fill=true</stp>
        <tr r="J18" s="1"/>
        <tr r="J18" s="1"/>
      </tp>
      <tp>
        <v>1039.29</v>
        <stp/>
        <stp>P</stp>
        <stp>0</stp>
        <stp>IDX</stp>
        <stp>012</stp>
        <stp>현재가</stp>
        <stp>45063</stp>
        <stp>fill=true</stp>
        <tr r="J17" s="1"/>
        <tr r="J17" s="1"/>
      </tp>
      <tp>
        <v>1539.67</v>
        <stp/>
        <stp>P</stp>
        <stp>0</stp>
        <stp>IDX</stp>
        <stp>019</stp>
        <stp>현재가</stp>
        <stp>45063</stp>
        <stp>fill=true</stp>
        <tr r="J24" s="1"/>
        <tr r="J24" s="1"/>
      </tp>
      <tp>
        <v>75.87</v>
        <stp/>
        <stp>P</stp>
        <stp>0</stp>
        <stp>IDX</stp>
        <stp>018</stp>
        <stp>현재가</stp>
        <stp>45063</stp>
        <stp>fill=true</stp>
        <tr r="J23" s="1"/>
        <tr r="J23" s="1"/>
      </tp>
      <tp>
        <v>15236.56</v>
        <stp/>
        <stp>P</stp>
        <stp>0</stp>
        <stp>IDX</stp>
        <stp>025</stp>
        <stp>현재가</stp>
        <stp>45063</stp>
        <stp>fill=true</stp>
        <tr r="J28" s="1"/>
        <tr r="J28" s="1"/>
      </tp>
      <tp>
        <v>1722.66</v>
        <stp/>
        <stp>P</stp>
        <stp>0</stp>
        <stp>IDX</stp>
        <stp>024</stp>
        <stp>현재가</stp>
        <stp>45063</stp>
        <stp>fill=true</stp>
        <tr r="J27" s="1"/>
        <tr r="J27" s="1"/>
      </tp>
      <tp>
        <v>6698.78</v>
        <stp/>
        <stp>P</stp>
        <stp>0</stp>
        <stp>IDX</stp>
        <stp>027</stp>
        <stp>현재가</stp>
        <stp>45063</stp>
        <stp>fill=true</stp>
        <tr r="J30" s="1"/>
        <tr r="J30" s="1"/>
      </tp>
      <tp>
        <v>1179.82</v>
        <stp/>
        <stp>P</stp>
        <stp>0</stp>
        <stp>IDX</stp>
        <stp>026</stp>
        <stp>현재가</stp>
        <stp>45063</stp>
        <stp>fill=true</stp>
        <tr r="J29" s="1"/>
        <tr r="J29" s="1"/>
      </tp>
      <tp>
        <v>353.85</v>
        <stp/>
        <stp>P</stp>
        <stp>0</stp>
        <stp>IDX</stp>
        <stp>021</stp>
        <stp>현재가</stp>
        <stp>45063</stp>
        <stp>fill=true</stp>
        <tr r="J26" s="1"/>
        <tr r="J26" s="1"/>
      </tp>
      <tp>
        <v>367.32</v>
        <stp/>
        <stp>P</stp>
        <stp>0</stp>
        <stp>IDX</stp>
        <stp>020</stp>
        <stp>현재가</stp>
        <stp>45063</stp>
        <stp>fill=true</stp>
        <tr r="J25" s="1"/>
        <tr r="J25" s="1"/>
      </tp>
      <tp>
        <v>1474.79</v>
        <stp/>
        <stp>P</stp>
        <stp>0</stp>
        <stp>IDX</stp>
        <stp>028</stp>
        <stp>현재가</stp>
        <stp>45063</stp>
        <stp>fill=true</stp>
        <tr r="J31" s="1"/>
        <tr r="J31" s="1"/>
      </tp>
      <tp>
        <v>3380.93</v>
        <stp/>
        <stp>P</stp>
        <stp>0</stp>
        <stp>IDX</stp>
        <stp>005</stp>
        <stp>현재가</stp>
        <stp>45124</stp>
        <stp>fill=true</stp>
        <tr r="I10" s="1"/>
        <tr r="I10" s="1"/>
      </tp>
      <tp>
        <v>343.05</v>
        <stp/>
        <stp>P</stp>
        <stp>0</stp>
        <stp>IDX</stp>
        <stp>006</stp>
        <stp>현재가</stp>
        <stp>45124</stp>
        <stp>fill=true</stp>
        <tr r="I11" s="1"/>
        <tr r="I11" s="1"/>
      </tp>
      <tp>
        <v>445.88</v>
        <stp/>
        <stp>P</stp>
        <stp>0</stp>
        <stp>IDX</stp>
        <stp>007</stp>
        <stp>현재가</stp>
        <stp>45124</stp>
        <stp>fill=true</stp>
        <tr r="I12" s="1"/>
        <tr r="I12" s="1"/>
      </tp>
      <tp>
        <v>77.540000000000006</v>
        <stp/>
        <stp>P</stp>
        <stp>0</stp>
        <stp>IDX</stp>
        <stp>018</stp>
        <stp>현재가</stp>
        <stp>44974</stp>
        <stp>fill=true</stp>
        <tr r="K23" s="1"/>
        <tr r="K23" s="1"/>
      </tp>
      <tp>
        <v>2619</v>
        <stp/>
        <stp>P</stp>
        <stp>0</stp>
        <stp>IDX</stp>
        <stp>001</stp>
        <stp>현재가</stp>
        <stp>45124</stp>
        <stp>fill=true</stp>
        <tr r="I8" s="1"/>
        <tr r="I8" s="1"/>
      </tp>
      <tp>
        <v>1716.46</v>
        <stp/>
        <stp>P</stp>
        <stp>0</stp>
        <stp>IDX</stp>
        <stp>019</stp>
        <stp>현재가</stp>
        <stp>44974</stp>
        <stp>fill=true</stp>
        <tr r="K24" s="1"/>
        <tr r="K24" s="1"/>
      </tp>
      <tp>
        <v>2172.58</v>
        <stp/>
        <stp>P</stp>
        <stp>0</stp>
        <stp>IDX</stp>
        <stp>014</stp>
        <stp>현재가</stp>
        <stp>44974</stp>
        <stp>fill=true</stp>
        <tr r="K19" s="1"/>
        <tr r="K19" s="1"/>
      </tp>
      <tp>
        <v>1936.82</v>
        <stp/>
        <stp>P</stp>
        <stp>0</stp>
        <stp>IDX</stp>
        <stp>015</stp>
        <stp>현재가</stp>
        <stp>44974</stp>
        <stp>fill=true</stp>
        <tr r="K20" s="1"/>
        <tr r="K20" s="1"/>
      </tp>
      <tp>
        <v>341.22</v>
        <stp/>
        <stp>P</stp>
        <stp>0</stp>
        <stp>IDX</stp>
        <stp>016</stp>
        <stp>현재가</stp>
        <stp>44974</stp>
        <stp>fill=true</stp>
        <tr r="K21" s="1"/>
        <tr r="K21" s="1"/>
      </tp>
      <tp>
        <v>774.15</v>
        <stp/>
        <stp>P</stp>
        <stp>0</stp>
        <stp>IDX</stp>
        <stp>017</stp>
        <stp>현재가</stp>
        <stp>44974</stp>
        <stp>fill=true</stp>
        <tr r="K22" s="1"/>
        <tr r="K22" s="1"/>
      </tp>
      <tp>
        <v>5512.02</v>
        <stp/>
        <stp>P</stp>
        <stp>0</stp>
        <stp>IDX</stp>
        <stp>008</stp>
        <stp>현재가</stp>
        <stp>45124</stp>
        <stp>fill=true</stp>
        <tr r="I13" s="1"/>
        <tr r="I13" s="1"/>
      </tp>
      <tp>
        <v>3079.47</v>
        <stp/>
        <stp>P</stp>
        <stp>0</stp>
        <stp>IDX</stp>
        <stp>010</stp>
        <stp>현재가</stp>
        <stp>44974</stp>
        <stp>fill=true</stp>
        <tr r="K15" s="1"/>
        <tr r="K15" s="1"/>
      </tp>
      <tp>
        <v>12567.57</v>
        <stp/>
        <stp>P</stp>
        <stp>0</stp>
        <stp>IDX</stp>
        <stp>009</stp>
        <stp>현재가</stp>
        <stp>45124</stp>
        <stp>fill=true</stp>
        <tr r="I14" s="1"/>
        <tr r="I14" s="1"/>
      </tp>
      <tp>
        <v>4959.9799999999996</v>
        <stp/>
        <stp>P</stp>
        <stp>0</stp>
        <stp>IDX</stp>
        <stp>011</stp>
        <stp>현재가</stp>
        <stp>44974</stp>
        <stp>fill=true</stp>
        <tr r="K16" s="1"/>
        <tr r="K16" s="1"/>
      </tp>
      <tp>
        <v>951.56</v>
        <stp/>
        <stp>P</stp>
        <stp>0</stp>
        <stp>IDX</stp>
        <stp>012</stp>
        <stp>현재가</stp>
        <stp>44974</stp>
        <stp>fill=true</stp>
        <tr r="K17" s="1"/>
        <tr r="K17" s="1"/>
      </tp>
      <tp>
        <v>24743</v>
        <stp/>
        <stp>P</stp>
        <stp>0</stp>
        <stp>IDX</stp>
        <stp>013</stp>
        <stp>현재가</stp>
        <stp>44974</stp>
        <stp>fill=true</stp>
        <tr r="K18" s="1"/>
        <tr r="K18" s="1"/>
      </tp>
      <tp>
        <v>1680.11</v>
        <stp/>
        <stp>P</stp>
        <stp>0</stp>
        <stp>IDX</stp>
        <stp>014</stp>
        <stp>현재가</stp>
        <stp>45124</stp>
        <stp>fill=true</stp>
        <tr r="I19" s="1"/>
        <tr r="I19" s="1"/>
      </tp>
      <tp>
        <v>2336.64</v>
        <stp/>
        <stp>P</stp>
        <stp>0</stp>
        <stp>IDX</stp>
        <stp>015</stp>
        <stp>현재가</stp>
        <stp>45124</stp>
        <stp>fill=true</stp>
        <tr r="I20" s="1"/>
        <tr r="I20" s="1"/>
      </tp>
      <tp>
        <v>341.63</v>
        <stp/>
        <stp>P</stp>
        <stp>0</stp>
        <stp>IDX</stp>
        <stp>016</stp>
        <stp>현재가</stp>
        <stp>45124</stp>
        <stp>fill=true</stp>
        <tr r="I21" s="1"/>
        <tr r="I21" s="1"/>
      </tp>
      <tp>
        <v>650.66999999999996</v>
        <stp/>
        <stp>P</stp>
        <stp>0</stp>
        <stp>IDX</stp>
        <stp>017</stp>
        <stp>현재가</stp>
        <stp>45124</stp>
        <stp>fill=true</stp>
        <tr r="I22" s="1"/>
        <tr r="I22" s="1"/>
      </tp>
      <tp>
        <v>4039.39</v>
        <stp/>
        <stp>P</stp>
        <stp>0</stp>
        <stp>IDX</stp>
        <stp>010</stp>
        <stp>현재가</stp>
        <stp>45124</stp>
        <stp>fill=true</stp>
        <tr r="I15" s="1"/>
        <tr r="I15" s="1"/>
      </tp>
      <tp>
        <v>5532.3</v>
        <stp/>
        <stp>P</stp>
        <stp>0</stp>
        <stp>IDX</stp>
        <stp>008</stp>
        <stp>현재가</stp>
        <stp>44974</stp>
        <stp>fill=true</stp>
        <tr r="K13" s="1"/>
        <tr r="K13" s="1"/>
      </tp>
      <tp>
        <v>5970.26</v>
        <stp/>
        <stp>P</stp>
        <stp>0</stp>
        <stp>IDX</stp>
        <stp>011</stp>
        <stp>현재가</stp>
        <stp>45124</stp>
        <stp>fill=true</stp>
        <tr r="I16" s="1"/>
        <tr r="I16" s="1"/>
      </tp>
      <tp>
        <v>13249.05</v>
        <stp/>
        <stp>P</stp>
        <stp>0</stp>
        <stp>IDX</stp>
        <stp>009</stp>
        <stp>현재가</stp>
        <stp>44974</stp>
        <stp>fill=true</stp>
        <tr r="K14" s="1"/>
        <tr r="K14" s="1"/>
      </tp>
      <tp>
        <v>1229.58</v>
        <stp/>
        <stp>P</stp>
        <stp>0</stp>
        <stp>IDX</stp>
        <stp>012</stp>
        <stp>현재가</stp>
        <stp>45124</stp>
        <stp>fill=true</stp>
        <tr r="I17" s="1"/>
        <tr r="I17" s="1"/>
      </tp>
      <tp>
        <v>28216.04</v>
        <stp/>
        <stp>P</stp>
        <stp>0</stp>
        <stp>IDX</stp>
        <stp>013</stp>
        <stp>현재가</stp>
        <stp>45124</stp>
        <stp>fill=true</stp>
        <tr r="I18" s="1"/>
        <tr r="I18" s="1"/>
      </tp>
      <tp>
        <v>3718.18</v>
        <stp/>
        <stp>P</stp>
        <stp>0</stp>
        <stp>IDX</stp>
        <stp>005</stp>
        <stp>현재가</stp>
        <stp>44974</stp>
        <stp>fill=true</stp>
        <tr r="K10" s="1"/>
        <tr r="K10" s="1"/>
      </tp>
      <tp>
        <v>420.73</v>
        <stp/>
        <stp>P</stp>
        <stp>0</stp>
        <stp>IDX</stp>
        <stp>006</stp>
        <stp>현재가</stp>
        <stp>44974</stp>
        <stp>fill=true</stp>
        <tr r="K11" s="1"/>
        <tr r="K11" s="1"/>
      </tp>
      <tp>
        <v>355.3</v>
        <stp/>
        <stp>P</stp>
        <stp>0</stp>
        <stp>IDX</stp>
        <stp>007</stp>
        <stp>현재가</stp>
        <stp>44974</stp>
        <stp>fill=true</stp>
        <tr r="K12" s="1"/>
        <tr r="K12" s="1"/>
      </tp>
      <tp>
        <v>77.64</v>
        <stp/>
        <stp>P</stp>
        <stp>0</stp>
        <stp>IDX</stp>
        <stp>018</stp>
        <stp>현재가</stp>
        <stp>45124</stp>
        <stp>fill=true</stp>
        <tr r="I23" s="1"/>
        <tr r="I23" s="1"/>
      </tp>
      <tp>
        <v>1685.6</v>
        <stp/>
        <stp>P</stp>
        <stp>0</stp>
        <stp>IDX</stp>
        <stp>019</stp>
        <stp>현재가</stp>
        <stp>45124</stp>
        <stp>fill=true</stp>
        <tr r="I24" s="1"/>
        <tr r="I24" s="1"/>
      </tp>
      <tp>
        <v>2451.21</v>
        <stp/>
        <stp>P</stp>
        <stp>0</stp>
        <stp>IDX</stp>
        <stp>001</stp>
        <stp>현재가</stp>
        <stp>44974</stp>
        <stp>fill=true</stp>
        <tr r="K8" s="1"/>
        <tr r="K8" s="1"/>
      </tp>
      <tp>
        <v>1762.84</v>
        <stp/>
        <stp>P</stp>
        <stp>0</stp>
        <stp>IDX</stp>
        <stp>024</stp>
        <stp>현재가</stp>
        <stp>45124</stp>
        <stp>fill=true</stp>
        <tr r="I27" s="1"/>
        <tr r="I27" s="1"/>
      </tp>
      <tp>
        <v>15394.15</v>
        <stp/>
        <stp>P</stp>
        <stp>0</stp>
        <stp>IDX</stp>
        <stp>025</stp>
        <stp>현재가</stp>
        <stp>45124</stp>
        <stp>fill=true</stp>
        <tr r="I28" s="1"/>
        <tr r="I28" s="1"/>
      </tp>
      <tp>
        <v>1131.57</v>
        <stp/>
        <stp>P</stp>
        <stp>0</stp>
        <stp>IDX</stp>
        <stp>026</stp>
        <stp>현재가</stp>
        <stp>45124</stp>
        <stp>fill=true</stp>
        <tr r="I29" s="1"/>
        <tr r="I29" s="1"/>
      </tp>
      <tp>
        <v>7185.25</v>
        <stp/>
        <stp>P</stp>
        <stp>0</stp>
        <stp>IDX</stp>
        <stp>027</stp>
        <stp>현재가</stp>
        <stp>45124</stp>
        <stp>fill=true</stp>
        <tr r="I30" s="1"/>
        <tr r="I30" s="1"/>
      </tp>
      <tp>
        <v>345.53</v>
        <stp/>
        <stp>P</stp>
        <stp>0</stp>
        <stp>IDX</stp>
        <stp>020</stp>
        <stp>현재가</stp>
        <stp>45124</stp>
        <stp>fill=true</stp>
        <tr r="I25" s="1"/>
        <tr r="I25" s="1"/>
      </tp>
      <tp>
        <v>352.61</v>
        <stp/>
        <stp>P</stp>
        <stp>0</stp>
        <stp>IDX</stp>
        <stp>021</stp>
        <stp>현재가</stp>
        <stp>45124</stp>
        <stp>fill=true</stp>
        <tr r="I26" s="1"/>
        <tr r="I26" s="1"/>
      </tp>
      <tp>
        <v>1443.82</v>
        <stp/>
        <stp>P</stp>
        <stp>0</stp>
        <stp>IDX</stp>
        <stp>028</stp>
        <stp>현재가</stp>
        <stp>45124</stp>
        <stp>fill=true</stp>
        <tr r="I31" s="1"/>
        <tr r="I31" s="1"/>
      </tp>
      <tp>
        <v>1486.55</v>
        <stp/>
        <stp>P</stp>
        <stp>0</stp>
        <stp>IDX</stp>
        <stp>028</stp>
        <stp>현재가</stp>
        <stp>44974</stp>
        <stp>fill=true</stp>
        <tr r="K31" s="1"/>
        <tr r="K31" s="1"/>
      </tp>
      <tp>
        <v>1797.7</v>
        <stp/>
        <stp>P</stp>
        <stp>0</stp>
        <stp>IDX</stp>
        <stp>024</stp>
        <stp>현재가</stp>
        <stp>44974</stp>
        <stp>fill=true</stp>
        <tr r="K27" s="1"/>
        <tr r="K27" s="1"/>
      </tp>
      <tp>
        <v>14554.78</v>
        <stp/>
        <stp>P</stp>
        <stp>0</stp>
        <stp>IDX</stp>
        <stp>025</stp>
        <stp>현재가</stp>
        <stp>44974</stp>
        <stp>fill=true</stp>
        <tr r="K28" s="1"/>
        <tr r="K28" s="1"/>
      </tp>
      <tp>
        <v>1198.55</v>
        <stp/>
        <stp>P</stp>
        <stp>0</stp>
        <stp>IDX</stp>
        <stp>026</stp>
        <stp>현재가</stp>
        <stp>44974</stp>
        <stp>fill=true</stp>
        <tr r="K29" s="1"/>
        <tr r="K29" s="1"/>
      </tp>
      <tp>
        <v>6452.32</v>
        <stp/>
        <stp>P</stp>
        <stp>0</stp>
        <stp>IDX</stp>
        <stp>027</stp>
        <stp>현재가</stp>
        <stp>44974</stp>
        <stp>fill=true</stp>
        <tr r="K30" s="1"/>
        <tr r="K30" s="1"/>
      </tp>
      <tp>
        <v>354.96</v>
        <stp/>
        <stp>P</stp>
        <stp>0</stp>
        <stp>IDX</stp>
        <stp>020</stp>
        <stp>현재가</stp>
        <stp>44974</stp>
        <stp>fill=true</stp>
        <tr r="K25" s="1"/>
        <tr r="K25" s="1"/>
      </tp>
      <tp>
        <v>359.99</v>
        <stp/>
        <stp>P</stp>
        <stp>0</stp>
        <stp>IDX</stp>
        <stp>021</stp>
        <stp>현재가</stp>
        <stp>44974</stp>
        <stp>fill=true</stp>
        <tr r="K26" s="1"/>
        <tr r="K26" s="1"/>
      </tp>
      <tp>
        <v>320.77999999999997</v>
        <stp/>
        <stp>P</stp>
        <stp>0</stp>
        <stp>IDX</stp>
        <stp>211</stp>
        <stp>현재가</stp>
        <stp>44974</stp>
        <stp>fill=true</stp>
        <tr r="K9" s="1"/>
        <tr r="K9" s="1"/>
      </tp>
      <tp>
        <v>345.75</v>
        <stp/>
        <stp>P</stp>
        <stp>0</stp>
        <stp>IDX</stp>
        <stp>211</stp>
        <stp>현재가</stp>
        <stp>45124</stp>
        <stp>fill=true</stp>
        <tr r="I9" s="1"/>
        <tr r="I9" s="1"/>
      </tp>
      <tp>
        <v>-1.05</v>
        <stp/>
        <stp>P</stp>
        <stp>0</stp>
        <stp>IDX</stp>
        <stp>211</stp>
        <stp>전일대비</stp>
        <stp>45155</stp>
        <stp/>
        <tr r="F9" s="1"/>
      </tp>
      <tp>
        <v>-0.76</v>
        <stp/>
        <stp>P</stp>
        <stp>0</stp>
        <stp>IDX</stp>
        <stp>020</stp>
        <stp>전일대비</stp>
        <stp>45155</stp>
        <stp/>
        <tr r="F25" s="1"/>
      </tp>
      <tp>
        <v>-2.33</v>
        <stp/>
        <stp>P</stp>
        <stp>0</stp>
        <stp>IDX</stp>
        <stp>021</stp>
        <stp>전일대비</stp>
        <stp>45155</stp>
        <stp/>
        <tr r="F26" s="1"/>
      </tp>
      <tp>
        <v>-1.31</v>
        <stp/>
        <stp>P</stp>
        <stp>0</stp>
        <stp>IDX</stp>
        <stp>024</stp>
        <stp>전일대비</stp>
        <stp>45155</stp>
        <stp/>
        <tr r="F27" s="1"/>
      </tp>
      <tp>
        <v>-105.91</v>
        <stp/>
        <stp>P</stp>
        <stp>0</stp>
        <stp>IDX</stp>
        <stp>025</stp>
        <stp>전일대비</stp>
        <stp>45155</stp>
        <stp/>
        <tr r="F28" s="1"/>
      </tp>
      <tp>
        <v>-16.100000000000001</v>
        <stp/>
        <stp>P</stp>
        <stp>0</stp>
        <stp>IDX</stp>
        <stp>026</stp>
        <stp>전일대비</stp>
        <stp>45155</stp>
        <stp/>
        <tr r="F29" s="1"/>
      </tp>
      <tp>
        <v>1.47</v>
        <stp/>
        <stp>P</stp>
        <stp>0</stp>
        <stp>IDX</stp>
        <stp>027</stp>
        <stp>전일대비</stp>
        <stp>45155</stp>
        <stp/>
        <tr r="F30" s="1"/>
      </tp>
      <tp>
        <v>-14.99</v>
        <stp/>
        <stp>P</stp>
        <stp>0</stp>
        <stp>IDX</stp>
        <stp>028</stp>
        <stp>전일대비</stp>
        <stp>45155</stp>
        <stp/>
        <tr r="F31" s="1"/>
      </tp>
      <tp>
        <v>-19.25</v>
        <stp/>
        <stp>P</stp>
        <stp>0</stp>
        <stp>IDX</stp>
        <stp>010</stp>
        <stp>전일대비</stp>
        <stp>45155</stp>
        <stp/>
        <tr r="F15" s="1"/>
      </tp>
      <tp>
        <v>13.6</v>
        <stp/>
        <stp>P</stp>
        <stp>0</stp>
        <stp>IDX</stp>
        <stp>011</stp>
        <stp>전일대비</stp>
        <stp>45155</stp>
        <stp/>
        <tr r="F16" s="1"/>
      </tp>
      <tp>
        <v>1.53</v>
        <stp/>
        <stp>P</stp>
        <stp>0</stp>
        <stp>IDX</stp>
        <stp>012</stp>
        <stp>전일대비</stp>
        <stp>45155</stp>
        <stp/>
        <tr r="F17" s="1"/>
      </tp>
      <tp>
        <v>86.14</v>
        <stp/>
        <stp>P</stp>
        <stp>0</stp>
        <stp>IDX</stp>
        <stp>013</stp>
        <stp>전일대비</stp>
        <stp>45155</stp>
        <stp/>
        <tr r="F18" s="1"/>
      </tp>
      <tp>
        <v>16.12</v>
        <stp/>
        <stp>P</stp>
        <stp>0</stp>
        <stp>IDX</stp>
        <stp>014</stp>
        <stp>전일대비</stp>
        <stp>45155</stp>
        <stp/>
        <tr r="F19" s="1"/>
      </tp>
      <tp>
        <v>-8.0399999999999991</v>
        <stp/>
        <stp>P</stp>
        <stp>0</stp>
        <stp>IDX</stp>
        <stp>015</stp>
        <stp>전일대비</stp>
        <stp>45155</stp>
        <stp/>
        <tr r="F20" s="1"/>
      </tp>
      <tp>
        <v>-2.5</v>
        <stp/>
        <stp>P</stp>
        <stp>0</stp>
        <stp>IDX</stp>
        <stp>016</stp>
        <stp>전일대비</stp>
        <stp>45155</stp>
        <stp/>
        <tr r="F21" s="1"/>
      </tp>
      <tp>
        <v>-6.34</v>
        <stp/>
        <stp>P</stp>
        <stp>0</stp>
        <stp>IDX</stp>
        <stp>017</stp>
        <stp>전일대비</stp>
        <stp>45155</stp>
        <stp/>
        <tr r="F22" s="1"/>
      </tp>
      <tp>
        <v>-0.34</v>
        <stp/>
        <stp>P</stp>
        <stp>0</stp>
        <stp>IDX</stp>
        <stp>018</stp>
        <stp>전일대비</stp>
        <stp>45155</stp>
        <stp/>
        <tr r="F23" s="1"/>
      </tp>
      <tp>
        <v>-3.9</v>
        <stp/>
        <stp>P</stp>
        <stp>0</stp>
        <stp>IDX</stp>
        <stp>019</stp>
        <stp>전일대비</stp>
        <stp>45155</stp>
        <stp/>
        <tr r="F24" s="1"/>
      </tp>
      <tp>
        <v>-5.79</v>
        <stp/>
        <stp>P</stp>
        <stp>0</stp>
        <stp>IDX</stp>
        <stp>001</stp>
        <stp>전일대비</stp>
        <stp>45155</stp>
        <stp/>
        <tr r="F8" s="1"/>
      </tp>
      <tp>
        <v>-16.47</v>
        <stp/>
        <stp>P</stp>
        <stp>0</stp>
        <stp>IDX</stp>
        <stp>005</stp>
        <stp>전일대비</stp>
        <stp>45155</stp>
        <stp/>
        <tr r="F10" s="1"/>
      </tp>
      <tp>
        <v>-3.55</v>
        <stp/>
        <stp>P</stp>
        <stp>0</stp>
        <stp>IDX</stp>
        <stp>006</stp>
        <stp>전일대비</stp>
        <stp>45155</stp>
        <stp/>
        <tr r="F11" s="1"/>
      </tp>
      <tp>
        <v>-6.18</v>
        <stp/>
        <stp>P</stp>
        <stp>0</stp>
        <stp>IDX</stp>
        <stp>007</stp>
        <stp>전일대비</stp>
        <stp>45155</stp>
        <stp/>
        <tr r="F12" s="1"/>
      </tp>
      <tp>
        <v>-3.14</v>
        <stp/>
        <stp>P</stp>
        <stp>0</stp>
        <stp>IDX</stp>
        <stp>008</stp>
        <stp>전일대비</stp>
        <stp>45155</stp>
        <stp/>
        <tr r="F13" s="1"/>
      </tp>
      <tp>
        <v>-168.74</v>
        <stp/>
        <stp>P</stp>
        <stp>0</stp>
        <stp>IDX</stp>
        <stp>009</stp>
        <stp>전일대비</stp>
        <stp>45155</stp>
        <stp/>
        <tr r="F14" s="1"/>
      </tp>
      <tp>
        <v>-0.32</v>
        <stp/>
        <stp>P</stp>
        <stp>0</stp>
        <stp>IDX</stp>
        <stp>211</stp>
        <stp>등락률</stp>
        <stp>45155</stp>
        <stp/>
        <tr r="G9" s="1"/>
      </tp>
      <tp>
        <v>-0.06</v>
        <stp/>
        <stp>P</stp>
        <stp>0</stp>
        <stp>IDX</stp>
        <stp>008</stp>
        <stp>등락률</stp>
        <stp>45155</stp>
        <stp/>
        <tr r="G13" s="1"/>
      </tp>
      <tp>
        <v>-1.28</v>
        <stp/>
        <stp>P</stp>
        <stp>0</stp>
        <stp>IDX</stp>
        <stp>009</stp>
        <stp>등락률</stp>
        <stp>45155</stp>
        <stp/>
        <tr r="G14" s="1"/>
      </tp>
      <tp>
        <v>-0.23</v>
        <stp/>
        <stp>P</stp>
        <stp>0</stp>
        <stp>IDX</stp>
        <stp>001</stp>
        <stp>등락률</stp>
        <stp>45155</stp>
        <stp/>
        <tr r="G8" s="1"/>
      </tp>
      <tp>
        <v>-1.0900000000000001</v>
        <stp/>
        <stp>P</stp>
        <stp>0</stp>
        <stp>IDX</stp>
        <stp>006</stp>
        <stp>등락률</stp>
        <stp>45155</stp>
        <stp/>
        <tr r="G11" s="1"/>
      </tp>
      <tp>
        <v>-1.18</v>
        <stp/>
        <stp>P</stp>
        <stp>0</stp>
        <stp>IDX</stp>
        <stp>007</stp>
        <stp>등락률</stp>
        <stp>45155</stp>
        <stp/>
        <tr r="G12" s="1"/>
      </tp>
      <tp>
        <v>-0.46</v>
        <stp/>
        <stp>P</stp>
        <stp>0</stp>
        <stp>IDX</stp>
        <stp>005</stp>
        <stp>등락률</stp>
        <stp>45155</stp>
        <stp/>
        <tr r="G10" s="1"/>
      </tp>
      <tp>
        <v>-0.48</v>
        <stp/>
        <stp>P</stp>
        <stp>0</stp>
        <stp>IDX</stp>
        <stp>018</stp>
        <stp>등락률</stp>
        <stp>45155</stp>
        <stp/>
        <tr r="G23" s="1"/>
      </tp>
      <tp>
        <v>-0.25</v>
        <stp/>
        <stp>P</stp>
        <stp>0</stp>
        <stp>IDX</stp>
        <stp>019</stp>
        <stp>등락률</stp>
        <stp>45155</stp>
        <stp/>
        <tr r="G24" s="1"/>
      </tp>
      <tp>
        <v>0.13</v>
        <stp/>
        <stp>P</stp>
        <stp>0</stp>
        <stp>IDX</stp>
        <stp>012</stp>
        <stp>등락률</stp>
        <stp>45155</stp>
        <stp/>
        <tr r="G17" s="1"/>
      </tp>
      <tp>
        <v>0.33</v>
        <stp/>
        <stp>P</stp>
        <stp>0</stp>
        <stp>IDX</stp>
        <stp>013</stp>
        <stp>등락률</stp>
        <stp>45155</stp>
        <stp/>
        <tr r="G18" s="1"/>
      </tp>
      <tp>
        <v>-0.49</v>
        <stp/>
        <stp>P</stp>
        <stp>0</stp>
        <stp>IDX</stp>
        <stp>010</stp>
        <stp>등락률</stp>
        <stp>45155</stp>
        <stp/>
        <tr r="G15" s="1"/>
      </tp>
      <tp>
        <v>0.21</v>
        <stp/>
        <stp>P</stp>
        <stp>0</stp>
        <stp>IDX</stp>
        <stp>011</stp>
        <stp>등락률</stp>
        <stp>45155</stp>
        <stp/>
        <tr r="G16" s="1"/>
      </tp>
      <tp>
        <v>-0.65</v>
        <stp/>
        <stp>P</stp>
        <stp>0</stp>
        <stp>IDX</stp>
        <stp>016</stp>
        <stp>등락률</stp>
        <stp>45155</stp>
        <stp/>
        <tr r="G21" s="1"/>
      </tp>
      <tp>
        <v>-1.04</v>
        <stp/>
        <stp>P</stp>
        <stp>0</stp>
        <stp>IDX</stp>
        <stp>017</stp>
        <stp>등락률</stp>
        <stp>45155</stp>
        <stp/>
        <tr r="G22" s="1"/>
      </tp>
      <tp>
        <v>1.05</v>
        <stp/>
        <stp>P</stp>
        <stp>0</stp>
        <stp>IDX</stp>
        <stp>014</stp>
        <stp>등락률</stp>
        <stp>45155</stp>
        <stp/>
        <tr r="G19" s="1"/>
      </tp>
      <tp>
        <v>-0.38</v>
        <stp/>
        <stp>P</stp>
        <stp>0</stp>
        <stp>IDX</stp>
        <stp>015</stp>
        <stp>등락률</stp>
        <stp>45155</stp>
        <stp/>
        <tr r="G20" s="1"/>
      </tp>
      <tp>
        <v>-1.1100000000000001</v>
        <stp/>
        <stp>P</stp>
        <stp>0</stp>
        <stp>IDX</stp>
        <stp>028</stp>
        <stp>등락률</stp>
        <stp>45155</stp>
        <stp/>
        <tr r="G31" s="1"/>
      </tp>
      <tp>
        <v>-0.21</v>
        <stp/>
        <stp>P</stp>
        <stp>0</stp>
        <stp>IDX</stp>
        <stp>020</stp>
        <stp>등락률</stp>
        <stp>45155</stp>
        <stp/>
        <tr r="G25" s="1"/>
      </tp>
      <tp>
        <v>-0.66</v>
        <stp/>
        <stp>P</stp>
        <stp>0</stp>
        <stp>IDX</stp>
        <stp>021</stp>
        <stp>등락률</stp>
        <stp>45155</stp>
        <stp/>
        <tr r="G26" s="1"/>
      </tp>
      <tp>
        <v>-1.43</v>
        <stp/>
        <stp>P</stp>
        <stp>0</stp>
        <stp>IDX</stp>
        <stp>026</stp>
        <stp>등락률</stp>
        <stp>45155</stp>
        <stp/>
        <tr r="G29" s="1"/>
      </tp>
      <tp>
        <v>0.02</v>
        <stp/>
        <stp>P</stp>
        <stp>0</stp>
        <stp>IDX</stp>
        <stp>027</stp>
        <stp>등락률</stp>
        <stp>45155</stp>
        <stp/>
        <tr r="G30" s="1"/>
      </tp>
      <tp>
        <v>-7.0000000000000007E-2</v>
        <stp/>
        <stp>P</stp>
        <stp>0</stp>
        <stp>IDX</stp>
        <stp>024</stp>
        <stp>등락률</stp>
        <stp>45155</stp>
        <stp/>
        <tr r="G27" s="1"/>
      </tp>
      <tp>
        <v>-0.68</v>
        <stp/>
        <stp>P</stp>
        <stp>0</stp>
        <stp>IDX</stp>
        <stp>025</stp>
        <stp>등락률</stp>
        <stp>45155</stp>
        <stp/>
        <tr r="G2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ko-KR" altLang="en-US" sz="1200"/>
              <a:t>코스피 누적매매 </a:t>
            </a:r>
            <a:r>
              <a:rPr lang="en-US" altLang="ko-KR" sz="1200"/>
              <a:t>(1M)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국내시장주요지표!$AL$8</c:f>
              <c:strCache>
                <c:ptCount val="1"/>
                <c:pt idx="0">
                  <c:v>외국인합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국내시장주요지표!$AH$9:$AH$28</c:f>
              <c:numCache>
                <c:formatCode>General</c:formatCode>
                <c:ptCount val="20"/>
                <c:pt idx="0">
                  <c:v>-30541.14</c:v>
                </c:pt>
                <c:pt idx="1">
                  <c:v>-30563.85</c:v>
                </c:pt>
                <c:pt idx="2">
                  <c:v>-30530.84</c:v>
                </c:pt>
                <c:pt idx="3">
                  <c:v>-29346.71</c:v>
                </c:pt>
                <c:pt idx="4">
                  <c:v>-27435.11</c:v>
                </c:pt>
                <c:pt idx="5">
                  <c:v>-25111.09</c:v>
                </c:pt>
                <c:pt idx="6">
                  <c:v>-28751.68</c:v>
                </c:pt>
                <c:pt idx="7">
                  <c:v>-27355.15</c:v>
                </c:pt>
                <c:pt idx="8">
                  <c:v>-30185.38</c:v>
                </c:pt>
                <c:pt idx="9">
                  <c:v>-27762.68</c:v>
                </c:pt>
                <c:pt idx="10">
                  <c:v>-26270.91</c:v>
                </c:pt>
                <c:pt idx="11">
                  <c:v>-25595.29</c:v>
                </c:pt>
                <c:pt idx="12">
                  <c:v>-27513.91</c:v>
                </c:pt>
                <c:pt idx="13">
                  <c:v>-24606.55</c:v>
                </c:pt>
                <c:pt idx="14">
                  <c:v>-25244.43</c:v>
                </c:pt>
                <c:pt idx="15">
                  <c:v>-26047.52</c:v>
                </c:pt>
                <c:pt idx="16">
                  <c:v>-16582.810000000001</c:v>
                </c:pt>
                <c:pt idx="17">
                  <c:v>-2952.17</c:v>
                </c:pt>
                <c:pt idx="18">
                  <c:v>-1239.22</c:v>
                </c:pt>
                <c:pt idx="19">
                  <c:v>1652.34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0A-45C5-B2D4-2B0B158C9C15}"/>
            </c:ext>
          </c:extLst>
        </c:ser>
        <c:ser>
          <c:idx val="1"/>
          <c:order val="1"/>
          <c:tx>
            <c:strRef>
              <c:f>국내시장주요지표!$AM$8</c:f>
              <c:strCache>
                <c:ptCount val="1"/>
                <c:pt idx="0">
                  <c:v>개인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국내시장주요지표!$AI$9:$AI$28</c:f>
              <c:numCache>
                <c:formatCode>General</c:formatCode>
                <c:ptCount val="20"/>
                <c:pt idx="0">
                  <c:v>67856.38</c:v>
                </c:pt>
                <c:pt idx="1">
                  <c:v>66995.08</c:v>
                </c:pt>
                <c:pt idx="2">
                  <c:v>63770.559999999998</c:v>
                </c:pt>
                <c:pt idx="3">
                  <c:v>59493.59</c:v>
                </c:pt>
                <c:pt idx="4">
                  <c:v>57664.32</c:v>
                </c:pt>
                <c:pt idx="5">
                  <c:v>55063.99</c:v>
                </c:pt>
                <c:pt idx="6">
                  <c:v>55940.08</c:v>
                </c:pt>
                <c:pt idx="7">
                  <c:v>50371</c:v>
                </c:pt>
                <c:pt idx="8">
                  <c:v>50089.82</c:v>
                </c:pt>
                <c:pt idx="9">
                  <c:v>45340.99</c:v>
                </c:pt>
                <c:pt idx="10">
                  <c:v>37245.160000000003</c:v>
                </c:pt>
                <c:pt idx="11">
                  <c:v>29510.67</c:v>
                </c:pt>
                <c:pt idx="12">
                  <c:v>35019.43</c:v>
                </c:pt>
                <c:pt idx="13">
                  <c:v>31579.89</c:v>
                </c:pt>
                <c:pt idx="14">
                  <c:v>27658.51</c:v>
                </c:pt>
                <c:pt idx="15">
                  <c:v>32729.46</c:v>
                </c:pt>
                <c:pt idx="16">
                  <c:v>22797.38</c:v>
                </c:pt>
                <c:pt idx="17">
                  <c:v>9034.1</c:v>
                </c:pt>
                <c:pt idx="18">
                  <c:v>4316.04</c:v>
                </c:pt>
                <c:pt idx="19">
                  <c:v>1503.95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80A-45C5-B2D4-2B0B158C9C15}"/>
            </c:ext>
          </c:extLst>
        </c:ser>
        <c:ser>
          <c:idx val="2"/>
          <c:order val="2"/>
          <c:tx>
            <c:strRef>
              <c:f>국내시장주요지표!$AN$8</c:f>
              <c:strCache>
                <c:ptCount val="1"/>
                <c:pt idx="0">
                  <c:v>기관계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국내시장주요지표!$AJ$9:$AJ$28</c:f>
              <c:numCache>
                <c:formatCode>General</c:formatCode>
                <c:ptCount val="20"/>
                <c:pt idx="0">
                  <c:v>-40568.93</c:v>
                </c:pt>
                <c:pt idx="1">
                  <c:v>-39590.61</c:v>
                </c:pt>
                <c:pt idx="2">
                  <c:v>-36008.769999999997</c:v>
                </c:pt>
                <c:pt idx="3">
                  <c:v>-32680.97</c:v>
                </c:pt>
                <c:pt idx="4">
                  <c:v>-32618.720000000001</c:v>
                </c:pt>
                <c:pt idx="5">
                  <c:v>-31711.85</c:v>
                </c:pt>
                <c:pt idx="6">
                  <c:v>-28769.09</c:v>
                </c:pt>
                <c:pt idx="7">
                  <c:v>-24371.9</c:v>
                </c:pt>
                <c:pt idx="8">
                  <c:v>-21086.25</c:v>
                </c:pt>
                <c:pt idx="9">
                  <c:v>-18733.8</c:v>
                </c:pt>
                <c:pt idx="10">
                  <c:v>-12075.24</c:v>
                </c:pt>
                <c:pt idx="11">
                  <c:v>-5209.04</c:v>
                </c:pt>
                <c:pt idx="12">
                  <c:v>-8541.08</c:v>
                </c:pt>
                <c:pt idx="13">
                  <c:v>-7620.16</c:v>
                </c:pt>
                <c:pt idx="14">
                  <c:v>-3055.48</c:v>
                </c:pt>
                <c:pt idx="15">
                  <c:v>-7406.05</c:v>
                </c:pt>
                <c:pt idx="16">
                  <c:v>-6746.23</c:v>
                </c:pt>
                <c:pt idx="17">
                  <c:v>-6057.13</c:v>
                </c:pt>
                <c:pt idx="18">
                  <c:v>-3010.8</c:v>
                </c:pt>
                <c:pt idx="19">
                  <c:v>-3164.35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80A-45C5-B2D4-2B0B158C9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047104"/>
        <c:axId val="224048640"/>
      </c:lineChart>
      <c:dateAx>
        <c:axId val="224047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4048640"/>
        <c:crosses val="autoZero"/>
        <c:auto val="1"/>
        <c:lblOffset val="100"/>
        <c:baseTimeUnit val="days"/>
        <c:majorUnit val="10"/>
        <c:majorTimeUnit val="days"/>
        <c:minorUnit val="1"/>
        <c:minorTimeUnit val="days"/>
      </c:dateAx>
      <c:valAx>
        <c:axId val="224048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4047104"/>
        <c:crosses val="max"/>
        <c:crossBetween val="between"/>
      </c:valAx>
    </c:plotArea>
    <c:legend>
      <c:legendPos val="b"/>
      <c:layout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ko-KR" altLang="en-US" sz="1200"/>
              <a:t>코스닥 누적매매 </a:t>
            </a:r>
            <a:r>
              <a:rPr lang="en-US" altLang="ko-KR" sz="1200"/>
              <a:t>(1M)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국내시장주요지표!$AL$8</c:f>
              <c:strCache>
                <c:ptCount val="1"/>
                <c:pt idx="0">
                  <c:v>외국인합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국내시장주요지표!$AL$9:$AL$28</c:f>
              <c:numCache>
                <c:formatCode>General</c:formatCode>
                <c:ptCount val="20"/>
                <c:pt idx="0">
                  <c:v>7610.65</c:v>
                </c:pt>
                <c:pt idx="1">
                  <c:v>7215.69</c:v>
                </c:pt>
                <c:pt idx="2">
                  <c:v>8853.74</c:v>
                </c:pt>
                <c:pt idx="3">
                  <c:v>10173.18</c:v>
                </c:pt>
                <c:pt idx="4">
                  <c:v>10395.620000000001</c:v>
                </c:pt>
                <c:pt idx="5">
                  <c:v>11370.78</c:v>
                </c:pt>
                <c:pt idx="6">
                  <c:v>8826.75</c:v>
                </c:pt>
                <c:pt idx="7">
                  <c:v>8682.07</c:v>
                </c:pt>
                <c:pt idx="8">
                  <c:v>10664.49</c:v>
                </c:pt>
                <c:pt idx="9">
                  <c:v>11554.32</c:v>
                </c:pt>
                <c:pt idx="10">
                  <c:v>12202.26</c:v>
                </c:pt>
                <c:pt idx="11">
                  <c:v>15478.32</c:v>
                </c:pt>
                <c:pt idx="12">
                  <c:v>17742.32</c:v>
                </c:pt>
                <c:pt idx="13">
                  <c:v>18215.55</c:v>
                </c:pt>
                <c:pt idx="14">
                  <c:v>15334.68</c:v>
                </c:pt>
                <c:pt idx="15">
                  <c:v>13227.58</c:v>
                </c:pt>
                <c:pt idx="16">
                  <c:v>4410.47</c:v>
                </c:pt>
                <c:pt idx="17">
                  <c:v>-52.29</c:v>
                </c:pt>
                <c:pt idx="18">
                  <c:v>-1115.98</c:v>
                </c:pt>
                <c:pt idx="19">
                  <c:v>-621.02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226-429E-B289-3A752343DEC4}"/>
            </c:ext>
          </c:extLst>
        </c:ser>
        <c:ser>
          <c:idx val="1"/>
          <c:order val="1"/>
          <c:tx>
            <c:strRef>
              <c:f>국내시장주요지표!$AM$8</c:f>
              <c:strCache>
                <c:ptCount val="1"/>
                <c:pt idx="0">
                  <c:v>개인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국내시장주요지표!$AM$9:$AM$28</c:f>
              <c:numCache>
                <c:formatCode>General</c:formatCode>
                <c:ptCount val="20"/>
                <c:pt idx="0">
                  <c:v>-3504.3</c:v>
                </c:pt>
                <c:pt idx="1">
                  <c:v>-1499.41</c:v>
                </c:pt>
                <c:pt idx="2">
                  <c:v>-2092.2199999999998</c:v>
                </c:pt>
                <c:pt idx="3">
                  <c:v>-4038.2</c:v>
                </c:pt>
                <c:pt idx="4">
                  <c:v>-4304.8500000000004</c:v>
                </c:pt>
                <c:pt idx="5">
                  <c:v>-6224.11</c:v>
                </c:pt>
                <c:pt idx="6">
                  <c:v>-3008.21</c:v>
                </c:pt>
                <c:pt idx="7">
                  <c:v>-3125.09</c:v>
                </c:pt>
                <c:pt idx="8">
                  <c:v>-6443.45</c:v>
                </c:pt>
                <c:pt idx="9">
                  <c:v>-8477.2199999999993</c:v>
                </c:pt>
                <c:pt idx="10">
                  <c:v>-8218.9599999999991</c:v>
                </c:pt>
                <c:pt idx="11">
                  <c:v>-13782.71</c:v>
                </c:pt>
                <c:pt idx="12">
                  <c:v>-18166.990000000002</c:v>
                </c:pt>
                <c:pt idx="13">
                  <c:v>-18192.16</c:v>
                </c:pt>
                <c:pt idx="14">
                  <c:v>-14897.02</c:v>
                </c:pt>
                <c:pt idx="15">
                  <c:v>-10528.53</c:v>
                </c:pt>
                <c:pt idx="16">
                  <c:v>-4234.99</c:v>
                </c:pt>
                <c:pt idx="17">
                  <c:v>31.53</c:v>
                </c:pt>
                <c:pt idx="18">
                  <c:v>1562.57</c:v>
                </c:pt>
                <c:pt idx="19">
                  <c:v>275.20999999999998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226-429E-B289-3A752343DEC4}"/>
            </c:ext>
          </c:extLst>
        </c:ser>
        <c:ser>
          <c:idx val="2"/>
          <c:order val="2"/>
          <c:tx>
            <c:strRef>
              <c:f>국내시장주요지표!$AN$8</c:f>
              <c:strCache>
                <c:ptCount val="1"/>
                <c:pt idx="0">
                  <c:v>기관계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국내시장주요지표!$AN$9:$AN$28</c:f>
              <c:numCache>
                <c:formatCode>General</c:formatCode>
                <c:ptCount val="20"/>
                <c:pt idx="0">
                  <c:v>649.29</c:v>
                </c:pt>
                <c:pt idx="1">
                  <c:v>-1062.98</c:v>
                </c:pt>
                <c:pt idx="2">
                  <c:v>-2298.0700000000002</c:v>
                </c:pt>
                <c:pt idx="3">
                  <c:v>-1917.25</c:v>
                </c:pt>
                <c:pt idx="4">
                  <c:v>-1844.11</c:v>
                </c:pt>
                <c:pt idx="5">
                  <c:v>-1716.79</c:v>
                </c:pt>
                <c:pt idx="6">
                  <c:v>-2404.17</c:v>
                </c:pt>
                <c:pt idx="7">
                  <c:v>-2198.31</c:v>
                </c:pt>
                <c:pt idx="8">
                  <c:v>-1133.1099999999999</c:v>
                </c:pt>
                <c:pt idx="9">
                  <c:v>-81.760000000000005</c:v>
                </c:pt>
                <c:pt idx="10">
                  <c:v>-690.81</c:v>
                </c:pt>
                <c:pt idx="11">
                  <c:v>1334.35</c:v>
                </c:pt>
                <c:pt idx="12">
                  <c:v>3219.97</c:v>
                </c:pt>
                <c:pt idx="13">
                  <c:v>2647.68</c:v>
                </c:pt>
                <c:pt idx="14">
                  <c:v>2319.25</c:v>
                </c:pt>
                <c:pt idx="15">
                  <c:v>-346.54</c:v>
                </c:pt>
                <c:pt idx="16">
                  <c:v>1752.97</c:v>
                </c:pt>
                <c:pt idx="17">
                  <c:v>1236.01</c:v>
                </c:pt>
                <c:pt idx="18">
                  <c:v>381.66</c:v>
                </c:pt>
                <c:pt idx="19">
                  <c:v>552.22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226-429E-B289-3A752343D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416128"/>
        <c:axId val="224417664"/>
      </c:lineChart>
      <c:dateAx>
        <c:axId val="224416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4417664"/>
        <c:crosses val="autoZero"/>
        <c:auto val="1"/>
        <c:lblOffset val="100"/>
        <c:baseTimeUnit val="days"/>
        <c:majorUnit val="10"/>
        <c:majorTimeUnit val="days"/>
        <c:minorUnit val="1"/>
        <c:minorTimeUnit val="days"/>
      </c:dateAx>
      <c:valAx>
        <c:axId val="224417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4416128"/>
        <c:crosses val="max"/>
        <c:crossBetween val="between"/>
      </c:valAx>
    </c:plotArea>
    <c:legend>
      <c:legendPos val="b"/>
      <c:layout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altLang="ko-KR" sz="1200"/>
              <a:t>ETF</a:t>
            </a:r>
            <a:r>
              <a:rPr lang="en-US" altLang="ko-KR" sz="1200" baseline="0"/>
              <a:t> </a:t>
            </a:r>
            <a:r>
              <a:rPr lang="ko-KR" altLang="en-US" sz="1200" baseline="0"/>
              <a:t>누적매매 </a:t>
            </a:r>
            <a:r>
              <a:rPr lang="en-US" altLang="ko-KR" sz="1200" baseline="0"/>
              <a:t>(1M)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국내시장주요지표!$AP$8</c:f>
              <c:strCache>
                <c:ptCount val="1"/>
                <c:pt idx="0">
                  <c:v>외국인합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국내시장주요지표!$AP$9:$AP$28</c:f>
              <c:numCache>
                <c:formatCode>General</c:formatCode>
                <c:ptCount val="20"/>
                <c:pt idx="0">
                  <c:v>5255.73</c:v>
                </c:pt>
                <c:pt idx="1">
                  <c:v>5126.09</c:v>
                </c:pt>
                <c:pt idx="2">
                  <c:v>4840.34</c:v>
                </c:pt>
                <c:pt idx="3">
                  <c:v>4893.8599999999997</c:v>
                </c:pt>
                <c:pt idx="4">
                  <c:v>4833.43</c:v>
                </c:pt>
                <c:pt idx="5">
                  <c:v>4626</c:v>
                </c:pt>
                <c:pt idx="6">
                  <c:v>4724.9399999999996</c:v>
                </c:pt>
                <c:pt idx="7">
                  <c:v>4588.1400000000003</c:v>
                </c:pt>
                <c:pt idx="8">
                  <c:v>2279.2199999999998</c:v>
                </c:pt>
                <c:pt idx="9">
                  <c:v>2120.65</c:v>
                </c:pt>
                <c:pt idx="10">
                  <c:v>2126.75</c:v>
                </c:pt>
                <c:pt idx="11">
                  <c:v>1866.16</c:v>
                </c:pt>
                <c:pt idx="12">
                  <c:v>1751.26</c:v>
                </c:pt>
                <c:pt idx="13">
                  <c:v>1645.64</c:v>
                </c:pt>
                <c:pt idx="14">
                  <c:v>2016.03</c:v>
                </c:pt>
                <c:pt idx="15">
                  <c:v>1574.28</c:v>
                </c:pt>
                <c:pt idx="16">
                  <c:v>1136.58</c:v>
                </c:pt>
                <c:pt idx="17">
                  <c:v>465.87</c:v>
                </c:pt>
                <c:pt idx="18">
                  <c:v>374.15</c:v>
                </c:pt>
                <c:pt idx="19">
                  <c:v>189.7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F7E-486F-BB0E-6ED8724D155B}"/>
            </c:ext>
          </c:extLst>
        </c:ser>
        <c:ser>
          <c:idx val="1"/>
          <c:order val="1"/>
          <c:tx>
            <c:strRef>
              <c:f>국내시장주요지표!$AQ$8</c:f>
              <c:strCache>
                <c:ptCount val="1"/>
                <c:pt idx="0">
                  <c:v>개인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국내시장주요지표!$AQ$9:$AQ$28</c:f>
              <c:numCache>
                <c:formatCode>General</c:formatCode>
                <c:ptCount val="20"/>
                <c:pt idx="0">
                  <c:v>3845.06</c:v>
                </c:pt>
                <c:pt idx="1">
                  <c:v>5248.39</c:v>
                </c:pt>
                <c:pt idx="2">
                  <c:v>4910.5200000000004</c:v>
                </c:pt>
                <c:pt idx="3">
                  <c:v>4532.47</c:v>
                </c:pt>
                <c:pt idx="4">
                  <c:v>4091.29</c:v>
                </c:pt>
                <c:pt idx="5">
                  <c:v>3989.16</c:v>
                </c:pt>
                <c:pt idx="6">
                  <c:v>3854.91</c:v>
                </c:pt>
                <c:pt idx="7">
                  <c:v>3495.43</c:v>
                </c:pt>
                <c:pt idx="8">
                  <c:v>2903.55</c:v>
                </c:pt>
                <c:pt idx="9">
                  <c:v>2658.25</c:v>
                </c:pt>
                <c:pt idx="10">
                  <c:v>2102.61</c:v>
                </c:pt>
                <c:pt idx="11">
                  <c:v>1559.71</c:v>
                </c:pt>
                <c:pt idx="12">
                  <c:v>1215.56</c:v>
                </c:pt>
                <c:pt idx="13">
                  <c:v>730.27</c:v>
                </c:pt>
                <c:pt idx="14">
                  <c:v>131.75</c:v>
                </c:pt>
                <c:pt idx="15">
                  <c:v>1031.3399999999999</c:v>
                </c:pt>
                <c:pt idx="16">
                  <c:v>873.52</c:v>
                </c:pt>
                <c:pt idx="17">
                  <c:v>447</c:v>
                </c:pt>
                <c:pt idx="18">
                  <c:v>501.51</c:v>
                </c:pt>
                <c:pt idx="19">
                  <c:v>418.67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F7E-486F-BB0E-6ED8724D155B}"/>
            </c:ext>
          </c:extLst>
        </c:ser>
        <c:ser>
          <c:idx val="2"/>
          <c:order val="2"/>
          <c:tx>
            <c:strRef>
              <c:f>국내시장주요지표!$AR$8</c:f>
              <c:strCache>
                <c:ptCount val="1"/>
                <c:pt idx="0">
                  <c:v>기관계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국내시장주요지표!$AR$9:$AR$28</c:f>
              <c:numCache>
                <c:formatCode>General</c:formatCode>
                <c:ptCount val="20"/>
                <c:pt idx="0">
                  <c:v>-10274.99</c:v>
                </c:pt>
                <c:pt idx="1">
                  <c:v>-10956.65</c:v>
                </c:pt>
                <c:pt idx="2">
                  <c:v>-10145.370000000001</c:v>
                </c:pt>
                <c:pt idx="3">
                  <c:v>-10092.14</c:v>
                </c:pt>
                <c:pt idx="4">
                  <c:v>-9584.33</c:v>
                </c:pt>
                <c:pt idx="5">
                  <c:v>-9297.06</c:v>
                </c:pt>
                <c:pt idx="6">
                  <c:v>-9199.9500000000007</c:v>
                </c:pt>
                <c:pt idx="7">
                  <c:v>-8540.98</c:v>
                </c:pt>
                <c:pt idx="8">
                  <c:v>-5540.07</c:v>
                </c:pt>
                <c:pt idx="9">
                  <c:v>-5150.58</c:v>
                </c:pt>
                <c:pt idx="10">
                  <c:v>-5036.1099999999997</c:v>
                </c:pt>
                <c:pt idx="11">
                  <c:v>-4415.8999999999996</c:v>
                </c:pt>
                <c:pt idx="12">
                  <c:v>-3802.36</c:v>
                </c:pt>
                <c:pt idx="13">
                  <c:v>-3258.46</c:v>
                </c:pt>
                <c:pt idx="14">
                  <c:v>-2926.72</c:v>
                </c:pt>
                <c:pt idx="15">
                  <c:v>-3184.58</c:v>
                </c:pt>
                <c:pt idx="16">
                  <c:v>-2378.89</c:v>
                </c:pt>
                <c:pt idx="17">
                  <c:v>-1290.1099999999999</c:v>
                </c:pt>
                <c:pt idx="18">
                  <c:v>-1270.52</c:v>
                </c:pt>
                <c:pt idx="19">
                  <c:v>-825.37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F7E-486F-BB0E-6ED8724D1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449280"/>
        <c:axId val="224450816"/>
      </c:lineChart>
      <c:dateAx>
        <c:axId val="22444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4450816"/>
        <c:crosses val="autoZero"/>
        <c:auto val="0"/>
        <c:lblOffset val="100"/>
        <c:baseTimeUnit val="days"/>
        <c:majorUnit val="10"/>
        <c:majorTimeUnit val="days"/>
        <c:minorUnit val="1"/>
        <c:minorTimeUnit val="days"/>
      </c:dateAx>
      <c:valAx>
        <c:axId val="224450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4449280"/>
        <c:crosses val="max"/>
        <c:crossBetween val="between"/>
      </c:valAx>
    </c:plotArea>
    <c:legend>
      <c:legendPos val="b"/>
      <c:layout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altLang="ko-KR" sz="1200"/>
              <a:t>K200</a:t>
            </a:r>
            <a:r>
              <a:rPr lang="ko-KR" altLang="en-US" sz="1200"/>
              <a:t>선물 누적매매</a:t>
            </a:r>
            <a:r>
              <a:rPr lang="en-US" altLang="ko-KR" sz="1200"/>
              <a:t>(1M,</a:t>
            </a:r>
            <a:r>
              <a:rPr lang="en-US" altLang="ko-KR" sz="1200" baseline="0"/>
              <a:t> </a:t>
            </a:r>
            <a:r>
              <a:rPr lang="ko-KR" altLang="en-US" sz="1200"/>
              <a:t>계약</a:t>
            </a:r>
            <a:r>
              <a:rPr lang="en-US" altLang="ko-KR" sz="1200"/>
              <a:t>)</a:t>
            </a:r>
            <a:endParaRPr lang="ko-KR" alt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국내시장주요지표!$AT$8</c:f>
              <c:strCache>
                <c:ptCount val="1"/>
                <c:pt idx="0">
                  <c:v>외국인합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국내시장주요지표!$AT$9:$AT$28</c:f>
              <c:numCache>
                <c:formatCode>General</c:formatCode>
                <c:ptCount val="20"/>
                <c:pt idx="0">
                  <c:v>-41408</c:v>
                </c:pt>
                <c:pt idx="1">
                  <c:v>-36308</c:v>
                </c:pt>
                <c:pt idx="2">
                  <c:v>-27114</c:v>
                </c:pt>
                <c:pt idx="3">
                  <c:v>-24681</c:v>
                </c:pt>
                <c:pt idx="4">
                  <c:v>-28565</c:v>
                </c:pt>
                <c:pt idx="5">
                  <c:v>-21145</c:v>
                </c:pt>
                <c:pt idx="6">
                  <c:v>-27890</c:v>
                </c:pt>
                <c:pt idx="7">
                  <c:v>-26483</c:v>
                </c:pt>
                <c:pt idx="8">
                  <c:v>-29832</c:v>
                </c:pt>
                <c:pt idx="9">
                  <c:v>-24672</c:v>
                </c:pt>
                <c:pt idx="10">
                  <c:v>-8163</c:v>
                </c:pt>
                <c:pt idx="11">
                  <c:v>18184</c:v>
                </c:pt>
                <c:pt idx="12">
                  <c:v>-2338</c:v>
                </c:pt>
                <c:pt idx="13">
                  <c:v>-2472</c:v>
                </c:pt>
                <c:pt idx="14">
                  <c:v>2099</c:v>
                </c:pt>
                <c:pt idx="15">
                  <c:v>-5561</c:v>
                </c:pt>
                <c:pt idx="16">
                  <c:v>-1513</c:v>
                </c:pt>
                <c:pt idx="17">
                  <c:v>1499</c:v>
                </c:pt>
                <c:pt idx="18">
                  <c:v>2095</c:v>
                </c:pt>
                <c:pt idx="19">
                  <c:v>2475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DC9-4873-B5D8-F7A0334746FF}"/>
            </c:ext>
          </c:extLst>
        </c:ser>
        <c:ser>
          <c:idx val="1"/>
          <c:order val="1"/>
          <c:tx>
            <c:strRef>
              <c:f>국내시장주요지표!$AU$8</c:f>
              <c:strCache>
                <c:ptCount val="1"/>
                <c:pt idx="0">
                  <c:v>개인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국내시장주요지표!$AU$9:$AU$28</c:f>
              <c:numCache>
                <c:formatCode>General</c:formatCode>
                <c:ptCount val="20"/>
                <c:pt idx="0">
                  <c:v>13140</c:v>
                </c:pt>
                <c:pt idx="1">
                  <c:v>13423</c:v>
                </c:pt>
                <c:pt idx="2">
                  <c:v>9133</c:v>
                </c:pt>
                <c:pt idx="3">
                  <c:v>8720</c:v>
                </c:pt>
                <c:pt idx="4">
                  <c:v>10375</c:v>
                </c:pt>
                <c:pt idx="5">
                  <c:v>9063</c:v>
                </c:pt>
                <c:pt idx="6">
                  <c:v>10814</c:v>
                </c:pt>
                <c:pt idx="7">
                  <c:v>12013</c:v>
                </c:pt>
                <c:pt idx="8">
                  <c:v>12793</c:v>
                </c:pt>
                <c:pt idx="9">
                  <c:v>12175</c:v>
                </c:pt>
                <c:pt idx="10">
                  <c:v>8651</c:v>
                </c:pt>
                <c:pt idx="11">
                  <c:v>-6243</c:v>
                </c:pt>
                <c:pt idx="12">
                  <c:v>1474</c:v>
                </c:pt>
                <c:pt idx="13">
                  <c:v>1452</c:v>
                </c:pt>
                <c:pt idx="14">
                  <c:v>838</c:v>
                </c:pt>
                <c:pt idx="15">
                  <c:v>2838</c:v>
                </c:pt>
                <c:pt idx="16">
                  <c:v>547</c:v>
                </c:pt>
                <c:pt idx="17">
                  <c:v>145</c:v>
                </c:pt>
                <c:pt idx="18">
                  <c:v>-652</c:v>
                </c:pt>
                <c:pt idx="19">
                  <c:v>310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DC9-4873-B5D8-F7A0334746FF}"/>
            </c:ext>
          </c:extLst>
        </c:ser>
        <c:ser>
          <c:idx val="2"/>
          <c:order val="2"/>
          <c:tx>
            <c:strRef>
              <c:f>국내시장주요지표!$AV$8</c:f>
              <c:strCache>
                <c:ptCount val="1"/>
                <c:pt idx="0">
                  <c:v>기관계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국내시장주요지표!$AF$9:$AF$28</c:f>
              <c:numCache>
                <c:formatCode>m/d/yyyy</c:formatCode>
                <c:ptCount val="2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</c:numCache>
            </c:numRef>
          </c:cat>
          <c:val>
            <c:numRef>
              <c:f>국내시장주요지표!$AV$9:$AV$28</c:f>
              <c:numCache>
                <c:formatCode>General</c:formatCode>
                <c:ptCount val="20"/>
                <c:pt idx="0">
                  <c:v>22003</c:v>
                </c:pt>
                <c:pt idx="1">
                  <c:v>17193</c:v>
                </c:pt>
                <c:pt idx="2">
                  <c:v>13324</c:v>
                </c:pt>
                <c:pt idx="3">
                  <c:v>10276</c:v>
                </c:pt>
                <c:pt idx="4">
                  <c:v>11106</c:v>
                </c:pt>
                <c:pt idx="5">
                  <c:v>3810</c:v>
                </c:pt>
                <c:pt idx="6">
                  <c:v>9864</c:v>
                </c:pt>
                <c:pt idx="7">
                  <c:v>7172</c:v>
                </c:pt>
                <c:pt idx="8">
                  <c:v>9639</c:v>
                </c:pt>
                <c:pt idx="9">
                  <c:v>4669</c:v>
                </c:pt>
                <c:pt idx="10">
                  <c:v>-7660</c:v>
                </c:pt>
                <c:pt idx="11">
                  <c:v>-14128</c:v>
                </c:pt>
                <c:pt idx="12">
                  <c:v>-3171</c:v>
                </c:pt>
                <c:pt idx="13">
                  <c:v>-2842</c:v>
                </c:pt>
                <c:pt idx="14">
                  <c:v>-6832</c:v>
                </c:pt>
                <c:pt idx="15">
                  <c:v>-1231</c:v>
                </c:pt>
                <c:pt idx="16">
                  <c:v>-2375</c:v>
                </c:pt>
                <c:pt idx="17">
                  <c:v>-4777</c:v>
                </c:pt>
                <c:pt idx="18">
                  <c:v>-4111</c:v>
                </c:pt>
                <c:pt idx="19">
                  <c:v>-3634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DC9-4873-B5D8-F7A033474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32832"/>
        <c:axId val="225034624"/>
      </c:lineChart>
      <c:dateAx>
        <c:axId val="225032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5034624"/>
        <c:crosses val="autoZero"/>
        <c:auto val="1"/>
        <c:lblOffset val="100"/>
        <c:baseTimeUnit val="days"/>
        <c:majorUnit val="10"/>
        <c:majorTimeUnit val="days"/>
        <c:minorUnit val="1"/>
        <c:minorTimeUnit val="days"/>
      </c:dateAx>
      <c:valAx>
        <c:axId val="225034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5032832"/>
        <c:crosses val="max"/>
        <c:crossBetween val="between"/>
      </c:valAx>
    </c:plotArea>
    <c:legend>
      <c:legendPos val="b"/>
      <c:layout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areaChart>
        <c:grouping val="standard"/>
        <c:varyColors val="0"/>
        <c:ser>
          <c:idx val="4"/>
          <c:order val="0"/>
          <c:tx>
            <c:v>스프레드(우)</c:v>
          </c:tx>
          <c:spPr>
            <a:solidFill>
              <a:schemeClr val="accent1">
                <a:alpha val="65000"/>
              </a:schemeClr>
            </a:solidFill>
          </c:spPr>
          <c:cat>
            <c:numRef>
              <c:f>국내시장주요지표!$AN$68:$AN$566</c:f>
              <c:numCache>
                <c:formatCode>m/d/yyyy</c:formatCode>
                <c:ptCount val="499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  <c:pt idx="20">
                  <c:v>45126</c:v>
                </c:pt>
                <c:pt idx="21">
                  <c:v>45125</c:v>
                </c:pt>
                <c:pt idx="22">
                  <c:v>45124</c:v>
                </c:pt>
                <c:pt idx="23">
                  <c:v>45121</c:v>
                </c:pt>
                <c:pt idx="24">
                  <c:v>45120</c:v>
                </c:pt>
                <c:pt idx="25">
                  <c:v>45119</c:v>
                </c:pt>
                <c:pt idx="26">
                  <c:v>45118</c:v>
                </c:pt>
                <c:pt idx="27">
                  <c:v>45117</c:v>
                </c:pt>
                <c:pt idx="28">
                  <c:v>45114</c:v>
                </c:pt>
                <c:pt idx="29">
                  <c:v>45113</c:v>
                </c:pt>
                <c:pt idx="30">
                  <c:v>45112</c:v>
                </c:pt>
                <c:pt idx="31">
                  <c:v>45111</c:v>
                </c:pt>
                <c:pt idx="32">
                  <c:v>45110</c:v>
                </c:pt>
                <c:pt idx="33">
                  <c:v>45107</c:v>
                </c:pt>
                <c:pt idx="34">
                  <c:v>45106</c:v>
                </c:pt>
                <c:pt idx="35">
                  <c:v>45105</c:v>
                </c:pt>
                <c:pt idx="36">
                  <c:v>45104</c:v>
                </c:pt>
                <c:pt idx="37">
                  <c:v>45103</c:v>
                </c:pt>
                <c:pt idx="38">
                  <c:v>45100</c:v>
                </c:pt>
                <c:pt idx="39">
                  <c:v>45099</c:v>
                </c:pt>
                <c:pt idx="40">
                  <c:v>45098</c:v>
                </c:pt>
                <c:pt idx="41">
                  <c:v>45097</c:v>
                </c:pt>
                <c:pt idx="42">
                  <c:v>45096</c:v>
                </c:pt>
                <c:pt idx="43">
                  <c:v>45093</c:v>
                </c:pt>
                <c:pt idx="44">
                  <c:v>45092</c:v>
                </c:pt>
                <c:pt idx="45">
                  <c:v>45091</c:v>
                </c:pt>
                <c:pt idx="46">
                  <c:v>45090</c:v>
                </c:pt>
                <c:pt idx="47">
                  <c:v>45089</c:v>
                </c:pt>
                <c:pt idx="48">
                  <c:v>45086</c:v>
                </c:pt>
                <c:pt idx="49">
                  <c:v>45085</c:v>
                </c:pt>
                <c:pt idx="50">
                  <c:v>45084</c:v>
                </c:pt>
                <c:pt idx="51">
                  <c:v>45082</c:v>
                </c:pt>
                <c:pt idx="52">
                  <c:v>45079</c:v>
                </c:pt>
                <c:pt idx="53">
                  <c:v>45078</c:v>
                </c:pt>
                <c:pt idx="54">
                  <c:v>45077</c:v>
                </c:pt>
                <c:pt idx="55">
                  <c:v>45076</c:v>
                </c:pt>
                <c:pt idx="56">
                  <c:v>45072</c:v>
                </c:pt>
                <c:pt idx="57">
                  <c:v>45071</c:v>
                </c:pt>
                <c:pt idx="58">
                  <c:v>45070</c:v>
                </c:pt>
                <c:pt idx="59">
                  <c:v>45069</c:v>
                </c:pt>
                <c:pt idx="60">
                  <c:v>45068</c:v>
                </c:pt>
                <c:pt idx="61">
                  <c:v>45065</c:v>
                </c:pt>
                <c:pt idx="62">
                  <c:v>45064</c:v>
                </c:pt>
                <c:pt idx="63">
                  <c:v>45063</c:v>
                </c:pt>
                <c:pt idx="64">
                  <c:v>45062</c:v>
                </c:pt>
                <c:pt idx="65">
                  <c:v>45061</c:v>
                </c:pt>
                <c:pt idx="66">
                  <c:v>45058</c:v>
                </c:pt>
                <c:pt idx="67">
                  <c:v>45057</c:v>
                </c:pt>
                <c:pt idx="68">
                  <c:v>45056</c:v>
                </c:pt>
                <c:pt idx="69">
                  <c:v>45055</c:v>
                </c:pt>
                <c:pt idx="70">
                  <c:v>45054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45044</c:v>
                </c:pt>
                <c:pt idx="75">
                  <c:v>45043</c:v>
                </c:pt>
                <c:pt idx="76">
                  <c:v>45042</c:v>
                </c:pt>
                <c:pt idx="77">
                  <c:v>45041</c:v>
                </c:pt>
                <c:pt idx="78">
                  <c:v>45040</c:v>
                </c:pt>
                <c:pt idx="79">
                  <c:v>45037</c:v>
                </c:pt>
                <c:pt idx="80">
                  <c:v>45036</c:v>
                </c:pt>
                <c:pt idx="81">
                  <c:v>45035</c:v>
                </c:pt>
                <c:pt idx="82">
                  <c:v>45034</c:v>
                </c:pt>
                <c:pt idx="83">
                  <c:v>45033</c:v>
                </c:pt>
                <c:pt idx="84">
                  <c:v>45030</c:v>
                </c:pt>
                <c:pt idx="85">
                  <c:v>45029</c:v>
                </c:pt>
                <c:pt idx="86">
                  <c:v>45028</c:v>
                </c:pt>
                <c:pt idx="87">
                  <c:v>45027</c:v>
                </c:pt>
                <c:pt idx="88">
                  <c:v>45026</c:v>
                </c:pt>
                <c:pt idx="89">
                  <c:v>45023</c:v>
                </c:pt>
                <c:pt idx="90">
                  <c:v>45022</c:v>
                </c:pt>
                <c:pt idx="91">
                  <c:v>45021</c:v>
                </c:pt>
                <c:pt idx="92">
                  <c:v>45020</c:v>
                </c:pt>
                <c:pt idx="93">
                  <c:v>45019</c:v>
                </c:pt>
                <c:pt idx="94">
                  <c:v>45016</c:v>
                </c:pt>
                <c:pt idx="95">
                  <c:v>45015</c:v>
                </c:pt>
                <c:pt idx="96">
                  <c:v>45014</c:v>
                </c:pt>
                <c:pt idx="97">
                  <c:v>45013</c:v>
                </c:pt>
                <c:pt idx="98">
                  <c:v>45012</c:v>
                </c:pt>
                <c:pt idx="99">
                  <c:v>45009</c:v>
                </c:pt>
                <c:pt idx="100">
                  <c:v>45008</c:v>
                </c:pt>
                <c:pt idx="101">
                  <c:v>45007</c:v>
                </c:pt>
                <c:pt idx="102">
                  <c:v>45006</c:v>
                </c:pt>
                <c:pt idx="103">
                  <c:v>45005</c:v>
                </c:pt>
                <c:pt idx="104">
                  <c:v>45002</c:v>
                </c:pt>
                <c:pt idx="105">
                  <c:v>45001</c:v>
                </c:pt>
                <c:pt idx="106">
                  <c:v>45000</c:v>
                </c:pt>
                <c:pt idx="107">
                  <c:v>44999</c:v>
                </c:pt>
                <c:pt idx="108">
                  <c:v>44998</c:v>
                </c:pt>
                <c:pt idx="109">
                  <c:v>44995</c:v>
                </c:pt>
                <c:pt idx="110">
                  <c:v>44994</c:v>
                </c:pt>
                <c:pt idx="111">
                  <c:v>44993</c:v>
                </c:pt>
                <c:pt idx="112">
                  <c:v>44992</c:v>
                </c:pt>
                <c:pt idx="113">
                  <c:v>44991</c:v>
                </c:pt>
                <c:pt idx="114">
                  <c:v>44988</c:v>
                </c:pt>
                <c:pt idx="115">
                  <c:v>44987</c:v>
                </c:pt>
                <c:pt idx="116">
                  <c:v>44985</c:v>
                </c:pt>
                <c:pt idx="117">
                  <c:v>44984</c:v>
                </c:pt>
                <c:pt idx="118">
                  <c:v>44981</c:v>
                </c:pt>
                <c:pt idx="119">
                  <c:v>44980</c:v>
                </c:pt>
                <c:pt idx="120">
                  <c:v>44979</c:v>
                </c:pt>
                <c:pt idx="121">
                  <c:v>44978</c:v>
                </c:pt>
                <c:pt idx="122">
                  <c:v>44977</c:v>
                </c:pt>
                <c:pt idx="123">
                  <c:v>44974</c:v>
                </c:pt>
                <c:pt idx="124">
                  <c:v>44973</c:v>
                </c:pt>
                <c:pt idx="125">
                  <c:v>44972</c:v>
                </c:pt>
                <c:pt idx="126">
                  <c:v>44971</c:v>
                </c:pt>
                <c:pt idx="127">
                  <c:v>44970</c:v>
                </c:pt>
                <c:pt idx="128">
                  <c:v>44967</c:v>
                </c:pt>
                <c:pt idx="129">
                  <c:v>44966</c:v>
                </c:pt>
                <c:pt idx="130">
                  <c:v>44965</c:v>
                </c:pt>
                <c:pt idx="131">
                  <c:v>44964</c:v>
                </c:pt>
                <c:pt idx="132">
                  <c:v>44963</c:v>
                </c:pt>
                <c:pt idx="133">
                  <c:v>44960</c:v>
                </c:pt>
                <c:pt idx="134">
                  <c:v>44959</c:v>
                </c:pt>
                <c:pt idx="135">
                  <c:v>44958</c:v>
                </c:pt>
                <c:pt idx="136">
                  <c:v>44957</c:v>
                </c:pt>
                <c:pt idx="137">
                  <c:v>44956</c:v>
                </c:pt>
                <c:pt idx="138">
                  <c:v>44953</c:v>
                </c:pt>
                <c:pt idx="139">
                  <c:v>44952</c:v>
                </c:pt>
                <c:pt idx="140">
                  <c:v>44951</c:v>
                </c:pt>
                <c:pt idx="141">
                  <c:v>44946</c:v>
                </c:pt>
                <c:pt idx="142">
                  <c:v>44945</c:v>
                </c:pt>
                <c:pt idx="143">
                  <c:v>44944</c:v>
                </c:pt>
                <c:pt idx="144">
                  <c:v>44943</c:v>
                </c:pt>
                <c:pt idx="145">
                  <c:v>44942</c:v>
                </c:pt>
                <c:pt idx="146">
                  <c:v>44939</c:v>
                </c:pt>
                <c:pt idx="147">
                  <c:v>44938</c:v>
                </c:pt>
                <c:pt idx="148">
                  <c:v>44937</c:v>
                </c:pt>
                <c:pt idx="149">
                  <c:v>44936</c:v>
                </c:pt>
                <c:pt idx="150">
                  <c:v>44935</c:v>
                </c:pt>
                <c:pt idx="151">
                  <c:v>44932</c:v>
                </c:pt>
                <c:pt idx="152">
                  <c:v>44931</c:v>
                </c:pt>
                <c:pt idx="153">
                  <c:v>44930</c:v>
                </c:pt>
                <c:pt idx="154">
                  <c:v>44929</c:v>
                </c:pt>
                <c:pt idx="155">
                  <c:v>44928</c:v>
                </c:pt>
                <c:pt idx="156">
                  <c:v>44924</c:v>
                </c:pt>
                <c:pt idx="157">
                  <c:v>44923</c:v>
                </c:pt>
                <c:pt idx="158">
                  <c:v>44922</c:v>
                </c:pt>
                <c:pt idx="159">
                  <c:v>44921</c:v>
                </c:pt>
                <c:pt idx="160">
                  <c:v>44918</c:v>
                </c:pt>
                <c:pt idx="161">
                  <c:v>44917</c:v>
                </c:pt>
                <c:pt idx="162">
                  <c:v>44916</c:v>
                </c:pt>
                <c:pt idx="163">
                  <c:v>44915</c:v>
                </c:pt>
                <c:pt idx="164">
                  <c:v>44914</c:v>
                </c:pt>
                <c:pt idx="165">
                  <c:v>44911</c:v>
                </c:pt>
                <c:pt idx="166">
                  <c:v>44910</c:v>
                </c:pt>
                <c:pt idx="167">
                  <c:v>44909</c:v>
                </c:pt>
                <c:pt idx="168">
                  <c:v>44908</c:v>
                </c:pt>
                <c:pt idx="169">
                  <c:v>44907</c:v>
                </c:pt>
                <c:pt idx="170">
                  <c:v>44904</c:v>
                </c:pt>
                <c:pt idx="171">
                  <c:v>44903</c:v>
                </c:pt>
                <c:pt idx="172">
                  <c:v>44902</c:v>
                </c:pt>
                <c:pt idx="173">
                  <c:v>44901</c:v>
                </c:pt>
                <c:pt idx="174">
                  <c:v>44900</c:v>
                </c:pt>
                <c:pt idx="175">
                  <c:v>44897</c:v>
                </c:pt>
                <c:pt idx="176">
                  <c:v>44896</c:v>
                </c:pt>
                <c:pt idx="177">
                  <c:v>44895</c:v>
                </c:pt>
                <c:pt idx="178">
                  <c:v>44894</c:v>
                </c:pt>
                <c:pt idx="179">
                  <c:v>44893</c:v>
                </c:pt>
                <c:pt idx="180">
                  <c:v>44890</c:v>
                </c:pt>
                <c:pt idx="181">
                  <c:v>44889</c:v>
                </c:pt>
                <c:pt idx="182">
                  <c:v>44888</c:v>
                </c:pt>
                <c:pt idx="183">
                  <c:v>44887</c:v>
                </c:pt>
                <c:pt idx="184">
                  <c:v>44886</c:v>
                </c:pt>
                <c:pt idx="185">
                  <c:v>44883</c:v>
                </c:pt>
                <c:pt idx="186">
                  <c:v>44882</c:v>
                </c:pt>
                <c:pt idx="187">
                  <c:v>44881</c:v>
                </c:pt>
                <c:pt idx="188">
                  <c:v>44880</c:v>
                </c:pt>
                <c:pt idx="189">
                  <c:v>44879</c:v>
                </c:pt>
                <c:pt idx="190">
                  <c:v>44876</c:v>
                </c:pt>
                <c:pt idx="191">
                  <c:v>44875</c:v>
                </c:pt>
                <c:pt idx="192">
                  <c:v>44874</c:v>
                </c:pt>
                <c:pt idx="193">
                  <c:v>44873</c:v>
                </c:pt>
                <c:pt idx="194">
                  <c:v>44872</c:v>
                </c:pt>
                <c:pt idx="195">
                  <c:v>44869</c:v>
                </c:pt>
                <c:pt idx="196">
                  <c:v>44868</c:v>
                </c:pt>
                <c:pt idx="197">
                  <c:v>44867</c:v>
                </c:pt>
                <c:pt idx="198">
                  <c:v>44866</c:v>
                </c:pt>
                <c:pt idx="199">
                  <c:v>44865</c:v>
                </c:pt>
                <c:pt idx="200">
                  <c:v>44862</c:v>
                </c:pt>
                <c:pt idx="201">
                  <c:v>44861</c:v>
                </c:pt>
                <c:pt idx="202">
                  <c:v>44860</c:v>
                </c:pt>
                <c:pt idx="203">
                  <c:v>44859</c:v>
                </c:pt>
                <c:pt idx="204">
                  <c:v>44858</c:v>
                </c:pt>
                <c:pt idx="205">
                  <c:v>44855</c:v>
                </c:pt>
                <c:pt idx="206">
                  <c:v>44854</c:v>
                </c:pt>
                <c:pt idx="207">
                  <c:v>44853</c:v>
                </c:pt>
                <c:pt idx="208">
                  <c:v>44852</c:v>
                </c:pt>
                <c:pt idx="209">
                  <c:v>44851</c:v>
                </c:pt>
                <c:pt idx="210">
                  <c:v>44848</c:v>
                </c:pt>
                <c:pt idx="211">
                  <c:v>44847</c:v>
                </c:pt>
                <c:pt idx="212">
                  <c:v>44846</c:v>
                </c:pt>
                <c:pt idx="213">
                  <c:v>44845</c:v>
                </c:pt>
                <c:pt idx="214">
                  <c:v>44841</c:v>
                </c:pt>
                <c:pt idx="215">
                  <c:v>44840</c:v>
                </c:pt>
                <c:pt idx="216">
                  <c:v>44839</c:v>
                </c:pt>
                <c:pt idx="217">
                  <c:v>44838</c:v>
                </c:pt>
                <c:pt idx="218">
                  <c:v>44834</c:v>
                </c:pt>
                <c:pt idx="219">
                  <c:v>44833</c:v>
                </c:pt>
                <c:pt idx="220">
                  <c:v>44832</c:v>
                </c:pt>
                <c:pt idx="221">
                  <c:v>44831</c:v>
                </c:pt>
                <c:pt idx="222">
                  <c:v>44830</c:v>
                </c:pt>
                <c:pt idx="223">
                  <c:v>44827</c:v>
                </c:pt>
                <c:pt idx="224">
                  <c:v>44826</c:v>
                </c:pt>
                <c:pt idx="225">
                  <c:v>44825</c:v>
                </c:pt>
                <c:pt idx="226">
                  <c:v>44824</c:v>
                </c:pt>
                <c:pt idx="227">
                  <c:v>44823</c:v>
                </c:pt>
                <c:pt idx="228">
                  <c:v>44820</c:v>
                </c:pt>
                <c:pt idx="229">
                  <c:v>44819</c:v>
                </c:pt>
                <c:pt idx="230">
                  <c:v>44818</c:v>
                </c:pt>
                <c:pt idx="231">
                  <c:v>44817</c:v>
                </c:pt>
                <c:pt idx="232">
                  <c:v>44812</c:v>
                </c:pt>
                <c:pt idx="233">
                  <c:v>44811</c:v>
                </c:pt>
                <c:pt idx="234">
                  <c:v>44810</c:v>
                </c:pt>
                <c:pt idx="235">
                  <c:v>44809</c:v>
                </c:pt>
                <c:pt idx="236">
                  <c:v>44806</c:v>
                </c:pt>
                <c:pt idx="237">
                  <c:v>44805</c:v>
                </c:pt>
                <c:pt idx="238">
                  <c:v>44804</c:v>
                </c:pt>
                <c:pt idx="239">
                  <c:v>44803</c:v>
                </c:pt>
                <c:pt idx="240">
                  <c:v>44802</c:v>
                </c:pt>
                <c:pt idx="241">
                  <c:v>44799</c:v>
                </c:pt>
                <c:pt idx="242">
                  <c:v>44798</c:v>
                </c:pt>
                <c:pt idx="243">
                  <c:v>44797</c:v>
                </c:pt>
                <c:pt idx="244">
                  <c:v>44796</c:v>
                </c:pt>
                <c:pt idx="245">
                  <c:v>44795</c:v>
                </c:pt>
                <c:pt idx="246">
                  <c:v>44792</c:v>
                </c:pt>
                <c:pt idx="247">
                  <c:v>44791</c:v>
                </c:pt>
                <c:pt idx="248">
                  <c:v>44790</c:v>
                </c:pt>
                <c:pt idx="249">
                  <c:v>44789</c:v>
                </c:pt>
                <c:pt idx="250">
                  <c:v>44785</c:v>
                </c:pt>
                <c:pt idx="251">
                  <c:v>44784</c:v>
                </c:pt>
                <c:pt idx="252">
                  <c:v>44783</c:v>
                </c:pt>
                <c:pt idx="253">
                  <c:v>44782</c:v>
                </c:pt>
                <c:pt idx="254">
                  <c:v>44781</c:v>
                </c:pt>
                <c:pt idx="255">
                  <c:v>44778</c:v>
                </c:pt>
                <c:pt idx="256">
                  <c:v>44777</c:v>
                </c:pt>
                <c:pt idx="257">
                  <c:v>44776</c:v>
                </c:pt>
                <c:pt idx="258">
                  <c:v>44775</c:v>
                </c:pt>
                <c:pt idx="259">
                  <c:v>44774</c:v>
                </c:pt>
                <c:pt idx="260">
                  <c:v>44771</c:v>
                </c:pt>
                <c:pt idx="261">
                  <c:v>44770</c:v>
                </c:pt>
                <c:pt idx="262">
                  <c:v>44769</c:v>
                </c:pt>
                <c:pt idx="263">
                  <c:v>44768</c:v>
                </c:pt>
                <c:pt idx="264">
                  <c:v>44767</c:v>
                </c:pt>
                <c:pt idx="265">
                  <c:v>44764</c:v>
                </c:pt>
                <c:pt idx="266">
                  <c:v>44763</c:v>
                </c:pt>
                <c:pt idx="267">
                  <c:v>44762</c:v>
                </c:pt>
                <c:pt idx="268">
                  <c:v>44761</c:v>
                </c:pt>
                <c:pt idx="269">
                  <c:v>44760</c:v>
                </c:pt>
                <c:pt idx="270">
                  <c:v>44757</c:v>
                </c:pt>
                <c:pt idx="271">
                  <c:v>44756</c:v>
                </c:pt>
                <c:pt idx="272">
                  <c:v>44755</c:v>
                </c:pt>
                <c:pt idx="273">
                  <c:v>44754</c:v>
                </c:pt>
                <c:pt idx="274">
                  <c:v>44753</c:v>
                </c:pt>
                <c:pt idx="275">
                  <c:v>44750</c:v>
                </c:pt>
                <c:pt idx="276">
                  <c:v>44749</c:v>
                </c:pt>
                <c:pt idx="277">
                  <c:v>44748</c:v>
                </c:pt>
                <c:pt idx="278">
                  <c:v>44747</c:v>
                </c:pt>
                <c:pt idx="279">
                  <c:v>44746</c:v>
                </c:pt>
                <c:pt idx="280">
                  <c:v>44743</c:v>
                </c:pt>
                <c:pt idx="281">
                  <c:v>44742</c:v>
                </c:pt>
                <c:pt idx="282">
                  <c:v>44741</c:v>
                </c:pt>
                <c:pt idx="283">
                  <c:v>44740</c:v>
                </c:pt>
                <c:pt idx="284">
                  <c:v>44739</c:v>
                </c:pt>
                <c:pt idx="285">
                  <c:v>44736</c:v>
                </c:pt>
                <c:pt idx="286">
                  <c:v>44735</c:v>
                </c:pt>
                <c:pt idx="287">
                  <c:v>44734</c:v>
                </c:pt>
                <c:pt idx="288">
                  <c:v>44733</c:v>
                </c:pt>
                <c:pt idx="289">
                  <c:v>44732</c:v>
                </c:pt>
                <c:pt idx="290">
                  <c:v>44729</c:v>
                </c:pt>
                <c:pt idx="291">
                  <c:v>44728</c:v>
                </c:pt>
                <c:pt idx="292">
                  <c:v>44727</c:v>
                </c:pt>
                <c:pt idx="293">
                  <c:v>44726</c:v>
                </c:pt>
                <c:pt idx="294">
                  <c:v>44725</c:v>
                </c:pt>
                <c:pt idx="295">
                  <c:v>44722</c:v>
                </c:pt>
                <c:pt idx="296">
                  <c:v>44721</c:v>
                </c:pt>
                <c:pt idx="297">
                  <c:v>44720</c:v>
                </c:pt>
                <c:pt idx="298">
                  <c:v>44719</c:v>
                </c:pt>
                <c:pt idx="299">
                  <c:v>44715</c:v>
                </c:pt>
                <c:pt idx="300">
                  <c:v>44714</c:v>
                </c:pt>
                <c:pt idx="301">
                  <c:v>44712</c:v>
                </c:pt>
                <c:pt idx="302">
                  <c:v>44711</c:v>
                </c:pt>
                <c:pt idx="303">
                  <c:v>44708</c:v>
                </c:pt>
                <c:pt idx="304">
                  <c:v>44707</c:v>
                </c:pt>
                <c:pt idx="305">
                  <c:v>44706</c:v>
                </c:pt>
                <c:pt idx="306">
                  <c:v>44705</c:v>
                </c:pt>
                <c:pt idx="307">
                  <c:v>44704</c:v>
                </c:pt>
                <c:pt idx="308">
                  <c:v>44701</c:v>
                </c:pt>
                <c:pt idx="309">
                  <c:v>44700</c:v>
                </c:pt>
                <c:pt idx="310">
                  <c:v>44699</c:v>
                </c:pt>
                <c:pt idx="311">
                  <c:v>44698</c:v>
                </c:pt>
                <c:pt idx="312">
                  <c:v>44697</c:v>
                </c:pt>
                <c:pt idx="313">
                  <c:v>44694</c:v>
                </c:pt>
                <c:pt idx="314">
                  <c:v>44693</c:v>
                </c:pt>
                <c:pt idx="315">
                  <c:v>44692</c:v>
                </c:pt>
                <c:pt idx="316">
                  <c:v>44691</c:v>
                </c:pt>
                <c:pt idx="317">
                  <c:v>44690</c:v>
                </c:pt>
                <c:pt idx="318">
                  <c:v>44687</c:v>
                </c:pt>
                <c:pt idx="319">
                  <c:v>44685</c:v>
                </c:pt>
                <c:pt idx="320">
                  <c:v>44684</c:v>
                </c:pt>
                <c:pt idx="321">
                  <c:v>44683</c:v>
                </c:pt>
                <c:pt idx="322">
                  <c:v>44680</c:v>
                </c:pt>
                <c:pt idx="323">
                  <c:v>44679</c:v>
                </c:pt>
                <c:pt idx="324">
                  <c:v>44678</c:v>
                </c:pt>
                <c:pt idx="325">
                  <c:v>44677</c:v>
                </c:pt>
                <c:pt idx="326">
                  <c:v>44676</c:v>
                </c:pt>
                <c:pt idx="327">
                  <c:v>44673</c:v>
                </c:pt>
                <c:pt idx="328">
                  <c:v>44672</c:v>
                </c:pt>
                <c:pt idx="329">
                  <c:v>44671</c:v>
                </c:pt>
                <c:pt idx="330">
                  <c:v>44670</c:v>
                </c:pt>
                <c:pt idx="331">
                  <c:v>44669</c:v>
                </c:pt>
                <c:pt idx="332">
                  <c:v>44666</c:v>
                </c:pt>
                <c:pt idx="333">
                  <c:v>44665</c:v>
                </c:pt>
                <c:pt idx="334">
                  <c:v>44664</c:v>
                </c:pt>
                <c:pt idx="335">
                  <c:v>44663</c:v>
                </c:pt>
                <c:pt idx="336">
                  <c:v>44662</c:v>
                </c:pt>
                <c:pt idx="337">
                  <c:v>44659</c:v>
                </c:pt>
                <c:pt idx="338">
                  <c:v>44658</c:v>
                </c:pt>
                <c:pt idx="339">
                  <c:v>44657</c:v>
                </c:pt>
                <c:pt idx="340">
                  <c:v>44656</c:v>
                </c:pt>
                <c:pt idx="341">
                  <c:v>44655</c:v>
                </c:pt>
                <c:pt idx="342">
                  <c:v>44652</c:v>
                </c:pt>
                <c:pt idx="343">
                  <c:v>44651</c:v>
                </c:pt>
                <c:pt idx="344">
                  <c:v>44650</c:v>
                </c:pt>
                <c:pt idx="345">
                  <c:v>44649</c:v>
                </c:pt>
                <c:pt idx="346">
                  <c:v>44648</c:v>
                </c:pt>
                <c:pt idx="347">
                  <c:v>44645</c:v>
                </c:pt>
                <c:pt idx="348">
                  <c:v>44644</c:v>
                </c:pt>
                <c:pt idx="349">
                  <c:v>44643</c:v>
                </c:pt>
                <c:pt idx="350">
                  <c:v>44642</c:v>
                </c:pt>
                <c:pt idx="351">
                  <c:v>44641</c:v>
                </c:pt>
                <c:pt idx="352">
                  <c:v>44638</c:v>
                </c:pt>
                <c:pt idx="353">
                  <c:v>44637</c:v>
                </c:pt>
                <c:pt idx="354">
                  <c:v>44636</c:v>
                </c:pt>
                <c:pt idx="355">
                  <c:v>44635</c:v>
                </c:pt>
                <c:pt idx="356">
                  <c:v>44634</c:v>
                </c:pt>
                <c:pt idx="357">
                  <c:v>44631</c:v>
                </c:pt>
                <c:pt idx="358">
                  <c:v>44630</c:v>
                </c:pt>
                <c:pt idx="359">
                  <c:v>44628</c:v>
                </c:pt>
                <c:pt idx="360">
                  <c:v>44627</c:v>
                </c:pt>
                <c:pt idx="361">
                  <c:v>44624</c:v>
                </c:pt>
                <c:pt idx="362">
                  <c:v>44623</c:v>
                </c:pt>
                <c:pt idx="363">
                  <c:v>44622</c:v>
                </c:pt>
                <c:pt idx="364">
                  <c:v>44620</c:v>
                </c:pt>
                <c:pt idx="365">
                  <c:v>44617</c:v>
                </c:pt>
                <c:pt idx="366">
                  <c:v>44616</c:v>
                </c:pt>
                <c:pt idx="367">
                  <c:v>44615</c:v>
                </c:pt>
                <c:pt idx="368">
                  <c:v>44614</c:v>
                </c:pt>
                <c:pt idx="369">
                  <c:v>44613</c:v>
                </c:pt>
                <c:pt idx="370">
                  <c:v>44610</c:v>
                </c:pt>
                <c:pt idx="371">
                  <c:v>44609</c:v>
                </c:pt>
                <c:pt idx="372">
                  <c:v>44608</c:v>
                </c:pt>
                <c:pt idx="373">
                  <c:v>44607</c:v>
                </c:pt>
                <c:pt idx="374">
                  <c:v>44606</c:v>
                </c:pt>
                <c:pt idx="375">
                  <c:v>44603</c:v>
                </c:pt>
                <c:pt idx="376">
                  <c:v>44602</c:v>
                </c:pt>
                <c:pt idx="377">
                  <c:v>44601</c:v>
                </c:pt>
                <c:pt idx="378">
                  <c:v>44600</c:v>
                </c:pt>
                <c:pt idx="379">
                  <c:v>44599</c:v>
                </c:pt>
                <c:pt idx="380">
                  <c:v>44596</c:v>
                </c:pt>
                <c:pt idx="381">
                  <c:v>44595</c:v>
                </c:pt>
                <c:pt idx="382">
                  <c:v>44589</c:v>
                </c:pt>
                <c:pt idx="383">
                  <c:v>44588</c:v>
                </c:pt>
                <c:pt idx="384">
                  <c:v>44587</c:v>
                </c:pt>
                <c:pt idx="385">
                  <c:v>44586</c:v>
                </c:pt>
                <c:pt idx="386">
                  <c:v>44585</c:v>
                </c:pt>
                <c:pt idx="387">
                  <c:v>44582</c:v>
                </c:pt>
                <c:pt idx="388">
                  <c:v>44581</c:v>
                </c:pt>
                <c:pt idx="389">
                  <c:v>44580</c:v>
                </c:pt>
                <c:pt idx="390">
                  <c:v>44579</c:v>
                </c:pt>
                <c:pt idx="391">
                  <c:v>44578</c:v>
                </c:pt>
                <c:pt idx="392">
                  <c:v>44575</c:v>
                </c:pt>
                <c:pt idx="393">
                  <c:v>44574</c:v>
                </c:pt>
                <c:pt idx="394">
                  <c:v>44573</c:v>
                </c:pt>
                <c:pt idx="395">
                  <c:v>44572</c:v>
                </c:pt>
                <c:pt idx="396">
                  <c:v>44571</c:v>
                </c:pt>
                <c:pt idx="397">
                  <c:v>44568</c:v>
                </c:pt>
                <c:pt idx="398">
                  <c:v>44567</c:v>
                </c:pt>
                <c:pt idx="399">
                  <c:v>44566</c:v>
                </c:pt>
                <c:pt idx="400">
                  <c:v>44565</c:v>
                </c:pt>
                <c:pt idx="401">
                  <c:v>44564</c:v>
                </c:pt>
                <c:pt idx="402">
                  <c:v>44560</c:v>
                </c:pt>
                <c:pt idx="403">
                  <c:v>44559</c:v>
                </c:pt>
                <c:pt idx="404">
                  <c:v>44558</c:v>
                </c:pt>
                <c:pt idx="405">
                  <c:v>44557</c:v>
                </c:pt>
                <c:pt idx="406">
                  <c:v>44554</c:v>
                </c:pt>
                <c:pt idx="407">
                  <c:v>44553</c:v>
                </c:pt>
                <c:pt idx="408">
                  <c:v>44552</c:v>
                </c:pt>
                <c:pt idx="409">
                  <c:v>44551</c:v>
                </c:pt>
                <c:pt idx="410">
                  <c:v>44550</c:v>
                </c:pt>
                <c:pt idx="411">
                  <c:v>44547</c:v>
                </c:pt>
                <c:pt idx="412">
                  <c:v>44546</c:v>
                </c:pt>
                <c:pt idx="413">
                  <c:v>44545</c:v>
                </c:pt>
                <c:pt idx="414">
                  <c:v>44544</c:v>
                </c:pt>
                <c:pt idx="415">
                  <c:v>44543</c:v>
                </c:pt>
                <c:pt idx="416">
                  <c:v>44540</c:v>
                </c:pt>
                <c:pt idx="417">
                  <c:v>44539</c:v>
                </c:pt>
                <c:pt idx="418">
                  <c:v>44538</c:v>
                </c:pt>
                <c:pt idx="419">
                  <c:v>44537</c:v>
                </c:pt>
                <c:pt idx="420">
                  <c:v>44536</c:v>
                </c:pt>
                <c:pt idx="421">
                  <c:v>44533</c:v>
                </c:pt>
                <c:pt idx="422">
                  <c:v>44532</c:v>
                </c:pt>
                <c:pt idx="423">
                  <c:v>44531</c:v>
                </c:pt>
                <c:pt idx="424">
                  <c:v>44530</c:v>
                </c:pt>
                <c:pt idx="425">
                  <c:v>44529</c:v>
                </c:pt>
                <c:pt idx="426">
                  <c:v>44526</c:v>
                </c:pt>
                <c:pt idx="427">
                  <c:v>44525</c:v>
                </c:pt>
                <c:pt idx="428">
                  <c:v>44524</c:v>
                </c:pt>
                <c:pt idx="429">
                  <c:v>44523</c:v>
                </c:pt>
                <c:pt idx="430">
                  <c:v>44522</c:v>
                </c:pt>
                <c:pt idx="431">
                  <c:v>44519</c:v>
                </c:pt>
                <c:pt idx="432">
                  <c:v>44518</c:v>
                </c:pt>
                <c:pt idx="433">
                  <c:v>44517</c:v>
                </c:pt>
                <c:pt idx="434">
                  <c:v>44516</c:v>
                </c:pt>
                <c:pt idx="435">
                  <c:v>44515</c:v>
                </c:pt>
                <c:pt idx="436">
                  <c:v>44512</c:v>
                </c:pt>
                <c:pt idx="437">
                  <c:v>44511</c:v>
                </c:pt>
                <c:pt idx="438">
                  <c:v>44510</c:v>
                </c:pt>
                <c:pt idx="439">
                  <c:v>44509</c:v>
                </c:pt>
                <c:pt idx="440">
                  <c:v>44508</c:v>
                </c:pt>
                <c:pt idx="441">
                  <c:v>44505</c:v>
                </c:pt>
                <c:pt idx="442">
                  <c:v>44504</c:v>
                </c:pt>
                <c:pt idx="443">
                  <c:v>44503</c:v>
                </c:pt>
                <c:pt idx="444">
                  <c:v>44502</c:v>
                </c:pt>
                <c:pt idx="445">
                  <c:v>44501</c:v>
                </c:pt>
                <c:pt idx="446">
                  <c:v>44498</c:v>
                </c:pt>
                <c:pt idx="447">
                  <c:v>44497</c:v>
                </c:pt>
                <c:pt idx="448">
                  <c:v>44496</c:v>
                </c:pt>
                <c:pt idx="449">
                  <c:v>44495</c:v>
                </c:pt>
                <c:pt idx="450">
                  <c:v>44494</c:v>
                </c:pt>
                <c:pt idx="451">
                  <c:v>44491</c:v>
                </c:pt>
                <c:pt idx="452">
                  <c:v>44490</c:v>
                </c:pt>
                <c:pt idx="453">
                  <c:v>44489</c:v>
                </c:pt>
                <c:pt idx="454">
                  <c:v>44488</c:v>
                </c:pt>
                <c:pt idx="455">
                  <c:v>44487</c:v>
                </c:pt>
                <c:pt idx="456">
                  <c:v>44484</c:v>
                </c:pt>
                <c:pt idx="457">
                  <c:v>44483</c:v>
                </c:pt>
                <c:pt idx="458">
                  <c:v>44482</c:v>
                </c:pt>
                <c:pt idx="459">
                  <c:v>44481</c:v>
                </c:pt>
                <c:pt idx="460">
                  <c:v>44477</c:v>
                </c:pt>
                <c:pt idx="461">
                  <c:v>44476</c:v>
                </c:pt>
                <c:pt idx="462">
                  <c:v>44475</c:v>
                </c:pt>
                <c:pt idx="463">
                  <c:v>44474</c:v>
                </c:pt>
                <c:pt idx="464">
                  <c:v>44470</c:v>
                </c:pt>
                <c:pt idx="465">
                  <c:v>44469</c:v>
                </c:pt>
                <c:pt idx="466">
                  <c:v>44468</c:v>
                </c:pt>
                <c:pt idx="467">
                  <c:v>44467</c:v>
                </c:pt>
                <c:pt idx="468">
                  <c:v>44466</c:v>
                </c:pt>
                <c:pt idx="469">
                  <c:v>44463</c:v>
                </c:pt>
                <c:pt idx="470">
                  <c:v>44462</c:v>
                </c:pt>
                <c:pt idx="471">
                  <c:v>44456</c:v>
                </c:pt>
                <c:pt idx="472">
                  <c:v>44455</c:v>
                </c:pt>
                <c:pt idx="473">
                  <c:v>44454</c:v>
                </c:pt>
                <c:pt idx="474">
                  <c:v>44453</c:v>
                </c:pt>
                <c:pt idx="475">
                  <c:v>44452</c:v>
                </c:pt>
                <c:pt idx="476">
                  <c:v>44449</c:v>
                </c:pt>
                <c:pt idx="477">
                  <c:v>44448</c:v>
                </c:pt>
                <c:pt idx="478">
                  <c:v>44447</c:v>
                </c:pt>
                <c:pt idx="479">
                  <c:v>44446</c:v>
                </c:pt>
                <c:pt idx="480">
                  <c:v>44445</c:v>
                </c:pt>
                <c:pt idx="481">
                  <c:v>44442</c:v>
                </c:pt>
                <c:pt idx="482">
                  <c:v>44441</c:v>
                </c:pt>
                <c:pt idx="483">
                  <c:v>44440</c:v>
                </c:pt>
                <c:pt idx="484">
                  <c:v>44439</c:v>
                </c:pt>
                <c:pt idx="485">
                  <c:v>44438</c:v>
                </c:pt>
                <c:pt idx="486">
                  <c:v>44435</c:v>
                </c:pt>
                <c:pt idx="487">
                  <c:v>44434</c:v>
                </c:pt>
                <c:pt idx="488">
                  <c:v>44433</c:v>
                </c:pt>
                <c:pt idx="489">
                  <c:v>44432</c:v>
                </c:pt>
                <c:pt idx="490">
                  <c:v>44431</c:v>
                </c:pt>
                <c:pt idx="491">
                  <c:v>44428</c:v>
                </c:pt>
                <c:pt idx="492">
                  <c:v>44427</c:v>
                </c:pt>
                <c:pt idx="493">
                  <c:v>44426</c:v>
                </c:pt>
                <c:pt idx="494">
                  <c:v>44425</c:v>
                </c:pt>
                <c:pt idx="495">
                  <c:v>44421</c:v>
                </c:pt>
                <c:pt idx="496">
                  <c:v>44420</c:v>
                </c:pt>
                <c:pt idx="497">
                  <c:v>44419</c:v>
                </c:pt>
                <c:pt idx="498">
                  <c:v>44418</c:v>
                </c:pt>
              </c:numCache>
            </c:numRef>
          </c:cat>
          <c:val>
            <c:numRef>
              <c:f>국내시장주요지표!$AS$68:$AS$566</c:f>
              <c:numCache>
                <c:formatCode>General</c:formatCode>
                <c:ptCount val="499"/>
                <c:pt idx="0">
                  <c:v>0.77300000000000013</c:v>
                </c:pt>
                <c:pt idx="1">
                  <c:v>0.77600000000000025</c:v>
                </c:pt>
                <c:pt idx="2">
                  <c:v>0.77299999999999969</c:v>
                </c:pt>
                <c:pt idx="3">
                  <c:v>0.77699999999999969</c:v>
                </c:pt>
                <c:pt idx="4">
                  <c:v>0.77700000000000058</c:v>
                </c:pt>
                <c:pt idx="5">
                  <c:v>0.77600000000000025</c:v>
                </c:pt>
                <c:pt idx="6">
                  <c:v>0.77700000000000058</c:v>
                </c:pt>
                <c:pt idx="7">
                  <c:v>0.77899999999999991</c:v>
                </c:pt>
                <c:pt idx="8">
                  <c:v>0.78100000000000014</c:v>
                </c:pt>
                <c:pt idx="9">
                  <c:v>0.78200000000000047</c:v>
                </c:pt>
                <c:pt idx="10">
                  <c:v>0.78900000000000015</c:v>
                </c:pt>
                <c:pt idx="11">
                  <c:v>0.78799999999999981</c:v>
                </c:pt>
                <c:pt idx="12">
                  <c:v>0.78599999999999959</c:v>
                </c:pt>
                <c:pt idx="13">
                  <c:v>0.78800000000000026</c:v>
                </c:pt>
                <c:pt idx="14">
                  <c:v>0.78699999999999948</c:v>
                </c:pt>
                <c:pt idx="15">
                  <c:v>0.78600000000000048</c:v>
                </c:pt>
                <c:pt idx="16">
                  <c:v>0.78999999999999959</c:v>
                </c:pt>
                <c:pt idx="17">
                  <c:v>0.79300000000000015</c:v>
                </c:pt>
                <c:pt idx="18">
                  <c:v>0.79700000000000015</c:v>
                </c:pt>
                <c:pt idx="19">
                  <c:v>0.7979999999999996</c:v>
                </c:pt>
                <c:pt idx="20">
                  <c:v>0.79800000000000004</c:v>
                </c:pt>
                <c:pt idx="21">
                  <c:v>0.8019999999999996</c:v>
                </c:pt>
                <c:pt idx="22">
                  <c:v>0.80299999999999949</c:v>
                </c:pt>
                <c:pt idx="23">
                  <c:v>0.80600000000000005</c:v>
                </c:pt>
                <c:pt idx="24">
                  <c:v>0.80600000000000049</c:v>
                </c:pt>
                <c:pt idx="25">
                  <c:v>0.80799999999999939</c:v>
                </c:pt>
                <c:pt idx="26">
                  <c:v>0.79899999999999993</c:v>
                </c:pt>
                <c:pt idx="27">
                  <c:v>0.79900000000000038</c:v>
                </c:pt>
                <c:pt idx="28">
                  <c:v>0.79899999999999993</c:v>
                </c:pt>
                <c:pt idx="29">
                  <c:v>0.79899999999999949</c:v>
                </c:pt>
                <c:pt idx="30">
                  <c:v>0.80699999999999994</c:v>
                </c:pt>
                <c:pt idx="31">
                  <c:v>0.81</c:v>
                </c:pt>
                <c:pt idx="32">
                  <c:v>0.80800000000000027</c:v>
                </c:pt>
                <c:pt idx="33">
                  <c:v>0.81099999999999994</c:v>
                </c:pt>
                <c:pt idx="34">
                  <c:v>0.80699999999999994</c:v>
                </c:pt>
                <c:pt idx="35">
                  <c:v>0.80800000000000027</c:v>
                </c:pt>
                <c:pt idx="36">
                  <c:v>0.81</c:v>
                </c:pt>
                <c:pt idx="37">
                  <c:v>0.80699999999999994</c:v>
                </c:pt>
                <c:pt idx="38">
                  <c:v>0.80999999999999961</c:v>
                </c:pt>
                <c:pt idx="39">
                  <c:v>0.80800000000000027</c:v>
                </c:pt>
                <c:pt idx="40">
                  <c:v>0.80699999999999994</c:v>
                </c:pt>
                <c:pt idx="41">
                  <c:v>0.81299999999999972</c:v>
                </c:pt>
                <c:pt idx="42">
                  <c:v>0.8069999999999995</c:v>
                </c:pt>
                <c:pt idx="43">
                  <c:v>0.80999999999999961</c:v>
                </c:pt>
                <c:pt idx="44">
                  <c:v>0.81100000000000039</c:v>
                </c:pt>
                <c:pt idx="45">
                  <c:v>0.81099999999999994</c:v>
                </c:pt>
                <c:pt idx="46">
                  <c:v>0.81299999999999972</c:v>
                </c:pt>
                <c:pt idx="47">
                  <c:v>0.80899999999999972</c:v>
                </c:pt>
                <c:pt idx="48">
                  <c:v>0.80300000000000038</c:v>
                </c:pt>
                <c:pt idx="49">
                  <c:v>0.80100000000000016</c:v>
                </c:pt>
                <c:pt idx="50">
                  <c:v>0.8019999999999996</c:v>
                </c:pt>
                <c:pt idx="51">
                  <c:v>0.8050000000000006</c:v>
                </c:pt>
                <c:pt idx="52">
                  <c:v>0.80799999999999983</c:v>
                </c:pt>
                <c:pt idx="53">
                  <c:v>0.80699999999999994</c:v>
                </c:pt>
                <c:pt idx="54">
                  <c:v>0.80299999999999949</c:v>
                </c:pt>
                <c:pt idx="55">
                  <c:v>0.79899999999999993</c:v>
                </c:pt>
                <c:pt idx="56">
                  <c:v>0.80400000000000027</c:v>
                </c:pt>
                <c:pt idx="57">
                  <c:v>0.80000000000000027</c:v>
                </c:pt>
                <c:pt idx="58">
                  <c:v>0.80499999999999972</c:v>
                </c:pt>
                <c:pt idx="59">
                  <c:v>0.80799999999999983</c:v>
                </c:pt>
                <c:pt idx="60">
                  <c:v>0.80599999999999961</c:v>
                </c:pt>
                <c:pt idx="61">
                  <c:v>0.80799999999999983</c:v>
                </c:pt>
                <c:pt idx="62">
                  <c:v>0.80700000000000038</c:v>
                </c:pt>
                <c:pt idx="63">
                  <c:v>0.80999999999999961</c:v>
                </c:pt>
                <c:pt idx="64">
                  <c:v>0.81400000000000006</c:v>
                </c:pt>
                <c:pt idx="65">
                  <c:v>0.8100000000000005</c:v>
                </c:pt>
                <c:pt idx="66">
                  <c:v>0.81</c:v>
                </c:pt>
                <c:pt idx="67">
                  <c:v>0.81199999999999983</c:v>
                </c:pt>
                <c:pt idx="68">
                  <c:v>0.81300000000000017</c:v>
                </c:pt>
                <c:pt idx="69">
                  <c:v>0.81300000000000017</c:v>
                </c:pt>
                <c:pt idx="70">
                  <c:v>0.81799999999999962</c:v>
                </c:pt>
                <c:pt idx="71">
                  <c:v>0.82000000000000028</c:v>
                </c:pt>
                <c:pt idx="72">
                  <c:v>0.81300000000000017</c:v>
                </c:pt>
                <c:pt idx="73">
                  <c:v>0.80499999999999972</c:v>
                </c:pt>
                <c:pt idx="74">
                  <c:v>0.81200000000000028</c:v>
                </c:pt>
                <c:pt idx="75">
                  <c:v>0.80600000000000049</c:v>
                </c:pt>
                <c:pt idx="76">
                  <c:v>0.81</c:v>
                </c:pt>
                <c:pt idx="77">
                  <c:v>0.8109999999999995</c:v>
                </c:pt>
                <c:pt idx="78">
                  <c:v>0.82100000000000017</c:v>
                </c:pt>
                <c:pt idx="79">
                  <c:v>0.81600000000000028</c:v>
                </c:pt>
                <c:pt idx="80">
                  <c:v>0.81199999999999983</c:v>
                </c:pt>
                <c:pt idx="81">
                  <c:v>0.80899999999999972</c:v>
                </c:pt>
                <c:pt idx="82">
                  <c:v>0.80699999999999994</c:v>
                </c:pt>
                <c:pt idx="83">
                  <c:v>0.80499999999999972</c:v>
                </c:pt>
                <c:pt idx="84">
                  <c:v>0.80700000000000038</c:v>
                </c:pt>
                <c:pt idx="85">
                  <c:v>0.8100000000000005</c:v>
                </c:pt>
                <c:pt idx="86">
                  <c:v>0.80899999999999972</c:v>
                </c:pt>
                <c:pt idx="87">
                  <c:v>0.8100000000000005</c:v>
                </c:pt>
                <c:pt idx="88">
                  <c:v>0.81199999999999939</c:v>
                </c:pt>
                <c:pt idx="89">
                  <c:v>0.80900000000000016</c:v>
                </c:pt>
                <c:pt idx="90">
                  <c:v>0.81100000000000039</c:v>
                </c:pt>
                <c:pt idx="91">
                  <c:v>0.80800000000000027</c:v>
                </c:pt>
                <c:pt idx="92">
                  <c:v>0.80200000000000049</c:v>
                </c:pt>
                <c:pt idx="93">
                  <c:v>0.79700000000000015</c:v>
                </c:pt>
                <c:pt idx="94">
                  <c:v>0.80399999999999983</c:v>
                </c:pt>
                <c:pt idx="95">
                  <c:v>0.79499999999999993</c:v>
                </c:pt>
                <c:pt idx="96">
                  <c:v>0.77800000000000002</c:v>
                </c:pt>
                <c:pt idx="97">
                  <c:v>0.77099999999999991</c:v>
                </c:pt>
                <c:pt idx="98">
                  <c:v>0.76899999999999968</c:v>
                </c:pt>
                <c:pt idx="99">
                  <c:v>0.76799999999999979</c:v>
                </c:pt>
                <c:pt idx="100">
                  <c:v>0.76400000000000023</c:v>
                </c:pt>
                <c:pt idx="101">
                  <c:v>0.73000000000000043</c:v>
                </c:pt>
                <c:pt idx="102">
                  <c:v>0.72199999999999998</c:v>
                </c:pt>
                <c:pt idx="103">
                  <c:v>0.72200000000000042</c:v>
                </c:pt>
                <c:pt idx="104">
                  <c:v>0.69500000000000028</c:v>
                </c:pt>
                <c:pt idx="105">
                  <c:v>0.69799999999999995</c:v>
                </c:pt>
                <c:pt idx="106">
                  <c:v>0.69599999999999973</c:v>
                </c:pt>
                <c:pt idx="107">
                  <c:v>0.70400000000000018</c:v>
                </c:pt>
                <c:pt idx="108">
                  <c:v>0.71399999999999997</c:v>
                </c:pt>
                <c:pt idx="109">
                  <c:v>0.69300000000000006</c:v>
                </c:pt>
                <c:pt idx="110">
                  <c:v>0.68199999999999994</c:v>
                </c:pt>
                <c:pt idx="111">
                  <c:v>0.67899999999999983</c:v>
                </c:pt>
                <c:pt idx="112">
                  <c:v>0.68400000000000016</c:v>
                </c:pt>
                <c:pt idx="113">
                  <c:v>0.68400000000000016</c:v>
                </c:pt>
                <c:pt idx="114">
                  <c:v>0.68000000000000016</c:v>
                </c:pt>
                <c:pt idx="115">
                  <c:v>0.67999999999999972</c:v>
                </c:pt>
                <c:pt idx="116">
                  <c:v>0.68699999999999983</c:v>
                </c:pt>
                <c:pt idx="117">
                  <c:v>0.68299999999999983</c:v>
                </c:pt>
                <c:pt idx="118">
                  <c:v>0.69999999999999973</c:v>
                </c:pt>
                <c:pt idx="119">
                  <c:v>0.71199999999999974</c:v>
                </c:pt>
                <c:pt idx="120">
                  <c:v>0.69699999999999962</c:v>
                </c:pt>
                <c:pt idx="121">
                  <c:v>0.70099999999999962</c:v>
                </c:pt>
                <c:pt idx="122">
                  <c:v>0.69199999999999973</c:v>
                </c:pt>
                <c:pt idx="123">
                  <c:v>0.70599999999999996</c:v>
                </c:pt>
                <c:pt idx="124">
                  <c:v>0.73499999999999988</c:v>
                </c:pt>
                <c:pt idx="125">
                  <c:v>0.75300000000000011</c:v>
                </c:pt>
                <c:pt idx="126">
                  <c:v>0.77800000000000002</c:v>
                </c:pt>
                <c:pt idx="127">
                  <c:v>0.79999999999999982</c:v>
                </c:pt>
                <c:pt idx="128">
                  <c:v>0.83299999999999974</c:v>
                </c:pt>
                <c:pt idx="129">
                  <c:v>0.85299999999999976</c:v>
                </c:pt>
                <c:pt idx="130">
                  <c:v>0.9049999999999998</c:v>
                </c:pt>
                <c:pt idx="131">
                  <c:v>0.92899999999999983</c:v>
                </c:pt>
                <c:pt idx="132">
                  <c:v>0.95400000000000018</c:v>
                </c:pt>
                <c:pt idx="133">
                  <c:v>0.97100000000000053</c:v>
                </c:pt>
                <c:pt idx="134">
                  <c:v>0.99399999999999977</c:v>
                </c:pt>
                <c:pt idx="135">
                  <c:v>1.0049999999999999</c:v>
                </c:pt>
                <c:pt idx="136">
                  <c:v>1.0190000000000001</c:v>
                </c:pt>
                <c:pt idx="137">
                  <c:v>1.0389999999999997</c:v>
                </c:pt>
                <c:pt idx="138">
                  <c:v>1.06</c:v>
                </c:pt>
                <c:pt idx="139">
                  <c:v>1.0879999999999996</c:v>
                </c:pt>
                <c:pt idx="140">
                  <c:v>1.1150000000000002</c:v>
                </c:pt>
                <c:pt idx="141">
                  <c:v>1.1230000000000002</c:v>
                </c:pt>
                <c:pt idx="142">
                  <c:v>1.1549999999999994</c:v>
                </c:pt>
                <c:pt idx="143">
                  <c:v>1.1699999999999995</c:v>
                </c:pt>
                <c:pt idx="144">
                  <c:v>1.1929999999999996</c:v>
                </c:pt>
                <c:pt idx="145">
                  <c:v>1.2069999999999994</c:v>
                </c:pt>
                <c:pt idx="146">
                  <c:v>1.2509999999999999</c:v>
                </c:pt>
                <c:pt idx="147">
                  <c:v>1.2640000000000002</c:v>
                </c:pt>
                <c:pt idx="148">
                  <c:v>1.3119999999999998</c:v>
                </c:pt>
                <c:pt idx="149">
                  <c:v>1.3309999999999995</c:v>
                </c:pt>
                <c:pt idx="150">
                  <c:v>1.3529999999999998</c:v>
                </c:pt>
                <c:pt idx="151">
                  <c:v>1.3810000000000002</c:v>
                </c:pt>
                <c:pt idx="152">
                  <c:v>1.4159999999999995</c:v>
                </c:pt>
                <c:pt idx="153">
                  <c:v>1.4460000000000002</c:v>
                </c:pt>
                <c:pt idx="154">
                  <c:v>1.4700000000000002</c:v>
                </c:pt>
                <c:pt idx="155">
                  <c:v>1.4799999999999995</c:v>
                </c:pt>
                <c:pt idx="156">
                  <c:v>1.5190000000000006</c:v>
                </c:pt>
                <c:pt idx="157">
                  <c:v>1.5350000000000001</c:v>
                </c:pt>
                <c:pt idx="158">
                  <c:v>1.5570000000000004</c:v>
                </c:pt>
                <c:pt idx="159">
                  <c:v>1.5720000000000005</c:v>
                </c:pt>
                <c:pt idx="160">
                  <c:v>1.5919999999999996</c:v>
                </c:pt>
                <c:pt idx="161">
                  <c:v>1.625</c:v>
                </c:pt>
                <c:pt idx="162">
                  <c:v>1.6340000000000003</c:v>
                </c:pt>
                <c:pt idx="163">
                  <c:v>1.6480000000000001</c:v>
                </c:pt>
                <c:pt idx="164">
                  <c:v>1.6719999999999997</c:v>
                </c:pt>
                <c:pt idx="165">
                  <c:v>1.6880000000000002</c:v>
                </c:pt>
                <c:pt idx="166">
                  <c:v>1.7269999999999999</c:v>
                </c:pt>
                <c:pt idx="167">
                  <c:v>1.7420000000000004</c:v>
                </c:pt>
                <c:pt idx="168">
                  <c:v>1.7509999999999994</c:v>
                </c:pt>
                <c:pt idx="169">
                  <c:v>1.7599999999999998</c:v>
                </c:pt>
                <c:pt idx="170">
                  <c:v>1.734</c:v>
                </c:pt>
                <c:pt idx="171">
                  <c:v>1.7359999999999998</c:v>
                </c:pt>
                <c:pt idx="172">
                  <c:v>1.7389999999999994</c:v>
                </c:pt>
                <c:pt idx="173">
                  <c:v>1.7539999999999996</c:v>
                </c:pt>
                <c:pt idx="174">
                  <c:v>1.7610000000000001</c:v>
                </c:pt>
                <c:pt idx="175">
                  <c:v>1.77</c:v>
                </c:pt>
                <c:pt idx="176">
                  <c:v>1.7719999999999998</c:v>
                </c:pt>
                <c:pt idx="177">
                  <c:v>1.7560000000000002</c:v>
                </c:pt>
                <c:pt idx="178">
                  <c:v>1.7450000000000001</c:v>
                </c:pt>
                <c:pt idx="179">
                  <c:v>1.7360000000000002</c:v>
                </c:pt>
                <c:pt idx="180">
                  <c:v>1.7320000000000002</c:v>
                </c:pt>
                <c:pt idx="181">
                  <c:v>1.7130000000000001</c:v>
                </c:pt>
                <c:pt idx="182">
                  <c:v>1.6869999999999994</c:v>
                </c:pt>
                <c:pt idx="183">
                  <c:v>1.6720000000000002</c:v>
                </c:pt>
                <c:pt idx="184">
                  <c:v>1.6549999999999998</c:v>
                </c:pt>
                <c:pt idx="185">
                  <c:v>1.6420000000000003</c:v>
                </c:pt>
                <c:pt idx="186">
                  <c:v>1.6229999999999998</c:v>
                </c:pt>
                <c:pt idx="187">
                  <c:v>1.6080000000000005</c:v>
                </c:pt>
                <c:pt idx="188">
                  <c:v>1.593</c:v>
                </c:pt>
                <c:pt idx="189">
                  <c:v>1.5699999999999998</c:v>
                </c:pt>
                <c:pt idx="190">
                  <c:v>1.5269999999999997</c:v>
                </c:pt>
                <c:pt idx="191">
                  <c:v>1.5179999999999998</c:v>
                </c:pt>
                <c:pt idx="192">
                  <c:v>1.508</c:v>
                </c:pt>
                <c:pt idx="193">
                  <c:v>1.4860000000000007</c:v>
                </c:pt>
                <c:pt idx="194">
                  <c:v>1.476</c:v>
                </c:pt>
                <c:pt idx="195">
                  <c:v>1.4729999999999999</c:v>
                </c:pt>
                <c:pt idx="196">
                  <c:v>1.4579999999999993</c:v>
                </c:pt>
                <c:pt idx="197">
                  <c:v>1.4380000000000006</c:v>
                </c:pt>
                <c:pt idx="198">
                  <c:v>1.4180000000000001</c:v>
                </c:pt>
                <c:pt idx="199">
                  <c:v>1.3950000000000005</c:v>
                </c:pt>
                <c:pt idx="200">
                  <c:v>1.375</c:v>
                </c:pt>
                <c:pt idx="201">
                  <c:v>1.3660000000000005</c:v>
                </c:pt>
                <c:pt idx="202">
                  <c:v>1.3449999999999998</c:v>
                </c:pt>
                <c:pt idx="203">
                  <c:v>1.3069999999999995</c:v>
                </c:pt>
                <c:pt idx="204">
                  <c:v>1.2869999999999999</c:v>
                </c:pt>
                <c:pt idx="205">
                  <c:v>1.2409999999999997</c:v>
                </c:pt>
                <c:pt idx="206">
                  <c:v>1.2380000000000004</c:v>
                </c:pt>
                <c:pt idx="207">
                  <c:v>1.202</c:v>
                </c:pt>
                <c:pt idx="208">
                  <c:v>1.1660000000000004</c:v>
                </c:pt>
                <c:pt idx="209">
                  <c:v>1.1340000000000003</c:v>
                </c:pt>
                <c:pt idx="210">
                  <c:v>1.1130000000000004</c:v>
                </c:pt>
                <c:pt idx="211">
                  <c:v>1.1069999999999993</c:v>
                </c:pt>
                <c:pt idx="212">
                  <c:v>1.1029999999999998</c:v>
                </c:pt>
                <c:pt idx="213">
                  <c:v>1.0940000000000003</c:v>
                </c:pt>
                <c:pt idx="214">
                  <c:v>1.0819999999999999</c:v>
                </c:pt>
                <c:pt idx="215">
                  <c:v>1.0860000000000003</c:v>
                </c:pt>
                <c:pt idx="216">
                  <c:v>1.085</c:v>
                </c:pt>
                <c:pt idx="217">
                  <c:v>1.0939999999999994</c:v>
                </c:pt>
                <c:pt idx="218">
                  <c:v>1.0940000000000003</c:v>
                </c:pt>
                <c:pt idx="219">
                  <c:v>1.0750000000000002</c:v>
                </c:pt>
                <c:pt idx="220">
                  <c:v>1.0039999999999996</c:v>
                </c:pt>
                <c:pt idx="221">
                  <c:v>1.0039999999999996</c:v>
                </c:pt>
                <c:pt idx="222">
                  <c:v>0.97999999999999954</c:v>
                </c:pt>
                <c:pt idx="223">
                  <c:v>0.99000000000000021</c:v>
                </c:pt>
                <c:pt idx="224">
                  <c:v>0.98799999999999955</c:v>
                </c:pt>
                <c:pt idx="225">
                  <c:v>0.996</c:v>
                </c:pt>
                <c:pt idx="226">
                  <c:v>0.9830000000000001</c:v>
                </c:pt>
                <c:pt idx="227">
                  <c:v>0.99200000000000044</c:v>
                </c:pt>
                <c:pt idx="228">
                  <c:v>0.9910000000000001</c:v>
                </c:pt>
                <c:pt idx="229">
                  <c:v>0.98900000000000032</c:v>
                </c:pt>
                <c:pt idx="230">
                  <c:v>0.99399999999999977</c:v>
                </c:pt>
                <c:pt idx="231">
                  <c:v>0.98900000000000032</c:v>
                </c:pt>
                <c:pt idx="232">
                  <c:v>0.99800000000000022</c:v>
                </c:pt>
                <c:pt idx="233">
                  <c:v>0.9830000000000001</c:v>
                </c:pt>
                <c:pt idx="234">
                  <c:v>0.98</c:v>
                </c:pt>
                <c:pt idx="235">
                  <c:v>0.98</c:v>
                </c:pt>
                <c:pt idx="236">
                  <c:v>0.97700000000000031</c:v>
                </c:pt>
                <c:pt idx="237">
                  <c:v>0.96899999999999986</c:v>
                </c:pt>
                <c:pt idx="238">
                  <c:v>0.97300000000000031</c:v>
                </c:pt>
                <c:pt idx="239">
                  <c:v>0.97600000000000042</c:v>
                </c:pt>
                <c:pt idx="240">
                  <c:v>0.96800000000000042</c:v>
                </c:pt>
                <c:pt idx="241">
                  <c:v>0.97399999999999975</c:v>
                </c:pt>
                <c:pt idx="242">
                  <c:v>0.97599999999999953</c:v>
                </c:pt>
                <c:pt idx="243">
                  <c:v>0.9870000000000001</c:v>
                </c:pt>
                <c:pt idx="244">
                  <c:v>0.98899999999999944</c:v>
                </c:pt>
                <c:pt idx="245">
                  <c:v>0.99000000000000021</c:v>
                </c:pt>
                <c:pt idx="246">
                  <c:v>0.98899999999999988</c:v>
                </c:pt>
                <c:pt idx="247">
                  <c:v>0.98899999999999988</c:v>
                </c:pt>
                <c:pt idx="248">
                  <c:v>0.98899999999999944</c:v>
                </c:pt>
                <c:pt idx="249">
                  <c:v>0.97900000000000054</c:v>
                </c:pt>
                <c:pt idx="250">
                  <c:v>0.97799999999999976</c:v>
                </c:pt>
                <c:pt idx="251">
                  <c:v>0.98699999999999966</c:v>
                </c:pt>
                <c:pt idx="252">
                  <c:v>0.97900000000000009</c:v>
                </c:pt>
                <c:pt idx="253">
                  <c:v>0.98499999999999988</c:v>
                </c:pt>
                <c:pt idx="254">
                  <c:v>0.97900000000000054</c:v>
                </c:pt>
                <c:pt idx="255">
                  <c:v>0.97699999999999987</c:v>
                </c:pt>
                <c:pt idx="256">
                  <c:v>0.97700000000000031</c:v>
                </c:pt>
                <c:pt idx="257">
                  <c:v>0.98</c:v>
                </c:pt>
                <c:pt idx="258">
                  <c:v>0.97100000000000009</c:v>
                </c:pt>
                <c:pt idx="259">
                  <c:v>0.96200000000000019</c:v>
                </c:pt>
                <c:pt idx="260">
                  <c:v>0.96</c:v>
                </c:pt>
                <c:pt idx="261">
                  <c:v>0.95199999999999996</c:v>
                </c:pt>
                <c:pt idx="262">
                  <c:v>0.9430000000000005</c:v>
                </c:pt>
                <c:pt idx="263">
                  <c:v>0.94199999999999973</c:v>
                </c:pt>
                <c:pt idx="264">
                  <c:v>0.92899999999999983</c:v>
                </c:pt>
                <c:pt idx="265">
                  <c:v>0.91699999999999982</c:v>
                </c:pt>
                <c:pt idx="266">
                  <c:v>0.90799999999999992</c:v>
                </c:pt>
                <c:pt idx="267">
                  <c:v>0.90100000000000025</c:v>
                </c:pt>
                <c:pt idx="268">
                  <c:v>0.89999999999999947</c:v>
                </c:pt>
                <c:pt idx="269">
                  <c:v>0.8919999999999999</c:v>
                </c:pt>
                <c:pt idx="270">
                  <c:v>0.88600000000000012</c:v>
                </c:pt>
                <c:pt idx="271">
                  <c:v>0.87900000000000045</c:v>
                </c:pt>
                <c:pt idx="272">
                  <c:v>0.88300000000000045</c:v>
                </c:pt>
                <c:pt idx="273">
                  <c:v>0.86700000000000044</c:v>
                </c:pt>
                <c:pt idx="274">
                  <c:v>0.87400000000000055</c:v>
                </c:pt>
                <c:pt idx="275">
                  <c:v>0.871</c:v>
                </c:pt>
                <c:pt idx="276">
                  <c:v>0.85100000000000042</c:v>
                </c:pt>
                <c:pt idx="277">
                  <c:v>0.84700000000000042</c:v>
                </c:pt>
                <c:pt idx="278">
                  <c:v>0.82699999999999996</c:v>
                </c:pt>
                <c:pt idx="279">
                  <c:v>0.81699999999999973</c:v>
                </c:pt>
                <c:pt idx="280">
                  <c:v>0.81799999999999962</c:v>
                </c:pt>
                <c:pt idx="281">
                  <c:v>0.81099999999999994</c:v>
                </c:pt>
                <c:pt idx="282">
                  <c:v>0.80699999999999994</c:v>
                </c:pt>
                <c:pt idx="283">
                  <c:v>0.78700000000000037</c:v>
                </c:pt>
                <c:pt idx="284">
                  <c:v>0.77600000000000025</c:v>
                </c:pt>
                <c:pt idx="285">
                  <c:v>0.77399999999999958</c:v>
                </c:pt>
                <c:pt idx="286">
                  <c:v>0.75500000000000034</c:v>
                </c:pt>
                <c:pt idx="287">
                  <c:v>0.75300000000000056</c:v>
                </c:pt>
                <c:pt idx="288">
                  <c:v>0.73900000000000032</c:v>
                </c:pt>
                <c:pt idx="289">
                  <c:v>0.73899999999999988</c:v>
                </c:pt>
                <c:pt idx="290">
                  <c:v>0.72299999999999986</c:v>
                </c:pt>
                <c:pt idx="291">
                  <c:v>0.70900000000000007</c:v>
                </c:pt>
                <c:pt idx="292">
                  <c:v>0.70500000000000052</c:v>
                </c:pt>
                <c:pt idx="293">
                  <c:v>0.72199999999999953</c:v>
                </c:pt>
                <c:pt idx="294">
                  <c:v>0.70800000000000063</c:v>
                </c:pt>
                <c:pt idx="295">
                  <c:v>0.72100000000000009</c:v>
                </c:pt>
                <c:pt idx="296">
                  <c:v>0.78700000000000037</c:v>
                </c:pt>
                <c:pt idx="297">
                  <c:v>0.77300000000000013</c:v>
                </c:pt>
                <c:pt idx="298">
                  <c:v>0.76900000000000013</c:v>
                </c:pt>
                <c:pt idx="299">
                  <c:v>0.77499999999999991</c:v>
                </c:pt>
                <c:pt idx="300">
                  <c:v>0.7719999999999998</c:v>
                </c:pt>
                <c:pt idx="301">
                  <c:v>0.7799999999999998</c:v>
                </c:pt>
                <c:pt idx="302">
                  <c:v>0.78200000000000003</c:v>
                </c:pt>
                <c:pt idx="303">
                  <c:v>0.78100000000000014</c:v>
                </c:pt>
                <c:pt idx="304">
                  <c:v>0.77800000000000002</c:v>
                </c:pt>
                <c:pt idx="305">
                  <c:v>0.77400000000000002</c:v>
                </c:pt>
                <c:pt idx="306">
                  <c:v>0.77499999999999991</c:v>
                </c:pt>
                <c:pt idx="307">
                  <c:v>0.77800000000000002</c:v>
                </c:pt>
                <c:pt idx="308">
                  <c:v>0.77299999999999969</c:v>
                </c:pt>
                <c:pt idx="309">
                  <c:v>0.77500000000000036</c:v>
                </c:pt>
                <c:pt idx="310">
                  <c:v>0.7629999999999999</c:v>
                </c:pt>
                <c:pt idx="311">
                  <c:v>0.75299999999999967</c:v>
                </c:pt>
                <c:pt idx="312">
                  <c:v>0.73500000000000032</c:v>
                </c:pt>
                <c:pt idx="313">
                  <c:v>0.76200000000000001</c:v>
                </c:pt>
                <c:pt idx="314">
                  <c:v>0.75700000000000012</c:v>
                </c:pt>
                <c:pt idx="315">
                  <c:v>0.7629999999999999</c:v>
                </c:pt>
                <c:pt idx="316">
                  <c:v>0.7370000000000001</c:v>
                </c:pt>
                <c:pt idx="317">
                  <c:v>0.73799999999999999</c:v>
                </c:pt>
                <c:pt idx="318">
                  <c:v>0.72700000000000031</c:v>
                </c:pt>
                <c:pt idx="319">
                  <c:v>0.70900000000000007</c:v>
                </c:pt>
                <c:pt idx="320">
                  <c:v>0.71600000000000019</c:v>
                </c:pt>
                <c:pt idx="321">
                  <c:v>0.70800000000000018</c:v>
                </c:pt>
                <c:pt idx="322">
                  <c:v>0.72199999999999998</c:v>
                </c:pt>
                <c:pt idx="323">
                  <c:v>0.7110000000000003</c:v>
                </c:pt>
                <c:pt idx="324">
                  <c:v>0.69600000000000017</c:v>
                </c:pt>
                <c:pt idx="325">
                  <c:v>0.754</c:v>
                </c:pt>
                <c:pt idx="326">
                  <c:v>0.74499999999999966</c:v>
                </c:pt>
                <c:pt idx="327">
                  <c:v>0.71700000000000008</c:v>
                </c:pt>
                <c:pt idx="328">
                  <c:v>0.71999999999999975</c:v>
                </c:pt>
                <c:pt idx="329">
                  <c:v>0.70500000000000007</c:v>
                </c:pt>
                <c:pt idx="330">
                  <c:v>0.69</c:v>
                </c:pt>
                <c:pt idx="331">
                  <c:v>0.69899999999999984</c:v>
                </c:pt>
                <c:pt idx="332">
                  <c:v>0.69600000000000017</c:v>
                </c:pt>
                <c:pt idx="333">
                  <c:v>0.69500000000000028</c:v>
                </c:pt>
                <c:pt idx="334">
                  <c:v>0.68700000000000028</c:v>
                </c:pt>
                <c:pt idx="335">
                  <c:v>0.66900000000000004</c:v>
                </c:pt>
                <c:pt idx="336">
                  <c:v>0.62700000000000022</c:v>
                </c:pt>
                <c:pt idx="337">
                  <c:v>0.64900000000000002</c:v>
                </c:pt>
                <c:pt idx="338">
                  <c:v>0.65700000000000003</c:v>
                </c:pt>
                <c:pt idx="339">
                  <c:v>0.65100000000000025</c:v>
                </c:pt>
                <c:pt idx="340">
                  <c:v>0.66299999999999981</c:v>
                </c:pt>
                <c:pt idx="341">
                  <c:v>0.66199999999999992</c:v>
                </c:pt>
                <c:pt idx="342">
                  <c:v>0.67400000000000038</c:v>
                </c:pt>
                <c:pt idx="343">
                  <c:v>0.67700000000000005</c:v>
                </c:pt>
                <c:pt idx="344">
                  <c:v>0.67599999999999971</c:v>
                </c:pt>
                <c:pt idx="345">
                  <c:v>0.66100000000000003</c:v>
                </c:pt>
                <c:pt idx="346">
                  <c:v>0.64700000000000024</c:v>
                </c:pt>
                <c:pt idx="347">
                  <c:v>0.65799999999999992</c:v>
                </c:pt>
                <c:pt idx="348">
                  <c:v>0.64900000000000002</c:v>
                </c:pt>
                <c:pt idx="349">
                  <c:v>0.6469999999999998</c:v>
                </c:pt>
                <c:pt idx="350">
                  <c:v>0.64599999999999991</c:v>
                </c:pt>
                <c:pt idx="351">
                  <c:v>0.67600000000000016</c:v>
                </c:pt>
                <c:pt idx="352">
                  <c:v>0.68000000000000016</c:v>
                </c:pt>
                <c:pt idx="353">
                  <c:v>0.68500000000000005</c:v>
                </c:pt>
                <c:pt idx="354">
                  <c:v>0.68000000000000016</c:v>
                </c:pt>
                <c:pt idx="355">
                  <c:v>0.67999999999999972</c:v>
                </c:pt>
                <c:pt idx="356">
                  <c:v>0.66400000000000015</c:v>
                </c:pt>
                <c:pt idx="357">
                  <c:v>0.66500000000000004</c:v>
                </c:pt>
                <c:pt idx="358">
                  <c:v>0.66599999999999993</c:v>
                </c:pt>
                <c:pt idx="359">
                  <c:v>0.64400000000000013</c:v>
                </c:pt>
                <c:pt idx="360">
                  <c:v>0.63400000000000034</c:v>
                </c:pt>
                <c:pt idx="361">
                  <c:v>0.6339999999999999</c:v>
                </c:pt>
                <c:pt idx="362">
                  <c:v>0.64000000000000012</c:v>
                </c:pt>
                <c:pt idx="363">
                  <c:v>0.62600000000000033</c:v>
                </c:pt>
                <c:pt idx="364">
                  <c:v>0.61299999999999999</c:v>
                </c:pt>
                <c:pt idx="365">
                  <c:v>0.60999999999999988</c:v>
                </c:pt>
                <c:pt idx="366">
                  <c:v>0.60400000000000009</c:v>
                </c:pt>
                <c:pt idx="367">
                  <c:v>0.59599999999999964</c:v>
                </c:pt>
                <c:pt idx="368">
                  <c:v>0.58899999999999997</c:v>
                </c:pt>
                <c:pt idx="369">
                  <c:v>0.58599999999999985</c:v>
                </c:pt>
                <c:pt idx="370">
                  <c:v>0.59399999999999986</c:v>
                </c:pt>
                <c:pt idx="371">
                  <c:v>0.60000000000000009</c:v>
                </c:pt>
                <c:pt idx="372">
                  <c:v>0.58799999999999963</c:v>
                </c:pt>
                <c:pt idx="373">
                  <c:v>0.58299999999999974</c:v>
                </c:pt>
                <c:pt idx="374">
                  <c:v>0.57900000000000018</c:v>
                </c:pt>
                <c:pt idx="375">
                  <c:v>0.57799999999999985</c:v>
                </c:pt>
                <c:pt idx="376">
                  <c:v>0.5860000000000003</c:v>
                </c:pt>
                <c:pt idx="377">
                  <c:v>0.57800000000000029</c:v>
                </c:pt>
                <c:pt idx="378">
                  <c:v>0.56400000000000006</c:v>
                </c:pt>
                <c:pt idx="379">
                  <c:v>0.57799999999999985</c:v>
                </c:pt>
                <c:pt idx="380">
                  <c:v>0.57699999999999996</c:v>
                </c:pt>
                <c:pt idx="381">
                  <c:v>0.57500000000000018</c:v>
                </c:pt>
                <c:pt idx="382">
                  <c:v>0.57600000000000007</c:v>
                </c:pt>
                <c:pt idx="383">
                  <c:v>0.56400000000000006</c:v>
                </c:pt>
                <c:pt idx="384">
                  <c:v>0.55699999999999994</c:v>
                </c:pt>
                <c:pt idx="385">
                  <c:v>0.55100000000000016</c:v>
                </c:pt>
                <c:pt idx="386">
                  <c:v>0.56299999999999972</c:v>
                </c:pt>
                <c:pt idx="387">
                  <c:v>0.56099999999999994</c:v>
                </c:pt>
                <c:pt idx="388">
                  <c:v>0.56499999999999995</c:v>
                </c:pt>
                <c:pt idx="389">
                  <c:v>0.57200000000000006</c:v>
                </c:pt>
                <c:pt idx="390">
                  <c:v>0.55800000000000027</c:v>
                </c:pt>
                <c:pt idx="391">
                  <c:v>0.55099999999999971</c:v>
                </c:pt>
                <c:pt idx="392">
                  <c:v>0.55600000000000005</c:v>
                </c:pt>
                <c:pt idx="393">
                  <c:v>0.58399999999999985</c:v>
                </c:pt>
                <c:pt idx="394">
                  <c:v>0.57800000000000007</c:v>
                </c:pt>
                <c:pt idx="395">
                  <c:v>0.5730000000000004</c:v>
                </c:pt>
                <c:pt idx="396">
                  <c:v>0.56600000000000028</c:v>
                </c:pt>
                <c:pt idx="397">
                  <c:v>0.57799999999999985</c:v>
                </c:pt>
                <c:pt idx="398">
                  <c:v>0.57699999999999996</c:v>
                </c:pt>
                <c:pt idx="399">
                  <c:v>0.59299999999999975</c:v>
                </c:pt>
                <c:pt idx="400">
                  <c:v>0.60600000000000009</c:v>
                </c:pt>
                <c:pt idx="401">
                  <c:v>0.60499999999999998</c:v>
                </c:pt>
                <c:pt idx="402">
                  <c:v>0.61799999999999988</c:v>
                </c:pt>
                <c:pt idx="403">
                  <c:v>0.62599999999999989</c:v>
                </c:pt>
                <c:pt idx="404">
                  <c:v>0.63099999999999978</c:v>
                </c:pt>
                <c:pt idx="405">
                  <c:v>0.63500000000000001</c:v>
                </c:pt>
                <c:pt idx="406">
                  <c:v>0.64000000000000012</c:v>
                </c:pt>
                <c:pt idx="407">
                  <c:v>0.6359999999999999</c:v>
                </c:pt>
                <c:pt idx="408">
                  <c:v>0.63500000000000001</c:v>
                </c:pt>
                <c:pt idx="409">
                  <c:v>0.63500000000000001</c:v>
                </c:pt>
                <c:pt idx="410">
                  <c:v>0.6319999999999999</c:v>
                </c:pt>
                <c:pt idx="411">
                  <c:v>0.63100000000000023</c:v>
                </c:pt>
                <c:pt idx="412">
                  <c:v>0.63200000000000012</c:v>
                </c:pt>
                <c:pt idx="413">
                  <c:v>0.62200000000000011</c:v>
                </c:pt>
                <c:pt idx="414">
                  <c:v>0.6180000000000001</c:v>
                </c:pt>
                <c:pt idx="415">
                  <c:v>0.6120000000000001</c:v>
                </c:pt>
                <c:pt idx="416">
                  <c:v>0.59400000000000008</c:v>
                </c:pt>
                <c:pt idx="417">
                  <c:v>0.59099999999999975</c:v>
                </c:pt>
                <c:pt idx="418">
                  <c:v>0.57799999999999985</c:v>
                </c:pt>
                <c:pt idx="419">
                  <c:v>0.57400000000000007</c:v>
                </c:pt>
                <c:pt idx="420">
                  <c:v>0.57099999999999995</c:v>
                </c:pt>
                <c:pt idx="421">
                  <c:v>0.56400000000000006</c:v>
                </c:pt>
                <c:pt idx="422">
                  <c:v>0.56100000000000017</c:v>
                </c:pt>
                <c:pt idx="423">
                  <c:v>0.57199999999999984</c:v>
                </c:pt>
                <c:pt idx="424">
                  <c:v>0.57400000000000029</c:v>
                </c:pt>
                <c:pt idx="425">
                  <c:v>0.57400000000000007</c:v>
                </c:pt>
                <c:pt idx="426">
                  <c:v>0.56999999999999984</c:v>
                </c:pt>
                <c:pt idx="427">
                  <c:v>0.56600000000000006</c:v>
                </c:pt>
                <c:pt idx="428">
                  <c:v>0.55600000000000005</c:v>
                </c:pt>
                <c:pt idx="429">
                  <c:v>0.55099999999999971</c:v>
                </c:pt>
                <c:pt idx="430">
                  <c:v>0.54500000000000037</c:v>
                </c:pt>
                <c:pt idx="431">
                  <c:v>0.54699999999999993</c:v>
                </c:pt>
                <c:pt idx="432">
                  <c:v>0.54799999999999982</c:v>
                </c:pt>
                <c:pt idx="433">
                  <c:v>0.54299999999999993</c:v>
                </c:pt>
                <c:pt idx="434">
                  <c:v>0.54199999999999982</c:v>
                </c:pt>
                <c:pt idx="435">
                  <c:v>0.54499999999999993</c:v>
                </c:pt>
                <c:pt idx="436">
                  <c:v>0.53100000000000014</c:v>
                </c:pt>
                <c:pt idx="437">
                  <c:v>0.53999999999999981</c:v>
                </c:pt>
                <c:pt idx="438">
                  <c:v>0.53999999999999981</c:v>
                </c:pt>
                <c:pt idx="439">
                  <c:v>0.53800000000000003</c:v>
                </c:pt>
                <c:pt idx="440">
                  <c:v>0.53200000000000025</c:v>
                </c:pt>
                <c:pt idx="441">
                  <c:v>0.52400000000000002</c:v>
                </c:pt>
                <c:pt idx="442">
                  <c:v>0.504</c:v>
                </c:pt>
                <c:pt idx="443">
                  <c:v>0.50300000000000011</c:v>
                </c:pt>
                <c:pt idx="444">
                  <c:v>0.504</c:v>
                </c:pt>
                <c:pt idx="445">
                  <c:v>0.47199999999999998</c:v>
                </c:pt>
                <c:pt idx="446">
                  <c:v>0.46999999999999975</c:v>
                </c:pt>
                <c:pt idx="447">
                  <c:v>0.4700000000000002</c:v>
                </c:pt>
                <c:pt idx="448">
                  <c:v>0.46199999999999974</c:v>
                </c:pt>
                <c:pt idx="449">
                  <c:v>0.47599999999999998</c:v>
                </c:pt>
                <c:pt idx="450">
                  <c:v>0.46799999999999997</c:v>
                </c:pt>
                <c:pt idx="451">
                  <c:v>0.47300000000000009</c:v>
                </c:pt>
                <c:pt idx="452">
                  <c:v>0.47399999999999998</c:v>
                </c:pt>
                <c:pt idx="453">
                  <c:v>0.47100000000000009</c:v>
                </c:pt>
                <c:pt idx="454">
                  <c:v>0.45900000000000007</c:v>
                </c:pt>
                <c:pt idx="455">
                  <c:v>0.45800000000000018</c:v>
                </c:pt>
                <c:pt idx="456">
                  <c:v>0.45400000000000018</c:v>
                </c:pt>
                <c:pt idx="457">
                  <c:v>0.44800000000000018</c:v>
                </c:pt>
                <c:pt idx="458">
                  <c:v>0.44599999999999995</c:v>
                </c:pt>
                <c:pt idx="459">
                  <c:v>0.44700000000000006</c:v>
                </c:pt>
                <c:pt idx="460">
                  <c:v>0.45500000000000007</c:v>
                </c:pt>
                <c:pt idx="461">
                  <c:v>0.45399999999999996</c:v>
                </c:pt>
                <c:pt idx="462">
                  <c:v>0.45199999999999974</c:v>
                </c:pt>
                <c:pt idx="463">
                  <c:v>0.45100000000000007</c:v>
                </c:pt>
                <c:pt idx="464">
                  <c:v>0.45400000000000018</c:v>
                </c:pt>
                <c:pt idx="465">
                  <c:v>0.45599999999999996</c:v>
                </c:pt>
                <c:pt idx="466">
                  <c:v>0.45399999999999996</c:v>
                </c:pt>
                <c:pt idx="467">
                  <c:v>0.45199999999999996</c:v>
                </c:pt>
                <c:pt idx="468">
                  <c:v>0.44900000000000007</c:v>
                </c:pt>
                <c:pt idx="469">
                  <c:v>0.44199999999999995</c:v>
                </c:pt>
                <c:pt idx="470">
                  <c:v>0.43799999999999994</c:v>
                </c:pt>
                <c:pt idx="471">
                  <c:v>0.44300000000000006</c:v>
                </c:pt>
                <c:pt idx="472">
                  <c:v>0.44799999999999995</c:v>
                </c:pt>
                <c:pt idx="473">
                  <c:v>0.44999999999999996</c:v>
                </c:pt>
                <c:pt idx="474">
                  <c:v>0.44000000000000017</c:v>
                </c:pt>
                <c:pt idx="475">
                  <c:v>0.43700000000000006</c:v>
                </c:pt>
                <c:pt idx="476">
                  <c:v>0.43500000000000005</c:v>
                </c:pt>
                <c:pt idx="477">
                  <c:v>0.42199999999999993</c:v>
                </c:pt>
                <c:pt idx="478">
                  <c:v>0.41899999999999982</c:v>
                </c:pt>
                <c:pt idx="479">
                  <c:v>0.42399999999999993</c:v>
                </c:pt>
                <c:pt idx="480">
                  <c:v>0.42199999999999993</c:v>
                </c:pt>
                <c:pt idx="481">
                  <c:v>0.42799999999999994</c:v>
                </c:pt>
                <c:pt idx="482">
                  <c:v>0.43300000000000005</c:v>
                </c:pt>
                <c:pt idx="483">
                  <c:v>0.43100000000000005</c:v>
                </c:pt>
                <c:pt idx="484">
                  <c:v>0.43399999999999994</c:v>
                </c:pt>
                <c:pt idx="485">
                  <c:v>0.43400000000000016</c:v>
                </c:pt>
                <c:pt idx="486">
                  <c:v>0.43400000000000016</c:v>
                </c:pt>
                <c:pt idx="487">
                  <c:v>0.43800000000000017</c:v>
                </c:pt>
                <c:pt idx="488">
                  <c:v>0.42799999999999994</c:v>
                </c:pt>
                <c:pt idx="489">
                  <c:v>0.42400000000000015</c:v>
                </c:pt>
                <c:pt idx="490">
                  <c:v>0.43100000000000005</c:v>
                </c:pt>
                <c:pt idx="491">
                  <c:v>0.42999999999999994</c:v>
                </c:pt>
                <c:pt idx="492">
                  <c:v>0.42999999999999994</c:v>
                </c:pt>
                <c:pt idx="493">
                  <c:v>0.42799999999999994</c:v>
                </c:pt>
                <c:pt idx="494">
                  <c:v>0.42800000000000016</c:v>
                </c:pt>
                <c:pt idx="495">
                  <c:v>0.42700000000000005</c:v>
                </c:pt>
                <c:pt idx="496">
                  <c:v>0.42700000000000005</c:v>
                </c:pt>
                <c:pt idx="497">
                  <c:v>0.42599999999999993</c:v>
                </c:pt>
                <c:pt idx="498">
                  <c:v>0.42300000000000004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FCB-45B5-BE37-9644FA2D0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99776"/>
        <c:axId val="225093888"/>
      </c:areaChart>
      <c:lineChart>
        <c:grouping val="standard"/>
        <c:varyColors val="0"/>
        <c:ser>
          <c:idx val="0"/>
          <c:order val="1"/>
          <c:tx>
            <c:v>CD91</c:v>
          </c:tx>
          <c:spPr>
            <a:ln w="19050">
              <a:solidFill>
                <a:srgbClr val="FFFF00"/>
              </a:solidFill>
            </a:ln>
          </c:spPr>
          <c:marker>
            <c:symbol val="none"/>
          </c:marker>
          <c:cat>
            <c:numRef>
              <c:f>국내시장주요지표!$AN$68:$AN$566</c:f>
              <c:numCache>
                <c:formatCode>m/d/yyyy</c:formatCode>
                <c:ptCount val="499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  <c:pt idx="20">
                  <c:v>45126</c:v>
                </c:pt>
                <c:pt idx="21">
                  <c:v>45125</c:v>
                </c:pt>
                <c:pt idx="22">
                  <c:v>45124</c:v>
                </c:pt>
                <c:pt idx="23">
                  <c:v>45121</c:v>
                </c:pt>
                <c:pt idx="24">
                  <c:v>45120</c:v>
                </c:pt>
                <c:pt idx="25">
                  <c:v>45119</c:v>
                </c:pt>
                <c:pt idx="26">
                  <c:v>45118</c:v>
                </c:pt>
                <c:pt idx="27">
                  <c:v>45117</c:v>
                </c:pt>
                <c:pt idx="28">
                  <c:v>45114</c:v>
                </c:pt>
                <c:pt idx="29">
                  <c:v>45113</c:v>
                </c:pt>
                <c:pt idx="30">
                  <c:v>45112</c:v>
                </c:pt>
                <c:pt idx="31">
                  <c:v>45111</c:v>
                </c:pt>
                <c:pt idx="32">
                  <c:v>45110</c:v>
                </c:pt>
                <c:pt idx="33">
                  <c:v>45107</c:v>
                </c:pt>
                <c:pt idx="34">
                  <c:v>45106</c:v>
                </c:pt>
                <c:pt idx="35">
                  <c:v>45105</c:v>
                </c:pt>
                <c:pt idx="36">
                  <c:v>45104</c:v>
                </c:pt>
                <c:pt idx="37">
                  <c:v>45103</c:v>
                </c:pt>
                <c:pt idx="38">
                  <c:v>45100</c:v>
                </c:pt>
                <c:pt idx="39">
                  <c:v>45099</c:v>
                </c:pt>
                <c:pt idx="40">
                  <c:v>45098</c:v>
                </c:pt>
                <c:pt idx="41">
                  <c:v>45097</c:v>
                </c:pt>
                <c:pt idx="42">
                  <c:v>45096</c:v>
                </c:pt>
                <c:pt idx="43">
                  <c:v>45093</c:v>
                </c:pt>
                <c:pt idx="44">
                  <c:v>45092</c:v>
                </c:pt>
                <c:pt idx="45">
                  <c:v>45091</c:v>
                </c:pt>
                <c:pt idx="46">
                  <c:v>45090</c:v>
                </c:pt>
                <c:pt idx="47">
                  <c:v>45089</c:v>
                </c:pt>
                <c:pt idx="48">
                  <c:v>45086</c:v>
                </c:pt>
                <c:pt idx="49">
                  <c:v>45085</c:v>
                </c:pt>
                <c:pt idx="50">
                  <c:v>45084</c:v>
                </c:pt>
                <c:pt idx="51">
                  <c:v>45082</c:v>
                </c:pt>
                <c:pt idx="52">
                  <c:v>45079</c:v>
                </c:pt>
                <c:pt idx="53">
                  <c:v>45078</c:v>
                </c:pt>
                <c:pt idx="54">
                  <c:v>45077</c:v>
                </c:pt>
                <c:pt idx="55">
                  <c:v>45076</c:v>
                </c:pt>
                <c:pt idx="56">
                  <c:v>45072</c:v>
                </c:pt>
                <c:pt idx="57">
                  <c:v>45071</c:v>
                </c:pt>
                <c:pt idx="58">
                  <c:v>45070</c:v>
                </c:pt>
                <c:pt idx="59">
                  <c:v>45069</c:v>
                </c:pt>
                <c:pt idx="60">
                  <c:v>45068</c:v>
                </c:pt>
                <c:pt idx="61">
                  <c:v>45065</c:v>
                </c:pt>
                <c:pt idx="62">
                  <c:v>45064</c:v>
                </c:pt>
                <c:pt idx="63">
                  <c:v>45063</c:v>
                </c:pt>
                <c:pt idx="64">
                  <c:v>45062</c:v>
                </c:pt>
                <c:pt idx="65">
                  <c:v>45061</c:v>
                </c:pt>
                <c:pt idx="66">
                  <c:v>45058</c:v>
                </c:pt>
                <c:pt idx="67">
                  <c:v>45057</c:v>
                </c:pt>
                <c:pt idx="68">
                  <c:v>45056</c:v>
                </c:pt>
                <c:pt idx="69">
                  <c:v>45055</c:v>
                </c:pt>
                <c:pt idx="70">
                  <c:v>45054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45044</c:v>
                </c:pt>
                <c:pt idx="75">
                  <c:v>45043</c:v>
                </c:pt>
                <c:pt idx="76">
                  <c:v>45042</c:v>
                </c:pt>
                <c:pt idx="77">
                  <c:v>45041</c:v>
                </c:pt>
                <c:pt idx="78">
                  <c:v>45040</c:v>
                </c:pt>
                <c:pt idx="79">
                  <c:v>45037</c:v>
                </c:pt>
                <c:pt idx="80">
                  <c:v>45036</c:v>
                </c:pt>
                <c:pt idx="81">
                  <c:v>45035</c:v>
                </c:pt>
                <c:pt idx="82">
                  <c:v>45034</c:v>
                </c:pt>
                <c:pt idx="83">
                  <c:v>45033</c:v>
                </c:pt>
                <c:pt idx="84">
                  <c:v>45030</c:v>
                </c:pt>
                <c:pt idx="85">
                  <c:v>45029</c:v>
                </c:pt>
                <c:pt idx="86">
                  <c:v>45028</c:v>
                </c:pt>
                <c:pt idx="87">
                  <c:v>45027</c:v>
                </c:pt>
                <c:pt idx="88">
                  <c:v>45026</c:v>
                </c:pt>
                <c:pt idx="89">
                  <c:v>45023</c:v>
                </c:pt>
                <c:pt idx="90">
                  <c:v>45022</c:v>
                </c:pt>
                <c:pt idx="91">
                  <c:v>45021</c:v>
                </c:pt>
                <c:pt idx="92">
                  <c:v>45020</c:v>
                </c:pt>
                <c:pt idx="93">
                  <c:v>45019</c:v>
                </c:pt>
                <c:pt idx="94">
                  <c:v>45016</c:v>
                </c:pt>
                <c:pt idx="95">
                  <c:v>45015</c:v>
                </c:pt>
                <c:pt idx="96">
                  <c:v>45014</c:v>
                </c:pt>
                <c:pt idx="97">
                  <c:v>45013</c:v>
                </c:pt>
                <c:pt idx="98">
                  <c:v>45012</c:v>
                </c:pt>
                <c:pt idx="99">
                  <c:v>45009</c:v>
                </c:pt>
                <c:pt idx="100">
                  <c:v>45008</c:v>
                </c:pt>
                <c:pt idx="101">
                  <c:v>45007</c:v>
                </c:pt>
                <c:pt idx="102">
                  <c:v>45006</c:v>
                </c:pt>
                <c:pt idx="103">
                  <c:v>45005</c:v>
                </c:pt>
                <c:pt idx="104">
                  <c:v>45002</c:v>
                </c:pt>
                <c:pt idx="105">
                  <c:v>45001</c:v>
                </c:pt>
                <c:pt idx="106">
                  <c:v>45000</c:v>
                </c:pt>
                <c:pt idx="107">
                  <c:v>44999</c:v>
                </c:pt>
                <c:pt idx="108">
                  <c:v>44998</c:v>
                </c:pt>
                <c:pt idx="109">
                  <c:v>44995</c:v>
                </c:pt>
                <c:pt idx="110">
                  <c:v>44994</c:v>
                </c:pt>
                <c:pt idx="111">
                  <c:v>44993</c:v>
                </c:pt>
                <c:pt idx="112">
                  <c:v>44992</c:v>
                </c:pt>
                <c:pt idx="113">
                  <c:v>44991</c:v>
                </c:pt>
                <c:pt idx="114">
                  <c:v>44988</c:v>
                </c:pt>
                <c:pt idx="115">
                  <c:v>44987</c:v>
                </c:pt>
                <c:pt idx="116">
                  <c:v>44985</c:v>
                </c:pt>
                <c:pt idx="117">
                  <c:v>44984</c:v>
                </c:pt>
                <c:pt idx="118">
                  <c:v>44981</c:v>
                </c:pt>
                <c:pt idx="119">
                  <c:v>44980</c:v>
                </c:pt>
                <c:pt idx="120">
                  <c:v>44979</c:v>
                </c:pt>
                <c:pt idx="121">
                  <c:v>44978</c:v>
                </c:pt>
                <c:pt idx="122">
                  <c:v>44977</c:v>
                </c:pt>
                <c:pt idx="123">
                  <c:v>44974</c:v>
                </c:pt>
                <c:pt idx="124">
                  <c:v>44973</c:v>
                </c:pt>
                <c:pt idx="125">
                  <c:v>44972</c:v>
                </c:pt>
                <c:pt idx="126">
                  <c:v>44971</c:v>
                </c:pt>
                <c:pt idx="127">
                  <c:v>44970</c:v>
                </c:pt>
                <c:pt idx="128">
                  <c:v>44967</c:v>
                </c:pt>
                <c:pt idx="129">
                  <c:v>44966</c:v>
                </c:pt>
                <c:pt idx="130">
                  <c:v>44965</c:v>
                </c:pt>
                <c:pt idx="131">
                  <c:v>44964</c:v>
                </c:pt>
                <c:pt idx="132">
                  <c:v>44963</c:v>
                </c:pt>
                <c:pt idx="133">
                  <c:v>44960</c:v>
                </c:pt>
                <c:pt idx="134">
                  <c:v>44959</c:v>
                </c:pt>
                <c:pt idx="135">
                  <c:v>44958</c:v>
                </c:pt>
                <c:pt idx="136">
                  <c:v>44957</c:v>
                </c:pt>
                <c:pt idx="137">
                  <c:v>44956</c:v>
                </c:pt>
                <c:pt idx="138">
                  <c:v>44953</c:v>
                </c:pt>
                <c:pt idx="139">
                  <c:v>44952</c:v>
                </c:pt>
                <c:pt idx="140">
                  <c:v>44951</c:v>
                </c:pt>
                <c:pt idx="141">
                  <c:v>44946</c:v>
                </c:pt>
                <c:pt idx="142">
                  <c:v>44945</c:v>
                </c:pt>
                <c:pt idx="143">
                  <c:v>44944</c:v>
                </c:pt>
                <c:pt idx="144">
                  <c:v>44943</c:v>
                </c:pt>
                <c:pt idx="145">
                  <c:v>44942</c:v>
                </c:pt>
                <c:pt idx="146">
                  <c:v>44939</c:v>
                </c:pt>
                <c:pt idx="147">
                  <c:v>44938</c:v>
                </c:pt>
                <c:pt idx="148">
                  <c:v>44937</c:v>
                </c:pt>
                <c:pt idx="149">
                  <c:v>44936</c:v>
                </c:pt>
                <c:pt idx="150">
                  <c:v>44935</c:v>
                </c:pt>
                <c:pt idx="151">
                  <c:v>44932</c:v>
                </c:pt>
                <c:pt idx="152">
                  <c:v>44931</c:v>
                </c:pt>
                <c:pt idx="153">
                  <c:v>44930</c:v>
                </c:pt>
                <c:pt idx="154">
                  <c:v>44929</c:v>
                </c:pt>
                <c:pt idx="155">
                  <c:v>44928</c:v>
                </c:pt>
                <c:pt idx="156">
                  <c:v>44924</c:v>
                </c:pt>
                <c:pt idx="157">
                  <c:v>44923</c:v>
                </c:pt>
                <c:pt idx="158">
                  <c:v>44922</c:v>
                </c:pt>
                <c:pt idx="159">
                  <c:v>44921</c:v>
                </c:pt>
                <c:pt idx="160">
                  <c:v>44918</c:v>
                </c:pt>
                <c:pt idx="161">
                  <c:v>44917</c:v>
                </c:pt>
                <c:pt idx="162">
                  <c:v>44916</c:v>
                </c:pt>
                <c:pt idx="163">
                  <c:v>44915</c:v>
                </c:pt>
                <c:pt idx="164">
                  <c:v>44914</c:v>
                </c:pt>
                <c:pt idx="165">
                  <c:v>44911</c:v>
                </c:pt>
                <c:pt idx="166">
                  <c:v>44910</c:v>
                </c:pt>
                <c:pt idx="167">
                  <c:v>44909</c:v>
                </c:pt>
                <c:pt idx="168">
                  <c:v>44908</c:v>
                </c:pt>
                <c:pt idx="169">
                  <c:v>44907</c:v>
                </c:pt>
                <c:pt idx="170">
                  <c:v>44904</c:v>
                </c:pt>
                <c:pt idx="171">
                  <c:v>44903</c:v>
                </c:pt>
                <c:pt idx="172">
                  <c:v>44902</c:v>
                </c:pt>
                <c:pt idx="173">
                  <c:v>44901</c:v>
                </c:pt>
                <c:pt idx="174">
                  <c:v>44900</c:v>
                </c:pt>
                <c:pt idx="175">
                  <c:v>44897</c:v>
                </c:pt>
                <c:pt idx="176">
                  <c:v>44896</c:v>
                </c:pt>
                <c:pt idx="177">
                  <c:v>44895</c:v>
                </c:pt>
                <c:pt idx="178">
                  <c:v>44894</c:v>
                </c:pt>
                <c:pt idx="179">
                  <c:v>44893</c:v>
                </c:pt>
                <c:pt idx="180">
                  <c:v>44890</c:v>
                </c:pt>
                <c:pt idx="181">
                  <c:v>44889</c:v>
                </c:pt>
                <c:pt idx="182">
                  <c:v>44888</c:v>
                </c:pt>
                <c:pt idx="183">
                  <c:v>44887</c:v>
                </c:pt>
                <c:pt idx="184">
                  <c:v>44886</c:v>
                </c:pt>
                <c:pt idx="185">
                  <c:v>44883</c:v>
                </c:pt>
                <c:pt idx="186">
                  <c:v>44882</c:v>
                </c:pt>
                <c:pt idx="187">
                  <c:v>44881</c:v>
                </c:pt>
                <c:pt idx="188">
                  <c:v>44880</c:v>
                </c:pt>
                <c:pt idx="189">
                  <c:v>44879</c:v>
                </c:pt>
                <c:pt idx="190">
                  <c:v>44876</c:v>
                </c:pt>
                <c:pt idx="191">
                  <c:v>44875</c:v>
                </c:pt>
                <c:pt idx="192">
                  <c:v>44874</c:v>
                </c:pt>
                <c:pt idx="193">
                  <c:v>44873</c:v>
                </c:pt>
                <c:pt idx="194">
                  <c:v>44872</c:v>
                </c:pt>
                <c:pt idx="195">
                  <c:v>44869</c:v>
                </c:pt>
                <c:pt idx="196">
                  <c:v>44868</c:v>
                </c:pt>
                <c:pt idx="197">
                  <c:v>44867</c:v>
                </c:pt>
                <c:pt idx="198">
                  <c:v>44866</c:v>
                </c:pt>
                <c:pt idx="199">
                  <c:v>44865</c:v>
                </c:pt>
                <c:pt idx="200">
                  <c:v>44862</c:v>
                </c:pt>
                <c:pt idx="201">
                  <c:v>44861</c:v>
                </c:pt>
                <c:pt idx="202">
                  <c:v>44860</c:v>
                </c:pt>
                <c:pt idx="203">
                  <c:v>44859</c:v>
                </c:pt>
                <c:pt idx="204">
                  <c:v>44858</c:v>
                </c:pt>
                <c:pt idx="205">
                  <c:v>44855</c:v>
                </c:pt>
                <c:pt idx="206">
                  <c:v>44854</c:v>
                </c:pt>
                <c:pt idx="207">
                  <c:v>44853</c:v>
                </c:pt>
                <c:pt idx="208">
                  <c:v>44852</c:v>
                </c:pt>
                <c:pt idx="209">
                  <c:v>44851</c:v>
                </c:pt>
                <c:pt idx="210">
                  <c:v>44848</c:v>
                </c:pt>
                <c:pt idx="211">
                  <c:v>44847</c:v>
                </c:pt>
                <c:pt idx="212">
                  <c:v>44846</c:v>
                </c:pt>
                <c:pt idx="213">
                  <c:v>44845</c:v>
                </c:pt>
                <c:pt idx="214">
                  <c:v>44841</c:v>
                </c:pt>
                <c:pt idx="215">
                  <c:v>44840</c:v>
                </c:pt>
                <c:pt idx="216">
                  <c:v>44839</c:v>
                </c:pt>
                <c:pt idx="217">
                  <c:v>44838</c:v>
                </c:pt>
                <c:pt idx="218">
                  <c:v>44834</c:v>
                </c:pt>
                <c:pt idx="219">
                  <c:v>44833</c:v>
                </c:pt>
                <c:pt idx="220">
                  <c:v>44832</c:v>
                </c:pt>
                <c:pt idx="221">
                  <c:v>44831</c:v>
                </c:pt>
                <c:pt idx="222">
                  <c:v>44830</c:v>
                </c:pt>
                <c:pt idx="223">
                  <c:v>44827</c:v>
                </c:pt>
                <c:pt idx="224">
                  <c:v>44826</c:v>
                </c:pt>
                <c:pt idx="225">
                  <c:v>44825</c:v>
                </c:pt>
                <c:pt idx="226">
                  <c:v>44824</c:v>
                </c:pt>
                <c:pt idx="227">
                  <c:v>44823</c:v>
                </c:pt>
                <c:pt idx="228">
                  <c:v>44820</c:v>
                </c:pt>
                <c:pt idx="229">
                  <c:v>44819</c:v>
                </c:pt>
                <c:pt idx="230">
                  <c:v>44818</c:v>
                </c:pt>
                <c:pt idx="231">
                  <c:v>44817</c:v>
                </c:pt>
                <c:pt idx="232">
                  <c:v>44812</c:v>
                </c:pt>
                <c:pt idx="233">
                  <c:v>44811</c:v>
                </c:pt>
                <c:pt idx="234">
                  <c:v>44810</c:v>
                </c:pt>
                <c:pt idx="235">
                  <c:v>44809</c:v>
                </c:pt>
                <c:pt idx="236">
                  <c:v>44806</c:v>
                </c:pt>
                <c:pt idx="237">
                  <c:v>44805</c:v>
                </c:pt>
                <c:pt idx="238">
                  <c:v>44804</c:v>
                </c:pt>
                <c:pt idx="239">
                  <c:v>44803</c:v>
                </c:pt>
                <c:pt idx="240">
                  <c:v>44802</c:v>
                </c:pt>
                <c:pt idx="241">
                  <c:v>44799</c:v>
                </c:pt>
                <c:pt idx="242">
                  <c:v>44798</c:v>
                </c:pt>
                <c:pt idx="243">
                  <c:v>44797</c:v>
                </c:pt>
                <c:pt idx="244">
                  <c:v>44796</c:v>
                </c:pt>
                <c:pt idx="245">
                  <c:v>44795</c:v>
                </c:pt>
                <c:pt idx="246">
                  <c:v>44792</c:v>
                </c:pt>
                <c:pt idx="247">
                  <c:v>44791</c:v>
                </c:pt>
                <c:pt idx="248">
                  <c:v>44790</c:v>
                </c:pt>
                <c:pt idx="249">
                  <c:v>44789</c:v>
                </c:pt>
                <c:pt idx="250">
                  <c:v>44785</c:v>
                </c:pt>
                <c:pt idx="251">
                  <c:v>44784</c:v>
                </c:pt>
                <c:pt idx="252">
                  <c:v>44783</c:v>
                </c:pt>
                <c:pt idx="253">
                  <c:v>44782</c:v>
                </c:pt>
                <c:pt idx="254">
                  <c:v>44781</c:v>
                </c:pt>
                <c:pt idx="255">
                  <c:v>44778</c:v>
                </c:pt>
                <c:pt idx="256">
                  <c:v>44777</c:v>
                </c:pt>
                <c:pt idx="257">
                  <c:v>44776</c:v>
                </c:pt>
                <c:pt idx="258">
                  <c:v>44775</c:v>
                </c:pt>
                <c:pt idx="259">
                  <c:v>44774</c:v>
                </c:pt>
                <c:pt idx="260">
                  <c:v>44771</c:v>
                </c:pt>
                <c:pt idx="261">
                  <c:v>44770</c:v>
                </c:pt>
                <c:pt idx="262">
                  <c:v>44769</c:v>
                </c:pt>
                <c:pt idx="263">
                  <c:v>44768</c:v>
                </c:pt>
                <c:pt idx="264">
                  <c:v>44767</c:v>
                </c:pt>
                <c:pt idx="265">
                  <c:v>44764</c:v>
                </c:pt>
                <c:pt idx="266">
                  <c:v>44763</c:v>
                </c:pt>
                <c:pt idx="267">
                  <c:v>44762</c:v>
                </c:pt>
                <c:pt idx="268">
                  <c:v>44761</c:v>
                </c:pt>
                <c:pt idx="269">
                  <c:v>44760</c:v>
                </c:pt>
                <c:pt idx="270">
                  <c:v>44757</c:v>
                </c:pt>
                <c:pt idx="271">
                  <c:v>44756</c:v>
                </c:pt>
                <c:pt idx="272">
                  <c:v>44755</c:v>
                </c:pt>
                <c:pt idx="273">
                  <c:v>44754</c:v>
                </c:pt>
                <c:pt idx="274">
                  <c:v>44753</c:v>
                </c:pt>
                <c:pt idx="275">
                  <c:v>44750</c:v>
                </c:pt>
                <c:pt idx="276">
                  <c:v>44749</c:v>
                </c:pt>
                <c:pt idx="277">
                  <c:v>44748</c:v>
                </c:pt>
                <c:pt idx="278">
                  <c:v>44747</c:v>
                </c:pt>
                <c:pt idx="279">
                  <c:v>44746</c:v>
                </c:pt>
                <c:pt idx="280">
                  <c:v>44743</c:v>
                </c:pt>
                <c:pt idx="281">
                  <c:v>44742</c:v>
                </c:pt>
                <c:pt idx="282">
                  <c:v>44741</c:v>
                </c:pt>
                <c:pt idx="283">
                  <c:v>44740</c:v>
                </c:pt>
                <c:pt idx="284">
                  <c:v>44739</c:v>
                </c:pt>
                <c:pt idx="285">
                  <c:v>44736</c:v>
                </c:pt>
                <c:pt idx="286">
                  <c:v>44735</c:v>
                </c:pt>
                <c:pt idx="287">
                  <c:v>44734</c:v>
                </c:pt>
                <c:pt idx="288">
                  <c:v>44733</c:v>
                </c:pt>
                <c:pt idx="289">
                  <c:v>44732</c:v>
                </c:pt>
                <c:pt idx="290">
                  <c:v>44729</c:v>
                </c:pt>
                <c:pt idx="291">
                  <c:v>44728</c:v>
                </c:pt>
                <c:pt idx="292">
                  <c:v>44727</c:v>
                </c:pt>
                <c:pt idx="293">
                  <c:v>44726</c:v>
                </c:pt>
                <c:pt idx="294">
                  <c:v>44725</c:v>
                </c:pt>
                <c:pt idx="295">
                  <c:v>44722</c:v>
                </c:pt>
                <c:pt idx="296">
                  <c:v>44721</c:v>
                </c:pt>
                <c:pt idx="297">
                  <c:v>44720</c:v>
                </c:pt>
                <c:pt idx="298">
                  <c:v>44719</c:v>
                </c:pt>
                <c:pt idx="299">
                  <c:v>44715</c:v>
                </c:pt>
                <c:pt idx="300">
                  <c:v>44714</c:v>
                </c:pt>
                <c:pt idx="301">
                  <c:v>44712</c:v>
                </c:pt>
                <c:pt idx="302">
                  <c:v>44711</c:v>
                </c:pt>
                <c:pt idx="303">
                  <c:v>44708</c:v>
                </c:pt>
                <c:pt idx="304">
                  <c:v>44707</c:v>
                </c:pt>
                <c:pt idx="305">
                  <c:v>44706</c:v>
                </c:pt>
                <c:pt idx="306">
                  <c:v>44705</c:v>
                </c:pt>
                <c:pt idx="307">
                  <c:v>44704</c:v>
                </c:pt>
                <c:pt idx="308">
                  <c:v>44701</c:v>
                </c:pt>
                <c:pt idx="309">
                  <c:v>44700</c:v>
                </c:pt>
                <c:pt idx="310">
                  <c:v>44699</c:v>
                </c:pt>
                <c:pt idx="311">
                  <c:v>44698</c:v>
                </c:pt>
                <c:pt idx="312">
                  <c:v>44697</c:v>
                </c:pt>
                <c:pt idx="313">
                  <c:v>44694</c:v>
                </c:pt>
                <c:pt idx="314">
                  <c:v>44693</c:v>
                </c:pt>
                <c:pt idx="315">
                  <c:v>44692</c:v>
                </c:pt>
                <c:pt idx="316">
                  <c:v>44691</c:v>
                </c:pt>
                <c:pt idx="317">
                  <c:v>44690</c:v>
                </c:pt>
                <c:pt idx="318">
                  <c:v>44687</c:v>
                </c:pt>
                <c:pt idx="319">
                  <c:v>44685</c:v>
                </c:pt>
                <c:pt idx="320">
                  <c:v>44684</c:v>
                </c:pt>
                <c:pt idx="321">
                  <c:v>44683</c:v>
                </c:pt>
                <c:pt idx="322">
                  <c:v>44680</c:v>
                </c:pt>
                <c:pt idx="323">
                  <c:v>44679</c:v>
                </c:pt>
                <c:pt idx="324">
                  <c:v>44678</c:v>
                </c:pt>
                <c:pt idx="325">
                  <c:v>44677</c:v>
                </c:pt>
                <c:pt idx="326">
                  <c:v>44676</c:v>
                </c:pt>
                <c:pt idx="327">
                  <c:v>44673</c:v>
                </c:pt>
                <c:pt idx="328">
                  <c:v>44672</c:v>
                </c:pt>
                <c:pt idx="329">
                  <c:v>44671</c:v>
                </c:pt>
                <c:pt idx="330">
                  <c:v>44670</c:v>
                </c:pt>
                <c:pt idx="331">
                  <c:v>44669</c:v>
                </c:pt>
                <c:pt idx="332">
                  <c:v>44666</c:v>
                </c:pt>
                <c:pt idx="333">
                  <c:v>44665</c:v>
                </c:pt>
                <c:pt idx="334">
                  <c:v>44664</c:v>
                </c:pt>
                <c:pt idx="335">
                  <c:v>44663</c:v>
                </c:pt>
                <c:pt idx="336">
                  <c:v>44662</c:v>
                </c:pt>
                <c:pt idx="337">
                  <c:v>44659</c:v>
                </c:pt>
                <c:pt idx="338">
                  <c:v>44658</c:v>
                </c:pt>
                <c:pt idx="339">
                  <c:v>44657</c:v>
                </c:pt>
                <c:pt idx="340">
                  <c:v>44656</c:v>
                </c:pt>
                <c:pt idx="341">
                  <c:v>44655</c:v>
                </c:pt>
                <c:pt idx="342">
                  <c:v>44652</c:v>
                </c:pt>
                <c:pt idx="343">
                  <c:v>44651</c:v>
                </c:pt>
                <c:pt idx="344">
                  <c:v>44650</c:v>
                </c:pt>
                <c:pt idx="345">
                  <c:v>44649</c:v>
                </c:pt>
                <c:pt idx="346">
                  <c:v>44648</c:v>
                </c:pt>
                <c:pt idx="347">
                  <c:v>44645</c:v>
                </c:pt>
                <c:pt idx="348">
                  <c:v>44644</c:v>
                </c:pt>
                <c:pt idx="349">
                  <c:v>44643</c:v>
                </c:pt>
                <c:pt idx="350">
                  <c:v>44642</c:v>
                </c:pt>
                <c:pt idx="351">
                  <c:v>44641</c:v>
                </c:pt>
                <c:pt idx="352">
                  <c:v>44638</c:v>
                </c:pt>
                <c:pt idx="353">
                  <c:v>44637</c:v>
                </c:pt>
                <c:pt idx="354">
                  <c:v>44636</c:v>
                </c:pt>
                <c:pt idx="355">
                  <c:v>44635</c:v>
                </c:pt>
                <c:pt idx="356">
                  <c:v>44634</c:v>
                </c:pt>
                <c:pt idx="357">
                  <c:v>44631</c:v>
                </c:pt>
                <c:pt idx="358">
                  <c:v>44630</c:v>
                </c:pt>
                <c:pt idx="359">
                  <c:v>44628</c:v>
                </c:pt>
                <c:pt idx="360">
                  <c:v>44627</c:v>
                </c:pt>
                <c:pt idx="361">
                  <c:v>44624</c:v>
                </c:pt>
                <c:pt idx="362">
                  <c:v>44623</c:v>
                </c:pt>
                <c:pt idx="363">
                  <c:v>44622</c:v>
                </c:pt>
                <c:pt idx="364">
                  <c:v>44620</c:v>
                </c:pt>
                <c:pt idx="365">
                  <c:v>44617</c:v>
                </c:pt>
                <c:pt idx="366">
                  <c:v>44616</c:v>
                </c:pt>
                <c:pt idx="367">
                  <c:v>44615</c:v>
                </c:pt>
                <c:pt idx="368">
                  <c:v>44614</c:v>
                </c:pt>
                <c:pt idx="369">
                  <c:v>44613</c:v>
                </c:pt>
                <c:pt idx="370">
                  <c:v>44610</c:v>
                </c:pt>
                <c:pt idx="371">
                  <c:v>44609</c:v>
                </c:pt>
                <c:pt idx="372">
                  <c:v>44608</c:v>
                </c:pt>
                <c:pt idx="373">
                  <c:v>44607</c:v>
                </c:pt>
                <c:pt idx="374">
                  <c:v>44606</c:v>
                </c:pt>
                <c:pt idx="375">
                  <c:v>44603</c:v>
                </c:pt>
                <c:pt idx="376">
                  <c:v>44602</c:v>
                </c:pt>
                <c:pt idx="377">
                  <c:v>44601</c:v>
                </c:pt>
                <c:pt idx="378">
                  <c:v>44600</c:v>
                </c:pt>
                <c:pt idx="379">
                  <c:v>44599</c:v>
                </c:pt>
                <c:pt idx="380">
                  <c:v>44596</c:v>
                </c:pt>
                <c:pt idx="381">
                  <c:v>44595</c:v>
                </c:pt>
                <c:pt idx="382">
                  <c:v>44589</c:v>
                </c:pt>
                <c:pt idx="383">
                  <c:v>44588</c:v>
                </c:pt>
                <c:pt idx="384">
                  <c:v>44587</c:v>
                </c:pt>
                <c:pt idx="385">
                  <c:v>44586</c:v>
                </c:pt>
                <c:pt idx="386">
                  <c:v>44585</c:v>
                </c:pt>
                <c:pt idx="387">
                  <c:v>44582</c:v>
                </c:pt>
                <c:pt idx="388">
                  <c:v>44581</c:v>
                </c:pt>
                <c:pt idx="389">
                  <c:v>44580</c:v>
                </c:pt>
                <c:pt idx="390">
                  <c:v>44579</c:v>
                </c:pt>
                <c:pt idx="391">
                  <c:v>44578</c:v>
                </c:pt>
                <c:pt idx="392">
                  <c:v>44575</c:v>
                </c:pt>
                <c:pt idx="393">
                  <c:v>44574</c:v>
                </c:pt>
                <c:pt idx="394">
                  <c:v>44573</c:v>
                </c:pt>
                <c:pt idx="395">
                  <c:v>44572</c:v>
                </c:pt>
                <c:pt idx="396">
                  <c:v>44571</c:v>
                </c:pt>
                <c:pt idx="397">
                  <c:v>44568</c:v>
                </c:pt>
                <c:pt idx="398">
                  <c:v>44567</c:v>
                </c:pt>
                <c:pt idx="399">
                  <c:v>44566</c:v>
                </c:pt>
                <c:pt idx="400">
                  <c:v>44565</c:v>
                </c:pt>
                <c:pt idx="401">
                  <c:v>44564</c:v>
                </c:pt>
                <c:pt idx="402">
                  <c:v>44560</c:v>
                </c:pt>
                <c:pt idx="403">
                  <c:v>44559</c:v>
                </c:pt>
                <c:pt idx="404">
                  <c:v>44558</c:v>
                </c:pt>
                <c:pt idx="405">
                  <c:v>44557</c:v>
                </c:pt>
                <c:pt idx="406">
                  <c:v>44554</c:v>
                </c:pt>
                <c:pt idx="407">
                  <c:v>44553</c:v>
                </c:pt>
                <c:pt idx="408">
                  <c:v>44552</c:v>
                </c:pt>
                <c:pt idx="409">
                  <c:v>44551</c:v>
                </c:pt>
                <c:pt idx="410">
                  <c:v>44550</c:v>
                </c:pt>
                <c:pt idx="411">
                  <c:v>44547</c:v>
                </c:pt>
                <c:pt idx="412">
                  <c:v>44546</c:v>
                </c:pt>
                <c:pt idx="413">
                  <c:v>44545</c:v>
                </c:pt>
                <c:pt idx="414">
                  <c:v>44544</c:v>
                </c:pt>
                <c:pt idx="415">
                  <c:v>44543</c:v>
                </c:pt>
                <c:pt idx="416">
                  <c:v>44540</c:v>
                </c:pt>
                <c:pt idx="417">
                  <c:v>44539</c:v>
                </c:pt>
                <c:pt idx="418">
                  <c:v>44538</c:v>
                </c:pt>
                <c:pt idx="419">
                  <c:v>44537</c:v>
                </c:pt>
                <c:pt idx="420">
                  <c:v>44536</c:v>
                </c:pt>
                <c:pt idx="421">
                  <c:v>44533</c:v>
                </c:pt>
                <c:pt idx="422">
                  <c:v>44532</c:v>
                </c:pt>
                <c:pt idx="423">
                  <c:v>44531</c:v>
                </c:pt>
                <c:pt idx="424">
                  <c:v>44530</c:v>
                </c:pt>
                <c:pt idx="425">
                  <c:v>44529</c:v>
                </c:pt>
                <c:pt idx="426">
                  <c:v>44526</c:v>
                </c:pt>
                <c:pt idx="427">
                  <c:v>44525</c:v>
                </c:pt>
                <c:pt idx="428">
                  <c:v>44524</c:v>
                </c:pt>
                <c:pt idx="429">
                  <c:v>44523</c:v>
                </c:pt>
                <c:pt idx="430">
                  <c:v>44522</c:v>
                </c:pt>
                <c:pt idx="431">
                  <c:v>44519</c:v>
                </c:pt>
                <c:pt idx="432">
                  <c:v>44518</c:v>
                </c:pt>
                <c:pt idx="433">
                  <c:v>44517</c:v>
                </c:pt>
                <c:pt idx="434">
                  <c:v>44516</c:v>
                </c:pt>
                <c:pt idx="435">
                  <c:v>44515</c:v>
                </c:pt>
                <c:pt idx="436">
                  <c:v>44512</c:v>
                </c:pt>
                <c:pt idx="437">
                  <c:v>44511</c:v>
                </c:pt>
                <c:pt idx="438">
                  <c:v>44510</c:v>
                </c:pt>
                <c:pt idx="439">
                  <c:v>44509</c:v>
                </c:pt>
                <c:pt idx="440">
                  <c:v>44508</c:v>
                </c:pt>
                <c:pt idx="441">
                  <c:v>44505</c:v>
                </c:pt>
                <c:pt idx="442">
                  <c:v>44504</c:v>
                </c:pt>
                <c:pt idx="443">
                  <c:v>44503</c:v>
                </c:pt>
                <c:pt idx="444">
                  <c:v>44502</c:v>
                </c:pt>
                <c:pt idx="445">
                  <c:v>44501</c:v>
                </c:pt>
                <c:pt idx="446">
                  <c:v>44498</c:v>
                </c:pt>
                <c:pt idx="447">
                  <c:v>44497</c:v>
                </c:pt>
                <c:pt idx="448">
                  <c:v>44496</c:v>
                </c:pt>
                <c:pt idx="449">
                  <c:v>44495</c:v>
                </c:pt>
                <c:pt idx="450">
                  <c:v>44494</c:v>
                </c:pt>
                <c:pt idx="451">
                  <c:v>44491</c:v>
                </c:pt>
                <c:pt idx="452">
                  <c:v>44490</c:v>
                </c:pt>
                <c:pt idx="453">
                  <c:v>44489</c:v>
                </c:pt>
                <c:pt idx="454">
                  <c:v>44488</c:v>
                </c:pt>
                <c:pt idx="455">
                  <c:v>44487</c:v>
                </c:pt>
                <c:pt idx="456">
                  <c:v>44484</c:v>
                </c:pt>
                <c:pt idx="457">
                  <c:v>44483</c:v>
                </c:pt>
                <c:pt idx="458">
                  <c:v>44482</c:v>
                </c:pt>
                <c:pt idx="459">
                  <c:v>44481</c:v>
                </c:pt>
                <c:pt idx="460">
                  <c:v>44477</c:v>
                </c:pt>
                <c:pt idx="461">
                  <c:v>44476</c:v>
                </c:pt>
                <c:pt idx="462">
                  <c:v>44475</c:v>
                </c:pt>
                <c:pt idx="463">
                  <c:v>44474</c:v>
                </c:pt>
                <c:pt idx="464">
                  <c:v>44470</c:v>
                </c:pt>
                <c:pt idx="465">
                  <c:v>44469</c:v>
                </c:pt>
                <c:pt idx="466">
                  <c:v>44468</c:v>
                </c:pt>
                <c:pt idx="467">
                  <c:v>44467</c:v>
                </c:pt>
                <c:pt idx="468">
                  <c:v>44466</c:v>
                </c:pt>
                <c:pt idx="469">
                  <c:v>44463</c:v>
                </c:pt>
                <c:pt idx="470">
                  <c:v>44462</c:v>
                </c:pt>
                <c:pt idx="471">
                  <c:v>44456</c:v>
                </c:pt>
                <c:pt idx="472">
                  <c:v>44455</c:v>
                </c:pt>
                <c:pt idx="473">
                  <c:v>44454</c:v>
                </c:pt>
                <c:pt idx="474">
                  <c:v>44453</c:v>
                </c:pt>
                <c:pt idx="475">
                  <c:v>44452</c:v>
                </c:pt>
                <c:pt idx="476">
                  <c:v>44449</c:v>
                </c:pt>
                <c:pt idx="477">
                  <c:v>44448</c:v>
                </c:pt>
                <c:pt idx="478">
                  <c:v>44447</c:v>
                </c:pt>
                <c:pt idx="479">
                  <c:v>44446</c:v>
                </c:pt>
                <c:pt idx="480">
                  <c:v>44445</c:v>
                </c:pt>
                <c:pt idx="481">
                  <c:v>44442</c:v>
                </c:pt>
                <c:pt idx="482">
                  <c:v>44441</c:v>
                </c:pt>
                <c:pt idx="483">
                  <c:v>44440</c:v>
                </c:pt>
                <c:pt idx="484">
                  <c:v>44439</c:v>
                </c:pt>
                <c:pt idx="485">
                  <c:v>44438</c:v>
                </c:pt>
                <c:pt idx="486">
                  <c:v>44435</c:v>
                </c:pt>
                <c:pt idx="487">
                  <c:v>44434</c:v>
                </c:pt>
                <c:pt idx="488">
                  <c:v>44433</c:v>
                </c:pt>
                <c:pt idx="489">
                  <c:v>44432</c:v>
                </c:pt>
                <c:pt idx="490">
                  <c:v>44431</c:v>
                </c:pt>
                <c:pt idx="491">
                  <c:v>44428</c:v>
                </c:pt>
                <c:pt idx="492">
                  <c:v>44427</c:v>
                </c:pt>
                <c:pt idx="493">
                  <c:v>44426</c:v>
                </c:pt>
                <c:pt idx="494">
                  <c:v>44425</c:v>
                </c:pt>
                <c:pt idx="495">
                  <c:v>44421</c:v>
                </c:pt>
                <c:pt idx="496">
                  <c:v>44420</c:v>
                </c:pt>
                <c:pt idx="497">
                  <c:v>44419</c:v>
                </c:pt>
                <c:pt idx="498">
                  <c:v>44418</c:v>
                </c:pt>
              </c:numCache>
            </c:numRef>
          </c:cat>
          <c:val>
            <c:numRef>
              <c:f>국내시장주요지표!$AO$68:$AO$566</c:f>
              <c:numCache>
                <c:formatCode>General</c:formatCode>
                <c:ptCount val="499"/>
                <c:pt idx="0">
                  <c:v>3.7</c:v>
                </c:pt>
                <c:pt idx="1">
                  <c:v>3.7</c:v>
                </c:pt>
                <c:pt idx="2">
                  <c:v>3.69</c:v>
                </c:pt>
                <c:pt idx="3">
                  <c:v>3.69</c:v>
                </c:pt>
                <c:pt idx="4">
                  <c:v>3.68</c:v>
                </c:pt>
                <c:pt idx="5">
                  <c:v>3.7</c:v>
                </c:pt>
                <c:pt idx="6">
                  <c:v>3.7</c:v>
                </c:pt>
                <c:pt idx="7">
                  <c:v>3.72</c:v>
                </c:pt>
                <c:pt idx="8">
                  <c:v>3.72</c:v>
                </c:pt>
                <c:pt idx="9">
                  <c:v>3.73</c:v>
                </c:pt>
                <c:pt idx="10">
                  <c:v>3.74</c:v>
                </c:pt>
                <c:pt idx="11">
                  <c:v>3.74</c:v>
                </c:pt>
                <c:pt idx="12">
                  <c:v>3.74</c:v>
                </c:pt>
                <c:pt idx="13">
                  <c:v>3.74</c:v>
                </c:pt>
                <c:pt idx="14">
                  <c:v>3.74</c:v>
                </c:pt>
                <c:pt idx="15">
                  <c:v>3.75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3.75</c:v>
                </c:pt>
                <c:pt idx="23">
                  <c:v>3.75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3.74</c:v>
                </c:pt>
                <c:pt idx="30">
                  <c:v>3.74</c:v>
                </c:pt>
                <c:pt idx="31">
                  <c:v>3.74</c:v>
                </c:pt>
                <c:pt idx="32">
                  <c:v>3.75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3.75</c:v>
                </c:pt>
                <c:pt idx="41">
                  <c:v>3.75</c:v>
                </c:pt>
                <c:pt idx="42">
                  <c:v>3.75</c:v>
                </c:pt>
                <c:pt idx="43">
                  <c:v>3.75</c:v>
                </c:pt>
                <c:pt idx="44">
                  <c:v>3.75</c:v>
                </c:pt>
                <c:pt idx="45">
                  <c:v>3.75</c:v>
                </c:pt>
                <c:pt idx="46">
                  <c:v>3.75</c:v>
                </c:pt>
                <c:pt idx="47">
                  <c:v>3.75</c:v>
                </c:pt>
                <c:pt idx="48">
                  <c:v>3.75</c:v>
                </c:pt>
                <c:pt idx="49">
                  <c:v>3.75</c:v>
                </c:pt>
                <c:pt idx="50">
                  <c:v>3.75</c:v>
                </c:pt>
                <c:pt idx="51">
                  <c:v>3.76</c:v>
                </c:pt>
                <c:pt idx="52">
                  <c:v>3.76</c:v>
                </c:pt>
                <c:pt idx="53">
                  <c:v>3.76</c:v>
                </c:pt>
                <c:pt idx="54">
                  <c:v>3.76</c:v>
                </c:pt>
                <c:pt idx="55">
                  <c:v>3.76</c:v>
                </c:pt>
                <c:pt idx="56">
                  <c:v>3.75</c:v>
                </c:pt>
                <c:pt idx="57">
                  <c:v>3.75</c:v>
                </c:pt>
                <c:pt idx="58">
                  <c:v>3.73</c:v>
                </c:pt>
                <c:pt idx="59">
                  <c:v>3.7</c:v>
                </c:pt>
                <c:pt idx="60">
                  <c:v>3.68</c:v>
                </c:pt>
                <c:pt idx="61">
                  <c:v>3.67</c:v>
                </c:pt>
                <c:pt idx="62">
                  <c:v>3.66</c:v>
                </c:pt>
                <c:pt idx="63">
                  <c:v>3.65</c:v>
                </c:pt>
                <c:pt idx="64">
                  <c:v>3.62</c:v>
                </c:pt>
                <c:pt idx="65">
                  <c:v>3.62</c:v>
                </c:pt>
                <c:pt idx="66">
                  <c:v>3.61</c:v>
                </c:pt>
                <c:pt idx="67">
                  <c:v>3.6</c:v>
                </c:pt>
                <c:pt idx="68">
                  <c:v>3.59</c:v>
                </c:pt>
                <c:pt idx="69">
                  <c:v>3.55</c:v>
                </c:pt>
                <c:pt idx="70">
                  <c:v>3.55</c:v>
                </c:pt>
                <c:pt idx="71">
                  <c:v>3.55</c:v>
                </c:pt>
                <c:pt idx="72">
                  <c:v>3.55</c:v>
                </c:pt>
                <c:pt idx="73">
                  <c:v>3.53</c:v>
                </c:pt>
                <c:pt idx="74">
                  <c:v>3.52</c:v>
                </c:pt>
                <c:pt idx="75">
                  <c:v>3.52</c:v>
                </c:pt>
                <c:pt idx="76">
                  <c:v>3.5</c:v>
                </c:pt>
                <c:pt idx="77">
                  <c:v>3.49</c:v>
                </c:pt>
                <c:pt idx="78">
                  <c:v>3.49</c:v>
                </c:pt>
                <c:pt idx="79">
                  <c:v>3.49</c:v>
                </c:pt>
                <c:pt idx="80">
                  <c:v>3.47</c:v>
                </c:pt>
                <c:pt idx="81">
                  <c:v>3.45</c:v>
                </c:pt>
                <c:pt idx="82">
                  <c:v>3.44</c:v>
                </c:pt>
                <c:pt idx="83">
                  <c:v>3.43</c:v>
                </c:pt>
                <c:pt idx="84">
                  <c:v>3.43</c:v>
                </c:pt>
                <c:pt idx="85">
                  <c:v>3.43</c:v>
                </c:pt>
                <c:pt idx="86">
                  <c:v>3.43</c:v>
                </c:pt>
                <c:pt idx="87">
                  <c:v>3.48</c:v>
                </c:pt>
                <c:pt idx="88">
                  <c:v>3.51</c:v>
                </c:pt>
                <c:pt idx="89">
                  <c:v>3.53</c:v>
                </c:pt>
                <c:pt idx="90">
                  <c:v>3.58</c:v>
                </c:pt>
                <c:pt idx="91">
                  <c:v>3.59</c:v>
                </c:pt>
                <c:pt idx="92">
                  <c:v>3.59</c:v>
                </c:pt>
                <c:pt idx="93">
                  <c:v>3.59</c:v>
                </c:pt>
                <c:pt idx="94">
                  <c:v>3.59</c:v>
                </c:pt>
                <c:pt idx="95">
                  <c:v>3.59</c:v>
                </c:pt>
                <c:pt idx="96">
                  <c:v>3.59</c:v>
                </c:pt>
                <c:pt idx="97">
                  <c:v>3.59</c:v>
                </c:pt>
                <c:pt idx="98">
                  <c:v>3.59</c:v>
                </c:pt>
                <c:pt idx="99">
                  <c:v>3.59</c:v>
                </c:pt>
                <c:pt idx="100">
                  <c:v>3.62</c:v>
                </c:pt>
                <c:pt idx="101">
                  <c:v>3.62</c:v>
                </c:pt>
                <c:pt idx="102">
                  <c:v>3.62</c:v>
                </c:pt>
                <c:pt idx="103">
                  <c:v>3.62</c:v>
                </c:pt>
                <c:pt idx="104">
                  <c:v>3.62</c:v>
                </c:pt>
                <c:pt idx="105">
                  <c:v>3.62</c:v>
                </c:pt>
                <c:pt idx="106">
                  <c:v>3.61</c:v>
                </c:pt>
                <c:pt idx="107">
                  <c:v>3.61</c:v>
                </c:pt>
                <c:pt idx="108">
                  <c:v>3.61</c:v>
                </c:pt>
                <c:pt idx="109">
                  <c:v>3.61</c:v>
                </c:pt>
                <c:pt idx="110">
                  <c:v>3.61</c:v>
                </c:pt>
                <c:pt idx="111">
                  <c:v>3.61</c:v>
                </c:pt>
                <c:pt idx="112">
                  <c:v>3.61</c:v>
                </c:pt>
                <c:pt idx="113">
                  <c:v>3.61</c:v>
                </c:pt>
                <c:pt idx="114">
                  <c:v>3.61</c:v>
                </c:pt>
                <c:pt idx="115">
                  <c:v>3.61</c:v>
                </c:pt>
                <c:pt idx="116">
                  <c:v>3.59</c:v>
                </c:pt>
                <c:pt idx="117">
                  <c:v>3.59</c:v>
                </c:pt>
                <c:pt idx="118">
                  <c:v>3.59</c:v>
                </c:pt>
                <c:pt idx="119">
                  <c:v>3.59</c:v>
                </c:pt>
                <c:pt idx="120">
                  <c:v>3.56</c:v>
                </c:pt>
                <c:pt idx="121">
                  <c:v>3.54</c:v>
                </c:pt>
                <c:pt idx="122">
                  <c:v>3.53</c:v>
                </c:pt>
                <c:pt idx="123">
                  <c:v>3.52</c:v>
                </c:pt>
                <c:pt idx="124">
                  <c:v>3.5</c:v>
                </c:pt>
                <c:pt idx="125">
                  <c:v>3.49</c:v>
                </c:pt>
                <c:pt idx="126">
                  <c:v>3.48</c:v>
                </c:pt>
                <c:pt idx="127">
                  <c:v>3.48</c:v>
                </c:pt>
                <c:pt idx="128">
                  <c:v>3.47</c:v>
                </c:pt>
                <c:pt idx="129">
                  <c:v>3.46</c:v>
                </c:pt>
                <c:pt idx="130">
                  <c:v>3.46</c:v>
                </c:pt>
                <c:pt idx="131">
                  <c:v>3.46</c:v>
                </c:pt>
                <c:pt idx="132">
                  <c:v>3.47</c:v>
                </c:pt>
                <c:pt idx="133">
                  <c:v>3.49</c:v>
                </c:pt>
                <c:pt idx="134">
                  <c:v>3.52</c:v>
                </c:pt>
                <c:pt idx="135">
                  <c:v>3.59</c:v>
                </c:pt>
                <c:pt idx="136">
                  <c:v>3.63</c:v>
                </c:pt>
                <c:pt idx="137">
                  <c:v>3.63</c:v>
                </c:pt>
                <c:pt idx="138">
                  <c:v>3.64</c:v>
                </c:pt>
                <c:pt idx="139">
                  <c:v>3.65</c:v>
                </c:pt>
                <c:pt idx="140">
                  <c:v>3.66</c:v>
                </c:pt>
                <c:pt idx="141">
                  <c:v>3.67</c:v>
                </c:pt>
                <c:pt idx="142">
                  <c:v>3.68</c:v>
                </c:pt>
                <c:pt idx="143">
                  <c:v>3.7</c:v>
                </c:pt>
                <c:pt idx="144">
                  <c:v>3.74</c:v>
                </c:pt>
                <c:pt idx="145">
                  <c:v>3.79</c:v>
                </c:pt>
                <c:pt idx="146">
                  <c:v>3.88</c:v>
                </c:pt>
                <c:pt idx="147">
                  <c:v>3.87</c:v>
                </c:pt>
                <c:pt idx="148">
                  <c:v>3.88</c:v>
                </c:pt>
                <c:pt idx="149">
                  <c:v>3.9</c:v>
                </c:pt>
                <c:pt idx="150">
                  <c:v>3.92</c:v>
                </c:pt>
                <c:pt idx="151">
                  <c:v>3.92</c:v>
                </c:pt>
                <c:pt idx="152">
                  <c:v>3.96</c:v>
                </c:pt>
                <c:pt idx="153">
                  <c:v>3.96</c:v>
                </c:pt>
                <c:pt idx="154">
                  <c:v>3.96</c:v>
                </c:pt>
                <c:pt idx="155">
                  <c:v>3.98</c:v>
                </c:pt>
                <c:pt idx="156">
                  <c:v>3.98</c:v>
                </c:pt>
                <c:pt idx="157">
                  <c:v>3.98</c:v>
                </c:pt>
                <c:pt idx="158">
                  <c:v>3.98</c:v>
                </c:pt>
                <c:pt idx="159">
                  <c:v>4.03</c:v>
                </c:pt>
                <c:pt idx="160">
                  <c:v>4.03</c:v>
                </c:pt>
                <c:pt idx="161">
                  <c:v>4.03</c:v>
                </c:pt>
                <c:pt idx="162">
                  <c:v>4.03</c:v>
                </c:pt>
                <c:pt idx="163">
                  <c:v>4.03</c:v>
                </c:pt>
                <c:pt idx="164">
                  <c:v>4.03</c:v>
                </c:pt>
                <c:pt idx="165">
                  <c:v>4.03</c:v>
                </c:pt>
                <c:pt idx="166">
                  <c:v>4.03</c:v>
                </c:pt>
                <c:pt idx="167">
                  <c:v>4.03</c:v>
                </c:pt>
                <c:pt idx="168">
                  <c:v>4.03</c:v>
                </c:pt>
                <c:pt idx="169">
                  <c:v>4.03</c:v>
                </c:pt>
                <c:pt idx="170">
                  <c:v>4.03</c:v>
                </c:pt>
                <c:pt idx="171">
                  <c:v>4.03</c:v>
                </c:pt>
                <c:pt idx="172">
                  <c:v>4.03</c:v>
                </c:pt>
                <c:pt idx="173">
                  <c:v>4.03</c:v>
                </c:pt>
                <c:pt idx="174">
                  <c:v>4.03</c:v>
                </c:pt>
                <c:pt idx="175">
                  <c:v>4.03</c:v>
                </c:pt>
                <c:pt idx="176">
                  <c:v>4.03</c:v>
                </c:pt>
                <c:pt idx="177">
                  <c:v>4.03</c:v>
                </c:pt>
                <c:pt idx="178">
                  <c:v>4.03</c:v>
                </c:pt>
                <c:pt idx="179">
                  <c:v>4.03</c:v>
                </c:pt>
                <c:pt idx="180">
                  <c:v>4.03</c:v>
                </c:pt>
                <c:pt idx="181">
                  <c:v>4.03</c:v>
                </c:pt>
                <c:pt idx="182">
                  <c:v>4.0199999999999996</c:v>
                </c:pt>
                <c:pt idx="183">
                  <c:v>4.0199999999999996</c:v>
                </c:pt>
                <c:pt idx="184">
                  <c:v>4.01</c:v>
                </c:pt>
                <c:pt idx="185">
                  <c:v>3.99</c:v>
                </c:pt>
                <c:pt idx="186">
                  <c:v>3.99</c:v>
                </c:pt>
                <c:pt idx="187">
                  <c:v>3.97</c:v>
                </c:pt>
                <c:pt idx="188">
                  <c:v>3.97</c:v>
                </c:pt>
                <c:pt idx="189">
                  <c:v>3.97</c:v>
                </c:pt>
                <c:pt idx="190">
                  <c:v>3.97</c:v>
                </c:pt>
                <c:pt idx="191">
                  <c:v>3.97</c:v>
                </c:pt>
                <c:pt idx="192">
                  <c:v>3.97</c:v>
                </c:pt>
                <c:pt idx="193">
                  <c:v>3.97</c:v>
                </c:pt>
                <c:pt idx="194">
                  <c:v>3.97</c:v>
                </c:pt>
                <c:pt idx="195">
                  <c:v>3.97</c:v>
                </c:pt>
                <c:pt idx="196">
                  <c:v>3.97</c:v>
                </c:pt>
                <c:pt idx="197">
                  <c:v>3.97</c:v>
                </c:pt>
                <c:pt idx="198">
                  <c:v>3.97</c:v>
                </c:pt>
                <c:pt idx="199">
                  <c:v>3.96</c:v>
                </c:pt>
                <c:pt idx="200">
                  <c:v>3.95</c:v>
                </c:pt>
                <c:pt idx="201">
                  <c:v>3.94</c:v>
                </c:pt>
                <c:pt idx="202">
                  <c:v>3.94</c:v>
                </c:pt>
                <c:pt idx="203">
                  <c:v>3.93</c:v>
                </c:pt>
                <c:pt idx="204">
                  <c:v>3.92</c:v>
                </c:pt>
                <c:pt idx="205">
                  <c:v>3.9</c:v>
                </c:pt>
                <c:pt idx="206">
                  <c:v>3.85</c:v>
                </c:pt>
                <c:pt idx="207">
                  <c:v>3.81</c:v>
                </c:pt>
                <c:pt idx="208">
                  <c:v>3.76</c:v>
                </c:pt>
                <c:pt idx="209">
                  <c:v>3.7</c:v>
                </c:pt>
                <c:pt idx="210">
                  <c:v>3.66</c:v>
                </c:pt>
                <c:pt idx="211">
                  <c:v>3.66</c:v>
                </c:pt>
                <c:pt idx="212">
                  <c:v>3.63</c:v>
                </c:pt>
                <c:pt idx="213">
                  <c:v>3.32</c:v>
                </c:pt>
                <c:pt idx="214">
                  <c:v>3.32</c:v>
                </c:pt>
                <c:pt idx="215">
                  <c:v>3.32</c:v>
                </c:pt>
                <c:pt idx="216">
                  <c:v>3.32</c:v>
                </c:pt>
                <c:pt idx="217">
                  <c:v>3.28</c:v>
                </c:pt>
                <c:pt idx="218">
                  <c:v>3.24</c:v>
                </c:pt>
                <c:pt idx="219">
                  <c:v>3.2</c:v>
                </c:pt>
                <c:pt idx="220">
                  <c:v>3.14</c:v>
                </c:pt>
                <c:pt idx="221">
                  <c:v>3.12</c:v>
                </c:pt>
                <c:pt idx="222">
                  <c:v>3.09</c:v>
                </c:pt>
                <c:pt idx="223">
                  <c:v>3.07</c:v>
                </c:pt>
                <c:pt idx="224">
                  <c:v>3.04</c:v>
                </c:pt>
                <c:pt idx="225">
                  <c:v>3.02</c:v>
                </c:pt>
                <c:pt idx="226">
                  <c:v>3</c:v>
                </c:pt>
                <c:pt idx="227">
                  <c:v>2.99</c:v>
                </c:pt>
                <c:pt idx="228">
                  <c:v>2.97</c:v>
                </c:pt>
                <c:pt idx="229">
                  <c:v>2.96</c:v>
                </c:pt>
                <c:pt idx="230">
                  <c:v>2.94</c:v>
                </c:pt>
                <c:pt idx="231">
                  <c:v>2.93</c:v>
                </c:pt>
                <c:pt idx="232">
                  <c:v>2.93</c:v>
                </c:pt>
                <c:pt idx="233">
                  <c:v>2.93</c:v>
                </c:pt>
                <c:pt idx="234">
                  <c:v>2.93</c:v>
                </c:pt>
                <c:pt idx="235">
                  <c:v>2.93</c:v>
                </c:pt>
                <c:pt idx="236">
                  <c:v>2.93</c:v>
                </c:pt>
                <c:pt idx="237">
                  <c:v>2.92</c:v>
                </c:pt>
                <c:pt idx="238">
                  <c:v>2.92</c:v>
                </c:pt>
                <c:pt idx="239">
                  <c:v>2.92</c:v>
                </c:pt>
                <c:pt idx="240">
                  <c:v>2.92</c:v>
                </c:pt>
                <c:pt idx="241">
                  <c:v>2.92</c:v>
                </c:pt>
                <c:pt idx="242">
                  <c:v>2.92</c:v>
                </c:pt>
                <c:pt idx="243">
                  <c:v>2.76</c:v>
                </c:pt>
                <c:pt idx="244">
                  <c:v>2.76</c:v>
                </c:pt>
                <c:pt idx="245">
                  <c:v>2.76</c:v>
                </c:pt>
                <c:pt idx="246">
                  <c:v>2.76</c:v>
                </c:pt>
                <c:pt idx="247">
                  <c:v>2.76</c:v>
                </c:pt>
                <c:pt idx="248">
                  <c:v>2.76</c:v>
                </c:pt>
                <c:pt idx="249">
                  <c:v>2.76</c:v>
                </c:pt>
                <c:pt idx="250">
                  <c:v>2.76</c:v>
                </c:pt>
                <c:pt idx="251">
                  <c:v>2.76</c:v>
                </c:pt>
                <c:pt idx="252">
                  <c:v>2.76</c:v>
                </c:pt>
                <c:pt idx="253">
                  <c:v>2.75</c:v>
                </c:pt>
                <c:pt idx="254">
                  <c:v>2.75</c:v>
                </c:pt>
                <c:pt idx="255">
                  <c:v>2.74</c:v>
                </c:pt>
                <c:pt idx="256">
                  <c:v>2.74</c:v>
                </c:pt>
                <c:pt idx="257">
                  <c:v>2.73</c:v>
                </c:pt>
                <c:pt idx="258">
                  <c:v>2.73</c:v>
                </c:pt>
                <c:pt idx="259">
                  <c:v>2.73</c:v>
                </c:pt>
                <c:pt idx="260">
                  <c:v>2.73</c:v>
                </c:pt>
                <c:pt idx="261">
                  <c:v>2.74</c:v>
                </c:pt>
                <c:pt idx="262">
                  <c:v>2.68</c:v>
                </c:pt>
                <c:pt idx="263">
                  <c:v>2.61</c:v>
                </c:pt>
                <c:pt idx="264">
                  <c:v>2.59</c:v>
                </c:pt>
                <c:pt idx="265">
                  <c:v>2.58</c:v>
                </c:pt>
                <c:pt idx="266">
                  <c:v>2.58</c:v>
                </c:pt>
                <c:pt idx="267">
                  <c:v>2.58</c:v>
                </c:pt>
                <c:pt idx="268">
                  <c:v>2.58</c:v>
                </c:pt>
                <c:pt idx="269">
                  <c:v>2.58</c:v>
                </c:pt>
                <c:pt idx="270">
                  <c:v>2.58</c:v>
                </c:pt>
                <c:pt idx="271">
                  <c:v>2.58</c:v>
                </c:pt>
                <c:pt idx="272">
                  <c:v>2.57</c:v>
                </c:pt>
                <c:pt idx="273">
                  <c:v>2.14</c:v>
                </c:pt>
                <c:pt idx="274">
                  <c:v>2.12</c:v>
                </c:pt>
                <c:pt idx="275">
                  <c:v>2.0499999999999998</c:v>
                </c:pt>
                <c:pt idx="276">
                  <c:v>2.0499999999999998</c:v>
                </c:pt>
                <c:pt idx="277">
                  <c:v>2.0499999999999998</c:v>
                </c:pt>
                <c:pt idx="278">
                  <c:v>2.0499999999999998</c:v>
                </c:pt>
                <c:pt idx="279">
                  <c:v>2.0499999999999998</c:v>
                </c:pt>
                <c:pt idx="280">
                  <c:v>2.0499999999999998</c:v>
                </c:pt>
                <c:pt idx="281">
                  <c:v>2.04</c:v>
                </c:pt>
                <c:pt idx="282">
                  <c:v>2.04</c:v>
                </c:pt>
                <c:pt idx="283">
                  <c:v>2.02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1.99</c:v>
                </c:pt>
                <c:pt idx="289">
                  <c:v>1.99</c:v>
                </c:pt>
                <c:pt idx="290">
                  <c:v>1.99</c:v>
                </c:pt>
                <c:pt idx="291">
                  <c:v>1.99</c:v>
                </c:pt>
                <c:pt idx="292">
                  <c:v>1.97</c:v>
                </c:pt>
                <c:pt idx="293">
                  <c:v>1.97</c:v>
                </c:pt>
                <c:pt idx="294">
                  <c:v>1.96</c:v>
                </c:pt>
                <c:pt idx="295">
                  <c:v>1.96</c:v>
                </c:pt>
                <c:pt idx="296">
                  <c:v>1.96</c:v>
                </c:pt>
                <c:pt idx="297">
                  <c:v>1.96</c:v>
                </c:pt>
                <c:pt idx="298">
                  <c:v>1.96</c:v>
                </c:pt>
                <c:pt idx="299">
                  <c:v>1.96</c:v>
                </c:pt>
                <c:pt idx="300">
                  <c:v>1.96</c:v>
                </c:pt>
                <c:pt idx="301">
                  <c:v>1.96</c:v>
                </c:pt>
                <c:pt idx="302">
                  <c:v>1.96</c:v>
                </c:pt>
                <c:pt idx="303">
                  <c:v>1.96</c:v>
                </c:pt>
                <c:pt idx="304">
                  <c:v>1.96</c:v>
                </c:pt>
                <c:pt idx="305">
                  <c:v>1.75</c:v>
                </c:pt>
                <c:pt idx="306">
                  <c:v>1.75</c:v>
                </c:pt>
                <c:pt idx="307">
                  <c:v>1.75</c:v>
                </c:pt>
                <c:pt idx="308">
                  <c:v>1.72</c:v>
                </c:pt>
                <c:pt idx="309">
                  <c:v>1.72</c:v>
                </c:pt>
                <c:pt idx="310">
                  <c:v>1.72</c:v>
                </c:pt>
                <c:pt idx="311">
                  <c:v>1.72</c:v>
                </c:pt>
                <c:pt idx="312">
                  <c:v>1.72</c:v>
                </c:pt>
                <c:pt idx="313">
                  <c:v>1.72</c:v>
                </c:pt>
                <c:pt idx="314">
                  <c:v>1.72</c:v>
                </c:pt>
                <c:pt idx="315">
                  <c:v>1.72</c:v>
                </c:pt>
                <c:pt idx="316">
                  <c:v>1.72</c:v>
                </c:pt>
                <c:pt idx="317">
                  <c:v>1.72</c:v>
                </c:pt>
                <c:pt idx="318">
                  <c:v>1.72</c:v>
                </c:pt>
                <c:pt idx="319">
                  <c:v>1.72</c:v>
                </c:pt>
                <c:pt idx="320">
                  <c:v>1.72</c:v>
                </c:pt>
                <c:pt idx="321">
                  <c:v>1.72</c:v>
                </c:pt>
                <c:pt idx="322">
                  <c:v>1.72</c:v>
                </c:pt>
                <c:pt idx="323">
                  <c:v>1.72</c:v>
                </c:pt>
                <c:pt idx="324">
                  <c:v>1.72</c:v>
                </c:pt>
                <c:pt idx="325">
                  <c:v>1.72</c:v>
                </c:pt>
                <c:pt idx="326">
                  <c:v>1.72</c:v>
                </c:pt>
                <c:pt idx="327">
                  <c:v>1.72</c:v>
                </c:pt>
                <c:pt idx="328">
                  <c:v>1.72</c:v>
                </c:pt>
                <c:pt idx="329">
                  <c:v>1.72</c:v>
                </c:pt>
                <c:pt idx="330">
                  <c:v>1.72</c:v>
                </c:pt>
                <c:pt idx="331">
                  <c:v>1.72</c:v>
                </c:pt>
                <c:pt idx="332">
                  <c:v>1.72</c:v>
                </c:pt>
                <c:pt idx="333">
                  <c:v>1.72</c:v>
                </c:pt>
                <c:pt idx="334">
                  <c:v>1.51</c:v>
                </c:pt>
                <c:pt idx="335">
                  <c:v>1.51</c:v>
                </c:pt>
                <c:pt idx="336">
                  <c:v>1.51</c:v>
                </c:pt>
                <c:pt idx="337">
                  <c:v>1.51</c:v>
                </c:pt>
                <c:pt idx="338">
                  <c:v>1.51</c:v>
                </c:pt>
                <c:pt idx="339">
                  <c:v>1.51</c:v>
                </c:pt>
                <c:pt idx="340">
                  <c:v>1.51</c:v>
                </c:pt>
                <c:pt idx="341">
                  <c:v>1.51</c:v>
                </c:pt>
                <c:pt idx="342">
                  <c:v>1.51</c:v>
                </c:pt>
                <c:pt idx="343">
                  <c:v>1.51</c:v>
                </c:pt>
                <c:pt idx="344">
                  <c:v>1.51</c:v>
                </c:pt>
                <c:pt idx="345">
                  <c:v>1.51</c:v>
                </c:pt>
                <c:pt idx="346">
                  <c:v>1.51</c:v>
                </c:pt>
                <c:pt idx="347">
                  <c:v>1.51</c:v>
                </c:pt>
                <c:pt idx="348">
                  <c:v>1.51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</c:v>
                </c:pt>
                <c:pt idx="357">
                  <c:v>1.5</c:v>
                </c:pt>
                <c:pt idx="358">
                  <c:v>1.5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</c:v>
                </c:pt>
                <c:pt idx="363">
                  <c:v>1.5</c:v>
                </c:pt>
                <c:pt idx="364">
                  <c:v>1.5</c:v>
                </c:pt>
                <c:pt idx="365">
                  <c:v>1.5</c:v>
                </c:pt>
                <c:pt idx="366">
                  <c:v>1.5</c:v>
                </c:pt>
                <c:pt idx="367">
                  <c:v>1.5</c:v>
                </c:pt>
                <c:pt idx="368">
                  <c:v>1.5</c:v>
                </c:pt>
                <c:pt idx="369">
                  <c:v>1.5</c:v>
                </c:pt>
                <c:pt idx="370">
                  <c:v>1.5</c:v>
                </c:pt>
                <c:pt idx="371">
                  <c:v>1.5</c:v>
                </c:pt>
                <c:pt idx="372">
                  <c:v>1.5</c:v>
                </c:pt>
                <c:pt idx="373">
                  <c:v>1.5</c:v>
                </c:pt>
                <c:pt idx="374">
                  <c:v>1.5</c:v>
                </c:pt>
                <c:pt idx="375">
                  <c:v>1.5</c:v>
                </c:pt>
                <c:pt idx="376">
                  <c:v>1.5</c:v>
                </c:pt>
                <c:pt idx="377">
                  <c:v>1.5</c:v>
                </c:pt>
                <c:pt idx="378">
                  <c:v>1.5</c:v>
                </c:pt>
                <c:pt idx="379">
                  <c:v>1.5</c:v>
                </c:pt>
                <c:pt idx="380">
                  <c:v>1.5</c:v>
                </c:pt>
                <c:pt idx="381">
                  <c:v>1.5</c:v>
                </c:pt>
                <c:pt idx="382">
                  <c:v>1.5</c:v>
                </c:pt>
                <c:pt idx="383">
                  <c:v>1.5</c:v>
                </c:pt>
                <c:pt idx="384">
                  <c:v>1.49</c:v>
                </c:pt>
                <c:pt idx="385">
                  <c:v>1.48</c:v>
                </c:pt>
                <c:pt idx="386">
                  <c:v>1.46</c:v>
                </c:pt>
                <c:pt idx="387">
                  <c:v>1.46</c:v>
                </c:pt>
                <c:pt idx="388">
                  <c:v>1.46</c:v>
                </c:pt>
                <c:pt idx="389">
                  <c:v>1.46</c:v>
                </c:pt>
                <c:pt idx="390">
                  <c:v>1.45</c:v>
                </c:pt>
                <c:pt idx="391">
                  <c:v>1.44</c:v>
                </c:pt>
                <c:pt idx="392">
                  <c:v>1.43</c:v>
                </c:pt>
                <c:pt idx="393">
                  <c:v>1.35</c:v>
                </c:pt>
                <c:pt idx="394">
                  <c:v>1.31</c:v>
                </c:pt>
                <c:pt idx="395">
                  <c:v>1.3</c:v>
                </c:pt>
                <c:pt idx="396">
                  <c:v>1.3</c:v>
                </c:pt>
                <c:pt idx="397">
                  <c:v>1.3</c:v>
                </c:pt>
                <c:pt idx="398">
                  <c:v>1.3</c:v>
                </c:pt>
                <c:pt idx="399">
                  <c:v>1.3</c:v>
                </c:pt>
                <c:pt idx="400">
                  <c:v>1.3</c:v>
                </c:pt>
                <c:pt idx="401">
                  <c:v>1.3</c:v>
                </c:pt>
                <c:pt idx="402">
                  <c:v>1.29</c:v>
                </c:pt>
                <c:pt idx="403">
                  <c:v>1.28</c:v>
                </c:pt>
                <c:pt idx="404">
                  <c:v>1.28</c:v>
                </c:pt>
                <c:pt idx="405">
                  <c:v>1.28</c:v>
                </c:pt>
                <c:pt idx="406">
                  <c:v>1.27</c:v>
                </c:pt>
                <c:pt idx="407">
                  <c:v>1.27</c:v>
                </c:pt>
                <c:pt idx="408">
                  <c:v>1.27</c:v>
                </c:pt>
                <c:pt idx="409">
                  <c:v>1.27</c:v>
                </c:pt>
                <c:pt idx="410">
                  <c:v>1.27</c:v>
                </c:pt>
                <c:pt idx="411">
                  <c:v>1.27</c:v>
                </c:pt>
                <c:pt idx="412">
                  <c:v>1.27</c:v>
                </c:pt>
                <c:pt idx="413">
                  <c:v>1.27</c:v>
                </c:pt>
                <c:pt idx="414">
                  <c:v>1.27</c:v>
                </c:pt>
                <c:pt idx="415">
                  <c:v>1.27</c:v>
                </c:pt>
                <c:pt idx="416">
                  <c:v>1.27</c:v>
                </c:pt>
                <c:pt idx="417">
                  <c:v>1.27</c:v>
                </c:pt>
                <c:pt idx="418">
                  <c:v>1.27</c:v>
                </c:pt>
                <c:pt idx="419">
                  <c:v>1.27</c:v>
                </c:pt>
                <c:pt idx="420">
                  <c:v>1.27</c:v>
                </c:pt>
                <c:pt idx="421">
                  <c:v>1.27</c:v>
                </c:pt>
                <c:pt idx="422">
                  <c:v>1.26</c:v>
                </c:pt>
                <c:pt idx="423">
                  <c:v>1.26</c:v>
                </c:pt>
                <c:pt idx="424">
                  <c:v>1.26</c:v>
                </c:pt>
                <c:pt idx="425">
                  <c:v>1.25</c:v>
                </c:pt>
                <c:pt idx="426">
                  <c:v>1.25</c:v>
                </c:pt>
                <c:pt idx="427">
                  <c:v>1.25</c:v>
                </c:pt>
                <c:pt idx="428">
                  <c:v>1.2</c:v>
                </c:pt>
                <c:pt idx="429">
                  <c:v>1.19</c:v>
                </c:pt>
                <c:pt idx="430">
                  <c:v>1.18</c:v>
                </c:pt>
                <c:pt idx="431">
                  <c:v>1.17</c:v>
                </c:pt>
                <c:pt idx="432">
                  <c:v>1.1499999999999999</c:v>
                </c:pt>
                <c:pt idx="433">
                  <c:v>1.1499999999999999</c:v>
                </c:pt>
                <c:pt idx="434">
                  <c:v>1.1499999999999999</c:v>
                </c:pt>
                <c:pt idx="435">
                  <c:v>1.1499999999999999</c:v>
                </c:pt>
                <c:pt idx="436">
                  <c:v>1.1499999999999999</c:v>
                </c:pt>
                <c:pt idx="437">
                  <c:v>1.1499999999999999</c:v>
                </c:pt>
                <c:pt idx="438">
                  <c:v>1.1499999999999999</c:v>
                </c:pt>
                <c:pt idx="439">
                  <c:v>1.1399999999999999</c:v>
                </c:pt>
                <c:pt idx="440">
                  <c:v>1.1399999999999999</c:v>
                </c:pt>
                <c:pt idx="441">
                  <c:v>1.1299999999999999</c:v>
                </c:pt>
                <c:pt idx="442">
                  <c:v>1.1299999999999999</c:v>
                </c:pt>
                <c:pt idx="443">
                  <c:v>1.1200000000000001</c:v>
                </c:pt>
                <c:pt idx="444">
                  <c:v>1.1200000000000001</c:v>
                </c:pt>
                <c:pt idx="445">
                  <c:v>1.1200000000000001</c:v>
                </c:pt>
                <c:pt idx="446">
                  <c:v>1.1200000000000001</c:v>
                </c:pt>
                <c:pt idx="447">
                  <c:v>1.1000000000000001</c:v>
                </c:pt>
                <c:pt idx="448">
                  <c:v>1.1000000000000001</c:v>
                </c:pt>
                <c:pt idx="449">
                  <c:v>1.0900000000000001</c:v>
                </c:pt>
                <c:pt idx="450">
                  <c:v>1.0900000000000001</c:v>
                </c:pt>
                <c:pt idx="451">
                  <c:v>1.0900000000000001</c:v>
                </c:pt>
                <c:pt idx="452">
                  <c:v>1.0900000000000001</c:v>
                </c:pt>
                <c:pt idx="453">
                  <c:v>1.0900000000000001</c:v>
                </c:pt>
                <c:pt idx="454">
                  <c:v>1.0900000000000001</c:v>
                </c:pt>
                <c:pt idx="455">
                  <c:v>1.08</c:v>
                </c:pt>
                <c:pt idx="456">
                  <c:v>1.07</c:v>
                </c:pt>
                <c:pt idx="457">
                  <c:v>1.07</c:v>
                </c:pt>
                <c:pt idx="458">
                  <c:v>1.07</c:v>
                </c:pt>
                <c:pt idx="459">
                  <c:v>1.06</c:v>
                </c:pt>
                <c:pt idx="460">
                  <c:v>1.05</c:v>
                </c:pt>
                <c:pt idx="461">
                  <c:v>1.05</c:v>
                </c:pt>
                <c:pt idx="462">
                  <c:v>1.05</c:v>
                </c:pt>
                <c:pt idx="463">
                  <c:v>1.04</c:v>
                </c:pt>
                <c:pt idx="464">
                  <c:v>1.04</c:v>
                </c:pt>
                <c:pt idx="465">
                  <c:v>1.04</c:v>
                </c:pt>
                <c:pt idx="466">
                  <c:v>1.04</c:v>
                </c:pt>
                <c:pt idx="467">
                  <c:v>1.04</c:v>
                </c:pt>
                <c:pt idx="468">
                  <c:v>1.03</c:v>
                </c:pt>
                <c:pt idx="469">
                  <c:v>1.02</c:v>
                </c:pt>
                <c:pt idx="470">
                  <c:v>1.02</c:v>
                </c:pt>
                <c:pt idx="471">
                  <c:v>1.01</c:v>
                </c:pt>
                <c:pt idx="472">
                  <c:v>1.01</c:v>
                </c:pt>
                <c:pt idx="473">
                  <c:v>1.01</c:v>
                </c:pt>
                <c:pt idx="474">
                  <c:v>1</c:v>
                </c:pt>
                <c:pt idx="475">
                  <c:v>1</c:v>
                </c:pt>
                <c:pt idx="476">
                  <c:v>0.96</c:v>
                </c:pt>
                <c:pt idx="477">
                  <c:v>0.93</c:v>
                </c:pt>
                <c:pt idx="478">
                  <c:v>0.92</c:v>
                </c:pt>
                <c:pt idx="479">
                  <c:v>0.92</c:v>
                </c:pt>
                <c:pt idx="480">
                  <c:v>0.92</c:v>
                </c:pt>
                <c:pt idx="481">
                  <c:v>0.92</c:v>
                </c:pt>
                <c:pt idx="482">
                  <c:v>0.92</c:v>
                </c:pt>
                <c:pt idx="483">
                  <c:v>0.92</c:v>
                </c:pt>
                <c:pt idx="484">
                  <c:v>0.92</c:v>
                </c:pt>
                <c:pt idx="485">
                  <c:v>0.92</c:v>
                </c:pt>
                <c:pt idx="486">
                  <c:v>0.92</c:v>
                </c:pt>
                <c:pt idx="487">
                  <c:v>0.92</c:v>
                </c:pt>
                <c:pt idx="488">
                  <c:v>0.77</c:v>
                </c:pt>
                <c:pt idx="489">
                  <c:v>0.77</c:v>
                </c:pt>
                <c:pt idx="490">
                  <c:v>0.77</c:v>
                </c:pt>
                <c:pt idx="491">
                  <c:v>0.76</c:v>
                </c:pt>
                <c:pt idx="492">
                  <c:v>0.76</c:v>
                </c:pt>
                <c:pt idx="493">
                  <c:v>0.75</c:v>
                </c:pt>
                <c:pt idx="494">
                  <c:v>0.74</c:v>
                </c:pt>
                <c:pt idx="495">
                  <c:v>0.73</c:v>
                </c:pt>
                <c:pt idx="496">
                  <c:v>0.72</c:v>
                </c:pt>
                <c:pt idx="497">
                  <c:v>0.71</c:v>
                </c:pt>
                <c:pt idx="498">
                  <c:v>0.71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FCB-45B5-BE37-9644FA2D05D4}"/>
            </c:ext>
          </c:extLst>
        </c:ser>
        <c:ser>
          <c:idx val="1"/>
          <c:order val="2"/>
          <c:tx>
            <c:v>국고3년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국내시장주요지표!$AN$68:$AN$566</c:f>
              <c:numCache>
                <c:formatCode>m/d/yyyy</c:formatCode>
                <c:ptCount val="499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  <c:pt idx="20">
                  <c:v>45126</c:v>
                </c:pt>
                <c:pt idx="21">
                  <c:v>45125</c:v>
                </c:pt>
                <c:pt idx="22">
                  <c:v>45124</c:v>
                </c:pt>
                <c:pt idx="23">
                  <c:v>45121</c:v>
                </c:pt>
                <c:pt idx="24">
                  <c:v>45120</c:v>
                </c:pt>
                <c:pt idx="25">
                  <c:v>45119</c:v>
                </c:pt>
                <c:pt idx="26">
                  <c:v>45118</c:v>
                </c:pt>
                <c:pt idx="27">
                  <c:v>45117</c:v>
                </c:pt>
                <c:pt idx="28">
                  <c:v>45114</c:v>
                </c:pt>
                <c:pt idx="29">
                  <c:v>45113</c:v>
                </c:pt>
                <c:pt idx="30">
                  <c:v>45112</c:v>
                </c:pt>
                <c:pt idx="31">
                  <c:v>45111</c:v>
                </c:pt>
                <c:pt idx="32">
                  <c:v>45110</c:v>
                </c:pt>
                <c:pt idx="33">
                  <c:v>45107</c:v>
                </c:pt>
                <c:pt idx="34">
                  <c:v>45106</c:v>
                </c:pt>
                <c:pt idx="35">
                  <c:v>45105</c:v>
                </c:pt>
                <c:pt idx="36">
                  <c:v>45104</c:v>
                </c:pt>
                <c:pt idx="37">
                  <c:v>45103</c:v>
                </c:pt>
                <c:pt idx="38">
                  <c:v>45100</c:v>
                </c:pt>
                <c:pt idx="39">
                  <c:v>45099</c:v>
                </c:pt>
                <c:pt idx="40">
                  <c:v>45098</c:v>
                </c:pt>
                <c:pt idx="41">
                  <c:v>45097</c:v>
                </c:pt>
                <c:pt idx="42">
                  <c:v>45096</c:v>
                </c:pt>
                <c:pt idx="43">
                  <c:v>45093</c:v>
                </c:pt>
                <c:pt idx="44">
                  <c:v>45092</c:v>
                </c:pt>
                <c:pt idx="45">
                  <c:v>45091</c:v>
                </c:pt>
                <c:pt idx="46">
                  <c:v>45090</c:v>
                </c:pt>
                <c:pt idx="47">
                  <c:v>45089</c:v>
                </c:pt>
                <c:pt idx="48">
                  <c:v>45086</c:v>
                </c:pt>
                <c:pt idx="49">
                  <c:v>45085</c:v>
                </c:pt>
                <c:pt idx="50">
                  <c:v>45084</c:v>
                </c:pt>
                <c:pt idx="51">
                  <c:v>45082</c:v>
                </c:pt>
                <c:pt idx="52">
                  <c:v>45079</c:v>
                </c:pt>
                <c:pt idx="53">
                  <c:v>45078</c:v>
                </c:pt>
                <c:pt idx="54">
                  <c:v>45077</c:v>
                </c:pt>
                <c:pt idx="55">
                  <c:v>45076</c:v>
                </c:pt>
                <c:pt idx="56">
                  <c:v>45072</c:v>
                </c:pt>
                <c:pt idx="57">
                  <c:v>45071</c:v>
                </c:pt>
                <c:pt idx="58">
                  <c:v>45070</c:v>
                </c:pt>
                <c:pt idx="59">
                  <c:v>45069</c:v>
                </c:pt>
                <c:pt idx="60">
                  <c:v>45068</c:v>
                </c:pt>
                <c:pt idx="61">
                  <c:v>45065</c:v>
                </c:pt>
                <c:pt idx="62">
                  <c:v>45064</c:v>
                </c:pt>
                <c:pt idx="63">
                  <c:v>45063</c:v>
                </c:pt>
                <c:pt idx="64">
                  <c:v>45062</c:v>
                </c:pt>
                <c:pt idx="65">
                  <c:v>45061</c:v>
                </c:pt>
                <c:pt idx="66">
                  <c:v>45058</c:v>
                </c:pt>
                <c:pt idx="67">
                  <c:v>45057</c:v>
                </c:pt>
                <c:pt idx="68">
                  <c:v>45056</c:v>
                </c:pt>
                <c:pt idx="69">
                  <c:v>45055</c:v>
                </c:pt>
                <c:pt idx="70">
                  <c:v>45054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45044</c:v>
                </c:pt>
                <c:pt idx="75">
                  <c:v>45043</c:v>
                </c:pt>
                <c:pt idx="76">
                  <c:v>45042</c:v>
                </c:pt>
                <c:pt idx="77">
                  <c:v>45041</c:v>
                </c:pt>
                <c:pt idx="78">
                  <c:v>45040</c:v>
                </c:pt>
                <c:pt idx="79">
                  <c:v>45037</c:v>
                </c:pt>
                <c:pt idx="80">
                  <c:v>45036</c:v>
                </c:pt>
                <c:pt idx="81">
                  <c:v>45035</c:v>
                </c:pt>
                <c:pt idx="82">
                  <c:v>45034</c:v>
                </c:pt>
                <c:pt idx="83">
                  <c:v>45033</c:v>
                </c:pt>
                <c:pt idx="84">
                  <c:v>45030</c:v>
                </c:pt>
                <c:pt idx="85">
                  <c:v>45029</c:v>
                </c:pt>
                <c:pt idx="86">
                  <c:v>45028</c:v>
                </c:pt>
                <c:pt idx="87">
                  <c:v>45027</c:v>
                </c:pt>
                <c:pt idx="88">
                  <c:v>45026</c:v>
                </c:pt>
                <c:pt idx="89">
                  <c:v>45023</c:v>
                </c:pt>
                <c:pt idx="90">
                  <c:v>45022</c:v>
                </c:pt>
                <c:pt idx="91">
                  <c:v>45021</c:v>
                </c:pt>
                <c:pt idx="92">
                  <c:v>45020</c:v>
                </c:pt>
                <c:pt idx="93">
                  <c:v>45019</c:v>
                </c:pt>
                <c:pt idx="94">
                  <c:v>45016</c:v>
                </c:pt>
                <c:pt idx="95">
                  <c:v>45015</c:v>
                </c:pt>
                <c:pt idx="96">
                  <c:v>45014</c:v>
                </c:pt>
                <c:pt idx="97">
                  <c:v>45013</c:v>
                </c:pt>
                <c:pt idx="98">
                  <c:v>45012</c:v>
                </c:pt>
                <c:pt idx="99">
                  <c:v>45009</c:v>
                </c:pt>
                <c:pt idx="100">
                  <c:v>45008</c:v>
                </c:pt>
                <c:pt idx="101">
                  <c:v>45007</c:v>
                </c:pt>
                <c:pt idx="102">
                  <c:v>45006</c:v>
                </c:pt>
                <c:pt idx="103">
                  <c:v>45005</c:v>
                </c:pt>
                <c:pt idx="104">
                  <c:v>45002</c:v>
                </c:pt>
                <c:pt idx="105">
                  <c:v>45001</c:v>
                </c:pt>
                <c:pt idx="106">
                  <c:v>45000</c:v>
                </c:pt>
                <c:pt idx="107">
                  <c:v>44999</c:v>
                </c:pt>
                <c:pt idx="108">
                  <c:v>44998</c:v>
                </c:pt>
                <c:pt idx="109">
                  <c:v>44995</c:v>
                </c:pt>
                <c:pt idx="110">
                  <c:v>44994</c:v>
                </c:pt>
                <c:pt idx="111">
                  <c:v>44993</c:v>
                </c:pt>
                <c:pt idx="112">
                  <c:v>44992</c:v>
                </c:pt>
                <c:pt idx="113">
                  <c:v>44991</c:v>
                </c:pt>
                <c:pt idx="114">
                  <c:v>44988</c:v>
                </c:pt>
                <c:pt idx="115">
                  <c:v>44987</c:v>
                </c:pt>
                <c:pt idx="116">
                  <c:v>44985</c:v>
                </c:pt>
                <c:pt idx="117">
                  <c:v>44984</c:v>
                </c:pt>
                <c:pt idx="118">
                  <c:v>44981</c:v>
                </c:pt>
                <c:pt idx="119">
                  <c:v>44980</c:v>
                </c:pt>
                <c:pt idx="120">
                  <c:v>44979</c:v>
                </c:pt>
                <c:pt idx="121">
                  <c:v>44978</c:v>
                </c:pt>
                <c:pt idx="122">
                  <c:v>44977</c:v>
                </c:pt>
                <c:pt idx="123">
                  <c:v>44974</c:v>
                </c:pt>
                <c:pt idx="124">
                  <c:v>44973</c:v>
                </c:pt>
                <c:pt idx="125">
                  <c:v>44972</c:v>
                </c:pt>
                <c:pt idx="126">
                  <c:v>44971</c:v>
                </c:pt>
                <c:pt idx="127">
                  <c:v>44970</c:v>
                </c:pt>
                <c:pt idx="128">
                  <c:v>44967</c:v>
                </c:pt>
                <c:pt idx="129">
                  <c:v>44966</c:v>
                </c:pt>
                <c:pt idx="130">
                  <c:v>44965</c:v>
                </c:pt>
                <c:pt idx="131">
                  <c:v>44964</c:v>
                </c:pt>
                <c:pt idx="132">
                  <c:v>44963</c:v>
                </c:pt>
                <c:pt idx="133">
                  <c:v>44960</c:v>
                </c:pt>
                <c:pt idx="134">
                  <c:v>44959</c:v>
                </c:pt>
                <c:pt idx="135">
                  <c:v>44958</c:v>
                </c:pt>
                <c:pt idx="136">
                  <c:v>44957</c:v>
                </c:pt>
                <c:pt idx="137">
                  <c:v>44956</c:v>
                </c:pt>
                <c:pt idx="138">
                  <c:v>44953</c:v>
                </c:pt>
                <c:pt idx="139">
                  <c:v>44952</c:v>
                </c:pt>
                <c:pt idx="140">
                  <c:v>44951</c:v>
                </c:pt>
                <c:pt idx="141">
                  <c:v>44946</c:v>
                </c:pt>
                <c:pt idx="142">
                  <c:v>44945</c:v>
                </c:pt>
                <c:pt idx="143">
                  <c:v>44944</c:v>
                </c:pt>
                <c:pt idx="144">
                  <c:v>44943</c:v>
                </c:pt>
                <c:pt idx="145">
                  <c:v>44942</c:v>
                </c:pt>
                <c:pt idx="146">
                  <c:v>44939</c:v>
                </c:pt>
                <c:pt idx="147">
                  <c:v>44938</c:v>
                </c:pt>
                <c:pt idx="148">
                  <c:v>44937</c:v>
                </c:pt>
                <c:pt idx="149">
                  <c:v>44936</c:v>
                </c:pt>
                <c:pt idx="150">
                  <c:v>44935</c:v>
                </c:pt>
                <c:pt idx="151">
                  <c:v>44932</c:v>
                </c:pt>
                <c:pt idx="152">
                  <c:v>44931</c:v>
                </c:pt>
                <c:pt idx="153">
                  <c:v>44930</c:v>
                </c:pt>
                <c:pt idx="154">
                  <c:v>44929</c:v>
                </c:pt>
                <c:pt idx="155">
                  <c:v>44928</c:v>
                </c:pt>
                <c:pt idx="156">
                  <c:v>44924</c:v>
                </c:pt>
                <c:pt idx="157">
                  <c:v>44923</c:v>
                </c:pt>
                <c:pt idx="158">
                  <c:v>44922</c:v>
                </c:pt>
                <c:pt idx="159">
                  <c:v>44921</c:v>
                </c:pt>
                <c:pt idx="160">
                  <c:v>44918</c:v>
                </c:pt>
                <c:pt idx="161">
                  <c:v>44917</c:v>
                </c:pt>
                <c:pt idx="162">
                  <c:v>44916</c:v>
                </c:pt>
                <c:pt idx="163">
                  <c:v>44915</c:v>
                </c:pt>
                <c:pt idx="164">
                  <c:v>44914</c:v>
                </c:pt>
                <c:pt idx="165">
                  <c:v>44911</c:v>
                </c:pt>
                <c:pt idx="166">
                  <c:v>44910</c:v>
                </c:pt>
                <c:pt idx="167">
                  <c:v>44909</c:v>
                </c:pt>
                <c:pt idx="168">
                  <c:v>44908</c:v>
                </c:pt>
                <c:pt idx="169">
                  <c:v>44907</c:v>
                </c:pt>
                <c:pt idx="170">
                  <c:v>44904</c:v>
                </c:pt>
                <c:pt idx="171">
                  <c:v>44903</c:v>
                </c:pt>
                <c:pt idx="172">
                  <c:v>44902</c:v>
                </c:pt>
                <c:pt idx="173">
                  <c:v>44901</c:v>
                </c:pt>
                <c:pt idx="174">
                  <c:v>44900</c:v>
                </c:pt>
                <c:pt idx="175">
                  <c:v>44897</c:v>
                </c:pt>
                <c:pt idx="176">
                  <c:v>44896</c:v>
                </c:pt>
                <c:pt idx="177">
                  <c:v>44895</c:v>
                </c:pt>
                <c:pt idx="178">
                  <c:v>44894</c:v>
                </c:pt>
                <c:pt idx="179">
                  <c:v>44893</c:v>
                </c:pt>
                <c:pt idx="180">
                  <c:v>44890</c:v>
                </c:pt>
                <c:pt idx="181">
                  <c:v>44889</c:v>
                </c:pt>
                <c:pt idx="182">
                  <c:v>44888</c:v>
                </c:pt>
                <c:pt idx="183">
                  <c:v>44887</c:v>
                </c:pt>
                <c:pt idx="184">
                  <c:v>44886</c:v>
                </c:pt>
                <c:pt idx="185">
                  <c:v>44883</c:v>
                </c:pt>
                <c:pt idx="186">
                  <c:v>44882</c:v>
                </c:pt>
                <c:pt idx="187">
                  <c:v>44881</c:v>
                </c:pt>
                <c:pt idx="188">
                  <c:v>44880</c:v>
                </c:pt>
                <c:pt idx="189">
                  <c:v>44879</c:v>
                </c:pt>
                <c:pt idx="190">
                  <c:v>44876</c:v>
                </c:pt>
                <c:pt idx="191">
                  <c:v>44875</c:v>
                </c:pt>
                <c:pt idx="192">
                  <c:v>44874</c:v>
                </c:pt>
                <c:pt idx="193">
                  <c:v>44873</c:v>
                </c:pt>
                <c:pt idx="194">
                  <c:v>44872</c:v>
                </c:pt>
                <c:pt idx="195">
                  <c:v>44869</c:v>
                </c:pt>
                <c:pt idx="196">
                  <c:v>44868</c:v>
                </c:pt>
                <c:pt idx="197">
                  <c:v>44867</c:v>
                </c:pt>
                <c:pt idx="198">
                  <c:v>44866</c:v>
                </c:pt>
                <c:pt idx="199">
                  <c:v>44865</c:v>
                </c:pt>
                <c:pt idx="200">
                  <c:v>44862</c:v>
                </c:pt>
                <c:pt idx="201">
                  <c:v>44861</c:v>
                </c:pt>
                <c:pt idx="202">
                  <c:v>44860</c:v>
                </c:pt>
                <c:pt idx="203">
                  <c:v>44859</c:v>
                </c:pt>
                <c:pt idx="204">
                  <c:v>44858</c:v>
                </c:pt>
                <c:pt idx="205">
                  <c:v>44855</c:v>
                </c:pt>
                <c:pt idx="206">
                  <c:v>44854</c:v>
                </c:pt>
                <c:pt idx="207">
                  <c:v>44853</c:v>
                </c:pt>
                <c:pt idx="208">
                  <c:v>44852</c:v>
                </c:pt>
                <c:pt idx="209">
                  <c:v>44851</c:v>
                </c:pt>
                <c:pt idx="210">
                  <c:v>44848</c:v>
                </c:pt>
                <c:pt idx="211">
                  <c:v>44847</c:v>
                </c:pt>
                <c:pt idx="212">
                  <c:v>44846</c:v>
                </c:pt>
                <c:pt idx="213">
                  <c:v>44845</c:v>
                </c:pt>
                <c:pt idx="214">
                  <c:v>44841</c:v>
                </c:pt>
                <c:pt idx="215">
                  <c:v>44840</c:v>
                </c:pt>
                <c:pt idx="216">
                  <c:v>44839</c:v>
                </c:pt>
                <c:pt idx="217">
                  <c:v>44838</c:v>
                </c:pt>
                <c:pt idx="218">
                  <c:v>44834</c:v>
                </c:pt>
                <c:pt idx="219">
                  <c:v>44833</c:v>
                </c:pt>
                <c:pt idx="220">
                  <c:v>44832</c:v>
                </c:pt>
                <c:pt idx="221">
                  <c:v>44831</c:v>
                </c:pt>
                <c:pt idx="222">
                  <c:v>44830</c:v>
                </c:pt>
                <c:pt idx="223">
                  <c:v>44827</c:v>
                </c:pt>
                <c:pt idx="224">
                  <c:v>44826</c:v>
                </c:pt>
                <c:pt idx="225">
                  <c:v>44825</c:v>
                </c:pt>
                <c:pt idx="226">
                  <c:v>44824</c:v>
                </c:pt>
                <c:pt idx="227">
                  <c:v>44823</c:v>
                </c:pt>
                <c:pt idx="228">
                  <c:v>44820</c:v>
                </c:pt>
                <c:pt idx="229">
                  <c:v>44819</c:v>
                </c:pt>
                <c:pt idx="230">
                  <c:v>44818</c:v>
                </c:pt>
                <c:pt idx="231">
                  <c:v>44817</c:v>
                </c:pt>
                <c:pt idx="232">
                  <c:v>44812</c:v>
                </c:pt>
                <c:pt idx="233">
                  <c:v>44811</c:v>
                </c:pt>
                <c:pt idx="234">
                  <c:v>44810</c:v>
                </c:pt>
                <c:pt idx="235">
                  <c:v>44809</c:v>
                </c:pt>
                <c:pt idx="236">
                  <c:v>44806</c:v>
                </c:pt>
                <c:pt idx="237">
                  <c:v>44805</c:v>
                </c:pt>
                <c:pt idx="238">
                  <c:v>44804</c:v>
                </c:pt>
                <c:pt idx="239">
                  <c:v>44803</c:v>
                </c:pt>
                <c:pt idx="240">
                  <c:v>44802</c:v>
                </c:pt>
                <c:pt idx="241">
                  <c:v>44799</c:v>
                </c:pt>
                <c:pt idx="242">
                  <c:v>44798</c:v>
                </c:pt>
                <c:pt idx="243">
                  <c:v>44797</c:v>
                </c:pt>
                <c:pt idx="244">
                  <c:v>44796</c:v>
                </c:pt>
                <c:pt idx="245">
                  <c:v>44795</c:v>
                </c:pt>
                <c:pt idx="246">
                  <c:v>44792</c:v>
                </c:pt>
                <c:pt idx="247">
                  <c:v>44791</c:v>
                </c:pt>
                <c:pt idx="248">
                  <c:v>44790</c:v>
                </c:pt>
                <c:pt idx="249">
                  <c:v>44789</c:v>
                </c:pt>
                <c:pt idx="250">
                  <c:v>44785</c:v>
                </c:pt>
                <c:pt idx="251">
                  <c:v>44784</c:v>
                </c:pt>
                <c:pt idx="252">
                  <c:v>44783</c:v>
                </c:pt>
                <c:pt idx="253">
                  <c:v>44782</c:v>
                </c:pt>
                <c:pt idx="254">
                  <c:v>44781</c:v>
                </c:pt>
                <c:pt idx="255">
                  <c:v>44778</c:v>
                </c:pt>
                <c:pt idx="256">
                  <c:v>44777</c:v>
                </c:pt>
                <c:pt idx="257">
                  <c:v>44776</c:v>
                </c:pt>
                <c:pt idx="258">
                  <c:v>44775</c:v>
                </c:pt>
                <c:pt idx="259">
                  <c:v>44774</c:v>
                </c:pt>
                <c:pt idx="260">
                  <c:v>44771</c:v>
                </c:pt>
                <c:pt idx="261">
                  <c:v>44770</c:v>
                </c:pt>
                <c:pt idx="262">
                  <c:v>44769</c:v>
                </c:pt>
                <c:pt idx="263">
                  <c:v>44768</c:v>
                </c:pt>
                <c:pt idx="264">
                  <c:v>44767</c:v>
                </c:pt>
                <c:pt idx="265">
                  <c:v>44764</c:v>
                </c:pt>
                <c:pt idx="266">
                  <c:v>44763</c:v>
                </c:pt>
                <c:pt idx="267">
                  <c:v>44762</c:v>
                </c:pt>
                <c:pt idx="268">
                  <c:v>44761</c:v>
                </c:pt>
                <c:pt idx="269">
                  <c:v>44760</c:v>
                </c:pt>
                <c:pt idx="270">
                  <c:v>44757</c:v>
                </c:pt>
                <c:pt idx="271">
                  <c:v>44756</c:v>
                </c:pt>
                <c:pt idx="272">
                  <c:v>44755</c:v>
                </c:pt>
                <c:pt idx="273">
                  <c:v>44754</c:v>
                </c:pt>
                <c:pt idx="274">
                  <c:v>44753</c:v>
                </c:pt>
                <c:pt idx="275">
                  <c:v>44750</c:v>
                </c:pt>
                <c:pt idx="276">
                  <c:v>44749</c:v>
                </c:pt>
                <c:pt idx="277">
                  <c:v>44748</c:v>
                </c:pt>
                <c:pt idx="278">
                  <c:v>44747</c:v>
                </c:pt>
                <c:pt idx="279">
                  <c:v>44746</c:v>
                </c:pt>
                <c:pt idx="280">
                  <c:v>44743</c:v>
                </c:pt>
                <c:pt idx="281">
                  <c:v>44742</c:v>
                </c:pt>
                <c:pt idx="282">
                  <c:v>44741</c:v>
                </c:pt>
                <c:pt idx="283">
                  <c:v>44740</c:v>
                </c:pt>
                <c:pt idx="284">
                  <c:v>44739</c:v>
                </c:pt>
                <c:pt idx="285">
                  <c:v>44736</c:v>
                </c:pt>
                <c:pt idx="286">
                  <c:v>44735</c:v>
                </c:pt>
                <c:pt idx="287">
                  <c:v>44734</c:v>
                </c:pt>
                <c:pt idx="288">
                  <c:v>44733</c:v>
                </c:pt>
                <c:pt idx="289">
                  <c:v>44732</c:v>
                </c:pt>
                <c:pt idx="290">
                  <c:v>44729</c:v>
                </c:pt>
                <c:pt idx="291">
                  <c:v>44728</c:v>
                </c:pt>
                <c:pt idx="292">
                  <c:v>44727</c:v>
                </c:pt>
                <c:pt idx="293">
                  <c:v>44726</c:v>
                </c:pt>
                <c:pt idx="294">
                  <c:v>44725</c:v>
                </c:pt>
                <c:pt idx="295">
                  <c:v>44722</c:v>
                </c:pt>
                <c:pt idx="296">
                  <c:v>44721</c:v>
                </c:pt>
                <c:pt idx="297">
                  <c:v>44720</c:v>
                </c:pt>
                <c:pt idx="298">
                  <c:v>44719</c:v>
                </c:pt>
                <c:pt idx="299">
                  <c:v>44715</c:v>
                </c:pt>
                <c:pt idx="300">
                  <c:v>44714</c:v>
                </c:pt>
                <c:pt idx="301">
                  <c:v>44712</c:v>
                </c:pt>
                <c:pt idx="302">
                  <c:v>44711</c:v>
                </c:pt>
                <c:pt idx="303">
                  <c:v>44708</c:v>
                </c:pt>
                <c:pt idx="304">
                  <c:v>44707</c:v>
                </c:pt>
                <c:pt idx="305">
                  <c:v>44706</c:v>
                </c:pt>
                <c:pt idx="306">
                  <c:v>44705</c:v>
                </c:pt>
                <c:pt idx="307">
                  <c:v>44704</c:v>
                </c:pt>
                <c:pt idx="308">
                  <c:v>44701</c:v>
                </c:pt>
                <c:pt idx="309">
                  <c:v>44700</c:v>
                </c:pt>
                <c:pt idx="310">
                  <c:v>44699</c:v>
                </c:pt>
                <c:pt idx="311">
                  <c:v>44698</c:v>
                </c:pt>
                <c:pt idx="312">
                  <c:v>44697</c:v>
                </c:pt>
                <c:pt idx="313">
                  <c:v>44694</c:v>
                </c:pt>
                <c:pt idx="314">
                  <c:v>44693</c:v>
                </c:pt>
                <c:pt idx="315">
                  <c:v>44692</c:v>
                </c:pt>
                <c:pt idx="316">
                  <c:v>44691</c:v>
                </c:pt>
                <c:pt idx="317">
                  <c:v>44690</c:v>
                </c:pt>
                <c:pt idx="318">
                  <c:v>44687</c:v>
                </c:pt>
                <c:pt idx="319">
                  <c:v>44685</c:v>
                </c:pt>
                <c:pt idx="320">
                  <c:v>44684</c:v>
                </c:pt>
                <c:pt idx="321">
                  <c:v>44683</c:v>
                </c:pt>
                <c:pt idx="322">
                  <c:v>44680</c:v>
                </c:pt>
                <c:pt idx="323">
                  <c:v>44679</c:v>
                </c:pt>
                <c:pt idx="324">
                  <c:v>44678</c:v>
                </c:pt>
                <c:pt idx="325">
                  <c:v>44677</c:v>
                </c:pt>
                <c:pt idx="326">
                  <c:v>44676</c:v>
                </c:pt>
                <c:pt idx="327">
                  <c:v>44673</c:v>
                </c:pt>
                <c:pt idx="328">
                  <c:v>44672</c:v>
                </c:pt>
                <c:pt idx="329">
                  <c:v>44671</c:v>
                </c:pt>
                <c:pt idx="330">
                  <c:v>44670</c:v>
                </c:pt>
                <c:pt idx="331">
                  <c:v>44669</c:v>
                </c:pt>
                <c:pt idx="332">
                  <c:v>44666</c:v>
                </c:pt>
                <c:pt idx="333">
                  <c:v>44665</c:v>
                </c:pt>
                <c:pt idx="334">
                  <c:v>44664</c:v>
                </c:pt>
                <c:pt idx="335">
                  <c:v>44663</c:v>
                </c:pt>
                <c:pt idx="336">
                  <c:v>44662</c:v>
                </c:pt>
                <c:pt idx="337">
                  <c:v>44659</c:v>
                </c:pt>
                <c:pt idx="338">
                  <c:v>44658</c:v>
                </c:pt>
                <c:pt idx="339">
                  <c:v>44657</c:v>
                </c:pt>
                <c:pt idx="340">
                  <c:v>44656</c:v>
                </c:pt>
                <c:pt idx="341">
                  <c:v>44655</c:v>
                </c:pt>
                <c:pt idx="342">
                  <c:v>44652</c:v>
                </c:pt>
                <c:pt idx="343">
                  <c:v>44651</c:v>
                </c:pt>
                <c:pt idx="344">
                  <c:v>44650</c:v>
                </c:pt>
                <c:pt idx="345">
                  <c:v>44649</c:v>
                </c:pt>
                <c:pt idx="346">
                  <c:v>44648</c:v>
                </c:pt>
                <c:pt idx="347">
                  <c:v>44645</c:v>
                </c:pt>
                <c:pt idx="348">
                  <c:v>44644</c:v>
                </c:pt>
                <c:pt idx="349">
                  <c:v>44643</c:v>
                </c:pt>
                <c:pt idx="350">
                  <c:v>44642</c:v>
                </c:pt>
                <c:pt idx="351">
                  <c:v>44641</c:v>
                </c:pt>
                <c:pt idx="352">
                  <c:v>44638</c:v>
                </c:pt>
                <c:pt idx="353">
                  <c:v>44637</c:v>
                </c:pt>
                <c:pt idx="354">
                  <c:v>44636</c:v>
                </c:pt>
                <c:pt idx="355">
                  <c:v>44635</c:v>
                </c:pt>
                <c:pt idx="356">
                  <c:v>44634</c:v>
                </c:pt>
                <c:pt idx="357">
                  <c:v>44631</c:v>
                </c:pt>
                <c:pt idx="358">
                  <c:v>44630</c:v>
                </c:pt>
                <c:pt idx="359">
                  <c:v>44628</c:v>
                </c:pt>
                <c:pt idx="360">
                  <c:v>44627</c:v>
                </c:pt>
                <c:pt idx="361">
                  <c:v>44624</c:v>
                </c:pt>
                <c:pt idx="362">
                  <c:v>44623</c:v>
                </c:pt>
                <c:pt idx="363">
                  <c:v>44622</c:v>
                </c:pt>
                <c:pt idx="364">
                  <c:v>44620</c:v>
                </c:pt>
                <c:pt idx="365">
                  <c:v>44617</c:v>
                </c:pt>
                <c:pt idx="366">
                  <c:v>44616</c:v>
                </c:pt>
                <c:pt idx="367">
                  <c:v>44615</c:v>
                </c:pt>
                <c:pt idx="368">
                  <c:v>44614</c:v>
                </c:pt>
                <c:pt idx="369">
                  <c:v>44613</c:v>
                </c:pt>
                <c:pt idx="370">
                  <c:v>44610</c:v>
                </c:pt>
                <c:pt idx="371">
                  <c:v>44609</c:v>
                </c:pt>
                <c:pt idx="372">
                  <c:v>44608</c:v>
                </c:pt>
                <c:pt idx="373">
                  <c:v>44607</c:v>
                </c:pt>
                <c:pt idx="374">
                  <c:v>44606</c:v>
                </c:pt>
                <c:pt idx="375">
                  <c:v>44603</c:v>
                </c:pt>
                <c:pt idx="376">
                  <c:v>44602</c:v>
                </c:pt>
                <c:pt idx="377">
                  <c:v>44601</c:v>
                </c:pt>
                <c:pt idx="378">
                  <c:v>44600</c:v>
                </c:pt>
                <c:pt idx="379">
                  <c:v>44599</c:v>
                </c:pt>
                <c:pt idx="380">
                  <c:v>44596</c:v>
                </c:pt>
                <c:pt idx="381">
                  <c:v>44595</c:v>
                </c:pt>
                <c:pt idx="382">
                  <c:v>44589</c:v>
                </c:pt>
                <c:pt idx="383">
                  <c:v>44588</c:v>
                </c:pt>
                <c:pt idx="384">
                  <c:v>44587</c:v>
                </c:pt>
                <c:pt idx="385">
                  <c:v>44586</c:v>
                </c:pt>
                <c:pt idx="386">
                  <c:v>44585</c:v>
                </c:pt>
                <c:pt idx="387">
                  <c:v>44582</c:v>
                </c:pt>
                <c:pt idx="388">
                  <c:v>44581</c:v>
                </c:pt>
                <c:pt idx="389">
                  <c:v>44580</c:v>
                </c:pt>
                <c:pt idx="390">
                  <c:v>44579</c:v>
                </c:pt>
                <c:pt idx="391">
                  <c:v>44578</c:v>
                </c:pt>
                <c:pt idx="392">
                  <c:v>44575</c:v>
                </c:pt>
                <c:pt idx="393">
                  <c:v>44574</c:v>
                </c:pt>
                <c:pt idx="394">
                  <c:v>44573</c:v>
                </c:pt>
                <c:pt idx="395">
                  <c:v>44572</c:v>
                </c:pt>
                <c:pt idx="396">
                  <c:v>44571</c:v>
                </c:pt>
                <c:pt idx="397">
                  <c:v>44568</c:v>
                </c:pt>
                <c:pt idx="398">
                  <c:v>44567</c:v>
                </c:pt>
                <c:pt idx="399">
                  <c:v>44566</c:v>
                </c:pt>
                <c:pt idx="400">
                  <c:v>44565</c:v>
                </c:pt>
                <c:pt idx="401">
                  <c:v>44564</c:v>
                </c:pt>
                <c:pt idx="402">
                  <c:v>44560</c:v>
                </c:pt>
                <c:pt idx="403">
                  <c:v>44559</c:v>
                </c:pt>
                <c:pt idx="404">
                  <c:v>44558</c:v>
                </c:pt>
                <c:pt idx="405">
                  <c:v>44557</c:v>
                </c:pt>
                <c:pt idx="406">
                  <c:v>44554</c:v>
                </c:pt>
                <c:pt idx="407">
                  <c:v>44553</c:v>
                </c:pt>
                <c:pt idx="408">
                  <c:v>44552</c:v>
                </c:pt>
                <c:pt idx="409">
                  <c:v>44551</c:v>
                </c:pt>
                <c:pt idx="410">
                  <c:v>44550</c:v>
                </c:pt>
                <c:pt idx="411">
                  <c:v>44547</c:v>
                </c:pt>
                <c:pt idx="412">
                  <c:v>44546</c:v>
                </c:pt>
                <c:pt idx="413">
                  <c:v>44545</c:v>
                </c:pt>
                <c:pt idx="414">
                  <c:v>44544</c:v>
                </c:pt>
                <c:pt idx="415">
                  <c:v>44543</c:v>
                </c:pt>
                <c:pt idx="416">
                  <c:v>44540</c:v>
                </c:pt>
                <c:pt idx="417">
                  <c:v>44539</c:v>
                </c:pt>
                <c:pt idx="418">
                  <c:v>44538</c:v>
                </c:pt>
                <c:pt idx="419">
                  <c:v>44537</c:v>
                </c:pt>
                <c:pt idx="420">
                  <c:v>44536</c:v>
                </c:pt>
                <c:pt idx="421">
                  <c:v>44533</c:v>
                </c:pt>
                <c:pt idx="422">
                  <c:v>44532</c:v>
                </c:pt>
                <c:pt idx="423">
                  <c:v>44531</c:v>
                </c:pt>
                <c:pt idx="424">
                  <c:v>44530</c:v>
                </c:pt>
                <c:pt idx="425">
                  <c:v>44529</c:v>
                </c:pt>
                <c:pt idx="426">
                  <c:v>44526</c:v>
                </c:pt>
                <c:pt idx="427">
                  <c:v>44525</c:v>
                </c:pt>
                <c:pt idx="428">
                  <c:v>44524</c:v>
                </c:pt>
                <c:pt idx="429">
                  <c:v>44523</c:v>
                </c:pt>
                <c:pt idx="430">
                  <c:v>44522</c:v>
                </c:pt>
                <c:pt idx="431">
                  <c:v>44519</c:v>
                </c:pt>
                <c:pt idx="432">
                  <c:v>44518</c:v>
                </c:pt>
                <c:pt idx="433">
                  <c:v>44517</c:v>
                </c:pt>
                <c:pt idx="434">
                  <c:v>44516</c:v>
                </c:pt>
                <c:pt idx="435">
                  <c:v>44515</c:v>
                </c:pt>
                <c:pt idx="436">
                  <c:v>44512</c:v>
                </c:pt>
                <c:pt idx="437">
                  <c:v>44511</c:v>
                </c:pt>
                <c:pt idx="438">
                  <c:v>44510</c:v>
                </c:pt>
                <c:pt idx="439">
                  <c:v>44509</c:v>
                </c:pt>
                <c:pt idx="440">
                  <c:v>44508</c:v>
                </c:pt>
                <c:pt idx="441">
                  <c:v>44505</c:v>
                </c:pt>
                <c:pt idx="442">
                  <c:v>44504</c:v>
                </c:pt>
                <c:pt idx="443">
                  <c:v>44503</c:v>
                </c:pt>
                <c:pt idx="444">
                  <c:v>44502</c:v>
                </c:pt>
                <c:pt idx="445">
                  <c:v>44501</c:v>
                </c:pt>
                <c:pt idx="446">
                  <c:v>44498</c:v>
                </c:pt>
                <c:pt idx="447">
                  <c:v>44497</c:v>
                </c:pt>
                <c:pt idx="448">
                  <c:v>44496</c:v>
                </c:pt>
                <c:pt idx="449">
                  <c:v>44495</c:v>
                </c:pt>
                <c:pt idx="450">
                  <c:v>44494</c:v>
                </c:pt>
                <c:pt idx="451">
                  <c:v>44491</c:v>
                </c:pt>
                <c:pt idx="452">
                  <c:v>44490</c:v>
                </c:pt>
                <c:pt idx="453">
                  <c:v>44489</c:v>
                </c:pt>
                <c:pt idx="454">
                  <c:v>44488</c:v>
                </c:pt>
                <c:pt idx="455">
                  <c:v>44487</c:v>
                </c:pt>
                <c:pt idx="456">
                  <c:v>44484</c:v>
                </c:pt>
                <c:pt idx="457">
                  <c:v>44483</c:v>
                </c:pt>
                <c:pt idx="458">
                  <c:v>44482</c:v>
                </c:pt>
                <c:pt idx="459">
                  <c:v>44481</c:v>
                </c:pt>
                <c:pt idx="460">
                  <c:v>44477</c:v>
                </c:pt>
                <c:pt idx="461">
                  <c:v>44476</c:v>
                </c:pt>
                <c:pt idx="462">
                  <c:v>44475</c:v>
                </c:pt>
                <c:pt idx="463">
                  <c:v>44474</c:v>
                </c:pt>
                <c:pt idx="464">
                  <c:v>44470</c:v>
                </c:pt>
                <c:pt idx="465">
                  <c:v>44469</c:v>
                </c:pt>
                <c:pt idx="466">
                  <c:v>44468</c:v>
                </c:pt>
                <c:pt idx="467">
                  <c:v>44467</c:v>
                </c:pt>
                <c:pt idx="468">
                  <c:v>44466</c:v>
                </c:pt>
                <c:pt idx="469">
                  <c:v>44463</c:v>
                </c:pt>
                <c:pt idx="470">
                  <c:v>44462</c:v>
                </c:pt>
                <c:pt idx="471">
                  <c:v>44456</c:v>
                </c:pt>
                <c:pt idx="472">
                  <c:v>44455</c:v>
                </c:pt>
                <c:pt idx="473">
                  <c:v>44454</c:v>
                </c:pt>
                <c:pt idx="474">
                  <c:v>44453</c:v>
                </c:pt>
                <c:pt idx="475">
                  <c:v>44452</c:v>
                </c:pt>
                <c:pt idx="476">
                  <c:v>44449</c:v>
                </c:pt>
                <c:pt idx="477">
                  <c:v>44448</c:v>
                </c:pt>
                <c:pt idx="478">
                  <c:v>44447</c:v>
                </c:pt>
                <c:pt idx="479">
                  <c:v>44446</c:v>
                </c:pt>
                <c:pt idx="480">
                  <c:v>44445</c:v>
                </c:pt>
                <c:pt idx="481">
                  <c:v>44442</c:v>
                </c:pt>
                <c:pt idx="482">
                  <c:v>44441</c:v>
                </c:pt>
                <c:pt idx="483">
                  <c:v>44440</c:v>
                </c:pt>
                <c:pt idx="484">
                  <c:v>44439</c:v>
                </c:pt>
                <c:pt idx="485">
                  <c:v>44438</c:v>
                </c:pt>
                <c:pt idx="486">
                  <c:v>44435</c:v>
                </c:pt>
                <c:pt idx="487">
                  <c:v>44434</c:v>
                </c:pt>
                <c:pt idx="488">
                  <c:v>44433</c:v>
                </c:pt>
                <c:pt idx="489">
                  <c:v>44432</c:v>
                </c:pt>
                <c:pt idx="490">
                  <c:v>44431</c:v>
                </c:pt>
                <c:pt idx="491">
                  <c:v>44428</c:v>
                </c:pt>
                <c:pt idx="492">
                  <c:v>44427</c:v>
                </c:pt>
                <c:pt idx="493">
                  <c:v>44426</c:v>
                </c:pt>
                <c:pt idx="494">
                  <c:v>44425</c:v>
                </c:pt>
                <c:pt idx="495">
                  <c:v>44421</c:v>
                </c:pt>
                <c:pt idx="496">
                  <c:v>44420</c:v>
                </c:pt>
                <c:pt idx="497">
                  <c:v>44419</c:v>
                </c:pt>
                <c:pt idx="498">
                  <c:v>44418</c:v>
                </c:pt>
              </c:numCache>
            </c:numRef>
          </c:cat>
          <c:val>
            <c:numRef>
              <c:f>국내시장주요지표!$AP$68:$AP$566</c:f>
              <c:numCache>
                <c:formatCode>General</c:formatCode>
                <c:ptCount val="499"/>
                <c:pt idx="0">
                  <c:v>3.7879999999999998</c:v>
                </c:pt>
                <c:pt idx="1">
                  <c:v>3.7120000000000002</c:v>
                </c:pt>
                <c:pt idx="2">
                  <c:v>3.7469999999999999</c:v>
                </c:pt>
                <c:pt idx="3">
                  <c:v>3.698</c:v>
                </c:pt>
                <c:pt idx="4">
                  <c:v>3.6869999999999998</c:v>
                </c:pt>
                <c:pt idx="5">
                  <c:v>3.6720000000000002</c:v>
                </c:pt>
                <c:pt idx="6">
                  <c:v>3.6469999999999998</c:v>
                </c:pt>
                <c:pt idx="7">
                  <c:v>3.6890000000000001</c:v>
                </c:pt>
                <c:pt idx="8">
                  <c:v>3.738</c:v>
                </c:pt>
                <c:pt idx="9">
                  <c:v>3.714</c:v>
                </c:pt>
                <c:pt idx="10">
                  <c:v>3.677</c:v>
                </c:pt>
                <c:pt idx="11">
                  <c:v>3.6469999999999998</c:v>
                </c:pt>
                <c:pt idx="12">
                  <c:v>3.681</c:v>
                </c:pt>
                <c:pt idx="13">
                  <c:v>3.6349999999999998</c:v>
                </c:pt>
                <c:pt idx="14">
                  <c:v>3.5870000000000002</c:v>
                </c:pt>
                <c:pt idx="15">
                  <c:v>3.6269999999999998</c:v>
                </c:pt>
                <c:pt idx="16">
                  <c:v>3.645</c:v>
                </c:pt>
                <c:pt idx="17">
                  <c:v>3.617</c:v>
                </c:pt>
                <c:pt idx="18">
                  <c:v>3.6019999999999999</c:v>
                </c:pt>
                <c:pt idx="19">
                  <c:v>3.581</c:v>
                </c:pt>
                <c:pt idx="20">
                  <c:v>3.5430000000000001</c:v>
                </c:pt>
                <c:pt idx="21">
                  <c:v>3.5960000000000001</c:v>
                </c:pt>
                <c:pt idx="22">
                  <c:v>3.6110000000000002</c:v>
                </c:pt>
                <c:pt idx="23">
                  <c:v>3.6139999999999999</c:v>
                </c:pt>
                <c:pt idx="24">
                  <c:v>3.6019999999999999</c:v>
                </c:pt>
                <c:pt idx="25">
                  <c:v>3.7040000000000002</c:v>
                </c:pt>
                <c:pt idx="26">
                  <c:v>3.7029999999999998</c:v>
                </c:pt>
                <c:pt idx="27">
                  <c:v>3.7949999999999999</c:v>
                </c:pt>
                <c:pt idx="28">
                  <c:v>3.7349999999999999</c:v>
                </c:pt>
                <c:pt idx="29">
                  <c:v>3.6760000000000002</c:v>
                </c:pt>
                <c:pt idx="30">
                  <c:v>3.6179999999999999</c:v>
                </c:pt>
                <c:pt idx="31">
                  <c:v>3.6190000000000002</c:v>
                </c:pt>
                <c:pt idx="32">
                  <c:v>3.613</c:v>
                </c:pt>
                <c:pt idx="33">
                  <c:v>3.6619999999999999</c:v>
                </c:pt>
                <c:pt idx="34">
                  <c:v>3.5840000000000001</c:v>
                </c:pt>
                <c:pt idx="35">
                  <c:v>3.5569999999999999</c:v>
                </c:pt>
                <c:pt idx="36">
                  <c:v>3.5379999999999998</c:v>
                </c:pt>
                <c:pt idx="37">
                  <c:v>3.5680000000000001</c:v>
                </c:pt>
                <c:pt idx="38">
                  <c:v>3.609</c:v>
                </c:pt>
                <c:pt idx="39">
                  <c:v>3.5920000000000001</c:v>
                </c:pt>
                <c:pt idx="40">
                  <c:v>3.5710000000000002</c:v>
                </c:pt>
                <c:pt idx="41">
                  <c:v>3.5670000000000002</c:v>
                </c:pt>
                <c:pt idx="42">
                  <c:v>3.5830000000000002</c:v>
                </c:pt>
                <c:pt idx="43">
                  <c:v>3.585</c:v>
                </c:pt>
                <c:pt idx="44">
                  <c:v>3.6259999999999999</c:v>
                </c:pt>
                <c:pt idx="45">
                  <c:v>3.5449999999999999</c:v>
                </c:pt>
                <c:pt idx="46">
                  <c:v>3.484</c:v>
                </c:pt>
                <c:pt idx="47">
                  <c:v>3.4929999999999999</c:v>
                </c:pt>
                <c:pt idx="48">
                  <c:v>3.5059999999999998</c:v>
                </c:pt>
                <c:pt idx="49">
                  <c:v>3.5430000000000001</c:v>
                </c:pt>
                <c:pt idx="50">
                  <c:v>3.4710000000000001</c:v>
                </c:pt>
                <c:pt idx="51">
                  <c:v>3.5019999999999998</c:v>
                </c:pt>
                <c:pt idx="52">
                  <c:v>3.4359999999999999</c:v>
                </c:pt>
                <c:pt idx="53">
                  <c:v>3.4780000000000002</c:v>
                </c:pt>
                <c:pt idx="54">
                  <c:v>3.4590000000000001</c:v>
                </c:pt>
                <c:pt idx="55">
                  <c:v>3.56</c:v>
                </c:pt>
                <c:pt idx="56">
                  <c:v>3.524</c:v>
                </c:pt>
                <c:pt idx="57">
                  <c:v>3.48</c:v>
                </c:pt>
                <c:pt idx="58">
                  <c:v>3.3780000000000001</c:v>
                </c:pt>
                <c:pt idx="59">
                  <c:v>3.3730000000000002</c:v>
                </c:pt>
                <c:pt idx="60">
                  <c:v>3.3210000000000002</c:v>
                </c:pt>
                <c:pt idx="61">
                  <c:v>3.34</c:v>
                </c:pt>
                <c:pt idx="62">
                  <c:v>3.3159999999999998</c:v>
                </c:pt>
                <c:pt idx="63">
                  <c:v>3.274</c:v>
                </c:pt>
                <c:pt idx="64">
                  <c:v>3.242</c:v>
                </c:pt>
                <c:pt idx="65">
                  <c:v>3.2789999999999999</c:v>
                </c:pt>
                <c:pt idx="66">
                  <c:v>3.2250000000000001</c:v>
                </c:pt>
                <c:pt idx="67">
                  <c:v>3.22</c:v>
                </c:pt>
                <c:pt idx="68">
                  <c:v>3.2730000000000001</c:v>
                </c:pt>
                <c:pt idx="69">
                  <c:v>3.2559999999999998</c:v>
                </c:pt>
                <c:pt idx="70">
                  <c:v>3.2610000000000001</c:v>
                </c:pt>
                <c:pt idx="71">
                  <c:v>3.21</c:v>
                </c:pt>
                <c:pt idx="72">
                  <c:v>3.2810000000000001</c:v>
                </c:pt>
                <c:pt idx="73">
                  <c:v>3.335</c:v>
                </c:pt>
                <c:pt idx="74">
                  <c:v>3.2930000000000001</c:v>
                </c:pt>
                <c:pt idx="75">
                  <c:v>3.2879999999999998</c:v>
                </c:pt>
                <c:pt idx="76">
                  <c:v>3.2589999999999999</c:v>
                </c:pt>
                <c:pt idx="77">
                  <c:v>3.2650000000000001</c:v>
                </c:pt>
                <c:pt idx="78">
                  <c:v>3.23</c:v>
                </c:pt>
                <c:pt idx="79">
                  <c:v>3.2669999999999999</c:v>
                </c:pt>
                <c:pt idx="80">
                  <c:v>3.3340000000000001</c:v>
                </c:pt>
                <c:pt idx="81">
                  <c:v>3.3370000000000002</c:v>
                </c:pt>
                <c:pt idx="82">
                  <c:v>3.294</c:v>
                </c:pt>
                <c:pt idx="83">
                  <c:v>3.2869999999999999</c:v>
                </c:pt>
                <c:pt idx="84">
                  <c:v>3.2149999999999999</c:v>
                </c:pt>
                <c:pt idx="85">
                  <c:v>3.1989999999999998</c:v>
                </c:pt>
                <c:pt idx="86">
                  <c:v>3.2330000000000001</c:v>
                </c:pt>
                <c:pt idx="87">
                  <c:v>3.2309999999999999</c:v>
                </c:pt>
                <c:pt idx="88">
                  <c:v>3.1920000000000002</c:v>
                </c:pt>
                <c:pt idx="89">
                  <c:v>3.24</c:v>
                </c:pt>
                <c:pt idx="90">
                  <c:v>3.2109999999999999</c:v>
                </c:pt>
                <c:pt idx="91">
                  <c:v>3.2639999999999998</c:v>
                </c:pt>
                <c:pt idx="92">
                  <c:v>3.2789999999999999</c:v>
                </c:pt>
                <c:pt idx="93">
                  <c:v>3.3420000000000001</c:v>
                </c:pt>
                <c:pt idx="94">
                  <c:v>3.27</c:v>
                </c:pt>
                <c:pt idx="95">
                  <c:v>3.24</c:v>
                </c:pt>
                <c:pt idx="96">
                  <c:v>3.2490000000000001</c:v>
                </c:pt>
                <c:pt idx="97">
                  <c:v>3.258</c:v>
                </c:pt>
                <c:pt idx="98">
                  <c:v>3.22</c:v>
                </c:pt>
                <c:pt idx="99">
                  <c:v>3.16</c:v>
                </c:pt>
                <c:pt idx="100">
                  <c:v>3.206</c:v>
                </c:pt>
                <c:pt idx="101">
                  <c:v>3.2839999999999998</c:v>
                </c:pt>
                <c:pt idx="102">
                  <c:v>3.294</c:v>
                </c:pt>
                <c:pt idx="103">
                  <c:v>3.2639999999999998</c:v>
                </c:pt>
                <c:pt idx="104">
                  <c:v>3.415</c:v>
                </c:pt>
                <c:pt idx="105">
                  <c:v>3.4</c:v>
                </c:pt>
                <c:pt idx="106">
                  <c:v>3.4729999999999999</c:v>
                </c:pt>
                <c:pt idx="107">
                  <c:v>3.3809999999999998</c:v>
                </c:pt>
                <c:pt idx="108">
                  <c:v>3.4350000000000001</c:v>
                </c:pt>
                <c:pt idx="109">
                  <c:v>3.7029999999999998</c:v>
                </c:pt>
                <c:pt idx="110">
                  <c:v>3.8580000000000001</c:v>
                </c:pt>
                <c:pt idx="111">
                  <c:v>3.855</c:v>
                </c:pt>
                <c:pt idx="112">
                  <c:v>3.726</c:v>
                </c:pt>
                <c:pt idx="113">
                  <c:v>3.774</c:v>
                </c:pt>
                <c:pt idx="114">
                  <c:v>3.7909999999999999</c:v>
                </c:pt>
                <c:pt idx="115">
                  <c:v>3.8780000000000001</c:v>
                </c:pt>
                <c:pt idx="116">
                  <c:v>3.7970000000000002</c:v>
                </c:pt>
                <c:pt idx="117">
                  <c:v>3.6829999999999998</c:v>
                </c:pt>
                <c:pt idx="118">
                  <c:v>3.5550000000000002</c:v>
                </c:pt>
                <c:pt idx="119">
                  <c:v>3.5990000000000002</c:v>
                </c:pt>
                <c:pt idx="120">
                  <c:v>3.645</c:v>
                </c:pt>
                <c:pt idx="121">
                  <c:v>3.6230000000000002</c:v>
                </c:pt>
                <c:pt idx="122">
                  <c:v>3.677</c:v>
                </c:pt>
                <c:pt idx="123">
                  <c:v>3.6389999999999998</c:v>
                </c:pt>
                <c:pt idx="124">
                  <c:v>3.504</c:v>
                </c:pt>
                <c:pt idx="125">
                  <c:v>3.5019999999999998</c:v>
                </c:pt>
                <c:pt idx="126">
                  <c:v>3.4289999999999998</c:v>
                </c:pt>
                <c:pt idx="127">
                  <c:v>3.452</c:v>
                </c:pt>
                <c:pt idx="128">
                  <c:v>3.3980000000000001</c:v>
                </c:pt>
                <c:pt idx="129">
                  <c:v>3.4009999999999998</c:v>
                </c:pt>
                <c:pt idx="130">
                  <c:v>3.339</c:v>
                </c:pt>
                <c:pt idx="131">
                  <c:v>3.3149999999999999</c:v>
                </c:pt>
                <c:pt idx="132">
                  <c:v>3.2829999999999999</c:v>
                </c:pt>
                <c:pt idx="133">
                  <c:v>3.11</c:v>
                </c:pt>
                <c:pt idx="134">
                  <c:v>3.1829999999999998</c:v>
                </c:pt>
                <c:pt idx="135">
                  <c:v>3.2629999999999999</c:v>
                </c:pt>
                <c:pt idx="136">
                  <c:v>3.3250000000000002</c:v>
                </c:pt>
                <c:pt idx="137">
                  <c:v>3.2709999999999999</c:v>
                </c:pt>
                <c:pt idx="138">
                  <c:v>3.3039999999999998</c:v>
                </c:pt>
                <c:pt idx="139">
                  <c:v>3.2730000000000001</c:v>
                </c:pt>
                <c:pt idx="140">
                  <c:v>3.2850000000000001</c:v>
                </c:pt>
                <c:pt idx="141">
                  <c:v>3.33</c:v>
                </c:pt>
                <c:pt idx="142">
                  <c:v>3.2480000000000002</c:v>
                </c:pt>
                <c:pt idx="143">
                  <c:v>3.39</c:v>
                </c:pt>
                <c:pt idx="144">
                  <c:v>3.484</c:v>
                </c:pt>
                <c:pt idx="145">
                  <c:v>3.4540000000000002</c:v>
                </c:pt>
                <c:pt idx="146">
                  <c:v>3.3690000000000002</c:v>
                </c:pt>
                <c:pt idx="147">
                  <c:v>3.4660000000000002</c:v>
                </c:pt>
                <c:pt idx="148">
                  <c:v>3.472</c:v>
                </c:pt>
                <c:pt idx="149">
                  <c:v>3.556</c:v>
                </c:pt>
                <c:pt idx="150">
                  <c:v>3.577</c:v>
                </c:pt>
                <c:pt idx="151">
                  <c:v>3.681</c:v>
                </c:pt>
                <c:pt idx="152">
                  <c:v>3.6440000000000001</c:v>
                </c:pt>
                <c:pt idx="153">
                  <c:v>3.6320000000000001</c:v>
                </c:pt>
                <c:pt idx="154">
                  <c:v>3.661</c:v>
                </c:pt>
                <c:pt idx="155">
                  <c:v>3.782</c:v>
                </c:pt>
                <c:pt idx="156">
                  <c:v>3.7189999999999999</c:v>
                </c:pt>
                <c:pt idx="157">
                  <c:v>3.6680000000000001</c:v>
                </c:pt>
                <c:pt idx="158">
                  <c:v>3.6619999999999999</c:v>
                </c:pt>
                <c:pt idx="159">
                  <c:v>3.6629999999999998</c:v>
                </c:pt>
                <c:pt idx="160">
                  <c:v>3.6230000000000002</c:v>
                </c:pt>
                <c:pt idx="161">
                  <c:v>3.5670000000000002</c:v>
                </c:pt>
                <c:pt idx="162">
                  <c:v>3.6379999999999999</c:v>
                </c:pt>
                <c:pt idx="163">
                  <c:v>3.6850000000000001</c:v>
                </c:pt>
                <c:pt idx="164">
                  <c:v>3.5449999999999999</c:v>
                </c:pt>
                <c:pt idx="165">
                  <c:v>3.5390000000000001</c:v>
                </c:pt>
                <c:pt idx="166">
                  <c:v>3.536</c:v>
                </c:pt>
                <c:pt idx="167">
                  <c:v>3.53</c:v>
                </c:pt>
                <c:pt idx="168">
                  <c:v>3.6230000000000002</c:v>
                </c:pt>
                <c:pt idx="169">
                  <c:v>3.6230000000000002</c:v>
                </c:pt>
                <c:pt idx="170">
                  <c:v>3.657</c:v>
                </c:pt>
                <c:pt idx="171">
                  <c:v>3.6760000000000002</c:v>
                </c:pt>
                <c:pt idx="172">
                  <c:v>3.6720000000000002</c:v>
                </c:pt>
                <c:pt idx="173">
                  <c:v>3.633</c:v>
                </c:pt>
                <c:pt idx="174">
                  <c:v>3.609</c:v>
                </c:pt>
                <c:pt idx="175">
                  <c:v>3.6160000000000001</c:v>
                </c:pt>
                <c:pt idx="176">
                  <c:v>3.65</c:v>
                </c:pt>
                <c:pt idx="177">
                  <c:v>3.6890000000000001</c:v>
                </c:pt>
                <c:pt idx="178">
                  <c:v>3.7229999999999999</c:v>
                </c:pt>
                <c:pt idx="179">
                  <c:v>3.669</c:v>
                </c:pt>
                <c:pt idx="180">
                  <c:v>3.6440000000000001</c:v>
                </c:pt>
                <c:pt idx="181">
                  <c:v>3.6890000000000001</c:v>
                </c:pt>
                <c:pt idx="182">
                  <c:v>3.8490000000000002</c:v>
                </c:pt>
                <c:pt idx="183">
                  <c:v>3.8439999999999999</c:v>
                </c:pt>
                <c:pt idx="184">
                  <c:v>3.8370000000000002</c:v>
                </c:pt>
                <c:pt idx="185">
                  <c:v>3.7869999999999999</c:v>
                </c:pt>
                <c:pt idx="186">
                  <c:v>3.8039999999999998</c:v>
                </c:pt>
                <c:pt idx="187">
                  <c:v>3.8079999999999998</c:v>
                </c:pt>
                <c:pt idx="188">
                  <c:v>3.7530000000000001</c:v>
                </c:pt>
                <c:pt idx="189">
                  <c:v>3.85</c:v>
                </c:pt>
                <c:pt idx="190">
                  <c:v>3.8340000000000001</c:v>
                </c:pt>
                <c:pt idx="191">
                  <c:v>4.0330000000000004</c:v>
                </c:pt>
                <c:pt idx="192">
                  <c:v>4.0860000000000003</c:v>
                </c:pt>
                <c:pt idx="193">
                  <c:v>4.1559999999999997</c:v>
                </c:pt>
                <c:pt idx="194">
                  <c:v>4.1859999999999999</c:v>
                </c:pt>
                <c:pt idx="195">
                  <c:v>4.1180000000000003</c:v>
                </c:pt>
                <c:pt idx="196">
                  <c:v>4.1580000000000004</c:v>
                </c:pt>
                <c:pt idx="197">
                  <c:v>4.0949999999999998</c:v>
                </c:pt>
                <c:pt idx="198">
                  <c:v>4.0679999999999996</c:v>
                </c:pt>
                <c:pt idx="199">
                  <c:v>4.1849999999999996</c:v>
                </c:pt>
                <c:pt idx="200">
                  <c:v>4.1120000000000001</c:v>
                </c:pt>
                <c:pt idx="201">
                  <c:v>4.2539999999999996</c:v>
                </c:pt>
                <c:pt idx="202">
                  <c:v>4.2080000000000002</c:v>
                </c:pt>
                <c:pt idx="203">
                  <c:v>4.2210000000000001</c:v>
                </c:pt>
                <c:pt idx="204">
                  <c:v>4.3049999999999997</c:v>
                </c:pt>
                <c:pt idx="205">
                  <c:v>4.4950000000000001</c:v>
                </c:pt>
                <c:pt idx="206">
                  <c:v>4.3499999999999996</c:v>
                </c:pt>
                <c:pt idx="207">
                  <c:v>4.3310000000000004</c:v>
                </c:pt>
                <c:pt idx="208">
                  <c:v>4.242</c:v>
                </c:pt>
                <c:pt idx="209">
                  <c:v>4.2389999999999999</c:v>
                </c:pt>
                <c:pt idx="210">
                  <c:v>4.2069999999999999</c:v>
                </c:pt>
                <c:pt idx="211">
                  <c:v>4.2030000000000003</c:v>
                </c:pt>
                <c:pt idx="212">
                  <c:v>4.1070000000000002</c:v>
                </c:pt>
                <c:pt idx="213">
                  <c:v>4.3419999999999996</c:v>
                </c:pt>
                <c:pt idx="214">
                  <c:v>4.2759999999999998</c:v>
                </c:pt>
                <c:pt idx="215">
                  <c:v>4.1449999999999996</c:v>
                </c:pt>
                <c:pt idx="216">
                  <c:v>4.157</c:v>
                </c:pt>
                <c:pt idx="217">
                  <c:v>4.0810000000000004</c:v>
                </c:pt>
                <c:pt idx="218">
                  <c:v>4.1859999999999999</c:v>
                </c:pt>
                <c:pt idx="219">
                  <c:v>4.3029999999999999</c:v>
                </c:pt>
                <c:pt idx="220">
                  <c:v>4.3380000000000001</c:v>
                </c:pt>
                <c:pt idx="221">
                  <c:v>4.3040000000000003</c:v>
                </c:pt>
                <c:pt idx="222">
                  <c:v>4.548</c:v>
                </c:pt>
                <c:pt idx="223">
                  <c:v>4.1989999999999998</c:v>
                </c:pt>
                <c:pt idx="224">
                  <c:v>4.1040000000000001</c:v>
                </c:pt>
                <c:pt idx="225">
                  <c:v>3.847</c:v>
                </c:pt>
                <c:pt idx="226">
                  <c:v>3.823</c:v>
                </c:pt>
                <c:pt idx="227">
                  <c:v>3.7589999999999999</c:v>
                </c:pt>
                <c:pt idx="228">
                  <c:v>3.7669999999999999</c:v>
                </c:pt>
                <c:pt idx="229">
                  <c:v>3.77</c:v>
                </c:pt>
                <c:pt idx="230">
                  <c:v>3.585</c:v>
                </c:pt>
                <c:pt idx="231">
                  <c:v>3.536</c:v>
                </c:pt>
                <c:pt idx="232">
                  <c:v>3.5430000000000001</c:v>
                </c:pt>
                <c:pt idx="233">
                  <c:v>3.6850000000000001</c:v>
                </c:pt>
                <c:pt idx="234">
                  <c:v>3.6819999999999999</c:v>
                </c:pt>
                <c:pt idx="235">
                  <c:v>3.6160000000000001</c:v>
                </c:pt>
                <c:pt idx="236">
                  <c:v>3.6779999999999999</c:v>
                </c:pt>
                <c:pt idx="237">
                  <c:v>3.778</c:v>
                </c:pt>
                <c:pt idx="238">
                  <c:v>3.6850000000000001</c:v>
                </c:pt>
                <c:pt idx="239">
                  <c:v>3.6419999999999999</c:v>
                </c:pt>
                <c:pt idx="240">
                  <c:v>3.653</c:v>
                </c:pt>
                <c:pt idx="241">
                  <c:v>3.5249999999999999</c:v>
                </c:pt>
                <c:pt idx="242">
                  <c:v>3.5310000000000001</c:v>
                </c:pt>
                <c:pt idx="243">
                  <c:v>3.3109999999999999</c:v>
                </c:pt>
                <c:pt idx="244">
                  <c:v>3.2810000000000001</c:v>
                </c:pt>
                <c:pt idx="245">
                  <c:v>3.2450000000000001</c:v>
                </c:pt>
                <c:pt idx="246">
                  <c:v>3.1970000000000001</c:v>
                </c:pt>
                <c:pt idx="247">
                  <c:v>3.125</c:v>
                </c:pt>
                <c:pt idx="248">
                  <c:v>3.0870000000000002</c:v>
                </c:pt>
                <c:pt idx="249">
                  <c:v>3.0779999999999998</c:v>
                </c:pt>
                <c:pt idx="250">
                  <c:v>3.181</c:v>
                </c:pt>
                <c:pt idx="251">
                  <c:v>3.1240000000000001</c:v>
                </c:pt>
                <c:pt idx="252">
                  <c:v>3.1539999999999999</c:v>
                </c:pt>
                <c:pt idx="253">
                  <c:v>3.1339999999999999</c:v>
                </c:pt>
                <c:pt idx="254">
                  <c:v>3.1339999999999999</c:v>
                </c:pt>
                <c:pt idx="255">
                  <c:v>3.0790000000000002</c:v>
                </c:pt>
                <c:pt idx="256">
                  <c:v>3.1139999999999999</c:v>
                </c:pt>
                <c:pt idx="257">
                  <c:v>3.0649999999999999</c:v>
                </c:pt>
                <c:pt idx="258">
                  <c:v>3.012</c:v>
                </c:pt>
                <c:pt idx="259">
                  <c:v>3.081</c:v>
                </c:pt>
                <c:pt idx="260">
                  <c:v>3.0089999999999999</c:v>
                </c:pt>
                <c:pt idx="261">
                  <c:v>3.13</c:v>
                </c:pt>
                <c:pt idx="262">
                  <c:v>3.09</c:v>
                </c:pt>
                <c:pt idx="263">
                  <c:v>3.121</c:v>
                </c:pt>
                <c:pt idx="264">
                  <c:v>3.153</c:v>
                </c:pt>
                <c:pt idx="265">
                  <c:v>3.218</c:v>
                </c:pt>
                <c:pt idx="266">
                  <c:v>3.294</c:v>
                </c:pt>
                <c:pt idx="267">
                  <c:v>3.2959999999999998</c:v>
                </c:pt>
                <c:pt idx="268">
                  <c:v>3.1920000000000002</c:v>
                </c:pt>
                <c:pt idx="269">
                  <c:v>3.2120000000000002</c:v>
                </c:pt>
                <c:pt idx="270">
                  <c:v>3.2050000000000001</c:v>
                </c:pt>
                <c:pt idx="271">
                  <c:v>3.26</c:v>
                </c:pt>
                <c:pt idx="272">
                  <c:v>3.2109999999999999</c:v>
                </c:pt>
                <c:pt idx="273">
                  <c:v>3.2909999999999999</c:v>
                </c:pt>
                <c:pt idx="274">
                  <c:v>3.3239999999999998</c:v>
                </c:pt>
                <c:pt idx="275">
                  <c:v>3.3149999999999999</c:v>
                </c:pt>
                <c:pt idx="276">
                  <c:v>3.262</c:v>
                </c:pt>
                <c:pt idx="277">
                  <c:v>3.2389999999999999</c:v>
                </c:pt>
                <c:pt idx="278">
                  <c:v>3.3010000000000002</c:v>
                </c:pt>
                <c:pt idx="279">
                  <c:v>3.43</c:v>
                </c:pt>
                <c:pt idx="280">
                  <c:v>3.4390000000000001</c:v>
                </c:pt>
                <c:pt idx="281">
                  <c:v>3.55</c:v>
                </c:pt>
                <c:pt idx="282">
                  <c:v>3.552</c:v>
                </c:pt>
                <c:pt idx="283">
                  <c:v>3.552</c:v>
                </c:pt>
                <c:pt idx="284">
                  <c:v>3.5680000000000001</c:v>
                </c:pt>
                <c:pt idx="285">
                  <c:v>3.5230000000000001</c:v>
                </c:pt>
                <c:pt idx="286">
                  <c:v>3.6080000000000001</c:v>
                </c:pt>
                <c:pt idx="287">
                  <c:v>3.5219999999999998</c:v>
                </c:pt>
                <c:pt idx="288">
                  <c:v>3.6629999999999998</c:v>
                </c:pt>
                <c:pt idx="289">
                  <c:v>3.6749999999999998</c:v>
                </c:pt>
                <c:pt idx="290">
                  <c:v>3.7450000000000001</c:v>
                </c:pt>
                <c:pt idx="291">
                  <c:v>3.7280000000000002</c:v>
                </c:pt>
                <c:pt idx="292">
                  <c:v>3.6659999999999999</c:v>
                </c:pt>
                <c:pt idx="293">
                  <c:v>3.548</c:v>
                </c:pt>
                <c:pt idx="294">
                  <c:v>3.5139999999999998</c:v>
                </c:pt>
                <c:pt idx="295">
                  <c:v>3.2749999999999999</c:v>
                </c:pt>
                <c:pt idx="296">
                  <c:v>3.1709999999999998</c:v>
                </c:pt>
                <c:pt idx="297">
                  <c:v>3.2090000000000001</c:v>
                </c:pt>
                <c:pt idx="298">
                  <c:v>3.2320000000000002</c:v>
                </c:pt>
                <c:pt idx="299">
                  <c:v>3.121</c:v>
                </c:pt>
                <c:pt idx="300">
                  <c:v>3.125</c:v>
                </c:pt>
                <c:pt idx="301">
                  <c:v>3.0270000000000001</c:v>
                </c:pt>
                <c:pt idx="302">
                  <c:v>2.9420000000000002</c:v>
                </c:pt>
                <c:pt idx="303">
                  <c:v>2.9470000000000001</c:v>
                </c:pt>
                <c:pt idx="304">
                  <c:v>2.9550000000000001</c:v>
                </c:pt>
                <c:pt idx="305">
                  <c:v>2.9460000000000002</c:v>
                </c:pt>
                <c:pt idx="306">
                  <c:v>2.9670000000000001</c:v>
                </c:pt>
                <c:pt idx="307">
                  <c:v>3.0179999999999998</c:v>
                </c:pt>
                <c:pt idx="308">
                  <c:v>3.0110000000000001</c:v>
                </c:pt>
                <c:pt idx="309">
                  <c:v>3.0459999999999998</c:v>
                </c:pt>
                <c:pt idx="310">
                  <c:v>3.069</c:v>
                </c:pt>
                <c:pt idx="311">
                  <c:v>3.0310000000000001</c:v>
                </c:pt>
                <c:pt idx="312">
                  <c:v>3.0459999999999998</c:v>
                </c:pt>
                <c:pt idx="313">
                  <c:v>2.911</c:v>
                </c:pt>
                <c:pt idx="314">
                  <c:v>2.9</c:v>
                </c:pt>
                <c:pt idx="315">
                  <c:v>2.9279999999999999</c:v>
                </c:pt>
                <c:pt idx="316">
                  <c:v>3.0459999999999998</c:v>
                </c:pt>
                <c:pt idx="317">
                  <c:v>3.0619999999999998</c:v>
                </c:pt>
                <c:pt idx="318">
                  <c:v>3.1459999999999999</c:v>
                </c:pt>
                <c:pt idx="319">
                  <c:v>3.1779999999999999</c:v>
                </c:pt>
                <c:pt idx="320">
                  <c:v>3.1389999999999998</c:v>
                </c:pt>
                <c:pt idx="321">
                  <c:v>3.0859999999999999</c:v>
                </c:pt>
                <c:pt idx="322">
                  <c:v>2.9580000000000002</c:v>
                </c:pt>
                <c:pt idx="323">
                  <c:v>2.9249999999999998</c:v>
                </c:pt>
                <c:pt idx="324">
                  <c:v>2.899</c:v>
                </c:pt>
                <c:pt idx="325">
                  <c:v>2.83</c:v>
                </c:pt>
                <c:pt idx="326">
                  <c:v>2.8570000000000002</c:v>
                </c:pt>
                <c:pt idx="327">
                  <c:v>2.9710000000000001</c:v>
                </c:pt>
                <c:pt idx="328">
                  <c:v>2.927</c:v>
                </c:pt>
                <c:pt idx="329">
                  <c:v>2.9569999999999999</c:v>
                </c:pt>
                <c:pt idx="330">
                  <c:v>2.9809999999999999</c:v>
                </c:pt>
                <c:pt idx="331">
                  <c:v>2.99</c:v>
                </c:pt>
                <c:pt idx="332">
                  <c:v>2.944</c:v>
                </c:pt>
                <c:pt idx="333">
                  <c:v>2.8879999999999999</c:v>
                </c:pt>
                <c:pt idx="334">
                  <c:v>3.0009999999999999</c:v>
                </c:pt>
                <c:pt idx="335">
                  <c:v>3.105</c:v>
                </c:pt>
                <c:pt idx="336">
                  <c:v>3.1859999999999999</c:v>
                </c:pt>
                <c:pt idx="337">
                  <c:v>2.9870000000000001</c:v>
                </c:pt>
                <c:pt idx="338">
                  <c:v>2.9049999999999998</c:v>
                </c:pt>
                <c:pt idx="339">
                  <c:v>2.9409999999999998</c:v>
                </c:pt>
                <c:pt idx="340">
                  <c:v>2.879</c:v>
                </c:pt>
                <c:pt idx="341">
                  <c:v>2.8370000000000002</c:v>
                </c:pt>
                <c:pt idx="342">
                  <c:v>2.7839999999999998</c:v>
                </c:pt>
                <c:pt idx="343">
                  <c:v>2.6629999999999998</c:v>
                </c:pt>
                <c:pt idx="344">
                  <c:v>2.6150000000000002</c:v>
                </c:pt>
                <c:pt idx="345">
                  <c:v>2.7</c:v>
                </c:pt>
                <c:pt idx="346">
                  <c:v>2.7469999999999999</c:v>
                </c:pt>
                <c:pt idx="347">
                  <c:v>2.5049999999999999</c:v>
                </c:pt>
                <c:pt idx="348">
                  <c:v>2.4550000000000001</c:v>
                </c:pt>
                <c:pt idx="349">
                  <c:v>2.4260000000000002</c:v>
                </c:pt>
                <c:pt idx="350">
                  <c:v>2.399</c:v>
                </c:pt>
                <c:pt idx="351">
                  <c:v>2.2679999999999998</c:v>
                </c:pt>
                <c:pt idx="352">
                  <c:v>2.2309999999999999</c:v>
                </c:pt>
                <c:pt idx="353">
                  <c:v>2.2170000000000001</c:v>
                </c:pt>
                <c:pt idx="354">
                  <c:v>2.2679999999999998</c:v>
                </c:pt>
                <c:pt idx="355">
                  <c:v>2.2850000000000001</c:v>
                </c:pt>
                <c:pt idx="356">
                  <c:v>2.2829999999999999</c:v>
                </c:pt>
                <c:pt idx="357">
                  <c:v>2.2549999999999999</c:v>
                </c:pt>
                <c:pt idx="358">
                  <c:v>2.2669999999999999</c:v>
                </c:pt>
                <c:pt idx="359">
                  <c:v>2.2869999999999999</c:v>
                </c:pt>
                <c:pt idx="360">
                  <c:v>2.2879999999999998</c:v>
                </c:pt>
                <c:pt idx="361">
                  <c:v>2.214</c:v>
                </c:pt>
                <c:pt idx="362">
                  <c:v>2.1949999999999998</c:v>
                </c:pt>
                <c:pt idx="363">
                  <c:v>2.1869999999999998</c:v>
                </c:pt>
                <c:pt idx="364">
                  <c:v>2.242</c:v>
                </c:pt>
                <c:pt idx="365">
                  <c:v>2.2440000000000002</c:v>
                </c:pt>
                <c:pt idx="366">
                  <c:v>2.226</c:v>
                </c:pt>
                <c:pt idx="367">
                  <c:v>2.3170000000000002</c:v>
                </c:pt>
                <c:pt idx="368">
                  <c:v>2.327</c:v>
                </c:pt>
                <c:pt idx="369">
                  <c:v>2.363</c:v>
                </c:pt>
                <c:pt idx="370">
                  <c:v>2.3220000000000001</c:v>
                </c:pt>
                <c:pt idx="371">
                  <c:v>2.2949999999999999</c:v>
                </c:pt>
                <c:pt idx="372">
                  <c:v>2.3250000000000002</c:v>
                </c:pt>
                <c:pt idx="373">
                  <c:v>2.3450000000000002</c:v>
                </c:pt>
                <c:pt idx="374">
                  <c:v>2.347</c:v>
                </c:pt>
                <c:pt idx="375">
                  <c:v>2.343</c:v>
                </c:pt>
                <c:pt idx="376">
                  <c:v>2.2639999999999998</c:v>
                </c:pt>
                <c:pt idx="377">
                  <c:v>2.2789999999999999</c:v>
                </c:pt>
                <c:pt idx="378">
                  <c:v>2.3029999999999999</c:v>
                </c:pt>
                <c:pt idx="379">
                  <c:v>2.2370000000000001</c:v>
                </c:pt>
                <c:pt idx="380">
                  <c:v>2.194</c:v>
                </c:pt>
                <c:pt idx="381">
                  <c:v>2.1579999999999999</c:v>
                </c:pt>
                <c:pt idx="382">
                  <c:v>2.1890000000000001</c:v>
                </c:pt>
                <c:pt idx="383">
                  <c:v>2.2170000000000001</c:v>
                </c:pt>
                <c:pt idx="384">
                  <c:v>2.1560000000000001</c:v>
                </c:pt>
                <c:pt idx="385">
                  <c:v>2.1739999999999999</c:v>
                </c:pt>
                <c:pt idx="386">
                  <c:v>2.1120000000000001</c:v>
                </c:pt>
                <c:pt idx="387">
                  <c:v>2.1320000000000001</c:v>
                </c:pt>
                <c:pt idx="388">
                  <c:v>2.1190000000000002</c:v>
                </c:pt>
                <c:pt idx="389">
                  <c:v>2.073</c:v>
                </c:pt>
                <c:pt idx="390">
                  <c:v>2.1269999999999998</c:v>
                </c:pt>
                <c:pt idx="391">
                  <c:v>2.1480000000000001</c:v>
                </c:pt>
                <c:pt idx="392">
                  <c:v>2.044</c:v>
                </c:pt>
                <c:pt idx="393">
                  <c:v>1.9530000000000001</c:v>
                </c:pt>
                <c:pt idx="394">
                  <c:v>1.998</c:v>
                </c:pt>
                <c:pt idx="395">
                  <c:v>2.0379999999999998</c:v>
                </c:pt>
                <c:pt idx="396">
                  <c:v>2.0579999999999998</c:v>
                </c:pt>
                <c:pt idx="397">
                  <c:v>2.0150000000000001</c:v>
                </c:pt>
                <c:pt idx="398">
                  <c:v>2.0129999999999999</c:v>
                </c:pt>
                <c:pt idx="399">
                  <c:v>1.913</c:v>
                </c:pt>
                <c:pt idx="400">
                  <c:v>1.8680000000000001</c:v>
                </c:pt>
                <c:pt idx="401">
                  <c:v>1.855</c:v>
                </c:pt>
                <c:pt idx="402">
                  <c:v>1.7989999999999999</c:v>
                </c:pt>
                <c:pt idx="403">
                  <c:v>1.7829999999999999</c:v>
                </c:pt>
                <c:pt idx="404">
                  <c:v>1.786</c:v>
                </c:pt>
                <c:pt idx="405">
                  <c:v>1.776</c:v>
                </c:pt>
                <c:pt idx="406">
                  <c:v>1.798</c:v>
                </c:pt>
                <c:pt idx="407">
                  <c:v>1.8049999999999999</c:v>
                </c:pt>
                <c:pt idx="408">
                  <c:v>1.7569999999999999</c:v>
                </c:pt>
                <c:pt idx="409">
                  <c:v>1.72</c:v>
                </c:pt>
                <c:pt idx="410">
                  <c:v>1.74</c:v>
                </c:pt>
                <c:pt idx="411">
                  <c:v>1.7669999999999999</c:v>
                </c:pt>
                <c:pt idx="412">
                  <c:v>1.766</c:v>
                </c:pt>
                <c:pt idx="413">
                  <c:v>1.8080000000000001</c:v>
                </c:pt>
                <c:pt idx="414">
                  <c:v>1.784</c:v>
                </c:pt>
                <c:pt idx="415">
                  <c:v>1.79</c:v>
                </c:pt>
                <c:pt idx="416">
                  <c:v>1.8049999999999999</c:v>
                </c:pt>
                <c:pt idx="417">
                  <c:v>1.794</c:v>
                </c:pt>
                <c:pt idx="418">
                  <c:v>1.831</c:v>
                </c:pt>
                <c:pt idx="419">
                  <c:v>1.8720000000000001</c:v>
                </c:pt>
                <c:pt idx="420">
                  <c:v>1.865</c:v>
                </c:pt>
                <c:pt idx="421">
                  <c:v>1.9</c:v>
                </c:pt>
                <c:pt idx="422">
                  <c:v>1.845</c:v>
                </c:pt>
                <c:pt idx="423">
                  <c:v>1.8129999999999999</c:v>
                </c:pt>
                <c:pt idx="424">
                  <c:v>1.7989999999999999</c:v>
                </c:pt>
                <c:pt idx="425">
                  <c:v>1.8440000000000001</c:v>
                </c:pt>
                <c:pt idx="426">
                  <c:v>1.863</c:v>
                </c:pt>
                <c:pt idx="427">
                  <c:v>1.9330000000000001</c:v>
                </c:pt>
                <c:pt idx="428">
                  <c:v>2.0129999999999999</c:v>
                </c:pt>
                <c:pt idx="429">
                  <c:v>2.0310000000000001</c:v>
                </c:pt>
                <c:pt idx="430">
                  <c:v>2.0179999999999998</c:v>
                </c:pt>
                <c:pt idx="431">
                  <c:v>1.966</c:v>
                </c:pt>
                <c:pt idx="432">
                  <c:v>1.9530000000000001</c:v>
                </c:pt>
                <c:pt idx="433">
                  <c:v>1.974</c:v>
                </c:pt>
                <c:pt idx="434">
                  <c:v>1.9630000000000001</c:v>
                </c:pt>
                <c:pt idx="435">
                  <c:v>1.9119999999999999</c:v>
                </c:pt>
                <c:pt idx="436">
                  <c:v>1.968</c:v>
                </c:pt>
                <c:pt idx="437">
                  <c:v>1.913</c:v>
                </c:pt>
                <c:pt idx="438">
                  <c:v>1.877</c:v>
                </c:pt>
                <c:pt idx="439">
                  <c:v>1.865</c:v>
                </c:pt>
                <c:pt idx="440">
                  <c:v>1.9059999999999999</c:v>
                </c:pt>
                <c:pt idx="441">
                  <c:v>1.944</c:v>
                </c:pt>
                <c:pt idx="442">
                  <c:v>2.04</c:v>
                </c:pt>
                <c:pt idx="443">
                  <c:v>2.036</c:v>
                </c:pt>
                <c:pt idx="444">
                  <c:v>2.0379999999999998</c:v>
                </c:pt>
                <c:pt idx="445">
                  <c:v>2.1080000000000001</c:v>
                </c:pt>
                <c:pt idx="446">
                  <c:v>2.1030000000000002</c:v>
                </c:pt>
                <c:pt idx="447">
                  <c:v>2.0169999999999999</c:v>
                </c:pt>
                <c:pt idx="448">
                  <c:v>2.044</c:v>
                </c:pt>
                <c:pt idx="449">
                  <c:v>1.9470000000000001</c:v>
                </c:pt>
                <c:pt idx="450">
                  <c:v>1.919</c:v>
                </c:pt>
                <c:pt idx="451">
                  <c:v>1.889</c:v>
                </c:pt>
                <c:pt idx="452">
                  <c:v>1.8360000000000001</c:v>
                </c:pt>
                <c:pt idx="453">
                  <c:v>1.847</c:v>
                </c:pt>
                <c:pt idx="454">
                  <c:v>1.8660000000000001</c:v>
                </c:pt>
                <c:pt idx="455">
                  <c:v>1.875</c:v>
                </c:pt>
                <c:pt idx="456">
                  <c:v>1.7949999999999999</c:v>
                </c:pt>
                <c:pt idx="457">
                  <c:v>1.8129999999999999</c:v>
                </c:pt>
                <c:pt idx="458">
                  <c:v>1.8240000000000001</c:v>
                </c:pt>
                <c:pt idx="459">
                  <c:v>1.8149999999999999</c:v>
                </c:pt>
                <c:pt idx="460">
                  <c:v>1.7010000000000001</c:v>
                </c:pt>
                <c:pt idx="461">
                  <c:v>1.704</c:v>
                </c:pt>
                <c:pt idx="462">
                  <c:v>1.7190000000000001</c:v>
                </c:pt>
                <c:pt idx="463">
                  <c:v>1.65</c:v>
                </c:pt>
                <c:pt idx="464">
                  <c:v>1.633</c:v>
                </c:pt>
                <c:pt idx="465">
                  <c:v>1.593</c:v>
                </c:pt>
                <c:pt idx="466">
                  <c:v>1.603</c:v>
                </c:pt>
                <c:pt idx="467">
                  <c:v>1.609</c:v>
                </c:pt>
                <c:pt idx="468">
                  <c:v>1.5660000000000001</c:v>
                </c:pt>
                <c:pt idx="469">
                  <c:v>1.575</c:v>
                </c:pt>
                <c:pt idx="470">
                  <c:v>1.5580000000000001</c:v>
                </c:pt>
                <c:pt idx="471">
                  <c:v>1.5349999999999999</c:v>
                </c:pt>
                <c:pt idx="472">
                  <c:v>1.51</c:v>
                </c:pt>
                <c:pt idx="473">
                  <c:v>1.492</c:v>
                </c:pt>
                <c:pt idx="474">
                  <c:v>1.5349999999999999</c:v>
                </c:pt>
                <c:pt idx="475">
                  <c:v>1.5249999999999999</c:v>
                </c:pt>
                <c:pt idx="476">
                  <c:v>1.5009999999999999</c:v>
                </c:pt>
                <c:pt idx="477">
                  <c:v>1.4990000000000001</c:v>
                </c:pt>
                <c:pt idx="478">
                  <c:v>1.4890000000000001</c:v>
                </c:pt>
                <c:pt idx="479">
                  <c:v>1.464</c:v>
                </c:pt>
                <c:pt idx="480">
                  <c:v>1.4590000000000001</c:v>
                </c:pt>
                <c:pt idx="481">
                  <c:v>1.4370000000000001</c:v>
                </c:pt>
                <c:pt idx="482">
                  <c:v>1.4219999999999999</c:v>
                </c:pt>
                <c:pt idx="483">
                  <c:v>1.417</c:v>
                </c:pt>
                <c:pt idx="484">
                  <c:v>1.395</c:v>
                </c:pt>
                <c:pt idx="485">
                  <c:v>1.3979999999999999</c:v>
                </c:pt>
                <c:pt idx="486">
                  <c:v>1.4079999999999999</c:v>
                </c:pt>
                <c:pt idx="487">
                  <c:v>1.3979999999999999</c:v>
                </c:pt>
                <c:pt idx="488">
                  <c:v>1.4350000000000001</c:v>
                </c:pt>
                <c:pt idx="489">
                  <c:v>1.4379999999999999</c:v>
                </c:pt>
                <c:pt idx="490">
                  <c:v>1.389</c:v>
                </c:pt>
                <c:pt idx="491">
                  <c:v>1.3640000000000001</c:v>
                </c:pt>
                <c:pt idx="492">
                  <c:v>1.36</c:v>
                </c:pt>
                <c:pt idx="493">
                  <c:v>1.389</c:v>
                </c:pt>
                <c:pt idx="494">
                  <c:v>1.4019999999999999</c:v>
                </c:pt>
                <c:pt idx="495">
                  <c:v>1.407</c:v>
                </c:pt>
                <c:pt idx="496">
                  <c:v>1.413</c:v>
                </c:pt>
                <c:pt idx="497">
                  <c:v>1.419</c:v>
                </c:pt>
                <c:pt idx="498">
                  <c:v>1.4319999999999999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FCB-45B5-BE37-9644FA2D05D4}"/>
            </c:ext>
          </c:extLst>
        </c:ser>
        <c:ser>
          <c:idx val="2"/>
          <c:order val="3"/>
          <c:tx>
            <c:v>회사채(AA-)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국내시장주요지표!$AN$68:$AN$566</c:f>
              <c:numCache>
                <c:formatCode>m/d/yyyy</c:formatCode>
                <c:ptCount val="499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  <c:pt idx="20">
                  <c:v>45126</c:v>
                </c:pt>
                <c:pt idx="21">
                  <c:v>45125</c:v>
                </c:pt>
                <c:pt idx="22">
                  <c:v>45124</c:v>
                </c:pt>
                <c:pt idx="23">
                  <c:v>45121</c:v>
                </c:pt>
                <c:pt idx="24">
                  <c:v>45120</c:v>
                </c:pt>
                <c:pt idx="25">
                  <c:v>45119</c:v>
                </c:pt>
                <c:pt idx="26">
                  <c:v>45118</c:v>
                </c:pt>
                <c:pt idx="27">
                  <c:v>45117</c:v>
                </c:pt>
                <c:pt idx="28">
                  <c:v>45114</c:v>
                </c:pt>
                <c:pt idx="29">
                  <c:v>45113</c:v>
                </c:pt>
                <c:pt idx="30">
                  <c:v>45112</c:v>
                </c:pt>
                <c:pt idx="31">
                  <c:v>45111</c:v>
                </c:pt>
                <c:pt idx="32">
                  <c:v>45110</c:v>
                </c:pt>
                <c:pt idx="33">
                  <c:v>45107</c:v>
                </c:pt>
                <c:pt idx="34">
                  <c:v>45106</c:v>
                </c:pt>
                <c:pt idx="35">
                  <c:v>45105</c:v>
                </c:pt>
                <c:pt idx="36">
                  <c:v>45104</c:v>
                </c:pt>
                <c:pt idx="37">
                  <c:v>45103</c:v>
                </c:pt>
                <c:pt idx="38">
                  <c:v>45100</c:v>
                </c:pt>
                <c:pt idx="39">
                  <c:v>45099</c:v>
                </c:pt>
                <c:pt idx="40">
                  <c:v>45098</c:v>
                </c:pt>
                <c:pt idx="41">
                  <c:v>45097</c:v>
                </c:pt>
                <c:pt idx="42">
                  <c:v>45096</c:v>
                </c:pt>
                <c:pt idx="43">
                  <c:v>45093</c:v>
                </c:pt>
                <c:pt idx="44">
                  <c:v>45092</c:v>
                </c:pt>
                <c:pt idx="45">
                  <c:v>45091</c:v>
                </c:pt>
                <c:pt idx="46">
                  <c:v>45090</c:v>
                </c:pt>
                <c:pt idx="47">
                  <c:v>45089</c:v>
                </c:pt>
                <c:pt idx="48">
                  <c:v>45086</c:v>
                </c:pt>
                <c:pt idx="49">
                  <c:v>45085</c:v>
                </c:pt>
                <c:pt idx="50">
                  <c:v>45084</c:v>
                </c:pt>
                <c:pt idx="51">
                  <c:v>45082</c:v>
                </c:pt>
                <c:pt idx="52">
                  <c:v>45079</c:v>
                </c:pt>
                <c:pt idx="53">
                  <c:v>45078</c:v>
                </c:pt>
                <c:pt idx="54">
                  <c:v>45077</c:v>
                </c:pt>
                <c:pt idx="55">
                  <c:v>45076</c:v>
                </c:pt>
                <c:pt idx="56">
                  <c:v>45072</c:v>
                </c:pt>
                <c:pt idx="57">
                  <c:v>45071</c:v>
                </c:pt>
                <c:pt idx="58">
                  <c:v>45070</c:v>
                </c:pt>
                <c:pt idx="59">
                  <c:v>45069</c:v>
                </c:pt>
                <c:pt idx="60">
                  <c:v>45068</c:v>
                </c:pt>
                <c:pt idx="61">
                  <c:v>45065</c:v>
                </c:pt>
                <c:pt idx="62">
                  <c:v>45064</c:v>
                </c:pt>
                <c:pt idx="63">
                  <c:v>45063</c:v>
                </c:pt>
                <c:pt idx="64">
                  <c:v>45062</c:v>
                </c:pt>
                <c:pt idx="65">
                  <c:v>45061</c:v>
                </c:pt>
                <c:pt idx="66">
                  <c:v>45058</c:v>
                </c:pt>
                <c:pt idx="67">
                  <c:v>45057</c:v>
                </c:pt>
                <c:pt idx="68">
                  <c:v>45056</c:v>
                </c:pt>
                <c:pt idx="69">
                  <c:v>45055</c:v>
                </c:pt>
                <c:pt idx="70">
                  <c:v>45054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45044</c:v>
                </c:pt>
                <c:pt idx="75">
                  <c:v>45043</c:v>
                </c:pt>
                <c:pt idx="76">
                  <c:v>45042</c:v>
                </c:pt>
                <c:pt idx="77">
                  <c:v>45041</c:v>
                </c:pt>
                <c:pt idx="78">
                  <c:v>45040</c:v>
                </c:pt>
                <c:pt idx="79">
                  <c:v>45037</c:v>
                </c:pt>
                <c:pt idx="80">
                  <c:v>45036</c:v>
                </c:pt>
                <c:pt idx="81">
                  <c:v>45035</c:v>
                </c:pt>
                <c:pt idx="82">
                  <c:v>45034</c:v>
                </c:pt>
                <c:pt idx="83">
                  <c:v>45033</c:v>
                </c:pt>
                <c:pt idx="84">
                  <c:v>45030</c:v>
                </c:pt>
                <c:pt idx="85">
                  <c:v>45029</c:v>
                </c:pt>
                <c:pt idx="86">
                  <c:v>45028</c:v>
                </c:pt>
                <c:pt idx="87">
                  <c:v>45027</c:v>
                </c:pt>
                <c:pt idx="88">
                  <c:v>45026</c:v>
                </c:pt>
                <c:pt idx="89">
                  <c:v>45023</c:v>
                </c:pt>
                <c:pt idx="90">
                  <c:v>45022</c:v>
                </c:pt>
                <c:pt idx="91">
                  <c:v>45021</c:v>
                </c:pt>
                <c:pt idx="92">
                  <c:v>45020</c:v>
                </c:pt>
                <c:pt idx="93">
                  <c:v>45019</c:v>
                </c:pt>
                <c:pt idx="94">
                  <c:v>45016</c:v>
                </c:pt>
                <c:pt idx="95">
                  <c:v>45015</c:v>
                </c:pt>
                <c:pt idx="96">
                  <c:v>45014</c:v>
                </c:pt>
                <c:pt idx="97">
                  <c:v>45013</c:v>
                </c:pt>
                <c:pt idx="98">
                  <c:v>45012</c:v>
                </c:pt>
                <c:pt idx="99">
                  <c:v>45009</c:v>
                </c:pt>
                <c:pt idx="100">
                  <c:v>45008</c:v>
                </c:pt>
                <c:pt idx="101">
                  <c:v>45007</c:v>
                </c:pt>
                <c:pt idx="102">
                  <c:v>45006</c:v>
                </c:pt>
                <c:pt idx="103">
                  <c:v>45005</c:v>
                </c:pt>
                <c:pt idx="104">
                  <c:v>45002</c:v>
                </c:pt>
                <c:pt idx="105">
                  <c:v>45001</c:v>
                </c:pt>
                <c:pt idx="106">
                  <c:v>45000</c:v>
                </c:pt>
                <c:pt idx="107">
                  <c:v>44999</c:v>
                </c:pt>
                <c:pt idx="108">
                  <c:v>44998</c:v>
                </c:pt>
                <c:pt idx="109">
                  <c:v>44995</c:v>
                </c:pt>
                <c:pt idx="110">
                  <c:v>44994</c:v>
                </c:pt>
                <c:pt idx="111">
                  <c:v>44993</c:v>
                </c:pt>
                <c:pt idx="112">
                  <c:v>44992</c:v>
                </c:pt>
                <c:pt idx="113">
                  <c:v>44991</c:v>
                </c:pt>
                <c:pt idx="114">
                  <c:v>44988</c:v>
                </c:pt>
                <c:pt idx="115">
                  <c:v>44987</c:v>
                </c:pt>
                <c:pt idx="116">
                  <c:v>44985</c:v>
                </c:pt>
                <c:pt idx="117">
                  <c:v>44984</c:v>
                </c:pt>
                <c:pt idx="118">
                  <c:v>44981</c:v>
                </c:pt>
                <c:pt idx="119">
                  <c:v>44980</c:v>
                </c:pt>
                <c:pt idx="120">
                  <c:v>44979</c:v>
                </c:pt>
                <c:pt idx="121">
                  <c:v>44978</c:v>
                </c:pt>
                <c:pt idx="122">
                  <c:v>44977</c:v>
                </c:pt>
                <c:pt idx="123">
                  <c:v>44974</c:v>
                </c:pt>
                <c:pt idx="124">
                  <c:v>44973</c:v>
                </c:pt>
                <c:pt idx="125">
                  <c:v>44972</c:v>
                </c:pt>
                <c:pt idx="126">
                  <c:v>44971</c:v>
                </c:pt>
                <c:pt idx="127">
                  <c:v>44970</c:v>
                </c:pt>
                <c:pt idx="128">
                  <c:v>44967</c:v>
                </c:pt>
                <c:pt idx="129">
                  <c:v>44966</c:v>
                </c:pt>
                <c:pt idx="130">
                  <c:v>44965</c:v>
                </c:pt>
                <c:pt idx="131">
                  <c:v>44964</c:v>
                </c:pt>
                <c:pt idx="132">
                  <c:v>44963</c:v>
                </c:pt>
                <c:pt idx="133">
                  <c:v>44960</c:v>
                </c:pt>
                <c:pt idx="134">
                  <c:v>44959</c:v>
                </c:pt>
                <c:pt idx="135">
                  <c:v>44958</c:v>
                </c:pt>
                <c:pt idx="136">
                  <c:v>44957</c:v>
                </c:pt>
                <c:pt idx="137">
                  <c:v>44956</c:v>
                </c:pt>
                <c:pt idx="138">
                  <c:v>44953</c:v>
                </c:pt>
                <c:pt idx="139">
                  <c:v>44952</c:v>
                </c:pt>
                <c:pt idx="140">
                  <c:v>44951</c:v>
                </c:pt>
                <c:pt idx="141">
                  <c:v>44946</c:v>
                </c:pt>
                <c:pt idx="142">
                  <c:v>44945</c:v>
                </c:pt>
                <c:pt idx="143">
                  <c:v>44944</c:v>
                </c:pt>
                <c:pt idx="144">
                  <c:v>44943</c:v>
                </c:pt>
                <c:pt idx="145">
                  <c:v>44942</c:v>
                </c:pt>
                <c:pt idx="146">
                  <c:v>44939</c:v>
                </c:pt>
                <c:pt idx="147">
                  <c:v>44938</c:v>
                </c:pt>
                <c:pt idx="148">
                  <c:v>44937</c:v>
                </c:pt>
                <c:pt idx="149">
                  <c:v>44936</c:v>
                </c:pt>
                <c:pt idx="150">
                  <c:v>44935</c:v>
                </c:pt>
                <c:pt idx="151">
                  <c:v>44932</c:v>
                </c:pt>
                <c:pt idx="152">
                  <c:v>44931</c:v>
                </c:pt>
                <c:pt idx="153">
                  <c:v>44930</c:v>
                </c:pt>
                <c:pt idx="154">
                  <c:v>44929</c:v>
                </c:pt>
                <c:pt idx="155">
                  <c:v>44928</c:v>
                </c:pt>
                <c:pt idx="156">
                  <c:v>44924</c:v>
                </c:pt>
                <c:pt idx="157">
                  <c:v>44923</c:v>
                </c:pt>
                <c:pt idx="158">
                  <c:v>44922</c:v>
                </c:pt>
                <c:pt idx="159">
                  <c:v>44921</c:v>
                </c:pt>
                <c:pt idx="160">
                  <c:v>44918</c:v>
                </c:pt>
                <c:pt idx="161">
                  <c:v>44917</c:v>
                </c:pt>
                <c:pt idx="162">
                  <c:v>44916</c:v>
                </c:pt>
                <c:pt idx="163">
                  <c:v>44915</c:v>
                </c:pt>
                <c:pt idx="164">
                  <c:v>44914</c:v>
                </c:pt>
                <c:pt idx="165">
                  <c:v>44911</c:v>
                </c:pt>
                <c:pt idx="166">
                  <c:v>44910</c:v>
                </c:pt>
                <c:pt idx="167">
                  <c:v>44909</c:v>
                </c:pt>
                <c:pt idx="168">
                  <c:v>44908</c:v>
                </c:pt>
                <c:pt idx="169">
                  <c:v>44907</c:v>
                </c:pt>
                <c:pt idx="170">
                  <c:v>44904</c:v>
                </c:pt>
                <c:pt idx="171">
                  <c:v>44903</c:v>
                </c:pt>
                <c:pt idx="172">
                  <c:v>44902</c:v>
                </c:pt>
                <c:pt idx="173">
                  <c:v>44901</c:v>
                </c:pt>
                <c:pt idx="174">
                  <c:v>44900</c:v>
                </c:pt>
                <c:pt idx="175">
                  <c:v>44897</c:v>
                </c:pt>
                <c:pt idx="176">
                  <c:v>44896</c:v>
                </c:pt>
                <c:pt idx="177">
                  <c:v>44895</c:v>
                </c:pt>
                <c:pt idx="178">
                  <c:v>44894</c:v>
                </c:pt>
                <c:pt idx="179">
                  <c:v>44893</c:v>
                </c:pt>
                <c:pt idx="180">
                  <c:v>44890</c:v>
                </c:pt>
                <c:pt idx="181">
                  <c:v>44889</c:v>
                </c:pt>
                <c:pt idx="182">
                  <c:v>44888</c:v>
                </c:pt>
                <c:pt idx="183">
                  <c:v>44887</c:v>
                </c:pt>
                <c:pt idx="184">
                  <c:v>44886</c:v>
                </c:pt>
                <c:pt idx="185">
                  <c:v>44883</c:v>
                </c:pt>
                <c:pt idx="186">
                  <c:v>44882</c:v>
                </c:pt>
                <c:pt idx="187">
                  <c:v>44881</c:v>
                </c:pt>
                <c:pt idx="188">
                  <c:v>44880</c:v>
                </c:pt>
                <c:pt idx="189">
                  <c:v>44879</c:v>
                </c:pt>
                <c:pt idx="190">
                  <c:v>44876</c:v>
                </c:pt>
                <c:pt idx="191">
                  <c:v>44875</c:v>
                </c:pt>
                <c:pt idx="192">
                  <c:v>44874</c:v>
                </c:pt>
                <c:pt idx="193">
                  <c:v>44873</c:v>
                </c:pt>
                <c:pt idx="194">
                  <c:v>44872</c:v>
                </c:pt>
                <c:pt idx="195">
                  <c:v>44869</c:v>
                </c:pt>
                <c:pt idx="196">
                  <c:v>44868</c:v>
                </c:pt>
                <c:pt idx="197">
                  <c:v>44867</c:v>
                </c:pt>
                <c:pt idx="198">
                  <c:v>44866</c:v>
                </c:pt>
                <c:pt idx="199">
                  <c:v>44865</c:v>
                </c:pt>
                <c:pt idx="200">
                  <c:v>44862</c:v>
                </c:pt>
                <c:pt idx="201">
                  <c:v>44861</c:v>
                </c:pt>
                <c:pt idx="202">
                  <c:v>44860</c:v>
                </c:pt>
                <c:pt idx="203">
                  <c:v>44859</c:v>
                </c:pt>
                <c:pt idx="204">
                  <c:v>44858</c:v>
                </c:pt>
                <c:pt idx="205">
                  <c:v>44855</c:v>
                </c:pt>
                <c:pt idx="206">
                  <c:v>44854</c:v>
                </c:pt>
                <c:pt idx="207">
                  <c:v>44853</c:v>
                </c:pt>
                <c:pt idx="208">
                  <c:v>44852</c:v>
                </c:pt>
                <c:pt idx="209">
                  <c:v>44851</c:v>
                </c:pt>
                <c:pt idx="210">
                  <c:v>44848</c:v>
                </c:pt>
                <c:pt idx="211">
                  <c:v>44847</c:v>
                </c:pt>
                <c:pt idx="212">
                  <c:v>44846</c:v>
                </c:pt>
                <c:pt idx="213">
                  <c:v>44845</c:v>
                </c:pt>
                <c:pt idx="214">
                  <c:v>44841</c:v>
                </c:pt>
                <c:pt idx="215">
                  <c:v>44840</c:v>
                </c:pt>
                <c:pt idx="216">
                  <c:v>44839</c:v>
                </c:pt>
                <c:pt idx="217">
                  <c:v>44838</c:v>
                </c:pt>
                <c:pt idx="218">
                  <c:v>44834</c:v>
                </c:pt>
                <c:pt idx="219">
                  <c:v>44833</c:v>
                </c:pt>
                <c:pt idx="220">
                  <c:v>44832</c:v>
                </c:pt>
                <c:pt idx="221">
                  <c:v>44831</c:v>
                </c:pt>
                <c:pt idx="222">
                  <c:v>44830</c:v>
                </c:pt>
                <c:pt idx="223">
                  <c:v>44827</c:v>
                </c:pt>
                <c:pt idx="224">
                  <c:v>44826</c:v>
                </c:pt>
                <c:pt idx="225">
                  <c:v>44825</c:v>
                </c:pt>
                <c:pt idx="226">
                  <c:v>44824</c:v>
                </c:pt>
                <c:pt idx="227">
                  <c:v>44823</c:v>
                </c:pt>
                <c:pt idx="228">
                  <c:v>44820</c:v>
                </c:pt>
                <c:pt idx="229">
                  <c:v>44819</c:v>
                </c:pt>
                <c:pt idx="230">
                  <c:v>44818</c:v>
                </c:pt>
                <c:pt idx="231">
                  <c:v>44817</c:v>
                </c:pt>
                <c:pt idx="232">
                  <c:v>44812</c:v>
                </c:pt>
                <c:pt idx="233">
                  <c:v>44811</c:v>
                </c:pt>
                <c:pt idx="234">
                  <c:v>44810</c:v>
                </c:pt>
                <c:pt idx="235">
                  <c:v>44809</c:v>
                </c:pt>
                <c:pt idx="236">
                  <c:v>44806</c:v>
                </c:pt>
                <c:pt idx="237">
                  <c:v>44805</c:v>
                </c:pt>
                <c:pt idx="238">
                  <c:v>44804</c:v>
                </c:pt>
                <c:pt idx="239">
                  <c:v>44803</c:v>
                </c:pt>
                <c:pt idx="240">
                  <c:v>44802</c:v>
                </c:pt>
                <c:pt idx="241">
                  <c:v>44799</c:v>
                </c:pt>
                <c:pt idx="242">
                  <c:v>44798</c:v>
                </c:pt>
                <c:pt idx="243">
                  <c:v>44797</c:v>
                </c:pt>
                <c:pt idx="244">
                  <c:v>44796</c:v>
                </c:pt>
                <c:pt idx="245">
                  <c:v>44795</c:v>
                </c:pt>
                <c:pt idx="246">
                  <c:v>44792</c:v>
                </c:pt>
                <c:pt idx="247">
                  <c:v>44791</c:v>
                </c:pt>
                <c:pt idx="248">
                  <c:v>44790</c:v>
                </c:pt>
                <c:pt idx="249">
                  <c:v>44789</c:v>
                </c:pt>
                <c:pt idx="250">
                  <c:v>44785</c:v>
                </c:pt>
                <c:pt idx="251">
                  <c:v>44784</c:v>
                </c:pt>
                <c:pt idx="252">
                  <c:v>44783</c:v>
                </c:pt>
                <c:pt idx="253">
                  <c:v>44782</c:v>
                </c:pt>
                <c:pt idx="254">
                  <c:v>44781</c:v>
                </c:pt>
                <c:pt idx="255">
                  <c:v>44778</c:v>
                </c:pt>
                <c:pt idx="256">
                  <c:v>44777</c:v>
                </c:pt>
                <c:pt idx="257">
                  <c:v>44776</c:v>
                </c:pt>
                <c:pt idx="258">
                  <c:v>44775</c:v>
                </c:pt>
                <c:pt idx="259">
                  <c:v>44774</c:v>
                </c:pt>
                <c:pt idx="260">
                  <c:v>44771</c:v>
                </c:pt>
                <c:pt idx="261">
                  <c:v>44770</c:v>
                </c:pt>
                <c:pt idx="262">
                  <c:v>44769</c:v>
                </c:pt>
                <c:pt idx="263">
                  <c:v>44768</c:v>
                </c:pt>
                <c:pt idx="264">
                  <c:v>44767</c:v>
                </c:pt>
                <c:pt idx="265">
                  <c:v>44764</c:v>
                </c:pt>
                <c:pt idx="266">
                  <c:v>44763</c:v>
                </c:pt>
                <c:pt idx="267">
                  <c:v>44762</c:v>
                </c:pt>
                <c:pt idx="268">
                  <c:v>44761</c:v>
                </c:pt>
                <c:pt idx="269">
                  <c:v>44760</c:v>
                </c:pt>
                <c:pt idx="270">
                  <c:v>44757</c:v>
                </c:pt>
                <c:pt idx="271">
                  <c:v>44756</c:v>
                </c:pt>
                <c:pt idx="272">
                  <c:v>44755</c:v>
                </c:pt>
                <c:pt idx="273">
                  <c:v>44754</c:v>
                </c:pt>
                <c:pt idx="274">
                  <c:v>44753</c:v>
                </c:pt>
                <c:pt idx="275">
                  <c:v>44750</c:v>
                </c:pt>
                <c:pt idx="276">
                  <c:v>44749</c:v>
                </c:pt>
                <c:pt idx="277">
                  <c:v>44748</c:v>
                </c:pt>
                <c:pt idx="278">
                  <c:v>44747</c:v>
                </c:pt>
                <c:pt idx="279">
                  <c:v>44746</c:v>
                </c:pt>
                <c:pt idx="280">
                  <c:v>44743</c:v>
                </c:pt>
                <c:pt idx="281">
                  <c:v>44742</c:v>
                </c:pt>
                <c:pt idx="282">
                  <c:v>44741</c:v>
                </c:pt>
                <c:pt idx="283">
                  <c:v>44740</c:v>
                </c:pt>
                <c:pt idx="284">
                  <c:v>44739</c:v>
                </c:pt>
                <c:pt idx="285">
                  <c:v>44736</c:v>
                </c:pt>
                <c:pt idx="286">
                  <c:v>44735</c:v>
                </c:pt>
                <c:pt idx="287">
                  <c:v>44734</c:v>
                </c:pt>
                <c:pt idx="288">
                  <c:v>44733</c:v>
                </c:pt>
                <c:pt idx="289">
                  <c:v>44732</c:v>
                </c:pt>
                <c:pt idx="290">
                  <c:v>44729</c:v>
                </c:pt>
                <c:pt idx="291">
                  <c:v>44728</c:v>
                </c:pt>
                <c:pt idx="292">
                  <c:v>44727</c:v>
                </c:pt>
                <c:pt idx="293">
                  <c:v>44726</c:v>
                </c:pt>
                <c:pt idx="294">
                  <c:v>44725</c:v>
                </c:pt>
                <c:pt idx="295">
                  <c:v>44722</c:v>
                </c:pt>
                <c:pt idx="296">
                  <c:v>44721</c:v>
                </c:pt>
                <c:pt idx="297">
                  <c:v>44720</c:v>
                </c:pt>
                <c:pt idx="298">
                  <c:v>44719</c:v>
                </c:pt>
                <c:pt idx="299">
                  <c:v>44715</c:v>
                </c:pt>
                <c:pt idx="300">
                  <c:v>44714</c:v>
                </c:pt>
                <c:pt idx="301">
                  <c:v>44712</c:v>
                </c:pt>
                <c:pt idx="302">
                  <c:v>44711</c:v>
                </c:pt>
                <c:pt idx="303">
                  <c:v>44708</c:v>
                </c:pt>
                <c:pt idx="304">
                  <c:v>44707</c:v>
                </c:pt>
                <c:pt idx="305">
                  <c:v>44706</c:v>
                </c:pt>
                <c:pt idx="306">
                  <c:v>44705</c:v>
                </c:pt>
                <c:pt idx="307">
                  <c:v>44704</c:v>
                </c:pt>
                <c:pt idx="308">
                  <c:v>44701</c:v>
                </c:pt>
                <c:pt idx="309">
                  <c:v>44700</c:v>
                </c:pt>
                <c:pt idx="310">
                  <c:v>44699</c:v>
                </c:pt>
                <c:pt idx="311">
                  <c:v>44698</c:v>
                </c:pt>
                <c:pt idx="312">
                  <c:v>44697</c:v>
                </c:pt>
                <c:pt idx="313">
                  <c:v>44694</c:v>
                </c:pt>
                <c:pt idx="314">
                  <c:v>44693</c:v>
                </c:pt>
                <c:pt idx="315">
                  <c:v>44692</c:v>
                </c:pt>
                <c:pt idx="316">
                  <c:v>44691</c:v>
                </c:pt>
                <c:pt idx="317">
                  <c:v>44690</c:v>
                </c:pt>
                <c:pt idx="318">
                  <c:v>44687</c:v>
                </c:pt>
                <c:pt idx="319">
                  <c:v>44685</c:v>
                </c:pt>
                <c:pt idx="320">
                  <c:v>44684</c:v>
                </c:pt>
                <c:pt idx="321">
                  <c:v>44683</c:v>
                </c:pt>
                <c:pt idx="322">
                  <c:v>44680</c:v>
                </c:pt>
                <c:pt idx="323">
                  <c:v>44679</c:v>
                </c:pt>
                <c:pt idx="324">
                  <c:v>44678</c:v>
                </c:pt>
                <c:pt idx="325">
                  <c:v>44677</c:v>
                </c:pt>
                <c:pt idx="326">
                  <c:v>44676</c:v>
                </c:pt>
                <c:pt idx="327">
                  <c:v>44673</c:v>
                </c:pt>
                <c:pt idx="328">
                  <c:v>44672</c:v>
                </c:pt>
                <c:pt idx="329">
                  <c:v>44671</c:v>
                </c:pt>
                <c:pt idx="330">
                  <c:v>44670</c:v>
                </c:pt>
                <c:pt idx="331">
                  <c:v>44669</c:v>
                </c:pt>
                <c:pt idx="332">
                  <c:v>44666</c:v>
                </c:pt>
                <c:pt idx="333">
                  <c:v>44665</c:v>
                </c:pt>
                <c:pt idx="334">
                  <c:v>44664</c:v>
                </c:pt>
                <c:pt idx="335">
                  <c:v>44663</c:v>
                </c:pt>
                <c:pt idx="336">
                  <c:v>44662</c:v>
                </c:pt>
                <c:pt idx="337">
                  <c:v>44659</c:v>
                </c:pt>
                <c:pt idx="338">
                  <c:v>44658</c:v>
                </c:pt>
                <c:pt idx="339">
                  <c:v>44657</c:v>
                </c:pt>
                <c:pt idx="340">
                  <c:v>44656</c:v>
                </c:pt>
                <c:pt idx="341">
                  <c:v>44655</c:v>
                </c:pt>
                <c:pt idx="342">
                  <c:v>44652</c:v>
                </c:pt>
                <c:pt idx="343">
                  <c:v>44651</c:v>
                </c:pt>
                <c:pt idx="344">
                  <c:v>44650</c:v>
                </c:pt>
                <c:pt idx="345">
                  <c:v>44649</c:v>
                </c:pt>
                <c:pt idx="346">
                  <c:v>44648</c:v>
                </c:pt>
                <c:pt idx="347">
                  <c:v>44645</c:v>
                </c:pt>
                <c:pt idx="348">
                  <c:v>44644</c:v>
                </c:pt>
                <c:pt idx="349">
                  <c:v>44643</c:v>
                </c:pt>
                <c:pt idx="350">
                  <c:v>44642</c:v>
                </c:pt>
                <c:pt idx="351">
                  <c:v>44641</c:v>
                </c:pt>
                <c:pt idx="352">
                  <c:v>44638</c:v>
                </c:pt>
                <c:pt idx="353">
                  <c:v>44637</c:v>
                </c:pt>
                <c:pt idx="354">
                  <c:v>44636</c:v>
                </c:pt>
                <c:pt idx="355">
                  <c:v>44635</c:v>
                </c:pt>
                <c:pt idx="356">
                  <c:v>44634</c:v>
                </c:pt>
                <c:pt idx="357">
                  <c:v>44631</c:v>
                </c:pt>
                <c:pt idx="358">
                  <c:v>44630</c:v>
                </c:pt>
                <c:pt idx="359">
                  <c:v>44628</c:v>
                </c:pt>
                <c:pt idx="360">
                  <c:v>44627</c:v>
                </c:pt>
                <c:pt idx="361">
                  <c:v>44624</c:v>
                </c:pt>
                <c:pt idx="362">
                  <c:v>44623</c:v>
                </c:pt>
                <c:pt idx="363">
                  <c:v>44622</c:v>
                </c:pt>
                <c:pt idx="364">
                  <c:v>44620</c:v>
                </c:pt>
                <c:pt idx="365">
                  <c:v>44617</c:v>
                </c:pt>
                <c:pt idx="366">
                  <c:v>44616</c:v>
                </c:pt>
                <c:pt idx="367">
                  <c:v>44615</c:v>
                </c:pt>
                <c:pt idx="368">
                  <c:v>44614</c:v>
                </c:pt>
                <c:pt idx="369">
                  <c:v>44613</c:v>
                </c:pt>
                <c:pt idx="370">
                  <c:v>44610</c:v>
                </c:pt>
                <c:pt idx="371">
                  <c:v>44609</c:v>
                </c:pt>
                <c:pt idx="372">
                  <c:v>44608</c:v>
                </c:pt>
                <c:pt idx="373">
                  <c:v>44607</c:v>
                </c:pt>
                <c:pt idx="374">
                  <c:v>44606</c:v>
                </c:pt>
                <c:pt idx="375">
                  <c:v>44603</c:v>
                </c:pt>
                <c:pt idx="376">
                  <c:v>44602</c:v>
                </c:pt>
                <c:pt idx="377">
                  <c:v>44601</c:v>
                </c:pt>
                <c:pt idx="378">
                  <c:v>44600</c:v>
                </c:pt>
                <c:pt idx="379">
                  <c:v>44599</c:v>
                </c:pt>
                <c:pt idx="380">
                  <c:v>44596</c:v>
                </c:pt>
                <c:pt idx="381">
                  <c:v>44595</c:v>
                </c:pt>
                <c:pt idx="382">
                  <c:v>44589</c:v>
                </c:pt>
                <c:pt idx="383">
                  <c:v>44588</c:v>
                </c:pt>
                <c:pt idx="384">
                  <c:v>44587</c:v>
                </c:pt>
                <c:pt idx="385">
                  <c:v>44586</c:v>
                </c:pt>
                <c:pt idx="386">
                  <c:v>44585</c:v>
                </c:pt>
                <c:pt idx="387">
                  <c:v>44582</c:v>
                </c:pt>
                <c:pt idx="388">
                  <c:v>44581</c:v>
                </c:pt>
                <c:pt idx="389">
                  <c:v>44580</c:v>
                </c:pt>
                <c:pt idx="390">
                  <c:v>44579</c:v>
                </c:pt>
                <c:pt idx="391">
                  <c:v>44578</c:v>
                </c:pt>
                <c:pt idx="392">
                  <c:v>44575</c:v>
                </c:pt>
                <c:pt idx="393">
                  <c:v>44574</c:v>
                </c:pt>
                <c:pt idx="394">
                  <c:v>44573</c:v>
                </c:pt>
                <c:pt idx="395">
                  <c:v>44572</c:v>
                </c:pt>
                <c:pt idx="396">
                  <c:v>44571</c:v>
                </c:pt>
                <c:pt idx="397">
                  <c:v>44568</c:v>
                </c:pt>
                <c:pt idx="398">
                  <c:v>44567</c:v>
                </c:pt>
                <c:pt idx="399">
                  <c:v>44566</c:v>
                </c:pt>
                <c:pt idx="400">
                  <c:v>44565</c:v>
                </c:pt>
                <c:pt idx="401">
                  <c:v>44564</c:v>
                </c:pt>
                <c:pt idx="402">
                  <c:v>44560</c:v>
                </c:pt>
                <c:pt idx="403">
                  <c:v>44559</c:v>
                </c:pt>
                <c:pt idx="404">
                  <c:v>44558</c:v>
                </c:pt>
                <c:pt idx="405">
                  <c:v>44557</c:v>
                </c:pt>
                <c:pt idx="406">
                  <c:v>44554</c:v>
                </c:pt>
                <c:pt idx="407">
                  <c:v>44553</c:v>
                </c:pt>
                <c:pt idx="408">
                  <c:v>44552</c:v>
                </c:pt>
                <c:pt idx="409">
                  <c:v>44551</c:v>
                </c:pt>
                <c:pt idx="410">
                  <c:v>44550</c:v>
                </c:pt>
                <c:pt idx="411">
                  <c:v>44547</c:v>
                </c:pt>
                <c:pt idx="412">
                  <c:v>44546</c:v>
                </c:pt>
                <c:pt idx="413">
                  <c:v>44545</c:v>
                </c:pt>
                <c:pt idx="414">
                  <c:v>44544</c:v>
                </c:pt>
                <c:pt idx="415">
                  <c:v>44543</c:v>
                </c:pt>
                <c:pt idx="416">
                  <c:v>44540</c:v>
                </c:pt>
                <c:pt idx="417">
                  <c:v>44539</c:v>
                </c:pt>
                <c:pt idx="418">
                  <c:v>44538</c:v>
                </c:pt>
                <c:pt idx="419">
                  <c:v>44537</c:v>
                </c:pt>
                <c:pt idx="420">
                  <c:v>44536</c:v>
                </c:pt>
                <c:pt idx="421">
                  <c:v>44533</c:v>
                </c:pt>
                <c:pt idx="422">
                  <c:v>44532</c:v>
                </c:pt>
                <c:pt idx="423">
                  <c:v>44531</c:v>
                </c:pt>
                <c:pt idx="424">
                  <c:v>44530</c:v>
                </c:pt>
                <c:pt idx="425">
                  <c:v>44529</c:v>
                </c:pt>
                <c:pt idx="426">
                  <c:v>44526</c:v>
                </c:pt>
                <c:pt idx="427">
                  <c:v>44525</c:v>
                </c:pt>
                <c:pt idx="428">
                  <c:v>44524</c:v>
                </c:pt>
                <c:pt idx="429">
                  <c:v>44523</c:v>
                </c:pt>
                <c:pt idx="430">
                  <c:v>44522</c:v>
                </c:pt>
                <c:pt idx="431">
                  <c:v>44519</c:v>
                </c:pt>
                <c:pt idx="432">
                  <c:v>44518</c:v>
                </c:pt>
                <c:pt idx="433">
                  <c:v>44517</c:v>
                </c:pt>
                <c:pt idx="434">
                  <c:v>44516</c:v>
                </c:pt>
                <c:pt idx="435">
                  <c:v>44515</c:v>
                </c:pt>
                <c:pt idx="436">
                  <c:v>44512</c:v>
                </c:pt>
                <c:pt idx="437">
                  <c:v>44511</c:v>
                </c:pt>
                <c:pt idx="438">
                  <c:v>44510</c:v>
                </c:pt>
                <c:pt idx="439">
                  <c:v>44509</c:v>
                </c:pt>
                <c:pt idx="440">
                  <c:v>44508</c:v>
                </c:pt>
                <c:pt idx="441">
                  <c:v>44505</c:v>
                </c:pt>
                <c:pt idx="442">
                  <c:v>44504</c:v>
                </c:pt>
                <c:pt idx="443">
                  <c:v>44503</c:v>
                </c:pt>
                <c:pt idx="444">
                  <c:v>44502</c:v>
                </c:pt>
                <c:pt idx="445">
                  <c:v>44501</c:v>
                </c:pt>
                <c:pt idx="446">
                  <c:v>44498</c:v>
                </c:pt>
                <c:pt idx="447">
                  <c:v>44497</c:v>
                </c:pt>
                <c:pt idx="448">
                  <c:v>44496</c:v>
                </c:pt>
                <c:pt idx="449">
                  <c:v>44495</c:v>
                </c:pt>
                <c:pt idx="450">
                  <c:v>44494</c:v>
                </c:pt>
                <c:pt idx="451">
                  <c:v>44491</c:v>
                </c:pt>
                <c:pt idx="452">
                  <c:v>44490</c:v>
                </c:pt>
                <c:pt idx="453">
                  <c:v>44489</c:v>
                </c:pt>
                <c:pt idx="454">
                  <c:v>44488</c:v>
                </c:pt>
                <c:pt idx="455">
                  <c:v>44487</c:v>
                </c:pt>
                <c:pt idx="456">
                  <c:v>44484</c:v>
                </c:pt>
                <c:pt idx="457">
                  <c:v>44483</c:v>
                </c:pt>
                <c:pt idx="458">
                  <c:v>44482</c:v>
                </c:pt>
                <c:pt idx="459">
                  <c:v>44481</c:v>
                </c:pt>
                <c:pt idx="460">
                  <c:v>44477</c:v>
                </c:pt>
                <c:pt idx="461">
                  <c:v>44476</c:v>
                </c:pt>
                <c:pt idx="462">
                  <c:v>44475</c:v>
                </c:pt>
                <c:pt idx="463">
                  <c:v>44474</c:v>
                </c:pt>
                <c:pt idx="464">
                  <c:v>44470</c:v>
                </c:pt>
                <c:pt idx="465">
                  <c:v>44469</c:v>
                </c:pt>
                <c:pt idx="466">
                  <c:v>44468</c:v>
                </c:pt>
                <c:pt idx="467">
                  <c:v>44467</c:v>
                </c:pt>
                <c:pt idx="468">
                  <c:v>44466</c:v>
                </c:pt>
                <c:pt idx="469">
                  <c:v>44463</c:v>
                </c:pt>
                <c:pt idx="470">
                  <c:v>44462</c:v>
                </c:pt>
                <c:pt idx="471">
                  <c:v>44456</c:v>
                </c:pt>
                <c:pt idx="472">
                  <c:v>44455</c:v>
                </c:pt>
                <c:pt idx="473">
                  <c:v>44454</c:v>
                </c:pt>
                <c:pt idx="474">
                  <c:v>44453</c:v>
                </c:pt>
                <c:pt idx="475">
                  <c:v>44452</c:v>
                </c:pt>
                <c:pt idx="476">
                  <c:v>44449</c:v>
                </c:pt>
                <c:pt idx="477">
                  <c:v>44448</c:v>
                </c:pt>
                <c:pt idx="478">
                  <c:v>44447</c:v>
                </c:pt>
                <c:pt idx="479">
                  <c:v>44446</c:v>
                </c:pt>
                <c:pt idx="480">
                  <c:v>44445</c:v>
                </c:pt>
                <c:pt idx="481">
                  <c:v>44442</c:v>
                </c:pt>
                <c:pt idx="482">
                  <c:v>44441</c:v>
                </c:pt>
                <c:pt idx="483">
                  <c:v>44440</c:v>
                </c:pt>
                <c:pt idx="484">
                  <c:v>44439</c:v>
                </c:pt>
                <c:pt idx="485">
                  <c:v>44438</c:v>
                </c:pt>
                <c:pt idx="486">
                  <c:v>44435</c:v>
                </c:pt>
                <c:pt idx="487">
                  <c:v>44434</c:v>
                </c:pt>
                <c:pt idx="488">
                  <c:v>44433</c:v>
                </c:pt>
                <c:pt idx="489">
                  <c:v>44432</c:v>
                </c:pt>
                <c:pt idx="490">
                  <c:v>44431</c:v>
                </c:pt>
                <c:pt idx="491">
                  <c:v>44428</c:v>
                </c:pt>
                <c:pt idx="492">
                  <c:v>44427</c:v>
                </c:pt>
                <c:pt idx="493">
                  <c:v>44426</c:v>
                </c:pt>
                <c:pt idx="494">
                  <c:v>44425</c:v>
                </c:pt>
                <c:pt idx="495">
                  <c:v>44421</c:v>
                </c:pt>
                <c:pt idx="496">
                  <c:v>44420</c:v>
                </c:pt>
                <c:pt idx="497">
                  <c:v>44419</c:v>
                </c:pt>
                <c:pt idx="498">
                  <c:v>44418</c:v>
                </c:pt>
              </c:numCache>
            </c:numRef>
          </c:cat>
          <c:val>
            <c:numRef>
              <c:f>국내시장주요지표!$AQ$68:$AQ$566</c:f>
              <c:numCache>
                <c:formatCode>General</c:formatCode>
                <c:ptCount val="499"/>
                <c:pt idx="0">
                  <c:v>4.5609999999999999</c:v>
                </c:pt>
                <c:pt idx="1">
                  <c:v>4.4880000000000004</c:v>
                </c:pt>
                <c:pt idx="2">
                  <c:v>4.5199999999999996</c:v>
                </c:pt>
                <c:pt idx="3">
                  <c:v>4.4749999999999996</c:v>
                </c:pt>
                <c:pt idx="4">
                  <c:v>4.4640000000000004</c:v>
                </c:pt>
                <c:pt idx="5">
                  <c:v>4.4480000000000004</c:v>
                </c:pt>
                <c:pt idx="6">
                  <c:v>4.4240000000000004</c:v>
                </c:pt>
                <c:pt idx="7">
                  <c:v>4.468</c:v>
                </c:pt>
                <c:pt idx="8">
                  <c:v>4.5190000000000001</c:v>
                </c:pt>
                <c:pt idx="9">
                  <c:v>4.4960000000000004</c:v>
                </c:pt>
                <c:pt idx="10">
                  <c:v>4.4660000000000002</c:v>
                </c:pt>
                <c:pt idx="11">
                  <c:v>4.4349999999999996</c:v>
                </c:pt>
                <c:pt idx="12">
                  <c:v>4.4669999999999996</c:v>
                </c:pt>
                <c:pt idx="13">
                  <c:v>4.423</c:v>
                </c:pt>
                <c:pt idx="14">
                  <c:v>4.3739999999999997</c:v>
                </c:pt>
                <c:pt idx="15">
                  <c:v>4.4130000000000003</c:v>
                </c:pt>
                <c:pt idx="16">
                  <c:v>4.4349999999999996</c:v>
                </c:pt>
                <c:pt idx="17">
                  <c:v>4.41</c:v>
                </c:pt>
                <c:pt idx="18">
                  <c:v>4.399</c:v>
                </c:pt>
                <c:pt idx="19">
                  <c:v>4.3789999999999996</c:v>
                </c:pt>
                <c:pt idx="20">
                  <c:v>4.3410000000000002</c:v>
                </c:pt>
                <c:pt idx="21">
                  <c:v>4.3979999999999997</c:v>
                </c:pt>
                <c:pt idx="22">
                  <c:v>4.4139999999999997</c:v>
                </c:pt>
                <c:pt idx="23">
                  <c:v>4.42</c:v>
                </c:pt>
                <c:pt idx="24">
                  <c:v>4.4080000000000004</c:v>
                </c:pt>
                <c:pt idx="25">
                  <c:v>4.5119999999999996</c:v>
                </c:pt>
                <c:pt idx="26">
                  <c:v>4.5019999999999998</c:v>
                </c:pt>
                <c:pt idx="27">
                  <c:v>4.5940000000000003</c:v>
                </c:pt>
                <c:pt idx="28">
                  <c:v>4.5339999999999998</c:v>
                </c:pt>
                <c:pt idx="29">
                  <c:v>4.4749999999999996</c:v>
                </c:pt>
                <c:pt idx="30">
                  <c:v>4.4249999999999998</c:v>
                </c:pt>
                <c:pt idx="31">
                  <c:v>4.4290000000000003</c:v>
                </c:pt>
                <c:pt idx="32">
                  <c:v>4.4210000000000003</c:v>
                </c:pt>
                <c:pt idx="33">
                  <c:v>4.4729999999999999</c:v>
                </c:pt>
                <c:pt idx="34">
                  <c:v>4.391</c:v>
                </c:pt>
                <c:pt idx="35">
                  <c:v>4.3650000000000002</c:v>
                </c:pt>
                <c:pt idx="36">
                  <c:v>4.3479999999999999</c:v>
                </c:pt>
                <c:pt idx="37">
                  <c:v>4.375</c:v>
                </c:pt>
                <c:pt idx="38">
                  <c:v>4.4189999999999996</c:v>
                </c:pt>
                <c:pt idx="39">
                  <c:v>4.4000000000000004</c:v>
                </c:pt>
                <c:pt idx="40">
                  <c:v>4.3780000000000001</c:v>
                </c:pt>
                <c:pt idx="41">
                  <c:v>4.38</c:v>
                </c:pt>
                <c:pt idx="42">
                  <c:v>4.3899999999999997</c:v>
                </c:pt>
                <c:pt idx="43">
                  <c:v>4.3949999999999996</c:v>
                </c:pt>
                <c:pt idx="44">
                  <c:v>4.4370000000000003</c:v>
                </c:pt>
                <c:pt idx="45">
                  <c:v>4.3559999999999999</c:v>
                </c:pt>
                <c:pt idx="46">
                  <c:v>4.2969999999999997</c:v>
                </c:pt>
                <c:pt idx="47">
                  <c:v>4.3019999999999996</c:v>
                </c:pt>
                <c:pt idx="48">
                  <c:v>4.3090000000000002</c:v>
                </c:pt>
                <c:pt idx="49">
                  <c:v>4.3440000000000003</c:v>
                </c:pt>
                <c:pt idx="50">
                  <c:v>4.2729999999999997</c:v>
                </c:pt>
                <c:pt idx="51">
                  <c:v>4.3070000000000004</c:v>
                </c:pt>
                <c:pt idx="52">
                  <c:v>4.2439999999999998</c:v>
                </c:pt>
                <c:pt idx="53">
                  <c:v>4.2850000000000001</c:v>
                </c:pt>
                <c:pt idx="54">
                  <c:v>4.2619999999999996</c:v>
                </c:pt>
                <c:pt idx="55">
                  <c:v>4.359</c:v>
                </c:pt>
                <c:pt idx="56">
                  <c:v>4.3280000000000003</c:v>
                </c:pt>
                <c:pt idx="57">
                  <c:v>4.28</c:v>
                </c:pt>
                <c:pt idx="58">
                  <c:v>4.1829999999999998</c:v>
                </c:pt>
                <c:pt idx="59">
                  <c:v>4.181</c:v>
                </c:pt>
                <c:pt idx="60">
                  <c:v>4.1269999999999998</c:v>
                </c:pt>
                <c:pt idx="61">
                  <c:v>4.1479999999999997</c:v>
                </c:pt>
                <c:pt idx="62">
                  <c:v>4.1230000000000002</c:v>
                </c:pt>
                <c:pt idx="63">
                  <c:v>4.0839999999999996</c:v>
                </c:pt>
                <c:pt idx="64">
                  <c:v>4.056</c:v>
                </c:pt>
                <c:pt idx="65">
                  <c:v>4.0890000000000004</c:v>
                </c:pt>
                <c:pt idx="66">
                  <c:v>4.0350000000000001</c:v>
                </c:pt>
                <c:pt idx="67">
                  <c:v>4.032</c:v>
                </c:pt>
                <c:pt idx="68">
                  <c:v>4.0860000000000003</c:v>
                </c:pt>
                <c:pt idx="69">
                  <c:v>4.069</c:v>
                </c:pt>
                <c:pt idx="70">
                  <c:v>4.0789999999999997</c:v>
                </c:pt>
                <c:pt idx="71">
                  <c:v>4.03</c:v>
                </c:pt>
                <c:pt idx="72">
                  <c:v>4.0940000000000003</c:v>
                </c:pt>
                <c:pt idx="73">
                  <c:v>4.1399999999999997</c:v>
                </c:pt>
                <c:pt idx="74">
                  <c:v>4.1050000000000004</c:v>
                </c:pt>
                <c:pt idx="75">
                  <c:v>4.0940000000000003</c:v>
                </c:pt>
                <c:pt idx="76">
                  <c:v>4.069</c:v>
                </c:pt>
                <c:pt idx="77">
                  <c:v>4.0759999999999996</c:v>
                </c:pt>
                <c:pt idx="78">
                  <c:v>4.0510000000000002</c:v>
                </c:pt>
                <c:pt idx="79">
                  <c:v>4.0830000000000002</c:v>
                </c:pt>
                <c:pt idx="80">
                  <c:v>4.1459999999999999</c:v>
                </c:pt>
                <c:pt idx="81">
                  <c:v>4.1459999999999999</c:v>
                </c:pt>
                <c:pt idx="82">
                  <c:v>4.101</c:v>
                </c:pt>
                <c:pt idx="83">
                  <c:v>4.0919999999999996</c:v>
                </c:pt>
                <c:pt idx="84">
                  <c:v>4.0220000000000002</c:v>
                </c:pt>
                <c:pt idx="85">
                  <c:v>4.0090000000000003</c:v>
                </c:pt>
                <c:pt idx="86">
                  <c:v>4.0419999999999998</c:v>
                </c:pt>
                <c:pt idx="87">
                  <c:v>4.0410000000000004</c:v>
                </c:pt>
                <c:pt idx="88">
                  <c:v>4.0039999999999996</c:v>
                </c:pt>
                <c:pt idx="89">
                  <c:v>4.0490000000000004</c:v>
                </c:pt>
                <c:pt idx="90">
                  <c:v>4.0220000000000002</c:v>
                </c:pt>
                <c:pt idx="91">
                  <c:v>4.0720000000000001</c:v>
                </c:pt>
                <c:pt idx="92">
                  <c:v>4.0810000000000004</c:v>
                </c:pt>
                <c:pt idx="93">
                  <c:v>4.1390000000000002</c:v>
                </c:pt>
                <c:pt idx="94">
                  <c:v>4.0739999999999998</c:v>
                </c:pt>
                <c:pt idx="95">
                  <c:v>4.0350000000000001</c:v>
                </c:pt>
                <c:pt idx="96">
                  <c:v>4.0270000000000001</c:v>
                </c:pt>
                <c:pt idx="97">
                  <c:v>4.0289999999999999</c:v>
                </c:pt>
                <c:pt idx="98">
                  <c:v>3.9889999999999999</c:v>
                </c:pt>
                <c:pt idx="99">
                  <c:v>3.9279999999999999</c:v>
                </c:pt>
                <c:pt idx="100">
                  <c:v>3.97</c:v>
                </c:pt>
                <c:pt idx="101">
                  <c:v>4.0140000000000002</c:v>
                </c:pt>
                <c:pt idx="102">
                  <c:v>4.016</c:v>
                </c:pt>
                <c:pt idx="103">
                  <c:v>3.9860000000000002</c:v>
                </c:pt>
                <c:pt idx="104">
                  <c:v>4.1100000000000003</c:v>
                </c:pt>
                <c:pt idx="105">
                  <c:v>4.0979999999999999</c:v>
                </c:pt>
                <c:pt idx="106">
                  <c:v>4.1689999999999996</c:v>
                </c:pt>
                <c:pt idx="107">
                  <c:v>4.085</c:v>
                </c:pt>
                <c:pt idx="108">
                  <c:v>4.149</c:v>
                </c:pt>
                <c:pt idx="109">
                  <c:v>4.3959999999999999</c:v>
                </c:pt>
                <c:pt idx="110">
                  <c:v>4.54</c:v>
                </c:pt>
                <c:pt idx="111">
                  <c:v>4.5339999999999998</c:v>
                </c:pt>
                <c:pt idx="112">
                  <c:v>4.41</c:v>
                </c:pt>
                <c:pt idx="113">
                  <c:v>4.4580000000000002</c:v>
                </c:pt>
                <c:pt idx="114">
                  <c:v>4.4710000000000001</c:v>
                </c:pt>
                <c:pt idx="115">
                  <c:v>4.5579999999999998</c:v>
                </c:pt>
                <c:pt idx="116">
                  <c:v>4.484</c:v>
                </c:pt>
                <c:pt idx="117">
                  <c:v>4.3659999999999997</c:v>
                </c:pt>
                <c:pt idx="118">
                  <c:v>4.2549999999999999</c:v>
                </c:pt>
                <c:pt idx="119">
                  <c:v>4.3109999999999999</c:v>
                </c:pt>
                <c:pt idx="120">
                  <c:v>4.3419999999999996</c:v>
                </c:pt>
                <c:pt idx="121">
                  <c:v>4.3239999999999998</c:v>
                </c:pt>
                <c:pt idx="122">
                  <c:v>4.3689999999999998</c:v>
                </c:pt>
                <c:pt idx="123">
                  <c:v>4.3449999999999998</c:v>
                </c:pt>
                <c:pt idx="124">
                  <c:v>4.2389999999999999</c:v>
                </c:pt>
                <c:pt idx="125">
                  <c:v>4.2549999999999999</c:v>
                </c:pt>
                <c:pt idx="126">
                  <c:v>4.2069999999999999</c:v>
                </c:pt>
                <c:pt idx="127">
                  <c:v>4.2519999999999998</c:v>
                </c:pt>
                <c:pt idx="128">
                  <c:v>4.2309999999999999</c:v>
                </c:pt>
                <c:pt idx="129">
                  <c:v>4.2539999999999996</c:v>
                </c:pt>
                <c:pt idx="130">
                  <c:v>4.2439999999999998</c:v>
                </c:pt>
                <c:pt idx="131">
                  <c:v>4.2439999999999998</c:v>
                </c:pt>
                <c:pt idx="132">
                  <c:v>4.2370000000000001</c:v>
                </c:pt>
                <c:pt idx="133">
                  <c:v>4.0810000000000004</c:v>
                </c:pt>
                <c:pt idx="134">
                  <c:v>4.1769999999999996</c:v>
                </c:pt>
                <c:pt idx="135">
                  <c:v>4.2679999999999998</c:v>
                </c:pt>
                <c:pt idx="136">
                  <c:v>4.3440000000000003</c:v>
                </c:pt>
                <c:pt idx="137">
                  <c:v>4.3099999999999996</c:v>
                </c:pt>
                <c:pt idx="138">
                  <c:v>4.3639999999999999</c:v>
                </c:pt>
                <c:pt idx="139">
                  <c:v>4.3609999999999998</c:v>
                </c:pt>
                <c:pt idx="140">
                  <c:v>4.4000000000000004</c:v>
                </c:pt>
                <c:pt idx="141">
                  <c:v>4.4530000000000003</c:v>
                </c:pt>
                <c:pt idx="142">
                  <c:v>4.4029999999999996</c:v>
                </c:pt>
                <c:pt idx="143">
                  <c:v>4.5599999999999996</c:v>
                </c:pt>
                <c:pt idx="144">
                  <c:v>4.6769999999999996</c:v>
                </c:pt>
                <c:pt idx="145">
                  <c:v>4.6609999999999996</c:v>
                </c:pt>
                <c:pt idx="146">
                  <c:v>4.62</c:v>
                </c:pt>
                <c:pt idx="147">
                  <c:v>4.7300000000000004</c:v>
                </c:pt>
                <c:pt idx="148">
                  <c:v>4.7839999999999998</c:v>
                </c:pt>
                <c:pt idx="149">
                  <c:v>4.8869999999999996</c:v>
                </c:pt>
                <c:pt idx="150">
                  <c:v>4.93</c:v>
                </c:pt>
                <c:pt idx="151">
                  <c:v>5.0620000000000003</c:v>
                </c:pt>
                <c:pt idx="152">
                  <c:v>5.0599999999999996</c:v>
                </c:pt>
                <c:pt idx="153">
                  <c:v>5.0780000000000003</c:v>
                </c:pt>
                <c:pt idx="154">
                  <c:v>5.1310000000000002</c:v>
                </c:pt>
                <c:pt idx="155">
                  <c:v>5.2619999999999996</c:v>
                </c:pt>
                <c:pt idx="156">
                  <c:v>5.2380000000000004</c:v>
                </c:pt>
                <c:pt idx="157">
                  <c:v>5.2030000000000003</c:v>
                </c:pt>
                <c:pt idx="158">
                  <c:v>5.2190000000000003</c:v>
                </c:pt>
                <c:pt idx="159">
                  <c:v>5.2350000000000003</c:v>
                </c:pt>
                <c:pt idx="160">
                  <c:v>5.2149999999999999</c:v>
                </c:pt>
                <c:pt idx="161">
                  <c:v>5.1920000000000002</c:v>
                </c:pt>
                <c:pt idx="162">
                  <c:v>5.2720000000000002</c:v>
                </c:pt>
                <c:pt idx="163">
                  <c:v>5.3330000000000002</c:v>
                </c:pt>
                <c:pt idx="164">
                  <c:v>5.2169999999999996</c:v>
                </c:pt>
                <c:pt idx="165">
                  <c:v>5.2270000000000003</c:v>
                </c:pt>
                <c:pt idx="166">
                  <c:v>5.2629999999999999</c:v>
                </c:pt>
                <c:pt idx="167">
                  <c:v>5.2720000000000002</c:v>
                </c:pt>
                <c:pt idx="168">
                  <c:v>5.3739999999999997</c:v>
                </c:pt>
                <c:pt idx="169">
                  <c:v>5.383</c:v>
                </c:pt>
                <c:pt idx="170">
                  <c:v>5.391</c:v>
                </c:pt>
                <c:pt idx="171">
                  <c:v>5.4119999999999999</c:v>
                </c:pt>
                <c:pt idx="172">
                  <c:v>5.4109999999999996</c:v>
                </c:pt>
                <c:pt idx="173">
                  <c:v>5.3869999999999996</c:v>
                </c:pt>
                <c:pt idx="174">
                  <c:v>5.37</c:v>
                </c:pt>
                <c:pt idx="175">
                  <c:v>5.3860000000000001</c:v>
                </c:pt>
                <c:pt idx="176">
                  <c:v>5.4219999999999997</c:v>
                </c:pt>
                <c:pt idx="177">
                  <c:v>5.4450000000000003</c:v>
                </c:pt>
                <c:pt idx="178">
                  <c:v>5.468</c:v>
                </c:pt>
                <c:pt idx="179">
                  <c:v>5.4050000000000002</c:v>
                </c:pt>
                <c:pt idx="180">
                  <c:v>5.3760000000000003</c:v>
                </c:pt>
                <c:pt idx="181">
                  <c:v>5.4020000000000001</c:v>
                </c:pt>
                <c:pt idx="182">
                  <c:v>5.5359999999999996</c:v>
                </c:pt>
                <c:pt idx="183">
                  <c:v>5.516</c:v>
                </c:pt>
                <c:pt idx="184">
                  <c:v>5.492</c:v>
                </c:pt>
                <c:pt idx="185">
                  <c:v>5.4290000000000003</c:v>
                </c:pt>
                <c:pt idx="186">
                  <c:v>5.4269999999999996</c:v>
                </c:pt>
                <c:pt idx="187">
                  <c:v>5.4160000000000004</c:v>
                </c:pt>
                <c:pt idx="188">
                  <c:v>5.3460000000000001</c:v>
                </c:pt>
                <c:pt idx="189">
                  <c:v>5.42</c:v>
                </c:pt>
                <c:pt idx="190">
                  <c:v>5.3609999999999998</c:v>
                </c:pt>
                <c:pt idx="191">
                  <c:v>5.5510000000000002</c:v>
                </c:pt>
                <c:pt idx="192">
                  <c:v>5.5940000000000003</c:v>
                </c:pt>
                <c:pt idx="193">
                  <c:v>5.6420000000000003</c:v>
                </c:pt>
                <c:pt idx="194">
                  <c:v>5.6619999999999999</c:v>
                </c:pt>
                <c:pt idx="195">
                  <c:v>5.5910000000000002</c:v>
                </c:pt>
                <c:pt idx="196">
                  <c:v>5.6159999999999997</c:v>
                </c:pt>
                <c:pt idx="197">
                  <c:v>5.5330000000000004</c:v>
                </c:pt>
                <c:pt idx="198">
                  <c:v>5.4859999999999998</c:v>
                </c:pt>
                <c:pt idx="199">
                  <c:v>5.58</c:v>
                </c:pt>
                <c:pt idx="200">
                  <c:v>5.4870000000000001</c:v>
                </c:pt>
                <c:pt idx="201">
                  <c:v>5.62</c:v>
                </c:pt>
                <c:pt idx="202">
                  <c:v>5.5529999999999999</c:v>
                </c:pt>
                <c:pt idx="203">
                  <c:v>5.5279999999999996</c:v>
                </c:pt>
                <c:pt idx="204">
                  <c:v>5.5919999999999996</c:v>
                </c:pt>
                <c:pt idx="205">
                  <c:v>5.7359999999999998</c:v>
                </c:pt>
                <c:pt idx="206">
                  <c:v>5.5880000000000001</c:v>
                </c:pt>
                <c:pt idx="207">
                  <c:v>5.5330000000000004</c:v>
                </c:pt>
                <c:pt idx="208">
                  <c:v>5.4080000000000004</c:v>
                </c:pt>
                <c:pt idx="209">
                  <c:v>5.3730000000000002</c:v>
                </c:pt>
                <c:pt idx="210">
                  <c:v>5.32</c:v>
                </c:pt>
                <c:pt idx="211">
                  <c:v>5.31</c:v>
                </c:pt>
                <c:pt idx="212">
                  <c:v>5.21</c:v>
                </c:pt>
                <c:pt idx="213">
                  <c:v>5.4359999999999999</c:v>
                </c:pt>
                <c:pt idx="214">
                  <c:v>5.3579999999999997</c:v>
                </c:pt>
                <c:pt idx="215">
                  <c:v>5.2309999999999999</c:v>
                </c:pt>
                <c:pt idx="216">
                  <c:v>5.242</c:v>
                </c:pt>
                <c:pt idx="217">
                  <c:v>5.1749999999999998</c:v>
                </c:pt>
                <c:pt idx="218">
                  <c:v>5.28</c:v>
                </c:pt>
                <c:pt idx="219">
                  <c:v>5.3780000000000001</c:v>
                </c:pt>
                <c:pt idx="220">
                  <c:v>5.3419999999999996</c:v>
                </c:pt>
                <c:pt idx="221">
                  <c:v>5.3079999999999998</c:v>
                </c:pt>
                <c:pt idx="222">
                  <c:v>5.5279999999999996</c:v>
                </c:pt>
                <c:pt idx="223">
                  <c:v>5.1890000000000001</c:v>
                </c:pt>
                <c:pt idx="224">
                  <c:v>5.0919999999999996</c:v>
                </c:pt>
                <c:pt idx="225">
                  <c:v>4.843</c:v>
                </c:pt>
                <c:pt idx="226">
                  <c:v>4.806</c:v>
                </c:pt>
                <c:pt idx="227">
                  <c:v>4.7510000000000003</c:v>
                </c:pt>
                <c:pt idx="228">
                  <c:v>4.758</c:v>
                </c:pt>
                <c:pt idx="229">
                  <c:v>4.7590000000000003</c:v>
                </c:pt>
                <c:pt idx="230">
                  <c:v>4.5789999999999997</c:v>
                </c:pt>
                <c:pt idx="231">
                  <c:v>4.5250000000000004</c:v>
                </c:pt>
                <c:pt idx="232">
                  <c:v>4.5410000000000004</c:v>
                </c:pt>
                <c:pt idx="233">
                  <c:v>4.6680000000000001</c:v>
                </c:pt>
                <c:pt idx="234">
                  <c:v>4.6619999999999999</c:v>
                </c:pt>
                <c:pt idx="235">
                  <c:v>4.5960000000000001</c:v>
                </c:pt>
                <c:pt idx="236">
                  <c:v>4.6550000000000002</c:v>
                </c:pt>
                <c:pt idx="237">
                  <c:v>4.7469999999999999</c:v>
                </c:pt>
                <c:pt idx="238">
                  <c:v>4.6580000000000004</c:v>
                </c:pt>
                <c:pt idx="239">
                  <c:v>4.6180000000000003</c:v>
                </c:pt>
                <c:pt idx="240">
                  <c:v>4.6210000000000004</c:v>
                </c:pt>
                <c:pt idx="241">
                  <c:v>4.4989999999999997</c:v>
                </c:pt>
                <c:pt idx="242">
                  <c:v>4.5069999999999997</c:v>
                </c:pt>
                <c:pt idx="243">
                  <c:v>4.298</c:v>
                </c:pt>
                <c:pt idx="244">
                  <c:v>4.2699999999999996</c:v>
                </c:pt>
                <c:pt idx="245">
                  <c:v>4.2350000000000003</c:v>
                </c:pt>
                <c:pt idx="246">
                  <c:v>4.1859999999999999</c:v>
                </c:pt>
                <c:pt idx="247">
                  <c:v>4.1139999999999999</c:v>
                </c:pt>
                <c:pt idx="248">
                  <c:v>4.0759999999999996</c:v>
                </c:pt>
                <c:pt idx="249">
                  <c:v>4.0570000000000004</c:v>
                </c:pt>
                <c:pt idx="250">
                  <c:v>4.1589999999999998</c:v>
                </c:pt>
                <c:pt idx="251">
                  <c:v>4.1109999999999998</c:v>
                </c:pt>
                <c:pt idx="252">
                  <c:v>4.133</c:v>
                </c:pt>
                <c:pt idx="253">
                  <c:v>4.1189999999999998</c:v>
                </c:pt>
                <c:pt idx="254">
                  <c:v>4.1130000000000004</c:v>
                </c:pt>
                <c:pt idx="255">
                  <c:v>4.056</c:v>
                </c:pt>
                <c:pt idx="256">
                  <c:v>4.0910000000000002</c:v>
                </c:pt>
                <c:pt idx="257">
                  <c:v>4.0449999999999999</c:v>
                </c:pt>
                <c:pt idx="258">
                  <c:v>3.9830000000000001</c:v>
                </c:pt>
                <c:pt idx="259">
                  <c:v>4.0430000000000001</c:v>
                </c:pt>
                <c:pt idx="260">
                  <c:v>3.9689999999999999</c:v>
                </c:pt>
                <c:pt idx="261">
                  <c:v>4.0819999999999999</c:v>
                </c:pt>
                <c:pt idx="262">
                  <c:v>4.0330000000000004</c:v>
                </c:pt>
                <c:pt idx="263">
                  <c:v>4.0629999999999997</c:v>
                </c:pt>
                <c:pt idx="264">
                  <c:v>4.0819999999999999</c:v>
                </c:pt>
                <c:pt idx="265">
                  <c:v>4.1349999999999998</c:v>
                </c:pt>
                <c:pt idx="266">
                  <c:v>4.202</c:v>
                </c:pt>
                <c:pt idx="267">
                  <c:v>4.1970000000000001</c:v>
                </c:pt>
                <c:pt idx="268">
                  <c:v>4.0919999999999996</c:v>
                </c:pt>
                <c:pt idx="269">
                  <c:v>4.1040000000000001</c:v>
                </c:pt>
                <c:pt idx="270">
                  <c:v>4.0910000000000002</c:v>
                </c:pt>
                <c:pt idx="271">
                  <c:v>4.1390000000000002</c:v>
                </c:pt>
                <c:pt idx="272">
                  <c:v>4.0940000000000003</c:v>
                </c:pt>
                <c:pt idx="273">
                  <c:v>4.1580000000000004</c:v>
                </c:pt>
                <c:pt idx="274">
                  <c:v>4.1980000000000004</c:v>
                </c:pt>
                <c:pt idx="275">
                  <c:v>4.1859999999999999</c:v>
                </c:pt>
                <c:pt idx="276">
                  <c:v>4.1130000000000004</c:v>
                </c:pt>
                <c:pt idx="277">
                  <c:v>4.0860000000000003</c:v>
                </c:pt>
                <c:pt idx="278">
                  <c:v>4.1280000000000001</c:v>
                </c:pt>
                <c:pt idx="279">
                  <c:v>4.2469999999999999</c:v>
                </c:pt>
                <c:pt idx="280">
                  <c:v>4.2569999999999997</c:v>
                </c:pt>
                <c:pt idx="281">
                  <c:v>4.3609999999999998</c:v>
                </c:pt>
                <c:pt idx="282">
                  <c:v>4.359</c:v>
                </c:pt>
                <c:pt idx="283">
                  <c:v>4.3390000000000004</c:v>
                </c:pt>
                <c:pt idx="284">
                  <c:v>4.3440000000000003</c:v>
                </c:pt>
                <c:pt idx="285">
                  <c:v>4.2969999999999997</c:v>
                </c:pt>
                <c:pt idx="286">
                  <c:v>4.3630000000000004</c:v>
                </c:pt>
                <c:pt idx="287">
                  <c:v>4.2750000000000004</c:v>
                </c:pt>
                <c:pt idx="288">
                  <c:v>4.4020000000000001</c:v>
                </c:pt>
                <c:pt idx="289">
                  <c:v>4.4139999999999997</c:v>
                </c:pt>
                <c:pt idx="290">
                  <c:v>4.468</c:v>
                </c:pt>
                <c:pt idx="291">
                  <c:v>4.4370000000000003</c:v>
                </c:pt>
                <c:pt idx="292">
                  <c:v>4.3710000000000004</c:v>
                </c:pt>
                <c:pt idx="293">
                  <c:v>4.2699999999999996</c:v>
                </c:pt>
                <c:pt idx="294">
                  <c:v>4.2220000000000004</c:v>
                </c:pt>
                <c:pt idx="295">
                  <c:v>3.996</c:v>
                </c:pt>
                <c:pt idx="296">
                  <c:v>3.9580000000000002</c:v>
                </c:pt>
                <c:pt idx="297">
                  <c:v>3.9820000000000002</c:v>
                </c:pt>
                <c:pt idx="298">
                  <c:v>4.0010000000000003</c:v>
                </c:pt>
                <c:pt idx="299">
                  <c:v>3.8959999999999999</c:v>
                </c:pt>
                <c:pt idx="300">
                  <c:v>3.8969999999999998</c:v>
                </c:pt>
                <c:pt idx="301">
                  <c:v>3.8069999999999999</c:v>
                </c:pt>
                <c:pt idx="302">
                  <c:v>3.7240000000000002</c:v>
                </c:pt>
                <c:pt idx="303">
                  <c:v>3.7280000000000002</c:v>
                </c:pt>
                <c:pt idx="304">
                  <c:v>3.7330000000000001</c:v>
                </c:pt>
                <c:pt idx="305">
                  <c:v>3.72</c:v>
                </c:pt>
                <c:pt idx="306">
                  <c:v>3.742</c:v>
                </c:pt>
                <c:pt idx="307">
                  <c:v>3.7959999999999998</c:v>
                </c:pt>
                <c:pt idx="308">
                  <c:v>3.7839999999999998</c:v>
                </c:pt>
                <c:pt idx="309">
                  <c:v>3.8210000000000002</c:v>
                </c:pt>
                <c:pt idx="310">
                  <c:v>3.8319999999999999</c:v>
                </c:pt>
                <c:pt idx="311">
                  <c:v>3.7839999999999998</c:v>
                </c:pt>
                <c:pt idx="312">
                  <c:v>3.7810000000000001</c:v>
                </c:pt>
                <c:pt idx="313">
                  <c:v>3.673</c:v>
                </c:pt>
                <c:pt idx="314">
                  <c:v>3.657</c:v>
                </c:pt>
                <c:pt idx="315">
                  <c:v>3.6909999999999998</c:v>
                </c:pt>
                <c:pt idx="316">
                  <c:v>3.7829999999999999</c:v>
                </c:pt>
                <c:pt idx="317">
                  <c:v>3.8</c:v>
                </c:pt>
                <c:pt idx="318">
                  <c:v>3.8730000000000002</c:v>
                </c:pt>
                <c:pt idx="319">
                  <c:v>3.887</c:v>
                </c:pt>
                <c:pt idx="320">
                  <c:v>3.855</c:v>
                </c:pt>
                <c:pt idx="321">
                  <c:v>3.794</c:v>
                </c:pt>
                <c:pt idx="322">
                  <c:v>3.68</c:v>
                </c:pt>
                <c:pt idx="323">
                  <c:v>3.6360000000000001</c:v>
                </c:pt>
                <c:pt idx="324">
                  <c:v>3.5950000000000002</c:v>
                </c:pt>
                <c:pt idx="325">
                  <c:v>3.5840000000000001</c:v>
                </c:pt>
                <c:pt idx="326">
                  <c:v>3.6019999999999999</c:v>
                </c:pt>
                <c:pt idx="327">
                  <c:v>3.6880000000000002</c:v>
                </c:pt>
                <c:pt idx="328">
                  <c:v>3.6469999999999998</c:v>
                </c:pt>
                <c:pt idx="329">
                  <c:v>3.6619999999999999</c:v>
                </c:pt>
                <c:pt idx="330">
                  <c:v>3.6709999999999998</c:v>
                </c:pt>
                <c:pt idx="331">
                  <c:v>3.6890000000000001</c:v>
                </c:pt>
                <c:pt idx="332">
                  <c:v>3.64</c:v>
                </c:pt>
                <c:pt idx="333">
                  <c:v>3.5830000000000002</c:v>
                </c:pt>
                <c:pt idx="334">
                  <c:v>3.6880000000000002</c:v>
                </c:pt>
                <c:pt idx="335">
                  <c:v>3.774</c:v>
                </c:pt>
                <c:pt idx="336">
                  <c:v>3.8130000000000002</c:v>
                </c:pt>
                <c:pt idx="337">
                  <c:v>3.6360000000000001</c:v>
                </c:pt>
                <c:pt idx="338">
                  <c:v>3.5619999999999998</c:v>
                </c:pt>
                <c:pt idx="339">
                  <c:v>3.5920000000000001</c:v>
                </c:pt>
                <c:pt idx="340">
                  <c:v>3.5419999999999998</c:v>
                </c:pt>
                <c:pt idx="341">
                  <c:v>3.4990000000000001</c:v>
                </c:pt>
                <c:pt idx="342">
                  <c:v>3.4580000000000002</c:v>
                </c:pt>
                <c:pt idx="343">
                  <c:v>3.34</c:v>
                </c:pt>
                <c:pt idx="344">
                  <c:v>3.2909999999999999</c:v>
                </c:pt>
                <c:pt idx="345">
                  <c:v>3.3610000000000002</c:v>
                </c:pt>
                <c:pt idx="346">
                  <c:v>3.3940000000000001</c:v>
                </c:pt>
                <c:pt idx="347">
                  <c:v>3.1629999999999998</c:v>
                </c:pt>
                <c:pt idx="348">
                  <c:v>3.1040000000000001</c:v>
                </c:pt>
                <c:pt idx="349">
                  <c:v>3.073</c:v>
                </c:pt>
                <c:pt idx="350">
                  <c:v>3.0449999999999999</c:v>
                </c:pt>
                <c:pt idx="351">
                  <c:v>2.944</c:v>
                </c:pt>
                <c:pt idx="352">
                  <c:v>2.911</c:v>
                </c:pt>
                <c:pt idx="353">
                  <c:v>2.9020000000000001</c:v>
                </c:pt>
                <c:pt idx="354">
                  <c:v>2.948</c:v>
                </c:pt>
                <c:pt idx="355">
                  <c:v>2.9649999999999999</c:v>
                </c:pt>
                <c:pt idx="356">
                  <c:v>2.9470000000000001</c:v>
                </c:pt>
                <c:pt idx="357">
                  <c:v>2.92</c:v>
                </c:pt>
                <c:pt idx="358">
                  <c:v>2.9329999999999998</c:v>
                </c:pt>
                <c:pt idx="359">
                  <c:v>2.931</c:v>
                </c:pt>
                <c:pt idx="360">
                  <c:v>2.9220000000000002</c:v>
                </c:pt>
                <c:pt idx="361">
                  <c:v>2.8479999999999999</c:v>
                </c:pt>
                <c:pt idx="362">
                  <c:v>2.835</c:v>
                </c:pt>
                <c:pt idx="363">
                  <c:v>2.8130000000000002</c:v>
                </c:pt>
                <c:pt idx="364">
                  <c:v>2.855</c:v>
                </c:pt>
                <c:pt idx="365">
                  <c:v>2.8540000000000001</c:v>
                </c:pt>
                <c:pt idx="366">
                  <c:v>2.83</c:v>
                </c:pt>
                <c:pt idx="367">
                  <c:v>2.9129999999999998</c:v>
                </c:pt>
                <c:pt idx="368">
                  <c:v>2.9159999999999999</c:v>
                </c:pt>
                <c:pt idx="369">
                  <c:v>2.9489999999999998</c:v>
                </c:pt>
                <c:pt idx="370">
                  <c:v>2.9159999999999999</c:v>
                </c:pt>
                <c:pt idx="371">
                  <c:v>2.895</c:v>
                </c:pt>
                <c:pt idx="372">
                  <c:v>2.9129999999999998</c:v>
                </c:pt>
                <c:pt idx="373">
                  <c:v>2.9279999999999999</c:v>
                </c:pt>
                <c:pt idx="374">
                  <c:v>2.9260000000000002</c:v>
                </c:pt>
                <c:pt idx="375">
                  <c:v>2.9209999999999998</c:v>
                </c:pt>
                <c:pt idx="376">
                  <c:v>2.85</c:v>
                </c:pt>
                <c:pt idx="377">
                  <c:v>2.8570000000000002</c:v>
                </c:pt>
                <c:pt idx="378">
                  <c:v>2.867</c:v>
                </c:pt>
                <c:pt idx="379">
                  <c:v>2.8149999999999999</c:v>
                </c:pt>
                <c:pt idx="380">
                  <c:v>2.7709999999999999</c:v>
                </c:pt>
                <c:pt idx="381">
                  <c:v>2.7330000000000001</c:v>
                </c:pt>
                <c:pt idx="382">
                  <c:v>2.7650000000000001</c:v>
                </c:pt>
                <c:pt idx="383">
                  <c:v>2.7810000000000001</c:v>
                </c:pt>
                <c:pt idx="384">
                  <c:v>2.7130000000000001</c:v>
                </c:pt>
                <c:pt idx="385">
                  <c:v>2.7250000000000001</c:v>
                </c:pt>
                <c:pt idx="386">
                  <c:v>2.6749999999999998</c:v>
                </c:pt>
                <c:pt idx="387">
                  <c:v>2.6930000000000001</c:v>
                </c:pt>
                <c:pt idx="388">
                  <c:v>2.6840000000000002</c:v>
                </c:pt>
                <c:pt idx="389">
                  <c:v>2.645</c:v>
                </c:pt>
                <c:pt idx="390">
                  <c:v>2.6850000000000001</c:v>
                </c:pt>
                <c:pt idx="391">
                  <c:v>2.6989999999999998</c:v>
                </c:pt>
                <c:pt idx="392">
                  <c:v>2.6</c:v>
                </c:pt>
                <c:pt idx="393">
                  <c:v>2.5369999999999999</c:v>
                </c:pt>
                <c:pt idx="394">
                  <c:v>2.5760000000000001</c:v>
                </c:pt>
                <c:pt idx="395">
                  <c:v>2.6110000000000002</c:v>
                </c:pt>
                <c:pt idx="396">
                  <c:v>2.6240000000000001</c:v>
                </c:pt>
                <c:pt idx="397">
                  <c:v>2.593</c:v>
                </c:pt>
                <c:pt idx="398">
                  <c:v>2.59</c:v>
                </c:pt>
                <c:pt idx="399">
                  <c:v>2.5059999999999998</c:v>
                </c:pt>
                <c:pt idx="400">
                  <c:v>2.4740000000000002</c:v>
                </c:pt>
                <c:pt idx="401">
                  <c:v>2.46</c:v>
                </c:pt>
                <c:pt idx="402">
                  <c:v>2.4169999999999998</c:v>
                </c:pt>
                <c:pt idx="403">
                  <c:v>2.4089999999999998</c:v>
                </c:pt>
                <c:pt idx="404">
                  <c:v>2.4169999999999998</c:v>
                </c:pt>
                <c:pt idx="405">
                  <c:v>2.411</c:v>
                </c:pt>
                <c:pt idx="406">
                  <c:v>2.4380000000000002</c:v>
                </c:pt>
                <c:pt idx="407">
                  <c:v>2.4409999999999998</c:v>
                </c:pt>
                <c:pt idx="408">
                  <c:v>2.3919999999999999</c:v>
                </c:pt>
                <c:pt idx="409">
                  <c:v>2.355</c:v>
                </c:pt>
                <c:pt idx="410">
                  <c:v>2.3719999999999999</c:v>
                </c:pt>
                <c:pt idx="411">
                  <c:v>2.3980000000000001</c:v>
                </c:pt>
                <c:pt idx="412">
                  <c:v>2.3980000000000001</c:v>
                </c:pt>
                <c:pt idx="413">
                  <c:v>2.4300000000000002</c:v>
                </c:pt>
                <c:pt idx="414">
                  <c:v>2.4020000000000001</c:v>
                </c:pt>
                <c:pt idx="415">
                  <c:v>2.4020000000000001</c:v>
                </c:pt>
                <c:pt idx="416">
                  <c:v>2.399</c:v>
                </c:pt>
                <c:pt idx="417">
                  <c:v>2.3849999999999998</c:v>
                </c:pt>
                <c:pt idx="418">
                  <c:v>2.4089999999999998</c:v>
                </c:pt>
                <c:pt idx="419">
                  <c:v>2.4460000000000002</c:v>
                </c:pt>
                <c:pt idx="420">
                  <c:v>2.4359999999999999</c:v>
                </c:pt>
                <c:pt idx="421">
                  <c:v>2.464</c:v>
                </c:pt>
                <c:pt idx="422">
                  <c:v>2.4060000000000001</c:v>
                </c:pt>
                <c:pt idx="423">
                  <c:v>2.3849999999999998</c:v>
                </c:pt>
                <c:pt idx="424">
                  <c:v>2.3730000000000002</c:v>
                </c:pt>
                <c:pt idx="425">
                  <c:v>2.4180000000000001</c:v>
                </c:pt>
                <c:pt idx="426">
                  <c:v>2.4329999999999998</c:v>
                </c:pt>
                <c:pt idx="427">
                  <c:v>2.4990000000000001</c:v>
                </c:pt>
                <c:pt idx="428">
                  <c:v>2.569</c:v>
                </c:pt>
                <c:pt idx="429">
                  <c:v>2.5819999999999999</c:v>
                </c:pt>
                <c:pt idx="430">
                  <c:v>2.5630000000000002</c:v>
                </c:pt>
                <c:pt idx="431">
                  <c:v>2.5129999999999999</c:v>
                </c:pt>
                <c:pt idx="432">
                  <c:v>2.5009999999999999</c:v>
                </c:pt>
                <c:pt idx="433">
                  <c:v>2.5169999999999999</c:v>
                </c:pt>
                <c:pt idx="434">
                  <c:v>2.5049999999999999</c:v>
                </c:pt>
                <c:pt idx="435">
                  <c:v>2.4569999999999999</c:v>
                </c:pt>
                <c:pt idx="436">
                  <c:v>2.4990000000000001</c:v>
                </c:pt>
                <c:pt idx="437">
                  <c:v>2.4529999999999998</c:v>
                </c:pt>
                <c:pt idx="438">
                  <c:v>2.4169999999999998</c:v>
                </c:pt>
                <c:pt idx="439">
                  <c:v>2.403</c:v>
                </c:pt>
                <c:pt idx="440">
                  <c:v>2.4380000000000002</c:v>
                </c:pt>
                <c:pt idx="441">
                  <c:v>2.468</c:v>
                </c:pt>
                <c:pt idx="442">
                  <c:v>2.544</c:v>
                </c:pt>
                <c:pt idx="443">
                  <c:v>2.5390000000000001</c:v>
                </c:pt>
                <c:pt idx="444">
                  <c:v>2.5419999999999998</c:v>
                </c:pt>
                <c:pt idx="445">
                  <c:v>2.58</c:v>
                </c:pt>
                <c:pt idx="446">
                  <c:v>2.573</c:v>
                </c:pt>
                <c:pt idx="447">
                  <c:v>2.4870000000000001</c:v>
                </c:pt>
                <c:pt idx="448">
                  <c:v>2.5059999999999998</c:v>
                </c:pt>
                <c:pt idx="449">
                  <c:v>2.423</c:v>
                </c:pt>
                <c:pt idx="450">
                  <c:v>2.387</c:v>
                </c:pt>
                <c:pt idx="451">
                  <c:v>2.3620000000000001</c:v>
                </c:pt>
                <c:pt idx="452">
                  <c:v>2.31</c:v>
                </c:pt>
                <c:pt idx="453">
                  <c:v>2.3180000000000001</c:v>
                </c:pt>
                <c:pt idx="454">
                  <c:v>2.3250000000000002</c:v>
                </c:pt>
                <c:pt idx="455">
                  <c:v>2.3330000000000002</c:v>
                </c:pt>
                <c:pt idx="456">
                  <c:v>2.2490000000000001</c:v>
                </c:pt>
                <c:pt idx="457">
                  <c:v>2.2610000000000001</c:v>
                </c:pt>
                <c:pt idx="458">
                  <c:v>2.27</c:v>
                </c:pt>
                <c:pt idx="459">
                  <c:v>2.262</c:v>
                </c:pt>
                <c:pt idx="460">
                  <c:v>2.1560000000000001</c:v>
                </c:pt>
                <c:pt idx="461">
                  <c:v>2.1579999999999999</c:v>
                </c:pt>
                <c:pt idx="462">
                  <c:v>2.1709999999999998</c:v>
                </c:pt>
                <c:pt idx="463">
                  <c:v>2.101</c:v>
                </c:pt>
                <c:pt idx="464">
                  <c:v>2.0870000000000002</c:v>
                </c:pt>
                <c:pt idx="465">
                  <c:v>2.0489999999999999</c:v>
                </c:pt>
                <c:pt idx="466">
                  <c:v>2.0569999999999999</c:v>
                </c:pt>
                <c:pt idx="467">
                  <c:v>2.0609999999999999</c:v>
                </c:pt>
                <c:pt idx="468">
                  <c:v>2.0150000000000001</c:v>
                </c:pt>
                <c:pt idx="469">
                  <c:v>2.0169999999999999</c:v>
                </c:pt>
                <c:pt idx="470">
                  <c:v>1.996</c:v>
                </c:pt>
                <c:pt idx="471">
                  <c:v>1.978</c:v>
                </c:pt>
                <c:pt idx="472">
                  <c:v>1.958</c:v>
                </c:pt>
                <c:pt idx="473">
                  <c:v>1.9419999999999999</c:v>
                </c:pt>
                <c:pt idx="474">
                  <c:v>1.9750000000000001</c:v>
                </c:pt>
                <c:pt idx="475">
                  <c:v>1.962</c:v>
                </c:pt>
                <c:pt idx="476">
                  <c:v>1.9359999999999999</c:v>
                </c:pt>
                <c:pt idx="477">
                  <c:v>1.921</c:v>
                </c:pt>
                <c:pt idx="478">
                  <c:v>1.9079999999999999</c:v>
                </c:pt>
                <c:pt idx="479">
                  <c:v>1.8879999999999999</c:v>
                </c:pt>
                <c:pt idx="480">
                  <c:v>1.881</c:v>
                </c:pt>
                <c:pt idx="481">
                  <c:v>1.865</c:v>
                </c:pt>
                <c:pt idx="482">
                  <c:v>1.855</c:v>
                </c:pt>
                <c:pt idx="483">
                  <c:v>1.8480000000000001</c:v>
                </c:pt>
                <c:pt idx="484">
                  <c:v>1.829</c:v>
                </c:pt>
                <c:pt idx="485">
                  <c:v>1.8320000000000001</c:v>
                </c:pt>
                <c:pt idx="486">
                  <c:v>1.8420000000000001</c:v>
                </c:pt>
                <c:pt idx="487">
                  <c:v>1.8360000000000001</c:v>
                </c:pt>
                <c:pt idx="488">
                  <c:v>1.863</c:v>
                </c:pt>
                <c:pt idx="489">
                  <c:v>1.8620000000000001</c:v>
                </c:pt>
                <c:pt idx="490">
                  <c:v>1.82</c:v>
                </c:pt>
                <c:pt idx="491">
                  <c:v>1.794</c:v>
                </c:pt>
                <c:pt idx="492">
                  <c:v>1.79</c:v>
                </c:pt>
                <c:pt idx="493">
                  <c:v>1.8169999999999999</c:v>
                </c:pt>
                <c:pt idx="494">
                  <c:v>1.83</c:v>
                </c:pt>
                <c:pt idx="495">
                  <c:v>1.8340000000000001</c:v>
                </c:pt>
                <c:pt idx="496">
                  <c:v>1.84</c:v>
                </c:pt>
                <c:pt idx="497">
                  <c:v>1.845</c:v>
                </c:pt>
                <c:pt idx="498">
                  <c:v>1.855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FCB-45B5-BE37-9644FA2D05D4}"/>
            </c:ext>
          </c:extLst>
        </c:ser>
        <c:ser>
          <c:idx val="3"/>
          <c:order val="4"/>
          <c:tx>
            <c:v>회사채(BBB-)</c:v>
          </c:tx>
          <c:spPr>
            <a:ln w="19050"/>
          </c:spPr>
          <c:marker>
            <c:symbol val="none"/>
          </c:marker>
          <c:cat>
            <c:numRef>
              <c:f>국내시장주요지표!$AN$68:$AN$566</c:f>
              <c:numCache>
                <c:formatCode>m/d/yyyy</c:formatCode>
                <c:ptCount val="499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  <c:pt idx="20">
                  <c:v>45126</c:v>
                </c:pt>
                <c:pt idx="21">
                  <c:v>45125</c:v>
                </c:pt>
                <c:pt idx="22">
                  <c:v>45124</c:v>
                </c:pt>
                <c:pt idx="23">
                  <c:v>45121</c:v>
                </c:pt>
                <c:pt idx="24">
                  <c:v>45120</c:v>
                </c:pt>
                <c:pt idx="25">
                  <c:v>45119</c:v>
                </c:pt>
                <c:pt idx="26">
                  <c:v>45118</c:v>
                </c:pt>
                <c:pt idx="27">
                  <c:v>45117</c:v>
                </c:pt>
                <c:pt idx="28">
                  <c:v>45114</c:v>
                </c:pt>
                <c:pt idx="29">
                  <c:v>45113</c:v>
                </c:pt>
                <c:pt idx="30">
                  <c:v>45112</c:v>
                </c:pt>
                <c:pt idx="31">
                  <c:v>45111</c:v>
                </c:pt>
                <c:pt idx="32">
                  <c:v>45110</c:v>
                </c:pt>
                <c:pt idx="33">
                  <c:v>45107</c:v>
                </c:pt>
                <c:pt idx="34">
                  <c:v>45106</c:v>
                </c:pt>
                <c:pt idx="35">
                  <c:v>45105</c:v>
                </c:pt>
                <c:pt idx="36">
                  <c:v>45104</c:v>
                </c:pt>
                <c:pt idx="37">
                  <c:v>45103</c:v>
                </c:pt>
                <c:pt idx="38">
                  <c:v>45100</c:v>
                </c:pt>
                <c:pt idx="39">
                  <c:v>45099</c:v>
                </c:pt>
                <c:pt idx="40">
                  <c:v>45098</c:v>
                </c:pt>
                <c:pt idx="41">
                  <c:v>45097</c:v>
                </c:pt>
                <c:pt idx="42">
                  <c:v>45096</c:v>
                </c:pt>
                <c:pt idx="43">
                  <c:v>45093</c:v>
                </c:pt>
                <c:pt idx="44">
                  <c:v>45092</c:v>
                </c:pt>
                <c:pt idx="45">
                  <c:v>45091</c:v>
                </c:pt>
                <c:pt idx="46">
                  <c:v>45090</c:v>
                </c:pt>
                <c:pt idx="47">
                  <c:v>45089</c:v>
                </c:pt>
                <c:pt idx="48">
                  <c:v>45086</c:v>
                </c:pt>
                <c:pt idx="49">
                  <c:v>45085</c:v>
                </c:pt>
                <c:pt idx="50">
                  <c:v>45084</c:v>
                </c:pt>
                <c:pt idx="51">
                  <c:v>45082</c:v>
                </c:pt>
                <c:pt idx="52">
                  <c:v>45079</c:v>
                </c:pt>
                <c:pt idx="53">
                  <c:v>45078</c:v>
                </c:pt>
                <c:pt idx="54">
                  <c:v>45077</c:v>
                </c:pt>
                <c:pt idx="55">
                  <c:v>45076</c:v>
                </c:pt>
                <c:pt idx="56">
                  <c:v>45072</c:v>
                </c:pt>
                <c:pt idx="57">
                  <c:v>45071</c:v>
                </c:pt>
                <c:pt idx="58">
                  <c:v>45070</c:v>
                </c:pt>
                <c:pt idx="59">
                  <c:v>45069</c:v>
                </c:pt>
                <c:pt idx="60">
                  <c:v>45068</c:v>
                </c:pt>
                <c:pt idx="61">
                  <c:v>45065</c:v>
                </c:pt>
                <c:pt idx="62">
                  <c:v>45064</c:v>
                </c:pt>
                <c:pt idx="63">
                  <c:v>45063</c:v>
                </c:pt>
                <c:pt idx="64">
                  <c:v>45062</c:v>
                </c:pt>
                <c:pt idx="65">
                  <c:v>45061</c:v>
                </c:pt>
                <c:pt idx="66">
                  <c:v>45058</c:v>
                </c:pt>
                <c:pt idx="67">
                  <c:v>45057</c:v>
                </c:pt>
                <c:pt idx="68">
                  <c:v>45056</c:v>
                </c:pt>
                <c:pt idx="69">
                  <c:v>45055</c:v>
                </c:pt>
                <c:pt idx="70">
                  <c:v>45054</c:v>
                </c:pt>
                <c:pt idx="71">
                  <c:v>45050</c:v>
                </c:pt>
                <c:pt idx="72">
                  <c:v>45049</c:v>
                </c:pt>
                <c:pt idx="73">
                  <c:v>45048</c:v>
                </c:pt>
                <c:pt idx="74">
                  <c:v>45044</c:v>
                </c:pt>
                <c:pt idx="75">
                  <c:v>45043</c:v>
                </c:pt>
                <c:pt idx="76">
                  <c:v>45042</c:v>
                </c:pt>
                <c:pt idx="77">
                  <c:v>45041</c:v>
                </c:pt>
                <c:pt idx="78">
                  <c:v>45040</c:v>
                </c:pt>
                <c:pt idx="79">
                  <c:v>45037</c:v>
                </c:pt>
                <c:pt idx="80">
                  <c:v>45036</c:v>
                </c:pt>
                <c:pt idx="81">
                  <c:v>45035</c:v>
                </c:pt>
                <c:pt idx="82">
                  <c:v>45034</c:v>
                </c:pt>
                <c:pt idx="83">
                  <c:v>45033</c:v>
                </c:pt>
                <c:pt idx="84">
                  <c:v>45030</c:v>
                </c:pt>
                <c:pt idx="85">
                  <c:v>45029</c:v>
                </c:pt>
                <c:pt idx="86">
                  <c:v>45028</c:v>
                </c:pt>
                <c:pt idx="87">
                  <c:v>45027</c:v>
                </c:pt>
                <c:pt idx="88">
                  <c:v>45026</c:v>
                </c:pt>
                <c:pt idx="89">
                  <c:v>45023</c:v>
                </c:pt>
                <c:pt idx="90">
                  <c:v>45022</c:v>
                </c:pt>
                <c:pt idx="91">
                  <c:v>45021</c:v>
                </c:pt>
                <c:pt idx="92">
                  <c:v>45020</c:v>
                </c:pt>
                <c:pt idx="93">
                  <c:v>45019</c:v>
                </c:pt>
                <c:pt idx="94">
                  <c:v>45016</c:v>
                </c:pt>
                <c:pt idx="95">
                  <c:v>45015</c:v>
                </c:pt>
                <c:pt idx="96">
                  <c:v>45014</c:v>
                </c:pt>
                <c:pt idx="97">
                  <c:v>45013</c:v>
                </c:pt>
                <c:pt idx="98">
                  <c:v>45012</c:v>
                </c:pt>
                <c:pt idx="99">
                  <c:v>45009</c:v>
                </c:pt>
                <c:pt idx="100">
                  <c:v>45008</c:v>
                </c:pt>
                <c:pt idx="101">
                  <c:v>45007</c:v>
                </c:pt>
                <c:pt idx="102">
                  <c:v>45006</c:v>
                </c:pt>
                <c:pt idx="103">
                  <c:v>45005</c:v>
                </c:pt>
                <c:pt idx="104">
                  <c:v>45002</c:v>
                </c:pt>
                <c:pt idx="105">
                  <c:v>45001</c:v>
                </c:pt>
                <c:pt idx="106">
                  <c:v>45000</c:v>
                </c:pt>
                <c:pt idx="107">
                  <c:v>44999</c:v>
                </c:pt>
                <c:pt idx="108">
                  <c:v>44998</c:v>
                </c:pt>
                <c:pt idx="109">
                  <c:v>44995</c:v>
                </c:pt>
                <c:pt idx="110">
                  <c:v>44994</c:v>
                </c:pt>
                <c:pt idx="111">
                  <c:v>44993</c:v>
                </c:pt>
                <c:pt idx="112">
                  <c:v>44992</c:v>
                </c:pt>
                <c:pt idx="113">
                  <c:v>44991</c:v>
                </c:pt>
                <c:pt idx="114">
                  <c:v>44988</c:v>
                </c:pt>
                <c:pt idx="115">
                  <c:v>44987</c:v>
                </c:pt>
                <c:pt idx="116">
                  <c:v>44985</c:v>
                </c:pt>
                <c:pt idx="117">
                  <c:v>44984</c:v>
                </c:pt>
                <c:pt idx="118">
                  <c:v>44981</c:v>
                </c:pt>
                <c:pt idx="119">
                  <c:v>44980</c:v>
                </c:pt>
                <c:pt idx="120">
                  <c:v>44979</c:v>
                </c:pt>
                <c:pt idx="121">
                  <c:v>44978</c:v>
                </c:pt>
                <c:pt idx="122">
                  <c:v>44977</c:v>
                </c:pt>
                <c:pt idx="123">
                  <c:v>44974</c:v>
                </c:pt>
                <c:pt idx="124">
                  <c:v>44973</c:v>
                </c:pt>
                <c:pt idx="125">
                  <c:v>44972</c:v>
                </c:pt>
                <c:pt idx="126">
                  <c:v>44971</c:v>
                </c:pt>
                <c:pt idx="127">
                  <c:v>44970</c:v>
                </c:pt>
                <c:pt idx="128">
                  <c:v>44967</c:v>
                </c:pt>
                <c:pt idx="129">
                  <c:v>44966</c:v>
                </c:pt>
                <c:pt idx="130">
                  <c:v>44965</c:v>
                </c:pt>
                <c:pt idx="131">
                  <c:v>44964</c:v>
                </c:pt>
                <c:pt idx="132">
                  <c:v>44963</c:v>
                </c:pt>
                <c:pt idx="133">
                  <c:v>44960</c:v>
                </c:pt>
                <c:pt idx="134">
                  <c:v>44959</c:v>
                </c:pt>
                <c:pt idx="135">
                  <c:v>44958</c:v>
                </c:pt>
                <c:pt idx="136">
                  <c:v>44957</c:v>
                </c:pt>
                <c:pt idx="137">
                  <c:v>44956</c:v>
                </c:pt>
                <c:pt idx="138">
                  <c:v>44953</c:v>
                </c:pt>
                <c:pt idx="139">
                  <c:v>44952</c:v>
                </c:pt>
                <c:pt idx="140">
                  <c:v>44951</c:v>
                </c:pt>
                <c:pt idx="141">
                  <c:v>44946</c:v>
                </c:pt>
                <c:pt idx="142">
                  <c:v>44945</c:v>
                </c:pt>
                <c:pt idx="143">
                  <c:v>44944</c:v>
                </c:pt>
                <c:pt idx="144">
                  <c:v>44943</c:v>
                </c:pt>
                <c:pt idx="145">
                  <c:v>44942</c:v>
                </c:pt>
                <c:pt idx="146">
                  <c:v>44939</c:v>
                </c:pt>
                <c:pt idx="147">
                  <c:v>44938</c:v>
                </c:pt>
                <c:pt idx="148">
                  <c:v>44937</c:v>
                </c:pt>
                <c:pt idx="149">
                  <c:v>44936</c:v>
                </c:pt>
                <c:pt idx="150">
                  <c:v>44935</c:v>
                </c:pt>
                <c:pt idx="151">
                  <c:v>44932</c:v>
                </c:pt>
                <c:pt idx="152">
                  <c:v>44931</c:v>
                </c:pt>
                <c:pt idx="153">
                  <c:v>44930</c:v>
                </c:pt>
                <c:pt idx="154">
                  <c:v>44929</c:v>
                </c:pt>
                <c:pt idx="155">
                  <c:v>44928</c:v>
                </c:pt>
                <c:pt idx="156">
                  <c:v>44924</c:v>
                </c:pt>
                <c:pt idx="157">
                  <c:v>44923</c:v>
                </c:pt>
                <c:pt idx="158">
                  <c:v>44922</c:v>
                </c:pt>
                <c:pt idx="159">
                  <c:v>44921</c:v>
                </c:pt>
                <c:pt idx="160">
                  <c:v>44918</c:v>
                </c:pt>
                <c:pt idx="161">
                  <c:v>44917</c:v>
                </c:pt>
                <c:pt idx="162">
                  <c:v>44916</c:v>
                </c:pt>
                <c:pt idx="163">
                  <c:v>44915</c:v>
                </c:pt>
                <c:pt idx="164">
                  <c:v>44914</c:v>
                </c:pt>
                <c:pt idx="165">
                  <c:v>44911</c:v>
                </c:pt>
                <c:pt idx="166">
                  <c:v>44910</c:v>
                </c:pt>
                <c:pt idx="167">
                  <c:v>44909</c:v>
                </c:pt>
                <c:pt idx="168">
                  <c:v>44908</c:v>
                </c:pt>
                <c:pt idx="169">
                  <c:v>44907</c:v>
                </c:pt>
                <c:pt idx="170">
                  <c:v>44904</c:v>
                </c:pt>
                <c:pt idx="171">
                  <c:v>44903</c:v>
                </c:pt>
                <c:pt idx="172">
                  <c:v>44902</c:v>
                </c:pt>
                <c:pt idx="173">
                  <c:v>44901</c:v>
                </c:pt>
                <c:pt idx="174">
                  <c:v>44900</c:v>
                </c:pt>
                <c:pt idx="175">
                  <c:v>44897</c:v>
                </c:pt>
                <c:pt idx="176">
                  <c:v>44896</c:v>
                </c:pt>
                <c:pt idx="177">
                  <c:v>44895</c:v>
                </c:pt>
                <c:pt idx="178">
                  <c:v>44894</c:v>
                </c:pt>
                <c:pt idx="179">
                  <c:v>44893</c:v>
                </c:pt>
                <c:pt idx="180">
                  <c:v>44890</c:v>
                </c:pt>
                <c:pt idx="181">
                  <c:v>44889</c:v>
                </c:pt>
                <c:pt idx="182">
                  <c:v>44888</c:v>
                </c:pt>
                <c:pt idx="183">
                  <c:v>44887</c:v>
                </c:pt>
                <c:pt idx="184">
                  <c:v>44886</c:v>
                </c:pt>
                <c:pt idx="185">
                  <c:v>44883</c:v>
                </c:pt>
                <c:pt idx="186">
                  <c:v>44882</c:v>
                </c:pt>
                <c:pt idx="187">
                  <c:v>44881</c:v>
                </c:pt>
                <c:pt idx="188">
                  <c:v>44880</c:v>
                </c:pt>
                <c:pt idx="189">
                  <c:v>44879</c:v>
                </c:pt>
                <c:pt idx="190">
                  <c:v>44876</c:v>
                </c:pt>
                <c:pt idx="191">
                  <c:v>44875</c:v>
                </c:pt>
                <c:pt idx="192">
                  <c:v>44874</c:v>
                </c:pt>
                <c:pt idx="193">
                  <c:v>44873</c:v>
                </c:pt>
                <c:pt idx="194">
                  <c:v>44872</c:v>
                </c:pt>
                <c:pt idx="195">
                  <c:v>44869</c:v>
                </c:pt>
                <c:pt idx="196">
                  <c:v>44868</c:v>
                </c:pt>
                <c:pt idx="197">
                  <c:v>44867</c:v>
                </c:pt>
                <c:pt idx="198">
                  <c:v>44866</c:v>
                </c:pt>
                <c:pt idx="199">
                  <c:v>44865</c:v>
                </c:pt>
                <c:pt idx="200">
                  <c:v>44862</c:v>
                </c:pt>
                <c:pt idx="201">
                  <c:v>44861</c:v>
                </c:pt>
                <c:pt idx="202">
                  <c:v>44860</c:v>
                </c:pt>
                <c:pt idx="203">
                  <c:v>44859</c:v>
                </c:pt>
                <c:pt idx="204">
                  <c:v>44858</c:v>
                </c:pt>
                <c:pt idx="205">
                  <c:v>44855</c:v>
                </c:pt>
                <c:pt idx="206">
                  <c:v>44854</c:v>
                </c:pt>
                <c:pt idx="207">
                  <c:v>44853</c:v>
                </c:pt>
                <c:pt idx="208">
                  <c:v>44852</c:v>
                </c:pt>
                <c:pt idx="209">
                  <c:v>44851</c:v>
                </c:pt>
                <c:pt idx="210">
                  <c:v>44848</c:v>
                </c:pt>
                <c:pt idx="211">
                  <c:v>44847</c:v>
                </c:pt>
                <c:pt idx="212">
                  <c:v>44846</c:v>
                </c:pt>
                <c:pt idx="213">
                  <c:v>44845</c:v>
                </c:pt>
                <c:pt idx="214">
                  <c:v>44841</c:v>
                </c:pt>
                <c:pt idx="215">
                  <c:v>44840</c:v>
                </c:pt>
                <c:pt idx="216">
                  <c:v>44839</c:v>
                </c:pt>
                <c:pt idx="217">
                  <c:v>44838</c:v>
                </c:pt>
                <c:pt idx="218">
                  <c:v>44834</c:v>
                </c:pt>
                <c:pt idx="219">
                  <c:v>44833</c:v>
                </c:pt>
                <c:pt idx="220">
                  <c:v>44832</c:v>
                </c:pt>
                <c:pt idx="221">
                  <c:v>44831</c:v>
                </c:pt>
                <c:pt idx="222">
                  <c:v>44830</c:v>
                </c:pt>
                <c:pt idx="223">
                  <c:v>44827</c:v>
                </c:pt>
                <c:pt idx="224">
                  <c:v>44826</c:v>
                </c:pt>
                <c:pt idx="225">
                  <c:v>44825</c:v>
                </c:pt>
                <c:pt idx="226">
                  <c:v>44824</c:v>
                </c:pt>
                <c:pt idx="227">
                  <c:v>44823</c:v>
                </c:pt>
                <c:pt idx="228">
                  <c:v>44820</c:v>
                </c:pt>
                <c:pt idx="229">
                  <c:v>44819</c:v>
                </c:pt>
                <c:pt idx="230">
                  <c:v>44818</c:v>
                </c:pt>
                <c:pt idx="231">
                  <c:v>44817</c:v>
                </c:pt>
                <c:pt idx="232">
                  <c:v>44812</c:v>
                </c:pt>
                <c:pt idx="233">
                  <c:v>44811</c:v>
                </c:pt>
                <c:pt idx="234">
                  <c:v>44810</c:v>
                </c:pt>
                <c:pt idx="235">
                  <c:v>44809</c:v>
                </c:pt>
                <c:pt idx="236">
                  <c:v>44806</c:v>
                </c:pt>
                <c:pt idx="237">
                  <c:v>44805</c:v>
                </c:pt>
                <c:pt idx="238">
                  <c:v>44804</c:v>
                </c:pt>
                <c:pt idx="239">
                  <c:v>44803</c:v>
                </c:pt>
                <c:pt idx="240">
                  <c:v>44802</c:v>
                </c:pt>
                <c:pt idx="241">
                  <c:v>44799</c:v>
                </c:pt>
                <c:pt idx="242">
                  <c:v>44798</c:v>
                </c:pt>
                <c:pt idx="243">
                  <c:v>44797</c:v>
                </c:pt>
                <c:pt idx="244">
                  <c:v>44796</c:v>
                </c:pt>
                <c:pt idx="245">
                  <c:v>44795</c:v>
                </c:pt>
                <c:pt idx="246">
                  <c:v>44792</c:v>
                </c:pt>
                <c:pt idx="247">
                  <c:v>44791</c:v>
                </c:pt>
                <c:pt idx="248">
                  <c:v>44790</c:v>
                </c:pt>
                <c:pt idx="249">
                  <c:v>44789</c:v>
                </c:pt>
                <c:pt idx="250">
                  <c:v>44785</c:v>
                </c:pt>
                <c:pt idx="251">
                  <c:v>44784</c:v>
                </c:pt>
                <c:pt idx="252">
                  <c:v>44783</c:v>
                </c:pt>
                <c:pt idx="253">
                  <c:v>44782</c:v>
                </c:pt>
                <c:pt idx="254">
                  <c:v>44781</c:v>
                </c:pt>
                <c:pt idx="255">
                  <c:v>44778</c:v>
                </c:pt>
                <c:pt idx="256">
                  <c:v>44777</c:v>
                </c:pt>
                <c:pt idx="257">
                  <c:v>44776</c:v>
                </c:pt>
                <c:pt idx="258">
                  <c:v>44775</c:v>
                </c:pt>
                <c:pt idx="259">
                  <c:v>44774</c:v>
                </c:pt>
                <c:pt idx="260">
                  <c:v>44771</c:v>
                </c:pt>
                <c:pt idx="261">
                  <c:v>44770</c:v>
                </c:pt>
                <c:pt idx="262">
                  <c:v>44769</c:v>
                </c:pt>
                <c:pt idx="263">
                  <c:v>44768</c:v>
                </c:pt>
                <c:pt idx="264">
                  <c:v>44767</c:v>
                </c:pt>
                <c:pt idx="265">
                  <c:v>44764</c:v>
                </c:pt>
                <c:pt idx="266">
                  <c:v>44763</c:v>
                </c:pt>
                <c:pt idx="267">
                  <c:v>44762</c:v>
                </c:pt>
                <c:pt idx="268">
                  <c:v>44761</c:v>
                </c:pt>
                <c:pt idx="269">
                  <c:v>44760</c:v>
                </c:pt>
                <c:pt idx="270">
                  <c:v>44757</c:v>
                </c:pt>
                <c:pt idx="271">
                  <c:v>44756</c:v>
                </c:pt>
                <c:pt idx="272">
                  <c:v>44755</c:v>
                </c:pt>
                <c:pt idx="273">
                  <c:v>44754</c:v>
                </c:pt>
                <c:pt idx="274">
                  <c:v>44753</c:v>
                </c:pt>
                <c:pt idx="275">
                  <c:v>44750</c:v>
                </c:pt>
                <c:pt idx="276">
                  <c:v>44749</c:v>
                </c:pt>
                <c:pt idx="277">
                  <c:v>44748</c:v>
                </c:pt>
                <c:pt idx="278">
                  <c:v>44747</c:v>
                </c:pt>
                <c:pt idx="279">
                  <c:v>44746</c:v>
                </c:pt>
                <c:pt idx="280">
                  <c:v>44743</c:v>
                </c:pt>
                <c:pt idx="281">
                  <c:v>44742</c:v>
                </c:pt>
                <c:pt idx="282">
                  <c:v>44741</c:v>
                </c:pt>
                <c:pt idx="283">
                  <c:v>44740</c:v>
                </c:pt>
                <c:pt idx="284">
                  <c:v>44739</c:v>
                </c:pt>
                <c:pt idx="285">
                  <c:v>44736</c:v>
                </c:pt>
                <c:pt idx="286">
                  <c:v>44735</c:v>
                </c:pt>
                <c:pt idx="287">
                  <c:v>44734</c:v>
                </c:pt>
                <c:pt idx="288">
                  <c:v>44733</c:v>
                </c:pt>
                <c:pt idx="289">
                  <c:v>44732</c:v>
                </c:pt>
                <c:pt idx="290">
                  <c:v>44729</c:v>
                </c:pt>
                <c:pt idx="291">
                  <c:v>44728</c:v>
                </c:pt>
                <c:pt idx="292">
                  <c:v>44727</c:v>
                </c:pt>
                <c:pt idx="293">
                  <c:v>44726</c:v>
                </c:pt>
                <c:pt idx="294">
                  <c:v>44725</c:v>
                </c:pt>
                <c:pt idx="295">
                  <c:v>44722</c:v>
                </c:pt>
                <c:pt idx="296">
                  <c:v>44721</c:v>
                </c:pt>
                <c:pt idx="297">
                  <c:v>44720</c:v>
                </c:pt>
                <c:pt idx="298">
                  <c:v>44719</c:v>
                </c:pt>
                <c:pt idx="299">
                  <c:v>44715</c:v>
                </c:pt>
                <c:pt idx="300">
                  <c:v>44714</c:v>
                </c:pt>
                <c:pt idx="301">
                  <c:v>44712</c:v>
                </c:pt>
                <c:pt idx="302">
                  <c:v>44711</c:v>
                </c:pt>
                <c:pt idx="303">
                  <c:v>44708</c:v>
                </c:pt>
                <c:pt idx="304">
                  <c:v>44707</c:v>
                </c:pt>
                <c:pt idx="305">
                  <c:v>44706</c:v>
                </c:pt>
                <c:pt idx="306">
                  <c:v>44705</c:v>
                </c:pt>
                <c:pt idx="307">
                  <c:v>44704</c:v>
                </c:pt>
                <c:pt idx="308">
                  <c:v>44701</c:v>
                </c:pt>
                <c:pt idx="309">
                  <c:v>44700</c:v>
                </c:pt>
                <c:pt idx="310">
                  <c:v>44699</c:v>
                </c:pt>
                <c:pt idx="311">
                  <c:v>44698</c:v>
                </c:pt>
                <c:pt idx="312">
                  <c:v>44697</c:v>
                </c:pt>
                <c:pt idx="313">
                  <c:v>44694</c:v>
                </c:pt>
                <c:pt idx="314">
                  <c:v>44693</c:v>
                </c:pt>
                <c:pt idx="315">
                  <c:v>44692</c:v>
                </c:pt>
                <c:pt idx="316">
                  <c:v>44691</c:v>
                </c:pt>
                <c:pt idx="317">
                  <c:v>44690</c:v>
                </c:pt>
                <c:pt idx="318">
                  <c:v>44687</c:v>
                </c:pt>
                <c:pt idx="319">
                  <c:v>44685</c:v>
                </c:pt>
                <c:pt idx="320">
                  <c:v>44684</c:v>
                </c:pt>
                <c:pt idx="321">
                  <c:v>44683</c:v>
                </c:pt>
                <c:pt idx="322">
                  <c:v>44680</c:v>
                </c:pt>
                <c:pt idx="323">
                  <c:v>44679</c:v>
                </c:pt>
                <c:pt idx="324">
                  <c:v>44678</c:v>
                </c:pt>
                <c:pt idx="325">
                  <c:v>44677</c:v>
                </c:pt>
                <c:pt idx="326">
                  <c:v>44676</c:v>
                </c:pt>
                <c:pt idx="327">
                  <c:v>44673</c:v>
                </c:pt>
                <c:pt idx="328">
                  <c:v>44672</c:v>
                </c:pt>
                <c:pt idx="329">
                  <c:v>44671</c:v>
                </c:pt>
                <c:pt idx="330">
                  <c:v>44670</c:v>
                </c:pt>
                <c:pt idx="331">
                  <c:v>44669</c:v>
                </c:pt>
                <c:pt idx="332">
                  <c:v>44666</c:v>
                </c:pt>
                <c:pt idx="333">
                  <c:v>44665</c:v>
                </c:pt>
                <c:pt idx="334">
                  <c:v>44664</c:v>
                </c:pt>
                <c:pt idx="335">
                  <c:v>44663</c:v>
                </c:pt>
                <c:pt idx="336">
                  <c:v>44662</c:v>
                </c:pt>
                <c:pt idx="337">
                  <c:v>44659</c:v>
                </c:pt>
                <c:pt idx="338">
                  <c:v>44658</c:v>
                </c:pt>
                <c:pt idx="339">
                  <c:v>44657</c:v>
                </c:pt>
                <c:pt idx="340">
                  <c:v>44656</c:v>
                </c:pt>
                <c:pt idx="341">
                  <c:v>44655</c:v>
                </c:pt>
                <c:pt idx="342">
                  <c:v>44652</c:v>
                </c:pt>
                <c:pt idx="343">
                  <c:v>44651</c:v>
                </c:pt>
                <c:pt idx="344">
                  <c:v>44650</c:v>
                </c:pt>
                <c:pt idx="345">
                  <c:v>44649</c:v>
                </c:pt>
                <c:pt idx="346">
                  <c:v>44648</c:v>
                </c:pt>
                <c:pt idx="347">
                  <c:v>44645</c:v>
                </c:pt>
                <c:pt idx="348">
                  <c:v>44644</c:v>
                </c:pt>
                <c:pt idx="349">
                  <c:v>44643</c:v>
                </c:pt>
                <c:pt idx="350">
                  <c:v>44642</c:v>
                </c:pt>
                <c:pt idx="351">
                  <c:v>44641</c:v>
                </c:pt>
                <c:pt idx="352">
                  <c:v>44638</c:v>
                </c:pt>
                <c:pt idx="353">
                  <c:v>44637</c:v>
                </c:pt>
                <c:pt idx="354">
                  <c:v>44636</c:v>
                </c:pt>
                <c:pt idx="355">
                  <c:v>44635</c:v>
                </c:pt>
                <c:pt idx="356">
                  <c:v>44634</c:v>
                </c:pt>
                <c:pt idx="357">
                  <c:v>44631</c:v>
                </c:pt>
                <c:pt idx="358">
                  <c:v>44630</c:v>
                </c:pt>
                <c:pt idx="359">
                  <c:v>44628</c:v>
                </c:pt>
                <c:pt idx="360">
                  <c:v>44627</c:v>
                </c:pt>
                <c:pt idx="361">
                  <c:v>44624</c:v>
                </c:pt>
                <c:pt idx="362">
                  <c:v>44623</c:v>
                </c:pt>
                <c:pt idx="363">
                  <c:v>44622</c:v>
                </c:pt>
                <c:pt idx="364">
                  <c:v>44620</c:v>
                </c:pt>
                <c:pt idx="365">
                  <c:v>44617</c:v>
                </c:pt>
                <c:pt idx="366">
                  <c:v>44616</c:v>
                </c:pt>
                <c:pt idx="367">
                  <c:v>44615</c:v>
                </c:pt>
                <c:pt idx="368">
                  <c:v>44614</c:v>
                </c:pt>
                <c:pt idx="369">
                  <c:v>44613</c:v>
                </c:pt>
                <c:pt idx="370">
                  <c:v>44610</c:v>
                </c:pt>
                <c:pt idx="371">
                  <c:v>44609</c:v>
                </c:pt>
                <c:pt idx="372">
                  <c:v>44608</c:v>
                </c:pt>
                <c:pt idx="373">
                  <c:v>44607</c:v>
                </c:pt>
                <c:pt idx="374">
                  <c:v>44606</c:v>
                </c:pt>
                <c:pt idx="375">
                  <c:v>44603</c:v>
                </c:pt>
                <c:pt idx="376">
                  <c:v>44602</c:v>
                </c:pt>
                <c:pt idx="377">
                  <c:v>44601</c:v>
                </c:pt>
                <c:pt idx="378">
                  <c:v>44600</c:v>
                </c:pt>
                <c:pt idx="379">
                  <c:v>44599</c:v>
                </c:pt>
                <c:pt idx="380">
                  <c:v>44596</c:v>
                </c:pt>
                <c:pt idx="381">
                  <c:v>44595</c:v>
                </c:pt>
                <c:pt idx="382">
                  <c:v>44589</c:v>
                </c:pt>
                <c:pt idx="383">
                  <c:v>44588</c:v>
                </c:pt>
                <c:pt idx="384">
                  <c:v>44587</c:v>
                </c:pt>
                <c:pt idx="385">
                  <c:v>44586</c:v>
                </c:pt>
                <c:pt idx="386">
                  <c:v>44585</c:v>
                </c:pt>
                <c:pt idx="387">
                  <c:v>44582</c:v>
                </c:pt>
                <c:pt idx="388">
                  <c:v>44581</c:v>
                </c:pt>
                <c:pt idx="389">
                  <c:v>44580</c:v>
                </c:pt>
                <c:pt idx="390">
                  <c:v>44579</c:v>
                </c:pt>
                <c:pt idx="391">
                  <c:v>44578</c:v>
                </c:pt>
                <c:pt idx="392">
                  <c:v>44575</c:v>
                </c:pt>
                <c:pt idx="393">
                  <c:v>44574</c:v>
                </c:pt>
                <c:pt idx="394">
                  <c:v>44573</c:v>
                </c:pt>
                <c:pt idx="395">
                  <c:v>44572</c:v>
                </c:pt>
                <c:pt idx="396">
                  <c:v>44571</c:v>
                </c:pt>
                <c:pt idx="397">
                  <c:v>44568</c:v>
                </c:pt>
                <c:pt idx="398">
                  <c:v>44567</c:v>
                </c:pt>
                <c:pt idx="399">
                  <c:v>44566</c:v>
                </c:pt>
                <c:pt idx="400">
                  <c:v>44565</c:v>
                </c:pt>
                <c:pt idx="401">
                  <c:v>44564</c:v>
                </c:pt>
                <c:pt idx="402">
                  <c:v>44560</c:v>
                </c:pt>
                <c:pt idx="403">
                  <c:v>44559</c:v>
                </c:pt>
                <c:pt idx="404">
                  <c:v>44558</c:v>
                </c:pt>
                <c:pt idx="405">
                  <c:v>44557</c:v>
                </c:pt>
                <c:pt idx="406">
                  <c:v>44554</c:v>
                </c:pt>
                <c:pt idx="407">
                  <c:v>44553</c:v>
                </c:pt>
                <c:pt idx="408">
                  <c:v>44552</c:v>
                </c:pt>
                <c:pt idx="409">
                  <c:v>44551</c:v>
                </c:pt>
                <c:pt idx="410">
                  <c:v>44550</c:v>
                </c:pt>
                <c:pt idx="411">
                  <c:v>44547</c:v>
                </c:pt>
                <c:pt idx="412">
                  <c:v>44546</c:v>
                </c:pt>
                <c:pt idx="413">
                  <c:v>44545</c:v>
                </c:pt>
                <c:pt idx="414">
                  <c:v>44544</c:v>
                </c:pt>
                <c:pt idx="415">
                  <c:v>44543</c:v>
                </c:pt>
                <c:pt idx="416">
                  <c:v>44540</c:v>
                </c:pt>
                <c:pt idx="417">
                  <c:v>44539</c:v>
                </c:pt>
                <c:pt idx="418">
                  <c:v>44538</c:v>
                </c:pt>
                <c:pt idx="419">
                  <c:v>44537</c:v>
                </c:pt>
                <c:pt idx="420">
                  <c:v>44536</c:v>
                </c:pt>
                <c:pt idx="421">
                  <c:v>44533</c:v>
                </c:pt>
                <c:pt idx="422">
                  <c:v>44532</c:v>
                </c:pt>
                <c:pt idx="423">
                  <c:v>44531</c:v>
                </c:pt>
                <c:pt idx="424">
                  <c:v>44530</c:v>
                </c:pt>
                <c:pt idx="425">
                  <c:v>44529</c:v>
                </c:pt>
                <c:pt idx="426">
                  <c:v>44526</c:v>
                </c:pt>
                <c:pt idx="427">
                  <c:v>44525</c:v>
                </c:pt>
                <c:pt idx="428">
                  <c:v>44524</c:v>
                </c:pt>
                <c:pt idx="429">
                  <c:v>44523</c:v>
                </c:pt>
                <c:pt idx="430">
                  <c:v>44522</c:v>
                </c:pt>
                <c:pt idx="431">
                  <c:v>44519</c:v>
                </c:pt>
                <c:pt idx="432">
                  <c:v>44518</c:v>
                </c:pt>
                <c:pt idx="433">
                  <c:v>44517</c:v>
                </c:pt>
                <c:pt idx="434">
                  <c:v>44516</c:v>
                </c:pt>
                <c:pt idx="435">
                  <c:v>44515</c:v>
                </c:pt>
                <c:pt idx="436">
                  <c:v>44512</c:v>
                </c:pt>
                <c:pt idx="437">
                  <c:v>44511</c:v>
                </c:pt>
                <c:pt idx="438">
                  <c:v>44510</c:v>
                </c:pt>
                <c:pt idx="439">
                  <c:v>44509</c:v>
                </c:pt>
                <c:pt idx="440">
                  <c:v>44508</c:v>
                </c:pt>
                <c:pt idx="441">
                  <c:v>44505</c:v>
                </c:pt>
                <c:pt idx="442">
                  <c:v>44504</c:v>
                </c:pt>
                <c:pt idx="443">
                  <c:v>44503</c:v>
                </c:pt>
                <c:pt idx="444">
                  <c:v>44502</c:v>
                </c:pt>
                <c:pt idx="445">
                  <c:v>44501</c:v>
                </c:pt>
                <c:pt idx="446">
                  <c:v>44498</c:v>
                </c:pt>
                <c:pt idx="447">
                  <c:v>44497</c:v>
                </c:pt>
                <c:pt idx="448">
                  <c:v>44496</c:v>
                </c:pt>
                <c:pt idx="449">
                  <c:v>44495</c:v>
                </c:pt>
                <c:pt idx="450">
                  <c:v>44494</c:v>
                </c:pt>
                <c:pt idx="451">
                  <c:v>44491</c:v>
                </c:pt>
                <c:pt idx="452">
                  <c:v>44490</c:v>
                </c:pt>
                <c:pt idx="453">
                  <c:v>44489</c:v>
                </c:pt>
                <c:pt idx="454">
                  <c:v>44488</c:v>
                </c:pt>
                <c:pt idx="455">
                  <c:v>44487</c:v>
                </c:pt>
                <c:pt idx="456">
                  <c:v>44484</c:v>
                </c:pt>
                <c:pt idx="457">
                  <c:v>44483</c:v>
                </c:pt>
                <c:pt idx="458">
                  <c:v>44482</c:v>
                </c:pt>
                <c:pt idx="459">
                  <c:v>44481</c:v>
                </c:pt>
                <c:pt idx="460">
                  <c:v>44477</c:v>
                </c:pt>
                <c:pt idx="461">
                  <c:v>44476</c:v>
                </c:pt>
                <c:pt idx="462">
                  <c:v>44475</c:v>
                </c:pt>
                <c:pt idx="463">
                  <c:v>44474</c:v>
                </c:pt>
                <c:pt idx="464">
                  <c:v>44470</c:v>
                </c:pt>
                <c:pt idx="465">
                  <c:v>44469</c:v>
                </c:pt>
                <c:pt idx="466">
                  <c:v>44468</c:v>
                </c:pt>
                <c:pt idx="467">
                  <c:v>44467</c:v>
                </c:pt>
                <c:pt idx="468">
                  <c:v>44466</c:v>
                </c:pt>
                <c:pt idx="469">
                  <c:v>44463</c:v>
                </c:pt>
                <c:pt idx="470">
                  <c:v>44462</c:v>
                </c:pt>
                <c:pt idx="471">
                  <c:v>44456</c:v>
                </c:pt>
                <c:pt idx="472">
                  <c:v>44455</c:v>
                </c:pt>
                <c:pt idx="473">
                  <c:v>44454</c:v>
                </c:pt>
                <c:pt idx="474">
                  <c:v>44453</c:v>
                </c:pt>
                <c:pt idx="475">
                  <c:v>44452</c:v>
                </c:pt>
                <c:pt idx="476">
                  <c:v>44449</c:v>
                </c:pt>
                <c:pt idx="477">
                  <c:v>44448</c:v>
                </c:pt>
                <c:pt idx="478">
                  <c:v>44447</c:v>
                </c:pt>
                <c:pt idx="479">
                  <c:v>44446</c:v>
                </c:pt>
                <c:pt idx="480">
                  <c:v>44445</c:v>
                </c:pt>
                <c:pt idx="481">
                  <c:v>44442</c:v>
                </c:pt>
                <c:pt idx="482">
                  <c:v>44441</c:v>
                </c:pt>
                <c:pt idx="483">
                  <c:v>44440</c:v>
                </c:pt>
                <c:pt idx="484">
                  <c:v>44439</c:v>
                </c:pt>
                <c:pt idx="485">
                  <c:v>44438</c:v>
                </c:pt>
                <c:pt idx="486">
                  <c:v>44435</c:v>
                </c:pt>
                <c:pt idx="487">
                  <c:v>44434</c:v>
                </c:pt>
                <c:pt idx="488">
                  <c:v>44433</c:v>
                </c:pt>
                <c:pt idx="489">
                  <c:v>44432</c:v>
                </c:pt>
                <c:pt idx="490">
                  <c:v>44431</c:v>
                </c:pt>
                <c:pt idx="491">
                  <c:v>44428</c:v>
                </c:pt>
                <c:pt idx="492">
                  <c:v>44427</c:v>
                </c:pt>
                <c:pt idx="493">
                  <c:v>44426</c:v>
                </c:pt>
                <c:pt idx="494">
                  <c:v>44425</c:v>
                </c:pt>
                <c:pt idx="495">
                  <c:v>44421</c:v>
                </c:pt>
                <c:pt idx="496">
                  <c:v>44420</c:v>
                </c:pt>
                <c:pt idx="497">
                  <c:v>44419</c:v>
                </c:pt>
                <c:pt idx="498">
                  <c:v>44418</c:v>
                </c:pt>
              </c:numCache>
            </c:numRef>
          </c:cat>
          <c:val>
            <c:numRef>
              <c:f>국내시장주요지표!$AR$68:$AR$566</c:f>
              <c:numCache>
                <c:formatCode>General</c:formatCode>
                <c:ptCount val="499"/>
                <c:pt idx="0">
                  <c:v>10.972</c:v>
                </c:pt>
                <c:pt idx="1">
                  <c:v>10.898999999999999</c:v>
                </c:pt>
                <c:pt idx="2">
                  <c:v>10.930999999999999</c:v>
                </c:pt>
                <c:pt idx="3">
                  <c:v>10.882999999999999</c:v>
                </c:pt>
                <c:pt idx="4">
                  <c:v>10.871</c:v>
                </c:pt>
                <c:pt idx="5">
                  <c:v>10.853999999999999</c:v>
                </c:pt>
                <c:pt idx="6">
                  <c:v>10.831</c:v>
                </c:pt>
                <c:pt idx="7">
                  <c:v>10.872</c:v>
                </c:pt>
                <c:pt idx="8">
                  <c:v>10.920999999999999</c:v>
                </c:pt>
                <c:pt idx="9">
                  <c:v>10.896000000000001</c:v>
                </c:pt>
                <c:pt idx="10">
                  <c:v>10.865</c:v>
                </c:pt>
                <c:pt idx="11">
                  <c:v>10.835000000000001</c:v>
                </c:pt>
                <c:pt idx="12">
                  <c:v>10.867000000000001</c:v>
                </c:pt>
                <c:pt idx="13">
                  <c:v>10.823</c:v>
                </c:pt>
                <c:pt idx="14">
                  <c:v>10.773999999999999</c:v>
                </c:pt>
                <c:pt idx="15">
                  <c:v>10.813000000000001</c:v>
                </c:pt>
                <c:pt idx="16">
                  <c:v>10.83</c:v>
                </c:pt>
                <c:pt idx="17">
                  <c:v>10.801</c:v>
                </c:pt>
                <c:pt idx="18">
                  <c:v>10.79</c:v>
                </c:pt>
                <c:pt idx="19">
                  <c:v>10.771000000000001</c:v>
                </c:pt>
                <c:pt idx="20">
                  <c:v>10.731999999999999</c:v>
                </c:pt>
                <c:pt idx="21">
                  <c:v>10.787000000000001</c:v>
                </c:pt>
                <c:pt idx="22">
                  <c:v>10.801</c:v>
                </c:pt>
                <c:pt idx="23">
                  <c:v>10.808</c:v>
                </c:pt>
                <c:pt idx="24">
                  <c:v>10.798</c:v>
                </c:pt>
                <c:pt idx="25">
                  <c:v>10.9</c:v>
                </c:pt>
                <c:pt idx="26">
                  <c:v>10.896000000000001</c:v>
                </c:pt>
                <c:pt idx="27">
                  <c:v>10.983000000000001</c:v>
                </c:pt>
                <c:pt idx="28">
                  <c:v>10.923</c:v>
                </c:pt>
                <c:pt idx="29">
                  <c:v>10.866</c:v>
                </c:pt>
                <c:pt idx="30">
                  <c:v>10.813000000000001</c:v>
                </c:pt>
                <c:pt idx="31">
                  <c:v>10.817</c:v>
                </c:pt>
                <c:pt idx="32">
                  <c:v>10.81</c:v>
                </c:pt>
                <c:pt idx="33">
                  <c:v>10.86</c:v>
                </c:pt>
                <c:pt idx="34">
                  <c:v>10.776999999999999</c:v>
                </c:pt>
                <c:pt idx="35">
                  <c:v>10.754</c:v>
                </c:pt>
                <c:pt idx="36">
                  <c:v>10.738</c:v>
                </c:pt>
                <c:pt idx="37">
                  <c:v>10.765000000000001</c:v>
                </c:pt>
                <c:pt idx="38">
                  <c:v>10.808999999999999</c:v>
                </c:pt>
                <c:pt idx="39">
                  <c:v>10.79</c:v>
                </c:pt>
                <c:pt idx="40">
                  <c:v>10.769</c:v>
                </c:pt>
                <c:pt idx="41">
                  <c:v>10.77</c:v>
                </c:pt>
                <c:pt idx="42">
                  <c:v>10.78</c:v>
                </c:pt>
                <c:pt idx="43">
                  <c:v>10.785</c:v>
                </c:pt>
                <c:pt idx="44">
                  <c:v>10.826000000000001</c:v>
                </c:pt>
                <c:pt idx="45">
                  <c:v>10.743</c:v>
                </c:pt>
                <c:pt idx="46">
                  <c:v>10.683999999999999</c:v>
                </c:pt>
                <c:pt idx="47">
                  <c:v>10.691000000000001</c:v>
                </c:pt>
                <c:pt idx="48">
                  <c:v>10.696999999999999</c:v>
                </c:pt>
                <c:pt idx="49">
                  <c:v>10.731</c:v>
                </c:pt>
                <c:pt idx="50">
                  <c:v>10.662000000000001</c:v>
                </c:pt>
                <c:pt idx="51">
                  <c:v>10.694000000000001</c:v>
                </c:pt>
                <c:pt idx="52">
                  <c:v>10.632</c:v>
                </c:pt>
                <c:pt idx="53">
                  <c:v>10.675000000000001</c:v>
                </c:pt>
                <c:pt idx="54">
                  <c:v>10.653</c:v>
                </c:pt>
                <c:pt idx="55">
                  <c:v>10.750999999999999</c:v>
                </c:pt>
                <c:pt idx="56">
                  <c:v>10.718999999999999</c:v>
                </c:pt>
                <c:pt idx="57">
                  <c:v>10.669</c:v>
                </c:pt>
                <c:pt idx="58">
                  <c:v>10.57</c:v>
                </c:pt>
                <c:pt idx="59">
                  <c:v>10.567</c:v>
                </c:pt>
                <c:pt idx="60">
                  <c:v>10.513</c:v>
                </c:pt>
                <c:pt idx="61">
                  <c:v>10.535</c:v>
                </c:pt>
                <c:pt idx="62">
                  <c:v>10.507999999999999</c:v>
                </c:pt>
                <c:pt idx="63">
                  <c:v>10.467000000000001</c:v>
                </c:pt>
                <c:pt idx="64">
                  <c:v>10.439</c:v>
                </c:pt>
                <c:pt idx="65">
                  <c:v>10.471</c:v>
                </c:pt>
                <c:pt idx="66">
                  <c:v>10.417999999999999</c:v>
                </c:pt>
                <c:pt idx="67">
                  <c:v>10.414999999999999</c:v>
                </c:pt>
                <c:pt idx="68">
                  <c:v>10.468</c:v>
                </c:pt>
                <c:pt idx="69">
                  <c:v>10.45</c:v>
                </c:pt>
                <c:pt idx="70">
                  <c:v>10.458</c:v>
                </c:pt>
                <c:pt idx="71">
                  <c:v>10.411</c:v>
                </c:pt>
                <c:pt idx="72">
                  <c:v>10.473000000000001</c:v>
                </c:pt>
                <c:pt idx="73">
                  <c:v>10.522</c:v>
                </c:pt>
                <c:pt idx="74">
                  <c:v>10.486000000000001</c:v>
                </c:pt>
                <c:pt idx="75">
                  <c:v>10.476000000000001</c:v>
                </c:pt>
                <c:pt idx="76">
                  <c:v>10.45</c:v>
                </c:pt>
                <c:pt idx="77">
                  <c:v>10.459</c:v>
                </c:pt>
                <c:pt idx="78">
                  <c:v>10.433</c:v>
                </c:pt>
                <c:pt idx="79">
                  <c:v>10.468</c:v>
                </c:pt>
                <c:pt idx="80">
                  <c:v>10.532</c:v>
                </c:pt>
                <c:pt idx="81">
                  <c:v>10.532</c:v>
                </c:pt>
                <c:pt idx="82">
                  <c:v>10.49</c:v>
                </c:pt>
                <c:pt idx="83">
                  <c:v>10.483000000000001</c:v>
                </c:pt>
                <c:pt idx="84">
                  <c:v>10.413</c:v>
                </c:pt>
                <c:pt idx="85">
                  <c:v>10.4</c:v>
                </c:pt>
                <c:pt idx="86">
                  <c:v>10.433999999999999</c:v>
                </c:pt>
                <c:pt idx="87">
                  <c:v>10.430999999999999</c:v>
                </c:pt>
                <c:pt idx="88">
                  <c:v>10.394</c:v>
                </c:pt>
                <c:pt idx="89">
                  <c:v>10.435</c:v>
                </c:pt>
                <c:pt idx="90">
                  <c:v>10.407</c:v>
                </c:pt>
                <c:pt idx="91">
                  <c:v>10.458</c:v>
                </c:pt>
                <c:pt idx="92">
                  <c:v>10.465</c:v>
                </c:pt>
                <c:pt idx="93">
                  <c:v>10.523</c:v>
                </c:pt>
                <c:pt idx="94">
                  <c:v>10.457000000000001</c:v>
                </c:pt>
                <c:pt idx="95">
                  <c:v>10.417999999999999</c:v>
                </c:pt>
                <c:pt idx="96">
                  <c:v>10.414</c:v>
                </c:pt>
                <c:pt idx="97">
                  <c:v>10.416</c:v>
                </c:pt>
                <c:pt idx="98">
                  <c:v>10.38</c:v>
                </c:pt>
                <c:pt idx="99">
                  <c:v>10.323</c:v>
                </c:pt>
                <c:pt idx="100">
                  <c:v>10.375999999999999</c:v>
                </c:pt>
                <c:pt idx="101">
                  <c:v>10.426</c:v>
                </c:pt>
                <c:pt idx="102">
                  <c:v>10.43</c:v>
                </c:pt>
                <c:pt idx="103">
                  <c:v>10.398999999999999</c:v>
                </c:pt>
                <c:pt idx="104">
                  <c:v>10.531000000000001</c:v>
                </c:pt>
                <c:pt idx="105">
                  <c:v>10.521000000000001</c:v>
                </c:pt>
                <c:pt idx="106">
                  <c:v>10.595000000000001</c:v>
                </c:pt>
                <c:pt idx="107">
                  <c:v>10.515000000000001</c:v>
                </c:pt>
                <c:pt idx="108">
                  <c:v>10.58</c:v>
                </c:pt>
                <c:pt idx="109">
                  <c:v>10.819000000000001</c:v>
                </c:pt>
                <c:pt idx="110">
                  <c:v>10.961</c:v>
                </c:pt>
                <c:pt idx="111">
                  <c:v>10.955</c:v>
                </c:pt>
                <c:pt idx="112">
                  <c:v>10.832000000000001</c:v>
                </c:pt>
                <c:pt idx="113">
                  <c:v>10.878</c:v>
                </c:pt>
                <c:pt idx="114">
                  <c:v>10.893000000000001</c:v>
                </c:pt>
                <c:pt idx="115">
                  <c:v>10.972</c:v>
                </c:pt>
                <c:pt idx="116">
                  <c:v>10.898999999999999</c:v>
                </c:pt>
                <c:pt idx="117">
                  <c:v>10.785</c:v>
                </c:pt>
                <c:pt idx="118">
                  <c:v>10.675000000000001</c:v>
                </c:pt>
                <c:pt idx="119">
                  <c:v>10.728999999999999</c:v>
                </c:pt>
                <c:pt idx="120">
                  <c:v>10.763</c:v>
                </c:pt>
                <c:pt idx="121">
                  <c:v>10.747999999999999</c:v>
                </c:pt>
                <c:pt idx="122">
                  <c:v>10.797000000000001</c:v>
                </c:pt>
                <c:pt idx="123">
                  <c:v>10.762</c:v>
                </c:pt>
                <c:pt idx="124">
                  <c:v>10.638</c:v>
                </c:pt>
                <c:pt idx="125">
                  <c:v>10.641999999999999</c:v>
                </c:pt>
                <c:pt idx="126">
                  <c:v>10.585000000000001</c:v>
                </c:pt>
                <c:pt idx="127">
                  <c:v>10.613</c:v>
                </c:pt>
                <c:pt idx="128">
                  <c:v>10.571</c:v>
                </c:pt>
                <c:pt idx="129">
                  <c:v>10.581</c:v>
                </c:pt>
                <c:pt idx="130">
                  <c:v>10.538</c:v>
                </c:pt>
                <c:pt idx="131">
                  <c:v>10.526999999999999</c:v>
                </c:pt>
                <c:pt idx="132">
                  <c:v>10.504</c:v>
                </c:pt>
                <c:pt idx="133">
                  <c:v>10.343999999999999</c:v>
                </c:pt>
                <c:pt idx="134">
                  <c:v>10.423</c:v>
                </c:pt>
                <c:pt idx="135">
                  <c:v>10.5</c:v>
                </c:pt>
                <c:pt idx="136">
                  <c:v>10.567</c:v>
                </c:pt>
                <c:pt idx="137">
                  <c:v>10.523</c:v>
                </c:pt>
                <c:pt idx="138">
                  <c:v>10.563000000000001</c:v>
                </c:pt>
                <c:pt idx="139">
                  <c:v>10.545</c:v>
                </c:pt>
                <c:pt idx="140">
                  <c:v>10.561999999999999</c:v>
                </c:pt>
                <c:pt idx="141">
                  <c:v>10.605</c:v>
                </c:pt>
                <c:pt idx="142">
                  <c:v>10.547000000000001</c:v>
                </c:pt>
                <c:pt idx="143">
                  <c:v>10.686999999999999</c:v>
                </c:pt>
                <c:pt idx="144">
                  <c:v>10.789</c:v>
                </c:pt>
                <c:pt idx="145">
                  <c:v>10.763</c:v>
                </c:pt>
                <c:pt idx="146">
                  <c:v>10.705</c:v>
                </c:pt>
                <c:pt idx="147">
                  <c:v>10.8</c:v>
                </c:pt>
                <c:pt idx="148">
                  <c:v>10.826000000000001</c:v>
                </c:pt>
                <c:pt idx="149">
                  <c:v>10.913</c:v>
                </c:pt>
                <c:pt idx="150">
                  <c:v>10.94</c:v>
                </c:pt>
                <c:pt idx="151">
                  <c:v>11.051</c:v>
                </c:pt>
                <c:pt idx="152">
                  <c:v>11.036</c:v>
                </c:pt>
                <c:pt idx="153">
                  <c:v>11.041</c:v>
                </c:pt>
                <c:pt idx="154">
                  <c:v>11.087999999999999</c:v>
                </c:pt>
                <c:pt idx="155">
                  <c:v>11.201000000000001</c:v>
                </c:pt>
                <c:pt idx="156">
                  <c:v>11.169</c:v>
                </c:pt>
                <c:pt idx="157">
                  <c:v>11.127000000000001</c:v>
                </c:pt>
                <c:pt idx="158">
                  <c:v>11.135</c:v>
                </c:pt>
                <c:pt idx="159">
                  <c:v>11.143000000000001</c:v>
                </c:pt>
                <c:pt idx="160">
                  <c:v>11.115</c:v>
                </c:pt>
                <c:pt idx="161">
                  <c:v>11.074</c:v>
                </c:pt>
                <c:pt idx="162">
                  <c:v>11.148</c:v>
                </c:pt>
                <c:pt idx="163">
                  <c:v>11.204000000000001</c:v>
                </c:pt>
                <c:pt idx="164">
                  <c:v>11.086</c:v>
                </c:pt>
                <c:pt idx="165">
                  <c:v>11.092000000000001</c:v>
                </c:pt>
                <c:pt idx="166">
                  <c:v>11.118</c:v>
                </c:pt>
                <c:pt idx="167">
                  <c:v>11.12</c:v>
                </c:pt>
                <c:pt idx="168">
                  <c:v>11.217000000000001</c:v>
                </c:pt>
                <c:pt idx="169">
                  <c:v>11.22</c:v>
                </c:pt>
                <c:pt idx="170">
                  <c:v>11.236000000000001</c:v>
                </c:pt>
                <c:pt idx="171">
                  <c:v>11.252000000000001</c:v>
                </c:pt>
                <c:pt idx="172">
                  <c:v>11.25</c:v>
                </c:pt>
                <c:pt idx="173">
                  <c:v>11.228</c:v>
                </c:pt>
                <c:pt idx="174">
                  <c:v>11.211</c:v>
                </c:pt>
                <c:pt idx="175">
                  <c:v>11.228</c:v>
                </c:pt>
                <c:pt idx="176">
                  <c:v>11.259</c:v>
                </c:pt>
                <c:pt idx="177">
                  <c:v>11.282999999999999</c:v>
                </c:pt>
                <c:pt idx="178">
                  <c:v>11.308</c:v>
                </c:pt>
                <c:pt idx="179">
                  <c:v>11.242000000000001</c:v>
                </c:pt>
                <c:pt idx="180">
                  <c:v>11.211</c:v>
                </c:pt>
                <c:pt idx="181">
                  <c:v>11.239000000000001</c:v>
                </c:pt>
                <c:pt idx="182">
                  <c:v>11.377000000000001</c:v>
                </c:pt>
                <c:pt idx="183">
                  <c:v>11.356999999999999</c:v>
                </c:pt>
                <c:pt idx="184">
                  <c:v>11.333</c:v>
                </c:pt>
                <c:pt idx="185">
                  <c:v>11.272</c:v>
                </c:pt>
                <c:pt idx="186">
                  <c:v>11.27</c:v>
                </c:pt>
                <c:pt idx="187">
                  <c:v>11.260999999999999</c:v>
                </c:pt>
                <c:pt idx="188">
                  <c:v>11.194000000000001</c:v>
                </c:pt>
                <c:pt idx="189">
                  <c:v>11.266999999999999</c:v>
                </c:pt>
                <c:pt idx="190">
                  <c:v>11.208</c:v>
                </c:pt>
                <c:pt idx="191">
                  <c:v>11.401999999999999</c:v>
                </c:pt>
                <c:pt idx="192">
                  <c:v>11.442</c:v>
                </c:pt>
                <c:pt idx="193">
                  <c:v>11.493</c:v>
                </c:pt>
                <c:pt idx="194">
                  <c:v>11.510999999999999</c:v>
                </c:pt>
                <c:pt idx="195">
                  <c:v>11.438000000000001</c:v>
                </c:pt>
                <c:pt idx="196">
                  <c:v>11.461</c:v>
                </c:pt>
                <c:pt idx="197">
                  <c:v>11.378</c:v>
                </c:pt>
                <c:pt idx="198">
                  <c:v>11.332000000000001</c:v>
                </c:pt>
                <c:pt idx="199">
                  <c:v>11.423999999999999</c:v>
                </c:pt>
                <c:pt idx="200">
                  <c:v>11.337</c:v>
                </c:pt>
                <c:pt idx="201">
                  <c:v>11.465999999999999</c:v>
                </c:pt>
                <c:pt idx="202">
                  <c:v>11.404</c:v>
                </c:pt>
                <c:pt idx="203">
                  <c:v>11.382</c:v>
                </c:pt>
                <c:pt idx="204">
                  <c:v>11.446</c:v>
                </c:pt>
                <c:pt idx="205">
                  <c:v>11.590999999999999</c:v>
                </c:pt>
                <c:pt idx="206">
                  <c:v>11.444000000000001</c:v>
                </c:pt>
                <c:pt idx="207">
                  <c:v>11.388</c:v>
                </c:pt>
                <c:pt idx="208">
                  <c:v>11.263999999999999</c:v>
                </c:pt>
                <c:pt idx="209">
                  <c:v>11.233000000000001</c:v>
                </c:pt>
                <c:pt idx="210">
                  <c:v>11.173</c:v>
                </c:pt>
                <c:pt idx="211">
                  <c:v>11.164</c:v>
                </c:pt>
                <c:pt idx="212">
                  <c:v>11.063000000000001</c:v>
                </c:pt>
                <c:pt idx="213">
                  <c:v>11.284000000000001</c:v>
                </c:pt>
                <c:pt idx="214">
                  <c:v>11.211</c:v>
                </c:pt>
                <c:pt idx="215">
                  <c:v>11.083</c:v>
                </c:pt>
                <c:pt idx="216">
                  <c:v>11.093</c:v>
                </c:pt>
                <c:pt idx="217">
                  <c:v>11.028</c:v>
                </c:pt>
                <c:pt idx="218">
                  <c:v>11.132999999999999</c:v>
                </c:pt>
                <c:pt idx="219">
                  <c:v>11.231999999999999</c:v>
                </c:pt>
                <c:pt idx="220">
                  <c:v>11.202</c:v>
                </c:pt>
                <c:pt idx="221">
                  <c:v>11.164</c:v>
                </c:pt>
                <c:pt idx="222">
                  <c:v>11.382</c:v>
                </c:pt>
                <c:pt idx="223">
                  <c:v>11.042999999999999</c:v>
                </c:pt>
                <c:pt idx="224">
                  <c:v>10.946999999999999</c:v>
                </c:pt>
                <c:pt idx="225">
                  <c:v>10.698</c:v>
                </c:pt>
                <c:pt idx="226">
                  <c:v>10.664</c:v>
                </c:pt>
                <c:pt idx="227">
                  <c:v>10.609</c:v>
                </c:pt>
                <c:pt idx="228">
                  <c:v>10.614000000000001</c:v>
                </c:pt>
                <c:pt idx="229">
                  <c:v>10.613</c:v>
                </c:pt>
                <c:pt idx="230">
                  <c:v>10.433</c:v>
                </c:pt>
                <c:pt idx="231">
                  <c:v>10.38</c:v>
                </c:pt>
                <c:pt idx="232">
                  <c:v>10.398</c:v>
                </c:pt>
                <c:pt idx="233">
                  <c:v>10.523999999999999</c:v>
                </c:pt>
                <c:pt idx="234">
                  <c:v>10.516999999999999</c:v>
                </c:pt>
                <c:pt idx="235">
                  <c:v>10.452999999999999</c:v>
                </c:pt>
                <c:pt idx="236">
                  <c:v>10.518000000000001</c:v>
                </c:pt>
                <c:pt idx="237">
                  <c:v>10.605</c:v>
                </c:pt>
                <c:pt idx="238">
                  <c:v>10.516999999999999</c:v>
                </c:pt>
                <c:pt idx="239">
                  <c:v>10.475</c:v>
                </c:pt>
                <c:pt idx="240">
                  <c:v>10.481999999999999</c:v>
                </c:pt>
                <c:pt idx="241">
                  <c:v>10.356</c:v>
                </c:pt>
                <c:pt idx="242">
                  <c:v>10.365</c:v>
                </c:pt>
                <c:pt idx="243">
                  <c:v>10.154999999999999</c:v>
                </c:pt>
                <c:pt idx="244">
                  <c:v>10.122999999999999</c:v>
                </c:pt>
                <c:pt idx="245">
                  <c:v>10.086</c:v>
                </c:pt>
                <c:pt idx="246">
                  <c:v>10.036</c:v>
                </c:pt>
                <c:pt idx="247">
                  <c:v>9.9640000000000004</c:v>
                </c:pt>
                <c:pt idx="248">
                  <c:v>9.9260000000000002</c:v>
                </c:pt>
                <c:pt idx="249">
                  <c:v>9.9060000000000006</c:v>
                </c:pt>
                <c:pt idx="250">
                  <c:v>10.006</c:v>
                </c:pt>
                <c:pt idx="251">
                  <c:v>9.9600000000000009</c:v>
                </c:pt>
                <c:pt idx="252">
                  <c:v>9.9819999999999993</c:v>
                </c:pt>
                <c:pt idx="253">
                  <c:v>9.9670000000000005</c:v>
                </c:pt>
                <c:pt idx="254">
                  <c:v>9.9619999999999997</c:v>
                </c:pt>
                <c:pt idx="255">
                  <c:v>9.9039999999999999</c:v>
                </c:pt>
                <c:pt idx="256">
                  <c:v>9.9369999999999994</c:v>
                </c:pt>
                <c:pt idx="257">
                  <c:v>9.891</c:v>
                </c:pt>
                <c:pt idx="258">
                  <c:v>9.8309999999999995</c:v>
                </c:pt>
                <c:pt idx="259">
                  <c:v>9.8930000000000007</c:v>
                </c:pt>
                <c:pt idx="260">
                  <c:v>9.8190000000000008</c:v>
                </c:pt>
                <c:pt idx="261">
                  <c:v>9.9320000000000004</c:v>
                </c:pt>
                <c:pt idx="262">
                  <c:v>9.8859999999999992</c:v>
                </c:pt>
                <c:pt idx="263">
                  <c:v>9.9120000000000008</c:v>
                </c:pt>
                <c:pt idx="264">
                  <c:v>9.93</c:v>
                </c:pt>
                <c:pt idx="265">
                  <c:v>9.984</c:v>
                </c:pt>
                <c:pt idx="266">
                  <c:v>10.052</c:v>
                </c:pt>
                <c:pt idx="267">
                  <c:v>10.047000000000001</c:v>
                </c:pt>
                <c:pt idx="268">
                  <c:v>9.9410000000000007</c:v>
                </c:pt>
                <c:pt idx="269">
                  <c:v>9.9559999999999995</c:v>
                </c:pt>
                <c:pt idx="270">
                  <c:v>9.9459999999999997</c:v>
                </c:pt>
                <c:pt idx="271">
                  <c:v>9.9890000000000008</c:v>
                </c:pt>
                <c:pt idx="272">
                  <c:v>9.9420000000000002</c:v>
                </c:pt>
                <c:pt idx="273">
                  <c:v>10.006</c:v>
                </c:pt>
                <c:pt idx="274">
                  <c:v>10.047000000000001</c:v>
                </c:pt>
                <c:pt idx="275">
                  <c:v>10.035</c:v>
                </c:pt>
                <c:pt idx="276">
                  <c:v>9.9640000000000004</c:v>
                </c:pt>
                <c:pt idx="277">
                  <c:v>9.9380000000000006</c:v>
                </c:pt>
                <c:pt idx="278">
                  <c:v>9.9749999999999996</c:v>
                </c:pt>
                <c:pt idx="279">
                  <c:v>10.090999999999999</c:v>
                </c:pt>
                <c:pt idx="280">
                  <c:v>10.099</c:v>
                </c:pt>
                <c:pt idx="281">
                  <c:v>10.207000000000001</c:v>
                </c:pt>
                <c:pt idx="282">
                  <c:v>10.205</c:v>
                </c:pt>
                <c:pt idx="283">
                  <c:v>10.191000000000001</c:v>
                </c:pt>
                <c:pt idx="284">
                  <c:v>10.194000000000001</c:v>
                </c:pt>
                <c:pt idx="285">
                  <c:v>10.148999999999999</c:v>
                </c:pt>
                <c:pt idx="286">
                  <c:v>10.221</c:v>
                </c:pt>
                <c:pt idx="287">
                  <c:v>10.141999999999999</c:v>
                </c:pt>
                <c:pt idx="288">
                  <c:v>10.249000000000001</c:v>
                </c:pt>
                <c:pt idx="289">
                  <c:v>10.260999999999999</c:v>
                </c:pt>
                <c:pt idx="290">
                  <c:v>10.305999999999999</c:v>
                </c:pt>
                <c:pt idx="291">
                  <c:v>10.272</c:v>
                </c:pt>
                <c:pt idx="292">
                  <c:v>10.209</c:v>
                </c:pt>
                <c:pt idx="293">
                  <c:v>10.109</c:v>
                </c:pt>
                <c:pt idx="294">
                  <c:v>10.071999999999999</c:v>
                </c:pt>
                <c:pt idx="295">
                  <c:v>9.8569999999999993</c:v>
                </c:pt>
                <c:pt idx="296">
                  <c:v>9.8040000000000003</c:v>
                </c:pt>
                <c:pt idx="297">
                  <c:v>9.8260000000000005</c:v>
                </c:pt>
                <c:pt idx="298">
                  <c:v>9.8469999999999995</c:v>
                </c:pt>
                <c:pt idx="299">
                  <c:v>9.74</c:v>
                </c:pt>
                <c:pt idx="300">
                  <c:v>9.74</c:v>
                </c:pt>
                <c:pt idx="301">
                  <c:v>9.65</c:v>
                </c:pt>
                <c:pt idx="302">
                  <c:v>9.57</c:v>
                </c:pt>
                <c:pt idx="303">
                  <c:v>9.5709999999999997</c:v>
                </c:pt>
                <c:pt idx="304">
                  <c:v>9.577</c:v>
                </c:pt>
                <c:pt idx="305">
                  <c:v>9.5660000000000007</c:v>
                </c:pt>
                <c:pt idx="306">
                  <c:v>9.59</c:v>
                </c:pt>
                <c:pt idx="307">
                  <c:v>9.641</c:v>
                </c:pt>
                <c:pt idx="308">
                  <c:v>9.6280000000000001</c:v>
                </c:pt>
                <c:pt idx="309">
                  <c:v>9.6669999999999998</c:v>
                </c:pt>
                <c:pt idx="310">
                  <c:v>9.6750000000000007</c:v>
                </c:pt>
                <c:pt idx="311">
                  <c:v>9.6259999999999994</c:v>
                </c:pt>
                <c:pt idx="312">
                  <c:v>9.6270000000000007</c:v>
                </c:pt>
                <c:pt idx="313">
                  <c:v>9.5169999999999995</c:v>
                </c:pt>
                <c:pt idx="314">
                  <c:v>9.5060000000000002</c:v>
                </c:pt>
                <c:pt idx="315">
                  <c:v>9.5340000000000007</c:v>
                </c:pt>
                <c:pt idx="316">
                  <c:v>9.6270000000000007</c:v>
                </c:pt>
                <c:pt idx="317">
                  <c:v>9.641</c:v>
                </c:pt>
                <c:pt idx="318">
                  <c:v>9.7189999999999994</c:v>
                </c:pt>
                <c:pt idx="319">
                  <c:v>9.7230000000000008</c:v>
                </c:pt>
                <c:pt idx="320">
                  <c:v>9.6869999999999994</c:v>
                </c:pt>
                <c:pt idx="321">
                  <c:v>9.6329999999999991</c:v>
                </c:pt>
                <c:pt idx="322">
                  <c:v>9.52</c:v>
                </c:pt>
                <c:pt idx="323">
                  <c:v>9.4849999999999994</c:v>
                </c:pt>
                <c:pt idx="324">
                  <c:v>9.4550000000000001</c:v>
                </c:pt>
                <c:pt idx="325">
                  <c:v>9.4369999999999994</c:v>
                </c:pt>
                <c:pt idx="326">
                  <c:v>9.4529999999999994</c:v>
                </c:pt>
                <c:pt idx="327">
                  <c:v>9.5310000000000006</c:v>
                </c:pt>
                <c:pt idx="328">
                  <c:v>9.4930000000000003</c:v>
                </c:pt>
                <c:pt idx="329">
                  <c:v>9.5090000000000003</c:v>
                </c:pt>
                <c:pt idx="330">
                  <c:v>9.5169999999999995</c:v>
                </c:pt>
                <c:pt idx="331">
                  <c:v>9.5299999999999994</c:v>
                </c:pt>
                <c:pt idx="332">
                  <c:v>9.4849999999999994</c:v>
                </c:pt>
                <c:pt idx="333">
                  <c:v>9.4290000000000003</c:v>
                </c:pt>
                <c:pt idx="334">
                  <c:v>9.5210000000000008</c:v>
                </c:pt>
                <c:pt idx="335">
                  <c:v>9.5990000000000002</c:v>
                </c:pt>
                <c:pt idx="336">
                  <c:v>9.6379999999999999</c:v>
                </c:pt>
                <c:pt idx="337">
                  <c:v>9.4740000000000002</c:v>
                </c:pt>
                <c:pt idx="338">
                  <c:v>9.4009999999999998</c:v>
                </c:pt>
                <c:pt idx="339">
                  <c:v>9.4250000000000007</c:v>
                </c:pt>
                <c:pt idx="340">
                  <c:v>9.3759999999999994</c:v>
                </c:pt>
                <c:pt idx="341">
                  <c:v>9.3309999999999995</c:v>
                </c:pt>
                <c:pt idx="342">
                  <c:v>9.2810000000000006</c:v>
                </c:pt>
                <c:pt idx="343">
                  <c:v>9.1639999999999997</c:v>
                </c:pt>
                <c:pt idx="344">
                  <c:v>9.1180000000000003</c:v>
                </c:pt>
                <c:pt idx="345">
                  <c:v>9.1809999999999992</c:v>
                </c:pt>
                <c:pt idx="346">
                  <c:v>9.2170000000000005</c:v>
                </c:pt>
                <c:pt idx="347">
                  <c:v>8.9830000000000005</c:v>
                </c:pt>
                <c:pt idx="348">
                  <c:v>8.9339999999999993</c:v>
                </c:pt>
                <c:pt idx="349">
                  <c:v>8.9049999999999994</c:v>
                </c:pt>
                <c:pt idx="350">
                  <c:v>8.8829999999999991</c:v>
                </c:pt>
                <c:pt idx="351">
                  <c:v>8.7829999999999995</c:v>
                </c:pt>
                <c:pt idx="352">
                  <c:v>8.7509999999999994</c:v>
                </c:pt>
                <c:pt idx="353">
                  <c:v>8.7379999999999995</c:v>
                </c:pt>
                <c:pt idx="354">
                  <c:v>8.7769999999999992</c:v>
                </c:pt>
                <c:pt idx="355">
                  <c:v>8.7899999999999991</c:v>
                </c:pt>
                <c:pt idx="356">
                  <c:v>8.7739999999999991</c:v>
                </c:pt>
                <c:pt idx="357">
                  <c:v>8.7460000000000004</c:v>
                </c:pt>
                <c:pt idx="358">
                  <c:v>8.7560000000000002</c:v>
                </c:pt>
                <c:pt idx="359">
                  <c:v>8.76</c:v>
                </c:pt>
                <c:pt idx="360">
                  <c:v>8.7560000000000002</c:v>
                </c:pt>
                <c:pt idx="361">
                  <c:v>8.6820000000000004</c:v>
                </c:pt>
                <c:pt idx="362">
                  <c:v>8.6720000000000006</c:v>
                </c:pt>
                <c:pt idx="363">
                  <c:v>8.6539999999999999</c:v>
                </c:pt>
                <c:pt idx="364">
                  <c:v>8.6989999999999998</c:v>
                </c:pt>
                <c:pt idx="365">
                  <c:v>8.6980000000000004</c:v>
                </c:pt>
                <c:pt idx="366">
                  <c:v>8.6750000000000007</c:v>
                </c:pt>
                <c:pt idx="367">
                  <c:v>8.7530000000000001</c:v>
                </c:pt>
                <c:pt idx="368">
                  <c:v>8.76</c:v>
                </c:pt>
                <c:pt idx="369">
                  <c:v>8.7940000000000005</c:v>
                </c:pt>
                <c:pt idx="370">
                  <c:v>8.7609999999999992</c:v>
                </c:pt>
                <c:pt idx="371">
                  <c:v>8.7379999999999995</c:v>
                </c:pt>
                <c:pt idx="372">
                  <c:v>8.7560000000000002</c:v>
                </c:pt>
                <c:pt idx="373">
                  <c:v>8.7720000000000002</c:v>
                </c:pt>
                <c:pt idx="374">
                  <c:v>8.7750000000000004</c:v>
                </c:pt>
                <c:pt idx="375">
                  <c:v>8.7759999999999998</c:v>
                </c:pt>
                <c:pt idx="376">
                  <c:v>8.7080000000000002</c:v>
                </c:pt>
                <c:pt idx="377">
                  <c:v>8.718</c:v>
                </c:pt>
                <c:pt idx="378">
                  <c:v>8.7330000000000005</c:v>
                </c:pt>
                <c:pt idx="379">
                  <c:v>8.68</c:v>
                </c:pt>
                <c:pt idx="380">
                  <c:v>8.6370000000000005</c:v>
                </c:pt>
                <c:pt idx="381">
                  <c:v>8.6010000000000009</c:v>
                </c:pt>
                <c:pt idx="382">
                  <c:v>8.6349999999999998</c:v>
                </c:pt>
                <c:pt idx="383">
                  <c:v>8.6530000000000005</c:v>
                </c:pt>
                <c:pt idx="384">
                  <c:v>8.5909999999999993</c:v>
                </c:pt>
                <c:pt idx="385">
                  <c:v>8.6059999999999999</c:v>
                </c:pt>
                <c:pt idx="386">
                  <c:v>8.5589999999999993</c:v>
                </c:pt>
                <c:pt idx="387">
                  <c:v>8.577</c:v>
                </c:pt>
                <c:pt idx="388">
                  <c:v>8.5660000000000007</c:v>
                </c:pt>
                <c:pt idx="389">
                  <c:v>8.5259999999999998</c:v>
                </c:pt>
                <c:pt idx="390">
                  <c:v>8.5649999999999995</c:v>
                </c:pt>
                <c:pt idx="391">
                  <c:v>8.5790000000000006</c:v>
                </c:pt>
                <c:pt idx="392">
                  <c:v>8.484</c:v>
                </c:pt>
                <c:pt idx="393">
                  <c:v>8.4090000000000007</c:v>
                </c:pt>
                <c:pt idx="394">
                  <c:v>8.4469999999999992</c:v>
                </c:pt>
                <c:pt idx="395">
                  <c:v>8.48</c:v>
                </c:pt>
                <c:pt idx="396">
                  <c:v>8.4930000000000003</c:v>
                </c:pt>
                <c:pt idx="397">
                  <c:v>8.4640000000000004</c:v>
                </c:pt>
                <c:pt idx="398">
                  <c:v>8.4619999999999997</c:v>
                </c:pt>
                <c:pt idx="399">
                  <c:v>8.3680000000000003</c:v>
                </c:pt>
                <c:pt idx="400">
                  <c:v>8.3330000000000002</c:v>
                </c:pt>
                <c:pt idx="401">
                  <c:v>8.3160000000000007</c:v>
                </c:pt>
                <c:pt idx="402">
                  <c:v>8.27</c:v>
                </c:pt>
                <c:pt idx="403">
                  <c:v>8.2609999999999992</c:v>
                </c:pt>
                <c:pt idx="404">
                  <c:v>8.2680000000000007</c:v>
                </c:pt>
                <c:pt idx="405">
                  <c:v>8.2609999999999992</c:v>
                </c:pt>
                <c:pt idx="406">
                  <c:v>8.2840000000000007</c:v>
                </c:pt>
                <c:pt idx="407">
                  <c:v>8.2899999999999991</c:v>
                </c:pt>
                <c:pt idx="408">
                  <c:v>8.2430000000000003</c:v>
                </c:pt>
                <c:pt idx="409">
                  <c:v>8.2080000000000002</c:v>
                </c:pt>
                <c:pt idx="410">
                  <c:v>8.2249999999999996</c:v>
                </c:pt>
                <c:pt idx="411">
                  <c:v>8.2479999999999993</c:v>
                </c:pt>
                <c:pt idx="412">
                  <c:v>8.2490000000000006</c:v>
                </c:pt>
                <c:pt idx="413">
                  <c:v>8.2810000000000006</c:v>
                </c:pt>
                <c:pt idx="414">
                  <c:v>8.2539999999999996</c:v>
                </c:pt>
                <c:pt idx="415">
                  <c:v>8.2530000000000001</c:v>
                </c:pt>
                <c:pt idx="416">
                  <c:v>8.2550000000000008</c:v>
                </c:pt>
                <c:pt idx="417">
                  <c:v>8.2409999999999997</c:v>
                </c:pt>
                <c:pt idx="418">
                  <c:v>8.266</c:v>
                </c:pt>
                <c:pt idx="419">
                  <c:v>8.3030000000000008</c:v>
                </c:pt>
                <c:pt idx="420">
                  <c:v>8.2929999999999993</c:v>
                </c:pt>
                <c:pt idx="421">
                  <c:v>8.3219999999999992</c:v>
                </c:pt>
                <c:pt idx="422">
                  <c:v>8.2669999999999995</c:v>
                </c:pt>
                <c:pt idx="423">
                  <c:v>8.2439999999999998</c:v>
                </c:pt>
                <c:pt idx="424">
                  <c:v>8.2319999999999993</c:v>
                </c:pt>
                <c:pt idx="425">
                  <c:v>8.2729999999999997</c:v>
                </c:pt>
                <c:pt idx="426">
                  <c:v>8.2850000000000001</c:v>
                </c:pt>
                <c:pt idx="427">
                  <c:v>8.359</c:v>
                </c:pt>
                <c:pt idx="428">
                  <c:v>8.43</c:v>
                </c:pt>
                <c:pt idx="429">
                  <c:v>8.4420000000000002</c:v>
                </c:pt>
                <c:pt idx="430">
                  <c:v>8.4250000000000007</c:v>
                </c:pt>
                <c:pt idx="431">
                  <c:v>8.375</c:v>
                </c:pt>
                <c:pt idx="432">
                  <c:v>8.3670000000000009</c:v>
                </c:pt>
                <c:pt idx="433">
                  <c:v>8.3819999999999997</c:v>
                </c:pt>
                <c:pt idx="434">
                  <c:v>8.375</c:v>
                </c:pt>
                <c:pt idx="435">
                  <c:v>8.3320000000000007</c:v>
                </c:pt>
                <c:pt idx="436">
                  <c:v>8.3759999999999994</c:v>
                </c:pt>
                <c:pt idx="437">
                  <c:v>8.3309999999999995</c:v>
                </c:pt>
                <c:pt idx="438">
                  <c:v>8.3000000000000007</c:v>
                </c:pt>
                <c:pt idx="439">
                  <c:v>8.2940000000000005</c:v>
                </c:pt>
                <c:pt idx="440">
                  <c:v>8.3330000000000002</c:v>
                </c:pt>
                <c:pt idx="441">
                  <c:v>8.3770000000000007</c:v>
                </c:pt>
                <c:pt idx="442">
                  <c:v>8.4670000000000005</c:v>
                </c:pt>
                <c:pt idx="443">
                  <c:v>8.4659999999999993</c:v>
                </c:pt>
                <c:pt idx="444">
                  <c:v>8.4779999999999998</c:v>
                </c:pt>
                <c:pt idx="445">
                  <c:v>8.532</c:v>
                </c:pt>
                <c:pt idx="446">
                  <c:v>8.5449999999999999</c:v>
                </c:pt>
                <c:pt idx="447">
                  <c:v>8.4809999999999999</c:v>
                </c:pt>
                <c:pt idx="448">
                  <c:v>8.5210000000000008</c:v>
                </c:pt>
                <c:pt idx="449">
                  <c:v>8.4529999999999994</c:v>
                </c:pt>
                <c:pt idx="450">
                  <c:v>8.4260000000000002</c:v>
                </c:pt>
                <c:pt idx="451">
                  <c:v>8.4120000000000008</c:v>
                </c:pt>
                <c:pt idx="452">
                  <c:v>8.3719999999999999</c:v>
                </c:pt>
                <c:pt idx="453">
                  <c:v>8.3819999999999997</c:v>
                </c:pt>
                <c:pt idx="454">
                  <c:v>8.3940000000000001</c:v>
                </c:pt>
                <c:pt idx="455">
                  <c:v>8.4030000000000005</c:v>
                </c:pt>
                <c:pt idx="456">
                  <c:v>8.33</c:v>
                </c:pt>
                <c:pt idx="457">
                  <c:v>8.3439999999999994</c:v>
                </c:pt>
                <c:pt idx="458">
                  <c:v>8.3559999999999999</c:v>
                </c:pt>
                <c:pt idx="459">
                  <c:v>8.35</c:v>
                </c:pt>
                <c:pt idx="460">
                  <c:v>8.2590000000000003</c:v>
                </c:pt>
                <c:pt idx="461">
                  <c:v>8.26</c:v>
                </c:pt>
                <c:pt idx="462">
                  <c:v>8.3219999999999992</c:v>
                </c:pt>
                <c:pt idx="463">
                  <c:v>8.2720000000000002</c:v>
                </c:pt>
                <c:pt idx="464">
                  <c:v>8.2629999999999999</c:v>
                </c:pt>
                <c:pt idx="465">
                  <c:v>8.2439999999999998</c:v>
                </c:pt>
                <c:pt idx="466">
                  <c:v>8.25</c:v>
                </c:pt>
                <c:pt idx="467">
                  <c:v>8.26</c:v>
                </c:pt>
                <c:pt idx="468">
                  <c:v>8.2270000000000003</c:v>
                </c:pt>
                <c:pt idx="469">
                  <c:v>8.2319999999999993</c:v>
                </c:pt>
                <c:pt idx="470">
                  <c:v>8.218</c:v>
                </c:pt>
                <c:pt idx="471">
                  <c:v>8.2050000000000001</c:v>
                </c:pt>
                <c:pt idx="472">
                  <c:v>8.1910000000000007</c:v>
                </c:pt>
                <c:pt idx="473">
                  <c:v>8.18</c:v>
                </c:pt>
                <c:pt idx="474">
                  <c:v>8.2119999999999997</c:v>
                </c:pt>
                <c:pt idx="475">
                  <c:v>8.202</c:v>
                </c:pt>
                <c:pt idx="476">
                  <c:v>8.1859999999999999</c:v>
                </c:pt>
                <c:pt idx="477">
                  <c:v>8.1839999999999993</c:v>
                </c:pt>
                <c:pt idx="478">
                  <c:v>8.1780000000000008</c:v>
                </c:pt>
                <c:pt idx="479">
                  <c:v>8.1679999999999993</c:v>
                </c:pt>
                <c:pt idx="480">
                  <c:v>8.1630000000000003</c:v>
                </c:pt>
                <c:pt idx="481">
                  <c:v>8.1519999999999992</c:v>
                </c:pt>
                <c:pt idx="482">
                  <c:v>8.1460000000000008</c:v>
                </c:pt>
                <c:pt idx="483">
                  <c:v>8.141</c:v>
                </c:pt>
                <c:pt idx="484">
                  <c:v>8.1259999999999994</c:v>
                </c:pt>
                <c:pt idx="485">
                  <c:v>8.1289999999999996</c:v>
                </c:pt>
                <c:pt idx="486">
                  <c:v>8.14</c:v>
                </c:pt>
                <c:pt idx="487">
                  <c:v>8.1319999999999997</c:v>
                </c:pt>
                <c:pt idx="488">
                  <c:v>8.1669999999999998</c:v>
                </c:pt>
                <c:pt idx="489">
                  <c:v>8.1720000000000006</c:v>
                </c:pt>
                <c:pt idx="490">
                  <c:v>8.15</c:v>
                </c:pt>
                <c:pt idx="491">
                  <c:v>8.1359999999999992</c:v>
                </c:pt>
                <c:pt idx="492">
                  <c:v>8.1340000000000003</c:v>
                </c:pt>
                <c:pt idx="493">
                  <c:v>8.16</c:v>
                </c:pt>
                <c:pt idx="494">
                  <c:v>8.173</c:v>
                </c:pt>
                <c:pt idx="495">
                  <c:v>8.1769999999999996</c:v>
                </c:pt>
                <c:pt idx="496">
                  <c:v>8.1809999999999992</c:v>
                </c:pt>
                <c:pt idx="497">
                  <c:v>8.1869999999999994</c:v>
                </c:pt>
                <c:pt idx="498">
                  <c:v>8.1989999999999998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FCB-45B5-BE37-9644FA2D0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86464"/>
        <c:axId val="225092352"/>
      </c:lineChart>
      <c:dateAx>
        <c:axId val="225086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5092352"/>
        <c:crosses val="autoZero"/>
        <c:auto val="0"/>
        <c:lblOffset val="100"/>
        <c:baseTimeUnit val="days"/>
        <c:majorUnit val="6"/>
        <c:majorTimeUnit val="months"/>
      </c:dateAx>
      <c:valAx>
        <c:axId val="225092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5086464"/>
        <c:crosses val="autoZero"/>
        <c:crossBetween val="between"/>
      </c:valAx>
      <c:valAx>
        <c:axId val="225093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5099776"/>
        <c:crosses val="max"/>
        <c:crossBetween val="between"/>
      </c:valAx>
      <c:dateAx>
        <c:axId val="2250997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25093888"/>
        <c:crosses val="autoZero"/>
        <c:auto val="1"/>
        <c:lblOffset val="100"/>
        <c:baseTimeUnit val="days"/>
      </c:dateAx>
    </c:plotArea>
    <c:legend>
      <c:legendPos val="t"/>
      <c:layout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v>예탁금(우)</c:v>
          </c:tx>
          <c:spPr>
            <a:solidFill>
              <a:srgbClr val="FF0000">
                <a:alpha val="65000"/>
              </a:srgbClr>
            </a:solidFill>
          </c:spPr>
          <c:invertIfNegative val="0"/>
          <c:dPt>
            <c:idx val="19"/>
            <c:invertIfNegative val="0"/>
            <c:bubble3D val="0"/>
          </c:dPt>
          <c:cat>
            <c:numRef>
              <c:f>국내시장주요지표!$BE$68:$BE$127</c:f>
              <c:numCache>
                <c:formatCode>m/d/yyyy</c:formatCode>
                <c:ptCount val="60"/>
                <c:pt idx="0">
                  <c:v>45149</c:v>
                </c:pt>
                <c:pt idx="1">
                  <c:v>45148</c:v>
                </c:pt>
                <c:pt idx="2">
                  <c:v>45147</c:v>
                </c:pt>
                <c:pt idx="3">
                  <c:v>45146</c:v>
                </c:pt>
                <c:pt idx="4">
                  <c:v>45145</c:v>
                </c:pt>
                <c:pt idx="5">
                  <c:v>45142</c:v>
                </c:pt>
                <c:pt idx="6">
                  <c:v>45141</c:v>
                </c:pt>
                <c:pt idx="7">
                  <c:v>45140</c:v>
                </c:pt>
                <c:pt idx="8">
                  <c:v>45139</c:v>
                </c:pt>
                <c:pt idx="9">
                  <c:v>45138</c:v>
                </c:pt>
                <c:pt idx="10">
                  <c:v>45135</c:v>
                </c:pt>
                <c:pt idx="11">
                  <c:v>45134</c:v>
                </c:pt>
                <c:pt idx="12">
                  <c:v>45133</c:v>
                </c:pt>
                <c:pt idx="13">
                  <c:v>45132</c:v>
                </c:pt>
                <c:pt idx="14">
                  <c:v>45131</c:v>
                </c:pt>
                <c:pt idx="15">
                  <c:v>45128</c:v>
                </c:pt>
                <c:pt idx="16">
                  <c:v>45127</c:v>
                </c:pt>
                <c:pt idx="17">
                  <c:v>45126</c:v>
                </c:pt>
                <c:pt idx="18">
                  <c:v>45125</c:v>
                </c:pt>
                <c:pt idx="19">
                  <c:v>45124</c:v>
                </c:pt>
                <c:pt idx="20">
                  <c:v>45121</c:v>
                </c:pt>
                <c:pt idx="21">
                  <c:v>45120</c:v>
                </c:pt>
                <c:pt idx="22">
                  <c:v>45119</c:v>
                </c:pt>
                <c:pt idx="23">
                  <c:v>45118</c:v>
                </c:pt>
                <c:pt idx="24">
                  <c:v>45117</c:v>
                </c:pt>
                <c:pt idx="25">
                  <c:v>45114</c:v>
                </c:pt>
                <c:pt idx="26">
                  <c:v>45113</c:v>
                </c:pt>
                <c:pt idx="27">
                  <c:v>45112</c:v>
                </c:pt>
                <c:pt idx="28">
                  <c:v>45111</c:v>
                </c:pt>
                <c:pt idx="29">
                  <c:v>45110</c:v>
                </c:pt>
                <c:pt idx="30">
                  <c:v>45107</c:v>
                </c:pt>
                <c:pt idx="31">
                  <c:v>45106</c:v>
                </c:pt>
                <c:pt idx="32">
                  <c:v>45105</c:v>
                </c:pt>
                <c:pt idx="33">
                  <c:v>45104</c:v>
                </c:pt>
                <c:pt idx="34">
                  <c:v>45103</c:v>
                </c:pt>
                <c:pt idx="35">
                  <c:v>45100</c:v>
                </c:pt>
                <c:pt idx="36">
                  <c:v>45099</c:v>
                </c:pt>
                <c:pt idx="37">
                  <c:v>45098</c:v>
                </c:pt>
                <c:pt idx="38">
                  <c:v>45097</c:v>
                </c:pt>
                <c:pt idx="39">
                  <c:v>45096</c:v>
                </c:pt>
                <c:pt idx="40">
                  <c:v>45093</c:v>
                </c:pt>
                <c:pt idx="41">
                  <c:v>45092</c:v>
                </c:pt>
                <c:pt idx="42">
                  <c:v>45091</c:v>
                </c:pt>
                <c:pt idx="43">
                  <c:v>45090</c:v>
                </c:pt>
                <c:pt idx="44">
                  <c:v>45089</c:v>
                </c:pt>
                <c:pt idx="45">
                  <c:v>45086</c:v>
                </c:pt>
                <c:pt idx="46">
                  <c:v>45085</c:v>
                </c:pt>
                <c:pt idx="47">
                  <c:v>45084</c:v>
                </c:pt>
                <c:pt idx="48">
                  <c:v>45082</c:v>
                </c:pt>
                <c:pt idx="49">
                  <c:v>45079</c:v>
                </c:pt>
                <c:pt idx="50">
                  <c:v>45078</c:v>
                </c:pt>
                <c:pt idx="51">
                  <c:v>45077</c:v>
                </c:pt>
                <c:pt idx="52">
                  <c:v>45076</c:v>
                </c:pt>
                <c:pt idx="53">
                  <c:v>45072</c:v>
                </c:pt>
                <c:pt idx="54">
                  <c:v>45071</c:v>
                </c:pt>
                <c:pt idx="55">
                  <c:v>45070</c:v>
                </c:pt>
                <c:pt idx="56">
                  <c:v>45069</c:v>
                </c:pt>
                <c:pt idx="57">
                  <c:v>45068</c:v>
                </c:pt>
                <c:pt idx="58">
                  <c:v>45065</c:v>
                </c:pt>
                <c:pt idx="59">
                  <c:v>45064</c:v>
                </c:pt>
              </c:numCache>
            </c:numRef>
          </c:cat>
          <c:val>
            <c:numRef>
              <c:f>국내시장주요지표!$BF$68:$BF$127</c:f>
              <c:numCache>
                <c:formatCode>General</c:formatCode>
                <c:ptCount val="60"/>
                <c:pt idx="0">
                  <c:v>532134</c:v>
                </c:pt>
                <c:pt idx="1">
                  <c:v>528866</c:v>
                </c:pt>
                <c:pt idx="2">
                  <c:v>527168</c:v>
                </c:pt>
                <c:pt idx="3">
                  <c:v>533490</c:v>
                </c:pt>
                <c:pt idx="4">
                  <c:v>543510</c:v>
                </c:pt>
                <c:pt idx="5">
                  <c:v>541844</c:v>
                </c:pt>
                <c:pt idx="6">
                  <c:v>548628</c:v>
                </c:pt>
                <c:pt idx="7">
                  <c:v>552776</c:v>
                </c:pt>
                <c:pt idx="8">
                  <c:v>571605</c:v>
                </c:pt>
                <c:pt idx="9">
                  <c:v>562242</c:v>
                </c:pt>
                <c:pt idx="10">
                  <c:v>557295</c:v>
                </c:pt>
                <c:pt idx="11">
                  <c:v>581991</c:v>
                </c:pt>
                <c:pt idx="12">
                  <c:v>577878</c:v>
                </c:pt>
                <c:pt idx="13">
                  <c:v>554119</c:v>
                </c:pt>
                <c:pt idx="14">
                  <c:v>541536</c:v>
                </c:pt>
                <c:pt idx="15">
                  <c:v>540024</c:v>
                </c:pt>
                <c:pt idx="16">
                  <c:v>532878</c:v>
                </c:pt>
                <c:pt idx="17">
                  <c:v>509551</c:v>
                </c:pt>
                <c:pt idx="18">
                  <c:v>514133</c:v>
                </c:pt>
                <c:pt idx="19">
                  <c:v>508920</c:v>
                </c:pt>
                <c:pt idx="20">
                  <c:v>511124</c:v>
                </c:pt>
                <c:pt idx="21">
                  <c:v>534848</c:v>
                </c:pt>
                <c:pt idx="22">
                  <c:v>504701</c:v>
                </c:pt>
                <c:pt idx="23">
                  <c:v>503063</c:v>
                </c:pt>
                <c:pt idx="24">
                  <c:v>516655</c:v>
                </c:pt>
                <c:pt idx="25">
                  <c:v>504775</c:v>
                </c:pt>
                <c:pt idx="26">
                  <c:v>512463</c:v>
                </c:pt>
                <c:pt idx="27">
                  <c:v>515072</c:v>
                </c:pt>
                <c:pt idx="28">
                  <c:v>513169</c:v>
                </c:pt>
                <c:pt idx="29">
                  <c:v>550226</c:v>
                </c:pt>
                <c:pt idx="30">
                  <c:v>516986</c:v>
                </c:pt>
                <c:pt idx="31">
                  <c:v>507558</c:v>
                </c:pt>
                <c:pt idx="32">
                  <c:v>509151</c:v>
                </c:pt>
                <c:pt idx="33">
                  <c:v>515192</c:v>
                </c:pt>
                <c:pt idx="34">
                  <c:v>511236</c:v>
                </c:pt>
                <c:pt idx="35">
                  <c:v>506529</c:v>
                </c:pt>
                <c:pt idx="36">
                  <c:v>505236</c:v>
                </c:pt>
                <c:pt idx="37">
                  <c:v>510071</c:v>
                </c:pt>
                <c:pt idx="38">
                  <c:v>518251</c:v>
                </c:pt>
                <c:pt idx="39">
                  <c:v>519793</c:v>
                </c:pt>
                <c:pt idx="40">
                  <c:v>519053</c:v>
                </c:pt>
                <c:pt idx="41">
                  <c:v>542211</c:v>
                </c:pt>
                <c:pt idx="42">
                  <c:v>528195</c:v>
                </c:pt>
                <c:pt idx="43">
                  <c:v>525056</c:v>
                </c:pt>
                <c:pt idx="44">
                  <c:v>516420</c:v>
                </c:pt>
                <c:pt idx="45">
                  <c:v>517582</c:v>
                </c:pt>
                <c:pt idx="46">
                  <c:v>509238</c:v>
                </c:pt>
                <c:pt idx="47">
                  <c:v>507847</c:v>
                </c:pt>
                <c:pt idx="48">
                  <c:v>500273</c:v>
                </c:pt>
                <c:pt idx="49">
                  <c:v>503802</c:v>
                </c:pt>
                <c:pt idx="50">
                  <c:v>527348</c:v>
                </c:pt>
                <c:pt idx="51">
                  <c:v>519553</c:v>
                </c:pt>
                <c:pt idx="52">
                  <c:v>516588</c:v>
                </c:pt>
                <c:pt idx="53">
                  <c:v>510303</c:v>
                </c:pt>
                <c:pt idx="54">
                  <c:v>510266</c:v>
                </c:pt>
                <c:pt idx="55">
                  <c:v>514246</c:v>
                </c:pt>
                <c:pt idx="56">
                  <c:v>505884</c:v>
                </c:pt>
                <c:pt idx="57">
                  <c:v>497753</c:v>
                </c:pt>
                <c:pt idx="58">
                  <c:v>497563</c:v>
                </c:pt>
                <c:pt idx="59">
                  <c:v>497359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360128"/>
        <c:axId val="225358592"/>
      </c:barChart>
      <c:lineChart>
        <c:grouping val="standard"/>
        <c:varyColors val="0"/>
        <c:ser>
          <c:idx val="1"/>
          <c:order val="0"/>
          <c:tx>
            <c:v>주식형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국내시장주요지표!$BE$68:$BE$127</c:f>
              <c:numCache>
                <c:formatCode>m/d/yyyy</c:formatCode>
                <c:ptCount val="60"/>
                <c:pt idx="0">
                  <c:v>45149</c:v>
                </c:pt>
                <c:pt idx="1">
                  <c:v>45148</c:v>
                </c:pt>
                <c:pt idx="2">
                  <c:v>45147</c:v>
                </c:pt>
                <c:pt idx="3">
                  <c:v>45146</c:v>
                </c:pt>
                <c:pt idx="4">
                  <c:v>45145</c:v>
                </c:pt>
                <c:pt idx="5">
                  <c:v>45142</c:v>
                </c:pt>
                <c:pt idx="6">
                  <c:v>45141</c:v>
                </c:pt>
                <c:pt idx="7">
                  <c:v>45140</c:v>
                </c:pt>
                <c:pt idx="8">
                  <c:v>45139</c:v>
                </c:pt>
                <c:pt idx="9">
                  <c:v>45138</c:v>
                </c:pt>
                <c:pt idx="10">
                  <c:v>45135</c:v>
                </c:pt>
                <c:pt idx="11">
                  <c:v>45134</c:v>
                </c:pt>
                <c:pt idx="12">
                  <c:v>45133</c:v>
                </c:pt>
                <c:pt idx="13">
                  <c:v>45132</c:v>
                </c:pt>
                <c:pt idx="14">
                  <c:v>45131</c:v>
                </c:pt>
                <c:pt idx="15">
                  <c:v>45128</c:v>
                </c:pt>
                <c:pt idx="16">
                  <c:v>45127</c:v>
                </c:pt>
                <c:pt idx="17">
                  <c:v>45126</c:v>
                </c:pt>
                <c:pt idx="18">
                  <c:v>45125</c:v>
                </c:pt>
                <c:pt idx="19">
                  <c:v>45124</c:v>
                </c:pt>
                <c:pt idx="20">
                  <c:v>45121</c:v>
                </c:pt>
                <c:pt idx="21">
                  <c:v>45120</c:v>
                </c:pt>
                <c:pt idx="22">
                  <c:v>45119</c:v>
                </c:pt>
                <c:pt idx="23">
                  <c:v>45118</c:v>
                </c:pt>
                <c:pt idx="24">
                  <c:v>45117</c:v>
                </c:pt>
                <c:pt idx="25">
                  <c:v>45114</c:v>
                </c:pt>
                <c:pt idx="26">
                  <c:v>45113</c:v>
                </c:pt>
                <c:pt idx="27">
                  <c:v>45112</c:v>
                </c:pt>
                <c:pt idx="28">
                  <c:v>45111</c:v>
                </c:pt>
                <c:pt idx="29">
                  <c:v>45110</c:v>
                </c:pt>
                <c:pt idx="30">
                  <c:v>45107</c:v>
                </c:pt>
                <c:pt idx="31">
                  <c:v>45106</c:v>
                </c:pt>
                <c:pt idx="32">
                  <c:v>45105</c:v>
                </c:pt>
                <c:pt idx="33">
                  <c:v>45104</c:v>
                </c:pt>
                <c:pt idx="34">
                  <c:v>45103</c:v>
                </c:pt>
                <c:pt idx="35">
                  <c:v>45100</c:v>
                </c:pt>
                <c:pt idx="36">
                  <c:v>45099</c:v>
                </c:pt>
                <c:pt idx="37">
                  <c:v>45098</c:v>
                </c:pt>
                <c:pt idx="38">
                  <c:v>45097</c:v>
                </c:pt>
                <c:pt idx="39">
                  <c:v>45096</c:v>
                </c:pt>
                <c:pt idx="40">
                  <c:v>45093</c:v>
                </c:pt>
                <c:pt idx="41">
                  <c:v>45092</c:v>
                </c:pt>
                <c:pt idx="42">
                  <c:v>45091</c:v>
                </c:pt>
                <c:pt idx="43">
                  <c:v>45090</c:v>
                </c:pt>
                <c:pt idx="44">
                  <c:v>45089</c:v>
                </c:pt>
                <c:pt idx="45">
                  <c:v>45086</c:v>
                </c:pt>
                <c:pt idx="46">
                  <c:v>45085</c:v>
                </c:pt>
                <c:pt idx="47">
                  <c:v>45084</c:v>
                </c:pt>
                <c:pt idx="48">
                  <c:v>45082</c:v>
                </c:pt>
                <c:pt idx="49">
                  <c:v>45079</c:v>
                </c:pt>
                <c:pt idx="50">
                  <c:v>45078</c:v>
                </c:pt>
                <c:pt idx="51">
                  <c:v>45077</c:v>
                </c:pt>
                <c:pt idx="52">
                  <c:v>45076</c:v>
                </c:pt>
                <c:pt idx="53">
                  <c:v>45072</c:v>
                </c:pt>
                <c:pt idx="54">
                  <c:v>45071</c:v>
                </c:pt>
                <c:pt idx="55">
                  <c:v>45070</c:v>
                </c:pt>
                <c:pt idx="56">
                  <c:v>45069</c:v>
                </c:pt>
                <c:pt idx="57">
                  <c:v>45068</c:v>
                </c:pt>
                <c:pt idx="58">
                  <c:v>45065</c:v>
                </c:pt>
                <c:pt idx="59">
                  <c:v>45064</c:v>
                </c:pt>
              </c:numCache>
            </c:numRef>
          </c:cat>
          <c:val>
            <c:numRef>
              <c:f>국내시장주요지표!$BG$68:$BG$127</c:f>
              <c:numCache>
                <c:formatCode>General</c:formatCode>
                <c:ptCount val="60"/>
                <c:pt idx="0">
                  <c:v>993752.72</c:v>
                </c:pt>
                <c:pt idx="1">
                  <c:v>995988.33</c:v>
                </c:pt>
                <c:pt idx="2">
                  <c:v>998756.38</c:v>
                </c:pt>
                <c:pt idx="3">
                  <c:v>996966.7</c:v>
                </c:pt>
                <c:pt idx="4">
                  <c:v>997256.59</c:v>
                </c:pt>
                <c:pt idx="5">
                  <c:v>1002667.02</c:v>
                </c:pt>
                <c:pt idx="6">
                  <c:v>1001585.43</c:v>
                </c:pt>
                <c:pt idx="7">
                  <c:v>1003751.85</c:v>
                </c:pt>
                <c:pt idx="8">
                  <c:v>1012145.63</c:v>
                </c:pt>
                <c:pt idx="9">
                  <c:v>1007110.55</c:v>
                </c:pt>
                <c:pt idx="10">
                  <c:v>1000002.36</c:v>
                </c:pt>
                <c:pt idx="11">
                  <c:v>995522.38</c:v>
                </c:pt>
                <c:pt idx="12">
                  <c:v>994712.2</c:v>
                </c:pt>
                <c:pt idx="13">
                  <c:v>1002032.71</c:v>
                </c:pt>
                <c:pt idx="14">
                  <c:v>1000243.44</c:v>
                </c:pt>
                <c:pt idx="15">
                  <c:v>996993.74</c:v>
                </c:pt>
                <c:pt idx="16">
                  <c:v>997660.99</c:v>
                </c:pt>
                <c:pt idx="17">
                  <c:v>1003245.48</c:v>
                </c:pt>
                <c:pt idx="18">
                  <c:v>1000960.77</c:v>
                </c:pt>
                <c:pt idx="19">
                  <c:v>999463.07</c:v>
                </c:pt>
                <c:pt idx="20">
                  <c:v>1001909.23</c:v>
                </c:pt>
                <c:pt idx="21">
                  <c:v>993388.6</c:v>
                </c:pt>
                <c:pt idx="22">
                  <c:v>990197.94</c:v>
                </c:pt>
                <c:pt idx="23">
                  <c:v>987201.32</c:v>
                </c:pt>
                <c:pt idx="24">
                  <c:v>982476.92</c:v>
                </c:pt>
                <c:pt idx="25">
                  <c:v>986419.41</c:v>
                </c:pt>
                <c:pt idx="26">
                  <c:v>996361.57</c:v>
                </c:pt>
                <c:pt idx="27">
                  <c:v>1001165.72</c:v>
                </c:pt>
                <c:pt idx="28">
                  <c:v>1001833.01</c:v>
                </c:pt>
                <c:pt idx="29">
                  <c:v>1004007.38</c:v>
                </c:pt>
                <c:pt idx="30">
                  <c:v>995644.75</c:v>
                </c:pt>
                <c:pt idx="31">
                  <c:v>988680.15</c:v>
                </c:pt>
                <c:pt idx="32">
                  <c:v>986201.46</c:v>
                </c:pt>
                <c:pt idx="33">
                  <c:v>983685.02</c:v>
                </c:pt>
                <c:pt idx="34">
                  <c:v>984490.88</c:v>
                </c:pt>
                <c:pt idx="35">
                  <c:v>982771.29</c:v>
                </c:pt>
                <c:pt idx="36">
                  <c:v>983688.8</c:v>
                </c:pt>
                <c:pt idx="37">
                  <c:v>983595.18</c:v>
                </c:pt>
                <c:pt idx="38">
                  <c:v>985533.41</c:v>
                </c:pt>
                <c:pt idx="39">
                  <c:v>985143.05</c:v>
                </c:pt>
                <c:pt idx="40">
                  <c:v>983151.85</c:v>
                </c:pt>
                <c:pt idx="41">
                  <c:v>976396.68</c:v>
                </c:pt>
                <c:pt idx="42">
                  <c:v>968237.02</c:v>
                </c:pt>
                <c:pt idx="43">
                  <c:v>969587.14</c:v>
                </c:pt>
                <c:pt idx="44">
                  <c:v>967922.32</c:v>
                </c:pt>
                <c:pt idx="45">
                  <c:v>971821.17</c:v>
                </c:pt>
                <c:pt idx="46">
                  <c:v>968138.23</c:v>
                </c:pt>
                <c:pt idx="47">
                  <c:v>971015.67</c:v>
                </c:pt>
                <c:pt idx="48">
                  <c:v>976192.67</c:v>
                </c:pt>
                <c:pt idx="49">
                  <c:v>977187.94</c:v>
                </c:pt>
                <c:pt idx="50">
                  <c:v>973287.74</c:v>
                </c:pt>
                <c:pt idx="51">
                  <c:v>976743.77</c:v>
                </c:pt>
                <c:pt idx="52">
                  <c:v>979069.2</c:v>
                </c:pt>
                <c:pt idx="53">
                  <c:v>974208.41</c:v>
                </c:pt>
                <c:pt idx="54">
                  <c:v>973264.03</c:v>
                </c:pt>
                <c:pt idx="55">
                  <c:v>974466.13</c:v>
                </c:pt>
                <c:pt idx="56">
                  <c:v>977584.63</c:v>
                </c:pt>
                <c:pt idx="57">
                  <c:v>975157.83</c:v>
                </c:pt>
                <c:pt idx="58">
                  <c:v>972976.4</c:v>
                </c:pt>
                <c:pt idx="59">
                  <c:v>968713.46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355264"/>
        <c:axId val="225356800"/>
      </c:lineChart>
      <c:catAx>
        <c:axId val="225355264"/>
        <c:scaling>
          <c:orientation val="maxMin"/>
        </c:scaling>
        <c:delete val="0"/>
        <c:axPos val="b"/>
        <c:numFmt formatCode="m/d/yyyy" sourceLinked="1"/>
        <c:majorTickMark val="cross"/>
        <c:minorTickMark val="none"/>
        <c:tickLblPos val="nextTo"/>
        <c:crossAx val="225356800"/>
        <c:crosses val="autoZero"/>
        <c:auto val="0"/>
        <c:lblAlgn val="ctr"/>
        <c:lblOffset val="100"/>
        <c:tickLblSkip val="20"/>
        <c:tickMarkSkip val="20"/>
        <c:noMultiLvlLbl val="0"/>
      </c:catAx>
      <c:valAx>
        <c:axId val="2253568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5355264"/>
        <c:crosses val="max"/>
        <c:crossBetween val="between"/>
      </c:valAx>
      <c:valAx>
        <c:axId val="225358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5360128"/>
        <c:crosses val="max"/>
        <c:crossBetween val="between"/>
      </c:valAx>
      <c:dateAx>
        <c:axId val="2253601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25358592"/>
        <c:crosses val="autoZero"/>
        <c:auto val="1"/>
        <c:lblOffset val="100"/>
        <c:baseTimeUnit val="days"/>
        <c:majorUnit val="1"/>
        <c:minorUnit val="1"/>
      </c:dateAx>
    </c:plotArea>
    <c:legend>
      <c:legendPos val="t"/>
      <c:layout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ko-KR" altLang="en-US"/>
              <a:t>베이시스 갭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베이시스갭</c:v>
          </c:tx>
          <c:spPr>
            <a:ln w="12700"/>
          </c:spPr>
          <c:marker>
            <c:symbol val="none"/>
          </c:marker>
          <c:cat>
            <c:numRef>
              <c:f>'KOSPI200 선물옵션'!$W$24:$JK$24</c:f>
              <c:numCache>
                <c:formatCode>m/d/yyyy</c:formatCode>
                <c:ptCount val="249"/>
                <c:pt idx="0">
                  <c:v>45154</c:v>
                </c:pt>
                <c:pt idx="1">
                  <c:v>45152</c:v>
                </c:pt>
                <c:pt idx="2">
                  <c:v>45149</c:v>
                </c:pt>
                <c:pt idx="3">
                  <c:v>45148</c:v>
                </c:pt>
                <c:pt idx="4">
                  <c:v>45147</c:v>
                </c:pt>
                <c:pt idx="5">
                  <c:v>45146</c:v>
                </c:pt>
                <c:pt idx="6">
                  <c:v>45145</c:v>
                </c:pt>
                <c:pt idx="7">
                  <c:v>45142</c:v>
                </c:pt>
                <c:pt idx="8">
                  <c:v>45141</c:v>
                </c:pt>
                <c:pt idx="9">
                  <c:v>45140</c:v>
                </c:pt>
                <c:pt idx="10">
                  <c:v>45139</c:v>
                </c:pt>
                <c:pt idx="11">
                  <c:v>45138</c:v>
                </c:pt>
                <c:pt idx="12">
                  <c:v>45135</c:v>
                </c:pt>
                <c:pt idx="13">
                  <c:v>45134</c:v>
                </c:pt>
                <c:pt idx="14">
                  <c:v>45133</c:v>
                </c:pt>
                <c:pt idx="15">
                  <c:v>45132</c:v>
                </c:pt>
                <c:pt idx="16">
                  <c:v>45131</c:v>
                </c:pt>
                <c:pt idx="17">
                  <c:v>45128</c:v>
                </c:pt>
                <c:pt idx="18">
                  <c:v>45127</c:v>
                </c:pt>
                <c:pt idx="19">
                  <c:v>45126</c:v>
                </c:pt>
                <c:pt idx="20">
                  <c:v>45125</c:v>
                </c:pt>
                <c:pt idx="21">
                  <c:v>45124</c:v>
                </c:pt>
                <c:pt idx="22">
                  <c:v>45121</c:v>
                </c:pt>
                <c:pt idx="23">
                  <c:v>45120</c:v>
                </c:pt>
                <c:pt idx="24">
                  <c:v>45119</c:v>
                </c:pt>
                <c:pt idx="25">
                  <c:v>45118</c:v>
                </c:pt>
                <c:pt idx="26">
                  <c:v>45117</c:v>
                </c:pt>
                <c:pt idx="27">
                  <c:v>45114</c:v>
                </c:pt>
                <c:pt idx="28">
                  <c:v>45113</c:v>
                </c:pt>
                <c:pt idx="29">
                  <c:v>45112</c:v>
                </c:pt>
                <c:pt idx="30">
                  <c:v>45111</c:v>
                </c:pt>
                <c:pt idx="31">
                  <c:v>45110</c:v>
                </c:pt>
                <c:pt idx="32">
                  <c:v>45107</c:v>
                </c:pt>
                <c:pt idx="33">
                  <c:v>45106</c:v>
                </c:pt>
                <c:pt idx="34">
                  <c:v>45105</c:v>
                </c:pt>
                <c:pt idx="35">
                  <c:v>45104</c:v>
                </c:pt>
                <c:pt idx="36">
                  <c:v>45103</c:v>
                </c:pt>
                <c:pt idx="37">
                  <c:v>45100</c:v>
                </c:pt>
                <c:pt idx="38">
                  <c:v>45099</c:v>
                </c:pt>
                <c:pt idx="39">
                  <c:v>45098</c:v>
                </c:pt>
                <c:pt idx="40">
                  <c:v>45097</c:v>
                </c:pt>
                <c:pt idx="41">
                  <c:v>45096</c:v>
                </c:pt>
                <c:pt idx="42">
                  <c:v>45093</c:v>
                </c:pt>
                <c:pt idx="43">
                  <c:v>45092</c:v>
                </c:pt>
                <c:pt idx="44">
                  <c:v>45091</c:v>
                </c:pt>
                <c:pt idx="45">
                  <c:v>45090</c:v>
                </c:pt>
                <c:pt idx="46">
                  <c:v>45089</c:v>
                </c:pt>
                <c:pt idx="47">
                  <c:v>45086</c:v>
                </c:pt>
                <c:pt idx="48">
                  <c:v>45085</c:v>
                </c:pt>
                <c:pt idx="49">
                  <c:v>45084</c:v>
                </c:pt>
                <c:pt idx="50">
                  <c:v>45082</c:v>
                </c:pt>
                <c:pt idx="51">
                  <c:v>45079</c:v>
                </c:pt>
                <c:pt idx="52">
                  <c:v>45078</c:v>
                </c:pt>
                <c:pt idx="53">
                  <c:v>45077</c:v>
                </c:pt>
                <c:pt idx="54">
                  <c:v>45076</c:v>
                </c:pt>
                <c:pt idx="55">
                  <c:v>45072</c:v>
                </c:pt>
                <c:pt idx="56">
                  <c:v>45071</c:v>
                </c:pt>
                <c:pt idx="57">
                  <c:v>45070</c:v>
                </c:pt>
                <c:pt idx="58">
                  <c:v>45069</c:v>
                </c:pt>
                <c:pt idx="59">
                  <c:v>45068</c:v>
                </c:pt>
                <c:pt idx="60">
                  <c:v>45065</c:v>
                </c:pt>
                <c:pt idx="61">
                  <c:v>45064</c:v>
                </c:pt>
                <c:pt idx="62">
                  <c:v>45063</c:v>
                </c:pt>
                <c:pt idx="63">
                  <c:v>45062</c:v>
                </c:pt>
                <c:pt idx="64">
                  <c:v>45061</c:v>
                </c:pt>
                <c:pt idx="65">
                  <c:v>45058</c:v>
                </c:pt>
                <c:pt idx="66">
                  <c:v>45057</c:v>
                </c:pt>
                <c:pt idx="67">
                  <c:v>45056</c:v>
                </c:pt>
                <c:pt idx="68">
                  <c:v>45055</c:v>
                </c:pt>
                <c:pt idx="69">
                  <c:v>45054</c:v>
                </c:pt>
                <c:pt idx="70">
                  <c:v>45050</c:v>
                </c:pt>
                <c:pt idx="71">
                  <c:v>45049</c:v>
                </c:pt>
                <c:pt idx="72">
                  <c:v>45048</c:v>
                </c:pt>
                <c:pt idx="73">
                  <c:v>45044</c:v>
                </c:pt>
                <c:pt idx="74">
                  <c:v>45043</c:v>
                </c:pt>
                <c:pt idx="75">
                  <c:v>45042</c:v>
                </c:pt>
                <c:pt idx="76">
                  <c:v>45041</c:v>
                </c:pt>
                <c:pt idx="77">
                  <c:v>45040</c:v>
                </c:pt>
                <c:pt idx="78">
                  <c:v>45037</c:v>
                </c:pt>
                <c:pt idx="79">
                  <c:v>45036</c:v>
                </c:pt>
                <c:pt idx="80">
                  <c:v>45035</c:v>
                </c:pt>
                <c:pt idx="81">
                  <c:v>45034</c:v>
                </c:pt>
                <c:pt idx="82">
                  <c:v>45033</c:v>
                </c:pt>
                <c:pt idx="83">
                  <c:v>45030</c:v>
                </c:pt>
                <c:pt idx="84">
                  <c:v>45029</c:v>
                </c:pt>
                <c:pt idx="85">
                  <c:v>45028</c:v>
                </c:pt>
                <c:pt idx="86">
                  <c:v>45027</c:v>
                </c:pt>
                <c:pt idx="87">
                  <c:v>45026</c:v>
                </c:pt>
                <c:pt idx="88">
                  <c:v>45023</c:v>
                </c:pt>
                <c:pt idx="89">
                  <c:v>45022</c:v>
                </c:pt>
                <c:pt idx="90">
                  <c:v>45021</c:v>
                </c:pt>
                <c:pt idx="91">
                  <c:v>45020</c:v>
                </c:pt>
                <c:pt idx="92">
                  <c:v>45019</c:v>
                </c:pt>
                <c:pt idx="93">
                  <c:v>45016</c:v>
                </c:pt>
                <c:pt idx="94">
                  <c:v>45015</c:v>
                </c:pt>
                <c:pt idx="95">
                  <c:v>45014</c:v>
                </c:pt>
                <c:pt idx="96">
                  <c:v>45013</c:v>
                </c:pt>
                <c:pt idx="97">
                  <c:v>45012</c:v>
                </c:pt>
                <c:pt idx="98">
                  <c:v>45009</c:v>
                </c:pt>
                <c:pt idx="99">
                  <c:v>45008</c:v>
                </c:pt>
                <c:pt idx="100">
                  <c:v>45007</c:v>
                </c:pt>
                <c:pt idx="101">
                  <c:v>45006</c:v>
                </c:pt>
                <c:pt idx="102">
                  <c:v>45005</c:v>
                </c:pt>
                <c:pt idx="103">
                  <c:v>45002</c:v>
                </c:pt>
                <c:pt idx="104">
                  <c:v>45001</c:v>
                </c:pt>
                <c:pt idx="105">
                  <c:v>45000</c:v>
                </c:pt>
                <c:pt idx="106">
                  <c:v>44999</c:v>
                </c:pt>
                <c:pt idx="107">
                  <c:v>44998</c:v>
                </c:pt>
                <c:pt idx="108">
                  <c:v>44995</c:v>
                </c:pt>
                <c:pt idx="109">
                  <c:v>44994</c:v>
                </c:pt>
                <c:pt idx="110">
                  <c:v>44993</c:v>
                </c:pt>
                <c:pt idx="111">
                  <c:v>44992</c:v>
                </c:pt>
                <c:pt idx="112">
                  <c:v>44991</c:v>
                </c:pt>
                <c:pt idx="113">
                  <c:v>44988</c:v>
                </c:pt>
                <c:pt idx="114">
                  <c:v>44987</c:v>
                </c:pt>
                <c:pt idx="115">
                  <c:v>44985</c:v>
                </c:pt>
                <c:pt idx="116">
                  <c:v>44984</c:v>
                </c:pt>
                <c:pt idx="117">
                  <c:v>44981</c:v>
                </c:pt>
                <c:pt idx="118">
                  <c:v>44980</c:v>
                </c:pt>
                <c:pt idx="119">
                  <c:v>44979</c:v>
                </c:pt>
                <c:pt idx="120">
                  <c:v>44978</c:v>
                </c:pt>
                <c:pt idx="121">
                  <c:v>44977</c:v>
                </c:pt>
                <c:pt idx="122">
                  <c:v>44974</c:v>
                </c:pt>
                <c:pt idx="123">
                  <c:v>44973</c:v>
                </c:pt>
                <c:pt idx="124">
                  <c:v>44972</c:v>
                </c:pt>
                <c:pt idx="125">
                  <c:v>44971</c:v>
                </c:pt>
                <c:pt idx="126">
                  <c:v>44970</c:v>
                </c:pt>
                <c:pt idx="127">
                  <c:v>44967</c:v>
                </c:pt>
                <c:pt idx="128">
                  <c:v>44966</c:v>
                </c:pt>
                <c:pt idx="129">
                  <c:v>44965</c:v>
                </c:pt>
                <c:pt idx="130">
                  <c:v>44964</c:v>
                </c:pt>
                <c:pt idx="131">
                  <c:v>44963</c:v>
                </c:pt>
                <c:pt idx="132">
                  <c:v>44960</c:v>
                </c:pt>
                <c:pt idx="133">
                  <c:v>44959</c:v>
                </c:pt>
                <c:pt idx="134">
                  <c:v>44958</c:v>
                </c:pt>
                <c:pt idx="135">
                  <c:v>44957</c:v>
                </c:pt>
                <c:pt idx="136">
                  <c:v>44956</c:v>
                </c:pt>
                <c:pt idx="137">
                  <c:v>44953</c:v>
                </c:pt>
                <c:pt idx="138">
                  <c:v>44952</c:v>
                </c:pt>
                <c:pt idx="139">
                  <c:v>44951</c:v>
                </c:pt>
                <c:pt idx="140">
                  <c:v>44946</c:v>
                </c:pt>
                <c:pt idx="141">
                  <c:v>44945</c:v>
                </c:pt>
                <c:pt idx="142">
                  <c:v>44944</c:v>
                </c:pt>
                <c:pt idx="143">
                  <c:v>44943</c:v>
                </c:pt>
                <c:pt idx="144">
                  <c:v>44942</c:v>
                </c:pt>
                <c:pt idx="145">
                  <c:v>44939</c:v>
                </c:pt>
                <c:pt idx="146">
                  <c:v>44938</c:v>
                </c:pt>
                <c:pt idx="147">
                  <c:v>44937</c:v>
                </c:pt>
                <c:pt idx="148">
                  <c:v>44936</c:v>
                </c:pt>
                <c:pt idx="149">
                  <c:v>44935</c:v>
                </c:pt>
                <c:pt idx="150">
                  <c:v>44932</c:v>
                </c:pt>
                <c:pt idx="151">
                  <c:v>44931</c:v>
                </c:pt>
                <c:pt idx="152">
                  <c:v>44930</c:v>
                </c:pt>
                <c:pt idx="153">
                  <c:v>44929</c:v>
                </c:pt>
                <c:pt idx="154">
                  <c:v>44928</c:v>
                </c:pt>
                <c:pt idx="155">
                  <c:v>44924</c:v>
                </c:pt>
                <c:pt idx="156">
                  <c:v>44923</c:v>
                </c:pt>
                <c:pt idx="157">
                  <c:v>44922</c:v>
                </c:pt>
                <c:pt idx="158">
                  <c:v>44921</c:v>
                </c:pt>
                <c:pt idx="159">
                  <c:v>44918</c:v>
                </c:pt>
                <c:pt idx="160">
                  <c:v>44917</c:v>
                </c:pt>
                <c:pt idx="161">
                  <c:v>44916</c:v>
                </c:pt>
                <c:pt idx="162">
                  <c:v>44915</c:v>
                </c:pt>
                <c:pt idx="163">
                  <c:v>44914</c:v>
                </c:pt>
                <c:pt idx="164">
                  <c:v>44911</c:v>
                </c:pt>
                <c:pt idx="165">
                  <c:v>44910</c:v>
                </c:pt>
                <c:pt idx="166">
                  <c:v>44909</c:v>
                </c:pt>
                <c:pt idx="167">
                  <c:v>44908</c:v>
                </c:pt>
                <c:pt idx="168">
                  <c:v>44907</c:v>
                </c:pt>
                <c:pt idx="169">
                  <c:v>44904</c:v>
                </c:pt>
                <c:pt idx="170">
                  <c:v>44903</c:v>
                </c:pt>
                <c:pt idx="171">
                  <c:v>44902</c:v>
                </c:pt>
                <c:pt idx="172">
                  <c:v>44901</c:v>
                </c:pt>
                <c:pt idx="173">
                  <c:v>44900</c:v>
                </c:pt>
                <c:pt idx="174">
                  <c:v>44897</c:v>
                </c:pt>
                <c:pt idx="175">
                  <c:v>44896</c:v>
                </c:pt>
                <c:pt idx="176">
                  <c:v>44895</c:v>
                </c:pt>
                <c:pt idx="177">
                  <c:v>44894</c:v>
                </c:pt>
                <c:pt idx="178">
                  <c:v>44893</c:v>
                </c:pt>
                <c:pt idx="179">
                  <c:v>44890</c:v>
                </c:pt>
                <c:pt idx="180">
                  <c:v>44889</c:v>
                </c:pt>
                <c:pt idx="181">
                  <c:v>44888</c:v>
                </c:pt>
                <c:pt idx="182">
                  <c:v>44887</c:v>
                </c:pt>
                <c:pt idx="183">
                  <c:v>44886</c:v>
                </c:pt>
                <c:pt idx="184">
                  <c:v>44883</c:v>
                </c:pt>
                <c:pt idx="185">
                  <c:v>44882</c:v>
                </c:pt>
                <c:pt idx="186">
                  <c:v>44881</c:v>
                </c:pt>
                <c:pt idx="187">
                  <c:v>44880</c:v>
                </c:pt>
                <c:pt idx="188">
                  <c:v>44879</c:v>
                </c:pt>
                <c:pt idx="189">
                  <c:v>44876</c:v>
                </c:pt>
                <c:pt idx="190">
                  <c:v>44875</c:v>
                </c:pt>
                <c:pt idx="191">
                  <c:v>44874</c:v>
                </c:pt>
                <c:pt idx="192">
                  <c:v>44873</c:v>
                </c:pt>
                <c:pt idx="193">
                  <c:v>44872</c:v>
                </c:pt>
                <c:pt idx="194">
                  <c:v>44869</c:v>
                </c:pt>
                <c:pt idx="195">
                  <c:v>44868</c:v>
                </c:pt>
                <c:pt idx="196">
                  <c:v>44867</c:v>
                </c:pt>
                <c:pt idx="197">
                  <c:v>44866</c:v>
                </c:pt>
                <c:pt idx="198">
                  <c:v>44865</c:v>
                </c:pt>
                <c:pt idx="199">
                  <c:v>44862</c:v>
                </c:pt>
                <c:pt idx="200">
                  <c:v>44861</c:v>
                </c:pt>
                <c:pt idx="201">
                  <c:v>44860</c:v>
                </c:pt>
                <c:pt idx="202">
                  <c:v>44859</c:v>
                </c:pt>
                <c:pt idx="203">
                  <c:v>44858</c:v>
                </c:pt>
                <c:pt idx="204">
                  <c:v>44855</c:v>
                </c:pt>
                <c:pt idx="205">
                  <c:v>44854</c:v>
                </c:pt>
                <c:pt idx="206">
                  <c:v>44853</c:v>
                </c:pt>
                <c:pt idx="207">
                  <c:v>44852</c:v>
                </c:pt>
                <c:pt idx="208">
                  <c:v>44851</c:v>
                </c:pt>
                <c:pt idx="209">
                  <c:v>44848</c:v>
                </c:pt>
                <c:pt idx="210">
                  <c:v>44847</c:v>
                </c:pt>
                <c:pt idx="211">
                  <c:v>44846</c:v>
                </c:pt>
                <c:pt idx="212">
                  <c:v>44845</c:v>
                </c:pt>
                <c:pt idx="213">
                  <c:v>44841</c:v>
                </c:pt>
                <c:pt idx="214">
                  <c:v>44840</c:v>
                </c:pt>
                <c:pt idx="215">
                  <c:v>44839</c:v>
                </c:pt>
                <c:pt idx="216">
                  <c:v>44838</c:v>
                </c:pt>
                <c:pt idx="217">
                  <c:v>44834</c:v>
                </c:pt>
                <c:pt idx="218">
                  <c:v>44833</c:v>
                </c:pt>
                <c:pt idx="219">
                  <c:v>44832</c:v>
                </c:pt>
                <c:pt idx="220">
                  <c:v>44831</c:v>
                </c:pt>
                <c:pt idx="221">
                  <c:v>44830</c:v>
                </c:pt>
                <c:pt idx="222">
                  <c:v>44827</c:v>
                </c:pt>
                <c:pt idx="223">
                  <c:v>44826</c:v>
                </c:pt>
                <c:pt idx="224">
                  <c:v>44825</c:v>
                </c:pt>
                <c:pt idx="225">
                  <c:v>44824</c:v>
                </c:pt>
                <c:pt idx="226">
                  <c:v>44823</c:v>
                </c:pt>
                <c:pt idx="227">
                  <c:v>44820</c:v>
                </c:pt>
                <c:pt idx="228">
                  <c:v>44819</c:v>
                </c:pt>
                <c:pt idx="229">
                  <c:v>44818</c:v>
                </c:pt>
                <c:pt idx="230">
                  <c:v>44817</c:v>
                </c:pt>
                <c:pt idx="231">
                  <c:v>44812</c:v>
                </c:pt>
                <c:pt idx="232">
                  <c:v>44811</c:v>
                </c:pt>
                <c:pt idx="233">
                  <c:v>44810</c:v>
                </c:pt>
                <c:pt idx="234">
                  <c:v>44809</c:v>
                </c:pt>
                <c:pt idx="235">
                  <c:v>44806</c:v>
                </c:pt>
                <c:pt idx="236">
                  <c:v>44805</c:v>
                </c:pt>
                <c:pt idx="237">
                  <c:v>44804</c:v>
                </c:pt>
                <c:pt idx="238">
                  <c:v>44803</c:v>
                </c:pt>
                <c:pt idx="239">
                  <c:v>44802</c:v>
                </c:pt>
                <c:pt idx="240">
                  <c:v>44799</c:v>
                </c:pt>
                <c:pt idx="241">
                  <c:v>44798</c:v>
                </c:pt>
                <c:pt idx="242">
                  <c:v>44797</c:v>
                </c:pt>
                <c:pt idx="243">
                  <c:v>44796</c:v>
                </c:pt>
                <c:pt idx="244">
                  <c:v>44795</c:v>
                </c:pt>
                <c:pt idx="245">
                  <c:v>44792</c:v>
                </c:pt>
                <c:pt idx="246">
                  <c:v>44791</c:v>
                </c:pt>
                <c:pt idx="247">
                  <c:v>44790</c:v>
                </c:pt>
                <c:pt idx="248">
                  <c:v>44789</c:v>
                </c:pt>
              </c:numCache>
            </c:numRef>
          </c:cat>
          <c:val>
            <c:numRef>
              <c:f>'KOSPI200 선물옵션'!$W$25:$JK$25</c:f>
              <c:numCache>
                <c:formatCode>General</c:formatCode>
                <c:ptCount val="249"/>
                <c:pt idx="0">
                  <c:v>-7.0000000000000007E-2</c:v>
                </c:pt>
                <c:pt idx="1">
                  <c:v>0.17</c:v>
                </c:pt>
                <c:pt idx="2">
                  <c:v>-0.27</c:v>
                </c:pt>
                <c:pt idx="3">
                  <c:v>1.25</c:v>
                </c:pt>
                <c:pt idx="4">
                  <c:v>0.39</c:v>
                </c:pt>
                <c:pt idx="5">
                  <c:v>0.11</c:v>
                </c:pt>
                <c:pt idx="6">
                  <c:v>0.08</c:v>
                </c:pt>
                <c:pt idx="7">
                  <c:v>0.41</c:v>
                </c:pt>
                <c:pt idx="8">
                  <c:v>0.34</c:v>
                </c:pt>
                <c:pt idx="9">
                  <c:v>0.55000000000000004</c:v>
                </c:pt>
                <c:pt idx="10">
                  <c:v>0.27</c:v>
                </c:pt>
                <c:pt idx="11">
                  <c:v>0</c:v>
                </c:pt>
                <c:pt idx="12">
                  <c:v>0.51</c:v>
                </c:pt>
                <c:pt idx="13">
                  <c:v>0.18</c:v>
                </c:pt>
                <c:pt idx="14">
                  <c:v>-0.11</c:v>
                </c:pt>
                <c:pt idx="15">
                  <c:v>0.36</c:v>
                </c:pt>
                <c:pt idx="16">
                  <c:v>0.19</c:v>
                </c:pt>
                <c:pt idx="17">
                  <c:v>0.21</c:v>
                </c:pt>
                <c:pt idx="18">
                  <c:v>0.37</c:v>
                </c:pt>
                <c:pt idx="19">
                  <c:v>0.75</c:v>
                </c:pt>
                <c:pt idx="20">
                  <c:v>-0.14000000000000001</c:v>
                </c:pt>
                <c:pt idx="21">
                  <c:v>-0.02</c:v>
                </c:pt>
                <c:pt idx="22">
                  <c:v>0.98</c:v>
                </c:pt>
                <c:pt idx="23">
                  <c:v>-0.28000000000000003</c:v>
                </c:pt>
                <c:pt idx="24">
                  <c:v>0.93</c:v>
                </c:pt>
                <c:pt idx="25">
                  <c:v>0.46</c:v>
                </c:pt>
                <c:pt idx="26">
                  <c:v>0.27</c:v>
                </c:pt>
                <c:pt idx="27">
                  <c:v>1.1000000000000001</c:v>
                </c:pt>
                <c:pt idx="28">
                  <c:v>0.55000000000000004</c:v>
                </c:pt>
                <c:pt idx="29">
                  <c:v>0.94</c:v>
                </c:pt>
                <c:pt idx="30">
                  <c:v>0.3</c:v>
                </c:pt>
                <c:pt idx="31">
                  <c:v>-0.06</c:v>
                </c:pt>
                <c:pt idx="32">
                  <c:v>0.12</c:v>
                </c:pt>
                <c:pt idx="33">
                  <c:v>-0.11</c:v>
                </c:pt>
                <c:pt idx="34">
                  <c:v>0.53</c:v>
                </c:pt>
                <c:pt idx="35">
                  <c:v>0.49</c:v>
                </c:pt>
                <c:pt idx="36">
                  <c:v>0.74</c:v>
                </c:pt>
                <c:pt idx="37">
                  <c:v>0.05</c:v>
                </c:pt>
                <c:pt idx="38">
                  <c:v>0.78</c:v>
                </c:pt>
                <c:pt idx="39">
                  <c:v>0.22</c:v>
                </c:pt>
                <c:pt idx="40">
                  <c:v>0.42</c:v>
                </c:pt>
                <c:pt idx="41">
                  <c:v>0.06</c:v>
                </c:pt>
                <c:pt idx="42">
                  <c:v>0.02</c:v>
                </c:pt>
                <c:pt idx="43">
                  <c:v>0.21</c:v>
                </c:pt>
                <c:pt idx="44">
                  <c:v>0.47</c:v>
                </c:pt>
                <c:pt idx="45">
                  <c:v>0.26</c:v>
                </c:pt>
                <c:pt idx="46">
                  <c:v>0.21</c:v>
                </c:pt>
                <c:pt idx="47">
                  <c:v>-0.3</c:v>
                </c:pt>
                <c:pt idx="48">
                  <c:v>0.49</c:v>
                </c:pt>
                <c:pt idx="49">
                  <c:v>0.04</c:v>
                </c:pt>
                <c:pt idx="50">
                  <c:v>0.05</c:v>
                </c:pt>
                <c:pt idx="51">
                  <c:v>-0.03</c:v>
                </c:pt>
                <c:pt idx="52">
                  <c:v>0.31</c:v>
                </c:pt>
                <c:pt idx="53">
                  <c:v>0.43</c:v>
                </c:pt>
                <c:pt idx="54">
                  <c:v>-0.2</c:v>
                </c:pt>
                <c:pt idx="55">
                  <c:v>-0.21</c:v>
                </c:pt>
                <c:pt idx="56">
                  <c:v>-0.14000000000000001</c:v>
                </c:pt>
                <c:pt idx="57">
                  <c:v>0.19</c:v>
                </c:pt>
                <c:pt idx="58">
                  <c:v>-0.33</c:v>
                </c:pt>
                <c:pt idx="59">
                  <c:v>-0.12</c:v>
                </c:pt>
                <c:pt idx="60">
                  <c:v>0.18</c:v>
                </c:pt>
                <c:pt idx="61">
                  <c:v>0.77</c:v>
                </c:pt>
                <c:pt idx="62">
                  <c:v>0.86</c:v>
                </c:pt>
                <c:pt idx="63">
                  <c:v>0.53</c:v>
                </c:pt>
                <c:pt idx="64">
                  <c:v>0.11</c:v>
                </c:pt>
                <c:pt idx="65">
                  <c:v>0.2</c:v>
                </c:pt>
                <c:pt idx="66">
                  <c:v>0.81</c:v>
                </c:pt>
                <c:pt idx="67">
                  <c:v>0.49</c:v>
                </c:pt>
                <c:pt idx="68">
                  <c:v>0.61</c:v>
                </c:pt>
                <c:pt idx="69">
                  <c:v>-0.08</c:v>
                </c:pt>
                <c:pt idx="70">
                  <c:v>1.51</c:v>
                </c:pt>
                <c:pt idx="71">
                  <c:v>0.89</c:v>
                </c:pt>
                <c:pt idx="72">
                  <c:v>0.3</c:v>
                </c:pt>
                <c:pt idx="73">
                  <c:v>1.38</c:v>
                </c:pt>
                <c:pt idx="74">
                  <c:v>0.57999999999999996</c:v>
                </c:pt>
                <c:pt idx="75">
                  <c:v>0.08</c:v>
                </c:pt>
                <c:pt idx="76">
                  <c:v>0.13</c:v>
                </c:pt>
                <c:pt idx="77">
                  <c:v>0.2</c:v>
                </c:pt>
                <c:pt idx="78">
                  <c:v>0.53</c:v>
                </c:pt>
                <c:pt idx="79">
                  <c:v>0.08</c:v>
                </c:pt>
                <c:pt idx="80">
                  <c:v>0.27</c:v>
                </c:pt>
                <c:pt idx="81">
                  <c:v>-0.02</c:v>
                </c:pt>
                <c:pt idx="82">
                  <c:v>0.18</c:v>
                </c:pt>
                <c:pt idx="83">
                  <c:v>0.24</c:v>
                </c:pt>
                <c:pt idx="84">
                  <c:v>0.56999999999999995</c:v>
                </c:pt>
                <c:pt idx="85">
                  <c:v>0.48</c:v>
                </c:pt>
                <c:pt idx="86">
                  <c:v>0.6</c:v>
                </c:pt>
                <c:pt idx="87">
                  <c:v>0.32</c:v>
                </c:pt>
                <c:pt idx="88">
                  <c:v>0.51</c:v>
                </c:pt>
                <c:pt idx="89">
                  <c:v>7.0000000000000007E-2</c:v>
                </c:pt>
                <c:pt idx="90">
                  <c:v>-0.12</c:v>
                </c:pt>
                <c:pt idx="91">
                  <c:v>0.14000000000000001</c:v>
                </c:pt>
                <c:pt idx="92">
                  <c:v>0.39</c:v>
                </c:pt>
                <c:pt idx="93">
                  <c:v>0.55000000000000004</c:v>
                </c:pt>
                <c:pt idx="94">
                  <c:v>0.37</c:v>
                </c:pt>
                <c:pt idx="95">
                  <c:v>0.54</c:v>
                </c:pt>
                <c:pt idx="96">
                  <c:v>0.36</c:v>
                </c:pt>
                <c:pt idx="97">
                  <c:v>0.06</c:v>
                </c:pt>
                <c:pt idx="98">
                  <c:v>0.57999999999999996</c:v>
                </c:pt>
                <c:pt idx="99">
                  <c:v>1.28</c:v>
                </c:pt>
                <c:pt idx="100">
                  <c:v>0.35</c:v>
                </c:pt>
                <c:pt idx="101">
                  <c:v>0.16</c:v>
                </c:pt>
                <c:pt idx="102">
                  <c:v>1.1599999999999999</c:v>
                </c:pt>
                <c:pt idx="103">
                  <c:v>0.45</c:v>
                </c:pt>
                <c:pt idx="104">
                  <c:v>0.56999999999999995</c:v>
                </c:pt>
                <c:pt idx="105">
                  <c:v>0.81</c:v>
                </c:pt>
                <c:pt idx="106">
                  <c:v>0.49</c:v>
                </c:pt>
                <c:pt idx="107">
                  <c:v>0.97</c:v>
                </c:pt>
                <c:pt idx="108">
                  <c:v>1.28</c:v>
                </c:pt>
                <c:pt idx="109">
                  <c:v>0.12</c:v>
                </c:pt>
                <c:pt idx="110">
                  <c:v>0.79</c:v>
                </c:pt>
                <c:pt idx="111">
                  <c:v>0.49</c:v>
                </c:pt>
                <c:pt idx="112">
                  <c:v>7.0000000000000007E-2</c:v>
                </c:pt>
                <c:pt idx="113">
                  <c:v>-0.22</c:v>
                </c:pt>
                <c:pt idx="114">
                  <c:v>1.21</c:v>
                </c:pt>
                <c:pt idx="115">
                  <c:v>-0.69</c:v>
                </c:pt>
                <c:pt idx="116">
                  <c:v>0.28000000000000003</c:v>
                </c:pt>
                <c:pt idx="117">
                  <c:v>-0.32</c:v>
                </c:pt>
                <c:pt idx="118">
                  <c:v>-0.19</c:v>
                </c:pt>
                <c:pt idx="119">
                  <c:v>0.23</c:v>
                </c:pt>
                <c:pt idx="120">
                  <c:v>0.09</c:v>
                </c:pt>
                <c:pt idx="121">
                  <c:v>-0.85</c:v>
                </c:pt>
                <c:pt idx="122">
                  <c:v>-0.12</c:v>
                </c:pt>
                <c:pt idx="123">
                  <c:v>0.68</c:v>
                </c:pt>
                <c:pt idx="124">
                  <c:v>1.29</c:v>
                </c:pt>
                <c:pt idx="125">
                  <c:v>-0.64</c:v>
                </c:pt>
                <c:pt idx="126">
                  <c:v>-0.09</c:v>
                </c:pt>
                <c:pt idx="127">
                  <c:v>0.8</c:v>
                </c:pt>
                <c:pt idx="128">
                  <c:v>0.94</c:v>
                </c:pt>
                <c:pt idx="129">
                  <c:v>0.21</c:v>
                </c:pt>
                <c:pt idx="130">
                  <c:v>0.19</c:v>
                </c:pt>
                <c:pt idx="131">
                  <c:v>1.01</c:v>
                </c:pt>
                <c:pt idx="132">
                  <c:v>0.91</c:v>
                </c:pt>
                <c:pt idx="133">
                  <c:v>-0.02</c:v>
                </c:pt>
                <c:pt idx="134">
                  <c:v>-0.48</c:v>
                </c:pt>
                <c:pt idx="135">
                  <c:v>-0.19</c:v>
                </c:pt>
                <c:pt idx="136">
                  <c:v>7.0000000000000007E-2</c:v>
                </c:pt>
                <c:pt idx="137">
                  <c:v>0.61</c:v>
                </c:pt>
                <c:pt idx="138">
                  <c:v>0.32</c:v>
                </c:pt>
                <c:pt idx="139">
                  <c:v>-0.37</c:v>
                </c:pt>
                <c:pt idx="140">
                  <c:v>0.28999999999999998</c:v>
                </c:pt>
                <c:pt idx="141">
                  <c:v>0.66</c:v>
                </c:pt>
                <c:pt idx="142">
                  <c:v>-0.15</c:v>
                </c:pt>
                <c:pt idx="143">
                  <c:v>-0.11</c:v>
                </c:pt>
                <c:pt idx="144">
                  <c:v>0.12</c:v>
                </c:pt>
                <c:pt idx="145">
                  <c:v>0.33</c:v>
                </c:pt>
                <c:pt idx="146">
                  <c:v>-0.71</c:v>
                </c:pt>
                <c:pt idx="147">
                  <c:v>0.31</c:v>
                </c:pt>
                <c:pt idx="148">
                  <c:v>0.63</c:v>
                </c:pt>
                <c:pt idx="149">
                  <c:v>0.21</c:v>
                </c:pt>
                <c:pt idx="150">
                  <c:v>0.34</c:v>
                </c:pt>
                <c:pt idx="151">
                  <c:v>1.49</c:v>
                </c:pt>
                <c:pt idx="152">
                  <c:v>1.07</c:v>
                </c:pt>
                <c:pt idx="153">
                  <c:v>0.71</c:v>
                </c:pt>
                <c:pt idx="154">
                  <c:v>0.66</c:v>
                </c:pt>
                <c:pt idx="155">
                  <c:v>0.5</c:v>
                </c:pt>
                <c:pt idx="156">
                  <c:v>1</c:v>
                </c:pt>
                <c:pt idx="157">
                  <c:v>-0.47</c:v>
                </c:pt>
                <c:pt idx="158">
                  <c:v>-0.06</c:v>
                </c:pt>
                <c:pt idx="159">
                  <c:v>0.34</c:v>
                </c:pt>
                <c:pt idx="160">
                  <c:v>0.23</c:v>
                </c:pt>
                <c:pt idx="161">
                  <c:v>0.03</c:v>
                </c:pt>
                <c:pt idx="162">
                  <c:v>-0.01</c:v>
                </c:pt>
                <c:pt idx="163">
                  <c:v>0.32</c:v>
                </c:pt>
                <c:pt idx="164">
                  <c:v>1.44</c:v>
                </c:pt>
                <c:pt idx="165">
                  <c:v>-0.38</c:v>
                </c:pt>
                <c:pt idx="166">
                  <c:v>-0.04</c:v>
                </c:pt>
                <c:pt idx="167">
                  <c:v>-0.62</c:v>
                </c:pt>
                <c:pt idx="168">
                  <c:v>-0.25</c:v>
                </c:pt>
                <c:pt idx="169">
                  <c:v>-0.79</c:v>
                </c:pt>
                <c:pt idx="170">
                  <c:v>0.67</c:v>
                </c:pt>
                <c:pt idx="171">
                  <c:v>0.14000000000000001</c:v>
                </c:pt>
                <c:pt idx="172">
                  <c:v>0.09</c:v>
                </c:pt>
                <c:pt idx="173">
                  <c:v>-0.3</c:v>
                </c:pt>
                <c:pt idx="174">
                  <c:v>0.26</c:v>
                </c:pt>
                <c:pt idx="175">
                  <c:v>-0.8</c:v>
                </c:pt>
                <c:pt idx="176">
                  <c:v>1.679</c:v>
                </c:pt>
                <c:pt idx="177">
                  <c:v>0.23</c:v>
                </c:pt>
                <c:pt idx="178">
                  <c:v>-0.31</c:v>
                </c:pt>
                <c:pt idx="179">
                  <c:v>0.06</c:v>
                </c:pt>
                <c:pt idx="180">
                  <c:v>-0.23</c:v>
                </c:pt>
                <c:pt idx="181">
                  <c:v>-0.39</c:v>
                </c:pt>
                <c:pt idx="182">
                  <c:v>0.25</c:v>
                </c:pt>
                <c:pt idx="183">
                  <c:v>0.84</c:v>
                </c:pt>
                <c:pt idx="184">
                  <c:v>0.4</c:v>
                </c:pt>
                <c:pt idx="185">
                  <c:v>-1.74</c:v>
                </c:pt>
                <c:pt idx="186">
                  <c:v>-0.18</c:v>
                </c:pt>
                <c:pt idx="187">
                  <c:v>0.15</c:v>
                </c:pt>
                <c:pt idx="188">
                  <c:v>-0.2</c:v>
                </c:pt>
                <c:pt idx="189">
                  <c:v>-0.88</c:v>
                </c:pt>
                <c:pt idx="190">
                  <c:v>0.66</c:v>
                </c:pt>
                <c:pt idx="191">
                  <c:v>0.01</c:v>
                </c:pt>
                <c:pt idx="192">
                  <c:v>0.11</c:v>
                </c:pt>
                <c:pt idx="193">
                  <c:v>-0.06</c:v>
                </c:pt>
                <c:pt idx="194">
                  <c:v>0.09</c:v>
                </c:pt>
                <c:pt idx="195">
                  <c:v>0.79</c:v>
                </c:pt>
                <c:pt idx="196">
                  <c:v>0.64</c:v>
                </c:pt>
                <c:pt idx="197">
                  <c:v>1.23</c:v>
                </c:pt>
                <c:pt idx="198">
                  <c:v>0.14000000000000001</c:v>
                </c:pt>
                <c:pt idx="199">
                  <c:v>0.6</c:v>
                </c:pt>
                <c:pt idx="200">
                  <c:v>0.56000000000000005</c:v>
                </c:pt>
                <c:pt idx="201">
                  <c:v>0.54</c:v>
                </c:pt>
                <c:pt idx="202">
                  <c:v>0.54</c:v>
                </c:pt>
                <c:pt idx="203">
                  <c:v>0</c:v>
                </c:pt>
                <c:pt idx="204">
                  <c:v>0.5</c:v>
                </c:pt>
                <c:pt idx="205">
                  <c:v>1.51</c:v>
                </c:pt>
                <c:pt idx="206">
                  <c:v>1.51</c:v>
                </c:pt>
                <c:pt idx="207">
                  <c:v>0.63</c:v>
                </c:pt>
                <c:pt idx="208">
                  <c:v>1.76</c:v>
                </c:pt>
                <c:pt idx="209">
                  <c:v>0.08</c:v>
                </c:pt>
                <c:pt idx="210">
                  <c:v>1.35</c:v>
                </c:pt>
                <c:pt idx="211">
                  <c:v>0.75</c:v>
                </c:pt>
                <c:pt idx="212">
                  <c:v>1.59</c:v>
                </c:pt>
                <c:pt idx="213">
                  <c:v>1.22</c:v>
                </c:pt>
                <c:pt idx="214">
                  <c:v>0.8</c:v>
                </c:pt>
                <c:pt idx="215">
                  <c:v>0.33</c:v>
                </c:pt>
                <c:pt idx="216">
                  <c:v>-0.04</c:v>
                </c:pt>
                <c:pt idx="217">
                  <c:v>0.63</c:v>
                </c:pt>
                <c:pt idx="218">
                  <c:v>-0.37</c:v>
                </c:pt>
                <c:pt idx="219">
                  <c:v>1.22</c:v>
                </c:pt>
                <c:pt idx="220">
                  <c:v>0.68</c:v>
                </c:pt>
                <c:pt idx="221">
                  <c:v>0.56000000000000005</c:v>
                </c:pt>
                <c:pt idx="222">
                  <c:v>1.08</c:v>
                </c:pt>
                <c:pt idx="223">
                  <c:v>1.83</c:v>
                </c:pt>
                <c:pt idx="224">
                  <c:v>1.54</c:v>
                </c:pt>
                <c:pt idx="225">
                  <c:v>1.28</c:v>
                </c:pt>
                <c:pt idx="226">
                  <c:v>0.9</c:v>
                </c:pt>
                <c:pt idx="227">
                  <c:v>2.17</c:v>
                </c:pt>
                <c:pt idx="228">
                  <c:v>0.64</c:v>
                </c:pt>
                <c:pt idx="229">
                  <c:v>1.49</c:v>
                </c:pt>
                <c:pt idx="230">
                  <c:v>-0.12</c:v>
                </c:pt>
                <c:pt idx="231">
                  <c:v>0.04</c:v>
                </c:pt>
                <c:pt idx="232">
                  <c:v>-0.09</c:v>
                </c:pt>
                <c:pt idx="233">
                  <c:v>0.19</c:v>
                </c:pt>
                <c:pt idx="234">
                  <c:v>0.47</c:v>
                </c:pt>
                <c:pt idx="235">
                  <c:v>-0.75</c:v>
                </c:pt>
                <c:pt idx="236">
                  <c:v>0.72</c:v>
                </c:pt>
                <c:pt idx="237">
                  <c:v>2.19</c:v>
                </c:pt>
                <c:pt idx="238">
                  <c:v>0.3</c:v>
                </c:pt>
                <c:pt idx="239">
                  <c:v>0.93</c:v>
                </c:pt>
                <c:pt idx="240">
                  <c:v>-0.23</c:v>
                </c:pt>
                <c:pt idx="241">
                  <c:v>0.15</c:v>
                </c:pt>
                <c:pt idx="242">
                  <c:v>0.65</c:v>
                </c:pt>
                <c:pt idx="243">
                  <c:v>0.95</c:v>
                </c:pt>
                <c:pt idx="244">
                  <c:v>1.01</c:v>
                </c:pt>
                <c:pt idx="245">
                  <c:v>0.51</c:v>
                </c:pt>
                <c:pt idx="246">
                  <c:v>1</c:v>
                </c:pt>
                <c:pt idx="247">
                  <c:v>0.68</c:v>
                </c:pt>
                <c:pt idx="248">
                  <c:v>0.33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132-4DF8-80E6-6640260C1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822592"/>
        <c:axId val="227853056"/>
      </c:lineChart>
      <c:dateAx>
        <c:axId val="227822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7853056"/>
        <c:crossesAt val="-1.5"/>
        <c:auto val="1"/>
        <c:lblOffset val="100"/>
        <c:baseTimeUnit val="days"/>
        <c:majorUnit val="3"/>
        <c:majorTimeUnit val="months"/>
      </c:dateAx>
      <c:valAx>
        <c:axId val="227853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7822592"/>
        <c:crosses val="max"/>
        <c:crossBetween val="between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200" b="1"/>
              <a:t>근월물 누적매매수량 </a:t>
            </a:r>
            <a:r>
              <a:rPr lang="en-US" altLang="ko-KR" sz="1200" b="1"/>
              <a:t>(</a:t>
            </a:r>
            <a:r>
              <a:rPr lang="ko-KR" altLang="en-US" sz="1200" b="1"/>
              <a:t>천</a:t>
            </a:r>
            <a:r>
              <a:rPr lang="en-US" altLang="ko-KR" sz="1200" b="1"/>
              <a:t>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'KOSPI200 선물옵션'!$AA$105</c:f>
              <c:strCache>
                <c:ptCount val="1"/>
                <c:pt idx="0">
                  <c:v>외국인합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'KOSPI200 선물옵션'!$Z$106:$Z$175</c:f>
              <c:numCache>
                <c:formatCode>m/d/yyyy</c:formatCode>
                <c:ptCount val="7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  <c:pt idx="20">
                  <c:v>45126</c:v>
                </c:pt>
                <c:pt idx="21">
                  <c:v>45125</c:v>
                </c:pt>
                <c:pt idx="22">
                  <c:v>45124</c:v>
                </c:pt>
                <c:pt idx="23">
                  <c:v>45121</c:v>
                </c:pt>
                <c:pt idx="24">
                  <c:v>45120</c:v>
                </c:pt>
                <c:pt idx="25">
                  <c:v>45119</c:v>
                </c:pt>
                <c:pt idx="26">
                  <c:v>45118</c:v>
                </c:pt>
                <c:pt idx="27">
                  <c:v>45117</c:v>
                </c:pt>
                <c:pt idx="28">
                  <c:v>45114</c:v>
                </c:pt>
                <c:pt idx="29">
                  <c:v>45113</c:v>
                </c:pt>
                <c:pt idx="30">
                  <c:v>45112</c:v>
                </c:pt>
                <c:pt idx="31">
                  <c:v>45111</c:v>
                </c:pt>
                <c:pt idx="32">
                  <c:v>45110</c:v>
                </c:pt>
                <c:pt idx="33">
                  <c:v>45107</c:v>
                </c:pt>
                <c:pt idx="34">
                  <c:v>45106</c:v>
                </c:pt>
                <c:pt idx="35">
                  <c:v>45105</c:v>
                </c:pt>
                <c:pt idx="36">
                  <c:v>45104</c:v>
                </c:pt>
                <c:pt idx="37">
                  <c:v>45103</c:v>
                </c:pt>
                <c:pt idx="38">
                  <c:v>45100</c:v>
                </c:pt>
                <c:pt idx="39">
                  <c:v>45099</c:v>
                </c:pt>
                <c:pt idx="40">
                  <c:v>45098</c:v>
                </c:pt>
                <c:pt idx="41">
                  <c:v>45097</c:v>
                </c:pt>
                <c:pt idx="42">
                  <c:v>45096</c:v>
                </c:pt>
                <c:pt idx="43">
                  <c:v>45093</c:v>
                </c:pt>
                <c:pt idx="44">
                  <c:v>45092</c:v>
                </c:pt>
                <c:pt idx="45">
                  <c:v>45091</c:v>
                </c:pt>
                <c:pt idx="46">
                  <c:v>45090</c:v>
                </c:pt>
                <c:pt idx="47">
                  <c:v>45089</c:v>
                </c:pt>
                <c:pt idx="48">
                  <c:v>45086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cat>
          <c:val>
            <c:numRef>
              <c:f>'KOSPI200 선물옵션'!$AA$106:$AA$175</c:f>
              <c:numCache>
                <c:formatCode>General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74-4B8C-A468-7CFF0FF2559B}"/>
            </c:ext>
          </c:extLst>
        </c:ser>
        <c:ser>
          <c:idx val="1"/>
          <c:order val="1"/>
          <c:tx>
            <c:strRef>
              <c:f>'KOSPI200 선물옵션'!$AB$105</c:f>
              <c:strCache>
                <c:ptCount val="1"/>
                <c:pt idx="0">
                  <c:v>개인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'KOSPI200 선물옵션'!$Z$106:$Z$175</c:f>
              <c:numCache>
                <c:formatCode>m/d/yyyy</c:formatCode>
                <c:ptCount val="7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  <c:pt idx="20">
                  <c:v>45126</c:v>
                </c:pt>
                <c:pt idx="21">
                  <c:v>45125</c:v>
                </c:pt>
                <c:pt idx="22">
                  <c:v>45124</c:v>
                </c:pt>
                <c:pt idx="23">
                  <c:v>45121</c:v>
                </c:pt>
                <c:pt idx="24">
                  <c:v>45120</c:v>
                </c:pt>
                <c:pt idx="25">
                  <c:v>45119</c:v>
                </c:pt>
                <c:pt idx="26">
                  <c:v>45118</c:v>
                </c:pt>
                <c:pt idx="27">
                  <c:v>45117</c:v>
                </c:pt>
                <c:pt idx="28">
                  <c:v>45114</c:v>
                </c:pt>
                <c:pt idx="29">
                  <c:v>45113</c:v>
                </c:pt>
                <c:pt idx="30">
                  <c:v>45112</c:v>
                </c:pt>
                <c:pt idx="31">
                  <c:v>45111</c:v>
                </c:pt>
                <c:pt idx="32">
                  <c:v>45110</c:v>
                </c:pt>
                <c:pt idx="33">
                  <c:v>45107</c:v>
                </c:pt>
                <c:pt idx="34">
                  <c:v>45106</c:v>
                </c:pt>
                <c:pt idx="35">
                  <c:v>45105</c:v>
                </c:pt>
                <c:pt idx="36">
                  <c:v>45104</c:v>
                </c:pt>
                <c:pt idx="37">
                  <c:v>45103</c:v>
                </c:pt>
                <c:pt idx="38">
                  <c:v>45100</c:v>
                </c:pt>
                <c:pt idx="39">
                  <c:v>45099</c:v>
                </c:pt>
                <c:pt idx="40">
                  <c:v>45098</c:v>
                </c:pt>
                <c:pt idx="41">
                  <c:v>45097</c:v>
                </c:pt>
                <c:pt idx="42">
                  <c:v>45096</c:v>
                </c:pt>
                <c:pt idx="43">
                  <c:v>45093</c:v>
                </c:pt>
                <c:pt idx="44">
                  <c:v>45092</c:v>
                </c:pt>
                <c:pt idx="45">
                  <c:v>45091</c:v>
                </c:pt>
                <c:pt idx="46">
                  <c:v>45090</c:v>
                </c:pt>
                <c:pt idx="47">
                  <c:v>45089</c:v>
                </c:pt>
                <c:pt idx="48">
                  <c:v>45086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cat>
          <c:val>
            <c:numRef>
              <c:f>'KOSPI200 선물옵션'!$AB$106:$AB$175</c:f>
              <c:numCache>
                <c:formatCode>General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74-4B8C-A468-7CFF0FF2559B}"/>
            </c:ext>
          </c:extLst>
        </c:ser>
        <c:ser>
          <c:idx val="2"/>
          <c:order val="2"/>
          <c:tx>
            <c:strRef>
              <c:f>'KOSPI200 선물옵션'!$AC$105</c:f>
              <c:strCache>
                <c:ptCount val="1"/>
                <c:pt idx="0">
                  <c:v>기관계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'KOSPI200 선물옵션'!$Z$106:$Z$175</c:f>
              <c:numCache>
                <c:formatCode>m/d/yyyy</c:formatCode>
                <c:ptCount val="7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  <c:pt idx="20">
                  <c:v>45126</c:v>
                </c:pt>
                <c:pt idx="21">
                  <c:v>45125</c:v>
                </c:pt>
                <c:pt idx="22">
                  <c:v>45124</c:v>
                </c:pt>
                <c:pt idx="23">
                  <c:v>45121</c:v>
                </c:pt>
                <c:pt idx="24">
                  <c:v>45120</c:v>
                </c:pt>
                <c:pt idx="25">
                  <c:v>45119</c:v>
                </c:pt>
                <c:pt idx="26">
                  <c:v>45118</c:v>
                </c:pt>
                <c:pt idx="27">
                  <c:v>45117</c:v>
                </c:pt>
                <c:pt idx="28">
                  <c:v>45114</c:v>
                </c:pt>
                <c:pt idx="29">
                  <c:v>45113</c:v>
                </c:pt>
                <c:pt idx="30">
                  <c:v>45112</c:v>
                </c:pt>
                <c:pt idx="31">
                  <c:v>45111</c:v>
                </c:pt>
                <c:pt idx="32">
                  <c:v>45110</c:v>
                </c:pt>
                <c:pt idx="33">
                  <c:v>45107</c:v>
                </c:pt>
                <c:pt idx="34">
                  <c:v>45106</c:v>
                </c:pt>
                <c:pt idx="35">
                  <c:v>45105</c:v>
                </c:pt>
                <c:pt idx="36">
                  <c:v>45104</c:v>
                </c:pt>
                <c:pt idx="37">
                  <c:v>45103</c:v>
                </c:pt>
                <c:pt idx="38">
                  <c:v>45100</c:v>
                </c:pt>
                <c:pt idx="39">
                  <c:v>45099</c:v>
                </c:pt>
                <c:pt idx="40">
                  <c:v>45098</c:v>
                </c:pt>
                <c:pt idx="41">
                  <c:v>45097</c:v>
                </c:pt>
                <c:pt idx="42">
                  <c:v>45096</c:v>
                </c:pt>
                <c:pt idx="43">
                  <c:v>45093</c:v>
                </c:pt>
                <c:pt idx="44">
                  <c:v>45092</c:v>
                </c:pt>
                <c:pt idx="45">
                  <c:v>45091</c:v>
                </c:pt>
                <c:pt idx="46">
                  <c:v>45090</c:v>
                </c:pt>
                <c:pt idx="47">
                  <c:v>45089</c:v>
                </c:pt>
                <c:pt idx="48">
                  <c:v>45086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cat>
          <c:val>
            <c:numRef>
              <c:f>'KOSPI200 선물옵션'!$AC$106:$AC$175</c:f>
              <c:numCache>
                <c:formatCode>General</c:formatCode>
                <c:ptCount val="7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74-4B8C-A468-7CFF0FF25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778560"/>
        <c:axId val="227780096"/>
      </c:lineChart>
      <c:lineChart>
        <c:grouping val="standard"/>
        <c:varyColors val="0"/>
        <c:ser>
          <c:idx val="3"/>
          <c:order val="3"/>
          <c:tx>
            <c:v>K200(우)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'KOSPI200 선물옵션'!$Z$106:$Z$175</c:f>
              <c:numCache>
                <c:formatCode>m/d/yyyy</c:formatCode>
                <c:ptCount val="70"/>
                <c:pt idx="0">
                  <c:v>45155</c:v>
                </c:pt>
                <c:pt idx="1">
                  <c:v>45154</c:v>
                </c:pt>
                <c:pt idx="2">
                  <c:v>45152</c:v>
                </c:pt>
                <c:pt idx="3">
                  <c:v>45149</c:v>
                </c:pt>
                <c:pt idx="4">
                  <c:v>45148</c:v>
                </c:pt>
                <c:pt idx="5">
                  <c:v>45147</c:v>
                </c:pt>
                <c:pt idx="6">
                  <c:v>45146</c:v>
                </c:pt>
                <c:pt idx="7">
                  <c:v>45145</c:v>
                </c:pt>
                <c:pt idx="8">
                  <c:v>45142</c:v>
                </c:pt>
                <c:pt idx="9">
                  <c:v>45141</c:v>
                </c:pt>
                <c:pt idx="10">
                  <c:v>45140</c:v>
                </c:pt>
                <c:pt idx="11">
                  <c:v>45139</c:v>
                </c:pt>
                <c:pt idx="12">
                  <c:v>45138</c:v>
                </c:pt>
                <c:pt idx="13">
                  <c:v>45135</c:v>
                </c:pt>
                <c:pt idx="14">
                  <c:v>45134</c:v>
                </c:pt>
                <c:pt idx="15">
                  <c:v>45133</c:v>
                </c:pt>
                <c:pt idx="16">
                  <c:v>45132</c:v>
                </c:pt>
                <c:pt idx="17">
                  <c:v>45131</c:v>
                </c:pt>
                <c:pt idx="18">
                  <c:v>45128</c:v>
                </c:pt>
                <c:pt idx="19">
                  <c:v>45127</c:v>
                </c:pt>
                <c:pt idx="20">
                  <c:v>45126</c:v>
                </c:pt>
                <c:pt idx="21">
                  <c:v>45125</c:v>
                </c:pt>
                <c:pt idx="22">
                  <c:v>45124</c:v>
                </c:pt>
                <c:pt idx="23">
                  <c:v>45121</c:v>
                </c:pt>
                <c:pt idx="24">
                  <c:v>45120</c:v>
                </c:pt>
                <c:pt idx="25">
                  <c:v>45119</c:v>
                </c:pt>
                <c:pt idx="26">
                  <c:v>45118</c:v>
                </c:pt>
                <c:pt idx="27">
                  <c:v>45117</c:v>
                </c:pt>
                <c:pt idx="28">
                  <c:v>45114</c:v>
                </c:pt>
                <c:pt idx="29">
                  <c:v>45113</c:v>
                </c:pt>
                <c:pt idx="30">
                  <c:v>45112</c:v>
                </c:pt>
                <c:pt idx="31">
                  <c:v>45111</c:v>
                </c:pt>
                <c:pt idx="32">
                  <c:v>45110</c:v>
                </c:pt>
                <c:pt idx="33">
                  <c:v>45107</c:v>
                </c:pt>
                <c:pt idx="34">
                  <c:v>45106</c:v>
                </c:pt>
                <c:pt idx="35">
                  <c:v>45105</c:v>
                </c:pt>
                <c:pt idx="36">
                  <c:v>45104</c:v>
                </c:pt>
                <c:pt idx="37">
                  <c:v>45103</c:v>
                </c:pt>
                <c:pt idx="38">
                  <c:v>45100</c:v>
                </c:pt>
                <c:pt idx="39">
                  <c:v>45099</c:v>
                </c:pt>
                <c:pt idx="40">
                  <c:v>45098</c:v>
                </c:pt>
                <c:pt idx="41">
                  <c:v>45097</c:v>
                </c:pt>
                <c:pt idx="42">
                  <c:v>45096</c:v>
                </c:pt>
                <c:pt idx="43">
                  <c:v>45093</c:v>
                </c:pt>
                <c:pt idx="44">
                  <c:v>45092</c:v>
                </c:pt>
                <c:pt idx="45">
                  <c:v>45091</c:v>
                </c:pt>
                <c:pt idx="46">
                  <c:v>45090</c:v>
                </c:pt>
                <c:pt idx="47">
                  <c:v>45089</c:v>
                </c:pt>
                <c:pt idx="48">
                  <c:v>45086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cat>
          <c:val>
            <c:numRef>
              <c:f>'KOSPI200 선물옵션'!$Y$106:$Y$175</c:f>
              <c:numCache>
                <c:formatCode>General</c:formatCode>
                <c:ptCount val="70"/>
                <c:pt idx="0">
                  <c:v>330.23</c:v>
                </c:pt>
                <c:pt idx="1">
                  <c:v>331.28</c:v>
                </c:pt>
                <c:pt idx="2">
                  <c:v>336.33</c:v>
                </c:pt>
                <c:pt idx="3">
                  <c:v>338.98</c:v>
                </c:pt>
                <c:pt idx="4">
                  <c:v>340.46</c:v>
                </c:pt>
                <c:pt idx="5">
                  <c:v>341.61</c:v>
                </c:pt>
                <c:pt idx="6">
                  <c:v>337.95</c:v>
                </c:pt>
                <c:pt idx="7">
                  <c:v>339.68</c:v>
                </c:pt>
                <c:pt idx="8">
                  <c:v>341.25</c:v>
                </c:pt>
                <c:pt idx="9">
                  <c:v>341.54</c:v>
                </c:pt>
                <c:pt idx="10">
                  <c:v>343.8</c:v>
                </c:pt>
                <c:pt idx="11">
                  <c:v>351</c:v>
                </c:pt>
                <c:pt idx="12">
                  <c:v>345.62</c:v>
                </c:pt>
                <c:pt idx="13">
                  <c:v>344.03</c:v>
                </c:pt>
                <c:pt idx="14">
                  <c:v>344.76</c:v>
                </c:pt>
                <c:pt idx="15">
                  <c:v>340.56</c:v>
                </c:pt>
                <c:pt idx="16">
                  <c:v>344.92</c:v>
                </c:pt>
                <c:pt idx="17">
                  <c:v>344.32</c:v>
                </c:pt>
                <c:pt idx="18">
                  <c:v>342.39</c:v>
                </c:pt>
                <c:pt idx="19">
                  <c:v>341.67</c:v>
                </c:pt>
                <c:pt idx="20">
                  <c:v>343.11</c:v>
                </c:pt>
                <c:pt idx="21">
                  <c:v>343.38</c:v>
                </c:pt>
                <c:pt idx="22">
                  <c:v>345.75</c:v>
                </c:pt>
                <c:pt idx="23">
                  <c:v>346.93</c:v>
                </c:pt>
                <c:pt idx="24">
                  <c:v>341.13</c:v>
                </c:pt>
                <c:pt idx="25">
                  <c:v>339.46</c:v>
                </c:pt>
                <c:pt idx="26">
                  <c:v>337.02</c:v>
                </c:pt>
                <c:pt idx="27">
                  <c:v>330.84</c:v>
                </c:pt>
                <c:pt idx="28">
                  <c:v>331.57</c:v>
                </c:pt>
                <c:pt idx="29">
                  <c:v>336.2</c:v>
                </c:pt>
                <c:pt idx="30">
                  <c:v>339.04</c:v>
                </c:pt>
                <c:pt idx="31">
                  <c:v>341.59</c:v>
                </c:pt>
                <c:pt idx="32">
                  <c:v>343.08</c:v>
                </c:pt>
                <c:pt idx="33">
                  <c:v>337.95</c:v>
                </c:pt>
                <c:pt idx="34">
                  <c:v>336.39</c:v>
                </c:pt>
                <c:pt idx="35">
                  <c:v>338.41</c:v>
                </c:pt>
                <c:pt idx="36">
                  <c:v>340.32</c:v>
                </c:pt>
                <c:pt idx="37">
                  <c:v>340.38</c:v>
                </c:pt>
                <c:pt idx="38">
                  <c:v>338.45</c:v>
                </c:pt>
                <c:pt idx="39">
                  <c:v>341.12</c:v>
                </c:pt>
                <c:pt idx="40">
                  <c:v>339.44</c:v>
                </c:pt>
                <c:pt idx="41">
                  <c:v>342.58</c:v>
                </c:pt>
                <c:pt idx="42">
                  <c:v>343.13</c:v>
                </c:pt>
                <c:pt idx="43">
                  <c:v>345.17</c:v>
                </c:pt>
                <c:pt idx="44">
                  <c:v>343.19</c:v>
                </c:pt>
                <c:pt idx="45">
                  <c:v>344.65</c:v>
                </c:pt>
                <c:pt idx="46">
                  <c:v>346.39</c:v>
                </c:pt>
                <c:pt idx="47">
                  <c:v>344.57</c:v>
                </c:pt>
                <c:pt idx="48">
                  <c:v>346.79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774-4B8C-A468-7CFF0FF25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00064"/>
        <c:axId val="227781632"/>
      </c:lineChart>
      <c:dateAx>
        <c:axId val="2277785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7780096"/>
        <c:crosses val="autoZero"/>
        <c:auto val="1"/>
        <c:lblOffset val="100"/>
        <c:baseTimeUnit val="days"/>
        <c:majorUnit val="1"/>
        <c:majorTimeUnit val="months"/>
      </c:dateAx>
      <c:valAx>
        <c:axId val="22778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7778560"/>
        <c:crosses val="autoZero"/>
        <c:crossBetween val="between"/>
      </c:valAx>
      <c:valAx>
        <c:axId val="227781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200064"/>
        <c:crosses val="max"/>
        <c:crossBetween val="between"/>
      </c:valAx>
      <c:dateAx>
        <c:axId val="1662000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2778163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콜옵션</c:v>
          </c:tx>
          <c:cat>
            <c:numRef>
              <c:f>'KOSPI200 선물옵션'!$J$44:$J$52</c:f>
              <c:numCache>
                <c:formatCode>General</c:formatCode>
                <c:ptCount val="9"/>
                <c:pt idx="0">
                  <c:v>340</c:v>
                </c:pt>
                <c:pt idx="1">
                  <c:v>337.5</c:v>
                </c:pt>
                <c:pt idx="2">
                  <c:v>335</c:v>
                </c:pt>
                <c:pt idx="3">
                  <c:v>332.5</c:v>
                </c:pt>
                <c:pt idx="4">
                  <c:v>330</c:v>
                </c:pt>
                <c:pt idx="5">
                  <c:v>327.5</c:v>
                </c:pt>
                <c:pt idx="6">
                  <c:v>325</c:v>
                </c:pt>
                <c:pt idx="7">
                  <c:v>322.5</c:v>
                </c:pt>
                <c:pt idx="8">
                  <c:v>320</c:v>
                </c:pt>
              </c:numCache>
            </c:numRef>
          </c:cat>
          <c:val>
            <c:numRef>
              <c:f>'KOSPI200 선물옵션'!$E$44:$E$52</c:f>
              <c:numCache>
                <c:formatCode>General</c:formatCode>
                <c:ptCount val="9"/>
                <c:pt idx="0">
                  <c:v>13.569900000000001</c:v>
                </c:pt>
                <c:pt idx="1">
                  <c:v>13.8284</c:v>
                </c:pt>
                <c:pt idx="2">
                  <c:v>14.1328</c:v>
                </c:pt>
                <c:pt idx="3">
                  <c:v>14.185700000000001</c:v>
                </c:pt>
                <c:pt idx="4">
                  <c:v>14.599600000000001</c:v>
                </c:pt>
                <c:pt idx="5">
                  <c:v>14.842700000000001</c:v>
                </c:pt>
                <c:pt idx="6">
                  <c:v>14.192500000000001</c:v>
                </c:pt>
                <c:pt idx="7">
                  <c:v>13.8706</c:v>
                </c:pt>
                <c:pt idx="8">
                  <c:v>14.104200000000001</c:v>
                </c:pt>
              </c:numCache>
            </c:numRef>
          </c:val>
          <c:smooth val="0"/>
        </c:ser>
        <c:ser>
          <c:idx val="1"/>
          <c:order val="1"/>
          <c:tx>
            <c:v>풋옵션</c:v>
          </c:tx>
          <c:cat>
            <c:numRef>
              <c:f>'KOSPI200 선물옵션'!$J$44:$J$52</c:f>
              <c:numCache>
                <c:formatCode>General</c:formatCode>
                <c:ptCount val="9"/>
                <c:pt idx="0">
                  <c:v>340</c:v>
                </c:pt>
                <c:pt idx="1">
                  <c:v>337.5</c:v>
                </c:pt>
                <c:pt idx="2">
                  <c:v>335</c:v>
                </c:pt>
                <c:pt idx="3">
                  <c:v>332.5</c:v>
                </c:pt>
                <c:pt idx="4">
                  <c:v>330</c:v>
                </c:pt>
                <c:pt idx="5">
                  <c:v>327.5</c:v>
                </c:pt>
                <c:pt idx="6">
                  <c:v>325</c:v>
                </c:pt>
                <c:pt idx="7">
                  <c:v>322.5</c:v>
                </c:pt>
                <c:pt idx="8">
                  <c:v>320</c:v>
                </c:pt>
              </c:numCache>
            </c:numRef>
          </c:cat>
          <c:val>
            <c:numRef>
              <c:f>'KOSPI200 선물옵션'!$O$44:$O$52</c:f>
              <c:numCache>
                <c:formatCode>General</c:formatCode>
                <c:ptCount val="9"/>
                <c:pt idx="0">
                  <c:v>14.898400000000001</c:v>
                </c:pt>
                <c:pt idx="1">
                  <c:v>15.000299999999999</c:v>
                </c:pt>
                <c:pt idx="2">
                  <c:v>14.3833</c:v>
                </c:pt>
                <c:pt idx="3">
                  <c:v>14.628500000000001</c:v>
                </c:pt>
                <c:pt idx="4">
                  <c:v>15.051600000000001</c:v>
                </c:pt>
                <c:pt idx="5">
                  <c:v>15.290800000000001</c:v>
                </c:pt>
                <c:pt idx="6">
                  <c:v>15.452500000000001</c:v>
                </c:pt>
                <c:pt idx="7">
                  <c:v>15.8649</c:v>
                </c:pt>
                <c:pt idx="8">
                  <c:v>16.119499999999999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33216"/>
        <c:axId val="166234752"/>
      </c:lineChart>
      <c:catAx>
        <c:axId val="166233216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ln>
            <a:noFill/>
          </a:ln>
        </c:spPr>
        <c:crossAx val="166234752"/>
        <c:crosses val="autoZero"/>
        <c:auto val="1"/>
        <c:lblAlgn val="ctr"/>
        <c:lblOffset val="100"/>
        <c:noMultiLvlLbl val="0"/>
      </c:catAx>
      <c:valAx>
        <c:axId val="166234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6233216"/>
        <c:crosses val="autoZero"/>
        <c:crossBetween val="between"/>
      </c:valAx>
    </c:plotArea>
    <c:legend>
      <c:legendPos val="t"/>
      <c:layout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K200(좌)</c:v>
          </c:tx>
          <c:marker>
            <c:symbol val="none"/>
          </c:marker>
          <c:cat>
            <c:numRef>
              <c:f>'KOSPI200 선물옵션'!$AM$121:$MN$121</c:f>
              <c:numCache>
                <c:formatCode>m/d/yyyy</c:formatCode>
                <c:ptCount val="314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44977</c:v>
                </c:pt>
                <c:pt idx="34">
                  <c:v>44978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45054</c:v>
                </c:pt>
                <c:pt idx="86">
                  <c:v>45055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45076</c:v>
                </c:pt>
                <c:pt idx="101">
                  <c:v>45077</c:v>
                </c:pt>
                <c:pt idx="102">
                  <c:v>45078</c:v>
                </c:pt>
                <c:pt idx="103">
                  <c:v>45079</c:v>
                </c:pt>
                <c:pt idx="104">
                  <c:v>45082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45096</c:v>
                </c:pt>
                <c:pt idx="114">
                  <c:v>45097</c:v>
                </c:pt>
                <c:pt idx="115">
                  <c:v>45098</c:v>
                </c:pt>
                <c:pt idx="116">
                  <c:v>45099</c:v>
                </c:pt>
                <c:pt idx="117">
                  <c:v>45100</c:v>
                </c:pt>
                <c:pt idx="118">
                  <c:v>45103</c:v>
                </c:pt>
                <c:pt idx="119">
                  <c:v>45104</c:v>
                </c:pt>
                <c:pt idx="120">
                  <c:v>45105</c:v>
                </c:pt>
                <c:pt idx="121">
                  <c:v>45106</c:v>
                </c:pt>
                <c:pt idx="122">
                  <c:v>45107</c:v>
                </c:pt>
                <c:pt idx="123">
                  <c:v>45110</c:v>
                </c:pt>
                <c:pt idx="124">
                  <c:v>45111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45154</c:v>
                </c:pt>
                <c:pt idx="155">
                  <c:v>45155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</c:numCache>
            </c:numRef>
          </c:cat>
          <c:val>
            <c:numRef>
              <c:f>'KOSPI200 선물옵션'!$AM$122:$MN$122</c:f>
              <c:numCache>
                <c:formatCode>General</c:formatCode>
                <c:ptCount val="314"/>
                <c:pt idx="0">
                  <c:v>289.79000000000002</c:v>
                </c:pt>
                <c:pt idx="1">
                  <c:v>289.58</c:v>
                </c:pt>
                <c:pt idx="2">
                  <c:v>295.98</c:v>
                </c:pt>
                <c:pt idx="3">
                  <c:v>297.87</c:v>
                </c:pt>
                <c:pt idx="4">
                  <c:v>301.52999999999997</c:v>
                </c:pt>
                <c:pt idx="5">
                  <c:v>309.69</c:v>
                </c:pt>
                <c:pt idx="6">
                  <c:v>309.57</c:v>
                </c:pt>
                <c:pt idx="7">
                  <c:v>310.38</c:v>
                </c:pt>
                <c:pt idx="8">
                  <c:v>310.7</c:v>
                </c:pt>
                <c:pt idx="9">
                  <c:v>313.77</c:v>
                </c:pt>
                <c:pt idx="10">
                  <c:v>316.04000000000002</c:v>
                </c:pt>
                <c:pt idx="11">
                  <c:v>313.75</c:v>
                </c:pt>
                <c:pt idx="12">
                  <c:v>311.91000000000003</c:v>
                </c:pt>
                <c:pt idx="13">
                  <c:v>313.81</c:v>
                </c:pt>
                <c:pt idx="14">
                  <c:v>315.58</c:v>
                </c:pt>
                <c:pt idx="15">
                  <c:v>320.76</c:v>
                </c:pt>
                <c:pt idx="16">
                  <c:v>325.57</c:v>
                </c:pt>
                <c:pt idx="17">
                  <c:v>327.98</c:v>
                </c:pt>
                <c:pt idx="18">
                  <c:v>322.67</c:v>
                </c:pt>
                <c:pt idx="19">
                  <c:v>317.26</c:v>
                </c:pt>
                <c:pt idx="20">
                  <c:v>321.19</c:v>
                </c:pt>
                <c:pt idx="21">
                  <c:v>323.93</c:v>
                </c:pt>
                <c:pt idx="22">
                  <c:v>325.86</c:v>
                </c:pt>
                <c:pt idx="23">
                  <c:v>318.83</c:v>
                </c:pt>
                <c:pt idx="24">
                  <c:v>320.55</c:v>
                </c:pt>
                <c:pt idx="25">
                  <c:v>325.63</c:v>
                </c:pt>
                <c:pt idx="26">
                  <c:v>324.89999999999998</c:v>
                </c:pt>
                <c:pt idx="27">
                  <c:v>323.69</c:v>
                </c:pt>
                <c:pt idx="28">
                  <c:v>321.75</c:v>
                </c:pt>
                <c:pt idx="29">
                  <c:v>323.47000000000003</c:v>
                </c:pt>
                <c:pt idx="30">
                  <c:v>317.99</c:v>
                </c:pt>
                <c:pt idx="31">
                  <c:v>324.10000000000002</c:v>
                </c:pt>
                <c:pt idx="32">
                  <c:v>320.77999999999997</c:v>
                </c:pt>
                <c:pt idx="33">
                  <c:v>321.79000000000002</c:v>
                </c:pt>
                <c:pt idx="34">
                  <c:v>321.56</c:v>
                </c:pt>
                <c:pt idx="35">
                  <c:v>315.94</c:v>
                </c:pt>
                <c:pt idx="36">
                  <c:v>319.44</c:v>
                </c:pt>
                <c:pt idx="37">
                  <c:v>316.94</c:v>
                </c:pt>
                <c:pt idx="38">
                  <c:v>313.94</c:v>
                </c:pt>
                <c:pt idx="39">
                  <c:v>314.8</c:v>
                </c:pt>
                <c:pt idx="40">
                  <c:v>316.26</c:v>
                </c:pt>
                <c:pt idx="41">
                  <c:v>316.36</c:v>
                </c:pt>
                <c:pt idx="42">
                  <c:v>320.94</c:v>
                </c:pt>
                <c:pt idx="43">
                  <c:v>319.8</c:v>
                </c:pt>
                <c:pt idx="44">
                  <c:v>315.38</c:v>
                </c:pt>
                <c:pt idx="45">
                  <c:v>314.04000000000002</c:v>
                </c:pt>
                <c:pt idx="46">
                  <c:v>310.64999999999998</c:v>
                </c:pt>
                <c:pt idx="47">
                  <c:v>313.20999999999998</c:v>
                </c:pt>
                <c:pt idx="48">
                  <c:v>305.58</c:v>
                </c:pt>
                <c:pt idx="49">
                  <c:v>309.10000000000002</c:v>
                </c:pt>
                <c:pt idx="50">
                  <c:v>308.39</c:v>
                </c:pt>
                <c:pt idx="51">
                  <c:v>312.07</c:v>
                </c:pt>
                <c:pt idx="52">
                  <c:v>309.49</c:v>
                </c:pt>
                <c:pt idx="53">
                  <c:v>310.36</c:v>
                </c:pt>
                <c:pt idx="54">
                  <c:v>314.11</c:v>
                </c:pt>
                <c:pt idx="55">
                  <c:v>315.75</c:v>
                </c:pt>
                <c:pt idx="56">
                  <c:v>314.3</c:v>
                </c:pt>
                <c:pt idx="57">
                  <c:v>312.85000000000002</c:v>
                </c:pt>
                <c:pt idx="58">
                  <c:v>316.36</c:v>
                </c:pt>
                <c:pt idx="59">
                  <c:v>317.01</c:v>
                </c:pt>
                <c:pt idx="60">
                  <c:v>318.05</c:v>
                </c:pt>
                <c:pt idx="61">
                  <c:v>322.02999999999997</c:v>
                </c:pt>
                <c:pt idx="62">
                  <c:v>320.38</c:v>
                </c:pt>
                <c:pt idx="63">
                  <c:v>321.75</c:v>
                </c:pt>
                <c:pt idx="64">
                  <c:v>323.56</c:v>
                </c:pt>
                <c:pt idx="65">
                  <c:v>317.82</c:v>
                </c:pt>
                <c:pt idx="66">
                  <c:v>323.36</c:v>
                </c:pt>
                <c:pt idx="67">
                  <c:v>326.38</c:v>
                </c:pt>
                <c:pt idx="68">
                  <c:v>330.87</c:v>
                </c:pt>
                <c:pt idx="69">
                  <c:v>332.09</c:v>
                </c:pt>
                <c:pt idx="70">
                  <c:v>333.09</c:v>
                </c:pt>
                <c:pt idx="71">
                  <c:v>333.68</c:v>
                </c:pt>
                <c:pt idx="72">
                  <c:v>333.92</c:v>
                </c:pt>
                <c:pt idx="73">
                  <c:v>333.5</c:v>
                </c:pt>
                <c:pt idx="74">
                  <c:v>333.77</c:v>
                </c:pt>
                <c:pt idx="75">
                  <c:v>332.66</c:v>
                </c:pt>
                <c:pt idx="76">
                  <c:v>330.94</c:v>
                </c:pt>
                <c:pt idx="77">
                  <c:v>328.7</c:v>
                </c:pt>
                <c:pt idx="78">
                  <c:v>324.48</c:v>
                </c:pt>
                <c:pt idx="79">
                  <c:v>323.97000000000003</c:v>
                </c:pt>
                <c:pt idx="80">
                  <c:v>325.08999999999997</c:v>
                </c:pt>
                <c:pt idx="81">
                  <c:v>326.45999999999998</c:v>
                </c:pt>
                <c:pt idx="82">
                  <c:v>329.09</c:v>
                </c:pt>
                <c:pt idx="83">
                  <c:v>326.52</c:v>
                </c:pt>
                <c:pt idx="84">
                  <c:v>326.17</c:v>
                </c:pt>
                <c:pt idx="85">
                  <c:v>328.9</c:v>
                </c:pt>
                <c:pt idx="86">
                  <c:v>328.22</c:v>
                </c:pt>
                <c:pt idx="87">
                  <c:v>326.04000000000002</c:v>
                </c:pt>
                <c:pt idx="88">
                  <c:v>325.27999999999997</c:v>
                </c:pt>
                <c:pt idx="89">
                  <c:v>323.61</c:v>
                </c:pt>
                <c:pt idx="90">
                  <c:v>324.45999999999998</c:v>
                </c:pt>
                <c:pt idx="91">
                  <c:v>325.31</c:v>
                </c:pt>
                <c:pt idx="92">
                  <c:v>326.61</c:v>
                </c:pt>
                <c:pt idx="93">
                  <c:v>329.84</c:v>
                </c:pt>
                <c:pt idx="94">
                  <c:v>334.23</c:v>
                </c:pt>
                <c:pt idx="95">
                  <c:v>336.27</c:v>
                </c:pt>
                <c:pt idx="96">
                  <c:v>337.09</c:v>
                </c:pt>
                <c:pt idx="97">
                  <c:v>336.49</c:v>
                </c:pt>
                <c:pt idx="98">
                  <c:v>335.35</c:v>
                </c:pt>
                <c:pt idx="99">
                  <c:v>337.11</c:v>
                </c:pt>
                <c:pt idx="100">
                  <c:v>341.5</c:v>
                </c:pt>
                <c:pt idx="101">
                  <c:v>339.12</c:v>
                </c:pt>
                <c:pt idx="102">
                  <c:v>338.08</c:v>
                </c:pt>
                <c:pt idx="103">
                  <c:v>342.67</c:v>
                </c:pt>
                <c:pt idx="104">
                  <c:v>343.91</c:v>
                </c:pt>
                <c:pt idx="105">
                  <c:v>343.22</c:v>
                </c:pt>
                <c:pt idx="106">
                  <c:v>342.75</c:v>
                </c:pt>
                <c:pt idx="107">
                  <c:v>346.79</c:v>
                </c:pt>
                <c:pt idx="108">
                  <c:v>344.57</c:v>
                </c:pt>
                <c:pt idx="109">
                  <c:v>346.39</c:v>
                </c:pt>
                <c:pt idx="110">
                  <c:v>344.65</c:v>
                </c:pt>
                <c:pt idx="111">
                  <c:v>343.19</c:v>
                </c:pt>
                <c:pt idx="112">
                  <c:v>345.17</c:v>
                </c:pt>
                <c:pt idx="113">
                  <c:v>343.13</c:v>
                </c:pt>
                <c:pt idx="114">
                  <c:v>342.58</c:v>
                </c:pt>
                <c:pt idx="115">
                  <c:v>339.44</c:v>
                </c:pt>
                <c:pt idx="116">
                  <c:v>341.12</c:v>
                </c:pt>
                <c:pt idx="117">
                  <c:v>338.45</c:v>
                </c:pt>
                <c:pt idx="118">
                  <c:v>340.38</c:v>
                </c:pt>
                <c:pt idx="119">
                  <c:v>340.32</c:v>
                </c:pt>
                <c:pt idx="120">
                  <c:v>338.41</c:v>
                </c:pt>
                <c:pt idx="121">
                  <c:v>336.39</c:v>
                </c:pt>
                <c:pt idx="122">
                  <c:v>337.95</c:v>
                </c:pt>
                <c:pt idx="123">
                  <c:v>343.08</c:v>
                </c:pt>
                <c:pt idx="124">
                  <c:v>341.59</c:v>
                </c:pt>
                <c:pt idx="125">
                  <c:v>339.04</c:v>
                </c:pt>
                <c:pt idx="126">
                  <c:v>336.2</c:v>
                </c:pt>
                <c:pt idx="127">
                  <c:v>331.57</c:v>
                </c:pt>
                <c:pt idx="128">
                  <c:v>330.84</c:v>
                </c:pt>
                <c:pt idx="129">
                  <c:v>337.02</c:v>
                </c:pt>
                <c:pt idx="130">
                  <c:v>339.46</c:v>
                </c:pt>
                <c:pt idx="131">
                  <c:v>341.13</c:v>
                </c:pt>
                <c:pt idx="132">
                  <c:v>346.93</c:v>
                </c:pt>
                <c:pt idx="133">
                  <c:v>345.75</c:v>
                </c:pt>
                <c:pt idx="134">
                  <c:v>343.38</c:v>
                </c:pt>
                <c:pt idx="135">
                  <c:v>343.11</c:v>
                </c:pt>
                <c:pt idx="136">
                  <c:v>341.67</c:v>
                </c:pt>
                <c:pt idx="137">
                  <c:v>342.39</c:v>
                </c:pt>
                <c:pt idx="138">
                  <c:v>344.32</c:v>
                </c:pt>
                <c:pt idx="139">
                  <c:v>344.92</c:v>
                </c:pt>
                <c:pt idx="140">
                  <c:v>340.56</c:v>
                </c:pt>
                <c:pt idx="141">
                  <c:v>344.76</c:v>
                </c:pt>
                <c:pt idx="142">
                  <c:v>344.03</c:v>
                </c:pt>
                <c:pt idx="143">
                  <c:v>345.62</c:v>
                </c:pt>
                <c:pt idx="144">
                  <c:v>351</c:v>
                </c:pt>
                <c:pt idx="145">
                  <c:v>343.8</c:v>
                </c:pt>
                <c:pt idx="146">
                  <c:v>341.54</c:v>
                </c:pt>
                <c:pt idx="147">
                  <c:v>341.25</c:v>
                </c:pt>
                <c:pt idx="148">
                  <c:v>339.68</c:v>
                </c:pt>
                <c:pt idx="149">
                  <c:v>337.95</c:v>
                </c:pt>
                <c:pt idx="150">
                  <c:v>341.61</c:v>
                </c:pt>
                <c:pt idx="151">
                  <c:v>340.46</c:v>
                </c:pt>
                <c:pt idx="152">
                  <c:v>338.98</c:v>
                </c:pt>
                <c:pt idx="153">
                  <c:v>336.33</c:v>
                </c:pt>
                <c:pt idx="154">
                  <c:v>331.28</c:v>
                </c:pt>
                <c:pt idx="155">
                  <c:v>330.23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57024"/>
        <c:axId val="166258560"/>
      </c:lineChart>
      <c:lineChart>
        <c:grouping val="standard"/>
        <c:varyColors val="0"/>
        <c:ser>
          <c:idx val="1"/>
          <c:order val="1"/>
          <c:tx>
            <c:v>VKOSPI(우)</c:v>
          </c:tx>
          <c:marker>
            <c:symbol val="none"/>
          </c:marker>
          <c:cat>
            <c:numRef>
              <c:f>'KOSPI200 선물옵션'!$AM$121:$MN$121</c:f>
              <c:numCache>
                <c:formatCode>m/d/yyyy</c:formatCode>
                <c:ptCount val="314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44977</c:v>
                </c:pt>
                <c:pt idx="34">
                  <c:v>44978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45054</c:v>
                </c:pt>
                <c:pt idx="86">
                  <c:v>45055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45076</c:v>
                </c:pt>
                <c:pt idx="101">
                  <c:v>45077</c:v>
                </c:pt>
                <c:pt idx="102">
                  <c:v>45078</c:v>
                </c:pt>
                <c:pt idx="103">
                  <c:v>45079</c:v>
                </c:pt>
                <c:pt idx="104">
                  <c:v>45082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45096</c:v>
                </c:pt>
                <c:pt idx="114">
                  <c:v>45097</c:v>
                </c:pt>
                <c:pt idx="115">
                  <c:v>45098</c:v>
                </c:pt>
                <c:pt idx="116">
                  <c:v>45099</c:v>
                </c:pt>
                <c:pt idx="117">
                  <c:v>45100</c:v>
                </c:pt>
                <c:pt idx="118">
                  <c:v>45103</c:v>
                </c:pt>
                <c:pt idx="119">
                  <c:v>45104</c:v>
                </c:pt>
                <c:pt idx="120">
                  <c:v>45105</c:v>
                </c:pt>
                <c:pt idx="121">
                  <c:v>45106</c:v>
                </c:pt>
                <c:pt idx="122">
                  <c:v>45107</c:v>
                </c:pt>
                <c:pt idx="123">
                  <c:v>45110</c:v>
                </c:pt>
                <c:pt idx="124">
                  <c:v>45111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45154</c:v>
                </c:pt>
                <c:pt idx="155">
                  <c:v>45155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</c:numCache>
            </c:numRef>
          </c:cat>
          <c:val>
            <c:numRef>
              <c:f>'KOSPI200 선물옵션'!$AM$123:$MN$123</c:f>
              <c:numCache>
                <c:formatCode>General</c:formatCode>
                <c:ptCount val="314"/>
                <c:pt idx="0">
                  <c:v>18.850000000000001</c:v>
                </c:pt>
                <c:pt idx="1">
                  <c:v>18.96</c:v>
                </c:pt>
                <c:pt idx="2">
                  <c:v>18.170000000000002</c:v>
                </c:pt>
                <c:pt idx="3">
                  <c:v>17.850000000000001</c:v>
                </c:pt>
                <c:pt idx="4">
                  <c:v>17.739999999999998</c:v>
                </c:pt>
                <c:pt idx="5">
                  <c:v>18.48</c:v>
                </c:pt>
                <c:pt idx="6">
                  <c:v>18.22</c:v>
                </c:pt>
                <c:pt idx="7">
                  <c:v>17.98</c:v>
                </c:pt>
                <c:pt idx="8">
                  <c:v>18.34</c:v>
                </c:pt>
                <c:pt idx="9">
                  <c:v>17.190000000000001</c:v>
                </c:pt>
                <c:pt idx="10">
                  <c:v>16.88</c:v>
                </c:pt>
                <c:pt idx="11">
                  <c:v>16.850000000000001</c:v>
                </c:pt>
                <c:pt idx="12">
                  <c:v>16.8</c:v>
                </c:pt>
                <c:pt idx="13">
                  <c:v>16.89</c:v>
                </c:pt>
                <c:pt idx="14">
                  <c:v>16.809999999999999</c:v>
                </c:pt>
                <c:pt idx="15">
                  <c:v>16.84</c:v>
                </c:pt>
                <c:pt idx="16">
                  <c:v>16.53</c:v>
                </c:pt>
                <c:pt idx="17">
                  <c:v>16.86</c:v>
                </c:pt>
                <c:pt idx="18">
                  <c:v>17.38</c:v>
                </c:pt>
                <c:pt idx="19">
                  <c:v>17.75</c:v>
                </c:pt>
                <c:pt idx="20">
                  <c:v>17.54</c:v>
                </c:pt>
                <c:pt idx="21">
                  <c:v>17.079999999999998</c:v>
                </c:pt>
                <c:pt idx="22">
                  <c:v>17.010000000000002</c:v>
                </c:pt>
                <c:pt idx="23">
                  <c:v>17.55</c:v>
                </c:pt>
                <c:pt idx="24">
                  <c:v>17.309999999999999</c:v>
                </c:pt>
                <c:pt idx="25">
                  <c:v>17.5</c:v>
                </c:pt>
                <c:pt idx="26">
                  <c:v>17.95</c:v>
                </c:pt>
                <c:pt idx="27">
                  <c:v>17.53</c:v>
                </c:pt>
                <c:pt idx="28">
                  <c:v>18.23</c:v>
                </c:pt>
                <c:pt idx="29">
                  <c:v>18.52</c:v>
                </c:pt>
                <c:pt idx="30">
                  <c:v>18.18</c:v>
                </c:pt>
                <c:pt idx="31">
                  <c:v>17.84</c:v>
                </c:pt>
                <c:pt idx="32">
                  <c:v>18.23</c:v>
                </c:pt>
                <c:pt idx="33">
                  <c:v>18.64</c:v>
                </c:pt>
                <c:pt idx="34">
                  <c:v>18.89</c:v>
                </c:pt>
                <c:pt idx="35">
                  <c:v>19.559999999999999</c:v>
                </c:pt>
                <c:pt idx="36">
                  <c:v>18.989999999999998</c:v>
                </c:pt>
                <c:pt idx="37">
                  <c:v>18.809999999999999</c:v>
                </c:pt>
                <c:pt idx="38">
                  <c:v>19.38</c:v>
                </c:pt>
                <c:pt idx="39">
                  <c:v>18.53</c:v>
                </c:pt>
                <c:pt idx="40">
                  <c:v>18.309999999999999</c:v>
                </c:pt>
                <c:pt idx="41">
                  <c:v>17.690000000000001</c:v>
                </c:pt>
                <c:pt idx="42">
                  <c:v>17.18</c:v>
                </c:pt>
                <c:pt idx="43">
                  <c:v>16.95</c:v>
                </c:pt>
                <c:pt idx="44">
                  <c:v>17.21</c:v>
                </c:pt>
                <c:pt idx="45">
                  <c:v>16.53</c:v>
                </c:pt>
                <c:pt idx="46">
                  <c:v>17.559999999999999</c:v>
                </c:pt>
                <c:pt idx="47">
                  <c:v>18.2</c:v>
                </c:pt>
                <c:pt idx="48">
                  <c:v>21.11</c:v>
                </c:pt>
                <c:pt idx="49">
                  <c:v>18.75</c:v>
                </c:pt>
                <c:pt idx="50">
                  <c:v>19.97</c:v>
                </c:pt>
                <c:pt idx="51">
                  <c:v>18.260000000000002</c:v>
                </c:pt>
                <c:pt idx="52">
                  <c:v>20.62</c:v>
                </c:pt>
                <c:pt idx="53">
                  <c:v>19.510000000000002</c:v>
                </c:pt>
                <c:pt idx="54">
                  <c:v>18.29</c:v>
                </c:pt>
                <c:pt idx="55">
                  <c:v>17.97</c:v>
                </c:pt>
                <c:pt idx="56">
                  <c:v>17.59</c:v>
                </c:pt>
                <c:pt idx="57">
                  <c:v>17.97</c:v>
                </c:pt>
                <c:pt idx="58">
                  <c:v>16.809999999999999</c:v>
                </c:pt>
                <c:pt idx="59">
                  <c:v>16.149999999999999</c:v>
                </c:pt>
                <c:pt idx="60">
                  <c:v>15.7</c:v>
                </c:pt>
                <c:pt idx="61">
                  <c:v>15.57</c:v>
                </c:pt>
                <c:pt idx="62">
                  <c:v>15.88</c:v>
                </c:pt>
                <c:pt idx="63">
                  <c:v>15.22</c:v>
                </c:pt>
                <c:pt idx="64">
                  <c:v>15.36</c:v>
                </c:pt>
                <c:pt idx="65">
                  <c:v>15.87</c:v>
                </c:pt>
                <c:pt idx="66">
                  <c:v>15.35</c:v>
                </c:pt>
                <c:pt idx="67">
                  <c:v>15.72</c:v>
                </c:pt>
                <c:pt idx="68">
                  <c:v>15.62</c:v>
                </c:pt>
                <c:pt idx="69">
                  <c:v>15.82</c:v>
                </c:pt>
                <c:pt idx="70">
                  <c:v>15.52</c:v>
                </c:pt>
                <c:pt idx="71">
                  <c:v>15.42</c:v>
                </c:pt>
                <c:pt idx="72">
                  <c:v>15.49</c:v>
                </c:pt>
                <c:pt idx="73">
                  <c:v>15.17</c:v>
                </c:pt>
                <c:pt idx="74">
                  <c:v>14.86</c:v>
                </c:pt>
                <c:pt idx="75">
                  <c:v>14.63</c:v>
                </c:pt>
                <c:pt idx="76">
                  <c:v>14.62</c:v>
                </c:pt>
                <c:pt idx="77">
                  <c:v>14.86</c:v>
                </c:pt>
                <c:pt idx="78">
                  <c:v>15.02</c:v>
                </c:pt>
                <c:pt idx="79">
                  <c:v>15.09</c:v>
                </c:pt>
                <c:pt idx="80">
                  <c:v>14.86</c:v>
                </c:pt>
                <c:pt idx="81">
                  <c:v>14.51</c:v>
                </c:pt>
                <c:pt idx="82">
                  <c:v>14.21</c:v>
                </c:pt>
                <c:pt idx="83">
                  <c:v>15.09</c:v>
                </c:pt>
                <c:pt idx="84">
                  <c:v>15.27</c:v>
                </c:pt>
                <c:pt idx="85">
                  <c:v>14.87</c:v>
                </c:pt>
                <c:pt idx="86">
                  <c:v>14.39</c:v>
                </c:pt>
                <c:pt idx="87">
                  <c:v>14.77</c:v>
                </c:pt>
                <c:pt idx="88">
                  <c:v>14.31</c:v>
                </c:pt>
                <c:pt idx="89">
                  <c:v>13.93</c:v>
                </c:pt>
                <c:pt idx="90">
                  <c:v>13.81</c:v>
                </c:pt>
                <c:pt idx="91">
                  <c:v>13.59</c:v>
                </c:pt>
                <c:pt idx="92">
                  <c:v>13.52</c:v>
                </c:pt>
                <c:pt idx="93">
                  <c:v>13.54</c:v>
                </c:pt>
                <c:pt idx="94">
                  <c:v>14.13</c:v>
                </c:pt>
                <c:pt idx="95">
                  <c:v>14.74</c:v>
                </c:pt>
                <c:pt idx="96">
                  <c:v>14.56</c:v>
                </c:pt>
                <c:pt idx="97">
                  <c:v>14.87</c:v>
                </c:pt>
                <c:pt idx="98">
                  <c:v>15.07</c:v>
                </c:pt>
                <c:pt idx="99">
                  <c:v>14.96</c:v>
                </c:pt>
                <c:pt idx="100">
                  <c:v>14.79</c:v>
                </c:pt>
                <c:pt idx="101">
                  <c:v>14.8</c:v>
                </c:pt>
                <c:pt idx="102">
                  <c:v>14.35</c:v>
                </c:pt>
                <c:pt idx="103">
                  <c:v>13.96</c:v>
                </c:pt>
                <c:pt idx="104">
                  <c:v>14.08</c:v>
                </c:pt>
                <c:pt idx="105">
                  <c:v>13.71</c:v>
                </c:pt>
                <c:pt idx="106">
                  <c:v>13.44</c:v>
                </c:pt>
                <c:pt idx="107">
                  <c:v>13.16</c:v>
                </c:pt>
                <c:pt idx="108">
                  <c:v>13.45</c:v>
                </c:pt>
                <c:pt idx="109">
                  <c:v>13.76</c:v>
                </c:pt>
                <c:pt idx="110">
                  <c:v>13.55</c:v>
                </c:pt>
                <c:pt idx="111">
                  <c:v>13.25</c:v>
                </c:pt>
                <c:pt idx="112">
                  <c:v>13.13</c:v>
                </c:pt>
                <c:pt idx="113">
                  <c:v>13.35</c:v>
                </c:pt>
                <c:pt idx="114">
                  <c:v>13.02</c:v>
                </c:pt>
                <c:pt idx="115">
                  <c:v>13.36</c:v>
                </c:pt>
                <c:pt idx="116">
                  <c:v>13.24</c:v>
                </c:pt>
                <c:pt idx="117">
                  <c:v>13.04</c:v>
                </c:pt>
                <c:pt idx="118">
                  <c:v>13.46</c:v>
                </c:pt>
                <c:pt idx="119">
                  <c:v>13.18</c:v>
                </c:pt>
                <c:pt idx="120">
                  <c:v>13.1</c:v>
                </c:pt>
                <c:pt idx="121">
                  <c:v>12.93</c:v>
                </c:pt>
                <c:pt idx="122">
                  <c:v>12.59</c:v>
                </c:pt>
                <c:pt idx="123">
                  <c:v>12.73</c:v>
                </c:pt>
                <c:pt idx="124">
                  <c:v>12.27</c:v>
                </c:pt>
                <c:pt idx="125">
                  <c:v>12.37</c:v>
                </c:pt>
                <c:pt idx="126">
                  <c:v>12.98</c:v>
                </c:pt>
                <c:pt idx="127">
                  <c:v>14.58</c:v>
                </c:pt>
                <c:pt idx="128">
                  <c:v>14.63</c:v>
                </c:pt>
                <c:pt idx="129">
                  <c:v>13.82</c:v>
                </c:pt>
                <c:pt idx="130">
                  <c:v>13.76</c:v>
                </c:pt>
                <c:pt idx="131">
                  <c:v>13.25</c:v>
                </c:pt>
                <c:pt idx="132">
                  <c:v>13.19</c:v>
                </c:pt>
                <c:pt idx="133">
                  <c:v>13.21</c:v>
                </c:pt>
                <c:pt idx="134">
                  <c:v>13.07</c:v>
                </c:pt>
                <c:pt idx="135">
                  <c:v>12.91</c:v>
                </c:pt>
                <c:pt idx="136">
                  <c:v>13.22</c:v>
                </c:pt>
                <c:pt idx="137">
                  <c:v>13.35</c:v>
                </c:pt>
                <c:pt idx="138">
                  <c:v>14.12</c:v>
                </c:pt>
                <c:pt idx="139">
                  <c:v>14.08</c:v>
                </c:pt>
                <c:pt idx="140">
                  <c:v>14.53</c:v>
                </c:pt>
                <c:pt idx="141">
                  <c:v>13.9</c:v>
                </c:pt>
                <c:pt idx="142">
                  <c:v>14.15</c:v>
                </c:pt>
                <c:pt idx="143">
                  <c:v>14.21</c:v>
                </c:pt>
                <c:pt idx="144">
                  <c:v>14.06</c:v>
                </c:pt>
                <c:pt idx="145">
                  <c:v>15.36</c:v>
                </c:pt>
                <c:pt idx="146">
                  <c:v>15.88</c:v>
                </c:pt>
                <c:pt idx="147">
                  <c:v>15.55</c:v>
                </c:pt>
                <c:pt idx="148">
                  <c:v>15.71</c:v>
                </c:pt>
                <c:pt idx="149">
                  <c:v>15.4</c:v>
                </c:pt>
                <c:pt idx="150">
                  <c:v>14.15</c:v>
                </c:pt>
                <c:pt idx="151">
                  <c:v>14</c:v>
                </c:pt>
                <c:pt idx="152">
                  <c:v>13.44</c:v>
                </c:pt>
                <c:pt idx="153">
                  <c:v>14.14</c:v>
                </c:pt>
                <c:pt idx="154">
                  <c:v>15.15</c:v>
                </c:pt>
                <c:pt idx="155">
                  <c:v>15.57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966336"/>
        <c:axId val="166260096"/>
      </c:lineChart>
      <c:dateAx>
        <c:axId val="166257024"/>
        <c:scaling>
          <c:orientation val="minMax"/>
        </c:scaling>
        <c:delete val="0"/>
        <c:axPos val="b"/>
        <c:numFmt formatCode="m/d/yyyy" sourceLinked="1"/>
        <c:majorTickMark val="cross"/>
        <c:minorTickMark val="cross"/>
        <c:tickLblPos val="nextTo"/>
        <c:crossAx val="166258560"/>
        <c:crosses val="autoZero"/>
        <c:auto val="1"/>
        <c:lblOffset val="100"/>
        <c:baseTimeUnit val="days"/>
      </c:dateAx>
      <c:valAx>
        <c:axId val="1662585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6257024"/>
        <c:crosses val="autoZero"/>
        <c:crossBetween val="between"/>
      </c:valAx>
      <c:valAx>
        <c:axId val="1662600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3966336"/>
        <c:crosses val="max"/>
        <c:crossBetween val="between"/>
      </c:valAx>
      <c:dateAx>
        <c:axId val="2239663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6260096"/>
        <c:crosses val="autoZero"/>
        <c:auto val="1"/>
        <c:lblOffset val="100"/>
        <c:baseTimeUnit val="days"/>
      </c:dateAx>
    </c:plotArea>
    <c:legend>
      <c:legendPos val="t"/>
      <c:layout/>
      <c:overlay val="0"/>
    </c:legend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55959</xdr:colOff>
      <xdr:row>50</xdr:row>
      <xdr:rowOff>28575</xdr:rowOff>
    </xdr:from>
    <xdr:to>
      <xdr:col>15</xdr:col>
      <xdr:colOff>309</xdr:colOff>
      <xdr:row>57</xdr:row>
      <xdr:rowOff>131175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55959</xdr:colOff>
      <xdr:row>59</xdr:row>
      <xdr:rowOff>19050</xdr:rowOff>
    </xdr:from>
    <xdr:to>
      <xdr:col>15</xdr:col>
      <xdr:colOff>309</xdr:colOff>
      <xdr:row>66</xdr:row>
      <xdr:rowOff>112125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55959</xdr:colOff>
      <xdr:row>68</xdr:row>
      <xdr:rowOff>28574</xdr:rowOff>
    </xdr:from>
    <xdr:to>
      <xdr:col>15</xdr:col>
      <xdr:colOff>309</xdr:colOff>
      <xdr:row>75</xdr:row>
      <xdr:rowOff>131174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55959</xdr:colOff>
      <xdr:row>77</xdr:row>
      <xdr:rowOff>47625</xdr:rowOff>
    </xdr:from>
    <xdr:to>
      <xdr:col>15</xdr:col>
      <xdr:colOff>309</xdr:colOff>
      <xdr:row>84</xdr:row>
      <xdr:rowOff>150225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102</xdr:row>
      <xdr:rowOff>0</xdr:rowOff>
    </xdr:from>
    <xdr:to>
      <xdr:col>10</xdr:col>
      <xdr:colOff>19050</xdr:colOff>
      <xdr:row>113</xdr:row>
      <xdr:rowOff>142875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130</xdr:row>
      <xdr:rowOff>0</xdr:rowOff>
    </xdr:from>
    <xdr:to>
      <xdr:col>11</xdr:col>
      <xdr:colOff>9525</xdr:colOff>
      <xdr:row>147</xdr:row>
      <xdr:rowOff>19050</xdr:rowOff>
    </xdr:to>
    <xdr:graphicFrame macro="">
      <xdr:nvGraphicFramePr>
        <xdr:cNvPr id="11" name="차트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314324</xdr:colOff>
      <xdr:row>23</xdr:row>
      <xdr:rowOff>0</xdr:rowOff>
    </xdr:from>
    <xdr:to>
      <xdr:col>7</xdr:col>
      <xdr:colOff>629774</xdr:colOff>
      <xdr:row>37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xmlns="" id="{5DF0B5A5-E9C8-40C8-9D25-CE2DA97F0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419099</xdr:colOff>
      <xdr:row>23</xdr:row>
      <xdr:rowOff>0</xdr:rowOff>
    </xdr:from>
    <xdr:to>
      <xdr:col>14</xdr:col>
      <xdr:colOff>505949</xdr:colOff>
      <xdr:row>37</xdr:row>
      <xdr:rowOff>76200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xmlns="" id="{9C27B8F1-06DE-4977-A66D-177D5B410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381000</xdr:colOff>
      <xdr:row>55</xdr:row>
      <xdr:rowOff>4762</xdr:rowOff>
    </xdr:from>
    <xdr:to>
      <xdr:col>15</xdr:col>
      <xdr:colOff>467850</xdr:colOff>
      <xdr:row>69</xdr:row>
      <xdr:rowOff>80962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885824</xdr:colOff>
      <xdr:row>55</xdr:row>
      <xdr:rowOff>4762</xdr:rowOff>
    </xdr:from>
    <xdr:to>
      <xdr:col>8</xdr:col>
      <xdr:colOff>352424</xdr:colOff>
      <xdr:row>69</xdr:row>
      <xdr:rowOff>80962</xdr:rowOff>
    </xdr:to>
    <xdr:graphicFrame macro="">
      <xdr:nvGraphicFramePr>
        <xdr:cNvPr id="15" name="차트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U567"/>
  <sheetViews>
    <sheetView showGridLines="0" showRowColHeaders="0" tabSelected="1" topLeftCell="B1" zoomScaleNormal="100" workbookViewId="0">
      <selection activeCell="C2" sqref="C2:P2"/>
    </sheetView>
  </sheetViews>
  <sheetFormatPr defaultColWidth="0" defaultRowHeight="13.5" zeroHeight="1"/>
  <cols>
    <col min="1" max="1" width="11.5703125" style="4" hidden="1" customWidth="1"/>
    <col min="2" max="2" width="2.7109375" style="44" customWidth="1"/>
    <col min="3" max="3" width="16.28515625" style="2" customWidth="1"/>
    <col min="4" max="4" width="5.42578125" style="4" hidden="1" customWidth="1"/>
    <col min="5" max="7" width="12.7109375" customWidth="1"/>
    <col min="8" max="12" width="12.7109375" style="2" customWidth="1"/>
    <col min="13" max="14" width="12.7109375" customWidth="1"/>
    <col min="15" max="15" width="12.7109375" style="1" customWidth="1"/>
    <col min="16" max="16" width="11.28515625" style="1" bestFit="1" customWidth="1"/>
    <col min="17" max="17" width="9.42578125" style="68" bestFit="1" customWidth="1"/>
    <col min="18" max="18" width="6.7109375" style="68" customWidth="1"/>
    <col min="19" max="19" width="9.42578125" style="68" hidden="1"/>
    <col min="20" max="21" width="9.140625" style="4" hidden="1"/>
    <col min="22" max="22" width="11.28515625" style="4" hidden="1"/>
    <col min="23" max="23" width="19" style="4" hidden="1"/>
    <col min="24" max="24" width="9.140625" style="4" hidden="1"/>
    <col min="25" max="25" width="11.7109375" style="4" hidden="1"/>
    <col min="26" max="26" width="11.28515625" style="4" hidden="1"/>
    <col min="27" max="28" width="9.140625" style="4" hidden="1"/>
    <col min="29" max="29" width="9.7109375" style="4" hidden="1"/>
    <col min="30" max="30" width="11.28515625" style="4" hidden="1"/>
    <col min="31" max="31" width="16.85546875" style="4" hidden="1"/>
    <col min="32" max="32" width="14.140625" style="4" hidden="1"/>
    <col min="33" max="33" width="13.28515625" style="4" hidden="1"/>
    <col min="34" max="34" width="11.28515625" style="4" hidden="1"/>
    <col min="35" max="35" width="20.5703125" style="4" hidden="1"/>
    <col min="36" max="36" width="16.85546875" style="4" hidden="1"/>
    <col min="37" max="37" width="14.140625" style="4" hidden="1"/>
    <col min="38" max="39" width="19.28515625" style="4" hidden="1"/>
    <col min="40" max="40" width="22.140625" style="4" hidden="1"/>
    <col min="41" max="42" width="11.28515625" style="4" hidden="1"/>
    <col min="43" max="43" width="9.7109375" style="4" hidden="1"/>
    <col min="44" max="45" width="11.28515625" style="4" hidden="1"/>
    <col min="46" max="46" width="10.28515625" style="4" hidden="1"/>
    <col min="47" max="47" width="10" style="4" hidden="1"/>
    <col min="48" max="48" width="10.7109375" style="4" hidden="1"/>
    <col min="49" max="49" width="11.28515625" style="4" hidden="1"/>
    <col min="50" max="50" width="15.7109375" style="4" hidden="1"/>
    <col min="51" max="51" width="14.140625" style="4" hidden="1"/>
    <col min="52" max="52" width="13.28515625" style="4" hidden="1"/>
    <col min="53" max="53" width="11.28515625" style="4" hidden="1"/>
    <col min="54" max="54" width="13.28515625" style="4" hidden="1"/>
    <col min="55" max="73" width="14.140625" style="4" hidden="1"/>
    <col min="74" max="74" width="13.85546875" style="4" hidden="1"/>
    <col min="75" max="75" width="15.28515625" style="4" hidden="1"/>
    <col min="76" max="124" width="9.140625" style="4" hidden="1"/>
    <col min="125" max="125" width="11.28515625" style="4" hidden="1"/>
    <col min="126" max="126" width="15.28515625" style="4" hidden="1"/>
    <col min="127" max="127" width="9.140625" style="4" hidden="1"/>
    <col min="128" max="128" width="15.28515625" style="4" hidden="1"/>
    <col min="129" max="129" width="9.140625" style="4" hidden="1"/>
    <col min="130" max="131" width="11.28515625" style="4" hidden="1"/>
    <col min="132" max="133" width="9.140625" style="4" hidden="1"/>
    <col min="134" max="134" width="11.28515625" style="4" hidden="1"/>
    <col min="135" max="137" width="9.140625" style="4" hidden="1"/>
    <col min="138" max="138" width="11.28515625" style="4" hidden="1"/>
    <col min="139" max="139" width="16.85546875" style="4" hidden="1"/>
    <col min="140" max="141" width="13.28515625" style="4" hidden="1"/>
    <col min="142" max="142" width="11.28515625" style="4" hidden="1"/>
    <col min="143" max="143" width="14.140625" style="4" hidden="1"/>
    <col min="144" max="144" width="13.28515625" style="4" hidden="1"/>
    <col min="145" max="145" width="14.140625" style="4" hidden="1"/>
    <col min="146" max="146" width="9.140625" style="4" hidden="1"/>
    <col min="147" max="148" width="11.28515625" style="4" hidden="1"/>
    <col min="149" max="149" width="9.140625" style="4" hidden="1"/>
    <col min="150" max="150" width="9.42578125" style="4" hidden="1"/>
    <col min="151" max="151" width="11.28515625" style="4" hidden="1"/>
    <col min="152" max="154" width="9.140625" style="4" hidden="1"/>
    <col min="155" max="155" width="11.28515625" style="4" hidden="1"/>
    <col min="156" max="156" width="16.85546875" style="4" hidden="1"/>
    <col min="157" max="158" width="13.28515625" style="4" hidden="1"/>
    <col min="159" max="159" width="11.28515625" style="4" hidden="1"/>
    <col min="160" max="160" width="13.28515625" style="4" hidden="1"/>
    <col min="161" max="161" width="14.140625" style="4" hidden="1"/>
    <col min="162" max="162" width="13" style="4" hidden="1"/>
    <col min="163" max="163" width="9.140625" style="4" hidden="1"/>
    <col min="164" max="165" width="11.28515625" style="4" hidden="1"/>
    <col min="166" max="166" width="9.7109375" style="4" hidden="1"/>
    <col min="167" max="167" width="9.42578125" style="4" hidden="1"/>
    <col min="168" max="168" width="11.28515625" style="4" hidden="1"/>
    <col min="169" max="171" width="9.140625" style="4" hidden="1"/>
    <col min="172" max="172" width="11.28515625" style="4" hidden="1"/>
    <col min="173" max="173" width="15.7109375" style="4" hidden="1"/>
    <col min="174" max="174" width="14.140625" style="4" hidden="1"/>
    <col min="175" max="175" width="13.28515625" style="4" hidden="1"/>
    <col min="176" max="176" width="11.28515625" style="4" hidden="1"/>
    <col min="177" max="177" width="13.28515625" style="4" hidden="1"/>
    <col min="178" max="178" width="14.140625" style="4" hidden="1"/>
    <col min="179" max="179" width="13.85546875" style="4" hidden="1"/>
    <col min="180" max="180" width="9.140625" style="4" hidden="1"/>
    <col min="181" max="181" width="11.28515625" style="4" hidden="1"/>
    <col min="182" max="184" width="9.140625" style="4" hidden="1"/>
    <col min="185" max="185" width="11.28515625" style="4" hidden="1"/>
    <col min="186" max="188" width="9.140625" style="4" hidden="1"/>
    <col min="189" max="189" width="11.28515625" style="4" hidden="1"/>
    <col min="190" max="192" width="9.140625" style="4" hidden="1"/>
    <col min="193" max="193" width="11.28515625" style="4" hidden="1"/>
    <col min="194" max="196" width="9.140625" style="4" hidden="1"/>
    <col min="197" max="197" width="11.28515625" style="4" hidden="1"/>
    <col min="198" max="200" width="9.140625" style="4" hidden="1"/>
    <col min="201" max="201" width="11.28515625" style="4" hidden="1"/>
    <col min="202" max="204" width="9.140625" style="4" hidden="1"/>
    <col min="205" max="205" width="11.28515625" style="4" hidden="1"/>
    <col min="206" max="208" width="9.140625" style="4" hidden="1"/>
    <col min="209" max="209" width="11.28515625" style="4" hidden="1"/>
    <col min="210" max="212" width="9.140625" style="4" hidden="1"/>
    <col min="213" max="213" width="11.28515625" style="4" hidden="1"/>
    <col min="214" max="216" width="9.140625" style="4" hidden="1"/>
    <col min="217" max="217" width="11.28515625" style="4" hidden="1"/>
    <col min="218" max="220" width="9.140625" style="4" hidden="1"/>
    <col min="221" max="221" width="11.28515625" style="4" hidden="1"/>
    <col min="222" max="258" width="9.140625" style="4" hidden="1"/>
    <col min="259" max="392" width="11.5703125" style="4" hidden="1"/>
    <col min="393" max="441" width="11.42578125" style="4" hidden="1"/>
    <col min="442" max="541" width="11.28515625" style="4" hidden="1"/>
    <col min="542" max="16384" width="9.140625" style="4" hidden="1"/>
  </cols>
  <sheetData>
    <row r="1" spans="1:48">
      <c r="C1" s="4"/>
      <c r="D1" s="20"/>
      <c r="E1" s="4"/>
      <c r="F1" s="4"/>
      <c r="G1" s="4"/>
      <c r="H1" s="4"/>
      <c r="I1" s="4"/>
      <c r="J1" s="4"/>
      <c r="K1" s="4"/>
      <c r="L1" s="4"/>
      <c r="M1" s="4"/>
      <c r="N1" s="4"/>
    </row>
    <row r="2" spans="1:48" ht="31.5">
      <c r="C2" s="218" t="s">
        <v>245</v>
      </c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</row>
    <row r="3" spans="1:48">
      <c r="D3" s="20"/>
      <c r="E3" s="2"/>
      <c r="F3" s="2"/>
      <c r="G3" s="2"/>
      <c r="M3" s="2"/>
      <c r="N3" s="2"/>
    </row>
    <row r="4" spans="1:48">
      <c r="C4" s="28" t="s">
        <v>177</v>
      </c>
      <c r="D4" s="46"/>
      <c r="E4" s="29" t="s">
        <v>4</v>
      </c>
    </row>
    <row r="5" spans="1:48">
      <c r="C5" s="28" t="s">
        <v>189</v>
      </c>
      <c r="D5" s="46"/>
      <c r="E5" s="217">
        <f ca="1">WORKDAY(TODAY(), -1)</f>
        <v>45155</v>
      </c>
      <c r="F5" s="3"/>
      <c r="G5" s="2"/>
      <c r="M5" s="2"/>
      <c r="N5" s="2"/>
    </row>
    <row r="6" spans="1:48">
      <c r="D6" s="20"/>
    </row>
    <row r="7" spans="1:48">
      <c r="A7" s="4" t="s">
        <v>172</v>
      </c>
      <c r="B7" s="45"/>
      <c r="C7" s="10" t="s">
        <v>178</v>
      </c>
      <c r="D7" s="4" t="s">
        <v>1</v>
      </c>
      <c r="E7" s="10" t="s">
        <v>2</v>
      </c>
      <c r="F7" s="10" t="s">
        <v>3</v>
      </c>
      <c r="G7" s="10" t="s">
        <v>179</v>
      </c>
      <c r="H7" s="10" t="s">
        <v>180</v>
      </c>
      <c r="I7" s="10" t="s">
        <v>181</v>
      </c>
      <c r="J7" s="10" t="s">
        <v>182</v>
      </c>
      <c r="K7" s="10" t="s">
        <v>183</v>
      </c>
      <c r="L7" s="10" t="s">
        <v>184</v>
      </c>
      <c r="M7" s="11" t="s">
        <v>188</v>
      </c>
      <c r="N7" s="220" t="s">
        <v>185</v>
      </c>
      <c r="O7" s="220"/>
      <c r="Q7" s="139"/>
      <c r="R7" s="139"/>
      <c r="U7" s="4" t="s">
        <v>186</v>
      </c>
      <c r="V7" s="4" t="s">
        <v>1</v>
      </c>
      <c r="W7" s="4" t="s">
        <v>0</v>
      </c>
      <c r="X7" s="4" t="s">
        <v>1</v>
      </c>
      <c r="Y7" s="4" t="s">
        <v>0</v>
      </c>
    </row>
    <row r="8" spans="1:48">
      <c r="A8" s="4">
        <f t="shared" ref="A8:A46" si="0">IF($E$4="KOSPI",MATCH($D:$D,$V:$V,0),MATCH($D:$D,$X:$X,0))</f>
        <v>8</v>
      </c>
      <c r="C8" s="18" t="str">
        <f t="shared" ref="C8:C46" si="1">IF(ISERROR(IF($E$4="KOSPI",INDEX($V:$W,$A8,2),INDEX($X:$Y,$A8,2))),"-",IF($E$4="KOSPI",INDEX($V:$W,$A8,2),INDEX($X:$Y,$A8,2)))</f>
        <v>KOSPI</v>
      </c>
      <c r="D8" s="4" t="str">
        <f t="shared" ref="D8:D31" si="2">IF($E$4="KOSPI",$V8,$X8)</f>
        <v>001</v>
      </c>
      <c r="E8" s="208">
        <f ca="1">IF(ISERROR($A8),"-",_xll.IMDP("IDX",$D8,"현재가",$E$5))</f>
        <v>2519.85</v>
      </c>
      <c r="F8" s="212">
        <f ca="1">IF(ISERROR($A8),"-",_xll.IMDP("IDX",$D8,"전일대비",$E$5))</f>
        <v>-5.79</v>
      </c>
      <c r="G8" s="212">
        <f ca="1">IF(ISERROR($A8),"-",_xll.IMDP("IDX",$D8,"등락률",$E$5))</f>
        <v>-0.23</v>
      </c>
      <c r="H8" s="212">
        <f ca="1">IFERROR( IF(ISERROR($A8),"-",($E8-(_xll.IMDP("IDX",$D8,"현재가",$E$5-7,"fill=true")))/_xll.IMDP("IDX",$D8,"현재가",$E$5-7,"fill=true")*100), "")</f>
        <v>-3.1408078229985099</v>
      </c>
      <c r="I8" s="212">
        <f ca="1">IFERROR( IF(ISERROR($A8),"-",($E8-(_xll.IMDP("IDX",$D8,"현재가",EDATE($E$5,-1),"fill=true")))/_xll.IMDP("IDX",$D8,"현재가",EDATE($E$5,-1),"fill=true")*100),"")</f>
        <v>-3.7857961053837377</v>
      </c>
      <c r="J8" s="212">
        <f ca="1">IFERROR( IF(ISERROR($A8),"-",($E8-(_xll.IMDP("IDX",$D8,"현재가",EDATE($E$5,-3),"fill=true")))/_xll.IMDP("IDX",$D8,"현재가",EDATE($E$5,-3),"fill=true")*100),"")</f>
        <v>1.0097568406115485</v>
      </c>
      <c r="K8" s="212">
        <f ca="1">IFERROR( IF(ISERROR($A8),"-",($E8-(_xll.IMDP("IDX",$D8,"현재가",EDATE($E$5,-6),"fill=true")))/_xll.IMDP("IDX",$D8,"현재가",EDATE($E$5,-6),"fill=true")*100),"")</f>
        <v>2.8002496726106645</v>
      </c>
      <c r="L8" s="212">
        <f ca="1">IFERROR( IF(ISERROR($A8),"-",($E8-(_xll.IMDP("IDX",$D8,"현재가",EDATE($E$5,-12),"fill=true")))/_xll.IMDP("IDX",$D8,"현재가",EDATE($E$5,-12),"fill=true")*100),"")</f>
        <v>0.13431513191097488</v>
      </c>
      <c r="M8" s="5">
        <f ca="1">IF(ISERROR($A8),"-",_xll.IMDP("IDX",$D8,"외국인보유비중(시총)",$E$5,$E$5))</f>
        <v>31.64</v>
      </c>
      <c r="N8" s="9" t="str">
        <f ca="1">IF(ISERROR($A8),"",IF(J8&lt;0,REPT("|",ABS(J8)/MAX(MAX(J$8:J$46), ABS(MIN(J$8:J$46)))*12),""))</f>
        <v/>
      </c>
      <c r="O8" s="19" t="str">
        <f ca="1">IFERROR( IF(ISERROR($A8),"",IF(J8&gt;0,REPT("|",ABS(J8)/MAX(MAX(J$8:J$46), ABS(MIN(J$8:J$46)))*12),"")),"")</f>
        <v/>
      </c>
      <c r="P8" s="6"/>
      <c r="Q8" s="140"/>
      <c r="R8" s="140"/>
      <c r="U8" s="4" t="s">
        <v>187</v>
      </c>
      <c r="V8" s="4" t="s">
        <v>5</v>
      </c>
      <c r="W8" s="4" t="s">
        <v>4</v>
      </c>
      <c r="X8" s="4" t="s">
        <v>87</v>
      </c>
      <c r="Y8" s="4" t="s">
        <v>86</v>
      </c>
      <c r="AF8" s="4" t="s">
        <v>186</v>
      </c>
      <c r="AH8" s="4" t="s">
        <v>201</v>
      </c>
      <c r="AI8" s="4" t="s">
        <v>202</v>
      </c>
      <c r="AJ8" s="4" t="s">
        <v>203</v>
      </c>
      <c r="AK8" s="4" t="s">
        <v>204</v>
      </c>
      <c r="AL8" s="4" t="s">
        <v>201</v>
      </c>
      <c r="AM8" s="4" t="s">
        <v>202</v>
      </c>
      <c r="AN8" s="4" t="s">
        <v>203</v>
      </c>
      <c r="AO8" s="4" t="s">
        <v>205</v>
      </c>
      <c r="AP8" s="4" t="s">
        <v>201</v>
      </c>
      <c r="AQ8" s="4" t="s">
        <v>202</v>
      </c>
      <c r="AR8" s="4" t="s">
        <v>203</v>
      </c>
      <c r="AS8" s="4" t="s">
        <v>226</v>
      </c>
      <c r="AT8" s="4" t="s">
        <v>227</v>
      </c>
      <c r="AU8" s="4" t="s">
        <v>191</v>
      </c>
      <c r="AV8" s="4" t="s">
        <v>228</v>
      </c>
    </row>
    <row r="9" spans="1:48">
      <c r="A9" s="4">
        <f t="shared" si="0"/>
        <v>9</v>
      </c>
      <c r="C9" s="12" t="str">
        <f t="shared" si="1"/>
        <v>KOSPI200</v>
      </c>
      <c r="D9" s="4" t="str">
        <f t="shared" si="2"/>
        <v>211</v>
      </c>
      <c r="E9" s="209">
        <f ca="1">IF(ISERROR($A9),"-",_xll.IMDP("IDX",$D9,"현재가",$E$5))</f>
        <v>330.23</v>
      </c>
      <c r="F9" s="213">
        <f ca="1">IF(ISERROR($A9),"-",_xll.IMDP("IDX",$D9,"전일대비",$E$5))</f>
        <v>-1.05</v>
      </c>
      <c r="G9" s="213">
        <f ca="1">IF(ISERROR($A9),"-",_xll.IMDP("IDX",$D9,"등락률",$E$5))</f>
        <v>-0.32</v>
      </c>
      <c r="H9" s="212">
        <f ca="1">IFERROR( IF(ISERROR($A9),"-",($E9-(_xll.IMDP("IDX",$D9,"현재가",$E$5-7,"fill=true")))/_xll.IMDP("IDX",$D9,"현재가",$E$5-7,"fill=true")*100), "")</f>
        <v>-3.0047582682253311</v>
      </c>
      <c r="I9" s="213">
        <f ca="1">IFERROR( IF(ISERROR($A9),"-",($E9-(_xll.IMDP("IDX",$D9,"현재가",EDATE($E$5,-1),"fill=true")))/_xll.IMDP("IDX",$D9,"현재가",EDATE($E$5,-1),"fill=true")*100),"")</f>
        <v>-4.4887924801156851</v>
      </c>
      <c r="J9" s="213">
        <f ca="1">IFERROR( IF(ISERROR($A9),"-",($E9-(_xll.IMDP("IDX",$D9,"현재가",EDATE($E$5,-3),"fill=true")))/_xll.IMDP("IDX",$D9,"현재가",EDATE($E$5,-3),"fill=true")*100),"")</f>
        <v>1.1083555310615121</v>
      </c>
      <c r="K9" s="213">
        <f ca="1">IFERROR( IF(ISERROR($A9),"-",($E9-(_xll.IMDP("IDX",$D9,"현재가",EDATE($E$5,-6),"fill=true")))/_xll.IMDP("IDX",$D9,"현재가",EDATE($E$5,-6),"fill=true")*100),"")</f>
        <v>2.9459442608641582</v>
      </c>
      <c r="L9" s="213">
        <f ca="1">IFERROR( IF(ISERROR($A9),"-",($E9-(_xll.IMDP("IDX",$D9,"현재가",EDATE($E$5,-12),"fill=true")))/_xll.IMDP("IDX",$D9,"현재가",EDATE($E$5,-12),"fill=true")*100),"")</f>
        <v>9.6996150465276335E-2</v>
      </c>
      <c r="M9" s="5">
        <f ca="1">IF(ISERROR($A9),"-",_xll.IMDP("IDX",$D9,"외국인보유비중(시총)",$E$5,$E$5))</f>
        <v>32.880000000000003</v>
      </c>
      <c r="N9" s="8" t="str">
        <f t="shared" ref="N9:N46" ca="1" si="3">IF(ISERROR($A9),"",IF(J9&lt;0,REPT("|",ABS(J9)/MAX(MAX(J$8:J$46), ABS(MIN(J$8:J$46)))*12),""))</f>
        <v/>
      </c>
      <c r="O9" s="13" t="str">
        <f t="shared" ref="O9:O46" ca="1" si="4">IFERROR( IF(ISERROR($A9),"",IF(J9&gt;0,REPT("|",ABS(J9)/MAX(MAX(J$8:J$46), ABS(MIN(J$8:J$46)))*12),"")),"")</f>
        <v/>
      </c>
      <c r="P9" s="6"/>
      <c r="Q9" s="140"/>
      <c r="R9" s="140"/>
      <c r="V9" s="4" t="s">
        <v>7</v>
      </c>
      <c r="W9" s="4" t="s">
        <v>6</v>
      </c>
      <c r="X9" s="4" t="s">
        <v>89</v>
      </c>
      <c r="Y9" s="4" t="s">
        <v>88</v>
      </c>
      <c r="AF9" s="3">
        <f>$V55</f>
        <v>45155</v>
      </c>
      <c r="AH9" s="4">
        <f>SUM($W55:$W$74)/100</f>
        <v>-30541.14</v>
      </c>
      <c r="AI9" s="4">
        <f>SUM($X55:$X$74)/100</f>
        <v>67856.38</v>
      </c>
      <c r="AJ9" s="4">
        <f>SUM($Y55:$Y$74)/100</f>
        <v>-40568.93</v>
      </c>
      <c r="AL9" s="4">
        <f>SUM($AA55:$AA$74)/100</f>
        <v>7610.65</v>
      </c>
      <c r="AM9" s="4">
        <f>SUM($AB55:$AB$74)/100</f>
        <v>-3504.3</v>
      </c>
      <c r="AN9" s="4">
        <f>SUM($AC55:$AC$74)/100</f>
        <v>649.29</v>
      </c>
      <c r="AP9" s="4">
        <f>SUM($AE55:$AE$74)/100</f>
        <v>5255.73</v>
      </c>
      <c r="AQ9" s="4">
        <f>SUM($AF55:$AF$74)/100</f>
        <v>3845.06</v>
      </c>
      <c r="AR9" s="4">
        <f>SUM($AG55:$AG$74)/100</f>
        <v>-10274.99</v>
      </c>
      <c r="AT9" s="4">
        <f>SUM($AI55:$AI$74)</f>
        <v>-41408</v>
      </c>
      <c r="AU9" s="4">
        <f>SUM($AJ55:$AJ$74)</f>
        <v>13140</v>
      </c>
      <c r="AV9" s="4">
        <f>SUM($AK55:$AK$74)</f>
        <v>22003</v>
      </c>
    </row>
    <row r="10" spans="1:48">
      <c r="A10" s="4">
        <f t="shared" si="0"/>
        <v>10</v>
      </c>
      <c r="C10" s="12" t="str">
        <f t="shared" si="1"/>
        <v>음식료품</v>
      </c>
      <c r="D10" s="4" t="str">
        <f t="shared" si="2"/>
        <v>005</v>
      </c>
      <c r="E10" s="209">
        <f ca="1">IF(ISERROR($A10),"-",_xll.IMDP("IDX",$D10,"현재가",$E$5))</f>
        <v>3576.75</v>
      </c>
      <c r="F10" s="213">
        <f ca="1">IF(ISERROR($A10),"-",_xll.IMDP("IDX",$D10,"전일대비",$E$5))</f>
        <v>-16.47</v>
      </c>
      <c r="G10" s="213">
        <f ca="1">IF(ISERROR($A10),"-",_xll.IMDP("IDX",$D10,"등락률",$E$5))</f>
        <v>-0.46</v>
      </c>
      <c r="H10" s="212">
        <f ca="1">IFERROR( IF(ISERROR($A10),"-",($E10-(_xll.IMDP("IDX",$D10,"현재가",$E$5-7,"fill=true")))/_xll.IMDP("IDX",$D10,"현재가",$E$5-7,"fill=true")*100), "")</f>
        <v>3.0380636593312582</v>
      </c>
      <c r="I10" s="213">
        <f ca="1">IFERROR( IF(ISERROR($A10),"-",($E10-(_xll.IMDP("IDX",$D10,"현재가",EDATE($E$5,-1),"fill=true")))/_xll.IMDP("IDX",$D10,"현재가",EDATE($E$5,-1),"fill=true")*100),"")</f>
        <v>5.7918974956594838</v>
      </c>
      <c r="J10" s="213">
        <f ca="1">IFERROR( IF(ISERROR($A10),"-",($E10-(_xll.IMDP("IDX",$D10,"현재가",EDATE($E$5,-3),"fill=true")))/_xll.IMDP("IDX",$D10,"현재가",EDATE($E$5,-3),"fill=true")*100),"")</f>
        <v>-4.3094522757856817</v>
      </c>
      <c r="K10" s="213">
        <f ca="1">IFERROR( IF(ISERROR($A10),"-",($E10-(_xll.IMDP("IDX",$D10,"현재가",EDATE($E$5,-6),"fill=true")))/_xll.IMDP("IDX",$D10,"현재가",EDATE($E$5,-6),"fill=true")*100),"")</f>
        <v>-3.8037426913167152</v>
      </c>
      <c r="L10" s="214">
        <f ca="1">IFERROR( IF(ISERROR($A10),"-",($E10-(_xll.IMDP("IDX",$D10,"현재가",EDATE($E$5,-12),"fill=true")))/_xll.IMDP("IDX",$D10,"현재가",EDATE($E$5,-12),"fill=true")*100),"")</f>
        <v>-8.2336370190395822</v>
      </c>
      <c r="M10" s="5">
        <f ca="1">IF(ISERROR($A10),"-",_xll.IMDP("IDX",$D10,"외국인보유비중(시총)",$E$5,$E$5))</f>
        <v>18.86</v>
      </c>
      <c r="N10" s="8" t="str">
        <f t="shared" ca="1" si="3"/>
        <v>|</v>
      </c>
      <c r="O10" s="13" t="str">
        <f t="shared" ca="1" si="4"/>
        <v/>
      </c>
      <c r="P10" s="6"/>
      <c r="Q10" s="140"/>
      <c r="R10" s="140"/>
      <c r="V10" s="4" t="s">
        <v>9</v>
      </c>
      <c r="W10" s="4" t="s">
        <v>8</v>
      </c>
      <c r="X10" s="4" t="s">
        <v>91</v>
      </c>
      <c r="Y10" s="4" t="s">
        <v>90</v>
      </c>
      <c r="AF10" s="3">
        <f>$V56</f>
        <v>45154</v>
      </c>
      <c r="AH10" s="4">
        <f>SUM($W56:$W$74)/100</f>
        <v>-30563.85</v>
      </c>
      <c r="AI10" s="4">
        <f>SUM($X56:$X$74)/100</f>
        <v>66995.08</v>
      </c>
      <c r="AJ10" s="4">
        <f>SUM($Y56:$Y$74)/100</f>
        <v>-39590.61</v>
      </c>
      <c r="AL10" s="4">
        <f>SUM($AA56:$AA$74)/100</f>
        <v>7215.69</v>
      </c>
      <c r="AM10" s="4">
        <f>SUM($AB56:$AB$74)/100</f>
        <v>-1499.41</v>
      </c>
      <c r="AN10" s="4">
        <f>SUM($AC56:$AC$74)/100</f>
        <v>-1062.98</v>
      </c>
      <c r="AP10" s="4">
        <f>SUM($AE56:$AE$74)/100</f>
        <v>5126.09</v>
      </c>
      <c r="AQ10" s="4">
        <f>SUM($AF56:$AF$74)/100</f>
        <v>5248.39</v>
      </c>
      <c r="AR10" s="4">
        <f>SUM($AG56:$AG$74)/100</f>
        <v>-10956.65</v>
      </c>
      <c r="AT10" s="4">
        <f>SUM($AI56:$AI$74)</f>
        <v>-36308</v>
      </c>
      <c r="AU10" s="4">
        <f>SUM($AJ56:$AJ$74)</f>
        <v>13423</v>
      </c>
      <c r="AV10" s="4">
        <f>SUM($AK56:$AK$74)</f>
        <v>17193</v>
      </c>
    </row>
    <row r="11" spans="1:48">
      <c r="A11" s="4">
        <f t="shared" si="0"/>
        <v>11</v>
      </c>
      <c r="C11" s="12" t="str">
        <f t="shared" si="1"/>
        <v>섬유.의복</v>
      </c>
      <c r="D11" s="4" t="str">
        <f t="shared" si="2"/>
        <v>006</v>
      </c>
      <c r="E11" s="209">
        <f ca="1">IF(ISERROR($A11),"-",_xll.IMDP("IDX",$D11,"현재가",$E$5))</f>
        <v>322.47000000000003</v>
      </c>
      <c r="F11" s="213">
        <f ca="1">IF(ISERROR($A11),"-",_xll.IMDP("IDX",$D11,"전일대비",$E$5))</f>
        <v>-3.55</v>
      </c>
      <c r="G11" s="213">
        <f ca="1">IF(ISERROR($A11),"-",_xll.IMDP("IDX",$D11,"등락률",$E$5))</f>
        <v>-1.0900000000000001</v>
      </c>
      <c r="H11" s="212">
        <f ca="1">IFERROR( IF(ISERROR($A11),"-",($E11-(_xll.IMDP("IDX",$D11,"현재가",$E$5-7,"fill=true")))/_xll.IMDP("IDX",$D11,"현재가",$E$5-7,"fill=true")*100), "")</f>
        <v>-2.0354224261020106</v>
      </c>
      <c r="I11" s="213">
        <f ca="1">IFERROR( IF(ISERROR($A11),"-",($E11-(_xll.IMDP("IDX",$D11,"현재가",EDATE($E$5,-1),"fill=true")))/_xll.IMDP("IDX",$D11,"현재가",EDATE($E$5,-1),"fill=true")*100),"")</f>
        <v>-5.999125491910795</v>
      </c>
      <c r="J11" s="213">
        <f ca="1">IFERROR( IF(ISERROR($A11),"-",($E11-(_xll.IMDP("IDX",$D11,"현재가",EDATE($E$5,-3),"fill=true")))/_xll.IMDP("IDX",$D11,"현재가",EDATE($E$5,-3),"fill=true")*100),"")</f>
        <v>-19.571506958647173</v>
      </c>
      <c r="K11" s="213">
        <f ca="1">IFERROR( IF(ISERROR($A11),"-",($E11-(_xll.IMDP("IDX",$D11,"현재가",EDATE($E$5,-6),"fill=true")))/_xll.IMDP("IDX",$D11,"현재가",EDATE($E$5,-6),"fill=true")*100),"")</f>
        <v>-23.354645497112159</v>
      </c>
      <c r="L11" s="213">
        <f ca="1">IFERROR( IF(ISERROR($A11),"-",($E11-(_xll.IMDP("IDX",$D11,"현재가",EDATE($E$5,-12),"fill=true")))/_xll.IMDP("IDX",$D11,"현재가",EDATE($E$5,-12),"fill=true")*100),"")</f>
        <v>-24.380921114341987</v>
      </c>
      <c r="M11" s="5">
        <f ca="1">IF(ISERROR($A11),"-",_xll.IMDP("IDX",$D11,"외국인보유비중(시총)",$E$5,$E$5))</f>
        <v>11.29</v>
      </c>
      <c r="N11" s="8" t="str">
        <f t="shared" ca="1" si="3"/>
        <v>|||||||</v>
      </c>
      <c r="O11" s="13" t="str">
        <f t="shared" ca="1" si="4"/>
        <v/>
      </c>
      <c r="P11" s="6"/>
      <c r="Q11" s="140"/>
      <c r="R11" s="140"/>
      <c r="V11" s="4" t="s">
        <v>11</v>
      </c>
      <c r="W11" s="4" t="s">
        <v>10</v>
      </c>
      <c r="X11" s="4" t="s">
        <v>93</v>
      </c>
      <c r="Y11" s="4" t="s">
        <v>92</v>
      </c>
      <c r="AF11" s="3">
        <f t="shared" ref="AF11:AF28" si="5">$V57</f>
        <v>45152</v>
      </c>
      <c r="AH11" s="4">
        <f>SUM($W57:$W$74)/100</f>
        <v>-30530.84</v>
      </c>
      <c r="AI11" s="4">
        <f>SUM($X57:$X$74)/100</f>
        <v>63770.559999999998</v>
      </c>
      <c r="AJ11" s="4">
        <f>SUM($Y57:$Y$74)/100</f>
        <v>-36008.769999999997</v>
      </c>
      <c r="AL11" s="4">
        <f>SUM($AA57:$AA$74)/100</f>
        <v>8853.74</v>
      </c>
      <c r="AM11" s="4">
        <f>SUM($AB57:$AB$74)/100</f>
        <v>-2092.2199999999998</v>
      </c>
      <c r="AN11" s="4">
        <f>SUM($AC57:$AC$74)/100</f>
        <v>-2298.0700000000002</v>
      </c>
      <c r="AP11" s="4">
        <f>SUM($AE57:$AE$74)/100</f>
        <v>4840.34</v>
      </c>
      <c r="AQ11" s="4">
        <f>SUM($AF57:$AF$74)/100</f>
        <v>4910.5200000000004</v>
      </c>
      <c r="AR11" s="4">
        <f>SUM($AG57:$AG$74)/100</f>
        <v>-10145.370000000001</v>
      </c>
      <c r="AT11" s="4">
        <f>SUM($AI57:$AI$74)</f>
        <v>-27114</v>
      </c>
      <c r="AU11" s="4">
        <f>SUM($AJ57:$AJ$74)</f>
        <v>9133</v>
      </c>
      <c r="AV11" s="4">
        <f>SUM($AK57:$AK$74)</f>
        <v>13324</v>
      </c>
    </row>
    <row r="12" spans="1:48">
      <c r="A12" s="4">
        <f t="shared" si="0"/>
        <v>12</v>
      </c>
      <c r="C12" s="12" t="str">
        <f t="shared" si="1"/>
        <v>종이.목재</v>
      </c>
      <c r="D12" s="4" t="str">
        <f t="shared" si="2"/>
        <v>007</v>
      </c>
      <c r="E12" s="209">
        <f ca="1">IF(ISERROR($A12),"-",_xll.IMDP("IDX",$D12,"현재가",$E$5))</f>
        <v>517.35</v>
      </c>
      <c r="F12" s="213">
        <f ca="1">IF(ISERROR($A12),"-",_xll.IMDP("IDX",$D12,"전일대비",$E$5))</f>
        <v>-6.18</v>
      </c>
      <c r="G12" s="213">
        <f ca="1">IF(ISERROR($A12),"-",_xll.IMDP("IDX",$D12,"등락률",$E$5))</f>
        <v>-1.18</v>
      </c>
      <c r="H12" s="212">
        <f ca="1">IFERROR( IF(ISERROR($A12),"-",($E12-(_xll.IMDP("IDX",$D12,"현재가",$E$5-7,"fill=true")))/_xll.IMDP("IDX",$D12,"현재가",$E$5-7,"fill=true")*100), "")</f>
        <v>-6.0866250363055423</v>
      </c>
      <c r="I12" s="213">
        <f ca="1">IFERROR( IF(ISERROR($A12),"-",($E12-(_xll.IMDP("IDX",$D12,"현재가",EDATE($E$5,-1),"fill=true")))/_xll.IMDP("IDX",$D12,"현재가",EDATE($E$5,-1),"fill=true")*100),"")</f>
        <v>16.028976406207953</v>
      </c>
      <c r="J12" s="213">
        <f ca="1">IFERROR( IF(ISERROR($A12),"-",($E12-(_xll.IMDP("IDX",$D12,"현재가",EDATE($E$5,-3),"fill=true")))/_xll.IMDP("IDX",$D12,"현재가",EDATE($E$5,-3),"fill=true")*100),"")</f>
        <v>32.494173688119446</v>
      </c>
      <c r="K12" s="213">
        <f ca="1">IFERROR( IF(ISERROR($A12),"-",($E12-(_xll.IMDP("IDX",$D12,"현재가",EDATE($E$5,-6),"fill=true")))/_xll.IMDP("IDX",$D12,"현재가",EDATE($E$5,-6),"fill=true")*100),"")</f>
        <v>45.609344216155364</v>
      </c>
      <c r="L12" s="213">
        <f ca="1">IFERROR( IF(ISERROR($A12),"-",($E12-(_xll.IMDP("IDX",$D12,"현재가",EDATE($E$5,-12),"fill=true")))/_xll.IMDP("IDX",$D12,"현재가",EDATE($E$5,-12),"fill=true")*100),"")</f>
        <v>42.340285038243564</v>
      </c>
      <c r="M12" s="5">
        <f ca="1">IF(ISERROR($A12),"-",_xll.IMDP("IDX",$D12,"외국인보유비중(시총)",$E$5,$E$5))</f>
        <v>2.69</v>
      </c>
      <c r="N12" s="8" t="str">
        <f t="shared" ca="1" si="3"/>
        <v/>
      </c>
      <c r="O12" s="13" t="str">
        <f t="shared" ca="1" si="4"/>
        <v>||||||||||||</v>
      </c>
      <c r="P12" s="6"/>
      <c r="Q12" s="140"/>
      <c r="R12" s="140"/>
      <c r="V12" s="4" t="s">
        <v>13</v>
      </c>
      <c r="W12" s="4" t="s">
        <v>12</v>
      </c>
      <c r="X12" s="4" t="s">
        <v>95</v>
      </c>
      <c r="Y12" s="4" t="s">
        <v>94</v>
      </c>
      <c r="AF12" s="3">
        <f t="shared" si="5"/>
        <v>45149</v>
      </c>
      <c r="AH12" s="4">
        <f>SUM($W58:$W$74)/100</f>
        <v>-29346.71</v>
      </c>
      <c r="AI12" s="4">
        <f>SUM($X58:$X$74)/100</f>
        <v>59493.59</v>
      </c>
      <c r="AJ12" s="4">
        <f>SUM($Y58:$Y$74)/100</f>
        <v>-32680.97</v>
      </c>
      <c r="AL12" s="4">
        <f>SUM($AA58:$AA$74)/100</f>
        <v>10173.18</v>
      </c>
      <c r="AM12" s="4">
        <f>SUM($AB58:$AB$74)/100</f>
        <v>-4038.2</v>
      </c>
      <c r="AN12" s="4">
        <f>SUM($AC58:$AC$74)/100</f>
        <v>-1917.25</v>
      </c>
      <c r="AP12" s="4">
        <f>SUM($AE58:$AE$74)/100</f>
        <v>4893.8599999999997</v>
      </c>
      <c r="AQ12" s="4">
        <f>SUM($AF58:$AF$74)/100</f>
        <v>4532.47</v>
      </c>
      <c r="AR12" s="4">
        <f>SUM($AG58:$AG$74)/100</f>
        <v>-10092.14</v>
      </c>
      <c r="AT12" s="4">
        <f>SUM($AI58:$AI$74)</f>
        <v>-24681</v>
      </c>
      <c r="AU12" s="4">
        <f>SUM($AJ58:$AJ$74)</f>
        <v>8720</v>
      </c>
      <c r="AV12" s="4">
        <f>SUM($AK58:$AK$74)</f>
        <v>10276</v>
      </c>
    </row>
    <row r="13" spans="1:48">
      <c r="A13" s="4">
        <f t="shared" si="0"/>
        <v>13</v>
      </c>
      <c r="C13" s="12" t="str">
        <f t="shared" si="1"/>
        <v>화학</v>
      </c>
      <c r="D13" s="4" t="str">
        <f t="shared" si="2"/>
        <v>008</v>
      </c>
      <c r="E13" s="209">
        <f ca="1">IF(ISERROR($A13),"-",_xll.IMDP("IDX",$D13,"현재가",$E$5))</f>
        <v>5183.71</v>
      </c>
      <c r="F13" s="213">
        <f ca="1">IF(ISERROR($A13),"-",_xll.IMDP("IDX",$D13,"전일대비",$E$5))</f>
        <v>-3.14</v>
      </c>
      <c r="G13" s="213">
        <f ca="1">IF(ISERROR($A13),"-",_xll.IMDP("IDX",$D13,"등락률",$E$5))</f>
        <v>-0.06</v>
      </c>
      <c r="H13" s="212">
        <f ca="1">IFERROR( IF(ISERROR($A13),"-",($E13-(_xll.IMDP("IDX",$D13,"현재가",$E$5-7,"fill=true")))/_xll.IMDP("IDX",$D13,"현재가",$E$5-7,"fill=true")*100), "")</f>
        <v>-5.9180221351850655</v>
      </c>
      <c r="I13" s="213">
        <f ca="1">IFERROR( IF(ISERROR($A13),"-",($E13-(_xll.IMDP("IDX",$D13,"현재가",EDATE($E$5,-1),"fill=true")))/_xll.IMDP("IDX",$D13,"현재가",EDATE($E$5,-1),"fill=true")*100),"")</f>
        <v>-5.9562556013947772</v>
      </c>
      <c r="J13" s="213">
        <f ca="1">IFERROR( IF(ISERROR($A13),"-",($E13-(_xll.IMDP("IDX",$D13,"현재가",EDATE($E$5,-3),"fill=true")))/_xll.IMDP("IDX",$D13,"현재가",EDATE($E$5,-3),"fill=true")*100),"")</f>
        <v>-6.5903947064928996</v>
      </c>
      <c r="K13" s="213">
        <f ca="1">IFERROR( IF(ISERROR($A13),"-",($E13-(_xll.IMDP("IDX",$D13,"현재가",EDATE($E$5,-6),"fill=true")))/_xll.IMDP("IDX",$D13,"현재가",EDATE($E$5,-6),"fill=true")*100),"")</f>
        <v>-6.3009959691267676</v>
      </c>
      <c r="L13" s="213">
        <f ca="1">IFERROR( IF(ISERROR($A13),"-",($E13-(_xll.IMDP("IDX",$D13,"현재가",EDATE($E$5,-12),"fill=true")))/_xll.IMDP("IDX",$D13,"현재가",EDATE($E$5,-12),"fill=true")*100),"")</f>
        <v>-9.2106277147260798</v>
      </c>
      <c r="M13" s="5">
        <f ca="1">IF(ISERROR($A13),"-",_xll.IMDP("IDX",$D13,"외국인보유비중(시총)",$E$5,$E$5))</f>
        <v>28.3</v>
      </c>
      <c r="N13" s="8" t="str">
        <f t="shared" ca="1" si="3"/>
        <v>||</v>
      </c>
      <c r="O13" s="13" t="str">
        <f t="shared" ca="1" si="4"/>
        <v/>
      </c>
      <c r="P13" s="6"/>
      <c r="Q13" s="140"/>
      <c r="R13" s="140"/>
      <c r="V13" s="4" t="s">
        <v>15</v>
      </c>
      <c r="W13" s="4" t="s">
        <v>14</v>
      </c>
      <c r="X13" s="4" t="s">
        <v>97</v>
      </c>
      <c r="Y13" s="4" t="s">
        <v>96</v>
      </c>
      <c r="AF13" s="3">
        <f t="shared" si="5"/>
        <v>45148</v>
      </c>
      <c r="AH13" s="4">
        <f>SUM($W59:$W$74)/100</f>
        <v>-27435.11</v>
      </c>
      <c r="AI13" s="4">
        <f>SUM($X59:$X$74)/100</f>
        <v>57664.32</v>
      </c>
      <c r="AJ13" s="4">
        <f>SUM($Y59:$Y$74)/100</f>
        <v>-32618.720000000001</v>
      </c>
      <c r="AL13" s="4">
        <f>SUM($AA59:$AA$74)/100</f>
        <v>10395.620000000001</v>
      </c>
      <c r="AM13" s="4">
        <f>SUM($AB59:$AB$74)/100</f>
        <v>-4304.8500000000004</v>
      </c>
      <c r="AN13" s="4">
        <f>SUM($AC59:$AC$74)/100</f>
        <v>-1844.11</v>
      </c>
      <c r="AP13" s="4">
        <f>SUM($AE59:$AE$74)/100</f>
        <v>4833.43</v>
      </c>
      <c r="AQ13" s="4">
        <f>SUM($AF59:$AF$74)/100</f>
        <v>4091.29</v>
      </c>
      <c r="AR13" s="4">
        <f>SUM($AG59:$AG$74)/100</f>
        <v>-9584.33</v>
      </c>
      <c r="AT13" s="4">
        <f>SUM($AI59:$AI$74)</f>
        <v>-28565</v>
      </c>
      <c r="AU13" s="4">
        <f>SUM($AJ59:$AJ$74)</f>
        <v>10375</v>
      </c>
      <c r="AV13" s="4">
        <f>SUM($AK59:$AK$74)</f>
        <v>11106</v>
      </c>
    </row>
    <row r="14" spans="1:48">
      <c r="A14" s="4">
        <f t="shared" si="0"/>
        <v>14</v>
      </c>
      <c r="C14" s="12" t="str">
        <f t="shared" si="1"/>
        <v>의약품</v>
      </c>
      <c r="D14" s="4" t="str">
        <f t="shared" si="2"/>
        <v>009</v>
      </c>
      <c r="E14" s="209">
        <f ca="1">IF(ISERROR($A14),"-",_xll.IMDP("IDX",$D14,"현재가",$E$5))</f>
        <v>13017.73</v>
      </c>
      <c r="F14" s="213">
        <f ca="1">IF(ISERROR($A14),"-",_xll.IMDP("IDX",$D14,"전일대비",$E$5))</f>
        <v>-168.74</v>
      </c>
      <c r="G14" s="213">
        <f ca="1">IF(ISERROR($A14),"-",_xll.IMDP("IDX",$D14,"등락률",$E$5))</f>
        <v>-1.28</v>
      </c>
      <c r="H14" s="212">
        <f ca="1">IFERROR( IF(ISERROR($A14),"-",($E14-(_xll.IMDP("IDX",$D14,"현재가",$E$5-7,"fill=true")))/_xll.IMDP("IDX",$D14,"현재가",$E$5-7,"fill=true")*100), "")</f>
        <v>-5.106897278163272</v>
      </c>
      <c r="I14" s="213">
        <f ca="1">IFERROR( IF(ISERROR($A14),"-",($E14-(_xll.IMDP("IDX",$D14,"현재가",EDATE($E$5,-1),"fill=true")))/_xll.IMDP("IDX",$D14,"현재가",EDATE($E$5,-1),"fill=true")*100),"")</f>
        <v>3.5819175862955195</v>
      </c>
      <c r="J14" s="213">
        <f ca="1">IFERROR( IF(ISERROR($A14),"-",($E14-(_xll.IMDP("IDX",$D14,"현재가",EDATE($E$5,-3),"fill=true")))/_xll.IMDP("IDX",$D14,"현재가",EDATE($E$5,-3),"fill=true")*100),"")</f>
        <v>-3.5366432011856275</v>
      </c>
      <c r="K14" s="213">
        <f ca="1">IFERROR( IF(ISERROR($A14),"-",($E14-(_xll.IMDP("IDX",$D14,"현재가",EDATE($E$5,-6),"fill=true")))/_xll.IMDP("IDX",$D14,"현재가",EDATE($E$5,-6),"fill=true")*100),"")</f>
        <v>-1.7459365011076244</v>
      </c>
      <c r="L14" s="213">
        <f ca="1">IFERROR( IF(ISERROR($A14),"-",($E14-(_xll.IMDP("IDX",$D14,"현재가",EDATE($E$5,-12),"fill=true")))/_xll.IMDP("IDX",$D14,"현재가",EDATE($E$5,-12),"fill=true")*100),"")</f>
        <v>-18.201822871666952</v>
      </c>
      <c r="M14" s="5">
        <f ca="1">IF(ISERROR($A14),"-",_xll.IMDP("IDX",$D14,"외국인보유비중(시총)",$E$5,$E$5))</f>
        <v>12.38</v>
      </c>
      <c r="N14" s="8" t="str">
        <f t="shared" ca="1" si="3"/>
        <v>|</v>
      </c>
      <c r="O14" s="13" t="str">
        <f t="shared" ca="1" si="4"/>
        <v/>
      </c>
      <c r="P14" s="6"/>
      <c r="Q14" s="140"/>
      <c r="R14" s="140"/>
      <c r="V14" s="4" t="s">
        <v>17</v>
      </c>
      <c r="W14" s="4" t="s">
        <v>16</v>
      </c>
      <c r="X14" s="4" t="s">
        <v>99</v>
      </c>
      <c r="Y14" s="4" t="s">
        <v>98</v>
      </c>
      <c r="AF14" s="3">
        <f t="shared" si="5"/>
        <v>45147</v>
      </c>
      <c r="AH14" s="4">
        <f>SUM($W60:$W$74)/100</f>
        <v>-25111.09</v>
      </c>
      <c r="AI14" s="4">
        <f>SUM($X60:$X$74)/100</f>
        <v>55063.99</v>
      </c>
      <c r="AJ14" s="4">
        <f>SUM($Y60:$Y$74)/100</f>
        <v>-31711.85</v>
      </c>
      <c r="AL14" s="4">
        <f>SUM($AA60:$AA$74)/100</f>
        <v>11370.78</v>
      </c>
      <c r="AM14" s="4">
        <f>SUM($AB60:$AB$74)/100</f>
        <v>-6224.11</v>
      </c>
      <c r="AN14" s="4">
        <f>SUM($AC60:$AC$74)/100</f>
        <v>-1716.79</v>
      </c>
      <c r="AP14" s="4">
        <f>SUM($AE60:$AE$74)/100</f>
        <v>4626</v>
      </c>
      <c r="AQ14" s="4">
        <f>SUM($AF60:$AF$74)/100</f>
        <v>3989.16</v>
      </c>
      <c r="AR14" s="4">
        <f>SUM($AG60:$AG$74)/100</f>
        <v>-9297.06</v>
      </c>
      <c r="AT14" s="4">
        <f>SUM($AI60:$AI$74)</f>
        <v>-21145</v>
      </c>
      <c r="AU14" s="4">
        <f>SUM($AJ60:$AJ$74)</f>
        <v>9063</v>
      </c>
      <c r="AV14" s="4">
        <f>SUM($AK60:$AK$74)</f>
        <v>3810</v>
      </c>
    </row>
    <row r="15" spans="1:48">
      <c r="A15" s="4">
        <f t="shared" si="0"/>
        <v>15</v>
      </c>
      <c r="C15" s="12" t="str">
        <f t="shared" si="1"/>
        <v>비금속광물</v>
      </c>
      <c r="D15" s="4" t="str">
        <f t="shared" si="2"/>
        <v>010</v>
      </c>
      <c r="E15" s="209">
        <f ca="1">IF(ISERROR($A15),"-",_xll.IMDP("IDX",$D15,"현재가",$E$5))</f>
        <v>3905.63</v>
      </c>
      <c r="F15" s="213">
        <f ca="1">IF(ISERROR($A15),"-",_xll.IMDP("IDX",$D15,"전일대비",$E$5))</f>
        <v>-19.25</v>
      </c>
      <c r="G15" s="213">
        <f ca="1">IF(ISERROR($A15),"-",_xll.IMDP("IDX",$D15,"등락률",$E$5))</f>
        <v>-0.49</v>
      </c>
      <c r="H15" s="212">
        <f ca="1">IFERROR( IF(ISERROR($A15),"-",($E15-(_xll.IMDP("IDX",$D15,"현재가",$E$5-7,"fill=true")))/_xll.IMDP("IDX",$D15,"현재가",$E$5-7,"fill=true")*100), "")</f>
        <v>-2.8239942475112771</v>
      </c>
      <c r="I15" s="213">
        <f ca="1">IFERROR( IF(ISERROR($A15),"-",($E15-(_xll.IMDP("IDX",$D15,"현재가",EDATE($E$5,-1),"fill=true")))/_xll.IMDP("IDX",$D15,"현재가",EDATE($E$5,-1),"fill=true")*100),"")</f>
        <v>-3.3113910763753878</v>
      </c>
      <c r="J15" s="213">
        <f ca="1">IFERROR( IF(ISERROR($A15),"-",($E15-(_xll.IMDP("IDX",$D15,"현재가",EDATE($E$5,-3),"fill=true")))/_xll.IMDP("IDX",$D15,"현재가",EDATE($E$5,-3),"fill=true")*100),"")</f>
        <v>-3.1620367156274423</v>
      </c>
      <c r="K15" s="213">
        <f ca="1">IFERROR( IF(ISERROR($A15),"-",($E15-(_xll.IMDP("IDX",$D15,"현재가",EDATE($E$5,-6),"fill=true")))/_xll.IMDP("IDX",$D15,"현재가",EDATE($E$5,-6),"fill=true")*100),"")</f>
        <v>26.827993128687737</v>
      </c>
      <c r="L15" s="213">
        <f ca="1">IFERROR( IF(ISERROR($A15),"-",($E15-(_xll.IMDP("IDX",$D15,"현재가",EDATE($E$5,-12),"fill=true")))/_xll.IMDP("IDX",$D15,"현재가",EDATE($E$5,-12),"fill=true")*100),"")</f>
        <v>48.420648613317326</v>
      </c>
      <c r="M15" s="5">
        <f ca="1">IF(ISERROR($A15),"-",_xll.IMDP("IDX",$D15,"외국인보유비중(시총)",$E$5,$E$5))</f>
        <v>3.32</v>
      </c>
      <c r="N15" s="8" t="str">
        <f t="shared" ca="1" si="3"/>
        <v>|</v>
      </c>
      <c r="O15" s="13" t="str">
        <f t="shared" ca="1" si="4"/>
        <v/>
      </c>
      <c r="P15" s="6"/>
      <c r="Q15" s="140"/>
      <c r="R15" s="140"/>
      <c r="V15" s="4" t="s">
        <v>19</v>
      </c>
      <c r="W15" s="4" t="s">
        <v>18</v>
      </c>
      <c r="X15" s="4" t="s">
        <v>101</v>
      </c>
      <c r="Y15" s="4" t="s">
        <v>100</v>
      </c>
      <c r="AF15" s="3">
        <f t="shared" si="5"/>
        <v>45146</v>
      </c>
      <c r="AH15" s="4">
        <f>SUM($W61:$W$74)/100</f>
        <v>-28751.68</v>
      </c>
      <c r="AI15" s="4">
        <f>SUM($X61:$X$74)/100</f>
        <v>55940.08</v>
      </c>
      <c r="AJ15" s="4">
        <f>SUM($Y61:$Y$74)/100</f>
        <v>-28769.09</v>
      </c>
      <c r="AL15" s="4">
        <f>SUM($AA61:$AA$74)/100</f>
        <v>8826.75</v>
      </c>
      <c r="AM15" s="4">
        <f>SUM($AB61:$AB$74)/100</f>
        <v>-3008.21</v>
      </c>
      <c r="AN15" s="4">
        <f>SUM($AC61:$AC$74)/100</f>
        <v>-2404.17</v>
      </c>
      <c r="AP15" s="4">
        <f>SUM($AE61:$AE$74)/100</f>
        <v>4724.9399999999996</v>
      </c>
      <c r="AQ15" s="4">
        <f>SUM($AF61:$AF$74)/100</f>
        <v>3854.91</v>
      </c>
      <c r="AR15" s="4">
        <f>SUM($AG61:$AG$74)/100</f>
        <v>-9199.9500000000007</v>
      </c>
      <c r="AT15" s="4">
        <f>SUM($AI61:$AI$74)</f>
        <v>-27890</v>
      </c>
      <c r="AU15" s="4">
        <f>SUM($AJ61:$AJ$74)</f>
        <v>10814</v>
      </c>
      <c r="AV15" s="4">
        <f>SUM($AK61:$AK$74)</f>
        <v>9864</v>
      </c>
    </row>
    <row r="16" spans="1:48">
      <c r="A16" s="4">
        <f t="shared" si="0"/>
        <v>16</v>
      </c>
      <c r="C16" s="12" t="str">
        <f t="shared" si="1"/>
        <v>철강.금속</v>
      </c>
      <c r="D16" s="4" t="str">
        <f t="shared" si="2"/>
        <v>011</v>
      </c>
      <c r="E16" s="209">
        <f ca="1">IF(ISERROR($A16),"-",_xll.IMDP("IDX",$D16,"현재가",$E$5))</f>
        <v>6398.87</v>
      </c>
      <c r="F16" s="213">
        <f ca="1">IF(ISERROR($A16),"-",_xll.IMDP("IDX",$D16,"전일대비",$E$5))</f>
        <v>13.6</v>
      </c>
      <c r="G16" s="213">
        <f ca="1">IF(ISERROR($A16),"-",_xll.IMDP("IDX",$D16,"등락률",$E$5))</f>
        <v>0.21</v>
      </c>
      <c r="H16" s="212">
        <f ca="1">IFERROR( IF(ISERROR($A16),"-",($E16-(_xll.IMDP("IDX",$D16,"현재가",$E$5-7,"fill=true")))/_xll.IMDP("IDX",$D16,"현재가",$E$5-7,"fill=true")*100), "")</f>
        <v>-6.4613032241466044</v>
      </c>
      <c r="I16" s="213">
        <f ca="1">IFERROR( IF(ISERROR($A16),"-",($E16-(_xll.IMDP("IDX",$D16,"현재가",EDATE($E$5,-1),"fill=true")))/_xll.IMDP("IDX",$D16,"현재가",EDATE($E$5,-1),"fill=true")*100),"")</f>
        <v>7.1790843279857102</v>
      </c>
      <c r="J16" s="213">
        <f ca="1">IFERROR( IF(ISERROR($A16),"-",($E16-(_xll.IMDP("IDX",$D16,"현재가",EDATE($E$5,-3),"fill=true")))/_xll.IMDP("IDX",$D16,"현재가",EDATE($E$5,-3),"fill=true")*100),"")</f>
        <v>23.694598230854883</v>
      </c>
      <c r="K16" s="213">
        <f ca="1">IFERROR( IF(ISERROR($A16),"-",($E16-(_xll.IMDP("IDX",$D16,"현재가",EDATE($E$5,-6),"fill=true")))/_xll.IMDP("IDX",$D16,"현재가",EDATE($E$5,-6),"fill=true")*100),"")</f>
        <v>29.009996008048429</v>
      </c>
      <c r="L16" s="213">
        <f ca="1">IFERROR( IF(ISERROR($A16),"-",($E16-(_xll.IMDP("IDX",$D16,"현재가",EDATE($E$5,-12),"fill=true")))/_xll.IMDP("IDX",$D16,"현재가",EDATE($E$5,-12),"fill=true")*100),"")</f>
        <v>43.652792744252885</v>
      </c>
      <c r="M16" s="5">
        <f ca="1">IF(ISERROR($A16),"-",_xll.IMDP("IDX",$D16,"외국인보유비중(시총)",$E$5,$E$5))</f>
        <v>24.59</v>
      </c>
      <c r="N16" s="8" t="str">
        <f t="shared" ca="1" si="3"/>
        <v/>
      </c>
      <c r="O16" s="13" t="str">
        <f t="shared" ca="1" si="4"/>
        <v>||||||||</v>
      </c>
      <c r="P16" s="6"/>
      <c r="Q16" s="140"/>
      <c r="R16" s="140"/>
      <c r="V16" s="4" t="s">
        <v>21</v>
      </c>
      <c r="W16" s="4" t="s">
        <v>20</v>
      </c>
      <c r="X16" s="4" t="s">
        <v>103</v>
      </c>
      <c r="Y16" s="4" t="s">
        <v>102</v>
      </c>
      <c r="AF16" s="3">
        <f t="shared" si="5"/>
        <v>45145</v>
      </c>
      <c r="AH16" s="4">
        <f>SUM($W62:$W$74)/100</f>
        <v>-27355.15</v>
      </c>
      <c r="AI16" s="4">
        <f>SUM($X62:$X$74)/100</f>
        <v>50371</v>
      </c>
      <c r="AJ16" s="4">
        <f>SUM($Y62:$Y$74)/100</f>
        <v>-24371.9</v>
      </c>
      <c r="AL16" s="4">
        <f>SUM($AA62:$AA$74)/100</f>
        <v>8682.07</v>
      </c>
      <c r="AM16" s="4">
        <f>SUM($AB62:$AB$74)/100</f>
        <v>-3125.09</v>
      </c>
      <c r="AN16" s="4">
        <f>SUM($AC62:$AC$74)/100</f>
        <v>-2198.31</v>
      </c>
      <c r="AP16" s="4">
        <f>SUM($AE62:$AE$74)/100</f>
        <v>4588.1400000000003</v>
      </c>
      <c r="AQ16" s="4">
        <f>SUM($AF62:$AF$74)/100</f>
        <v>3495.43</v>
      </c>
      <c r="AR16" s="4">
        <f>SUM($AG62:$AG$74)/100</f>
        <v>-8540.98</v>
      </c>
      <c r="AT16" s="4">
        <f>SUM($AI62:$AI$74)</f>
        <v>-26483</v>
      </c>
      <c r="AU16" s="4">
        <f>SUM($AJ62:$AJ$74)</f>
        <v>12013</v>
      </c>
      <c r="AV16" s="4">
        <f>SUM($AK62:$AK$74)</f>
        <v>7172</v>
      </c>
    </row>
    <row r="17" spans="1:48">
      <c r="A17" s="4">
        <f t="shared" si="0"/>
        <v>17</v>
      </c>
      <c r="C17" s="12" t="str">
        <f t="shared" si="1"/>
        <v>기계</v>
      </c>
      <c r="D17" s="4" t="str">
        <f t="shared" si="2"/>
        <v>012</v>
      </c>
      <c r="E17" s="209">
        <f ca="1">IF(ISERROR($A17),"-",_xll.IMDP("IDX",$D17,"현재가",$E$5))</f>
        <v>1144.69</v>
      </c>
      <c r="F17" s="213">
        <f ca="1">IF(ISERROR($A17),"-",_xll.IMDP("IDX",$D17,"전일대비",$E$5))</f>
        <v>1.53</v>
      </c>
      <c r="G17" s="213">
        <f ca="1">IF(ISERROR($A17),"-",_xll.IMDP("IDX",$D17,"등락률",$E$5))</f>
        <v>0.13</v>
      </c>
      <c r="H17" s="212">
        <f ca="1">IFERROR( IF(ISERROR($A17),"-",($E17-(_xll.IMDP("IDX",$D17,"현재가",$E$5-7,"fill=true")))/_xll.IMDP("IDX",$D17,"현재가",$E$5-7,"fill=true")*100), "")</f>
        <v>-2.6309521784249874</v>
      </c>
      <c r="I17" s="213">
        <f ca="1">IFERROR( IF(ISERROR($A17),"-",($E17-(_xll.IMDP("IDX",$D17,"현재가",EDATE($E$5,-1),"fill=true")))/_xll.IMDP("IDX",$D17,"현재가",EDATE($E$5,-1),"fill=true")*100),"")</f>
        <v>-6.9039834740317731</v>
      </c>
      <c r="J17" s="213">
        <f ca="1">IFERROR( IF(ISERROR($A17),"-",($E17-(_xll.IMDP("IDX",$D17,"현재가",EDATE($E$5,-3),"fill=true")))/_xll.IMDP("IDX",$D17,"현재가",EDATE($E$5,-3),"fill=true")*100),"")</f>
        <v>10.141538935234641</v>
      </c>
      <c r="K17" s="213">
        <f ca="1">IFERROR( IF(ISERROR($A17),"-",($E17-(_xll.IMDP("IDX",$D17,"현재가",EDATE($E$5,-6),"fill=true")))/_xll.IMDP("IDX",$D17,"현재가",EDATE($E$5,-6),"fill=true")*100),"")</f>
        <v>20.296145277228984</v>
      </c>
      <c r="L17" s="213">
        <f ca="1">IFERROR( IF(ISERROR($A17),"-",($E17-(_xll.IMDP("IDX",$D17,"현재가",EDATE($E$5,-12),"fill=true")))/_xll.IMDP("IDX",$D17,"현재가",EDATE($E$5,-12),"fill=true")*100),"")</f>
        <v>8.1099714776827145</v>
      </c>
      <c r="M17" s="5">
        <f ca="1">IF(ISERROR($A17),"-",_xll.IMDP("IDX",$D17,"외국인보유비중(시총)",$E$5,$E$5))</f>
        <v>16.739999999999998</v>
      </c>
      <c r="N17" s="8" t="str">
        <f t="shared" ca="1" si="3"/>
        <v/>
      </c>
      <c r="O17" s="13" t="str">
        <f t="shared" ca="1" si="4"/>
        <v>|||</v>
      </c>
      <c r="P17" s="6"/>
      <c r="Q17" s="140"/>
      <c r="R17" s="140"/>
      <c r="V17" s="4" t="s">
        <v>23</v>
      </c>
      <c r="W17" s="4" t="s">
        <v>22</v>
      </c>
      <c r="X17" s="4" t="s">
        <v>105</v>
      </c>
      <c r="Y17" s="4" t="s">
        <v>104</v>
      </c>
      <c r="AF17" s="3">
        <f t="shared" si="5"/>
        <v>45142</v>
      </c>
      <c r="AH17" s="4">
        <f>SUM($W63:$W$74)/100</f>
        <v>-30185.38</v>
      </c>
      <c r="AI17" s="4">
        <f>SUM($X63:$X$74)/100</f>
        <v>50089.82</v>
      </c>
      <c r="AJ17" s="4">
        <f>SUM($Y63:$Y$74)/100</f>
        <v>-21086.25</v>
      </c>
      <c r="AL17" s="4">
        <f>SUM($AA63:$AA$74)/100</f>
        <v>10664.49</v>
      </c>
      <c r="AM17" s="4">
        <f>SUM($AB63:$AB$74)/100</f>
        <v>-6443.45</v>
      </c>
      <c r="AN17" s="4">
        <f>SUM($AC63:$AC$74)/100</f>
        <v>-1133.1099999999999</v>
      </c>
      <c r="AP17" s="4">
        <f>SUM($AE63:$AE$74)/100</f>
        <v>2279.2199999999998</v>
      </c>
      <c r="AQ17" s="4">
        <f>SUM($AF63:$AF$74)/100</f>
        <v>2903.55</v>
      </c>
      <c r="AR17" s="4">
        <f>SUM($AG63:$AG$74)/100</f>
        <v>-5540.07</v>
      </c>
      <c r="AT17" s="4">
        <f>SUM($AI63:$AI$74)</f>
        <v>-29832</v>
      </c>
      <c r="AU17" s="4">
        <f>SUM($AJ63:$AJ$74)</f>
        <v>12793</v>
      </c>
      <c r="AV17" s="4">
        <f>SUM($AK63:$AK$74)</f>
        <v>9639</v>
      </c>
    </row>
    <row r="18" spans="1:48">
      <c r="A18" s="4">
        <f t="shared" si="0"/>
        <v>18</v>
      </c>
      <c r="C18" s="12" t="str">
        <f t="shared" si="1"/>
        <v>전기.전자</v>
      </c>
      <c r="D18" s="4" t="str">
        <f t="shared" si="2"/>
        <v>013</v>
      </c>
      <c r="E18" s="209">
        <f ca="1">IF(ISERROR($A18),"-",_xll.IMDP("IDX",$D18,"현재가",$E$5))</f>
        <v>26342.23</v>
      </c>
      <c r="F18" s="213">
        <f ca="1">IF(ISERROR($A18),"-",_xll.IMDP("IDX",$D18,"전일대비",$E$5))</f>
        <v>86.14</v>
      </c>
      <c r="G18" s="213">
        <f ca="1">IF(ISERROR($A18),"-",_xll.IMDP("IDX",$D18,"등락률",$E$5))</f>
        <v>0.33</v>
      </c>
      <c r="H18" s="212">
        <f ca="1">IFERROR( IF(ISERROR($A18),"-",($E18-(_xll.IMDP("IDX",$D18,"현재가",$E$5-7,"fill=true")))/_xll.IMDP("IDX",$D18,"현재가",$E$5-7,"fill=true")*100), "")</f>
        <v>-2.5120091780467058</v>
      </c>
      <c r="I18" s="213">
        <f ca="1">IFERROR( IF(ISERROR($A18),"-",($E18-(_xll.IMDP("IDX",$D18,"현재가",EDATE($E$5,-1),"fill=true")))/_xll.IMDP("IDX",$D18,"현재가",EDATE($E$5,-1),"fill=true")*100),"")</f>
        <v>-6.6409389836419335</v>
      </c>
      <c r="J18" s="213">
        <f ca="1">IFERROR( IF(ISERROR($A18),"-",($E18-(_xll.IMDP("IDX",$D18,"현재가",EDATE($E$5,-3),"fill=true")))/_xll.IMDP("IDX",$D18,"현재가",EDATE($E$5,-3),"fill=true")*100),"")</f>
        <v>3.4798742004951158</v>
      </c>
      <c r="K18" s="213">
        <f ca="1">IFERROR( IF(ISERROR($A18),"-",($E18-(_xll.IMDP("IDX",$D18,"현재가",EDATE($E$5,-6),"fill=true")))/_xll.IMDP("IDX",$D18,"현재가",EDATE($E$5,-6),"fill=true")*100),"")</f>
        <v>6.4633633755001387</v>
      </c>
      <c r="L18" s="213">
        <f ca="1">IFERROR( IF(ISERROR($A18),"-",($E18-(_xll.IMDP("IDX",$D18,"현재가",EDATE($E$5,-12),"fill=true")))/_xll.IMDP("IDX",$D18,"현재가",EDATE($E$5,-12),"fill=true")*100),"")</f>
        <v>11.1960840679294</v>
      </c>
      <c r="M18" s="5">
        <f ca="1">IF(ISERROR($A18),"-",_xll.IMDP("IDX",$D18,"외국인보유비중(시총)",$E$5,$E$5))</f>
        <v>41.08</v>
      </c>
      <c r="N18" s="8" t="str">
        <f t="shared" ca="1" si="3"/>
        <v/>
      </c>
      <c r="O18" s="13" t="str">
        <f t="shared" ca="1" si="4"/>
        <v>|</v>
      </c>
      <c r="P18" s="6"/>
      <c r="Q18" s="140"/>
      <c r="R18" s="140"/>
      <c r="V18" s="4" t="s">
        <v>25</v>
      </c>
      <c r="W18" s="4" t="s">
        <v>24</v>
      </c>
      <c r="X18" s="4" t="s">
        <v>107</v>
      </c>
      <c r="Y18" s="4" t="s">
        <v>106</v>
      </c>
      <c r="AF18" s="3">
        <f t="shared" si="5"/>
        <v>45141</v>
      </c>
      <c r="AH18" s="4">
        <f>SUM($W64:$W$74)/100</f>
        <v>-27762.68</v>
      </c>
      <c r="AI18" s="4">
        <f>SUM($X64:$X$74)/100</f>
        <v>45340.99</v>
      </c>
      <c r="AJ18" s="4">
        <f>SUM($Y64:$Y$74)/100</f>
        <v>-18733.8</v>
      </c>
      <c r="AL18" s="4">
        <f>SUM($AA64:$AA$74)/100</f>
        <v>11554.32</v>
      </c>
      <c r="AM18" s="4">
        <f>SUM($AB64:$AB$74)/100</f>
        <v>-8477.2199999999993</v>
      </c>
      <c r="AN18" s="4">
        <f>SUM($AC64:$AC$74)/100</f>
        <v>-81.760000000000005</v>
      </c>
      <c r="AP18" s="4">
        <f>SUM($AE64:$AE$74)/100</f>
        <v>2120.65</v>
      </c>
      <c r="AQ18" s="4">
        <f>SUM($AF64:$AF$74)/100</f>
        <v>2658.25</v>
      </c>
      <c r="AR18" s="4">
        <f>SUM($AG64:$AG$74)/100</f>
        <v>-5150.58</v>
      </c>
      <c r="AT18" s="4">
        <f>SUM($AI64:$AI$74)</f>
        <v>-24672</v>
      </c>
      <c r="AU18" s="4">
        <f>SUM($AJ64:$AJ$74)</f>
        <v>12175</v>
      </c>
      <c r="AV18" s="4">
        <f>SUM($AK64:$AK$74)</f>
        <v>4669</v>
      </c>
    </row>
    <row r="19" spans="1:48">
      <c r="A19" s="4">
        <f t="shared" si="0"/>
        <v>19</v>
      </c>
      <c r="C19" s="12" t="str">
        <f t="shared" si="1"/>
        <v>의료정밀</v>
      </c>
      <c r="D19" s="4" t="str">
        <f t="shared" si="2"/>
        <v>014</v>
      </c>
      <c r="E19" s="209">
        <f ca="1">IF(ISERROR($A19),"-",_xll.IMDP("IDX",$D19,"현재가",$E$5))</f>
        <v>1550.82</v>
      </c>
      <c r="F19" s="213">
        <f ca="1">IF(ISERROR($A19),"-",_xll.IMDP("IDX",$D19,"전일대비",$E$5))</f>
        <v>16.12</v>
      </c>
      <c r="G19" s="213">
        <f ca="1">IF(ISERROR($A19),"-",_xll.IMDP("IDX",$D19,"등락률",$E$5))</f>
        <v>1.05</v>
      </c>
      <c r="H19" s="212">
        <f ca="1">IFERROR( IF(ISERROR($A19),"-",($E19-(_xll.IMDP("IDX",$D19,"현재가",$E$5-7,"fill=true")))/_xll.IMDP("IDX",$D19,"현재가",$E$5-7,"fill=true")*100), "")</f>
        <v>-8.8883797169395624</v>
      </c>
      <c r="I19" s="213">
        <f ca="1">IFERROR( IF(ISERROR($A19),"-",($E19-(_xll.IMDP("IDX",$D19,"현재가",EDATE($E$5,-1),"fill=true")))/_xll.IMDP("IDX",$D19,"현재가",EDATE($E$5,-1),"fill=true")*100),"")</f>
        <v>-7.6953294724750156</v>
      </c>
      <c r="J19" s="213">
        <f ca="1">IFERROR( IF(ISERROR($A19),"-",($E19-(_xll.IMDP("IDX",$D19,"현재가",EDATE($E$5,-3),"fill=true")))/_xll.IMDP("IDX",$D19,"현재가",EDATE($E$5,-3),"fill=true")*100),"")</f>
        <v>-19.346584703716417</v>
      </c>
      <c r="K19" s="213">
        <f ca="1">IFERROR( IF(ISERROR($A19),"-",($E19-(_xll.IMDP("IDX",$D19,"현재가",EDATE($E$5,-6),"fill=true")))/_xll.IMDP("IDX",$D19,"현재가",EDATE($E$5,-6),"fill=true")*100),"")</f>
        <v>-28.618508869638866</v>
      </c>
      <c r="L19" s="213">
        <f ca="1">IFERROR( IF(ISERROR($A19),"-",($E19-(_xll.IMDP("IDX",$D19,"현재가",EDATE($E$5,-12),"fill=true")))/_xll.IMDP("IDX",$D19,"현재가",EDATE($E$5,-12),"fill=true")*100),"")</f>
        <v>-37.213256787504356</v>
      </c>
      <c r="M19" s="5">
        <f ca="1">IF(ISERROR($A19),"-",_xll.IMDP("IDX",$D19,"외국인보유비중(시총)",$E$5,$E$5))</f>
        <v>11.42</v>
      </c>
      <c r="N19" s="8" t="str">
        <f t="shared" ca="1" si="3"/>
        <v>|||||||</v>
      </c>
      <c r="O19" s="13" t="str">
        <f t="shared" ca="1" si="4"/>
        <v/>
      </c>
      <c r="P19" s="6"/>
      <c r="Q19" s="140"/>
      <c r="R19" s="140"/>
      <c r="V19" s="4" t="s">
        <v>27</v>
      </c>
      <c r="W19" s="4" t="s">
        <v>26</v>
      </c>
      <c r="X19" s="4" t="s">
        <v>109</v>
      </c>
      <c r="Y19" s="4" t="s">
        <v>108</v>
      </c>
      <c r="AF19" s="3">
        <f t="shared" si="5"/>
        <v>45140</v>
      </c>
      <c r="AH19" s="4">
        <f>SUM($W65:$W$74)/100</f>
        <v>-26270.91</v>
      </c>
      <c r="AI19" s="4">
        <f>SUM($X65:$X$74)/100</f>
        <v>37245.160000000003</v>
      </c>
      <c r="AJ19" s="4">
        <f>SUM($Y65:$Y$74)/100</f>
        <v>-12075.24</v>
      </c>
      <c r="AL19" s="4">
        <f>SUM($AA65:$AA$74)/100</f>
        <v>12202.26</v>
      </c>
      <c r="AM19" s="4">
        <f>SUM($AB65:$AB$74)/100</f>
        <v>-8218.9599999999991</v>
      </c>
      <c r="AN19" s="4">
        <f>SUM($AC65:$AC$74)/100</f>
        <v>-690.81</v>
      </c>
      <c r="AP19" s="4">
        <f>SUM($AE65:$AE$74)/100</f>
        <v>2126.75</v>
      </c>
      <c r="AQ19" s="4">
        <f>SUM($AF65:$AF$74)/100</f>
        <v>2102.61</v>
      </c>
      <c r="AR19" s="4">
        <f>SUM($AG65:$AG$74)/100</f>
        <v>-5036.1099999999997</v>
      </c>
      <c r="AT19" s="4">
        <f>SUM($AI65:$AI$74)</f>
        <v>-8163</v>
      </c>
      <c r="AU19" s="4">
        <f>SUM($AJ65:$AJ$74)</f>
        <v>8651</v>
      </c>
      <c r="AV19" s="4">
        <f>SUM($AK65:$AK$74)</f>
        <v>-7660</v>
      </c>
    </row>
    <row r="20" spans="1:48">
      <c r="A20" s="4">
        <f t="shared" si="0"/>
        <v>20</v>
      </c>
      <c r="C20" s="12" t="str">
        <f t="shared" si="1"/>
        <v>운수.장비</v>
      </c>
      <c r="D20" s="4" t="str">
        <f t="shared" si="2"/>
        <v>015</v>
      </c>
      <c r="E20" s="209">
        <f ca="1">IF(ISERROR($A20),"-",_xll.IMDP("IDX",$D20,"현재가",$E$5))</f>
        <v>2095.15</v>
      </c>
      <c r="F20" s="213">
        <f ca="1">IF(ISERROR($A20),"-",_xll.IMDP("IDX",$D20,"전일대비",$E$5))</f>
        <v>-8.0399999999999991</v>
      </c>
      <c r="G20" s="213">
        <f ca="1">IF(ISERROR($A20),"-",_xll.IMDP("IDX",$D20,"등락률",$E$5))</f>
        <v>-0.38</v>
      </c>
      <c r="H20" s="212">
        <f ca="1">IFERROR( IF(ISERROR($A20),"-",($E20-(_xll.IMDP("IDX",$D20,"현재가",$E$5-7,"fill=true")))/_xll.IMDP("IDX",$D20,"현재가",$E$5-7,"fill=true")*100), "")</f>
        <v>-3.1274418690672636</v>
      </c>
      <c r="I20" s="213">
        <f ca="1">IFERROR( IF(ISERROR($A20),"-",($E20-(_xll.IMDP("IDX",$D20,"현재가",EDATE($E$5,-1),"fill=true")))/_xll.IMDP("IDX",$D20,"현재가",EDATE($E$5,-1),"fill=true")*100),"")</f>
        <v>-10.334925362914262</v>
      </c>
      <c r="J20" s="213">
        <f ca="1">IFERROR( IF(ISERROR($A20),"-",($E20-(_xll.IMDP("IDX",$D20,"현재가",EDATE($E$5,-3),"fill=true")))/_xll.IMDP("IDX",$D20,"현재가",EDATE($E$5,-3),"fill=true")*100),"")</f>
        <v>-1.9757834357952266</v>
      </c>
      <c r="K20" s="213">
        <f ca="1">IFERROR( IF(ISERROR($A20),"-",($E20-(_xll.IMDP("IDX",$D20,"현재가",EDATE($E$5,-6),"fill=true")))/_xll.IMDP("IDX",$D20,"현재가",EDATE($E$5,-6),"fill=true")*100),"")</f>
        <v>8.1747400377939172</v>
      </c>
      <c r="L20" s="213">
        <f ca="1">IFERROR( IF(ISERROR($A20),"-",($E20-(_xll.IMDP("IDX",$D20,"현재가",EDATE($E$5,-12),"fill=true")))/_xll.IMDP("IDX",$D20,"현재가",EDATE($E$5,-12),"fill=true")*100),"")</f>
        <v>1.2996368946027408</v>
      </c>
      <c r="M20" s="5">
        <f ca="1">IF(ISERROR($A20),"-",_xll.IMDP("IDX",$D20,"외국인보유비중(시총)",$E$5,$E$5))</f>
        <v>28.96</v>
      </c>
      <c r="N20" s="8" t="str">
        <f t="shared" ca="1" si="3"/>
        <v/>
      </c>
      <c r="O20" s="13" t="str">
        <f t="shared" ca="1" si="4"/>
        <v/>
      </c>
      <c r="P20" s="6"/>
      <c r="Q20" s="140"/>
      <c r="R20" s="140"/>
      <c r="V20" s="4" t="s">
        <v>29</v>
      </c>
      <c r="W20" s="4" t="s">
        <v>28</v>
      </c>
      <c r="X20" s="4" t="s">
        <v>111</v>
      </c>
      <c r="Y20" s="4" t="s">
        <v>110</v>
      </c>
      <c r="AF20" s="3">
        <f t="shared" si="5"/>
        <v>45139</v>
      </c>
      <c r="AH20" s="4">
        <f>SUM($W66:$W$74)/100</f>
        <v>-25595.29</v>
      </c>
      <c r="AI20" s="4">
        <f>SUM($X66:$X$74)/100</f>
        <v>29510.67</v>
      </c>
      <c r="AJ20" s="4">
        <f>SUM($Y66:$Y$74)/100</f>
        <v>-5209.04</v>
      </c>
      <c r="AL20" s="4">
        <f>SUM($AA66:$AA$74)/100</f>
        <v>15478.32</v>
      </c>
      <c r="AM20" s="4">
        <f>SUM($AB66:$AB$74)/100</f>
        <v>-13782.71</v>
      </c>
      <c r="AN20" s="4">
        <f>SUM($AC66:$AC$74)/100</f>
        <v>1334.35</v>
      </c>
      <c r="AP20" s="4">
        <f>SUM($AE66:$AE$74)/100</f>
        <v>1866.16</v>
      </c>
      <c r="AQ20" s="4">
        <f>SUM($AF66:$AF$74)/100</f>
        <v>1559.71</v>
      </c>
      <c r="AR20" s="4">
        <f>SUM($AG66:$AG$74)/100</f>
        <v>-4415.8999999999996</v>
      </c>
      <c r="AT20" s="4">
        <f>SUM($AI66:$AI$74)</f>
        <v>18184</v>
      </c>
      <c r="AU20" s="4">
        <f>SUM($AJ66:$AJ$74)</f>
        <v>-6243</v>
      </c>
      <c r="AV20" s="4">
        <f>SUM($AK66:$AK$74)</f>
        <v>-14128</v>
      </c>
    </row>
    <row r="21" spans="1:48">
      <c r="A21" s="4">
        <f t="shared" si="0"/>
        <v>21</v>
      </c>
      <c r="C21" s="12" t="str">
        <f t="shared" si="1"/>
        <v>유통업</v>
      </c>
      <c r="D21" s="4" t="str">
        <f t="shared" si="2"/>
        <v>016</v>
      </c>
      <c r="E21" s="209">
        <f ca="1">IF(ISERROR($A21),"-",_xll.IMDP("IDX",$D21,"현재가",$E$5))</f>
        <v>382.21</v>
      </c>
      <c r="F21" s="213">
        <f ca="1">IF(ISERROR($A21),"-",_xll.IMDP("IDX",$D21,"전일대비",$E$5))</f>
        <v>-2.5</v>
      </c>
      <c r="G21" s="213">
        <f ca="1">IF(ISERROR($A21),"-",_xll.IMDP("IDX",$D21,"등락률",$E$5))</f>
        <v>-0.65</v>
      </c>
      <c r="H21" s="212">
        <f ca="1">IFERROR( IF(ISERROR($A21),"-",($E21-(_xll.IMDP("IDX",$D21,"현재가",$E$5-7,"fill=true")))/_xll.IMDP("IDX",$D21,"현재가",$E$5-7,"fill=true")*100), "")</f>
        <v>-2.485010843219801</v>
      </c>
      <c r="I21" s="213">
        <f ca="1">IFERROR( IF(ISERROR($A21),"-",($E21-(_xll.IMDP("IDX",$D21,"현재가",EDATE($E$5,-1),"fill=true")))/_xll.IMDP("IDX",$D21,"현재가",EDATE($E$5,-1),"fill=true")*100),"")</f>
        <v>11.878347920264609</v>
      </c>
      <c r="J21" s="213">
        <f ca="1">IFERROR( IF(ISERROR($A21),"-",($E21-(_xll.IMDP("IDX",$D21,"현재가",EDATE($E$5,-3),"fill=true")))/_xll.IMDP("IDX",$D21,"현재가",EDATE($E$5,-3),"fill=true")*100),"")</f>
        <v>15.691497411992605</v>
      </c>
      <c r="K21" s="213">
        <f ca="1">IFERROR( IF(ISERROR($A21),"-",($E21-(_xll.IMDP("IDX",$D21,"현재가",EDATE($E$5,-6),"fill=true")))/_xll.IMDP("IDX",$D21,"현재가",EDATE($E$5,-6),"fill=true")*100),"")</f>
        <v>12.012777680089078</v>
      </c>
      <c r="L21" s="213">
        <f ca="1">IFERROR( IF(ISERROR($A21),"-",($E21-(_xll.IMDP("IDX",$D21,"현재가",EDATE($E$5,-12),"fill=true")))/_xll.IMDP("IDX",$D21,"현재가",EDATE($E$5,-12),"fill=true")*100),"")</f>
        <v>7.3623595505617923</v>
      </c>
      <c r="M21" s="5">
        <f ca="1">IF(ISERROR($A21),"-",_xll.IMDP("IDX",$D21,"외국인보유비중(시총)",$E$5,$E$5))</f>
        <v>14.89</v>
      </c>
      <c r="N21" s="8" t="str">
        <f t="shared" ca="1" si="3"/>
        <v/>
      </c>
      <c r="O21" s="13" t="str">
        <f t="shared" ca="1" si="4"/>
        <v>|||||</v>
      </c>
      <c r="P21" s="6"/>
      <c r="Q21" s="140"/>
      <c r="R21" s="140"/>
      <c r="V21" s="4" t="s">
        <v>31</v>
      </c>
      <c r="W21" s="4" t="s">
        <v>30</v>
      </c>
      <c r="X21" s="4" t="s">
        <v>113</v>
      </c>
      <c r="Y21" s="4" t="s">
        <v>112</v>
      </c>
      <c r="AF21" s="3">
        <f t="shared" si="5"/>
        <v>45138</v>
      </c>
      <c r="AH21" s="4">
        <f>SUM($W67:$W$74)/100</f>
        <v>-27513.91</v>
      </c>
      <c r="AI21" s="4">
        <f>SUM($X67:$X$74)/100</f>
        <v>35019.43</v>
      </c>
      <c r="AJ21" s="4">
        <f>SUM($Y67:$Y$74)/100</f>
        <v>-8541.08</v>
      </c>
      <c r="AL21" s="4">
        <f>SUM($AA67:$AA$74)/100</f>
        <v>17742.32</v>
      </c>
      <c r="AM21" s="4">
        <f>SUM($AB67:$AB$74)/100</f>
        <v>-18166.990000000002</v>
      </c>
      <c r="AN21" s="4">
        <f>SUM($AC67:$AC$74)/100</f>
        <v>3219.97</v>
      </c>
      <c r="AP21" s="4">
        <f>SUM($AE67:$AE$74)/100</f>
        <v>1751.26</v>
      </c>
      <c r="AQ21" s="4">
        <f>SUM($AF67:$AF$74)/100</f>
        <v>1215.56</v>
      </c>
      <c r="AR21" s="4">
        <f>SUM($AG67:$AG$74)/100</f>
        <v>-3802.36</v>
      </c>
      <c r="AT21" s="4">
        <f>SUM($AI67:$AI$74)</f>
        <v>-2338</v>
      </c>
      <c r="AU21" s="4">
        <f>SUM($AJ67:$AJ$74)</f>
        <v>1474</v>
      </c>
      <c r="AV21" s="4">
        <f>SUM($AK67:$AK$74)</f>
        <v>-3171</v>
      </c>
    </row>
    <row r="22" spans="1:48">
      <c r="A22" s="4">
        <f t="shared" si="0"/>
        <v>22</v>
      </c>
      <c r="C22" s="12" t="str">
        <f t="shared" si="1"/>
        <v>전기.가스업</v>
      </c>
      <c r="D22" s="4" t="str">
        <f t="shared" si="2"/>
        <v>017</v>
      </c>
      <c r="E22" s="209">
        <f ca="1">IF(ISERROR($A22),"-",_xll.IMDP("IDX",$D22,"현재가",$E$5))</f>
        <v>601.55999999999995</v>
      </c>
      <c r="F22" s="213">
        <f ca="1">IF(ISERROR($A22),"-",_xll.IMDP("IDX",$D22,"전일대비",$E$5))</f>
        <v>-6.34</v>
      </c>
      <c r="G22" s="213">
        <f ca="1">IF(ISERROR($A22),"-",_xll.IMDP("IDX",$D22,"등락률",$E$5))</f>
        <v>-1.04</v>
      </c>
      <c r="H22" s="212">
        <f ca="1">IFERROR( IF(ISERROR($A22),"-",($E22-(_xll.IMDP("IDX",$D22,"현재가",$E$5-7,"fill=true")))/_xll.IMDP("IDX",$D22,"현재가",$E$5-7,"fill=true")*100), "")</f>
        <v>-5.1929835621188074</v>
      </c>
      <c r="I22" s="213">
        <f ca="1">IFERROR( IF(ISERROR($A22),"-",($E22-(_xll.IMDP("IDX",$D22,"현재가",EDATE($E$5,-1),"fill=true")))/_xll.IMDP("IDX",$D22,"현재가",EDATE($E$5,-1),"fill=true")*100),"")</f>
        <v>-7.5476047766148762</v>
      </c>
      <c r="J22" s="213">
        <f ca="1">IFERROR( IF(ISERROR($A22),"-",($E22-(_xll.IMDP("IDX",$D22,"현재가",EDATE($E$5,-3),"fill=true")))/_xll.IMDP("IDX",$D22,"현재가",EDATE($E$5,-3),"fill=true")*100),"")</f>
        <v>-3.6038778943994889</v>
      </c>
      <c r="K22" s="213">
        <f ca="1">IFERROR( IF(ISERROR($A22),"-",($E22-(_xll.IMDP("IDX",$D22,"현재가",EDATE($E$5,-6),"fill=true")))/_xll.IMDP("IDX",$D22,"현재가",EDATE($E$5,-6),"fill=true")*100),"")</f>
        <v>-22.294129044758773</v>
      </c>
      <c r="L22" s="213">
        <f ca="1">IFERROR( IF(ISERROR($A22),"-",($E22-(_xll.IMDP("IDX",$D22,"현재가",EDATE($E$5,-12),"fill=true")))/_xll.IMDP("IDX",$D22,"현재가",EDATE($E$5,-12),"fill=true")*100),"")</f>
        <v>-26.703382395945034</v>
      </c>
      <c r="M22" s="5">
        <f ca="1">IF(ISERROR($A22),"-",_xll.IMDP("IDX",$D22,"외국인보유비중(시총)",$E$5,$E$5))</f>
        <v>12.08</v>
      </c>
      <c r="N22" s="8" t="str">
        <f t="shared" ca="1" si="3"/>
        <v>|</v>
      </c>
      <c r="O22" s="13" t="str">
        <f t="shared" ca="1" si="4"/>
        <v/>
      </c>
      <c r="P22" s="6"/>
      <c r="Q22" s="140"/>
      <c r="R22" s="140"/>
      <c r="V22" s="4" t="s">
        <v>33</v>
      </c>
      <c r="W22" s="4" t="s">
        <v>32</v>
      </c>
      <c r="X22" s="4" t="s">
        <v>115</v>
      </c>
      <c r="Y22" s="4" t="s">
        <v>114</v>
      </c>
      <c r="AF22" s="3">
        <f t="shared" si="5"/>
        <v>45135</v>
      </c>
      <c r="AH22" s="4">
        <f>SUM($W68:$W$74)/100</f>
        <v>-24606.55</v>
      </c>
      <c r="AI22" s="4">
        <f>SUM($X68:$X$74)/100</f>
        <v>31579.89</v>
      </c>
      <c r="AJ22" s="4">
        <f>SUM($Y68:$Y$74)/100</f>
        <v>-7620.16</v>
      </c>
      <c r="AL22" s="4">
        <f>SUM($AA68:$AA$74)/100</f>
        <v>18215.55</v>
      </c>
      <c r="AM22" s="4">
        <f>SUM($AB68:$AB$74)/100</f>
        <v>-18192.16</v>
      </c>
      <c r="AN22" s="4">
        <f>SUM($AC68:$AC$74)/100</f>
        <v>2647.68</v>
      </c>
      <c r="AP22" s="4">
        <f>SUM($AE68:$AE$74)/100</f>
        <v>1645.64</v>
      </c>
      <c r="AQ22" s="4">
        <f>SUM($AF68:$AF$74)/100</f>
        <v>730.27</v>
      </c>
      <c r="AR22" s="4">
        <f>SUM($AG68:$AG$74)/100</f>
        <v>-3258.46</v>
      </c>
      <c r="AT22" s="4">
        <f>SUM($AI68:$AI$74)</f>
        <v>-2472</v>
      </c>
      <c r="AU22" s="4">
        <f>SUM($AJ68:$AJ$74)</f>
        <v>1452</v>
      </c>
      <c r="AV22" s="4">
        <f>SUM($AK68:$AK$74)</f>
        <v>-2842</v>
      </c>
    </row>
    <row r="23" spans="1:48">
      <c r="A23" s="4">
        <f t="shared" si="0"/>
        <v>23</v>
      </c>
      <c r="C23" s="12" t="str">
        <f t="shared" si="1"/>
        <v>건설업</v>
      </c>
      <c r="D23" s="4" t="str">
        <f t="shared" si="2"/>
        <v>018</v>
      </c>
      <c r="E23" s="209">
        <f ca="1">IF(ISERROR($A23),"-",_xll.IMDP("IDX",$D23,"현재가",$E$5))</f>
        <v>70.08</v>
      </c>
      <c r="F23" s="213">
        <f ca="1">IF(ISERROR($A23),"-",_xll.IMDP("IDX",$D23,"전일대비",$E$5))</f>
        <v>-0.34</v>
      </c>
      <c r="G23" s="213">
        <f ca="1">IF(ISERROR($A23),"-",_xll.IMDP("IDX",$D23,"등락률",$E$5))</f>
        <v>-0.48</v>
      </c>
      <c r="H23" s="212">
        <f ca="1">IFERROR( IF(ISERROR($A23),"-",($E23-(_xll.IMDP("IDX",$D23,"현재가",$E$5-7,"fill=true")))/_xll.IMDP("IDX",$D23,"현재가",$E$5-7,"fill=true")*100), "")</f>
        <v>-2.4227234753550477</v>
      </c>
      <c r="I23" s="213">
        <f ca="1">IFERROR( IF(ISERROR($A23),"-",($E23-(_xll.IMDP("IDX",$D23,"현재가",EDATE($E$5,-1),"fill=true")))/_xll.IMDP("IDX",$D23,"현재가",EDATE($E$5,-1),"fill=true")*100),"")</f>
        <v>-9.7372488408037121</v>
      </c>
      <c r="J23" s="213">
        <f ca="1">IFERROR( IF(ISERROR($A23),"-",($E23-(_xll.IMDP("IDX",$D23,"현재가",EDATE($E$5,-3),"fill=true")))/_xll.IMDP("IDX",$D23,"현재가",EDATE($E$5,-3),"fill=true")*100),"")</f>
        <v>-7.6314748912613766</v>
      </c>
      <c r="K23" s="213">
        <f ca="1">IFERROR( IF(ISERROR($A23),"-",($E23-(_xll.IMDP("IDX",$D23,"현재가",EDATE($E$5,-6),"fill=true")))/_xll.IMDP("IDX",$D23,"현재가",EDATE($E$5,-6),"fill=true")*100),"")</f>
        <v>-9.6208408563322241</v>
      </c>
      <c r="L23" s="213">
        <f ca="1">IFERROR( IF(ISERROR($A23),"-",($E23-(_xll.IMDP("IDX",$D23,"현재가",EDATE($E$5,-12),"fill=true")))/_xll.IMDP("IDX",$D23,"현재가",EDATE($E$5,-12),"fill=true")*100),"")</f>
        <v>-29.772522296823333</v>
      </c>
      <c r="M23" s="5">
        <f ca="1">IF(ISERROR($A23),"-",_xll.IMDP("IDX",$D23,"외국인보유비중(시총)",$E$5,$E$5))</f>
        <v>14.77</v>
      </c>
      <c r="N23" s="8" t="str">
        <f t="shared" ca="1" si="3"/>
        <v>||</v>
      </c>
      <c r="O23" s="13" t="str">
        <f t="shared" ca="1" si="4"/>
        <v/>
      </c>
      <c r="P23" s="6"/>
      <c r="Q23" s="140"/>
      <c r="R23" s="140"/>
      <c r="V23" s="4" t="s">
        <v>35</v>
      </c>
      <c r="W23" s="4" t="s">
        <v>34</v>
      </c>
      <c r="X23" s="4" t="s">
        <v>117</v>
      </c>
      <c r="Y23" s="4" t="s">
        <v>116</v>
      </c>
      <c r="AF23" s="3">
        <f t="shared" si="5"/>
        <v>45134</v>
      </c>
      <c r="AH23" s="4">
        <f>SUM($W69:$W$74)/100</f>
        <v>-25244.43</v>
      </c>
      <c r="AI23" s="4">
        <f>SUM($X69:$X$74)/100</f>
        <v>27658.51</v>
      </c>
      <c r="AJ23" s="4">
        <f>SUM($Y69:$Y$74)/100</f>
        <v>-3055.48</v>
      </c>
      <c r="AL23" s="4">
        <f>SUM($AA69:$AA$74)/100</f>
        <v>15334.68</v>
      </c>
      <c r="AM23" s="4">
        <f>SUM($AB69:$AB$74)/100</f>
        <v>-14897.02</v>
      </c>
      <c r="AN23" s="4">
        <f>SUM($AC69:$AC$74)/100</f>
        <v>2319.25</v>
      </c>
      <c r="AP23" s="4">
        <f>SUM($AE69:$AE$74)/100</f>
        <v>2016.03</v>
      </c>
      <c r="AQ23" s="4">
        <f>SUM($AF69:$AF$74)/100</f>
        <v>131.75</v>
      </c>
      <c r="AR23" s="4">
        <f>SUM($AG69:$AG$74)/100</f>
        <v>-2926.72</v>
      </c>
      <c r="AT23" s="4">
        <f>SUM($AI69:$AI$74)</f>
        <v>2099</v>
      </c>
      <c r="AU23" s="4">
        <f>SUM($AJ69:$AJ$74)</f>
        <v>838</v>
      </c>
      <c r="AV23" s="4">
        <f>SUM($AK69:$AK$74)</f>
        <v>-6832</v>
      </c>
    </row>
    <row r="24" spans="1:48">
      <c r="A24" s="4">
        <f t="shared" si="0"/>
        <v>24</v>
      </c>
      <c r="C24" s="12" t="str">
        <f t="shared" si="1"/>
        <v>운수.창고</v>
      </c>
      <c r="D24" s="4" t="str">
        <f t="shared" si="2"/>
        <v>019</v>
      </c>
      <c r="E24" s="209">
        <f ca="1">IF(ISERROR($A24),"-",_xll.IMDP("IDX",$D24,"현재가",$E$5))</f>
        <v>1540.71</v>
      </c>
      <c r="F24" s="213">
        <f ca="1">IF(ISERROR($A24),"-",_xll.IMDP("IDX",$D24,"전일대비",$E$5))</f>
        <v>-3.9</v>
      </c>
      <c r="G24" s="213">
        <f ca="1">IF(ISERROR($A24),"-",_xll.IMDP("IDX",$D24,"등락률",$E$5))</f>
        <v>-0.25</v>
      </c>
      <c r="H24" s="212">
        <f ca="1">IFERROR( IF(ISERROR($A24),"-",($E24-(_xll.IMDP("IDX",$D24,"현재가",$E$5-7,"fill=true")))/_xll.IMDP("IDX",$D24,"현재가",$E$5-7,"fill=true")*100), "")</f>
        <v>-2.6862636113286662</v>
      </c>
      <c r="I24" s="213">
        <f ca="1">IFERROR( IF(ISERROR($A24),"-",($E24-(_xll.IMDP("IDX",$D24,"현재가",EDATE($E$5,-1),"fill=true")))/_xll.IMDP("IDX",$D24,"현재가",EDATE($E$5,-1),"fill=true")*100),"")</f>
        <v>-8.5957522543901206</v>
      </c>
      <c r="J24" s="213">
        <f ca="1">IFERROR( IF(ISERROR($A24),"-",($E24-(_xll.IMDP("IDX",$D24,"현재가",EDATE($E$5,-3),"fill=true")))/_xll.IMDP("IDX",$D24,"현재가",EDATE($E$5,-3),"fill=true")*100),"")</f>
        <v>6.7546941877153127E-2</v>
      </c>
      <c r="K24" s="213">
        <f ca="1">IFERROR( IF(ISERROR($A24),"-",($E24-(_xll.IMDP("IDX",$D24,"현재가",EDATE($E$5,-6),"fill=true")))/_xll.IMDP("IDX",$D24,"현재가",EDATE($E$5,-6),"fill=true")*100),"")</f>
        <v>-10.239096745627629</v>
      </c>
      <c r="L24" s="213">
        <f ca="1">IFERROR( IF(ISERROR($A24),"-",($E24-(_xll.IMDP("IDX",$D24,"현재가",EDATE($E$5,-12),"fill=true")))/_xll.IMDP("IDX",$D24,"현재가",EDATE($E$5,-12),"fill=true")*100),"")</f>
        <v>-19.068455445128485</v>
      </c>
      <c r="M24" s="5">
        <f ca="1">IF(ISERROR($A24),"-",_xll.IMDP("IDX",$D24,"외국인보유비중(시총)",$E$5,$E$5))</f>
        <v>18.75</v>
      </c>
      <c r="N24" s="8" t="str">
        <f t="shared" ca="1" si="3"/>
        <v/>
      </c>
      <c r="O24" s="13" t="str">
        <f t="shared" ca="1" si="4"/>
        <v/>
      </c>
      <c r="P24" s="6"/>
      <c r="Q24" s="140"/>
      <c r="R24" s="140"/>
      <c r="V24" s="4" t="s">
        <v>37</v>
      </c>
      <c r="W24" s="4" t="s">
        <v>36</v>
      </c>
      <c r="X24" s="4" t="s">
        <v>119</v>
      </c>
      <c r="Y24" s="4" t="s">
        <v>118</v>
      </c>
      <c r="AF24" s="3">
        <f t="shared" si="5"/>
        <v>45133</v>
      </c>
      <c r="AH24" s="4">
        <f>SUM($W70:$W$74)/100</f>
        <v>-26047.52</v>
      </c>
      <c r="AI24" s="4">
        <f>SUM($X70:$X$74)/100</f>
        <v>32729.46</v>
      </c>
      <c r="AJ24" s="4">
        <f>SUM($Y70:$Y$74)/100</f>
        <v>-7406.05</v>
      </c>
      <c r="AL24" s="4">
        <f>SUM($AA70:$AA$74)/100</f>
        <v>13227.58</v>
      </c>
      <c r="AM24" s="4">
        <f>SUM($AB70:$AB$74)/100</f>
        <v>-10528.53</v>
      </c>
      <c r="AN24" s="4">
        <f>SUM($AC70:$AC$74)/100</f>
        <v>-346.54</v>
      </c>
      <c r="AP24" s="4">
        <f>SUM($AE70:$AE$74)/100</f>
        <v>1574.28</v>
      </c>
      <c r="AQ24" s="4">
        <f>SUM($AF70:$AF$74)/100</f>
        <v>1031.3399999999999</v>
      </c>
      <c r="AR24" s="4">
        <f>SUM($AG70:$AG$74)/100</f>
        <v>-3184.58</v>
      </c>
      <c r="AT24" s="4">
        <f>SUM($AI70:$AI$74)</f>
        <v>-5561</v>
      </c>
      <c r="AU24" s="4">
        <f>SUM($AJ70:$AJ$74)</f>
        <v>2838</v>
      </c>
      <c r="AV24" s="4">
        <f>SUM($AK70:$AK$74)</f>
        <v>-1231</v>
      </c>
    </row>
    <row r="25" spans="1:48">
      <c r="A25" s="4">
        <f t="shared" si="0"/>
        <v>25</v>
      </c>
      <c r="C25" s="12" t="str">
        <f t="shared" si="1"/>
        <v>통신업</v>
      </c>
      <c r="D25" s="4" t="str">
        <f t="shared" si="2"/>
        <v>020</v>
      </c>
      <c r="E25" s="209">
        <f ca="1">IF(ISERROR($A25),"-",_xll.IMDP("IDX",$D25,"현재가",$E$5))</f>
        <v>359.71</v>
      </c>
      <c r="F25" s="213">
        <f ca="1">IF(ISERROR($A25),"-",_xll.IMDP("IDX",$D25,"전일대비",$E$5))</f>
        <v>-0.76</v>
      </c>
      <c r="G25" s="213">
        <f ca="1">IF(ISERROR($A25),"-",_xll.IMDP("IDX",$D25,"등락률",$E$5))</f>
        <v>-0.21</v>
      </c>
      <c r="H25" s="212">
        <f ca="1">IFERROR( IF(ISERROR($A25),"-",($E25-(_xll.IMDP("IDX",$D25,"현재가",$E$5-7,"fill=true")))/_xll.IMDP("IDX",$D25,"현재가",$E$5-7,"fill=true")*100), "")</f>
        <v>1.2041752243761001</v>
      </c>
      <c r="I25" s="213">
        <f ca="1">IFERROR( IF(ISERROR($A25),"-",($E25-(_xll.IMDP("IDX",$D25,"현재가",EDATE($E$5,-1),"fill=true")))/_xll.IMDP("IDX",$D25,"현재가",EDATE($E$5,-1),"fill=true")*100),"")</f>
        <v>4.1038404769484584</v>
      </c>
      <c r="J25" s="213">
        <f ca="1">IFERROR( IF(ISERROR($A25),"-",($E25-(_xll.IMDP("IDX",$D25,"현재가",EDATE($E$5,-3),"fill=true")))/_xll.IMDP("IDX",$D25,"현재가",EDATE($E$5,-3),"fill=true")*100),"")</f>
        <v>-2.0717630404007443</v>
      </c>
      <c r="K25" s="213">
        <f ca="1">IFERROR( IF(ISERROR($A25),"-",($E25-(_xll.IMDP("IDX",$D25,"현재가",EDATE($E$5,-6),"fill=true")))/_xll.IMDP("IDX",$D25,"현재가",EDATE($E$5,-6),"fill=true")*100),"")</f>
        <v>1.3381789497408159</v>
      </c>
      <c r="L25" s="213">
        <f ca="1">IFERROR( IF(ISERROR($A25),"-",($E25-(_xll.IMDP("IDX",$D25,"현재가",EDATE($E$5,-12),"fill=true")))/_xll.IMDP("IDX",$D25,"현재가",EDATE($E$5,-12),"fill=true")*100),"")</f>
        <v>-12.765854250030323</v>
      </c>
      <c r="M25" s="5">
        <f ca="1">IF(ISERROR($A25),"-",_xll.IMDP("IDX",$D25,"외국인보유비중(시총)",$E$5,$E$5))</f>
        <v>39.76</v>
      </c>
      <c r="N25" s="8" t="str">
        <f t="shared" ca="1" si="3"/>
        <v/>
      </c>
      <c r="O25" s="13" t="str">
        <f t="shared" ca="1" si="4"/>
        <v/>
      </c>
      <c r="P25" s="6"/>
      <c r="Q25" s="140"/>
      <c r="R25" s="140"/>
      <c r="V25" s="4" t="s">
        <v>39</v>
      </c>
      <c r="W25" s="4" t="s">
        <v>38</v>
      </c>
      <c r="X25" s="4" t="s">
        <v>121</v>
      </c>
      <c r="Y25" s="4" t="s">
        <v>120</v>
      </c>
      <c r="AF25" s="3">
        <f t="shared" si="5"/>
        <v>45132</v>
      </c>
      <c r="AH25" s="4">
        <f>SUM($W71:$W$74)/100</f>
        <v>-16582.810000000001</v>
      </c>
      <c r="AI25" s="4">
        <f>SUM($X71:$X$74)/100</f>
        <v>22797.38</v>
      </c>
      <c r="AJ25" s="4">
        <f>SUM($Y71:$Y$74)/100</f>
        <v>-6746.23</v>
      </c>
      <c r="AL25" s="4">
        <f>SUM($AA71:$AA$74)/100</f>
        <v>4410.47</v>
      </c>
      <c r="AM25" s="4">
        <f>SUM($AB71:$AB$74)/100</f>
        <v>-4234.99</v>
      </c>
      <c r="AN25" s="4">
        <f>SUM($AC71:$AC$74)/100</f>
        <v>1752.97</v>
      </c>
      <c r="AP25" s="4">
        <f>SUM($AE71:$AE$74)/100</f>
        <v>1136.58</v>
      </c>
      <c r="AQ25" s="4">
        <f>SUM($AF71:$AF$74)/100</f>
        <v>873.52</v>
      </c>
      <c r="AR25" s="4">
        <f>SUM($AG71:$AG$74)/100</f>
        <v>-2378.89</v>
      </c>
      <c r="AT25" s="4">
        <f>SUM($AI71:$AI$74)</f>
        <v>-1513</v>
      </c>
      <c r="AU25" s="4">
        <f>SUM($AJ71:$AJ$74)</f>
        <v>547</v>
      </c>
      <c r="AV25" s="4">
        <f>SUM($AK71:$AK$74)</f>
        <v>-2375</v>
      </c>
    </row>
    <row r="26" spans="1:48">
      <c r="A26" s="4">
        <f t="shared" si="0"/>
        <v>26</v>
      </c>
      <c r="C26" s="12" t="str">
        <f t="shared" si="1"/>
        <v>금융업</v>
      </c>
      <c r="D26" s="4" t="str">
        <f t="shared" si="2"/>
        <v>021</v>
      </c>
      <c r="E26" s="209">
        <f ca="1">IF(ISERROR($A26),"-",_xll.IMDP("IDX",$D26,"현재가",$E$5))</f>
        <v>351.56</v>
      </c>
      <c r="F26" s="213">
        <f ca="1">IF(ISERROR($A26),"-",_xll.IMDP("IDX",$D26,"전일대비",$E$5))</f>
        <v>-2.33</v>
      </c>
      <c r="G26" s="213">
        <f ca="1">IF(ISERROR($A26),"-",_xll.IMDP("IDX",$D26,"등락률",$E$5))</f>
        <v>-0.66</v>
      </c>
      <c r="H26" s="212">
        <f ca="1">IFERROR( IF(ISERROR($A26),"-",($E26-(_xll.IMDP("IDX",$D26,"현재가",$E$5-7,"fill=true")))/_xll.IMDP("IDX",$D26,"현재가",$E$5-7,"fill=true")*100), "")</f>
        <v>-2.1650804252240143</v>
      </c>
      <c r="I26" s="213">
        <f ca="1">IFERROR( IF(ISERROR($A26),"-",($E26-(_xll.IMDP("IDX",$D26,"현재가",EDATE($E$5,-1),"fill=true")))/_xll.IMDP("IDX",$D26,"현재가",EDATE($E$5,-1),"fill=true")*100),"")</f>
        <v>-0.29777941635234717</v>
      </c>
      <c r="J26" s="213">
        <f ca="1">IFERROR( IF(ISERROR($A26),"-",($E26-(_xll.IMDP("IDX",$D26,"현재가",EDATE($E$5,-3),"fill=true")))/_xll.IMDP("IDX",$D26,"현재가",EDATE($E$5,-3),"fill=true")*100),"")</f>
        <v>-0.6471668786208904</v>
      </c>
      <c r="K26" s="213">
        <f ca="1">IFERROR( IF(ISERROR($A26),"-",($E26-(_xll.IMDP("IDX",$D26,"현재가",EDATE($E$5,-6),"fill=true")))/_xll.IMDP("IDX",$D26,"현재가",EDATE($E$5,-6),"fill=true")*100),"")</f>
        <v>-2.3417317147698564</v>
      </c>
      <c r="L26" s="213">
        <f ca="1">IFERROR( IF(ISERROR($A26),"-",($E26-(_xll.IMDP("IDX",$D26,"현재가",EDATE($E$5,-12),"fill=true")))/_xll.IMDP("IDX",$D26,"현재가",EDATE($E$5,-12),"fill=true")*100),"")</f>
        <v>-4.1391721655668885</v>
      </c>
      <c r="M26" s="5">
        <f ca="1">IF(ISERROR($A26),"-",_xll.IMDP("IDX",$D26,"외국인보유비중(시총)",$E$5,$E$5))</f>
        <v>32.24</v>
      </c>
      <c r="N26" s="8" t="str">
        <f t="shared" ca="1" si="3"/>
        <v/>
      </c>
      <c r="O26" s="13" t="str">
        <f t="shared" ca="1" si="4"/>
        <v/>
      </c>
      <c r="P26" s="6"/>
      <c r="Q26" s="140"/>
      <c r="R26" s="140"/>
      <c r="V26" s="4" t="s">
        <v>41</v>
      </c>
      <c r="W26" s="4" t="s">
        <v>40</v>
      </c>
      <c r="X26" s="4" t="s">
        <v>122</v>
      </c>
      <c r="Y26" s="4" t="s">
        <v>12</v>
      </c>
      <c r="AF26" s="3">
        <f t="shared" si="5"/>
        <v>45131</v>
      </c>
      <c r="AH26" s="4">
        <f>SUM($W72:$W$74)/100</f>
        <v>-2952.17</v>
      </c>
      <c r="AI26" s="4">
        <f>SUM($X72:$X$74)/100</f>
        <v>9034.1</v>
      </c>
      <c r="AJ26" s="4">
        <f>SUM($Y72:$Y$74)/100</f>
        <v>-6057.13</v>
      </c>
      <c r="AL26" s="4">
        <f>SUM($AA72:$AA$74)/100</f>
        <v>-52.29</v>
      </c>
      <c r="AM26" s="4">
        <f>SUM($AB72:$AB$74)/100</f>
        <v>31.53</v>
      </c>
      <c r="AN26" s="4">
        <f>SUM($AC72:$AC$74)/100</f>
        <v>1236.01</v>
      </c>
      <c r="AP26" s="4">
        <f>SUM($AE72:$AE$74)/100</f>
        <v>465.87</v>
      </c>
      <c r="AQ26" s="4">
        <f>SUM($AF72:$AF$74)/100</f>
        <v>447</v>
      </c>
      <c r="AR26" s="4">
        <f>SUM($AG72:$AG$74)/100</f>
        <v>-1290.1099999999999</v>
      </c>
      <c r="AT26" s="4">
        <f>SUM($AI72:$AI$74)</f>
        <v>1499</v>
      </c>
      <c r="AU26" s="4">
        <f>SUM($AJ72:$AJ$74)</f>
        <v>145</v>
      </c>
      <c r="AV26" s="4">
        <f>SUM($AK72:$AK$74)</f>
        <v>-4777</v>
      </c>
    </row>
    <row r="27" spans="1:48">
      <c r="A27" s="4">
        <f t="shared" si="0"/>
        <v>27</v>
      </c>
      <c r="C27" s="12" t="str">
        <f t="shared" si="1"/>
        <v>증권</v>
      </c>
      <c r="D27" s="4" t="str">
        <f t="shared" si="2"/>
        <v>024</v>
      </c>
      <c r="E27" s="209">
        <f ca="1">IF(ISERROR($A27),"-",_xll.IMDP("IDX",$D27,"현재가",$E$5))</f>
        <v>1748.54</v>
      </c>
      <c r="F27" s="213">
        <f ca="1">IF(ISERROR($A27),"-",_xll.IMDP("IDX",$D27,"전일대비",$E$5))</f>
        <v>-1.31</v>
      </c>
      <c r="G27" s="213">
        <f ca="1">IF(ISERROR($A27),"-",_xll.IMDP("IDX",$D27,"등락률",$E$5))</f>
        <v>-7.0000000000000007E-2</v>
      </c>
      <c r="H27" s="212">
        <f ca="1">IFERROR( IF(ISERROR($A27),"-",($E27-(_xll.IMDP("IDX",$D27,"현재가",$E$5-7,"fill=true")))/_xll.IMDP("IDX",$D27,"현재가",$E$5-7,"fill=true")*100), "")</f>
        <v>-0.98699298402577984</v>
      </c>
      <c r="I27" s="213">
        <f ca="1">IFERROR( IF(ISERROR($A27),"-",($E27-(_xll.IMDP("IDX",$D27,"현재가",EDATE($E$5,-1),"fill=true")))/_xll.IMDP("IDX",$D27,"현재가",EDATE($E$5,-1),"fill=true")*100),"")</f>
        <v>-0.81119103265185466</v>
      </c>
      <c r="J27" s="213">
        <f ca="1">IFERROR( IF(ISERROR($A27),"-",($E27-(_xll.IMDP("IDX",$D27,"현재가",EDATE($E$5,-3),"fill=true")))/_xll.IMDP("IDX",$D27,"현재가",EDATE($E$5,-3),"fill=true")*100),"")</f>
        <v>1.502327795386198</v>
      </c>
      <c r="K27" s="213">
        <f ca="1">IFERROR( IF(ISERROR($A27),"-",($E27-(_xll.IMDP("IDX",$D27,"현재가",EDATE($E$5,-6),"fill=true")))/_xll.IMDP("IDX",$D27,"현재가",EDATE($E$5,-6),"fill=true")*100),"")</f>
        <v>-2.7346053290315449</v>
      </c>
      <c r="L27" s="213">
        <f ca="1">IFERROR( IF(ISERROR($A27),"-",($E27-(_xll.IMDP("IDX",$D27,"현재가",EDATE($E$5,-12),"fill=true")))/_xll.IMDP("IDX",$D27,"현재가",EDATE($E$5,-12),"fill=true")*100),"")</f>
        <v>1.2888912059966748</v>
      </c>
      <c r="M27" s="5">
        <f ca="1">IF(ISERROR($A27),"-",_xll.IMDP("IDX",$D27,"외국인보유비중(시총)",$E$5,$E$5))</f>
        <v>18.13</v>
      </c>
      <c r="N27" s="8" t="str">
        <f t="shared" ca="1" si="3"/>
        <v/>
      </c>
      <c r="O27" s="13" t="str">
        <f t="shared" ca="1" si="4"/>
        <v/>
      </c>
      <c r="P27" s="6"/>
      <c r="Q27" s="140"/>
      <c r="R27" s="140"/>
      <c r="V27" s="4" t="s">
        <v>43</v>
      </c>
      <c r="W27" s="4" t="s">
        <v>42</v>
      </c>
      <c r="X27" s="4" t="s">
        <v>124</v>
      </c>
      <c r="Y27" s="4" t="s">
        <v>123</v>
      </c>
      <c r="AF27" s="3">
        <f t="shared" si="5"/>
        <v>45128</v>
      </c>
      <c r="AH27" s="4">
        <f>SUM($W73:$W$74)/100</f>
        <v>-1239.22</v>
      </c>
      <c r="AI27" s="4">
        <f>SUM($X73:$X$74)/100</f>
        <v>4316.04</v>
      </c>
      <c r="AJ27" s="4">
        <f>SUM($Y73:$Y$74)/100</f>
        <v>-3010.8</v>
      </c>
      <c r="AL27" s="4">
        <f>SUM($AA73:$AA$74)/100</f>
        <v>-1115.98</v>
      </c>
      <c r="AM27" s="4">
        <f>SUM($AB73:$AB$74)/100</f>
        <v>1562.57</v>
      </c>
      <c r="AN27" s="4">
        <f>SUM($AC73:$AC$74)/100</f>
        <v>381.66</v>
      </c>
      <c r="AP27" s="4">
        <f>SUM($AE73:$AE$74)/100</f>
        <v>374.15</v>
      </c>
      <c r="AQ27" s="4">
        <f>SUM($AF73:$AF$74)/100</f>
        <v>501.51</v>
      </c>
      <c r="AR27" s="4">
        <f>SUM($AG73:$AG$74)/100</f>
        <v>-1270.52</v>
      </c>
      <c r="AT27" s="4">
        <f>SUM($AI73:$AI$74)</f>
        <v>2095</v>
      </c>
      <c r="AU27" s="4">
        <f>SUM($AJ73:$AJ$74)</f>
        <v>-652</v>
      </c>
      <c r="AV27" s="4">
        <f>SUM($AK73:$AK$74)</f>
        <v>-4111</v>
      </c>
    </row>
    <row r="28" spans="1:48">
      <c r="A28" s="4">
        <f t="shared" si="0"/>
        <v>28</v>
      </c>
      <c r="C28" s="12" t="str">
        <f t="shared" si="1"/>
        <v>보험</v>
      </c>
      <c r="D28" s="4" t="str">
        <f t="shared" si="2"/>
        <v>025</v>
      </c>
      <c r="E28" s="209">
        <f ca="1">IF(ISERROR($A28),"-",_xll.IMDP("IDX",$D28,"현재가",$E$5))</f>
        <v>15431.43</v>
      </c>
      <c r="F28" s="213">
        <f ca="1">IF(ISERROR($A28),"-",_xll.IMDP("IDX",$D28,"전일대비",$E$5))</f>
        <v>-105.91</v>
      </c>
      <c r="G28" s="213">
        <f ca="1">IF(ISERROR($A28),"-",_xll.IMDP("IDX",$D28,"등락률",$E$5))</f>
        <v>-0.68</v>
      </c>
      <c r="H28" s="212">
        <f ca="1">IFERROR( IF(ISERROR($A28),"-",($E28-(_xll.IMDP("IDX",$D28,"현재가",$E$5-7,"fill=true")))/_xll.IMDP("IDX",$D28,"현재가",$E$5-7,"fill=true")*100), "")</f>
        <v>-2.1020417096741255</v>
      </c>
      <c r="I28" s="213">
        <f ca="1">IFERROR( IF(ISERROR($A28),"-",($E28-(_xll.IMDP("IDX",$D28,"현재가",EDATE($E$5,-1),"fill=true")))/_xll.IMDP("IDX",$D28,"현재가",EDATE($E$5,-1),"fill=true")*100),"")</f>
        <v>0.24216991519506212</v>
      </c>
      <c r="J28" s="213">
        <f ca="1">IFERROR( IF(ISERROR($A28),"-",($E28-(_xll.IMDP("IDX",$D28,"현재가",EDATE($E$5,-3),"fill=true")))/_xll.IMDP("IDX",$D28,"현재가",EDATE($E$5,-3),"fill=true")*100),"")</f>
        <v>1.2789632305454828</v>
      </c>
      <c r="K28" s="213">
        <f ca="1">IFERROR( IF(ISERROR($A28),"-",($E28-(_xll.IMDP("IDX",$D28,"현재가",EDATE($E$5,-6),"fill=true")))/_xll.IMDP("IDX",$D28,"현재가",EDATE($E$5,-6),"fill=true")*100),"")</f>
        <v>6.0231071854057534</v>
      </c>
      <c r="L28" s="213">
        <f ca="1">IFERROR( IF(ISERROR($A28),"-",($E28-(_xll.IMDP("IDX",$D28,"현재가",EDATE($E$5,-12),"fill=true")))/_xll.IMDP("IDX",$D28,"현재가",EDATE($E$5,-12),"fill=true")*100),"")</f>
        <v>13.120630543258589</v>
      </c>
      <c r="M28" s="5">
        <f ca="1">IF(ISERROR($A28),"-",_xll.IMDP("IDX",$D28,"외국인보유비중(시총)",$E$5,$E$5))</f>
        <v>33.729999999999997</v>
      </c>
      <c r="N28" s="8" t="str">
        <f t="shared" ca="1" si="3"/>
        <v/>
      </c>
      <c r="O28" s="13" t="str">
        <f t="shared" ca="1" si="4"/>
        <v/>
      </c>
      <c r="P28" s="6"/>
      <c r="Q28" s="140"/>
      <c r="R28" s="140"/>
      <c r="V28" s="4" t="s">
        <v>45</v>
      </c>
      <c r="W28" s="4" t="s">
        <v>44</v>
      </c>
      <c r="X28" s="4" t="s">
        <v>125</v>
      </c>
      <c r="Y28" s="4" t="s">
        <v>14</v>
      </c>
      <c r="AF28" s="3">
        <f t="shared" si="5"/>
        <v>45127</v>
      </c>
      <c r="AH28" s="4">
        <f>SUM($W74:$W$74)/100</f>
        <v>1652.34</v>
      </c>
      <c r="AI28" s="4">
        <f>SUM($X74:$X$74)/100</f>
        <v>1503.95</v>
      </c>
      <c r="AJ28" s="4">
        <f>SUM($Y74:$Y$74)/100</f>
        <v>-3164.35</v>
      </c>
      <c r="AL28" s="4">
        <f>SUM($AA74:$AA$74)/100</f>
        <v>-621.02</v>
      </c>
      <c r="AM28" s="4">
        <f>SUM($AB74:$AB$74)/100</f>
        <v>275.20999999999998</v>
      </c>
      <c r="AN28" s="4">
        <f>SUM($AC74:$AC$74)/100</f>
        <v>552.22</v>
      </c>
      <c r="AP28" s="4">
        <f>SUM($AE74:$AE$74)/100</f>
        <v>189.7</v>
      </c>
      <c r="AQ28" s="4">
        <f>SUM($AF74:$AF$74)/100</f>
        <v>418.67</v>
      </c>
      <c r="AR28" s="4">
        <f>SUM($AG74:$AG$74)/100</f>
        <v>-825.37</v>
      </c>
      <c r="AT28" s="4">
        <f>SUM($AI74:$AI$74)</f>
        <v>2475</v>
      </c>
      <c r="AU28" s="4">
        <f>SUM($AJ74:$AJ$74)</f>
        <v>310</v>
      </c>
      <c r="AV28" s="4">
        <f>SUM($AK74:$AK$74)</f>
        <v>-3634</v>
      </c>
    </row>
    <row r="29" spans="1:48">
      <c r="A29" s="4">
        <f t="shared" si="0"/>
        <v>29</v>
      </c>
      <c r="C29" s="12" t="str">
        <f t="shared" si="1"/>
        <v>서비스업</v>
      </c>
      <c r="D29" s="4" t="str">
        <f t="shared" si="2"/>
        <v>026</v>
      </c>
      <c r="E29" s="209">
        <f ca="1">IF(ISERROR($A29),"-",_xll.IMDP("IDX",$D29,"현재가",$E$5))</f>
        <v>1113.03</v>
      </c>
      <c r="F29" s="213">
        <f ca="1">IF(ISERROR($A29),"-",_xll.IMDP("IDX",$D29,"전일대비",$E$5))</f>
        <v>-16.100000000000001</v>
      </c>
      <c r="G29" s="213">
        <f ca="1">IF(ISERROR($A29),"-",_xll.IMDP("IDX",$D29,"등락률",$E$5))</f>
        <v>-1.43</v>
      </c>
      <c r="H29" s="212">
        <f ca="1">IFERROR( IF(ISERROR($A29),"-",($E29-(_xll.IMDP("IDX",$D29,"현재가",$E$5-7,"fill=true")))/_xll.IMDP("IDX",$D29,"현재가",$E$5-7,"fill=true")*100), "")</f>
        <v>-3.5911961125691896</v>
      </c>
      <c r="I29" s="213">
        <f ca="1">IFERROR( IF(ISERROR($A29),"-",($E29-(_xll.IMDP("IDX",$D29,"현재가",EDATE($E$5,-1),"fill=true")))/_xll.IMDP("IDX",$D29,"현재가",EDATE($E$5,-1),"fill=true")*100),"")</f>
        <v>-1.638431559691399</v>
      </c>
      <c r="J29" s="213">
        <f ca="1">IFERROR( IF(ISERROR($A29),"-",($E29-(_xll.IMDP("IDX",$D29,"현재가",EDATE($E$5,-3),"fill=true")))/_xll.IMDP("IDX",$D29,"현재가",EDATE($E$5,-3),"fill=true")*100),"")</f>
        <v>-5.6610330389381405</v>
      </c>
      <c r="K29" s="213">
        <f ca="1">IFERROR( IF(ISERROR($A29),"-",($E29-(_xll.IMDP("IDX",$D29,"현재가",EDATE($E$5,-6),"fill=true")))/_xll.IMDP("IDX",$D29,"현재가",EDATE($E$5,-6),"fill=true")*100),"")</f>
        <v>-7.1352884735722322</v>
      </c>
      <c r="L29" s="213">
        <f ca="1">IFERROR( IF(ISERROR($A29),"-",($E29-(_xll.IMDP("IDX",$D29,"현재가",EDATE($E$5,-12),"fill=true")))/_xll.IMDP("IDX",$D29,"현재가",EDATE($E$5,-12),"fill=true")*100),"")</f>
        <v>-18.884823927238813</v>
      </c>
      <c r="M29" s="5">
        <f ca="1">IF(ISERROR($A29),"-",_xll.IMDP("IDX",$D29,"외국인보유비중(시총)",$E$5,$E$5))</f>
        <v>27.57</v>
      </c>
      <c r="N29" s="8" t="str">
        <f t="shared" ca="1" si="3"/>
        <v>||</v>
      </c>
      <c r="O29" s="13" t="str">
        <f t="shared" ca="1" si="4"/>
        <v/>
      </c>
      <c r="P29" s="6"/>
      <c r="Q29" s="140"/>
      <c r="R29" s="140"/>
      <c r="V29" s="4" t="s">
        <v>47</v>
      </c>
      <c r="W29" s="4" t="s">
        <v>46</v>
      </c>
      <c r="X29" s="4" t="s">
        <v>127</v>
      </c>
      <c r="Y29" s="4" t="s">
        <v>126</v>
      </c>
    </row>
    <row r="30" spans="1:48">
      <c r="A30" s="4">
        <f t="shared" si="0"/>
        <v>30</v>
      </c>
      <c r="C30" s="12" t="str">
        <f t="shared" si="1"/>
        <v>제조업</v>
      </c>
      <c r="D30" s="4" t="str">
        <f t="shared" si="2"/>
        <v>027</v>
      </c>
      <c r="E30" s="209">
        <f ca="1">IF(ISERROR($A30),"-",_xll.IMDP("IDX",$D30,"현재가",$E$5))</f>
        <v>6811.7</v>
      </c>
      <c r="F30" s="213">
        <f ca="1">IF(ISERROR($A30),"-",_xll.IMDP("IDX",$D30,"전일대비",$E$5))</f>
        <v>1.47</v>
      </c>
      <c r="G30" s="213">
        <f ca="1">IF(ISERROR($A30),"-",_xll.IMDP("IDX",$D30,"등락률",$E$5))</f>
        <v>0.02</v>
      </c>
      <c r="H30" s="212">
        <f ca="1">IFERROR( IF(ISERROR($A30),"-",($E30-(_xll.IMDP("IDX",$D30,"현재가",$E$5-7,"fill=true")))/_xll.IMDP("IDX",$D30,"현재가",$E$5-7,"fill=true")*100), "")</f>
        <v>-3.3642414922171642</v>
      </c>
      <c r="I30" s="213">
        <f ca="1">IFERROR( IF(ISERROR($A30),"-",($E30-(_xll.IMDP("IDX",$D30,"현재가",EDATE($E$5,-1),"fill=true")))/_xll.IMDP("IDX",$D30,"현재가",EDATE($E$5,-1),"fill=true")*100),"")</f>
        <v>-5.1988448557809424</v>
      </c>
      <c r="J30" s="213">
        <f ca="1">IFERROR( IF(ISERROR($A30),"-",($E30-(_xll.IMDP("IDX",$D30,"현재가",EDATE($E$5,-3),"fill=true")))/_xll.IMDP("IDX",$D30,"현재가",EDATE($E$5,-3),"fill=true")*100),"")</f>
        <v>1.6856800790591733</v>
      </c>
      <c r="K30" s="213">
        <f ca="1">IFERROR( IF(ISERROR($A30),"-",($E30-(_xll.IMDP("IDX",$D30,"현재가",EDATE($E$5,-6),"fill=true")))/_xll.IMDP("IDX",$D30,"현재가",EDATE($E$5,-6),"fill=true")*100),"")</f>
        <v>5.5697795521610853</v>
      </c>
      <c r="L30" s="213">
        <f ca="1">IFERROR( IF(ISERROR($A30),"-",($E30-(_xll.IMDP("IDX",$D30,"현재가",EDATE($E$5,-12),"fill=true")))/_xll.IMDP("IDX",$D30,"현재가",EDATE($E$5,-12),"fill=true")*100),"")</f>
        <v>5.2196626705531051</v>
      </c>
      <c r="M30" s="5">
        <f ca="1">IF(ISERROR($A30),"-",_xll.IMDP("IDX",$D30,"외국인보유비중(시총)",$E$5,$E$5))</f>
        <v>33.43</v>
      </c>
      <c r="N30" s="8" t="str">
        <f t="shared" ca="1" si="3"/>
        <v/>
      </c>
      <c r="O30" s="13" t="str">
        <f t="shared" ca="1" si="4"/>
        <v/>
      </c>
      <c r="P30" s="6"/>
      <c r="Q30" s="140"/>
      <c r="R30" s="140"/>
      <c r="V30" s="4" t="s">
        <v>49</v>
      </c>
      <c r="W30" s="4" t="s">
        <v>48</v>
      </c>
      <c r="X30" s="4" t="s">
        <v>129</v>
      </c>
      <c r="Y30" s="4" t="s">
        <v>128</v>
      </c>
    </row>
    <row r="31" spans="1:48">
      <c r="A31" s="4">
        <f t="shared" si="0"/>
        <v>31</v>
      </c>
      <c r="C31" s="12" t="str">
        <f t="shared" si="1"/>
        <v>KRX 리츠인프라 지수</v>
      </c>
      <c r="D31" s="4" t="str">
        <f t="shared" si="2"/>
        <v>028</v>
      </c>
      <c r="E31" s="209">
        <f ca="1">IF(ISERROR($A31),"-",_xll.IMDP("IDX",$D31,"현재가",$E$5))</f>
        <v>1340.16</v>
      </c>
      <c r="F31" s="213">
        <f ca="1">IF(ISERROR($A31),"-",_xll.IMDP("IDX",$D31,"전일대비",$E$5))</f>
        <v>-14.99</v>
      </c>
      <c r="G31" s="213">
        <f ca="1">IF(ISERROR($A31),"-",_xll.IMDP("IDX",$D31,"등락률",$E$5))</f>
        <v>-1.1100000000000001</v>
      </c>
      <c r="H31" s="212">
        <f ca="1">IFERROR( IF(ISERROR($A31),"-",($E31-(_xll.IMDP("IDX",$D31,"현재가",$E$5-7,"fill=true")))/_xll.IMDP("IDX",$D31,"현재가",$E$5-7,"fill=true")*100), "")</f>
        <v>-0.47750243206914034</v>
      </c>
      <c r="I31" s="213">
        <f ca="1">IFERROR( IF(ISERROR($A31),"-",($E31-(_xll.IMDP("IDX",$D31,"현재가",EDATE($E$5,-1),"fill=true")))/_xll.IMDP("IDX",$D31,"현재가",EDATE($E$5,-1),"fill=true")*100),"")</f>
        <v>-7.1795653197766942</v>
      </c>
      <c r="J31" s="213">
        <f ca="1">IFERROR( IF(ISERROR($A31),"-",($E31-(_xll.IMDP("IDX",$D31,"현재가",EDATE($E$5,-3),"fill=true")))/_xll.IMDP("IDX",$D31,"현재가",EDATE($E$5,-3),"fill=true")*100),"")</f>
        <v>-9.1287573146007155</v>
      </c>
      <c r="K31" s="213">
        <f ca="1">IFERROR( IF(ISERROR($A31),"-",($E31-(_xll.IMDP("IDX",$D31,"현재가",EDATE($E$5,-6),"fill=true")))/_xll.IMDP("IDX",$D31,"현재가",EDATE($E$5,-6),"fill=true")*100),"")</f>
        <v>-9.8476337829201768</v>
      </c>
      <c r="L31" s="213">
        <f ca="1">IFERROR( IF(ISERROR($A31),"-",($E31-(_xll.IMDP("IDX",$D31,"현재가",EDATE($E$5,-12),"fill=true")))/_xll.IMDP("IDX",$D31,"현재가",EDATE($E$5,-12),"fill=true")*100),"")</f>
        <v>-21.244887405387615</v>
      </c>
      <c r="M31" s="5" t="str">
        <f ca="1">IF(ISERROR($A31),"-",_xll.IMDP("IDX",$D31,"외국인보유비중(시총)",$E$5,$E$5))</f>
        <v/>
      </c>
      <c r="N31" s="8" t="str">
        <f t="shared" ca="1" si="3"/>
        <v>|||</v>
      </c>
      <c r="O31" s="13" t="str">
        <f t="shared" ca="1" si="4"/>
        <v/>
      </c>
      <c r="P31" s="6"/>
      <c r="Q31" s="140"/>
      <c r="R31" s="140"/>
      <c r="V31" s="207" t="s">
        <v>370</v>
      </c>
      <c r="W31" s="4" t="s">
        <v>371</v>
      </c>
      <c r="X31" s="4" t="s">
        <v>131</v>
      </c>
      <c r="Y31" s="4" t="s">
        <v>130</v>
      </c>
    </row>
    <row r="32" spans="1:48">
      <c r="A32" s="4" t="e">
        <f t="shared" ca="1" si="0"/>
        <v>#N/A</v>
      </c>
      <c r="C32" s="12" t="str">
        <f t="shared" ca="1" si="1"/>
        <v>-</v>
      </c>
      <c r="D32" s="4" t="str">
        <f t="shared" ref="D32:D46" si="6">IF($E$4="KOSPI",$Z32,$X32)</f>
        <v>201</v>
      </c>
      <c r="E32" s="210" t="str">
        <f ca="1">IF(ISERROR($A32),"-",_xll.IMDP("IDX",$D32,"현재가",$E$5))</f>
        <v>-</v>
      </c>
      <c r="F32" s="215" t="str">
        <f ca="1">IF(ISERROR($A32),"-",_xll.IMDP("IDX",$D32,"전일대비",$E$5))</f>
        <v>-</v>
      </c>
      <c r="G32" s="215" t="str">
        <f ca="1">IF(ISERROR($A32),"-",_xll.IMDP("IDX",$D32,"등락률",$E$5))</f>
        <v>-</v>
      </c>
      <c r="H32" s="215" t="str">
        <f ca="1">IFERROR( IF(ISERROR($A32),"-",($E32-(_xll.IMDP("IDX",$D32,"현재가",$E$5-7,"fill=true")))/_xll.IMDP("IDX",$D32,"현재가",$E$5-7,"fill=true")*100), "")</f>
        <v>-</v>
      </c>
      <c r="I32" s="215" t="str">
        <f ca="1">IFERROR( IF(ISERROR($A32),"-",($E32-(_xll.IMDP("IDX",$D32,"현재가",EDATE($E$5,-1),"fill=true")))/_xll.IMDP("IDX",$D32,"현재가",EDATE($E$5,-1),"fill=true")*100),"")</f>
        <v>-</v>
      </c>
      <c r="J32" s="215" t="str">
        <f ca="1">IFERROR( IF(ISERROR($A32),"-",($E32-(_xll.IMDP("IDX",$D32,"현재가",EDATE($E$5,-3),"fill=true")))/_xll.IMDP("IDX",$D32,"현재가",EDATE($E$5,-3),"fill=true")*100),"")</f>
        <v>-</v>
      </c>
      <c r="K32" s="215" t="str">
        <f ca="1">IFERROR( IF(ISERROR($A32),"-",($E32-(_xll.IMDP("IDX",$D32,"현재가",EDATE($E$5,-6),"fill=true")))/_xll.IMDP("IDX",$D32,"현재가",EDATE($E$5,-6),"fill=true")*100),"")</f>
        <v>-</v>
      </c>
      <c r="L32" s="215" t="str">
        <f ca="1">IFERROR( IF(ISERROR($A32),"-",($E32-(_xll.IMDP("IDX",$D32,"현재가",EDATE($E$5,-12),"fill=true")))/_xll.IMDP("IDX",$D32,"현재가",EDATE($E$5,-12),"fill=true")*100),"")</f>
        <v>-</v>
      </c>
      <c r="M32" s="7" t="str">
        <f ca="1">IF(ISERROR($A32),"-",_xll.IMDP("IDX",$D32,"외국인보유비중(시총)",$E$5,$E$5))</f>
        <v>-</v>
      </c>
      <c r="N32" s="8" t="str">
        <f t="shared" ca="1" si="3"/>
        <v/>
      </c>
      <c r="O32" s="13" t="str">
        <f t="shared" ca="1" si="4"/>
        <v/>
      </c>
      <c r="P32" s="6"/>
      <c r="Q32" s="140"/>
      <c r="R32" s="140"/>
      <c r="X32" s="4" t="s">
        <v>133</v>
      </c>
      <c r="Y32" s="4" t="s">
        <v>132</v>
      </c>
      <c r="Z32" s="4" t="s">
        <v>51</v>
      </c>
      <c r="AA32" s="4" t="s">
        <v>50</v>
      </c>
    </row>
    <row r="33" spans="1:30">
      <c r="A33" s="4" t="e">
        <f t="shared" ca="1" si="0"/>
        <v>#N/A</v>
      </c>
      <c r="C33" s="12" t="str">
        <f t="shared" ca="1" si="1"/>
        <v>-</v>
      </c>
      <c r="D33" s="4" t="str">
        <f t="shared" si="6"/>
        <v>202</v>
      </c>
      <c r="E33" s="210" t="str">
        <f ca="1">IF(ISERROR($A33),"-",_xll.IMDP("IDX",$D33,"현재가",$E$5))</f>
        <v>-</v>
      </c>
      <c r="F33" s="215" t="str">
        <f ca="1">IF(ISERROR($A33),"-",_xll.IMDP("IDX",$D33,"전일대비",$E$5))</f>
        <v>-</v>
      </c>
      <c r="G33" s="215" t="str">
        <f ca="1">IF(ISERROR($A33),"-",_xll.IMDP("IDX",$D33,"등락률",$E$5))</f>
        <v>-</v>
      </c>
      <c r="H33" s="215" t="str">
        <f ca="1">IFERROR( IF(ISERROR($A33),"-",($E33-(_xll.IMDP("IDX",$D33,"현재가",$E$5-7,"fill=true")))/_xll.IMDP("IDX",$D33,"현재가",$E$5-7,"fill=true")*100), "")</f>
        <v>-</v>
      </c>
      <c r="I33" s="215" t="str">
        <f ca="1">IFERROR( IF(ISERROR($A33),"-",($E33-(_xll.IMDP("IDX",$D33,"현재가",EDATE($E$5,-1),"fill=true")))/_xll.IMDP("IDX",$D33,"현재가",EDATE($E$5,-1),"fill=true")*100),"")</f>
        <v>-</v>
      </c>
      <c r="J33" s="215" t="str">
        <f ca="1">IFERROR( IF(ISERROR($A33),"-",($E33-(_xll.IMDP("IDX",$D33,"현재가",EDATE($E$5,-3),"fill=true")))/_xll.IMDP("IDX",$D33,"현재가",EDATE($E$5,-3),"fill=true")*100),"")</f>
        <v>-</v>
      </c>
      <c r="K33" s="215" t="str">
        <f ca="1">IFERROR( IF(ISERROR($A33),"-",($E33-(_xll.IMDP("IDX",$D33,"현재가",EDATE($E$5,-6),"fill=true")))/_xll.IMDP("IDX",$D33,"현재가",EDATE($E$5,-6),"fill=true")*100),"")</f>
        <v>-</v>
      </c>
      <c r="L33" s="215" t="str">
        <f ca="1">IFERROR( IF(ISERROR($A33),"-",($E33-(_xll.IMDP("IDX",$D33,"현재가",EDATE($E$5,-12),"fill=true")))/_xll.IMDP("IDX",$D33,"현재가",EDATE($E$5,-12),"fill=true")*100),"")</f>
        <v>-</v>
      </c>
      <c r="M33" s="7" t="str">
        <f ca="1">IF(ISERROR($A33),"-",_xll.IMDP("IDX",$D33,"외국인보유비중(시총)",$E$5,$E$5))</f>
        <v>-</v>
      </c>
      <c r="N33" s="8" t="str">
        <f t="shared" ca="1" si="3"/>
        <v/>
      </c>
      <c r="O33" s="13" t="str">
        <f t="shared" ca="1" si="4"/>
        <v/>
      </c>
      <c r="P33" s="6"/>
      <c r="Q33" s="140"/>
      <c r="R33" s="140"/>
      <c r="X33" s="4" t="s">
        <v>135</v>
      </c>
      <c r="Y33" s="4" t="s">
        <v>134</v>
      </c>
      <c r="Z33" s="4" t="s">
        <v>53</v>
      </c>
      <c r="AA33" s="4" t="s">
        <v>52</v>
      </c>
    </row>
    <row r="34" spans="1:30">
      <c r="A34" s="4" t="e">
        <f t="shared" ca="1" si="0"/>
        <v>#N/A</v>
      </c>
      <c r="C34" s="12" t="str">
        <f t="shared" ca="1" si="1"/>
        <v>-</v>
      </c>
      <c r="D34" s="4" t="str">
        <f t="shared" si="6"/>
        <v>203</v>
      </c>
      <c r="E34" s="210" t="str">
        <f ca="1">IF(ISERROR($A34),"-",_xll.IMDP("IDX",$D34,"현재가",$E$5))</f>
        <v>-</v>
      </c>
      <c r="F34" s="215" t="str">
        <f ca="1">IF(ISERROR($A34),"-",_xll.IMDP("IDX",$D34,"전일대비",$E$5))</f>
        <v>-</v>
      </c>
      <c r="G34" s="215" t="str">
        <f ca="1">IF(ISERROR($A34),"-",_xll.IMDP("IDX",$D34,"등락률",$E$5))</f>
        <v>-</v>
      </c>
      <c r="H34" s="215" t="str">
        <f ca="1">IFERROR( IF(ISERROR($A34),"-",($E34-(_xll.IMDP("IDX",$D34,"현재가",$E$5-7,"fill=true")))/_xll.IMDP("IDX",$D34,"현재가",$E$5-7,"fill=true")*100), "")</f>
        <v>-</v>
      </c>
      <c r="I34" s="215" t="str">
        <f ca="1">IFERROR( IF(ISERROR($A34),"-",($E34-(_xll.IMDP("IDX",$D34,"현재가",EDATE($E$5,-1),"fill=true")))/_xll.IMDP("IDX",$D34,"현재가",EDATE($E$5,-1),"fill=true")*100),"")</f>
        <v>-</v>
      </c>
      <c r="J34" s="215" t="str">
        <f ca="1">IFERROR( IF(ISERROR($A34),"-",($E34-(_xll.IMDP("IDX",$D34,"현재가",EDATE($E$5,-3),"fill=true")))/_xll.IMDP("IDX",$D34,"현재가",EDATE($E$5,-3),"fill=true")*100),"")</f>
        <v>-</v>
      </c>
      <c r="K34" s="215" t="str">
        <f ca="1">IFERROR( IF(ISERROR($A34),"-",($E34-(_xll.IMDP("IDX",$D34,"현재가",EDATE($E$5,-6),"fill=true")))/_xll.IMDP("IDX",$D34,"현재가",EDATE($E$5,-6),"fill=true")*100),"")</f>
        <v>-</v>
      </c>
      <c r="L34" s="215" t="str">
        <f ca="1">IFERROR( IF(ISERROR($A34),"-",($E34-(_xll.IMDP("IDX",$D34,"현재가",EDATE($E$5,-12),"fill=true")))/_xll.IMDP("IDX",$D34,"현재가",EDATE($E$5,-12),"fill=true")*100),"")</f>
        <v>-</v>
      </c>
      <c r="M34" s="7" t="str">
        <f ca="1">IF(ISERROR($A34),"-",_xll.IMDP("IDX",$D34,"외국인보유비중(시총)",$E$5,$E$5))</f>
        <v>-</v>
      </c>
      <c r="N34" s="8" t="str">
        <f t="shared" ca="1" si="3"/>
        <v/>
      </c>
      <c r="O34" s="13" t="str">
        <f t="shared" ca="1" si="4"/>
        <v/>
      </c>
      <c r="P34" s="6"/>
      <c r="Q34" s="140"/>
      <c r="R34" s="140"/>
      <c r="X34" s="4" t="s">
        <v>137</v>
      </c>
      <c r="Y34" s="4" t="s">
        <v>136</v>
      </c>
      <c r="Z34" s="4" t="s">
        <v>55</v>
      </c>
      <c r="AA34" s="4" t="s">
        <v>54</v>
      </c>
    </row>
    <row r="35" spans="1:30">
      <c r="A35" s="4" t="e">
        <f t="shared" ca="1" si="0"/>
        <v>#N/A</v>
      </c>
      <c r="C35" s="12" t="str">
        <f t="shared" ca="1" si="1"/>
        <v>-</v>
      </c>
      <c r="D35" s="4" t="str">
        <f t="shared" si="6"/>
        <v>212</v>
      </c>
      <c r="E35" s="210" t="str">
        <f ca="1">IF(ISERROR($A35),"-",_xll.IMDP("IDX",$D35,"현재가",$E$5))</f>
        <v>-</v>
      </c>
      <c r="F35" s="215" t="str">
        <f ca="1">IF(ISERROR($A35),"-",_xll.IMDP("IDX",$D35,"전일대비",$E$5))</f>
        <v>-</v>
      </c>
      <c r="G35" s="215" t="str">
        <f ca="1">IF(ISERROR($A35),"-",_xll.IMDP("IDX",$D35,"등락률",$E$5))</f>
        <v>-</v>
      </c>
      <c r="H35" s="215" t="str">
        <f ca="1">IFERROR( IF(ISERROR($A35),"-",($E35-(_xll.IMDP("IDX",$D35,"현재가",$E$5-7,"fill=true")))/_xll.IMDP("IDX",$D35,"현재가",$E$5-7,"fill=true")*100), "")</f>
        <v>-</v>
      </c>
      <c r="I35" s="215" t="str">
        <f ca="1">IFERROR( IF(ISERROR($A35),"-",($E35-(_xll.IMDP("IDX",$D35,"현재가",EDATE($E$5,-1),"fill=true")))/_xll.IMDP("IDX",$D35,"현재가",EDATE($E$5,-1),"fill=true")*100),"")</f>
        <v>-</v>
      </c>
      <c r="J35" s="215" t="str">
        <f ca="1">IFERROR( IF(ISERROR($A35),"-",($E35-(_xll.IMDP("IDX",$D35,"현재가",EDATE($E$5,-3),"fill=true")))/_xll.IMDP("IDX",$D35,"현재가",EDATE($E$5,-3),"fill=true")*100),"")</f>
        <v>-</v>
      </c>
      <c r="K35" s="215" t="str">
        <f ca="1">IFERROR( IF(ISERROR($A35),"-",($E35-(_xll.IMDP("IDX",$D35,"현재가",EDATE($E$5,-6),"fill=true")))/_xll.IMDP("IDX",$D35,"현재가",EDATE($E$5,-6),"fill=true")*100),"")</f>
        <v>-</v>
      </c>
      <c r="L35" s="215" t="str">
        <f ca="1">IFERROR( IF(ISERROR($A35),"-",($E35-(_xll.IMDP("IDX",$D35,"현재가",EDATE($E$5,-12),"fill=true")))/_xll.IMDP("IDX",$D35,"현재가",EDATE($E$5,-12),"fill=true")*100),"")</f>
        <v>-</v>
      </c>
      <c r="M35" s="7" t="str">
        <f ca="1">IF(ISERROR($A35),"-",_xll.IMDP("IDX",$D35,"외국인보유비중(시총)",$E$5,$E$5))</f>
        <v>-</v>
      </c>
      <c r="N35" s="8" t="str">
        <f t="shared" ca="1" si="3"/>
        <v/>
      </c>
      <c r="O35" s="13" t="str">
        <f t="shared" ca="1" si="4"/>
        <v/>
      </c>
      <c r="P35" s="6"/>
      <c r="Q35" s="140"/>
      <c r="R35" s="140"/>
      <c r="X35" s="4" t="s">
        <v>139</v>
      </c>
      <c r="Y35" s="4" t="s">
        <v>138</v>
      </c>
      <c r="Z35" s="4" t="s">
        <v>57</v>
      </c>
      <c r="AA35" s="4" t="s">
        <v>56</v>
      </c>
    </row>
    <row r="36" spans="1:30">
      <c r="A36" s="4" t="e">
        <f t="shared" ca="1" si="0"/>
        <v>#N/A</v>
      </c>
      <c r="C36" s="12" t="str">
        <f t="shared" ca="1" si="1"/>
        <v>-</v>
      </c>
      <c r="D36" s="4" t="str">
        <f t="shared" si="6"/>
        <v>213</v>
      </c>
      <c r="E36" s="210" t="str">
        <f ca="1">IF(ISERROR($A36),"-",_xll.IMDP("IDX",$D36,"현재가",$E$5))</f>
        <v>-</v>
      </c>
      <c r="F36" s="215" t="str">
        <f ca="1">IF(ISERROR($A36),"-",_xll.IMDP("IDX",$D36,"전일대비",$E$5))</f>
        <v>-</v>
      </c>
      <c r="G36" s="215" t="str">
        <f ca="1">IF(ISERROR($A36),"-",_xll.IMDP("IDX",$D36,"등락률",$E$5))</f>
        <v>-</v>
      </c>
      <c r="H36" s="215" t="str">
        <f ca="1">IFERROR( IF(ISERROR($A36),"-",($E36-(_xll.IMDP("IDX",$D36,"현재가",$E$5-7,"fill=true")))/_xll.IMDP("IDX",$D36,"현재가",$E$5-7,"fill=true")*100), "")</f>
        <v>-</v>
      </c>
      <c r="I36" s="215" t="str">
        <f ca="1">IFERROR( IF(ISERROR($A36),"-",($E36-(_xll.IMDP("IDX",$D36,"현재가",EDATE($E$5,-1),"fill=true")))/_xll.IMDP("IDX",$D36,"현재가",EDATE($E$5,-1),"fill=true")*100),"")</f>
        <v>-</v>
      </c>
      <c r="J36" s="215" t="str">
        <f ca="1">IFERROR( IF(ISERROR($A36),"-",($E36-(_xll.IMDP("IDX",$D36,"현재가",EDATE($E$5,-3),"fill=true")))/_xll.IMDP("IDX",$D36,"현재가",EDATE($E$5,-3),"fill=true")*100),"")</f>
        <v>-</v>
      </c>
      <c r="K36" s="215" t="str">
        <f ca="1">IFERROR( IF(ISERROR($A36),"-",($E36-(_xll.IMDP("IDX",$D36,"현재가",EDATE($E$5,-6),"fill=true")))/_xll.IMDP("IDX",$D36,"현재가",EDATE($E$5,-6),"fill=true")*100),"")</f>
        <v>-</v>
      </c>
      <c r="L36" s="215" t="str">
        <f ca="1">IFERROR( IF(ISERROR($A36),"-",($E36-(_xll.IMDP("IDX",$D36,"현재가",EDATE($E$5,-12),"fill=true")))/_xll.IMDP("IDX",$D36,"현재가",EDATE($E$5,-12),"fill=true")*100),"")</f>
        <v>-</v>
      </c>
      <c r="M36" s="7" t="str">
        <f ca="1">IF(ISERROR($A36),"-",_xll.IMDP("IDX",$D36,"외국인보유비중(시총)",$E$5,$E$5))</f>
        <v>-</v>
      </c>
      <c r="N36" s="8" t="str">
        <f t="shared" ca="1" si="3"/>
        <v/>
      </c>
      <c r="O36" s="13" t="str">
        <f t="shared" ca="1" si="4"/>
        <v/>
      </c>
      <c r="P36" s="6"/>
      <c r="Q36" s="140"/>
      <c r="R36" s="140"/>
      <c r="X36" s="4" t="s">
        <v>141</v>
      </c>
      <c r="Y36" s="4" t="s">
        <v>140</v>
      </c>
      <c r="Z36" s="4" t="s">
        <v>59</v>
      </c>
      <c r="AA36" s="4" t="s">
        <v>58</v>
      </c>
    </row>
    <row r="37" spans="1:30">
      <c r="A37" s="4" t="e">
        <f t="shared" ca="1" si="0"/>
        <v>#N/A</v>
      </c>
      <c r="C37" s="12" t="str">
        <f t="shared" ca="1" si="1"/>
        <v>-</v>
      </c>
      <c r="D37" s="4" t="str">
        <f t="shared" si="6"/>
        <v>214</v>
      </c>
      <c r="E37" s="210" t="str">
        <f ca="1">IF(ISERROR($A37),"-",_xll.IMDP("IDX",$D37,"현재가",$E$5))</f>
        <v>-</v>
      </c>
      <c r="F37" s="215" t="str">
        <f ca="1">IF(ISERROR($A37),"-",_xll.IMDP("IDX",$D37,"전일대비",$E$5))</f>
        <v>-</v>
      </c>
      <c r="G37" s="215" t="str">
        <f ca="1">IF(ISERROR($A37),"-",_xll.IMDP("IDX",$D37,"등락률",$E$5))</f>
        <v>-</v>
      </c>
      <c r="H37" s="215" t="str">
        <f ca="1">IFERROR( IF(ISERROR($A37),"-",($E37-(_xll.IMDP("IDX",$D37,"현재가",$E$5-7,"fill=true")))/_xll.IMDP("IDX",$D37,"현재가",$E$5-7,"fill=true")*100), "")</f>
        <v>-</v>
      </c>
      <c r="I37" s="215" t="str">
        <f ca="1">IFERROR( IF(ISERROR($A37),"-",($E37-(_xll.IMDP("IDX",$D37,"현재가",EDATE($E$5,-1),"fill=true")))/_xll.IMDP("IDX",$D37,"현재가",EDATE($E$5,-1),"fill=true")*100),"")</f>
        <v>-</v>
      </c>
      <c r="J37" s="215" t="str">
        <f ca="1">IFERROR( IF(ISERROR($A37),"-",($E37-(_xll.IMDP("IDX",$D37,"현재가",EDATE($E$5,-3),"fill=true")))/_xll.IMDP("IDX",$D37,"현재가",EDATE($E$5,-3),"fill=true")*100),"")</f>
        <v>-</v>
      </c>
      <c r="K37" s="215" t="str">
        <f ca="1">IFERROR( IF(ISERROR($A37),"-",($E37-(_xll.IMDP("IDX",$D37,"현재가",EDATE($E$5,-6),"fill=true")))/_xll.IMDP("IDX",$D37,"현재가",EDATE($E$5,-6),"fill=true")*100),"")</f>
        <v>-</v>
      </c>
      <c r="L37" s="215" t="str">
        <f ca="1">IFERROR( IF(ISERROR($A37),"-",($E37-(_xll.IMDP("IDX",$D37,"현재가",EDATE($E$5,-12),"fill=true")))/_xll.IMDP("IDX",$D37,"현재가",EDATE($E$5,-12),"fill=true")*100),"")</f>
        <v>-</v>
      </c>
      <c r="M37" s="7" t="str">
        <f ca="1">IF(ISERROR($A37),"-",_xll.IMDP("IDX",$D37,"외국인보유비중(시총)",$E$5,$E$5))</f>
        <v>-</v>
      </c>
      <c r="N37" s="8" t="str">
        <f t="shared" ca="1" si="3"/>
        <v/>
      </c>
      <c r="O37" s="13" t="str">
        <f t="shared" ca="1" si="4"/>
        <v/>
      </c>
      <c r="P37" s="6"/>
      <c r="Q37" s="140"/>
      <c r="R37" s="140"/>
      <c r="X37" s="4" t="s">
        <v>143</v>
      </c>
      <c r="Y37" s="4" t="s">
        <v>142</v>
      </c>
      <c r="Z37" s="4" t="s">
        <v>61</v>
      </c>
      <c r="AA37" s="4" t="s">
        <v>60</v>
      </c>
    </row>
    <row r="38" spans="1:30">
      <c r="A38" s="4" t="e">
        <f t="shared" ca="1" si="0"/>
        <v>#N/A</v>
      </c>
      <c r="C38" s="12" t="str">
        <f t="shared" ca="1" si="1"/>
        <v>-</v>
      </c>
      <c r="D38" s="4" t="str">
        <f t="shared" si="6"/>
        <v>215</v>
      </c>
      <c r="E38" s="210" t="str">
        <f ca="1">IF(ISERROR($A38),"-",_xll.IMDP("IDX",$D38,"현재가",$E$5))</f>
        <v>-</v>
      </c>
      <c r="F38" s="215" t="str">
        <f ca="1">IF(ISERROR($A38),"-",_xll.IMDP("IDX",$D38,"전일대비",$E$5))</f>
        <v>-</v>
      </c>
      <c r="G38" s="215" t="str">
        <f ca="1">IF(ISERROR($A38),"-",_xll.IMDP("IDX",$D38,"등락률",$E$5))</f>
        <v>-</v>
      </c>
      <c r="H38" s="215" t="str">
        <f ca="1">IFERROR( IF(ISERROR($A38),"-",($E38-(_xll.IMDP("IDX",$D38,"현재가",$E$5-7,"fill=true")))/_xll.IMDP("IDX",$D38,"현재가",$E$5-7,"fill=true")*100), "")</f>
        <v>-</v>
      </c>
      <c r="I38" s="215" t="str">
        <f ca="1">IFERROR( IF(ISERROR($A38),"-",($E38-(_xll.IMDP("IDX",$D38,"현재가",EDATE($E$5,-1),"fill=true")))/_xll.IMDP("IDX",$D38,"현재가",EDATE($E$5,-1),"fill=true")*100),"")</f>
        <v>-</v>
      </c>
      <c r="J38" s="215" t="str">
        <f ca="1">IFERROR( IF(ISERROR($A38),"-",($E38-(_xll.IMDP("IDX",$D38,"현재가",EDATE($E$5,-3),"fill=true")))/_xll.IMDP("IDX",$D38,"현재가",EDATE($E$5,-3),"fill=true")*100),"")</f>
        <v>-</v>
      </c>
      <c r="K38" s="215" t="str">
        <f ca="1">IFERROR( IF(ISERROR($A38),"-",($E38-(_xll.IMDP("IDX",$D38,"현재가",EDATE($E$5,-6),"fill=true")))/_xll.IMDP("IDX",$D38,"현재가",EDATE($E$5,-6),"fill=true")*100),"")</f>
        <v>-</v>
      </c>
      <c r="L38" s="215" t="str">
        <f ca="1">IFERROR( IF(ISERROR($A38),"-",($E38-(_xll.IMDP("IDX",$D38,"현재가",EDATE($E$5,-12),"fill=true")))/_xll.IMDP("IDX",$D38,"현재가",EDATE($E$5,-12),"fill=true")*100),"")</f>
        <v>-</v>
      </c>
      <c r="M38" s="7" t="str">
        <f ca="1">IF(ISERROR($A38),"-",_xll.IMDP("IDX",$D38,"외국인보유비중(시총)",$E$5,$E$5))</f>
        <v>-</v>
      </c>
      <c r="N38" s="8" t="str">
        <f t="shared" ca="1" si="3"/>
        <v/>
      </c>
      <c r="O38" s="13" t="str">
        <f t="shared" ca="1" si="4"/>
        <v/>
      </c>
      <c r="P38" s="6"/>
      <c r="Q38" s="140"/>
      <c r="R38" s="140"/>
      <c r="X38" s="4" t="s">
        <v>145</v>
      </c>
      <c r="Y38" s="4" t="s">
        <v>144</v>
      </c>
      <c r="Z38" s="4" t="s">
        <v>63</v>
      </c>
      <c r="AA38" s="4" t="s">
        <v>62</v>
      </c>
    </row>
    <row r="39" spans="1:30">
      <c r="A39" s="4" t="e">
        <f t="shared" ca="1" si="0"/>
        <v>#N/A</v>
      </c>
      <c r="C39" s="12" t="str">
        <f t="shared" ca="1" si="1"/>
        <v>-</v>
      </c>
      <c r="D39" s="4" t="str">
        <f t="shared" si="6"/>
        <v>216</v>
      </c>
      <c r="E39" s="210" t="str">
        <f ca="1">IF(ISERROR($A39),"-",_xll.IMDP("IDX",$D39,"현재가",$E$5))</f>
        <v>-</v>
      </c>
      <c r="F39" s="215" t="str">
        <f ca="1">IF(ISERROR($A39),"-",_xll.IMDP("IDX",$D39,"전일대비",$E$5))</f>
        <v>-</v>
      </c>
      <c r="G39" s="215" t="str">
        <f ca="1">IF(ISERROR($A39),"-",_xll.IMDP("IDX",$D39,"등락률",$E$5))</f>
        <v>-</v>
      </c>
      <c r="H39" s="215" t="str">
        <f ca="1">IFERROR( IF(ISERROR($A39),"-",($E39-(_xll.IMDP("IDX",$D39,"현재가",$E$5-7,"fill=true")))/_xll.IMDP("IDX",$D39,"현재가",$E$5-7,"fill=true")*100), "")</f>
        <v>-</v>
      </c>
      <c r="I39" s="215" t="str">
        <f ca="1">IFERROR( IF(ISERROR($A39),"-",($E39-(_xll.IMDP("IDX",$D39,"현재가",EDATE($E$5,-1),"fill=true")))/_xll.IMDP("IDX",$D39,"현재가",EDATE($E$5,-1),"fill=true")*100),"")</f>
        <v>-</v>
      </c>
      <c r="J39" s="215" t="str">
        <f ca="1">IFERROR( IF(ISERROR($A39),"-",($E39-(_xll.IMDP("IDX",$D39,"현재가",EDATE($E$5,-3),"fill=true")))/_xll.IMDP("IDX",$D39,"현재가",EDATE($E$5,-3),"fill=true")*100),"")</f>
        <v>-</v>
      </c>
      <c r="K39" s="215" t="str">
        <f ca="1">IFERROR( IF(ISERROR($A39),"-",($E39-(_xll.IMDP("IDX",$D39,"현재가",EDATE($E$5,-6),"fill=true")))/_xll.IMDP("IDX",$D39,"현재가",EDATE($E$5,-6),"fill=true")*100),"")</f>
        <v>-</v>
      </c>
      <c r="L39" s="215" t="str">
        <f ca="1">IFERROR( IF(ISERROR($A39),"-",($E39-(_xll.IMDP("IDX",$D39,"현재가",EDATE($E$5,-12),"fill=true")))/_xll.IMDP("IDX",$D39,"현재가",EDATE($E$5,-12),"fill=true")*100),"")</f>
        <v>-</v>
      </c>
      <c r="M39" s="7" t="str">
        <f ca="1">IF(ISERROR($A39),"-",_xll.IMDP("IDX",$D39,"외국인보유비중(시총)",$E$5,$E$5))</f>
        <v>-</v>
      </c>
      <c r="N39" s="8" t="str">
        <f t="shared" ca="1" si="3"/>
        <v/>
      </c>
      <c r="O39" s="13" t="str">
        <f t="shared" ca="1" si="4"/>
        <v/>
      </c>
      <c r="P39" s="6"/>
      <c r="Q39" s="140"/>
      <c r="R39" s="140"/>
      <c r="X39" s="4" t="s">
        <v>147</v>
      </c>
      <c r="Y39" s="4" t="s">
        <v>146</v>
      </c>
      <c r="Z39" s="4" t="s">
        <v>65</v>
      </c>
      <c r="AA39" s="4" t="s">
        <v>64</v>
      </c>
    </row>
    <row r="40" spans="1:30">
      <c r="A40" s="4" t="e">
        <f t="shared" ca="1" si="0"/>
        <v>#N/A</v>
      </c>
      <c r="C40" s="12" t="str">
        <f t="shared" ca="1" si="1"/>
        <v>-</v>
      </c>
      <c r="D40" s="4" t="str">
        <f t="shared" si="6"/>
        <v>217</v>
      </c>
      <c r="E40" s="210" t="str">
        <f ca="1">IF(ISERROR($A40),"-",_xll.IMDP("IDX",$D40,"현재가",$E$5))</f>
        <v>-</v>
      </c>
      <c r="F40" s="215" t="str">
        <f ca="1">IF(ISERROR($A40),"-",_xll.IMDP("IDX",$D40,"전일대비",$E$5))</f>
        <v>-</v>
      </c>
      <c r="G40" s="215" t="str">
        <f ca="1">IF(ISERROR($A40),"-",_xll.IMDP("IDX",$D40,"등락률",$E$5))</f>
        <v>-</v>
      </c>
      <c r="H40" s="215" t="str">
        <f ca="1">IFERROR( IF(ISERROR($A40),"-",($E40-(_xll.IMDP("IDX",$D40,"현재가",$E$5-7,"fill=true")))/_xll.IMDP("IDX",$D40,"현재가",$E$5-7,"fill=true")*100), "")</f>
        <v>-</v>
      </c>
      <c r="I40" s="215" t="str">
        <f ca="1">IFERROR( IF(ISERROR($A40),"-",($E40-(_xll.IMDP("IDX",$D40,"현재가",EDATE($E$5,-1),"fill=true")))/_xll.IMDP("IDX",$D40,"현재가",EDATE($E$5,-1),"fill=true")*100),"")</f>
        <v>-</v>
      </c>
      <c r="J40" s="215" t="str">
        <f ca="1">IFERROR( IF(ISERROR($A40),"-",($E40-(_xll.IMDP("IDX",$D40,"현재가",EDATE($E$5,-3),"fill=true")))/_xll.IMDP("IDX",$D40,"현재가",EDATE($E$5,-3),"fill=true")*100),"")</f>
        <v>-</v>
      </c>
      <c r="K40" s="215" t="str">
        <f ca="1">IFERROR( IF(ISERROR($A40),"-",($E40-(_xll.IMDP("IDX",$D40,"현재가",EDATE($E$5,-6),"fill=true")))/_xll.IMDP("IDX",$D40,"현재가",EDATE($E$5,-6),"fill=true")*100),"")</f>
        <v>-</v>
      </c>
      <c r="L40" s="215" t="str">
        <f ca="1">IFERROR( IF(ISERROR($A40),"-",($E40-(_xll.IMDP("IDX",$D40,"현재가",EDATE($E$5,-12),"fill=true")))/_xll.IMDP("IDX",$D40,"현재가",EDATE($E$5,-12),"fill=true")*100),"")</f>
        <v>-</v>
      </c>
      <c r="M40" s="7" t="str">
        <f ca="1">IF(ISERROR($A40),"-",_xll.IMDP("IDX",$D40,"외국인보유비중(시총)",$E$5,$E$5))</f>
        <v>-</v>
      </c>
      <c r="N40" s="8" t="str">
        <f t="shared" ca="1" si="3"/>
        <v/>
      </c>
      <c r="O40" s="13" t="str">
        <f t="shared" ca="1" si="4"/>
        <v/>
      </c>
      <c r="P40" s="6"/>
      <c r="Q40" s="140"/>
      <c r="R40" s="140"/>
      <c r="X40" s="4" t="s">
        <v>149</v>
      </c>
      <c r="Y40" s="4" t="s">
        <v>148</v>
      </c>
      <c r="Z40" s="4" t="s">
        <v>67</v>
      </c>
      <c r="AA40" s="4" t="s">
        <v>66</v>
      </c>
    </row>
    <row r="41" spans="1:30">
      <c r="A41" s="4" t="e">
        <f t="shared" ca="1" si="0"/>
        <v>#N/A</v>
      </c>
      <c r="C41" s="12" t="str">
        <f t="shared" ca="1" si="1"/>
        <v>-</v>
      </c>
      <c r="D41" s="4" t="str">
        <f t="shared" si="6"/>
        <v>218</v>
      </c>
      <c r="E41" s="210" t="str">
        <f ca="1">IF(ISERROR($A41),"-",_xll.IMDP("IDX",$D41,"현재가",$E$5))</f>
        <v>-</v>
      </c>
      <c r="F41" s="215" t="str">
        <f ca="1">IF(ISERROR($A41),"-",_xll.IMDP("IDX",$D41,"전일대비",$E$5))</f>
        <v>-</v>
      </c>
      <c r="G41" s="215" t="str">
        <f ca="1">IF(ISERROR($A41),"-",_xll.IMDP("IDX",$D41,"등락률",$E$5))</f>
        <v>-</v>
      </c>
      <c r="H41" s="215" t="str">
        <f ca="1">IFERROR( IF(ISERROR($A41),"-",($E41-(_xll.IMDP("IDX",$D41,"현재가",$E$5-7,"fill=true")))/_xll.IMDP("IDX",$D41,"현재가",$E$5-7,"fill=true")*100), "")</f>
        <v>-</v>
      </c>
      <c r="I41" s="215" t="str">
        <f ca="1">IFERROR( IF(ISERROR($A41),"-",($E41-(_xll.IMDP("IDX",$D41,"현재가",EDATE($E$5,-1),"fill=true")))/_xll.IMDP("IDX",$D41,"현재가",EDATE($E$5,-1),"fill=true")*100),"")</f>
        <v>-</v>
      </c>
      <c r="J41" s="215" t="str">
        <f ca="1">IFERROR( IF(ISERROR($A41),"-",($E41-(_xll.IMDP("IDX",$D41,"현재가",EDATE($E$5,-3),"fill=true")))/_xll.IMDP("IDX",$D41,"현재가",EDATE($E$5,-3),"fill=true")*100),"")</f>
        <v>-</v>
      </c>
      <c r="K41" s="215" t="str">
        <f ca="1">IFERROR( IF(ISERROR($A41),"-",($E41-(_xll.IMDP("IDX",$D41,"현재가",EDATE($E$5,-6),"fill=true")))/_xll.IMDP("IDX",$D41,"현재가",EDATE($E$5,-6),"fill=true")*100),"")</f>
        <v>-</v>
      </c>
      <c r="L41" s="215" t="str">
        <f ca="1">IFERROR( IF(ISERROR($A41),"-",($E41-(_xll.IMDP("IDX",$D41,"현재가",EDATE($E$5,-12),"fill=true")))/_xll.IMDP("IDX",$D41,"현재가",EDATE($E$5,-12),"fill=true")*100),"")</f>
        <v>-</v>
      </c>
      <c r="M41" s="7" t="str">
        <f ca="1">IF(ISERROR($A41),"-",_xll.IMDP("IDX",$D41,"외국인보유비중(시총)",$E$5,$E$5))</f>
        <v>-</v>
      </c>
      <c r="N41" s="8" t="str">
        <f t="shared" ca="1" si="3"/>
        <v/>
      </c>
      <c r="O41" s="13" t="str">
        <f t="shared" ca="1" si="4"/>
        <v/>
      </c>
      <c r="P41" s="6"/>
      <c r="Q41" s="140"/>
      <c r="R41" s="140"/>
      <c r="X41" s="4" t="s">
        <v>151</v>
      </c>
      <c r="Y41" s="4" t="s">
        <v>150</v>
      </c>
      <c r="Z41" s="4" t="s">
        <v>69</v>
      </c>
      <c r="AA41" s="4" t="s">
        <v>68</v>
      </c>
    </row>
    <row r="42" spans="1:30">
      <c r="A42" s="4" t="e">
        <f t="shared" ca="1" si="0"/>
        <v>#N/A</v>
      </c>
      <c r="C42" s="12" t="str">
        <f t="shared" ca="1" si="1"/>
        <v>-</v>
      </c>
      <c r="D42" s="4" t="str">
        <f t="shared" si="6"/>
        <v>219</v>
      </c>
      <c r="E42" s="210" t="str">
        <f ca="1">IF(ISERROR($A42),"-",_xll.IMDP("IDX",$D42,"현재가",$E$5))</f>
        <v>-</v>
      </c>
      <c r="F42" s="215" t="str">
        <f ca="1">IF(ISERROR($A42),"-",_xll.IMDP("IDX",$D42,"전일대비",$E$5))</f>
        <v>-</v>
      </c>
      <c r="G42" s="215" t="str">
        <f ca="1">IF(ISERROR($A42),"-",_xll.IMDP("IDX",$D42,"등락률",$E$5))</f>
        <v>-</v>
      </c>
      <c r="H42" s="215" t="str">
        <f ca="1">IFERROR( IF(ISERROR($A42),"-",($E42-(_xll.IMDP("IDX",$D42,"현재가",$E$5-7,"fill=true")))/_xll.IMDP("IDX",$D42,"현재가",$E$5-7,"fill=true")*100), "")</f>
        <v>-</v>
      </c>
      <c r="I42" s="215" t="str">
        <f ca="1">IFERROR( IF(ISERROR($A42),"-",($E42-(_xll.IMDP("IDX",$D42,"현재가",EDATE($E$5,-1),"fill=true")))/_xll.IMDP("IDX",$D42,"현재가",EDATE($E$5,-1),"fill=true")*100),"")</f>
        <v>-</v>
      </c>
      <c r="J42" s="215" t="str">
        <f ca="1">IFERROR( IF(ISERROR($A42),"-",($E42-(_xll.IMDP("IDX",$D42,"현재가",EDATE($E$5,-3),"fill=true")))/_xll.IMDP("IDX",$D42,"현재가",EDATE($E$5,-3),"fill=true")*100),"")</f>
        <v>-</v>
      </c>
      <c r="K42" s="215" t="str">
        <f ca="1">IFERROR( IF(ISERROR($A42),"-",($E42-(_xll.IMDP("IDX",$D42,"현재가",EDATE($E$5,-6),"fill=true")))/_xll.IMDP("IDX",$D42,"현재가",EDATE($E$5,-6),"fill=true")*100),"")</f>
        <v>-</v>
      </c>
      <c r="L42" s="215" t="str">
        <f ca="1">IFERROR( IF(ISERROR($A42),"-",($E42-(_xll.IMDP("IDX",$D42,"현재가",EDATE($E$5,-12),"fill=true")))/_xll.IMDP("IDX",$D42,"현재가",EDATE($E$5,-12),"fill=true")*100),"")</f>
        <v>-</v>
      </c>
      <c r="M42" s="7" t="str">
        <f ca="1">IF(ISERROR($A42),"-",_xll.IMDP("IDX",$D42,"외국인보유비중(시총)",$E$5,$E$5))</f>
        <v>-</v>
      </c>
      <c r="N42" s="8" t="str">
        <f t="shared" ca="1" si="3"/>
        <v/>
      </c>
      <c r="O42" s="13" t="str">
        <f t="shared" ca="1" si="4"/>
        <v/>
      </c>
      <c r="P42" s="6"/>
      <c r="Q42" s="140"/>
      <c r="R42" s="140"/>
      <c r="X42" s="4" t="s">
        <v>153</v>
      </c>
      <c r="Y42" s="4" t="s">
        <v>152</v>
      </c>
      <c r="Z42" s="4" t="s">
        <v>71</v>
      </c>
      <c r="AA42" s="4" t="s">
        <v>70</v>
      </c>
    </row>
    <row r="43" spans="1:30">
      <c r="A43" s="4" t="e">
        <f t="shared" ca="1" si="0"/>
        <v>#N/A</v>
      </c>
      <c r="C43" s="12" t="str">
        <f t="shared" ca="1" si="1"/>
        <v>-</v>
      </c>
      <c r="D43" s="4" t="str">
        <f t="shared" si="6"/>
        <v>221</v>
      </c>
      <c r="E43" s="210" t="str">
        <f ca="1">IF(ISERROR($A43),"-",_xll.IMDP("IDX",$D43,"현재가",$E$5))</f>
        <v>-</v>
      </c>
      <c r="F43" s="215" t="str">
        <f ca="1">IF(ISERROR($A43),"-",_xll.IMDP("IDX",$D43,"전일대비",$E$5))</f>
        <v>-</v>
      </c>
      <c r="G43" s="215" t="str">
        <f ca="1">IF(ISERROR($A43),"-",_xll.IMDP("IDX",$D43,"등락률",$E$5))</f>
        <v>-</v>
      </c>
      <c r="H43" s="215" t="str">
        <f ca="1">IFERROR( IF(ISERROR($A43),"-",($E43-(_xll.IMDP("IDX",$D43,"현재가",$E$5-7,"fill=true")))/_xll.IMDP("IDX",$D43,"현재가",$E$5-7,"fill=true")*100), "")</f>
        <v>-</v>
      </c>
      <c r="I43" s="215" t="str">
        <f ca="1">IFERROR( IF(ISERROR($A43),"-",($E43-(_xll.IMDP("IDX",$D43,"현재가",EDATE($E$5,-1),"fill=true")))/_xll.IMDP("IDX",$D43,"현재가",EDATE($E$5,-1),"fill=true")*100),"")</f>
        <v>-</v>
      </c>
      <c r="J43" s="215" t="str">
        <f ca="1">IFERROR( IF(ISERROR($A43),"-",($E43-(_xll.IMDP("IDX",$D43,"현재가",EDATE($E$5,-3),"fill=true")))/_xll.IMDP("IDX",$D43,"현재가",EDATE($E$5,-3),"fill=true")*100),"")</f>
        <v>-</v>
      </c>
      <c r="K43" s="215" t="str">
        <f ca="1">IFERROR( IF(ISERROR($A43),"-",($E43-(_xll.IMDP("IDX",$D43,"현재가",EDATE($E$5,-6),"fill=true")))/_xll.IMDP("IDX",$D43,"현재가",EDATE($E$5,-6),"fill=true")*100),"")</f>
        <v>-</v>
      </c>
      <c r="L43" s="215" t="str">
        <f ca="1">IFERROR( IF(ISERROR($A43),"-",($E43-(_xll.IMDP("IDX",$D43,"현재가",EDATE($E$5,-12),"fill=true")))/_xll.IMDP("IDX",$D43,"현재가",EDATE($E$5,-12),"fill=true")*100),"")</f>
        <v>-</v>
      </c>
      <c r="M43" s="7" t="str">
        <f ca="1">IF(ISERROR($A43),"-",_xll.IMDP("IDX",$D43,"외국인보유비중(시총)",$E$5,$E$5))</f>
        <v>-</v>
      </c>
      <c r="N43" s="8" t="str">
        <f t="shared" ca="1" si="3"/>
        <v/>
      </c>
      <c r="O43" s="13" t="str">
        <f t="shared" ca="1" si="4"/>
        <v/>
      </c>
      <c r="P43" s="6"/>
      <c r="Q43" s="140"/>
      <c r="R43" s="140"/>
      <c r="X43" s="4" t="s">
        <v>155</v>
      </c>
      <c r="Y43" s="4" t="s">
        <v>154</v>
      </c>
      <c r="Z43" s="4" t="s">
        <v>73</v>
      </c>
      <c r="AA43" s="4" t="s">
        <v>72</v>
      </c>
    </row>
    <row r="44" spans="1:30">
      <c r="A44" s="4" t="e">
        <f t="shared" ca="1" si="0"/>
        <v>#N/A</v>
      </c>
      <c r="C44" s="12" t="str">
        <f t="shared" ca="1" si="1"/>
        <v>-</v>
      </c>
      <c r="D44" s="4" t="str">
        <f t="shared" si="6"/>
        <v>222</v>
      </c>
      <c r="E44" s="210" t="str">
        <f ca="1">IF(ISERROR($A44),"-",_xll.IMDP("IDX",$D44,"현재가",$E$5))</f>
        <v>-</v>
      </c>
      <c r="F44" s="215" t="str">
        <f ca="1">IF(ISERROR($A44),"-",_xll.IMDP("IDX",$D44,"전일대비",$E$5))</f>
        <v>-</v>
      </c>
      <c r="G44" s="215" t="str">
        <f ca="1">IF(ISERROR($A44),"-",_xll.IMDP("IDX",$D44,"등락률",$E$5))</f>
        <v>-</v>
      </c>
      <c r="H44" s="215" t="str">
        <f ca="1">IFERROR( IF(ISERROR($A44),"-",($E44-(_xll.IMDP("IDX",$D44,"현재가",$E$5-7,"fill=true")))/_xll.IMDP("IDX",$D44,"현재가",$E$5-7,"fill=true")*100), "")</f>
        <v>-</v>
      </c>
      <c r="I44" s="215" t="str">
        <f ca="1">IFERROR( IF(ISERROR($A44),"-",($E44-(_xll.IMDP("IDX",$D44,"현재가",EDATE($E$5,-1),"fill=true")))/_xll.IMDP("IDX",$D44,"현재가",EDATE($E$5,-1),"fill=true")*100),"")</f>
        <v>-</v>
      </c>
      <c r="J44" s="215" t="str">
        <f ca="1">IFERROR( IF(ISERROR($A44),"-",($E44-(_xll.IMDP("IDX",$D44,"현재가",EDATE($E$5,-3),"fill=true")))/_xll.IMDP("IDX",$D44,"현재가",EDATE($E$5,-3),"fill=true")*100),"")</f>
        <v>-</v>
      </c>
      <c r="K44" s="215" t="str">
        <f ca="1">IFERROR( IF(ISERROR($A44),"-",($E44-(_xll.IMDP("IDX",$D44,"현재가",EDATE($E$5,-6),"fill=true")))/_xll.IMDP("IDX",$D44,"현재가",EDATE($E$5,-6),"fill=true")*100),"")</f>
        <v>-</v>
      </c>
      <c r="L44" s="215" t="str">
        <f ca="1">IFERROR( IF(ISERROR($A44),"-",($E44-(_xll.IMDP("IDX",$D44,"현재가",EDATE($E$5,-12),"fill=true")))/_xll.IMDP("IDX",$D44,"현재가",EDATE($E$5,-12),"fill=true")*100),"")</f>
        <v>-</v>
      </c>
      <c r="M44" s="7" t="str">
        <f ca="1">IF(ISERROR($A44),"-",_xll.IMDP("IDX",$D44,"외국인보유비중(시총)",$E$5,$E$5))</f>
        <v>-</v>
      </c>
      <c r="N44" s="8" t="str">
        <f t="shared" ca="1" si="3"/>
        <v/>
      </c>
      <c r="O44" s="13" t="str">
        <f t="shared" ca="1" si="4"/>
        <v/>
      </c>
      <c r="P44" s="6"/>
      <c r="Q44" s="140"/>
      <c r="R44" s="140"/>
      <c r="X44" s="4" t="s">
        <v>157</v>
      </c>
      <c r="Y44" s="4" t="s">
        <v>156</v>
      </c>
      <c r="Z44" s="4" t="s">
        <v>75</v>
      </c>
      <c r="AA44" s="4" t="s">
        <v>74</v>
      </c>
    </row>
    <row r="45" spans="1:30">
      <c r="A45" s="4" t="e">
        <f t="shared" ca="1" si="0"/>
        <v>#N/A</v>
      </c>
      <c r="C45" s="12" t="str">
        <f t="shared" ca="1" si="1"/>
        <v>-</v>
      </c>
      <c r="D45" s="4" t="str">
        <f t="shared" si="6"/>
        <v>231</v>
      </c>
      <c r="E45" s="210" t="str">
        <f ca="1">IF(ISERROR($A45),"-",_xll.IMDP("IDX",$D45,"현재가",$E$5))</f>
        <v>-</v>
      </c>
      <c r="F45" s="215" t="str">
        <f ca="1">IF(ISERROR($A45),"-",_xll.IMDP("IDX",$D45,"전일대비",$E$5))</f>
        <v>-</v>
      </c>
      <c r="G45" s="215" t="str">
        <f ca="1">IF(ISERROR($A45),"-",_xll.IMDP("IDX",$D45,"등락률",$E$5))</f>
        <v>-</v>
      </c>
      <c r="H45" s="215" t="str">
        <f ca="1">IFERROR( IF(ISERROR($A45),"-",($E45-(_xll.IMDP("IDX",$D45,"현재가",$E$5-7,"fill=true")))/_xll.IMDP("IDX",$D45,"현재가",$E$5-7,"fill=true")*100), "")</f>
        <v>-</v>
      </c>
      <c r="I45" s="215" t="str">
        <f ca="1">IFERROR( IF(ISERROR($A45),"-",($E45-(_xll.IMDP("IDX",$D45,"현재가",EDATE($E$5,-1),"fill=true")))/_xll.IMDP("IDX",$D45,"현재가",EDATE($E$5,-1),"fill=true")*100),"")</f>
        <v>-</v>
      </c>
      <c r="J45" s="215" t="str">
        <f ca="1">IFERROR( IF(ISERROR($A45),"-",($E45-(_xll.IMDP("IDX",$D45,"현재가",EDATE($E$5,-3),"fill=true")))/_xll.IMDP("IDX",$D45,"현재가",EDATE($E$5,-3),"fill=true")*100),"")</f>
        <v>-</v>
      </c>
      <c r="K45" s="215" t="str">
        <f ca="1">IFERROR( IF(ISERROR($A45),"-",($E45-(_xll.IMDP("IDX",$D45,"현재가",EDATE($E$5,-6),"fill=true")))/_xll.IMDP("IDX",$D45,"현재가",EDATE($E$5,-6),"fill=true")*100),"")</f>
        <v>-</v>
      </c>
      <c r="L45" s="215" t="str">
        <f ca="1">IFERROR( IF(ISERROR($A45),"-",($E45-(_xll.IMDP("IDX",$D45,"현재가",EDATE($E$5,-12),"fill=true")))/_xll.IMDP("IDX",$D45,"현재가",EDATE($E$5,-12),"fill=true")*100),"")</f>
        <v>-</v>
      </c>
      <c r="M45" s="7" t="str">
        <f ca="1">IF(ISERROR($A45),"-",_xll.IMDP("IDX",$D45,"외국인보유비중(시총)",$E$5,$E$5))</f>
        <v>-</v>
      </c>
      <c r="N45" s="8" t="str">
        <f t="shared" ca="1" si="3"/>
        <v/>
      </c>
      <c r="O45" s="13" t="str">
        <f t="shared" ca="1" si="4"/>
        <v/>
      </c>
      <c r="P45" s="6"/>
      <c r="Q45" s="140"/>
      <c r="R45" s="140"/>
      <c r="X45" s="4" t="s">
        <v>159</v>
      </c>
      <c r="Y45" s="4" t="s">
        <v>158</v>
      </c>
      <c r="Z45" s="4" t="s">
        <v>77</v>
      </c>
      <c r="AA45" s="4" t="s">
        <v>76</v>
      </c>
    </row>
    <row r="46" spans="1:30">
      <c r="A46" s="4" t="e">
        <f t="shared" ca="1" si="0"/>
        <v>#N/A</v>
      </c>
      <c r="C46" s="14" t="str">
        <f t="shared" ca="1" si="1"/>
        <v>-</v>
      </c>
      <c r="D46" s="4" t="str">
        <f t="shared" si="6"/>
        <v>232</v>
      </c>
      <c r="E46" s="211" t="str">
        <f ca="1">IF(ISERROR($A46),"-",_xll.IMDP("IDX",$D46,"현재가",$E$5))</f>
        <v>-</v>
      </c>
      <c r="F46" s="216" t="str">
        <f ca="1">IF(ISERROR($A46),"-",_xll.IMDP("IDX",$D46,"전일대비",$E$5))</f>
        <v>-</v>
      </c>
      <c r="G46" s="216" t="str">
        <f ca="1">IF(ISERROR($A46),"-",_xll.IMDP("IDX",$D46,"등락률",$E$5))</f>
        <v>-</v>
      </c>
      <c r="H46" s="216" t="str">
        <f ca="1">IFERROR( IF(ISERROR($A46),"-",($E46-(_xll.IMDP("IDX",$D46,"현재가",$E$5-7,"fill=true")))/_xll.IMDP("IDX",$D46,"현재가",$E$5-7,"fill=true")*100), "")</f>
        <v>-</v>
      </c>
      <c r="I46" s="216" t="str">
        <f ca="1">IFERROR( IF(ISERROR($A46),"-",($E46-(_xll.IMDP("IDX",$D46,"현재가",EDATE($E$5,-1),"fill=true")))/_xll.IMDP("IDX",$D46,"현재가",EDATE($E$5,-1),"fill=true")*100),"")</f>
        <v>-</v>
      </c>
      <c r="J46" s="216" t="str">
        <f ca="1">IFERROR( IF(ISERROR($A46),"-",($E46-(_xll.IMDP("IDX",$D46,"현재가",EDATE($E$5,-3),"fill=true")))/_xll.IMDP("IDX",$D46,"현재가",EDATE($E$5,-3),"fill=true")*100),"")</f>
        <v>-</v>
      </c>
      <c r="K46" s="216" t="str">
        <f ca="1">IFERROR( IF(ISERROR($A46),"-",($E46-(_xll.IMDP("IDX",$D46,"현재가",EDATE($E$5,-6),"fill=true")))/_xll.IMDP("IDX",$D46,"현재가",EDATE($E$5,-6),"fill=true")*100),"")</f>
        <v>-</v>
      </c>
      <c r="L46" s="216" t="str">
        <f ca="1">IFERROR( IF(ISERROR($A46),"-",($E46-(_xll.IMDP("IDX",$D46,"현재가",EDATE($E$5,-12),"fill=true")))/_xll.IMDP("IDX",$D46,"현재가",EDATE($E$5,-12),"fill=true")*100),"")</f>
        <v>-</v>
      </c>
      <c r="M46" s="15" t="str">
        <f ca="1">IF(ISERROR($A46),"-",_xll.IMDP("IDX",$D46,"외국인보유비중(시총)",$E$5,$E$5))</f>
        <v>-</v>
      </c>
      <c r="N46" s="16" t="str">
        <f t="shared" ca="1" si="3"/>
        <v/>
      </c>
      <c r="O46" s="17" t="str">
        <f t="shared" ca="1" si="4"/>
        <v/>
      </c>
      <c r="P46" s="6"/>
      <c r="Q46" s="140"/>
      <c r="R46" s="140"/>
      <c r="X46" s="4" t="s">
        <v>161</v>
      </c>
      <c r="Y46" s="4" t="s">
        <v>160</v>
      </c>
      <c r="Z46" s="4" t="s">
        <v>79</v>
      </c>
      <c r="AA46" s="4" t="s">
        <v>78</v>
      </c>
    </row>
    <row r="47" spans="1:30">
      <c r="D47" s="20"/>
      <c r="Z47" s="4" t="s">
        <v>81</v>
      </c>
      <c r="AA47" s="4" t="s">
        <v>80</v>
      </c>
      <c r="AC47" s="4" t="s">
        <v>163</v>
      </c>
      <c r="AD47" s="4" t="s">
        <v>162</v>
      </c>
    </row>
    <row r="48" spans="1:30">
      <c r="D48" s="20"/>
      <c r="Z48" s="4" t="s">
        <v>83</v>
      </c>
      <c r="AA48" s="4" t="s">
        <v>82</v>
      </c>
      <c r="AC48" s="4" t="s">
        <v>165</v>
      </c>
      <c r="AD48" s="4" t="s">
        <v>164</v>
      </c>
    </row>
    <row r="49" spans="1:541">
      <c r="D49" s="20"/>
      <c r="E49" s="4"/>
      <c r="F49" s="4"/>
      <c r="G49" s="4"/>
      <c r="H49" s="4"/>
      <c r="I49" s="4"/>
      <c r="J49" s="22"/>
      <c r="Z49" s="4" t="s">
        <v>85</v>
      </c>
      <c r="AA49" s="4" t="s">
        <v>84</v>
      </c>
      <c r="AC49" s="4" t="s">
        <v>167</v>
      </c>
      <c r="AD49" s="4" t="s">
        <v>166</v>
      </c>
    </row>
    <row r="50" spans="1:541" ht="26.25">
      <c r="C50" s="30" t="s">
        <v>195</v>
      </c>
      <c r="D50" s="20"/>
      <c r="E50" s="4"/>
      <c r="F50" s="4"/>
      <c r="G50" s="4"/>
      <c r="H50" s="4"/>
      <c r="I50" s="4"/>
      <c r="J50" s="22"/>
      <c r="K50" s="4"/>
      <c r="L50" s="4"/>
      <c r="M50" s="4"/>
      <c r="N50" s="4"/>
      <c r="AC50" s="4" t="s">
        <v>169</v>
      </c>
      <c r="AD50" s="4" t="s">
        <v>168</v>
      </c>
    </row>
    <row r="51" spans="1:541" hidden="1">
      <c r="D51" s="20"/>
      <c r="E51" s="4"/>
      <c r="F51" s="4"/>
      <c r="G51" s="4"/>
      <c r="H51" s="4"/>
      <c r="I51" s="4"/>
      <c r="J51" s="138">
        <f ca="1">MATCH(J53,V55:V323,0)+54</f>
        <v>302</v>
      </c>
      <c r="AC51" s="4" t="s">
        <v>171</v>
      </c>
      <c r="AD51" s="4" t="s">
        <v>170</v>
      </c>
    </row>
    <row r="52" spans="1:541" ht="24.95" customHeight="1">
      <c r="C52" s="221" t="s">
        <v>193</v>
      </c>
      <c r="D52" s="222"/>
      <c r="E52" s="222"/>
      <c r="F52" s="222"/>
      <c r="G52" s="222"/>
      <c r="H52" s="222"/>
      <c r="I52" s="222"/>
      <c r="J52" s="223"/>
      <c r="K52" s="21"/>
      <c r="L52" s="21"/>
      <c r="M52" s="21"/>
      <c r="N52" s="21"/>
      <c r="O52" s="21"/>
      <c r="P52" s="21"/>
      <c r="Q52" s="141"/>
      <c r="V52" s="4" t="b">
        <f ca="1">ISNUMBER( _xll.IMDP("IDX",$D8,"현재가",$E$5) )</f>
        <v>1</v>
      </c>
    </row>
    <row r="53" spans="1:541" ht="24.95" customHeight="1">
      <c r="C53" s="33" t="s">
        <v>206</v>
      </c>
      <c r="E53" s="31">
        <f ca="1">$E$5</f>
        <v>45155</v>
      </c>
      <c r="F53" s="32" t="s">
        <v>230</v>
      </c>
      <c r="G53" s="32" t="s">
        <v>231</v>
      </c>
      <c r="H53" s="32" t="s">
        <v>232</v>
      </c>
      <c r="I53" s="32" t="s">
        <v>233</v>
      </c>
      <c r="J53" s="34">
        <f ca="1">WORKDAY($E$5-365,1)</f>
        <v>44791</v>
      </c>
      <c r="K53" s="21"/>
      <c r="L53" s="21"/>
      <c r="M53" s="21"/>
      <c r="N53" s="21"/>
      <c r="O53" s="21"/>
      <c r="P53" s="21"/>
      <c r="Q53" s="142"/>
      <c r="V53" s="4" t="str">
        <f ca="1">_xll.IMDH("IDX",IF($V$52, "001", " "),V54:Z54,TODAY()-400,$E$5,400,"Per=일,sort=D,real=true,Bizday=0,Quote=종가,Pos=20,Orient=V,Title=KOSPI,DtFmt=1,TmFmt=1,unit=true")</f>
        <v>KOSPI</v>
      </c>
      <c r="AA53" s="4" t="str">
        <f ca="1">_xll.IMDH("IDX",IF($V$52, "801", " "),AA54:AD54,TODAY()-400,$E$5,400,"Per=일,sort=D,real=true,Bizday=0,Quote=종가,Pos=20,Orient=V,Title=KOSDAQ,DtFmt=1,TmFmt=1,unit=true")</f>
        <v>KOSDAQ</v>
      </c>
      <c r="AE53" s="4" t="str">
        <f ca="1">_xll.IMDH("IDX",IF($V$52, "ETF", " "),AE54:AH54,TODAY()-400,$E$5,400,"Per=일,sort=D,real=true,Bizday=0,Quote=종가,Pos=20,Orient=V,Title=ETF,DtFmt=1,TmFmt=1,unit=true")</f>
        <v>ETF</v>
      </c>
      <c r="AI53" s="4" t="str">
        <f ca="1">_xll.IMDH("FUT",IF($V$52, "C01", " "),AI54:AL54,TODAY()-400,$E$5,400,"Per=일,sort=D,real=true,Bizday=0,Quote=종가,Pos=20,Orient=V,Title=코스피200 연결,DtFmt=1,TmFmt=1,unit=true")</f>
        <v>코스피200 연결</v>
      </c>
    </row>
    <row r="54" spans="1:541" ht="24.95" customHeight="1">
      <c r="A54" s="4" t="s">
        <v>351</v>
      </c>
      <c r="C54" s="35" t="s">
        <v>200</v>
      </c>
      <c r="E54" s="230">
        <f>W$55/100</f>
        <v>22.71</v>
      </c>
      <c r="F54" s="230">
        <f>SUM(W$55:W$59)/100</f>
        <v>-5430.05</v>
      </c>
      <c r="G54" s="230">
        <f>SUM(W$55:W$74)/100</f>
        <v>-30541.14</v>
      </c>
      <c r="H54" s="230">
        <f>SUM($W$55:$W$114)/100</f>
        <v>-13217</v>
      </c>
      <c r="I54" s="230">
        <f>SUM($W$55:$W$174)/100</f>
        <v>22553.13</v>
      </c>
      <c r="J54" s="231">
        <f ca="1">IFERROR( SUM($W$55:INDIRECT(A54&amp;J51))/100,"")</f>
        <v>151100.54</v>
      </c>
      <c r="K54" s="21"/>
      <c r="L54" s="21"/>
      <c r="M54" s="21"/>
      <c r="N54" s="21"/>
      <c r="O54" s="21"/>
      <c r="P54" s="21"/>
      <c r="Q54" s="142"/>
      <c r="R54" s="143"/>
      <c r="V54" s="4" t="s">
        <v>176</v>
      </c>
      <c r="W54" s="4" t="s">
        <v>174</v>
      </c>
      <c r="X54" s="4" t="s">
        <v>175</v>
      </c>
      <c r="Y54" s="4" t="s">
        <v>173</v>
      </c>
      <c r="Z54" s="4" t="s">
        <v>194</v>
      </c>
      <c r="AA54" s="4" t="s">
        <v>174</v>
      </c>
      <c r="AB54" s="4" t="s">
        <v>175</v>
      </c>
      <c r="AC54" s="4" t="s">
        <v>173</v>
      </c>
      <c r="AD54" s="4" t="s">
        <v>194</v>
      </c>
      <c r="AE54" s="4" t="s">
        <v>174</v>
      </c>
      <c r="AF54" s="4" t="s">
        <v>175</v>
      </c>
      <c r="AG54" s="4" t="s">
        <v>173</v>
      </c>
      <c r="AH54" s="4" t="s">
        <v>194</v>
      </c>
      <c r="AI54" s="4" t="s">
        <v>196</v>
      </c>
      <c r="AJ54" s="4" t="s">
        <v>197</v>
      </c>
      <c r="AK54" s="4" t="s">
        <v>198</v>
      </c>
      <c r="AL54" s="4" t="s">
        <v>199</v>
      </c>
    </row>
    <row r="55" spans="1:541" ht="24.95" customHeight="1">
      <c r="A55" s="4" t="s">
        <v>352</v>
      </c>
      <c r="C55" s="35" t="s">
        <v>191</v>
      </c>
      <c r="E55" s="230">
        <f>X$55/100</f>
        <v>861.3</v>
      </c>
      <c r="F55" s="230">
        <f>SUM(X$55:X$59)/100</f>
        <v>12792.39</v>
      </c>
      <c r="G55" s="230">
        <f>SUM(X$55:X$74)/100</f>
        <v>67856.38</v>
      </c>
      <c r="H55" s="230">
        <f>SUM($X$55:$X$114)/100</f>
        <v>66816.55</v>
      </c>
      <c r="I55" s="230">
        <f>SUM($X$55:$X$174)/100</f>
        <v>12765.9</v>
      </c>
      <c r="J55" s="231">
        <f ca="1">IFERROR( SUM($X$55:INDIRECT(A55&amp;J51))/100,"")</f>
        <v>-56983.5</v>
      </c>
      <c r="K55" s="23"/>
      <c r="L55" s="23"/>
      <c r="M55" s="23"/>
      <c r="N55" s="23"/>
      <c r="O55" s="23"/>
      <c r="P55" s="23"/>
      <c r="Q55" s="69"/>
      <c r="R55" s="143"/>
      <c r="V55" s="3">
        <v>45155</v>
      </c>
      <c r="W55" s="4">
        <v>2271</v>
      </c>
      <c r="X55" s="4">
        <v>86130</v>
      </c>
      <c r="Y55" s="4">
        <v>-97832</v>
      </c>
      <c r="Z55" s="4">
        <v>34867</v>
      </c>
      <c r="AA55" s="4">
        <v>39496</v>
      </c>
      <c r="AB55" s="4">
        <v>-200489</v>
      </c>
      <c r="AC55" s="4">
        <v>171227</v>
      </c>
      <c r="AD55" s="4">
        <v>32227</v>
      </c>
      <c r="AE55" s="4">
        <v>12964</v>
      </c>
      <c r="AF55" s="4">
        <v>-140333</v>
      </c>
      <c r="AG55" s="4">
        <v>68166</v>
      </c>
      <c r="AH55" s="4">
        <v>81776</v>
      </c>
      <c r="AI55" s="4">
        <v>-5100</v>
      </c>
      <c r="AJ55" s="4">
        <v>-283</v>
      </c>
      <c r="AK55" s="4">
        <v>4810</v>
      </c>
      <c r="AL55" s="4">
        <v>2746</v>
      </c>
    </row>
    <row r="56" spans="1:541" ht="24.95" customHeight="1">
      <c r="A56" s="4" t="s">
        <v>353</v>
      </c>
      <c r="C56" s="35" t="s">
        <v>190</v>
      </c>
      <c r="E56" s="230">
        <f>Y$55/100</f>
        <v>-978.32</v>
      </c>
      <c r="F56" s="230">
        <f>SUM(Y$55:Y$59)/100</f>
        <v>-8857.08</v>
      </c>
      <c r="G56" s="230">
        <f>SUM(Y$55:Y$74)/100</f>
        <v>-40568.93</v>
      </c>
      <c r="H56" s="230">
        <f>SUM($Y$55:$Y$114)/100</f>
        <v>-56247.46</v>
      </c>
      <c r="I56" s="230">
        <f>SUM($Y$55:$Y$174)/100</f>
        <v>-42433.75</v>
      </c>
      <c r="J56" s="231">
        <f ca="1">IFERROR( SUM($Y$55:INDIRECT(A56&amp;J51))/100,"")</f>
        <v>-103353.26</v>
      </c>
      <c r="K56" s="23"/>
      <c r="L56" s="23"/>
      <c r="M56" s="23"/>
      <c r="N56" s="23"/>
      <c r="O56" s="23"/>
      <c r="P56" s="23"/>
      <c r="Q56" s="69"/>
      <c r="R56" s="143"/>
      <c r="V56" s="3">
        <v>45154</v>
      </c>
      <c r="W56" s="4">
        <v>-3301</v>
      </c>
      <c r="X56" s="4">
        <v>322452</v>
      </c>
      <c r="Y56" s="4">
        <v>-358184</v>
      </c>
      <c r="Z56" s="4">
        <v>-101930</v>
      </c>
      <c r="AA56" s="4">
        <v>-163805</v>
      </c>
      <c r="AB56" s="4">
        <v>59281</v>
      </c>
      <c r="AC56" s="4">
        <v>123509</v>
      </c>
      <c r="AD56" s="4">
        <v>3483</v>
      </c>
      <c r="AE56" s="4">
        <v>28575</v>
      </c>
      <c r="AF56" s="4">
        <v>33787</v>
      </c>
      <c r="AG56" s="4">
        <v>-81128</v>
      </c>
      <c r="AH56" s="4">
        <v>51097</v>
      </c>
      <c r="AI56" s="4">
        <v>-9194</v>
      </c>
      <c r="AJ56" s="4">
        <v>4290</v>
      </c>
      <c r="AK56" s="4">
        <v>3869</v>
      </c>
      <c r="AL56" s="4">
        <v>-1311</v>
      </c>
      <c r="AN56" s="4" t="str">
        <f ca="1">_xll.IMDH("ECO",IF($V$52, "700504", " "),AO56:AO57,TODAY()-2543,$E$5,500,"Per=일,sort=D,real=true,Bizday=12,Quote=종가,Pos=20,Orient=H,Title=콜금리,DtFmt=1,TmFmt=1")</f>
        <v>콜금리</v>
      </c>
      <c r="AO56" s="4" t="s">
        <v>176</v>
      </c>
      <c r="AP56" s="3">
        <v>45155</v>
      </c>
      <c r="AQ56" s="3">
        <v>45154</v>
      </c>
      <c r="AR56" s="3">
        <v>45153</v>
      </c>
      <c r="AS56" s="3">
        <v>45152</v>
      </c>
      <c r="AT56" s="3">
        <v>45151</v>
      </c>
      <c r="AU56" s="3">
        <v>45150</v>
      </c>
      <c r="AV56" s="3">
        <v>45149</v>
      </c>
      <c r="AW56" s="3">
        <v>45148</v>
      </c>
      <c r="AX56" s="3">
        <v>45147</v>
      </c>
      <c r="AY56" s="3">
        <v>45146</v>
      </c>
      <c r="AZ56" s="3">
        <v>45145</v>
      </c>
      <c r="BA56" s="3">
        <v>45144</v>
      </c>
      <c r="BB56" s="3">
        <v>45143</v>
      </c>
      <c r="BC56" s="3">
        <v>45142</v>
      </c>
      <c r="BD56" s="3">
        <v>45141</v>
      </c>
      <c r="BE56" s="3">
        <v>45140</v>
      </c>
      <c r="BF56" s="3">
        <v>45139</v>
      </c>
      <c r="BG56" s="3">
        <v>45138</v>
      </c>
      <c r="BH56" s="3">
        <v>45137</v>
      </c>
      <c r="BI56" s="3">
        <v>45136</v>
      </c>
      <c r="BJ56" s="3">
        <v>45135</v>
      </c>
      <c r="BK56" s="3">
        <v>45134</v>
      </c>
      <c r="BL56" s="3">
        <v>45133</v>
      </c>
      <c r="BM56" s="3">
        <v>45132</v>
      </c>
      <c r="BN56" s="3">
        <v>45131</v>
      </c>
      <c r="BO56" s="3">
        <v>45130</v>
      </c>
      <c r="BP56" s="3">
        <v>45129</v>
      </c>
      <c r="BQ56" s="3">
        <v>45128</v>
      </c>
      <c r="BR56" s="3">
        <v>45127</v>
      </c>
      <c r="BS56" s="3">
        <v>45126</v>
      </c>
      <c r="BT56" s="3">
        <v>45125</v>
      </c>
      <c r="BU56" s="3">
        <v>45124</v>
      </c>
      <c r="BV56" s="3">
        <v>45123</v>
      </c>
      <c r="BW56" s="3">
        <v>45122</v>
      </c>
      <c r="BX56" s="3">
        <v>45121</v>
      </c>
      <c r="BY56" s="3">
        <v>45120</v>
      </c>
      <c r="BZ56" s="3">
        <v>45119</v>
      </c>
      <c r="CA56" s="3">
        <v>45118</v>
      </c>
      <c r="CB56" s="3">
        <v>45117</v>
      </c>
      <c r="CC56" s="3">
        <v>45116</v>
      </c>
      <c r="CD56" s="3">
        <v>45115</v>
      </c>
      <c r="CE56" s="3">
        <v>45114</v>
      </c>
      <c r="CF56" s="3">
        <v>45113</v>
      </c>
      <c r="CG56" s="3">
        <v>45112</v>
      </c>
      <c r="CH56" s="3">
        <v>45111</v>
      </c>
      <c r="CI56" s="3">
        <v>45110</v>
      </c>
      <c r="CJ56" s="3">
        <v>45109</v>
      </c>
      <c r="CK56" s="3">
        <v>45108</v>
      </c>
      <c r="CL56" s="3">
        <v>45107</v>
      </c>
      <c r="CM56" s="3">
        <v>45106</v>
      </c>
      <c r="CN56" s="3">
        <v>45105</v>
      </c>
      <c r="CO56" s="3">
        <v>45104</v>
      </c>
      <c r="CP56" s="3">
        <v>45103</v>
      </c>
      <c r="CQ56" s="3">
        <v>45102</v>
      </c>
      <c r="CR56" s="3">
        <v>45101</v>
      </c>
      <c r="CS56" s="3">
        <v>45100</v>
      </c>
      <c r="CT56" s="3">
        <v>45099</v>
      </c>
      <c r="CU56" s="3">
        <v>45098</v>
      </c>
      <c r="CV56" s="3">
        <v>45097</v>
      </c>
      <c r="CW56" s="3">
        <v>45096</v>
      </c>
      <c r="CX56" s="3">
        <v>45095</v>
      </c>
      <c r="CY56" s="3">
        <v>45094</v>
      </c>
      <c r="CZ56" s="3">
        <v>45093</v>
      </c>
      <c r="DA56" s="3">
        <v>45092</v>
      </c>
      <c r="DB56" s="3">
        <v>45091</v>
      </c>
      <c r="DC56" s="3">
        <v>45090</v>
      </c>
      <c r="DD56" s="3">
        <v>45089</v>
      </c>
      <c r="DE56" s="3">
        <v>45088</v>
      </c>
      <c r="DF56" s="3">
        <v>45087</v>
      </c>
      <c r="DG56" s="3">
        <v>45086</v>
      </c>
      <c r="DH56" s="3">
        <v>45085</v>
      </c>
      <c r="DI56" s="3">
        <v>45084</v>
      </c>
      <c r="DJ56" s="3">
        <v>45083</v>
      </c>
      <c r="DK56" s="3">
        <v>45082</v>
      </c>
      <c r="DL56" s="3">
        <v>45081</v>
      </c>
      <c r="DM56" s="3">
        <v>45080</v>
      </c>
      <c r="DN56" s="3">
        <v>45079</v>
      </c>
      <c r="DO56" s="3">
        <v>45078</v>
      </c>
      <c r="DP56" s="3">
        <v>45077</v>
      </c>
      <c r="DQ56" s="3">
        <v>45076</v>
      </c>
      <c r="DR56" s="3">
        <v>45075</v>
      </c>
      <c r="DS56" s="3">
        <v>45074</v>
      </c>
      <c r="DT56" s="3">
        <v>45073</v>
      </c>
      <c r="DU56" s="3">
        <v>45072</v>
      </c>
      <c r="DV56" s="3">
        <v>45071</v>
      </c>
      <c r="DW56" s="3">
        <v>45070</v>
      </c>
      <c r="DX56" s="3">
        <v>45069</v>
      </c>
      <c r="DY56" s="3">
        <v>45068</v>
      </c>
      <c r="DZ56" s="3">
        <v>45067</v>
      </c>
      <c r="EA56" s="3">
        <v>45066</v>
      </c>
      <c r="EB56" s="3">
        <v>45065</v>
      </c>
      <c r="EC56" s="3">
        <v>45064</v>
      </c>
      <c r="ED56" s="3">
        <v>45063</v>
      </c>
      <c r="EE56" s="3">
        <v>45062</v>
      </c>
      <c r="EF56" s="3">
        <v>45061</v>
      </c>
      <c r="EG56" s="3">
        <v>45060</v>
      </c>
      <c r="EH56" s="3">
        <v>45059</v>
      </c>
      <c r="EI56" s="3">
        <v>45058</v>
      </c>
      <c r="EJ56" s="3">
        <v>45057</v>
      </c>
      <c r="EK56" s="3">
        <v>45056</v>
      </c>
      <c r="EL56" s="3">
        <v>45055</v>
      </c>
      <c r="EM56" s="3">
        <v>45054</v>
      </c>
      <c r="EN56" s="3">
        <v>45053</v>
      </c>
      <c r="EO56" s="3">
        <v>45052</v>
      </c>
      <c r="EP56" s="3">
        <v>45051</v>
      </c>
      <c r="EQ56" s="3">
        <v>45050</v>
      </c>
      <c r="ER56" s="3">
        <v>45049</v>
      </c>
      <c r="ES56" s="3">
        <v>45048</v>
      </c>
      <c r="ET56" s="3">
        <v>45047</v>
      </c>
      <c r="EU56" s="3">
        <v>45046</v>
      </c>
      <c r="EV56" s="3">
        <v>45045</v>
      </c>
      <c r="EW56" s="3">
        <v>45044</v>
      </c>
      <c r="EX56" s="3">
        <v>45043</v>
      </c>
      <c r="EY56" s="3">
        <v>45042</v>
      </c>
      <c r="EZ56" s="3">
        <v>45041</v>
      </c>
      <c r="FA56" s="3">
        <v>45040</v>
      </c>
      <c r="FB56" s="3">
        <v>45039</v>
      </c>
      <c r="FC56" s="3">
        <v>45038</v>
      </c>
      <c r="FD56" s="3">
        <v>45037</v>
      </c>
      <c r="FE56" s="3">
        <v>45036</v>
      </c>
      <c r="FF56" s="3">
        <v>45035</v>
      </c>
      <c r="FG56" s="3">
        <v>45034</v>
      </c>
      <c r="FH56" s="3">
        <v>45033</v>
      </c>
      <c r="FI56" s="3">
        <v>45032</v>
      </c>
      <c r="FJ56" s="3">
        <v>45031</v>
      </c>
      <c r="FK56" s="3">
        <v>45030</v>
      </c>
      <c r="FL56" s="3">
        <v>45029</v>
      </c>
      <c r="FM56" s="3">
        <v>45028</v>
      </c>
      <c r="FN56" s="3">
        <v>45027</v>
      </c>
      <c r="FO56" s="3">
        <v>45026</v>
      </c>
      <c r="FP56" s="3">
        <v>45025</v>
      </c>
      <c r="FQ56" s="3">
        <v>45024</v>
      </c>
      <c r="FR56" s="3">
        <v>45023</v>
      </c>
      <c r="FS56" s="3">
        <v>45022</v>
      </c>
      <c r="FT56" s="3">
        <v>45021</v>
      </c>
      <c r="FU56" s="3">
        <v>45020</v>
      </c>
      <c r="FV56" s="3">
        <v>45019</v>
      </c>
      <c r="FW56" s="3">
        <v>45018</v>
      </c>
      <c r="FX56" s="3">
        <v>45017</v>
      </c>
      <c r="FY56" s="3">
        <v>45016</v>
      </c>
      <c r="FZ56" s="3">
        <v>45015</v>
      </c>
      <c r="GA56" s="3">
        <v>45014</v>
      </c>
      <c r="GB56" s="3">
        <v>45013</v>
      </c>
      <c r="GC56" s="3">
        <v>45012</v>
      </c>
      <c r="GD56" s="3">
        <v>45011</v>
      </c>
      <c r="GE56" s="3">
        <v>45010</v>
      </c>
      <c r="GF56" s="3">
        <v>45009</v>
      </c>
      <c r="GG56" s="3">
        <v>45008</v>
      </c>
      <c r="GH56" s="3">
        <v>45007</v>
      </c>
      <c r="GI56" s="3">
        <v>45006</v>
      </c>
      <c r="GJ56" s="3">
        <v>45005</v>
      </c>
      <c r="GK56" s="3">
        <v>45004</v>
      </c>
      <c r="GL56" s="3">
        <v>45003</v>
      </c>
      <c r="GM56" s="3">
        <v>45002</v>
      </c>
      <c r="GN56" s="3">
        <v>45001</v>
      </c>
      <c r="GO56" s="3">
        <v>45000</v>
      </c>
      <c r="GP56" s="3">
        <v>44999</v>
      </c>
      <c r="GQ56" s="3">
        <v>44998</v>
      </c>
      <c r="GR56" s="3">
        <v>44997</v>
      </c>
      <c r="GS56" s="3">
        <v>44996</v>
      </c>
      <c r="GT56" s="3">
        <v>44995</v>
      </c>
      <c r="GU56" s="3">
        <v>44994</v>
      </c>
      <c r="GV56" s="3">
        <v>44993</v>
      </c>
      <c r="GW56" s="3">
        <v>44992</v>
      </c>
      <c r="GX56" s="3">
        <v>44991</v>
      </c>
      <c r="GY56" s="3">
        <v>44990</v>
      </c>
      <c r="GZ56" s="3">
        <v>44989</v>
      </c>
      <c r="HA56" s="3">
        <v>44988</v>
      </c>
      <c r="HB56" s="3">
        <v>44987</v>
      </c>
      <c r="HC56" s="3">
        <v>44986</v>
      </c>
      <c r="HD56" s="3">
        <v>44985</v>
      </c>
      <c r="HE56" s="3">
        <v>44984</v>
      </c>
      <c r="HF56" s="3">
        <v>44983</v>
      </c>
      <c r="HG56" s="3">
        <v>44982</v>
      </c>
      <c r="HH56" s="3">
        <v>44981</v>
      </c>
      <c r="HI56" s="3">
        <v>44980</v>
      </c>
      <c r="HJ56" s="3">
        <v>44979</v>
      </c>
      <c r="HK56" s="3">
        <v>44978</v>
      </c>
      <c r="HL56" s="3">
        <v>44977</v>
      </c>
      <c r="HM56" s="3">
        <v>44976</v>
      </c>
      <c r="HN56" s="3">
        <v>44975</v>
      </c>
      <c r="HO56" s="3">
        <v>44974</v>
      </c>
      <c r="HP56" s="3">
        <v>44973</v>
      </c>
      <c r="HQ56" s="3">
        <v>44972</v>
      </c>
      <c r="HR56" s="3">
        <v>44971</v>
      </c>
      <c r="HS56" s="3">
        <v>44970</v>
      </c>
      <c r="HT56" s="3">
        <v>44969</v>
      </c>
      <c r="HU56" s="3">
        <v>44968</v>
      </c>
      <c r="HV56" s="3">
        <v>44967</v>
      </c>
      <c r="HW56" s="3">
        <v>44966</v>
      </c>
      <c r="HX56" s="3">
        <v>44965</v>
      </c>
      <c r="HY56" s="3">
        <v>44964</v>
      </c>
      <c r="HZ56" s="3">
        <v>44963</v>
      </c>
      <c r="IA56" s="3">
        <v>44962</v>
      </c>
      <c r="IB56" s="3">
        <v>44961</v>
      </c>
      <c r="IC56" s="3">
        <v>44960</v>
      </c>
      <c r="ID56" s="3">
        <v>44959</v>
      </c>
      <c r="IE56" s="3">
        <v>44958</v>
      </c>
      <c r="IF56" s="3">
        <v>44957</v>
      </c>
      <c r="IG56" s="3">
        <v>44956</v>
      </c>
      <c r="IH56" s="3">
        <v>44955</v>
      </c>
      <c r="II56" s="3">
        <v>44954</v>
      </c>
      <c r="IJ56" s="3">
        <v>44953</v>
      </c>
      <c r="IK56" s="3">
        <v>44952</v>
      </c>
      <c r="IL56" s="3">
        <v>44951</v>
      </c>
      <c r="IM56" s="3">
        <v>44950</v>
      </c>
      <c r="IN56" s="3">
        <v>44949</v>
      </c>
      <c r="IO56" s="3">
        <v>44948</v>
      </c>
      <c r="IP56" s="3">
        <v>44947</v>
      </c>
      <c r="IQ56" s="3">
        <v>44946</v>
      </c>
      <c r="IR56" s="3">
        <v>44945</v>
      </c>
      <c r="IS56" s="3">
        <v>44944</v>
      </c>
      <c r="IT56" s="3">
        <v>44943</v>
      </c>
      <c r="IU56" s="3">
        <v>44942</v>
      </c>
      <c r="IV56" s="3">
        <v>44941</v>
      </c>
      <c r="IW56" s="3">
        <v>44940</v>
      </c>
      <c r="IX56" s="3">
        <v>44939</v>
      </c>
      <c r="IY56" s="3">
        <v>44938</v>
      </c>
      <c r="IZ56" s="3">
        <v>44937</v>
      </c>
      <c r="JA56" s="3">
        <v>44936</v>
      </c>
      <c r="JB56" s="3">
        <v>44935</v>
      </c>
      <c r="JC56" s="3">
        <v>44934</v>
      </c>
      <c r="JD56" s="3">
        <v>44933</v>
      </c>
      <c r="JE56" s="3">
        <v>44932</v>
      </c>
      <c r="JF56" s="3">
        <v>44931</v>
      </c>
      <c r="JG56" s="3">
        <v>44930</v>
      </c>
      <c r="JH56" s="3">
        <v>44929</v>
      </c>
      <c r="JI56" s="3">
        <v>44928</v>
      </c>
      <c r="JJ56" s="3">
        <v>44927</v>
      </c>
      <c r="JK56" s="3">
        <v>44926</v>
      </c>
      <c r="JL56" s="3">
        <v>44925</v>
      </c>
      <c r="JM56" s="3">
        <v>44924</v>
      </c>
      <c r="JN56" s="3">
        <v>44923</v>
      </c>
      <c r="JO56" s="3">
        <v>44922</v>
      </c>
      <c r="JP56" s="3">
        <v>44921</v>
      </c>
      <c r="JQ56" s="3">
        <v>44920</v>
      </c>
      <c r="JR56" s="3">
        <v>44919</v>
      </c>
      <c r="JS56" s="3">
        <v>44918</v>
      </c>
      <c r="JT56" s="3">
        <v>44917</v>
      </c>
      <c r="JU56" s="3">
        <v>44916</v>
      </c>
      <c r="JV56" s="3">
        <v>44915</v>
      </c>
      <c r="JW56" s="3">
        <v>44914</v>
      </c>
      <c r="JX56" s="3">
        <v>44913</v>
      </c>
      <c r="JY56" s="3">
        <v>44912</v>
      </c>
      <c r="JZ56" s="3">
        <v>44911</v>
      </c>
      <c r="KA56" s="3">
        <v>44910</v>
      </c>
      <c r="KB56" s="3">
        <v>44909</v>
      </c>
      <c r="KC56" s="3">
        <v>44908</v>
      </c>
      <c r="KD56" s="3">
        <v>44907</v>
      </c>
      <c r="KE56" s="3">
        <v>44906</v>
      </c>
      <c r="KF56" s="3">
        <v>44905</v>
      </c>
      <c r="KG56" s="3">
        <v>44904</v>
      </c>
      <c r="KH56" s="3">
        <v>44903</v>
      </c>
      <c r="KI56" s="3">
        <v>44902</v>
      </c>
      <c r="KJ56" s="3">
        <v>44901</v>
      </c>
      <c r="KK56" s="3">
        <v>44900</v>
      </c>
      <c r="KL56" s="3">
        <v>44899</v>
      </c>
      <c r="KM56" s="3">
        <v>44898</v>
      </c>
      <c r="KN56" s="3">
        <v>44897</v>
      </c>
      <c r="KO56" s="3">
        <v>44896</v>
      </c>
      <c r="KP56" s="3">
        <v>44895</v>
      </c>
      <c r="KQ56" s="3">
        <v>44894</v>
      </c>
      <c r="KR56" s="3">
        <v>44893</v>
      </c>
      <c r="KS56" s="3">
        <v>44892</v>
      </c>
      <c r="KT56" s="3">
        <v>44891</v>
      </c>
      <c r="KU56" s="3">
        <v>44890</v>
      </c>
      <c r="KV56" s="3">
        <v>44889</v>
      </c>
      <c r="KW56" s="3">
        <v>44888</v>
      </c>
      <c r="KX56" s="3">
        <v>44887</v>
      </c>
      <c r="KY56" s="3">
        <v>44886</v>
      </c>
      <c r="KZ56" s="3">
        <v>44885</v>
      </c>
      <c r="LA56" s="3">
        <v>44884</v>
      </c>
      <c r="LB56" s="3">
        <v>44883</v>
      </c>
      <c r="LC56" s="3">
        <v>44882</v>
      </c>
      <c r="LD56" s="3">
        <v>44881</v>
      </c>
      <c r="LE56" s="3">
        <v>44880</v>
      </c>
      <c r="LF56" s="3">
        <v>44879</v>
      </c>
      <c r="LG56" s="3">
        <v>44878</v>
      </c>
      <c r="LH56" s="3">
        <v>44877</v>
      </c>
      <c r="LI56" s="3">
        <v>44876</v>
      </c>
      <c r="LJ56" s="3">
        <v>44875</v>
      </c>
      <c r="LK56" s="3">
        <v>44874</v>
      </c>
      <c r="LL56" s="3">
        <v>44873</v>
      </c>
      <c r="LM56" s="3">
        <v>44872</v>
      </c>
      <c r="LN56" s="3">
        <v>44871</v>
      </c>
      <c r="LO56" s="3">
        <v>44870</v>
      </c>
      <c r="LP56" s="3">
        <v>44869</v>
      </c>
      <c r="LQ56" s="3">
        <v>44868</v>
      </c>
      <c r="LR56" s="3">
        <v>44867</v>
      </c>
      <c r="LS56" s="3">
        <v>44866</v>
      </c>
      <c r="LT56" s="3">
        <v>44865</v>
      </c>
      <c r="LU56" s="3">
        <v>44864</v>
      </c>
      <c r="LV56" s="3">
        <v>44863</v>
      </c>
      <c r="LW56" s="3">
        <v>44862</v>
      </c>
      <c r="LX56" s="3">
        <v>44861</v>
      </c>
      <c r="LY56" s="3">
        <v>44860</v>
      </c>
      <c r="LZ56" s="3">
        <v>44859</v>
      </c>
      <c r="MA56" s="3">
        <v>44858</v>
      </c>
      <c r="MB56" s="3">
        <v>44857</v>
      </c>
      <c r="MC56" s="3">
        <v>44856</v>
      </c>
      <c r="MD56" s="3">
        <v>44855</v>
      </c>
      <c r="ME56" s="3">
        <v>44854</v>
      </c>
      <c r="MF56" s="3">
        <v>44853</v>
      </c>
      <c r="MG56" s="3">
        <v>44852</v>
      </c>
      <c r="MH56" s="3">
        <v>44851</v>
      </c>
      <c r="MI56" s="3">
        <v>44850</v>
      </c>
      <c r="MJ56" s="3">
        <v>44849</v>
      </c>
      <c r="MK56" s="3">
        <v>44848</v>
      </c>
      <c r="ML56" s="3">
        <v>44847</v>
      </c>
      <c r="MM56" s="3">
        <v>44846</v>
      </c>
      <c r="MN56" s="3">
        <v>44845</v>
      </c>
      <c r="MO56" s="3">
        <v>44844</v>
      </c>
      <c r="MP56" s="3">
        <v>44843</v>
      </c>
      <c r="MQ56" s="3">
        <v>44842</v>
      </c>
      <c r="MR56" s="3">
        <v>44841</v>
      </c>
      <c r="MS56" s="3">
        <v>44840</v>
      </c>
      <c r="MT56" s="3">
        <v>44839</v>
      </c>
      <c r="MU56" s="3">
        <v>44838</v>
      </c>
      <c r="MV56" s="3">
        <v>44837</v>
      </c>
      <c r="MW56" s="3">
        <v>44836</v>
      </c>
      <c r="MX56" s="3">
        <v>44835</v>
      </c>
      <c r="MY56" s="3">
        <v>44834</v>
      </c>
      <c r="MZ56" s="3">
        <v>44833</v>
      </c>
      <c r="NA56" s="3">
        <v>44832</v>
      </c>
      <c r="NB56" s="3">
        <v>44831</v>
      </c>
      <c r="NC56" s="3">
        <v>44830</v>
      </c>
      <c r="ND56" s="3">
        <v>44829</v>
      </c>
      <c r="NE56" s="3">
        <v>44828</v>
      </c>
      <c r="NF56" s="3">
        <v>44827</v>
      </c>
      <c r="NG56" s="3">
        <v>44826</v>
      </c>
      <c r="NH56" s="3">
        <v>44825</v>
      </c>
      <c r="NI56" s="3">
        <v>44824</v>
      </c>
      <c r="NJ56" s="3">
        <v>44823</v>
      </c>
      <c r="NK56" s="3">
        <v>44822</v>
      </c>
      <c r="NL56" s="3">
        <v>44821</v>
      </c>
      <c r="NM56" s="3">
        <v>44820</v>
      </c>
      <c r="NN56" s="3">
        <v>44819</v>
      </c>
      <c r="NO56" s="3">
        <v>44818</v>
      </c>
      <c r="NP56" s="3">
        <v>44817</v>
      </c>
      <c r="NQ56" s="3">
        <v>44816</v>
      </c>
      <c r="NR56" s="3">
        <v>44815</v>
      </c>
      <c r="NS56" s="3">
        <v>44814</v>
      </c>
      <c r="NT56" s="3">
        <v>44813</v>
      </c>
      <c r="NU56" s="3">
        <v>44812</v>
      </c>
      <c r="NV56" s="3">
        <v>44811</v>
      </c>
      <c r="NW56" s="3">
        <v>44810</v>
      </c>
      <c r="NX56" s="3">
        <v>44809</v>
      </c>
      <c r="NY56" s="3">
        <v>44808</v>
      </c>
      <c r="NZ56" s="3">
        <v>44807</v>
      </c>
      <c r="OA56" s="3">
        <v>44806</v>
      </c>
      <c r="OB56" s="3">
        <v>44805</v>
      </c>
      <c r="OC56" s="3">
        <v>44804</v>
      </c>
      <c r="OD56" s="3">
        <v>44803</v>
      </c>
      <c r="OE56" s="3">
        <v>44802</v>
      </c>
      <c r="OF56" s="3">
        <v>44801</v>
      </c>
      <c r="OG56" s="3">
        <v>44800</v>
      </c>
      <c r="OH56" s="3">
        <v>44799</v>
      </c>
      <c r="OI56" s="3">
        <v>44798</v>
      </c>
      <c r="OJ56" s="3">
        <v>44797</v>
      </c>
      <c r="OK56" s="3">
        <v>44796</v>
      </c>
      <c r="OL56" s="3">
        <v>44795</v>
      </c>
      <c r="OM56" s="3">
        <v>44794</v>
      </c>
      <c r="ON56" s="3">
        <v>44793</v>
      </c>
      <c r="OO56" s="3">
        <v>44792</v>
      </c>
      <c r="OP56" s="3">
        <v>44791</v>
      </c>
      <c r="OQ56" s="3">
        <v>44790</v>
      </c>
      <c r="OR56" s="3">
        <v>44789</v>
      </c>
      <c r="OS56" s="3">
        <v>44788</v>
      </c>
      <c r="OT56" s="3">
        <v>44787</v>
      </c>
      <c r="OU56" s="3">
        <v>44786</v>
      </c>
      <c r="OV56" s="3">
        <v>44785</v>
      </c>
      <c r="OW56" s="3">
        <v>44784</v>
      </c>
      <c r="OX56" s="3">
        <v>44783</v>
      </c>
      <c r="OY56" s="3">
        <v>44782</v>
      </c>
      <c r="OZ56" s="3">
        <v>44781</v>
      </c>
      <c r="PA56" s="3">
        <v>44780</v>
      </c>
      <c r="PB56" s="3">
        <v>44779</v>
      </c>
      <c r="PC56" s="3">
        <v>44778</v>
      </c>
      <c r="PD56" s="3">
        <v>44777</v>
      </c>
      <c r="PE56" s="3">
        <v>44776</v>
      </c>
      <c r="PF56" s="3">
        <v>44775</v>
      </c>
      <c r="PG56" s="3">
        <v>44774</v>
      </c>
      <c r="PH56" s="3">
        <v>44773</v>
      </c>
      <c r="PI56" s="3">
        <v>44772</v>
      </c>
      <c r="PJ56" s="3">
        <v>44771</v>
      </c>
      <c r="PK56" s="3">
        <v>44770</v>
      </c>
      <c r="PL56" s="3">
        <v>44769</v>
      </c>
      <c r="PM56" s="3">
        <v>44768</v>
      </c>
      <c r="PN56" s="3">
        <v>44767</v>
      </c>
      <c r="PO56" s="3">
        <v>44766</v>
      </c>
      <c r="PP56" s="3">
        <v>44765</v>
      </c>
      <c r="PQ56" s="3">
        <v>44764</v>
      </c>
      <c r="PR56" s="3">
        <v>44763</v>
      </c>
      <c r="PS56" s="3">
        <v>44762</v>
      </c>
      <c r="PT56" s="3">
        <v>44761</v>
      </c>
      <c r="PU56" s="3">
        <v>44760</v>
      </c>
      <c r="PV56" s="3">
        <v>44759</v>
      </c>
      <c r="PW56" s="3">
        <v>44758</v>
      </c>
      <c r="PX56" s="3">
        <v>44757</v>
      </c>
      <c r="PY56" s="3">
        <v>44756</v>
      </c>
      <c r="PZ56" s="3">
        <v>44755</v>
      </c>
      <c r="QA56" s="3">
        <v>44754</v>
      </c>
      <c r="QB56" s="3">
        <v>44753</v>
      </c>
      <c r="QC56" s="3">
        <v>44752</v>
      </c>
      <c r="QD56" s="3">
        <v>44751</v>
      </c>
      <c r="QE56" s="3">
        <v>44750</v>
      </c>
      <c r="QF56" s="3">
        <v>44749</v>
      </c>
      <c r="QG56" s="3">
        <v>44748</v>
      </c>
      <c r="QH56" s="3">
        <v>44747</v>
      </c>
      <c r="QI56" s="3">
        <v>44746</v>
      </c>
      <c r="QJ56" s="3">
        <v>44745</v>
      </c>
      <c r="QK56" s="3">
        <v>44744</v>
      </c>
      <c r="QL56" s="3">
        <v>44743</v>
      </c>
      <c r="QM56" s="3">
        <v>44742</v>
      </c>
      <c r="QN56" s="3">
        <v>44741</v>
      </c>
      <c r="QO56" s="3">
        <v>44740</v>
      </c>
      <c r="QP56" s="3">
        <v>44739</v>
      </c>
      <c r="QQ56" s="3">
        <v>44738</v>
      </c>
      <c r="QR56" s="3">
        <v>44737</v>
      </c>
      <c r="QS56" s="3">
        <v>44736</v>
      </c>
      <c r="QT56" s="3">
        <v>44735</v>
      </c>
      <c r="QU56" s="3">
        <v>44734</v>
      </c>
      <c r="QV56" s="3">
        <v>44733</v>
      </c>
      <c r="QW56" s="3">
        <v>44732</v>
      </c>
      <c r="QX56" s="3">
        <v>44731</v>
      </c>
      <c r="QY56" s="3">
        <v>44730</v>
      </c>
      <c r="QZ56" s="3">
        <v>44729</v>
      </c>
      <c r="RA56" s="3">
        <v>44728</v>
      </c>
      <c r="RB56" s="3">
        <v>44727</v>
      </c>
      <c r="RC56" s="3">
        <v>44726</v>
      </c>
      <c r="RD56" s="3">
        <v>44725</v>
      </c>
      <c r="RE56" s="3">
        <v>44724</v>
      </c>
      <c r="RF56" s="3">
        <v>44723</v>
      </c>
      <c r="RG56" s="3">
        <v>44722</v>
      </c>
      <c r="RH56" s="3">
        <v>44721</v>
      </c>
      <c r="RI56" s="3">
        <v>44720</v>
      </c>
      <c r="RJ56" s="3">
        <v>44719</v>
      </c>
      <c r="RK56" s="3">
        <v>44718</v>
      </c>
      <c r="RL56" s="3">
        <v>44717</v>
      </c>
      <c r="RM56" s="3">
        <v>44716</v>
      </c>
      <c r="RN56" s="3">
        <v>44715</v>
      </c>
      <c r="RO56" s="3">
        <v>44714</v>
      </c>
      <c r="RP56" s="3">
        <v>44713</v>
      </c>
      <c r="RQ56" s="3">
        <v>44712</v>
      </c>
      <c r="RR56" s="3">
        <v>44711</v>
      </c>
      <c r="RS56" s="3">
        <v>44710</v>
      </c>
      <c r="RT56" s="3">
        <v>44709</v>
      </c>
      <c r="RU56" s="3">
        <v>44708</v>
      </c>
      <c r="RV56" s="3">
        <v>44707</v>
      </c>
      <c r="RW56" s="3">
        <v>44706</v>
      </c>
      <c r="RX56" s="3">
        <v>44705</v>
      </c>
      <c r="RY56" s="3">
        <v>44704</v>
      </c>
      <c r="RZ56" s="3">
        <v>44703</v>
      </c>
      <c r="SA56" s="3">
        <v>44702</v>
      </c>
      <c r="SB56" s="3">
        <v>44701</v>
      </c>
      <c r="SC56" s="3">
        <v>44700</v>
      </c>
      <c r="SD56" s="3">
        <v>44699</v>
      </c>
      <c r="SE56" s="3">
        <v>44698</v>
      </c>
      <c r="SF56" s="3">
        <v>44697</v>
      </c>
      <c r="SG56" s="3">
        <v>44696</v>
      </c>
      <c r="SH56" s="3">
        <v>44695</v>
      </c>
      <c r="SI56" s="3">
        <v>44694</v>
      </c>
      <c r="SJ56" s="3">
        <v>44693</v>
      </c>
      <c r="SK56" s="3">
        <v>44692</v>
      </c>
      <c r="SL56" s="3">
        <v>44691</v>
      </c>
      <c r="SM56" s="3">
        <v>44690</v>
      </c>
      <c r="SN56" s="3">
        <v>44689</v>
      </c>
      <c r="SO56" s="3">
        <v>44688</v>
      </c>
      <c r="SP56" s="3">
        <v>44687</v>
      </c>
      <c r="SQ56" s="3">
        <v>44686</v>
      </c>
      <c r="SR56" s="3">
        <v>44685</v>
      </c>
      <c r="SS56" s="3">
        <v>44684</v>
      </c>
      <c r="ST56" s="3">
        <v>44683</v>
      </c>
      <c r="SU56" s="3">
        <v>44682</v>
      </c>
      <c r="SV56" s="3">
        <v>44681</v>
      </c>
      <c r="SW56" s="3">
        <v>44680</v>
      </c>
      <c r="SX56" s="3">
        <v>44679</v>
      </c>
      <c r="SY56" s="3">
        <v>44678</v>
      </c>
      <c r="SZ56" s="3">
        <v>44677</v>
      </c>
      <c r="TA56" s="3">
        <v>44676</v>
      </c>
      <c r="TB56" s="3">
        <v>44675</v>
      </c>
      <c r="TC56" s="3">
        <v>44674</v>
      </c>
      <c r="TD56" s="3">
        <v>44673</v>
      </c>
      <c r="TE56" s="3">
        <v>44672</v>
      </c>
      <c r="TF56" s="3">
        <v>44671</v>
      </c>
      <c r="TG56" s="3">
        <v>44670</v>
      </c>
      <c r="TH56" s="3">
        <v>44669</v>
      </c>
      <c r="TI56" s="3">
        <v>44668</v>
      </c>
      <c r="TJ56" s="3">
        <v>44667</v>
      </c>
      <c r="TK56" s="3">
        <v>44666</v>
      </c>
      <c r="TL56" s="3">
        <v>44665</v>
      </c>
      <c r="TM56" s="3">
        <v>44664</v>
      </c>
      <c r="TN56" s="3">
        <v>44663</v>
      </c>
      <c r="TO56" s="3">
        <v>44662</v>
      </c>
      <c r="TP56" s="3">
        <v>44661</v>
      </c>
      <c r="TQ56" s="3">
        <v>44660</v>
      </c>
      <c r="TR56" s="3">
        <v>44659</v>
      </c>
      <c r="TS56" s="3">
        <v>44658</v>
      </c>
      <c r="TT56" s="3">
        <v>44657</v>
      </c>
      <c r="TU56" s="3">
        <v>44656</v>
      </c>
    </row>
    <row r="57" spans="1:541" ht="24.95" customHeight="1">
      <c r="A57" s="4" t="s">
        <v>354</v>
      </c>
      <c r="C57" s="36" t="s">
        <v>192</v>
      </c>
      <c r="E57" s="232">
        <f>Z$55/100</f>
        <v>348.67</v>
      </c>
      <c r="F57" s="232">
        <f>SUM(Z$55:Z$59)/100</f>
        <v>-649.16999999999996</v>
      </c>
      <c r="G57" s="232">
        <f>SUM(Z$55:Z$74)/100</f>
        <v>-5190.3</v>
      </c>
      <c r="H57" s="232">
        <f>SUM($Z$55:$Z$114)/100</f>
        <v>-7162.21</v>
      </c>
      <c r="I57" s="232">
        <f>SUM($Z$55:$Z$174)/100</f>
        <v>-2464.85</v>
      </c>
      <c r="J57" s="233">
        <f ca="1">IFERROR( SUM($Z$55:INDIRECT(A57&amp;J51))/100, "")</f>
        <v>-1331.38</v>
      </c>
      <c r="K57" s="23"/>
      <c r="L57" s="23"/>
      <c r="M57" s="23"/>
      <c r="N57" s="23"/>
      <c r="O57" s="23"/>
      <c r="P57" s="23"/>
      <c r="Q57" s="69"/>
      <c r="R57" s="143"/>
      <c r="V57" s="3">
        <v>45152</v>
      </c>
      <c r="W57" s="4">
        <v>-118413</v>
      </c>
      <c r="X57" s="4">
        <v>427697</v>
      </c>
      <c r="Y57" s="4">
        <v>-332780</v>
      </c>
      <c r="Z57" s="4">
        <v>-2502</v>
      </c>
      <c r="AA57" s="4">
        <v>-131944</v>
      </c>
      <c r="AB57" s="4">
        <v>194598</v>
      </c>
      <c r="AC57" s="4">
        <v>-38082</v>
      </c>
      <c r="AD57" s="4">
        <v>-19067</v>
      </c>
      <c r="AE57" s="4">
        <v>-5352</v>
      </c>
      <c r="AF57" s="4">
        <v>37805</v>
      </c>
      <c r="AG57" s="4">
        <v>-5323</v>
      </c>
      <c r="AH57" s="4">
        <v>33822</v>
      </c>
      <c r="AI57" s="4">
        <v>-2433</v>
      </c>
      <c r="AJ57" s="4">
        <v>413</v>
      </c>
      <c r="AK57" s="4">
        <v>3048</v>
      </c>
      <c r="AL57" s="4">
        <v>-1237</v>
      </c>
      <c r="AO57" s="4" t="s">
        <v>234</v>
      </c>
      <c r="AQ57" s="4">
        <v>3.569</v>
      </c>
      <c r="AS57" s="4">
        <v>3.58</v>
      </c>
      <c r="AV57" s="4">
        <v>3.5760000000000001</v>
      </c>
      <c r="AW57" s="4">
        <v>3.5920000000000001</v>
      </c>
      <c r="AX57" s="4">
        <v>3.4870000000000001</v>
      </c>
      <c r="AY57" s="4">
        <v>3.4849999999999999</v>
      </c>
      <c r="AZ57" s="4">
        <v>3.5350000000000001</v>
      </c>
      <c r="BC57" s="4">
        <v>3.5030000000000001</v>
      </c>
      <c r="BD57" s="4">
        <v>3.45</v>
      </c>
      <c r="BE57" s="4">
        <v>3.4359999999999999</v>
      </c>
      <c r="BF57" s="4">
        <v>3.4550000000000001</v>
      </c>
      <c r="BG57" s="4">
        <v>3.488</v>
      </c>
      <c r="BJ57" s="4">
        <v>3.4609999999999999</v>
      </c>
      <c r="BK57" s="4">
        <v>3.4460000000000002</v>
      </c>
      <c r="BL57" s="4">
        <v>3.4830000000000001</v>
      </c>
      <c r="BM57" s="4">
        <v>3.49</v>
      </c>
      <c r="BN57" s="4">
        <v>3.4980000000000002</v>
      </c>
      <c r="BQ57" s="4">
        <v>3.4809999999999999</v>
      </c>
      <c r="BR57" s="4">
        <v>3.528</v>
      </c>
      <c r="BS57" s="4">
        <v>3.5019999999999998</v>
      </c>
      <c r="BT57" s="4">
        <v>3.51</v>
      </c>
      <c r="BU57" s="4">
        <v>3.5059999999999998</v>
      </c>
      <c r="BX57" s="4">
        <v>3.5070000000000001</v>
      </c>
      <c r="BY57" s="4">
        <v>3.5139999999999998</v>
      </c>
      <c r="BZ57" s="4">
        <v>3.5270000000000001</v>
      </c>
      <c r="CA57" s="4">
        <v>3.556</v>
      </c>
      <c r="CB57" s="4">
        <v>3.5819999999999999</v>
      </c>
      <c r="CE57" s="4">
        <v>3.5880000000000001</v>
      </c>
      <c r="CF57" s="4">
        <v>3.5419999999999998</v>
      </c>
      <c r="CG57" s="4">
        <v>3.488</v>
      </c>
      <c r="CH57" s="4">
        <v>3.4540000000000002</v>
      </c>
      <c r="CI57" s="4">
        <v>3.496</v>
      </c>
      <c r="CL57" s="4">
        <v>3.7669999999999999</v>
      </c>
      <c r="CM57" s="4">
        <v>3.5339999999999998</v>
      </c>
      <c r="CN57" s="4">
        <v>3.5310000000000001</v>
      </c>
      <c r="CO57" s="4">
        <v>3.52</v>
      </c>
      <c r="CP57" s="4">
        <v>3.5590000000000002</v>
      </c>
      <c r="CS57" s="4">
        <v>3.617</v>
      </c>
      <c r="CT57" s="4">
        <v>3.5779999999999998</v>
      </c>
      <c r="CU57" s="4">
        <v>3.605</v>
      </c>
      <c r="CV57" s="4">
        <v>3.5910000000000002</v>
      </c>
      <c r="CW57" s="4">
        <v>3.605</v>
      </c>
      <c r="CZ57" s="4">
        <v>3.5920000000000001</v>
      </c>
      <c r="DA57" s="4">
        <v>3.58</v>
      </c>
      <c r="DB57" s="4">
        <v>3.532</v>
      </c>
      <c r="DC57" s="4">
        <v>3.5390000000000001</v>
      </c>
      <c r="DD57" s="4">
        <v>3.56</v>
      </c>
      <c r="DG57" s="4">
        <v>3.569</v>
      </c>
      <c r="DH57" s="4">
        <v>3.5609999999999999</v>
      </c>
      <c r="DI57" s="4">
        <v>3.4910000000000001</v>
      </c>
      <c r="DK57" s="4">
        <v>3.4870000000000001</v>
      </c>
      <c r="DN57" s="4">
        <v>3.504</v>
      </c>
      <c r="DO57" s="4">
        <v>3.55</v>
      </c>
      <c r="DP57" s="4">
        <v>3.5430000000000001</v>
      </c>
      <c r="DQ57" s="4">
        <v>3.5369999999999999</v>
      </c>
      <c r="DU57" s="4">
        <v>3.5569999999999999</v>
      </c>
      <c r="DV57" s="4">
        <v>3.6030000000000002</v>
      </c>
      <c r="DW57" s="4">
        <v>3.5510000000000002</v>
      </c>
      <c r="DX57" s="4">
        <v>3.5590000000000002</v>
      </c>
      <c r="DY57" s="4">
        <v>3.589</v>
      </c>
      <c r="EB57" s="4">
        <v>3.6030000000000002</v>
      </c>
      <c r="EC57" s="4">
        <v>3.6269999999999998</v>
      </c>
      <c r="ED57" s="4">
        <v>3.6</v>
      </c>
      <c r="EE57" s="4">
        <v>3.5979999999999999</v>
      </c>
      <c r="EF57" s="4">
        <v>3.58</v>
      </c>
      <c r="EI57" s="4">
        <v>3.548</v>
      </c>
      <c r="EJ57" s="4">
        <v>3.5590000000000002</v>
      </c>
      <c r="EK57" s="4">
        <v>3.5670000000000002</v>
      </c>
      <c r="EL57" s="4">
        <v>3.6560000000000001</v>
      </c>
      <c r="EM57" s="4">
        <v>3.5910000000000002</v>
      </c>
      <c r="EQ57" s="4">
        <v>3.5289999999999999</v>
      </c>
      <c r="ER57" s="4">
        <v>3.5409999999999999</v>
      </c>
      <c r="ES57" s="4">
        <v>3.512</v>
      </c>
      <c r="EW57" s="4">
        <v>3.5489999999999999</v>
      </c>
      <c r="EX57" s="4">
        <v>3.4870000000000001</v>
      </c>
      <c r="EY57" s="4">
        <v>3.4990000000000001</v>
      </c>
      <c r="EZ57" s="4">
        <v>3.512</v>
      </c>
      <c r="FA57" s="4">
        <v>3.5030000000000001</v>
      </c>
      <c r="FD57" s="4">
        <v>3.512</v>
      </c>
      <c r="FE57" s="4">
        <v>3.4870000000000001</v>
      </c>
      <c r="FF57" s="4">
        <v>3.4279999999999999</v>
      </c>
      <c r="FG57" s="4">
        <v>3.4689999999999999</v>
      </c>
      <c r="FH57" s="4">
        <v>3.4780000000000002</v>
      </c>
      <c r="FK57" s="4">
        <v>3.4910000000000001</v>
      </c>
      <c r="FL57" s="4">
        <v>3.4380000000000002</v>
      </c>
      <c r="FM57" s="4">
        <v>3.43</v>
      </c>
      <c r="FN57" s="4">
        <v>3.452</v>
      </c>
      <c r="FO57" s="4">
        <v>3.419</v>
      </c>
      <c r="FR57" s="4">
        <v>3.403</v>
      </c>
      <c r="FS57" s="4">
        <v>3.4</v>
      </c>
      <c r="FT57" s="4">
        <v>3.4630000000000001</v>
      </c>
      <c r="FU57" s="4">
        <v>3.4409999999999998</v>
      </c>
      <c r="FV57" s="4">
        <v>3.4489999999999998</v>
      </c>
      <c r="FY57" s="4">
        <v>3.569</v>
      </c>
      <c r="FZ57" s="4">
        <v>3.4929999999999999</v>
      </c>
      <c r="GA57" s="4">
        <v>3.427</v>
      </c>
      <c r="GB57" s="4">
        <v>3.44</v>
      </c>
      <c r="GC57" s="4">
        <v>3.3980000000000001</v>
      </c>
      <c r="GF57" s="4">
        <v>3.419</v>
      </c>
      <c r="GG57" s="4">
        <v>3.45</v>
      </c>
      <c r="GH57" s="4">
        <v>3.4329999999999998</v>
      </c>
      <c r="GI57" s="4">
        <v>3.464</v>
      </c>
      <c r="GJ57" s="4">
        <v>3.4790000000000001</v>
      </c>
      <c r="GM57" s="4">
        <v>3.4260000000000002</v>
      </c>
      <c r="GN57" s="4">
        <v>3.4390000000000001</v>
      </c>
      <c r="GO57" s="4">
        <v>3.37</v>
      </c>
      <c r="GP57" s="4">
        <v>3.4159999999999999</v>
      </c>
      <c r="GQ57" s="4">
        <v>3.4350000000000001</v>
      </c>
      <c r="GT57" s="4">
        <v>3.4289999999999998</v>
      </c>
      <c r="GU57" s="4">
        <v>3.44</v>
      </c>
      <c r="GV57" s="4">
        <v>3.4580000000000002</v>
      </c>
      <c r="GW57" s="4">
        <v>3.4279999999999999</v>
      </c>
      <c r="GX57" s="4">
        <v>3.3370000000000002</v>
      </c>
      <c r="HA57" s="4">
        <v>3.3660000000000001</v>
      </c>
      <c r="HB57" s="4">
        <v>3.407</v>
      </c>
      <c r="HD57" s="4">
        <v>3.46</v>
      </c>
      <c r="HE57" s="4">
        <v>3.4279999999999999</v>
      </c>
      <c r="HH57" s="4">
        <v>3.4319999999999999</v>
      </c>
      <c r="HI57" s="4">
        <v>3.456</v>
      </c>
      <c r="HJ57" s="4">
        <v>3.423</v>
      </c>
      <c r="HK57" s="4">
        <v>3.395</v>
      </c>
      <c r="HL57" s="4">
        <v>3.415</v>
      </c>
      <c r="HO57" s="4">
        <v>3.4359999999999999</v>
      </c>
      <c r="HP57" s="4">
        <v>3.3969999999999998</v>
      </c>
      <c r="HQ57" s="4">
        <v>3.4279999999999999</v>
      </c>
      <c r="HR57" s="4">
        <v>3.403</v>
      </c>
      <c r="HS57" s="4">
        <v>3.4020000000000001</v>
      </c>
      <c r="HV57" s="4">
        <v>3.399</v>
      </c>
      <c r="HW57" s="4">
        <v>3.4340000000000002</v>
      </c>
      <c r="HX57" s="4">
        <v>3.4830000000000001</v>
      </c>
      <c r="HY57" s="4">
        <v>3.5059999999999998</v>
      </c>
      <c r="HZ57" s="4">
        <v>3.4870000000000001</v>
      </c>
      <c r="IC57" s="4">
        <v>3.488</v>
      </c>
      <c r="ID57" s="4">
        <v>3.27</v>
      </c>
      <c r="IE57" s="4">
        <v>3.37</v>
      </c>
      <c r="IF57" s="4">
        <v>3.343</v>
      </c>
      <c r="IG57" s="4">
        <v>3.371</v>
      </c>
      <c r="IJ57" s="4">
        <v>3.3570000000000002</v>
      </c>
      <c r="IK57" s="4">
        <v>3.4630000000000001</v>
      </c>
      <c r="IL57" s="4">
        <v>3.4350000000000001</v>
      </c>
      <c r="IQ57" s="4">
        <v>3.48</v>
      </c>
      <c r="IR57" s="4">
        <v>3.387</v>
      </c>
      <c r="IS57" s="4">
        <v>3.3650000000000002</v>
      </c>
      <c r="IT57" s="4">
        <v>3.3690000000000002</v>
      </c>
      <c r="IU57" s="4">
        <v>3.3940000000000001</v>
      </c>
      <c r="IX57" s="4">
        <v>3.427</v>
      </c>
      <c r="IY57" s="4">
        <v>3.2989999999999999</v>
      </c>
      <c r="IZ57" s="4">
        <v>3.2320000000000002</v>
      </c>
      <c r="JA57" s="4">
        <v>3.1659999999999999</v>
      </c>
      <c r="JB57" s="4">
        <v>3.1320000000000001</v>
      </c>
      <c r="JE57" s="4">
        <v>3.1179999999999999</v>
      </c>
      <c r="JF57" s="4">
        <v>3.0750000000000002</v>
      </c>
      <c r="JG57" s="4">
        <v>3.032</v>
      </c>
      <c r="JH57" s="4">
        <v>3.1190000000000002</v>
      </c>
      <c r="JI57" s="4">
        <v>3.2909999999999999</v>
      </c>
      <c r="JL57" s="4">
        <v>3.38</v>
      </c>
      <c r="JM57" s="4">
        <v>3.2120000000000002</v>
      </c>
      <c r="JN57" s="4">
        <v>3.1869999999999998</v>
      </c>
      <c r="JO57" s="4">
        <v>3.2519999999999998</v>
      </c>
      <c r="JP57" s="4">
        <v>3.2690000000000001</v>
      </c>
      <c r="JS57" s="4">
        <v>3.2440000000000002</v>
      </c>
      <c r="JT57" s="4">
        <v>3.2080000000000002</v>
      </c>
      <c r="JU57" s="4">
        <v>3.2120000000000002</v>
      </c>
      <c r="JV57" s="4">
        <v>3.161</v>
      </c>
      <c r="JW57" s="4">
        <v>3.194</v>
      </c>
      <c r="JZ57" s="4">
        <v>3.2360000000000002</v>
      </c>
      <c r="KA57" s="4">
        <v>3.23</v>
      </c>
      <c r="KB57" s="4">
        <v>3.2290000000000001</v>
      </c>
      <c r="KC57" s="4">
        <v>3.2360000000000002</v>
      </c>
      <c r="KD57" s="4">
        <v>3.282</v>
      </c>
      <c r="KG57" s="4">
        <v>3.2909999999999999</v>
      </c>
      <c r="KH57" s="4">
        <v>3.2949999999999999</v>
      </c>
      <c r="KI57" s="4">
        <v>3.2349999999999999</v>
      </c>
      <c r="KJ57" s="4">
        <v>3.1629999999999998</v>
      </c>
      <c r="KK57" s="4">
        <v>3.2240000000000002</v>
      </c>
      <c r="KN57" s="4">
        <v>3.2170000000000001</v>
      </c>
      <c r="KO57" s="4">
        <v>3.2749999999999999</v>
      </c>
      <c r="KP57" s="4">
        <v>3.3660000000000001</v>
      </c>
      <c r="KQ57" s="4">
        <v>3.2570000000000001</v>
      </c>
      <c r="KR57" s="4">
        <v>3.306</v>
      </c>
      <c r="KU57" s="4">
        <v>3.28</v>
      </c>
      <c r="KV57" s="4">
        <v>3.274</v>
      </c>
      <c r="KW57" s="4">
        <v>3.0819999999999999</v>
      </c>
      <c r="KX57" s="4">
        <v>3.07</v>
      </c>
      <c r="KY57" s="4">
        <v>3.0449999999999999</v>
      </c>
      <c r="LB57" s="4">
        <v>3.0259999999999998</v>
      </c>
      <c r="LC57" s="4">
        <v>3.0289999999999999</v>
      </c>
      <c r="LD57" s="4">
        <v>3.0379999999999998</v>
      </c>
      <c r="LE57" s="4">
        <v>3.0310000000000001</v>
      </c>
      <c r="LF57" s="4">
        <v>3.0779999999999998</v>
      </c>
      <c r="LI57" s="4">
        <v>3.07</v>
      </c>
      <c r="LJ57" s="4">
        <v>3.09</v>
      </c>
      <c r="LK57" s="4">
        <v>2.9860000000000002</v>
      </c>
      <c r="LL57" s="4">
        <v>2.9929999999999999</v>
      </c>
      <c r="LM57" s="4">
        <v>2.9769999999999999</v>
      </c>
      <c r="LP57" s="4">
        <v>2.992</v>
      </c>
      <c r="LQ57" s="4">
        <v>3.0449999999999999</v>
      </c>
      <c r="LR57" s="4">
        <v>3.0310000000000001</v>
      </c>
      <c r="LS57" s="4">
        <v>3.085</v>
      </c>
      <c r="LT57" s="4">
        <v>3.19</v>
      </c>
      <c r="LW57" s="4">
        <v>3.0470000000000002</v>
      </c>
      <c r="LX57" s="4">
        <v>3.0720000000000001</v>
      </c>
      <c r="LY57" s="4">
        <v>3.1269999999999998</v>
      </c>
      <c r="LZ57" s="4">
        <v>3.1480000000000001</v>
      </c>
      <c r="MA57" s="4">
        <v>3.1339999999999999</v>
      </c>
      <c r="MD57" s="4">
        <v>3.1070000000000002</v>
      </c>
      <c r="ME57" s="4">
        <v>3.1320000000000001</v>
      </c>
      <c r="MF57" s="4">
        <v>3.0790000000000002</v>
      </c>
      <c r="MG57" s="4">
        <v>3.081</v>
      </c>
      <c r="MH57" s="4">
        <v>3.05</v>
      </c>
      <c r="MK57" s="4">
        <v>3.0710000000000002</v>
      </c>
      <c r="ML57" s="4">
        <v>3.1269999999999998</v>
      </c>
      <c r="MM57" s="4">
        <v>3.1139999999999999</v>
      </c>
      <c r="MN57" s="4">
        <v>2.7839999999999998</v>
      </c>
      <c r="MR57" s="4">
        <v>2.68</v>
      </c>
      <c r="MS57" s="4">
        <v>2.552</v>
      </c>
      <c r="MT57" s="4">
        <v>2.5099999999999998</v>
      </c>
      <c r="MU57" s="4">
        <v>2.5430000000000001</v>
      </c>
      <c r="MY57" s="4">
        <v>2.8039999999999998</v>
      </c>
      <c r="MZ57" s="4">
        <v>2.5459999999999998</v>
      </c>
      <c r="NA57" s="4">
        <v>2.5310000000000001</v>
      </c>
      <c r="NB57" s="4">
        <v>2.5259999999999998</v>
      </c>
      <c r="NC57" s="4">
        <v>2.5369999999999999</v>
      </c>
      <c r="NF57" s="4">
        <v>2.5470000000000002</v>
      </c>
      <c r="NG57" s="4">
        <v>2.5299999999999998</v>
      </c>
      <c r="NH57" s="4">
        <v>2.5579999999999998</v>
      </c>
      <c r="NI57" s="4">
        <v>2.5259999999999998</v>
      </c>
      <c r="NJ57" s="4">
        <v>2.5009999999999999</v>
      </c>
      <c r="NM57" s="4">
        <v>2.5139999999999998</v>
      </c>
      <c r="NN57" s="4">
        <v>2.5059999999999998</v>
      </c>
      <c r="NO57" s="4">
        <v>2.5169999999999999</v>
      </c>
      <c r="NP57" s="4">
        <v>2.52</v>
      </c>
      <c r="NU57" s="4">
        <v>2.61</v>
      </c>
      <c r="NV57" s="4">
        <v>2.4900000000000002</v>
      </c>
      <c r="NW57" s="4">
        <v>2.4049999999999998</v>
      </c>
      <c r="NX57" s="4">
        <v>2.4359999999999999</v>
      </c>
      <c r="OA57" s="4">
        <v>2.5139999999999998</v>
      </c>
      <c r="OB57" s="4">
        <v>2.5019999999999998</v>
      </c>
      <c r="OC57" s="4">
        <v>2.548</v>
      </c>
      <c r="OD57" s="4">
        <v>2.4279999999999999</v>
      </c>
      <c r="OE57" s="4">
        <v>2.4209999999999998</v>
      </c>
      <c r="OH57" s="4">
        <v>2.4260000000000002</v>
      </c>
      <c r="OI57" s="4">
        <v>2.4489999999999998</v>
      </c>
      <c r="OJ57" s="4">
        <v>2.258</v>
      </c>
      <c r="OK57" s="4">
        <v>2.214</v>
      </c>
      <c r="OL57" s="4">
        <v>2.2170000000000001</v>
      </c>
      <c r="OO57" s="4">
        <v>2.2410000000000001</v>
      </c>
      <c r="OP57" s="4">
        <v>2.206</v>
      </c>
      <c r="OQ57" s="4">
        <v>2.1749999999999998</v>
      </c>
      <c r="OR57" s="4">
        <v>2.1760000000000002</v>
      </c>
      <c r="OV57" s="4">
        <v>2.246</v>
      </c>
      <c r="OW57" s="4">
        <v>2.2149999999999999</v>
      </c>
      <c r="OX57" s="4">
        <v>2.2170000000000001</v>
      </c>
      <c r="OY57" s="4">
        <v>2.2429999999999999</v>
      </c>
      <c r="OZ57" s="4">
        <v>2.226</v>
      </c>
      <c r="PC57" s="4">
        <v>2.242</v>
      </c>
      <c r="PD57" s="4">
        <v>2.2210000000000001</v>
      </c>
      <c r="PE57" s="4">
        <v>2.1619999999999999</v>
      </c>
      <c r="PF57" s="4">
        <v>2.19</v>
      </c>
      <c r="PG57" s="4">
        <v>2.238</v>
      </c>
      <c r="PJ57" s="4">
        <v>2.3410000000000002</v>
      </c>
      <c r="PK57" s="4">
        <v>2.1429999999999998</v>
      </c>
      <c r="PL57" s="4">
        <v>2.1139999999999999</v>
      </c>
      <c r="PM57" s="4">
        <v>2.2240000000000002</v>
      </c>
      <c r="PN57" s="4">
        <v>2.1829999999999998</v>
      </c>
      <c r="PQ57" s="4">
        <v>2.1880000000000002</v>
      </c>
      <c r="PR57" s="4">
        <v>2.206</v>
      </c>
      <c r="PS57" s="4">
        <v>2.173</v>
      </c>
      <c r="PT57" s="4">
        <v>2.1960000000000002</v>
      </c>
      <c r="PU57" s="4">
        <v>2.1709999999999998</v>
      </c>
      <c r="PX57" s="4">
        <v>2.177</v>
      </c>
      <c r="PY57" s="4">
        <v>2.1960000000000002</v>
      </c>
      <c r="PZ57" s="4">
        <v>2.0409999999999999</v>
      </c>
      <c r="QA57" s="4">
        <v>1.8320000000000001</v>
      </c>
      <c r="QB57" s="4">
        <v>1.82</v>
      </c>
      <c r="QE57" s="4">
        <v>1.732</v>
      </c>
      <c r="QF57" s="4">
        <v>1.7410000000000001</v>
      </c>
      <c r="QG57" s="4">
        <v>1.7370000000000001</v>
      </c>
      <c r="QH57" s="4">
        <v>1.6819999999999999</v>
      </c>
      <c r="QI57" s="4">
        <v>1.66</v>
      </c>
      <c r="QL57" s="4">
        <v>1.7230000000000001</v>
      </c>
      <c r="QM57" s="4">
        <v>2.3370000000000002</v>
      </c>
      <c r="QN57" s="4">
        <v>1.8080000000000001</v>
      </c>
      <c r="QO57" s="4">
        <v>1.8280000000000001</v>
      </c>
      <c r="QP57" s="4">
        <v>1.825</v>
      </c>
      <c r="QS57" s="4">
        <v>1.8420000000000001</v>
      </c>
      <c r="QT57" s="4">
        <v>1.754</v>
      </c>
      <c r="QU57" s="4">
        <v>1.7170000000000001</v>
      </c>
      <c r="QV57" s="4">
        <v>1.7150000000000001</v>
      </c>
      <c r="QW57" s="4">
        <v>1.718</v>
      </c>
      <c r="QZ57" s="4">
        <v>1.7330000000000001</v>
      </c>
      <c r="RA57" s="4">
        <v>1.698</v>
      </c>
      <c r="RB57" s="4">
        <v>1.66</v>
      </c>
      <c r="RC57" s="4">
        <v>1.6919999999999999</v>
      </c>
      <c r="RD57" s="4">
        <v>1.7390000000000001</v>
      </c>
      <c r="RG57" s="4">
        <v>1.7470000000000001</v>
      </c>
      <c r="RH57" s="4">
        <v>1.7929999999999999</v>
      </c>
      <c r="RI57" s="4">
        <v>1.5580000000000001</v>
      </c>
      <c r="RJ57" s="4">
        <v>1.476</v>
      </c>
      <c r="RN57" s="4">
        <v>1.6479999999999999</v>
      </c>
      <c r="RO57" s="4">
        <v>1.7090000000000001</v>
      </c>
      <c r="RQ57" s="4">
        <v>1.863</v>
      </c>
      <c r="RR57" s="4">
        <v>1.732</v>
      </c>
      <c r="RU57" s="4">
        <v>1.758</v>
      </c>
      <c r="RV57" s="4">
        <v>1.6870000000000001</v>
      </c>
      <c r="RW57" s="4">
        <v>1.5069999999999999</v>
      </c>
      <c r="RX57" s="4">
        <v>1.4910000000000001</v>
      </c>
      <c r="RY57" s="4">
        <v>1.5149999999999999</v>
      </c>
      <c r="SB57" s="4">
        <v>1.526</v>
      </c>
      <c r="SC57" s="4">
        <v>1.5</v>
      </c>
      <c r="SD57" s="4">
        <v>1.49</v>
      </c>
      <c r="SE57" s="4">
        <v>1.474</v>
      </c>
      <c r="SF57" s="4">
        <v>1.4590000000000001</v>
      </c>
      <c r="SI57" s="4">
        <v>1.399</v>
      </c>
      <c r="SJ57" s="4">
        <v>1.4239999999999999</v>
      </c>
      <c r="SK57" s="4">
        <v>1.478</v>
      </c>
      <c r="SL57" s="4">
        <v>1.357</v>
      </c>
      <c r="SM57" s="4">
        <v>1.34</v>
      </c>
      <c r="SP57" s="4">
        <v>1.415</v>
      </c>
      <c r="SR57" s="4">
        <v>1.4490000000000001</v>
      </c>
      <c r="SS57" s="4">
        <v>1.4419999999999999</v>
      </c>
      <c r="ST57" s="4">
        <v>1.454</v>
      </c>
      <c r="SW57" s="4">
        <v>1.53</v>
      </c>
      <c r="SX57" s="4">
        <v>1.347</v>
      </c>
      <c r="SY57" s="4">
        <v>1.359</v>
      </c>
      <c r="SZ57" s="4">
        <v>1.385</v>
      </c>
      <c r="TA57" s="4">
        <v>1.4179999999999999</v>
      </c>
      <c r="TD57" s="4">
        <v>1.4490000000000001</v>
      </c>
      <c r="TE57" s="4">
        <v>1.3919999999999999</v>
      </c>
      <c r="TF57" s="4">
        <v>1.375</v>
      </c>
      <c r="TG57" s="4">
        <v>1.399</v>
      </c>
      <c r="TH57" s="4">
        <v>1.395</v>
      </c>
      <c r="TK57" s="4">
        <v>1.4319999999999999</v>
      </c>
      <c r="TL57" s="4">
        <v>1.333</v>
      </c>
      <c r="TM57" s="4">
        <v>1.141</v>
      </c>
      <c r="TN57" s="4">
        <v>1.1819999999999999</v>
      </c>
      <c r="TO57" s="4">
        <v>1.1679999999999999</v>
      </c>
      <c r="TR57" s="4">
        <v>1.1579999999999999</v>
      </c>
      <c r="TS57" s="4">
        <v>1.1779999999999999</v>
      </c>
      <c r="TT57" s="4">
        <v>1.2410000000000001</v>
      </c>
      <c r="TU57" s="4">
        <v>1.28</v>
      </c>
    </row>
    <row r="58" spans="1:541">
      <c r="R58" s="143"/>
      <c r="V58" s="3">
        <v>45149</v>
      </c>
      <c r="W58" s="4">
        <v>-191160</v>
      </c>
      <c r="X58" s="4">
        <v>182927</v>
      </c>
      <c r="Y58" s="4">
        <v>-6225</v>
      </c>
      <c r="Z58" s="4">
        <v>52357</v>
      </c>
      <c r="AA58" s="4">
        <v>-22244</v>
      </c>
      <c r="AB58" s="4">
        <v>26665</v>
      </c>
      <c r="AC58" s="4">
        <v>-7314</v>
      </c>
      <c r="AD58" s="4">
        <v>10342</v>
      </c>
      <c r="AE58" s="4">
        <v>6043</v>
      </c>
      <c r="AF58" s="4">
        <v>44118</v>
      </c>
      <c r="AG58" s="4">
        <v>-50781</v>
      </c>
      <c r="AH58" s="4">
        <v>98446</v>
      </c>
      <c r="AI58" s="4">
        <v>3884</v>
      </c>
      <c r="AJ58" s="4">
        <v>-1655</v>
      </c>
      <c r="AK58" s="4">
        <v>-830</v>
      </c>
      <c r="AL58" s="4">
        <v>1884</v>
      </c>
      <c r="AN58" s="4" t="str">
        <f ca="1">_xll.IMDH("IR",IF($V$52, "BONDKSDCAL08", " "),AO58,TODAY()-2543,$E$5,500,"Per=일,sort=D,real=true,Bizday=12,Quote=종가,Pos=20,Orient=H,DtFmt=1,TmFmt=1")</f>
        <v>조회[BONDKSDCAL08]</v>
      </c>
      <c r="AO58" s="4" t="s">
        <v>368</v>
      </c>
      <c r="AP58" s="4">
        <v>3.7</v>
      </c>
      <c r="AQ58" s="4">
        <v>3.7</v>
      </c>
      <c r="AS58" s="4">
        <v>3.69</v>
      </c>
      <c r="AV58" s="4">
        <v>3.69</v>
      </c>
      <c r="AW58" s="4">
        <v>3.68</v>
      </c>
      <c r="AX58" s="4">
        <v>3.7</v>
      </c>
      <c r="AY58" s="4">
        <v>3.7</v>
      </c>
      <c r="AZ58" s="4">
        <v>3.72</v>
      </c>
      <c r="BC58" s="4">
        <v>3.72</v>
      </c>
      <c r="BD58" s="4">
        <v>3.73</v>
      </c>
      <c r="BE58" s="4">
        <v>3.74</v>
      </c>
      <c r="BF58" s="4">
        <v>3.74</v>
      </c>
      <c r="BG58" s="4">
        <v>3.74</v>
      </c>
      <c r="BJ58" s="4">
        <v>3.74</v>
      </c>
      <c r="BK58" s="4">
        <v>3.74</v>
      </c>
      <c r="BL58" s="4">
        <v>3.75</v>
      </c>
      <c r="BM58" s="4">
        <v>3.75</v>
      </c>
      <c r="BN58" s="4">
        <v>3.75</v>
      </c>
      <c r="BQ58" s="4">
        <v>3.75</v>
      </c>
      <c r="BR58" s="4">
        <v>3.75</v>
      </c>
      <c r="BS58" s="4">
        <v>3.75</v>
      </c>
      <c r="BT58" s="4">
        <v>3.75</v>
      </c>
      <c r="BU58" s="4">
        <v>3.75</v>
      </c>
      <c r="BX58" s="4">
        <v>3.75</v>
      </c>
      <c r="BY58" s="4">
        <v>3.75</v>
      </c>
      <c r="BZ58" s="4">
        <v>3.75</v>
      </c>
      <c r="CA58" s="4">
        <v>3.75</v>
      </c>
      <c r="CB58" s="4">
        <v>3.75</v>
      </c>
      <c r="CE58" s="4">
        <v>3.75</v>
      </c>
      <c r="CF58" s="4">
        <v>3.74</v>
      </c>
      <c r="CG58" s="4">
        <v>3.74</v>
      </c>
      <c r="CH58" s="4">
        <v>3.74</v>
      </c>
      <c r="CI58" s="4">
        <v>3.75</v>
      </c>
      <c r="CL58" s="4">
        <v>3.75</v>
      </c>
      <c r="CM58" s="4">
        <v>3.75</v>
      </c>
      <c r="CN58" s="4">
        <v>3.75</v>
      </c>
      <c r="CO58" s="4">
        <v>3.75</v>
      </c>
      <c r="CP58" s="4">
        <v>3.75</v>
      </c>
      <c r="CS58" s="4">
        <v>3.75</v>
      </c>
      <c r="CT58" s="4">
        <v>3.75</v>
      </c>
      <c r="CU58" s="4">
        <v>3.75</v>
      </c>
      <c r="CV58" s="4">
        <v>3.75</v>
      </c>
      <c r="CW58" s="4">
        <v>3.75</v>
      </c>
      <c r="CZ58" s="4">
        <v>3.75</v>
      </c>
      <c r="DA58" s="4">
        <v>3.75</v>
      </c>
      <c r="DB58" s="4">
        <v>3.75</v>
      </c>
      <c r="DC58" s="4">
        <v>3.75</v>
      </c>
      <c r="DD58" s="4">
        <v>3.75</v>
      </c>
      <c r="DG58" s="4">
        <v>3.75</v>
      </c>
      <c r="DH58" s="4">
        <v>3.75</v>
      </c>
      <c r="DI58" s="4">
        <v>3.75</v>
      </c>
      <c r="DK58" s="4">
        <v>3.76</v>
      </c>
      <c r="DN58" s="4">
        <v>3.76</v>
      </c>
      <c r="DO58" s="4">
        <v>3.76</v>
      </c>
      <c r="DP58" s="4">
        <v>3.76</v>
      </c>
      <c r="DQ58" s="4">
        <v>3.76</v>
      </c>
      <c r="DU58" s="4">
        <v>3.75</v>
      </c>
      <c r="DV58" s="4">
        <v>3.75</v>
      </c>
      <c r="DW58" s="4">
        <v>3.73</v>
      </c>
      <c r="DX58" s="4">
        <v>3.7</v>
      </c>
      <c r="DY58" s="4">
        <v>3.68</v>
      </c>
      <c r="EB58" s="4">
        <v>3.67</v>
      </c>
      <c r="EC58" s="4">
        <v>3.66</v>
      </c>
      <c r="ED58" s="4">
        <v>3.65</v>
      </c>
      <c r="EE58" s="4">
        <v>3.62</v>
      </c>
      <c r="EF58" s="4">
        <v>3.62</v>
      </c>
      <c r="EI58" s="4">
        <v>3.61</v>
      </c>
      <c r="EJ58" s="4">
        <v>3.6</v>
      </c>
      <c r="EK58" s="4">
        <v>3.59</v>
      </c>
      <c r="EL58" s="4">
        <v>3.55</v>
      </c>
      <c r="EM58" s="4">
        <v>3.55</v>
      </c>
      <c r="EQ58" s="4">
        <v>3.55</v>
      </c>
      <c r="ER58" s="4">
        <v>3.55</v>
      </c>
      <c r="ES58" s="4">
        <v>3.53</v>
      </c>
      <c r="EW58" s="4">
        <v>3.52</v>
      </c>
      <c r="EX58" s="4">
        <v>3.52</v>
      </c>
      <c r="EY58" s="4">
        <v>3.5</v>
      </c>
      <c r="EZ58" s="4">
        <v>3.49</v>
      </c>
      <c r="FA58" s="4">
        <v>3.49</v>
      </c>
      <c r="FD58" s="4">
        <v>3.49</v>
      </c>
      <c r="FE58" s="4">
        <v>3.47</v>
      </c>
      <c r="FF58" s="4">
        <v>3.45</v>
      </c>
      <c r="FG58" s="4">
        <v>3.44</v>
      </c>
      <c r="FH58" s="4">
        <v>3.43</v>
      </c>
      <c r="FK58" s="4">
        <v>3.43</v>
      </c>
      <c r="FL58" s="4">
        <v>3.43</v>
      </c>
      <c r="FM58" s="4">
        <v>3.43</v>
      </c>
      <c r="FN58" s="4">
        <v>3.48</v>
      </c>
      <c r="FO58" s="4">
        <v>3.51</v>
      </c>
      <c r="FR58" s="4">
        <v>3.53</v>
      </c>
      <c r="FS58" s="4">
        <v>3.58</v>
      </c>
      <c r="FT58" s="4">
        <v>3.59</v>
      </c>
      <c r="FU58" s="4">
        <v>3.59</v>
      </c>
      <c r="FV58" s="4">
        <v>3.59</v>
      </c>
      <c r="FY58" s="4">
        <v>3.59</v>
      </c>
      <c r="FZ58" s="4">
        <v>3.59</v>
      </c>
      <c r="GA58" s="4">
        <v>3.59</v>
      </c>
      <c r="GB58" s="4">
        <v>3.59</v>
      </c>
      <c r="GC58" s="4">
        <v>3.59</v>
      </c>
      <c r="GF58" s="4">
        <v>3.59</v>
      </c>
      <c r="GG58" s="4">
        <v>3.62</v>
      </c>
      <c r="GH58" s="4">
        <v>3.62</v>
      </c>
      <c r="GI58" s="4">
        <v>3.62</v>
      </c>
      <c r="GJ58" s="4">
        <v>3.62</v>
      </c>
      <c r="GM58" s="4">
        <v>3.62</v>
      </c>
      <c r="GN58" s="4">
        <v>3.62</v>
      </c>
      <c r="GO58" s="4">
        <v>3.61</v>
      </c>
      <c r="GP58" s="4">
        <v>3.61</v>
      </c>
      <c r="GQ58" s="4">
        <v>3.61</v>
      </c>
      <c r="GT58" s="4">
        <v>3.61</v>
      </c>
      <c r="GU58" s="4">
        <v>3.61</v>
      </c>
      <c r="GV58" s="4">
        <v>3.61</v>
      </c>
      <c r="GW58" s="4">
        <v>3.61</v>
      </c>
      <c r="GX58" s="4">
        <v>3.61</v>
      </c>
      <c r="HA58" s="4">
        <v>3.61</v>
      </c>
      <c r="HB58" s="4">
        <v>3.61</v>
      </c>
      <c r="HD58" s="4">
        <v>3.59</v>
      </c>
      <c r="HE58" s="4">
        <v>3.59</v>
      </c>
      <c r="HH58" s="4">
        <v>3.59</v>
      </c>
      <c r="HI58" s="4">
        <v>3.59</v>
      </c>
      <c r="HJ58" s="4">
        <v>3.56</v>
      </c>
      <c r="HK58" s="4">
        <v>3.54</v>
      </c>
      <c r="HL58" s="4">
        <v>3.53</v>
      </c>
      <c r="HO58" s="4">
        <v>3.52</v>
      </c>
      <c r="HP58" s="4">
        <v>3.5</v>
      </c>
      <c r="HQ58" s="4">
        <v>3.49</v>
      </c>
      <c r="HR58" s="4">
        <v>3.48</v>
      </c>
      <c r="HS58" s="4">
        <v>3.48</v>
      </c>
      <c r="HV58" s="4">
        <v>3.47</v>
      </c>
      <c r="HW58" s="4">
        <v>3.46</v>
      </c>
      <c r="HX58" s="4">
        <v>3.46</v>
      </c>
      <c r="HY58" s="4">
        <v>3.46</v>
      </c>
      <c r="HZ58" s="4">
        <v>3.47</v>
      </c>
      <c r="IC58" s="4">
        <v>3.49</v>
      </c>
      <c r="ID58" s="4">
        <v>3.52</v>
      </c>
      <c r="IE58" s="4">
        <v>3.59</v>
      </c>
      <c r="IF58" s="4">
        <v>3.63</v>
      </c>
      <c r="IG58" s="4">
        <v>3.63</v>
      </c>
      <c r="IJ58" s="4">
        <v>3.64</v>
      </c>
      <c r="IK58" s="4">
        <v>3.65</v>
      </c>
      <c r="IL58" s="4">
        <v>3.66</v>
      </c>
      <c r="IQ58" s="4">
        <v>3.67</v>
      </c>
      <c r="IR58" s="4">
        <v>3.68</v>
      </c>
      <c r="IS58" s="4">
        <v>3.7</v>
      </c>
      <c r="IT58" s="4">
        <v>3.74</v>
      </c>
      <c r="IU58" s="4">
        <v>3.79</v>
      </c>
      <c r="IX58" s="4">
        <v>3.88</v>
      </c>
      <c r="IY58" s="4">
        <v>3.87</v>
      </c>
      <c r="IZ58" s="4">
        <v>3.88</v>
      </c>
      <c r="JA58" s="4">
        <v>3.9</v>
      </c>
      <c r="JB58" s="4">
        <v>3.92</v>
      </c>
      <c r="JE58" s="4">
        <v>3.92</v>
      </c>
      <c r="JF58" s="4">
        <v>3.96</v>
      </c>
      <c r="JG58" s="4">
        <v>3.96</v>
      </c>
      <c r="JH58" s="4">
        <v>3.96</v>
      </c>
      <c r="JI58" s="4">
        <v>3.98</v>
      </c>
      <c r="JL58" s="4">
        <v>3.98</v>
      </c>
      <c r="JM58" s="4">
        <v>3.98</v>
      </c>
      <c r="JN58" s="4">
        <v>3.98</v>
      </c>
      <c r="JO58" s="4">
        <v>3.98</v>
      </c>
      <c r="JP58" s="4">
        <v>4.03</v>
      </c>
      <c r="JS58" s="4">
        <v>4.03</v>
      </c>
      <c r="JT58" s="4">
        <v>4.03</v>
      </c>
      <c r="JU58" s="4">
        <v>4.03</v>
      </c>
      <c r="JV58" s="4">
        <v>4.03</v>
      </c>
      <c r="JW58" s="4">
        <v>4.03</v>
      </c>
      <c r="JZ58" s="4">
        <v>4.03</v>
      </c>
      <c r="KA58" s="4">
        <v>4.03</v>
      </c>
      <c r="KB58" s="4">
        <v>4.03</v>
      </c>
      <c r="KC58" s="4">
        <v>4.03</v>
      </c>
      <c r="KD58" s="4">
        <v>4.03</v>
      </c>
      <c r="KG58" s="4">
        <v>4.03</v>
      </c>
      <c r="KH58" s="4">
        <v>4.03</v>
      </c>
      <c r="KI58" s="4">
        <v>4.03</v>
      </c>
      <c r="KJ58" s="4">
        <v>4.03</v>
      </c>
      <c r="KK58" s="4">
        <v>4.03</v>
      </c>
      <c r="KN58" s="4">
        <v>4.03</v>
      </c>
      <c r="KO58" s="4">
        <v>4.03</v>
      </c>
      <c r="KP58" s="4">
        <v>4.03</v>
      </c>
      <c r="KQ58" s="4">
        <v>4.03</v>
      </c>
      <c r="KR58" s="4">
        <v>4.03</v>
      </c>
      <c r="KU58" s="4">
        <v>4.03</v>
      </c>
      <c r="KV58" s="4">
        <v>4.03</v>
      </c>
      <c r="KW58" s="4">
        <v>4.0199999999999996</v>
      </c>
      <c r="KX58" s="4">
        <v>4.0199999999999996</v>
      </c>
      <c r="KY58" s="4">
        <v>4.01</v>
      </c>
      <c r="LB58" s="4">
        <v>3.99</v>
      </c>
      <c r="LC58" s="4">
        <v>3.99</v>
      </c>
      <c r="LD58" s="4">
        <v>3.97</v>
      </c>
      <c r="LE58" s="4">
        <v>3.97</v>
      </c>
      <c r="LF58" s="4">
        <v>3.97</v>
      </c>
      <c r="LI58" s="4">
        <v>3.97</v>
      </c>
      <c r="LJ58" s="4">
        <v>3.97</v>
      </c>
      <c r="LK58" s="4">
        <v>3.97</v>
      </c>
      <c r="LL58" s="4">
        <v>3.97</v>
      </c>
      <c r="LM58" s="4">
        <v>3.97</v>
      </c>
      <c r="LP58" s="4">
        <v>3.97</v>
      </c>
      <c r="LQ58" s="4">
        <v>3.97</v>
      </c>
      <c r="LR58" s="4">
        <v>3.97</v>
      </c>
      <c r="LS58" s="4">
        <v>3.97</v>
      </c>
      <c r="LT58" s="4">
        <v>3.96</v>
      </c>
      <c r="LW58" s="4">
        <v>3.95</v>
      </c>
      <c r="LX58" s="4">
        <v>3.94</v>
      </c>
      <c r="LY58" s="4">
        <v>3.94</v>
      </c>
      <c r="LZ58" s="4">
        <v>3.93</v>
      </c>
      <c r="MA58" s="4">
        <v>3.92</v>
      </c>
      <c r="MD58" s="4">
        <v>3.9</v>
      </c>
      <c r="ME58" s="4">
        <v>3.85</v>
      </c>
      <c r="MF58" s="4">
        <v>3.81</v>
      </c>
      <c r="MG58" s="4">
        <v>3.76</v>
      </c>
      <c r="MH58" s="4">
        <v>3.7</v>
      </c>
      <c r="MK58" s="4">
        <v>3.66</v>
      </c>
      <c r="ML58" s="4">
        <v>3.66</v>
      </c>
      <c r="MM58" s="4">
        <v>3.63</v>
      </c>
      <c r="MN58" s="4">
        <v>3.32</v>
      </c>
      <c r="MR58" s="4">
        <v>3.32</v>
      </c>
      <c r="MS58" s="4">
        <v>3.32</v>
      </c>
      <c r="MT58" s="4">
        <v>3.32</v>
      </c>
      <c r="MU58" s="4">
        <v>3.28</v>
      </c>
      <c r="MY58" s="4">
        <v>3.24</v>
      </c>
      <c r="MZ58" s="4">
        <v>3.2</v>
      </c>
      <c r="NA58" s="4">
        <v>3.14</v>
      </c>
      <c r="NB58" s="4">
        <v>3.12</v>
      </c>
      <c r="NC58" s="4">
        <v>3.09</v>
      </c>
      <c r="NF58" s="4">
        <v>3.07</v>
      </c>
      <c r="NG58" s="4">
        <v>3.04</v>
      </c>
      <c r="NH58" s="4">
        <v>3.02</v>
      </c>
      <c r="NI58" s="4">
        <v>3</v>
      </c>
      <c r="NJ58" s="4">
        <v>2.99</v>
      </c>
      <c r="NM58" s="4">
        <v>2.97</v>
      </c>
      <c r="NN58" s="4">
        <v>2.96</v>
      </c>
      <c r="NO58" s="4">
        <v>2.94</v>
      </c>
      <c r="NP58" s="4">
        <v>2.93</v>
      </c>
      <c r="NU58" s="4">
        <v>2.93</v>
      </c>
      <c r="NV58" s="4">
        <v>2.93</v>
      </c>
      <c r="NW58" s="4">
        <v>2.93</v>
      </c>
      <c r="NX58" s="4">
        <v>2.93</v>
      </c>
      <c r="OA58" s="4">
        <v>2.93</v>
      </c>
      <c r="OB58" s="4">
        <v>2.92</v>
      </c>
      <c r="OC58" s="4">
        <v>2.92</v>
      </c>
      <c r="OD58" s="4">
        <v>2.92</v>
      </c>
      <c r="OE58" s="4">
        <v>2.92</v>
      </c>
      <c r="OH58" s="4">
        <v>2.92</v>
      </c>
      <c r="OI58" s="4">
        <v>2.92</v>
      </c>
      <c r="OJ58" s="4">
        <v>2.76</v>
      </c>
      <c r="OK58" s="4">
        <v>2.76</v>
      </c>
      <c r="OL58" s="4">
        <v>2.76</v>
      </c>
      <c r="OO58" s="4">
        <v>2.76</v>
      </c>
      <c r="OP58" s="4">
        <v>2.76</v>
      </c>
      <c r="OQ58" s="4">
        <v>2.76</v>
      </c>
      <c r="OR58" s="4">
        <v>2.76</v>
      </c>
      <c r="OV58" s="4">
        <v>2.76</v>
      </c>
      <c r="OW58" s="4">
        <v>2.76</v>
      </c>
      <c r="OX58" s="4">
        <v>2.76</v>
      </c>
      <c r="OY58" s="4">
        <v>2.75</v>
      </c>
      <c r="OZ58" s="4">
        <v>2.75</v>
      </c>
      <c r="PC58" s="4">
        <v>2.74</v>
      </c>
      <c r="PD58" s="4">
        <v>2.74</v>
      </c>
      <c r="PE58" s="4">
        <v>2.73</v>
      </c>
      <c r="PF58" s="4">
        <v>2.73</v>
      </c>
      <c r="PG58" s="4">
        <v>2.73</v>
      </c>
      <c r="PJ58" s="4">
        <v>2.73</v>
      </c>
      <c r="PK58" s="4">
        <v>2.74</v>
      </c>
      <c r="PL58" s="4">
        <v>2.68</v>
      </c>
      <c r="PM58" s="4">
        <v>2.61</v>
      </c>
      <c r="PN58" s="4">
        <v>2.59</v>
      </c>
      <c r="PQ58" s="4">
        <v>2.58</v>
      </c>
      <c r="PR58" s="4">
        <v>2.58</v>
      </c>
      <c r="PS58" s="4">
        <v>2.58</v>
      </c>
      <c r="PT58" s="4">
        <v>2.58</v>
      </c>
      <c r="PU58" s="4">
        <v>2.58</v>
      </c>
      <c r="PX58" s="4">
        <v>2.58</v>
      </c>
      <c r="PY58" s="4">
        <v>2.58</v>
      </c>
      <c r="PZ58" s="4">
        <v>2.57</v>
      </c>
      <c r="QA58" s="4">
        <v>2.14</v>
      </c>
      <c r="QB58" s="4">
        <v>2.12</v>
      </c>
      <c r="QE58" s="4">
        <v>2.0499999999999998</v>
      </c>
      <c r="QF58" s="4">
        <v>2.0499999999999998</v>
      </c>
      <c r="QG58" s="4">
        <v>2.0499999999999998</v>
      </c>
      <c r="QH58" s="4">
        <v>2.0499999999999998</v>
      </c>
      <c r="QI58" s="4">
        <v>2.0499999999999998</v>
      </c>
      <c r="QL58" s="4">
        <v>2.0499999999999998</v>
      </c>
      <c r="QM58" s="4">
        <v>2.04</v>
      </c>
      <c r="QN58" s="4">
        <v>2.04</v>
      </c>
      <c r="QO58" s="4">
        <v>2.02</v>
      </c>
      <c r="QP58" s="4">
        <v>2</v>
      </c>
      <c r="QS58" s="4">
        <v>2</v>
      </c>
      <c r="QT58" s="4">
        <v>2</v>
      </c>
      <c r="QU58" s="4">
        <v>2</v>
      </c>
      <c r="QV58" s="4">
        <v>1.99</v>
      </c>
      <c r="QW58" s="4">
        <v>1.99</v>
      </c>
      <c r="QZ58" s="4">
        <v>1.99</v>
      </c>
      <c r="RA58" s="4">
        <v>1.99</v>
      </c>
      <c r="RB58" s="4">
        <v>1.97</v>
      </c>
      <c r="RC58" s="4">
        <v>1.97</v>
      </c>
      <c r="RD58" s="4">
        <v>1.96</v>
      </c>
      <c r="RG58" s="4">
        <v>1.96</v>
      </c>
      <c r="RH58" s="4">
        <v>1.96</v>
      </c>
      <c r="RI58" s="4">
        <v>1.96</v>
      </c>
      <c r="RJ58" s="4">
        <v>1.96</v>
      </c>
      <c r="RN58" s="4">
        <v>1.96</v>
      </c>
      <c r="RO58" s="4">
        <v>1.96</v>
      </c>
      <c r="RQ58" s="4">
        <v>1.96</v>
      </c>
      <c r="RR58" s="4">
        <v>1.96</v>
      </c>
      <c r="RU58" s="4">
        <v>1.96</v>
      </c>
      <c r="RV58" s="4">
        <v>1.96</v>
      </c>
      <c r="RW58" s="4">
        <v>1.75</v>
      </c>
      <c r="RX58" s="4">
        <v>1.75</v>
      </c>
      <c r="RY58" s="4">
        <v>1.75</v>
      </c>
      <c r="SB58" s="4">
        <v>1.72</v>
      </c>
      <c r="SC58" s="4">
        <v>1.72</v>
      </c>
      <c r="SD58" s="4">
        <v>1.72</v>
      </c>
      <c r="SE58" s="4">
        <v>1.72</v>
      </c>
      <c r="SF58" s="4">
        <v>1.72</v>
      </c>
      <c r="SI58" s="4">
        <v>1.72</v>
      </c>
      <c r="SJ58" s="4">
        <v>1.72</v>
      </c>
      <c r="SK58" s="4">
        <v>1.72</v>
      </c>
      <c r="SL58" s="4">
        <v>1.72</v>
      </c>
      <c r="SM58" s="4">
        <v>1.72</v>
      </c>
      <c r="SP58" s="4">
        <v>1.72</v>
      </c>
      <c r="SR58" s="4">
        <v>1.72</v>
      </c>
      <c r="SS58" s="4">
        <v>1.72</v>
      </c>
      <c r="ST58" s="4">
        <v>1.72</v>
      </c>
      <c r="SW58" s="4">
        <v>1.72</v>
      </c>
      <c r="SX58" s="4">
        <v>1.72</v>
      </c>
      <c r="SY58" s="4">
        <v>1.72</v>
      </c>
      <c r="SZ58" s="4">
        <v>1.72</v>
      </c>
      <c r="TA58" s="4">
        <v>1.72</v>
      </c>
      <c r="TD58" s="4">
        <v>1.72</v>
      </c>
      <c r="TE58" s="4">
        <v>1.72</v>
      </c>
      <c r="TF58" s="4">
        <v>1.72</v>
      </c>
      <c r="TG58" s="4">
        <v>1.72</v>
      </c>
      <c r="TH58" s="4">
        <v>1.72</v>
      </c>
      <c r="TK58" s="4">
        <v>1.72</v>
      </c>
      <c r="TL58" s="4">
        <v>1.72</v>
      </c>
      <c r="TM58" s="4">
        <v>1.51</v>
      </c>
      <c r="TN58" s="4">
        <v>1.51</v>
      </c>
      <c r="TO58" s="4">
        <v>1.51</v>
      </c>
      <c r="TR58" s="4">
        <v>1.51</v>
      </c>
      <c r="TS58" s="4">
        <v>1.51</v>
      </c>
      <c r="TT58" s="4">
        <v>1.51</v>
      </c>
      <c r="TU58" s="4">
        <v>1.51</v>
      </c>
    </row>
    <row r="59" spans="1:541"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  <c r="R59" s="143"/>
      <c r="V59" s="3">
        <v>45148</v>
      </c>
      <c r="W59" s="4">
        <v>-232402</v>
      </c>
      <c r="X59" s="4">
        <v>260033</v>
      </c>
      <c r="Y59" s="4">
        <v>-90687</v>
      </c>
      <c r="Z59" s="4">
        <v>-47709</v>
      </c>
      <c r="AA59" s="4">
        <v>-97516</v>
      </c>
      <c r="AB59" s="4">
        <v>191926</v>
      </c>
      <c r="AC59" s="4">
        <v>-12732</v>
      </c>
      <c r="AD59" s="4">
        <v>-45103</v>
      </c>
      <c r="AE59" s="4">
        <v>20743</v>
      </c>
      <c r="AF59" s="4">
        <v>10213</v>
      </c>
      <c r="AG59" s="4">
        <v>-28727</v>
      </c>
      <c r="AH59" s="4">
        <v>-162760</v>
      </c>
      <c r="AI59" s="4">
        <v>-7420</v>
      </c>
      <c r="AJ59" s="4">
        <v>1312</v>
      </c>
      <c r="AK59" s="4">
        <v>7296</v>
      </c>
      <c r="AL59" s="4">
        <v>-3465</v>
      </c>
      <c r="AN59" s="4" t="str">
        <f ca="1">_xll.IMDH("IR",IF($V$52, "BONDKSDCAL09", " "),AO59,TODAY()-2543,$E$5,500,"Per=일,sort=D,real=true,Bizday=12,Quote=종가,Pos=20,Orient=H,DtFmt=1,TmFmt=1")</f>
        <v>조회[BONDKSDCAL09]</v>
      </c>
      <c r="AO59" s="4" t="s">
        <v>368</v>
      </c>
      <c r="AP59" s="4">
        <v>3.99</v>
      </c>
      <c r="AQ59" s="4">
        <v>3.99</v>
      </c>
      <c r="AS59" s="4">
        <v>3.99</v>
      </c>
      <c r="AV59" s="4">
        <v>3.99</v>
      </c>
      <c r="AW59" s="4">
        <v>3.99</v>
      </c>
      <c r="AX59" s="4">
        <v>3.99</v>
      </c>
      <c r="AY59" s="4">
        <v>3.99</v>
      </c>
      <c r="AZ59" s="4">
        <v>3.99</v>
      </c>
      <c r="BC59" s="4">
        <v>3.99</v>
      </c>
      <c r="BD59" s="4">
        <v>3.99</v>
      </c>
      <c r="BE59" s="4">
        <v>3.99</v>
      </c>
      <c r="BF59" s="4">
        <v>3.99</v>
      </c>
      <c r="BG59" s="4">
        <v>3.99</v>
      </c>
      <c r="BJ59" s="4">
        <v>3.99</v>
      </c>
      <c r="BK59" s="4">
        <v>3.99</v>
      </c>
      <c r="BL59" s="4">
        <v>3.99</v>
      </c>
      <c r="BM59" s="4">
        <v>3.99</v>
      </c>
      <c r="BN59" s="4">
        <v>3.99</v>
      </c>
      <c r="BQ59" s="4">
        <v>3.99</v>
      </c>
      <c r="BR59" s="4">
        <v>3.99</v>
      </c>
      <c r="BS59" s="4">
        <v>3.99</v>
      </c>
      <c r="BT59" s="4">
        <v>3.99</v>
      </c>
      <c r="BU59" s="4">
        <v>3.99</v>
      </c>
      <c r="BX59" s="4">
        <v>3.99</v>
      </c>
      <c r="BY59" s="4">
        <v>3.99</v>
      </c>
      <c r="BZ59" s="4">
        <v>3.99</v>
      </c>
      <c r="CA59" s="4">
        <v>3.99</v>
      </c>
      <c r="CB59" s="4">
        <v>3.99</v>
      </c>
      <c r="CE59" s="4">
        <v>3.99</v>
      </c>
      <c r="CF59" s="4">
        <v>3.99</v>
      </c>
      <c r="CG59" s="4">
        <v>3.98</v>
      </c>
      <c r="CH59" s="4">
        <v>3.98</v>
      </c>
      <c r="CI59" s="4">
        <v>3.98</v>
      </c>
      <c r="CL59" s="4">
        <v>3.98</v>
      </c>
      <c r="CM59" s="4">
        <v>3.98</v>
      </c>
      <c r="CN59" s="4">
        <v>3.97</v>
      </c>
      <c r="CO59" s="4">
        <v>3.97</v>
      </c>
      <c r="CP59" s="4">
        <v>3.97</v>
      </c>
      <c r="CS59" s="4">
        <v>3.97</v>
      </c>
      <c r="CT59" s="4">
        <v>3.97</v>
      </c>
      <c r="CU59" s="4">
        <v>3.97</v>
      </c>
      <c r="CV59" s="4">
        <v>3.97</v>
      </c>
      <c r="CW59" s="4">
        <v>3.97</v>
      </c>
      <c r="CZ59" s="4">
        <v>3.97</v>
      </c>
      <c r="DA59" s="4">
        <v>3.97</v>
      </c>
      <c r="DB59" s="4">
        <v>3.97</v>
      </c>
      <c r="DC59" s="4">
        <v>3.97</v>
      </c>
      <c r="DD59" s="4">
        <v>3.97</v>
      </c>
      <c r="DG59" s="4">
        <v>3.97</v>
      </c>
      <c r="DH59" s="4">
        <v>3.97</v>
      </c>
      <c r="DI59" s="4">
        <v>3.97</v>
      </c>
      <c r="DK59" s="4">
        <v>3.97</v>
      </c>
      <c r="DN59" s="4">
        <v>3.97</v>
      </c>
      <c r="DO59" s="4">
        <v>3.97</v>
      </c>
      <c r="DP59" s="4">
        <v>3.97</v>
      </c>
      <c r="DQ59" s="4">
        <v>3.97</v>
      </c>
      <c r="DU59" s="4">
        <v>3.97</v>
      </c>
      <c r="DV59" s="4">
        <v>3.97</v>
      </c>
      <c r="DW59" s="4">
        <v>3.97</v>
      </c>
      <c r="DX59" s="4">
        <v>3.97</v>
      </c>
      <c r="DY59" s="4">
        <v>3.97</v>
      </c>
      <c r="EB59" s="4">
        <v>3.97</v>
      </c>
      <c r="EC59" s="4">
        <v>3.97</v>
      </c>
      <c r="ED59" s="4">
        <v>3.97</v>
      </c>
      <c r="EE59" s="4">
        <v>3.97</v>
      </c>
      <c r="EF59" s="4">
        <v>3.97</v>
      </c>
      <c r="EI59" s="4">
        <v>3.97</v>
      </c>
      <c r="EJ59" s="4">
        <v>3.97</v>
      </c>
      <c r="EK59" s="4">
        <v>3.97</v>
      </c>
      <c r="EL59" s="4">
        <v>3.97</v>
      </c>
      <c r="EM59" s="4">
        <v>3.97</v>
      </c>
      <c r="EQ59" s="4">
        <v>3.97</v>
      </c>
      <c r="ER59" s="4">
        <v>3.97</v>
      </c>
      <c r="ES59" s="4">
        <v>3.97</v>
      </c>
      <c r="EW59" s="4">
        <v>3.97</v>
      </c>
      <c r="EX59" s="4">
        <v>3.97</v>
      </c>
      <c r="EY59" s="4">
        <v>3.97</v>
      </c>
      <c r="EZ59" s="4">
        <v>3.97</v>
      </c>
      <c r="FA59" s="4">
        <v>3.97</v>
      </c>
      <c r="FD59" s="4">
        <v>3.97</v>
      </c>
      <c r="FE59" s="4">
        <v>3.97</v>
      </c>
      <c r="FF59" s="4">
        <v>3.97</v>
      </c>
      <c r="FG59" s="4">
        <v>3.97</v>
      </c>
      <c r="FH59" s="4">
        <v>3.97</v>
      </c>
      <c r="FK59" s="4">
        <v>3.97</v>
      </c>
      <c r="FL59" s="4">
        <v>3.97</v>
      </c>
      <c r="FM59" s="4">
        <v>3.97</v>
      </c>
      <c r="FN59" s="4">
        <v>3.97</v>
      </c>
      <c r="FO59" s="4">
        <v>3.97</v>
      </c>
      <c r="FR59" s="4">
        <v>3.97</v>
      </c>
      <c r="FS59" s="4">
        <v>3.97</v>
      </c>
      <c r="FT59" s="4">
        <v>3.97</v>
      </c>
      <c r="FU59" s="4">
        <v>3.97</v>
      </c>
      <c r="FV59" s="4">
        <v>3.97</v>
      </c>
      <c r="FY59" s="4">
        <v>3.97</v>
      </c>
      <c r="FZ59" s="4">
        <v>3.97</v>
      </c>
      <c r="GA59" s="4">
        <v>3.97</v>
      </c>
      <c r="GB59" s="4">
        <v>3.98</v>
      </c>
      <c r="GC59" s="4">
        <v>3.99</v>
      </c>
      <c r="GF59" s="4">
        <v>4</v>
      </c>
      <c r="GG59" s="4">
        <v>4.01</v>
      </c>
      <c r="GH59" s="4">
        <v>4.0199999999999996</v>
      </c>
      <c r="GI59" s="4">
        <v>4.0199999999999996</v>
      </c>
      <c r="GJ59" s="4">
        <v>4.0199999999999996</v>
      </c>
      <c r="GM59" s="4">
        <v>4.0199999999999996</v>
      </c>
      <c r="GN59" s="4">
        <v>4.0199999999999996</v>
      </c>
      <c r="GO59" s="4">
        <v>4.0199999999999996</v>
      </c>
      <c r="GP59" s="4">
        <v>4.0199999999999996</v>
      </c>
      <c r="GQ59" s="4">
        <v>4.0199999999999996</v>
      </c>
      <c r="GT59" s="4">
        <v>4.0199999999999996</v>
      </c>
      <c r="GU59" s="4">
        <v>4.0199999999999996</v>
      </c>
      <c r="GV59" s="4">
        <v>4.0199999999999996</v>
      </c>
      <c r="GW59" s="4">
        <v>4.0199999999999996</v>
      </c>
      <c r="GX59" s="4">
        <v>4.0199999999999996</v>
      </c>
      <c r="HA59" s="4">
        <v>4.0199999999999996</v>
      </c>
      <c r="HB59" s="4">
        <v>4.0199999999999996</v>
      </c>
      <c r="HD59" s="4">
        <v>4.0199999999999996</v>
      </c>
      <c r="HE59" s="4">
        <v>4.03</v>
      </c>
      <c r="HH59" s="4">
        <v>4.04</v>
      </c>
      <c r="HI59" s="4">
        <v>4.05</v>
      </c>
      <c r="HJ59" s="4">
        <v>4.0599999999999996</v>
      </c>
      <c r="HK59" s="4">
        <v>4.08</v>
      </c>
      <c r="HL59" s="4">
        <v>4.0999999999999996</v>
      </c>
      <c r="HO59" s="4">
        <v>4.13</v>
      </c>
      <c r="HP59" s="4">
        <v>4.1399999999999997</v>
      </c>
      <c r="HQ59" s="4">
        <v>4.16</v>
      </c>
      <c r="HR59" s="4">
        <v>4.18</v>
      </c>
      <c r="HS59" s="4">
        <v>4.2</v>
      </c>
      <c r="HV59" s="4">
        <v>4.21</v>
      </c>
      <c r="HW59" s="4">
        <v>4.22</v>
      </c>
      <c r="HX59" s="4">
        <v>4.2300000000000004</v>
      </c>
      <c r="HY59" s="4">
        <v>4.28</v>
      </c>
      <c r="HZ59" s="4">
        <v>4.32</v>
      </c>
      <c r="IC59" s="4">
        <v>4.37</v>
      </c>
      <c r="ID59" s="4">
        <v>4.43</v>
      </c>
      <c r="IE59" s="4">
        <v>4.4800000000000004</v>
      </c>
      <c r="IF59" s="4">
        <v>4.5199999999999996</v>
      </c>
      <c r="IG59" s="4">
        <v>4.57</v>
      </c>
      <c r="IJ59" s="4">
        <v>4.62</v>
      </c>
      <c r="IK59" s="4">
        <v>4.6500000000000004</v>
      </c>
      <c r="IL59" s="4">
        <v>4.68</v>
      </c>
      <c r="IQ59" s="4">
        <v>4.72</v>
      </c>
      <c r="IR59" s="4">
        <v>4.76</v>
      </c>
      <c r="IS59" s="4">
        <v>4.8</v>
      </c>
      <c r="IT59" s="4">
        <v>4.83</v>
      </c>
      <c r="IU59" s="4">
        <v>4.8600000000000003</v>
      </c>
      <c r="IX59" s="4">
        <v>4.9000000000000004</v>
      </c>
      <c r="IY59" s="4">
        <v>4.87</v>
      </c>
      <c r="IZ59" s="4">
        <v>4.9000000000000004</v>
      </c>
      <c r="JA59" s="4">
        <v>4.9400000000000004</v>
      </c>
      <c r="JB59" s="4">
        <v>4.97</v>
      </c>
      <c r="JE59" s="4">
        <v>5.01</v>
      </c>
      <c r="JF59" s="4">
        <v>5.0599999999999996</v>
      </c>
      <c r="JG59" s="4">
        <v>5.1100000000000003</v>
      </c>
      <c r="JH59" s="4">
        <v>5.15</v>
      </c>
      <c r="JI59" s="4">
        <v>5.18</v>
      </c>
      <c r="JL59" s="4">
        <v>5.21</v>
      </c>
      <c r="JM59" s="4">
        <v>5.23</v>
      </c>
      <c r="JN59" s="4">
        <v>5.27</v>
      </c>
      <c r="JO59" s="4">
        <v>5.31</v>
      </c>
      <c r="JP59" s="4">
        <v>5.35</v>
      </c>
      <c r="JS59" s="4">
        <v>5.38</v>
      </c>
      <c r="JT59" s="4">
        <v>5.39</v>
      </c>
      <c r="JU59" s="4">
        <v>5.4</v>
      </c>
      <c r="JV59" s="4">
        <v>5.42</v>
      </c>
      <c r="JW59" s="4">
        <v>5.45</v>
      </c>
      <c r="JZ59" s="4">
        <v>5.46</v>
      </c>
      <c r="KA59" s="4">
        <v>5.48</v>
      </c>
      <c r="KB59" s="4">
        <v>5.5</v>
      </c>
      <c r="KC59" s="4">
        <v>5.52</v>
      </c>
      <c r="KD59" s="4">
        <v>5.53</v>
      </c>
      <c r="KG59" s="4">
        <v>5.54</v>
      </c>
      <c r="KH59" s="4">
        <v>5.54</v>
      </c>
      <c r="KI59" s="4">
        <v>5.54</v>
      </c>
      <c r="KJ59" s="4">
        <v>5.54</v>
      </c>
      <c r="KK59" s="4">
        <v>5.54</v>
      </c>
      <c r="KN59" s="4">
        <v>5.54</v>
      </c>
      <c r="KO59" s="4">
        <v>5.54</v>
      </c>
      <c r="KP59" s="4">
        <v>5.53</v>
      </c>
      <c r="KQ59" s="4">
        <v>5.52</v>
      </c>
      <c r="KR59" s="4">
        <v>5.51</v>
      </c>
      <c r="KU59" s="4">
        <v>5.5</v>
      </c>
      <c r="KV59" s="4">
        <v>5.48</v>
      </c>
      <c r="KW59" s="4">
        <v>5.4</v>
      </c>
      <c r="KX59" s="4">
        <v>5.38</v>
      </c>
      <c r="KY59" s="4">
        <v>5.36</v>
      </c>
      <c r="LB59" s="4">
        <v>5.33</v>
      </c>
      <c r="LC59" s="4">
        <v>5.3</v>
      </c>
      <c r="LD59" s="4">
        <v>5.26</v>
      </c>
      <c r="LE59" s="4">
        <v>5.22</v>
      </c>
      <c r="LF59" s="4">
        <v>5.18</v>
      </c>
      <c r="LI59" s="4">
        <v>5.15</v>
      </c>
      <c r="LJ59" s="4">
        <v>5.09</v>
      </c>
      <c r="LK59" s="4">
        <v>5.0199999999999996</v>
      </c>
      <c r="LL59" s="4">
        <v>4.9800000000000004</v>
      </c>
      <c r="LM59" s="4">
        <v>4.9400000000000004</v>
      </c>
      <c r="LP59" s="4">
        <v>4.88</v>
      </c>
      <c r="LQ59" s="4">
        <v>4.8099999999999996</v>
      </c>
      <c r="LR59" s="4">
        <v>4.74</v>
      </c>
      <c r="LS59" s="4">
        <v>4.67</v>
      </c>
      <c r="LT59" s="4">
        <v>4.63</v>
      </c>
      <c r="LW59" s="4">
        <v>4.59</v>
      </c>
      <c r="LX59" s="4">
        <v>4.55</v>
      </c>
      <c r="LY59" s="4">
        <v>4.51</v>
      </c>
      <c r="LZ59" s="4">
        <v>4.45</v>
      </c>
      <c r="MA59" s="4">
        <v>4.37</v>
      </c>
      <c r="MD59" s="4">
        <v>4.25</v>
      </c>
      <c r="ME59" s="4">
        <v>4.0999999999999996</v>
      </c>
      <c r="MF59" s="4">
        <v>4.0199999999999996</v>
      </c>
      <c r="MG59" s="4">
        <v>3.94</v>
      </c>
      <c r="MH59" s="4">
        <v>3.86</v>
      </c>
      <c r="MK59" s="4">
        <v>3.78</v>
      </c>
      <c r="ML59" s="4">
        <v>3.76</v>
      </c>
      <c r="MM59" s="4">
        <v>3.73</v>
      </c>
      <c r="MN59" s="4">
        <v>3.48</v>
      </c>
      <c r="MR59" s="4">
        <v>3.44</v>
      </c>
      <c r="MS59" s="4">
        <v>3.4</v>
      </c>
      <c r="MT59" s="4">
        <v>3.36</v>
      </c>
      <c r="MU59" s="4">
        <v>3.31</v>
      </c>
      <c r="MY59" s="4">
        <v>3.27</v>
      </c>
      <c r="MZ59" s="4">
        <v>3.26</v>
      </c>
      <c r="NA59" s="4">
        <v>3.25</v>
      </c>
      <c r="NB59" s="4">
        <v>3.24</v>
      </c>
      <c r="NC59" s="4">
        <v>3.22</v>
      </c>
      <c r="NF59" s="4">
        <v>3.19</v>
      </c>
      <c r="NG59" s="4">
        <v>3.15</v>
      </c>
      <c r="NH59" s="4">
        <v>3.13</v>
      </c>
      <c r="NI59" s="4">
        <v>3.13</v>
      </c>
      <c r="NJ59" s="4">
        <v>3.13</v>
      </c>
      <c r="NM59" s="4">
        <v>3.12</v>
      </c>
      <c r="NN59" s="4">
        <v>3.11</v>
      </c>
      <c r="NO59" s="4">
        <v>3.1</v>
      </c>
      <c r="NP59" s="4">
        <v>3.09</v>
      </c>
      <c r="NU59" s="4">
        <v>3.08</v>
      </c>
      <c r="NV59" s="4">
        <v>3.08</v>
      </c>
      <c r="NW59" s="4">
        <v>3.08</v>
      </c>
      <c r="NX59" s="4">
        <v>3.08</v>
      </c>
      <c r="OA59" s="4">
        <v>3.08</v>
      </c>
      <c r="OB59" s="4">
        <v>3.08</v>
      </c>
      <c r="OC59" s="4">
        <v>3.07</v>
      </c>
      <c r="OD59" s="4">
        <v>3.06</v>
      </c>
      <c r="OE59" s="4">
        <v>3.05</v>
      </c>
      <c r="OH59" s="4">
        <v>3.02</v>
      </c>
      <c r="OI59" s="4">
        <v>3.01</v>
      </c>
      <c r="OJ59" s="4">
        <v>2.84</v>
      </c>
      <c r="OK59" s="4">
        <v>2.84</v>
      </c>
      <c r="OL59" s="4">
        <v>2.84</v>
      </c>
      <c r="OO59" s="4">
        <v>2.84</v>
      </c>
      <c r="OP59" s="4">
        <v>2.84</v>
      </c>
      <c r="OQ59" s="4">
        <v>2.84</v>
      </c>
      <c r="OR59" s="4">
        <v>2.84</v>
      </c>
      <c r="OV59" s="4">
        <v>2.84</v>
      </c>
      <c r="OW59" s="4">
        <v>2.84</v>
      </c>
      <c r="OX59" s="4">
        <v>2.84</v>
      </c>
      <c r="OY59" s="4">
        <v>2.84</v>
      </c>
      <c r="OZ59" s="4">
        <v>2.84</v>
      </c>
      <c r="PC59" s="4">
        <v>2.84</v>
      </c>
      <c r="PD59" s="4">
        <v>2.84</v>
      </c>
      <c r="PE59" s="4">
        <v>2.84</v>
      </c>
      <c r="PF59" s="4">
        <v>2.84</v>
      </c>
      <c r="PG59" s="4">
        <v>2.84</v>
      </c>
      <c r="PJ59" s="4">
        <v>2.84</v>
      </c>
      <c r="PK59" s="4">
        <v>2.83</v>
      </c>
      <c r="PL59" s="4">
        <v>2.81</v>
      </c>
      <c r="PM59" s="4">
        <v>2.79</v>
      </c>
      <c r="PN59" s="4">
        <v>2.78</v>
      </c>
      <c r="PQ59" s="4">
        <v>2.78</v>
      </c>
      <c r="PR59" s="4">
        <v>2.78</v>
      </c>
      <c r="PS59" s="4">
        <v>2.78</v>
      </c>
      <c r="PT59" s="4">
        <v>2.78</v>
      </c>
      <c r="PU59" s="4">
        <v>2.78</v>
      </c>
      <c r="PX59" s="4">
        <v>2.78</v>
      </c>
      <c r="PY59" s="4">
        <v>2.77</v>
      </c>
      <c r="PZ59" s="4">
        <v>2.76</v>
      </c>
      <c r="QA59" s="4">
        <v>2.38</v>
      </c>
      <c r="QB59" s="4">
        <v>2.36</v>
      </c>
      <c r="QE59" s="4">
        <v>2.35</v>
      </c>
      <c r="QF59" s="4">
        <v>2.35</v>
      </c>
      <c r="QG59" s="4">
        <v>2.35</v>
      </c>
      <c r="QH59" s="4">
        <v>2.34</v>
      </c>
      <c r="QI59" s="4">
        <v>2.33</v>
      </c>
      <c r="QL59" s="4">
        <v>2.33</v>
      </c>
      <c r="QM59" s="4">
        <v>2.33</v>
      </c>
      <c r="QN59" s="4">
        <v>2.33</v>
      </c>
      <c r="QO59" s="4">
        <v>2.3199999999999998</v>
      </c>
      <c r="QP59" s="4">
        <v>2.31</v>
      </c>
      <c r="QS59" s="4">
        <v>2.2999999999999998</v>
      </c>
      <c r="QT59" s="4">
        <v>2.29</v>
      </c>
      <c r="QU59" s="4">
        <v>2.27</v>
      </c>
      <c r="QV59" s="4">
        <v>2.25</v>
      </c>
      <c r="QW59" s="4">
        <v>2.2200000000000002</v>
      </c>
      <c r="QZ59" s="4">
        <v>2.19</v>
      </c>
      <c r="RA59" s="4">
        <v>2.1800000000000002</v>
      </c>
      <c r="RB59" s="4">
        <v>2.1800000000000002</v>
      </c>
      <c r="RC59" s="4">
        <v>2.1800000000000002</v>
      </c>
      <c r="RD59" s="4">
        <v>2.1800000000000002</v>
      </c>
      <c r="RG59" s="4">
        <v>2.1800000000000002</v>
      </c>
      <c r="RH59" s="4">
        <v>2.1800000000000002</v>
      </c>
      <c r="RI59" s="4">
        <v>2.1800000000000002</v>
      </c>
      <c r="RJ59" s="4">
        <v>2.1800000000000002</v>
      </c>
      <c r="RN59" s="4">
        <v>2.17</v>
      </c>
      <c r="RO59" s="4">
        <v>2.16</v>
      </c>
      <c r="RQ59" s="4">
        <v>2.14</v>
      </c>
      <c r="RR59" s="4">
        <v>2.13</v>
      </c>
      <c r="RU59" s="4">
        <v>2.11</v>
      </c>
      <c r="RV59" s="4">
        <v>2.09</v>
      </c>
      <c r="RW59" s="4">
        <v>1.93</v>
      </c>
      <c r="RX59" s="4">
        <v>1.93</v>
      </c>
      <c r="RY59" s="4">
        <v>1.93</v>
      </c>
      <c r="SB59" s="4">
        <v>1.92</v>
      </c>
      <c r="SC59" s="4">
        <v>1.91</v>
      </c>
      <c r="SD59" s="4">
        <v>1.91</v>
      </c>
      <c r="SE59" s="4">
        <v>1.91</v>
      </c>
      <c r="SF59" s="4">
        <v>1.9</v>
      </c>
      <c r="SI59" s="4">
        <v>1.89</v>
      </c>
      <c r="SJ59" s="4">
        <v>1.89</v>
      </c>
      <c r="SK59" s="4">
        <v>1.88</v>
      </c>
      <c r="SL59" s="4">
        <v>1.88</v>
      </c>
      <c r="SM59" s="4">
        <v>1.88</v>
      </c>
      <c r="SP59" s="4">
        <v>1.88</v>
      </c>
      <c r="SR59" s="4">
        <v>1.88</v>
      </c>
      <c r="SS59" s="4">
        <v>1.88</v>
      </c>
      <c r="ST59" s="4">
        <v>1.88</v>
      </c>
      <c r="SW59" s="4">
        <v>1.88</v>
      </c>
      <c r="SX59" s="4">
        <v>1.88</v>
      </c>
      <c r="SY59" s="4">
        <v>1.88</v>
      </c>
      <c r="SZ59" s="4">
        <v>1.88</v>
      </c>
      <c r="TA59" s="4">
        <v>1.88</v>
      </c>
      <c r="TD59" s="4">
        <v>1.88</v>
      </c>
      <c r="TE59" s="4">
        <v>1.88</v>
      </c>
      <c r="TF59" s="4">
        <v>1.87</v>
      </c>
      <c r="TG59" s="4">
        <v>1.86</v>
      </c>
      <c r="TH59" s="4">
        <v>1.85</v>
      </c>
      <c r="TK59" s="4">
        <v>1.84</v>
      </c>
      <c r="TL59" s="4">
        <v>1.83</v>
      </c>
      <c r="TM59" s="4">
        <v>1.66</v>
      </c>
      <c r="TN59" s="4">
        <v>1.66</v>
      </c>
      <c r="TO59" s="4">
        <v>1.66</v>
      </c>
      <c r="TR59" s="4">
        <v>1.66</v>
      </c>
      <c r="TS59" s="4">
        <v>1.66</v>
      </c>
      <c r="TT59" s="4">
        <v>1.66</v>
      </c>
      <c r="TU59" s="4">
        <v>1.66</v>
      </c>
    </row>
    <row r="60" spans="1:541">
      <c r="C60" s="4"/>
      <c r="E60" s="4"/>
      <c r="F60" s="4"/>
      <c r="G60" s="4"/>
      <c r="H60" s="4"/>
      <c r="I60" s="4"/>
      <c r="J60" s="4"/>
      <c r="K60" s="4"/>
      <c r="L60" s="4"/>
      <c r="M60" s="4"/>
      <c r="N60" s="4"/>
      <c r="R60" s="143"/>
      <c r="V60" s="3">
        <v>45147</v>
      </c>
      <c r="W60" s="4">
        <v>364059</v>
      </c>
      <c r="X60" s="4">
        <v>-87609</v>
      </c>
      <c r="Y60" s="4">
        <v>-294276</v>
      </c>
      <c r="Z60" s="4">
        <v>-64682</v>
      </c>
      <c r="AA60" s="4">
        <v>254403</v>
      </c>
      <c r="AB60" s="4">
        <v>-321590</v>
      </c>
      <c r="AC60" s="4">
        <v>68738</v>
      </c>
      <c r="AD60" s="4">
        <v>10562</v>
      </c>
      <c r="AE60" s="4">
        <v>-9894</v>
      </c>
      <c r="AF60" s="4">
        <v>13425</v>
      </c>
      <c r="AG60" s="4">
        <v>-9711</v>
      </c>
      <c r="AH60" s="4">
        <v>100520</v>
      </c>
      <c r="AI60" s="4">
        <v>6745</v>
      </c>
      <c r="AJ60" s="4">
        <v>-1751</v>
      </c>
      <c r="AK60" s="4">
        <v>-6054</v>
      </c>
      <c r="AL60" s="4">
        <v>4029</v>
      </c>
      <c r="AN60" s="4" t="str">
        <f ca="1">_xll.IMDH("IR",IF($V$52, "BONDKSDCAL10", " "),AO60,TODAY()-2543,$E$5,500,"Per=일,sort=D,real=true,Bizday=12,Quote=종가,Pos=20,Orient=H,DtFmt=1,TmFmt=1")</f>
        <v>조회[BONDKSDCAL10]</v>
      </c>
      <c r="AO60" s="4" t="s">
        <v>229</v>
      </c>
      <c r="AP60" s="4">
        <v>3.49</v>
      </c>
      <c r="AQ60" s="4">
        <v>3.4620000000000002</v>
      </c>
      <c r="AS60" s="4">
        <v>3.4889999999999999</v>
      </c>
      <c r="AV60" s="4">
        <v>3.476</v>
      </c>
      <c r="AW60" s="4">
        <v>3.4750000000000001</v>
      </c>
      <c r="AX60" s="4">
        <v>3.4740000000000002</v>
      </c>
      <c r="AY60" s="4">
        <v>3.4660000000000002</v>
      </c>
      <c r="AZ60" s="4">
        <v>3.4750000000000001</v>
      </c>
      <c r="BC60" s="4">
        <v>3.4980000000000002</v>
      </c>
      <c r="BD60" s="4">
        <v>3.4940000000000002</v>
      </c>
      <c r="BE60" s="4">
        <v>3.4940000000000002</v>
      </c>
      <c r="BF60" s="4">
        <v>3.4940000000000002</v>
      </c>
      <c r="BG60" s="4">
        <v>3.5230000000000001</v>
      </c>
      <c r="BJ60" s="4">
        <v>3.5209999999999999</v>
      </c>
      <c r="BK60" s="4">
        <v>3.5059999999999998</v>
      </c>
      <c r="BL60" s="4">
        <v>3.524</v>
      </c>
      <c r="BM60" s="4">
        <v>3.5510000000000002</v>
      </c>
      <c r="BN60" s="4">
        <v>3.548</v>
      </c>
      <c r="BQ60" s="4">
        <v>3.5510000000000002</v>
      </c>
      <c r="BR60" s="4">
        <v>3.552</v>
      </c>
      <c r="BS60" s="4">
        <v>3.5419999999999998</v>
      </c>
      <c r="BT60" s="4">
        <v>3.58</v>
      </c>
      <c r="BU60" s="4">
        <v>3.5880000000000001</v>
      </c>
      <c r="BX60" s="4">
        <v>3.5920000000000001</v>
      </c>
      <c r="BY60" s="4">
        <v>3.5739999999999998</v>
      </c>
      <c r="BZ60" s="4">
        <v>3.6269999999999998</v>
      </c>
      <c r="CA60" s="4">
        <v>3.629</v>
      </c>
      <c r="CB60" s="4">
        <v>3.665</v>
      </c>
      <c r="CE60" s="4">
        <v>3.6230000000000002</v>
      </c>
      <c r="CF60" s="4">
        <v>3.59</v>
      </c>
      <c r="CG60" s="4">
        <v>3.5640000000000001</v>
      </c>
      <c r="CH60" s="4">
        <v>3.5619999999999998</v>
      </c>
      <c r="CI60" s="4">
        <v>3.5590000000000002</v>
      </c>
      <c r="CL60" s="4">
        <v>3.5630000000000002</v>
      </c>
      <c r="CM60" s="4">
        <v>3.5249999999999999</v>
      </c>
      <c r="CN60" s="4">
        <v>3.508</v>
      </c>
      <c r="CO60" s="4">
        <v>3.5009999999999999</v>
      </c>
      <c r="CP60" s="4">
        <v>3.5049999999999999</v>
      </c>
      <c r="CS60" s="4">
        <v>3.51</v>
      </c>
      <c r="CT60" s="4">
        <v>3.5059999999999998</v>
      </c>
      <c r="CU60" s="4">
        <v>3.5019999999999998</v>
      </c>
      <c r="CV60" s="4">
        <v>3.5030000000000001</v>
      </c>
      <c r="CW60" s="4">
        <v>3.5139999999999998</v>
      </c>
      <c r="CZ60" s="4">
        <v>3.5019999999999998</v>
      </c>
      <c r="DA60" s="4">
        <v>3.5070000000000001</v>
      </c>
      <c r="DB60" s="4">
        <v>3.4889999999999999</v>
      </c>
      <c r="DC60" s="4">
        <v>3.4670000000000001</v>
      </c>
      <c r="DD60" s="4">
        <v>3.492</v>
      </c>
      <c r="DG60" s="4">
        <v>3.5030000000000001</v>
      </c>
      <c r="DH60" s="4">
        <v>3.5310000000000001</v>
      </c>
      <c r="DI60" s="4">
        <v>3.5139999999999998</v>
      </c>
      <c r="DK60" s="4">
        <v>3.5379999999999998</v>
      </c>
      <c r="DN60" s="4">
        <v>3.51</v>
      </c>
      <c r="DO60" s="4">
        <v>3.5459999999999998</v>
      </c>
      <c r="DP60" s="4">
        <v>3.54</v>
      </c>
      <c r="DQ60" s="4">
        <v>3.569</v>
      </c>
      <c r="DU60" s="4">
        <v>3.5379999999999998</v>
      </c>
      <c r="DV60" s="4">
        <v>3.5129999999999999</v>
      </c>
      <c r="DW60" s="4">
        <v>3.464</v>
      </c>
      <c r="DX60" s="4">
        <v>3.47</v>
      </c>
      <c r="DY60" s="4">
        <v>3.4470000000000001</v>
      </c>
      <c r="EB60" s="4">
        <v>3.4449999999999998</v>
      </c>
      <c r="EC60" s="4">
        <v>3.4260000000000002</v>
      </c>
      <c r="ED60" s="4">
        <v>3.4159999999999999</v>
      </c>
      <c r="EE60" s="4">
        <v>3.3919999999999999</v>
      </c>
      <c r="EF60" s="4">
        <v>3.391</v>
      </c>
      <c r="EI60" s="4">
        <v>3.35</v>
      </c>
      <c r="EJ60" s="4">
        <v>3.3439999999999999</v>
      </c>
      <c r="EK60" s="4">
        <v>3.3530000000000002</v>
      </c>
      <c r="EL60" s="4">
        <v>3.3439999999999999</v>
      </c>
      <c r="EM60" s="4">
        <v>3.3420000000000001</v>
      </c>
      <c r="EQ60" s="4">
        <v>3.3260000000000001</v>
      </c>
      <c r="ER60" s="4">
        <v>3.335</v>
      </c>
      <c r="ES60" s="4">
        <v>3.3239999999999998</v>
      </c>
      <c r="EW60" s="4">
        <v>3.2810000000000001</v>
      </c>
      <c r="EX60" s="4">
        <v>3.2530000000000001</v>
      </c>
      <c r="EY60" s="4">
        <v>3.2189999999999999</v>
      </c>
      <c r="EZ60" s="4">
        <v>3.2280000000000002</v>
      </c>
      <c r="FA60" s="4">
        <v>3.2170000000000001</v>
      </c>
      <c r="FD60" s="4">
        <v>3.218</v>
      </c>
      <c r="FE60" s="4">
        <v>3.234</v>
      </c>
      <c r="FF60" s="4">
        <v>3.2370000000000001</v>
      </c>
      <c r="FG60" s="4">
        <v>3.2280000000000002</v>
      </c>
      <c r="FH60" s="4">
        <v>3.242</v>
      </c>
      <c r="FK60" s="4">
        <v>3.2349999999999999</v>
      </c>
      <c r="FL60" s="4">
        <v>3.2349999999999999</v>
      </c>
      <c r="FM60" s="4">
        <v>3.2719999999999998</v>
      </c>
      <c r="FN60" s="4">
        <v>3.2789999999999999</v>
      </c>
      <c r="FO60" s="4">
        <v>3.2629999999999999</v>
      </c>
      <c r="FR60" s="4">
        <v>3.282</v>
      </c>
      <c r="FS60" s="4">
        <v>3.2749999999999999</v>
      </c>
      <c r="FT60" s="4">
        <v>3.2890000000000001</v>
      </c>
      <c r="FU60" s="4">
        <v>3.2810000000000001</v>
      </c>
      <c r="FV60" s="4">
        <v>3.3079999999999998</v>
      </c>
      <c r="FY60" s="4">
        <v>3.274</v>
      </c>
      <c r="FZ60" s="4">
        <v>3.2690000000000001</v>
      </c>
      <c r="GA60" s="4">
        <v>3.2869999999999999</v>
      </c>
      <c r="GB60" s="4">
        <v>3.2879999999999998</v>
      </c>
      <c r="GC60" s="4">
        <v>3.29</v>
      </c>
      <c r="GF60" s="4">
        <v>3.2850000000000001</v>
      </c>
      <c r="GG60" s="4">
        <v>3.29</v>
      </c>
      <c r="GH60" s="4">
        <v>3.2919999999999998</v>
      </c>
      <c r="GI60" s="4">
        <v>3.3010000000000002</v>
      </c>
      <c r="GJ60" s="4">
        <v>3.2959999999999998</v>
      </c>
      <c r="GM60" s="4">
        <v>3.355</v>
      </c>
      <c r="GN60" s="4">
        <v>3.3849999999999998</v>
      </c>
      <c r="GO60" s="4">
        <v>3.4689999999999999</v>
      </c>
      <c r="GP60" s="4">
        <v>3.484</v>
      </c>
      <c r="GQ60" s="4">
        <v>3.5379999999999998</v>
      </c>
      <c r="GT60" s="4">
        <v>3.6509999999999998</v>
      </c>
      <c r="GU60" s="4">
        <v>3.6920000000000002</v>
      </c>
      <c r="GV60" s="4">
        <v>3.6960000000000002</v>
      </c>
      <c r="GW60" s="4">
        <v>3.6659999999999999</v>
      </c>
      <c r="GX60" s="4">
        <v>3.6989999999999998</v>
      </c>
      <c r="HA60" s="4">
        <v>3.7069999999999999</v>
      </c>
      <c r="HB60" s="4">
        <v>3.74</v>
      </c>
      <c r="HD60" s="4">
        <v>3.7010000000000001</v>
      </c>
      <c r="HE60" s="4">
        <v>3.6520000000000001</v>
      </c>
      <c r="HH60" s="4">
        <v>3.5819999999999999</v>
      </c>
      <c r="HI60" s="4">
        <v>3.6019999999999999</v>
      </c>
      <c r="HJ60" s="4">
        <v>3.6070000000000002</v>
      </c>
      <c r="HK60" s="4">
        <v>3.5920000000000001</v>
      </c>
      <c r="HL60" s="4">
        <v>3.6160000000000001</v>
      </c>
      <c r="HO60" s="4">
        <v>3.61</v>
      </c>
      <c r="HP60" s="4">
        <v>3.54</v>
      </c>
      <c r="HQ60" s="4">
        <v>3.5459999999999998</v>
      </c>
      <c r="HR60" s="4">
        <v>3.4929999999999999</v>
      </c>
      <c r="HS60" s="4">
        <v>3.4780000000000002</v>
      </c>
      <c r="HV60" s="4">
        <v>3.4510000000000001</v>
      </c>
      <c r="HW60" s="4">
        <v>3.46</v>
      </c>
      <c r="HX60" s="4">
        <v>3.4449999999999998</v>
      </c>
      <c r="HY60" s="4">
        <v>3.4470000000000001</v>
      </c>
      <c r="HZ60" s="4">
        <v>3.4590000000000001</v>
      </c>
      <c r="IC60" s="4">
        <v>3.4</v>
      </c>
      <c r="ID60" s="4">
        <v>3.4239999999999999</v>
      </c>
      <c r="IE60" s="4">
        <v>3.4470000000000001</v>
      </c>
      <c r="IF60" s="4">
        <v>3.4889999999999999</v>
      </c>
      <c r="IG60" s="4">
        <v>3.472</v>
      </c>
      <c r="IJ60" s="4">
        <v>3.5059999999999998</v>
      </c>
      <c r="IK60" s="4">
        <v>3.5310000000000001</v>
      </c>
      <c r="IL60" s="4">
        <v>3.5350000000000001</v>
      </c>
      <c r="IQ60" s="4">
        <v>3.548</v>
      </c>
      <c r="IR60" s="4">
        <v>3.532</v>
      </c>
      <c r="IS60" s="4">
        <v>3.5720000000000001</v>
      </c>
      <c r="IT60" s="4">
        <v>3.605</v>
      </c>
      <c r="IU60" s="4">
        <v>3.5990000000000002</v>
      </c>
      <c r="IX60" s="4">
        <v>3.5539999999999998</v>
      </c>
      <c r="IY60" s="4">
        <v>3.5960000000000001</v>
      </c>
      <c r="IZ60" s="4">
        <v>3.5710000000000002</v>
      </c>
      <c r="JA60" s="4">
        <v>3.5880000000000001</v>
      </c>
      <c r="JB60" s="4">
        <v>3.5830000000000002</v>
      </c>
      <c r="JE60" s="4">
        <v>3.6070000000000002</v>
      </c>
      <c r="JF60" s="4">
        <v>3.649</v>
      </c>
      <c r="JG60" s="4">
        <v>3.669</v>
      </c>
      <c r="JH60" s="4">
        <v>3.7050000000000001</v>
      </c>
      <c r="JI60" s="4">
        <v>3.7690000000000001</v>
      </c>
      <c r="JL60" s="4">
        <v>3.7730000000000001</v>
      </c>
      <c r="JM60" s="4">
        <v>3.7770000000000001</v>
      </c>
      <c r="JN60" s="4">
        <v>3.7669999999999999</v>
      </c>
      <c r="JO60" s="4">
        <v>3.7749999999999999</v>
      </c>
      <c r="JP60" s="4">
        <v>3.794</v>
      </c>
      <c r="JS60" s="4">
        <v>3.7690000000000001</v>
      </c>
      <c r="JT60" s="4">
        <v>3.742</v>
      </c>
      <c r="JU60" s="4">
        <v>3.7509999999999999</v>
      </c>
      <c r="JV60" s="4">
        <v>3.7679999999999998</v>
      </c>
      <c r="JW60" s="4">
        <v>3.6909999999999998</v>
      </c>
      <c r="JZ60" s="4">
        <v>3.6589999999999998</v>
      </c>
      <c r="KA60" s="4">
        <v>3.64</v>
      </c>
      <c r="KB60" s="4">
        <v>3.6219999999999999</v>
      </c>
      <c r="KC60" s="4">
        <v>3.649</v>
      </c>
      <c r="KD60" s="4">
        <v>3.6459999999999999</v>
      </c>
      <c r="KG60" s="4">
        <v>3.6560000000000001</v>
      </c>
      <c r="KH60" s="4">
        <v>3.6619999999999999</v>
      </c>
      <c r="KI60" s="4">
        <v>3.6589999999999998</v>
      </c>
      <c r="KJ60" s="4">
        <v>3.6629999999999998</v>
      </c>
      <c r="KK60" s="4">
        <v>3.6619999999999999</v>
      </c>
      <c r="KN60" s="4">
        <v>3.6779999999999999</v>
      </c>
      <c r="KO60" s="4">
        <v>3.702</v>
      </c>
      <c r="KP60" s="4">
        <v>3.7250000000000001</v>
      </c>
      <c r="KQ60" s="4">
        <v>3.7530000000000001</v>
      </c>
      <c r="KR60" s="4">
        <v>3.7480000000000002</v>
      </c>
      <c r="KU60" s="4">
        <v>3.7549999999999999</v>
      </c>
      <c r="KV60" s="4">
        <v>3.7879999999999998</v>
      </c>
      <c r="KW60" s="4">
        <v>3.84</v>
      </c>
      <c r="KX60" s="4">
        <v>3.8439999999999999</v>
      </c>
      <c r="KY60" s="4">
        <v>3.8340000000000001</v>
      </c>
      <c r="LB60" s="4">
        <v>3.831</v>
      </c>
      <c r="LC60" s="4">
        <v>3.835</v>
      </c>
      <c r="LD60" s="4">
        <v>3.84</v>
      </c>
      <c r="LE60" s="4">
        <v>3.831</v>
      </c>
      <c r="LF60" s="4">
        <v>3.871</v>
      </c>
      <c r="LI60" s="4">
        <v>3.8359999999999999</v>
      </c>
      <c r="LJ60" s="4">
        <v>3.9049999999999998</v>
      </c>
      <c r="LK60" s="4">
        <v>3.911</v>
      </c>
      <c r="LL60" s="4">
        <v>3.93</v>
      </c>
      <c r="LM60" s="4">
        <v>3.93</v>
      </c>
      <c r="LP60" s="4">
        <v>3.9020000000000001</v>
      </c>
      <c r="LQ60" s="4">
        <v>3.9009999999999998</v>
      </c>
      <c r="LR60" s="4">
        <v>3.863</v>
      </c>
      <c r="LS60" s="4">
        <v>3.766</v>
      </c>
      <c r="LT60" s="4">
        <v>3.7829999999999999</v>
      </c>
      <c r="LW60" s="4">
        <v>3.7280000000000002</v>
      </c>
      <c r="LX60" s="4">
        <v>3.7530000000000001</v>
      </c>
      <c r="LY60" s="4">
        <v>3.7189999999999999</v>
      </c>
      <c r="LZ60" s="4">
        <v>3.71</v>
      </c>
      <c r="MA60" s="4">
        <v>3.7360000000000002</v>
      </c>
      <c r="MD60" s="4">
        <v>3.8010000000000002</v>
      </c>
      <c r="ME60" s="4">
        <v>3.6739999999999999</v>
      </c>
      <c r="MF60" s="4">
        <v>3.649</v>
      </c>
      <c r="MG60" s="4">
        <v>3.573</v>
      </c>
      <c r="MH60" s="4">
        <v>3.5680000000000001</v>
      </c>
      <c r="MK60" s="4">
        <v>3.544</v>
      </c>
      <c r="ML60" s="4">
        <v>3.5430000000000001</v>
      </c>
      <c r="MM60" s="4">
        <v>3.4550000000000001</v>
      </c>
      <c r="MN60" s="4">
        <v>3.5459999999999998</v>
      </c>
      <c r="MR60" s="4">
        <v>3.4870000000000001</v>
      </c>
      <c r="MS60" s="4">
        <v>3.43</v>
      </c>
      <c r="MT60" s="4">
        <v>3.415</v>
      </c>
      <c r="MU60" s="4">
        <v>3.331</v>
      </c>
      <c r="MY60" s="4">
        <v>3.3820000000000001</v>
      </c>
      <c r="MZ60" s="4">
        <v>3.4540000000000002</v>
      </c>
      <c r="NA60" s="4">
        <v>3.488</v>
      </c>
      <c r="NB60" s="4">
        <v>3.484</v>
      </c>
      <c r="NC60" s="4">
        <v>3.6040000000000001</v>
      </c>
      <c r="NF60" s="4">
        <v>3.3420000000000001</v>
      </c>
      <c r="NG60" s="4">
        <v>3.278</v>
      </c>
      <c r="NH60" s="4">
        <v>3.1749999999999998</v>
      </c>
      <c r="NI60" s="4">
        <v>3.1669999999999998</v>
      </c>
      <c r="NJ60" s="4">
        <v>3.194</v>
      </c>
      <c r="NM60" s="4">
        <v>3.2109999999999999</v>
      </c>
      <c r="NN60" s="4">
        <v>3.2280000000000002</v>
      </c>
      <c r="NO60" s="4">
        <v>3.21</v>
      </c>
      <c r="NP60" s="4">
        <v>3.1549999999999998</v>
      </c>
      <c r="NU60" s="4">
        <v>3.1440000000000001</v>
      </c>
      <c r="NV60" s="4">
        <v>3.2320000000000002</v>
      </c>
      <c r="NW60" s="4">
        <v>3.242</v>
      </c>
      <c r="NX60" s="4">
        <v>3.2050000000000001</v>
      </c>
      <c r="OA60" s="4">
        <v>3.25</v>
      </c>
      <c r="OB60" s="4">
        <v>3.3029999999999999</v>
      </c>
      <c r="OC60" s="4">
        <v>3.2679999999999998</v>
      </c>
      <c r="OD60" s="4">
        <v>3.2440000000000002</v>
      </c>
      <c r="OE60" s="4">
        <v>3.2719999999999998</v>
      </c>
      <c r="OH60" s="4">
        <v>3.2090000000000001</v>
      </c>
      <c r="OI60" s="4">
        <v>3.19</v>
      </c>
      <c r="OJ60" s="4">
        <v>3.0459999999999998</v>
      </c>
      <c r="OK60" s="4">
        <v>2.99</v>
      </c>
      <c r="OL60" s="4">
        <v>2.9609999999999999</v>
      </c>
      <c r="OO60" s="4">
        <v>2.9249999999999998</v>
      </c>
      <c r="OP60" s="4">
        <v>2.887</v>
      </c>
      <c r="OQ60" s="4">
        <v>2.8820000000000001</v>
      </c>
      <c r="OR60" s="4">
        <v>2.8620000000000001</v>
      </c>
      <c r="OV60" s="4">
        <v>2.9020000000000001</v>
      </c>
      <c r="OW60" s="4">
        <v>2.8940000000000001</v>
      </c>
      <c r="OX60" s="4">
        <v>2.9020000000000001</v>
      </c>
      <c r="OY60" s="4">
        <v>2.899</v>
      </c>
      <c r="OZ60" s="4">
        <v>2.9</v>
      </c>
      <c r="PC60" s="4">
        <v>2.8759999999999999</v>
      </c>
      <c r="PD60" s="4">
        <v>2.8919999999999999</v>
      </c>
      <c r="PE60" s="4">
        <v>2.9009999999999998</v>
      </c>
      <c r="PF60" s="4">
        <v>2.891</v>
      </c>
      <c r="PG60" s="4">
        <v>2.9239999999999999</v>
      </c>
      <c r="PJ60" s="4">
        <v>2.9020000000000001</v>
      </c>
      <c r="PK60" s="4">
        <v>2.9489999999999998</v>
      </c>
      <c r="PL60" s="4">
        <v>2.9319999999999999</v>
      </c>
      <c r="PM60" s="4">
        <v>2.931</v>
      </c>
      <c r="PN60" s="4">
        <v>2.9289999999999998</v>
      </c>
      <c r="PQ60" s="4">
        <v>2.9430000000000001</v>
      </c>
      <c r="PR60" s="4">
        <v>2.9729999999999999</v>
      </c>
      <c r="PS60" s="4">
        <v>2.9849999999999999</v>
      </c>
      <c r="PT60" s="4">
        <v>2.9740000000000002</v>
      </c>
      <c r="PU60" s="4">
        <v>2.996</v>
      </c>
      <c r="PX60" s="4">
        <v>2.9969999999999999</v>
      </c>
      <c r="PY60" s="4">
        <v>3.0110000000000001</v>
      </c>
      <c r="PZ60" s="4">
        <v>2.97</v>
      </c>
      <c r="QA60" s="4">
        <v>2.984</v>
      </c>
      <c r="QB60" s="4">
        <v>2.9740000000000002</v>
      </c>
      <c r="QE60" s="4">
        <v>2.9590000000000001</v>
      </c>
      <c r="QF60" s="4">
        <v>2.92</v>
      </c>
      <c r="QG60" s="4">
        <v>2.9089999999999998</v>
      </c>
      <c r="QH60" s="4">
        <v>2.9540000000000002</v>
      </c>
      <c r="QI60" s="4">
        <v>2.9590000000000001</v>
      </c>
      <c r="QL60" s="4">
        <v>2.964</v>
      </c>
      <c r="QM60" s="4">
        <v>2.9809999999999999</v>
      </c>
      <c r="QN60" s="4">
        <v>2.9</v>
      </c>
      <c r="QO60" s="4">
        <v>2.8780000000000001</v>
      </c>
      <c r="QP60" s="4">
        <v>2.8759999999999999</v>
      </c>
      <c r="QS60" s="4">
        <v>2.8239999999999998</v>
      </c>
      <c r="QT60" s="4">
        <v>2.8359999999999999</v>
      </c>
      <c r="QU60" s="4">
        <v>2.83</v>
      </c>
      <c r="QV60" s="4">
        <v>2.8340000000000001</v>
      </c>
      <c r="QW60" s="4">
        <v>2.8109999999999999</v>
      </c>
      <c r="QZ60" s="4">
        <v>2.819</v>
      </c>
      <c r="RA60" s="4">
        <v>2.6509999999999998</v>
      </c>
      <c r="RB60" s="4">
        <v>2.5409999999999999</v>
      </c>
      <c r="RC60" s="4">
        <v>2.4510000000000001</v>
      </c>
      <c r="RD60" s="4">
        <v>2.4159999999999999</v>
      </c>
      <c r="RG60" s="4">
        <v>2.29</v>
      </c>
      <c r="RH60" s="4">
        <v>2.234</v>
      </c>
      <c r="RI60" s="4">
        <v>2.226</v>
      </c>
      <c r="RJ60" s="4">
        <v>2.222</v>
      </c>
      <c r="RN60" s="4">
        <v>2.1800000000000002</v>
      </c>
      <c r="RO60" s="4">
        <v>2.181</v>
      </c>
      <c r="RQ60" s="4">
        <v>2.1629999999999998</v>
      </c>
      <c r="RR60" s="4">
        <v>2.1309999999999998</v>
      </c>
      <c r="RU60" s="4">
        <v>2.137</v>
      </c>
      <c r="RV60" s="4">
        <v>2.129</v>
      </c>
      <c r="RW60" s="4">
        <v>2.0910000000000002</v>
      </c>
      <c r="RX60" s="4">
        <v>2.0920000000000001</v>
      </c>
      <c r="RY60" s="4">
        <v>2.0880000000000001</v>
      </c>
      <c r="SB60" s="4">
        <v>2.0720000000000001</v>
      </c>
      <c r="SC60" s="4">
        <v>2.0790000000000002</v>
      </c>
      <c r="SD60" s="4">
        <v>2.0779999999999998</v>
      </c>
      <c r="SE60" s="4">
        <v>2.04</v>
      </c>
      <c r="SF60" s="4">
        <v>2.0409999999999999</v>
      </c>
      <c r="SI60" s="4">
        <v>1.954</v>
      </c>
      <c r="SJ60" s="4">
        <v>1.95</v>
      </c>
      <c r="SK60" s="4">
        <v>1.9490000000000001</v>
      </c>
      <c r="SL60" s="4">
        <v>1.9810000000000001</v>
      </c>
      <c r="SM60" s="4">
        <v>1.9890000000000001</v>
      </c>
      <c r="SP60" s="4">
        <v>2.0169999999999999</v>
      </c>
      <c r="SR60" s="4">
        <v>2.0230000000000001</v>
      </c>
      <c r="SS60" s="4">
        <v>2.0099999999999998</v>
      </c>
      <c r="ST60" s="4">
        <v>2.012</v>
      </c>
      <c r="SW60" s="4">
        <v>1.97</v>
      </c>
      <c r="SX60" s="4">
        <v>1.96</v>
      </c>
      <c r="SY60" s="4">
        <v>1.958</v>
      </c>
      <c r="SZ60" s="4">
        <v>1.9630000000000001</v>
      </c>
      <c r="TA60" s="4">
        <v>1.972</v>
      </c>
      <c r="TD60" s="4">
        <v>1.998</v>
      </c>
      <c r="TE60" s="4">
        <v>1.9910000000000001</v>
      </c>
      <c r="TF60" s="4">
        <v>1.9970000000000001</v>
      </c>
      <c r="TG60" s="4">
        <v>1.9950000000000001</v>
      </c>
      <c r="TH60" s="4">
        <v>2.012</v>
      </c>
      <c r="TK60" s="4">
        <v>2.0230000000000001</v>
      </c>
      <c r="TL60" s="4">
        <v>2.0760000000000001</v>
      </c>
      <c r="TM60" s="4">
        <v>2.1520000000000001</v>
      </c>
      <c r="TN60" s="4">
        <v>2.2240000000000002</v>
      </c>
      <c r="TO60" s="4">
        <v>2.2229999999999999</v>
      </c>
      <c r="TR60" s="4">
        <v>2.0840000000000001</v>
      </c>
      <c r="TS60" s="4">
        <v>2.012</v>
      </c>
      <c r="TT60" s="4">
        <v>1.923</v>
      </c>
      <c r="TU60" s="4">
        <v>1.8520000000000001</v>
      </c>
    </row>
    <row r="61" spans="1:541" ht="24.95" customHeight="1">
      <c r="C61" s="221" t="s">
        <v>215</v>
      </c>
      <c r="D61" s="222"/>
      <c r="E61" s="222"/>
      <c r="F61" s="222"/>
      <c r="G61" s="222"/>
      <c r="H61" s="222"/>
      <c r="I61" s="222"/>
      <c r="J61" s="223"/>
      <c r="K61" s="4"/>
      <c r="L61" s="4"/>
      <c r="M61" s="4"/>
      <c r="N61" s="4"/>
      <c r="R61" s="143"/>
      <c r="V61" s="3">
        <v>45146</v>
      </c>
      <c r="W61" s="4">
        <v>-139653</v>
      </c>
      <c r="X61" s="4">
        <v>556908</v>
      </c>
      <c r="Y61" s="4">
        <v>-439719</v>
      </c>
      <c r="Z61" s="4">
        <v>-25244</v>
      </c>
      <c r="AA61" s="4">
        <v>14468</v>
      </c>
      <c r="AB61" s="4">
        <v>11688</v>
      </c>
      <c r="AC61" s="4">
        <v>-20586</v>
      </c>
      <c r="AD61" s="4">
        <v>-5361</v>
      </c>
      <c r="AE61" s="4">
        <v>13680</v>
      </c>
      <c r="AF61" s="4">
        <v>35948</v>
      </c>
      <c r="AG61" s="4">
        <v>-65897</v>
      </c>
      <c r="AH61" s="4">
        <v>100661</v>
      </c>
      <c r="AI61" s="4">
        <v>-1407</v>
      </c>
      <c r="AJ61" s="4">
        <v>-1199</v>
      </c>
      <c r="AK61" s="4">
        <v>2692</v>
      </c>
      <c r="AL61" s="4">
        <v>-95</v>
      </c>
      <c r="AN61" s="4" t="str">
        <f ca="1">_xll.IMDH("IR",IF($V$52, "BONDKSDCAL19", " "),AO61,TODAY()-2543,$E$5,500,"Per=일,sort=D,real=true,Bizday=12,Quote=종가,Pos=20,Orient=H,DtFmt=1,TmFmt=1")</f>
        <v>조회[BONDKSDCAL19]</v>
      </c>
      <c r="AO61" s="4" t="s">
        <v>229</v>
      </c>
      <c r="AP61" s="4">
        <v>3.7839999999999998</v>
      </c>
      <c r="AQ61" s="4">
        <v>3.7309999999999999</v>
      </c>
      <c r="AS61" s="4">
        <v>3.7570000000000001</v>
      </c>
      <c r="AV61" s="4">
        <v>3.7250000000000001</v>
      </c>
      <c r="AW61" s="4">
        <v>3.726</v>
      </c>
      <c r="AX61" s="4">
        <v>3.71</v>
      </c>
      <c r="AY61" s="4">
        <v>3.698</v>
      </c>
      <c r="AZ61" s="4">
        <v>3.7240000000000002</v>
      </c>
      <c r="BC61" s="4">
        <v>3.7589999999999999</v>
      </c>
      <c r="BD61" s="4">
        <v>3.7450000000000001</v>
      </c>
      <c r="BE61" s="4">
        <v>3.7170000000000001</v>
      </c>
      <c r="BF61" s="4">
        <v>3.6859999999999999</v>
      </c>
      <c r="BG61" s="4">
        <v>3.714</v>
      </c>
      <c r="BJ61" s="4">
        <v>3.6749999999999998</v>
      </c>
      <c r="BK61" s="4">
        <v>3.6269999999999998</v>
      </c>
      <c r="BL61" s="4">
        <v>3.669</v>
      </c>
      <c r="BM61" s="4">
        <v>3.6909999999999998</v>
      </c>
      <c r="BN61" s="4">
        <v>3.6619999999999999</v>
      </c>
      <c r="BQ61" s="4">
        <v>3.6549999999999998</v>
      </c>
      <c r="BR61" s="4">
        <v>3.6389999999999998</v>
      </c>
      <c r="BS61" s="4">
        <v>3.5990000000000002</v>
      </c>
      <c r="BT61" s="4">
        <v>3.6379999999999999</v>
      </c>
      <c r="BU61" s="4">
        <v>3.6619999999999999</v>
      </c>
      <c r="BX61" s="4">
        <v>3.665</v>
      </c>
      <c r="BY61" s="4">
        <v>3.65</v>
      </c>
      <c r="BZ61" s="4">
        <v>3.76</v>
      </c>
      <c r="CA61" s="4">
        <v>3.75</v>
      </c>
      <c r="CB61" s="4">
        <v>3.839</v>
      </c>
      <c r="CE61" s="4">
        <v>3.78</v>
      </c>
      <c r="CF61" s="4">
        <v>3.7320000000000002</v>
      </c>
      <c r="CG61" s="4">
        <v>3.677</v>
      </c>
      <c r="CH61" s="4">
        <v>3.6760000000000002</v>
      </c>
      <c r="CI61" s="4">
        <v>3.6749999999999998</v>
      </c>
      <c r="CL61" s="4">
        <v>3.7370000000000001</v>
      </c>
      <c r="CM61" s="4">
        <v>3.6539999999999999</v>
      </c>
      <c r="CN61" s="4">
        <v>3.6320000000000001</v>
      </c>
      <c r="CO61" s="4">
        <v>3.6139999999999999</v>
      </c>
      <c r="CP61" s="4">
        <v>3.6320000000000001</v>
      </c>
      <c r="CS61" s="4">
        <v>3.6739999999999999</v>
      </c>
      <c r="CT61" s="4">
        <v>3.657</v>
      </c>
      <c r="CU61" s="4">
        <v>3.6360000000000001</v>
      </c>
      <c r="CV61" s="4">
        <v>3.613</v>
      </c>
      <c r="CW61" s="4">
        <v>3.641</v>
      </c>
      <c r="CZ61" s="4">
        <v>3.6339999999999999</v>
      </c>
      <c r="DA61" s="4">
        <v>3.6840000000000002</v>
      </c>
      <c r="DB61" s="4">
        <v>3.6120000000000001</v>
      </c>
      <c r="DC61" s="4">
        <v>3.5590000000000002</v>
      </c>
      <c r="DD61" s="4">
        <v>3.5859999999999999</v>
      </c>
      <c r="DG61" s="4">
        <v>3.59</v>
      </c>
      <c r="DH61" s="4">
        <v>3.6360000000000001</v>
      </c>
      <c r="DI61" s="4">
        <v>3.5880000000000001</v>
      </c>
      <c r="DK61" s="4">
        <v>3.62</v>
      </c>
      <c r="DN61" s="4">
        <v>3.5489999999999999</v>
      </c>
      <c r="DO61" s="4">
        <v>3.5840000000000001</v>
      </c>
      <c r="DP61" s="4">
        <v>3.573</v>
      </c>
      <c r="DQ61" s="4">
        <v>3.65</v>
      </c>
      <c r="DU61" s="4">
        <v>3.6120000000000001</v>
      </c>
      <c r="DV61" s="4">
        <v>3.5539999999999998</v>
      </c>
      <c r="DW61" s="4">
        <v>3.4529999999999998</v>
      </c>
      <c r="DX61" s="4">
        <v>3.452</v>
      </c>
      <c r="DY61" s="4">
        <v>3.4129999999999998</v>
      </c>
      <c r="EB61" s="4">
        <v>3.4420000000000002</v>
      </c>
      <c r="EC61" s="4">
        <v>3.4129999999999998</v>
      </c>
      <c r="ED61" s="4">
        <v>3.375</v>
      </c>
      <c r="EE61" s="4">
        <v>3.3460000000000001</v>
      </c>
      <c r="EF61" s="4">
        <v>3.3769999999999998</v>
      </c>
      <c r="EI61" s="4">
        <v>3.339</v>
      </c>
      <c r="EJ61" s="4">
        <v>3.327</v>
      </c>
      <c r="EK61" s="4">
        <v>3.3679999999999999</v>
      </c>
      <c r="EL61" s="4">
        <v>3.371</v>
      </c>
      <c r="EM61" s="4">
        <v>3.371</v>
      </c>
      <c r="EQ61" s="4">
        <v>3.3090000000000002</v>
      </c>
      <c r="ER61" s="4">
        <v>3.367</v>
      </c>
      <c r="ES61" s="4">
        <v>3.4060000000000001</v>
      </c>
      <c r="EW61" s="4">
        <v>3.3639999999999999</v>
      </c>
      <c r="EX61" s="4">
        <v>3.3490000000000002</v>
      </c>
      <c r="EY61" s="4">
        <v>3.3279999999999998</v>
      </c>
      <c r="EZ61" s="4">
        <v>3.3250000000000002</v>
      </c>
      <c r="FA61" s="4">
        <v>3.3</v>
      </c>
      <c r="FD61" s="4">
        <v>3.323</v>
      </c>
      <c r="FE61" s="4">
        <v>3.3780000000000001</v>
      </c>
      <c r="FF61" s="4">
        <v>3.379</v>
      </c>
      <c r="FG61" s="4">
        <v>3.343</v>
      </c>
      <c r="FH61" s="4">
        <v>3.33</v>
      </c>
      <c r="FK61" s="4">
        <v>3.262</v>
      </c>
      <c r="FL61" s="4">
        <v>3.2549999999999999</v>
      </c>
      <c r="FM61" s="4">
        <v>3.3</v>
      </c>
      <c r="FN61" s="4">
        <v>3.2930000000000001</v>
      </c>
      <c r="FO61" s="4">
        <v>3.2610000000000001</v>
      </c>
      <c r="FR61" s="4">
        <v>3.3039999999999998</v>
      </c>
      <c r="FS61" s="4">
        <v>3.2829999999999999</v>
      </c>
      <c r="FT61" s="4">
        <v>3.3149999999999999</v>
      </c>
      <c r="FU61" s="4">
        <v>3.3359999999999999</v>
      </c>
      <c r="FV61" s="4">
        <v>3.3980000000000001</v>
      </c>
      <c r="FY61" s="4">
        <v>3.3410000000000002</v>
      </c>
      <c r="FZ61" s="4">
        <v>3.3079999999999998</v>
      </c>
      <c r="GA61" s="4">
        <v>3.3410000000000002</v>
      </c>
      <c r="GB61" s="4">
        <v>3.351</v>
      </c>
      <c r="GC61" s="4">
        <v>3.3130000000000002</v>
      </c>
      <c r="GF61" s="4">
        <v>3.2490000000000001</v>
      </c>
      <c r="GG61" s="4">
        <v>3.29</v>
      </c>
      <c r="GH61" s="4">
        <v>3.37</v>
      </c>
      <c r="GI61" s="4">
        <v>3.379</v>
      </c>
      <c r="GJ61" s="4">
        <v>3.35</v>
      </c>
      <c r="GM61" s="4">
        <v>3.4710000000000001</v>
      </c>
      <c r="GN61" s="4">
        <v>3.4470000000000001</v>
      </c>
      <c r="GO61" s="4">
        <v>3.5230000000000001</v>
      </c>
      <c r="GP61" s="4">
        <v>3.4249999999999998</v>
      </c>
      <c r="GQ61" s="4">
        <v>3.4860000000000002</v>
      </c>
      <c r="GT61" s="4">
        <v>3.758</v>
      </c>
      <c r="GU61" s="4">
        <v>3.94</v>
      </c>
      <c r="GV61" s="4">
        <v>3.915</v>
      </c>
      <c r="GW61" s="4">
        <v>3.798</v>
      </c>
      <c r="GX61" s="4">
        <v>3.85</v>
      </c>
      <c r="HA61" s="4">
        <v>3.8660000000000001</v>
      </c>
      <c r="HB61" s="4">
        <v>3.976</v>
      </c>
      <c r="HD61" s="4">
        <v>3.899</v>
      </c>
      <c r="HE61" s="4">
        <v>3.778</v>
      </c>
      <c r="HH61" s="4">
        <v>3.673</v>
      </c>
      <c r="HI61" s="4">
        <v>3.702</v>
      </c>
      <c r="HJ61" s="4">
        <v>3.7530000000000001</v>
      </c>
      <c r="HK61" s="4">
        <v>3.7229999999999999</v>
      </c>
      <c r="HL61" s="4">
        <v>3.7480000000000002</v>
      </c>
      <c r="HO61" s="4">
        <v>3.7229999999999999</v>
      </c>
      <c r="HP61" s="4">
        <v>3.5979999999999999</v>
      </c>
      <c r="HQ61" s="4">
        <v>3.5859999999999999</v>
      </c>
      <c r="HR61" s="4">
        <v>3.5219999999999998</v>
      </c>
      <c r="HS61" s="4">
        <v>3.532</v>
      </c>
      <c r="HV61" s="4">
        <v>3.4790000000000001</v>
      </c>
      <c r="HW61" s="4">
        <v>3.4849999999999999</v>
      </c>
      <c r="HX61" s="4">
        <v>3.4319999999999999</v>
      </c>
      <c r="HY61" s="4">
        <v>3.44</v>
      </c>
      <c r="HZ61" s="4">
        <v>3.403</v>
      </c>
      <c r="IC61" s="4">
        <v>3.24</v>
      </c>
      <c r="ID61" s="4">
        <v>3.3130000000000002</v>
      </c>
      <c r="IE61" s="4">
        <v>3.395</v>
      </c>
      <c r="IF61" s="4">
        <v>3.45</v>
      </c>
      <c r="IG61" s="4">
        <v>3.3769999999999998</v>
      </c>
      <c r="IJ61" s="4">
        <v>3.415</v>
      </c>
      <c r="IK61" s="4">
        <v>3.375</v>
      </c>
      <c r="IL61" s="4">
        <v>3.3820000000000001</v>
      </c>
      <c r="IQ61" s="4">
        <v>3.3959999999999999</v>
      </c>
      <c r="IR61" s="4">
        <v>3.34</v>
      </c>
      <c r="IS61" s="4">
        <v>3.4340000000000002</v>
      </c>
      <c r="IT61" s="4">
        <v>3.53</v>
      </c>
      <c r="IU61" s="4">
        <v>3.4950000000000001</v>
      </c>
      <c r="IX61" s="4">
        <v>3.4409999999999998</v>
      </c>
      <c r="IY61" s="4">
        <v>3.5249999999999999</v>
      </c>
      <c r="IZ61" s="4">
        <v>3.5329999999999999</v>
      </c>
      <c r="JA61" s="4">
        <v>3.5990000000000002</v>
      </c>
      <c r="JB61" s="4">
        <v>3.5830000000000002</v>
      </c>
      <c r="JE61" s="4">
        <v>3.7010000000000001</v>
      </c>
      <c r="JF61" s="4">
        <v>3.6909999999999998</v>
      </c>
      <c r="JG61" s="4">
        <v>3.6890000000000001</v>
      </c>
      <c r="JH61" s="4">
        <v>3.7330000000000001</v>
      </c>
      <c r="JI61" s="4">
        <v>3.8479999999999999</v>
      </c>
      <c r="JL61" s="4">
        <v>3.8029999999999999</v>
      </c>
      <c r="JM61" s="4">
        <v>3.8090000000000002</v>
      </c>
      <c r="JN61" s="4">
        <v>3.778</v>
      </c>
      <c r="JO61" s="4">
        <v>3.7610000000000001</v>
      </c>
      <c r="JP61" s="4">
        <v>3.7749999999999999</v>
      </c>
      <c r="JS61" s="4">
        <v>3.7429999999999999</v>
      </c>
      <c r="JT61" s="4">
        <v>3.7010000000000001</v>
      </c>
      <c r="JU61" s="4">
        <v>3.7559999999999998</v>
      </c>
      <c r="JV61" s="4">
        <v>3.7949999999999999</v>
      </c>
      <c r="JW61" s="4">
        <v>3.6659999999999999</v>
      </c>
      <c r="JZ61" s="4">
        <v>3.669</v>
      </c>
      <c r="KA61" s="4">
        <v>3.6589999999999998</v>
      </c>
      <c r="KB61" s="4">
        <v>3.6749999999999998</v>
      </c>
      <c r="KC61" s="4">
        <v>3.7690000000000001</v>
      </c>
      <c r="KD61" s="4">
        <v>3.7749999999999999</v>
      </c>
      <c r="KG61" s="4">
        <v>3.7919999999999998</v>
      </c>
      <c r="KH61" s="4">
        <v>3.7989999999999999</v>
      </c>
      <c r="KI61" s="4">
        <v>3.7930000000000001</v>
      </c>
      <c r="KJ61" s="4">
        <v>3.778</v>
      </c>
      <c r="KK61" s="4">
        <v>3.7610000000000001</v>
      </c>
      <c r="KN61" s="4">
        <v>3.7770000000000001</v>
      </c>
      <c r="KO61" s="4">
        <v>3.8010000000000002</v>
      </c>
      <c r="KP61" s="4">
        <v>3.827</v>
      </c>
      <c r="KQ61" s="4">
        <v>3.8679999999999999</v>
      </c>
      <c r="KR61" s="4">
        <v>3.8050000000000002</v>
      </c>
      <c r="KU61" s="4">
        <v>3.762</v>
      </c>
      <c r="KV61" s="4">
        <v>3.8050000000000002</v>
      </c>
      <c r="KW61" s="4">
        <v>3.9609999999999999</v>
      </c>
      <c r="KX61" s="4">
        <v>3.92</v>
      </c>
      <c r="KY61" s="4">
        <v>3.8889999999999998</v>
      </c>
      <c r="LB61" s="4">
        <v>3.859</v>
      </c>
      <c r="LC61" s="4">
        <v>3.89</v>
      </c>
      <c r="LD61" s="4">
        <v>3.8929999999999998</v>
      </c>
      <c r="LE61" s="4">
        <v>3.84</v>
      </c>
      <c r="LF61" s="4">
        <v>3.9279999999999999</v>
      </c>
      <c r="LI61" s="4">
        <v>3.9020000000000001</v>
      </c>
      <c r="LJ61" s="4">
        <v>4.1120000000000001</v>
      </c>
      <c r="LK61" s="4">
        <v>4.1669999999999998</v>
      </c>
      <c r="LL61" s="4">
        <v>4.234</v>
      </c>
      <c r="LM61" s="4">
        <v>4.2480000000000002</v>
      </c>
      <c r="LP61" s="4">
        <v>4.1849999999999996</v>
      </c>
      <c r="LQ61" s="4">
        <v>4.2130000000000001</v>
      </c>
      <c r="LR61" s="4">
        <v>4.1669999999999998</v>
      </c>
      <c r="LS61" s="4">
        <v>4.0960000000000001</v>
      </c>
      <c r="LT61" s="4">
        <v>4.2279999999999998</v>
      </c>
      <c r="LW61" s="4">
        <v>4.165</v>
      </c>
      <c r="LX61" s="4">
        <v>4.2759999999999998</v>
      </c>
      <c r="LY61" s="4">
        <v>4.2519999999999998</v>
      </c>
      <c r="LZ61" s="4">
        <v>4.2460000000000004</v>
      </c>
      <c r="MA61" s="4">
        <v>4.3239999999999998</v>
      </c>
      <c r="MD61" s="4">
        <v>4.4850000000000003</v>
      </c>
      <c r="ME61" s="4">
        <v>4.3239999999999998</v>
      </c>
      <c r="MF61" s="4">
        <v>4.3159999999999998</v>
      </c>
      <c r="MG61" s="4">
        <v>4.226</v>
      </c>
      <c r="MH61" s="4">
        <v>4.2329999999999997</v>
      </c>
      <c r="MK61" s="4">
        <v>4.2080000000000002</v>
      </c>
      <c r="ML61" s="4">
        <v>4.1970000000000001</v>
      </c>
      <c r="MM61" s="4">
        <v>4.1109999999999998</v>
      </c>
      <c r="MN61" s="4">
        <v>4.3029999999999999</v>
      </c>
      <c r="MR61" s="4">
        <v>4.18</v>
      </c>
      <c r="MS61" s="4">
        <v>4.0919999999999996</v>
      </c>
      <c r="MT61" s="4">
        <v>4.0890000000000004</v>
      </c>
      <c r="MU61" s="4">
        <v>4.0750000000000002</v>
      </c>
      <c r="MY61" s="4">
        <v>4.2030000000000003</v>
      </c>
      <c r="MZ61" s="4">
        <v>4.3109999999999999</v>
      </c>
      <c r="NA61" s="4">
        <v>4.3109999999999999</v>
      </c>
      <c r="NB61" s="4">
        <v>4.3239999999999998</v>
      </c>
      <c r="NC61" s="4">
        <v>4.516</v>
      </c>
      <c r="NF61" s="4">
        <v>4.18</v>
      </c>
      <c r="NG61" s="4">
        <v>4.07</v>
      </c>
      <c r="NH61" s="4">
        <v>3.8580000000000001</v>
      </c>
      <c r="NI61" s="4">
        <v>3.81</v>
      </c>
      <c r="NJ61" s="4">
        <v>3.7639999999999998</v>
      </c>
      <c r="NM61" s="4">
        <v>3.746</v>
      </c>
      <c r="NN61" s="4">
        <v>3.7120000000000002</v>
      </c>
      <c r="NO61" s="4">
        <v>3.6230000000000002</v>
      </c>
      <c r="NP61" s="4">
        <v>3.54</v>
      </c>
      <c r="NU61" s="4">
        <v>3.5310000000000001</v>
      </c>
      <c r="NV61" s="4">
        <v>3.6789999999999998</v>
      </c>
      <c r="NW61" s="4">
        <v>3.6579999999999999</v>
      </c>
      <c r="NX61" s="4">
        <v>3.6110000000000002</v>
      </c>
      <c r="OA61" s="4">
        <v>3.6949999999999998</v>
      </c>
      <c r="OB61" s="4">
        <v>3.7909999999999999</v>
      </c>
      <c r="OC61" s="4">
        <v>3.7269999999999999</v>
      </c>
      <c r="OD61" s="4">
        <v>3.665</v>
      </c>
      <c r="OE61" s="4">
        <v>3.6829999999999998</v>
      </c>
      <c r="OH61" s="4">
        <v>3.5350000000000001</v>
      </c>
      <c r="OI61" s="4">
        <v>3.5329999999999999</v>
      </c>
      <c r="OJ61" s="4">
        <v>3.2839999999999998</v>
      </c>
      <c r="OK61" s="4">
        <v>3.2559999999999998</v>
      </c>
      <c r="OL61" s="4">
        <v>3.2080000000000002</v>
      </c>
      <c r="OO61" s="4">
        <v>3.1480000000000001</v>
      </c>
      <c r="OP61" s="4">
        <v>3.0840000000000001</v>
      </c>
      <c r="OQ61" s="4">
        <v>3.0640000000000001</v>
      </c>
      <c r="OR61" s="4">
        <v>3.0529999999999999</v>
      </c>
      <c r="OV61" s="4">
        <v>3.16</v>
      </c>
      <c r="OW61" s="4">
        <v>3.125</v>
      </c>
      <c r="OX61" s="4">
        <v>3.1509999999999998</v>
      </c>
      <c r="OY61" s="4">
        <v>3.137</v>
      </c>
      <c r="OZ61" s="4">
        <v>3.125</v>
      </c>
      <c r="PC61" s="4">
        <v>3.0609999999999999</v>
      </c>
      <c r="PD61" s="4">
        <v>3.0910000000000002</v>
      </c>
      <c r="PE61" s="4">
        <v>3.08</v>
      </c>
      <c r="PF61" s="4">
        <v>3.02</v>
      </c>
      <c r="PG61" s="4">
        <v>3.093</v>
      </c>
      <c r="PJ61" s="4">
        <v>3.052</v>
      </c>
      <c r="PK61" s="4">
        <v>3.153</v>
      </c>
      <c r="PL61" s="4">
        <v>3.1389999999999998</v>
      </c>
      <c r="PM61" s="4">
        <v>3.153</v>
      </c>
      <c r="PN61" s="4">
        <v>3.1739999999999999</v>
      </c>
      <c r="PQ61" s="4">
        <v>3.214</v>
      </c>
      <c r="PR61" s="4">
        <v>3.28</v>
      </c>
      <c r="PS61" s="4">
        <v>3.278</v>
      </c>
      <c r="PT61" s="4">
        <v>3.1850000000000001</v>
      </c>
      <c r="PU61" s="4">
        <v>3.1890000000000001</v>
      </c>
      <c r="PX61" s="4">
        <v>3.1819999999999999</v>
      </c>
      <c r="PY61" s="4">
        <v>3.2349999999999999</v>
      </c>
      <c r="PZ61" s="4">
        <v>3.1920000000000002</v>
      </c>
      <c r="QA61" s="4">
        <v>3.2789999999999999</v>
      </c>
      <c r="QB61" s="4">
        <v>3.3119999999999998</v>
      </c>
      <c r="QE61" s="4">
        <v>3.3250000000000002</v>
      </c>
      <c r="QF61" s="4">
        <v>3.2839999999999998</v>
      </c>
      <c r="QG61" s="4">
        <v>3.2690000000000001</v>
      </c>
      <c r="QH61" s="4">
        <v>3.3279999999999998</v>
      </c>
      <c r="QI61" s="4">
        <v>3.4340000000000002</v>
      </c>
      <c r="QL61" s="4">
        <v>3.4289999999999998</v>
      </c>
      <c r="QM61" s="4">
        <v>3.5019999999999998</v>
      </c>
      <c r="QN61" s="4">
        <v>3.5230000000000001</v>
      </c>
      <c r="QO61" s="4">
        <v>3.504</v>
      </c>
      <c r="QP61" s="4">
        <v>3.5259999999999998</v>
      </c>
      <c r="QS61" s="4">
        <v>3.4769999999999999</v>
      </c>
      <c r="QT61" s="4">
        <v>3.5539999999999998</v>
      </c>
      <c r="QU61" s="4">
        <v>3.4870000000000001</v>
      </c>
      <c r="QV61" s="4">
        <v>3.5910000000000002</v>
      </c>
      <c r="QW61" s="4">
        <v>3.6459999999999999</v>
      </c>
      <c r="QZ61" s="4">
        <v>3.6560000000000001</v>
      </c>
      <c r="RA61" s="4">
        <v>3.6230000000000002</v>
      </c>
      <c r="RB61" s="4">
        <v>3.5720000000000001</v>
      </c>
      <c r="RC61" s="4">
        <v>3.4249999999999998</v>
      </c>
      <c r="RD61" s="4">
        <v>3.3029999999999999</v>
      </c>
      <c r="RG61" s="4">
        <v>3.0710000000000002</v>
      </c>
      <c r="RH61" s="4">
        <v>2.8820000000000001</v>
      </c>
      <c r="RI61" s="4">
        <v>2.9049999999999998</v>
      </c>
      <c r="RJ61" s="4">
        <v>2.9369999999999998</v>
      </c>
      <c r="RN61" s="4">
        <v>2.85</v>
      </c>
      <c r="RO61" s="4">
        <v>2.8420000000000001</v>
      </c>
      <c r="RQ61" s="4">
        <v>2.778</v>
      </c>
      <c r="RR61" s="4">
        <v>2.6869999999999998</v>
      </c>
      <c r="RU61" s="4">
        <v>2.6930000000000001</v>
      </c>
      <c r="RV61" s="4">
        <v>2.7189999999999999</v>
      </c>
      <c r="RW61" s="4">
        <v>2.7</v>
      </c>
      <c r="RX61" s="4">
        <v>2.7189999999999999</v>
      </c>
      <c r="RY61" s="4">
        <v>2.7589999999999999</v>
      </c>
      <c r="SB61" s="4">
        <v>2.7360000000000002</v>
      </c>
      <c r="SC61" s="4">
        <v>2.7759999999999998</v>
      </c>
      <c r="SD61" s="4">
        <v>2.7959999999999998</v>
      </c>
      <c r="SE61" s="4">
        <v>2.806</v>
      </c>
      <c r="SF61" s="4">
        <v>2.8210000000000002</v>
      </c>
      <c r="SI61" s="4">
        <v>2.7069999999999999</v>
      </c>
      <c r="SJ61" s="4">
        <v>2.726</v>
      </c>
      <c r="SK61" s="4">
        <v>2.7320000000000002</v>
      </c>
      <c r="SL61" s="4">
        <v>2.8519999999999999</v>
      </c>
      <c r="SM61" s="4">
        <v>2.8730000000000002</v>
      </c>
      <c r="SP61" s="4">
        <v>2.9249999999999998</v>
      </c>
      <c r="SR61" s="4">
        <v>2.9529999999999998</v>
      </c>
      <c r="SS61" s="4">
        <v>2.9039999999999999</v>
      </c>
      <c r="ST61" s="4">
        <v>2.8879999999999999</v>
      </c>
      <c r="SW61" s="4">
        <v>2.7759999999999998</v>
      </c>
      <c r="SX61" s="4">
        <v>2.7210000000000001</v>
      </c>
      <c r="SY61" s="4">
        <v>2.6859999999999999</v>
      </c>
      <c r="SZ61" s="4">
        <v>2.6360000000000001</v>
      </c>
      <c r="TA61" s="4">
        <v>2.6739999999999999</v>
      </c>
      <c r="TD61" s="4">
        <v>2.7629999999999999</v>
      </c>
      <c r="TE61" s="4">
        <v>2.7189999999999999</v>
      </c>
      <c r="TF61" s="4">
        <v>2.758</v>
      </c>
      <c r="TG61" s="4">
        <v>2.782</v>
      </c>
      <c r="TH61" s="4">
        <v>2.802</v>
      </c>
      <c r="TK61" s="4">
        <v>2.7730000000000001</v>
      </c>
      <c r="TL61" s="4">
        <v>2.7759999999999998</v>
      </c>
      <c r="TM61" s="4">
        <v>2.89</v>
      </c>
      <c r="TN61" s="4">
        <v>2.9929999999999999</v>
      </c>
      <c r="TO61" s="4">
        <v>2.9809999999999999</v>
      </c>
      <c r="TR61" s="4">
        <v>2.8039999999999998</v>
      </c>
      <c r="TS61" s="4">
        <v>2.7189999999999999</v>
      </c>
      <c r="TT61" s="4">
        <v>2.7480000000000002</v>
      </c>
      <c r="TU61" s="4">
        <v>2.629</v>
      </c>
    </row>
    <row r="62" spans="1:541" ht="24.95" customHeight="1">
      <c r="C62" s="33" t="s">
        <v>216</v>
      </c>
      <c r="E62" s="31">
        <f ca="1">$E$5</f>
        <v>45155</v>
      </c>
      <c r="F62" s="32" t="s">
        <v>230</v>
      </c>
      <c r="G62" s="32" t="s">
        <v>231</v>
      </c>
      <c r="H62" s="32" t="s">
        <v>232</v>
      </c>
      <c r="I62" s="32" t="s">
        <v>233</v>
      </c>
      <c r="J62" s="34">
        <f ca="1">WORKDAY($E$5-365,1)</f>
        <v>44791</v>
      </c>
      <c r="K62" s="4"/>
      <c r="L62" s="4"/>
      <c r="M62" s="4"/>
      <c r="N62" s="4"/>
      <c r="R62" s="143"/>
      <c r="V62" s="3">
        <v>45145</v>
      </c>
      <c r="W62" s="4">
        <v>283023</v>
      </c>
      <c r="X62" s="4">
        <v>28118</v>
      </c>
      <c r="Y62" s="4">
        <v>-328565</v>
      </c>
      <c r="Z62" s="4">
        <v>-27170</v>
      </c>
      <c r="AA62" s="4">
        <v>-198242</v>
      </c>
      <c r="AB62" s="4">
        <v>331836</v>
      </c>
      <c r="AC62" s="4">
        <v>-106520</v>
      </c>
      <c r="AD62" s="4">
        <v>-29358</v>
      </c>
      <c r="AE62" s="4">
        <v>230892</v>
      </c>
      <c r="AF62" s="4">
        <v>59188</v>
      </c>
      <c r="AG62" s="4">
        <v>-300091</v>
      </c>
      <c r="AH62" s="4">
        <v>-128392</v>
      </c>
      <c r="AI62" s="4">
        <v>3349</v>
      </c>
      <c r="AJ62" s="4">
        <v>-780</v>
      </c>
      <c r="AK62" s="4">
        <v>-2467</v>
      </c>
      <c r="AL62" s="4">
        <v>-1814</v>
      </c>
      <c r="AN62" s="4" t="str">
        <f ca="1">_xll.IMDH("IR",IF($V$52, "BONDKSDCAL11", " "),AO62,TODAY()-2543,$E$5,500,"Per=일,sort=D,real=true,Bizday=12,Quote=종가,Pos=20,Orient=H,DtFmt=1,TmFmt=1")</f>
        <v>조회[BONDKSDCAL11]</v>
      </c>
      <c r="AO62" s="4" t="s">
        <v>229</v>
      </c>
      <c r="AP62" s="4">
        <v>3.7879999999999998</v>
      </c>
      <c r="AQ62" s="4">
        <v>3.7120000000000002</v>
      </c>
      <c r="AS62" s="4">
        <v>3.7469999999999999</v>
      </c>
      <c r="AV62" s="4">
        <v>3.698</v>
      </c>
      <c r="AW62" s="4">
        <v>3.6869999999999998</v>
      </c>
      <c r="AX62" s="4">
        <v>3.6720000000000002</v>
      </c>
      <c r="AY62" s="4">
        <v>3.6469999999999998</v>
      </c>
      <c r="AZ62" s="4">
        <v>3.6890000000000001</v>
      </c>
      <c r="BC62" s="4">
        <v>3.738</v>
      </c>
      <c r="BD62" s="4">
        <v>3.714</v>
      </c>
      <c r="BE62" s="4">
        <v>3.677</v>
      </c>
      <c r="BF62" s="4">
        <v>3.6469999999999998</v>
      </c>
      <c r="BG62" s="4">
        <v>3.681</v>
      </c>
      <c r="BJ62" s="4">
        <v>3.6349999999999998</v>
      </c>
      <c r="BK62" s="4">
        <v>3.5870000000000002</v>
      </c>
      <c r="BL62" s="4">
        <v>3.6269999999999998</v>
      </c>
      <c r="BM62" s="4">
        <v>3.645</v>
      </c>
      <c r="BN62" s="4">
        <v>3.617</v>
      </c>
      <c r="BQ62" s="4">
        <v>3.6019999999999999</v>
      </c>
      <c r="BR62" s="4">
        <v>3.581</v>
      </c>
      <c r="BS62" s="4">
        <v>3.5430000000000001</v>
      </c>
      <c r="BT62" s="4">
        <v>3.5960000000000001</v>
      </c>
      <c r="BU62" s="4">
        <v>3.6110000000000002</v>
      </c>
      <c r="BX62" s="4">
        <v>3.6139999999999999</v>
      </c>
      <c r="BY62" s="4">
        <v>3.6019999999999999</v>
      </c>
      <c r="BZ62" s="4">
        <v>3.7040000000000002</v>
      </c>
      <c r="CA62" s="4">
        <v>3.7029999999999998</v>
      </c>
      <c r="CB62" s="4">
        <v>3.7949999999999999</v>
      </c>
      <c r="CE62" s="4">
        <v>3.7349999999999999</v>
      </c>
      <c r="CF62" s="4">
        <v>3.6760000000000002</v>
      </c>
      <c r="CG62" s="4">
        <v>3.6179999999999999</v>
      </c>
      <c r="CH62" s="4">
        <v>3.6190000000000002</v>
      </c>
      <c r="CI62" s="4">
        <v>3.613</v>
      </c>
      <c r="CL62" s="4">
        <v>3.6619999999999999</v>
      </c>
      <c r="CM62" s="4">
        <v>3.5840000000000001</v>
      </c>
      <c r="CN62" s="4">
        <v>3.5569999999999999</v>
      </c>
      <c r="CO62" s="4">
        <v>3.5379999999999998</v>
      </c>
      <c r="CP62" s="4">
        <v>3.5680000000000001</v>
      </c>
      <c r="CS62" s="4">
        <v>3.609</v>
      </c>
      <c r="CT62" s="4">
        <v>3.5920000000000001</v>
      </c>
      <c r="CU62" s="4">
        <v>3.5710000000000002</v>
      </c>
      <c r="CV62" s="4">
        <v>3.5670000000000002</v>
      </c>
      <c r="CW62" s="4">
        <v>3.5830000000000002</v>
      </c>
      <c r="CZ62" s="4">
        <v>3.585</v>
      </c>
      <c r="DA62" s="4">
        <v>3.6259999999999999</v>
      </c>
      <c r="DB62" s="4">
        <v>3.5449999999999999</v>
      </c>
      <c r="DC62" s="4">
        <v>3.484</v>
      </c>
      <c r="DD62" s="4">
        <v>3.4929999999999999</v>
      </c>
      <c r="DG62" s="4">
        <v>3.5059999999999998</v>
      </c>
      <c r="DH62" s="4">
        <v>3.5430000000000001</v>
      </c>
      <c r="DI62" s="4">
        <v>3.4710000000000001</v>
      </c>
      <c r="DK62" s="4">
        <v>3.5019999999999998</v>
      </c>
      <c r="DN62" s="4">
        <v>3.4359999999999999</v>
      </c>
      <c r="DO62" s="4">
        <v>3.4780000000000002</v>
      </c>
      <c r="DP62" s="4">
        <v>3.4590000000000001</v>
      </c>
      <c r="DQ62" s="4">
        <v>3.56</v>
      </c>
      <c r="DU62" s="4">
        <v>3.524</v>
      </c>
      <c r="DV62" s="4">
        <v>3.48</v>
      </c>
      <c r="DW62" s="4">
        <v>3.3780000000000001</v>
      </c>
      <c r="DX62" s="4">
        <v>3.3730000000000002</v>
      </c>
      <c r="DY62" s="4">
        <v>3.3210000000000002</v>
      </c>
      <c r="EB62" s="4">
        <v>3.34</v>
      </c>
      <c r="EC62" s="4">
        <v>3.3159999999999998</v>
      </c>
      <c r="ED62" s="4">
        <v>3.274</v>
      </c>
      <c r="EE62" s="4">
        <v>3.242</v>
      </c>
      <c r="EF62" s="4">
        <v>3.2789999999999999</v>
      </c>
      <c r="EI62" s="4">
        <v>3.2250000000000001</v>
      </c>
      <c r="EJ62" s="4">
        <v>3.22</v>
      </c>
      <c r="EK62" s="4">
        <v>3.2730000000000001</v>
      </c>
      <c r="EL62" s="4">
        <v>3.2559999999999998</v>
      </c>
      <c r="EM62" s="4">
        <v>3.2610000000000001</v>
      </c>
      <c r="EQ62" s="4">
        <v>3.21</v>
      </c>
      <c r="ER62" s="4">
        <v>3.2810000000000001</v>
      </c>
      <c r="ES62" s="4">
        <v>3.335</v>
      </c>
      <c r="EW62" s="4">
        <v>3.2930000000000001</v>
      </c>
      <c r="EX62" s="4">
        <v>3.2879999999999998</v>
      </c>
      <c r="EY62" s="4">
        <v>3.2589999999999999</v>
      </c>
      <c r="EZ62" s="4">
        <v>3.2650000000000001</v>
      </c>
      <c r="FA62" s="4">
        <v>3.23</v>
      </c>
      <c r="FD62" s="4">
        <v>3.2669999999999999</v>
      </c>
      <c r="FE62" s="4">
        <v>3.3340000000000001</v>
      </c>
      <c r="FF62" s="4">
        <v>3.3370000000000002</v>
      </c>
      <c r="FG62" s="4">
        <v>3.294</v>
      </c>
      <c r="FH62" s="4">
        <v>3.2869999999999999</v>
      </c>
      <c r="FK62" s="4">
        <v>3.2149999999999999</v>
      </c>
      <c r="FL62" s="4">
        <v>3.1989999999999998</v>
      </c>
      <c r="FM62" s="4">
        <v>3.2330000000000001</v>
      </c>
      <c r="FN62" s="4">
        <v>3.2309999999999999</v>
      </c>
      <c r="FO62" s="4">
        <v>3.1920000000000002</v>
      </c>
      <c r="FR62" s="4">
        <v>3.24</v>
      </c>
      <c r="FS62" s="4">
        <v>3.2109999999999999</v>
      </c>
      <c r="FT62" s="4">
        <v>3.2639999999999998</v>
      </c>
      <c r="FU62" s="4">
        <v>3.2789999999999999</v>
      </c>
      <c r="FV62" s="4">
        <v>3.3420000000000001</v>
      </c>
      <c r="FY62" s="4">
        <v>3.27</v>
      </c>
      <c r="FZ62" s="4">
        <v>3.24</v>
      </c>
      <c r="GA62" s="4">
        <v>3.2490000000000001</v>
      </c>
      <c r="GB62" s="4">
        <v>3.258</v>
      </c>
      <c r="GC62" s="4">
        <v>3.22</v>
      </c>
      <c r="GF62" s="4">
        <v>3.16</v>
      </c>
      <c r="GG62" s="4">
        <v>3.206</v>
      </c>
      <c r="GH62" s="4">
        <v>3.2839999999999998</v>
      </c>
      <c r="GI62" s="4">
        <v>3.294</v>
      </c>
      <c r="GJ62" s="4">
        <v>3.2639999999999998</v>
      </c>
      <c r="GM62" s="4">
        <v>3.415</v>
      </c>
      <c r="GN62" s="4">
        <v>3.4</v>
      </c>
      <c r="GO62" s="4">
        <v>3.4729999999999999</v>
      </c>
      <c r="GP62" s="4">
        <v>3.3809999999999998</v>
      </c>
      <c r="GQ62" s="4">
        <v>3.4350000000000001</v>
      </c>
      <c r="GT62" s="4">
        <v>3.7029999999999998</v>
      </c>
      <c r="GU62" s="4">
        <v>3.8580000000000001</v>
      </c>
      <c r="GV62" s="4">
        <v>3.855</v>
      </c>
      <c r="GW62" s="4">
        <v>3.726</v>
      </c>
      <c r="GX62" s="4">
        <v>3.774</v>
      </c>
      <c r="HA62" s="4">
        <v>3.7909999999999999</v>
      </c>
      <c r="HB62" s="4">
        <v>3.8780000000000001</v>
      </c>
      <c r="HD62" s="4">
        <v>3.7970000000000002</v>
      </c>
      <c r="HE62" s="4">
        <v>3.6829999999999998</v>
      </c>
      <c r="HH62" s="4">
        <v>3.5550000000000002</v>
      </c>
      <c r="HI62" s="4">
        <v>3.5990000000000002</v>
      </c>
      <c r="HJ62" s="4">
        <v>3.645</v>
      </c>
      <c r="HK62" s="4">
        <v>3.6230000000000002</v>
      </c>
      <c r="HL62" s="4">
        <v>3.677</v>
      </c>
      <c r="HO62" s="4">
        <v>3.6389999999999998</v>
      </c>
      <c r="HP62" s="4">
        <v>3.504</v>
      </c>
      <c r="HQ62" s="4">
        <v>3.5019999999999998</v>
      </c>
      <c r="HR62" s="4">
        <v>3.4289999999999998</v>
      </c>
      <c r="HS62" s="4">
        <v>3.452</v>
      </c>
      <c r="HV62" s="4">
        <v>3.3980000000000001</v>
      </c>
      <c r="HW62" s="4">
        <v>3.4009999999999998</v>
      </c>
      <c r="HX62" s="4">
        <v>3.339</v>
      </c>
      <c r="HY62" s="4">
        <v>3.3149999999999999</v>
      </c>
      <c r="HZ62" s="4">
        <v>3.2829999999999999</v>
      </c>
      <c r="IC62" s="4">
        <v>3.11</v>
      </c>
      <c r="ID62" s="4">
        <v>3.1829999999999998</v>
      </c>
      <c r="IE62" s="4">
        <v>3.2629999999999999</v>
      </c>
      <c r="IF62" s="4">
        <v>3.3250000000000002</v>
      </c>
      <c r="IG62" s="4">
        <v>3.2709999999999999</v>
      </c>
      <c r="IJ62" s="4">
        <v>3.3039999999999998</v>
      </c>
      <c r="IK62" s="4">
        <v>3.2730000000000001</v>
      </c>
      <c r="IL62" s="4">
        <v>3.2850000000000001</v>
      </c>
      <c r="IQ62" s="4">
        <v>3.33</v>
      </c>
      <c r="IR62" s="4">
        <v>3.2480000000000002</v>
      </c>
      <c r="IS62" s="4">
        <v>3.39</v>
      </c>
      <c r="IT62" s="4">
        <v>3.484</v>
      </c>
      <c r="IU62" s="4">
        <v>3.4540000000000002</v>
      </c>
      <c r="IX62" s="4">
        <v>3.3690000000000002</v>
      </c>
      <c r="IY62" s="4">
        <v>3.4660000000000002</v>
      </c>
      <c r="IZ62" s="4">
        <v>3.472</v>
      </c>
      <c r="JA62" s="4">
        <v>3.556</v>
      </c>
      <c r="JB62" s="4">
        <v>3.577</v>
      </c>
      <c r="JE62" s="4">
        <v>3.681</v>
      </c>
      <c r="JF62" s="4">
        <v>3.6440000000000001</v>
      </c>
      <c r="JG62" s="4">
        <v>3.6320000000000001</v>
      </c>
      <c r="JH62" s="4">
        <v>3.661</v>
      </c>
      <c r="JI62" s="4">
        <v>3.782</v>
      </c>
      <c r="JL62" s="4">
        <v>3.722</v>
      </c>
      <c r="JM62" s="4">
        <v>3.7189999999999999</v>
      </c>
      <c r="JN62" s="4">
        <v>3.6680000000000001</v>
      </c>
      <c r="JO62" s="4">
        <v>3.6619999999999999</v>
      </c>
      <c r="JP62" s="4">
        <v>3.6629999999999998</v>
      </c>
      <c r="JS62" s="4">
        <v>3.6230000000000002</v>
      </c>
      <c r="JT62" s="4">
        <v>3.5670000000000002</v>
      </c>
      <c r="JU62" s="4">
        <v>3.6379999999999999</v>
      </c>
      <c r="JV62" s="4">
        <v>3.6850000000000001</v>
      </c>
      <c r="JW62" s="4">
        <v>3.5449999999999999</v>
      </c>
      <c r="JZ62" s="4">
        <v>3.5390000000000001</v>
      </c>
      <c r="KA62" s="4">
        <v>3.536</v>
      </c>
      <c r="KB62" s="4">
        <v>3.53</v>
      </c>
      <c r="KC62" s="4">
        <v>3.6230000000000002</v>
      </c>
      <c r="KD62" s="4">
        <v>3.6230000000000002</v>
      </c>
      <c r="KG62" s="4">
        <v>3.657</v>
      </c>
      <c r="KH62" s="4">
        <v>3.6760000000000002</v>
      </c>
      <c r="KI62" s="4">
        <v>3.6720000000000002</v>
      </c>
      <c r="KJ62" s="4">
        <v>3.633</v>
      </c>
      <c r="KK62" s="4">
        <v>3.609</v>
      </c>
      <c r="KN62" s="4">
        <v>3.6160000000000001</v>
      </c>
      <c r="KO62" s="4">
        <v>3.65</v>
      </c>
      <c r="KP62" s="4">
        <v>3.6890000000000001</v>
      </c>
      <c r="KQ62" s="4">
        <v>3.7229999999999999</v>
      </c>
      <c r="KR62" s="4">
        <v>3.669</v>
      </c>
      <c r="KU62" s="4">
        <v>3.6440000000000001</v>
      </c>
      <c r="KV62" s="4">
        <v>3.6890000000000001</v>
      </c>
      <c r="KW62" s="4">
        <v>3.8490000000000002</v>
      </c>
      <c r="KX62" s="4">
        <v>3.8439999999999999</v>
      </c>
      <c r="KY62" s="4">
        <v>3.8370000000000002</v>
      </c>
      <c r="LB62" s="4">
        <v>3.7869999999999999</v>
      </c>
      <c r="LC62" s="4">
        <v>3.8039999999999998</v>
      </c>
      <c r="LD62" s="4">
        <v>3.8079999999999998</v>
      </c>
      <c r="LE62" s="4">
        <v>3.7530000000000001</v>
      </c>
      <c r="LF62" s="4">
        <v>3.85</v>
      </c>
      <c r="LI62" s="4">
        <v>3.8340000000000001</v>
      </c>
      <c r="LJ62" s="4">
        <v>4.0330000000000004</v>
      </c>
      <c r="LK62" s="4">
        <v>4.0860000000000003</v>
      </c>
      <c r="LL62" s="4">
        <v>4.1559999999999997</v>
      </c>
      <c r="LM62" s="4">
        <v>4.1859999999999999</v>
      </c>
      <c r="LP62" s="4">
        <v>4.1180000000000003</v>
      </c>
      <c r="LQ62" s="4">
        <v>4.1580000000000004</v>
      </c>
      <c r="LR62" s="4">
        <v>4.0949999999999998</v>
      </c>
      <c r="LS62" s="4">
        <v>4.0679999999999996</v>
      </c>
      <c r="LT62" s="4">
        <v>4.1849999999999996</v>
      </c>
      <c r="LW62" s="4">
        <v>4.1120000000000001</v>
      </c>
      <c r="LX62" s="4">
        <v>4.2539999999999996</v>
      </c>
      <c r="LY62" s="4">
        <v>4.2080000000000002</v>
      </c>
      <c r="LZ62" s="4">
        <v>4.2210000000000001</v>
      </c>
      <c r="MA62" s="4">
        <v>4.3049999999999997</v>
      </c>
      <c r="MD62" s="4">
        <v>4.4950000000000001</v>
      </c>
      <c r="ME62" s="4">
        <v>4.3499999999999996</v>
      </c>
      <c r="MF62" s="4">
        <v>4.3310000000000004</v>
      </c>
      <c r="MG62" s="4">
        <v>4.242</v>
      </c>
      <c r="MH62" s="4">
        <v>4.2389999999999999</v>
      </c>
      <c r="MK62" s="4">
        <v>4.2069999999999999</v>
      </c>
      <c r="ML62" s="4">
        <v>4.2030000000000003</v>
      </c>
      <c r="MM62" s="4">
        <v>4.1070000000000002</v>
      </c>
      <c r="MN62" s="4">
        <v>4.3419999999999996</v>
      </c>
      <c r="MR62" s="4">
        <v>4.2759999999999998</v>
      </c>
      <c r="MS62" s="4">
        <v>4.1449999999999996</v>
      </c>
      <c r="MT62" s="4">
        <v>4.157</v>
      </c>
      <c r="MU62" s="4">
        <v>4.0810000000000004</v>
      </c>
      <c r="MY62" s="4">
        <v>4.1859999999999999</v>
      </c>
      <c r="MZ62" s="4">
        <v>4.3029999999999999</v>
      </c>
      <c r="NA62" s="4">
        <v>4.3380000000000001</v>
      </c>
      <c r="NB62" s="4">
        <v>4.3040000000000003</v>
      </c>
      <c r="NC62" s="4">
        <v>4.548</v>
      </c>
      <c r="NF62" s="4">
        <v>4.1989999999999998</v>
      </c>
      <c r="NG62" s="4">
        <v>4.1040000000000001</v>
      </c>
      <c r="NH62" s="4">
        <v>3.847</v>
      </c>
      <c r="NI62" s="4">
        <v>3.823</v>
      </c>
      <c r="NJ62" s="4">
        <v>3.7589999999999999</v>
      </c>
      <c r="NM62" s="4">
        <v>3.7669999999999999</v>
      </c>
      <c r="NN62" s="4">
        <v>3.77</v>
      </c>
      <c r="NO62" s="4">
        <v>3.585</v>
      </c>
      <c r="NP62" s="4">
        <v>3.536</v>
      </c>
      <c r="NU62" s="4">
        <v>3.5430000000000001</v>
      </c>
      <c r="NV62" s="4">
        <v>3.6850000000000001</v>
      </c>
      <c r="NW62" s="4">
        <v>3.6819999999999999</v>
      </c>
      <c r="NX62" s="4">
        <v>3.6160000000000001</v>
      </c>
      <c r="OA62" s="4">
        <v>3.6779999999999999</v>
      </c>
      <c r="OB62" s="4">
        <v>3.778</v>
      </c>
      <c r="OC62" s="4">
        <v>3.6850000000000001</v>
      </c>
      <c r="OD62" s="4">
        <v>3.6419999999999999</v>
      </c>
      <c r="OE62" s="4">
        <v>3.653</v>
      </c>
      <c r="OH62" s="4">
        <v>3.5249999999999999</v>
      </c>
      <c r="OI62" s="4">
        <v>3.5310000000000001</v>
      </c>
      <c r="OJ62" s="4">
        <v>3.3109999999999999</v>
      </c>
      <c r="OK62" s="4">
        <v>3.2810000000000001</v>
      </c>
      <c r="OL62" s="4">
        <v>3.2450000000000001</v>
      </c>
      <c r="OO62" s="4">
        <v>3.1970000000000001</v>
      </c>
      <c r="OP62" s="4">
        <v>3.125</v>
      </c>
      <c r="OQ62" s="4">
        <v>3.0870000000000002</v>
      </c>
      <c r="OR62" s="4">
        <v>3.0779999999999998</v>
      </c>
      <c r="OV62" s="4">
        <v>3.181</v>
      </c>
      <c r="OW62" s="4">
        <v>3.1240000000000001</v>
      </c>
      <c r="OX62" s="4">
        <v>3.1539999999999999</v>
      </c>
      <c r="OY62" s="4">
        <v>3.1339999999999999</v>
      </c>
      <c r="OZ62" s="4">
        <v>3.1339999999999999</v>
      </c>
      <c r="PC62" s="4">
        <v>3.0790000000000002</v>
      </c>
      <c r="PD62" s="4">
        <v>3.1139999999999999</v>
      </c>
      <c r="PE62" s="4">
        <v>3.0649999999999999</v>
      </c>
      <c r="PF62" s="4">
        <v>3.012</v>
      </c>
      <c r="PG62" s="4">
        <v>3.081</v>
      </c>
      <c r="PJ62" s="4">
        <v>3.0089999999999999</v>
      </c>
      <c r="PK62" s="4">
        <v>3.13</v>
      </c>
      <c r="PL62" s="4">
        <v>3.09</v>
      </c>
      <c r="PM62" s="4">
        <v>3.121</v>
      </c>
      <c r="PN62" s="4">
        <v>3.153</v>
      </c>
      <c r="PQ62" s="4">
        <v>3.218</v>
      </c>
      <c r="PR62" s="4">
        <v>3.294</v>
      </c>
      <c r="PS62" s="4">
        <v>3.2959999999999998</v>
      </c>
      <c r="PT62" s="4">
        <v>3.1920000000000002</v>
      </c>
      <c r="PU62" s="4">
        <v>3.2120000000000002</v>
      </c>
      <c r="PX62" s="4">
        <v>3.2050000000000001</v>
      </c>
      <c r="PY62" s="4">
        <v>3.26</v>
      </c>
      <c r="PZ62" s="4">
        <v>3.2109999999999999</v>
      </c>
      <c r="QA62" s="4">
        <v>3.2909999999999999</v>
      </c>
      <c r="QB62" s="4">
        <v>3.3239999999999998</v>
      </c>
      <c r="QE62" s="4">
        <v>3.3149999999999999</v>
      </c>
      <c r="QF62" s="4">
        <v>3.262</v>
      </c>
      <c r="QG62" s="4">
        <v>3.2389999999999999</v>
      </c>
      <c r="QH62" s="4">
        <v>3.3010000000000002</v>
      </c>
      <c r="QI62" s="4">
        <v>3.43</v>
      </c>
      <c r="QL62" s="4">
        <v>3.4390000000000001</v>
      </c>
      <c r="QM62" s="4">
        <v>3.55</v>
      </c>
      <c r="QN62" s="4">
        <v>3.552</v>
      </c>
      <c r="QO62" s="4">
        <v>3.552</v>
      </c>
      <c r="QP62" s="4">
        <v>3.5680000000000001</v>
      </c>
      <c r="QS62" s="4">
        <v>3.5230000000000001</v>
      </c>
      <c r="QT62" s="4">
        <v>3.6080000000000001</v>
      </c>
      <c r="QU62" s="4">
        <v>3.5219999999999998</v>
      </c>
      <c r="QV62" s="4">
        <v>3.6629999999999998</v>
      </c>
      <c r="QW62" s="4">
        <v>3.6749999999999998</v>
      </c>
      <c r="QZ62" s="4">
        <v>3.7450000000000001</v>
      </c>
      <c r="RA62" s="4">
        <v>3.7280000000000002</v>
      </c>
      <c r="RB62" s="4">
        <v>3.6659999999999999</v>
      </c>
      <c r="RC62" s="4">
        <v>3.548</v>
      </c>
      <c r="RD62" s="4">
        <v>3.5139999999999998</v>
      </c>
      <c r="RG62" s="4">
        <v>3.2749999999999999</v>
      </c>
      <c r="RH62" s="4">
        <v>3.1709999999999998</v>
      </c>
      <c r="RI62" s="4">
        <v>3.2090000000000001</v>
      </c>
      <c r="RJ62" s="4">
        <v>3.2320000000000002</v>
      </c>
      <c r="RN62" s="4">
        <v>3.121</v>
      </c>
      <c r="RO62" s="4">
        <v>3.125</v>
      </c>
      <c r="RQ62" s="4">
        <v>3.0270000000000001</v>
      </c>
      <c r="RR62" s="4">
        <v>2.9420000000000002</v>
      </c>
      <c r="RU62" s="4">
        <v>2.9470000000000001</v>
      </c>
      <c r="RV62" s="4">
        <v>2.9550000000000001</v>
      </c>
      <c r="RW62" s="4">
        <v>2.9460000000000002</v>
      </c>
      <c r="RX62" s="4">
        <v>2.9670000000000001</v>
      </c>
      <c r="RY62" s="4">
        <v>3.0179999999999998</v>
      </c>
      <c r="SB62" s="4">
        <v>3.0110000000000001</v>
      </c>
      <c r="SC62" s="4">
        <v>3.0459999999999998</v>
      </c>
      <c r="SD62" s="4">
        <v>3.069</v>
      </c>
      <c r="SE62" s="4">
        <v>3.0310000000000001</v>
      </c>
      <c r="SF62" s="4">
        <v>3.0459999999999998</v>
      </c>
      <c r="SI62" s="4">
        <v>2.911</v>
      </c>
      <c r="SJ62" s="4">
        <v>2.9</v>
      </c>
      <c r="SK62" s="4">
        <v>2.9279999999999999</v>
      </c>
      <c r="SL62" s="4">
        <v>3.0459999999999998</v>
      </c>
      <c r="SM62" s="4">
        <v>3.0619999999999998</v>
      </c>
      <c r="SP62" s="4">
        <v>3.1459999999999999</v>
      </c>
      <c r="SR62" s="4">
        <v>3.1779999999999999</v>
      </c>
      <c r="SS62" s="4">
        <v>3.1389999999999998</v>
      </c>
      <c r="ST62" s="4">
        <v>3.0859999999999999</v>
      </c>
      <c r="SW62" s="4">
        <v>2.9580000000000002</v>
      </c>
      <c r="SX62" s="4">
        <v>2.9249999999999998</v>
      </c>
      <c r="SY62" s="4">
        <v>2.899</v>
      </c>
      <c r="SZ62" s="4">
        <v>2.83</v>
      </c>
      <c r="TA62" s="4">
        <v>2.8570000000000002</v>
      </c>
      <c r="TD62" s="4">
        <v>2.9710000000000001</v>
      </c>
      <c r="TE62" s="4">
        <v>2.927</v>
      </c>
      <c r="TF62" s="4">
        <v>2.9569999999999999</v>
      </c>
      <c r="TG62" s="4">
        <v>2.9809999999999999</v>
      </c>
      <c r="TH62" s="4">
        <v>2.99</v>
      </c>
      <c r="TK62" s="4">
        <v>2.944</v>
      </c>
      <c r="TL62" s="4">
        <v>2.8879999999999999</v>
      </c>
      <c r="TM62" s="4">
        <v>3.0009999999999999</v>
      </c>
      <c r="TN62" s="4">
        <v>3.105</v>
      </c>
      <c r="TO62" s="4">
        <v>3.1859999999999999</v>
      </c>
      <c r="TR62" s="4">
        <v>2.9870000000000001</v>
      </c>
      <c r="TS62" s="4">
        <v>2.9049999999999998</v>
      </c>
      <c r="TT62" s="4">
        <v>2.9409999999999998</v>
      </c>
      <c r="TU62" s="4">
        <v>2.879</v>
      </c>
    </row>
    <row r="63" spans="1:541" ht="24.95" customHeight="1">
      <c r="A63" s="4" t="s">
        <v>355</v>
      </c>
      <c r="C63" s="35" t="s">
        <v>217</v>
      </c>
      <c r="E63" s="230">
        <f>AA$55/100</f>
        <v>394.96</v>
      </c>
      <c r="F63" s="230">
        <f>SUM(AA$55:AA$59)/100</f>
        <v>-3760.13</v>
      </c>
      <c r="G63" s="230">
        <f>SUM(AA$55:AA$74)/100</f>
        <v>7610.65</v>
      </c>
      <c r="H63" s="230">
        <f>SUM($AA$55:$AA$114)/100</f>
        <v>12239.15</v>
      </c>
      <c r="I63" s="230">
        <f>SUM($AA$55:$AA$174)/100</f>
        <v>-12926.5</v>
      </c>
      <c r="J63" s="231">
        <f ca="1">IFERROR( SUM($AA$55:INDIRECT(A63&amp;J51))/100, "")</f>
        <v>-7687.18</v>
      </c>
      <c r="K63" s="4"/>
      <c r="L63" s="4"/>
      <c r="M63" s="4"/>
      <c r="N63" s="4"/>
      <c r="R63" s="143"/>
      <c r="V63" s="3">
        <v>45142</v>
      </c>
      <c r="W63" s="4">
        <v>-242270</v>
      </c>
      <c r="X63" s="4">
        <v>474883</v>
      </c>
      <c r="Y63" s="4">
        <v>-235245</v>
      </c>
      <c r="Z63" s="4">
        <v>29790</v>
      </c>
      <c r="AA63" s="4">
        <v>-88983</v>
      </c>
      <c r="AB63" s="4">
        <v>203377</v>
      </c>
      <c r="AC63" s="4">
        <v>-105135</v>
      </c>
      <c r="AD63" s="4">
        <v>399</v>
      </c>
      <c r="AE63" s="4">
        <v>15857</v>
      </c>
      <c r="AF63" s="4">
        <v>24530</v>
      </c>
      <c r="AG63" s="4">
        <v>-38949</v>
      </c>
      <c r="AH63" s="4">
        <v>102133</v>
      </c>
      <c r="AI63" s="4">
        <v>-5160</v>
      </c>
      <c r="AJ63" s="4">
        <v>618</v>
      </c>
      <c r="AK63" s="4">
        <v>4970</v>
      </c>
      <c r="AL63" s="4">
        <v>1662</v>
      </c>
      <c r="AN63" s="4" t="str">
        <f ca="1">_xll.IMDH("IR",IF($V$52, "BONDKSDCAL07", " "),AO63,TODAY()-2543,$E$5,500,"Per=일,sort=D,real=true,Bizday=12,Quote=종가,Pos=20,Orient=H,DtFmt=1,TmFmt=1")</f>
        <v>조회[BONDKSDCAL07]</v>
      </c>
      <c r="AO63" s="4" t="s">
        <v>229</v>
      </c>
      <c r="AP63" s="4">
        <v>4.5609999999999999</v>
      </c>
      <c r="AQ63" s="4">
        <v>4.4880000000000004</v>
      </c>
      <c r="AS63" s="4">
        <v>4.5199999999999996</v>
      </c>
      <c r="AV63" s="4">
        <v>4.4749999999999996</v>
      </c>
      <c r="AW63" s="4">
        <v>4.4640000000000004</v>
      </c>
      <c r="AX63" s="4">
        <v>4.4480000000000004</v>
      </c>
      <c r="AY63" s="4">
        <v>4.4240000000000004</v>
      </c>
      <c r="AZ63" s="4">
        <v>4.468</v>
      </c>
      <c r="BC63" s="4">
        <v>4.5190000000000001</v>
      </c>
      <c r="BD63" s="4">
        <v>4.4960000000000004</v>
      </c>
      <c r="BE63" s="4">
        <v>4.4660000000000002</v>
      </c>
      <c r="BF63" s="4">
        <v>4.4349999999999996</v>
      </c>
      <c r="BG63" s="4">
        <v>4.4669999999999996</v>
      </c>
      <c r="BJ63" s="4">
        <v>4.423</v>
      </c>
      <c r="BK63" s="4">
        <v>4.3739999999999997</v>
      </c>
      <c r="BL63" s="4">
        <v>4.4130000000000003</v>
      </c>
      <c r="BM63" s="4">
        <v>4.4349999999999996</v>
      </c>
      <c r="BN63" s="4">
        <v>4.41</v>
      </c>
      <c r="BQ63" s="4">
        <v>4.399</v>
      </c>
      <c r="BR63" s="4">
        <v>4.3789999999999996</v>
      </c>
      <c r="BS63" s="4">
        <v>4.3410000000000002</v>
      </c>
      <c r="BT63" s="4">
        <v>4.3979999999999997</v>
      </c>
      <c r="BU63" s="4">
        <v>4.4139999999999997</v>
      </c>
      <c r="BX63" s="4">
        <v>4.42</v>
      </c>
      <c r="BY63" s="4">
        <v>4.4080000000000004</v>
      </c>
      <c r="BZ63" s="4">
        <v>4.5119999999999996</v>
      </c>
      <c r="CA63" s="4">
        <v>4.5019999999999998</v>
      </c>
      <c r="CB63" s="4">
        <v>4.5940000000000003</v>
      </c>
      <c r="CE63" s="4">
        <v>4.5339999999999998</v>
      </c>
      <c r="CF63" s="4">
        <v>4.4749999999999996</v>
      </c>
      <c r="CG63" s="4">
        <v>4.4249999999999998</v>
      </c>
      <c r="CH63" s="4">
        <v>4.4290000000000003</v>
      </c>
      <c r="CI63" s="4">
        <v>4.4210000000000003</v>
      </c>
      <c r="CL63" s="4">
        <v>4.4729999999999999</v>
      </c>
      <c r="CM63" s="4">
        <v>4.391</v>
      </c>
      <c r="CN63" s="4">
        <v>4.3650000000000002</v>
      </c>
      <c r="CO63" s="4">
        <v>4.3479999999999999</v>
      </c>
      <c r="CP63" s="4">
        <v>4.375</v>
      </c>
      <c r="CS63" s="4">
        <v>4.4189999999999996</v>
      </c>
      <c r="CT63" s="4">
        <v>4.4000000000000004</v>
      </c>
      <c r="CU63" s="4">
        <v>4.3780000000000001</v>
      </c>
      <c r="CV63" s="4">
        <v>4.38</v>
      </c>
      <c r="CW63" s="4">
        <v>4.3899999999999997</v>
      </c>
      <c r="CZ63" s="4">
        <v>4.3949999999999996</v>
      </c>
      <c r="DA63" s="4">
        <v>4.4370000000000003</v>
      </c>
      <c r="DB63" s="4">
        <v>4.3559999999999999</v>
      </c>
      <c r="DC63" s="4">
        <v>4.2969999999999997</v>
      </c>
      <c r="DD63" s="4">
        <v>4.3019999999999996</v>
      </c>
      <c r="DG63" s="4">
        <v>4.3090000000000002</v>
      </c>
      <c r="DH63" s="4">
        <v>4.3440000000000003</v>
      </c>
      <c r="DI63" s="4">
        <v>4.2729999999999997</v>
      </c>
      <c r="DK63" s="4">
        <v>4.3070000000000004</v>
      </c>
      <c r="DN63" s="4">
        <v>4.2439999999999998</v>
      </c>
      <c r="DO63" s="4">
        <v>4.2850000000000001</v>
      </c>
      <c r="DP63" s="4">
        <v>4.2619999999999996</v>
      </c>
      <c r="DQ63" s="4">
        <v>4.359</v>
      </c>
      <c r="DU63" s="4">
        <v>4.3280000000000003</v>
      </c>
      <c r="DV63" s="4">
        <v>4.28</v>
      </c>
      <c r="DW63" s="4">
        <v>4.1829999999999998</v>
      </c>
      <c r="DX63" s="4">
        <v>4.181</v>
      </c>
      <c r="DY63" s="4">
        <v>4.1269999999999998</v>
      </c>
      <c r="EB63" s="4">
        <v>4.1479999999999997</v>
      </c>
      <c r="EC63" s="4">
        <v>4.1230000000000002</v>
      </c>
      <c r="ED63" s="4">
        <v>4.0839999999999996</v>
      </c>
      <c r="EE63" s="4">
        <v>4.056</v>
      </c>
      <c r="EF63" s="4">
        <v>4.0890000000000004</v>
      </c>
      <c r="EI63" s="4">
        <v>4.0350000000000001</v>
      </c>
      <c r="EJ63" s="4">
        <v>4.032</v>
      </c>
      <c r="EK63" s="4">
        <v>4.0860000000000003</v>
      </c>
      <c r="EL63" s="4">
        <v>4.069</v>
      </c>
      <c r="EM63" s="4">
        <v>4.0789999999999997</v>
      </c>
      <c r="EQ63" s="4">
        <v>4.03</v>
      </c>
      <c r="ER63" s="4">
        <v>4.0940000000000003</v>
      </c>
      <c r="ES63" s="4">
        <v>4.1399999999999997</v>
      </c>
      <c r="EW63" s="4">
        <v>4.1050000000000004</v>
      </c>
      <c r="EX63" s="4">
        <v>4.0940000000000003</v>
      </c>
      <c r="EY63" s="4">
        <v>4.069</v>
      </c>
      <c r="EZ63" s="4">
        <v>4.0759999999999996</v>
      </c>
      <c r="FA63" s="4">
        <v>4.0510000000000002</v>
      </c>
      <c r="FD63" s="4">
        <v>4.0830000000000002</v>
      </c>
      <c r="FE63" s="4">
        <v>4.1459999999999999</v>
      </c>
      <c r="FF63" s="4">
        <v>4.1459999999999999</v>
      </c>
      <c r="FG63" s="4">
        <v>4.101</v>
      </c>
      <c r="FH63" s="4">
        <v>4.0919999999999996</v>
      </c>
      <c r="FK63" s="4">
        <v>4.0220000000000002</v>
      </c>
      <c r="FL63" s="4">
        <v>4.0090000000000003</v>
      </c>
      <c r="FM63" s="4">
        <v>4.0419999999999998</v>
      </c>
      <c r="FN63" s="4">
        <v>4.0410000000000004</v>
      </c>
      <c r="FO63" s="4">
        <v>4.0039999999999996</v>
      </c>
      <c r="FR63" s="4">
        <v>4.0490000000000004</v>
      </c>
      <c r="FS63" s="4">
        <v>4.0220000000000002</v>
      </c>
      <c r="FT63" s="4">
        <v>4.0720000000000001</v>
      </c>
      <c r="FU63" s="4">
        <v>4.0810000000000004</v>
      </c>
      <c r="FV63" s="4">
        <v>4.1390000000000002</v>
      </c>
      <c r="FY63" s="4">
        <v>4.0739999999999998</v>
      </c>
      <c r="FZ63" s="4">
        <v>4.0350000000000001</v>
      </c>
      <c r="GA63" s="4">
        <v>4.0270000000000001</v>
      </c>
      <c r="GB63" s="4">
        <v>4.0289999999999999</v>
      </c>
      <c r="GC63" s="4">
        <v>3.9889999999999999</v>
      </c>
      <c r="GF63" s="4">
        <v>3.9279999999999999</v>
      </c>
      <c r="GG63" s="4">
        <v>3.97</v>
      </c>
      <c r="GH63" s="4">
        <v>4.0140000000000002</v>
      </c>
      <c r="GI63" s="4">
        <v>4.016</v>
      </c>
      <c r="GJ63" s="4">
        <v>3.9860000000000002</v>
      </c>
      <c r="GM63" s="4">
        <v>4.1100000000000003</v>
      </c>
      <c r="GN63" s="4">
        <v>4.0979999999999999</v>
      </c>
      <c r="GO63" s="4">
        <v>4.1689999999999996</v>
      </c>
      <c r="GP63" s="4">
        <v>4.085</v>
      </c>
      <c r="GQ63" s="4">
        <v>4.149</v>
      </c>
      <c r="GT63" s="4">
        <v>4.3959999999999999</v>
      </c>
      <c r="GU63" s="4">
        <v>4.54</v>
      </c>
      <c r="GV63" s="4">
        <v>4.5339999999999998</v>
      </c>
      <c r="GW63" s="4">
        <v>4.41</v>
      </c>
      <c r="GX63" s="4">
        <v>4.4580000000000002</v>
      </c>
      <c r="HA63" s="4">
        <v>4.4710000000000001</v>
      </c>
      <c r="HB63" s="4">
        <v>4.5579999999999998</v>
      </c>
      <c r="HD63" s="4">
        <v>4.484</v>
      </c>
      <c r="HE63" s="4">
        <v>4.3659999999999997</v>
      </c>
      <c r="HH63" s="4">
        <v>4.2549999999999999</v>
      </c>
      <c r="HI63" s="4">
        <v>4.3109999999999999</v>
      </c>
      <c r="HJ63" s="4">
        <v>4.3419999999999996</v>
      </c>
      <c r="HK63" s="4">
        <v>4.3239999999999998</v>
      </c>
      <c r="HL63" s="4">
        <v>4.3689999999999998</v>
      </c>
      <c r="HO63" s="4">
        <v>4.3449999999999998</v>
      </c>
      <c r="HP63" s="4">
        <v>4.2389999999999999</v>
      </c>
      <c r="HQ63" s="4">
        <v>4.2549999999999999</v>
      </c>
      <c r="HR63" s="4">
        <v>4.2069999999999999</v>
      </c>
      <c r="HS63" s="4">
        <v>4.2519999999999998</v>
      </c>
      <c r="HV63" s="4">
        <v>4.2309999999999999</v>
      </c>
      <c r="HW63" s="4">
        <v>4.2539999999999996</v>
      </c>
      <c r="HX63" s="4">
        <v>4.2439999999999998</v>
      </c>
      <c r="HY63" s="4">
        <v>4.2439999999999998</v>
      </c>
      <c r="HZ63" s="4">
        <v>4.2370000000000001</v>
      </c>
      <c r="IC63" s="4">
        <v>4.0810000000000004</v>
      </c>
      <c r="ID63" s="4">
        <v>4.1769999999999996</v>
      </c>
      <c r="IE63" s="4">
        <v>4.2679999999999998</v>
      </c>
      <c r="IF63" s="4">
        <v>4.3440000000000003</v>
      </c>
      <c r="IG63" s="4">
        <v>4.3099999999999996</v>
      </c>
      <c r="IJ63" s="4">
        <v>4.3639999999999999</v>
      </c>
      <c r="IK63" s="4">
        <v>4.3609999999999998</v>
      </c>
      <c r="IL63" s="4">
        <v>4.4000000000000004</v>
      </c>
      <c r="IQ63" s="4">
        <v>4.4530000000000003</v>
      </c>
      <c r="IR63" s="4">
        <v>4.4029999999999996</v>
      </c>
      <c r="IS63" s="4">
        <v>4.5599999999999996</v>
      </c>
      <c r="IT63" s="4">
        <v>4.6769999999999996</v>
      </c>
      <c r="IU63" s="4">
        <v>4.6609999999999996</v>
      </c>
      <c r="IX63" s="4">
        <v>4.62</v>
      </c>
      <c r="IY63" s="4">
        <v>4.7300000000000004</v>
      </c>
      <c r="IZ63" s="4">
        <v>4.7839999999999998</v>
      </c>
      <c r="JA63" s="4">
        <v>4.8869999999999996</v>
      </c>
      <c r="JB63" s="4">
        <v>4.93</v>
      </c>
      <c r="JE63" s="4">
        <v>5.0620000000000003</v>
      </c>
      <c r="JF63" s="4">
        <v>5.0599999999999996</v>
      </c>
      <c r="JG63" s="4">
        <v>5.0780000000000003</v>
      </c>
      <c r="JH63" s="4">
        <v>5.1310000000000002</v>
      </c>
      <c r="JI63" s="4">
        <v>5.2619999999999996</v>
      </c>
      <c r="JL63" s="4">
        <v>5.2309999999999999</v>
      </c>
      <c r="JM63" s="4">
        <v>5.2380000000000004</v>
      </c>
      <c r="JN63" s="4">
        <v>5.2030000000000003</v>
      </c>
      <c r="JO63" s="4">
        <v>5.2190000000000003</v>
      </c>
      <c r="JP63" s="4">
        <v>5.2350000000000003</v>
      </c>
      <c r="JS63" s="4">
        <v>5.2149999999999999</v>
      </c>
      <c r="JT63" s="4">
        <v>5.1920000000000002</v>
      </c>
      <c r="JU63" s="4">
        <v>5.2720000000000002</v>
      </c>
      <c r="JV63" s="4">
        <v>5.3330000000000002</v>
      </c>
      <c r="JW63" s="4">
        <v>5.2169999999999996</v>
      </c>
      <c r="JZ63" s="4">
        <v>5.2270000000000003</v>
      </c>
      <c r="KA63" s="4">
        <v>5.2629999999999999</v>
      </c>
      <c r="KB63" s="4">
        <v>5.2720000000000002</v>
      </c>
      <c r="KC63" s="4">
        <v>5.3739999999999997</v>
      </c>
      <c r="KD63" s="4">
        <v>5.383</v>
      </c>
      <c r="KG63" s="4">
        <v>5.391</v>
      </c>
      <c r="KH63" s="4">
        <v>5.4119999999999999</v>
      </c>
      <c r="KI63" s="4">
        <v>5.4109999999999996</v>
      </c>
      <c r="KJ63" s="4">
        <v>5.3869999999999996</v>
      </c>
      <c r="KK63" s="4">
        <v>5.37</v>
      </c>
      <c r="KN63" s="4">
        <v>5.3860000000000001</v>
      </c>
      <c r="KO63" s="4">
        <v>5.4219999999999997</v>
      </c>
      <c r="KP63" s="4">
        <v>5.4450000000000003</v>
      </c>
      <c r="KQ63" s="4">
        <v>5.468</v>
      </c>
      <c r="KR63" s="4">
        <v>5.4050000000000002</v>
      </c>
      <c r="KU63" s="4">
        <v>5.3760000000000003</v>
      </c>
      <c r="KV63" s="4">
        <v>5.4020000000000001</v>
      </c>
      <c r="KW63" s="4">
        <v>5.5359999999999996</v>
      </c>
      <c r="KX63" s="4">
        <v>5.516</v>
      </c>
      <c r="KY63" s="4">
        <v>5.492</v>
      </c>
      <c r="LB63" s="4">
        <v>5.4290000000000003</v>
      </c>
      <c r="LC63" s="4">
        <v>5.4269999999999996</v>
      </c>
      <c r="LD63" s="4">
        <v>5.4160000000000004</v>
      </c>
      <c r="LE63" s="4">
        <v>5.3460000000000001</v>
      </c>
      <c r="LF63" s="4">
        <v>5.42</v>
      </c>
      <c r="LI63" s="4">
        <v>5.3609999999999998</v>
      </c>
      <c r="LJ63" s="4">
        <v>5.5510000000000002</v>
      </c>
      <c r="LK63" s="4">
        <v>5.5940000000000003</v>
      </c>
      <c r="LL63" s="4">
        <v>5.6420000000000003</v>
      </c>
      <c r="LM63" s="4">
        <v>5.6619999999999999</v>
      </c>
      <c r="LP63" s="4">
        <v>5.5910000000000002</v>
      </c>
      <c r="LQ63" s="4">
        <v>5.6159999999999997</v>
      </c>
      <c r="LR63" s="4">
        <v>5.5330000000000004</v>
      </c>
      <c r="LS63" s="4">
        <v>5.4859999999999998</v>
      </c>
      <c r="LT63" s="4">
        <v>5.58</v>
      </c>
      <c r="LW63" s="4">
        <v>5.4870000000000001</v>
      </c>
      <c r="LX63" s="4">
        <v>5.62</v>
      </c>
      <c r="LY63" s="4">
        <v>5.5529999999999999</v>
      </c>
      <c r="LZ63" s="4">
        <v>5.5279999999999996</v>
      </c>
      <c r="MA63" s="4">
        <v>5.5919999999999996</v>
      </c>
      <c r="MD63" s="4">
        <v>5.7359999999999998</v>
      </c>
      <c r="ME63" s="4">
        <v>5.5880000000000001</v>
      </c>
      <c r="MF63" s="4">
        <v>5.5330000000000004</v>
      </c>
      <c r="MG63" s="4">
        <v>5.4080000000000004</v>
      </c>
      <c r="MH63" s="4">
        <v>5.3730000000000002</v>
      </c>
      <c r="MK63" s="4">
        <v>5.32</v>
      </c>
      <c r="ML63" s="4">
        <v>5.31</v>
      </c>
      <c r="MM63" s="4">
        <v>5.21</v>
      </c>
      <c r="MN63" s="4">
        <v>5.4359999999999999</v>
      </c>
      <c r="MR63" s="4">
        <v>5.3579999999999997</v>
      </c>
      <c r="MS63" s="4">
        <v>5.2309999999999999</v>
      </c>
      <c r="MT63" s="4">
        <v>5.242</v>
      </c>
      <c r="MU63" s="4">
        <v>5.1749999999999998</v>
      </c>
      <c r="MY63" s="4">
        <v>5.28</v>
      </c>
      <c r="MZ63" s="4">
        <v>5.3780000000000001</v>
      </c>
      <c r="NA63" s="4">
        <v>5.3419999999999996</v>
      </c>
      <c r="NB63" s="4">
        <v>5.3079999999999998</v>
      </c>
      <c r="NC63" s="4">
        <v>5.5279999999999996</v>
      </c>
      <c r="NF63" s="4">
        <v>5.1890000000000001</v>
      </c>
      <c r="NG63" s="4">
        <v>5.0919999999999996</v>
      </c>
      <c r="NH63" s="4">
        <v>4.843</v>
      </c>
      <c r="NI63" s="4">
        <v>4.806</v>
      </c>
      <c r="NJ63" s="4">
        <v>4.7510000000000003</v>
      </c>
      <c r="NM63" s="4">
        <v>4.758</v>
      </c>
      <c r="NN63" s="4">
        <v>4.7590000000000003</v>
      </c>
      <c r="NO63" s="4">
        <v>4.5789999999999997</v>
      </c>
      <c r="NP63" s="4">
        <v>4.5250000000000004</v>
      </c>
      <c r="NU63" s="4">
        <v>4.5410000000000004</v>
      </c>
      <c r="NV63" s="4">
        <v>4.6680000000000001</v>
      </c>
      <c r="NW63" s="4">
        <v>4.6619999999999999</v>
      </c>
      <c r="NX63" s="4">
        <v>4.5960000000000001</v>
      </c>
      <c r="OA63" s="4">
        <v>4.6550000000000002</v>
      </c>
      <c r="OB63" s="4">
        <v>4.7469999999999999</v>
      </c>
      <c r="OC63" s="4">
        <v>4.6580000000000004</v>
      </c>
      <c r="OD63" s="4">
        <v>4.6180000000000003</v>
      </c>
      <c r="OE63" s="4">
        <v>4.6210000000000004</v>
      </c>
      <c r="OH63" s="4">
        <v>4.4989999999999997</v>
      </c>
      <c r="OI63" s="4">
        <v>4.5069999999999997</v>
      </c>
      <c r="OJ63" s="4">
        <v>4.298</v>
      </c>
      <c r="OK63" s="4">
        <v>4.2699999999999996</v>
      </c>
      <c r="OL63" s="4">
        <v>4.2350000000000003</v>
      </c>
      <c r="OO63" s="4">
        <v>4.1859999999999999</v>
      </c>
      <c r="OP63" s="4">
        <v>4.1139999999999999</v>
      </c>
      <c r="OQ63" s="4">
        <v>4.0759999999999996</v>
      </c>
      <c r="OR63" s="4">
        <v>4.0570000000000004</v>
      </c>
      <c r="OV63" s="4">
        <v>4.1589999999999998</v>
      </c>
      <c r="OW63" s="4">
        <v>4.1109999999999998</v>
      </c>
      <c r="OX63" s="4">
        <v>4.133</v>
      </c>
      <c r="OY63" s="4">
        <v>4.1189999999999998</v>
      </c>
      <c r="OZ63" s="4">
        <v>4.1130000000000004</v>
      </c>
      <c r="PC63" s="4">
        <v>4.056</v>
      </c>
      <c r="PD63" s="4">
        <v>4.0910000000000002</v>
      </c>
      <c r="PE63" s="4">
        <v>4.0449999999999999</v>
      </c>
      <c r="PF63" s="4">
        <v>3.9830000000000001</v>
      </c>
      <c r="PG63" s="4">
        <v>4.0430000000000001</v>
      </c>
      <c r="PJ63" s="4">
        <v>3.9689999999999999</v>
      </c>
      <c r="PK63" s="4">
        <v>4.0819999999999999</v>
      </c>
      <c r="PL63" s="4">
        <v>4.0330000000000004</v>
      </c>
      <c r="PM63" s="4">
        <v>4.0629999999999997</v>
      </c>
      <c r="PN63" s="4">
        <v>4.0819999999999999</v>
      </c>
      <c r="PQ63" s="4">
        <v>4.1349999999999998</v>
      </c>
      <c r="PR63" s="4">
        <v>4.202</v>
      </c>
      <c r="PS63" s="4">
        <v>4.1970000000000001</v>
      </c>
      <c r="PT63" s="4">
        <v>4.0919999999999996</v>
      </c>
      <c r="PU63" s="4">
        <v>4.1040000000000001</v>
      </c>
      <c r="PX63" s="4">
        <v>4.0910000000000002</v>
      </c>
      <c r="PY63" s="4">
        <v>4.1390000000000002</v>
      </c>
      <c r="PZ63" s="4">
        <v>4.0940000000000003</v>
      </c>
      <c r="QA63" s="4">
        <v>4.1580000000000004</v>
      </c>
      <c r="QB63" s="4">
        <v>4.1980000000000004</v>
      </c>
      <c r="QE63" s="4">
        <v>4.1859999999999999</v>
      </c>
      <c r="QF63" s="4">
        <v>4.1130000000000004</v>
      </c>
      <c r="QG63" s="4">
        <v>4.0860000000000003</v>
      </c>
      <c r="QH63" s="4">
        <v>4.1280000000000001</v>
      </c>
      <c r="QI63" s="4">
        <v>4.2469999999999999</v>
      </c>
      <c r="QL63" s="4">
        <v>4.2569999999999997</v>
      </c>
      <c r="QM63" s="4">
        <v>4.3609999999999998</v>
      </c>
      <c r="QN63" s="4">
        <v>4.359</v>
      </c>
      <c r="QO63" s="4">
        <v>4.3390000000000004</v>
      </c>
      <c r="QP63" s="4">
        <v>4.3440000000000003</v>
      </c>
      <c r="QS63" s="4">
        <v>4.2969999999999997</v>
      </c>
      <c r="QT63" s="4">
        <v>4.3630000000000004</v>
      </c>
      <c r="QU63" s="4">
        <v>4.2750000000000004</v>
      </c>
      <c r="QV63" s="4">
        <v>4.4020000000000001</v>
      </c>
      <c r="QW63" s="4">
        <v>4.4139999999999997</v>
      </c>
      <c r="QZ63" s="4">
        <v>4.468</v>
      </c>
      <c r="RA63" s="4">
        <v>4.4370000000000003</v>
      </c>
      <c r="RB63" s="4">
        <v>4.3710000000000004</v>
      </c>
      <c r="RC63" s="4">
        <v>4.2699999999999996</v>
      </c>
      <c r="RD63" s="4">
        <v>4.2220000000000004</v>
      </c>
      <c r="RG63" s="4">
        <v>3.996</v>
      </c>
      <c r="RH63" s="4">
        <v>3.9580000000000002</v>
      </c>
      <c r="RI63" s="4">
        <v>3.9820000000000002</v>
      </c>
      <c r="RJ63" s="4">
        <v>4.0010000000000003</v>
      </c>
      <c r="RN63" s="4">
        <v>3.8959999999999999</v>
      </c>
      <c r="RO63" s="4">
        <v>3.8969999999999998</v>
      </c>
      <c r="RQ63" s="4">
        <v>3.8069999999999999</v>
      </c>
      <c r="RR63" s="4">
        <v>3.7240000000000002</v>
      </c>
      <c r="RU63" s="4">
        <v>3.7280000000000002</v>
      </c>
      <c r="RV63" s="4">
        <v>3.7330000000000001</v>
      </c>
      <c r="RW63" s="4">
        <v>3.72</v>
      </c>
      <c r="RX63" s="4">
        <v>3.742</v>
      </c>
      <c r="RY63" s="4">
        <v>3.7959999999999998</v>
      </c>
      <c r="SB63" s="4">
        <v>3.7839999999999998</v>
      </c>
      <c r="SC63" s="4">
        <v>3.8210000000000002</v>
      </c>
      <c r="SD63" s="4">
        <v>3.8319999999999999</v>
      </c>
      <c r="SE63" s="4">
        <v>3.7839999999999998</v>
      </c>
      <c r="SF63" s="4">
        <v>3.7810000000000001</v>
      </c>
      <c r="SI63" s="4">
        <v>3.673</v>
      </c>
      <c r="SJ63" s="4">
        <v>3.657</v>
      </c>
      <c r="SK63" s="4">
        <v>3.6909999999999998</v>
      </c>
      <c r="SL63" s="4">
        <v>3.7829999999999999</v>
      </c>
      <c r="SM63" s="4">
        <v>3.8</v>
      </c>
      <c r="SP63" s="4">
        <v>3.8730000000000002</v>
      </c>
      <c r="SR63" s="4">
        <v>3.887</v>
      </c>
      <c r="SS63" s="4">
        <v>3.855</v>
      </c>
      <c r="ST63" s="4">
        <v>3.794</v>
      </c>
      <c r="SW63" s="4">
        <v>3.68</v>
      </c>
      <c r="SX63" s="4">
        <v>3.6360000000000001</v>
      </c>
      <c r="SY63" s="4">
        <v>3.5950000000000002</v>
      </c>
      <c r="SZ63" s="4">
        <v>3.5840000000000001</v>
      </c>
      <c r="TA63" s="4">
        <v>3.6019999999999999</v>
      </c>
      <c r="TD63" s="4">
        <v>3.6880000000000002</v>
      </c>
      <c r="TE63" s="4">
        <v>3.6469999999999998</v>
      </c>
      <c r="TF63" s="4">
        <v>3.6619999999999999</v>
      </c>
      <c r="TG63" s="4">
        <v>3.6709999999999998</v>
      </c>
      <c r="TH63" s="4">
        <v>3.6890000000000001</v>
      </c>
      <c r="TK63" s="4">
        <v>3.64</v>
      </c>
      <c r="TL63" s="4">
        <v>3.5830000000000002</v>
      </c>
      <c r="TM63" s="4">
        <v>3.6880000000000002</v>
      </c>
      <c r="TN63" s="4">
        <v>3.774</v>
      </c>
      <c r="TO63" s="4">
        <v>3.8130000000000002</v>
      </c>
      <c r="TR63" s="4">
        <v>3.6360000000000001</v>
      </c>
      <c r="TS63" s="4">
        <v>3.5619999999999998</v>
      </c>
      <c r="TT63" s="4">
        <v>3.5920000000000001</v>
      </c>
      <c r="TU63" s="4">
        <v>3.5419999999999998</v>
      </c>
    </row>
    <row r="64" spans="1:541" ht="24.95" customHeight="1">
      <c r="A64" s="4" t="s">
        <v>356</v>
      </c>
      <c r="C64" s="35" t="s">
        <v>218</v>
      </c>
      <c r="E64" s="230">
        <f>AB$55/100</f>
        <v>-2004.89</v>
      </c>
      <c r="F64" s="230">
        <f>SUM(AB$55:AB$59)/100</f>
        <v>2719.81</v>
      </c>
      <c r="G64" s="230">
        <f>SUM(AB$55:AB$74)/100</f>
        <v>-3504.3</v>
      </c>
      <c r="H64" s="230">
        <f>SUM($AB$55:$AB$114)/100</f>
        <v>8195.31</v>
      </c>
      <c r="I64" s="230">
        <f>SUM($AB$55:$AB$174)/100</f>
        <v>72056.44</v>
      </c>
      <c r="J64" s="231">
        <f ca="1">IFERROR( SUM($AB$55:INDIRECT(A64&amp;J51))/100, "")</f>
        <v>86723.1</v>
      </c>
      <c r="K64" s="4"/>
      <c r="L64" s="4"/>
      <c r="M64" s="4"/>
      <c r="N64" s="4"/>
      <c r="R64" s="143"/>
      <c r="V64" s="3">
        <v>45141</v>
      </c>
      <c r="W64" s="4">
        <v>-149177</v>
      </c>
      <c r="X64" s="4">
        <v>809583</v>
      </c>
      <c r="Y64" s="4">
        <v>-665856</v>
      </c>
      <c r="Z64" s="4">
        <v>-2611</v>
      </c>
      <c r="AA64" s="4">
        <v>-64794</v>
      </c>
      <c r="AB64" s="4">
        <v>-25826</v>
      </c>
      <c r="AC64" s="4">
        <v>60905</v>
      </c>
      <c r="AD64" s="4">
        <v>1824</v>
      </c>
      <c r="AE64" s="4">
        <v>-610</v>
      </c>
      <c r="AF64" s="4">
        <v>55564</v>
      </c>
      <c r="AG64" s="4">
        <v>-11447</v>
      </c>
      <c r="AH64" s="4">
        <v>114413</v>
      </c>
      <c r="AI64" s="4">
        <v>-16509</v>
      </c>
      <c r="AJ64" s="4">
        <v>3524</v>
      </c>
      <c r="AK64" s="4">
        <v>12329</v>
      </c>
      <c r="AL64" s="4">
        <v>1813</v>
      </c>
      <c r="AN64" s="4" t="str">
        <f ca="1">_xll.IMDH("IR",IF($V$52, "BONDKSDCAL14", " "),AO64,TODAY()-2543,$E$5,500,"Per=일,sort=D,real=true,Bizday=12,Quote=종가,Pos=20,Orient=H,DtFmt=1,TmFmt=1")</f>
        <v>조회[BONDKSDCAL14]</v>
      </c>
      <c r="AO64" s="4" t="s">
        <v>229</v>
      </c>
      <c r="AP64" s="4">
        <v>10.972</v>
      </c>
      <c r="AQ64" s="4">
        <v>10.898999999999999</v>
      </c>
      <c r="AS64" s="4">
        <v>10.930999999999999</v>
      </c>
      <c r="AV64" s="4">
        <v>10.882999999999999</v>
      </c>
      <c r="AW64" s="4">
        <v>10.871</v>
      </c>
      <c r="AX64" s="4">
        <v>10.853999999999999</v>
      </c>
      <c r="AY64" s="4">
        <v>10.831</v>
      </c>
      <c r="AZ64" s="4">
        <v>10.872</v>
      </c>
      <c r="BC64" s="4">
        <v>10.920999999999999</v>
      </c>
      <c r="BD64" s="4">
        <v>10.896000000000001</v>
      </c>
      <c r="BE64" s="4">
        <v>10.865</v>
      </c>
      <c r="BF64" s="4">
        <v>10.835000000000001</v>
      </c>
      <c r="BG64" s="4">
        <v>10.867000000000001</v>
      </c>
      <c r="BJ64" s="4">
        <v>10.823</v>
      </c>
      <c r="BK64" s="4">
        <v>10.773999999999999</v>
      </c>
      <c r="BL64" s="4">
        <v>10.813000000000001</v>
      </c>
      <c r="BM64" s="4">
        <v>10.83</v>
      </c>
      <c r="BN64" s="4">
        <v>10.801</v>
      </c>
      <c r="BQ64" s="4">
        <v>10.79</v>
      </c>
      <c r="BR64" s="4">
        <v>10.771000000000001</v>
      </c>
      <c r="BS64" s="4">
        <v>10.731999999999999</v>
      </c>
      <c r="BT64" s="4">
        <v>10.787000000000001</v>
      </c>
      <c r="BU64" s="4">
        <v>10.801</v>
      </c>
      <c r="BX64" s="4">
        <v>10.808</v>
      </c>
      <c r="BY64" s="4">
        <v>10.798</v>
      </c>
      <c r="BZ64" s="4">
        <v>10.9</v>
      </c>
      <c r="CA64" s="4">
        <v>10.896000000000001</v>
      </c>
      <c r="CB64" s="4">
        <v>10.983000000000001</v>
      </c>
      <c r="CE64" s="4">
        <v>10.923</v>
      </c>
      <c r="CF64" s="4">
        <v>10.866</v>
      </c>
      <c r="CG64" s="4">
        <v>10.813000000000001</v>
      </c>
      <c r="CH64" s="4">
        <v>10.817</v>
      </c>
      <c r="CI64" s="4">
        <v>10.81</v>
      </c>
      <c r="CL64" s="4">
        <v>10.86</v>
      </c>
      <c r="CM64" s="4">
        <v>10.776999999999999</v>
      </c>
      <c r="CN64" s="4">
        <v>10.754</v>
      </c>
      <c r="CO64" s="4">
        <v>10.738</v>
      </c>
      <c r="CP64" s="4">
        <v>10.765000000000001</v>
      </c>
      <c r="CS64" s="4">
        <v>10.808999999999999</v>
      </c>
      <c r="CT64" s="4">
        <v>10.79</v>
      </c>
      <c r="CU64" s="4">
        <v>10.769</v>
      </c>
      <c r="CV64" s="4">
        <v>10.77</v>
      </c>
      <c r="CW64" s="4">
        <v>10.78</v>
      </c>
      <c r="CZ64" s="4">
        <v>10.785</v>
      </c>
      <c r="DA64" s="4">
        <v>10.826000000000001</v>
      </c>
      <c r="DB64" s="4">
        <v>10.743</v>
      </c>
      <c r="DC64" s="4">
        <v>10.683999999999999</v>
      </c>
      <c r="DD64" s="4">
        <v>10.691000000000001</v>
      </c>
      <c r="DG64" s="4">
        <v>10.696999999999999</v>
      </c>
      <c r="DH64" s="4">
        <v>10.731</v>
      </c>
      <c r="DI64" s="4">
        <v>10.662000000000001</v>
      </c>
      <c r="DK64" s="4">
        <v>10.694000000000001</v>
      </c>
      <c r="DN64" s="4">
        <v>10.632</v>
      </c>
      <c r="DO64" s="4">
        <v>10.675000000000001</v>
      </c>
      <c r="DP64" s="4">
        <v>10.653</v>
      </c>
      <c r="DQ64" s="4">
        <v>10.750999999999999</v>
      </c>
      <c r="DU64" s="4">
        <v>10.718999999999999</v>
      </c>
      <c r="DV64" s="4">
        <v>10.669</v>
      </c>
      <c r="DW64" s="4">
        <v>10.57</v>
      </c>
      <c r="DX64" s="4">
        <v>10.567</v>
      </c>
      <c r="DY64" s="4">
        <v>10.513</v>
      </c>
      <c r="EB64" s="4">
        <v>10.535</v>
      </c>
      <c r="EC64" s="4">
        <v>10.507999999999999</v>
      </c>
      <c r="ED64" s="4">
        <v>10.467000000000001</v>
      </c>
      <c r="EE64" s="4">
        <v>10.439</v>
      </c>
      <c r="EF64" s="4">
        <v>10.471</v>
      </c>
      <c r="EI64" s="4">
        <v>10.417999999999999</v>
      </c>
      <c r="EJ64" s="4">
        <v>10.414999999999999</v>
      </c>
      <c r="EK64" s="4">
        <v>10.468</v>
      </c>
      <c r="EL64" s="4">
        <v>10.45</v>
      </c>
      <c r="EM64" s="4">
        <v>10.458</v>
      </c>
      <c r="EQ64" s="4">
        <v>10.411</v>
      </c>
      <c r="ER64" s="4">
        <v>10.473000000000001</v>
      </c>
      <c r="ES64" s="4">
        <v>10.522</v>
      </c>
      <c r="EW64" s="4">
        <v>10.486000000000001</v>
      </c>
      <c r="EX64" s="4">
        <v>10.476000000000001</v>
      </c>
      <c r="EY64" s="4">
        <v>10.45</v>
      </c>
      <c r="EZ64" s="4">
        <v>10.459</v>
      </c>
      <c r="FA64" s="4">
        <v>10.433</v>
      </c>
      <c r="FD64" s="4">
        <v>10.468</v>
      </c>
      <c r="FE64" s="4">
        <v>10.532</v>
      </c>
      <c r="FF64" s="4">
        <v>10.532</v>
      </c>
      <c r="FG64" s="4">
        <v>10.49</v>
      </c>
      <c r="FH64" s="4">
        <v>10.483000000000001</v>
      </c>
      <c r="FK64" s="4">
        <v>10.413</v>
      </c>
      <c r="FL64" s="4">
        <v>10.4</v>
      </c>
      <c r="FM64" s="4">
        <v>10.433999999999999</v>
      </c>
      <c r="FN64" s="4">
        <v>10.430999999999999</v>
      </c>
      <c r="FO64" s="4">
        <v>10.394</v>
      </c>
      <c r="FR64" s="4">
        <v>10.435</v>
      </c>
      <c r="FS64" s="4">
        <v>10.407</v>
      </c>
      <c r="FT64" s="4">
        <v>10.458</v>
      </c>
      <c r="FU64" s="4">
        <v>10.465</v>
      </c>
      <c r="FV64" s="4">
        <v>10.523</v>
      </c>
      <c r="FY64" s="4">
        <v>10.457000000000001</v>
      </c>
      <c r="FZ64" s="4">
        <v>10.417999999999999</v>
      </c>
      <c r="GA64" s="4">
        <v>10.414</v>
      </c>
      <c r="GB64" s="4">
        <v>10.416</v>
      </c>
      <c r="GC64" s="4">
        <v>10.38</v>
      </c>
      <c r="GF64" s="4">
        <v>10.323</v>
      </c>
      <c r="GG64" s="4">
        <v>10.375999999999999</v>
      </c>
      <c r="GH64" s="4">
        <v>10.426</v>
      </c>
      <c r="GI64" s="4">
        <v>10.43</v>
      </c>
      <c r="GJ64" s="4">
        <v>10.398999999999999</v>
      </c>
      <c r="GM64" s="4">
        <v>10.531000000000001</v>
      </c>
      <c r="GN64" s="4">
        <v>10.521000000000001</v>
      </c>
      <c r="GO64" s="4">
        <v>10.595000000000001</v>
      </c>
      <c r="GP64" s="4">
        <v>10.515000000000001</v>
      </c>
      <c r="GQ64" s="4">
        <v>10.58</v>
      </c>
      <c r="GT64" s="4">
        <v>10.819000000000001</v>
      </c>
      <c r="GU64" s="4">
        <v>10.961</v>
      </c>
      <c r="GV64" s="4">
        <v>10.955</v>
      </c>
      <c r="GW64" s="4">
        <v>10.832000000000001</v>
      </c>
      <c r="GX64" s="4">
        <v>10.878</v>
      </c>
      <c r="HA64" s="4">
        <v>10.893000000000001</v>
      </c>
      <c r="HB64" s="4">
        <v>10.972</v>
      </c>
      <c r="HD64" s="4">
        <v>10.898999999999999</v>
      </c>
      <c r="HE64" s="4">
        <v>10.785</v>
      </c>
      <c r="HH64" s="4">
        <v>10.675000000000001</v>
      </c>
      <c r="HI64" s="4">
        <v>10.728999999999999</v>
      </c>
      <c r="HJ64" s="4">
        <v>10.763</v>
      </c>
      <c r="HK64" s="4">
        <v>10.747999999999999</v>
      </c>
      <c r="HL64" s="4">
        <v>10.797000000000001</v>
      </c>
      <c r="HO64" s="4">
        <v>10.762</v>
      </c>
      <c r="HP64" s="4">
        <v>10.638</v>
      </c>
      <c r="HQ64" s="4">
        <v>10.641999999999999</v>
      </c>
      <c r="HR64" s="4">
        <v>10.585000000000001</v>
      </c>
      <c r="HS64" s="4">
        <v>10.613</v>
      </c>
      <c r="HV64" s="4">
        <v>10.571</v>
      </c>
      <c r="HW64" s="4">
        <v>10.581</v>
      </c>
      <c r="HX64" s="4">
        <v>10.538</v>
      </c>
      <c r="HY64" s="4">
        <v>10.526999999999999</v>
      </c>
      <c r="HZ64" s="4">
        <v>10.504</v>
      </c>
      <c r="IC64" s="4">
        <v>10.343999999999999</v>
      </c>
      <c r="ID64" s="4">
        <v>10.423</v>
      </c>
      <c r="IE64" s="4">
        <v>10.5</v>
      </c>
      <c r="IF64" s="4">
        <v>10.567</v>
      </c>
      <c r="IG64" s="4">
        <v>10.523</v>
      </c>
      <c r="IJ64" s="4">
        <v>10.563000000000001</v>
      </c>
      <c r="IK64" s="4">
        <v>10.545</v>
      </c>
      <c r="IL64" s="4">
        <v>10.561999999999999</v>
      </c>
      <c r="IQ64" s="4">
        <v>10.605</v>
      </c>
      <c r="IR64" s="4">
        <v>10.547000000000001</v>
      </c>
      <c r="IS64" s="4">
        <v>10.686999999999999</v>
      </c>
      <c r="IT64" s="4">
        <v>10.789</v>
      </c>
      <c r="IU64" s="4">
        <v>10.763</v>
      </c>
      <c r="IX64" s="4">
        <v>10.705</v>
      </c>
      <c r="IY64" s="4">
        <v>10.8</v>
      </c>
      <c r="IZ64" s="4">
        <v>10.826000000000001</v>
      </c>
      <c r="JA64" s="4">
        <v>10.913</v>
      </c>
      <c r="JB64" s="4">
        <v>10.94</v>
      </c>
      <c r="JE64" s="4">
        <v>11.051</v>
      </c>
      <c r="JF64" s="4">
        <v>11.036</v>
      </c>
      <c r="JG64" s="4">
        <v>11.041</v>
      </c>
      <c r="JH64" s="4">
        <v>11.087999999999999</v>
      </c>
      <c r="JI64" s="4">
        <v>11.201000000000001</v>
      </c>
      <c r="JL64" s="4">
        <v>11.166</v>
      </c>
      <c r="JM64" s="4">
        <v>11.169</v>
      </c>
      <c r="JN64" s="4">
        <v>11.127000000000001</v>
      </c>
      <c r="JO64" s="4">
        <v>11.135</v>
      </c>
      <c r="JP64" s="4">
        <v>11.143000000000001</v>
      </c>
      <c r="JS64" s="4">
        <v>11.115</v>
      </c>
      <c r="JT64" s="4">
        <v>11.074</v>
      </c>
      <c r="JU64" s="4">
        <v>11.148</v>
      </c>
      <c r="JV64" s="4">
        <v>11.204000000000001</v>
      </c>
      <c r="JW64" s="4">
        <v>11.086</v>
      </c>
      <c r="JZ64" s="4">
        <v>11.092000000000001</v>
      </c>
      <c r="KA64" s="4">
        <v>11.118</v>
      </c>
      <c r="KB64" s="4">
        <v>11.12</v>
      </c>
      <c r="KC64" s="4">
        <v>11.217000000000001</v>
      </c>
      <c r="KD64" s="4">
        <v>11.22</v>
      </c>
      <c r="KG64" s="4">
        <v>11.236000000000001</v>
      </c>
      <c r="KH64" s="4">
        <v>11.252000000000001</v>
      </c>
      <c r="KI64" s="4">
        <v>11.25</v>
      </c>
      <c r="KJ64" s="4">
        <v>11.228</v>
      </c>
      <c r="KK64" s="4">
        <v>11.211</v>
      </c>
      <c r="KN64" s="4">
        <v>11.228</v>
      </c>
      <c r="KO64" s="4">
        <v>11.259</v>
      </c>
      <c r="KP64" s="4">
        <v>11.282999999999999</v>
      </c>
      <c r="KQ64" s="4">
        <v>11.308</v>
      </c>
      <c r="KR64" s="4">
        <v>11.242000000000001</v>
      </c>
      <c r="KU64" s="4">
        <v>11.211</v>
      </c>
      <c r="KV64" s="4">
        <v>11.239000000000001</v>
      </c>
      <c r="KW64" s="4">
        <v>11.377000000000001</v>
      </c>
      <c r="KX64" s="4">
        <v>11.356999999999999</v>
      </c>
      <c r="KY64" s="4">
        <v>11.333</v>
      </c>
      <c r="LB64" s="4">
        <v>11.272</v>
      </c>
      <c r="LC64" s="4">
        <v>11.27</v>
      </c>
      <c r="LD64" s="4">
        <v>11.260999999999999</v>
      </c>
      <c r="LE64" s="4">
        <v>11.194000000000001</v>
      </c>
      <c r="LF64" s="4">
        <v>11.266999999999999</v>
      </c>
      <c r="LI64" s="4">
        <v>11.208</v>
      </c>
      <c r="LJ64" s="4">
        <v>11.401999999999999</v>
      </c>
      <c r="LK64" s="4">
        <v>11.442</v>
      </c>
      <c r="LL64" s="4">
        <v>11.493</v>
      </c>
      <c r="LM64" s="4">
        <v>11.510999999999999</v>
      </c>
      <c r="LP64" s="4">
        <v>11.438000000000001</v>
      </c>
      <c r="LQ64" s="4">
        <v>11.461</v>
      </c>
      <c r="LR64" s="4">
        <v>11.378</v>
      </c>
      <c r="LS64" s="4">
        <v>11.332000000000001</v>
      </c>
      <c r="LT64" s="4">
        <v>11.423999999999999</v>
      </c>
      <c r="LW64" s="4">
        <v>11.337</v>
      </c>
      <c r="LX64" s="4">
        <v>11.465999999999999</v>
      </c>
      <c r="LY64" s="4">
        <v>11.404</v>
      </c>
      <c r="LZ64" s="4">
        <v>11.382</v>
      </c>
      <c r="MA64" s="4">
        <v>11.446</v>
      </c>
      <c r="MD64" s="4">
        <v>11.590999999999999</v>
      </c>
      <c r="ME64" s="4">
        <v>11.444000000000001</v>
      </c>
      <c r="MF64" s="4">
        <v>11.388</v>
      </c>
      <c r="MG64" s="4">
        <v>11.263999999999999</v>
      </c>
      <c r="MH64" s="4">
        <v>11.233000000000001</v>
      </c>
      <c r="MK64" s="4">
        <v>11.173</v>
      </c>
      <c r="ML64" s="4">
        <v>11.164</v>
      </c>
      <c r="MM64" s="4">
        <v>11.063000000000001</v>
      </c>
      <c r="MN64" s="4">
        <v>11.284000000000001</v>
      </c>
      <c r="MR64" s="4">
        <v>11.211</v>
      </c>
      <c r="MS64" s="4">
        <v>11.083</v>
      </c>
      <c r="MT64" s="4">
        <v>11.093</v>
      </c>
      <c r="MU64" s="4">
        <v>11.028</v>
      </c>
      <c r="MY64" s="4">
        <v>11.132999999999999</v>
      </c>
      <c r="MZ64" s="4">
        <v>11.231999999999999</v>
      </c>
      <c r="NA64" s="4">
        <v>11.202</v>
      </c>
      <c r="NB64" s="4">
        <v>11.164</v>
      </c>
      <c r="NC64" s="4">
        <v>11.382</v>
      </c>
      <c r="NF64" s="4">
        <v>11.042999999999999</v>
      </c>
      <c r="NG64" s="4">
        <v>10.946999999999999</v>
      </c>
      <c r="NH64" s="4">
        <v>10.698</v>
      </c>
      <c r="NI64" s="4">
        <v>10.664</v>
      </c>
      <c r="NJ64" s="4">
        <v>10.609</v>
      </c>
      <c r="NM64" s="4">
        <v>10.614000000000001</v>
      </c>
      <c r="NN64" s="4">
        <v>10.613</v>
      </c>
      <c r="NO64" s="4">
        <v>10.433</v>
      </c>
      <c r="NP64" s="4">
        <v>10.38</v>
      </c>
      <c r="NU64" s="4">
        <v>10.398</v>
      </c>
      <c r="NV64" s="4">
        <v>10.523999999999999</v>
      </c>
      <c r="NW64" s="4">
        <v>10.516999999999999</v>
      </c>
      <c r="NX64" s="4">
        <v>10.452999999999999</v>
      </c>
      <c r="OA64" s="4">
        <v>10.518000000000001</v>
      </c>
      <c r="OB64" s="4">
        <v>10.605</v>
      </c>
      <c r="OC64" s="4">
        <v>10.516999999999999</v>
      </c>
      <c r="OD64" s="4">
        <v>10.475</v>
      </c>
      <c r="OE64" s="4">
        <v>10.481999999999999</v>
      </c>
      <c r="OH64" s="4">
        <v>10.356</v>
      </c>
      <c r="OI64" s="4">
        <v>10.365</v>
      </c>
      <c r="OJ64" s="4">
        <v>10.154999999999999</v>
      </c>
      <c r="OK64" s="4">
        <v>10.122999999999999</v>
      </c>
      <c r="OL64" s="4">
        <v>10.086</v>
      </c>
      <c r="OO64" s="4">
        <v>10.036</v>
      </c>
      <c r="OP64" s="4">
        <v>9.9640000000000004</v>
      </c>
      <c r="OQ64" s="4">
        <v>9.9260000000000002</v>
      </c>
      <c r="OR64" s="4">
        <v>9.9060000000000006</v>
      </c>
      <c r="OV64" s="4">
        <v>10.006</v>
      </c>
      <c r="OW64" s="4">
        <v>9.9600000000000009</v>
      </c>
      <c r="OX64" s="4">
        <v>9.9819999999999993</v>
      </c>
      <c r="OY64" s="4">
        <v>9.9670000000000005</v>
      </c>
      <c r="OZ64" s="4">
        <v>9.9619999999999997</v>
      </c>
      <c r="PC64" s="4">
        <v>9.9039999999999999</v>
      </c>
      <c r="PD64" s="4">
        <v>9.9369999999999994</v>
      </c>
      <c r="PE64" s="4">
        <v>9.891</v>
      </c>
      <c r="PF64" s="4">
        <v>9.8309999999999995</v>
      </c>
      <c r="PG64" s="4">
        <v>9.8930000000000007</v>
      </c>
      <c r="PJ64" s="4">
        <v>9.8190000000000008</v>
      </c>
      <c r="PK64" s="4">
        <v>9.9320000000000004</v>
      </c>
      <c r="PL64" s="4">
        <v>9.8859999999999992</v>
      </c>
      <c r="PM64" s="4">
        <v>9.9120000000000008</v>
      </c>
      <c r="PN64" s="4">
        <v>9.93</v>
      </c>
      <c r="PQ64" s="4">
        <v>9.984</v>
      </c>
      <c r="PR64" s="4">
        <v>10.052</v>
      </c>
      <c r="PS64" s="4">
        <v>10.047000000000001</v>
      </c>
      <c r="PT64" s="4">
        <v>9.9410000000000007</v>
      </c>
      <c r="PU64" s="4">
        <v>9.9559999999999995</v>
      </c>
      <c r="PX64" s="4">
        <v>9.9459999999999997</v>
      </c>
      <c r="PY64" s="4">
        <v>9.9890000000000008</v>
      </c>
      <c r="PZ64" s="4">
        <v>9.9420000000000002</v>
      </c>
      <c r="QA64" s="4">
        <v>10.006</v>
      </c>
      <c r="QB64" s="4">
        <v>10.047000000000001</v>
      </c>
      <c r="QE64" s="4">
        <v>10.035</v>
      </c>
      <c r="QF64" s="4">
        <v>9.9640000000000004</v>
      </c>
      <c r="QG64" s="4">
        <v>9.9380000000000006</v>
      </c>
      <c r="QH64" s="4">
        <v>9.9749999999999996</v>
      </c>
      <c r="QI64" s="4">
        <v>10.090999999999999</v>
      </c>
      <c r="QL64" s="4">
        <v>10.099</v>
      </c>
      <c r="QM64" s="4">
        <v>10.207000000000001</v>
      </c>
      <c r="QN64" s="4">
        <v>10.205</v>
      </c>
      <c r="QO64" s="4">
        <v>10.191000000000001</v>
      </c>
      <c r="QP64" s="4">
        <v>10.194000000000001</v>
      </c>
      <c r="QS64" s="4">
        <v>10.148999999999999</v>
      </c>
      <c r="QT64" s="4">
        <v>10.221</v>
      </c>
      <c r="QU64" s="4">
        <v>10.141999999999999</v>
      </c>
      <c r="QV64" s="4">
        <v>10.249000000000001</v>
      </c>
      <c r="QW64" s="4">
        <v>10.260999999999999</v>
      </c>
      <c r="QZ64" s="4">
        <v>10.305999999999999</v>
      </c>
      <c r="RA64" s="4">
        <v>10.272</v>
      </c>
      <c r="RB64" s="4">
        <v>10.209</v>
      </c>
      <c r="RC64" s="4">
        <v>10.109</v>
      </c>
      <c r="RD64" s="4">
        <v>10.071999999999999</v>
      </c>
      <c r="RG64" s="4">
        <v>9.8569999999999993</v>
      </c>
      <c r="RH64" s="4">
        <v>9.8040000000000003</v>
      </c>
      <c r="RI64" s="4">
        <v>9.8260000000000005</v>
      </c>
      <c r="RJ64" s="4">
        <v>9.8469999999999995</v>
      </c>
      <c r="RN64" s="4">
        <v>9.74</v>
      </c>
      <c r="RO64" s="4">
        <v>9.74</v>
      </c>
      <c r="RQ64" s="4">
        <v>9.65</v>
      </c>
      <c r="RR64" s="4">
        <v>9.57</v>
      </c>
      <c r="RU64" s="4">
        <v>9.5709999999999997</v>
      </c>
      <c r="RV64" s="4">
        <v>9.577</v>
      </c>
      <c r="RW64" s="4">
        <v>9.5660000000000007</v>
      </c>
      <c r="RX64" s="4">
        <v>9.59</v>
      </c>
      <c r="RY64" s="4">
        <v>9.641</v>
      </c>
      <c r="SB64" s="4">
        <v>9.6280000000000001</v>
      </c>
      <c r="SC64" s="4">
        <v>9.6669999999999998</v>
      </c>
      <c r="SD64" s="4">
        <v>9.6750000000000007</v>
      </c>
      <c r="SE64" s="4">
        <v>9.6259999999999994</v>
      </c>
      <c r="SF64" s="4">
        <v>9.6270000000000007</v>
      </c>
      <c r="SI64" s="4">
        <v>9.5169999999999995</v>
      </c>
      <c r="SJ64" s="4">
        <v>9.5060000000000002</v>
      </c>
      <c r="SK64" s="4">
        <v>9.5340000000000007</v>
      </c>
      <c r="SL64" s="4">
        <v>9.6270000000000007</v>
      </c>
      <c r="SM64" s="4">
        <v>9.641</v>
      </c>
      <c r="SP64" s="4">
        <v>9.7189999999999994</v>
      </c>
      <c r="SR64" s="4">
        <v>9.7230000000000008</v>
      </c>
      <c r="SS64" s="4">
        <v>9.6869999999999994</v>
      </c>
      <c r="ST64" s="4">
        <v>9.6329999999999991</v>
      </c>
      <c r="SW64" s="4">
        <v>9.52</v>
      </c>
      <c r="SX64" s="4">
        <v>9.4849999999999994</v>
      </c>
      <c r="SY64" s="4">
        <v>9.4550000000000001</v>
      </c>
      <c r="SZ64" s="4">
        <v>9.4369999999999994</v>
      </c>
      <c r="TA64" s="4">
        <v>9.4529999999999994</v>
      </c>
      <c r="TD64" s="4">
        <v>9.5310000000000006</v>
      </c>
      <c r="TE64" s="4">
        <v>9.4930000000000003</v>
      </c>
      <c r="TF64" s="4">
        <v>9.5090000000000003</v>
      </c>
      <c r="TG64" s="4">
        <v>9.5169999999999995</v>
      </c>
      <c r="TH64" s="4">
        <v>9.5299999999999994</v>
      </c>
      <c r="TK64" s="4">
        <v>9.4849999999999994</v>
      </c>
      <c r="TL64" s="4">
        <v>9.4290000000000003</v>
      </c>
      <c r="TM64" s="4">
        <v>9.5210000000000008</v>
      </c>
      <c r="TN64" s="4">
        <v>9.5990000000000002</v>
      </c>
      <c r="TO64" s="4">
        <v>9.6379999999999999</v>
      </c>
      <c r="TR64" s="4">
        <v>9.4740000000000002</v>
      </c>
      <c r="TS64" s="4">
        <v>9.4009999999999998</v>
      </c>
      <c r="TT64" s="4">
        <v>9.4250000000000007</v>
      </c>
      <c r="TU64" s="4">
        <v>9.3759999999999994</v>
      </c>
    </row>
    <row r="65" spans="1:59" ht="24.95" customHeight="1">
      <c r="A65" s="4" t="s">
        <v>357</v>
      </c>
      <c r="C65" s="35" t="s">
        <v>219</v>
      </c>
      <c r="E65" s="230">
        <f>AC$55/100</f>
        <v>1712.27</v>
      </c>
      <c r="F65" s="230">
        <f>SUM(AC$55:AC$59)/100</f>
        <v>2366.08</v>
      </c>
      <c r="G65" s="230">
        <f>SUM(AC$55:AC$74)/100</f>
        <v>649.29</v>
      </c>
      <c r="H65" s="230">
        <f>SUM($AC$55:$AC$114)/100</f>
        <v>-8586.81</v>
      </c>
      <c r="I65" s="230">
        <f>SUM($AC$55:$AC$174)/100</f>
        <v>-37208.74</v>
      </c>
      <c r="J65" s="231">
        <f ca="1">IFERROR( SUM($AC$55:INDIRECT(A65&amp;J51))/100,"")</f>
        <v>-45253.58</v>
      </c>
      <c r="K65" s="4"/>
      <c r="L65" s="4"/>
      <c r="M65" s="4"/>
      <c r="N65" s="4"/>
      <c r="R65" s="143"/>
      <c r="V65" s="3">
        <v>45140</v>
      </c>
      <c r="W65" s="4">
        <v>-67562</v>
      </c>
      <c r="X65" s="4">
        <v>773449</v>
      </c>
      <c r="Y65" s="4">
        <v>-686620</v>
      </c>
      <c r="Z65" s="4">
        <v>-98656</v>
      </c>
      <c r="AA65" s="4">
        <v>-327606</v>
      </c>
      <c r="AB65" s="4">
        <v>556375</v>
      </c>
      <c r="AC65" s="4">
        <v>-202516</v>
      </c>
      <c r="AD65" s="4">
        <v>-48466</v>
      </c>
      <c r="AE65" s="4">
        <v>26059</v>
      </c>
      <c r="AF65" s="4">
        <v>54290</v>
      </c>
      <c r="AG65" s="4">
        <v>-62021</v>
      </c>
      <c r="AH65" s="4">
        <v>-37226</v>
      </c>
      <c r="AI65" s="4">
        <v>-26347</v>
      </c>
      <c r="AJ65" s="4">
        <v>14894</v>
      </c>
      <c r="AK65" s="4">
        <v>6468</v>
      </c>
      <c r="AL65" s="4">
        <v>-7675</v>
      </c>
    </row>
    <row r="66" spans="1:59" ht="24.95" customHeight="1">
      <c r="A66" s="4" t="s">
        <v>358</v>
      </c>
      <c r="C66" s="36" t="s">
        <v>220</v>
      </c>
      <c r="E66" s="232">
        <f>AD$55/100</f>
        <v>322.27</v>
      </c>
      <c r="F66" s="232">
        <f>SUM(AD$55:AD$59)/100</f>
        <v>-181.18</v>
      </c>
      <c r="G66" s="232">
        <f>SUM(AD$55:AD$74)/100</f>
        <v>-652.70000000000005</v>
      </c>
      <c r="H66" s="232">
        <f>SUM($AD$55:$AD$114)/100</f>
        <v>-970.27</v>
      </c>
      <c r="I66" s="232">
        <f>SUM($AD$55:$AD$174)/100</f>
        <v>-4561.5</v>
      </c>
      <c r="J66" s="233">
        <f ca="1">IFERROR( SUM($AD$55:INDIRECT(A66&amp;J51))/100, "")</f>
        <v>-5546.25</v>
      </c>
      <c r="K66" s="4"/>
      <c r="L66" s="4"/>
      <c r="M66" s="4"/>
      <c r="N66" s="4"/>
      <c r="R66" s="143"/>
      <c r="V66" s="3">
        <v>45139</v>
      </c>
      <c r="W66" s="4">
        <v>191862</v>
      </c>
      <c r="X66" s="4">
        <v>-550876</v>
      </c>
      <c r="Y66" s="4">
        <v>333204</v>
      </c>
      <c r="Z66" s="4">
        <v>67499</v>
      </c>
      <c r="AA66" s="4">
        <v>-226400</v>
      </c>
      <c r="AB66" s="4">
        <v>438428</v>
      </c>
      <c r="AC66" s="4">
        <v>-188562</v>
      </c>
      <c r="AD66" s="4">
        <v>-16256</v>
      </c>
      <c r="AE66" s="4">
        <v>11490</v>
      </c>
      <c r="AF66" s="4">
        <v>34415</v>
      </c>
      <c r="AG66" s="4">
        <v>-61354</v>
      </c>
      <c r="AH66" s="4">
        <v>-71538</v>
      </c>
      <c r="AI66" s="4">
        <v>20522</v>
      </c>
      <c r="AJ66" s="4">
        <v>-7717</v>
      </c>
      <c r="AK66" s="4">
        <v>-10957</v>
      </c>
      <c r="AL66" s="4">
        <v>2069</v>
      </c>
      <c r="AN66" s="4" t="str">
        <f ca="1">_xll.IMDH("IR",IF($V$52, "BONDKSDCAL08", " "),AN67:AO67,TODAY()-2543,$E$5,500,"Per=일,sort=D,real=true,Bizday=100,Country=한국 ,Quote=종가,Pos=20,Orient=V,DtFmt=1,TmFmt=1")</f>
        <v>조회[BONDKSDCAL08]</v>
      </c>
      <c r="AP66" s="4" t="str">
        <f ca="1">_xll.IMDH("IR",IF($V$52, "BONDKSDCAL11", " "),AP67:AP67,TODAY()-2543,$E$5,500,"Per=일,sort=D,real=true,Bizday=100,Country=한국 ,Quote=종가,Pos=20,Orient=V,Title=국고채권(3년),DtFmt=1,TmFmt=1")</f>
        <v>국고채권(3년)</v>
      </c>
      <c r="AQ66" s="4" t="str">
        <f ca="1">_xll.IMDH("IR",IF($V$52, "BONDKSDCAL07", " "),AQ67:AQ67,TODAY()-2543,$E$5,500,"Per=일,sort=D,real=true,Bizday=100,Country=한국 ,Quote=종가,Pos=20,Orient=V,Title=회사채(AA-무보증3년),DtFmt=1,TmFmt=1")</f>
        <v>회사채(AA-무보증3년)</v>
      </c>
      <c r="AR66" s="4" t="str">
        <f ca="1">_xll.IMDH("IR",IF($V$52, "BONDKSDCAL14", " "),AR67:AR67,TODAY()-2543,$E$5,500,"Per=일,sort=D,real=true,Bizday=100,Country=한국 ,Quote=종가,Pos=20,Orient=V,Title=회사채(BBB-무보증3년),DtFmt=1,TmFmt=1")</f>
        <v>회사채(BBB-무보증3년)</v>
      </c>
      <c r="AT66" s="4" t="str">
        <f ca="1">_xll.IMDH("ECO",IF($V$52, "162121", " "),AT67:AU67,TODAY()-5104,$E$5,500,"Per=일,sort=D,real=true,Bizday=0,Quote=종가,Pos=20,Orient=V,Title=고객예탁금,DtFmt=1,TmFmt=1,unit=true")</f>
        <v>고객예탁금</v>
      </c>
      <c r="AU66" s="4" t="s">
        <v>373</v>
      </c>
      <c r="AV66" s="4" t="str">
        <f ca="1">_xll.IMDH("FND",IF($V$52, "FNDSTA100000", " "),AV67:BA67,TODAY()-5104,$E$5,500,"Per=일,sort=D,real=true,Bizday=0,Quote=종가,Pos=20,Orient=V,Title=펀드설정통계,DtFmt=1,TmFmt=1,unit=true")</f>
        <v>펀드설정통계</v>
      </c>
      <c r="BB66" s="4" t="str">
        <f ca="1">_xll.IMDH("ECO",IF($V$52, "162122", " "),BB67:BC67,TODAY()-5104,$E$5,500,"Per=일,sort=D,real=true,Bizday=0,Quote=종가,Pos=20,Orient=V,Title=RP,DtFmt=1,TmFmt=1,unit=true")</f>
        <v>RP</v>
      </c>
      <c r="BC66" s="4" t="s">
        <v>373</v>
      </c>
    </row>
    <row r="67" spans="1:59">
      <c r="C67" s="23"/>
      <c r="E67" s="23"/>
      <c r="F67" s="23"/>
      <c r="G67" s="23"/>
      <c r="H67" s="23"/>
      <c r="I67" s="23"/>
      <c r="J67" s="4"/>
      <c r="K67" s="4"/>
      <c r="L67" s="4"/>
      <c r="M67" s="4"/>
      <c r="N67" s="4"/>
      <c r="R67" s="143"/>
      <c r="V67" s="3">
        <v>45138</v>
      </c>
      <c r="W67" s="4">
        <v>-290736</v>
      </c>
      <c r="X67" s="4">
        <v>343954</v>
      </c>
      <c r="Y67" s="4">
        <v>-92092</v>
      </c>
      <c r="Z67" s="4">
        <v>-5869</v>
      </c>
      <c r="AA67" s="4">
        <v>-47323</v>
      </c>
      <c r="AB67" s="4">
        <v>2517</v>
      </c>
      <c r="AC67" s="4">
        <v>57229</v>
      </c>
      <c r="AD67" s="4">
        <v>5389</v>
      </c>
      <c r="AE67" s="4">
        <v>10562</v>
      </c>
      <c r="AF67" s="4">
        <v>48529</v>
      </c>
      <c r="AG67" s="4">
        <v>-54390</v>
      </c>
      <c r="AH67" s="4">
        <v>68145</v>
      </c>
      <c r="AI67" s="4">
        <v>134</v>
      </c>
      <c r="AJ67" s="4">
        <v>22</v>
      </c>
      <c r="AK67" s="4">
        <v>-329</v>
      </c>
      <c r="AL67" s="4">
        <v>2372</v>
      </c>
      <c r="AN67" s="4" t="s">
        <v>176</v>
      </c>
      <c r="AO67" s="4" t="s">
        <v>229</v>
      </c>
      <c r="AP67" s="4" t="s">
        <v>229</v>
      </c>
      <c r="AQ67" s="4" t="s">
        <v>229</v>
      </c>
      <c r="AR67" s="4" t="s">
        <v>229</v>
      </c>
      <c r="AS67" s="4" t="s">
        <v>239</v>
      </c>
      <c r="AT67" s="4" t="s">
        <v>316</v>
      </c>
      <c r="AU67" s="4" t="s">
        <v>317</v>
      </c>
      <c r="AV67" s="4" t="s">
        <v>316</v>
      </c>
      <c r="AW67" s="4" t="s">
        <v>322</v>
      </c>
      <c r="AX67" s="4" t="s">
        <v>323</v>
      </c>
      <c r="AY67" s="4" t="s">
        <v>324</v>
      </c>
      <c r="AZ67" s="4" t="s">
        <v>326</v>
      </c>
      <c r="BA67" s="4" t="s">
        <v>325</v>
      </c>
      <c r="BB67" s="4" t="s">
        <v>316</v>
      </c>
      <c r="BC67" s="4" t="s">
        <v>317</v>
      </c>
    </row>
    <row r="68" spans="1:59">
      <c r="C68" s="23"/>
      <c r="E68" s="23"/>
      <c r="F68" s="23"/>
      <c r="G68" s="23"/>
      <c r="H68" s="23"/>
      <c r="I68" s="23"/>
      <c r="J68" s="4"/>
      <c r="K68" s="4"/>
      <c r="L68" s="4"/>
      <c r="M68" s="4"/>
      <c r="N68" s="4"/>
      <c r="R68" s="143"/>
      <c r="V68" s="3">
        <v>45135</v>
      </c>
      <c r="W68" s="4">
        <v>63788</v>
      </c>
      <c r="X68" s="4">
        <v>392138</v>
      </c>
      <c r="Y68" s="4">
        <v>-456468</v>
      </c>
      <c r="Z68" s="4">
        <v>-31609</v>
      </c>
      <c r="AA68" s="4">
        <v>288087</v>
      </c>
      <c r="AB68" s="4">
        <v>-329514</v>
      </c>
      <c r="AC68" s="4">
        <v>32843</v>
      </c>
      <c r="AD68" s="4">
        <v>15717</v>
      </c>
      <c r="AE68" s="4">
        <v>-37039</v>
      </c>
      <c r="AF68" s="4">
        <v>59852</v>
      </c>
      <c r="AG68" s="4">
        <v>-33174</v>
      </c>
      <c r="AH68" s="4">
        <v>-59465</v>
      </c>
      <c r="AI68" s="4">
        <v>-4571</v>
      </c>
      <c r="AJ68" s="4">
        <v>614</v>
      </c>
      <c r="AK68" s="4">
        <v>3990</v>
      </c>
      <c r="AL68" s="4">
        <v>-2496</v>
      </c>
      <c r="AN68" s="3">
        <v>45155</v>
      </c>
      <c r="AO68" s="4">
        <v>3.7</v>
      </c>
      <c r="AP68" s="4">
        <v>3.7879999999999998</v>
      </c>
      <c r="AQ68" s="4">
        <v>4.5609999999999999</v>
      </c>
      <c r="AR68" s="4">
        <v>10.972</v>
      </c>
      <c r="AS68" s="4">
        <f>AQ68-AP68</f>
        <v>0.77300000000000013</v>
      </c>
      <c r="AT68" s="3">
        <v>45149</v>
      </c>
      <c r="AU68" s="4">
        <v>532134</v>
      </c>
      <c r="AV68" s="3">
        <v>45154</v>
      </c>
      <c r="AW68" s="4">
        <v>98230332</v>
      </c>
      <c r="AX68" s="4">
        <v>9808101</v>
      </c>
      <c r="AY68" s="4">
        <v>15030376</v>
      </c>
      <c r="AZ68" s="4">
        <v>127787499</v>
      </c>
      <c r="BA68" s="4">
        <v>180686760</v>
      </c>
      <c r="BB68" s="3">
        <v>45149</v>
      </c>
      <c r="BC68" s="4">
        <v>780334</v>
      </c>
      <c r="BE68" s="3">
        <f>AT68</f>
        <v>45149</v>
      </c>
      <c r="BF68" s="4">
        <f>AU68</f>
        <v>532134</v>
      </c>
      <c r="BG68" s="4">
        <f t="shared" ref="BG68:BG99" si="7">VLOOKUP(AT68,$AV$68:$AW$567,2,0)/100</f>
        <v>993752.72</v>
      </c>
    </row>
    <row r="69" spans="1:59">
      <c r="C69" s="23"/>
      <c r="E69" s="23"/>
      <c r="F69" s="23"/>
      <c r="G69" s="23"/>
      <c r="H69" s="23"/>
      <c r="I69" s="23"/>
      <c r="J69" s="4"/>
      <c r="K69" s="4"/>
      <c r="L69" s="4"/>
      <c r="M69" s="4"/>
      <c r="N69" s="4"/>
      <c r="R69" s="143"/>
      <c r="V69" s="3">
        <v>45134</v>
      </c>
      <c r="W69" s="4">
        <v>80309</v>
      </c>
      <c r="X69" s="4">
        <v>-507095</v>
      </c>
      <c r="Y69" s="4">
        <v>435057</v>
      </c>
      <c r="Z69" s="4">
        <v>-38620</v>
      </c>
      <c r="AA69" s="4">
        <v>210710</v>
      </c>
      <c r="AB69" s="4">
        <v>-436849</v>
      </c>
      <c r="AC69" s="4">
        <v>266579</v>
      </c>
      <c r="AD69" s="4">
        <v>15443</v>
      </c>
      <c r="AE69" s="4">
        <v>44175</v>
      </c>
      <c r="AF69" s="4">
        <v>-89959</v>
      </c>
      <c r="AG69" s="4">
        <v>25786</v>
      </c>
      <c r="AH69" s="4">
        <v>687</v>
      </c>
      <c r="AI69" s="4">
        <v>7660</v>
      </c>
      <c r="AJ69" s="4">
        <v>-2000</v>
      </c>
      <c r="AK69" s="4">
        <v>-5601</v>
      </c>
      <c r="AL69" s="4">
        <v>3736</v>
      </c>
      <c r="AN69" s="3">
        <v>45154</v>
      </c>
      <c r="AO69" s="4">
        <v>3.7</v>
      </c>
      <c r="AP69" s="4">
        <v>3.7120000000000002</v>
      </c>
      <c r="AQ69" s="4">
        <v>4.4880000000000004</v>
      </c>
      <c r="AR69" s="4">
        <v>10.898999999999999</v>
      </c>
      <c r="AS69" s="4">
        <f t="shared" ref="AS69:AS132" si="8">AQ69-AP69</f>
        <v>0.77600000000000025</v>
      </c>
      <c r="AT69" s="3">
        <v>45148</v>
      </c>
      <c r="AU69" s="4">
        <v>528866</v>
      </c>
      <c r="AV69" s="3">
        <v>45152</v>
      </c>
      <c r="AW69" s="4">
        <v>98971338</v>
      </c>
      <c r="AX69" s="4">
        <v>9809315</v>
      </c>
      <c r="AY69" s="4">
        <v>15058049</v>
      </c>
      <c r="AZ69" s="4">
        <v>128117233</v>
      </c>
      <c r="BA69" s="4">
        <v>179758307</v>
      </c>
      <c r="BB69" s="3">
        <v>45148</v>
      </c>
      <c r="BC69" s="4">
        <v>782857</v>
      </c>
      <c r="BE69" s="3">
        <f t="shared" ref="BE69:BE127" si="9">AT69</f>
        <v>45148</v>
      </c>
      <c r="BF69" s="4">
        <f t="shared" ref="BF69:BF127" si="10">AU69</f>
        <v>528866</v>
      </c>
      <c r="BG69" s="4">
        <f t="shared" si="7"/>
        <v>995988.33</v>
      </c>
    </row>
    <row r="70" spans="1:59" ht="24.95" customHeight="1">
      <c r="C70" s="221" t="s">
        <v>221</v>
      </c>
      <c r="D70" s="222"/>
      <c r="E70" s="222"/>
      <c r="F70" s="222"/>
      <c r="G70" s="222"/>
      <c r="H70" s="222"/>
      <c r="I70" s="222"/>
      <c r="J70" s="223"/>
      <c r="K70" s="4"/>
      <c r="L70" s="4"/>
      <c r="M70" s="4"/>
      <c r="N70" s="4"/>
      <c r="R70" s="143"/>
      <c r="V70" s="3">
        <v>45133</v>
      </c>
      <c r="W70" s="4">
        <v>-946471</v>
      </c>
      <c r="X70" s="4">
        <v>993208</v>
      </c>
      <c r="Y70" s="4">
        <v>-65982</v>
      </c>
      <c r="Z70" s="4">
        <v>-131621</v>
      </c>
      <c r="AA70" s="4">
        <v>881711</v>
      </c>
      <c r="AB70" s="4">
        <v>-629354</v>
      </c>
      <c r="AC70" s="4">
        <v>-209951</v>
      </c>
      <c r="AD70" s="4">
        <v>-20772</v>
      </c>
      <c r="AE70" s="4">
        <v>43770</v>
      </c>
      <c r="AF70" s="4">
        <v>15782</v>
      </c>
      <c r="AG70" s="4">
        <v>-80569</v>
      </c>
      <c r="AH70" s="4">
        <v>-22152</v>
      </c>
      <c r="AI70" s="4">
        <v>-4048</v>
      </c>
      <c r="AJ70" s="4">
        <v>2291</v>
      </c>
      <c r="AK70" s="4">
        <v>1144</v>
      </c>
      <c r="AL70" s="4">
        <v>-1833</v>
      </c>
      <c r="AN70" s="3">
        <v>45152</v>
      </c>
      <c r="AO70" s="4">
        <v>3.69</v>
      </c>
      <c r="AP70" s="4">
        <v>3.7469999999999999</v>
      </c>
      <c r="AQ70" s="4">
        <v>4.5199999999999996</v>
      </c>
      <c r="AR70" s="4">
        <v>10.930999999999999</v>
      </c>
      <c r="AS70" s="4">
        <f t="shared" si="8"/>
        <v>0.77299999999999969</v>
      </c>
      <c r="AT70" s="3">
        <v>45147</v>
      </c>
      <c r="AU70" s="4">
        <v>527168</v>
      </c>
      <c r="AV70" s="3">
        <v>45149</v>
      </c>
      <c r="AW70" s="4">
        <v>99375272</v>
      </c>
      <c r="AX70" s="4">
        <v>9806380</v>
      </c>
      <c r="AY70" s="4">
        <v>15095903</v>
      </c>
      <c r="AZ70" s="4">
        <v>127871113</v>
      </c>
      <c r="BA70" s="4">
        <v>179645165</v>
      </c>
      <c r="BB70" s="3">
        <v>45147</v>
      </c>
      <c r="BC70" s="4">
        <v>781716</v>
      </c>
      <c r="BE70" s="3">
        <f t="shared" si="9"/>
        <v>45147</v>
      </c>
      <c r="BF70" s="4">
        <f t="shared" si="10"/>
        <v>527168</v>
      </c>
      <c r="BG70" s="4">
        <f t="shared" si="7"/>
        <v>998756.38</v>
      </c>
    </row>
    <row r="71" spans="1:59" ht="24.95" customHeight="1">
      <c r="C71" s="33" t="s">
        <v>216</v>
      </c>
      <c r="E71" s="31">
        <f ca="1">$E$5</f>
        <v>45155</v>
      </c>
      <c r="F71" s="32" t="s">
        <v>230</v>
      </c>
      <c r="G71" s="32" t="s">
        <v>231</v>
      </c>
      <c r="H71" s="32" t="s">
        <v>232</v>
      </c>
      <c r="I71" s="32" t="s">
        <v>233</v>
      </c>
      <c r="J71" s="34">
        <f ca="1">WORKDAY($E$5-365,1)</f>
        <v>44791</v>
      </c>
      <c r="K71" s="4"/>
      <c r="L71" s="4"/>
      <c r="M71" s="4"/>
      <c r="N71" s="4"/>
      <c r="V71" s="3">
        <v>45132</v>
      </c>
      <c r="W71" s="4">
        <v>-1363064</v>
      </c>
      <c r="X71" s="4">
        <v>1376328</v>
      </c>
      <c r="Y71" s="4">
        <v>-68910</v>
      </c>
      <c r="Z71" s="4">
        <v>-99706</v>
      </c>
      <c r="AA71" s="4">
        <v>446276</v>
      </c>
      <c r="AB71" s="4">
        <v>-426652</v>
      </c>
      <c r="AC71" s="4">
        <v>51696</v>
      </c>
      <c r="AD71" s="4">
        <v>1092</v>
      </c>
      <c r="AE71" s="4">
        <v>67071</v>
      </c>
      <c r="AF71" s="4">
        <v>42652</v>
      </c>
      <c r="AG71" s="4">
        <v>-108878</v>
      </c>
      <c r="AH71" s="4">
        <v>-117762</v>
      </c>
      <c r="AI71" s="4">
        <v>-3012</v>
      </c>
      <c r="AJ71" s="4">
        <v>402</v>
      </c>
      <c r="AK71" s="4">
        <v>2402</v>
      </c>
      <c r="AL71" s="4">
        <v>-1465</v>
      </c>
      <c r="AN71" s="3">
        <v>45149</v>
      </c>
      <c r="AO71" s="4">
        <v>3.69</v>
      </c>
      <c r="AP71" s="4">
        <v>3.698</v>
      </c>
      <c r="AQ71" s="4">
        <v>4.4749999999999996</v>
      </c>
      <c r="AR71" s="4">
        <v>10.882999999999999</v>
      </c>
      <c r="AS71" s="4">
        <f t="shared" si="8"/>
        <v>0.77699999999999969</v>
      </c>
      <c r="AT71" s="3">
        <v>45146</v>
      </c>
      <c r="AU71" s="4">
        <v>533490</v>
      </c>
      <c r="AV71" s="3">
        <v>45148</v>
      </c>
      <c r="AW71" s="4">
        <v>99598833</v>
      </c>
      <c r="AX71" s="4">
        <v>9791304</v>
      </c>
      <c r="AY71" s="4">
        <v>15115878</v>
      </c>
      <c r="AZ71" s="4">
        <v>127906113</v>
      </c>
      <c r="BA71" s="4">
        <v>182392683</v>
      </c>
      <c r="BB71" s="3">
        <v>45146</v>
      </c>
      <c r="BC71" s="4">
        <v>782093</v>
      </c>
      <c r="BE71" s="3">
        <f t="shared" si="9"/>
        <v>45146</v>
      </c>
      <c r="BF71" s="4">
        <f t="shared" si="10"/>
        <v>533490</v>
      </c>
      <c r="BG71" s="4">
        <f t="shared" si="7"/>
        <v>996966.7</v>
      </c>
    </row>
    <row r="72" spans="1:59" ht="24.95" customHeight="1">
      <c r="A72" s="4" t="s">
        <v>359</v>
      </c>
      <c r="C72" s="35" t="s">
        <v>217</v>
      </c>
      <c r="E72" s="230">
        <f>AE$55/100</f>
        <v>129.63999999999999</v>
      </c>
      <c r="F72" s="230">
        <f>SUM(AE$55:AE$59)/100</f>
        <v>629.73</v>
      </c>
      <c r="G72" s="230">
        <f>SUM(AE$55:AE$74)/100</f>
        <v>5255.73</v>
      </c>
      <c r="H72" s="230">
        <f>SUM($AE$55:$AE$114)/100</f>
        <v>8930.9</v>
      </c>
      <c r="I72" s="230">
        <f>SUM($AE$55:$AE$174)/100</f>
        <v>23543.31</v>
      </c>
      <c r="J72" s="231">
        <f ca="1">IFERROR( SUM($AE$55:INDIRECT(A72&amp;J51))/100, "")</f>
        <v>31719.4</v>
      </c>
      <c r="K72" s="4"/>
      <c r="L72" s="4"/>
      <c r="M72" s="4"/>
      <c r="N72" s="4"/>
      <c r="V72" s="3">
        <v>45131</v>
      </c>
      <c r="W72" s="4">
        <v>-171295</v>
      </c>
      <c r="X72" s="4">
        <v>471806</v>
      </c>
      <c r="Y72" s="4">
        <v>-304633</v>
      </c>
      <c r="Z72" s="4">
        <v>1893</v>
      </c>
      <c r="AA72" s="4">
        <v>106369</v>
      </c>
      <c r="AB72" s="4">
        <v>-153104</v>
      </c>
      <c r="AC72" s="4">
        <v>85435</v>
      </c>
      <c r="AD72" s="4">
        <v>18406</v>
      </c>
      <c r="AE72" s="4">
        <v>9172</v>
      </c>
      <c r="AF72" s="4">
        <v>-5451</v>
      </c>
      <c r="AG72" s="4">
        <v>-1959</v>
      </c>
      <c r="AH72" s="4">
        <v>58521</v>
      </c>
      <c r="AI72" s="4">
        <v>-596</v>
      </c>
      <c r="AJ72" s="4">
        <v>797</v>
      </c>
      <c r="AK72" s="4">
        <v>-666</v>
      </c>
      <c r="AL72" s="4">
        <v>3498</v>
      </c>
      <c r="AN72" s="3">
        <v>45148</v>
      </c>
      <c r="AO72" s="4">
        <v>3.68</v>
      </c>
      <c r="AP72" s="4">
        <v>3.6869999999999998</v>
      </c>
      <c r="AQ72" s="4">
        <v>4.4640000000000004</v>
      </c>
      <c r="AR72" s="4">
        <v>10.871</v>
      </c>
      <c r="AS72" s="4">
        <f t="shared" si="8"/>
        <v>0.77700000000000058</v>
      </c>
      <c r="AT72" s="3">
        <v>45145</v>
      </c>
      <c r="AU72" s="4">
        <v>543510</v>
      </c>
      <c r="AV72" s="3">
        <v>45147</v>
      </c>
      <c r="AW72" s="4">
        <v>99875638</v>
      </c>
      <c r="AX72" s="4">
        <v>9781678</v>
      </c>
      <c r="AY72" s="4">
        <v>15121254</v>
      </c>
      <c r="AZ72" s="4">
        <v>127849300</v>
      </c>
      <c r="BA72" s="4">
        <v>184077616</v>
      </c>
      <c r="BB72" s="3">
        <v>45145</v>
      </c>
      <c r="BC72" s="4">
        <v>780755</v>
      </c>
      <c r="BE72" s="3">
        <f t="shared" si="9"/>
        <v>45145</v>
      </c>
      <c r="BF72" s="4">
        <f t="shared" si="10"/>
        <v>543510</v>
      </c>
      <c r="BG72" s="4">
        <f t="shared" si="7"/>
        <v>997256.59</v>
      </c>
    </row>
    <row r="73" spans="1:59" ht="24.95" customHeight="1">
      <c r="A73" s="4" t="s">
        <v>360</v>
      </c>
      <c r="C73" s="35" t="s">
        <v>222</v>
      </c>
      <c r="E73" s="230">
        <f>AF$55/100</f>
        <v>-1403.33</v>
      </c>
      <c r="F73" s="230">
        <f>SUM(AF$55:AF$59)/100</f>
        <v>-144.1</v>
      </c>
      <c r="G73" s="230">
        <f>SUM(AF$55:AF$74)/100</f>
        <v>3845.06</v>
      </c>
      <c r="H73" s="230">
        <f>SUM($AF$55:$AF$114)/100</f>
        <v>7714.55</v>
      </c>
      <c r="I73" s="230">
        <f>SUM($AF$55:$AF$174)/100</f>
        <v>-2169.73</v>
      </c>
      <c r="J73" s="231">
        <f ca="1">IFERROR( SUM($AF$55:INDIRECT(A73&amp;J51))/100, "")</f>
        <v>16914.86</v>
      </c>
      <c r="K73" s="4"/>
      <c r="L73" s="4"/>
      <c r="M73" s="4"/>
      <c r="N73" s="4"/>
      <c r="V73" s="3">
        <v>45128</v>
      </c>
      <c r="W73" s="4">
        <v>-289156</v>
      </c>
      <c r="X73" s="4">
        <v>281209</v>
      </c>
      <c r="Y73" s="4">
        <v>15355</v>
      </c>
      <c r="Z73" s="4">
        <v>-7850</v>
      </c>
      <c r="AA73" s="4">
        <v>-49496</v>
      </c>
      <c r="AB73" s="4">
        <v>128736</v>
      </c>
      <c r="AC73" s="4">
        <v>-17056</v>
      </c>
      <c r="AD73" s="4">
        <v>-8588</v>
      </c>
      <c r="AE73" s="4">
        <v>18445</v>
      </c>
      <c r="AF73" s="4">
        <v>8284</v>
      </c>
      <c r="AG73" s="4">
        <v>-44515</v>
      </c>
      <c r="AH73" s="4">
        <v>-18179</v>
      </c>
      <c r="AI73" s="4">
        <v>-380</v>
      </c>
      <c r="AJ73" s="4">
        <v>-962</v>
      </c>
      <c r="AK73" s="4">
        <v>-477</v>
      </c>
      <c r="AL73" s="4">
        <v>-1115</v>
      </c>
      <c r="AN73" s="3">
        <v>45147</v>
      </c>
      <c r="AO73" s="4">
        <v>3.7</v>
      </c>
      <c r="AP73" s="4">
        <v>3.6720000000000002</v>
      </c>
      <c r="AQ73" s="4">
        <v>4.4480000000000004</v>
      </c>
      <c r="AR73" s="4">
        <v>10.853999999999999</v>
      </c>
      <c r="AS73" s="4">
        <f t="shared" si="8"/>
        <v>0.77600000000000025</v>
      </c>
      <c r="AT73" s="3">
        <v>45142</v>
      </c>
      <c r="AU73" s="4">
        <v>541844</v>
      </c>
      <c r="AV73" s="3">
        <v>45146</v>
      </c>
      <c r="AW73" s="4">
        <v>99696670</v>
      </c>
      <c r="AX73" s="4">
        <v>9654921</v>
      </c>
      <c r="AY73" s="4">
        <v>15189251</v>
      </c>
      <c r="AZ73" s="4">
        <v>127857892</v>
      </c>
      <c r="BA73" s="4">
        <v>187215763</v>
      </c>
      <c r="BB73" s="3">
        <v>45142</v>
      </c>
      <c r="BC73" s="4">
        <v>782065</v>
      </c>
      <c r="BE73" s="3">
        <f t="shared" si="9"/>
        <v>45142</v>
      </c>
      <c r="BF73" s="4">
        <f t="shared" si="10"/>
        <v>541844</v>
      </c>
      <c r="BG73" s="4">
        <f t="shared" si="7"/>
        <v>1002667.02</v>
      </c>
    </row>
    <row r="74" spans="1:59" ht="24.95" customHeight="1">
      <c r="A74" s="4" t="s">
        <v>361</v>
      </c>
      <c r="C74" s="35" t="s">
        <v>223</v>
      </c>
      <c r="E74" s="230">
        <f>AG$55/100</f>
        <v>681.66</v>
      </c>
      <c r="F74" s="230">
        <f>SUM(AG$55:AG$59)/100</f>
        <v>-977.93</v>
      </c>
      <c r="G74" s="230">
        <f>SUM(AG$55:AG$74)/100</f>
        <v>-10274.99</v>
      </c>
      <c r="H74" s="230">
        <f>SUM($AG$55:$AG$114)/100</f>
        <v>-19138.21</v>
      </c>
      <c r="I74" s="230">
        <f>SUM($AG$55:$AG$174)/100</f>
        <v>-22732.44</v>
      </c>
      <c r="J74" s="231">
        <f ca="1">IFERROR( SUM($AG$55:INDIRECT(A74&amp;J51))/100,"")</f>
        <v>-51672.32</v>
      </c>
      <c r="K74" s="4"/>
      <c r="L74" s="4"/>
      <c r="M74" s="4"/>
      <c r="N74" s="4"/>
      <c r="V74" s="3">
        <v>45127</v>
      </c>
      <c r="W74" s="4">
        <v>165234</v>
      </c>
      <c r="X74" s="4">
        <v>150395</v>
      </c>
      <c r="Y74" s="4">
        <v>-316435</v>
      </c>
      <c r="Z74" s="4">
        <v>-19657</v>
      </c>
      <c r="AA74" s="4">
        <v>-62102</v>
      </c>
      <c r="AB74" s="4">
        <v>27521</v>
      </c>
      <c r="AC74" s="4">
        <v>55222</v>
      </c>
      <c r="AD74" s="4">
        <v>12817</v>
      </c>
      <c r="AE74" s="4">
        <v>18970</v>
      </c>
      <c r="AF74" s="4">
        <v>41867</v>
      </c>
      <c r="AG74" s="4">
        <v>-82537</v>
      </c>
      <c r="AH74" s="4">
        <v>-108129</v>
      </c>
      <c r="AI74" s="4">
        <v>2475</v>
      </c>
      <c r="AJ74" s="4">
        <v>310</v>
      </c>
      <c r="AK74" s="4">
        <v>-3634</v>
      </c>
      <c r="AL74" s="4">
        <v>-2152</v>
      </c>
      <c r="AN74" s="3">
        <v>45146</v>
      </c>
      <c r="AO74" s="4">
        <v>3.7</v>
      </c>
      <c r="AP74" s="4">
        <v>3.6469999999999998</v>
      </c>
      <c r="AQ74" s="4">
        <v>4.4240000000000004</v>
      </c>
      <c r="AR74" s="4">
        <v>10.831</v>
      </c>
      <c r="AS74" s="4">
        <f t="shared" si="8"/>
        <v>0.77700000000000058</v>
      </c>
      <c r="AT74" s="3">
        <v>45141</v>
      </c>
      <c r="AU74" s="4">
        <v>548628</v>
      </c>
      <c r="AV74" s="3">
        <v>45145</v>
      </c>
      <c r="AW74" s="4">
        <v>99725659</v>
      </c>
      <c r="AX74" s="4">
        <v>9646888</v>
      </c>
      <c r="AY74" s="4">
        <v>15195520</v>
      </c>
      <c r="AZ74" s="4">
        <v>127424211</v>
      </c>
      <c r="BA74" s="4">
        <v>189577826</v>
      </c>
      <c r="BB74" s="3">
        <v>45141</v>
      </c>
      <c r="BC74" s="4">
        <v>777435</v>
      </c>
      <c r="BE74" s="3">
        <f t="shared" si="9"/>
        <v>45141</v>
      </c>
      <c r="BF74" s="4">
        <f t="shared" si="10"/>
        <v>548628</v>
      </c>
      <c r="BG74" s="4">
        <f t="shared" si="7"/>
        <v>1001585.43</v>
      </c>
    </row>
    <row r="75" spans="1:59" ht="24.95" customHeight="1">
      <c r="A75" s="4" t="s">
        <v>362</v>
      </c>
      <c r="C75" s="36" t="s">
        <v>224</v>
      </c>
      <c r="E75" s="232">
        <f>AH$55/100</f>
        <v>817.76</v>
      </c>
      <c r="F75" s="232">
        <f>SUM(AH$55:AH$59)/100</f>
        <v>1023.81</v>
      </c>
      <c r="G75" s="232">
        <f>SUM(AH$55:AH$74)/100</f>
        <v>846.18</v>
      </c>
      <c r="H75" s="232">
        <f>SUM($AH$55:$AH$114)/100</f>
        <v>191.83</v>
      </c>
      <c r="I75" s="232">
        <f>SUM($AH$55:$AH$174)/100</f>
        <v>-3403.89</v>
      </c>
      <c r="J75" s="233">
        <f ca="1">IFERROR( SUM($AH$55:INDIRECT(A75&amp;J51))/100, "")</f>
        <v>245.35</v>
      </c>
      <c r="K75" s="4"/>
      <c r="L75" s="4"/>
      <c r="M75" s="4"/>
      <c r="N75" s="4"/>
      <c r="V75" s="3">
        <v>45126</v>
      </c>
      <c r="W75" s="4">
        <v>-47424</v>
      </c>
      <c r="X75" s="4">
        <v>366843</v>
      </c>
      <c r="Y75" s="4">
        <v>-325667</v>
      </c>
      <c r="Z75" s="4">
        <v>-31644</v>
      </c>
      <c r="AA75" s="4">
        <v>-40984</v>
      </c>
      <c r="AB75" s="4">
        <v>14</v>
      </c>
      <c r="AC75" s="4">
        <v>79968</v>
      </c>
      <c r="AD75" s="4">
        <v>-6986</v>
      </c>
      <c r="AE75" s="4">
        <v>8711</v>
      </c>
      <c r="AF75" s="4">
        <v>3579</v>
      </c>
      <c r="AG75" s="4">
        <v>-11519</v>
      </c>
      <c r="AH75" s="4">
        <v>3000</v>
      </c>
      <c r="AI75" s="4">
        <v>-6568</v>
      </c>
      <c r="AJ75" s="4">
        <v>2973</v>
      </c>
      <c r="AK75" s="4">
        <v>3455</v>
      </c>
      <c r="AL75" s="4">
        <v>2374</v>
      </c>
      <c r="AN75" s="3">
        <v>45145</v>
      </c>
      <c r="AO75" s="4">
        <v>3.72</v>
      </c>
      <c r="AP75" s="4">
        <v>3.6890000000000001</v>
      </c>
      <c r="AQ75" s="4">
        <v>4.468</v>
      </c>
      <c r="AR75" s="4">
        <v>10.872</v>
      </c>
      <c r="AS75" s="4">
        <f t="shared" si="8"/>
        <v>0.77899999999999991</v>
      </c>
      <c r="AT75" s="3">
        <v>45140</v>
      </c>
      <c r="AU75" s="4">
        <v>552776</v>
      </c>
      <c r="AV75" s="3">
        <v>45142</v>
      </c>
      <c r="AW75" s="4">
        <v>100266702</v>
      </c>
      <c r="AX75" s="4">
        <v>9644670</v>
      </c>
      <c r="AY75" s="4">
        <v>15210160</v>
      </c>
      <c r="AZ75" s="4">
        <v>127322236</v>
      </c>
      <c r="BA75" s="4">
        <v>190470026</v>
      </c>
      <c r="BB75" s="3">
        <v>45140</v>
      </c>
      <c r="BC75" s="4">
        <v>771575</v>
      </c>
      <c r="BE75" s="3">
        <f t="shared" si="9"/>
        <v>45140</v>
      </c>
      <c r="BF75" s="4">
        <f t="shared" si="10"/>
        <v>552776</v>
      </c>
      <c r="BG75" s="4">
        <f t="shared" si="7"/>
        <v>1003751.85</v>
      </c>
    </row>
    <row r="76" spans="1:59">
      <c r="C76" s="23"/>
      <c r="E76" s="23"/>
      <c r="F76" s="23"/>
      <c r="G76" s="23"/>
      <c r="H76" s="23"/>
      <c r="I76" s="23"/>
      <c r="J76" s="4"/>
      <c r="K76" s="4"/>
      <c r="L76" s="4"/>
      <c r="M76" s="4"/>
      <c r="N76" s="4"/>
      <c r="V76" s="3">
        <v>45125</v>
      </c>
      <c r="W76" s="4">
        <v>-156085</v>
      </c>
      <c r="X76" s="4">
        <v>477340</v>
      </c>
      <c r="Y76" s="4">
        <v>-331511</v>
      </c>
      <c r="Z76" s="4">
        <v>-27827</v>
      </c>
      <c r="AA76" s="4">
        <v>492385</v>
      </c>
      <c r="AB76" s="4">
        <v>-347830</v>
      </c>
      <c r="AC76" s="4">
        <v>-131835</v>
      </c>
      <c r="AD76" s="4">
        <v>6399</v>
      </c>
      <c r="AE76" s="4">
        <v>9132</v>
      </c>
      <c r="AF76" s="4">
        <v>-27072</v>
      </c>
      <c r="AG76" s="4">
        <v>26067</v>
      </c>
      <c r="AH76" s="4">
        <v>136569</v>
      </c>
      <c r="AI76" s="4">
        <v>-9929</v>
      </c>
      <c r="AJ76" s="4">
        <v>3694</v>
      </c>
      <c r="AK76" s="4">
        <v>5971</v>
      </c>
      <c r="AL76" s="4">
        <v>141</v>
      </c>
      <c r="AN76" s="3">
        <v>45142</v>
      </c>
      <c r="AO76" s="4">
        <v>3.72</v>
      </c>
      <c r="AP76" s="4">
        <v>3.738</v>
      </c>
      <c r="AQ76" s="4">
        <v>4.5190000000000001</v>
      </c>
      <c r="AR76" s="4">
        <v>10.920999999999999</v>
      </c>
      <c r="AS76" s="4">
        <f t="shared" si="8"/>
        <v>0.78100000000000014</v>
      </c>
      <c r="AT76" s="3">
        <v>45139</v>
      </c>
      <c r="AU76" s="4">
        <v>571605</v>
      </c>
      <c r="AV76" s="3">
        <v>45141</v>
      </c>
      <c r="AW76" s="4">
        <v>100158543</v>
      </c>
      <c r="AX76" s="4">
        <v>9652081</v>
      </c>
      <c r="AY76" s="4">
        <v>15240241</v>
      </c>
      <c r="AZ76" s="4">
        <v>127157890</v>
      </c>
      <c r="BA76" s="4">
        <v>190724329</v>
      </c>
      <c r="BB76" s="3">
        <v>45139</v>
      </c>
      <c r="BC76" s="4">
        <v>771967</v>
      </c>
      <c r="BE76" s="3">
        <f t="shared" si="9"/>
        <v>45139</v>
      </c>
      <c r="BF76" s="4">
        <f t="shared" si="10"/>
        <v>571605</v>
      </c>
      <c r="BG76" s="4">
        <f t="shared" si="7"/>
        <v>1012145.63</v>
      </c>
    </row>
    <row r="77" spans="1:59">
      <c r="C77" s="23"/>
      <c r="E77" s="23"/>
      <c r="F77" s="23"/>
      <c r="G77" s="23"/>
      <c r="H77" s="23"/>
      <c r="I77" s="23"/>
      <c r="J77" s="4"/>
      <c r="K77" s="4"/>
      <c r="L77" s="4"/>
      <c r="M77" s="4"/>
      <c r="N77" s="4"/>
      <c r="V77" s="3">
        <v>45124</v>
      </c>
      <c r="W77" s="4">
        <v>-168387</v>
      </c>
      <c r="X77" s="4">
        <v>425785</v>
      </c>
      <c r="Y77" s="4">
        <v>-231310</v>
      </c>
      <c r="Z77" s="4">
        <v>-58337</v>
      </c>
      <c r="AA77" s="4">
        <v>59990</v>
      </c>
      <c r="AB77" s="4">
        <v>91365</v>
      </c>
      <c r="AC77" s="4">
        <v>-141630</v>
      </c>
      <c r="AD77" s="4">
        <v>-354</v>
      </c>
      <c r="AE77" s="4">
        <v>-16720</v>
      </c>
      <c r="AF77" s="4">
        <v>73234</v>
      </c>
      <c r="AG77" s="4">
        <v>-58334</v>
      </c>
      <c r="AH77" s="4">
        <v>-92595</v>
      </c>
      <c r="AI77" s="4">
        <v>1642</v>
      </c>
      <c r="AJ77" s="4">
        <v>809</v>
      </c>
      <c r="AK77" s="4">
        <v>-2248</v>
      </c>
      <c r="AL77" s="4">
        <v>-3770</v>
      </c>
      <c r="AN77" s="3">
        <v>45141</v>
      </c>
      <c r="AO77" s="4">
        <v>3.73</v>
      </c>
      <c r="AP77" s="4">
        <v>3.714</v>
      </c>
      <c r="AQ77" s="4">
        <v>4.4960000000000004</v>
      </c>
      <c r="AR77" s="4">
        <v>10.896000000000001</v>
      </c>
      <c r="AS77" s="4">
        <f t="shared" si="8"/>
        <v>0.78200000000000047</v>
      </c>
      <c r="AT77" s="3">
        <v>45138</v>
      </c>
      <c r="AU77" s="4">
        <v>562242</v>
      </c>
      <c r="AV77" s="3">
        <v>45140</v>
      </c>
      <c r="AW77" s="4">
        <v>100375185</v>
      </c>
      <c r="AX77" s="4">
        <v>9659477</v>
      </c>
      <c r="AY77" s="4">
        <v>15233150</v>
      </c>
      <c r="AZ77" s="4">
        <v>127019252</v>
      </c>
      <c r="BA77" s="4">
        <v>188392996</v>
      </c>
      <c r="BB77" s="3">
        <v>45138</v>
      </c>
      <c r="BC77" s="4">
        <v>764411</v>
      </c>
      <c r="BE77" s="3">
        <f t="shared" si="9"/>
        <v>45138</v>
      </c>
      <c r="BF77" s="4">
        <f t="shared" si="10"/>
        <v>562242</v>
      </c>
      <c r="BG77" s="4">
        <f t="shared" si="7"/>
        <v>1007110.55</v>
      </c>
    </row>
    <row r="78" spans="1:59">
      <c r="C78" s="23"/>
      <c r="E78" s="23"/>
      <c r="F78" s="23"/>
      <c r="G78" s="23"/>
      <c r="H78" s="23"/>
      <c r="I78" s="23"/>
      <c r="J78" s="4"/>
      <c r="K78" s="4"/>
      <c r="L78" s="4"/>
      <c r="M78" s="4"/>
      <c r="N78" s="4"/>
      <c r="V78" s="3">
        <v>45121</v>
      </c>
      <c r="W78" s="4">
        <v>614441</v>
      </c>
      <c r="X78" s="4">
        <v>-1328959</v>
      </c>
      <c r="Y78" s="4">
        <v>775690</v>
      </c>
      <c r="Z78" s="4">
        <v>14594</v>
      </c>
      <c r="AA78" s="4">
        <v>21199</v>
      </c>
      <c r="AB78" s="4">
        <v>91714</v>
      </c>
      <c r="AC78" s="4">
        <v>-107144</v>
      </c>
      <c r="AD78" s="4">
        <v>7195</v>
      </c>
      <c r="AE78" s="4">
        <v>8184</v>
      </c>
      <c r="AF78" s="4">
        <v>-21390</v>
      </c>
      <c r="AG78" s="4">
        <v>56060</v>
      </c>
      <c r="AH78" s="4">
        <v>-186149</v>
      </c>
      <c r="AI78" s="4">
        <v>12616</v>
      </c>
      <c r="AJ78" s="4">
        <v>-4318</v>
      </c>
      <c r="AK78" s="4">
        <v>-8078</v>
      </c>
      <c r="AL78" s="4">
        <v>-229</v>
      </c>
      <c r="AN78" s="3">
        <v>45140</v>
      </c>
      <c r="AO78" s="4">
        <v>3.74</v>
      </c>
      <c r="AP78" s="4">
        <v>3.677</v>
      </c>
      <c r="AQ78" s="4">
        <v>4.4660000000000002</v>
      </c>
      <c r="AR78" s="4">
        <v>10.865</v>
      </c>
      <c r="AS78" s="4">
        <f t="shared" si="8"/>
        <v>0.78900000000000015</v>
      </c>
      <c r="AT78" s="3">
        <v>45135</v>
      </c>
      <c r="AU78" s="4">
        <v>557295</v>
      </c>
      <c r="AV78" s="3">
        <v>45139</v>
      </c>
      <c r="AW78" s="4">
        <v>101214563</v>
      </c>
      <c r="AX78" s="4">
        <v>9660794</v>
      </c>
      <c r="AY78" s="4">
        <v>15231455</v>
      </c>
      <c r="AZ78" s="4">
        <v>126894570</v>
      </c>
      <c r="BA78" s="4">
        <v>182010849</v>
      </c>
      <c r="BB78" s="3">
        <v>45135</v>
      </c>
      <c r="BC78" s="4">
        <v>767952</v>
      </c>
      <c r="BE78" s="3">
        <f t="shared" si="9"/>
        <v>45135</v>
      </c>
      <c r="BF78" s="4">
        <f t="shared" si="10"/>
        <v>557295</v>
      </c>
      <c r="BG78" s="4">
        <f t="shared" si="7"/>
        <v>1000002.36</v>
      </c>
    </row>
    <row r="79" spans="1:59" ht="24.95" customHeight="1">
      <c r="C79" s="221" t="s">
        <v>225</v>
      </c>
      <c r="D79" s="222"/>
      <c r="E79" s="222"/>
      <c r="F79" s="222"/>
      <c r="G79" s="222"/>
      <c r="H79" s="222"/>
      <c r="I79" s="222"/>
      <c r="J79" s="223"/>
      <c r="K79" s="4"/>
      <c r="L79" s="4"/>
      <c r="M79" s="4"/>
      <c r="N79" s="4"/>
      <c r="V79" s="3">
        <v>45120</v>
      </c>
      <c r="W79" s="4">
        <v>212104</v>
      </c>
      <c r="X79" s="4">
        <v>-718961</v>
      </c>
      <c r="Y79" s="4">
        <v>507854</v>
      </c>
      <c r="Z79" s="4">
        <v>130702</v>
      </c>
      <c r="AA79" s="4">
        <v>174969</v>
      </c>
      <c r="AB79" s="4">
        <v>-146598</v>
      </c>
      <c r="AC79" s="4">
        <v>-28928</v>
      </c>
      <c r="AD79" s="4">
        <v>-60709</v>
      </c>
      <c r="AE79" s="4">
        <v>28533</v>
      </c>
      <c r="AF79" s="4">
        <v>29053</v>
      </c>
      <c r="AG79" s="4">
        <v>-57779</v>
      </c>
      <c r="AH79" s="4">
        <v>117521</v>
      </c>
      <c r="AI79" s="4">
        <v>15070</v>
      </c>
      <c r="AJ79" s="4">
        <v>-4147</v>
      </c>
      <c r="AK79" s="4">
        <v>-8158</v>
      </c>
      <c r="AL79" s="4">
        <v>3436</v>
      </c>
      <c r="AN79" s="3">
        <v>45139</v>
      </c>
      <c r="AO79" s="4">
        <v>3.74</v>
      </c>
      <c r="AP79" s="4">
        <v>3.6469999999999998</v>
      </c>
      <c r="AQ79" s="4">
        <v>4.4349999999999996</v>
      </c>
      <c r="AR79" s="4">
        <v>10.835000000000001</v>
      </c>
      <c r="AS79" s="4">
        <f t="shared" si="8"/>
        <v>0.78799999999999981</v>
      </c>
      <c r="AT79" s="3">
        <v>45134</v>
      </c>
      <c r="AU79" s="4">
        <v>581991</v>
      </c>
      <c r="AV79" s="3">
        <v>45138</v>
      </c>
      <c r="AW79" s="4">
        <v>100711055</v>
      </c>
      <c r="AX79" s="4">
        <v>9505434</v>
      </c>
      <c r="AY79" s="4">
        <v>15220477</v>
      </c>
      <c r="AZ79" s="4">
        <v>126872102</v>
      </c>
      <c r="BA79" s="4">
        <v>182366892</v>
      </c>
      <c r="BB79" s="3">
        <v>45134</v>
      </c>
      <c r="BC79" s="4">
        <v>768614</v>
      </c>
      <c r="BE79" s="3">
        <f t="shared" si="9"/>
        <v>45134</v>
      </c>
      <c r="BF79" s="4">
        <f t="shared" si="10"/>
        <v>581991</v>
      </c>
      <c r="BG79" s="4">
        <f t="shared" si="7"/>
        <v>995522.38</v>
      </c>
    </row>
    <row r="80" spans="1:59" ht="24.95" customHeight="1">
      <c r="C80" s="33" t="s">
        <v>216</v>
      </c>
      <c r="E80" s="31">
        <f ca="1">$E$5</f>
        <v>45155</v>
      </c>
      <c r="F80" s="32" t="s">
        <v>230</v>
      </c>
      <c r="G80" s="32" t="s">
        <v>231</v>
      </c>
      <c r="H80" s="32" t="s">
        <v>232</v>
      </c>
      <c r="I80" s="32" t="s">
        <v>233</v>
      </c>
      <c r="J80" s="34">
        <f ca="1">WORKDAY($E$5-365,1)</f>
        <v>44791</v>
      </c>
      <c r="K80" s="4"/>
      <c r="L80" s="4"/>
      <c r="M80" s="4"/>
      <c r="N80" s="4"/>
      <c r="V80" s="3">
        <v>45119</v>
      </c>
      <c r="W80" s="4">
        <v>217024</v>
      </c>
      <c r="X80" s="4">
        <v>-266963</v>
      </c>
      <c r="Y80" s="4">
        <v>28441</v>
      </c>
      <c r="Z80" s="4">
        <v>40969</v>
      </c>
      <c r="AA80" s="4">
        <v>-191626</v>
      </c>
      <c r="AB80" s="4">
        <v>272310</v>
      </c>
      <c r="AC80" s="4">
        <v>-85100</v>
      </c>
      <c r="AD80" s="4">
        <v>10517</v>
      </c>
      <c r="AE80" s="4">
        <v>-1961</v>
      </c>
      <c r="AF80" s="4">
        <v>-13164</v>
      </c>
      <c r="AG80" s="4">
        <v>15850</v>
      </c>
      <c r="AH80" s="4">
        <v>-92601</v>
      </c>
      <c r="AI80" s="4">
        <v>569</v>
      </c>
      <c r="AJ80" s="4">
        <v>221</v>
      </c>
      <c r="AK80" s="4">
        <v>-579</v>
      </c>
      <c r="AL80" s="4">
        <v>-1229</v>
      </c>
      <c r="AN80" s="3">
        <v>45138</v>
      </c>
      <c r="AO80" s="4">
        <v>3.74</v>
      </c>
      <c r="AP80" s="4">
        <v>3.681</v>
      </c>
      <c r="AQ80" s="4">
        <v>4.4669999999999996</v>
      </c>
      <c r="AR80" s="4">
        <v>10.867000000000001</v>
      </c>
      <c r="AS80" s="4">
        <f t="shared" si="8"/>
        <v>0.78599999999999959</v>
      </c>
      <c r="AT80" s="3">
        <v>45133</v>
      </c>
      <c r="AU80" s="4">
        <v>577878</v>
      </c>
      <c r="AV80" s="3">
        <v>45135</v>
      </c>
      <c r="AW80" s="4">
        <v>100000236</v>
      </c>
      <c r="AX80" s="4">
        <v>9507054</v>
      </c>
      <c r="AY80" s="4">
        <v>15216562</v>
      </c>
      <c r="AZ80" s="4">
        <v>126796251</v>
      </c>
      <c r="BA80" s="4">
        <v>187594205</v>
      </c>
      <c r="BB80" s="3">
        <v>45133</v>
      </c>
      <c r="BC80" s="4">
        <v>769564</v>
      </c>
      <c r="BE80" s="3">
        <f t="shared" si="9"/>
        <v>45133</v>
      </c>
      <c r="BF80" s="4">
        <f t="shared" si="10"/>
        <v>577878</v>
      </c>
      <c r="BG80" s="4">
        <f t="shared" si="7"/>
        <v>994712.2</v>
      </c>
    </row>
    <row r="81" spans="1:59" ht="24.95" customHeight="1">
      <c r="A81" s="4" t="s">
        <v>363</v>
      </c>
      <c r="C81" s="35" t="s">
        <v>217</v>
      </c>
      <c r="E81" s="230">
        <f>AI$55</f>
        <v>-5100</v>
      </c>
      <c r="F81" s="230">
        <f>SUM(AI$55:AI$59)</f>
        <v>-20263</v>
      </c>
      <c r="G81" s="230">
        <f>SUM(AJ$55:AJ$74)</f>
        <v>13140</v>
      </c>
      <c r="H81" s="230">
        <f>SUM(AK$55:AK$114)</f>
        <v>26971</v>
      </c>
      <c r="I81" s="230">
        <f>SUM(AL$55:AL$174)</f>
        <v>36275</v>
      </c>
      <c r="J81" s="231">
        <f ca="1">IFERROR( SUM($AI$55:INDIRECT(A81&amp;J51)), "")</f>
        <v>-45190</v>
      </c>
      <c r="K81" s="219"/>
      <c r="L81" s="219"/>
      <c r="M81" s="219"/>
      <c r="N81" s="219"/>
      <c r="O81" s="219"/>
      <c r="P81" s="219"/>
      <c r="V81" s="3">
        <v>45118</v>
      </c>
      <c r="W81" s="4">
        <v>263320</v>
      </c>
      <c r="X81" s="4">
        <v>-428291</v>
      </c>
      <c r="Y81" s="4">
        <v>166389</v>
      </c>
      <c r="Z81" s="4">
        <v>18476</v>
      </c>
      <c r="AA81" s="4">
        <v>322384</v>
      </c>
      <c r="AB81" s="4">
        <v>-401105</v>
      </c>
      <c r="AC81" s="4">
        <v>75376</v>
      </c>
      <c r="AD81" s="4">
        <v>-5709</v>
      </c>
      <c r="AE81" s="4">
        <v>12</v>
      </c>
      <c r="AF81" s="4">
        <v>-1217</v>
      </c>
      <c r="AG81" s="4">
        <v>8744</v>
      </c>
      <c r="AH81" s="4">
        <v>-158359</v>
      </c>
      <c r="AI81" s="4">
        <v>5505</v>
      </c>
      <c r="AJ81" s="4">
        <v>-6538</v>
      </c>
      <c r="AK81" s="4">
        <v>1145</v>
      </c>
      <c r="AL81" s="4">
        <v>2441</v>
      </c>
      <c r="AN81" s="3">
        <v>45135</v>
      </c>
      <c r="AO81" s="4">
        <v>3.74</v>
      </c>
      <c r="AP81" s="4">
        <v>3.6349999999999998</v>
      </c>
      <c r="AQ81" s="4">
        <v>4.423</v>
      </c>
      <c r="AR81" s="4">
        <v>10.823</v>
      </c>
      <c r="AS81" s="4">
        <f t="shared" si="8"/>
        <v>0.78800000000000026</v>
      </c>
      <c r="AT81" s="3">
        <v>45132</v>
      </c>
      <c r="AU81" s="4">
        <v>554119</v>
      </c>
      <c r="AV81" s="3">
        <v>45134</v>
      </c>
      <c r="AW81" s="4">
        <v>99552238</v>
      </c>
      <c r="AX81" s="4">
        <v>9509576</v>
      </c>
      <c r="AY81" s="4">
        <v>15220982</v>
      </c>
      <c r="AZ81" s="4">
        <v>126541617</v>
      </c>
      <c r="BA81" s="4">
        <v>187732309</v>
      </c>
      <c r="BB81" s="3">
        <v>45132</v>
      </c>
      <c r="BC81" s="4">
        <v>769534</v>
      </c>
      <c r="BE81" s="3">
        <f t="shared" si="9"/>
        <v>45132</v>
      </c>
      <c r="BF81" s="4">
        <f t="shared" si="10"/>
        <v>554119</v>
      </c>
      <c r="BG81" s="4">
        <f t="shared" si="7"/>
        <v>1002032.71</v>
      </c>
    </row>
    <row r="82" spans="1:59" ht="24.95" customHeight="1">
      <c r="A82" s="4" t="s">
        <v>364</v>
      </c>
      <c r="C82" s="35" t="s">
        <v>222</v>
      </c>
      <c r="E82" s="230">
        <f>AJ$55</f>
        <v>-283</v>
      </c>
      <c r="F82" s="230">
        <f>SUM(AJ$55:AJ$59)</f>
        <v>4077</v>
      </c>
      <c r="G82" s="230">
        <f>SUM(AJ$55:AJ$74)</f>
        <v>13140</v>
      </c>
      <c r="H82" s="230">
        <f>SUM($AJ$55:$AJ$114)</f>
        <v>18782</v>
      </c>
      <c r="I82" s="230">
        <f>SUM($AJ$55:$AJ$174)</f>
        <v>12150</v>
      </c>
      <c r="J82" s="231">
        <f ca="1">IFERROR(SUM($AJ$55:INDIRECT(A82&amp;J51)),"")</f>
        <v>22102</v>
      </c>
      <c r="K82" s="26"/>
      <c r="L82" s="27"/>
      <c r="M82" s="24"/>
      <c r="N82" s="24"/>
      <c r="O82" s="24"/>
      <c r="P82" s="24"/>
      <c r="V82" s="3">
        <v>45117</v>
      </c>
      <c r="W82" s="4">
        <v>-153381</v>
      </c>
      <c r="X82" s="4">
        <v>311354</v>
      </c>
      <c r="Y82" s="4">
        <v>-190080</v>
      </c>
      <c r="Z82" s="4">
        <v>29934</v>
      </c>
      <c r="AA82" s="4">
        <v>-94575</v>
      </c>
      <c r="AB82" s="4">
        <v>228508</v>
      </c>
      <c r="AC82" s="4">
        <v>-140900</v>
      </c>
      <c r="AD82" s="4">
        <v>-24065</v>
      </c>
      <c r="AE82" s="4">
        <v>15850</v>
      </c>
      <c r="AF82" s="4">
        <v>38043</v>
      </c>
      <c r="AG82" s="4">
        <v>-54480</v>
      </c>
      <c r="AH82" s="4">
        <v>67087</v>
      </c>
      <c r="AI82" s="4">
        <v>6559</v>
      </c>
      <c r="AJ82" s="4">
        <v>-3148</v>
      </c>
      <c r="AK82" s="4">
        <v>-3332</v>
      </c>
      <c r="AL82" s="4">
        <v>2558</v>
      </c>
      <c r="AN82" s="3">
        <v>45134</v>
      </c>
      <c r="AO82" s="4">
        <v>3.74</v>
      </c>
      <c r="AP82" s="4">
        <v>3.5870000000000002</v>
      </c>
      <c r="AQ82" s="4">
        <v>4.3739999999999997</v>
      </c>
      <c r="AR82" s="4">
        <v>10.773999999999999</v>
      </c>
      <c r="AS82" s="4">
        <f t="shared" si="8"/>
        <v>0.78699999999999948</v>
      </c>
      <c r="AT82" s="3">
        <v>45131</v>
      </c>
      <c r="AU82" s="4">
        <v>541536</v>
      </c>
      <c r="AV82" s="3">
        <v>45133</v>
      </c>
      <c r="AW82" s="4">
        <v>99471220</v>
      </c>
      <c r="AX82" s="4">
        <v>9511140</v>
      </c>
      <c r="AY82" s="4">
        <v>15212803</v>
      </c>
      <c r="AZ82" s="4">
        <v>126271534</v>
      </c>
      <c r="BA82" s="4">
        <v>185541858</v>
      </c>
      <c r="BB82" s="3">
        <v>45131</v>
      </c>
      <c r="BC82" s="4">
        <v>778407</v>
      </c>
      <c r="BE82" s="3">
        <f t="shared" si="9"/>
        <v>45131</v>
      </c>
      <c r="BF82" s="4">
        <f t="shared" si="10"/>
        <v>541536</v>
      </c>
      <c r="BG82" s="4">
        <f t="shared" si="7"/>
        <v>1000243.44</v>
      </c>
    </row>
    <row r="83" spans="1:59" ht="24.95" customHeight="1">
      <c r="A83" s="4" t="s">
        <v>365</v>
      </c>
      <c r="C83" s="35" t="s">
        <v>223</v>
      </c>
      <c r="E83" s="230">
        <f>AK$55</f>
        <v>4810</v>
      </c>
      <c r="F83" s="230">
        <f>SUM(AK$55:AK$59)</f>
        <v>18193</v>
      </c>
      <c r="G83" s="230">
        <f>SUM(AK$55:AK$74)</f>
        <v>22003</v>
      </c>
      <c r="H83" s="230">
        <f>SUM($AK$55:$AK$114)</f>
        <v>26971</v>
      </c>
      <c r="I83" s="230">
        <f>SUM($AK$55:$AK$174)</f>
        <v>35363</v>
      </c>
      <c r="J83" s="231">
        <f ca="1">IFERROR( SUM($AK$55:INDIRECT(A83&amp;J51)), "")</f>
        <v>19736</v>
      </c>
      <c r="K83" s="26"/>
      <c r="L83" s="25"/>
      <c r="M83" s="25"/>
      <c r="N83" s="25"/>
      <c r="O83" s="25"/>
      <c r="P83" s="25"/>
      <c r="V83" s="3">
        <v>45114</v>
      </c>
      <c r="W83" s="4">
        <v>-41421</v>
      </c>
      <c r="X83" s="4">
        <v>766217</v>
      </c>
      <c r="Y83" s="4">
        <v>-765049</v>
      </c>
      <c r="Z83" s="4">
        <v>-189686</v>
      </c>
      <c r="AA83" s="4">
        <v>-30405</v>
      </c>
      <c r="AB83" s="4">
        <v>142195</v>
      </c>
      <c r="AC83" s="4">
        <v>-117779</v>
      </c>
      <c r="AD83" s="4">
        <v>-29902</v>
      </c>
      <c r="AE83" s="4">
        <v>9830</v>
      </c>
      <c r="AF83" s="4">
        <v>37993</v>
      </c>
      <c r="AG83" s="4">
        <v>-52423</v>
      </c>
      <c r="AH83" s="4">
        <v>79842</v>
      </c>
      <c r="AI83" s="4">
        <v>-15102</v>
      </c>
      <c r="AJ83" s="4">
        <v>6480</v>
      </c>
      <c r="AK83" s="4">
        <v>6965</v>
      </c>
      <c r="AL83" s="4">
        <v>-1268</v>
      </c>
      <c r="AN83" s="3">
        <v>45133</v>
      </c>
      <c r="AO83" s="4">
        <v>3.75</v>
      </c>
      <c r="AP83" s="4">
        <v>3.6269999999999998</v>
      </c>
      <c r="AQ83" s="4">
        <v>4.4130000000000003</v>
      </c>
      <c r="AR83" s="4">
        <v>10.813000000000001</v>
      </c>
      <c r="AS83" s="4">
        <f t="shared" si="8"/>
        <v>0.78600000000000048</v>
      </c>
      <c r="AT83" s="3">
        <v>45128</v>
      </c>
      <c r="AU83" s="4">
        <v>540024</v>
      </c>
      <c r="AV83" s="3">
        <v>45132</v>
      </c>
      <c r="AW83" s="4">
        <v>100203271</v>
      </c>
      <c r="AX83" s="4">
        <v>9514884</v>
      </c>
      <c r="AY83" s="4">
        <v>15244548</v>
      </c>
      <c r="AZ83" s="4">
        <v>125987839</v>
      </c>
      <c r="BA83" s="4">
        <v>182891029</v>
      </c>
      <c r="BB83" s="3">
        <v>45128</v>
      </c>
      <c r="BC83" s="4">
        <v>782247</v>
      </c>
      <c r="BE83" s="3">
        <f t="shared" si="9"/>
        <v>45128</v>
      </c>
      <c r="BF83" s="4">
        <f t="shared" si="10"/>
        <v>540024</v>
      </c>
      <c r="BG83" s="4">
        <f t="shared" si="7"/>
        <v>996993.74</v>
      </c>
    </row>
    <row r="84" spans="1:59" ht="24.95" customHeight="1">
      <c r="A84" s="4" t="s">
        <v>366</v>
      </c>
      <c r="C84" s="36" t="s">
        <v>224</v>
      </c>
      <c r="E84" s="232">
        <f>AL$55</f>
        <v>2746</v>
      </c>
      <c r="F84" s="232">
        <f>SUM(AL$55:AL$59)</f>
        <v>-1383</v>
      </c>
      <c r="G84" s="232">
        <f>SUM(AL$55:AL$74)</f>
        <v>-849</v>
      </c>
      <c r="H84" s="232">
        <f>SUM($AL$55:$AL$114)</f>
        <v>8539</v>
      </c>
      <c r="I84" s="232">
        <f>SUM($AL$55:$AL$174)</f>
        <v>36275</v>
      </c>
      <c r="J84" s="233">
        <f ca="1">IFERROR( SUM($AL$55:INDIRECT(A84&amp;J51)), "")</f>
        <v>12676</v>
      </c>
      <c r="K84" s="26"/>
      <c r="L84" s="25"/>
      <c r="M84" s="25"/>
      <c r="N84" s="25"/>
      <c r="O84" s="25"/>
      <c r="P84" s="25"/>
      <c r="V84" s="3">
        <v>45113</v>
      </c>
      <c r="W84" s="4">
        <v>-166371</v>
      </c>
      <c r="X84" s="4">
        <v>551302</v>
      </c>
      <c r="Y84" s="4">
        <v>-421569</v>
      </c>
      <c r="Z84" s="4">
        <v>-54386</v>
      </c>
      <c r="AA84" s="4">
        <v>-109168</v>
      </c>
      <c r="AB84" s="4">
        <v>455757</v>
      </c>
      <c r="AC84" s="4">
        <v>-355071</v>
      </c>
      <c r="AD84" s="4">
        <v>-28396</v>
      </c>
      <c r="AE84" s="4">
        <v>-14255</v>
      </c>
      <c r="AF84" s="4">
        <v>59619</v>
      </c>
      <c r="AG84" s="4">
        <v>-68397</v>
      </c>
      <c r="AH84" s="4">
        <v>100162</v>
      </c>
      <c r="AI84" s="4">
        <v>-1915</v>
      </c>
      <c r="AJ84" s="4">
        <v>-114</v>
      </c>
      <c r="AK84" s="4">
        <v>884</v>
      </c>
      <c r="AL84" s="4">
        <v>351</v>
      </c>
      <c r="AN84" s="3">
        <v>45132</v>
      </c>
      <c r="AO84" s="4">
        <v>3.75</v>
      </c>
      <c r="AP84" s="4">
        <v>3.645</v>
      </c>
      <c r="AQ84" s="4">
        <v>4.4349999999999996</v>
      </c>
      <c r="AR84" s="4">
        <v>10.83</v>
      </c>
      <c r="AS84" s="4">
        <f t="shared" si="8"/>
        <v>0.78999999999999959</v>
      </c>
      <c r="AT84" s="3">
        <v>45127</v>
      </c>
      <c r="AU84" s="4">
        <v>532878</v>
      </c>
      <c r="AV84" s="3">
        <v>45131</v>
      </c>
      <c r="AW84" s="4">
        <v>100024344</v>
      </c>
      <c r="AX84" s="4">
        <v>9511828</v>
      </c>
      <c r="AY84" s="4">
        <v>15237850</v>
      </c>
      <c r="AZ84" s="4">
        <v>125598211</v>
      </c>
      <c r="BA84" s="4">
        <v>182709373</v>
      </c>
      <c r="BB84" s="3">
        <v>45127</v>
      </c>
      <c r="BC84" s="4">
        <v>778769</v>
      </c>
      <c r="BE84" s="3">
        <f t="shared" si="9"/>
        <v>45127</v>
      </c>
      <c r="BF84" s="4">
        <f t="shared" si="10"/>
        <v>532878</v>
      </c>
      <c r="BG84" s="4">
        <f t="shared" si="7"/>
        <v>997660.99</v>
      </c>
    </row>
    <row r="85" spans="1:59">
      <c r="J85" s="2" t="s">
        <v>367</v>
      </c>
      <c r="K85" s="26"/>
      <c r="L85" s="25"/>
      <c r="M85" s="25"/>
      <c r="N85" s="25"/>
      <c r="O85" s="25"/>
      <c r="P85" s="25"/>
      <c r="V85" s="3">
        <v>45112</v>
      </c>
      <c r="W85" s="4">
        <v>256919</v>
      </c>
      <c r="X85" s="4">
        <v>321347</v>
      </c>
      <c r="Y85" s="4">
        <v>-614308</v>
      </c>
      <c r="Z85" s="4">
        <v>3463</v>
      </c>
      <c r="AA85" s="4">
        <v>35486</v>
      </c>
      <c r="AB85" s="4">
        <v>113088</v>
      </c>
      <c r="AC85" s="4">
        <v>-119237</v>
      </c>
      <c r="AD85" s="4">
        <v>-4762</v>
      </c>
      <c r="AE85" s="4">
        <v>-9969</v>
      </c>
      <c r="AF85" s="4">
        <v>52341</v>
      </c>
      <c r="AG85" s="4">
        <v>-43688</v>
      </c>
      <c r="AH85" s="4">
        <v>93477</v>
      </c>
      <c r="AI85" s="4">
        <v>-13175</v>
      </c>
      <c r="AJ85" s="4">
        <v>5842</v>
      </c>
      <c r="AK85" s="4">
        <v>7314</v>
      </c>
      <c r="AL85" s="4">
        <v>698</v>
      </c>
      <c r="AN85" s="3">
        <v>45131</v>
      </c>
      <c r="AO85" s="4">
        <v>3.75</v>
      </c>
      <c r="AP85" s="4">
        <v>3.617</v>
      </c>
      <c r="AQ85" s="4">
        <v>4.41</v>
      </c>
      <c r="AR85" s="4">
        <v>10.801</v>
      </c>
      <c r="AS85" s="4">
        <f t="shared" si="8"/>
        <v>0.79300000000000015</v>
      </c>
      <c r="AT85" s="3">
        <v>45126</v>
      </c>
      <c r="AU85" s="4">
        <v>509551</v>
      </c>
      <c r="AV85" s="3">
        <v>45128</v>
      </c>
      <c r="AW85" s="4">
        <v>99699374</v>
      </c>
      <c r="AX85" s="4">
        <v>9506437</v>
      </c>
      <c r="AY85" s="4">
        <v>15290378</v>
      </c>
      <c r="AZ85" s="4">
        <v>125656957</v>
      </c>
      <c r="BA85" s="4">
        <v>182115585</v>
      </c>
      <c r="BB85" s="3">
        <v>45126</v>
      </c>
      <c r="BC85" s="4">
        <v>765488</v>
      </c>
      <c r="BE85" s="3">
        <f t="shared" si="9"/>
        <v>45126</v>
      </c>
      <c r="BF85" s="4">
        <f t="shared" si="10"/>
        <v>509551</v>
      </c>
      <c r="BG85" s="4">
        <f t="shared" si="7"/>
        <v>1003245.48</v>
      </c>
    </row>
    <row r="86" spans="1:59">
      <c r="K86" s="26"/>
      <c r="L86" s="25"/>
      <c r="M86" s="25"/>
      <c r="N86" s="25"/>
      <c r="O86" s="25"/>
      <c r="P86" s="25"/>
      <c r="V86" s="3">
        <v>45111</v>
      </c>
      <c r="W86" s="4">
        <v>-58185</v>
      </c>
      <c r="X86" s="4">
        <v>294231</v>
      </c>
      <c r="Y86" s="4">
        <v>-298331</v>
      </c>
      <c r="Z86" s="4">
        <v>-1532</v>
      </c>
      <c r="AA86" s="4">
        <v>-94494</v>
      </c>
      <c r="AB86" s="4">
        <v>236116</v>
      </c>
      <c r="AC86" s="4">
        <v>-132903</v>
      </c>
      <c r="AD86" s="4">
        <v>7384</v>
      </c>
      <c r="AE86" s="4">
        <v>17526</v>
      </c>
      <c r="AF86" s="4">
        <v>-12767</v>
      </c>
      <c r="AG86" s="4">
        <v>40101</v>
      </c>
      <c r="AH86" s="4">
        <v>-151559</v>
      </c>
      <c r="AI86" s="4">
        <v>-10611</v>
      </c>
      <c r="AJ86" s="4">
        <v>6290</v>
      </c>
      <c r="AK86" s="4">
        <v>3676</v>
      </c>
      <c r="AL86" s="4">
        <v>-3058</v>
      </c>
      <c r="AN86" s="3">
        <v>45128</v>
      </c>
      <c r="AO86" s="4">
        <v>3.75</v>
      </c>
      <c r="AP86" s="4">
        <v>3.6019999999999999</v>
      </c>
      <c r="AQ86" s="4">
        <v>4.399</v>
      </c>
      <c r="AR86" s="4">
        <v>10.79</v>
      </c>
      <c r="AS86" s="4">
        <f t="shared" si="8"/>
        <v>0.79700000000000015</v>
      </c>
      <c r="AT86" s="3">
        <v>45125</v>
      </c>
      <c r="AU86" s="4">
        <v>514133</v>
      </c>
      <c r="AV86" s="3">
        <v>45127</v>
      </c>
      <c r="AW86" s="4">
        <v>99766099</v>
      </c>
      <c r="AX86" s="4">
        <v>9499408</v>
      </c>
      <c r="AY86" s="4">
        <v>15299368</v>
      </c>
      <c r="AZ86" s="4">
        <v>125583143</v>
      </c>
      <c r="BA86" s="4">
        <v>182188314</v>
      </c>
      <c r="BB86" s="3">
        <v>45125</v>
      </c>
      <c r="BC86" s="4">
        <v>762955</v>
      </c>
      <c r="BE86" s="3">
        <f t="shared" si="9"/>
        <v>45125</v>
      </c>
      <c r="BF86" s="4">
        <f t="shared" si="10"/>
        <v>514133</v>
      </c>
      <c r="BG86" s="4">
        <f t="shared" si="7"/>
        <v>1000960.77</v>
      </c>
    </row>
    <row r="87" spans="1:59">
      <c r="V87" s="3">
        <v>45110</v>
      </c>
      <c r="W87" s="4">
        <v>-14839</v>
      </c>
      <c r="X87" s="4">
        <v>-750265</v>
      </c>
      <c r="Y87" s="4">
        <v>771127</v>
      </c>
      <c r="Z87" s="4">
        <v>64401</v>
      </c>
      <c r="AA87" s="4">
        <v>472882</v>
      </c>
      <c r="AB87" s="4">
        <v>-551489</v>
      </c>
      <c r="AC87" s="4">
        <v>108734</v>
      </c>
      <c r="AD87" s="4">
        <v>9687</v>
      </c>
      <c r="AE87" s="4">
        <v>2159</v>
      </c>
      <c r="AF87" s="4">
        <v>-52346</v>
      </c>
      <c r="AG87" s="4">
        <v>62434</v>
      </c>
      <c r="AH87" s="4">
        <v>42032</v>
      </c>
      <c r="AI87" s="4">
        <v>10102</v>
      </c>
      <c r="AJ87" s="4">
        <v>-6768</v>
      </c>
      <c r="AK87" s="4">
        <v>-846</v>
      </c>
      <c r="AL87" s="4">
        <v>5478</v>
      </c>
      <c r="AN87" s="3">
        <v>45127</v>
      </c>
      <c r="AO87" s="4">
        <v>3.75</v>
      </c>
      <c r="AP87" s="4">
        <v>3.581</v>
      </c>
      <c r="AQ87" s="4">
        <v>4.3789999999999996</v>
      </c>
      <c r="AR87" s="4">
        <v>10.771000000000001</v>
      </c>
      <c r="AS87" s="4">
        <f t="shared" si="8"/>
        <v>0.7979999999999996</v>
      </c>
      <c r="AT87" s="3">
        <v>45124</v>
      </c>
      <c r="AU87" s="4">
        <v>508920</v>
      </c>
      <c r="AV87" s="3">
        <v>45126</v>
      </c>
      <c r="AW87" s="4">
        <v>100324548</v>
      </c>
      <c r="AX87" s="4">
        <v>9504059</v>
      </c>
      <c r="AY87" s="4">
        <v>15322798</v>
      </c>
      <c r="AZ87" s="4">
        <v>125486316</v>
      </c>
      <c r="BA87" s="4">
        <v>183345539</v>
      </c>
      <c r="BB87" s="3">
        <v>45124</v>
      </c>
      <c r="BC87" s="4">
        <v>770415</v>
      </c>
      <c r="BE87" s="3">
        <f t="shared" si="9"/>
        <v>45124</v>
      </c>
      <c r="BF87" s="4">
        <f t="shared" si="10"/>
        <v>508920</v>
      </c>
      <c r="BG87" s="4">
        <f t="shared" si="7"/>
        <v>999463.07</v>
      </c>
    </row>
    <row r="88" spans="1:59">
      <c r="V88" s="3">
        <v>45107</v>
      </c>
      <c r="W88" s="4">
        <v>-175117</v>
      </c>
      <c r="X88" s="4">
        <v>-70154</v>
      </c>
      <c r="Y88" s="4">
        <v>229990</v>
      </c>
      <c r="Z88" s="4">
        <v>10498</v>
      </c>
      <c r="AA88" s="4">
        <v>-11155</v>
      </c>
      <c r="AB88" s="4">
        <v>36084</v>
      </c>
      <c r="AC88" s="4">
        <v>2569</v>
      </c>
      <c r="AD88" s="4">
        <v>-13954</v>
      </c>
      <c r="AE88" s="4">
        <v>13943</v>
      </c>
      <c r="AF88" s="4">
        <v>-9031</v>
      </c>
      <c r="AG88" s="4">
        <v>-2406</v>
      </c>
      <c r="AH88" s="4">
        <v>-61544</v>
      </c>
      <c r="AI88" s="4">
        <v>4817</v>
      </c>
      <c r="AJ88" s="4">
        <v>-4014</v>
      </c>
      <c r="AK88" s="4">
        <v>-484</v>
      </c>
      <c r="AL88" s="4">
        <v>-808</v>
      </c>
      <c r="AN88" s="3">
        <v>45126</v>
      </c>
      <c r="AO88" s="4">
        <v>3.75</v>
      </c>
      <c r="AP88" s="4">
        <v>3.5430000000000001</v>
      </c>
      <c r="AQ88" s="4">
        <v>4.3410000000000002</v>
      </c>
      <c r="AR88" s="4">
        <v>10.731999999999999</v>
      </c>
      <c r="AS88" s="4">
        <f t="shared" si="8"/>
        <v>0.79800000000000004</v>
      </c>
      <c r="AT88" s="3">
        <v>45121</v>
      </c>
      <c r="AU88" s="4">
        <v>511124</v>
      </c>
      <c r="AV88" s="3">
        <v>45125</v>
      </c>
      <c r="AW88" s="4">
        <v>100096077</v>
      </c>
      <c r="AX88" s="4">
        <v>9507657</v>
      </c>
      <c r="AY88" s="4">
        <v>15326696</v>
      </c>
      <c r="AZ88" s="4">
        <v>125288883</v>
      </c>
      <c r="BA88" s="4">
        <v>183552262</v>
      </c>
      <c r="BB88" s="3">
        <v>45121</v>
      </c>
      <c r="BC88" s="4">
        <v>770523</v>
      </c>
      <c r="BE88" s="3">
        <f t="shared" si="9"/>
        <v>45121</v>
      </c>
      <c r="BF88" s="4">
        <f t="shared" si="10"/>
        <v>511124</v>
      </c>
      <c r="BG88" s="4">
        <f t="shared" si="7"/>
        <v>1001909.23</v>
      </c>
    </row>
    <row r="89" spans="1:59">
      <c r="V89" s="3">
        <v>45106</v>
      </c>
      <c r="W89" s="4">
        <v>57677</v>
      </c>
      <c r="X89" s="4">
        <v>130634</v>
      </c>
      <c r="Y89" s="4">
        <v>-179117</v>
      </c>
      <c r="Z89" s="4">
        <v>16699</v>
      </c>
      <c r="AA89" s="4">
        <v>-48654</v>
      </c>
      <c r="AB89" s="4">
        <v>36641</v>
      </c>
      <c r="AC89" s="4">
        <v>60363</v>
      </c>
      <c r="AD89" s="4">
        <v>28720</v>
      </c>
      <c r="AE89" s="4">
        <v>27575</v>
      </c>
      <c r="AF89" s="4">
        <v>-16828</v>
      </c>
      <c r="AG89" s="4">
        <v>-13321</v>
      </c>
      <c r="AH89" s="4">
        <v>72295</v>
      </c>
      <c r="AI89" s="4">
        <v>3846</v>
      </c>
      <c r="AJ89" s="4">
        <v>663</v>
      </c>
      <c r="AK89" s="4">
        <v>-5525</v>
      </c>
      <c r="AL89" s="4">
        <v>3215</v>
      </c>
      <c r="AN89" s="3">
        <v>45125</v>
      </c>
      <c r="AO89" s="4">
        <v>3.75</v>
      </c>
      <c r="AP89" s="4">
        <v>3.5960000000000001</v>
      </c>
      <c r="AQ89" s="4">
        <v>4.3979999999999997</v>
      </c>
      <c r="AR89" s="4">
        <v>10.787000000000001</v>
      </c>
      <c r="AS89" s="4">
        <f t="shared" si="8"/>
        <v>0.8019999999999996</v>
      </c>
      <c r="AT89" s="3">
        <v>45120</v>
      </c>
      <c r="AU89" s="4">
        <v>534848</v>
      </c>
      <c r="AV89" s="3">
        <v>45124</v>
      </c>
      <c r="AW89" s="4">
        <v>99946307</v>
      </c>
      <c r="AX89" s="4">
        <v>9500474</v>
      </c>
      <c r="AY89" s="4">
        <v>15340368</v>
      </c>
      <c r="AZ89" s="4">
        <v>124979116</v>
      </c>
      <c r="BA89" s="4">
        <v>183302628</v>
      </c>
      <c r="BB89" s="3">
        <v>45120</v>
      </c>
      <c r="BC89" s="4">
        <v>775024</v>
      </c>
      <c r="BE89" s="3">
        <f t="shared" si="9"/>
        <v>45120</v>
      </c>
      <c r="BF89" s="4">
        <f t="shared" si="10"/>
        <v>534848</v>
      </c>
      <c r="BG89" s="4">
        <f t="shared" si="7"/>
        <v>993388.6</v>
      </c>
    </row>
    <row r="90" spans="1:59" ht="26.25">
      <c r="C90" s="30" t="s">
        <v>214</v>
      </c>
      <c r="D90" s="23"/>
      <c r="E90" s="23"/>
      <c r="F90" s="206"/>
      <c r="G90" s="23"/>
      <c r="H90" s="23"/>
      <c r="I90" s="23"/>
      <c r="V90" s="3">
        <v>45105</v>
      </c>
      <c r="W90" s="4">
        <v>-392967</v>
      </c>
      <c r="X90" s="4">
        <v>301984</v>
      </c>
      <c r="Y90" s="4">
        <v>58791</v>
      </c>
      <c r="Z90" s="4">
        <v>-8639</v>
      </c>
      <c r="AA90" s="4">
        <v>-140155</v>
      </c>
      <c r="AB90" s="4">
        <v>127815</v>
      </c>
      <c r="AC90" s="4">
        <v>35898</v>
      </c>
      <c r="AD90" s="4">
        <v>8645</v>
      </c>
      <c r="AE90" s="4">
        <v>15018</v>
      </c>
      <c r="AF90" s="4">
        <v>-28109</v>
      </c>
      <c r="AG90" s="4">
        <v>-9011</v>
      </c>
      <c r="AH90" s="4">
        <v>108442</v>
      </c>
      <c r="AI90" s="4">
        <v>-15572</v>
      </c>
      <c r="AJ90" s="4">
        <v>4432</v>
      </c>
      <c r="AK90" s="4">
        <v>12390</v>
      </c>
      <c r="AL90" s="4">
        <v>2187</v>
      </c>
      <c r="AN90" s="3">
        <v>45124</v>
      </c>
      <c r="AO90" s="4">
        <v>3.75</v>
      </c>
      <c r="AP90" s="4">
        <v>3.6110000000000002</v>
      </c>
      <c r="AQ90" s="4">
        <v>4.4139999999999997</v>
      </c>
      <c r="AR90" s="4">
        <v>10.801</v>
      </c>
      <c r="AS90" s="4">
        <f t="shared" si="8"/>
        <v>0.80299999999999949</v>
      </c>
      <c r="AT90" s="3">
        <v>45119</v>
      </c>
      <c r="AU90" s="4">
        <v>504701</v>
      </c>
      <c r="AV90" s="3">
        <v>45121</v>
      </c>
      <c r="AW90" s="4">
        <v>100190923</v>
      </c>
      <c r="AX90" s="4">
        <v>9500397</v>
      </c>
      <c r="AY90" s="4">
        <v>15358324</v>
      </c>
      <c r="AZ90" s="4">
        <v>124738786</v>
      </c>
      <c r="BA90" s="4">
        <v>183869385</v>
      </c>
      <c r="BB90" s="3">
        <v>45119</v>
      </c>
      <c r="BC90" s="4">
        <v>762362</v>
      </c>
      <c r="BE90" s="3">
        <f t="shared" si="9"/>
        <v>45119</v>
      </c>
      <c r="BF90" s="4">
        <f t="shared" si="10"/>
        <v>504701</v>
      </c>
      <c r="BG90" s="4">
        <f t="shared" si="7"/>
        <v>990197.94</v>
      </c>
    </row>
    <row r="91" spans="1:59">
      <c r="C91" s="23"/>
      <c r="D91" s="23"/>
      <c r="E91" s="23"/>
      <c r="F91" s="39" t="s">
        <v>235</v>
      </c>
      <c r="G91" s="39" t="s">
        <v>236</v>
      </c>
      <c r="H91" s="39" t="s">
        <v>237</v>
      </c>
      <c r="I91" s="39" t="s">
        <v>238</v>
      </c>
      <c r="J91" s="39"/>
      <c r="V91" s="3">
        <v>45104</v>
      </c>
      <c r="W91" s="4">
        <v>-102789</v>
      </c>
      <c r="X91" s="4">
        <v>58703</v>
      </c>
      <c r="Y91" s="4">
        <v>16061</v>
      </c>
      <c r="Z91" s="4">
        <v>10905</v>
      </c>
      <c r="AA91" s="4">
        <v>-216704</v>
      </c>
      <c r="AB91" s="4">
        <v>289406</v>
      </c>
      <c r="AC91" s="4">
        <v>-49916</v>
      </c>
      <c r="AD91" s="4">
        <v>-695</v>
      </c>
      <c r="AE91" s="4">
        <v>12195</v>
      </c>
      <c r="AF91" s="4">
        <v>-48845</v>
      </c>
      <c r="AG91" s="4">
        <v>18862</v>
      </c>
      <c r="AH91" s="4">
        <v>-39416</v>
      </c>
      <c r="AI91" s="4">
        <v>-9861</v>
      </c>
      <c r="AJ91" s="4">
        <v>2095</v>
      </c>
      <c r="AK91" s="4">
        <v>7355</v>
      </c>
      <c r="AL91" s="4">
        <v>665</v>
      </c>
      <c r="AN91" s="3">
        <v>45121</v>
      </c>
      <c r="AO91" s="4">
        <v>3.75</v>
      </c>
      <c r="AP91" s="4">
        <v>3.6139999999999999</v>
      </c>
      <c r="AQ91" s="4">
        <v>4.42</v>
      </c>
      <c r="AR91" s="4">
        <v>10.808</v>
      </c>
      <c r="AS91" s="4">
        <f t="shared" si="8"/>
        <v>0.80600000000000005</v>
      </c>
      <c r="AT91" s="3">
        <v>45118</v>
      </c>
      <c r="AU91" s="4">
        <v>503063</v>
      </c>
      <c r="AV91" s="3">
        <v>45120</v>
      </c>
      <c r="AW91" s="4">
        <v>99338860</v>
      </c>
      <c r="AX91" s="4">
        <v>9495087</v>
      </c>
      <c r="AY91" s="4">
        <v>15361840</v>
      </c>
      <c r="AZ91" s="4">
        <v>124825300</v>
      </c>
      <c r="BA91" s="4">
        <v>180816472</v>
      </c>
      <c r="BB91" s="3">
        <v>45118</v>
      </c>
      <c r="BC91" s="4">
        <v>760861</v>
      </c>
      <c r="BE91" s="3">
        <f t="shared" si="9"/>
        <v>45118</v>
      </c>
      <c r="BF91" s="4">
        <f t="shared" si="10"/>
        <v>503063</v>
      </c>
      <c r="BG91" s="4">
        <f t="shared" si="7"/>
        <v>987201.32</v>
      </c>
    </row>
    <row r="92" spans="1:59">
      <c r="C92" s="48"/>
      <c r="E92" s="41">
        <f ca="1">$E$5</f>
        <v>45155</v>
      </c>
      <c r="F92" s="41">
        <f>$V$61</f>
        <v>45146</v>
      </c>
      <c r="G92" s="41">
        <f>$V$76</f>
        <v>45125</v>
      </c>
      <c r="H92" s="41">
        <f>$V$116</f>
        <v>45065</v>
      </c>
      <c r="I92" s="41">
        <f>$V$176</f>
        <v>44978</v>
      </c>
      <c r="J92" s="42">
        <f ca="1">WORKDAY($E$5-365,1)</f>
        <v>44791</v>
      </c>
      <c r="V92" s="3">
        <v>45103</v>
      </c>
      <c r="W92" s="4">
        <v>12481</v>
      </c>
      <c r="X92" s="4">
        <v>-224709</v>
      </c>
      <c r="Y92" s="4">
        <v>229844</v>
      </c>
      <c r="Z92" s="4">
        <v>-16122</v>
      </c>
      <c r="AA92" s="4">
        <v>142293</v>
      </c>
      <c r="AB92" s="4">
        <v>-149870</v>
      </c>
      <c r="AC92" s="4">
        <v>58332</v>
      </c>
      <c r="AD92" s="4">
        <v>13483</v>
      </c>
      <c r="AE92" s="4">
        <v>3387</v>
      </c>
      <c r="AF92" s="4">
        <v>-42223</v>
      </c>
      <c r="AG92" s="4">
        <v>37333</v>
      </c>
      <c r="AH92" s="4">
        <v>81901</v>
      </c>
      <c r="AI92" s="4">
        <v>9252</v>
      </c>
      <c r="AJ92" s="4">
        <v>-4018</v>
      </c>
      <c r="AK92" s="4">
        <v>-4074</v>
      </c>
      <c r="AL92" s="4">
        <v>5752</v>
      </c>
      <c r="AN92" s="3">
        <v>45120</v>
      </c>
      <c r="AO92" s="4">
        <v>3.75</v>
      </c>
      <c r="AP92" s="4">
        <v>3.6019999999999999</v>
      </c>
      <c r="AQ92" s="4">
        <v>4.4080000000000004</v>
      </c>
      <c r="AR92" s="4">
        <v>10.798</v>
      </c>
      <c r="AS92" s="4">
        <f t="shared" si="8"/>
        <v>0.80600000000000049</v>
      </c>
      <c r="AT92" s="3">
        <v>45117</v>
      </c>
      <c r="AU92" s="4">
        <v>516655</v>
      </c>
      <c r="AV92" s="3">
        <v>45119</v>
      </c>
      <c r="AW92" s="4">
        <v>99019794</v>
      </c>
      <c r="AX92" s="4">
        <v>9488406</v>
      </c>
      <c r="AY92" s="4">
        <v>15419299</v>
      </c>
      <c r="AZ92" s="4">
        <v>124903303</v>
      </c>
      <c r="BA92" s="4">
        <v>178750244</v>
      </c>
      <c r="BB92" s="3">
        <v>45117</v>
      </c>
      <c r="BC92" s="4">
        <v>769130</v>
      </c>
      <c r="BE92" s="3">
        <f t="shared" si="9"/>
        <v>45117</v>
      </c>
      <c r="BF92" s="4">
        <f t="shared" si="10"/>
        <v>516655</v>
      </c>
      <c r="BG92" s="4">
        <f t="shared" si="7"/>
        <v>982476.92</v>
      </c>
    </row>
    <row r="93" spans="1:59">
      <c r="C93" s="35" t="s">
        <v>207</v>
      </c>
      <c r="D93" s="4">
        <v>2</v>
      </c>
      <c r="E93" s="234">
        <f ca="1">IFERROR( HLOOKUP(E$92,$AP$56:$PY$64, $D93,0), "")</f>
        <v>0</v>
      </c>
      <c r="F93" s="234">
        <f t="shared" ref="F93:J100" si="11">IFERROR( HLOOKUP(F$92,$AP$56:$PY$64, $D93,0), "")</f>
        <v>3.4849999999999999</v>
      </c>
      <c r="G93" s="234">
        <f t="shared" si="11"/>
        <v>3.51</v>
      </c>
      <c r="H93" s="234">
        <f t="shared" si="11"/>
        <v>3.6030000000000002</v>
      </c>
      <c r="I93" s="234">
        <f t="shared" si="11"/>
        <v>3.395</v>
      </c>
      <c r="J93" s="235">
        <f t="shared" ca="1" si="11"/>
        <v>2.206</v>
      </c>
      <c r="V93" s="3">
        <v>45100</v>
      </c>
      <c r="W93" s="4">
        <v>-184364</v>
      </c>
      <c r="X93" s="4">
        <v>596228</v>
      </c>
      <c r="Y93" s="4">
        <v>-444658</v>
      </c>
      <c r="Z93" s="4">
        <v>-26957</v>
      </c>
      <c r="AA93" s="4">
        <v>-78999</v>
      </c>
      <c r="AB93" s="4">
        <v>60387</v>
      </c>
      <c r="AC93" s="4">
        <v>27465</v>
      </c>
      <c r="AD93" s="4">
        <v>27818</v>
      </c>
      <c r="AE93" s="4">
        <v>24543</v>
      </c>
      <c r="AF93" s="4">
        <v>-125232</v>
      </c>
      <c r="AG93" s="4">
        <v>100291</v>
      </c>
      <c r="AH93" s="4">
        <v>-118986</v>
      </c>
      <c r="AI93" s="4">
        <v>-9363</v>
      </c>
      <c r="AJ93" s="4">
        <v>3995</v>
      </c>
      <c r="AK93" s="4">
        <v>4759</v>
      </c>
      <c r="AL93" s="4">
        <v>-2883</v>
      </c>
      <c r="AN93" s="3">
        <v>45119</v>
      </c>
      <c r="AO93" s="4">
        <v>3.75</v>
      </c>
      <c r="AP93" s="4">
        <v>3.7040000000000002</v>
      </c>
      <c r="AQ93" s="4">
        <v>4.5119999999999996</v>
      </c>
      <c r="AR93" s="4">
        <v>10.9</v>
      </c>
      <c r="AS93" s="4">
        <f t="shared" si="8"/>
        <v>0.80799999999999939</v>
      </c>
      <c r="AT93" s="3">
        <v>45114</v>
      </c>
      <c r="AU93" s="4">
        <v>504775</v>
      </c>
      <c r="AV93" s="3">
        <v>45118</v>
      </c>
      <c r="AW93" s="4">
        <v>98720132</v>
      </c>
      <c r="AX93" s="4">
        <v>9488976</v>
      </c>
      <c r="AY93" s="4">
        <v>15495579</v>
      </c>
      <c r="AZ93" s="4">
        <v>124847824</v>
      </c>
      <c r="BA93" s="4">
        <v>177238943</v>
      </c>
      <c r="BB93" s="3">
        <v>45114</v>
      </c>
      <c r="BC93" s="4">
        <v>755966</v>
      </c>
      <c r="BE93" s="3">
        <f t="shared" si="9"/>
        <v>45114</v>
      </c>
      <c r="BF93" s="4">
        <f t="shared" si="10"/>
        <v>504775</v>
      </c>
      <c r="BG93" s="4">
        <f t="shared" si="7"/>
        <v>986419.41</v>
      </c>
    </row>
    <row r="94" spans="1:59">
      <c r="C94" s="35" t="s">
        <v>208</v>
      </c>
      <c r="D94" s="4">
        <v>3</v>
      </c>
      <c r="E94" s="234">
        <f t="shared" ref="E94:E100" ca="1" si="12">IFERROR( HLOOKUP(E$92,$AP$56:$PY$64, $D94,0), "")</f>
        <v>3.7</v>
      </c>
      <c r="F94" s="234">
        <f t="shared" si="11"/>
        <v>3.7</v>
      </c>
      <c r="G94" s="234">
        <f t="shared" si="11"/>
        <v>3.75</v>
      </c>
      <c r="H94" s="234">
        <f t="shared" si="11"/>
        <v>3.67</v>
      </c>
      <c r="I94" s="234">
        <f t="shared" si="11"/>
        <v>3.54</v>
      </c>
      <c r="J94" s="235">
        <f t="shared" ca="1" si="11"/>
        <v>2.76</v>
      </c>
      <c r="V94" s="3">
        <v>45099</v>
      </c>
      <c r="W94" s="4">
        <v>-109505</v>
      </c>
      <c r="X94" s="4">
        <v>-105564</v>
      </c>
      <c r="Y94" s="4">
        <v>214064</v>
      </c>
      <c r="Z94" s="4">
        <v>13417</v>
      </c>
      <c r="AA94" s="4">
        <v>52125</v>
      </c>
      <c r="AB94" s="4">
        <v>-44584</v>
      </c>
      <c r="AC94" s="4">
        <v>45738</v>
      </c>
      <c r="AD94" s="4">
        <v>-893</v>
      </c>
      <c r="AE94" s="4">
        <v>-7481</v>
      </c>
      <c r="AF94" s="4">
        <v>-9277</v>
      </c>
      <c r="AG94" s="4">
        <v>-4744</v>
      </c>
      <c r="AH94" s="4">
        <v>79362</v>
      </c>
      <c r="AI94" s="4">
        <v>8006</v>
      </c>
      <c r="AJ94" s="4">
        <v>-5390</v>
      </c>
      <c r="AK94" s="4">
        <v>-1704</v>
      </c>
      <c r="AL94" s="4">
        <v>3806</v>
      </c>
      <c r="AN94" s="3">
        <v>45118</v>
      </c>
      <c r="AO94" s="4">
        <v>3.75</v>
      </c>
      <c r="AP94" s="4">
        <v>3.7029999999999998</v>
      </c>
      <c r="AQ94" s="4">
        <v>4.5019999999999998</v>
      </c>
      <c r="AR94" s="4">
        <v>10.896000000000001</v>
      </c>
      <c r="AS94" s="4">
        <f t="shared" si="8"/>
        <v>0.79899999999999993</v>
      </c>
      <c r="AT94" s="3">
        <v>45113</v>
      </c>
      <c r="AU94" s="4">
        <v>512463</v>
      </c>
      <c r="AV94" s="3">
        <v>45117</v>
      </c>
      <c r="AW94" s="4">
        <v>98247692</v>
      </c>
      <c r="AX94" s="4">
        <v>9489771</v>
      </c>
      <c r="AY94" s="4">
        <v>15485012</v>
      </c>
      <c r="AZ94" s="4">
        <v>124636741</v>
      </c>
      <c r="BA94" s="4">
        <v>176252203</v>
      </c>
      <c r="BB94" s="3">
        <v>45113</v>
      </c>
      <c r="BC94" s="4">
        <v>753056</v>
      </c>
      <c r="BE94" s="3">
        <f t="shared" si="9"/>
        <v>45113</v>
      </c>
      <c r="BF94" s="4">
        <f t="shared" si="10"/>
        <v>512463</v>
      </c>
      <c r="BG94" s="4">
        <f t="shared" si="7"/>
        <v>996361.57</v>
      </c>
    </row>
    <row r="95" spans="1:59">
      <c r="C95" s="35" t="s">
        <v>209</v>
      </c>
      <c r="D95" s="4">
        <v>4</v>
      </c>
      <c r="E95" s="234">
        <f t="shared" ca="1" si="12"/>
        <v>3.99</v>
      </c>
      <c r="F95" s="234">
        <f t="shared" si="11"/>
        <v>3.99</v>
      </c>
      <c r="G95" s="234">
        <f t="shared" si="11"/>
        <v>3.99</v>
      </c>
      <c r="H95" s="234">
        <f t="shared" si="11"/>
        <v>3.97</v>
      </c>
      <c r="I95" s="234">
        <f t="shared" si="11"/>
        <v>4.08</v>
      </c>
      <c r="J95" s="235">
        <f t="shared" ca="1" si="11"/>
        <v>2.84</v>
      </c>
      <c r="V95" s="3">
        <v>45098</v>
      </c>
      <c r="W95" s="4">
        <v>-196957</v>
      </c>
      <c r="X95" s="4">
        <v>620754</v>
      </c>
      <c r="Y95" s="4">
        <v>-133257</v>
      </c>
      <c r="Z95" s="4">
        <v>-21983</v>
      </c>
      <c r="AA95" s="4">
        <v>-185014</v>
      </c>
      <c r="AB95" s="4">
        <v>282917</v>
      </c>
      <c r="AC95" s="4">
        <v>-80677</v>
      </c>
      <c r="AD95" s="4">
        <v>11258</v>
      </c>
      <c r="AE95" s="4">
        <v>41533</v>
      </c>
      <c r="AF95" s="4">
        <v>-81384</v>
      </c>
      <c r="AG95" s="4">
        <v>56581</v>
      </c>
      <c r="AH95" s="4">
        <v>122290</v>
      </c>
      <c r="AI95" s="4">
        <v>-10325</v>
      </c>
      <c r="AJ95" s="4">
        <v>4085</v>
      </c>
      <c r="AK95" s="4">
        <v>6519</v>
      </c>
      <c r="AL95" s="4">
        <v>-940</v>
      </c>
      <c r="AN95" s="3">
        <v>45117</v>
      </c>
      <c r="AO95" s="4">
        <v>3.75</v>
      </c>
      <c r="AP95" s="4">
        <v>3.7949999999999999</v>
      </c>
      <c r="AQ95" s="4">
        <v>4.5940000000000003</v>
      </c>
      <c r="AR95" s="4">
        <v>10.983000000000001</v>
      </c>
      <c r="AS95" s="4">
        <f t="shared" si="8"/>
        <v>0.79900000000000038</v>
      </c>
      <c r="AT95" s="3">
        <v>45112</v>
      </c>
      <c r="AU95" s="4">
        <v>515072</v>
      </c>
      <c r="AV95" s="3">
        <v>45114</v>
      </c>
      <c r="AW95" s="4">
        <v>98641941</v>
      </c>
      <c r="AX95" s="4">
        <v>9488670</v>
      </c>
      <c r="AY95" s="4">
        <v>15666883</v>
      </c>
      <c r="AZ95" s="4">
        <v>124897830</v>
      </c>
      <c r="BA95" s="4">
        <v>179889252</v>
      </c>
      <c r="BB95" s="3">
        <v>45112</v>
      </c>
      <c r="BC95" s="4">
        <v>761443</v>
      </c>
      <c r="BE95" s="3">
        <f t="shared" si="9"/>
        <v>45112</v>
      </c>
      <c r="BF95" s="4">
        <f t="shared" si="10"/>
        <v>515072</v>
      </c>
      <c r="BG95" s="4">
        <f t="shared" si="7"/>
        <v>1001165.72</v>
      </c>
    </row>
    <row r="96" spans="1:59">
      <c r="C96" s="35" t="s">
        <v>210</v>
      </c>
      <c r="D96" s="22">
        <v>5</v>
      </c>
      <c r="E96" s="234">
        <f t="shared" ca="1" si="12"/>
        <v>3.49</v>
      </c>
      <c r="F96" s="234">
        <f t="shared" si="11"/>
        <v>3.4660000000000002</v>
      </c>
      <c r="G96" s="234">
        <f t="shared" si="11"/>
        <v>3.58</v>
      </c>
      <c r="H96" s="234">
        <f t="shared" si="11"/>
        <v>3.4449999999999998</v>
      </c>
      <c r="I96" s="234">
        <f t="shared" si="11"/>
        <v>3.5920000000000001</v>
      </c>
      <c r="J96" s="235">
        <f t="shared" ca="1" si="11"/>
        <v>2.887</v>
      </c>
      <c r="V96" s="3">
        <v>45097</v>
      </c>
      <c r="W96" s="4">
        <v>-279619</v>
      </c>
      <c r="X96" s="4">
        <v>408337</v>
      </c>
      <c r="Y96" s="4">
        <v>-134814</v>
      </c>
      <c r="Z96" s="4">
        <v>-12372</v>
      </c>
      <c r="AA96" s="4">
        <v>-12471</v>
      </c>
      <c r="AB96" s="4">
        <v>116079</v>
      </c>
      <c r="AC96" s="4">
        <v>-77002</v>
      </c>
      <c r="AD96" s="4">
        <v>1624</v>
      </c>
      <c r="AE96" s="4">
        <v>3601</v>
      </c>
      <c r="AF96" s="4">
        <v>14178</v>
      </c>
      <c r="AG96" s="4">
        <v>-26920</v>
      </c>
      <c r="AH96" s="4">
        <v>-97984</v>
      </c>
      <c r="AI96" s="4">
        <v>-690</v>
      </c>
      <c r="AJ96" s="4">
        <v>359</v>
      </c>
      <c r="AK96" s="4">
        <v>670</v>
      </c>
      <c r="AL96" s="4">
        <v>-631</v>
      </c>
      <c r="AN96" s="3">
        <v>45114</v>
      </c>
      <c r="AO96" s="4">
        <v>3.75</v>
      </c>
      <c r="AP96" s="4">
        <v>3.7349999999999999</v>
      </c>
      <c r="AQ96" s="4">
        <v>4.5339999999999998</v>
      </c>
      <c r="AR96" s="4">
        <v>10.923</v>
      </c>
      <c r="AS96" s="4">
        <f t="shared" si="8"/>
        <v>0.79899999999999993</v>
      </c>
      <c r="AT96" s="3">
        <v>45111</v>
      </c>
      <c r="AU96" s="4">
        <v>513169</v>
      </c>
      <c r="AV96" s="3">
        <v>45113</v>
      </c>
      <c r="AW96" s="4">
        <v>99636157</v>
      </c>
      <c r="AX96" s="4">
        <v>9493937</v>
      </c>
      <c r="AY96" s="4">
        <v>15687264</v>
      </c>
      <c r="AZ96" s="4">
        <v>125212438</v>
      </c>
      <c r="BA96" s="4">
        <v>180127475</v>
      </c>
      <c r="BB96" s="3">
        <v>45111</v>
      </c>
      <c r="BC96" s="4">
        <v>763905</v>
      </c>
      <c r="BE96" s="3">
        <f t="shared" si="9"/>
        <v>45111</v>
      </c>
      <c r="BF96" s="4">
        <f t="shared" si="10"/>
        <v>513169</v>
      </c>
      <c r="BG96" s="4">
        <f t="shared" si="7"/>
        <v>1001833.01</v>
      </c>
    </row>
    <row r="97" spans="3:59">
      <c r="C97" s="35" t="s">
        <v>372</v>
      </c>
      <c r="D97" s="22">
        <v>6</v>
      </c>
      <c r="E97" s="234">
        <f t="shared" ca="1" si="12"/>
        <v>3.7839999999999998</v>
      </c>
      <c r="F97" s="234">
        <f t="shared" si="11"/>
        <v>3.698</v>
      </c>
      <c r="G97" s="234">
        <f t="shared" si="11"/>
        <v>3.6379999999999999</v>
      </c>
      <c r="H97" s="234">
        <f t="shared" si="11"/>
        <v>3.4420000000000002</v>
      </c>
      <c r="I97" s="234">
        <f t="shared" si="11"/>
        <v>3.7229999999999999</v>
      </c>
      <c r="J97" s="235">
        <f t="shared" ca="1" si="11"/>
        <v>3.0840000000000001</v>
      </c>
      <c r="V97" s="3">
        <v>45096</v>
      </c>
      <c r="W97" s="4">
        <v>-360296</v>
      </c>
      <c r="X97" s="4">
        <v>430090</v>
      </c>
      <c r="Y97" s="4">
        <v>-77325</v>
      </c>
      <c r="Z97" s="4">
        <v>-23909</v>
      </c>
      <c r="AA97" s="4">
        <v>-201411</v>
      </c>
      <c r="AB97" s="4">
        <v>226722</v>
      </c>
      <c r="AC97" s="4">
        <v>-4757</v>
      </c>
      <c r="AD97" s="4">
        <v>3473</v>
      </c>
      <c r="AE97" s="4">
        <v>-19163</v>
      </c>
      <c r="AF97" s="4">
        <v>-15642</v>
      </c>
      <c r="AG97" s="4">
        <v>19894</v>
      </c>
      <c r="AH97" s="4">
        <v>60129</v>
      </c>
      <c r="AI97" s="4">
        <v>-2811</v>
      </c>
      <c r="AJ97" s="4">
        <v>2884</v>
      </c>
      <c r="AK97" s="4">
        <v>-1385</v>
      </c>
      <c r="AL97" s="4">
        <v>-1693</v>
      </c>
      <c r="AN97" s="3">
        <v>45113</v>
      </c>
      <c r="AO97" s="4">
        <v>3.74</v>
      </c>
      <c r="AP97" s="4">
        <v>3.6760000000000002</v>
      </c>
      <c r="AQ97" s="4">
        <v>4.4749999999999996</v>
      </c>
      <c r="AR97" s="4">
        <v>10.866</v>
      </c>
      <c r="AS97" s="4">
        <f t="shared" si="8"/>
        <v>0.79899999999999949</v>
      </c>
      <c r="AT97" s="3">
        <v>45110</v>
      </c>
      <c r="AU97" s="4">
        <v>550226</v>
      </c>
      <c r="AV97" s="3">
        <v>45112</v>
      </c>
      <c r="AW97" s="4">
        <v>100116572</v>
      </c>
      <c r="AX97" s="4">
        <v>9497536</v>
      </c>
      <c r="AY97" s="4">
        <v>15690222</v>
      </c>
      <c r="AZ97" s="4">
        <v>125284314</v>
      </c>
      <c r="BA97" s="4">
        <v>180270265</v>
      </c>
      <c r="BB97" s="3">
        <v>45110</v>
      </c>
      <c r="BC97" s="4">
        <v>754027</v>
      </c>
      <c r="BE97" s="3">
        <f t="shared" si="9"/>
        <v>45110</v>
      </c>
      <c r="BF97" s="4">
        <f t="shared" si="10"/>
        <v>550226</v>
      </c>
      <c r="BG97" s="4">
        <f t="shared" si="7"/>
        <v>1004007.38</v>
      </c>
    </row>
    <row r="98" spans="3:59">
      <c r="C98" s="35" t="s">
        <v>211</v>
      </c>
      <c r="D98" s="22">
        <v>7</v>
      </c>
      <c r="E98" s="234">
        <f t="shared" ca="1" si="12"/>
        <v>3.7879999999999998</v>
      </c>
      <c r="F98" s="234">
        <f t="shared" si="11"/>
        <v>3.6469999999999998</v>
      </c>
      <c r="G98" s="234">
        <f t="shared" si="11"/>
        <v>3.5960000000000001</v>
      </c>
      <c r="H98" s="234">
        <f t="shared" si="11"/>
        <v>3.34</v>
      </c>
      <c r="I98" s="234">
        <f t="shared" si="11"/>
        <v>3.6230000000000002</v>
      </c>
      <c r="J98" s="235">
        <f t="shared" ca="1" si="11"/>
        <v>3.125</v>
      </c>
      <c r="M98" s="37"/>
      <c r="V98" s="3">
        <v>45093</v>
      </c>
      <c r="W98" s="4">
        <v>429120</v>
      </c>
      <c r="X98" s="4">
        <v>-208730</v>
      </c>
      <c r="Y98" s="4">
        <v>-214446</v>
      </c>
      <c r="Z98" s="4">
        <v>6384</v>
      </c>
      <c r="AA98" s="4">
        <v>73278</v>
      </c>
      <c r="AB98" s="4">
        <v>-150979</v>
      </c>
      <c r="AC98" s="4">
        <v>91509</v>
      </c>
      <c r="AD98" s="4">
        <v>24944</v>
      </c>
      <c r="AE98" s="4">
        <v>-17450</v>
      </c>
      <c r="AF98" s="4">
        <v>-1502</v>
      </c>
      <c r="AG98" s="4">
        <v>22465</v>
      </c>
      <c r="AH98" s="4">
        <v>-131677</v>
      </c>
      <c r="AI98" s="4">
        <v>3595</v>
      </c>
      <c r="AJ98" s="4">
        <v>-3018</v>
      </c>
      <c r="AK98" s="4">
        <v>261</v>
      </c>
      <c r="AL98" s="4">
        <v>-149</v>
      </c>
      <c r="AN98" s="3">
        <v>45112</v>
      </c>
      <c r="AO98" s="4">
        <v>3.74</v>
      </c>
      <c r="AP98" s="4">
        <v>3.6179999999999999</v>
      </c>
      <c r="AQ98" s="4">
        <v>4.4249999999999998</v>
      </c>
      <c r="AR98" s="4">
        <v>10.813000000000001</v>
      </c>
      <c r="AS98" s="4">
        <f t="shared" si="8"/>
        <v>0.80699999999999994</v>
      </c>
      <c r="AT98" s="3">
        <v>45107</v>
      </c>
      <c r="AU98" s="4">
        <v>516986</v>
      </c>
      <c r="AV98" s="3">
        <v>45111</v>
      </c>
      <c r="AW98" s="4">
        <v>100183301</v>
      </c>
      <c r="AX98" s="4">
        <v>9498043</v>
      </c>
      <c r="AY98" s="4">
        <v>15688346</v>
      </c>
      <c r="AZ98" s="4">
        <v>125230086</v>
      </c>
      <c r="BA98" s="4">
        <v>178680966</v>
      </c>
      <c r="BB98" s="3">
        <v>45107</v>
      </c>
      <c r="BC98" s="4">
        <v>710689</v>
      </c>
      <c r="BE98" s="3">
        <f t="shared" si="9"/>
        <v>45107</v>
      </c>
      <c r="BF98" s="4">
        <f t="shared" si="10"/>
        <v>516986</v>
      </c>
      <c r="BG98" s="4">
        <f t="shared" si="7"/>
        <v>995644.75</v>
      </c>
    </row>
    <row r="99" spans="3:59">
      <c r="C99" s="35" t="s">
        <v>212</v>
      </c>
      <c r="D99" s="22">
        <v>8</v>
      </c>
      <c r="E99" s="234">
        <f t="shared" ca="1" si="12"/>
        <v>4.5609999999999999</v>
      </c>
      <c r="F99" s="234">
        <f t="shared" si="11"/>
        <v>4.4240000000000004</v>
      </c>
      <c r="G99" s="234">
        <f t="shared" si="11"/>
        <v>4.3979999999999997</v>
      </c>
      <c r="H99" s="234">
        <f t="shared" si="11"/>
        <v>4.1479999999999997</v>
      </c>
      <c r="I99" s="234">
        <f t="shared" si="11"/>
        <v>4.3239999999999998</v>
      </c>
      <c r="J99" s="235">
        <f t="shared" ca="1" si="11"/>
        <v>4.1139999999999999</v>
      </c>
      <c r="V99" s="3">
        <v>45092</v>
      </c>
      <c r="W99" s="4">
        <v>-62026</v>
      </c>
      <c r="X99" s="4">
        <v>237051</v>
      </c>
      <c r="Y99" s="4">
        <v>-190531</v>
      </c>
      <c r="Z99" s="4">
        <v>-16652</v>
      </c>
      <c r="AA99" s="4">
        <v>20919</v>
      </c>
      <c r="AB99" s="4">
        <v>136553</v>
      </c>
      <c r="AC99" s="4">
        <v>-126544</v>
      </c>
      <c r="AD99" s="4">
        <v>3816</v>
      </c>
      <c r="AE99" s="4">
        <v>3296</v>
      </c>
      <c r="AF99" s="4">
        <v>8908</v>
      </c>
      <c r="AG99" s="4">
        <v>-51756</v>
      </c>
      <c r="AH99" s="4">
        <v>136834</v>
      </c>
      <c r="AI99" s="4">
        <v>3293</v>
      </c>
      <c r="AJ99" s="4">
        <v>-40</v>
      </c>
      <c r="AK99" s="4">
        <v>-3790</v>
      </c>
      <c r="AL99" s="4">
        <v>502</v>
      </c>
      <c r="AN99" s="3">
        <v>45111</v>
      </c>
      <c r="AO99" s="4">
        <v>3.74</v>
      </c>
      <c r="AP99" s="4">
        <v>3.6190000000000002</v>
      </c>
      <c r="AQ99" s="4">
        <v>4.4290000000000003</v>
      </c>
      <c r="AR99" s="4">
        <v>10.817</v>
      </c>
      <c r="AS99" s="4">
        <f t="shared" si="8"/>
        <v>0.81</v>
      </c>
      <c r="AT99" s="3">
        <v>45106</v>
      </c>
      <c r="AU99" s="4">
        <v>507558</v>
      </c>
      <c r="AV99" s="3">
        <v>45110</v>
      </c>
      <c r="AW99" s="4">
        <v>100400738</v>
      </c>
      <c r="AX99" s="4">
        <v>9517350</v>
      </c>
      <c r="AY99" s="4">
        <v>15897271</v>
      </c>
      <c r="AZ99" s="4">
        <v>125054222</v>
      </c>
      <c r="BA99" s="4">
        <v>168105504</v>
      </c>
      <c r="BB99" s="3">
        <v>45106</v>
      </c>
      <c r="BC99" s="4">
        <v>739508</v>
      </c>
      <c r="BE99" s="3">
        <f t="shared" si="9"/>
        <v>45106</v>
      </c>
      <c r="BF99" s="4">
        <f t="shared" si="10"/>
        <v>507558</v>
      </c>
      <c r="BG99" s="4">
        <f t="shared" si="7"/>
        <v>988680.15</v>
      </c>
    </row>
    <row r="100" spans="3:59">
      <c r="C100" s="36" t="s">
        <v>213</v>
      </c>
      <c r="D100" s="22">
        <v>9</v>
      </c>
      <c r="E100" s="236">
        <f t="shared" ca="1" si="12"/>
        <v>10.972</v>
      </c>
      <c r="F100" s="236">
        <f t="shared" si="11"/>
        <v>10.831</v>
      </c>
      <c r="G100" s="236">
        <f t="shared" si="11"/>
        <v>10.787000000000001</v>
      </c>
      <c r="H100" s="236">
        <f t="shared" si="11"/>
        <v>10.535</v>
      </c>
      <c r="I100" s="236">
        <f t="shared" si="11"/>
        <v>10.747999999999999</v>
      </c>
      <c r="J100" s="237">
        <f t="shared" ca="1" si="11"/>
        <v>9.9640000000000004</v>
      </c>
      <c r="V100" s="3">
        <v>45091</v>
      </c>
      <c r="W100" s="4">
        <v>112646</v>
      </c>
      <c r="X100" s="4">
        <v>39313</v>
      </c>
      <c r="Y100" s="4">
        <v>-128394</v>
      </c>
      <c r="Z100" s="4">
        <v>27832</v>
      </c>
      <c r="AA100" s="4">
        <v>-314154</v>
      </c>
      <c r="AB100" s="4">
        <v>564475</v>
      </c>
      <c r="AC100" s="4">
        <v>-222204</v>
      </c>
      <c r="AD100" s="4">
        <v>-55578</v>
      </c>
      <c r="AE100" s="4">
        <v>18012</v>
      </c>
      <c r="AF100" s="4">
        <v>28054</v>
      </c>
      <c r="AG100" s="4">
        <v>-92578</v>
      </c>
      <c r="AH100" s="4">
        <v>-163115</v>
      </c>
      <c r="AI100" s="4">
        <v>4180</v>
      </c>
      <c r="AJ100" s="4">
        <v>372</v>
      </c>
      <c r="AK100" s="4">
        <v>-4961</v>
      </c>
      <c r="AL100" s="4">
        <v>-3973</v>
      </c>
      <c r="AN100" s="3">
        <v>45110</v>
      </c>
      <c r="AO100" s="4">
        <v>3.75</v>
      </c>
      <c r="AP100" s="4">
        <v>3.613</v>
      </c>
      <c r="AQ100" s="4">
        <v>4.4210000000000003</v>
      </c>
      <c r="AR100" s="4">
        <v>10.81</v>
      </c>
      <c r="AS100" s="4">
        <f t="shared" si="8"/>
        <v>0.80800000000000027</v>
      </c>
      <c r="AT100" s="3">
        <v>45105</v>
      </c>
      <c r="AU100" s="4">
        <v>509151</v>
      </c>
      <c r="AV100" s="3">
        <v>45107</v>
      </c>
      <c r="AW100" s="4">
        <v>99564475</v>
      </c>
      <c r="AX100" s="4">
        <v>9537023</v>
      </c>
      <c r="AY100" s="4">
        <v>15893246</v>
      </c>
      <c r="AZ100" s="4">
        <v>125019743</v>
      </c>
      <c r="BA100" s="4">
        <v>167268912</v>
      </c>
      <c r="BB100" s="3">
        <v>45105</v>
      </c>
      <c r="BC100" s="4">
        <v>748391</v>
      </c>
      <c r="BE100" s="3">
        <f t="shared" si="9"/>
        <v>45105</v>
      </c>
      <c r="BF100" s="4">
        <f t="shared" si="10"/>
        <v>509151</v>
      </c>
      <c r="BG100" s="4">
        <f t="shared" ref="BG100:BG127" si="13">VLOOKUP(AT100,$AV$68:$AW$567,2,0)/100</f>
        <v>986201.46</v>
      </c>
    </row>
    <row r="101" spans="3:59">
      <c r="V101" s="3">
        <v>45090</v>
      </c>
      <c r="W101" s="4">
        <v>137016</v>
      </c>
      <c r="X101" s="4">
        <v>-249135</v>
      </c>
      <c r="Y101" s="4">
        <v>133807</v>
      </c>
      <c r="Z101" s="4">
        <v>-10779</v>
      </c>
      <c r="AA101" s="4">
        <v>204662</v>
      </c>
      <c r="AB101" s="4">
        <v>-293737</v>
      </c>
      <c r="AC101" s="4">
        <v>100677</v>
      </c>
      <c r="AD101" s="4">
        <v>169</v>
      </c>
      <c r="AE101" s="4">
        <v>3928</v>
      </c>
      <c r="AF101" s="4">
        <v>7726</v>
      </c>
      <c r="AG101" s="4">
        <v>-8561</v>
      </c>
      <c r="AH101" s="4">
        <v>177767</v>
      </c>
      <c r="AI101" s="4">
        <v>-159</v>
      </c>
      <c r="AJ101" s="4">
        <v>1055</v>
      </c>
      <c r="AK101" s="4">
        <v>-873</v>
      </c>
      <c r="AL101" s="4">
        <v>4013</v>
      </c>
      <c r="AN101" s="3">
        <v>45107</v>
      </c>
      <c r="AO101" s="4">
        <v>3.75</v>
      </c>
      <c r="AP101" s="4">
        <v>3.6619999999999999</v>
      </c>
      <c r="AQ101" s="4">
        <v>4.4729999999999999</v>
      </c>
      <c r="AR101" s="4">
        <v>10.86</v>
      </c>
      <c r="AS101" s="4">
        <f t="shared" si="8"/>
        <v>0.81099999999999994</v>
      </c>
      <c r="AT101" s="3">
        <v>45104</v>
      </c>
      <c r="AU101" s="4">
        <v>515192</v>
      </c>
      <c r="AV101" s="3">
        <v>45106</v>
      </c>
      <c r="AW101" s="4">
        <v>98868015</v>
      </c>
      <c r="AX101" s="4">
        <v>9770928</v>
      </c>
      <c r="AY101" s="4">
        <v>15884696</v>
      </c>
      <c r="AZ101" s="4">
        <v>124250758</v>
      </c>
      <c r="BA101" s="4">
        <v>173562587</v>
      </c>
      <c r="BB101" s="3">
        <v>45104</v>
      </c>
      <c r="BC101" s="4">
        <v>752351</v>
      </c>
      <c r="BE101" s="3">
        <f t="shared" si="9"/>
        <v>45104</v>
      </c>
      <c r="BF101" s="4">
        <f t="shared" si="10"/>
        <v>515192</v>
      </c>
      <c r="BG101" s="4">
        <f t="shared" si="13"/>
        <v>983685.02</v>
      </c>
    </row>
    <row r="102" spans="3:59">
      <c r="I102" s="2" t="s">
        <v>240</v>
      </c>
      <c r="P102" s="38"/>
      <c r="V102" s="3">
        <v>45089</v>
      </c>
      <c r="W102" s="4">
        <v>-339983</v>
      </c>
      <c r="X102" s="4">
        <v>345883</v>
      </c>
      <c r="Y102" s="4">
        <v>-14935</v>
      </c>
      <c r="Z102" s="4">
        <v>-24321</v>
      </c>
      <c r="AA102" s="4">
        <v>43436</v>
      </c>
      <c r="AB102" s="4">
        <v>13782</v>
      </c>
      <c r="AC102" s="4">
        <v>-24806</v>
      </c>
      <c r="AD102" s="4">
        <v>-25</v>
      </c>
      <c r="AE102" s="4">
        <v>30501</v>
      </c>
      <c r="AF102" s="4">
        <v>38575</v>
      </c>
      <c r="AG102" s="4">
        <v>-69328</v>
      </c>
      <c r="AH102" s="4">
        <v>-171349</v>
      </c>
      <c r="AI102" s="4">
        <v>-8647</v>
      </c>
      <c r="AJ102" s="4">
        <v>6494</v>
      </c>
      <c r="AK102" s="4">
        <v>1729</v>
      </c>
      <c r="AL102" s="4">
        <v>-6366</v>
      </c>
      <c r="AN102" s="3">
        <v>45106</v>
      </c>
      <c r="AO102" s="4">
        <v>3.75</v>
      </c>
      <c r="AP102" s="4">
        <v>3.5840000000000001</v>
      </c>
      <c r="AQ102" s="4">
        <v>4.391</v>
      </c>
      <c r="AR102" s="4">
        <v>10.776999999999999</v>
      </c>
      <c r="AS102" s="4">
        <f t="shared" si="8"/>
        <v>0.80699999999999994</v>
      </c>
      <c r="AT102" s="3">
        <v>45103</v>
      </c>
      <c r="AU102" s="4">
        <v>511236</v>
      </c>
      <c r="AV102" s="3">
        <v>45105</v>
      </c>
      <c r="AW102" s="4">
        <v>98620146</v>
      </c>
      <c r="AX102" s="4">
        <v>9768334</v>
      </c>
      <c r="AY102" s="4">
        <v>15894947</v>
      </c>
      <c r="AZ102" s="4">
        <v>123906321</v>
      </c>
      <c r="BA102" s="4">
        <v>176962874</v>
      </c>
      <c r="BB102" s="3">
        <v>45103</v>
      </c>
      <c r="BC102" s="4">
        <v>758569</v>
      </c>
      <c r="BE102" s="3">
        <f t="shared" si="9"/>
        <v>45103</v>
      </c>
      <c r="BF102" s="4">
        <f t="shared" si="10"/>
        <v>511236</v>
      </c>
      <c r="BG102" s="4">
        <f t="shared" si="13"/>
        <v>984490.88</v>
      </c>
    </row>
    <row r="103" spans="3:59">
      <c r="V103" s="3">
        <v>45086</v>
      </c>
      <c r="W103" s="4">
        <v>476062</v>
      </c>
      <c r="X103" s="4">
        <v>-824045</v>
      </c>
      <c r="Y103" s="4">
        <v>366457</v>
      </c>
      <c r="Z103" s="4">
        <v>94071</v>
      </c>
      <c r="AA103" s="4">
        <v>97875</v>
      </c>
      <c r="AB103" s="4">
        <v>-208317</v>
      </c>
      <c r="AC103" s="4">
        <v>126089</v>
      </c>
      <c r="AD103" s="4">
        <v>7498</v>
      </c>
      <c r="AE103" s="4">
        <v>9668</v>
      </c>
      <c r="AF103" s="4">
        <v>63011</v>
      </c>
      <c r="AG103" s="4">
        <v>-74629</v>
      </c>
      <c r="AH103" s="4">
        <v>65779</v>
      </c>
      <c r="AI103" s="4">
        <v>2922</v>
      </c>
      <c r="AJ103" s="4">
        <v>-5687</v>
      </c>
      <c r="AK103" s="4">
        <v>2492</v>
      </c>
      <c r="AL103" s="4">
        <v>2967</v>
      </c>
      <c r="AN103" s="3">
        <v>45105</v>
      </c>
      <c r="AO103" s="4">
        <v>3.75</v>
      </c>
      <c r="AP103" s="4">
        <v>3.5569999999999999</v>
      </c>
      <c r="AQ103" s="4">
        <v>4.3650000000000002</v>
      </c>
      <c r="AR103" s="4">
        <v>10.754</v>
      </c>
      <c r="AS103" s="4">
        <f t="shared" si="8"/>
        <v>0.80800000000000027</v>
      </c>
      <c r="AT103" s="3">
        <v>45100</v>
      </c>
      <c r="AU103" s="4">
        <v>506529</v>
      </c>
      <c r="AV103" s="3">
        <v>45104</v>
      </c>
      <c r="AW103" s="4">
        <v>98368502</v>
      </c>
      <c r="AX103" s="4">
        <v>9766336</v>
      </c>
      <c r="AY103" s="4">
        <v>15903419</v>
      </c>
      <c r="AZ103" s="4">
        <v>123603581</v>
      </c>
      <c r="BA103" s="4">
        <v>177166992</v>
      </c>
      <c r="BB103" s="3">
        <v>45100</v>
      </c>
      <c r="BC103" s="4">
        <v>766558</v>
      </c>
      <c r="BE103" s="3">
        <f t="shared" si="9"/>
        <v>45100</v>
      </c>
      <c r="BF103" s="4">
        <f t="shared" si="10"/>
        <v>506529</v>
      </c>
      <c r="BG103" s="4">
        <f t="shared" si="13"/>
        <v>982771.29</v>
      </c>
    </row>
    <row r="104" spans="3:59">
      <c r="C104" s="26"/>
      <c r="E104" s="40"/>
      <c r="F104" s="40"/>
      <c r="G104" s="40"/>
      <c r="H104" s="40"/>
      <c r="I104" s="40"/>
      <c r="J104" s="40"/>
      <c r="V104" s="3">
        <v>45085</v>
      </c>
      <c r="W104" s="4">
        <v>-383311</v>
      </c>
      <c r="X104" s="4">
        <v>66436</v>
      </c>
      <c r="Y104" s="4">
        <v>318582</v>
      </c>
      <c r="Z104" s="4">
        <v>31206</v>
      </c>
      <c r="AA104" s="4">
        <v>-222384</v>
      </c>
      <c r="AB104" s="4">
        <v>249867</v>
      </c>
      <c r="AC104" s="4">
        <v>-22134</v>
      </c>
      <c r="AD104" s="4">
        <v>-38475</v>
      </c>
      <c r="AE104" s="4">
        <v>23051</v>
      </c>
      <c r="AF104" s="4">
        <v>49792</v>
      </c>
      <c r="AG104" s="4">
        <v>-72814</v>
      </c>
      <c r="AH104" s="4">
        <v>-36649</v>
      </c>
      <c r="AI104" s="4">
        <v>8290</v>
      </c>
      <c r="AJ104" s="4">
        <v>-2229</v>
      </c>
      <c r="AK104" s="4">
        <v>-5084</v>
      </c>
      <c r="AL104" s="4">
        <v>-1864</v>
      </c>
      <c r="AN104" s="3">
        <v>45104</v>
      </c>
      <c r="AO104" s="4">
        <v>3.75</v>
      </c>
      <c r="AP104" s="4">
        <v>3.5379999999999998</v>
      </c>
      <c r="AQ104" s="4">
        <v>4.3479999999999999</v>
      </c>
      <c r="AR104" s="4">
        <v>10.738</v>
      </c>
      <c r="AS104" s="4">
        <f t="shared" si="8"/>
        <v>0.81</v>
      </c>
      <c r="AT104" s="3">
        <v>45099</v>
      </c>
      <c r="AU104" s="4">
        <v>505236</v>
      </c>
      <c r="AV104" s="3">
        <v>45103</v>
      </c>
      <c r="AW104" s="4">
        <v>98449088</v>
      </c>
      <c r="AX104" s="4">
        <v>9767385</v>
      </c>
      <c r="AY104" s="4">
        <v>15935941</v>
      </c>
      <c r="AZ104" s="4">
        <v>123638034</v>
      </c>
      <c r="BA104" s="4">
        <v>176946195</v>
      </c>
      <c r="BB104" s="3">
        <v>45099</v>
      </c>
      <c r="BC104" s="4">
        <v>761396</v>
      </c>
      <c r="BE104" s="3">
        <f t="shared" si="9"/>
        <v>45099</v>
      </c>
      <c r="BF104" s="4">
        <f t="shared" si="10"/>
        <v>505236</v>
      </c>
      <c r="BG104" s="4">
        <f t="shared" si="13"/>
        <v>983688.8</v>
      </c>
    </row>
    <row r="105" spans="3:59">
      <c r="V105" s="3">
        <v>45084</v>
      </c>
      <c r="W105" s="4">
        <v>-42719</v>
      </c>
      <c r="X105" s="4">
        <v>-295048</v>
      </c>
      <c r="Y105" s="4">
        <v>348797</v>
      </c>
      <c r="Z105" s="4">
        <v>-5509</v>
      </c>
      <c r="AA105" s="4">
        <v>206438</v>
      </c>
      <c r="AB105" s="4">
        <v>-220910</v>
      </c>
      <c r="AC105" s="4">
        <v>52922</v>
      </c>
      <c r="AD105" s="4">
        <v>14460</v>
      </c>
      <c r="AE105" s="4">
        <v>-5676</v>
      </c>
      <c r="AF105" s="4">
        <v>69058</v>
      </c>
      <c r="AG105" s="4">
        <v>-44843</v>
      </c>
      <c r="AH105" s="4">
        <v>-16115</v>
      </c>
      <c r="AI105" s="4">
        <v>5358</v>
      </c>
      <c r="AJ105" s="4">
        <v>-1253</v>
      </c>
      <c r="AK105" s="4">
        <v>-4565</v>
      </c>
      <c r="AL105" s="4">
        <v>-1334</v>
      </c>
      <c r="AN105" s="3">
        <v>45103</v>
      </c>
      <c r="AO105" s="4">
        <v>3.75</v>
      </c>
      <c r="AP105" s="4">
        <v>3.5680000000000001</v>
      </c>
      <c r="AQ105" s="4">
        <v>4.375</v>
      </c>
      <c r="AR105" s="4">
        <v>10.765000000000001</v>
      </c>
      <c r="AS105" s="4">
        <f t="shared" si="8"/>
        <v>0.80699999999999994</v>
      </c>
      <c r="AT105" s="3">
        <v>45098</v>
      </c>
      <c r="AU105" s="4">
        <v>510071</v>
      </c>
      <c r="AV105" s="3">
        <v>45100</v>
      </c>
      <c r="AW105" s="4">
        <v>98277129</v>
      </c>
      <c r="AX105" s="4">
        <v>9765644</v>
      </c>
      <c r="AY105" s="4">
        <v>15910940</v>
      </c>
      <c r="AZ105" s="4">
        <v>123519441</v>
      </c>
      <c r="BA105" s="4">
        <v>176395019</v>
      </c>
      <c r="BB105" s="3">
        <v>45098</v>
      </c>
      <c r="BC105" s="4">
        <v>767799</v>
      </c>
      <c r="BE105" s="3">
        <f t="shared" si="9"/>
        <v>45098</v>
      </c>
      <c r="BF105" s="4">
        <f t="shared" si="10"/>
        <v>510071</v>
      </c>
      <c r="BG105" s="4">
        <f t="shared" si="13"/>
        <v>983595.18</v>
      </c>
    </row>
    <row r="106" spans="3:59">
      <c r="V106" s="3">
        <v>45082</v>
      </c>
      <c r="W106" s="4">
        <v>-22959</v>
      </c>
      <c r="X106" s="4">
        <v>-434543</v>
      </c>
      <c r="Y106" s="4">
        <v>452842</v>
      </c>
      <c r="Z106" s="4">
        <v>39624</v>
      </c>
      <c r="AA106" s="4">
        <v>-22578</v>
      </c>
      <c r="AB106" s="4">
        <v>34922</v>
      </c>
      <c r="AC106" s="4">
        <v>10093</v>
      </c>
      <c r="AD106" s="4">
        <v>-8125</v>
      </c>
      <c r="AE106" s="4">
        <v>-16449</v>
      </c>
      <c r="AF106" s="4">
        <v>58269</v>
      </c>
      <c r="AG106" s="4">
        <v>-58207</v>
      </c>
      <c r="AH106" s="4">
        <v>-3121</v>
      </c>
      <c r="AI106" s="4">
        <v>2456</v>
      </c>
      <c r="AJ106" s="4">
        <v>811</v>
      </c>
      <c r="AK106" s="4">
        <v>-3301</v>
      </c>
      <c r="AL106" s="4">
        <v>-679</v>
      </c>
      <c r="AN106" s="3">
        <v>45100</v>
      </c>
      <c r="AO106" s="4">
        <v>3.75</v>
      </c>
      <c r="AP106" s="4">
        <v>3.609</v>
      </c>
      <c r="AQ106" s="4">
        <v>4.4189999999999996</v>
      </c>
      <c r="AR106" s="4">
        <v>10.808999999999999</v>
      </c>
      <c r="AS106" s="4">
        <f t="shared" si="8"/>
        <v>0.80999999999999961</v>
      </c>
      <c r="AT106" s="3">
        <v>45097</v>
      </c>
      <c r="AU106" s="4">
        <v>518251</v>
      </c>
      <c r="AV106" s="3">
        <v>45099</v>
      </c>
      <c r="AW106" s="4">
        <v>98368880</v>
      </c>
      <c r="AX106" s="4">
        <v>9771370</v>
      </c>
      <c r="AY106" s="4">
        <v>15902885</v>
      </c>
      <c r="AZ106" s="4">
        <v>124145352</v>
      </c>
      <c r="BA106" s="4">
        <v>177801876</v>
      </c>
      <c r="BB106" s="3">
        <v>45097</v>
      </c>
      <c r="BC106" s="4">
        <v>772675</v>
      </c>
      <c r="BE106" s="3">
        <f t="shared" si="9"/>
        <v>45097</v>
      </c>
      <c r="BF106" s="4">
        <f t="shared" si="10"/>
        <v>518251</v>
      </c>
      <c r="BG106" s="4">
        <f t="shared" si="13"/>
        <v>985533.41</v>
      </c>
    </row>
    <row r="107" spans="3:59">
      <c r="V107" s="3">
        <v>45079</v>
      </c>
      <c r="W107" s="4">
        <v>379824</v>
      </c>
      <c r="X107" s="4">
        <v>-576199</v>
      </c>
      <c r="Y107" s="4">
        <v>199982</v>
      </c>
      <c r="Z107" s="4">
        <v>50570</v>
      </c>
      <c r="AA107" s="4">
        <v>-29840</v>
      </c>
      <c r="AB107" s="4">
        <v>-35599</v>
      </c>
      <c r="AC107" s="4">
        <v>99139</v>
      </c>
      <c r="AD107" s="4">
        <v>21262</v>
      </c>
      <c r="AE107" s="4">
        <v>26810</v>
      </c>
      <c r="AF107" s="4">
        <v>56689</v>
      </c>
      <c r="AG107" s="4">
        <v>-111537</v>
      </c>
      <c r="AH107" s="4">
        <v>-52939</v>
      </c>
      <c r="AI107" s="4">
        <v>5789</v>
      </c>
      <c r="AJ107" s="4">
        <v>-4895</v>
      </c>
      <c r="AK107" s="4">
        <v>-93</v>
      </c>
      <c r="AL107" s="4">
        <v>2637</v>
      </c>
      <c r="AN107" s="3">
        <v>45099</v>
      </c>
      <c r="AO107" s="4">
        <v>3.75</v>
      </c>
      <c r="AP107" s="4">
        <v>3.5920000000000001</v>
      </c>
      <c r="AQ107" s="4">
        <v>4.4000000000000004</v>
      </c>
      <c r="AR107" s="4">
        <v>10.79</v>
      </c>
      <c r="AS107" s="4">
        <f t="shared" si="8"/>
        <v>0.80800000000000027</v>
      </c>
      <c r="AT107" s="3">
        <v>45096</v>
      </c>
      <c r="AU107" s="4">
        <v>519793</v>
      </c>
      <c r="AV107" s="3">
        <v>45098</v>
      </c>
      <c r="AW107" s="4">
        <v>98359518</v>
      </c>
      <c r="AX107" s="4">
        <v>9770937</v>
      </c>
      <c r="AY107" s="4">
        <v>15932950</v>
      </c>
      <c r="AZ107" s="4">
        <v>123971922</v>
      </c>
      <c r="BA107" s="4">
        <v>178602054</v>
      </c>
      <c r="BB107" s="3">
        <v>45096</v>
      </c>
      <c r="BC107" s="4">
        <v>774836</v>
      </c>
      <c r="BE107" s="3">
        <f t="shared" si="9"/>
        <v>45096</v>
      </c>
      <c r="BF107" s="4">
        <f t="shared" si="10"/>
        <v>519793</v>
      </c>
      <c r="BG107" s="4">
        <f t="shared" si="13"/>
        <v>985143.05</v>
      </c>
    </row>
    <row r="108" spans="3:59">
      <c r="V108" s="3">
        <v>45078</v>
      </c>
      <c r="W108" s="4">
        <v>1283</v>
      </c>
      <c r="X108" s="4">
        <v>358316</v>
      </c>
      <c r="Y108" s="4">
        <v>-384707</v>
      </c>
      <c r="Z108" s="4">
        <v>-64976</v>
      </c>
      <c r="AA108" s="4">
        <v>54009</v>
      </c>
      <c r="AB108" s="4">
        <v>-26345</v>
      </c>
      <c r="AC108" s="4">
        <v>-15114</v>
      </c>
      <c r="AD108" s="4">
        <v>5785</v>
      </c>
      <c r="AE108" s="4">
        <v>24758</v>
      </c>
      <c r="AF108" s="4">
        <v>9251</v>
      </c>
      <c r="AG108" s="4">
        <v>-41739</v>
      </c>
      <c r="AH108" s="4">
        <v>44725</v>
      </c>
      <c r="AI108" s="4">
        <v>-1570</v>
      </c>
      <c r="AJ108" s="4">
        <v>813</v>
      </c>
      <c r="AK108" s="4">
        <v>936</v>
      </c>
      <c r="AL108" s="4">
        <v>-308</v>
      </c>
      <c r="AN108" s="3">
        <v>45098</v>
      </c>
      <c r="AO108" s="4">
        <v>3.75</v>
      </c>
      <c r="AP108" s="4">
        <v>3.5710000000000002</v>
      </c>
      <c r="AQ108" s="4">
        <v>4.3780000000000001</v>
      </c>
      <c r="AR108" s="4">
        <v>10.769</v>
      </c>
      <c r="AS108" s="4">
        <f t="shared" si="8"/>
        <v>0.80699999999999994</v>
      </c>
      <c r="AT108" s="3">
        <v>45093</v>
      </c>
      <c r="AU108" s="4">
        <v>519053</v>
      </c>
      <c r="AV108" s="3">
        <v>45097</v>
      </c>
      <c r="AW108" s="4">
        <v>98553341</v>
      </c>
      <c r="AX108" s="4">
        <v>9771693</v>
      </c>
      <c r="AY108" s="4">
        <v>15972977</v>
      </c>
      <c r="AZ108" s="4">
        <v>123968773</v>
      </c>
      <c r="BA108" s="4">
        <v>178221791</v>
      </c>
      <c r="BB108" s="3">
        <v>45093</v>
      </c>
      <c r="BC108" s="4">
        <v>775767</v>
      </c>
      <c r="BE108" s="3">
        <f t="shared" si="9"/>
        <v>45093</v>
      </c>
      <c r="BF108" s="4">
        <f t="shared" si="10"/>
        <v>519053</v>
      </c>
      <c r="BG108" s="4">
        <f t="shared" si="13"/>
        <v>983151.85</v>
      </c>
    </row>
    <row r="109" spans="3:59">
      <c r="V109" s="3">
        <v>45077</v>
      </c>
      <c r="W109" s="4">
        <v>220188</v>
      </c>
      <c r="X109" s="4">
        <v>46670</v>
      </c>
      <c r="Y109" s="4">
        <v>-287216</v>
      </c>
      <c r="Z109" s="4">
        <v>-37316</v>
      </c>
      <c r="AA109" s="4">
        <v>147533</v>
      </c>
      <c r="AB109" s="4">
        <v>-236521</v>
      </c>
      <c r="AC109" s="4">
        <v>111376</v>
      </c>
      <c r="AD109" s="4">
        <v>25825</v>
      </c>
      <c r="AE109" s="4">
        <v>3096</v>
      </c>
      <c r="AF109" s="4">
        <v>66325</v>
      </c>
      <c r="AG109" s="4">
        <v>-67340</v>
      </c>
      <c r="AH109" s="4">
        <v>-118546</v>
      </c>
      <c r="AI109" s="4">
        <v>-4722</v>
      </c>
      <c r="AJ109" s="4">
        <v>5209</v>
      </c>
      <c r="AK109" s="4">
        <v>-576</v>
      </c>
      <c r="AL109" s="4">
        <v>-5258</v>
      </c>
      <c r="AN109" s="3">
        <v>45097</v>
      </c>
      <c r="AO109" s="4">
        <v>3.75</v>
      </c>
      <c r="AP109" s="4">
        <v>3.5670000000000002</v>
      </c>
      <c r="AQ109" s="4">
        <v>4.38</v>
      </c>
      <c r="AR109" s="4">
        <v>10.77</v>
      </c>
      <c r="AS109" s="4">
        <f t="shared" si="8"/>
        <v>0.81299999999999972</v>
      </c>
      <c r="AT109" s="3">
        <v>45092</v>
      </c>
      <c r="AU109" s="4">
        <v>542211</v>
      </c>
      <c r="AV109" s="3">
        <v>45096</v>
      </c>
      <c r="AW109" s="4">
        <v>98514305</v>
      </c>
      <c r="AX109" s="4">
        <v>9787034</v>
      </c>
      <c r="AY109" s="4">
        <v>15981648</v>
      </c>
      <c r="AZ109" s="4">
        <v>123572698</v>
      </c>
      <c r="BA109" s="4">
        <v>178162858</v>
      </c>
      <c r="BB109" s="3">
        <v>45092</v>
      </c>
      <c r="BC109" s="4">
        <v>772823</v>
      </c>
      <c r="BE109" s="3">
        <f t="shared" si="9"/>
        <v>45092</v>
      </c>
      <c r="BF109" s="4">
        <f t="shared" si="10"/>
        <v>542211</v>
      </c>
      <c r="BG109" s="4">
        <f t="shared" si="13"/>
        <v>976396.68</v>
      </c>
    </row>
    <row r="110" spans="3:59">
      <c r="V110" s="3">
        <v>45076</v>
      </c>
      <c r="W110" s="4">
        <v>672504</v>
      </c>
      <c r="X110" s="4">
        <v>-542082</v>
      </c>
      <c r="Y110" s="4">
        <v>-112618</v>
      </c>
      <c r="Z110" s="4">
        <v>-70408</v>
      </c>
      <c r="AA110" s="4">
        <v>116143</v>
      </c>
      <c r="AB110" s="4">
        <v>-225634</v>
      </c>
      <c r="AC110" s="4">
        <v>122723</v>
      </c>
      <c r="AD110" s="4">
        <v>5323</v>
      </c>
      <c r="AE110" s="4">
        <v>57508</v>
      </c>
      <c r="AF110" s="4">
        <v>9852</v>
      </c>
      <c r="AG110" s="4">
        <v>-69658</v>
      </c>
      <c r="AH110" s="4">
        <v>5460</v>
      </c>
      <c r="AI110" s="4">
        <v>3679</v>
      </c>
      <c r="AJ110" s="4">
        <v>-3008</v>
      </c>
      <c r="AK110" s="4">
        <v>-118</v>
      </c>
      <c r="AL110" s="4">
        <v>3783</v>
      </c>
      <c r="AN110" s="3">
        <v>45096</v>
      </c>
      <c r="AO110" s="4">
        <v>3.75</v>
      </c>
      <c r="AP110" s="4">
        <v>3.5830000000000002</v>
      </c>
      <c r="AQ110" s="4">
        <v>4.3899999999999997</v>
      </c>
      <c r="AR110" s="4">
        <v>10.78</v>
      </c>
      <c r="AS110" s="4">
        <f t="shared" si="8"/>
        <v>0.8069999999999995</v>
      </c>
      <c r="AT110" s="3">
        <v>45091</v>
      </c>
      <c r="AU110" s="4">
        <v>528195</v>
      </c>
      <c r="AV110" s="3">
        <v>45093</v>
      </c>
      <c r="AW110" s="4">
        <v>98315185</v>
      </c>
      <c r="AX110" s="4">
        <v>9791804</v>
      </c>
      <c r="AY110" s="4">
        <v>15983297</v>
      </c>
      <c r="AZ110" s="4">
        <v>123507037</v>
      </c>
      <c r="BA110" s="4">
        <v>178856660</v>
      </c>
      <c r="BB110" s="3">
        <v>45091</v>
      </c>
      <c r="BC110" s="4">
        <v>773439</v>
      </c>
      <c r="BE110" s="3">
        <f t="shared" si="9"/>
        <v>45091</v>
      </c>
      <c r="BF110" s="4">
        <f t="shared" si="10"/>
        <v>528195</v>
      </c>
      <c r="BG110" s="4">
        <f t="shared" si="13"/>
        <v>968237.02</v>
      </c>
    </row>
    <row r="111" spans="3:59">
      <c r="V111" s="3">
        <v>45072</v>
      </c>
      <c r="W111" s="4">
        <v>910267</v>
      </c>
      <c r="X111" s="4">
        <v>-413073</v>
      </c>
      <c r="Y111" s="4">
        <v>-506193</v>
      </c>
      <c r="Z111" s="4">
        <v>-35712</v>
      </c>
      <c r="AA111" s="4">
        <v>-18987</v>
      </c>
      <c r="AB111" s="4">
        <v>31560</v>
      </c>
      <c r="AC111" s="4">
        <v>-13253</v>
      </c>
      <c r="AD111" s="4">
        <v>10274</v>
      </c>
      <c r="AE111" s="4">
        <v>9109</v>
      </c>
      <c r="AF111" s="4">
        <v>16038</v>
      </c>
      <c r="AG111" s="4">
        <v>-20823</v>
      </c>
      <c r="AH111" s="4">
        <v>128528</v>
      </c>
      <c r="AI111" s="4">
        <v>2215</v>
      </c>
      <c r="AJ111" s="4">
        <v>-1905</v>
      </c>
      <c r="AK111" s="4">
        <v>-261</v>
      </c>
      <c r="AL111" s="4">
        <v>2859</v>
      </c>
      <c r="AN111" s="3">
        <v>45093</v>
      </c>
      <c r="AO111" s="4">
        <v>3.75</v>
      </c>
      <c r="AP111" s="4">
        <v>3.585</v>
      </c>
      <c r="AQ111" s="4">
        <v>4.3949999999999996</v>
      </c>
      <c r="AR111" s="4">
        <v>10.785</v>
      </c>
      <c r="AS111" s="4">
        <f t="shared" si="8"/>
        <v>0.80999999999999961</v>
      </c>
      <c r="AT111" s="3">
        <v>45090</v>
      </c>
      <c r="AU111" s="4">
        <v>525056</v>
      </c>
      <c r="AV111" s="3">
        <v>45092</v>
      </c>
      <c r="AW111" s="4">
        <v>97639668</v>
      </c>
      <c r="AX111" s="4">
        <v>9791922</v>
      </c>
      <c r="AY111" s="4">
        <v>15988405</v>
      </c>
      <c r="AZ111" s="4">
        <v>123194291</v>
      </c>
      <c r="BA111" s="4">
        <v>176580940</v>
      </c>
      <c r="BB111" s="3">
        <v>45090</v>
      </c>
      <c r="BC111" s="4">
        <v>774337</v>
      </c>
      <c r="BE111" s="3">
        <f t="shared" si="9"/>
        <v>45090</v>
      </c>
      <c r="BF111" s="4">
        <f t="shared" si="10"/>
        <v>525056</v>
      </c>
      <c r="BG111" s="4">
        <f t="shared" si="13"/>
        <v>969587.14</v>
      </c>
    </row>
    <row r="112" spans="3:59">
      <c r="V112" s="3">
        <v>45071</v>
      </c>
      <c r="W112" s="4">
        <v>226147</v>
      </c>
      <c r="X112" s="4">
        <v>383223</v>
      </c>
      <c r="Y112" s="4">
        <v>-614520</v>
      </c>
      <c r="Z112" s="4">
        <v>-12419</v>
      </c>
      <c r="AA112" s="4">
        <v>-120672</v>
      </c>
      <c r="AB112" s="4">
        <v>207279</v>
      </c>
      <c r="AC112" s="4">
        <v>-84965</v>
      </c>
      <c r="AD112" s="4">
        <v>-7438</v>
      </c>
      <c r="AE112" s="4">
        <v>24595</v>
      </c>
      <c r="AF112" s="4">
        <v>40311</v>
      </c>
      <c r="AG112" s="4">
        <v>-66659</v>
      </c>
      <c r="AH112" s="4">
        <v>-76195</v>
      </c>
      <c r="AI112" s="4">
        <v>-7365</v>
      </c>
      <c r="AJ112" s="4">
        <v>3241</v>
      </c>
      <c r="AK112" s="4">
        <v>3293</v>
      </c>
      <c r="AL112" s="4">
        <v>-1674</v>
      </c>
      <c r="AN112" s="3">
        <v>45092</v>
      </c>
      <c r="AO112" s="4">
        <v>3.75</v>
      </c>
      <c r="AP112" s="4">
        <v>3.6259999999999999</v>
      </c>
      <c r="AQ112" s="4">
        <v>4.4370000000000003</v>
      </c>
      <c r="AR112" s="4">
        <v>10.826000000000001</v>
      </c>
      <c r="AS112" s="4">
        <f t="shared" si="8"/>
        <v>0.81100000000000039</v>
      </c>
      <c r="AT112" s="3">
        <v>45089</v>
      </c>
      <c r="AU112" s="4">
        <v>516420</v>
      </c>
      <c r="AV112" s="3">
        <v>45091</v>
      </c>
      <c r="AW112" s="4">
        <v>96823702</v>
      </c>
      <c r="AX112" s="4">
        <v>9797441</v>
      </c>
      <c r="AY112" s="4">
        <v>15987902</v>
      </c>
      <c r="AZ112" s="4">
        <v>123130703</v>
      </c>
      <c r="BA112" s="4">
        <v>176642428</v>
      </c>
      <c r="BB112" s="3">
        <v>45089</v>
      </c>
      <c r="BC112" s="4">
        <v>773394</v>
      </c>
      <c r="BE112" s="3">
        <f t="shared" si="9"/>
        <v>45089</v>
      </c>
      <c r="BF112" s="4">
        <f t="shared" si="10"/>
        <v>516420</v>
      </c>
      <c r="BG112" s="4">
        <f t="shared" si="13"/>
        <v>967922.32</v>
      </c>
    </row>
    <row r="113" spans="3:59">
      <c r="V113" s="3">
        <v>45070</v>
      </c>
      <c r="W113" s="4">
        <v>46037</v>
      </c>
      <c r="X113" s="4">
        <v>133128</v>
      </c>
      <c r="Y113" s="4">
        <v>-185398</v>
      </c>
      <c r="Z113" s="4">
        <v>-32629</v>
      </c>
      <c r="AA113" s="4">
        <v>-151029</v>
      </c>
      <c r="AB113" s="4">
        <v>230315</v>
      </c>
      <c r="AC113" s="4">
        <v>-74163</v>
      </c>
      <c r="AD113" s="4">
        <v>-365</v>
      </c>
      <c r="AE113" s="4">
        <v>3342</v>
      </c>
      <c r="AF113" s="4">
        <v>-3021</v>
      </c>
      <c r="AG113" s="4">
        <v>-28257</v>
      </c>
      <c r="AH113" s="4">
        <v>36643</v>
      </c>
      <c r="AI113" s="4">
        <v>877</v>
      </c>
      <c r="AJ113" s="4">
        <v>2195</v>
      </c>
      <c r="AK113" s="4">
        <v>-3600</v>
      </c>
      <c r="AL113" s="4">
        <v>-349</v>
      </c>
      <c r="AN113" s="3">
        <v>45091</v>
      </c>
      <c r="AO113" s="4">
        <v>3.75</v>
      </c>
      <c r="AP113" s="4">
        <v>3.5449999999999999</v>
      </c>
      <c r="AQ113" s="4">
        <v>4.3559999999999999</v>
      </c>
      <c r="AR113" s="4">
        <v>10.743</v>
      </c>
      <c r="AS113" s="4">
        <f t="shared" si="8"/>
        <v>0.81099999999999994</v>
      </c>
      <c r="AT113" s="3">
        <v>45086</v>
      </c>
      <c r="AU113" s="4">
        <v>517582</v>
      </c>
      <c r="AV113" s="3">
        <v>45090</v>
      </c>
      <c r="AW113" s="4">
        <v>96958714</v>
      </c>
      <c r="AX113" s="4">
        <v>9807105</v>
      </c>
      <c r="AY113" s="4">
        <v>15986969</v>
      </c>
      <c r="AZ113" s="4">
        <v>122999243</v>
      </c>
      <c r="BA113" s="4">
        <v>175541811</v>
      </c>
      <c r="BB113" s="3">
        <v>45086</v>
      </c>
      <c r="BC113" s="4">
        <v>775771</v>
      </c>
      <c r="BE113" s="3">
        <f t="shared" si="9"/>
        <v>45086</v>
      </c>
      <c r="BF113" s="4">
        <f t="shared" si="10"/>
        <v>517582</v>
      </c>
      <c r="BG113" s="4">
        <f t="shared" si="13"/>
        <v>971821.17</v>
      </c>
    </row>
    <row r="114" spans="3:59">
      <c r="V114" s="3">
        <v>45069</v>
      </c>
      <c r="W114" s="4">
        <v>-53941</v>
      </c>
      <c r="X114" s="4">
        <v>-338431</v>
      </c>
      <c r="Y114" s="4">
        <v>399383</v>
      </c>
      <c r="Z114" s="4">
        <v>-16821</v>
      </c>
      <c r="AA114" s="4">
        <v>60303</v>
      </c>
      <c r="AB114" s="4">
        <v>-66392</v>
      </c>
      <c r="AC114" s="4">
        <v>23481</v>
      </c>
      <c r="AD114" s="4">
        <v>-885</v>
      </c>
      <c r="AE114" s="4">
        <v>-2765</v>
      </c>
      <c r="AF114" s="4">
        <v>66100</v>
      </c>
      <c r="AG114" s="4">
        <v>-69253</v>
      </c>
      <c r="AH114" s="4">
        <v>-56381</v>
      </c>
      <c r="AI114" s="4">
        <v>-41</v>
      </c>
      <c r="AJ114" s="4">
        <v>1120</v>
      </c>
      <c r="AK114" s="4">
        <v>-1211</v>
      </c>
      <c r="AL114" s="4">
        <v>-2012</v>
      </c>
      <c r="AN114" s="3">
        <v>45090</v>
      </c>
      <c r="AO114" s="4">
        <v>3.75</v>
      </c>
      <c r="AP114" s="4">
        <v>3.484</v>
      </c>
      <c r="AQ114" s="4">
        <v>4.2969999999999997</v>
      </c>
      <c r="AR114" s="4">
        <v>10.683999999999999</v>
      </c>
      <c r="AS114" s="4">
        <f t="shared" si="8"/>
        <v>0.81299999999999972</v>
      </c>
      <c r="AT114" s="3">
        <v>45085</v>
      </c>
      <c r="AU114" s="4">
        <v>509238</v>
      </c>
      <c r="AV114" s="3">
        <v>45089</v>
      </c>
      <c r="AW114" s="4">
        <v>96792232</v>
      </c>
      <c r="AX114" s="4">
        <v>9811685</v>
      </c>
      <c r="AY114" s="4">
        <v>15996477</v>
      </c>
      <c r="AZ114" s="4">
        <v>123209251</v>
      </c>
      <c r="BA114" s="4">
        <v>173958941</v>
      </c>
      <c r="BB114" s="3">
        <v>45085</v>
      </c>
      <c r="BC114" s="4">
        <v>775091</v>
      </c>
      <c r="BE114" s="3">
        <f t="shared" si="9"/>
        <v>45085</v>
      </c>
      <c r="BF114" s="4">
        <f t="shared" si="10"/>
        <v>509238</v>
      </c>
      <c r="BG114" s="4">
        <f t="shared" si="13"/>
        <v>968138.23</v>
      </c>
    </row>
    <row r="115" spans="3:59">
      <c r="V115" s="3">
        <v>45068</v>
      </c>
      <c r="W115" s="4">
        <v>295796</v>
      </c>
      <c r="X115" s="4">
        <v>-787876</v>
      </c>
      <c r="Y115" s="4">
        <v>533044</v>
      </c>
      <c r="Z115" s="4">
        <v>-8779</v>
      </c>
      <c r="AA115" s="4">
        <v>216284</v>
      </c>
      <c r="AB115" s="4">
        <v>-202427</v>
      </c>
      <c r="AC115" s="4">
        <v>-4360</v>
      </c>
      <c r="AD115" s="4">
        <v>-6880</v>
      </c>
      <c r="AE115" s="4">
        <v>-10315</v>
      </c>
      <c r="AF115" s="4">
        <v>32778</v>
      </c>
      <c r="AG115" s="4">
        <v>33934</v>
      </c>
      <c r="AH115" s="4">
        <v>44677</v>
      </c>
      <c r="AI115" s="4">
        <v>1110</v>
      </c>
      <c r="AJ115" s="4">
        <v>-216</v>
      </c>
      <c r="AK115" s="4">
        <v>-954</v>
      </c>
      <c r="AL115" s="4">
        <v>1560</v>
      </c>
      <c r="AN115" s="3">
        <v>45089</v>
      </c>
      <c r="AO115" s="4">
        <v>3.75</v>
      </c>
      <c r="AP115" s="4">
        <v>3.4929999999999999</v>
      </c>
      <c r="AQ115" s="4">
        <v>4.3019999999999996</v>
      </c>
      <c r="AR115" s="4">
        <v>10.691000000000001</v>
      </c>
      <c r="AS115" s="4">
        <f t="shared" si="8"/>
        <v>0.80899999999999972</v>
      </c>
      <c r="AT115" s="3">
        <v>45084</v>
      </c>
      <c r="AU115" s="4">
        <v>507847</v>
      </c>
      <c r="AV115" s="3">
        <v>45086</v>
      </c>
      <c r="AW115" s="4">
        <v>97182117</v>
      </c>
      <c r="AX115" s="4">
        <v>9813066</v>
      </c>
      <c r="AY115" s="4">
        <v>16003602</v>
      </c>
      <c r="AZ115" s="4">
        <v>123173000</v>
      </c>
      <c r="BA115" s="4">
        <v>175290295</v>
      </c>
      <c r="BB115" s="3">
        <v>45084</v>
      </c>
      <c r="BC115" s="4">
        <v>771820</v>
      </c>
      <c r="BE115" s="3">
        <f t="shared" si="9"/>
        <v>45084</v>
      </c>
      <c r="BF115" s="4">
        <f t="shared" si="10"/>
        <v>507847</v>
      </c>
      <c r="BG115" s="4">
        <f t="shared" si="13"/>
        <v>971015.67</v>
      </c>
    </row>
    <row r="116" spans="3:59">
      <c r="V116" s="3">
        <v>45065</v>
      </c>
      <c r="W116" s="4">
        <v>554871</v>
      </c>
      <c r="X116" s="4">
        <v>-1100769</v>
      </c>
      <c r="Y116" s="4">
        <v>558188</v>
      </c>
      <c r="Z116" s="4">
        <v>16815</v>
      </c>
      <c r="AA116" s="4">
        <v>82389</v>
      </c>
      <c r="AB116" s="4">
        <v>-180783</v>
      </c>
      <c r="AC116" s="4">
        <v>108599</v>
      </c>
      <c r="AD116" s="4">
        <v>15230</v>
      </c>
      <c r="AE116" s="4">
        <v>67227</v>
      </c>
      <c r="AF116" s="4">
        <v>-20395</v>
      </c>
      <c r="AG116" s="4">
        <v>-45394</v>
      </c>
      <c r="AH116" s="4">
        <v>-52531</v>
      </c>
      <c r="AI116" s="4">
        <v>4696</v>
      </c>
      <c r="AJ116" s="4">
        <v>-4262</v>
      </c>
      <c r="AK116" s="4">
        <v>-636</v>
      </c>
      <c r="AL116" s="4">
        <v>1005</v>
      </c>
      <c r="AN116" s="3">
        <v>45086</v>
      </c>
      <c r="AO116" s="4">
        <v>3.75</v>
      </c>
      <c r="AP116" s="4">
        <v>3.5059999999999998</v>
      </c>
      <c r="AQ116" s="4">
        <v>4.3090000000000002</v>
      </c>
      <c r="AR116" s="4">
        <v>10.696999999999999</v>
      </c>
      <c r="AS116" s="4">
        <f t="shared" si="8"/>
        <v>0.80300000000000038</v>
      </c>
      <c r="AT116" s="3">
        <v>45082</v>
      </c>
      <c r="AU116" s="4">
        <v>500273</v>
      </c>
      <c r="AV116" s="3">
        <v>45085</v>
      </c>
      <c r="AW116" s="4">
        <v>96813823</v>
      </c>
      <c r="AX116" s="4">
        <v>9818060</v>
      </c>
      <c r="AY116" s="4">
        <v>16005088</v>
      </c>
      <c r="AZ116" s="4">
        <v>123174885</v>
      </c>
      <c r="BA116" s="4">
        <v>177712732</v>
      </c>
      <c r="BB116" s="3">
        <v>45082</v>
      </c>
      <c r="BC116" s="4">
        <v>771986</v>
      </c>
      <c r="BE116" s="3">
        <f t="shared" si="9"/>
        <v>45082</v>
      </c>
      <c r="BF116" s="4">
        <f t="shared" si="10"/>
        <v>500273</v>
      </c>
      <c r="BG116" s="4">
        <f t="shared" si="13"/>
        <v>976192.67</v>
      </c>
    </row>
    <row r="117" spans="3:59">
      <c r="V117" s="3">
        <v>45064</v>
      </c>
      <c r="W117" s="4">
        <v>536054</v>
      </c>
      <c r="X117" s="4">
        <v>-446636</v>
      </c>
      <c r="Y117" s="4">
        <v>-81708</v>
      </c>
      <c r="Z117" s="4">
        <v>17219</v>
      </c>
      <c r="AA117" s="4">
        <v>-90986</v>
      </c>
      <c r="AB117" s="4">
        <v>127744</v>
      </c>
      <c r="AC117" s="4">
        <v>-34372</v>
      </c>
      <c r="AD117" s="4">
        <v>20520</v>
      </c>
      <c r="AE117" s="4">
        <v>21645</v>
      </c>
      <c r="AF117" s="4">
        <v>5117</v>
      </c>
      <c r="AG117" s="4">
        <v>-13246</v>
      </c>
      <c r="AH117" s="4">
        <v>-117055</v>
      </c>
      <c r="AI117" s="4">
        <v>-1683</v>
      </c>
      <c r="AJ117" s="4">
        <v>-414</v>
      </c>
      <c r="AK117" s="4">
        <v>627</v>
      </c>
      <c r="AL117" s="4">
        <v>-55</v>
      </c>
      <c r="AN117" s="3">
        <v>45085</v>
      </c>
      <c r="AO117" s="4">
        <v>3.75</v>
      </c>
      <c r="AP117" s="4">
        <v>3.5430000000000001</v>
      </c>
      <c r="AQ117" s="4">
        <v>4.3440000000000003</v>
      </c>
      <c r="AR117" s="4">
        <v>10.731</v>
      </c>
      <c r="AS117" s="4">
        <f t="shared" si="8"/>
        <v>0.80100000000000016</v>
      </c>
      <c r="AT117" s="3">
        <v>45079</v>
      </c>
      <c r="AU117" s="4">
        <v>503802</v>
      </c>
      <c r="AV117" s="3">
        <v>45084</v>
      </c>
      <c r="AW117" s="4">
        <v>97101567</v>
      </c>
      <c r="AX117" s="4">
        <v>9816659</v>
      </c>
      <c r="AY117" s="4">
        <v>16028172</v>
      </c>
      <c r="AZ117" s="4">
        <v>123235735</v>
      </c>
      <c r="BA117" s="4">
        <v>179767980</v>
      </c>
      <c r="BB117" s="3">
        <v>45079</v>
      </c>
      <c r="BC117" s="4">
        <v>770279</v>
      </c>
      <c r="BE117" s="3">
        <f t="shared" si="9"/>
        <v>45079</v>
      </c>
      <c r="BF117" s="4">
        <f t="shared" si="10"/>
        <v>503802</v>
      </c>
      <c r="BG117" s="4">
        <f t="shared" si="13"/>
        <v>977187.94</v>
      </c>
    </row>
    <row r="118" spans="3:59">
      <c r="V118" s="3">
        <v>45063</v>
      </c>
      <c r="W118" s="4">
        <v>164823</v>
      </c>
      <c r="X118" s="4">
        <v>-331834</v>
      </c>
      <c r="Y118" s="4">
        <v>157436</v>
      </c>
      <c r="Z118" s="4">
        <v>36099</v>
      </c>
      <c r="AA118" s="4">
        <v>228566</v>
      </c>
      <c r="AB118" s="4">
        <v>-316922</v>
      </c>
      <c r="AC118" s="4">
        <v>93816</v>
      </c>
      <c r="AD118" s="4">
        <v>22622</v>
      </c>
      <c r="AE118" s="4">
        <v>98608</v>
      </c>
      <c r="AF118" s="4">
        <v>-15610</v>
      </c>
      <c r="AG118" s="4">
        <v>-84064</v>
      </c>
      <c r="AH118" s="4">
        <v>43120</v>
      </c>
      <c r="AI118" s="4">
        <v>5619</v>
      </c>
      <c r="AJ118" s="4">
        <v>-2451</v>
      </c>
      <c r="AK118" s="4">
        <v>-3030</v>
      </c>
      <c r="AL118" s="4">
        <v>1849</v>
      </c>
      <c r="AN118" s="3">
        <v>45084</v>
      </c>
      <c r="AO118" s="4">
        <v>3.75</v>
      </c>
      <c r="AP118" s="4">
        <v>3.4710000000000001</v>
      </c>
      <c r="AQ118" s="4">
        <v>4.2729999999999997</v>
      </c>
      <c r="AR118" s="4">
        <v>10.662000000000001</v>
      </c>
      <c r="AS118" s="4">
        <f t="shared" si="8"/>
        <v>0.8019999999999996</v>
      </c>
      <c r="AT118" s="3">
        <v>45078</v>
      </c>
      <c r="AU118" s="4">
        <v>527348</v>
      </c>
      <c r="AV118" s="3">
        <v>45082</v>
      </c>
      <c r="AW118" s="4">
        <v>97619267</v>
      </c>
      <c r="AX118" s="4">
        <v>9814687</v>
      </c>
      <c r="AY118" s="4">
        <v>16032087</v>
      </c>
      <c r="AZ118" s="4">
        <v>123113180</v>
      </c>
      <c r="BA118" s="4">
        <v>179504540</v>
      </c>
      <c r="BB118" s="3">
        <v>45078</v>
      </c>
      <c r="BC118" s="4">
        <v>767448</v>
      </c>
      <c r="BE118" s="3">
        <f t="shared" si="9"/>
        <v>45078</v>
      </c>
      <c r="BF118" s="4">
        <f t="shared" si="10"/>
        <v>527348</v>
      </c>
      <c r="BG118" s="4">
        <f t="shared" si="13"/>
        <v>973287.74</v>
      </c>
    </row>
    <row r="119" spans="3:59">
      <c r="V119" s="3">
        <v>45062</v>
      </c>
      <c r="W119" s="4">
        <v>228503</v>
      </c>
      <c r="X119" s="4">
        <v>-128121</v>
      </c>
      <c r="Y119" s="4">
        <v>-57493</v>
      </c>
      <c r="Z119" s="4">
        <v>-1690</v>
      </c>
      <c r="AA119" s="4">
        <v>-65389</v>
      </c>
      <c r="AB119" s="4">
        <v>138195</v>
      </c>
      <c r="AC119" s="4">
        <v>-80248</v>
      </c>
      <c r="AD119" s="4">
        <v>-7965</v>
      </c>
      <c r="AE119" s="4">
        <v>2320</v>
      </c>
      <c r="AF119" s="4">
        <v>-1889</v>
      </c>
      <c r="AG119" s="4">
        <v>-5406</v>
      </c>
      <c r="AH119" s="4">
        <v>-87029</v>
      </c>
      <c r="AI119" s="4">
        <v>-2466</v>
      </c>
      <c r="AJ119" s="4">
        <v>1096</v>
      </c>
      <c r="AK119" s="4">
        <v>2187</v>
      </c>
      <c r="AL119" s="4">
        <v>-811</v>
      </c>
      <c r="AN119" s="3">
        <v>45082</v>
      </c>
      <c r="AO119" s="4">
        <v>3.76</v>
      </c>
      <c r="AP119" s="4">
        <v>3.5019999999999998</v>
      </c>
      <c r="AQ119" s="4">
        <v>4.3070000000000004</v>
      </c>
      <c r="AR119" s="4">
        <v>10.694000000000001</v>
      </c>
      <c r="AS119" s="4">
        <f t="shared" si="8"/>
        <v>0.8050000000000006</v>
      </c>
      <c r="AT119" s="3">
        <v>45077</v>
      </c>
      <c r="AU119" s="4">
        <v>519553</v>
      </c>
      <c r="AV119" s="3">
        <v>45079</v>
      </c>
      <c r="AW119" s="4">
        <v>97718794</v>
      </c>
      <c r="AX119" s="4">
        <v>9816134</v>
      </c>
      <c r="AY119" s="4">
        <v>16040527</v>
      </c>
      <c r="AZ119" s="4">
        <v>123012163</v>
      </c>
      <c r="BA119" s="4">
        <v>179729360</v>
      </c>
      <c r="BB119" s="3">
        <v>45077</v>
      </c>
      <c r="BC119" s="4">
        <v>761819</v>
      </c>
      <c r="BE119" s="3">
        <f t="shared" si="9"/>
        <v>45077</v>
      </c>
      <c r="BF119" s="4">
        <f t="shared" si="10"/>
        <v>519553</v>
      </c>
      <c r="BG119" s="4">
        <f t="shared" si="13"/>
        <v>976743.77</v>
      </c>
    </row>
    <row r="120" spans="3:59" ht="26.25">
      <c r="C120" s="30" t="s">
        <v>241</v>
      </c>
      <c r="E120" s="23"/>
      <c r="F120" s="23"/>
      <c r="G120" s="23"/>
      <c r="H120" s="23"/>
      <c r="I120" s="23"/>
      <c r="J120" s="43"/>
      <c r="V120" s="3">
        <v>45061</v>
      </c>
      <c r="W120" s="4">
        <v>-52580</v>
      </c>
      <c r="X120" s="4">
        <v>-102939</v>
      </c>
      <c r="Y120" s="4">
        <v>144904</v>
      </c>
      <c r="Z120" s="4">
        <v>4992</v>
      </c>
      <c r="AA120" s="4">
        <v>-119174</v>
      </c>
      <c r="AB120" s="4">
        <v>44435</v>
      </c>
      <c r="AC120" s="4">
        <v>83852</v>
      </c>
      <c r="AD120" s="4">
        <v>-17509</v>
      </c>
      <c r="AE120" s="4">
        <v>-1309</v>
      </c>
      <c r="AF120" s="4">
        <v>-10759</v>
      </c>
      <c r="AG120" s="4">
        <v>14426</v>
      </c>
      <c r="AH120" s="4">
        <v>173035</v>
      </c>
      <c r="AI120" s="4">
        <v>6902</v>
      </c>
      <c r="AJ120" s="4">
        <v>-4798</v>
      </c>
      <c r="AK120" s="4">
        <v>-1162</v>
      </c>
      <c r="AL120" s="4">
        <v>3647</v>
      </c>
      <c r="AN120" s="3">
        <v>45079</v>
      </c>
      <c r="AO120" s="4">
        <v>3.76</v>
      </c>
      <c r="AP120" s="4">
        <v>3.4359999999999999</v>
      </c>
      <c r="AQ120" s="4">
        <v>4.2439999999999998</v>
      </c>
      <c r="AR120" s="4">
        <v>10.632</v>
      </c>
      <c r="AS120" s="4">
        <f t="shared" si="8"/>
        <v>0.80799999999999983</v>
      </c>
      <c r="AT120" s="3">
        <v>45076</v>
      </c>
      <c r="AU120" s="4">
        <v>516588</v>
      </c>
      <c r="AV120" s="3">
        <v>45078</v>
      </c>
      <c r="AW120" s="4">
        <v>97328774</v>
      </c>
      <c r="AX120" s="4">
        <v>9823395</v>
      </c>
      <c r="AY120" s="4">
        <v>16056534</v>
      </c>
      <c r="AZ120" s="4">
        <v>122760776</v>
      </c>
      <c r="BA120" s="4">
        <v>175763840</v>
      </c>
      <c r="BB120" s="3">
        <v>45076</v>
      </c>
      <c r="BC120" s="4">
        <v>764301</v>
      </c>
      <c r="BE120" s="3">
        <f t="shared" si="9"/>
        <v>45076</v>
      </c>
      <c r="BF120" s="4">
        <f t="shared" si="10"/>
        <v>516588</v>
      </c>
      <c r="BG120" s="4">
        <f t="shared" si="13"/>
        <v>979069.2</v>
      </c>
    </row>
    <row r="121" spans="3:59">
      <c r="C121" s="23"/>
      <c r="E121" s="39" t="s">
        <v>369</v>
      </c>
      <c r="F121" s="39" t="s">
        <v>235</v>
      </c>
      <c r="G121" s="39" t="s">
        <v>236</v>
      </c>
      <c r="H121" s="39" t="s">
        <v>237</v>
      </c>
      <c r="I121" s="39" t="s">
        <v>238</v>
      </c>
      <c r="J121" s="39"/>
      <c r="V121" s="3">
        <v>45058</v>
      </c>
      <c r="W121" s="4">
        <v>-247854</v>
      </c>
      <c r="X121" s="4">
        <v>357670</v>
      </c>
      <c r="Y121" s="4">
        <v>-106637</v>
      </c>
      <c r="Z121" s="4">
        <v>-13549</v>
      </c>
      <c r="AA121" s="4">
        <v>-48523</v>
      </c>
      <c r="AB121" s="4">
        <v>34228</v>
      </c>
      <c r="AC121" s="4">
        <v>11486</v>
      </c>
      <c r="AD121" s="4">
        <v>17061</v>
      </c>
      <c r="AE121" s="4">
        <v>39101</v>
      </c>
      <c r="AF121" s="4">
        <v>-25144</v>
      </c>
      <c r="AG121" s="4">
        <v>-18798</v>
      </c>
      <c r="AH121" s="4">
        <v>-156553</v>
      </c>
      <c r="AI121" s="4">
        <v>-890</v>
      </c>
      <c r="AJ121" s="4">
        <v>-1197</v>
      </c>
      <c r="AK121" s="4">
        <v>2147</v>
      </c>
      <c r="AL121" s="4">
        <v>-2825</v>
      </c>
      <c r="AN121" s="3">
        <v>45078</v>
      </c>
      <c r="AO121" s="4">
        <v>3.76</v>
      </c>
      <c r="AP121" s="4">
        <v>3.4780000000000002</v>
      </c>
      <c r="AQ121" s="4">
        <v>4.2850000000000001</v>
      </c>
      <c r="AR121" s="4">
        <v>10.675000000000001</v>
      </c>
      <c r="AS121" s="4">
        <f t="shared" si="8"/>
        <v>0.80699999999999994</v>
      </c>
      <c r="AT121" s="3">
        <v>45072</v>
      </c>
      <c r="AU121" s="4">
        <v>510303</v>
      </c>
      <c r="AV121" s="3">
        <v>45077</v>
      </c>
      <c r="AW121" s="4">
        <v>97674377</v>
      </c>
      <c r="AX121" s="4">
        <v>9808649</v>
      </c>
      <c r="AY121" s="4">
        <v>16060060</v>
      </c>
      <c r="AZ121" s="4">
        <v>122620192</v>
      </c>
      <c r="BA121" s="4">
        <v>172714579</v>
      </c>
      <c r="BB121" s="3">
        <v>45072</v>
      </c>
      <c r="BC121" s="4">
        <v>769896</v>
      </c>
      <c r="BE121" s="3">
        <f t="shared" si="9"/>
        <v>45072</v>
      </c>
      <c r="BF121" s="4">
        <f t="shared" si="10"/>
        <v>510303</v>
      </c>
      <c r="BG121" s="4">
        <f t="shared" si="13"/>
        <v>974208.41</v>
      </c>
    </row>
    <row r="122" spans="3:59">
      <c r="C122" s="48"/>
      <c r="E122" s="41">
        <f>$AT$68</f>
        <v>45149</v>
      </c>
      <c r="F122" s="41">
        <f>F92</f>
        <v>45146</v>
      </c>
      <c r="G122" s="41">
        <f>G92</f>
        <v>45125</v>
      </c>
      <c r="H122" s="41">
        <f>H92</f>
        <v>45065</v>
      </c>
      <c r="I122" s="41">
        <f>I92</f>
        <v>44978</v>
      </c>
      <c r="J122" s="42">
        <f ca="1">J92</f>
        <v>44791</v>
      </c>
      <c r="V122" s="3">
        <v>45057</v>
      </c>
      <c r="W122" s="4">
        <v>-29</v>
      </c>
      <c r="X122" s="4">
        <v>-84921</v>
      </c>
      <c r="Y122" s="4">
        <v>84778</v>
      </c>
      <c r="Z122" s="4">
        <v>26152</v>
      </c>
      <c r="AA122" s="4">
        <v>-56672</v>
      </c>
      <c r="AB122" s="4">
        <v>-64886</v>
      </c>
      <c r="AC122" s="4">
        <v>132761</v>
      </c>
      <c r="AD122" s="4">
        <v>32726</v>
      </c>
      <c r="AE122" s="4">
        <v>24288</v>
      </c>
      <c r="AF122" s="4">
        <v>-24798</v>
      </c>
      <c r="AG122" s="4">
        <v>1234</v>
      </c>
      <c r="AH122" s="4">
        <v>104970</v>
      </c>
      <c r="AI122" s="4">
        <v>-1891</v>
      </c>
      <c r="AJ122" s="4">
        <v>2857</v>
      </c>
      <c r="AK122" s="4">
        <v>-1217</v>
      </c>
      <c r="AL122" s="4">
        <v>1189</v>
      </c>
      <c r="AN122" s="3">
        <v>45077</v>
      </c>
      <c r="AO122" s="4">
        <v>3.76</v>
      </c>
      <c r="AP122" s="4">
        <v>3.4590000000000001</v>
      </c>
      <c r="AQ122" s="4">
        <v>4.2619999999999996</v>
      </c>
      <c r="AR122" s="4">
        <v>10.653</v>
      </c>
      <c r="AS122" s="4">
        <f t="shared" si="8"/>
        <v>0.80299999999999949</v>
      </c>
      <c r="AT122" s="3">
        <v>45071</v>
      </c>
      <c r="AU122" s="4">
        <v>510266</v>
      </c>
      <c r="AV122" s="3">
        <v>45076</v>
      </c>
      <c r="AW122" s="4">
        <v>97906920</v>
      </c>
      <c r="AX122" s="4">
        <v>9799190</v>
      </c>
      <c r="AY122" s="4">
        <v>16060228</v>
      </c>
      <c r="AZ122" s="4">
        <v>122723855</v>
      </c>
      <c r="BA122" s="4">
        <v>176891124</v>
      </c>
      <c r="BB122" s="3">
        <v>45071</v>
      </c>
      <c r="BC122" s="4">
        <v>774483</v>
      </c>
      <c r="BE122" s="3">
        <f t="shared" si="9"/>
        <v>45071</v>
      </c>
      <c r="BF122" s="4">
        <f t="shared" si="10"/>
        <v>510266</v>
      </c>
      <c r="BG122" s="4">
        <f t="shared" si="13"/>
        <v>973264.03</v>
      </c>
    </row>
    <row r="123" spans="3:59">
      <c r="C123" s="35" t="s">
        <v>330</v>
      </c>
      <c r="D123" s="4">
        <v>2</v>
      </c>
      <c r="E123" s="71">
        <f>IFERROR( VLOOKUP(E$122,$AT$68:$AU$567,$D123,0), "")</f>
        <v>532134</v>
      </c>
      <c r="F123" s="71">
        <f t="shared" ref="F123:J129" si="14">IFERROR( VLOOKUP(F$122,$AT$68:$AU$567,2,0), "")</f>
        <v>533490</v>
      </c>
      <c r="G123" s="71">
        <f t="shared" si="14"/>
        <v>514133</v>
      </c>
      <c r="H123" s="71">
        <f t="shared" si="14"/>
        <v>497563</v>
      </c>
      <c r="I123" s="71">
        <f t="shared" si="14"/>
        <v>461998</v>
      </c>
      <c r="J123" s="75">
        <f t="shared" ca="1" si="14"/>
        <v>552252</v>
      </c>
      <c r="V123" s="3">
        <v>45056</v>
      </c>
      <c r="W123" s="4">
        <v>117134</v>
      </c>
      <c r="X123" s="4">
        <v>5926</v>
      </c>
      <c r="Y123" s="4">
        <v>-111131</v>
      </c>
      <c r="Z123" s="4">
        <v>-4684</v>
      </c>
      <c r="AA123" s="4">
        <v>-8734</v>
      </c>
      <c r="AB123" s="4">
        <v>9091</v>
      </c>
      <c r="AC123" s="4">
        <v>467</v>
      </c>
      <c r="AD123" s="4">
        <v>-6764</v>
      </c>
      <c r="AE123" s="4">
        <v>16059</v>
      </c>
      <c r="AF123" s="4">
        <v>22635</v>
      </c>
      <c r="AG123" s="4">
        <v>-58800</v>
      </c>
      <c r="AH123" s="4">
        <v>172812</v>
      </c>
      <c r="AI123" s="4">
        <v>-3840</v>
      </c>
      <c r="AJ123" s="4">
        <v>3806</v>
      </c>
      <c r="AK123" s="4">
        <v>-375</v>
      </c>
      <c r="AL123" s="4">
        <v>1073</v>
      </c>
      <c r="AN123" s="3">
        <v>45076</v>
      </c>
      <c r="AO123" s="4">
        <v>3.76</v>
      </c>
      <c r="AP123" s="4">
        <v>3.56</v>
      </c>
      <c r="AQ123" s="4">
        <v>4.359</v>
      </c>
      <c r="AR123" s="4">
        <v>10.750999999999999</v>
      </c>
      <c r="AS123" s="4">
        <f t="shared" si="8"/>
        <v>0.79899999999999993</v>
      </c>
      <c r="AT123" s="3">
        <v>45070</v>
      </c>
      <c r="AU123" s="4">
        <v>514246</v>
      </c>
      <c r="AV123" s="3">
        <v>45072</v>
      </c>
      <c r="AW123" s="4">
        <v>97420841</v>
      </c>
      <c r="AX123" s="4">
        <v>9776449</v>
      </c>
      <c r="AY123" s="4">
        <v>16039553</v>
      </c>
      <c r="AZ123" s="4">
        <v>122825716</v>
      </c>
      <c r="BA123" s="4">
        <v>177114271</v>
      </c>
      <c r="BB123" s="3">
        <v>45070</v>
      </c>
      <c r="BC123" s="4">
        <v>775003</v>
      </c>
      <c r="BE123" s="3">
        <f t="shared" si="9"/>
        <v>45070</v>
      </c>
      <c r="BF123" s="4">
        <f t="shared" si="10"/>
        <v>514246</v>
      </c>
      <c r="BG123" s="4">
        <f t="shared" si="13"/>
        <v>974466.13</v>
      </c>
    </row>
    <row r="124" spans="3:59">
      <c r="C124" s="35" t="s">
        <v>242</v>
      </c>
      <c r="D124" s="4">
        <v>2</v>
      </c>
      <c r="E124" s="73">
        <f>IFERROR( VLOOKUP(E$122,$AV$68:$BA$567,$D124,0), "")</f>
        <v>99375272</v>
      </c>
      <c r="F124" s="73">
        <f t="shared" ref="F124:J129" si="15">IFERROR( VLOOKUP(F$122,$AV$68:$BA$567,$D124,0), "")</f>
        <v>99696670</v>
      </c>
      <c r="G124" s="73">
        <f t="shared" si="15"/>
        <v>100096077</v>
      </c>
      <c r="H124" s="73">
        <f t="shared" si="15"/>
        <v>97297640</v>
      </c>
      <c r="I124" s="73">
        <f t="shared" si="15"/>
        <v>97422026</v>
      </c>
      <c r="J124" s="74">
        <f t="shared" ca="1" si="15"/>
        <v>96188680</v>
      </c>
      <c r="V124" s="3">
        <v>45055</v>
      </c>
      <c r="W124" s="4">
        <v>115886</v>
      </c>
      <c r="X124" s="4">
        <v>-177406</v>
      </c>
      <c r="Y124" s="4">
        <v>63626</v>
      </c>
      <c r="Z124" s="4">
        <v>7425</v>
      </c>
      <c r="AA124" s="4">
        <v>-110083</v>
      </c>
      <c r="AB124" s="4">
        <v>164692</v>
      </c>
      <c r="AC124" s="4">
        <v>-38623</v>
      </c>
      <c r="AD124" s="4">
        <v>3656</v>
      </c>
      <c r="AE124" s="4">
        <v>2177</v>
      </c>
      <c r="AF124" s="4">
        <v>1118</v>
      </c>
      <c r="AG124" s="4">
        <v>-5063</v>
      </c>
      <c r="AH124" s="4">
        <v>-32649</v>
      </c>
      <c r="AI124" s="4">
        <v>-6373</v>
      </c>
      <c r="AJ124" s="4">
        <v>458</v>
      </c>
      <c r="AK124" s="4">
        <v>5988</v>
      </c>
      <c r="AL124" s="4">
        <v>-2465</v>
      </c>
      <c r="AN124" s="3">
        <v>45072</v>
      </c>
      <c r="AO124" s="4">
        <v>3.75</v>
      </c>
      <c r="AP124" s="4">
        <v>3.524</v>
      </c>
      <c r="AQ124" s="4">
        <v>4.3280000000000003</v>
      </c>
      <c r="AR124" s="4">
        <v>10.718999999999999</v>
      </c>
      <c r="AS124" s="4">
        <f t="shared" si="8"/>
        <v>0.80400000000000027</v>
      </c>
      <c r="AT124" s="3">
        <v>45069</v>
      </c>
      <c r="AU124" s="4">
        <v>505884</v>
      </c>
      <c r="AV124" s="3">
        <v>45071</v>
      </c>
      <c r="AW124" s="4">
        <v>97326403</v>
      </c>
      <c r="AX124" s="4">
        <v>9783143</v>
      </c>
      <c r="AY124" s="4">
        <v>16047681</v>
      </c>
      <c r="AZ124" s="4">
        <v>122949808</v>
      </c>
      <c r="BA124" s="4">
        <v>178287421</v>
      </c>
      <c r="BB124" s="3">
        <v>45069</v>
      </c>
      <c r="BC124" s="4">
        <v>775326</v>
      </c>
      <c r="BE124" s="3">
        <f t="shared" si="9"/>
        <v>45069</v>
      </c>
      <c r="BF124" s="4">
        <f t="shared" si="10"/>
        <v>505884</v>
      </c>
      <c r="BG124" s="4">
        <f t="shared" si="13"/>
        <v>977584.63</v>
      </c>
    </row>
    <row r="125" spans="3:59">
      <c r="C125" s="35" t="s">
        <v>243</v>
      </c>
      <c r="D125" s="4">
        <v>3</v>
      </c>
      <c r="E125" s="71">
        <f t="shared" ref="E125:J128" si="16">IFERROR( VLOOKUP(E$122,$AV$68:$BA$567,$D125,0), "")</f>
        <v>9806380</v>
      </c>
      <c r="F125" s="71">
        <f t="shared" si="15"/>
        <v>9654921</v>
      </c>
      <c r="G125" s="71">
        <f t="shared" si="15"/>
        <v>9507657</v>
      </c>
      <c r="H125" s="71">
        <f t="shared" si="15"/>
        <v>9769026</v>
      </c>
      <c r="I125" s="71">
        <f t="shared" si="15"/>
        <v>9728288</v>
      </c>
      <c r="J125" s="75">
        <f t="shared" ca="1" si="15"/>
        <v>9966269</v>
      </c>
      <c r="V125" s="3">
        <v>45054</v>
      </c>
      <c r="W125" s="4">
        <v>250444</v>
      </c>
      <c r="X125" s="4">
        <v>-698090</v>
      </c>
      <c r="Y125" s="4">
        <v>449452</v>
      </c>
      <c r="Z125" s="4">
        <v>35559</v>
      </c>
      <c r="AA125" s="4">
        <v>-56862</v>
      </c>
      <c r="AB125" s="4">
        <v>23832</v>
      </c>
      <c r="AC125" s="4">
        <v>51851</v>
      </c>
      <c r="AD125" s="4">
        <v>17479</v>
      </c>
      <c r="AE125" s="4">
        <v>-16650</v>
      </c>
      <c r="AF125" s="4">
        <v>19241</v>
      </c>
      <c r="AG125" s="4">
        <v>1589</v>
      </c>
      <c r="AH125" s="4">
        <v>-133623</v>
      </c>
      <c r="AI125" s="4">
        <v>11377</v>
      </c>
      <c r="AJ125" s="4">
        <v>-4204</v>
      </c>
      <c r="AK125" s="4">
        <v>-6616</v>
      </c>
      <c r="AL125" s="4">
        <v>1977</v>
      </c>
      <c r="AN125" s="3">
        <v>45071</v>
      </c>
      <c r="AO125" s="4">
        <v>3.75</v>
      </c>
      <c r="AP125" s="4">
        <v>3.48</v>
      </c>
      <c r="AQ125" s="4">
        <v>4.28</v>
      </c>
      <c r="AR125" s="4">
        <v>10.669</v>
      </c>
      <c r="AS125" s="4">
        <f t="shared" si="8"/>
        <v>0.80000000000000027</v>
      </c>
      <c r="AT125" s="3">
        <v>45068</v>
      </c>
      <c r="AU125" s="4">
        <v>497753</v>
      </c>
      <c r="AV125" s="3">
        <v>45070</v>
      </c>
      <c r="AW125" s="4">
        <v>97446613</v>
      </c>
      <c r="AX125" s="4">
        <v>9780144</v>
      </c>
      <c r="AY125" s="4">
        <v>16046378</v>
      </c>
      <c r="AZ125" s="4">
        <v>122706042</v>
      </c>
      <c r="BA125" s="4">
        <v>177878630</v>
      </c>
      <c r="BB125" s="3">
        <v>45068</v>
      </c>
      <c r="BC125" s="4">
        <v>779593</v>
      </c>
      <c r="BE125" s="3">
        <f t="shared" si="9"/>
        <v>45068</v>
      </c>
      <c r="BF125" s="4">
        <f t="shared" si="10"/>
        <v>497753</v>
      </c>
      <c r="BG125" s="4">
        <f t="shared" si="13"/>
        <v>975157.83</v>
      </c>
    </row>
    <row r="126" spans="3:59">
      <c r="C126" s="35" t="s">
        <v>244</v>
      </c>
      <c r="D126" s="22">
        <v>4</v>
      </c>
      <c r="E126" s="71">
        <f t="shared" si="16"/>
        <v>15095903</v>
      </c>
      <c r="F126" s="71">
        <f t="shared" si="15"/>
        <v>15189251</v>
      </c>
      <c r="G126" s="71">
        <f t="shared" si="15"/>
        <v>15326696</v>
      </c>
      <c r="H126" s="71">
        <f t="shared" si="15"/>
        <v>16145777</v>
      </c>
      <c r="I126" s="71">
        <f t="shared" si="15"/>
        <v>16899555</v>
      </c>
      <c r="J126" s="75">
        <f t="shared" ca="1" si="15"/>
        <v>21036534</v>
      </c>
      <c r="V126" s="3">
        <v>45050</v>
      </c>
      <c r="W126" s="4">
        <v>40599</v>
      </c>
      <c r="X126" s="4">
        <v>226687</v>
      </c>
      <c r="Y126" s="4">
        <v>-269387</v>
      </c>
      <c r="Z126" s="4">
        <v>7450</v>
      </c>
      <c r="AA126" s="4">
        <v>-134939</v>
      </c>
      <c r="AB126" s="4">
        <v>187595</v>
      </c>
      <c r="AC126" s="4">
        <v>-37955</v>
      </c>
      <c r="AD126" s="4">
        <v>6935</v>
      </c>
      <c r="AE126" s="4">
        <v>-43201</v>
      </c>
      <c r="AF126" s="4">
        <v>34988</v>
      </c>
      <c r="AG126" s="4">
        <v>10554</v>
      </c>
      <c r="AH126" s="4">
        <v>155774</v>
      </c>
      <c r="AI126" s="4">
        <v>-1399</v>
      </c>
      <c r="AJ126" s="4">
        <v>842</v>
      </c>
      <c r="AK126" s="4">
        <v>289</v>
      </c>
      <c r="AL126" s="4">
        <v>2799</v>
      </c>
      <c r="AN126" s="3">
        <v>45070</v>
      </c>
      <c r="AO126" s="4">
        <v>3.73</v>
      </c>
      <c r="AP126" s="4">
        <v>3.3780000000000001</v>
      </c>
      <c r="AQ126" s="4">
        <v>4.1829999999999998</v>
      </c>
      <c r="AR126" s="4">
        <v>10.57</v>
      </c>
      <c r="AS126" s="4">
        <f t="shared" si="8"/>
        <v>0.80499999999999972</v>
      </c>
      <c r="AT126" s="3">
        <v>45065</v>
      </c>
      <c r="AU126" s="4">
        <v>497563</v>
      </c>
      <c r="AV126" s="3">
        <v>45069</v>
      </c>
      <c r="AW126" s="4">
        <v>97758463</v>
      </c>
      <c r="AX126" s="4">
        <v>9780933</v>
      </c>
      <c r="AY126" s="4">
        <v>16125244</v>
      </c>
      <c r="AZ126" s="4">
        <v>122372297</v>
      </c>
      <c r="BA126" s="4">
        <v>179539557</v>
      </c>
      <c r="BB126" s="3">
        <v>45065</v>
      </c>
      <c r="BC126" s="4">
        <v>778505</v>
      </c>
      <c r="BE126" s="3">
        <f t="shared" si="9"/>
        <v>45065</v>
      </c>
      <c r="BF126" s="4">
        <f t="shared" si="10"/>
        <v>497563</v>
      </c>
      <c r="BG126" s="4">
        <f t="shared" si="13"/>
        <v>972976.4</v>
      </c>
    </row>
    <row r="127" spans="3:59">
      <c r="C127" s="35" t="s">
        <v>327</v>
      </c>
      <c r="D127" s="22">
        <v>5</v>
      </c>
      <c r="E127" s="71">
        <f t="shared" si="16"/>
        <v>127871113</v>
      </c>
      <c r="F127" s="71">
        <f t="shared" si="15"/>
        <v>127857892</v>
      </c>
      <c r="G127" s="71">
        <f t="shared" si="15"/>
        <v>125288883</v>
      </c>
      <c r="H127" s="71">
        <f t="shared" si="15"/>
        <v>122286956</v>
      </c>
      <c r="I127" s="71">
        <f t="shared" si="15"/>
        <v>122412065</v>
      </c>
      <c r="J127" s="75">
        <f t="shared" ca="1" si="15"/>
        <v>128041174</v>
      </c>
      <c r="V127" s="3">
        <v>45049</v>
      </c>
      <c r="W127" s="4">
        <v>-90570</v>
      </c>
      <c r="X127" s="4">
        <v>348478</v>
      </c>
      <c r="Y127" s="4">
        <v>-263297</v>
      </c>
      <c r="Z127" s="4">
        <v>-24640</v>
      </c>
      <c r="AA127" s="4">
        <v>-178596</v>
      </c>
      <c r="AB127" s="4">
        <v>342993</v>
      </c>
      <c r="AC127" s="4">
        <v>-162869</v>
      </c>
      <c r="AD127" s="4">
        <v>-2893</v>
      </c>
      <c r="AE127" s="4">
        <v>-17229</v>
      </c>
      <c r="AF127" s="4">
        <v>55115</v>
      </c>
      <c r="AG127" s="4">
        <v>-44391</v>
      </c>
      <c r="AH127" s="4">
        <v>-95719</v>
      </c>
      <c r="AI127" s="4">
        <v>-12003</v>
      </c>
      <c r="AJ127" s="4">
        <v>3835</v>
      </c>
      <c r="AK127" s="4">
        <v>7317</v>
      </c>
      <c r="AL127" s="4">
        <v>-3164</v>
      </c>
      <c r="AN127" s="3">
        <v>45069</v>
      </c>
      <c r="AO127" s="4">
        <v>3.7</v>
      </c>
      <c r="AP127" s="4">
        <v>3.3730000000000002</v>
      </c>
      <c r="AQ127" s="4">
        <v>4.181</v>
      </c>
      <c r="AR127" s="4">
        <v>10.567</v>
      </c>
      <c r="AS127" s="4">
        <f t="shared" si="8"/>
        <v>0.80799999999999983</v>
      </c>
      <c r="AT127" s="3">
        <v>45064</v>
      </c>
      <c r="AU127" s="4">
        <v>497359</v>
      </c>
      <c r="AV127" s="3">
        <v>45068</v>
      </c>
      <c r="AW127" s="4">
        <v>97515783</v>
      </c>
      <c r="AX127" s="4">
        <v>9776931</v>
      </c>
      <c r="AY127" s="4">
        <v>16132358</v>
      </c>
      <c r="AZ127" s="4">
        <v>122369651</v>
      </c>
      <c r="BA127" s="4">
        <v>179661254</v>
      </c>
      <c r="BB127" s="3">
        <v>45064</v>
      </c>
      <c r="BC127" s="4">
        <v>776135</v>
      </c>
      <c r="BE127" s="3">
        <f t="shared" si="9"/>
        <v>45064</v>
      </c>
      <c r="BF127" s="4">
        <f t="shared" si="10"/>
        <v>497359</v>
      </c>
      <c r="BG127" s="4">
        <f t="shared" si="13"/>
        <v>968713.46</v>
      </c>
    </row>
    <row r="128" spans="3:59">
      <c r="C128" s="35" t="s">
        <v>329</v>
      </c>
      <c r="D128" s="22">
        <v>6</v>
      </c>
      <c r="E128" s="71">
        <f t="shared" si="16"/>
        <v>179645165</v>
      </c>
      <c r="F128" s="71">
        <f t="shared" si="15"/>
        <v>187215763</v>
      </c>
      <c r="G128" s="71">
        <f t="shared" si="15"/>
        <v>183552262</v>
      </c>
      <c r="H128" s="71">
        <f t="shared" si="15"/>
        <v>179859432</v>
      </c>
      <c r="I128" s="71">
        <f t="shared" si="15"/>
        <v>198594904</v>
      </c>
      <c r="J128" s="75">
        <f t="shared" ca="1" si="15"/>
        <v>161247282</v>
      </c>
      <c r="V128" s="3">
        <v>45048</v>
      </c>
      <c r="W128" s="4">
        <v>342134</v>
      </c>
      <c r="X128" s="4">
        <v>-554470</v>
      </c>
      <c r="Y128" s="4">
        <v>228515</v>
      </c>
      <c r="Z128" s="4">
        <v>1195</v>
      </c>
      <c r="AA128" s="4">
        <v>161795</v>
      </c>
      <c r="AB128" s="4">
        <v>-230451</v>
      </c>
      <c r="AC128" s="4">
        <v>67898</v>
      </c>
      <c r="AD128" s="4">
        <v>42125</v>
      </c>
      <c r="AE128" s="4">
        <v>6235</v>
      </c>
      <c r="AF128" s="4">
        <v>-13505</v>
      </c>
      <c r="AG128" s="4">
        <v>8462</v>
      </c>
      <c r="AH128" s="4">
        <v>-94536</v>
      </c>
      <c r="AI128" s="4">
        <v>12098</v>
      </c>
      <c r="AJ128" s="4">
        <v>-5968</v>
      </c>
      <c r="AK128" s="4">
        <v>-4960</v>
      </c>
      <c r="AL128" s="4">
        <v>1238</v>
      </c>
      <c r="AN128" s="3">
        <v>45068</v>
      </c>
      <c r="AO128" s="4">
        <v>3.68</v>
      </c>
      <c r="AP128" s="4">
        <v>3.3210000000000002</v>
      </c>
      <c r="AQ128" s="4">
        <v>4.1269999999999998</v>
      </c>
      <c r="AR128" s="4">
        <v>10.513</v>
      </c>
      <c r="AS128" s="4">
        <f t="shared" si="8"/>
        <v>0.80599999999999961</v>
      </c>
      <c r="AT128" s="3">
        <v>45063</v>
      </c>
      <c r="AU128" s="4">
        <v>489378</v>
      </c>
      <c r="AV128" s="3">
        <v>45065</v>
      </c>
      <c r="AW128" s="4">
        <v>97297640</v>
      </c>
      <c r="AX128" s="4">
        <v>9769026</v>
      </c>
      <c r="AY128" s="4">
        <v>16145777</v>
      </c>
      <c r="AZ128" s="4">
        <v>122286956</v>
      </c>
      <c r="BA128" s="4">
        <v>179859432</v>
      </c>
      <c r="BB128" s="3">
        <v>45063</v>
      </c>
      <c r="BC128" s="4">
        <v>767736</v>
      </c>
    </row>
    <row r="129" spans="3:55">
      <c r="C129" s="36" t="s">
        <v>328</v>
      </c>
      <c r="D129" s="22">
        <v>2</v>
      </c>
      <c r="E129" s="72">
        <f>IFERROR( VLOOKUP(E$122,$BB$68:$BC$567,$D129,0), "")</f>
        <v>780334</v>
      </c>
      <c r="F129" s="72">
        <f t="shared" ref="F129:J129" si="17">IFERROR( VLOOKUP(F$122,$BB$68:$BC$567,$D129,0), "")</f>
        <v>782093</v>
      </c>
      <c r="G129" s="72">
        <f t="shared" si="17"/>
        <v>762955</v>
      </c>
      <c r="H129" s="72">
        <f t="shared" si="17"/>
        <v>778505</v>
      </c>
      <c r="I129" s="72">
        <f t="shared" si="17"/>
        <v>702198</v>
      </c>
      <c r="J129" s="76">
        <f t="shared" ca="1" si="17"/>
        <v>811222</v>
      </c>
      <c r="V129" s="3">
        <v>45044</v>
      </c>
      <c r="W129" s="4">
        <v>300457</v>
      </c>
      <c r="X129" s="4">
        <v>136009</v>
      </c>
      <c r="Y129" s="4">
        <v>-355056</v>
      </c>
      <c r="Z129" s="4">
        <v>9576</v>
      </c>
      <c r="AA129" s="4">
        <v>-367310</v>
      </c>
      <c r="AB129" s="4">
        <v>396709</v>
      </c>
      <c r="AC129" s="4">
        <v>-29232</v>
      </c>
      <c r="AD129" s="4">
        <v>3073</v>
      </c>
      <c r="AE129" s="4">
        <v>8350</v>
      </c>
      <c r="AF129" s="4">
        <v>-20869</v>
      </c>
      <c r="AG129" s="4">
        <v>19092</v>
      </c>
      <c r="AH129" s="4">
        <v>58025</v>
      </c>
      <c r="AI129" s="4">
        <v>-6776</v>
      </c>
      <c r="AJ129" s="4">
        <v>1329</v>
      </c>
      <c r="AK129" s="4">
        <v>4773</v>
      </c>
      <c r="AL129" s="4">
        <v>4463</v>
      </c>
      <c r="AN129" s="3">
        <v>45065</v>
      </c>
      <c r="AO129" s="4">
        <v>3.67</v>
      </c>
      <c r="AP129" s="4">
        <v>3.34</v>
      </c>
      <c r="AQ129" s="4">
        <v>4.1479999999999997</v>
      </c>
      <c r="AR129" s="4">
        <v>10.535</v>
      </c>
      <c r="AS129" s="4">
        <f t="shared" si="8"/>
        <v>0.80799999999999983</v>
      </c>
      <c r="AT129" s="3">
        <v>45062</v>
      </c>
      <c r="AU129" s="4">
        <v>499423</v>
      </c>
      <c r="AV129" s="3">
        <v>45064</v>
      </c>
      <c r="AW129" s="4">
        <v>96871346</v>
      </c>
      <c r="AX129" s="4">
        <v>9757676</v>
      </c>
      <c r="AY129" s="4">
        <v>16136829</v>
      </c>
      <c r="AZ129" s="4">
        <v>122079633</v>
      </c>
      <c r="BA129" s="4">
        <v>180220626</v>
      </c>
      <c r="BB129" s="3">
        <v>45062</v>
      </c>
      <c r="BC129" s="4">
        <v>766404</v>
      </c>
    </row>
    <row r="130" spans="3:55">
      <c r="V130" s="3">
        <v>45043</v>
      </c>
      <c r="W130" s="4">
        <v>282607</v>
      </c>
      <c r="X130" s="4">
        <v>186820</v>
      </c>
      <c r="Y130" s="4">
        <v>-485107</v>
      </c>
      <c r="Z130" s="4">
        <v>24805</v>
      </c>
      <c r="AA130" s="4">
        <v>56745</v>
      </c>
      <c r="AB130" s="4">
        <v>-167561</v>
      </c>
      <c r="AC130" s="4">
        <v>113925</v>
      </c>
      <c r="AD130" s="4">
        <v>22470</v>
      </c>
      <c r="AE130" s="4">
        <v>5007</v>
      </c>
      <c r="AF130" s="4">
        <v>-60083</v>
      </c>
      <c r="AG130" s="4">
        <v>52712</v>
      </c>
      <c r="AH130" s="4">
        <v>-131653</v>
      </c>
      <c r="AI130" s="4">
        <v>-5771</v>
      </c>
      <c r="AJ130" s="4">
        <v>-1661</v>
      </c>
      <c r="AK130" s="4">
        <v>7374</v>
      </c>
      <c r="AL130" s="4">
        <v>3227</v>
      </c>
      <c r="AN130" s="3">
        <v>45064</v>
      </c>
      <c r="AO130" s="4">
        <v>3.66</v>
      </c>
      <c r="AP130" s="4">
        <v>3.3159999999999998</v>
      </c>
      <c r="AQ130" s="4">
        <v>4.1230000000000002</v>
      </c>
      <c r="AR130" s="4">
        <v>10.507999999999999</v>
      </c>
      <c r="AS130" s="4">
        <f t="shared" si="8"/>
        <v>0.80700000000000038</v>
      </c>
      <c r="AT130" s="3">
        <v>45061</v>
      </c>
      <c r="AU130" s="4">
        <v>521498</v>
      </c>
      <c r="AV130" s="3">
        <v>45063</v>
      </c>
      <c r="AW130" s="4">
        <v>96313534</v>
      </c>
      <c r="AX130" s="4">
        <v>9758214</v>
      </c>
      <c r="AY130" s="4">
        <v>16141366</v>
      </c>
      <c r="AZ130" s="4">
        <v>122099665</v>
      </c>
      <c r="BA130" s="4">
        <v>181131297</v>
      </c>
      <c r="BB130" s="3">
        <v>45061</v>
      </c>
      <c r="BC130" s="4">
        <v>775881</v>
      </c>
    </row>
    <row r="131" spans="3:55">
      <c r="V131" s="3">
        <v>45042</v>
      </c>
      <c r="W131" s="4">
        <v>-91399</v>
      </c>
      <c r="X131" s="4">
        <v>221876</v>
      </c>
      <c r="Y131" s="4">
        <v>-154964</v>
      </c>
      <c r="Z131" s="4">
        <v>-47539</v>
      </c>
      <c r="AA131" s="4">
        <v>-147723</v>
      </c>
      <c r="AB131" s="4">
        <v>139773</v>
      </c>
      <c r="AC131" s="4">
        <v>16973</v>
      </c>
      <c r="AD131" s="4">
        <v>25861</v>
      </c>
      <c r="AE131" s="4">
        <v>30498</v>
      </c>
      <c r="AF131" s="4">
        <v>-355642</v>
      </c>
      <c r="AG131" s="4">
        <v>322915</v>
      </c>
      <c r="AH131" s="4">
        <v>-160</v>
      </c>
      <c r="AI131" s="4">
        <v>-2492</v>
      </c>
      <c r="AJ131" s="4">
        <v>-739</v>
      </c>
      <c r="AK131" s="4">
        <v>3449</v>
      </c>
      <c r="AL131" s="4">
        <v>1236</v>
      </c>
      <c r="AN131" s="3">
        <v>45063</v>
      </c>
      <c r="AO131" s="4">
        <v>3.65</v>
      </c>
      <c r="AP131" s="4">
        <v>3.274</v>
      </c>
      <c r="AQ131" s="4">
        <v>4.0839999999999996</v>
      </c>
      <c r="AR131" s="4">
        <v>10.467000000000001</v>
      </c>
      <c r="AS131" s="4">
        <f t="shared" si="8"/>
        <v>0.80999999999999961</v>
      </c>
      <c r="AT131" s="3">
        <v>45058</v>
      </c>
      <c r="AU131" s="4">
        <v>500643</v>
      </c>
      <c r="AV131" s="3">
        <v>45062</v>
      </c>
      <c r="AW131" s="4">
        <v>96074955</v>
      </c>
      <c r="AX131" s="4">
        <v>9767559</v>
      </c>
      <c r="AY131" s="4">
        <v>16159784</v>
      </c>
      <c r="AZ131" s="4">
        <v>121274906</v>
      </c>
      <c r="BA131" s="4">
        <v>183341980</v>
      </c>
      <c r="BB131" s="3">
        <v>45058</v>
      </c>
      <c r="BC131" s="4">
        <v>771604</v>
      </c>
    </row>
    <row r="132" spans="3:55">
      <c r="V132" s="3">
        <v>45041</v>
      </c>
      <c r="W132" s="4">
        <v>8623</v>
      </c>
      <c r="X132" s="4">
        <v>-2256</v>
      </c>
      <c r="Y132" s="4">
        <v>57</v>
      </c>
      <c r="Z132" s="4">
        <v>-83562</v>
      </c>
      <c r="AA132" s="4">
        <v>-106302</v>
      </c>
      <c r="AB132" s="4">
        <v>206130</v>
      </c>
      <c r="AC132" s="4">
        <v>-118467</v>
      </c>
      <c r="AD132" s="4">
        <v>-44532</v>
      </c>
      <c r="AE132" s="4">
        <v>92875</v>
      </c>
      <c r="AF132" s="4">
        <v>-176080</v>
      </c>
      <c r="AG132" s="4">
        <v>56606</v>
      </c>
      <c r="AH132" s="4">
        <v>21293</v>
      </c>
      <c r="AI132" s="4">
        <v>-9382</v>
      </c>
      <c r="AJ132" s="4">
        <v>-1186</v>
      </c>
      <c r="AK132" s="4">
        <v>10232</v>
      </c>
      <c r="AL132" s="4">
        <v>-2031</v>
      </c>
      <c r="AN132" s="3">
        <v>45062</v>
      </c>
      <c r="AO132" s="4">
        <v>3.62</v>
      </c>
      <c r="AP132" s="4">
        <v>3.242</v>
      </c>
      <c r="AQ132" s="4">
        <v>4.056</v>
      </c>
      <c r="AR132" s="4">
        <v>10.439</v>
      </c>
      <c r="AS132" s="4">
        <f t="shared" si="8"/>
        <v>0.81400000000000006</v>
      </c>
      <c r="AT132" s="3">
        <v>45057</v>
      </c>
      <c r="AU132" s="4">
        <v>501527</v>
      </c>
      <c r="AV132" s="3">
        <v>45061</v>
      </c>
      <c r="AW132" s="4">
        <v>95649339</v>
      </c>
      <c r="AX132" s="4">
        <v>9766524</v>
      </c>
      <c r="AY132" s="4">
        <v>16157161</v>
      </c>
      <c r="AZ132" s="4">
        <v>121018750</v>
      </c>
      <c r="BA132" s="4">
        <v>182816326</v>
      </c>
      <c r="BB132" s="3">
        <v>45057</v>
      </c>
      <c r="BC132" s="4">
        <v>770987</v>
      </c>
    </row>
    <row r="133" spans="3:55">
      <c r="V133" s="3">
        <v>45040</v>
      </c>
      <c r="W133" s="4">
        <v>-36763</v>
      </c>
      <c r="X133" s="4">
        <v>-82805</v>
      </c>
      <c r="Y133" s="4">
        <v>104336</v>
      </c>
      <c r="Z133" s="4">
        <v>-76726</v>
      </c>
      <c r="AA133" s="4">
        <v>-24268</v>
      </c>
      <c r="AB133" s="4">
        <v>174958</v>
      </c>
      <c r="AC133" s="4">
        <v>-117210</v>
      </c>
      <c r="AD133" s="4">
        <v>-21353</v>
      </c>
      <c r="AE133" s="4">
        <v>106204</v>
      </c>
      <c r="AF133" s="4">
        <v>-34198</v>
      </c>
      <c r="AG133" s="4">
        <v>-74361</v>
      </c>
      <c r="AH133" s="4">
        <v>52105</v>
      </c>
      <c r="AI133" s="4">
        <v>1247</v>
      </c>
      <c r="AJ133" s="4">
        <v>630</v>
      </c>
      <c r="AK133" s="4">
        <v>-1586</v>
      </c>
      <c r="AL133" s="4">
        <v>-1117</v>
      </c>
      <c r="AN133" s="3">
        <v>45061</v>
      </c>
      <c r="AO133" s="4">
        <v>3.62</v>
      </c>
      <c r="AP133" s="4">
        <v>3.2789999999999999</v>
      </c>
      <c r="AQ133" s="4">
        <v>4.0890000000000004</v>
      </c>
      <c r="AR133" s="4">
        <v>10.471</v>
      </c>
      <c r="AS133" s="4">
        <f t="shared" ref="AS133:AS196" si="18">AQ133-AP133</f>
        <v>0.8100000000000005</v>
      </c>
      <c r="AT133" s="3">
        <v>45056</v>
      </c>
      <c r="AU133" s="4">
        <v>502077</v>
      </c>
      <c r="AV133" s="3">
        <v>45058</v>
      </c>
      <c r="AW133" s="4">
        <v>95831935</v>
      </c>
      <c r="AX133" s="4">
        <v>9751953</v>
      </c>
      <c r="AY133" s="4">
        <v>16162238</v>
      </c>
      <c r="AZ133" s="4">
        <v>120887508</v>
      </c>
      <c r="BA133" s="4">
        <v>181226171</v>
      </c>
      <c r="BB133" s="3">
        <v>45056</v>
      </c>
      <c r="BC133" s="4">
        <v>767037</v>
      </c>
    </row>
    <row r="134" spans="3:55">
      <c r="V134" s="3">
        <v>45037</v>
      </c>
      <c r="W134" s="4">
        <v>280083</v>
      </c>
      <c r="X134" s="4">
        <v>-194902</v>
      </c>
      <c r="Y134" s="4">
        <v>-84067</v>
      </c>
      <c r="Z134" s="4">
        <v>-164738</v>
      </c>
      <c r="AA134" s="4">
        <v>-158497</v>
      </c>
      <c r="AB134" s="4">
        <v>246602</v>
      </c>
      <c r="AC134" s="4">
        <v>-67999</v>
      </c>
      <c r="AD134" s="4">
        <v>-12388</v>
      </c>
      <c r="AE134" s="4">
        <v>28902</v>
      </c>
      <c r="AF134" s="4">
        <v>-51504</v>
      </c>
      <c r="AG134" s="4">
        <v>24609</v>
      </c>
      <c r="AH134" s="4">
        <v>51899</v>
      </c>
      <c r="AI134" s="4">
        <v>-834</v>
      </c>
      <c r="AJ134" s="4">
        <v>1805</v>
      </c>
      <c r="AK134" s="4">
        <v>-988</v>
      </c>
      <c r="AL134" s="4">
        <v>-282</v>
      </c>
      <c r="AN134" s="3">
        <v>45058</v>
      </c>
      <c r="AO134" s="4">
        <v>3.61</v>
      </c>
      <c r="AP134" s="4">
        <v>3.2250000000000001</v>
      </c>
      <c r="AQ134" s="4">
        <v>4.0350000000000001</v>
      </c>
      <c r="AR134" s="4">
        <v>10.417999999999999</v>
      </c>
      <c r="AS134" s="4">
        <f t="shared" si="18"/>
        <v>0.81</v>
      </c>
      <c r="AT134" s="3">
        <v>45055</v>
      </c>
      <c r="AU134" s="4">
        <v>495630</v>
      </c>
      <c r="AV134" s="3">
        <v>45057</v>
      </c>
      <c r="AW134" s="4">
        <v>96082025</v>
      </c>
      <c r="AX134" s="4">
        <v>9752617</v>
      </c>
      <c r="AY134" s="4">
        <v>16169058</v>
      </c>
      <c r="AZ134" s="4">
        <v>120761168</v>
      </c>
      <c r="BA134" s="4">
        <v>180554457</v>
      </c>
      <c r="BB134" s="3">
        <v>45055</v>
      </c>
      <c r="BC134" s="4">
        <v>767094</v>
      </c>
    </row>
    <row r="135" spans="3:55">
      <c r="V135" s="3">
        <v>45036</v>
      </c>
      <c r="W135" s="4">
        <v>156732</v>
      </c>
      <c r="X135" s="4">
        <v>-87475</v>
      </c>
      <c r="Y135" s="4">
        <v>-75825</v>
      </c>
      <c r="Z135" s="4">
        <v>-44165</v>
      </c>
      <c r="AA135" s="4">
        <v>-237697</v>
      </c>
      <c r="AB135" s="4">
        <v>481257</v>
      </c>
      <c r="AC135" s="4">
        <v>-242412</v>
      </c>
      <c r="AD135" s="4">
        <v>-58636</v>
      </c>
      <c r="AE135" s="4">
        <v>-28825</v>
      </c>
      <c r="AF135" s="4">
        <v>65860</v>
      </c>
      <c r="AG135" s="4">
        <v>-42729</v>
      </c>
      <c r="AH135" s="4">
        <v>-96571</v>
      </c>
      <c r="AI135" s="4">
        <v>690</v>
      </c>
      <c r="AJ135" s="4">
        <v>1171</v>
      </c>
      <c r="AK135" s="4">
        <v>-1749</v>
      </c>
      <c r="AL135" s="4">
        <v>-3658</v>
      </c>
      <c r="AN135" s="3">
        <v>45057</v>
      </c>
      <c r="AO135" s="4">
        <v>3.6</v>
      </c>
      <c r="AP135" s="4">
        <v>3.22</v>
      </c>
      <c r="AQ135" s="4">
        <v>4.032</v>
      </c>
      <c r="AR135" s="4">
        <v>10.414999999999999</v>
      </c>
      <c r="AS135" s="4">
        <f t="shared" si="18"/>
        <v>0.81199999999999983</v>
      </c>
      <c r="AT135" s="3">
        <v>45054</v>
      </c>
      <c r="AU135" s="4">
        <v>501660</v>
      </c>
      <c r="AV135" s="3">
        <v>45056</v>
      </c>
      <c r="AW135" s="4">
        <v>96038819</v>
      </c>
      <c r="AX135" s="4">
        <v>9748307</v>
      </c>
      <c r="AY135" s="4">
        <v>16201160</v>
      </c>
      <c r="AZ135" s="4">
        <v>120796670</v>
      </c>
      <c r="BA135" s="4">
        <v>181715969</v>
      </c>
      <c r="BB135" s="3">
        <v>45054</v>
      </c>
      <c r="BC135" s="4">
        <v>773225</v>
      </c>
    </row>
    <row r="136" spans="3:55">
      <c r="V136" s="3">
        <v>45035</v>
      </c>
      <c r="W136" s="4">
        <v>-7224</v>
      </c>
      <c r="X136" s="4">
        <v>-38497</v>
      </c>
      <c r="Y136" s="4">
        <v>44821</v>
      </c>
      <c r="Z136" s="4">
        <v>-10175</v>
      </c>
      <c r="AA136" s="4">
        <v>-120404</v>
      </c>
      <c r="AB136" s="4">
        <v>173179</v>
      </c>
      <c r="AC136" s="4">
        <v>-29532</v>
      </c>
      <c r="AD136" s="4">
        <v>9847</v>
      </c>
      <c r="AE136" s="4">
        <v>20286</v>
      </c>
      <c r="AF136" s="4">
        <v>12959</v>
      </c>
      <c r="AG136" s="4">
        <v>-34090</v>
      </c>
      <c r="AH136" s="4">
        <v>52640</v>
      </c>
      <c r="AI136" s="4">
        <v>6381</v>
      </c>
      <c r="AJ136" s="4">
        <v>-1793</v>
      </c>
      <c r="AK136" s="4">
        <v>-4176</v>
      </c>
      <c r="AL136" s="4">
        <v>722</v>
      </c>
      <c r="AN136" s="3">
        <v>45056</v>
      </c>
      <c r="AO136" s="4">
        <v>3.59</v>
      </c>
      <c r="AP136" s="4">
        <v>3.2730000000000001</v>
      </c>
      <c r="AQ136" s="4">
        <v>4.0860000000000003</v>
      </c>
      <c r="AR136" s="4">
        <v>10.468</v>
      </c>
      <c r="AS136" s="4">
        <f t="shared" si="18"/>
        <v>0.81300000000000017</v>
      </c>
      <c r="AT136" s="3">
        <v>45050</v>
      </c>
      <c r="AU136" s="4">
        <v>519978</v>
      </c>
      <c r="AV136" s="3">
        <v>45055</v>
      </c>
      <c r="AW136" s="4">
        <v>96199233</v>
      </c>
      <c r="AX136" s="4">
        <v>9749205</v>
      </c>
      <c r="AY136" s="4">
        <v>16210159</v>
      </c>
      <c r="AZ136" s="4">
        <v>120914724</v>
      </c>
      <c r="BA136" s="4">
        <v>185427878</v>
      </c>
      <c r="BB136" s="3">
        <v>45050</v>
      </c>
      <c r="BC136" s="4">
        <v>774285</v>
      </c>
    </row>
    <row r="137" spans="3:55">
      <c r="V137" s="3">
        <v>45034</v>
      </c>
      <c r="W137" s="4">
        <v>391271</v>
      </c>
      <c r="X137" s="4">
        <v>363454</v>
      </c>
      <c r="Y137" s="4">
        <v>-710151</v>
      </c>
      <c r="Z137" s="4">
        <v>-57339</v>
      </c>
      <c r="AA137" s="4">
        <v>-123857</v>
      </c>
      <c r="AB137" s="4">
        <v>267994</v>
      </c>
      <c r="AC137" s="4">
        <v>-118331</v>
      </c>
      <c r="AD137" s="4">
        <v>-23526</v>
      </c>
      <c r="AE137" s="4">
        <v>10482</v>
      </c>
      <c r="AF137" s="4">
        <v>17787</v>
      </c>
      <c r="AG137" s="4">
        <v>-34441</v>
      </c>
      <c r="AH137" s="4">
        <v>164832</v>
      </c>
      <c r="AI137" s="4">
        <v>-4279</v>
      </c>
      <c r="AJ137" s="4">
        <v>1542</v>
      </c>
      <c r="AK137" s="4">
        <v>2282</v>
      </c>
      <c r="AL137" s="4">
        <v>744</v>
      </c>
      <c r="AN137" s="3">
        <v>45055</v>
      </c>
      <c r="AO137" s="4">
        <v>3.55</v>
      </c>
      <c r="AP137" s="4">
        <v>3.2559999999999998</v>
      </c>
      <c r="AQ137" s="4">
        <v>4.069</v>
      </c>
      <c r="AR137" s="4">
        <v>10.45</v>
      </c>
      <c r="AS137" s="4">
        <f t="shared" si="18"/>
        <v>0.81300000000000017</v>
      </c>
      <c r="AT137" s="3">
        <v>45049</v>
      </c>
      <c r="AU137" s="4">
        <v>511502</v>
      </c>
      <c r="AV137" s="3">
        <v>45054</v>
      </c>
      <c r="AW137" s="4">
        <v>96219039</v>
      </c>
      <c r="AX137" s="4">
        <v>9755922</v>
      </c>
      <c r="AY137" s="4">
        <v>16194813</v>
      </c>
      <c r="AZ137" s="4">
        <v>120912758</v>
      </c>
      <c r="BA137" s="4">
        <v>187123347</v>
      </c>
      <c r="BB137" s="3">
        <v>45049</v>
      </c>
      <c r="BC137" s="4">
        <v>768728</v>
      </c>
    </row>
    <row r="138" spans="3:55">
      <c r="V138" s="3">
        <v>45033</v>
      </c>
      <c r="W138" s="4">
        <v>-13518</v>
      </c>
      <c r="X138" s="4">
        <v>337784</v>
      </c>
      <c r="Y138" s="4">
        <v>-323964</v>
      </c>
      <c r="Z138" s="4">
        <v>24086</v>
      </c>
      <c r="AA138" s="4">
        <v>-1208</v>
      </c>
      <c r="AB138" s="4">
        <v>245321</v>
      </c>
      <c r="AC138" s="4">
        <v>-220322</v>
      </c>
      <c r="AD138" s="4">
        <v>-19445</v>
      </c>
      <c r="AE138" s="4">
        <v>81282</v>
      </c>
      <c r="AF138" s="4">
        <v>-1723</v>
      </c>
      <c r="AG138" s="4">
        <v>-63157</v>
      </c>
      <c r="AH138" s="4">
        <v>-96891</v>
      </c>
      <c r="AI138" s="4">
        <v>480</v>
      </c>
      <c r="AJ138" s="4">
        <v>-6</v>
      </c>
      <c r="AK138" s="4">
        <v>-354</v>
      </c>
      <c r="AL138" s="4">
        <v>-828</v>
      </c>
      <c r="AN138" s="3">
        <v>45054</v>
      </c>
      <c r="AO138" s="4">
        <v>3.55</v>
      </c>
      <c r="AP138" s="4">
        <v>3.2610000000000001</v>
      </c>
      <c r="AQ138" s="4">
        <v>4.0789999999999997</v>
      </c>
      <c r="AR138" s="4">
        <v>10.458</v>
      </c>
      <c r="AS138" s="4">
        <f t="shared" si="18"/>
        <v>0.81799999999999962</v>
      </c>
      <c r="AT138" s="3">
        <v>45048</v>
      </c>
      <c r="AU138" s="4">
        <v>542422</v>
      </c>
      <c r="AV138" s="3">
        <v>45050</v>
      </c>
      <c r="AW138" s="4">
        <v>95655102</v>
      </c>
      <c r="AX138" s="4">
        <v>9752053</v>
      </c>
      <c r="AY138" s="4">
        <v>16202720</v>
      </c>
      <c r="AZ138" s="4">
        <v>120761220</v>
      </c>
      <c r="BA138" s="4">
        <v>186128620</v>
      </c>
      <c r="BB138" s="3">
        <v>45048</v>
      </c>
      <c r="BC138" s="4">
        <v>764221</v>
      </c>
    </row>
    <row r="139" spans="3:55">
      <c r="V139" s="3">
        <v>45030</v>
      </c>
      <c r="W139" s="4">
        <v>166951</v>
      </c>
      <c r="X139" s="4">
        <v>-436377</v>
      </c>
      <c r="Y139" s="4">
        <v>261437</v>
      </c>
      <c r="Z139" s="4">
        <v>-61598</v>
      </c>
      <c r="AA139" s="4">
        <v>7958</v>
      </c>
      <c r="AB139" s="4">
        <v>-84814</v>
      </c>
      <c r="AC139" s="4">
        <v>93966</v>
      </c>
      <c r="AD139" s="4">
        <v>-1195</v>
      </c>
      <c r="AE139" s="4">
        <v>10600</v>
      </c>
      <c r="AF139" s="4">
        <v>-39018</v>
      </c>
      <c r="AG139" s="4">
        <v>66406</v>
      </c>
      <c r="AH139" s="4">
        <v>-157024</v>
      </c>
      <c r="AI139" s="4">
        <v>-1638</v>
      </c>
      <c r="AJ139" s="4">
        <v>5679</v>
      </c>
      <c r="AK139" s="4">
        <v>-4164</v>
      </c>
      <c r="AL139" s="4">
        <v>-1811</v>
      </c>
      <c r="AN139" s="3">
        <v>45050</v>
      </c>
      <c r="AO139" s="4">
        <v>3.55</v>
      </c>
      <c r="AP139" s="4">
        <v>3.21</v>
      </c>
      <c r="AQ139" s="4">
        <v>4.03</v>
      </c>
      <c r="AR139" s="4">
        <v>10.411</v>
      </c>
      <c r="AS139" s="4">
        <f t="shared" si="18"/>
        <v>0.82000000000000028</v>
      </c>
      <c r="AT139" s="3">
        <v>45044</v>
      </c>
      <c r="AU139" s="4">
        <v>531420</v>
      </c>
      <c r="AV139" s="3">
        <v>45049</v>
      </c>
      <c r="AW139" s="4">
        <v>95890857</v>
      </c>
      <c r="AX139" s="4">
        <v>9754993</v>
      </c>
      <c r="AY139" s="4">
        <v>16184970</v>
      </c>
      <c r="AZ139" s="4">
        <v>120371552</v>
      </c>
      <c r="BA139" s="4">
        <v>185199125</v>
      </c>
      <c r="BB139" s="3">
        <v>45044</v>
      </c>
      <c r="BC139" s="4">
        <v>765857</v>
      </c>
    </row>
    <row r="140" spans="3:55">
      <c r="V140" s="3">
        <v>45029</v>
      </c>
      <c r="W140" s="4">
        <v>-346389</v>
      </c>
      <c r="X140" s="4">
        <v>-180493</v>
      </c>
      <c r="Y140" s="4">
        <v>497599</v>
      </c>
      <c r="Z140" s="4">
        <v>71607</v>
      </c>
      <c r="AA140" s="4">
        <v>94829</v>
      </c>
      <c r="AB140" s="4">
        <v>-64292</v>
      </c>
      <c r="AC140" s="4">
        <v>-7898</v>
      </c>
      <c r="AD140" s="4">
        <v>-78563</v>
      </c>
      <c r="AE140" s="4">
        <v>24807</v>
      </c>
      <c r="AF140" s="4">
        <v>30022</v>
      </c>
      <c r="AG140" s="4">
        <v>-56705</v>
      </c>
      <c r="AH140" s="4">
        <v>120601</v>
      </c>
      <c r="AI140" s="4">
        <v>-12</v>
      </c>
      <c r="AJ140" s="4">
        <v>-860</v>
      </c>
      <c r="AK140" s="4">
        <v>-26</v>
      </c>
      <c r="AL140" s="4">
        <v>-1783</v>
      </c>
      <c r="AN140" s="3">
        <v>45049</v>
      </c>
      <c r="AO140" s="4">
        <v>3.55</v>
      </c>
      <c r="AP140" s="4">
        <v>3.2810000000000001</v>
      </c>
      <c r="AQ140" s="4">
        <v>4.0940000000000003</v>
      </c>
      <c r="AR140" s="4">
        <v>10.473000000000001</v>
      </c>
      <c r="AS140" s="4">
        <f t="shared" si="18"/>
        <v>0.81300000000000017</v>
      </c>
      <c r="AT140" s="3">
        <v>45043</v>
      </c>
      <c r="AU140" s="4">
        <v>534928</v>
      </c>
      <c r="AV140" s="3">
        <v>45048</v>
      </c>
      <c r="AW140" s="4">
        <v>96602553</v>
      </c>
      <c r="AX140" s="4">
        <v>9749260</v>
      </c>
      <c r="AY140" s="4">
        <v>16197281</v>
      </c>
      <c r="AZ140" s="4">
        <v>119850227</v>
      </c>
      <c r="BA140" s="4">
        <v>180127510</v>
      </c>
      <c r="BB140" s="3">
        <v>45043</v>
      </c>
      <c r="BC140" s="4">
        <v>768396</v>
      </c>
    </row>
    <row r="141" spans="3:55">
      <c r="V141" s="3">
        <v>45028</v>
      </c>
      <c r="W141" s="4">
        <v>233489</v>
      </c>
      <c r="X141" s="4">
        <v>-108822</v>
      </c>
      <c r="Y141" s="4">
        <v>-146690</v>
      </c>
      <c r="Z141" s="4">
        <v>21658</v>
      </c>
      <c r="AA141" s="4">
        <v>212929</v>
      </c>
      <c r="AB141" s="4">
        <v>109650</v>
      </c>
      <c r="AC141" s="4">
        <v>-96154</v>
      </c>
      <c r="AD141" s="4">
        <v>-50857</v>
      </c>
      <c r="AE141" s="4">
        <v>11491</v>
      </c>
      <c r="AF141" s="4">
        <v>51528</v>
      </c>
      <c r="AG141" s="4">
        <v>-58544</v>
      </c>
      <c r="AH141" s="4">
        <v>-93023</v>
      </c>
      <c r="AI141" s="4">
        <v>9996</v>
      </c>
      <c r="AJ141" s="4">
        <v>-1006</v>
      </c>
      <c r="AK141" s="4">
        <v>-8811</v>
      </c>
      <c r="AL141" s="4">
        <v>-2174</v>
      </c>
      <c r="AN141" s="3">
        <v>45048</v>
      </c>
      <c r="AO141" s="4">
        <v>3.53</v>
      </c>
      <c r="AP141" s="4">
        <v>3.335</v>
      </c>
      <c r="AQ141" s="4">
        <v>4.1399999999999997</v>
      </c>
      <c r="AR141" s="4">
        <v>10.522</v>
      </c>
      <c r="AS141" s="4">
        <f t="shared" si="18"/>
        <v>0.80499999999999972</v>
      </c>
      <c r="AT141" s="3">
        <v>45042</v>
      </c>
      <c r="AU141" s="4">
        <v>534879</v>
      </c>
      <c r="AV141" s="3">
        <v>45044</v>
      </c>
      <c r="AW141" s="4">
        <v>96307659</v>
      </c>
      <c r="AX141" s="4">
        <v>9738078</v>
      </c>
      <c r="AY141" s="4">
        <v>16202460</v>
      </c>
      <c r="AZ141" s="4">
        <v>120732377</v>
      </c>
      <c r="BA141" s="4">
        <v>180304028</v>
      </c>
      <c r="BB141" s="3">
        <v>45042</v>
      </c>
      <c r="BC141" s="4">
        <v>766055</v>
      </c>
    </row>
    <row r="142" spans="3:55">
      <c r="V142" s="3">
        <v>45027</v>
      </c>
      <c r="W142" s="4">
        <v>183487</v>
      </c>
      <c r="X142" s="4">
        <v>-491616</v>
      </c>
      <c r="Y142" s="4">
        <v>294828</v>
      </c>
      <c r="Z142" s="4">
        <v>-18174</v>
      </c>
      <c r="AA142" s="4">
        <v>-55250</v>
      </c>
      <c r="AB142" s="4">
        <v>95625</v>
      </c>
      <c r="AC142" s="4">
        <v>2917</v>
      </c>
      <c r="AD142" s="4">
        <v>-8672</v>
      </c>
      <c r="AE142" s="4">
        <v>137999</v>
      </c>
      <c r="AF142" s="4">
        <v>13527</v>
      </c>
      <c r="AG142" s="4">
        <v>-150944</v>
      </c>
      <c r="AH142" s="4">
        <v>-57055</v>
      </c>
      <c r="AI142" s="4">
        <v>5575</v>
      </c>
      <c r="AJ142" s="4">
        <v>-3237</v>
      </c>
      <c r="AK142" s="4">
        <v>-1460</v>
      </c>
      <c r="AL142" s="4">
        <v>1063</v>
      </c>
      <c r="AN142" s="3">
        <v>45044</v>
      </c>
      <c r="AO142" s="4">
        <v>3.52</v>
      </c>
      <c r="AP142" s="4">
        <v>3.2930000000000001</v>
      </c>
      <c r="AQ142" s="4">
        <v>4.1050000000000004</v>
      </c>
      <c r="AR142" s="4">
        <v>10.486000000000001</v>
      </c>
      <c r="AS142" s="4">
        <f t="shared" si="18"/>
        <v>0.81200000000000028</v>
      </c>
      <c r="AT142" s="3">
        <v>45041</v>
      </c>
      <c r="AU142" s="4">
        <v>537717</v>
      </c>
      <c r="AV142" s="3">
        <v>45043</v>
      </c>
      <c r="AW142" s="4">
        <v>96032393</v>
      </c>
      <c r="AX142" s="4">
        <v>9737068</v>
      </c>
      <c r="AY142" s="4">
        <v>16173166</v>
      </c>
      <c r="AZ142" s="4">
        <v>120640012</v>
      </c>
      <c r="BA142" s="4">
        <v>189440343</v>
      </c>
      <c r="BB142" s="3">
        <v>45041</v>
      </c>
      <c r="BC142" s="4">
        <v>764357</v>
      </c>
    </row>
    <row r="143" spans="3:55">
      <c r="V143" s="3">
        <v>45026</v>
      </c>
      <c r="W143" s="4">
        <v>729531</v>
      </c>
      <c r="X143" s="4">
        <v>-673612</v>
      </c>
      <c r="Y143" s="4">
        <v>-28342</v>
      </c>
      <c r="Z143" s="4">
        <v>61961</v>
      </c>
      <c r="AA143" s="4">
        <v>-172291</v>
      </c>
      <c r="AB143" s="4">
        <v>549058</v>
      </c>
      <c r="AC143" s="4">
        <v>-306252</v>
      </c>
      <c r="AD143" s="4">
        <v>-38676</v>
      </c>
      <c r="AE143" s="4">
        <v>2963</v>
      </c>
      <c r="AF143" s="4">
        <v>23146</v>
      </c>
      <c r="AG143" s="4">
        <v>-33873</v>
      </c>
      <c r="AH143" s="4">
        <v>-178815</v>
      </c>
      <c r="AI143" s="4">
        <v>4211</v>
      </c>
      <c r="AJ143" s="4">
        <v>-749</v>
      </c>
      <c r="AK143" s="4">
        <v>-3423</v>
      </c>
      <c r="AL143" s="4">
        <v>-2863</v>
      </c>
      <c r="AN143" s="3">
        <v>45043</v>
      </c>
      <c r="AO143" s="4">
        <v>3.52</v>
      </c>
      <c r="AP143" s="4">
        <v>3.2879999999999998</v>
      </c>
      <c r="AQ143" s="4">
        <v>4.0940000000000003</v>
      </c>
      <c r="AR143" s="4">
        <v>10.476000000000001</v>
      </c>
      <c r="AS143" s="4">
        <f t="shared" si="18"/>
        <v>0.80600000000000049</v>
      </c>
      <c r="AT143" s="3">
        <v>45040</v>
      </c>
      <c r="AU143" s="4">
        <v>533475</v>
      </c>
      <c r="AV143" s="3">
        <v>45042</v>
      </c>
      <c r="AW143" s="4">
        <v>95713004</v>
      </c>
      <c r="AX143" s="4">
        <v>9722620</v>
      </c>
      <c r="AY143" s="4">
        <v>16191941</v>
      </c>
      <c r="AZ143" s="4">
        <v>120688353</v>
      </c>
      <c r="BA143" s="4">
        <v>188076214</v>
      </c>
      <c r="BB143" s="3">
        <v>45040</v>
      </c>
      <c r="BC143" s="4">
        <v>770500</v>
      </c>
    </row>
    <row r="144" spans="3:55">
      <c r="V144" s="3">
        <v>45023</v>
      </c>
      <c r="W144" s="4">
        <v>693430</v>
      </c>
      <c r="X144" s="4">
        <v>-1016411</v>
      </c>
      <c r="Y144" s="4">
        <v>286289</v>
      </c>
      <c r="Z144" s="4">
        <v>70992</v>
      </c>
      <c r="AA144" s="4">
        <v>96190</v>
      </c>
      <c r="AB144" s="4">
        <v>-219469</v>
      </c>
      <c r="AC144" s="4">
        <v>131179</v>
      </c>
      <c r="AD144" s="4">
        <v>7840</v>
      </c>
      <c r="AE144" s="4">
        <v>5329</v>
      </c>
      <c r="AF144" s="4">
        <v>-18853</v>
      </c>
      <c r="AG144" s="4">
        <v>41086</v>
      </c>
      <c r="AH144" s="4">
        <v>119641</v>
      </c>
      <c r="AI144" s="4">
        <v>10959</v>
      </c>
      <c r="AJ144" s="4">
        <v>-3532</v>
      </c>
      <c r="AK144" s="4">
        <v>-6459</v>
      </c>
      <c r="AL144" s="4">
        <v>7322</v>
      </c>
      <c r="AN144" s="3">
        <v>45042</v>
      </c>
      <c r="AO144" s="4">
        <v>3.5</v>
      </c>
      <c r="AP144" s="4">
        <v>3.2589999999999999</v>
      </c>
      <c r="AQ144" s="4">
        <v>4.069</v>
      </c>
      <c r="AR144" s="4">
        <v>10.45</v>
      </c>
      <c r="AS144" s="4">
        <f t="shared" si="18"/>
        <v>0.81</v>
      </c>
      <c r="AT144" s="3">
        <v>45037</v>
      </c>
      <c r="AU144" s="4">
        <v>532008</v>
      </c>
      <c r="AV144" s="3">
        <v>45041</v>
      </c>
      <c r="AW144" s="4">
        <v>96055917</v>
      </c>
      <c r="AX144" s="4">
        <v>9726325</v>
      </c>
      <c r="AY144" s="4">
        <v>16246364</v>
      </c>
      <c r="AZ144" s="4">
        <v>121821936</v>
      </c>
      <c r="BA144" s="4">
        <v>185652453</v>
      </c>
      <c r="BB144" s="3">
        <v>45037</v>
      </c>
      <c r="BC144" s="4">
        <v>769005</v>
      </c>
    </row>
    <row r="145" spans="9:55">
      <c r="V145" s="3">
        <v>45022</v>
      </c>
      <c r="W145" s="4">
        <v>-487860</v>
      </c>
      <c r="X145" s="4">
        <v>956128</v>
      </c>
      <c r="Y145" s="4">
        <v>-498107</v>
      </c>
      <c r="Z145" s="4">
        <v>-49499</v>
      </c>
      <c r="AA145" s="4">
        <v>-209669</v>
      </c>
      <c r="AB145" s="4">
        <v>335676</v>
      </c>
      <c r="AC145" s="4">
        <v>-118695</v>
      </c>
      <c r="AD145" s="4">
        <v>-4448</v>
      </c>
      <c r="AE145" s="4">
        <v>23605</v>
      </c>
      <c r="AF145" s="4">
        <v>-16519</v>
      </c>
      <c r="AG145" s="4">
        <v>-5218</v>
      </c>
      <c r="AH145" s="4">
        <v>106406</v>
      </c>
      <c r="AI145" s="4">
        <v>-24074</v>
      </c>
      <c r="AJ145" s="4">
        <v>9192</v>
      </c>
      <c r="AK145" s="4">
        <v>13347</v>
      </c>
      <c r="AL145" s="4">
        <v>-3712</v>
      </c>
      <c r="AN145" s="3">
        <v>45041</v>
      </c>
      <c r="AO145" s="4">
        <v>3.49</v>
      </c>
      <c r="AP145" s="4">
        <v>3.2650000000000001</v>
      </c>
      <c r="AQ145" s="4">
        <v>4.0759999999999996</v>
      </c>
      <c r="AR145" s="4">
        <v>10.459</v>
      </c>
      <c r="AS145" s="4">
        <f t="shared" si="18"/>
        <v>0.8109999999999995</v>
      </c>
      <c r="AT145" s="3">
        <v>45036</v>
      </c>
      <c r="AU145" s="4">
        <v>526479</v>
      </c>
      <c r="AV145" s="3">
        <v>45040</v>
      </c>
      <c r="AW145" s="4">
        <v>97094264</v>
      </c>
      <c r="AX145" s="4">
        <v>9731198</v>
      </c>
      <c r="AY145" s="4">
        <v>16250488</v>
      </c>
      <c r="AZ145" s="4">
        <v>121762389</v>
      </c>
      <c r="BA145" s="4">
        <v>188067317</v>
      </c>
      <c r="BB145" s="3">
        <v>45036</v>
      </c>
      <c r="BC145" s="4">
        <v>765465</v>
      </c>
    </row>
    <row r="146" spans="9:55">
      <c r="I146" s="43"/>
      <c r="V146" s="3">
        <v>45021</v>
      </c>
      <c r="W146" s="4">
        <v>-18579</v>
      </c>
      <c r="X146" s="4">
        <v>-276284</v>
      </c>
      <c r="Y146" s="4">
        <v>301209</v>
      </c>
      <c r="Z146" s="4">
        <v>25359</v>
      </c>
      <c r="AA146" s="4">
        <v>187386</v>
      </c>
      <c r="AB146" s="4">
        <v>-216321</v>
      </c>
      <c r="AC146" s="4">
        <v>71138</v>
      </c>
      <c r="AD146" s="4">
        <v>31068</v>
      </c>
      <c r="AE146" s="4">
        <v>2925</v>
      </c>
      <c r="AF146" s="4">
        <v>64390</v>
      </c>
      <c r="AG146" s="4">
        <v>-59689</v>
      </c>
      <c r="AH146" s="4">
        <v>-168846</v>
      </c>
      <c r="AI146" s="4">
        <v>7526</v>
      </c>
      <c r="AJ146" s="4">
        <v>-2444</v>
      </c>
      <c r="AK146" s="4">
        <v>-5003</v>
      </c>
      <c r="AL146" s="4">
        <v>-1238</v>
      </c>
      <c r="AN146" s="3">
        <v>45040</v>
      </c>
      <c r="AO146" s="4">
        <v>3.49</v>
      </c>
      <c r="AP146" s="4">
        <v>3.23</v>
      </c>
      <c r="AQ146" s="4">
        <v>4.0510000000000002</v>
      </c>
      <c r="AR146" s="4">
        <v>10.433</v>
      </c>
      <c r="AS146" s="4">
        <f t="shared" si="18"/>
        <v>0.82100000000000017</v>
      </c>
      <c r="AT146" s="3">
        <v>45035</v>
      </c>
      <c r="AU146" s="4">
        <v>520933</v>
      </c>
      <c r="AV146" s="3">
        <v>45037</v>
      </c>
      <c r="AW146" s="4">
        <v>97399970</v>
      </c>
      <c r="AX146" s="4">
        <v>9744074</v>
      </c>
      <c r="AY146" s="4">
        <v>16210000</v>
      </c>
      <c r="AZ146" s="4">
        <v>121750228</v>
      </c>
      <c r="BA146" s="4">
        <v>188609180</v>
      </c>
      <c r="BB146" s="3">
        <v>45035</v>
      </c>
      <c r="BC146" s="4">
        <v>760794</v>
      </c>
    </row>
    <row r="147" spans="9:55">
      <c r="V147" s="3">
        <v>45020</v>
      </c>
      <c r="W147" s="4">
        <v>-310846</v>
      </c>
      <c r="X147" s="4">
        <v>80558</v>
      </c>
      <c r="Y147" s="4">
        <v>214168</v>
      </c>
      <c r="Z147" s="4">
        <v>43037</v>
      </c>
      <c r="AA147" s="4">
        <v>-76128</v>
      </c>
      <c r="AB147" s="4">
        <v>130909</v>
      </c>
      <c r="AC147" s="4">
        <v>-11220</v>
      </c>
      <c r="AD147" s="4">
        <v>-25527</v>
      </c>
      <c r="AE147" s="4">
        <v>-33108</v>
      </c>
      <c r="AF147" s="4">
        <v>34966</v>
      </c>
      <c r="AG147" s="4">
        <v>6507</v>
      </c>
      <c r="AH147" s="4">
        <v>142271</v>
      </c>
      <c r="AI147" s="4">
        <v>8179</v>
      </c>
      <c r="AJ147" s="4">
        <v>-2974</v>
      </c>
      <c r="AK147" s="4">
        <v>-5001</v>
      </c>
      <c r="AL147" s="4">
        <v>3470</v>
      </c>
      <c r="AN147" s="3">
        <v>45037</v>
      </c>
      <c r="AO147" s="4">
        <v>3.49</v>
      </c>
      <c r="AP147" s="4">
        <v>3.2669999999999999</v>
      </c>
      <c r="AQ147" s="4">
        <v>4.0830000000000002</v>
      </c>
      <c r="AR147" s="4">
        <v>10.468</v>
      </c>
      <c r="AS147" s="4">
        <f t="shared" si="18"/>
        <v>0.81600000000000028</v>
      </c>
      <c r="AT147" s="3">
        <v>45034</v>
      </c>
      <c r="AU147" s="4">
        <v>536304</v>
      </c>
      <c r="AV147" s="3">
        <v>45036</v>
      </c>
      <c r="AW147" s="4">
        <v>97807115</v>
      </c>
      <c r="AX147" s="4">
        <v>9755239</v>
      </c>
      <c r="AY147" s="4">
        <v>16209479</v>
      </c>
      <c r="AZ147" s="4">
        <v>121581902</v>
      </c>
      <c r="BA147" s="4">
        <v>189214379</v>
      </c>
      <c r="BB147" s="3">
        <v>45034</v>
      </c>
      <c r="BC147" s="4">
        <v>760866</v>
      </c>
    </row>
    <row r="148" spans="9:55">
      <c r="V148" s="3">
        <v>45019</v>
      </c>
      <c r="W148" s="4">
        <v>-162419</v>
      </c>
      <c r="X148" s="4">
        <v>486215</v>
      </c>
      <c r="Y148" s="4">
        <v>-341203</v>
      </c>
      <c r="Z148" s="4">
        <v>26773</v>
      </c>
      <c r="AA148" s="4">
        <v>10069</v>
      </c>
      <c r="AB148" s="4">
        <v>97647</v>
      </c>
      <c r="AC148" s="4">
        <v>-89574</v>
      </c>
      <c r="AD148" s="4">
        <v>5776</v>
      </c>
      <c r="AE148" s="4">
        <v>22210</v>
      </c>
      <c r="AF148" s="4">
        <v>-29597</v>
      </c>
      <c r="AG148" s="4">
        <v>2886</v>
      </c>
      <c r="AH148" s="4">
        <v>-53327</v>
      </c>
      <c r="AI148" s="4">
        <v>-13255</v>
      </c>
      <c r="AJ148" s="4">
        <v>3550</v>
      </c>
      <c r="AK148" s="4">
        <v>10207</v>
      </c>
      <c r="AL148" s="4">
        <v>-3947</v>
      </c>
      <c r="AN148" s="3">
        <v>45036</v>
      </c>
      <c r="AO148" s="4">
        <v>3.47</v>
      </c>
      <c r="AP148" s="4">
        <v>3.3340000000000001</v>
      </c>
      <c r="AQ148" s="4">
        <v>4.1459999999999999</v>
      </c>
      <c r="AR148" s="4">
        <v>10.532</v>
      </c>
      <c r="AS148" s="4">
        <f t="shared" si="18"/>
        <v>0.81199999999999983</v>
      </c>
      <c r="AT148" s="3">
        <v>45033</v>
      </c>
      <c r="AU148" s="4">
        <v>528915</v>
      </c>
      <c r="AV148" s="3">
        <v>45035</v>
      </c>
      <c r="AW148" s="4">
        <v>98505152</v>
      </c>
      <c r="AX148" s="4">
        <v>9755949</v>
      </c>
      <c r="AY148" s="4">
        <v>16264099</v>
      </c>
      <c r="AZ148" s="4">
        <v>121690568</v>
      </c>
      <c r="BA148" s="4">
        <v>190930933</v>
      </c>
      <c r="BB148" s="3">
        <v>45033</v>
      </c>
      <c r="BC148" s="4">
        <v>764260</v>
      </c>
    </row>
    <row r="149" spans="9:55">
      <c r="V149" s="3">
        <v>45016</v>
      </c>
      <c r="W149" s="4">
        <v>684006</v>
      </c>
      <c r="X149" s="4">
        <v>-721671</v>
      </c>
      <c r="Y149" s="4">
        <v>36939</v>
      </c>
      <c r="Z149" s="4">
        <v>15177</v>
      </c>
      <c r="AA149" s="4">
        <v>-139638</v>
      </c>
      <c r="AB149" s="4">
        <v>177742</v>
      </c>
      <c r="AC149" s="4">
        <v>-6902</v>
      </c>
      <c r="AD149" s="4">
        <v>-1989</v>
      </c>
      <c r="AE149" s="4">
        <v>-18064</v>
      </c>
      <c r="AF149" s="4">
        <v>25115</v>
      </c>
      <c r="AG149" s="4">
        <v>8179</v>
      </c>
      <c r="AH149" s="4">
        <v>53124</v>
      </c>
      <c r="AI149" s="4">
        <v>9068</v>
      </c>
      <c r="AJ149" s="4">
        <v>-1941</v>
      </c>
      <c r="AK149" s="4">
        <v>-7090</v>
      </c>
      <c r="AL149" s="4">
        <v>2054</v>
      </c>
      <c r="AN149" s="3">
        <v>45035</v>
      </c>
      <c r="AO149" s="4">
        <v>3.45</v>
      </c>
      <c r="AP149" s="4">
        <v>3.3370000000000002</v>
      </c>
      <c r="AQ149" s="4">
        <v>4.1459999999999999</v>
      </c>
      <c r="AR149" s="4">
        <v>10.532</v>
      </c>
      <c r="AS149" s="4">
        <f t="shared" si="18"/>
        <v>0.80899999999999972</v>
      </c>
      <c r="AT149" s="3">
        <v>45030</v>
      </c>
      <c r="AU149" s="4">
        <v>523987</v>
      </c>
      <c r="AV149" s="3">
        <v>45034</v>
      </c>
      <c r="AW149" s="4">
        <v>98586642</v>
      </c>
      <c r="AX149" s="4">
        <v>9758056</v>
      </c>
      <c r="AY149" s="4">
        <v>16275596</v>
      </c>
      <c r="AZ149" s="4">
        <v>121256905</v>
      </c>
      <c r="BA149" s="4">
        <v>191281005</v>
      </c>
      <c r="BB149" s="3">
        <v>45030</v>
      </c>
      <c r="BC149" s="4">
        <v>758037</v>
      </c>
    </row>
    <row r="150" spans="9:55">
      <c r="V150" s="3">
        <v>45015</v>
      </c>
      <c r="W150" s="4">
        <v>263707</v>
      </c>
      <c r="X150" s="4">
        <v>-111452</v>
      </c>
      <c r="Y150" s="4">
        <v>-428859</v>
      </c>
      <c r="Z150" s="4">
        <v>-18747</v>
      </c>
      <c r="AA150" s="4">
        <v>-120517</v>
      </c>
      <c r="AB150" s="4">
        <v>121680</v>
      </c>
      <c r="AC150" s="4">
        <v>19162</v>
      </c>
      <c r="AD150" s="4">
        <v>29418</v>
      </c>
      <c r="AE150" s="4">
        <v>220881</v>
      </c>
      <c r="AF150" s="4">
        <v>25291</v>
      </c>
      <c r="AG150" s="4">
        <v>-246437</v>
      </c>
      <c r="AH150" s="4">
        <v>-143853</v>
      </c>
      <c r="AI150" s="4">
        <v>9674</v>
      </c>
      <c r="AJ150" s="4">
        <v>-1736</v>
      </c>
      <c r="AK150" s="4">
        <v>-7521</v>
      </c>
      <c r="AL150" s="4">
        <v>-881</v>
      </c>
      <c r="AN150" s="3">
        <v>45034</v>
      </c>
      <c r="AO150" s="4">
        <v>3.44</v>
      </c>
      <c r="AP150" s="4">
        <v>3.294</v>
      </c>
      <c r="AQ150" s="4">
        <v>4.101</v>
      </c>
      <c r="AR150" s="4">
        <v>10.49</v>
      </c>
      <c r="AS150" s="4">
        <f t="shared" si="18"/>
        <v>0.80699999999999994</v>
      </c>
      <c r="AT150" s="3">
        <v>45029</v>
      </c>
      <c r="AU150" s="4">
        <v>536240</v>
      </c>
      <c r="AV150" s="3">
        <v>45033</v>
      </c>
      <c r="AW150" s="4">
        <v>98335338</v>
      </c>
      <c r="AX150" s="4">
        <v>9761099</v>
      </c>
      <c r="AY150" s="4">
        <v>16268953</v>
      </c>
      <c r="AZ150" s="4">
        <v>121116117</v>
      </c>
      <c r="BA150" s="4">
        <v>192434503</v>
      </c>
      <c r="BB150" s="3">
        <v>45029</v>
      </c>
      <c r="BC150" s="4">
        <v>754568</v>
      </c>
    </row>
    <row r="151" spans="9:55" hidden="1">
      <c r="V151" s="3">
        <v>45014</v>
      </c>
      <c r="W151" s="4">
        <v>24717</v>
      </c>
      <c r="X151" s="4">
        <v>-333950</v>
      </c>
      <c r="Y151" s="4">
        <v>328327</v>
      </c>
      <c r="Z151" s="4">
        <v>17520</v>
      </c>
      <c r="AA151" s="4">
        <v>77964</v>
      </c>
      <c r="AB151" s="4">
        <v>-39948</v>
      </c>
      <c r="AC151" s="4">
        <v>-27094</v>
      </c>
      <c r="AD151" s="4">
        <v>14432</v>
      </c>
      <c r="AE151" s="4">
        <v>20743</v>
      </c>
      <c r="AF151" s="4">
        <v>-5556</v>
      </c>
      <c r="AG151" s="4">
        <v>-10874</v>
      </c>
      <c r="AH151" s="4">
        <v>4068</v>
      </c>
      <c r="AI151" s="4">
        <v>-3766</v>
      </c>
      <c r="AJ151" s="4">
        <v>522</v>
      </c>
      <c r="AK151" s="4">
        <v>4080</v>
      </c>
      <c r="AL151" s="4">
        <v>390</v>
      </c>
      <c r="AN151" s="3">
        <v>45033</v>
      </c>
      <c r="AO151" s="4">
        <v>3.43</v>
      </c>
      <c r="AP151" s="4">
        <v>3.2869999999999999</v>
      </c>
      <c r="AQ151" s="4">
        <v>4.0919999999999996</v>
      </c>
      <c r="AR151" s="4">
        <v>10.483000000000001</v>
      </c>
      <c r="AS151" s="4">
        <f t="shared" si="18"/>
        <v>0.80499999999999972</v>
      </c>
      <c r="AT151" s="3">
        <v>45028</v>
      </c>
      <c r="AU151" s="4">
        <v>531579</v>
      </c>
      <c r="AV151" s="3">
        <v>45030</v>
      </c>
      <c r="AW151" s="4">
        <v>98169598</v>
      </c>
      <c r="AX151" s="4">
        <v>9753580</v>
      </c>
      <c r="AY151" s="4">
        <v>16295116</v>
      </c>
      <c r="AZ151" s="4">
        <v>121116742</v>
      </c>
      <c r="BA151" s="4">
        <v>192493141</v>
      </c>
      <c r="BB151" s="3">
        <v>45028</v>
      </c>
      <c r="BC151" s="4">
        <v>747883</v>
      </c>
    </row>
    <row r="152" spans="9:55" ht="14.25" hidden="1" customHeight="1">
      <c r="V152" s="3">
        <v>45013</v>
      </c>
      <c r="W152" s="4">
        <v>-42755</v>
      </c>
      <c r="X152" s="4">
        <v>-279641</v>
      </c>
      <c r="Y152" s="4">
        <v>323063</v>
      </c>
      <c r="Z152" s="4">
        <v>7868</v>
      </c>
      <c r="AA152" s="4">
        <v>-113843</v>
      </c>
      <c r="AB152" s="4">
        <v>89885</v>
      </c>
      <c r="AC152" s="4">
        <v>44508</v>
      </c>
      <c r="AD152" s="4">
        <v>-579</v>
      </c>
      <c r="AE152" s="4">
        <v>-36401</v>
      </c>
      <c r="AF152" s="4">
        <v>37078</v>
      </c>
      <c r="AG152" s="4">
        <v>6049</v>
      </c>
      <c r="AH152" s="4">
        <v>-67819</v>
      </c>
      <c r="AI152" s="4">
        <v>8469</v>
      </c>
      <c r="AJ152" s="4">
        <v>-2665</v>
      </c>
      <c r="AK152" s="4">
        <v>-5304</v>
      </c>
      <c r="AL152" s="4">
        <v>2916</v>
      </c>
      <c r="AN152" s="3">
        <v>45030</v>
      </c>
      <c r="AO152" s="4">
        <v>3.43</v>
      </c>
      <c r="AP152" s="4">
        <v>3.2149999999999999</v>
      </c>
      <c r="AQ152" s="4">
        <v>4.0220000000000002</v>
      </c>
      <c r="AR152" s="4">
        <v>10.413</v>
      </c>
      <c r="AS152" s="4">
        <f t="shared" si="18"/>
        <v>0.80700000000000038</v>
      </c>
      <c r="AT152" s="3">
        <v>45027</v>
      </c>
      <c r="AU152" s="4">
        <v>531579</v>
      </c>
      <c r="AV152" s="3">
        <v>45029</v>
      </c>
      <c r="AW152" s="4">
        <v>97896578</v>
      </c>
      <c r="AX152" s="4">
        <v>9757555</v>
      </c>
      <c r="AY152" s="4">
        <v>16256569</v>
      </c>
      <c r="AZ152" s="4">
        <v>120860447</v>
      </c>
      <c r="BA152" s="4">
        <v>191483018</v>
      </c>
      <c r="BB152" s="3">
        <v>45027</v>
      </c>
      <c r="BC152" s="4">
        <v>747883</v>
      </c>
    </row>
    <row r="153" spans="9:55" hidden="1">
      <c r="V153" s="3">
        <v>45012</v>
      </c>
      <c r="W153" s="4">
        <v>-94795</v>
      </c>
      <c r="X153" s="4">
        <v>34376</v>
      </c>
      <c r="Y153" s="4">
        <v>69706</v>
      </c>
      <c r="Z153" s="4">
        <v>-40947</v>
      </c>
      <c r="AA153" s="4">
        <v>-299349</v>
      </c>
      <c r="AB153" s="4">
        <v>417615</v>
      </c>
      <c r="AC153" s="4">
        <v>-111582</v>
      </c>
      <c r="AD153" s="4">
        <v>13354</v>
      </c>
      <c r="AE153" s="4">
        <v>18334</v>
      </c>
      <c r="AF153" s="4">
        <v>-20673</v>
      </c>
      <c r="AG153" s="4">
        <v>43189</v>
      </c>
      <c r="AH153" s="4">
        <v>60834</v>
      </c>
      <c r="AI153" s="4">
        <v>-2736</v>
      </c>
      <c r="AJ153" s="4">
        <v>438</v>
      </c>
      <c r="AK153" s="4">
        <v>2516</v>
      </c>
      <c r="AL153" s="4">
        <v>1210</v>
      </c>
      <c r="AN153" s="3">
        <v>45029</v>
      </c>
      <c r="AO153" s="4">
        <v>3.43</v>
      </c>
      <c r="AP153" s="4">
        <v>3.1989999999999998</v>
      </c>
      <c r="AQ153" s="4">
        <v>4.0090000000000003</v>
      </c>
      <c r="AR153" s="4">
        <v>10.4</v>
      </c>
      <c r="AS153" s="4">
        <f t="shared" si="18"/>
        <v>0.8100000000000005</v>
      </c>
      <c r="AT153" s="3">
        <v>45026</v>
      </c>
      <c r="AU153" s="4">
        <v>496819</v>
      </c>
      <c r="AV153" s="3">
        <v>45028</v>
      </c>
      <c r="AW153" s="4">
        <v>98035112</v>
      </c>
      <c r="AX153" s="4">
        <v>9750874</v>
      </c>
      <c r="AY153" s="4">
        <v>16280451</v>
      </c>
      <c r="AZ153" s="4">
        <v>120541790</v>
      </c>
      <c r="BA153" s="4">
        <v>189786625</v>
      </c>
      <c r="BB153" s="3">
        <v>45026</v>
      </c>
      <c r="BC153" s="4">
        <v>746392</v>
      </c>
    </row>
    <row r="154" spans="9:55" hidden="1">
      <c r="V154" s="3">
        <v>45009</v>
      </c>
      <c r="W154" s="4">
        <v>128276</v>
      </c>
      <c r="X154" s="4">
        <v>181710</v>
      </c>
      <c r="Y154" s="4">
        <v>-215337</v>
      </c>
      <c r="Z154" s="4">
        <v>37913</v>
      </c>
      <c r="AA154" s="4">
        <v>-241838</v>
      </c>
      <c r="AB154" s="4">
        <v>342895</v>
      </c>
      <c r="AC154" s="4">
        <v>-98433</v>
      </c>
      <c r="AD154" s="4">
        <v>7616</v>
      </c>
      <c r="AE154" s="4">
        <v>26129</v>
      </c>
      <c r="AF154" s="4">
        <v>-31355</v>
      </c>
      <c r="AG154" s="4">
        <v>-881</v>
      </c>
      <c r="AH154" s="4">
        <v>57716</v>
      </c>
      <c r="AI154" s="4">
        <v>-9990</v>
      </c>
      <c r="AJ154" s="4">
        <v>3638</v>
      </c>
      <c r="AK154" s="4">
        <v>4695</v>
      </c>
      <c r="AL154" s="4">
        <v>-41</v>
      </c>
      <c r="AN154" s="3">
        <v>45028</v>
      </c>
      <c r="AO154" s="4">
        <v>3.43</v>
      </c>
      <c r="AP154" s="4">
        <v>3.2330000000000001</v>
      </c>
      <c r="AQ154" s="4">
        <v>4.0419999999999998</v>
      </c>
      <c r="AR154" s="4">
        <v>10.433999999999999</v>
      </c>
      <c r="AS154" s="4">
        <f t="shared" si="18"/>
        <v>0.80899999999999972</v>
      </c>
      <c r="AT154" s="3">
        <v>45023</v>
      </c>
      <c r="AU154" s="4">
        <v>510225</v>
      </c>
      <c r="AV154" s="3">
        <v>45027</v>
      </c>
      <c r="AW154" s="4">
        <v>97931294</v>
      </c>
      <c r="AX154" s="4">
        <v>9751794</v>
      </c>
      <c r="AY154" s="4">
        <v>16346238</v>
      </c>
      <c r="AZ154" s="4">
        <v>120024779</v>
      </c>
      <c r="BA154" s="4">
        <v>186032490</v>
      </c>
      <c r="BB154" s="3">
        <v>45023</v>
      </c>
      <c r="BC154" s="4">
        <v>747775</v>
      </c>
    </row>
    <row r="155" spans="9:55" hidden="1">
      <c r="V155" s="3">
        <v>45008</v>
      </c>
      <c r="W155" s="4">
        <v>212870</v>
      </c>
      <c r="X155" s="4">
        <v>-412223</v>
      </c>
      <c r="Y155" s="4">
        <v>214889</v>
      </c>
      <c r="Z155" s="4">
        <v>4975</v>
      </c>
      <c r="AA155" s="4">
        <v>106218</v>
      </c>
      <c r="AB155" s="4">
        <v>-170050</v>
      </c>
      <c r="AC155" s="4">
        <v>70925</v>
      </c>
      <c r="AD155" s="4">
        <v>44447</v>
      </c>
      <c r="AE155" s="4">
        <v>16919</v>
      </c>
      <c r="AF155" s="4">
        <v>11192</v>
      </c>
      <c r="AG155" s="4">
        <v>-55251</v>
      </c>
      <c r="AH155" s="4">
        <v>-50961</v>
      </c>
      <c r="AI155" s="4">
        <v>301</v>
      </c>
      <c r="AJ155" s="4">
        <v>247</v>
      </c>
      <c r="AK155" s="4">
        <v>-576</v>
      </c>
      <c r="AL155" s="4">
        <v>-1603</v>
      </c>
      <c r="AN155" s="3">
        <v>45027</v>
      </c>
      <c r="AO155" s="4">
        <v>3.48</v>
      </c>
      <c r="AP155" s="4">
        <v>3.2309999999999999</v>
      </c>
      <c r="AQ155" s="4">
        <v>4.0410000000000004</v>
      </c>
      <c r="AR155" s="4">
        <v>10.430999999999999</v>
      </c>
      <c r="AS155" s="4">
        <f t="shared" si="18"/>
        <v>0.8100000000000005</v>
      </c>
      <c r="AT155" s="3">
        <v>45022</v>
      </c>
      <c r="AU155" s="4">
        <v>503331</v>
      </c>
      <c r="AV155" s="3">
        <v>45026</v>
      </c>
      <c r="AW155" s="4">
        <v>97476344</v>
      </c>
      <c r="AX155" s="4">
        <v>9751902</v>
      </c>
      <c r="AY155" s="4">
        <v>16354864</v>
      </c>
      <c r="AZ155" s="4">
        <v>119863523</v>
      </c>
      <c r="BA155" s="4">
        <v>187931070</v>
      </c>
      <c r="BB155" s="3">
        <v>45022</v>
      </c>
      <c r="BC155" s="4">
        <v>744220</v>
      </c>
    </row>
    <row r="156" spans="9:55" hidden="1">
      <c r="V156" s="3">
        <v>45007</v>
      </c>
      <c r="W156" s="4">
        <v>203118</v>
      </c>
      <c r="X156" s="4">
        <v>-347093</v>
      </c>
      <c r="Y156" s="4">
        <v>142786</v>
      </c>
      <c r="Z156" s="4">
        <v>15849</v>
      </c>
      <c r="AA156" s="4">
        <v>38422</v>
      </c>
      <c r="AB156" s="4">
        <v>-73850</v>
      </c>
      <c r="AC156" s="4">
        <v>69663</v>
      </c>
      <c r="AD156" s="4">
        <v>26228</v>
      </c>
      <c r="AE156" s="4">
        <v>-6941</v>
      </c>
      <c r="AF156" s="4">
        <v>-930</v>
      </c>
      <c r="AG156" s="4">
        <v>17036</v>
      </c>
      <c r="AH156" s="4">
        <v>-101053</v>
      </c>
      <c r="AI156" s="4">
        <v>3933</v>
      </c>
      <c r="AJ156" s="4">
        <v>-1979</v>
      </c>
      <c r="AK156" s="4">
        <v>-1809</v>
      </c>
      <c r="AL156" s="4">
        <v>2960</v>
      </c>
      <c r="AN156" s="3">
        <v>45026</v>
      </c>
      <c r="AO156" s="4">
        <v>3.51</v>
      </c>
      <c r="AP156" s="4">
        <v>3.1920000000000002</v>
      </c>
      <c r="AQ156" s="4">
        <v>4.0039999999999996</v>
      </c>
      <c r="AR156" s="4">
        <v>10.394</v>
      </c>
      <c r="AS156" s="4">
        <f t="shared" si="18"/>
        <v>0.81199999999999939</v>
      </c>
      <c r="AT156" s="3">
        <v>45021</v>
      </c>
      <c r="AU156" s="4">
        <v>491181</v>
      </c>
      <c r="AV156" s="3">
        <v>45023</v>
      </c>
      <c r="AW156" s="4">
        <v>97118999</v>
      </c>
      <c r="AX156" s="4">
        <v>9759755</v>
      </c>
      <c r="AY156" s="4">
        <v>16360491</v>
      </c>
      <c r="AZ156" s="4">
        <v>119805792</v>
      </c>
      <c r="BA156" s="4">
        <v>187948717</v>
      </c>
      <c r="BB156" s="3">
        <v>45021</v>
      </c>
      <c r="BC156" s="4">
        <v>736248</v>
      </c>
    </row>
    <row r="157" spans="9:55" hidden="1">
      <c r="V157" s="3">
        <v>45006</v>
      </c>
      <c r="W157" s="4">
        <v>-55338</v>
      </c>
      <c r="X157" s="4">
        <v>-83909</v>
      </c>
      <c r="Y157" s="4">
        <v>114020</v>
      </c>
      <c r="Z157" s="4">
        <v>27180</v>
      </c>
      <c r="AA157" s="4">
        <v>-165339</v>
      </c>
      <c r="AB157" s="4">
        <v>194934</v>
      </c>
      <c r="AC157" s="4">
        <v>-14705</v>
      </c>
      <c r="AD157" s="4">
        <v>-6071</v>
      </c>
      <c r="AE157" s="4">
        <v>37950</v>
      </c>
      <c r="AF157" s="4">
        <v>-46247</v>
      </c>
      <c r="AG157" s="4">
        <v>14166</v>
      </c>
      <c r="AH157" s="4">
        <v>36919</v>
      </c>
      <c r="AI157" s="4">
        <v>1704</v>
      </c>
      <c r="AJ157" s="4">
        <v>-2137</v>
      </c>
      <c r="AK157" s="4">
        <v>340</v>
      </c>
      <c r="AL157" s="4">
        <v>3741</v>
      </c>
      <c r="AN157" s="3">
        <v>45023</v>
      </c>
      <c r="AO157" s="4">
        <v>3.53</v>
      </c>
      <c r="AP157" s="4">
        <v>3.24</v>
      </c>
      <c r="AQ157" s="4">
        <v>4.0490000000000004</v>
      </c>
      <c r="AR157" s="4">
        <v>10.435</v>
      </c>
      <c r="AS157" s="4">
        <f t="shared" si="18"/>
        <v>0.80900000000000016</v>
      </c>
      <c r="AT157" s="3">
        <v>45020</v>
      </c>
      <c r="AU157" s="4">
        <v>505307</v>
      </c>
      <c r="AV157" s="3">
        <v>45022</v>
      </c>
      <c r="AW157" s="4">
        <v>96117311</v>
      </c>
      <c r="AX157" s="4">
        <v>9761669</v>
      </c>
      <c r="AY157" s="4">
        <v>16344337</v>
      </c>
      <c r="AZ157" s="4">
        <v>119744433</v>
      </c>
      <c r="BA157" s="4">
        <v>187629663</v>
      </c>
      <c r="BB157" s="3">
        <v>45020</v>
      </c>
      <c r="BC157" s="4">
        <v>735424</v>
      </c>
    </row>
    <row r="158" spans="9:55" hidden="1">
      <c r="V158" s="3">
        <v>45005</v>
      </c>
      <c r="W158" s="4">
        <v>-207709</v>
      </c>
      <c r="X158" s="4">
        <v>90056</v>
      </c>
      <c r="Y158" s="4">
        <v>106745</v>
      </c>
      <c r="Z158" s="4">
        <v>19653</v>
      </c>
      <c r="AA158" s="4">
        <v>-32670</v>
      </c>
      <c r="AB158" s="4">
        <v>131012</v>
      </c>
      <c r="AC158" s="4">
        <v>-59971</v>
      </c>
      <c r="AD158" s="4">
        <v>-16632</v>
      </c>
      <c r="AE158" s="4">
        <v>110366</v>
      </c>
      <c r="AF158" s="4">
        <v>32319</v>
      </c>
      <c r="AG158" s="4">
        <v>-140178</v>
      </c>
      <c r="AH158" s="4">
        <v>-68115</v>
      </c>
      <c r="AI158" s="4">
        <v>-3086</v>
      </c>
      <c r="AJ158" s="4">
        <v>2401</v>
      </c>
      <c r="AK158" s="4">
        <v>314</v>
      </c>
      <c r="AL158" s="4">
        <v>-4588</v>
      </c>
      <c r="AN158" s="3">
        <v>45022</v>
      </c>
      <c r="AO158" s="4">
        <v>3.58</v>
      </c>
      <c r="AP158" s="4">
        <v>3.2109999999999999</v>
      </c>
      <c r="AQ158" s="4">
        <v>4.0220000000000002</v>
      </c>
      <c r="AR158" s="4">
        <v>10.407</v>
      </c>
      <c r="AS158" s="4">
        <f t="shared" si="18"/>
        <v>0.81100000000000039</v>
      </c>
      <c r="AT158" s="3">
        <v>45019</v>
      </c>
      <c r="AU158" s="4">
        <v>530505</v>
      </c>
      <c r="AV158" s="3">
        <v>45021</v>
      </c>
      <c r="AW158" s="4">
        <v>96651851</v>
      </c>
      <c r="AX158" s="4">
        <v>9761192</v>
      </c>
      <c r="AY158" s="4">
        <v>16355208</v>
      </c>
      <c r="AZ158" s="4">
        <v>119734377</v>
      </c>
      <c r="BA158" s="4">
        <v>187642721</v>
      </c>
      <c r="BB158" s="3">
        <v>45019</v>
      </c>
      <c r="BC158" s="4">
        <v>724197</v>
      </c>
    </row>
    <row r="159" spans="9:55" hidden="1">
      <c r="V159" s="3">
        <v>45002</v>
      </c>
      <c r="W159" s="4">
        <v>73512</v>
      </c>
      <c r="X159" s="4">
        <v>-174336</v>
      </c>
      <c r="Y159" s="4">
        <v>81569</v>
      </c>
      <c r="Z159" s="4">
        <v>23926</v>
      </c>
      <c r="AA159" s="4">
        <v>160474</v>
      </c>
      <c r="AB159" s="4">
        <v>-242549</v>
      </c>
      <c r="AC159" s="4">
        <v>102313</v>
      </c>
      <c r="AD159" s="4">
        <v>9552</v>
      </c>
      <c r="AE159" s="4">
        <v>13401</v>
      </c>
      <c r="AF159" s="4">
        <v>-48896</v>
      </c>
      <c r="AG159" s="4">
        <v>41520</v>
      </c>
      <c r="AH159" s="4">
        <v>43679</v>
      </c>
      <c r="AI159" s="4">
        <v>1227</v>
      </c>
      <c r="AJ159" s="4">
        <v>-437</v>
      </c>
      <c r="AK159" s="4">
        <v>-60</v>
      </c>
      <c r="AL159" s="4">
        <v>7034</v>
      </c>
      <c r="AN159" s="3">
        <v>45021</v>
      </c>
      <c r="AO159" s="4">
        <v>3.59</v>
      </c>
      <c r="AP159" s="4">
        <v>3.2639999999999998</v>
      </c>
      <c r="AQ159" s="4">
        <v>4.0720000000000001</v>
      </c>
      <c r="AR159" s="4">
        <v>10.458</v>
      </c>
      <c r="AS159" s="4">
        <f t="shared" si="18"/>
        <v>0.80800000000000027</v>
      </c>
      <c r="AT159" s="3">
        <v>45016</v>
      </c>
      <c r="AU159" s="4">
        <v>506018</v>
      </c>
      <c r="AV159" s="3">
        <v>45020</v>
      </c>
      <c r="AW159" s="4">
        <v>96336539</v>
      </c>
      <c r="AX159" s="4">
        <v>9760788</v>
      </c>
      <c r="AY159" s="4">
        <v>16360867</v>
      </c>
      <c r="AZ159" s="4">
        <v>119497582</v>
      </c>
      <c r="BA159" s="4">
        <v>185672037</v>
      </c>
      <c r="BB159" s="3">
        <v>45016</v>
      </c>
      <c r="BC159" s="4">
        <v>684077</v>
      </c>
    </row>
    <row r="160" spans="9:55" hidden="1">
      <c r="V160" s="3">
        <v>45001</v>
      </c>
      <c r="W160" s="4">
        <v>-89489</v>
      </c>
      <c r="X160" s="4">
        <v>70255</v>
      </c>
      <c r="Y160" s="4">
        <v>-2099</v>
      </c>
      <c r="Z160" s="4">
        <v>26445</v>
      </c>
      <c r="AA160" s="4">
        <v>-324766</v>
      </c>
      <c r="AB160" s="4">
        <v>463453</v>
      </c>
      <c r="AC160" s="4">
        <v>-134103</v>
      </c>
      <c r="AD160" s="4">
        <v>-4938</v>
      </c>
      <c r="AE160" s="4">
        <v>87216</v>
      </c>
      <c r="AF160" s="4">
        <v>-66222</v>
      </c>
      <c r="AG160" s="4">
        <v>-21858</v>
      </c>
      <c r="AH160" s="4">
        <v>-154743</v>
      </c>
      <c r="AI160" s="4">
        <v>2329</v>
      </c>
      <c r="AJ160" s="4">
        <v>-2804</v>
      </c>
      <c r="AK160" s="4">
        <v>773</v>
      </c>
      <c r="AL160" s="4">
        <v>5477</v>
      </c>
      <c r="AN160" s="3">
        <v>45020</v>
      </c>
      <c r="AO160" s="4">
        <v>3.59</v>
      </c>
      <c r="AP160" s="4">
        <v>3.2789999999999999</v>
      </c>
      <c r="AQ160" s="4">
        <v>4.0810000000000004</v>
      </c>
      <c r="AR160" s="4">
        <v>10.465</v>
      </c>
      <c r="AS160" s="4">
        <f t="shared" si="18"/>
        <v>0.80200000000000049</v>
      </c>
      <c r="AT160" s="3">
        <v>45015</v>
      </c>
      <c r="AU160" s="4">
        <v>486871</v>
      </c>
      <c r="AV160" s="3">
        <v>45019</v>
      </c>
      <c r="AW160" s="4">
        <v>96518615</v>
      </c>
      <c r="AX160" s="4">
        <v>9748946</v>
      </c>
      <c r="AY160" s="4">
        <v>16384295</v>
      </c>
      <c r="AZ160" s="4">
        <v>119074967</v>
      </c>
      <c r="BA160" s="4">
        <v>178518698</v>
      </c>
      <c r="BB160" s="3">
        <v>45015</v>
      </c>
      <c r="BC160" s="4">
        <v>715884</v>
      </c>
    </row>
    <row r="161" spans="22:55" hidden="1">
      <c r="V161" s="3">
        <v>45000</v>
      </c>
      <c r="W161" s="4">
        <v>-78134</v>
      </c>
      <c r="X161" s="4">
        <v>-247750</v>
      </c>
      <c r="Y161" s="4">
        <v>290856</v>
      </c>
      <c r="Z161" s="4">
        <v>26517</v>
      </c>
      <c r="AA161" s="4">
        <v>361337</v>
      </c>
      <c r="AB161" s="4">
        <v>-323866</v>
      </c>
      <c r="AC161" s="4">
        <v>-26096</v>
      </c>
      <c r="AD161" s="4">
        <v>4272</v>
      </c>
      <c r="AE161" s="4">
        <v>-27181</v>
      </c>
      <c r="AF161" s="4">
        <v>-27649</v>
      </c>
      <c r="AG161" s="4">
        <v>56453</v>
      </c>
      <c r="AH161" s="4">
        <v>156133</v>
      </c>
      <c r="AI161" s="4">
        <v>7058</v>
      </c>
      <c r="AJ161" s="4">
        <v>-2025</v>
      </c>
      <c r="AK161" s="4">
        <v>-4663</v>
      </c>
      <c r="AL161" s="4">
        <v>7306</v>
      </c>
      <c r="AN161" s="3">
        <v>45019</v>
      </c>
      <c r="AO161" s="4">
        <v>3.59</v>
      </c>
      <c r="AP161" s="4">
        <v>3.3420000000000001</v>
      </c>
      <c r="AQ161" s="4">
        <v>4.1390000000000002</v>
      </c>
      <c r="AR161" s="4">
        <v>10.523</v>
      </c>
      <c r="AS161" s="4">
        <f t="shared" si="18"/>
        <v>0.79700000000000015</v>
      </c>
      <c r="AT161" s="3">
        <v>45014</v>
      </c>
      <c r="AU161" s="4">
        <v>483148</v>
      </c>
      <c r="AV161" s="3">
        <v>45016</v>
      </c>
      <c r="AW161" s="4">
        <v>96479570</v>
      </c>
      <c r="AX161" s="4">
        <v>9750036</v>
      </c>
      <c r="AY161" s="4">
        <v>16425415</v>
      </c>
      <c r="AZ161" s="4">
        <v>118663301</v>
      </c>
      <c r="BA161" s="4">
        <v>177434728</v>
      </c>
      <c r="BB161" s="3">
        <v>45014</v>
      </c>
      <c r="BC161" s="4">
        <v>722481</v>
      </c>
    </row>
    <row r="162" spans="22:55" hidden="1">
      <c r="V162" s="3">
        <v>44999</v>
      </c>
      <c r="W162" s="4">
        <v>-638411</v>
      </c>
      <c r="X162" s="4">
        <v>564947</v>
      </c>
      <c r="Y162" s="4">
        <v>26114</v>
      </c>
      <c r="Z162" s="4">
        <v>-11180</v>
      </c>
      <c r="AA162" s="4">
        <v>-213278</v>
      </c>
      <c r="AB162" s="4">
        <v>501102</v>
      </c>
      <c r="AC162" s="4">
        <v>-283922</v>
      </c>
      <c r="AD162" s="4">
        <v>-98484</v>
      </c>
      <c r="AE162" s="4">
        <v>233083</v>
      </c>
      <c r="AF162" s="4">
        <v>-266130</v>
      </c>
      <c r="AG162" s="4">
        <v>3984</v>
      </c>
      <c r="AH162" s="4">
        <v>-81144</v>
      </c>
      <c r="AI162" s="4">
        <v>-18332</v>
      </c>
      <c r="AJ162" s="4">
        <v>4919</v>
      </c>
      <c r="AK162" s="4">
        <v>13136</v>
      </c>
      <c r="AL162" s="4">
        <v>-7165</v>
      </c>
      <c r="AN162" s="3">
        <v>45016</v>
      </c>
      <c r="AO162" s="4">
        <v>3.59</v>
      </c>
      <c r="AP162" s="4">
        <v>3.27</v>
      </c>
      <c r="AQ162" s="4">
        <v>4.0739999999999998</v>
      </c>
      <c r="AR162" s="4">
        <v>10.457000000000001</v>
      </c>
      <c r="AS162" s="4">
        <f t="shared" si="18"/>
        <v>0.80399999999999983</v>
      </c>
      <c r="AT162" s="3">
        <v>45013</v>
      </c>
      <c r="AU162" s="4">
        <v>492302</v>
      </c>
      <c r="AV162" s="3">
        <v>45015</v>
      </c>
      <c r="AW162" s="4">
        <v>96108327</v>
      </c>
      <c r="AX162" s="4">
        <v>9778196</v>
      </c>
      <c r="AY162" s="4">
        <v>16493788</v>
      </c>
      <c r="AZ162" s="4">
        <v>119953433</v>
      </c>
      <c r="BA162" s="4">
        <v>184846592</v>
      </c>
      <c r="BB162" s="3">
        <v>45013</v>
      </c>
      <c r="BC162" s="4">
        <v>720722</v>
      </c>
    </row>
    <row r="163" spans="22:55" hidden="1">
      <c r="V163" s="3">
        <v>44998</v>
      </c>
      <c r="W163" s="4">
        <v>17923</v>
      </c>
      <c r="X163" s="4">
        <v>-328059</v>
      </c>
      <c r="Y163" s="4">
        <v>307724</v>
      </c>
      <c r="Z163" s="4">
        <v>55898</v>
      </c>
      <c r="AA163" s="4">
        <v>148298</v>
      </c>
      <c r="AB163" s="4">
        <v>-88752</v>
      </c>
      <c r="AC163" s="4">
        <v>-60094</v>
      </c>
      <c r="AD163" s="4">
        <v>-81581</v>
      </c>
      <c r="AE163" s="4">
        <v>100292</v>
      </c>
      <c r="AF163" s="4">
        <v>-45515</v>
      </c>
      <c r="AG163" s="4">
        <v>-32631</v>
      </c>
      <c r="AH163" s="4">
        <v>31143</v>
      </c>
      <c r="AI163" s="4">
        <v>-3131</v>
      </c>
      <c r="AJ163" s="4">
        <v>-1390</v>
      </c>
      <c r="AK163" s="4">
        <v>5206</v>
      </c>
      <c r="AL163" s="4">
        <v>5868</v>
      </c>
      <c r="AN163" s="3">
        <v>45015</v>
      </c>
      <c r="AO163" s="4">
        <v>3.59</v>
      </c>
      <c r="AP163" s="4">
        <v>3.24</v>
      </c>
      <c r="AQ163" s="4">
        <v>4.0350000000000001</v>
      </c>
      <c r="AR163" s="4">
        <v>10.417999999999999</v>
      </c>
      <c r="AS163" s="4">
        <f t="shared" si="18"/>
        <v>0.79499999999999993</v>
      </c>
      <c r="AT163" s="3">
        <v>45012</v>
      </c>
      <c r="AU163" s="4">
        <v>505446</v>
      </c>
      <c r="AV163" s="3">
        <v>45014</v>
      </c>
      <c r="AW163" s="4">
        <v>95635438</v>
      </c>
      <c r="AX163" s="4">
        <v>9778834</v>
      </c>
      <c r="AY163" s="4">
        <v>16499348</v>
      </c>
      <c r="AZ163" s="4">
        <v>120494288</v>
      </c>
      <c r="BA163" s="4">
        <v>189717018</v>
      </c>
      <c r="BB163" s="3">
        <v>45012</v>
      </c>
      <c r="BC163" s="4">
        <v>721496</v>
      </c>
    </row>
    <row r="164" spans="22:55" hidden="1">
      <c r="V164" s="3">
        <v>44995</v>
      </c>
      <c r="W164" s="4">
        <v>-325826</v>
      </c>
      <c r="X164" s="4">
        <v>513208</v>
      </c>
      <c r="Y164" s="4">
        <v>-237126</v>
      </c>
      <c r="Z164" s="4">
        <v>41076</v>
      </c>
      <c r="AA164" s="4">
        <v>-160483</v>
      </c>
      <c r="AB164" s="4">
        <v>348186</v>
      </c>
      <c r="AC164" s="4">
        <v>-180761</v>
      </c>
      <c r="AD164" s="4">
        <v>-57273</v>
      </c>
      <c r="AE164" s="4">
        <v>5416</v>
      </c>
      <c r="AF164" s="4">
        <v>-37702</v>
      </c>
      <c r="AG164" s="4">
        <v>18446</v>
      </c>
      <c r="AH164" s="4">
        <v>-30958</v>
      </c>
      <c r="AI164" s="4">
        <v>-353</v>
      </c>
      <c r="AJ164" s="4">
        <v>-1308</v>
      </c>
      <c r="AK164" s="4">
        <v>1329</v>
      </c>
      <c r="AL164" s="4">
        <v>-3645</v>
      </c>
      <c r="AN164" s="3">
        <v>45014</v>
      </c>
      <c r="AO164" s="4">
        <v>3.59</v>
      </c>
      <c r="AP164" s="4">
        <v>3.2490000000000001</v>
      </c>
      <c r="AQ164" s="4">
        <v>4.0270000000000001</v>
      </c>
      <c r="AR164" s="4">
        <v>10.414</v>
      </c>
      <c r="AS164" s="4">
        <f t="shared" si="18"/>
        <v>0.77800000000000002</v>
      </c>
      <c r="AT164" s="3">
        <v>45009</v>
      </c>
      <c r="AU164" s="4">
        <v>486400</v>
      </c>
      <c r="AV164" s="3">
        <v>45013</v>
      </c>
      <c r="AW164" s="4">
        <v>95558294</v>
      </c>
      <c r="AX164" s="4">
        <v>9782567</v>
      </c>
      <c r="AY164" s="4">
        <v>16515164</v>
      </c>
      <c r="AZ164" s="4">
        <v>120551199</v>
      </c>
      <c r="BA164" s="4">
        <v>191469079</v>
      </c>
      <c r="BB164" s="3">
        <v>45009</v>
      </c>
      <c r="BC164" s="4">
        <v>725750</v>
      </c>
    </row>
    <row r="165" spans="22:55" hidden="1">
      <c r="V165" s="3">
        <v>44994</v>
      </c>
      <c r="W165" s="4">
        <v>-972051</v>
      </c>
      <c r="X165" s="4">
        <v>360806</v>
      </c>
      <c r="Y165" s="4">
        <v>579865</v>
      </c>
      <c r="Z165" s="4">
        <v>66549</v>
      </c>
      <c r="AA165" s="4">
        <v>-245452</v>
      </c>
      <c r="AB165" s="4">
        <v>442262</v>
      </c>
      <c r="AC165" s="4">
        <v>-168610</v>
      </c>
      <c r="AD165" s="4">
        <v>-33895</v>
      </c>
      <c r="AE165" s="4">
        <v>43849</v>
      </c>
      <c r="AF165" s="4">
        <v>-24165</v>
      </c>
      <c r="AG165" s="4">
        <v>-23736</v>
      </c>
      <c r="AH165" s="4">
        <v>28288</v>
      </c>
      <c r="AI165" s="4">
        <v>2316</v>
      </c>
      <c r="AJ165" s="4">
        <v>1080</v>
      </c>
      <c r="AK165" s="4">
        <v>-3096</v>
      </c>
      <c r="AL165" s="4">
        <v>944</v>
      </c>
      <c r="AN165" s="3">
        <v>45013</v>
      </c>
      <c r="AO165" s="4">
        <v>3.59</v>
      </c>
      <c r="AP165" s="4">
        <v>3.258</v>
      </c>
      <c r="AQ165" s="4">
        <v>4.0289999999999999</v>
      </c>
      <c r="AR165" s="4">
        <v>10.416</v>
      </c>
      <c r="AS165" s="4">
        <f t="shared" si="18"/>
        <v>0.77099999999999991</v>
      </c>
      <c r="AT165" s="3">
        <v>45008</v>
      </c>
      <c r="AU165" s="4">
        <v>474308</v>
      </c>
      <c r="AV165" s="3">
        <v>45012</v>
      </c>
      <c r="AW165" s="4">
        <v>95495329</v>
      </c>
      <c r="AX165" s="4">
        <v>9783863</v>
      </c>
      <c r="AY165" s="4">
        <v>16539310</v>
      </c>
      <c r="AZ165" s="4">
        <v>122068450</v>
      </c>
      <c r="BA165" s="4">
        <v>191989456</v>
      </c>
      <c r="BB165" s="3">
        <v>45008</v>
      </c>
      <c r="BC165" s="4">
        <v>742085</v>
      </c>
    </row>
    <row r="166" spans="22:55" hidden="1">
      <c r="V166" s="3">
        <v>44993</v>
      </c>
      <c r="W166" s="4">
        <v>64234</v>
      </c>
      <c r="X166" s="4">
        <v>942829</v>
      </c>
      <c r="Y166" s="4">
        <v>-951380</v>
      </c>
      <c r="Z166" s="4">
        <v>-7269</v>
      </c>
      <c r="AA166" s="4">
        <v>-52613</v>
      </c>
      <c r="AB166" s="4">
        <v>244145</v>
      </c>
      <c r="AC166" s="4">
        <v>-185390</v>
      </c>
      <c r="AD166" s="4">
        <v>-14386</v>
      </c>
      <c r="AE166" s="4">
        <v>-90665</v>
      </c>
      <c r="AF166" s="4">
        <v>-13504</v>
      </c>
      <c r="AG166" s="4">
        <v>97786</v>
      </c>
      <c r="AH166" s="4">
        <v>83327</v>
      </c>
      <c r="AI166" s="4">
        <v>-4441</v>
      </c>
      <c r="AJ166" s="4">
        <v>3479</v>
      </c>
      <c r="AK166" s="4">
        <v>502</v>
      </c>
      <c r="AL166" s="4">
        <v>-4821</v>
      </c>
      <c r="AN166" s="3">
        <v>45012</v>
      </c>
      <c r="AO166" s="4">
        <v>3.59</v>
      </c>
      <c r="AP166" s="4">
        <v>3.22</v>
      </c>
      <c r="AQ166" s="4">
        <v>3.9889999999999999</v>
      </c>
      <c r="AR166" s="4">
        <v>10.38</v>
      </c>
      <c r="AS166" s="4">
        <f t="shared" si="18"/>
        <v>0.76899999999999968</v>
      </c>
      <c r="AT166" s="3">
        <v>45007</v>
      </c>
      <c r="AU166" s="4">
        <v>463326</v>
      </c>
      <c r="AV166" s="3">
        <v>45009</v>
      </c>
      <c r="AW166" s="4">
        <v>95655542</v>
      </c>
      <c r="AX166" s="4">
        <v>9774580</v>
      </c>
      <c r="AY166" s="4">
        <v>16599245</v>
      </c>
      <c r="AZ166" s="4">
        <v>121876667</v>
      </c>
      <c r="BA166" s="4">
        <v>192178644</v>
      </c>
      <c r="BB166" s="3">
        <v>45007</v>
      </c>
      <c r="BC166" s="4">
        <v>738158</v>
      </c>
    </row>
    <row r="167" spans="22:55" hidden="1">
      <c r="V167" s="3">
        <v>44992</v>
      </c>
      <c r="W167" s="4">
        <v>334800</v>
      </c>
      <c r="X167" s="4">
        <v>-216706</v>
      </c>
      <c r="Y167" s="4">
        <v>-134611</v>
      </c>
      <c r="Z167" s="4">
        <v>69140</v>
      </c>
      <c r="AA167" s="4">
        <v>-19949</v>
      </c>
      <c r="AB167" s="4">
        <v>254471</v>
      </c>
      <c r="AC167" s="4">
        <v>-219939</v>
      </c>
      <c r="AD167" s="4">
        <v>-58430</v>
      </c>
      <c r="AE167" s="4">
        <v>18473</v>
      </c>
      <c r="AF167" s="4">
        <v>-10075</v>
      </c>
      <c r="AG167" s="4">
        <v>-8337</v>
      </c>
      <c r="AH167" s="4">
        <v>-95078</v>
      </c>
      <c r="AI167" s="4">
        <v>-2482</v>
      </c>
      <c r="AJ167" s="4">
        <v>1965</v>
      </c>
      <c r="AK167" s="4">
        <v>-118</v>
      </c>
      <c r="AL167" s="4">
        <v>-2278</v>
      </c>
      <c r="AN167" s="3">
        <v>45009</v>
      </c>
      <c r="AO167" s="4">
        <v>3.59</v>
      </c>
      <c r="AP167" s="4">
        <v>3.16</v>
      </c>
      <c r="AQ167" s="4">
        <v>3.9279999999999999</v>
      </c>
      <c r="AR167" s="4">
        <v>10.323</v>
      </c>
      <c r="AS167" s="4">
        <f t="shared" si="18"/>
        <v>0.76799999999999979</v>
      </c>
      <c r="AT167" s="3">
        <v>45006</v>
      </c>
      <c r="AU167" s="4">
        <v>472245</v>
      </c>
      <c r="AV167" s="3">
        <v>45008</v>
      </c>
      <c r="AW167" s="4">
        <v>95370970</v>
      </c>
      <c r="AX167" s="4">
        <v>9780241</v>
      </c>
      <c r="AY167" s="4">
        <v>16598887</v>
      </c>
      <c r="AZ167" s="4">
        <v>122026695</v>
      </c>
      <c r="BA167" s="4">
        <v>194338978</v>
      </c>
      <c r="BB167" s="3">
        <v>45006</v>
      </c>
      <c r="BC167" s="4">
        <v>736464</v>
      </c>
    </row>
    <row r="168" spans="22:55" hidden="1">
      <c r="V168" s="3">
        <v>44991</v>
      </c>
      <c r="W168" s="4">
        <v>323390</v>
      </c>
      <c r="X168" s="4">
        <v>-787681</v>
      </c>
      <c r="Y168" s="4">
        <v>458256</v>
      </c>
      <c r="Z168" s="4">
        <v>29365</v>
      </c>
      <c r="AA168" s="4">
        <v>-126270</v>
      </c>
      <c r="AB168" s="4">
        <v>352877</v>
      </c>
      <c r="AC168" s="4">
        <v>-200923</v>
      </c>
      <c r="AD168" s="4">
        <v>17650</v>
      </c>
      <c r="AE168" s="4">
        <v>-16423</v>
      </c>
      <c r="AF168" s="4">
        <v>-67312</v>
      </c>
      <c r="AG168" s="4">
        <v>81786</v>
      </c>
      <c r="AH168" s="4">
        <v>61303</v>
      </c>
      <c r="AI168" s="4">
        <v>1507</v>
      </c>
      <c r="AJ168" s="4">
        <v>260</v>
      </c>
      <c r="AK168" s="4">
        <v>-801</v>
      </c>
      <c r="AL168" s="4">
        <v>6454</v>
      </c>
      <c r="AN168" s="3">
        <v>45008</v>
      </c>
      <c r="AO168" s="4">
        <v>3.62</v>
      </c>
      <c r="AP168" s="4">
        <v>3.206</v>
      </c>
      <c r="AQ168" s="4">
        <v>3.97</v>
      </c>
      <c r="AR168" s="4">
        <v>10.375999999999999</v>
      </c>
      <c r="AS168" s="4">
        <f t="shared" si="18"/>
        <v>0.76400000000000023</v>
      </c>
      <c r="AT168" s="3">
        <v>45005</v>
      </c>
      <c r="AU168" s="4">
        <v>462527</v>
      </c>
      <c r="AV168" s="3">
        <v>45007</v>
      </c>
      <c r="AW168" s="4">
        <v>95628293</v>
      </c>
      <c r="AX168" s="4">
        <v>9785407</v>
      </c>
      <c r="AY168" s="4">
        <v>16600457</v>
      </c>
      <c r="AZ168" s="4">
        <v>122100230</v>
      </c>
      <c r="BA168" s="4">
        <v>196123772</v>
      </c>
      <c r="BB168" s="3">
        <v>45005</v>
      </c>
      <c r="BC168" s="4">
        <v>739007</v>
      </c>
    </row>
    <row r="169" spans="22:55" hidden="1">
      <c r="V169" s="3">
        <v>44988</v>
      </c>
      <c r="W169" s="4">
        <v>-90071</v>
      </c>
      <c r="X169" s="4">
        <v>21997</v>
      </c>
      <c r="Y169" s="4">
        <v>33559</v>
      </c>
      <c r="Z169" s="4">
        <v>24449</v>
      </c>
      <c r="AA169" s="4">
        <v>240552</v>
      </c>
      <c r="AB169" s="4">
        <v>-195293</v>
      </c>
      <c r="AC169" s="4">
        <v>-6443</v>
      </c>
      <c r="AD169" s="4">
        <v>19676</v>
      </c>
      <c r="AE169" s="4">
        <v>10961</v>
      </c>
      <c r="AF169" s="4">
        <v>-21761</v>
      </c>
      <c r="AG169" s="4">
        <v>16940</v>
      </c>
      <c r="AH169" s="4">
        <v>-32028</v>
      </c>
      <c r="AI169" s="4">
        <v>-2128</v>
      </c>
      <c r="AJ169" s="4">
        <v>-661</v>
      </c>
      <c r="AK169" s="4">
        <v>3161</v>
      </c>
      <c r="AL169" s="4">
        <v>-441</v>
      </c>
      <c r="AN169" s="3">
        <v>45007</v>
      </c>
      <c r="AO169" s="4">
        <v>3.62</v>
      </c>
      <c r="AP169" s="4">
        <v>3.2839999999999998</v>
      </c>
      <c r="AQ169" s="4">
        <v>4.0140000000000002</v>
      </c>
      <c r="AR169" s="4">
        <v>10.426</v>
      </c>
      <c r="AS169" s="4">
        <f t="shared" si="18"/>
        <v>0.73000000000000043</v>
      </c>
      <c r="AT169" s="3">
        <v>45002</v>
      </c>
      <c r="AU169" s="4">
        <v>463255</v>
      </c>
      <c r="AV169" s="3">
        <v>45006</v>
      </c>
      <c r="AW169" s="4">
        <v>95063354</v>
      </c>
      <c r="AX169" s="4">
        <v>9790504</v>
      </c>
      <c r="AY169" s="4">
        <v>16610008</v>
      </c>
      <c r="AZ169" s="4">
        <v>122186793</v>
      </c>
      <c r="BA169" s="4">
        <v>195169080</v>
      </c>
      <c r="BB169" s="3">
        <v>45002</v>
      </c>
      <c r="BC169" s="4">
        <v>740640</v>
      </c>
    </row>
    <row r="170" spans="22:55" hidden="1">
      <c r="V170" s="3">
        <v>44987</v>
      </c>
      <c r="W170" s="4">
        <v>534022</v>
      </c>
      <c r="X170" s="4">
        <v>-404298</v>
      </c>
      <c r="Y170" s="4">
        <v>-90260</v>
      </c>
      <c r="Z170" s="4">
        <v>59054</v>
      </c>
      <c r="AA170" s="4">
        <v>-63500</v>
      </c>
      <c r="AB170" s="4">
        <v>327785</v>
      </c>
      <c r="AC170" s="4">
        <v>-229164</v>
      </c>
      <c r="AD170" s="4">
        <v>-16400</v>
      </c>
      <c r="AE170" s="4">
        <v>-84320</v>
      </c>
      <c r="AF170" s="4">
        <v>38930</v>
      </c>
      <c r="AG170" s="4">
        <v>31024</v>
      </c>
      <c r="AH170" s="4">
        <v>-97727</v>
      </c>
      <c r="AI170" s="4">
        <v>-3423</v>
      </c>
      <c r="AJ170" s="4">
        <v>2265</v>
      </c>
      <c r="AK170" s="4">
        <v>-11</v>
      </c>
      <c r="AL170" s="4">
        <v>-1323</v>
      </c>
      <c r="AN170" s="3">
        <v>45006</v>
      </c>
      <c r="AO170" s="4">
        <v>3.62</v>
      </c>
      <c r="AP170" s="4">
        <v>3.294</v>
      </c>
      <c r="AQ170" s="4">
        <v>4.016</v>
      </c>
      <c r="AR170" s="4">
        <v>10.43</v>
      </c>
      <c r="AS170" s="4">
        <f t="shared" si="18"/>
        <v>0.72199999999999998</v>
      </c>
      <c r="AT170" s="3">
        <v>45001</v>
      </c>
      <c r="AU170" s="4">
        <v>463924</v>
      </c>
      <c r="AV170" s="3">
        <v>45005</v>
      </c>
      <c r="AW170" s="4">
        <v>94964178</v>
      </c>
      <c r="AX170" s="4">
        <v>9791201</v>
      </c>
      <c r="AY170" s="4">
        <v>16614116</v>
      </c>
      <c r="AZ170" s="4">
        <v>121853034</v>
      </c>
      <c r="BA170" s="4">
        <v>195751966</v>
      </c>
      <c r="BB170" s="3">
        <v>45001</v>
      </c>
      <c r="BC170" s="4">
        <v>739328</v>
      </c>
    </row>
    <row r="171" spans="22:55" hidden="1">
      <c r="V171" s="3">
        <v>44985</v>
      </c>
      <c r="W171" s="4">
        <v>-288584</v>
      </c>
      <c r="X171" s="4">
        <v>-145287</v>
      </c>
      <c r="Y171" s="4">
        <v>410444</v>
      </c>
      <c r="Z171" s="4">
        <v>69060</v>
      </c>
      <c r="AA171" s="4">
        <v>63082</v>
      </c>
      <c r="AB171" s="4">
        <v>-124363</v>
      </c>
      <c r="AC171" s="4">
        <v>-52303</v>
      </c>
      <c r="AD171" s="4">
        <v>7953</v>
      </c>
      <c r="AE171" s="4">
        <v>1885</v>
      </c>
      <c r="AF171" s="4">
        <v>20140</v>
      </c>
      <c r="AG171" s="4">
        <v>-19897</v>
      </c>
      <c r="AH171" s="4">
        <v>36640</v>
      </c>
      <c r="AI171" s="4">
        <v>6915</v>
      </c>
      <c r="AJ171" s="4">
        <v>-2101</v>
      </c>
      <c r="AK171" s="4">
        <v>-4595</v>
      </c>
      <c r="AL171" s="4">
        <v>4048</v>
      </c>
      <c r="AN171" s="3">
        <v>45005</v>
      </c>
      <c r="AO171" s="4">
        <v>3.62</v>
      </c>
      <c r="AP171" s="4">
        <v>3.2639999999999998</v>
      </c>
      <c r="AQ171" s="4">
        <v>3.9860000000000002</v>
      </c>
      <c r="AR171" s="4">
        <v>10.398999999999999</v>
      </c>
      <c r="AS171" s="4">
        <f t="shared" si="18"/>
        <v>0.72200000000000042</v>
      </c>
      <c r="AT171" s="3">
        <v>45000</v>
      </c>
      <c r="AU171" s="4">
        <v>487352</v>
      </c>
      <c r="AV171" s="3">
        <v>45002</v>
      </c>
      <c r="AW171" s="4">
        <v>95184149</v>
      </c>
      <c r="AX171" s="4">
        <v>9775018</v>
      </c>
      <c r="AY171" s="4">
        <v>16678911</v>
      </c>
      <c r="AZ171" s="4">
        <v>121871838</v>
      </c>
      <c r="BA171" s="4">
        <v>197288796</v>
      </c>
      <c r="BB171" s="3">
        <v>45000</v>
      </c>
      <c r="BC171" s="4">
        <v>737859</v>
      </c>
    </row>
    <row r="172" spans="22:55" hidden="1">
      <c r="V172" s="3">
        <v>44984</v>
      </c>
      <c r="W172" s="4">
        <v>-321695</v>
      </c>
      <c r="X172" s="4">
        <v>675725</v>
      </c>
      <c r="Y172" s="4">
        <v>-419990</v>
      </c>
      <c r="Z172" s="4">
        <v>24596</v>
      </c>
      <c r="AA172" s="4">
        <v>5907</v>
      </c>
      <c r="AB172" s="4">
        <v>80274</v>
      </c>
      <c r="AC172" s="4">
        <v>-85621</v>
      </c>
      <c r="AD172" s="4">
        <v>13830</v>
      </c>
      <c r="AE172" s="4">
        <v>-26053</v>
      </c>
      <c r="AF172" s="4">
        <v>-49366</v>
      </c>
      <c r="AG172" s="4">
        <v>75664</v>
      </c>
      <c r="AH172" s="4">
        <v>153326</v>
      </c>
      <c r="AI172" s="4">
        <v>-2107</v>
      </c>
      <c r="AJ172" s="4">
        <v>-164</v>
      </c>
      <c r="AK172" s="4">
        <v>2214</v>
      </c>
      <c r="AL172" s="4">
        <v>-1055</v>
      </c>
      <c r="AN172" s="3">
        <v>45002</v>
      </c>
      <c r="AO172" s="4">
        <v>3.62</v>
      </c>
      <c r="AP172" s="4">
        <v>3.415</v>
      </c>
      <c r="AQ172" s="4">
        <v>4.1100000000000003</v>
      </c>
      <c r="AR172" s="4">
        <v>10.531000000000001</v>
      </c>
      <c r="AS172" s="4">
        <f t="shared" si="18"/>
        <v>0.69500000000000028</v>
      </c>
      <c r="AT172" s="3">
        <v>44999</v>
      </c>
      <c r="AU172" s="4">
        <v>480767</v>
      </c>
      <c r="AV172" s="3">
        <v>45001</v>
      </c>
      <c r="AW172" s="4">
        <v>94827478</v>
      </c>
      <c r="AX172" s="4">
        <v>9772669</v>
      </c>
      <c r="AY172" s="4">
        <v>16686515</v>
      </c>
      <c r="AZ172" s="4">
        <v>122325807</v>
      </c>
      <c r="BA172" s="4">
        <v>198258457</v>
      </c>
      <c r="BB172" s="3">
        <v>44999</v>
      </c>
      <c r="BC172" s="4">
        <v>737005</v>
      </c>
    </row>
    <row r="173" spans="22:55" hidden="1">
      <c r="V173" s="3">
        <v>44981</v>
      </c>
      <c r="W173" s="4">
        <v>-298656</v>
      </c>
      <c r="X173" s="4">
        <v>359831</v>
      </c>
      <c r="Y173" s="4">
        <v>-95745</v>
      </c>
      <c r="Z173" s="4">
        <v>-2252</v>
      </c>
      <c r="AA173" s="4">
        <v>-76435</v>
      </c>
      <c r="AB173" s="4">
        <v>159478</v>
      </c>
      <c r="AC173" s="4">
        <v>-65638</v>
      </c>
      <c r="AD173" s="4">
        <v>-4640</v>
      </c>
      <c r="AE173" s="4">
        <v>65711</v>
      </c>
      <c r="AF173" s="4">
        <v>-8255</v>
      </c>
      <c r="AG173" s="4">
        <v>-58557</v>
      </c>
      <c r="AH173" s="4">
        <v>-104211</v>
      </c>
      <c r="AI173" s="4">
        <v>-2352</v>
      </c>
      <c r="AJ173" s="4">
        <v>1187</v>
      </c>
      <c r="AK173" s="4">
        <v>940</v>
      </c>
      <c r="AL173" s="4">
        <v>-4634</v>
      </c>
      <c r="AN173" s="3">
        <v>45001</v>
      </c>
      <c r="AO173" s="4">
        <v>3.62</v>
      </c>
      <c r="AP173" s="4">
        <v>3.4</v>
      </c>
      <c r="AQ173" s="4">
        <v>4.0979999999999999</v>
      </c>
      <c r="AR173" s="4">
        <v>10.521000000000001</v>
      </c>
      <c r="AS173" s="4">
        <f t="shared" si="18"/>
        <v>0.69799999999999995</v>
      </c>
      <c r="AT173" s="3">
        <v>44998</v>
      </c>
      <c r="AU173" s="4">
        <v>475085</v>
      </c>
      <c r="AV173" s="3">
        <v>45000</v>
      </c>
      <c r="AW173" s="4">
        <v>94605600</v>
      </c>
      <c r="AX173" s="4">
        <v>9774129</v>
      </c>
      <c r="AY173" s="4">
        <v>16683845</v>
      </c>
      <c r="AZ173" s="4">
        <v>122195613</v>
      </c>
      <c r="BA173" s="4">
        <v>194865808</v>
      </c>
      <c r="BB173" s="3">
        <v>44998</v>
      </c>
      <c r="BC173" s="4">
        <v>739096</v>
      </c>
    </row>
    <row r="174" spans="22:55" hidden="1">
      <c r="V174" s="3">
        <v>44980</v>
      </c>
      <c r="W174" s="4">
        <v>9077</v>
      </c>
      <c r="X174" s="4">
        <v>-331742</v>
      </c>
      <c r="Y174" s="4">
        <v>300358</v>
      </c>
      <c r="Z174" s="4">
        <v>22018</v>
      </c>
      <c r="AA174" s="4">
        <v>-7457</v>
      </c>
      <c r="AB174" s="4">
        <v>19621</v>
      </c>
      <c r="AC174" s="4">
        <v>-173</v>
      </c>
      <c r="AD174" s="4">
        <v>-26713</v>
      </c>
      <c r="AE174" s="4">
        <v>-17158</v>
      </c>
      <c r="AF174" s="4">
        <v>43829</v>
      </c>
      <c r="AG174" s="4">
        <v>-27113</v>
      </c>
      <c r="AH174" s="4">
        <v>80577</v>
      </c>
      <c r="AI174" s="4">
        <v>5539</v>
      </c>
      <c r="AJ174" s="4">
        <v>-1780</v>
      </c>
      <c r="AK174" s="4">
        <v>-3239</v>
      </c>
      <c r="AL174" s="4">
        <v>5989</v>
      </c>
      <c r="AN174" s="3">
        <v>45000</v>
      </c>
      <c r="AO174" s="4">
        <v>3.61</v>
      </c>
      <c r="AP174" s="4">
        <v>3.4729999999999999</v>
      </c>
      <c r="AQ174" s="4">
        <v>4.1689999999999996</v>
      </c>
      <c r="AR174" s="4">
        <v>10.595000000000001</v>
      </c>
      <c r="AS174" s="4">
        <f t="shared" si="18"/>
        <v>0.69599999999999973</v>
      </c>
      <c r="AT174" s="3">
        <v>44995</v>
      </c>
      <c r="AU174" s="4">
        <v>483254</v>
      </c>
      <c r="AV174" s="3">
        <v>44999</v>
      </c>
      <c r="AW174" s="4">
        <v>94169839</v>
      </c>
      <c r="AX174" s="4">
        <v>9776792</v>
      </c>
      <c r="AY174" s="4">
        <v>16698584</v>
      </c>
      <c r="AZ174" s="4">
        <v>122105411</v>
      </c>
      <c r="BA174" s="4">
        <v>192142068</v>
      </c>
      <c r="BB174" s="3">
        <v>44995</v>
      </c>
      <c r="BC174" s="4">
        <v>738205</v>
      </c>
    </row>
    <row r="175" spans="22:55" hidden="1">
      <c r="V175" s="3">
        <v>44979</v>
      </c>
      <c r="W175" s="4">
        <v>-191203</v>
      </c>
      <c r="X175" s="4">
        <v>885620</v>
      </c>
      <c r="Y175" s="4">
        <v>-686570</v>
      </c>
      <c r="Z175" s="4">
        <v>-38575</v>
      </c>
      <c r="AA175" s="4">
        <v>-303481</v>
      </c>
      <c r="AB175" s="4">
        <v>524172</v>
      </c>
      <c r="AC175" s="4">
        <v>-208893</v>
      </c>
      <c r="AD175" s="4">
        <v>-43702</v>
      </c>
      <c r="AE175" s="4">
        <v>3126</v>
      </c>
      <c r="AF175" s="4">
        <v>-5537</v>
      </c>
      <c r="AG175" s="4">
        <v>16500</v>
      </c>
      <c r="AH175" s="4">
        <v>45471</v>
      </c>
      <c r="AI175" s="4">
        <v>-4587</v>
      </c>
      <c r="AJ175" s="4">
        <v>3495</v>
      </c>
      <c r="AK175" s="4">
        <v>734</v>
      </c>
      <c r="AL175" s="4">
        <v>-3446</v>
      </c>
      <c r="AN175" s="3">
        <v>44999</v>
      </c>
      <c r="AO175" s="4">
        <v>3.61</v>
      </c>
      <c r="AP175" s="4">
        <v>3.3809999999999998</v>
      </c>
      <c r="AQ175" s="4">
        <v>4.085</v>
      </c>
      <c r="AR175" s="4">
        <v>10.515000000000001</v>
      </c>
      <c r="AS175" s="4">
        <f t="shared" si="18"/>
        <v>0.70400000000000018</v>
      </c>
      <c r="AT175" s="3">
        <v>44994</v>
      </c>
      <c r="AU175" s="4">
        <v>498808</v>
      </c>
      <c r="AV175" s="3">
        <v>44998</v>
      </c>
      <c r="AW175" s="4">
        <v>94985853</v>
      </c>
      <c r="AX175" s="4">
        <v>9778832</v>
      </c>
      <c r="AY175" s="4">
        <v>16690754</v>
      </c>
      <c r="AZ175" s="4">
        <v>122099191</v>
      </c>
      <c r="BA175" s="4">
        <v>191362218</v>
      </c>
      <c r="BB175" s="3">
        <v>44994</v>
      </c>
      <c r="BC175" s="4">
        <v>734431</v>
      </c>
    </row>
    <row r="176" spans="22:55" hidden="1">
      <c r="V176" s="3">
        <v>44978</v>
      </c>
      <c r="W176" s="4">
        <v>20549</v>
      </c>
      <c r="X176" s="4">
        <v>33458</v>
      </c>
      <c r="Y176" s="4">
        <v>-93935</v>
      </c>
      <c r="Z176" s="4">
        <v>32073</v>
      </c>
      <c r="AA176" s="4">
        <v>-10540</v>
      </c>
      <c r="AB176" s="4">
        <v>47651</v>
      </c>
      <c r="AC176" s="4">
        <v>-29600</v>
      </c>
      <c r="AD176" s="4">
        <v>9672</v>
      </c>
      <c r="AE176" s="4">
        <v>-19748</v>
      </c>
      <c r="AF176" s="4">
        <v>-13367</v>
      </c>
      <c r="AG176" s="4">
        <v>27902</v>
      </c>
      <c r="AH176" s="4">
        <v>-112588</v>
      </c>
      <c r="AI176" s="4">
        <v>-3025</v>
      </c>
      <c r="AJ176" s="4">
        <v>866</v>
      </c>
      <c r="AK176" s="4">
        <v>1794</v>
      </c>
      <c r="AL176" s="4">
        <v>-594</v>
      </c>
      <c r="AN176" s="3">
        <v>44998</v>
      </c>
      <c r="AO176" s="4">
        <v>3.61</v>
      </c>
      <c r="AP176" s="4">
        <v>3.4350000000000001</v>
      </c>
      <c r="AQ176" s="4">
        <v>4.149</v>
      </c>
      <c r="AR176" s="4">
        <v>10.58</v>
      </c>
      <c r="AS176" s="4">
        <f t="shared" si="18"/>
        <v>0.71399999999999997</v>
      </c>
      <c r="AT176" s="3">
        <v>44993</v>
      </c>
      <c r="AU176" s="4">
        <v>489119</v>
      </c>
      <c r="AV176" s="3">
        <v>44995</v>
      </c>
      <c r="AW176" s="4">
        <v>95175616</v>
      </c>
      <c r="AX176" s="4">
        <v>9789121</v>
      </c>
      <c r="AY176" s="4">
        <v>16718885</v>
      </c>
      <c r="AZ176" s="4">
        <v>121936385</v>
      </c>
      <c r="BA176" s="4">
        <v>189860096</v>
      </c>
      <c r="BB176" s="3">
        <v>44993</v>
      </c>
      <c r="BC176" s="4">
        <v>725264</v>
      </c>
    </row>
    <row r="177" spans="22:55" hidden="1">
      <c r="V177" s="3">
        <v>44977</v>
      </c>
      <c r="W177" s="4">
        <v>-311963</v>
      </c>
      <c r="X177" s="4">
        <v>93390</v>
      </c>
      <c r="Y177" s="4">
        <v>172812</v>
      </c>
      <c r="Z177" s="4">
        <v>-23687</v>
      </c>
      <c r="AA177" s="4">
        <v>200836</v>
      </c>
      <c r="AB177" s="4">
        <v>-252492</v>
      </c>
      <c r="AC177" s="4">
        <v>70582</v>
      </c>
      <c r="AD177" s="4">
        <v>16973</v>
      </c>
      <c r="AE177" s="4">
        <v>1710</v>
      </c>
      <c r="AF177" s="4">
        <v>-15808</v>
      </c>
      <c r="AG177" s="4">
        <v>38542</v>
      </c>
      <c r="AH177" s="4">
        <v>111326</v>
      </c>
      <c r="AI177" s="4">
        <v>-1130</v>
      </c>
      <c r="AJ177" s="4">
        <v>-1360</v>
      </c>
      <c r="AK177" s="4">
        <v>2913</v>
      </c>
      <c r="AL177" s="4">
        <v>1128</v>
      </c>
      <c r="AN177" s="3">
        <v>44995</v>
      </c>
      <c r="AO177" s="4">
        <v>3.61</v>
      </c>
      <c r="AP177" s="4">
        <v>3.7029999999999998</v>
      </c>
      <c r="AQ177" s="4">
        <v>4.3959999999999999</v>
      </c>
      <c r="AR177" s="4">
        <v>10.819000000000001</v>
      </c>
      <c r="AS177" s="4">
        <f t="shared" si="18"/>
        <v>0.69300000000000006</v>
      </c>
      <c r="AT177" s="3">
        <v>44992</v>
      </c>
      <c r="AU177" s="4">
        <v>495885</v>
      </c>
      <c r="AV177" s="3">
        <v>44994</v>
      </c>
      <c r="AW177" s="4">
        <v>96048854</v>
      </c>
      <c r="AX177" s="4">
        <v>9791729</v>
      </c>
      <c r="AY177" s="4">
        <v>16721396</v>
      </c>
      <c r="AZ177" s="4">
        <v>122110079</v>
      </c>
      <c r="BA177" s="4">
        <v>189844307</v>
      </c>
      <c r="BB177" s="3">
        <v>44992</v>
      </c>
      <c r="BC177" s="4">
        <v>722288</v>
      </c>
    </row>
    <row r="178" spans="22:55" hidden="1">
      <c r="V178" s="3">
        <v>44974</v>
      </c>
      <c r="W178" s="4">
        <v>120611</v>
      </c>
      <c r="X178" s="4">
        <v>223142</v>
      </c>
      <c r="Y178" s="4">
        <v>-383363</v>
      </c>
      <c r="Z178" s="4">
        <v>-15842</v>
      </c>
      <c r="AA178" s="4">
        <v>-208832</v>
      </c>
      <c r="AB178" s="4">
        <v>386573</v>
      </c>
      <c r="AC178" s="4">
        <v>-181175</v>
      </c>
      <c r="AD178" s="4">
        <v>-17180</v>
      </c>
      <c r="AE178" s="4">
        <v>39166</v>
      </c>
      <c r="AF178" s="4">
        <v>21555</v>
      </c>
      <c r="AG178" s="4">
        <v>-82396</v>
      </c>
      <c r="AH178" s="4">
        <v>-136735</v>
      </c>
      <c r="AI178" s="4">
        <v>1002</v>
      </c>
      <c r="AJ178" s="4">
        <v>-396</v>
      </c>
      <c r="AK178" s="4">
        <v>-695</v>
      </c>
      <c r="AL178" s="4">
        <v>-5613</v>
      </c>
      <c r="AN178" s="3">
        <v>44994</v>
      </c>
      <c r="AO178" s="4">
        <v>3.61</v>
      </c>
      <c r="AP178" s="4">
        <v>3.8580000000000001</v>
      </c>
      <c r="AQ178" s="4">
        <v>4.54</v>
      </c>
      <c r="AR178" s="4">
        <v>10.961</v>
      </c>
      <c r="AS178" s="4">
        <f t="shared" si="18"/>
        <v>0.68199999999999994</v>
      </c>
      <c r="AT178" s="3">
        <v>44991</v>
      </c>
      <c r="AU178" s="4">
        <v>483278</v>
      </c>
      <c r="AV178" s="3">
        <v>44993</v>
      </c>
      <c r="AW178" s="4">
        <v>96250606</v>
      </c>
      <c r="AX178" s="4">
        <v>9793069</v>
      </c>
      <c r="AY178" s="4">
        <v>16801489</v>
      </c>
      <c r="AZ178" s="4">
        <v>121572038</v>
      </c>
      <c r="BA178" s="4">
        <v>194299942</v>
      </c>
      <c r="BB178" s="3">
        <v>44991</v>
      </c>
      <c r="BC178" s="4">
        <v>716683</v>
      </c>
    </row>
    <row r="179" spans="22:55" hidden="1">
      <c r="V179" s="3">
        <v>44973</v>
      </c>
      <c r="W179" s="4">
        <v>63692</v>
      </c>
      <c r="X179" s="4">
        <v>-936636</v>
      </c>
      <c r="Y179" s="4">
        <v>848482</v>
      </c>
      <c r="Z179" s="4">
        <v>32367</v>
      </c>
      <c r="AA179" s="4">
        <v>194769</v>
      </c>
      <c r="AB179" s="4">
        <v>-360620</v>
      </c>
      <c r="AC179" s="4">
        <v>130620</v>
      </c>
      <c r="AD179" s="4">
        <v>10234</v>
      </c>
      <c r="AE179" s="4">
        <v>85430</v>
      </c>
      <c r="AF179" s="4">
        <v>-20431</v>
      </c>
      <c r="AG179" s="4">
        <v>-49055</v>
      </c>
      <c r="AH179" s="4">
        <v>49759</v>
      </c>
      <c r="AI179" s="4">
        <v>11557</v>
      </c>
      <c r="AJ179" s="4">
        <v>-4117</v>
      </c>
      <c r="AK179" s="4">
        <v>-7130</v>
      </c>
      <c r="AL179" s="4">
        <v>5955</v>
      </c>
      <c r="AN179" s="3">
        <v>44993</v>
      </c>
      <c r="AO179" s="4">
        <v>3.61</v>
      </c>
      <c r="AP179" s="4">
        <v>3.855</v>
      </c>
      <c r="AQ179" s="4">
        <v>4.5339999999999998</v>
      </c>
      <c r="AR179" s="4">
        <v>10.955</v>
      </c>
      <c r="AS179" s="4">
        <f t="shared" si="18"/>
        <v>0.67899999999999983</v>
      </c>
      <c r="AT179" s="3">
        <v>44988</v>
      </c>
      <c r="AU179" s="4">
        <v>456465</v>
      </c>
      <c r="AV179" s="3">
        <v>44992</v>
      </c>
      <c r="AW179" s="4">
        <v>97039965</v>
      </c>
      <c r="AX179" s="4">
        <v>9794763</v>
      </c>
      <c r="AY179" s="4">
        <v>16812728</v>
      </c>
      <c r="AZ179" s="4">
        <v>121704300</v>
      </c>
      <c r="BA179" s="4">
        <v>193712148</v>
      </c>
      <c r="BB179" s="3">
        <v>44988</v>
      </c>
      <c r="BC179" s="4">
        <v>716346</v>
      </c>
    </row>
    <row r="180" spans="22:55" hidden="1">
      <c r="V180" s="3">
        <v>44972</v>
      </c>
      <c r="W180" s="4">
        <v>-265749</v>
      </c>
      <c r="X180" s="4">
        <v>1016278</v>
      </c>
      <c r="Y180" s="4">
        <v>-778201</v>
      </c>
      <c r="Z180" s="4">
        <v>-61306</v>
      </c>
      <c r="AA180" s="4">
        <v>-33839</v>
      </c>
      <c r="AB180" s="4">
        <v>349627</v>
      </c>
      <c r="AC180" s="4">
        <v>-291263</v>
      </c>
      <c r="AD180" s="4">
        <v>-18694</v>
      </c>
      <c r="AE180" s="4">
        <v>-44013</v>
      </c>
      <c r="AF180" s="4">
        <v>29749</v>
      </c>
      <c r="AG180" s="4">
        <v>10784</v>
      </c>
      <c r="AH180" s="4">
        <v>-71934</v>
      </c>
      <c r="AI180" s="4">
        <v>-7237</v>
      </c>
      <c r="AJ180" s="4">
        <v>4271</v>
      </c>
      <c r="AK180" s="4">
        <v>2618</v>
      </c>
      <c r="AL180" s="4">
        <v>-6512</v>
      </c>
      <c r="AN180" s="3">
        <v>44992</v>
      </c>
      <c r="AO180" s="4">
        <v>3.61</v>
      </c>
      <c r="AP180" s="4">
        <v>3.726</v>
      </c>
      <c r="AQ180" s="4">
        <v>4.41</v>
      </c>
      <c r="AR180" s="4">
        <v>10.832000000000001</v>
      </c>
      <c r="AS180" s="4">
        <f t="shared" si="18"/>
        <v>0.68400000000000016</v>
      </c>
      <c r="AT180" s="3">
        <v>44987</v>
      </c>
      <c r="AU180" s="4">
        <v>485262</v>
      </c>
      <c r="AV180" s="3">
        <v>44991</v>
      </c>
      <c r="AW180" s="4">
        <v>97414353</v>
      </c>
      <c r="AX180" s="4">
        <v>9793445</v>
      </c>
      <c r="AY180" s="4">
        <v>16815088</v>
      </c>
      <c r="AZ180" s="4">
        <v>121879199</v>
      </c>
      <c r="BA180" s="4">
        <v>194708976</v>
      </c>
      <c r="BB180" s="3">
        <v>44987</v>
      </c>
      <c r="BC180" s="4">
        <v>636273</v>
      </c>
    </row>
    <row r="181" spans="22:55" hidden="1">
      <c r="V181" s="3">
        <v>44971</v>
      </c>
      <c r="W181" s="4">
        <v>61184</v>
      </c>
      <c r="X181" s="4">
        <v>-385453</v>
      </c>
      <c r="Y181" s="4">
        <v>301790</v>
      </c>
      <c r="Z181" s="4">
        <v>11472</v>
      </c>
      <c r="AA181" s="4">
        <v>115892</v>
      </c>
      <c r="AB181" s="4">
        <v>-101097</v>
      </c>
      <c r="AC181" s="4">
        <v>3209</v>
      </c>
      <c r="AD181" s="4">
        <v>5046</v>
      </c>
      <c r="AE181" s="4">
        <v>30637</v>
      </c>
      <c r="AF181" s="4">
        <v>-1540</v>
      </c>
      <c r="AG181" s="4">
        <v>-20331</v>
      </c>
      <c r="AH181" s="4">
        <v>52730</v>
      </c>
      <c r="AI181" s="4">
        <v>-1282</v>
      </c>
      <c r="AJ181" s="4">
        <v>-182</v>
      </c>
      <c r="AK181" s="4">
        <v>2222</v>
      </c>
      <c r="AL181" s="4">
        <v>3734</v>
      </c>
      <c r="AN181" s="3">
        <v>44991</v>
      </c>
      <c r="AO181" s="4">
        <v>3.61</v>
      </c>
      <c r="AP181" s="4">
        <v>3.774</v>
      </c>
      <c r="AQ181" s="4">
        <v>4.4580000000000002</v>
      </c>
      <c r="AR181" s="4">
        <v>10.878</v>
      </c>
      <c r="AS181" s="4">
        <f t="shared" si="18"/>
        <v>0.68400000000000016</v>
      </c>
      <c r="AT181" s="3">
        <v>44985</v>
      </c>
      <c r="AU181" s="4">
        <v>477398</v>
      </c>
      <c r="AV181" s="3">
        <v>44988</v>
      </c>
      <c r="AW181" s="4">
        <v>96591578</v>
      </c>
      <c r="AX181" s="4">
        <v>9750483</v>
      </c>
      <c r="AY181" s="4">
        <v>16833028</v>
      </c>
      <c r="AZ181" s="4">
        <v>122068776</v>
      </c>
      <c r="BA181" s="4">
        <v>196606572</v>
      </c>
      <c r="BB181" s="3">
        <v>44985</v>
      </c>
      <c r="BC181" s="4">
        <v>708373</v>
      </c>
    </row>
    <row r="182" spans="22:55" hidden="1">
      <c r="V182" s="3">
        <v>44970</v>
      </c>
      <c r="W182" s="4">
        <v>69358</v>
      </c>
      <c r="X182" s="4">
        <v>342549</v>
      </c>
      <c r="Y182" s="4">
        <v>-411778</v>
      </c>
      <c r="Z182" s="4">
        <v>-91063</v>
      </c>
      <c r="AA182" s="4">
        <v>79990</v>
      </c>
      <c r="AB182" s="4">
        <v>-10320</v>
      </c>
      <c r="AC182" s="4">
        <v>-32314</v>
      </c>
      <c r="AD182" s="4">
        <v>6151</v>
      </c>
      <c r="AE182" s="4">
        <v>97289</v>
      </c>
      <c r="AF182" s="4">
        <v>-6639</v>
      </c>
      <c r="AG182" s="4">
        <v>-114540</v>
      </c>
      <c r="AH182" s="4">
        <v>109238</v>
      </c>
      <c r="AI182" s="4">
        <v>-1340</v>
      </c>
      <c r="AJ182" s="4">
        <v>-1268</v>
      </c>
      <c r="AK182" s="4">
        <v>2601</v>
      </c>
      <c r="AL182" s="4">
        <v>-981</v>
      </c>
      <c r="AN182" s="3">
        <v>44988</v>
      </c>
      <c r="AO182" s="4">
        <v>3.61</v>
      </c>
      <c r="AP182" s="4">
        <v>3.7909999999999999</v>
      </c>
      <c r="AQ182" s="4">
        <v>4.4710000000000001</v>
      </c>
      <c r="AR182" s="4">
        <v>10.893000000000001</v>
      </c>
      <c r="AS182" s="4">
        <f t="shared" si="18"/>
        <v>0.68000000000000016</v>
      </c>
      <c r="AT182" s="3">
        <v>44984</v>
      </c>
      <c r="AU182" s="4">
        <v>473826</v>
      </c>
      <c r="AV182" s="3">
        <v>44987</v>
      </c>
      <c r="AW182" s="4">
        <v>96525779</v>
      </c>
      <c r="AX182" s="4">
        <v>9756135</v>
      </c>
      <c r="AY182" s="4">
        <v>16828649</v>
      </c>
      <c r="AZ182" s="4">
        <v>121293962</v>
      </c>
      <c r="BA182" s="4">
        <v>191218632</v>
      </c>
      <c r="BB182" s="3">
        <v>44984</v>
      </c>
      <c r="BC182" s="4">
        <v>707986</v>
      </c>
    </row>
    <row r="183" spans="22:55" hidden="1">
      <c r="V183" s="3">
        <v>44967</v>
      </c>
      <c r="W183" s="4">
        <v>51936</v>
      </c>
      <c r="X183" s="4">
        <v>554866</v>
      </c>
      <c r="Y183" s="4">
        <v>-626916</v>
      </c>
      <c r="Z183" s="4">
        <v>-18575</v>
      </c>
      <c r="AA183" s="4">
        <v>-105611</v>
      </c>
      <c r="AB183" s="4">
        <v>347329</v>
      </c>
      <c r="AC183" s="4">
        <v>-222603</v>
      </c>
      <c r="AD183" s="4">
        <v>-61180</v>
      </c>
      <c r="AE183" s="4">
        <v>28349</v>
      </c>
      <c r="AF183" s="4">
        <v>26486</v>
      </c>
      <c r="AG183" s="4">
        <v>-56220</v>
      </c>
      <c r="AH183" s="4">
        <v>42875</v>
      </c>
      <c r="AI183" s="4">
        <v>777</v>
      </c>
      <c r="AJ183" s="4">
        <v>-2609</v>
      </c>
      <c r="AK183" s="4">
        <v>2046</v>
      </c>
      <c r="AL183" s="4">
        <v>-486</v>
      </c>
      <c r="AN183" s="3">
        <v>44987</v>
      </c>
      <c r="AO183" s="4">
        <v>3.61</v>
      </c>
      <c r="AP183" s="4">
        <v>3.8780000000000001</v>
      </c>
      <c r="AQ183" s="4">
        <v>4.5579999999999998</v>
      </c>
      <c r="AR183" s="4">
        <v>10.972</v>
      </c>
      <c r="AS183" s="4">
        <f t="shared" si="18"/>
        <v>0.67999999999999972</v>
      </c>
      <c r="AT183" s="3">
        <v>44981</v>
      </c>
      <c r="AU183" s="4">
        <v>466650</v>
      </c>
      <c r="AV183" s="3">
        <v>44985</v>
      </c>
      <c r="AW183" s="4">
        <v>96653994</v>
      </c>
      <c r="AX183" s="4">
        <v>9703950</v>
      </c>
      <c r="AY183" s="4">
        <v>16845869</v>
      </c>
      <c r="AZ183" s="4">
        <v>121244713</v>
      </c>
      <c r="BA183" s="4">
        <v>188368189</v>
      </c>
      <c r="BB183" s="3">
        <v>44981</v>
      </c>
      <c r="BC183" s="4">
        <v>708577</v>
      </c>
    </row>
    <row r="184" spans="22:55" hidden="1">
      <c r="V184" s="3">
        <v>44966</v>
      </c>
      <c r="W184" s="4">
        <v>150225</v>
      </c>
      <c r="X184" s="4">
        <v>214838</v>
      </c>
      <c r="Y184" s="4">
        <v>-386295</v>
      </c>
      <c r="Z184" s="4">
        <v>12473</v>
      </c>
      <c r="AA184" s="4">
        <v>174262</v>
      </c>
      <c r="AB184" s="4">
        <v>-42200</v>
      </c>
      <c r="AC184" s="4">
        <v>-86033</v>
      </c>
      <c r="AD184" s="4">
        <v>-3245</v>
      </c>
      <c r="AE184" s="4">
        <v>128126</v>
      </c>
      <c r="AF184" s="4">
        <v>-5994</v>
      </c>
      <c r="AG184" s="4">
        <v>-114895</v>
      </c>
      <c r="AH184" s="4">
        <v>-100506</v>
      </c>
      <c r="AI184" s="4">
        <v>-6283</v>
      </c>
      <c r="AJ184" s="4">
        <v>1117</v>
      </c>
      <c r="AK184" s="4">
        <v>4234</v>
      </c>
      <c r="AL184" s="4">
        <v>-5370</v>
      </c>
      <c r="AN184" s="3">
        <v>44985</v>
      </c>
      <c r="AO184" s="4">
        <v>3.59</v>
      </c>
      <c r="AP184" s="4">
        <v>3.7970000000000002</v>
      </c>
      <c r="AQ184" s="4">
        <v>4.484</v>
      </c>
      <c r="AR184" s="4">
        <v>10.898999999999999</v>
      </c>
      <c r="AS184" s="4">
        <f t="shared" si="18"/>
        <v>0.68699999999999983</v>
      </c>
      <c r="AT184" s="3">
        <v>44980</v>
      </c>
      <c r="AU184" s="4">
        <v>468779</v>
      </c>
      <c r="AV184" s="3">
        <v>44984</v>
      </c>
      <c r="AW184" s="4">
        <v>96312851</v>
      </c>
      <c r="AX184" s="4">
        <v>9701697</v>
      </c>
      <c r="AY184" s="4">
        <v>16810596</v>
      </c>
      <c r="AZ184" s="4">
        <v>122202087</v>
      </c>
      <c r="BA184" s="4">
        <v>193065172</v>
      </c>
      <c r="BB184" s="3">
        <v>44980</v>
      </c>
      <c r="BC184" s="4">
        <v>706412</v>
      </c>
    </row>
    <row r="185" spans="22:55" hidden="1">
      <c r="V185" s="3">
        <v>44965</v>
      </c>
      <c r="W185" s="4">
        <v>579493</v>
      </c>
      <c r="X185" s="4">
        <v>-563986</v>
      </c>
      <c r="Y185" s="4">
        <v>3996</v>
      </c>
      <c r="Z185" s="4">
        <v>30062</v>
      </c>
      <c r="AA185" s="4">
        <v>71047</v>
      </c>
      <c r="AB185" s="4">
        <v>-92876</v>
      </c>
      <c r="AC185" s="4">
        <v>53551</v>
      </c>
      <c r="AD185" s="4">
        <v>28855</v>
      </c>
      <c r="AE185" s="4">
        <v>36926</v>
      </c>
      <c r="AF185" s="4">
        <v>27635</v>
      </c>
      <c r="AG185" s="4">
        <v>-78148</v>
      </c>
      <c r="AH185" s="4">
        <v>-135101</v>
      </c>
      <c r="AI185" s="4">
        <v>831</v>
      </c>
      <c r="AJ185" s="4">
        <v>-873</v>
      </c>
      <c r="AK185" s="4">
        <v>177</v>
      </c>
      <c r="AL185" s="4">
        <v>2555</v>
      </c>
      <c r="AN185" s="3">
        <v>44984</v>
      </c>
      <c r="AO185" s="4">
        <v>3.59</v>
      </c>
      <c r="AP185" s="4">
        <v>3.6829999999999998</v>
      </c>
      <c r="AQ185" s="4">
        <v>4.3659999999999997</v>
      </c>
      <c r="AR185" s="4">
        <v>10.785</v>
      </c>
      <c r="AS185" s="4">
        <f t="shared" si="18"/>
        <v>0.68299999999999983</v>
      </c>
      <c r="AT185" s="3">
        <v>44979</v>
      </c>
      <c r="AU185" s="4">
        <v>476434</v>
      </c>
      <c r="AV185" s="3">
        <v>44981</v>
      </c>
      <c r="AW185" s="4">
        <v>96485033</v>
      </c>
      <c r="AX185" s="4">
        <v>9717336</v>
      </c>
      <c r="AY185" s="4">
        <v>16816270</v>
      </c>
      <c r="AZ185" s="4">
        <v>122374605</v>
      </c>
      <c r="BA185" s="4">
        <v>195710229</v>
      </c>
      <c r="BB185" s="3">
        <v>44979</v>
      </c>
      <c r="BC185" s="4">
        <v>700381</v>
      </c>
    </row>
    <row r="186" spans="22:55" hidden="1">
      <c r="V186" s="3">
        <v>44964</v>
      </c>
      <c r="W186" s="4">
        <v>-55328</v>
      </c>
      <c r="X186" s="4">
        <v>326750</v>
      </c>
      <c r="Y186" s="4">
        <v>-278771</v>
      </c>
      <c r="Z186" s="4">
        <v>-24874</v>
      </c>
      <c r="AA186" s="4">
        <v>80501</v>
      </c>
      <c r="AB186" s="4">
        <v>-312055</v>
      </c>
      <c r="AC186" s="4">
        <v>245168</v>
      </c>
      <c r="AD186" s="4">
        <v>-7868</v>
      </c>
      <c r="AE186" s="4">
        <v>-9674</v>
      </c>
      <c r="AF186" s="4">
        <v>10662</v>
      </c>
      <c r="AG186" s="4">
        <v>10191</v>
      </c>
      <c r="AH186" s="4">
        <v>103858</v>
      </c>
      <c r="AI186" s="4">
        <v>1661</v>
      </c>
      <c r="AJ186" s="4">
        <v>-1604</v>
      </c>
      <c r="AK186" s="4">
        <v>243</v>
      </c>
      <c r="AL186" s="4">
        <v>1187</v>
      </c>
      <c r="AN186" s="3">
        <v>44981</v>
      </c>
      <c r="AO186" s="4">
        <v>3.59</v>
      </c>
      <c r="AP186" s="4">
        <v>3.5550000000000002</v>
      </c>
      <c r="AQ186" s="4">
        <v>4.2549999999999999</v>
      </c>
      <c r="AR186" s="4">
        <v>10.675000000000001</v>
      </c>
      <c r="AS186" s="4">
        <f t="shared" si="18"/>
        <v>0.69999999999999973</v>
      </c>
      <c r="AT186" s="3">
        <v>44978</v>
      </c>
      <c r="AU186" s="4">
        <v>461998</v>
      </c>
      <c r="AV186" s="3">
        <v>44980</v>
      </c>
      <c r="AW186" s="4">
        <v>96664956</v>
      </c>
      <c r="AX186" s="4">
        <v>9721138</v>
      </c>
      <c r="AY186" s="4">
        <v>16890387</v>
      </c>
      <c r="AZ186" s="4">
        <v>122858811</v>
      </c>
      <c r="BA186" s="4">
        <v>197451036</v>
      </c>
      <c r="BB186" s="3">
        <v>44978</v>
      </c>
      <c r="BC186" s="4">
        <v>702198</v>
      </c>
    </row>
    <row r="187" spans="22:55" hidden="1">
      <c r="V187" s="3">
        <v>44963</v>
      </c>
      <c r="W187" s="4">
        <v>-310181</v>
      </c>
      <c r="X187" s="4">
        <v>790364</v>
      </c>
      <c r="Y187" s="4">
        <v>-506557</v>
      </c>
      <c r="Z187" s="4">
        <v>1292</v>
      </c>
      <c r="AA187" s="4">
        <v>-20243</v>
      </c>
      <c r="AB187" s="4">
        <v>151365</v>
      </c>
      <c r="AC187" s="4">
        <v>-107686</v>
      </c>
      <c r="AD187" s="4">
        <v>-3864</v>
      </c>
      <c r="AE187" s="4">
        <v>19631</v>
      </c>
      <c r="AF187" s="4">
        <v>-21533</v>
      </c>
      <c r="AG187" s="4">
        <v>11248</v>
      </c>
      <c r="AH187" s="4">
        <v>177204</v>
      </c>
      <c r="AI187" s="4">
        <v>-84</v>
      </c>
      <c r="AJ187" s="4">
        <v>-513</v>
      </c>
      <c r="AK187" s="4">
        <v>352</v>
      </c>
      <c r="AL187" s="4">
        <v>-6268</v>
      </c>
      <c r="AN187" s="3">
        <v>44980</v>
      </c>
      <c r="AO187" s="4">
        <v>3.59</v>
      </c>
      <c r="AP187" s="4">
        <v>3.5990000000000002</v>
      </c>
      <c r="AQ187" s="4">
        <v>4.3109999999999999</v>
      </c>
      <c r="AR187" s="4">
        <v>10.728999999999999</v>
      </c>
      <c r="AS187" s="4">
        <f t="shared" si="18"/>
        <v>0.71199999999999974</v>
      </c>
      <c r="AT187" s="3">
        <v>44977</v>
      </c>
      <c r="AU187" s="4">
        <v>468601</v>
      </c>
      <c r="AV187" s="3">
        <v>44979</v>
      </c>
      <c r="AW187" s="4">
        <v>96451599</v>
      </c>
      <c r="AX187" s="4">
        <v>9728304</v>
      </c>
      <c r="AY187" s="4">
        <v>16892694</v>
      </c>
      <c r="AZ187" s="4">
        <v>122678016</v>
      </c>
      <c r="BA187" s="4">
        <v>198131201</v>
      </c>
      <c r="BB187" s="3">
        <v>44977</v>
      </c>
      <c r="BC187" s="4">
        <v>707550</v>
      </c>
    </row>
    <row r="188" spans="22:55" hidden="1">
      <c r="V188" s="3">
        <v>44960</v>
      </c>
      <c r="W188" s="4">
        <v>586687</v>
      </c>
      <c r="X188" s="4">
        <v>-416284</v>
      </c>
      <c r="Y188" s="4">
        <v>-194098</v>
      </c>
      <c r="Z188" s="4">
        <v>-55521</v>
      </c>
      <c r="AA188" s="4">
        <v>5361</v>
      </c>
      <c r="AB188" s="4">
        <v>52615</v>
      </c>
      <c r="AC188" s="4">
        <v>-44563</v>
      </c>
      <c r="AD188" s="4">
        <v>-5241</v>
      </c>
      <c r="AE188" s="4">
        <v>33517</v>
      </c>
      <c r="AF188" s="4">
        <v>58948</v>
      </c>
      <c r="AG188" s="4">
        <v>-83495</v>
      </c>
      <c r="AH188" s="4">
        <v>-71267</v>
      </c>
      <c r="AI188" s="4">
        <v>4358</v>
      </c>
      <c r="AJ188" s="4">
        <v>-423</v>
      </c>
      <c r="AK188" s="4">
        <v>-3813</v>
      </c>
      <c r="AL188" s="4">
        <v>-35</v>
      </c>
      <c r="AN188" s="3">
        <v>44979</v>
      </c>
      <c r="AO188" s="4">
        <v>3.56</v>
      </c>
      <c r="AP188" s="4">
        <v>3.645</v>
      </c>
      <c r="AQ188" s="4">
        <v>4.3419999999999996</v>
      </c>
      <c r="AR188" s="4">
        <v>10.763</v>
      </c>
      <c r="AS188" s="4">
        <f t="shared" si="18"/>
        <v>0.69699999999999962</v>
      </c>
      <c r="AT188" s="3">
        <v>44974</v>
      </c>
      <c r="AU188" s="4">
        <v>458866</v>
      </c>
      <c r="AV188" s="3">
        <v>44978</v>
      </c>
      <c r="AW188" s="4">
        <v>97422026</v>
      </c>
      <c r="AX188" s="4">
        <v>9728288</v>
      </c>
      <c r="AY188" s="4">
        <v>16899555</v>
      </c>
      <c r="AZ188" s="4">
        <v>122412065</v>
      </c>
      <c r="BA188" s="4">
        <v>198594904</v>
      </c>
      <c r="BB188" s="3">
        <v>44974</v>
      </c>
      <c r="BC188" s="4">
        <v>706420</v>
      </c>
    </row>
    <row r="189" spans="22:55" hidden="1">
      <c r="V189" s="3">
        <v>44959</v>
      </c>
      <c r="W189" s="4">
        <v>555100</v>
      </c>
      <c r="X189" s="4">
        <v>-354989</v>
      </c>
      <c r="Y189" s="4">
        <v>-277565</v>
      </c>
      <c r="Z189" s="4">
        <v>-18379</v>
      </c>
      <c r="AA189" s="4">
        <v>210869</v>
      </c>
      <c r="AB189" s="4">
        <v>-372598</v>
      </c>
      <c r="AC189" s="4">
        <v>178661</v>
      </c>
      <c r="AD189" s="4">
        <v>25852</v>
      </c>
      <c r="AE189" s="4">
        <v>-32493</v>
      </c>
      <c r="AF189" s="4">
        <v>-25269</v>
      </c>
      <c r="AG189" s="4">
        <v>33329</v>
      </c>
      <c r="AH189" s="4">
        <v>-91823</v>
      </c>
      <c r="AI189" s="4">
        <v>-5996</v>
      </c>
      <c r="AJ189" s="4">
        <v>2282</v>
      </c>
      <c r="AK189" s="4">
        <v>3601</v>
      </c>
      <c r="AL189" s="4">
        <v>722</v>
      </c>
      <c r="AN189" s="3">
        <v>44978</v>
      </c>
      <c r="AO189" s="4">
        <v>3.54</v>
      </c>
      <c r="AP189" s="4">
        <v>3.6230000000000002</v>
      </c>
      <c r="AQ189" s="4">
        <v>4.3239999999999998</v>
      </c>
      <c r="AR189" s="4">
        <v>10.747999999999999</v>
      </c>
      <c r="AS189" s="4">
        <f t="shared" si="18"/>
        <v>0.70099999999999962</v>
      </c>
      <c r="AT189" s="3">
        <v>44973</v>
      </c>
      <c r="AU189" s="4">
        <v>477332</v>
      </c>
      <c r="AV189" s="3">
        <v>44977</v>
      </c>
      <c r="AW189" s="4">
        <v>97177528</v>
      </c>
      <c r="AX189" s="4">
        <v>9728808</v>
      </c>
      <c r="AY189" s="4">
        <v>16918844</v>
      </c>
      <c r="AZ189" s="4">
        <v>122654383</v>
      </c>
      <c r="BA189" s="4">
        <v>200614506</v>
      </c>
      <c r="BB189" s="3">
        <v>44973</v>
      </c>
      <c r="BC189" s="4">
        <v>703082</v>
      </c>
    </row>
    <row r="190" spans="22:55" hidden="1">
      <c r="V190" s="3">
        <v>44958</v>
      </c>
      <c r="W190" s="4">
        <v>198274</v>
      </c>
      <c r="X190" s="4">
        <v>-18286</v>
      </c>
      <c r="Y190" s="4">
        <v>-194936</v>
      </c>
      <c r="Z190" s="4">
        <v>-3521</v>
      </c>
      <c r="AA190" s="4">
        <v>200981</v>
      </c>
      <c r="AB190" s="4">
        <v>-225302</v>
      </c>
      <c r="AC190" s="4">
        <v>66472</v>
      </c>
      <c r="AD190" s="4">
        <v>-475</v>
      </c>
      <c r="AE190" s="4">
        <v>23236</v>
      </c>
      <c r="AF190" s="4">
        <v>11150</v>
      </c>
      <c r="AG190" s="4">
        <v>-33158</v>
      </c>
      <c r="AH190" s="4">
        <v>35650</v>
      </c>
      <c r="AI190" s="4">
        <v>1431</v>
      </c>
      <c r="AJ190" s="4">
        <v>-2230</v>
      </c>
      <c r="AK190" s="4">
        <v>2131</v>
      </c>
      <c r="AL190" s="4">
        <v>4915</v>
      </c>
      <c r="AN190" s="3">
        <v>44977</v>
      </c>
      <c r="AO190" s="4">
        <v>3.53</v>
      </c>
      <c r="AP190" s="4">
        <v>3.677</v>
      </c>
      <c r="AQ190" s="4">
        <v>4.3689999999999998</v>
      </c>
      <c r="AR190" s="4">
        <v>10.797000000000001</v>
      </c>
      <c r="AS190" s="4">
        <f t="shared" si="18"/>
        <v>0.69199999999999973</v>
      </c>
      <c r="AT190" s="3">
        <v>44972</v>
      </c>
      <c r="AU190" s="4">
        <v>474370</v>
      </c>
      <c r="AV190" s="3">
        <v>44974</v>
      </c>
      <c r="AW190" s="4">
        <v>97422022</v>
      </c>
      <c r="AX190" s="4">
        <v>9732421</v>
      </c>
      <c r="AY190" s="4">
        <v>16935659</v>
      </c>
      <c r="AZ190" s="4">
        <v>122396443</v>
      </c>
      <c r="BA190" s="4">
        <v>200665107</v>
      </c>
      <c r="BB190" s="3">
        <v>44972</v>
      </c>
      <c r="BC190" s="4">
        <v>702676</v>
      </c>
    </row>
    <row r="191" spans="22:55" hidden="1">
      <c r="V191" s="3">
        <v>44957</v>
      </c>
      <c r="W191" s="4">
        <v>-473355</v>
      </c>
      <c r="X191" s="4">
        <v>307562</v>
      </c>
      <c r="Y191" s="4">
        <v>155988</v>
      </c>
      <c r="Z191" s="4">
        <v>-101995</v>
      </c>
      <c r="AA191" s="4">
        <v>97190</v>
      </c>
      <c r="AB191" s="4">
        <v>-27075</v>
      </c>
      <c r="AC191" s="4">
        <v>-55744</v>
      </c>
      <c r="AD191" s="4">
        <v>108</v>
      </c>
      <c r="AE191" s="4">
        <v>17488</v>
      </c>
      <c r="AF191" s="4">
        <v>6848</v>
      </c>
      <c r="AG191" s="4">
        <v>-24653</v>
      </c>
      <c r="AH191" s="4">
        <v>174586</v>
      </c>
      <c r="AI191" s="4">
        <v>2499</v>
      </c>
      <c r="AJ191" s="4">
        <v>1268</v>
      </c>
      <c r="AK191" s="4">
        <v>-3690</v>
      </c>
      <c r="AL191" s="4">
        <v>-2331</v>
      </c>
      <c r="AN191" s="3">
        <v>44974</v>
      </c>
      <c r="AO191" s="4">
        <v>3.52</v>
      </c>
      <c r="AP191" s="4">
        <v>3.6389999999999998</v>
      </c>
      <c r="AQ191" s="4">
        <v>4.3449999999999998</v>
      </c>
      <c r="AR191" s="4">
        <v>10.762</v>
      </c>
      <c r="AS191" s="4">
        <f t="shared" si="18"/>
        <v>0.70599999999999996</v>
      </c>
      <c r="AT191" s="3">
        <v>44971</v>
      </c>
      <c r="AU191" s="4">
        <v>480195</v>
      </c>
      <c r="AV191" s="3">
        <v>44973</v>
      </c>
      <c r="AW191" s="4">
        <v>97829282</v>
      </c>
      <c r="AX191" s="4">
        <v>9733588</v>
      </c>
      <c r="AY191" s="4">
        <v>16952252</v>
      </c>
      <c r="AZ191" s="4">
        <v>122291787</v>
      </c>
      <c r="BA191" s="4">
        <v>200475065</v>
      </c>
      <c r="BB191" s="3">
        <v>44971</v>
      </c>
      <c r="BC191" s="4">
        <v>702116</v>
      </c>
    </row>
    <row r="192" spans="22:55" hidden="1">
      <c r="V192" s="3">
        <v>44956</v>
      </c>
      <c r="W192" s="4">
        <v>16391</v>
      </c>
      <c r="X192" s="4">
        <v>461935</v>
      </c>
      <c r="Y192" s="4">
        <v>-412398</v>
      </c>
      <c r="Z192" s="4">
        <v>-87839</v>
      </c>
      <c r="AA192" s="4">
        <v>-28919</v>
      </c>
      <c r="AB192" s="4">
        <v>88965</v>
      </c>
      <c r="AC192" s="4">
        <v>-50878</v>
      </c>
      <c r="AD192" s="4">
        <v>-7843</v>
      </c>
      <c r="AE192" s="4">
        <v>16731</v>
      </c>
      <c r="AF192" s="4">
        <v>-7816</v>
      </c>
      <c r="AG192" s="4">
        <v>210</v>
      </c>
      <c r="AH192" s="4">
        <v>-31046</v>
      </c>
      <c r="AI192" s="4">
        <v>-55</v>
      </c>
      <c r="AJ192" s="4">
        <v>3239</v>
      </c>
      <c r="AK192" s="4">
        <v>-4453</v>
      </c>
      <c r="AL192" s="4">
        <v>-8764</v>
      </c>
      <c r="AN192" s="3">
        <v>44973</v>
      </c>
      <c r="AO192" s="4">
        <v>3.5</v>
      </c>
      <c r="AP192" s="4">
        <v>3.504</v>
      </c>
      <c r="AQ192" s="4">
        <v>4.2389999999999999</v>
      </c>
      <c r="AR192" s="4">
        <v>10.638</v>
      </c>
      <c r="AS192" s="4">
        <f t="shared" si="18"/>
        <v>0.73499999999999988</v>
      </c>
      <c r="AT192" s="3">
        <v>44970</v>
      </c>
      <c r="AU192" s="4">
        <v>476254</v>
      </c>
      <c r="AV192" s="3">
        <v>44972</v>
      </c>
      <c r="AW192" s="4">
        <v>96920917</v>
      </c>
      <c r="AX192" s="4">
        <v>9734265</v>
      </c>
      <c r="AY192" s="4">
        <v>16849701</v>
      </c>
      <c r="AZ192" s="4">
        <v>122682334</v>
      </c>
      <c r="BA192" s="4">
        <v>198073890</v>
      </c>
      <c r="BB192" s="3">
        <v>44970</v>
      </c>
      <c r="BC192" s="4">
        <v>703022</v>
      </c>
    </row>
    <row r="193" spans="22:55" hidden="1">
      <c r="V193" s="3">
        <v>44953</v>
      </c>
      <c r="W193" s="4">
        <v>969598</v>
      </c>
      <c r="X193" s="4">
        <v>-1184837</v>
      </c>
      <c r="Y193" s="4">
        <v>223472</v>
      </c>
      <c r="Z193" s="4">
        <v>-5959</v>
      </c>
      <c r="AA193" s="4">
        <v>15219</v>
      </c>
      <c r="AB193" s="4">
        <v>69089</v>
      </c>
      <c r="AC193" s="4">
        <v>-49190</v>
      </c>
      <c r="AD193" s="4">
        <v>-17136</v>
      </c>
      <c r="AE193" s="4">
        <v>-1982</v>
      </c>
      <c r="AF193" s="4">
        <v>33690</v>
      </c>
      <c r="AG193" s="4">
        <v>-37450</v>
      </c>
      <c r="AH193" s="4">
        <v>-17758</v>
      </c>
      <c r="AI193" s="4">
        <v>2499</v>
      </c>
      <c r="AJ193" s="4">
        <v>32</v>
      </c>
      <c r="AK193" s="4">
        <v>-2559</v>
      </c>
      <c r="AL193" s="4">
        <v>390</v>
      </c>
      <c r="AN193" s="3">
        <v>44972</v>
      </c>
      <c r="AO193" s="4">
        <v>3.49</v>
      </c>
      <c r="AP193" s="4">
        <v>3.5019999999999998</v>
      </c>
      <c r="AQ193" s="4">
        <v>4.2549999999999999</v>
      </c>
      <c r="AR193" s="4">
        <v>10.641999999999999</v>
      </c>
      <c r="AS193" s="4">
        <f t="shared" si="18"/>
        <v>0.75300000000000011</v>
      </c>
      <c r="AT193" s="3">
        <v>44967</v>
      </c>
      <c r="AU193" s="4">
        <v>470842</v>
      </c>
      <c r="AV193" s="3">
        <v>44971</v>
      </c>
      <c r="AW193" s="4">
        <v>97421538</v>
      </c>
      <c r="AX193" s="4">
        <v>9735280</v>
      </c>
      <c r="AY193" s="4">
        <v>16875833</v>
      </c>
      <c r="AZ193" s="4">
        <v>122492895</v>
      </c>
      <c r="BA193" s="4">
        <v>197146019</v>
      </c>
      <c r="BB193" s="3">
        <v>44967</v>
      </c>
      <c r="BC193" s="4">
        <v>701016</v>
      </c>
    </row>
    <row r="194" spans="22:55" hidden="1">
      <c r="V194" s="3">
        <v>44952</v>
      </c>
      <c r="W194" s="4">
        <v>811984</v>
      </c>
      <c r="X194" s="4">
        <v>-1052283</v>
      </c>
      <c r="Y194" s="4">
        <v>247197</v>
      </c>
      <c r="Z194" s="4">
        <v>102361</v>
      </c>
      <c r="AA194" s="4">
        <v>100249</v>
      </c>
      <c r="AB194" s="4">
        <v>-124208</v>
      </c>
      <c r="AC194" s="4">
        <v>47164</v>
      </c>
      <c r="AD194" s="4">
        <v>13418</v>
      </c>
      <c r="AE194" s="4">
        <v>6873</v>
      </c>
      <c r="AF194" s="4">
        <v>10266</v>
      </c>
      <c r="AG194" s="4">
        <v>-14805</v>
      </c>
      <c r="AH194" s="4">
        <v>-10259</v>
      </c>
      <c r="AI194" s="4">
        <v>555</v>
      </c>
      <c r="AJ194" s="4">
        <v>623</v>
      </c>
      <c r="AK194" s="4">
        <v>-883</v>
      </c>
      <c r="AL194" s="4">
        <v>796</v>
      </c>
      <c r="AN194" s="3">
        <v>44971</v>
      </c>
      <c r="AO194" s="4">
        <v>3.48</v>
      </c>
      <c r="AP194" s="4">
        <v>3.4289999999999998</v>
      </c>
      <c r="AQ194" s="4">
        <v>4.2069999999999999</v>
      </c>
      <c r="AR194" s="4">
        <v>10.585000000000001</v>
      </c>
      <c r="AS194" s="4">
        <f t="shared" si="18"/>
        <v>0.77800000000000002</v>
      </c>
      <c r="AT194" s="3">
        <v>44966</v>
      </c>
      <c r="AU194" s="4">
        <v>478623</v>
      </c>
      <c r="AV194" s="3">
        <v>44970</v>
      </c>
      <c r="AW194" s="4">
        <v>97097298</v>
      </c>
      <c r="AX194" s="4">
        <v>9739201</v>
      </c>
      <c r="AY194" s="4">
        <v>16856501</v>
      </c>
      <c r="AZ194" s="4">
        <v>122462203</v>
      </c>
      <c r="BA194" s="4">
        <v>200084960</v>
      </c>
      <c r="BB194" s="3">
        <v>44966</v>
      </c>
      <c r="BC194" s="4">
        <v>703305</v>
      </c>
    </row>
    <row r="195" spans="22:55" hidden="1">
      <c r="V195" s="3">
        <v>44951</v>
      </c>
      <c r="W195" s="4">
        <v>764694</v>
      </c>
      <c r="X195" s="4">
        <v>-790317</v>
      </c>
      <c r="Y195" s="4">
        <v>27571</v>
      </c>
      <c r="Z195" s="4">
        <v>1431</v>
      </c>
      <c r="AA195" s="4">
        <v>164424</v>
      </c>
      <c r="AB195" s="4">
        <v>-330671</v>
      </c>
      <c r="AC195" s="4">
        <v>186363</v>
      </c>
      <c r="AD195" s="4">
        <v>7403</v>
      </c>
      <c r="AE195" s="4">
        <v>40366</v>
      </c>
      <c r="AF195" s="4">
        <v>-32543</v>
      </c>
      <c r="AG195" s="4">
        <v>123394</v>
      </c>
      <c r="AH195" s="4">
        <v>-65262</v>
      </c>
      <c r="AI195" s="4">
        <v>-1113</v>
      </c>
      <c r="AJ195" s="4">
        <v>-2219</v>
      </c>
      <c r="AK195" s="4">
        <v>3735</v>
      </c>
      <c r="AL195" s="4">
        <v>3551</v>
      </c>
      <c r="AN195" s="3">
        <v>44970</v>
      </c>
      <c r="AO195" s="4">
        <v>3.48</v>
      </c>
      <c r="AP195" s="4">
        <v>3.452</v>
      </c>
      <c r="AQ195" s="4">
        <v>4.2519999999999998</v>
      </c>
      <c r="AR195" s="4">
        <v>10.613</v>
      </c>
      <c r="AS195" s="4">
        <f t="shared" si="18"/>
        <v>0.79999999999999982</v>
      </c>
      <c r="AT195" s="3">
        <v>44965</v>
      </c>
      <c r="AU195" s="4">
        <v>467273</v>
      </c>
      <c r="AV195" s="3">
        <v>44967</v>
      </c>
      <c r="AW195" s="4">
        <v>97525655</v>
      </c>
      <c r="AX195" s="4">
        <v>9713732</v>
      </c>
      <c r="AY195" s="4">
        <v>16862053</v>
      </c>
      <c r="AZ195" s="4">
        <v>122529684</v>
      </c>
      <c r="BA195" s="4">
        <v>203817654</v>
      </c>
      <c r="BB195" s="3">
        <v>44965</v>
      </c>
      <c r="BC195" s="4">
        <v>702863</v>
      </c>
    </row>
    <row r="196" spans="22:55" hidden="1">
      <c r="V196" s="3">
        <v>44946</v>
      </c>
      <c r="W196" s="4">
        <v>230834</v>
      </c>
      <c r="X196" s="4">
        <v>-246516</v>
      </c>
      <c r="Y196" s="4">
        <v>9141</v>
      </c>
      <c r="Z196" s="4">
        <v>5361</v>
      </c>
      <c r="AA196" s="4">
        <v>3303</v>
      </c>
      <c r="AB196" s="4">
        <v>-35881</v>
      </c>
      <c r="AC196" s="4">
        <v>45444</v>
      </c>
      <c r="AD196" s="4">
        <v>9863</v>
      </c>
      <c r="AE196" s="4">
        <v>6500</v>
      </c>
      <c r="AF196" s="4">
        <v>-2943</v>
      </c>
      <c r="AG196" s="4">
        <v>-4457</v>
      </c>
      <c r="AH196" s="4">
        <v>-81558</v>
      </c>
      <c r="AI196" s="4">
        <v>-587</v>
      </c>
      <c r="AJ196" s="4">
        <v>647</v>
      </c>
      <c r="AK196" s="4">
        <v>-2</v>
      </c>
      <c r="AL196" s="4">
        <v>-1506</v>
      </c>
      <c r="AN196" s="3">
        <v>44967</v>
      </c>
      <c r="AO196" s="4">
        <v>3.47</v>
      </c>
      <c r="AP196" s="4">
        <v>3.3980000000000001</v>
      </c>
      <c r="AQ196" s="4">
        <v>4.2309999999999999</v>
      </c>
      <c r="AR196" s="4">
        <v>10.571</v>
      </c>
      <c r="AS196" s="4">
        <f t="shared" si="18"/>
        <v>0.83299999999999974</v>
      </c>
      <c r="AT196" s="3">
        <v>44964</v>
      </c>
      <c r="AU196" s="4">
        <v>481610</v>
      </c>
      <c r="AV196" s="3">
        <v>44966</v>
      </c>
      <c r="AW196" s="4">
        <v>97378029</v>
      </c>
      <c r="AX196" s="4">
        <v>9718188</v>
      </c>
      <c r="AY196" s="4">
        <v>16900589</v>
      </c>
      <c r="AZ196" s="4">
        <v>122359157</v>
      </c>
      <c r="BA196" s="4">
        <v>205759497</v>
      </c>
      <c r="BB196" s="3">
        <v>44964</v>
      </c>
      <c r="BC196" s="4">
        <v>701050</v>
      </c>
    </row>
    <row r="197" spans="22:55" hidden="1">
      <c r="V197" s="3">
        <v>44945</v>
      </c>
      <c r="W197" s="4">
        <v>570305</v>
      </c>
      <c r="X197" s="4">
        <v>-260223</v>
      </c>
      <c r="Y197" s="4">
        <v>-314781</v>
      </c>
      <c r="Z197" s="4">
        <v>-10880</v>
      </c>
      <c r="AA197" s="4">
        <v>-5676</v>
      </c>
      <c r="AB197" s="4">
        <v>65522</v>
      </c>
      <c r="AC197" s="4">
        <v>-41684</v>
      </c>
      <c r="AD197" s="4">
        <v>-22472</v>
      </c>
      <c r="AE197" s="4">
        <v>-33657</v>
      </c>
      <c r="AF197" s="4">
        <v>103393</v>
      </c>
      <c r="AG197" s="4">
        <v>-73088</v>
      </c>
      <c r="AH197" s="4">
        <v>66153</v>
      </c>
      <c r="AI197" s="4">
        <v>7201</v>
      </c>
      <c r="AJ197" s="4">
        <v>656</v>
      </c>
      <c r="AK197" s="4">
        <v>-7218</v>
      </c>
      <c r="AL197" s="4">
        <v>1763</v>
      </c>
      <c r="AN197" s="3">
        <v>44966</v>
      </c>
      <c r="AO197" s="4">
        <v>3.46</v>
      </c>
      <c r="AP197" s="4">
        <v>3.4009999999999998</v>
      </c>
      <c r="AQ197" s="4">
        <v>4.2539999999999996</v>
      </c>
      <c r="AR197" s="4">
        <v>10.581</v>
      </c>
      <c r="AS197" s="4">
        <f t="shared" ref="AS197:AS260" si="19">AQ197-AP197</f>
        <v>0.85299999999999976</v>
      </c>
      <c r="AT197" s="3">
        <v>44963</v>
      </c>
      <c r="AU197" s="4">
        <v>473802</v>
      </c>
      <c r="AV197" s="3">
        <v>44965</v>
      </c>
      <c r="AW197" s="4">
        <v>97578504</v>
      </c>
      <c r="AX197" s="4">
        <v>9727099</v>
      </c>
      <c r="AY197" s="4">
        <v>16937140</v>
      </c>
      <c r="AZ197" s="4">
        <v>122202792</v>
      </c>
      <c r="BA197" s="4">
        <v>206588038</v>
      </c>
      <c r="BB197" s="3">
        <v>44963</v>
      </c>
      <c r="BC197" s="4">
        <v>706669</v>
      </c>
    </row>
    <row r="198" spans="22:55" hidden="1">
      <c r="V198" s="3">
        <v>44944</v>
      </c>
      <c r="W198" s="4">
        <v>72844</v>
      </c>
      <c r="X198" s="4">
        <v>148970</v>
      </c>
      <c r="Y198" s="4">
        <v>-216606</v>
      </c>
      <c r="Z198" s="4">
        <v>-52748</v>
      </c>
      <c r="AA198" s="4">
        <v>10166</v>
      </c>
      <c r="AB198" s="4">
        <v>24468</v>
      </c>
      <c r="AC198" s="4">
        <v>-22848</v>
      </c>
      <c r="AD198" s="4">
        <v>-5068</v>
      </c>
      <c r="AE198" s="4">
        <v>-13537</v>
      </c>
      <c r="AF198" s="4">
        <v>-24037</v>
      </c>
      <c r="AG198" s="4">
        <v>37126</v>
      </c>
      <c r="AH198" s="4">
        <v>99115</v>
      </c>
      <c r="AI198" s="4">
        <v>-3465</v>
      </c>
      <c r="AJ198" s="4">
        <v>1466</v>
      </c>
      <c r="AK198" s="4">
        <v>1732</v>
      </c>
      <c r="AL198" s="4">
        <v>-1085</v>
      </c>
      <c r="AN198" s="3">
        <v>44965</v>
      </c>
      <c r="AO198" s="4">
        <v>3.46</v>
      </c>
      <c r="AP198" s="4">
        <v>3.339</v>
      </c>
      <c r="AQ198" s="4">
        <v>4.2439999999999998</v>
      </c>
      <c r="AR198" s="4">
        <v>10.538</v>
      </c>
      <c r="AS198" s="4">
        <f t="shared" si="19"/>
        <v>0.9049999999999998</v>
      </c>
      <c r="AT198" s="3">
        <v>44960</v>
      </c>
      <c r="AU198" s="4">
        <v>477468</v>
      </c>
      <c r="AV198" s="3">
        <v>44964</v>
      </c>
      <c r="AW198" s="4">
        <v>96836649</v>
      </c>
      <c r="AX198" s="4">
        <v>9728875</v>
      </c>
      <c r="AY198" s="4">
        <v>16953265</v>
      </c>
      <c r="AZ198" s="4">
        <v>122046128</v>
      </c>
      <c r="BA198" s="4">
        <v>207735788</v>
      </c>
      <c r="BB198" s="3">
        <v>44960</v>
      </c>
      <c r="BC198" s="4">
        <v>706885</v>
      </c>
    </row>
    <row r="199" spans="22:55" hidden="1">
      <c r="V199" s="3">
        <v>44943</v>
      </c>
      <c r="W199" s="4">
        <v>177097</v>
      </c>
      <c r="X199" s="4">
        <v>128211</v>
      </c>
      <c r="Y199" s="4">
        <v>-309599</v>
      </c>
      <c r="Z199" s="4">
        <v>-7530</v>
      </c>
      <c r="AA199" s="4">
        <v>-65054</v>
      </c>
      <c r="AB199" s="4">
        <v>217762</v>
      </c>
      <c r="AC199" s="4">
        <v>-146048</v>
      </c>
      <c r="AD199" s="4">
        <v>-6413</v>
      </c>
      <c r="AE199" s="4">
        <v>138818</v>
      </c>
      <c r="AF199" s="4">
        <v>52800</v>
      </c>
      <c r="AG199" s="4">
        <v>-194931</v>
      </c>
      <c r="AH199" s="4">
        <v>-33664</v>
      </c>
      <c r="AI199" s="4">
        <v>1391</v>
      </c>
      <c r="AJ199" s="4">
        <v>606</v>
      </c>
      <c r="AK199" s="4">
        <v>-3150</v>
      </c>
      <c r="AL199" s="4">
        <v>-4787</v>
      </c>
      <c r="AN199" s="3">
        <v>44964</v>
      </c>
      <c r="AO199" s="4">
        <v>3.46</v>
      </c>
      <c r="AP199" s="4">
        <v>3.3149999999999999</v>
      </c>
      <c r="AQ199" s="4">
        <v>4.2439999999999998</v>
      </c>
      <c r="AR199" s="4">
        <v>10.526999999999999</v>
      </c>
      <c r="AS199" s="4">
        <f t="shared" si="19"/>
        <v>0.92899999999999983</v>
      </c>
      <c r="AT199" s="3">
        <v>44959</v>
      </c>
      <c r="AU199" s="4">
        <v>464596</v>
      </c>
      <c r="AV199" s="3">
        <v>44963</v>
      </c>
      <c r="AW199" s="4">
        <v>96606815</v>
      </c>
      <c r="AX199" s="4">
        <v>9731007</v>
      </c>
      <c r="AY199" s="4">
        <v>16965805</v>
      </c>
      <c r="AZ199" s="4">
        <v>122101980</v>
      </c>
      <c r="BA199" s="4">
        <v>208166595</v>
      </c>
      <c r="BB199" s="3">
        <v>44959</v>
      </c>
      <c r="BC199" s="4">
        <v>701666</v>
      </c>
    </row>
    <row r="200" spans="22:55" hidden="1">
      <c r="V200" s="3">
        <v>44942</v>
      </c>
      <c r="W200" s="4">
        <v>287875</v>
      </c>
      <c r="X200" s="4">
        <v>-490636</v>
      </c>
      <c r="Y200" s="4">
        <v>221760</v>
      </c>
      <c r="Z200" s="4">
        <v>15197</v>
      </c>
      <c r="AA200" s="4">
        <v>52634</v>
      </c>
      <c r="AB200" s="4">
        <v>-26599</v>
      </c>
      <c r="AC200" s="4">
        <v>5650</v>
      </c>
      <c r="AD200" s="4">
        <v>1512</v>
      </c>
      <c r="AE200" s="4">
        <v>-34317</v>
      </c>
      <c r="AF200" s="4">
        <v>78213</v>
      </c>
      <c r="AG200" s="4">
        <v>-54011</v>
      </c>
      <c r="AH200" s="4">
        <v>-52940</v>
      </c>
      <c r="AI200" s="4">
        <v>3326</v>
      </c>
      <c r="AJ200" s="4">
        <v>-1013</v>
      </c>
      <c r="AK200" s="4">
        <v>-1943</v>
      </c>
      <c r="AL200" s="4">
        <v>-2005</v>
      </c>
      <c r="AN200" s="3">
        <v>44963</v>
      </c>
      <c r="AO200" s="4">
        <v>3.47</v>
      </c>
      <c r="AP200" s="4">
        <v>3.2829999999999999</v>
      </c>
      <c r="AQ200" s="4">
        <v>4.2370000000000001</v>
      </c>
      <c r="AR200" s="4">
        <v>10.504</v>
      </c>
      <c r="AS200" s="4">
        <f t="shared" si="19"/>
        <v>0.95400000000000018</v>
      </c>
      <c r="AT200" s="3">
        <v>44958</v>
      </c>
      <c r="AU200" s="4">
        <v>515218</v>
      </c>
      <c r="AV200" s="3">
        <v>44960</v>
      </c>
      <c r="AW200" s="4">
        <v>96993390</v>
      </c>
      <c r="AX200" s="4">
        <v>9733199</v>
      </c>
      <c r="AY200" s="4">
        <v>17015207</v>
      </c>
      <c r="AZ200" s="4">
        <v>121546985</v>
      </c>
      <c r="BA200" s="4">
        <v>207972091</v>
      </c>
      <c r="BB200" s="3">
        <v>44958</v>
      </c>
      <c r="BC200" s="4">
        <v>698637</v>
      </c>
    </row>
    <row r="201" spans="22:55" hidden="1">
      <c r="V201" s="3">
        <v>44939</v>
      </c>
      <c r="W201" s="4">
        <v>568167</v>
      </c>
      <c r="X201" s="4">
        <v>-777380</v>
      </c>
      <c r="Y201" s="4">
        <v>212671</v>
      </c>
      <c r="Z201" s="4">
        <v>22933</v>
      </c>
      <c r="AA201" s="4">
        <v>-73567</v>
      </c>
      <c r="AB201" s="4">
        <v>113617</v>
      </c>
      <c r="AC201" s="4">
        <v>-38509</v>
      </c>
      <c r="AD201" s="4">
        <v>-3814</v>
      </c>
      <c r="AE201" s="4">
        <v>-21223</v>
      </c>
      <c r="AF201" s="4">
        <v>85838</v>
      </c>
      <c r="AG201" s="4">
        <v>-69409</v>
      </c>
      <c r="AH201" s="4">
        <v>52271</v>
      </c>
      <c r="AI201" s="4">
        <v>178</v>
      </c>
      <c r="AJ201" s="4">
        <v>-206</v>
      </c>
      <c r="AK201" s="4">
        <v>-718</v>
      </c>
      <c r="AL201" s="4">
        <v>2257</v>
      </c>
      <c r="AN201" s="3">
        <v>44960</v>
      </c>
      <c r="AO201" s="4">
        <v>3.49</v>
      </c>
      <c r="AP201" s="4">
        <v>3.11</v>
      </c>
      <c r="AQ201" s="4">
        <v>4.0810000000000004</v>
      </c>
      <c r="AR201" s="4">
        <v>10.343999999999999</v>
      </c>
      <c r="AS201" s="4">
        <f t="shared" si="19"/>
        <v>0.97100000000000053</v>
      </c>
      <c r="AT201" s="3">
        <v>44957</v>
      </c>
      <c r="AU201" s="4">
        <v>492749</v>
      </c>
      <c r="AV201" s="3">
        <v>44959</v>
      </c>
      <c r="AW201" s="4">
        <v>96383567</v>
      </c>
      <c r="AX201" s="4">
        <v>9730596</v>
      </c>
      <c r="AY201" s="4">
        <v>17054851</v>
      </c>
      <c r="AZ201" s="4">
        <v>121000578</v>
      </c>
      <c r="BA201" s="4">
        <v>206049655</v>
      </c>
      <c r="BB201" s="3">
        <v>44957</v>
      </c>
      <c r="BC201" s="4">
        <v>689324</v>
      </c>
    </row>
    <row r="202" spans="22:55" hidden="1">
      <c r="V202" s="3">
        <v>44938</v>
      </c>
      <c r="W202" s="4">
        <v>484324</v>
      </c>
      <c r="X202" s="4">
        <v>-48896</v>
      </c>
      <c r="Y202" s="4">
        <v>-437130</v>
      </c>
      <c r="Z202" s="4">
        <v>30053</v>
      </c>
      <c r="AA202" s="4">
        <v>-58604</v>
      </c>
      <c r="AB202" s="4">
        <v>95164</v>
      </c>
      <c r="AC202" s="4">
        <v>-25912</v>
      </c>
      <c r="AD202" s="4">
        <v>1994</v>
      </c>
      <c r="AE202" s="4">
        <v>21654</v>
      </c>
      <c r="AF202" s="4">
        <v>-12026</v>
      </c>
      <c r="AG202" s="4">
        <v>15992</v>
      </c>
      <c r="AH202" s="4">
        <v>-97072</v>
      </c>
      <c r="AI202" s="4">
        <v>-820</v>
      </c>
      <c r="AJ202" s="4">
        <v>656</v>
      </c>
      <c r="AK202" s="4">
        <v>-667</v>
      </c>
      <c r="AL202" s="4">
        <v>-926</v>
      </c>
      <c r="AN202" s="3">
        <v>44959</v>
      </c>
      <c r="AO202" s="4">
        <v>3.52</v>
      </c>
      <c r="AP202" s="4">
        <v>3.1829999999999998</v>
      </c>
      <c r="AQ202" s="4">
        <v>4.1769999999999996</v>
      </c>
      <c r="AR202" s="4">
        <v>10.423</v>
      </c>
      <c r="AS202" s="4">
        <f t="shared" si="19"/>
        <v>0.99399999999999977</v>
      </c>
      <c r="AT202" s="3">
        <v>44956</v>
      </c>
      <c r="AU202" s="4">
        <v>471236</v>
      </c>
      <c r="AV202" s="3">
        <v>44958</v>
      </c>
      <c r="AW202" s="4">
        <v>96009080</v>
      </c>
      <c r="AX202" s="4">
        <v>9732668</v>
      </c>
      <c r="AY202" s="4">
        <v>17048674</v>
      </c>
      <c r="AZ202" s="4">
        <v>121096830</v>
      </c>
      <c r="BA202" s="4">
        <v>195946532</v>
      </c>
      <c r="BB202" s="3">
        <v>44956</v>
      </c>
      <c r="BC202" s="4">
        <v>685407</v>
      </c>
    </row>
    <row r="203" spans="22:55" hidden="1">
      <c r="V203" s="3">
        <v>44937</v>
      </c>
      <c r="W203" s="4">
        <v>33623</v>
      </c>
      <c r="X203" s="4">
        <v>-206390</v>
      </c>
      <c r="Y203" s="4">
        <v>174553</v>
      </c>
      <c r="Z203" s="4">
        <v>13945</v>
      </c>
      <c r="AA203" s="4">
        <v>149094</v>
      </c>
      <c r="AB203" s="4">
        <v>-204343</v>
      </c>
      <c r="AC203" s="4">
        <v>65104</v>
      </c>
      <c r="AD203" s="4">
        <v>-3102</v>
      </c>
      <c r="AE203" s="4">
        <v>33701</v>
      </c>
      <c r="AF203" s="4">
        <v>-8523</v>
      </c>
      <c r="AG203" s="4">
        <v>-25666</v>
      </c>
      <c r="AH203" s="4">
        <v>100380</v>
      </c>
      <c r="AI203" s="4">
        <v>2773</v>
      </c>
      <c r="AJ203" s="4">
        <v>785</v>
      </c>
      <c r="AK203" s="4">
        <v>-3015</v>
      </c>
      <c r="AL203" s="4">
        <v>-51</v>
      </c>
      <c r="AN203" s="3">
        <v>44958</v>
      </c>
      <c r="AO203" s="4">
        <v>3.59</v>
      </c>
      <c r="AP203" s="4">
        <v>3.2629999999999999</v>
      </c>
      <c r="AQ203" s="4">
        <v>4.2679999999999998</v>
      </c>
      <c r="AR203" s="4">
        <v>10.5</v>
      </c>
      <c r="AS203" s="4">
        <f t="shared" si="19"/>
        <v>1.0049999999999999</v>
      </c>
      <c r="AT203" s="3">
        <v>44953</v>
      </c>
      <c r="AU203" s="4">
        <v>472292</v>
      </c>
      <c r="AV203" s="3">
        <v>44957</v>
      </c>
      <c r="AW203" s="4">
        <v>95486295</v>
      </c>
      <c r="AX203" s="4">
        <v>9738423</v>
      </c>
      <c r="AY203" s="4">
        <v>17054547</v>
      </c>
      <c r="AZ203" s="4">
        <v>120961810</v>
      </c>
      <c r="BA203" s="4">
        <v>190570969</v>
      </c>
      <c r="BB203" s="3">
        <v>44953</v>
      </c>
      <c r="BC203" s="4">
        <v>682100</v>
      </c>
    </row>
    <row r="204" spans="22:55" hidden="1">
      <c r="V204" s="3">
        <v>44936</v>
      </c>
      <c r="W204" s="4">
        <v>-2229</v>
      </c>
      <c r="X204" s="4">
        <v>-298768</v>
      </c>
      <c r="Y204" s="4">
        <v>296871</v>
      </c>
      <c r="Z204" s="4">
        <v>36569</v>
      </c>
      <c r="AA204" s="4">
        <v>-65592</v>
      </c>
      <c r="AB204" s="4">
        <v>288850</v>
      </c>
      <c r="AC204" s="4">
        <v>-216739</v>
      </c>
      <c r="AD204" s="4">
        <v>-28681</v>
      </c>
      <c r="AE204" s="4">
        <v>2688</v>
      </c>
      <c r="AF204" s="4">
        <v>74257</v>
      </c>
      <c r="AG204" s="4">
        <v>-134317</v>
      </c>
      <c r="AH204" s="4">
        <v>-38902</v>
      </c>
      <c r="AI204" s="4">
        <v>-1216</v>
      </c>
      <c r="AJ204" s="4">
        <v>2115</v>
      </c>
      <c r="AK204" s="4">
        <v>-844</v>
      </c>
      <c r="AL204" s="4">
        <v>-3838</v>
      </c>
      <c r="AN204" s="3">
        <v>44957</v>
      </c>
      <c r="AO204" s="4">
        <v>3.63</v>
      </c>
      <c r="AP204" s="4">
        <v>3.3250000000000002</v>
      </c>
      <c r="AQ204" s="4">
        <v>4.3440000000000003</v>
      </c>
      <c r="AR204" s="4">
        <v>10.567</v>
      </c>
      <c r="AS204" s="4">
        <f t="shared" si="19"/>
        <v>1.0190000000000001</v>
      </c>
      <c r="AT204" s="3">
        <v>44952</v>
      </c>
      <c r="AU204" s="4">
        <v>457675</v>
      </c>
      <c r="AV204" s="3">
        <v>44956</v>
      </c>
      <c r="AW204" s="4">
        <v>96136255</v>
      </c>
      <c r="AX204" s="4">
        <v>9740420</v>
      </c>
      <c r="AY204" s="4">
        <v>17072848</v>
      </c>
      <c r="AZ204" s="4">
        <v>121453034</v>
      </c>
      <c r="BA204" s="4">
        <v>192212939</v>
      </c>
      <c r="BB204" s="3">
        <v>44952</v>
      </c>
      <c r="BC204" s="4">
        <v>684555</v>
      </c>
    </row>
    <row r="205" spans="22:55" hidden="1">
      <c r="V205" s="3">
        <v>44935</v>
      </c>
      <c r="W205" s="4">
        <v>651748</v>
      </c>
      <c r="X205" s="4">
        <v>-1395183</v>
      </c>
      <c r="Y205" s="4">
        <v>741932</v>
      </c>
      <c r="Z205" s="4">
        <v>86465</v>
      </c>
      <c r="AA205" s="4">
        <v>26874</v>
      </c>
      <c r="AB205" s="4">
        <v>-7590</v>
      </c>
      <c r="AC205" s="4">
        <v>4049</v>
      </c>
      <c r="AD205" s="4">
        <v>-17975</v>
      </c>
      <c r="AE205" s="4">
        <v>-49927</v>
      </c>
      <c r="AF205" s="4">
        <v>21758</v>
      </c>
      <c r="AG205" s="4">
        <v>86743</v>
      </c>
      <c r="AH205" s="4">
        <v>-93159</v>
      </c>
      <c r="AI205" s="4">
        <v>-3123</v>
      </c>
      <c r="AJ205" s="4">
        <v>182</v>
      </c>
      <c r="AK205" s="4">
        <v>1920</v>
      </c>
      <c r="AL205" s="4">
        <v>4602</v>
      </c>
      <c r="AN205" s="3">
        <v>44956</v>
      </c>
      <c r="AO205" s="4">
        <v>3.63</v>
      </c>
      <c r="AP205" s="4">
        <v>3.2709999999999999</v>
      </c>
      <c r="AQ205" s="4">
        <v>4.3099999999999996</v>
      </c>
      <c r="AR205" s="4">
        <v>10.523</v>
      </c>
      <c r="AS205" s="4">
        <f t="shared" si="19"/>
        <v>1.0389999999999997</v>
      </c>
      <c r="AT205" s="3">
        <v>44951</v>
      </c>
      <c r="AU205" s="4">
        <v>450264</v>
      </c>
      <c r="AV205" s="3">
        <v>44953</v>
      </c>
      <c r="AW205" s="4">
        <v>96349772</v>
      </c>
      <c r="AX205" s="4">
        <v>9743637</v>
      </c>
      <c r="AY205" s="4">
        <v>17111315</v>
      </c>
      <c r="AZ205" s="4">
        <v>122171818</v>
      </c>
      <c r="BA205" s="4">
        <v>190401697</v>
      </c>
      <c r="BB205" s="3">
        <v>44951</v>
      </c>
      <c r="BC205" s="4">
        <v>685709</v>
      </c>
    </row>
    <row r="206" spans="22:55" hidden="1">
      <c r="V206" s="3">
        <v>44932</v>
      </c>
      <c r="W206" s="4">
        <v>314060</v>
      </c>
      <c r="X206" s="4">
        <v>-564022</v>
      </c>
      <c r="Y206" s="4">
        <v>243732</v>
      </c>
      <c r="Z206" s="4">
        <v>76575</v>
      </c>
      <c r="AA206" s="4">
        <v>85796</v>
      </c>
      <c r="AB206" s="4">
        <v>-67068</v>
      </c>
      <c r="AC206" s="4">
        <v>-6784</v>
      </c>
      <c r="AD206" s="4">
        <v>-11863</v>
      </c>
      <c r="AE206" s="4">
        <v>-26397</v>
      </c>
      <c r="AF206" s="4">
        <v>-5250</v>
      </c>
      <c r="AG206" s="4">
        <v>32431</v>
      </c>
      <c r="AH206" s="4">
        <v>-91695</v>
      </c>
      <c r="AI206" s="4">
        <v>834</v>
      </c>
      <c r="AJ206" s="4">
        <v>-1001</v>
      </c>
      <c r="AK206" s="4">
        <v>1001</v>
      </c>
      <c r="AL206" s="4">
        <v>1517</v>
      </c>
      <c r="AN206" s="3">
        <v>44953</v>
      </c>
      <c r="AO206" s="4">
        <v>3.64</v>
      </c>
      <c r="AP206" s="4">
        <v>3.3039999999999998</v>
      </c>
      <c r="AQ206" s="4">
        <v>4.3639999999999999</v>
      </c>
      <c r="AR206" s="4">
        <v>10.563000000000001</v>
      </c>
      <c r="AS206" s="4">
        <f t="shared" si="19"/>
        <v>1.06</v>
      </c>
      <c r="AT206" s="3">
        <v>44946</v>
      </c>
      <c r="AU206" s="4">
        <v>441599</v>
      </c>
      <c r="AV206" s="3">
        <v>44952</v>
      </c>
      <c r="AW206" s="4">
        <v>96008154</v>
      </c>
      <c r="AX206" s="4">
        <v>9742367</v>
      </c>
      <c r="AY206" s="4">
        <v>17217814</v>
      </c>
      <c r="AZ206" s="4">
        <v>122226992</v>
      </c>
      <c r="BA206" s="4">
        <v>187951156</v>
      </c>
      <c r="BB206" s="3">
        <v>44946</v>
      </c>
      <c r="BC206" s="4">
        <v>689047</v>
      </c>
    </row>
    <row r="207" spans="22:55" hidden="1">
      <c r="V207" s="3">
        <v>44931</v>
      </c>
      <c r="W207" s="4">
        <v>503160</v>
      </c>
      <c r="X207" s="4">
        <v>-164545</v>
      </c>
      <c r="Y207" s="4">
        <v>-351709</v>
      </c>
      <c r="Z207" s="4">
        <v>21569</v>
      </c>
      <c r="AA207" s="4">
        <v>-153804</v>
      </c>
      <c r="AB207" s="4">
        <v>234475</v>
      </c>
      <c r="AC207" s="4">
        <v>-85417</v>
      </c>
      <c r="AD207" s="4">
        <v>-20027</v>
      </c>
      <c r="AE207" s="4">
        <v>-874</v>
      </c>
      <c r="AF207" s="4">
        <v>35427</v>
      </c>
      <c r="AG207" s="4">
        <v>-31862</v>
      </c>
      <c r="AH207" s="4">
        <v>-75749</v>
      </c>
      <c r="AI207" s="4">
        <v>-113</v>
      </c>
      <c r="AJ207" s="4">
        <v>-1401</v>
      </c>
      <c r="AK207" s="4">
        <v>1309</v>
      </c>
      <c r="AL207" s="4">
        <v>-164</v>
      </c>
      <c r="AN207" s="3">
        <v>44952</v>
      </c>
      <c r="AO207" s="4">
        <v>3.65</v>
      </c>
      <c r="AP207" s="4">
        <v>3.2730000000000001</v>
      </c>
      <c r="AQ207" s="4">
        <v>4.3609999999999998</v>
      </c>
      <c r="AR207" s="4">
        <v>10.545</v>
      </c>
      <c r="AS207" s="4">
        <f t="shared" si="19"/>
        <v>1.0879999999999996</v>
      </c>
      <c r="AT207" s="3">
        <v>44945</v>
      </c>
      <c r="AU207" s="4">
        <v>445667</v>
      </c>
      <c r="AV207" s="3">
        <v>44951</v>
      </c>
      <c r="AW207" s="4">
        <v>95192600</v>
      </c>
      <c r="AX207" s="4">
        <v>9743882</v>
      </c>
      <c r="AY207" s="4">
        <v>17242507</v>
      </c>
      <c r="AZ207" s="4">
        <v>121973259</v>
      </c>
      <c r="BA207" s="4">
        <v>186672103</v>
      </c>
      <c r="BB207" s="3">
        <v>44945</v>
      </c>
      <c r="BC207" s="4">
        <v>687665</v>
      </c>
    </row>
    <row r="208" spans="22:55" hidden="1">
      <c r="V208" s="3">
        <v>44930</v>
      </c>
      <c r="W208" s="4">
        <v>260666</v>
      </c>
      <c r="X208" s="4">
        <v>-295934</v>
      </c>
      <c r="Y208" s="4">
        <v>-155</v>
      </c>
      <c r="Z208" s="4">
        <v>122391</v>
      </c>
      <c r="AA208" s="4">
        <v>-17614</v>
      </c>
      <c r="AB208" s="4">
        <v>31299</v>
      </c>
      <c r="AC208" s="4">
        <v>-14163</v>
      </c>
      <c r="AD208" s="4">
        <v>-2026</v>
      </c>
      <c r="AE208" s="4">
        <v>-24314</v>
      </c>
      <c r="AF208" s="4">
        <v>49688</v>
      </c>
      <c r="AG208" s="4">
        <v>-23370</v>
      </c>
      <c r="AH208" s="4">
        <v>3816</v>
      </c>
      <c r="AI208" s="4">
        <v>1676</v>
      </c>
      <c r="AJ208" s="4">
        <v>-1844</v>
      </c>
      <c r="AK208" s="4">
        <v>842</v>
      </c>
      <c r="AL208" s="4">
        <v>9062</v>
      </c>
      <c r="AN208" s="3">
        <v>44951</v>
      </c>
      <c r="AO208" s="4">
        <v>3.66</v>
      </c>
      <c r="AP208" s="4">
        <v>3.2850000000000001</v>
      </c>
      <c r="AQ208" s="4">
        <v>4.4000000000000004</v>
      </c>
      <c r="AR208" s="4">
        <v>10.561999999999999</v>
      </c>
      <c r="AS208" s="4">
        <f t="shared" si="19"/>
        <v>1.1150000000000002</v>
      </c>
      <c r="AT208" s="3">
        <v>44944</v>
      </c>
      <c r="AU208" s="4">
        <v>456533</v>
      </c>
      <c r="AV208" s="3">
        <v>44946</v>
      </c>
      <c r="AW208" s="4">
        <v>94168644</v>
      </c>
      <c r="AX208" s="4">
        <v>9743790</v>
      </c>
      <c r="AY208" s="4">
        <v>17259969</v>
      </c>
      <c r="AZ208" s="4">
        <v>121882666</v>
      </c>
      <c r="BA208" s="4">
        <v>187867890</v>
      </c>
      <c r="BB208" s="3">
        <v>44944</v>
      </c>
      <c r="BC208" s="4">
        <v>683993</v>
      </c>
    </row>
    <row r="209" spans="22:55" hidden="1">
      <c r="V209" s="3">
        <v>44929</v>
      </c>
      <c r="W209" s="4">
        <v>91761</v>
      </c>
      <c r="X209" s="4">
        <v>274820</v>
      </c>
      <c r="Y209" s="4">
        <v>-355788</v>
      </c>
      <c r="Z209" s="4">
        <v>-1798</v>
      </c>
      <c r="AA209" s="4">
        <v>-17971</v>
      </c>
      <c r="AB209" s="4">
        <v>-2298</v>
      </c>
      <c r="AC209" s="4">
        <v>14320</v>
      </c>
      <c r="AD209" s="4">
        <v>-3540</v>
      </c>
      <c r="AE209" s="4">
        <v>1019</v>
      </c>
      <c r="AF209" s="4">
        <v>-13049</v>
      </c>
      <c r="AG209" s="4">
        <v>10410</v>
      </c>
      <c r="AH209" s="4">
        <v>120454</v>
      </c>
      <c r="AI209" s="4">
        <v>-5860</v>
      </c>
      <c r="AJ209" s="4">
        <v>-3249</v>
      </c>
      <c r="AK209" s="4">
        <v>9427</v>
      </c>
      <c r="AL209" s="4">
        <v>2776</v>
      </c>
      <c r="AN209" s="3">
        <v>44946</v>
      </c>
      <c r="AO209" s="4">
        <v>3.67</v>
      </c>
      <c r="AP209" s="4">
        <v>3.33</v>
      </c>
      <c r="AQ209" s="4">
        <v>4.4530000000000003</v>
      </c>
      <c r="AR209" s="4">
        <v>10.605</v>
      </c>
      <c r="AS209" s="4">
        <f t="shared" si="19"/>
        <v>1.1230000000000002</v>
      </c>
      <c r="AT209" s="3">
        <v>44943</v>
      </c>
      <c r="AU209" s="4">
        <v>452456</v>
      </c>
      <c r="AV209" s="3">
        <v>44945</v>
      </c>
      <c r="AW209" s="4">
        <v>94258166</v>
      </c>
      <c r="AX209" s="4">
        <v>9744555</v>
      </c>
      <c r="AY209" s="4">
        <v>17291189</v>
      </c>
      <c r="AZ209" s="4">
        <v>121823432</v>
      </c>
      <c r="BA209" s="4">
        <v>189716813</v>
      </c>
      <c r="BB209" s="3">
        <v>44943</v>
      </c>
      <c r="BC209" s="4">
        <v>682569</v>
      </c>
    </row>
    <row r="210" spans="22:55" hidden="1">
      <c r="V210" s="3">
        <v>44928</v>
      </c>
      <c r="W210" s="4">
        <v>6601</v>
      </c>
      <c r="X210" s="4">
        <v>222970</v>
      </c>
      <c r="Y210" s="4">
        <v>-266421</v>
      </c>
      <c r="Z210" s="4">
        <v>13170</v>
      </c>
      <c r="AA210" s="4">
        <v>-55844</v>
      </c>
      <c r="AB210" s="4">
        <v>75757</v>
      </c>
      <c r="AC210" s="4">
        <v>-28934</v>
      </c>
      <c r="AD210" s="4">
        <v>9525</v>
      </c>
      <c r="AE210" s="4">
        <v>17855</v>
      </c>
      <c r="AF210" s="4">
        <v>52072</v>
      </c>
      <c r="AG210" s="4">
        <v>-72300</v>
      </c>
      <c r="AH210" s="4">
        <v>37662</v>
      </c>
      <c r="AI210" s="4">
        <v>2460</v>
      </c>
      <c r="AJ210" s="4">
        <v>-1196</v>
      </c>
      <c r="AK210" s="4">
        <v>-701</v>
      </c>
      <c r="AL210" s="4">
        <v>281</v>
      </c>
      <c r="AN210" s="3">
        <v>44945</v>
      </c>
      <c r="AO210" s="4">
        <v>3.68</v>
      </c>
      <c r="AP210" s="4">
        <v>3.2480000000000002</v>
      </c>
      <c r="AQ210" s="4">
        <v>4.4029999999999996</v>
      </c>
      <c r="AR210" s="4">
        <v>10.547000000000001</v>
      </c>
      <c r="AS210" s="4">
        <f t="shared" si="19"/>
        <v>1.1549999999999994</v>
      </c>
      <c r="AT210" s="3">
        <v>44942</v>
      </c>
      <c r="AU210" s="4">
        <v>456117</v>
      </c>
      <c r="AV210" s="3">
        <v>44944</v>
      </c>
      <c r="AW210" s="4">
        <v>94469048</v>
      </c>
      <c r="AX210" s="4">
        <v>9741561</v>
      </c>
      <c r="AY210" s="4">
        <v>17308755</v>
      </c>
      <c r="AZ210" s="4">
        <v>121862410</v>
      </c>
      <c r="BA210" s="4">
        <v>189014338</v>
      </c>
      <c r="BB210" s="3">
        <v>44942</v>
      </c>
      <c r="BC210" s="4">
        <v>683489</v>
      </c>
    </row>
    <row r="211" spans="22:55" hidden="1">
      <c r="V211" s="3">
        <v>44924</v>
      </c>
      <c r="W211" s="4">
        <v>-140280</v>
      </c>
      <c r="X211" s="4">
        <v>670970</v>
      </c>
      <c r="Y211" s="4">
        <v>-576301</v>
      </c>
      <c r="Z211" s="4">
        <v>14269</v>
      </c>
      <c r="AA211" s="4">
        <v>-138820</v>
      </c>
      <c r="AB211" s="4">
        <v>200925</v>
      </c>
      <c r="AC211" s="4">
        <v>-63703</v>
      </c>
      <c r="AD211" s="4">
        <v>1204</v>
      </c>
      <c r="AE211" s="4">
        <v>36024</v>
      </c>
      <c r="AF211" s="4">
        <v>-2821</v>
      </c>
      <c r="AG211" s="4">
        <v>-37644</v>
      </c>
      <c r="AH211" s="4">
        <v>76640</v>
      </c>
      <c r="AI211" s="4">
        <v>-6327</v>
      </c>
      <c r="AJ211" s="4">
        <v>4943</v>
      </c>
      <c r="AK211" s="4">
        <v>-457</v>
      </c>
      <c r="AL211" s="4">
        <v>-2200</v>
      </c>
      <c r="AN211" s="3">
        <v>44944</v>
      </c>
      <c r="AO211" s="4">
        <v>3.7</v>
      </c>
      <c r="AP211" s="4">
        <v>3.39</v>
      </c>
      <c r="AQ211" s="4">
        <v>4.5599999999999996</v>
      </c>
      <c r="AR211" s="4">
        <v>10.686999999999999</v>
      </c>
      <c r="AS211" s="4">
        <f t="shared" si="19"/>
        <v>1.1699999999999995</v>
      </c>
      <c r="AT211" s="3">
        <v>44939</v>
      </c>
      <c r="AU211" s="4">
        <v>456009</v>
      </c>
      <c r="AV211" s="3">
        <v>44943</v>
      </c>
      <c r="AW211" s="4">
        <v>94471362</v>
      </c>
      <c r="AX211" s="4">
        <v>9754971</v>
      </c>
      <c r="AY211" s="4">
        <v>17489201</v>
      </c>
      <c r="AZ211" s="4">
        <v>121566483</v>
      </c>
      <c r="BA211" s="4">
        <v>189473101</v>
      </c>
      <c r="BB211" s="3">
        <v>44939</v>
      </c>
      <c r="BC211" s="4">
        <v>682145</v>
      </c>
    </row>
    <row r="212" spans="22:55" hidden="1">
      <c r="V212" s="3">
        <v>44923</v>
      </c>
      <c r="W212" s="4">
        <v>-303408</v>
      </c>
      <c r="X212" s="4">
        <v>1077391</v>
      </c>
      <c r="Y212" s="4">
        <v>-828610</v>
      </c>
      <c r="Z212" s="4">
        <v>56865</v>
      </c>
      <c r="AA212" s="4">
        <v>-207941</v>
      </c>
      <c r="AB212" s="4">
        <v>591531</v>
      </c>
      <c r="AC212" s="4">
        <v>-367605</v>
      </c>
      <c r="AD212" s="4">
        <v>-12726</v>
      </c>
      <c r="AE212" s="4">
        <v>38054</v>
      </c>
      <c r="AF212" s="4">
        <v>-13632</v>
      </c>
      <c r="AG212" s="4">
        <v>-24746</v>
      </c>
      <c r="AH212" s="4">
        <v>-77481</v>
      </c>
      <c r="AI212" s="4">
        <v>-5728</v>
      </c>
      <c r="AJ212" s="4">
        <v>2872</v>
      </c>
      <c r="AK212" s="4">
        <v>2605</v>
      </c>
      <c r="AL212" s="4">
        <v>-4770</v>
      </c>
      <c r="AN212" s="3">
        <v>44943</v>
      </c>
      <c r="AO212" s="4">
        <v>3.74</v>
      </c>
      <c r="AP212" s="4">
        <v>3.484</v>
      </c>
      <c r="AQ212" s="4">
        <v>4.6769999999999996</v>
      </c>
      <c r="AR212" s="4">
        <v>10.789</v>
      </c>
      <c r="AS212" s="4">
        <f t="shared" si="19"/>
        <v>1.1929999999999996</v>
      </c>
      <c r="AT212" s="3">
        <v>44938</v>
      </c>
      <c r="AU212" s="4">
        <v>452457</v>
      </c>
      <c r="AV212" s="3">
        <v>44942</v>
      </c>
      <c r="AW212" s="4">
        <v>94752786</v>
      </c>
      <c r="AX212" s="4">
        <v>9753133</v>
      </c>
      <c r="AY212" s="4">
        <v>17498785</v>
      </c>
      <c r="AZ212" s="4">
        <v>121221605</v>
      </c>
      <c r="BA212" s="4">
        <v>187437950</v>
      </c>
      <c r="BB212" s="3">
        <v>44938</v>
      </c>
      <c r="BC212" s="4">
        <v>679372</v>
      </c>
    </row>
    <row r="213" spans="22:55" hidden="1">
      <c r="V213" s="3">
        <v>44922</v>
      </c>
      <c r="W213" s="4">
        <v>48276</v>
      </c>
      <c r="X213" s="4">
        <v>-1133118</v>
      </c>
      <c r="Y213" s="4">
        <v>1048897</v>
      </c>
      <c r="Z213" s="4">
        <v>60738</v>
      </c>
      <c r="AA213" s="4">
        <v>117071</v>
      </c>
      <c r="AB213" s="4">
        <v>-403906</v>
      </c>
      <c r="AC213" s="4">
        <v>298333</v>
      </c>
      <c r="AD213" s="4">
        <v>19433</v>
      </c>
      <c r="AE213" s="4">
        <v>24042</v>
      </c>
      <c r="AF213" s="4">
        <v>9044</v>
      </c>
      <c r="AG213" s="4">
        <v>-48669</v>
      </c>
      <c r="AH213" s="4">
        <v>37845</v>
      </c>
      <c r="AI213" s="4">
        <v>6014</v>
      </c>
      <c r="AJ213" s="4">
        <v>-1174</v>
      </c>
      <c r="AK213" s="4">
        <v>-4269</v>
      </c>
      <c r="AL213" s="4">
        <v>4409</v>
      </c>
      <c r="AN213" s="3">
        <v>44942</v>
      </c>
      <c r="AO213" s="4">
        <v>3.79</v>
      </c>
      <c r="AP213" s="4">
        <v>3.4540000000000002</v>
      </c>
      <c r="AQ213" s="4">
        <v>4.6609999999999996</v>
      </c>
      <c r="AR213" s="4">
        <v>10.763</v>
      </c>
      <c r="AS213" s="4">
        <f t="shared" si="19"/>
        <v>1.2069999999999994</v>
      </c>
      <c r="AT213" s="3">
        <v>44937</v>
      </c>
      <c r="AU213" s="4">
        <v>443526</v>
      </c>
      <c r="AV213" s="3">
        <v>44939</v>
      </c>
      <c r="AW213" s="4">
        <v>94443728</v>
      </c>
      <c r="AX213" s="4">
        <v>9753747</v>
      </c>
      <c r="AY213" s="4">
        <v>17517788</v>
      </c>
      <c r="AZ213" s="4">
        <v>121099751</v>
      </c>
      <c r="BA213" s="4">
        <v>185607110</v>
      </c>
      <c r="BB213" s="3">
        <v>44937</v>
      </c>
      <c r="BC213" s="4">
        <v>676884</v>
      </c>
    </row>
    <row r="214" spans="22:55" hidden="1">
      <c r="V214" s="3">
        <v>44921</v>
      </c>
      <c r="W214" s="4">
        <v>-40576</v>
      </c>
      <c r="X214" s="4">
        <v>-614136</v>
      </c>
      <c r="Y214" s="4">
        <v>660637</v>
      </c>
      <c r="Z214" s="4">
        <v>26484</v>
      </c>
      <c r="AA214" s="4">
        <v>147737</v>
      </c>
      <c r="AB214" s="4">
        <v>-351459</v>
      </c>
      <c r="AC214" s="4">
        <v>225258</v>
      </c>
      <c r="AD214" s="4">
        <v>8550</v>
      </c>
      <c r="AE214" s="4">
        <v>-17629</v>
      </c>
      <c r="AF214" s="4">
        <v>20650</v>
      </c>
      <c r="AG214" s="4">
        <v>-6048</v>
      </c>
      <c r="AH214" s="4">
        <v>144717</v>
      </c>
      <c r="AI214" s="4">
        <v>5705</v>
      </c>
      <c r="AJ214" s="4">
        <v>-2081</v>
      </c>
      <c r="AK214" s="4">
        <v>-3059</v>
      </c>
      <c r="AL214" s="4">
        <v>2626</v>
      </c>
      <c r="AN214" s="3">
        <v>44939</v>
      </c>
      <c r="AO214" s="4">
        <v>3.88</v>
      </c>
      <c r="AP214" s="4">
        <v>3.3690000000000002</v>
      </c>
      <c r="AQ214" s="4">
        <v>4.62</v>
      </c>
      <c r="AR214" s="4">
        <v>10.705</v>
      </c>
      <c r="AS214" s="4">
        <f t="shared" si="19"/>
        <v>1.2509999999999999</v>
      </c>
      <c r="AT214" s="3">
        <v>44936</v>
      </c>
      <c r="AU214" s="4">
        <v>436928</v>
      </c>
      <c r="AV214" s="3">
        <v>44938</v>
      </c>
      <c r="AW214" s="4">
        <v>94319816</v>
      </c>
      <c r="AX214" s="4">
        <v>9753101</v>
      </c>
      <c r="AY214" s="4">
        <v>17533950</v>
      </c>
      <c r="AZ214" s="4">
        <v>119859947</v>
      </c>
      <c r="BA214" s="4">
        <v>187286544</v>
      </c>
      <c r="BB214" s="3">
        <v>44936</v>
      </c>
      <c r="BC214" s="4">
        <v>674298</v>
      </c>
    </row>
    <row r="215" spans="22:55" hidden="1">
      <c r="V215" s="3">
        <v>44918</v>
      </c>
      <c r="W215" s="4">
        <v>-69635</v>
      </c>
      <c r="X215" s="4">
        <v>-185001</v>
      </c>
      <c r="Y215" s="4">
        <v>251369</v>
      </c>
      <c r="Z215" s="4">
        <v>2888</v>
      </c>
      <c r="AA215" s="4">
        <v>-88534</v>
      </c>
      <c r="AB215" s="4">
        <v>44999</v>
      </c>
      <c r="AC215" s="4">
        <v>44004</v>
      </c>
      <c r="AD215" s="4">
        <v>4333</v>
      </c>
      <c r="AE215" s="4">
        <v>-17335</v>
      </c>
      <c r="AF215" s="4">
        <v>30504</v>
      </c>
      <c r="AG215" s="4">
        <v>-22953</v>
      </c>
      <c r="AH215" s="4">
        <v>-103919</v>
      </c>
      <c r="AI215" s="4">
        <v>1360</v>
      </c>
      <c r="AJ215" s="4">
        <v>3045</v>
      </c>
      <c r="AK215" s="4">
        <v>-4952</v>
      </c>
      <c r="AL215" s="4">
        <v>-7989</v>
      </c>
      <c r="AN215" s="3">
        <v>44938</v>
      </c>
      <c r="AO215" s="4">
        <v>3.87</v>
      </c>
      <c r="AP215" s="4">
        <v>3.4660000000000002</v>
      </c>
      <c r="AQ215" s="4">
        <v>4.7300000000000004</v>
      </c>
      <c r="AR215" s="4">
        <v>10.8</v>
      </c>
      <c r="AS215" s="4">
        <f t="shared" si="19"/>
        <v>1.2640000000000002</v>
      </c>
      <c r="AT215" s="3">
        <v>44935</v>
      </c>
      <c r="AU215" s="4">
        <v>438864</v>
      </c>
      <c r="AV215" s="3">
        <v>44937</v>
      </c>
      <c r="AW215" s="4">
        <v>94000344</v>
      </c>
      <c r="AX215" s="4">
        <v>9752776</v>
      </c>
      <c r="AY215" s="4">
        <v>17558915</v>
      </c>
      <c r="AZ215" s="4">
        <v>120101762</v>
      </c>
      <c r="BA215" s="4">
        <v>185216500</v>
      </c>
      <c r="BB215" s="3">
        <v>44935</v>
      </c>
      <c r="BC215" s="4">
        <v>674772</v>
      </c>
    </row>
    <row r="216" spans="22:55" hidden="1">
      <c r="V216" s="3">
        <v>44917</v>
      </c>
      <c r="W216" s="4">
        <v>-5702</v>
      </c>
      <c r="X216" s="4">
        <v>-565979</v>
      </c>
      <c r="Y216" s="4">
        <v>585243</v>
      </c>
      <c r="Z216" s="4">
        <v>79589</v>
      </c>
      <c r="AA216" s="4">
        <v>84182</v>
      </c>
      <c r="AB216" s="4">
        <v>-245900</v>
      </c>
      <c r="AC216" s="4">
        <v>175748</v>
      </c>
      <c r="AD216" s="4">
        <v>25456</v>
      </c>
      <c r="AE216" s="4">
        <v>-46928</v>
      </c>
      <c r="AF216" s="4">
        <v>35760</v>
      </c>
      <c r="AG216" s="4">
        <v>-7135</v>
      </c>
      <c r="AH216" s="4">
        <v>45971</v>
      </c>
      <c r="AI216" s="4">
        <v>6144</v>
      </c>
      <c r="AJ216" s="4">
        <v>-5577</v>
      </c>
      <c r="AK216" s="4">
        <v>916</v>
      </c>
      <c r="AL216" s="4">
        <v>6823</v>
      </c>
      <c r="AN216" s="3">
        <v>44937</v>
      </c>
      <c r="AO216" s="4">
        <v>3.88</v>
      </c>
      <c r="AP216" s="4">
        <v>3.472</v>
      </c>
      <c r="AQ216" s="4">
        <v>4.7839999999999998</v>
      </c>
      <c r="AR216" s="4">
        <v>10.826000000000001</v>
      </c>
      <c r="AS216" s="4">
        <f t="shared" si="19"/>
        <v>1.3119999999999998</v>
      </c>
      <c r="AT216" s="3">
        <v>44932</v>
      </c>
      <c r="AU216" s="4">
        <v>441478</v>
      </c>
      <c r="AV216" s="3">
        <v>44936</v>
      </c>
      <c r="AW216" s="4">
        <v>93482605</v>
      </c>
      <c r="AX216" s="4">
        <v>9755533</v>
      </c>
      <c r="AY216" s="4">
        <v>17579100</v>
      </c>
      <c r="AZ216" s="4">
        <v>119896362</v>
      </c>
      <c r="BA216" s="4">
        <v>183821203</v>
      </c>
      <c r="BB216" s="3">
        <v>44932</v>
      </c>
      <c r="BC216" s="4">
        <v>677442</v>
      </c>
    </row>
    <row r="217" spans="22:55" hidden="1">
      <c r="V217" s="3">
        <v>44916</v>
      </c>
      <c r="W217" s="4">
        <v>-103302</v>
      </c>
      <c r="X217" s="4">
        <v>-89186</v>
      </c>
      <c r="Y217" s="4">
        <v>183919</v>
      </c>
      <c r="Z217" s="4">
        <v>5930</v>
      </c>
      <c r="AA217" s="4">
        <v>36268</v>
      </c>
      <c r="AB217" s="4">
        <v>-99268</v>
      </c>
      <c r="AC217" s="4">
        <v>69355</v>
      </c>
      <c r="AD217" s="4">
        <v>955</v>
      </c>
      <c r="AE217" s="4">
        <v>-19808</v>
      </c>
      <c r="AF217" s="4">
        <v>-14512</v>
      </c>
      <c r="AG217" s="4">
        <v>31172</v>
      </c>
      <c r="AH217" s="4">
        <v>100784</v>
      </c>
      <c r="AI217" s="4">
        <v>-4807</v>
      </c>
      <c r="AJ217" s="4">
        <v>1693</v>
      </c>
      <c r="AK217" s="4">
        <v>3053</v>
      </c>
      <c r="AL217" s="4">
        <v>2412</v>
      </c>
      <c r="AN217" s="3">
        <v>44936</v>
      </c>
      <c r="AO217" s="4">
        <v>3.9</v>
      </c>
      <c r="AP217" s="4">
        <v>3.556</v>
      </c>
      <c r="AQ217" s="4">
        <v>4.8869999999999996</v>
      </c>
      <c r="AR217" s="4">
        <v>10.913</v>
      </c>
      <c r="AS217" s="4">
        <f t="shared" si="19"/>
        <v>1.3309999999999995</v>
      </c>
      <c r="AT217" s="3">
        <v>44931</v>
      </c>
      <c r="AU217" s="4">
        <v>449766</v>
      </c>
      <c r="AV217" s="3">
        <v>44935</v>
      </c>
      <c r="AW217" s="4">
        <v>93410641</v>
      </c>
      <c r="AX217" s="4">
        <v>9755104</v>
      </c>
      <c r="AY217" s="4">
        <v>17592014</v>
      </c>
      <c r="AZ217" s="4">
        <v>119776619</v>
      </c>
      <c r="BA217" s="4">
        <v>183004987</v>
      </c>
      <c r="BB217" s="3">
        <v>44931</v>
      </c>
      <c r="BC217" s="4">
        <v>671286</v>
      </c>
    </row>
    <row r="218" spans="22:55" hidden="1">
      <c r="V218" s="3">
        <v>44915</v>
      </c>
      <c r="W218" s="4">
        <v>-104468</v>
      </c>
      <c r="X218" s="4">
        <v>103480</v>
      </c>
      <c r="Y218" s="4">
        <v>-26770</v>
      </c>
      <c r="Z218" s="4">
        <v>-10257</v>
      </c>
      <c r="AA218" s="4">
        <v>-60505</v>
      </c>
      <c r="AB218" s="4">
        <v>92321</v>
      </c>
      <c r="AC218" s="4">
        <v>-23326</v>
      </c>
      <c r="AD218" s="4">
        <v>-4676</v>
      </c>
      <c r="AE218" s="4">
        <v>-17791</v>
      </c>
      <c r="AF218" s="4">
        <v>-13294</v>
      </c>
      <c r="AG218" s="4">
        <v>31190</v>
      </c>
      <c r="AH218" s="4">
        <v>-90436</v>
      </c>
      <c r="AI218" s="4">
        <v>563</v>
      </c>
      <c r="AJ218" s="4">
        <v>118</v>
      </c>
      <c r="AK218" s="4">
        <v>-933</v>
      </c>
      <c r="AL218" s="4">
        <v>-3570</v>
      </c>
      <c r="AN218" s="3">
        <v>44935</v>
      </c>
      <c r="AO218" s="4">
        <v>3.92</v>
      </c>
      <c r="AP218" s="4">
        <v>3.577</v>
      </c>
      <c r="AQ218" s="4">
        <v>4.93</v>
      </c>
      <c r="AR218" s="4">
        <v>10.94</v>
      </c>
      <c r="AS218" s="4">
        <f t="shared" si="19"/>
        <v>1.3529999999999998</v>
      </c>
      <c r="AT218" s="3">
        <v>44930</v>
      </c>
      <c r="AU218" s="4">
        <v>463682</v>
      </c>
      <c r="AV218" s="3">
        <v>44932</v>
      </c>
      <c r="AW218" s="4">
        <v>92438176</v>
      </c>
      <c r="AX218" s="4">
        <v>9755766</v>
      </c>
      <c r="AY218" s="4">
        <v>17616517</v>
      </c>
      <c r="AZ218" s="4">
        <v>119872464</v>
      </c>
      <c r="BA218" s="4">
        <v>180924709</v>
      </c>
      <c r="BB218" s="3">
        <v>44930</v>
      </c>
      <c r="BC218" s="4">
        <v>663543</v>
      </c>
    </row>
    <row r="219" spans="22:55" hidden="1">
      <c r="V219" s="3">
        <v>44914</v>
      </c>
      <c r="W219" s="4">
        <v>-24134</v>
      </c>
      <c r="X219" s="4">
        <v>-17651</v>
      </c>
      <c r="Y219" s="4">
        <v>28183</v>
      </c>
      <c r="Z219" s="4">
        <v>-9265</v>
      </c>
      <c r="AA219" s="4">
        <v>-29041</v>
      </c>
      <c r="AB219" s="4">
        <v>-6168</v>
      </c>
      <c r="AC219" s="4">
        <v>39409</v>
      </c>
      <c r="AD219" s="4">
        <v>8212</v>
      </c>
      <c r="AE219" s="4">
        <v>16854</v>
      </c>
      <c r="AF219" s="4">
        <v>2484</v>
      </c>
      <c r="AG219" s="4">
        <v>-21063</v>
      </c>
      <c r="AH219" s="4">
        <v>61255</v>
      </c>
      <c r="AI219" s="4">
        <v>-621</v>
      </c>
      <c r="AJ219" s="4">
        <v>229</v>
      </c>
      <c r="AK219" s="4">
        <v>361</v>
      </c>
      <c r="AL219" s="4">
        <v>1843</v>
      </c>
      <c r="AN219" s="3">
        <v>44932</v>
      </c>
      <c r="AO219" s="4">
        <v>3.92</v>
      </c>
      <c r="AP219" s="4">
        <v>3.681</v>
      </c>
      <c r="AQ219" s="4">
        <v>5.0620000000000003</v>
      </c>
      <c r="AR219" s="4">
        <v>11.051</v>
      </c>
      <c r="AS219" s="4">
        <f t="shared" si="19"/>
        <v>1.3810000000000002</v>
      </c>
      <c r="AT219" s="3">
        <v>44929</v>
      </c>
      <c r="AU219" s="4">
        <v>484811</v>
      </c>
      <c r="AV219" s="3">
        <v>44931</v>
      </c>
      <c r="AW219" s="4">
        <v>92336706</v>
      </c>
      <c r="AX219" s="4">
        <v>9756707</v>
      </c>
      <c r="AY219" s="4">
        <v>17640016</v>
      </c>
      <c r="AZ219" s="4">
        <v>120121647</v>
      </c>
      <c r="BA219" s="4">
        <v>177176148</v>
      </c>
      <c r="BB219" s="3">
        <v>44929</v>
      </c>
      <c r="BC219" s="4">
        <v>656637</v>
      </c>
    </row>
    <row r="220" spans="22:55" hidden="1">
      <c r="V220" s="3">
        <v>44911</v>
      </c>
      <c r="W220" s="4">
        <v>292220</v>
      </c>
      <c r="X220" s="4">
        <v>26264</v>
      </c>
      <c r="Y220" s="4">
        <v>-351479</v>
      </c>
      <c r="Z220" s="4">
        <v>-29030</v>
      </c>
      <c r="AA220" s="4">
        <v>-25980</v>
      </c>
      <c r="AB220" s="4">
        <v>51197</v>
      </c>
      <c r="AC220" s="4">
        <v>-37137</v>
      </c>
      <c r="AD220" s="4">
        <v>4782</v>
      </c>
      <c r="AE220" s="4">
        <v>-20114</v>
      </c>
      <c r="AF220" s="4">
        <v>10115</v>
      </c>
      <c r="AG220" s="4">
        <v>-1002</v>
      </c>
      <c r="AH220" s="4">
        <v>105429</v>
      </c>
      <c r="AI220" s="4">
        <v>7377</v>
      </c>
      <c r="AJ220" s="4">
        <v>-2793</v>
      </c>
      <c r="AK220" s="4">
        <v>-4247</v>
      </c>
      <c r="AL220" s="4">
        <v>-2006</v>
      </c>
      <c r="AN220" s="3">
        <v>44931</v>
      </c>
      <c r="AO220" s="4">
        <v>3.96</v>
      </c>
      <c r="AP220" s="4">
        <v>3.6440000000000001</v>
      </c>
      <c r="AQ220" s="4">
        <v>5.0599999999999996</v>
      </c>
      <c r="AR220" s="4">
        <v>11.036</v>
      </c>
      <c r="AS220" s="4">
        <f t="shared" si="19"/>
        <v>1.4159999999999995</v>
      </c>
      <c r="AT220" s="3">
        <v>44928</v>
      </c>
      <c r="AU220" s="4">
        <v>508339</v>
      </c>
      <c r="AV220" s="3">
        <v>44930</v>
      </c>
      <c r="AW220" s="4">
        <v>92352828</v>
      </c>
      <c r="AX220" s="4">
        <v>9752594</v>
      </c>
      <c r="AY220" s="4">
        <v>17653784</v>
      </c>
      <c r="AZ220" s="4">
        <v>119414067</v>
      </c>
      <c r="BA220" s="4">
        <v>171905694</v>
      </c>
      <c r="BB220" s="3">
        <v>44928</v>
      </c>
      <c r="BC220" s="4">
        <v>640194</v>
      </c>
    </row>
    <row r="221" spans="22:55" hidden="1">
      <c r="V221" s="3">
        <v>44910</v>
      </c>
      <c r="W221" s="4">
        <v>-56186</v>
      </c>
      <c r="X221" s="4">
        <v>457838</v>
      </c>
      <c r="Y221" s="4">
        <v>-437087</v>
      </c>
      <c r="Z221" s="4">
        <v>-8719</v>
      </c>
      <c r="AA221" s="4">
        <v>9744</v>
      </c>
      <c r="AB221" s="4">
        <v>49696</v>
      </c>
      <c r="AC221" s="4">
        <v>-38998</v>
      </c>
      <c r="AD221" s="4">
        <v>3549</v>
      </c>
      <c r="AE221" s="4">
        <v>32465</v>
      </c>
      <c r="AF221" s="4">
        <v>25775</v>
      </c>
      <c r="AG221" s="4">
        <v>-77429</v>
      </c>
      <c r="AH221" s="4">
        <v>-79402</v>
      </c>
      <c r="AI221" s="4">
        <v>-397</v>
      </c>
      <c r="AJ221" s="4">
        <v>1675</v>
      </c>
      <c r="AK221" s="4">
        <v>-1716</v>
      </c>
      <c r="AL221" s="4">
        <v>-6764</v>
      </c>
      <c r="AN221" s="3">
        <v>44930</v>
      </c>
      <c r="AO221" s="4">
        <v>3.96</v>
      </c>
      <c r="AP221" s="4">
        <v>3.6320000000000001</v>
      </c>
      <c r="AQ221" s="4">
        <v>5.0780000000000003</v>
      </c>
      <c r="AR221" s="4">
        <v>11.041</v>
      </c>
      <c r="AS221" s="4">
        <f t="shared" si="19"/>
        <v>1.4460000000000002</v>
      </c>
      <c r="AT221" s="3">
        <v>44925</v>
      </c>
      <c r="AU221" s="4">
        <v>464484</v>
      </c>
      <c r="AV221" s="3">
        <v>44929</v>
      </c>
      <c r="AW221" s="4">
        <v>91524645</v>
      </c>
      <c r="AX221" s="4">
        <v>9754746</v>
      </c>
      <c r="AY221" s="4">
        <v>17672244</v>
      </c>
      <c r="AZ221" s="4">
        <v>119277705</v>
      </c>
      <c r="BA221" s="4">
        <v>163361618</v>
      </c>
      <c r="BB221" s="3">
        <v>44925</v>
      </c>
      <c r="BC221" s="4">
        <v>590532</v>
      </c>
    </row>
    <row r="222" spans="22:55" hidden="1">
      <c r="V222" s="3">
        <v>44909</v>
      </c>
      <c r="W222" s="4">
        <v>231782</v>
      </c>
      <c r="X222" s="4">
        <v>-452214</v>
      </c>
      <c r="Y222" s="4">
        <v>214226</v>
      </c>
      <c r="Z222" s="4">
        <v>8908</v>
      </c>
      <c r="AA222" s="4">
        <v>182281</v>
      </c>
      <c r="AB222" s="4">
        <v>-278553</v>
      </c>
      <c r="AC222" s="4">
        <v>109274</v>
      </c>
      <c r="AD222" s="4">
        <v>20659</v>
      </c>
      <c r="AE222" s="4">
        <v>-28063</v>
      </c>
      <c r="AF222" s="4">
        <v>24979</v>
      </c>
      <c r="AG222" s="4">
        <v>8889</v>
      </c>
      <c r="AH222" s="4">
        <v>65884</v>
      </c>
      <c r="AI222" s="4">
        <v>930</v>
      </c>
      <c r="AJ222" s="4">
        <v>-110</v>
      </c>
      <c r="AK222" s="4">
        <v>-64</v>
      </c>
      <c r="AL222" s="4">
        <v>5115</v>
      </c>
      <c r="AN222" s="3">
        <v>44929</v>
      </c>
      <c r="AO222" s="4">
        <v>3.96</v>
      </c>
      <c r="AP222" s="4">
        <v>3.661</v>
      </c>
      <c r="AQ222" s="4">
        <v>5.1310000000000002</v>
      </c>
      <c r="AR222" s="4">
        <v>11.087999999999999</v>
      </c>
      <c r="AS222" s="4">
        <f t="shared" si="19"/>
        <v>1.4700000000000002</v>
      </c>
      <c r="AT222" s="3">
        <v>44924</v>
      </c>
      <c r="AU222" s="4">
        <v>470465</v>
      </c>
      <c r="AV222" s="3">
        <v>44928</v>
      </c>
      <c r="AW222" s="4">
        <v>91765320</v>
      </c>
      <c r="AX222" s="4">
        <v>9752832</v>
      </c>
      <c r="AY222" s="4">
        <v>17643807</v>
      </c>
      <c r="AZ222" s="4">
        <v>119098260</v>
      </c>
      <c r="BA222" s="4">
        <v>151609104</v>
      </c>
      <c r="BB222" s="3">
        <v>44924</v>
      </c>
      <c r="BC222" s="4">
        <v>621113</v>
      </c>
    </row>
    <row r="223" spans="22:55" hidden="1">
      <c r="V223" s="3">
        <v>44908</v>
      </c>
      <c r="W223" s="4">
        <v>-111780</v>
      </c>
      <c r="X223" s="4">
        <v>34875</v>
      </c>
      <c r="Y223" s="4">
        <v>44096</v>
      </c>
      <c r="Z223" s="4">
        <v>18275</v>
      </c>
      <c r="AA223" s="4">
        <v>-17449</v>
      </c>
      <c r="AB223" s="4">
        <v>18770</v>
      </c>
      <c r="AC223" s="4">
        <v>3253</v>
      </c>
      <c r="AD223" s="4">
        <v>-5291</v>
      </c>
      <c r="AE223" s="4">
        <v>50505</v>
      </c>
      <c r="AF223" s="4">
        <v>-18111</v>
      </c>
      <c r="AG223" s="4">
        <v>-26771</v>
      </c>
      <c r="AH223" s="4">
        <v>96575</v>
      </c>
      <c r="AI223" s="4">
        <v>-7008</v>
      </c>
      <c r="AJ223" s="4">
        <v>124</v>
      </c>
      <c r="AK223" s="4">
        <v>6875</v>
      </c>
      <c r="AL223" s="4">
        <v>2394</v>
      </c>
      <c r="AN223" s="3">
        <v>44928</v>
      </c>
      <c r="AO223" s="4">
        <v>3.98</v>
      </c>
      <c r="AP223" s="4">
        <v>3.782</v>
      </c>
      <c r="AQ223" s="4">
        <v>5.2619999999999996</v>
      </c>
      <c r="AR223" s="4">
        <v>11.201000000000001</v>
      </c>
      <c r="AS223" s="4">
        <f t="shared" si="19"/>
        <v>1.4799999999999995</v>
      </c>
      <c r="AT223" s="3">
        <v>44923</v>
      </c>
      <c r="AU223" s="4">
        <v>469844</v>
      </c>
      <c r="AV223" s="3">
        <v>44925</v>
      </c>
      <c r="AW223" s="4">
        <v>91367534</v>
      </c>
      <c r="AX223" s="4">
        <v>9752503</v>
      </c>
      <c r="AY223" s="4">
        <v>17646417</v>
      </c>
      <c r="AZ223" s="4">
        <v>119007487</v>
      </c>
      <c r="BA223" s="4">
        <v>151527442</v>
      </c>
      <c r="BB223" s="3">
        <v>44923</v>
      </c>
      <c r="BC223" s="4">
        <v>624522</v>
      </c>
    </row>
    <row r="224" spans="22:55" hidden="1">
      <c r="V224" s="3">
        <v>44907</v>
      </c>
      <c r="W224" s="4">
        <v>17103</v>
      </c>
      <c r="X224" s="4">
        <v>-39</v>
      </c>
      <c r="Y224" s="4">
        <v>-43992</v>
      </c>
      <c r="Z224" s="4">
        <v>2756</v>
      </c>
      <c r="AA224" s="4">
        <v>-11473</v>
      </c>
      <c r="AB224" s="4">
        <v>6182</v>
      </c>
      <c r="AC224" s="4">
        <v>24543</v>
      </c>
      <c r="AD224" s="4">
        <v>23799</v>
      </c>
      <c r="AE224" s="4">
        <v>7656</v>
      </c>
      <c r="AF224" s="4">
        <v>16844</v>
      </c>
      <c r="AG224" s="4">
        <v>-22287</v>
      </c>
      <c r="AH224" s="4">
        <v>-109619</v>
      </c>
      <c r="AI224" s="4">
        <v>-2</v>
      </c>
      <c r="AJ224" s="4">
        <v>2453</v>
      </c>
      <c r="AK224" s="4">
        <v>-3259</v>
      </c>
      <c r="AL224" s="4">
        <v>-3716</v>
      </c>
      <c r="AN224" s="3">
        <v>44924</v>
      </c>
      <c r="AO224" s="4">
        <v>3.98</v>
      </c>
      <c r="AP224" s="4">
        <v>3.7189999999999999</v>
      </c>
      <c r="AQ224" s="4">
        <v>5.2380000000000004</v>
      </c>
      <c r="AR224" s="4">
        <v>11.169</v>
      </c>
      <c r="AS224" s="4">
        <f t="shared" si="19"/>
        <v>1.5190000000000006</v>
      </c>
      <c r="AT224" s="3">
        <v>44922</v>
      </c>
      <c r="AU224" s="4">
        <v>457182</v>
      </c>
      <c r="AV224" s="3">
        <v>44924</v>
      </c>
      <c r="AW224" s="4">
        <v>91348850</v>
      </c>
      <c r="AX224" s="4">
        <v>9759850</v>
      </c>
      <c r="AY224" s="4">
        <v>17614943</v>
      </c>
      <c r="AZ224" s="4">
        <v>119188403</v>
      </c>
      <c r="BA224" s="4">
        <v>157084593</v>
      </c>
      <c r="BB224" s="3">
        <v>44922</v>
      </c>
      <c r="BC224" s="4">
        <v>641742</v>
      </c>
    </row>
    <row r="225" spans="22:55" hidden="1">
      <c r="V225" s="3">
        <v>44904</v>
      </c>
      <c r="W225" s="4">
        <v>99500</v>
      </c>
      <c r="X225" s="4">
        <v>-509641</v>
      </c>
      <c r="Y225" s="4">
        <v>407633</v>
      </c>
      <c r="Z225" s="4">
        <v>-11711</v>
      </c>
      <c r="AA225" s="4">
        <v>20381</v>
      </c>
      <c r="AB225" s="4">
        <v>-45445</v>
      </c>
      <c r="AC225" s="4">
        <v>21012</v>
      </c>
      <c r="AD225" s="4">
        <v>24246</v>
      </c>
      <c r="AE225" s="4">
        <v>14293</v>
      </c>
      <c r="AF225" s="4">
        <v>-3430</v>
      </c>
      <c r="AG225" s="4">
        <v>-10948</v>
      </c>
      <c r="AH225" s="4">
        <v>62931</v>
      </c>
      <c r="AI225" s="4">
        <v>-2849</v>
      </c>
      <c r="AJ225" s="4">
        <v>-1370</v>
      </c>
      <c r="AK225" s="4">
        <v>5021</v>
      </c>
      <c r="AL225" s="4">
        <v>6401</v>
      </c>
      <c r="AN225" s="3">
        <v>44923</v>
      </c>
      <c r="AO225" s="4">
        <v>3.98</v>
      </c>
      <c r="AP225" s="4">
        <v>3.6680000000000001</v>
      </c>
      <c r="AQ225" s="4">
        <v>5.2030000000000003</v>
      </c>
      <c r="AR225" s="4">
        <v>11.127000000000001</v>
      </c>
      <c r="AS225" s="4">
        <f t="shared" si="19"/>
        <v>1.5350000000000001</v>
      </c>
      <c r="AT225" s="3">
        <v>44921</v>
      </c>
      <c r="AU225" s="4">
        <v>475426</v>
      </c>
      <c r="AV225" s="3">
        <v>44923</v>
      </c>
      <c r="AW225" s="4">
        <v>92060688</v>
      </c>
      <c r="AX225" s="4">
        <v>9758881</v>
      </c>
      <c r="AY225" s="4">
        <v>17655354</v>
      </c>
      <c r="AZ225" s="4">
        <v>118481913</v>
      </c>
      <c r="BA225" s="4">
        <v>163600884</v>
      </c>
      <c r="BB225" s="3">
        <v>44921</v>
      </c>
      <c r="BC225" s="4">
        <v>647756</v>
      </c>
    </row>
    <row r="226" spans="22:55" hidden="1">
      <c r="V226" s="3">
        <v>44903</v>
      </c>
      <c r="W226" s="4">
        <v>-476145</v>
      </c>
      <c r="X226" s="4">
        <v>206384</v>
      </c>
      <c r="Y226" s="4">
        <v>226042</v>
      </c>
      <c r="Z226" s="4">
        <v>61787</v>
      </c>
      <c r="AA226" s="4">
        <v>45000</v>
      </c>
      <c r="AB226" s="4">
        <v>39593</v>
      </c>
      <c r="AC226" s="4">
        <v>-71650</v>
      </c>
      <c r="AD226" s="4">
        <v>3242</v>
      </c>
      <c r="AE226" s="4">
        <v>51540</v>
      </c>
      <c r="AF226" s="4">
        <v>-15820</v>
      </c>
      <c r="AG226" s="4">
        <v>-36585</v>
      </c>
      <c r="AH226" s="4">
        <v>11569</v>
      </c>
      <c r="AI226" s="4">
        <v>2092</v>
      </c>
      <c r="AJ226" s="4">
        <v>-3106</v>
      </c>
      <c r="AK226" s="4">
        <v>589</v>
      </c>
      <c r="AL226" s="4">
        <v>2801</v>
      </c>
      <c r="AN226" s="3">
        <v>44922</v>
      </c>
      <c r="AO226" s="4">
        <v>3.98</v>
      </c>
      <c r="AP226" s="4">
        <v>3.6619999999999999</v>
      </c>
      <c r="AQ226" s="4">
        <v>5.2190000000000003</v>
      </c>
      <c r="AR226" s="4">
        <v>11.135</v>
      </c>
      <c r="AS226" s="4">
        <f t="shared" si="19"/>
        <v>1.5570000000000004</v>
      </c>
      <c r="AT226" s="3">
        <v>44918</v>
      </c>
      <c r="AU226" s="4">
        <v>439025</v>
      </c>
      <c r="AV226" s="3">
        <v>44922</v>
      </c>
      <c r="AW226" s="4">
        <v>92691197</v>
      </c>
      <c r="AX226" s="4">
        <v>9763018</v>
      </c>
      <c r="AY226" s="4">
        <v>17693902</v>
      </c>
      <c r="AZ226" s="4">
        <v>119113177</v>
      </c>
      <c r="BA226" s="4">
        <v>166056946</v>
      </c>
      <c r="BB226" s="3">
        <v>44918</v>
      </c>
      <c r="BC226" s="4">
        <v>662652</v>
      </c>
    </row>
    <row r="227" spans="22:55" hidden="1">
      <c r="V227" s="3">
        <v>44902</v>
      </c>
      <c r="W227" s="4">
        <v>-196153</v>
      </c>
      <c r="X227" s="4">
        <v>181436</v>
      </c>
      <c r="Y227" s="4">
        <v>-980</v>
      </c>
      <c r="Z227" s="4">
        <v>-12347</v>
      </c>
      <c r="AA227" s="4">
        <v>16884</v>
      </c>
      <c r="AB227" s="4">
        <v>-928</v>
      </c>
      <c r="AC227" s="4">
        <v>-6544</v>
      </c>
      <c r="AD227" s="4">
        <v>3136</v>
      </c>
      <c r="AE227" s="4">
        <v>16224</v>
      </c>
      <c r="AF227" s="4">
        <v>8612</v>
      </c>
      <c r="AG227" s="4">
        <v>-34715</v>
      </c>
      <c r="AH227" s="4">
        <v>-13094</v>
      </c>
      <c r="AI227" s="4">
        <v>309</v>
      </c>
      <c r="AJ227" s="4">
        <v>-347</v>
      </c>
      <c r="AK227" s="4">
        <v>-294</v>
      </c>
      <c r="AL227" s="4">
        <v>-657</v>
      </c>
      <c r="AN227" s="3">
        <v>44921</v>
      </c>
      <c r="AO227" s="4">
        <v>4.03</v>
      </c>
      <c r="AP227" s="4">
        <v>3.6629999999999998</v>
      </c>
      <c r="AQ227" s="4">
        <v>5.2350000000000003</v>
      </c>
      <c r="AR227" s="4">
        <v>11.143000000000001</v>
      </c>
      <c r="AS227" s="4">
        <f t="shared" si="19"/>
        <v>1.5720000000000005</v>
      </c>
      <c r="AT227" s="3">
        <v>44917</v>
      </c>
      <c r="AU227" s="4">
        <v>443092</v>
      </c>
      <c r="AV227" s="3">
        <v>44921</v>
      </c>
      <c r="AW227" s="4">
        <v>92453377</v>
      </c>
      <c r="AX227" s="4">
        <v>9766783</v>
      </c>
      <c r="AY227" s="4">
        <v>17689765</v>
      </c>
      <c r="AZ227" s="4">
        <v>118878603</v>
      </c>
      <c r="BA227" s="4">
        <v>162320992</v>
      </c>
      <c r="BB227" s="3">
        <v>44917</v>
      </c>
      <c r="BC227" s="4">
        <v>676904</v>
      </c>
    </row>
    <row r="228" spans="22:55" hidden="1">
      <c r="V228" s="3">
        <v>44901</v>
      </c>
      <c r="W228" s="4">
        <v>-96803</v>
      </c>
      <c r="X228" s="4">
        <v>381059</v>
      </c>
      <c r="Y228" s="4">
        <v>-306333</v>
      </c>
      <c r="Z228" s="4">
        <v>-39289</v>
      </c>
      <c r="AA228" s="4">
        <v>-65195</v>
      </c>
      <c r="AB228" s="4">
        <v>161399</v>
      </c>
      <c r="AC228" s="4">
        <v>-80480</v>
      </c>
      <c r="AD228" s="4">
        <v>-14671</v>
      </c>
      <c r="AE228" s="4">
        <v>86411</v>
      </c>
      <c r="AF228" s="4">
        <v>-37271</v>
      </c>
      <c r="AG228" s="4">
        <v>-47589</v>
      </c>
      <c r="AH228" s="4">
        <v>18689</v>
      </c>
      <c r="AI228" s="4">
        <v>127</v>
      </c>
      <c r="AJ228" s="4">
        <v>1197</v>
      </c>
      <c r="AK228" s="4">
        <v>-1827</v>
      </c>
      <c r="AL228" s="4">
        <v>-2471</v>
      </c>
      <c r="AN228" s="3">
        <v>44918</v>
      </c>
      <c r="AO228" s="4">
        <v>4.03</v>
      </c>
      <c r="AP228" s="4">
        <v>3.6230000000000002</v>
      </c>
      <c r="AQ228" s="4">
        <v>5.2149999999999999</v>
      </c>
      <c r="AR228" s="4">
        <v>11.115</v>
      </c>
      <c r="AS228" s="4">
        <f t="shared" si="19"/>
        <v>1.5919999999999996</v>
      </c>
      <c r="AT228" s="3">
        <v>44916</v>
      </c>
      <c r="AU228" s="4">
        <v>453189</v>
      </c>
      <c r="AV228" s="3">
        <v>44918</v>
      </c>
      <c r="AW228" s="4">
        <v>92367348</v>
      </c>
      <c r="AX228" s="4">
        <v>9771843</v>
      </c>
      <c r="AY228" s="4">
        <v>17728001</v>
      </c>
      <c r="AZ228" s="4">
        <v>118324367</v>
      </c>
      <c r="BA228" s="4">
        <v>163197468</v>
      </c>
      <c r="BB228" s="3">
        <v>44916</v>
      </c>
      <c r="BC228" s="4">
        <v>684348</v>
      </c>
    </row>
    <row r="229" spans="22:55" hidden="1">
      <c r="V229" s="3">
        <v>44900</v>
      </c>
      <c r="W229" s="4">
        <v>-293118</v>
      </c>
      <c r="X229" s="4">
        <v>302194</v>
      </c>
      <c r="Y229" s="4">
        <v>-14933</v>
      </c>
      <c r="Z229" s="4">
        <v>-28897</v>
      </c>
      <c r="AA229" s="4">
        <v>-40654</v>
      </c>
      <c r="AB229" s="4">
        <v>65513</v>
      </c>
      <c r="AC229" s="4">
        <v>1797</v>
      </c>
      <c r="AD229" s="4">
        <v>-25172</v>
      </c>
      <c r="AE229" s="4">
        <v>-125581</v>
      </c>
      <c r="AF229" s="4">
        <v>15833</v>
      </c>
      <c r="AG229" s="4">
        <v>109165</v>
      </c>
      <c r="AH229" s="4">
        <v>97688</v>
      </c>
      <c r="AI229" s="4">
        <v>3145</v>
      </c>
      <c r="AJ229" s="4">
        <v>-1351</v>
      </c>
      <c r="AK229" s="4">
        <v>-1757</v>
      </c>
      <c r="AL229" s="4">
        <v>2541</v>
      </c>
      <c r="AN229" s="3">
        <v>44917</v>
      </c>
      <c r="AO229" s="4">
        <v>4.03</v>
      </c>
      <c r="AP229" s="4">
        <v>3.5670000000000002</v>
      </c>
      <c r="AQ229" s="4">
        <v>5.1920000000000002</v>
      </c>
      <c r="AR229" s="4">
        <v>11.074</v>
      </c>
      <c r="AS229" s="4">
        <f t="shared" si="19"/>
        <v>1.625</v>
      </c>
      <c r="AT229" s="3">
        <v>44915</v>
      </c>
      <c r="AU229" s="4">
        <v>453634</v>
      </c>
      <c r="AV229" s="3">
        <v>44917</v>
      </c>
      <c r="AW229" s="4">
        <v>93247712</v>
      </c>
      <c r="AX229" s="4">
        <v>9773774</v>
      </c>
      <c r="AY229" s="4">
        <v>17781259</v>
      </c>
      <c r="AZ229" s="4">
        <v>118380718</v>
      </c>
      <c r="BA229" s="4">
        <v>166470671</v>
      </c>
      <c r="BB229" s="3">
        <v>44915</v>
      </c>
      <c r="BC229" s="4">
        <v>689064</v>
      </c>
    </row>
    <row r="230" spans="22:55" hidden="1">
      <c r="V230" s="3">
        <v>44897</v>
      </c>
      <c r="W230" s="4">
        <v>-403398</v>
      </c>
      <c r="X230" s="4">
        <v>909541</v>
      </c>
      <c r="Y230" s="4">
        <v>-509244</v>
      </c>
      <c r="Z230" s="4">
        <v>-32513</v>
      </c>
      <c r="AA230" s="4">
        <v>-110071</v>
      </c>
      <c r="AB230" s="4">
        <v>273919</v>
      </c>
      <c r="AC230" s="4">
        <v>-157264</v>
      </c>
      <c r="AD230" s="4">
        <v>-15568</v>
      </c>
      <c r="AE230" s="4">
        <v>-30972</v>
      </c>
      <c r="AF230" s="4">
        <v>-25845</v>
      </c>
      <c r="AG230" s="4">
        <v>50227</v>
      </c>
      <c r="AH230" s="4">
        <v>-75332</v>
      </c>
      <c r="AI230" s="4">
        <v>-3403</v>
      </c>
      <c r="AJ230" s="4">
        <v>4112</v>
      </c>
      <c r="AK230" s="4">
        <v>-959</v>
      </c>
      <c r="AL230" s="4">
        <v>-8378</v>
      </c>
      <c r="AN230" s="3">
        <v>44916</v>
      </c>
      <c r="AO230" s="4">
        <v>4.03</v>
      </c>
      <c r="AP230" s="4">
        <v>3.6379999999999999</v>
      </c>
      <c r="AQ230" s="4">
        <v>5.2720000000000002</v>
      </c>
      <c r="AR230" s="4">
        <v>11.148</v>
      </c>
      <c r="AS230" s="4">
        <f t="shared" si="19"/>
        <v>1.6340000000000003</v>
      </c>
      <c r="AT230" s="3">
        <v>44914</v>
      </c>
      <c r="AU230" s="4">
        <v>451317</v>
      </c>
      <c r="AV230" s="3">
        <v>44916</v>
      </c>
      <c r="AW230" s="4">
        <v>92543788</v>
      </c>
      <c r="AX230" s="4">
        <v>9770808</v>
      </c>
      <c r="AY230" s="4">
        <v>17805740</v>
      </c>
      <c r="AZ230" s="4">
        <v>119503809</v>
      </c>
      <c r="BA230" s="4">
        <v>167539195</v>
      </c>
      <c r="BB230" s="3">
        <v>44914</v>
      </c>
      <c r="BC230" s="4">
        <v>690394</v>
      </c>
    </row>
    <row r="231" spans="22:55" hidden="1">
      <c r="V231" s="3">
        <v>44896</v>
      </c>
      <c r="W231" s="4">
        <v>32557</v>
      </c>
      <c r="X231" s="4">
        <v>-279288</v>
      </c>
      <c r="Y231" s="4">
        <v>227625</v>
      </c>
      <c r="Z231" s="4">
        <v>4082</v>
      </c>
      <c r="AA231" s="4">
        <v>149041</v>
      </c>
      <c r="AB231" s="4">
        <v>-371708</v>
      </c>
      <c r="AC231" s="4">
        <v>240718</v>
      </c>
      <c r="AD231" s="4">
        <v>22217</v>
      </c>
      <c r="AE231" s="4">
        <v>4223</v>
      </c>
      <c r="AF231" s="4">
        <v>-63156</v>
      </c>
      <c r="AG231" s="4">
        <v>58519</v>
      </c>
      <c r="AH231" s="4">
        <v>109714</v>
      </c>
      <c r="AI231" s="4">
        <v>-10680</v>
      </c>
      <c r="AJ231" s="4">
        <v>4286</v>
      </c>
      <c r="AK231" s="4">
        <v>5011</v>
      </c>
      <c r="AL231" s="4">
        <v>1576</v>
      </c>
      <c r="AN231" s="3">
        <v>44915</v>
      </c>
      <c r="AO231" s="4">
        <v>4.03</v>
      </c>
      <c r="AP231" s="4">
        <v>3.6850000000000001</v>
      </c>
      <c r="AQ231" s="4">
        <v>5.3330000000000002</v>
      </c>
      <c r="AR231" s="4">
        <v>11.204000000000001</v>
      </c>
      <c r="AS231" s="4">
        <f t="shared" si="19"/>
        <v>1.6480000000000001</v>
      </c>
      <c r="AT231" s="3">
        <v>44911</v>
      </c>
      <c r="AU231" s="4">
        <v>461188</v>
      </c>
      <c r="AV231" s="3">
        <v>44915</v>
      </c>
      <c r="AW231" s="4">
        <v>92550136</v>
      </c>
      <c r="AX231" s="4">
        <v>9791277</v>
      </c>
      <c r="AY231" s="4">
        <v>17880573</v>
      </c>
      <c r="AZ231" s="4">
        <v>119725536</v>
      </c>
      <c r="BA231" s="4">
        <v>164460837</v>
      </c>
      <c r="BB231" s="3">
        <v>44911</v>
      </c>
      <c r="BC231" s="4">
        <v>690901</v>
      </c>
    </row>
    <row r="232" spans="22:55" hidden="1">
      <c r="V232" s="3">
        <v>44895</v>
      </c>
      <c r="W232" s="4">
        <v>1128604</v>
      </c>
      <c r="X232" s="4">
        <v>-610036</v>
      </c>
      <c r="Y232" s="4">
        <v>-497154</v>
      </c>
      <c r="Z232" s="4">
        <v>29643</v>
      </c>
      <c r="AA232" s="4">
        <v>-15102</v>
      </c>
      <c r="AB232" s="4">
        <v>9411</v>
      </c>
      <c r="AC232" s="4">
        <v>16516</v>
      </c>
      <c r="AD232" s="4">
        <v>-10104</v>
      </c>
      <c r="AE232" s="4">
        <v>-19103</v>
      </c>
      <c r="AF232" s="4">
        <v>87759</v>
      </c>
      <c r="AG232" s="4">
        <v>-69831</v>
      </c>
      <c r="AH232" s="4">
        <v>-46366</v>
      </c>
      <c r="AI232" s="4">
        <v>3760</v>
      </c>
      <c r="AJ232" s="4">
        <v>-1587</v>
      </c>
      <c r="AK232" s="4">
        <v>-1694</v>
      </c>
      <c r="AL232" s="4">
        <v>352</v>
      </c>
      <c r="AN232" s="3">
        <v>44914</v>
      </c>
      <c r="AO232" s="4">
        <v>4.03</v>
      </c>
      <c r="AP232" s="4">
        <v>3.5449999999999999</v>
      </c>
      <c r="AQ232" s="4">
        <v>5.2169999999999996</v>
      </c>
      <c r="AR232" s="4">
        <v>11.086</v>
      </c>
      <c r="AS232" s="4">
        <f t="shared" si="19"/>
        <v>1.6719999999999997</v>
      </c>
      <c r="AT232" s="3">
        <v>44910</v>
      </c>
      <c r="AU232" s="4">
        <v>452138</v>
      </c>
      <c r="AV232" s="3">
        <v>44914</v>
      </c>
      <c r="AW232" s="4">
        <v>93187130</v>
      </c>
      <c r="AX232" s="4">
        <v>9793995</v>
      </c>
      <c r="AY232" s="4">
        <v>17915762</v>
      </c>
      <c r="AZ232" s="4">
        <v>119465627</v>
      </c>
      <c r="BA232" s="4">
        <v>165508834</v>
      </c>
      <c r="BB232" s="3">
        <v>44910</v>
      </c>
      <c r="BC232" s="4">
        <v>693997</v>
      </c>
    </row>
    <row r="233" spans="22:55" hidden="1">
      <c r="V233" s="3">
        <v>44894</v>
      </c>
      <c r="W233" s="4">
        <v>60107</v>
      </c>
      <c r="X233" s="4">
        <v>-390917</v>
      </c>
      <c r="Y233" s="4">
        <v>317249</v>
      </c>
      <c r="Z233" s="4">
        <v>25530</v>
      </c>
      <c r="AA233" s="4">
        <v>120018</v>
      </c>
      <c r="AB233" s="4">
        <v>-166164</v>
      </c>
      <c r="AC233" s="4">
        <v>52882</v>
      </c>
      <c r="AD233" s="4">
        <v>6211</v>
      </c>
      <c r="AE233" s="4">
        <v>-46111</v>
      </c>
      <c r="AF233" s="4">
        <v>118865</v>
      </c>
      <c r="AG233" s="4">
        <v>-74984</v>
      </c>
      <c r="AH233" s="4">
        <v>-51739</v>
      </c>
      <c r="AI233" s="4">
        <v>2708</v>
      </c>
      <c r="AJ233" s="4">
        <v>-2071</v>
      </c>
      <c r="AK233" s="4">
        <v>433</v>
      </c>
      <c r="AL233" s="4">
        <v>2823</v>
      </c>
      <c r="AN233" s="3">
        <v>44911</v>
      </c>
      <c r="AO233" s="4">
        <v>4.03</v>
      </c>
      <c r="AP233" s="4">
        <v>3.5390000000000001</v>
      </c>
      <c r="AQ233" s="4">
        <v>5.2270000000000003</v>
      </c>
      <c r="AR233" s="4">
        <v>11.092000000000001</v>
      </c>
      <c r="AS233" s="4">
        <f t="shared" si="19"/>
        <v>1.6880000000000002</v>
      </c>
      <c r="AT233" s="3">
        <v>44909</v>
      </c>
      <c r="AU233" s="4">
        <v>463296</v>
      </c>
      <c r="AV233" s="3">
        <v>44911</v>
      </c>
      <c r="AW233" s="4">
        <v>93396216</v>
      </c>
      <c r="AX233" s="4">
        <v>9801151</v>
      </c>
      <c r="AY233" s="4">
        <v>17927600</v>
      </c>
      <c r="AZ233" s="4">
        <v>119231496</v>
      </c>
      <c r="BA233" s="4">
        <v>165522383</v>
      </c>
      <c r="BB233" s="3">
        <v>44909</v>
      </c>
      <c r="BC233" s="4">
        <v>696095</v>
      </c>
    </row>
    <row r="234" spans="22:55" hidden="1">
      <c r="V234" s="3">
        <v>44893</v>
      </c>
      <c r="W234" s="4">
        <v>-122562</v>
      </c>
      <c r="X234" s="4">
        <v>353372</v>
      </c>
      <c r="Y234" s="4">
        <v>-266133</v>
      </c>
      <c r="Z234" s="4">
        <v>-38458</v>
      </c>
      <c r="AA234" s="4">
        <v>-75259</v>
      </c>
      <c r="AB234" s="4">
        <v>208571</v>
      </c>
      <c r="AC234" s="4">
        <v>-129093</v>
      </c>
      <c r="AD234" s="4">
        <v>-1129</v>
      </c>
      <c r="AE234" s="4">
        <v>-142458</v>
      </c>
      <c r="AF234" s="4">
        <v>20780</v>
      </c>
      <c r="AG234" s="4">
        <v>109045</v>
      </c>
      <c r="AH234" s="4">
        <v>123643</v>
      </c>
      <c r="AI234" s="4">
        <v>7444</v>
      </c>
      <c r="AJ234" s="4">
        <v>-1975</v>
      </c>
      <c r="AK234" s="4">
        <v>-6059</v>
      </c>
      <c r="AL234" s="4">
        <v>-2860</v>
      </c>
      <c r="AN234" s="3">
        <v>44910</v>
      </c>
      <c r="AO234" s="4">
        <v>4.03</v>
      </c>
      <c r="AP234" s="4">
        <v>3.536</v>
      </c>
      <c r="AQ234" s="4">
        <v>5.2629999999999999</v>
      </c>
      <c r="AR234" s="4">
        <v>11.118</v>
      </c>
      <c r="AS234" s="4">
        <f t="shared" si="19"/>
        <v>1.7269999999999999</v>
      </c>
      <c r="AT234" s="3">
        <v>44908</v>
      </c>
      <c r="AU234" s="4">
        <v>459637</v>
      </c>
      <c r="AV234" s="3">
        <v>44910</v>
      </c>
      <c r="AW234" s="4">
        <v>93621661</v>
      </c>
      <c r="AX234" s="4">
        <v>9803058</v>
      </c>
      <c r="AY234" s="4">
        <v>18101002</v>
      </c>
      <c r="AZ234" s="4">
        <v>119258295</v>
      </c>
      <c r="BA234" s="4">
        <v>164231565</v>
      </c>
      <c r="BB234" s="3">
        <v>44908</v>
      </c>
      <c r="BC234" s="4">
        <v>699010</v>
      </c>
    </row>
    <row r="235" spans="22:55" hidden="1">
      <c r="V235" s="3">
        <v>44890</v>
      </c>
      <c r="W235" s="4">
        <v>313052</v>
      </c>
      <c r="X235" s="4">
        <v>-115888</v>
      </c>
      <c r="Y235" s="4">
        <v>32897</v>
      </c>
      <c r="Z235" s="4">
        <v>7450</v>
      </c>
      <c r="AA235" s="4">
        <v>-29916</v>
      </c>
      <c r="AB235" s="4">
        <v>30488</v>
      </c>
      <c r="AC235" s="4">
        <v>11749</v>
      </c>
      <c r="AD235" s="4">
        <v>15821</v>
      </c>
      <c r="AE235" s="4">
        <v>5418</v>
      </c>
      <c r="AF235" s="4">
        <v>26504</v>
      </c>
      <c r="AG235" s="4">
        <v>-61982</v>
      </c>
      <c r="AH235" s="4">
        <v>-60545</v>
      </c>
      <c r="AI235" s="4">
        <v>-5159</v>
      </c>
      <c r="AJ235" s="4">
        <v>3667</v>
      </c>
      <c r="AK235" s="4">
        <v>505</v>
      </c>
      <c r="AL235" s="4">
        <v>-2775</v>
      </c>
      <c r="AN235" s="3">
        <v>44909</v>
      </c>
      <c r="AO235" s="4">
        <v>4.03</v>
      </c>
      <c r="AP235" s="4">
        <v>3.53</v>
      </c>
      <c r="AQ235" s="4">
        <v>5.2720000000000002</v>
      </c>
      <c r="AR235" s="4">
        <v>11.12</v>
      </c>
      <c r="AS235" s="4">
        <f t="shared" si="19"/>
        <v>1.7420000000000004</v>
      </c>
      <c r="AT235" s="3">
        <v>44907</v>
      </c>
      <c r="AU235" s="4">
        <v>463305</v>
      </c>
      <c r="AV235" s="3">
        <v>44909</v>
      </c>
      <c r="AW235" s="4">
        <v>94111452</v>
      </c>
      <c r="AX235" s="4">
        <v>9802931</v>
      </c>
      <c r="AY235" s="4">
        <v>18136321</v>
      </c>
      <c r="AZ235" s="4">
        <v>118752177</v>
      </c>
      <c r="BA235" s="4">
        <v>161843140</v>
      </c>
      <c r="BB235" s="3">
        <v>44907</v>
      </c>
      <c r="BC235" s="4">
        <v>699125</v>
      </c>
    </row>
    <row r="236" spans="22:55" hidden="1">
      <c r="V236" s="3">
        <v>44889</v>
      </c>
      <c r="W236" s="4">
        <v>126297</v>
      </c>
      <c r="X236" s="4">
        <v>-217792</v>
      </c>
      <c r="Y236" s="4">
        <v>65984</v>
      </c>
      <c r="Z236" s="4">
        <v>34575</v>
      </c>
      <c r="AA236" s="4">
        <v>119456</v>
      </c>
      <c r="AB236" s="4">
        <v>-208161</v>
      </c>
      <c r="AC236" s="4">
        <v>99689</v>
      </c>
      <c r="AD236" s="4">
        <v>23279</v>
      </c>
      <c r="AE236" s="4">
        <v>-291017</v>
      </c>
      <c r="AF236" s="4">
        <v>42516</v>
      </c>
      <c r="AG236" s="4">
        <v>241579</v>
      </c>
      <c r="AH236" s="4">
        <v>-101274</v>
      </c>
      <c r="AI236" s="4">
        <v>1486</v>
      </c>
      <c r="AJ236" s="4">
        <v>-2592</v>
      </c>
      <c r="AK236" s="4">
        <v>1627</v>
      </c>
      <c r="AL236" s="4">
        <v>1707</v>
      </c>
      <c r="AN236" s="3">
        <v>44908</v>
      </c>
      <c r="AO236" s="4">
        <v>4.03</v>
      </c>
      <c r="AP236" s="4">
        <v>3.6230000000000002</v>
      </c>
      <c r="AQ236" s="4">
        <v>5.3739999999999997</v>
      </c>
      <c r="AR236" s="4">
        <v>11.217000000000001</v>
      </c>
      <c r="AS236" s="4">
        <f t="shared" si="19"/>
        <v>1.7509999999999994</v>
      </c>
      <c r="AT236" s="3">
        <v>44904</v>
      </c>
      <c r="AU236" s="4">
        <v>457452</v>
      </c>
      <c r="AV236" s="3">
        <v>44908</v>
      </c>
      <c r="AW236" s="4">
        <v>93461752</v>
      </c>
      <c r="AX236" s="4">
        <v>9802659</v>
      </c>
      <c r="AY236" s="4">
        <v>18148937</v>
      </c>
      <c r="AZ236" s="4">
        <v>118687357</v>
      </c>
      <c r="BA236" s="4">
        <v>161289440</v>
      </c>
      <c r="BB236" s="3">
        <v>44904</v>
      </c>
      <c r="BC236" s="4">
        <v>702269</v>
      </c>
    </row>
    <row r="237" spans="22:55" hidden="1">
      <c r="V237" s="3">
        <v>44888</v>
      </c>
      <c r="W237" s="4">
        <v>90288</v>
      </c>
      <c r="X237" s="4">
        <v>-96726</v>
      </c>
      <c r="Y237" s="4">
        <v>-24469</v>
      </c>
      <c r="Z237" s="4">
        <v>-2978</v>
      </c>
      <c r="AA237" s="4">
        <v>127369</v>
      </c>
      <c r="AB237" s="4">
        <v>-202723</v>
      </c>
      <c r="AC237" s="4">
        <v>89509</v>
      </c>
      <c r="AD237" s="4">
        <v>13122</v>
      </c>
      <c r="AE237" s="4">
        <v>47065</v>
      </c>
      <c r="AF237" s="4">
        <v>-40124</v>
      </c>
      <c r="AG237" s="4">
        <v>-33513</v>
      </c>
      <c r="AH237" s="4">
        <v>124354</v>
      </c>
      <c r="AI237" s="4">
        <v>5240</v>
      </c>
      <c r="AJ237" s="4">
        <v>-4624</v>
      </c>
      <c r="AK237" s="4">
        <v>355</v>
      </c>
      <c r="AL237" s="4">
        <v>4911</v>
      </c>
      <c r="AN237" s="3">
        <v>44907</v>
      </c>
      <c r="AO237" s="4">
        <v>4.03</v>
      </c>
      <c r="AP237" s="4">
        <v>3.6230000000000002</v>
      </c>
      <c r="AQ237" s="4">
        <v>5.383</v>
      </c>
      <c r="AR237" s="4">
        <v>11.22</v>
      </c>
      <c r="AS237" s="4">
        <f t="shared" si="19"/>
        <v>1.7599999999999998</v>
      </c>
      <c r="AT237" s="3">
        <v>44903</v>
      </c>
      <c r="AU237" s="4">
        <v>466786</v>
      </c>
      <c r="AV237" s="3">
        <v>44907</v>
      </c>
      <c r="AW237" s="4">
        <v>93311484</v>
      </c>
      <c r="AX237" s="4">
        <v>9802332</v>
      </c>
      <c r="AY237" s="4">
        <v>18164348</v>
      </c>
      <c r="AZ237" s="4">
        <v>118507091</v>
      </c>
      <c r="BA237" s="4">
        <v>158354729</v>
      </c>
      <c r="BB237" s="3">
        <v>44903</v>
      </c>
      <c r="BC237" s="4">
        <v>705621</v>
      </c>
    </row>
    <row r="238" spans="22:55" hidden="1">
      <c r="V238" s="3">
        <v>44887</v>
      </c>
      <c r="W238" s="4">
        <v>15747</v>
      </c>
      <c r="X238" s="4">
        <v>-24199</v>
      </c>
      <c r="Y238" s="4">
        <v>-3362</v>
      </c>
      <c r="Z238" s="4">
        <v>17028</v>
      </c>
      <c r="AA238" s="4">
        <v>-78988</v>
      </c>
      <c r="AB238" s="4">
        <v>161728</v>
      </c>
      <c r="AC238" s="4">
        <v>-72873</v>
      </c>
      <c r="AD238" s="4">
        <v>-18376</v>
      </c>
      <c r="AE238" s="4">
        <v>-160637</v>
      </c>
      <c r="AF238" s="4">
        <v>-5771</v>
      </c>
      <c r="AG238" s="4">
        <v>147634</v>
      </c>
      <c r="AH238" s="4">
        <v>-34146</v>
      </c>
      <c r="AI238" s="4">
        <v>-1219</v>
      </c>
      <c r="AJ238" s="4">
        <v>1834</v>
      </c>
      <c r="AK238" s="4">
        <v>-366</v>
      </c>
      <c r="AL238" s="4">
        <v>-3402</v>
      </c>
      <c r="AN238" s="3">
        <v>44904</v>
      </c>
      <c r="AO238" s="4">
        <v>4.03</v>
      </c>
      <c r="AP238" s="4">
        <v>3.657</v>
      </c>
      <c r="AQ238" s="4">
        <v>5.391</v>
      </c>
      <c r="AR238" s="4">
        <v>11.236000000000001</v>
      </c>
      <c r="AS238" s="4">
        <f t="shared" si="19"/>
        <v>1.734</v>
      </c>
      <c r="AT238" s="3">
        <v>44902</v>
      </c>
      <c r="AU238" s="4">
        <v>460095</v>
      </c>
      <c r="AV238" s="3">
        <v>44904</v>
      </c>
      <c r="AW238" s="4">
        <v>93444284</v>
      </c>
      <c r="AX238" s="4">
        <v>9805043</v>
      </c>
      <c r="AY238" s="4">
        <v>18200901</v>
      </c>
      <c r="AZ238" s="4">
        <v>118120065</v>
      </c>
      <c r="BA238" s="4">
        <v>158266312</v>
      </c>
      <c r="BB238" s="3">
        <v>44902</v>
      </c>
      <c r="BC238" s="4">
        <v>705387</v>
      </c>
    </row>
    <row r="239" spans="22:55" hidden="1">
      <c r="V239" s="3">
        <v>44886</v>
      </c>
      <c r="W239" s="4">
        <v>-164942</v>
      </c>
      <c r="X239" s="4">
        <v>66295</v>
      </c>
      <c r="Y239" s="4">
        <v>79837</v>
      </c>
      <c r="Z239" s="4">
        <v>-18371</v>
      </c>
      <c r="AA239" s="4">
        <v>-51193</v>
      </c>
      <c r="AB239" s="4">
        <v>244041</v>
      </c>
      <c r="AC239" s="4">
        <v>-156988</v>
      </c>
      <c r="AD239" s="4">
        <v>-12967</v>
      </c>
      <c r="AE239" s="4">
        <v>128913</v>
      </c>
      <c r="AF239" s="4">
        <v>-947</v>
      </c>
      <c r="AG239" s="4">
        <v>-129540</v>
      </c>
      <c r="AH239" s="4">
        <v>77205</v>
      </c>
      <c r="AI239" s="4">
        <v>-377</v>
      </c>
      <c r="AJ239" s="4">
        <v>1677</v>
      </c>
      <c r="AK239" s="4">
        <v>-1339</v>
      </c>
      <c r="AL239" s="4">
        <v>-1169</v>
      </c>
      <c r="AN239" s="3">
        <v>44903</v>
      </c>
      <c r="AO239" s="4">
        <v>4.03</v>
      </c>
      <c r="AP239" s="4">
        <v>3.6760000000000002</v>
      </c>
      <c r="AQ239" s="4">
        <v>5.4119999999999999</v>
      </c>
      <c r="AR239" s="4">
        <v>11.252000000000001</v>
      </c>
      <c r="AS239" s="4">
        <f t="shared" si="19"/>
        <v>1.7359999999999998</v>
      </c>
      <c r="AT239" s="3">
        <v>44901</v>
      </c>
      <c r="AU239" s="4">
        <v>467283</v>
      </c>
      <c r="AV239" s="3">
        <v>44903</v>
      </c>
      <c r="AW239" s="4">
        <v>92984890</v>
      </c>
      <c r="AX239" s="4">
        <v>9804524</v>
      </c>
      <c r="AY239" s="4">
        <v>18193918</v>
      </c>
      <c r="AZ239" s="4">
        <v>118864083</v>
      </c>
      <c r="BA239" s="4">
        <v>158312580</v>
      </c>
      <c r="BB239" s="3">
        <v>44901</v>
      </c>
      <c r="BC239" s="4">
        <v>704865</v>
      </c>
    </row>
    <row r="240" spans="22:55" hidden="1">
      <c r="V240" s="3">
        <v>44883</v>
      </c>
      <c r="W240" s="4">
        <v>199529</v>
      </c>
      <c r="X240" s="4">
        <v>-150259</v>
      </c>
      <c r="Y240" s="4">
        <v>-77525</v>
      </c>
      <c r="Z240" s="4">
        <v>46905</v>
      </c>
      <c r="AA240" s="4">
        <v>-81881</v>
      </c>
      <c r="AB240" s="4">
        <v>95539</v>
      </c>
      <c r="AC240" s="4">
        <v>-3400</v>
      </c>
      <c r="AD240" s="4">
        <v>7285</v>
      </c>
      <c r="AE240" s="4">
        <v>35863</v>
      </c>
      <c r="AF240" s="4">
        <v>21655</v>
      </c>
      <c r="AG240" s="4">
        <v>-27686</v>
      </c>
      <c r="AH240" s="4">
        <v>-110703</v>
      </c>
      <c r="AI240" s="4">
        <v>691</v>
      </c>
      <c r="AJ240" s="4">
        <v>2159</v>
      </c>
      <c r="AK240" s="4">
        <v>-3030</v>
      </c>
      <c r="AL240" s="4">
        <v>-1241</v>
      </c>
      <c r="AN240" s="3">
        <v>44902</v>
      </c>
      <c r="AO240" s="4">
        <v>4.03</v>
      </c>
      <c r="AP240" s="4">
        <v>3.6720000000000002</v>
      </c>
      <c r="AQ240" s="4">
        <v>5.4109999999999996</v>
      </c>
      <c r="AR240" s="4">
        <v>11.25</v>
      </c>
      <c r="AS240" s="4">
        <f t="shared" si="19"/>
        <v>1.7389999999999994</v>
      </c>
      <c r="AT240" s="3">
        <v>44900</v>
      </c>
      <c r="AU240" s="4">
        <v>473535</v>
      </c>
      <c r="AV240" s="3">
        <v>44902</v>
      </c>
      <c r="AW240" s="4">
        <v>93631192</v>
      </c>
      <c r="AX240" s="4">
        <v>9809820</v>
      </c>
      <c r="AY240" s="4">
        <v>18225069</v>
      </c>
      <c r="AZ240" s="4">
        <v>118910475</v>
      </c>
      <c r="BA240" s="4">
        <v>165533167</v>
      </c>
      <c r="BB240" s="3">
        <v>44900</v>
      </c>
      <c r="BC240" s="4">
        <v>705611</v>
      </c>
    </row>
    <row r="241" spans="22:55" hidden="1">
      <c r="V241" s="3">
        <v>44882</v>
      </c>
      <c r="W241" s="4">
        <v>-382029</v>
      </c>
      <c r="X241" s="4">
        <v>487911</v>
      </c>
      <c r="Y241" s="4">
        <v>-120388</v>
      </c>
      <c r="Z241" s="4">
        <v>-13244</v>
      </c>
      <c r="AA241" s="4">
        <v>-96312</v>
      </c>
      <c r="AB241" s="4">
        <v>198219</v>
      </c>
      <c r="AC241" s="4">
        <v>-92021</v>
      </c>
      <c r="AD241" s="4">
        <v>4081</v>
      </c>
      <c r="AE241" s="4">
        <v>4430</v>
      </c>
      <c r="AF241" s="4">
        <v>44308</v>
      </c>
      <c r="AG241" s="4">
        <v>-56540</v>
      </c>
      <c r="AH241" s="4">
        <v>69006</v>
      </c>
      <c r="AI241" s="4">
        <v>5194</v>
      </c>
      <c r="AJ241" s="4">
        <v>415</v>
      </c>
      <c r="AK241" s="4">
        <v>-6034</v>
      </c>
      <c r="AL241" s="4">
        <v>-4264</v>
      </c>
      <c r="AN241" s="3">
        <v>44901</v>
      </c>
      <c r="AO241" s="4">
        <v>4.03</v>
      </c>
      <c r="AP241" s="4">
        <v>3.633</v>
      </c>
      <c r="AQ241" s="4">
        <v>5.3869999999999996</v>
      </c>
      <c r="AR241" s="4">
        <v>11.228</v>
      </c>
      <c r="AS241" s="4">
        <f t="shared" si="19"/>
        <v>1.7539999999999996</v>
      </c>
      <c r="AT241" s="3">
        <v>44897</v>
      </c>
      <c r="AU241" s="4">
        <v>481800</v>
      </c>
      <c r="AV241" s="3">
        <v>44901</v>
      </c>
      <c r="AW241" s="4">
        <v>94993448</v>
      </c>
      <c r="AX241" s="4">
        <v>9813330</v>
      </c>
      <c r="AY241" s="4">
        <v>18248000</v>
      </c>
      <c r="AZ241" s="4">
        <v>118668388</v>
      </c>
      <c r="BA241" s="4">
        <v>165020224</v>
      </c>
      <c r="BB241" s="3">
        <v>44897</v>
      </c>
      <c r="BC241" s="4">
        <v>704493</v>
      </c>
    </row>
    <row r="242" spans="22:55" hidden="1">
      <c r="V242" s="3">
        <v>44881</v>
      </c>
      <c r="W242" s="4">
        <v>88400</v>
      </c>
      <c r="X242" s="4">
        <v>178235</v>
      </c>
      <c r="Y242" s="4">
        <v>-230432</v>
      </c>
      <c r="Z242" s="4">
        <v>-85304</v>
      </c>
      <c r="AA242" s="4">
        <v>-152239</v>
      </c>
      <c r="AB242" s="4">
        <v>196324</v>
      </c>
      <c r="AC242" s="4">
        <v>-1619</v>
      </c>
      <c r="AD242" s="4">
        <v>3607</v>
      </c>
      <c r="AE242" s="4">
        <v>58173</v>
      </c>
      <c r="AF242" s="4">
        <v>18370</v>
      </c>
      <c r="AG242" s="4">
        <v>-86676</v>
      </c>
      <c r="AH242" s="4">
        <v>-121052</v>
      </c>
      <c r="AI242" s="4">
        <v>-1160</v>
      </c>
      <c r="AJ242" s="4">
        <v>-1080</v>
      </c>
      <c r="AK242" s="4">
        <v>2334</v>
      </c>
      <c r="AL242" s="4">
        <v>-672</v>
      </c>
      <c r="AN242" s="3">
        <v>44900</v>
      </c>
      <c r="AO242" s="4">
        <v>4.03</v>
      </c>
      <c r="AP242" s="4">
        <v>3.609</v>
      </c>
      <c r="AQ242" s="4">
        <v>5.37</v>
      </c>
      <c r="AR242" s="4">
        <v>11.211</v>
      </c>
      <c r="AS242" s="4">
        <f t="shared" si="19"/>
        <v>1.7610000000000001</v>
      </c>
      <c r="AT242" s="3">
        <v>44896</v>
      </c>
      <c r="AU242" s="4">
        <v>496547</v>
      </c>
      <c r="AV242" s="3">
        <v>44900</v>
      </c>
      <c r="AW242" s="4">
        <v>95619812</v>
      </c>
      <c r="AX242" s="4">
        <v>9814577</v>
      </c>
      <c r="AY242" s="4">
        <v>18266123</v>
      </c>
      <c r="AZ242" s="4">
        <v>118663392</v>
      </c>
      <c r="BA242" s="4">
        <v>164003255</v>
      </c>
      <c r="BB242" s="3">
        <v>44896</v>
      </c>
      <c r="BC242" s="4">
        <v>706512</v>
      </c>
    </row>
    <row r="243" spans="22:55" hidden="1">
      <c r="V243" s="3">
        <v>44880</v>
      </c>
      <c r="W243" s="4">
        <v>-235609</v>
      </c>
      <c r="X243" s="4">
        <v>325806</v>
      </c>
      <c r="Y243" s="4">
        <v>-80054</v>
      </c>
      <c r="Z243" s="4">
        <v>-105625</v>
      </c>
      <c r="AA243" s="4">
        <v>159746</v>
      </c>
      <c r="AB243" s="4">
        <v>-227122</v>
      </c>
      <c r="AC243" s="4">
        <v>85463</v>
      </c>
      <c r="AD243" s="4">
        <v>-1916</v>
      </c>
      <c r="AE243" s="4">
        <v>12596</v>
      </c>
      <c r="AF243" s="4">
        <v>5523</v>
      </c>
      <c r="AG243" s="4">
        <v>-25757</v>
      </c>
      <c r="AH243" s="4">
        <v>44943</v>
      </c>
      <c r="AI243" s="4">
        <v>-1311</v>
      </c>
      <c r="AJ243" s="4">
        <v>1995</v>
      </c>
      <c r="AK243" s="4">
        <v>-164</v>
      </c>
      <c r="AL243" s="4">
        <v>654</v>
      </c>
      <c r="AN243" s="3">
        <v>44897</v>
      </c>
      <c r="AO243" s="4">
        <v>4.03</v>
      </c>
      <c r="AP243" s="4">
        <v>3.6160000000000001</v>
      </c>
      <c r="AQ243" s="4">
        <v>5.3860000000000001</v>
      </c>
      <c r="AR243" s="4">
        <v>11.228</v>
      </c>
      <c r="AS243" s="4">
        <f t="shared" si="19"/>
        <v>1.77</v>
      </c>
      <c r="AT243" s="3">
        <v>44895</v>
      </c>
      <c r="AU243" s="4">
        <v>466746</v>
      </c>
      <c r="AV243" s="3">
        <v>44897</v>
      </c>
      <c r="AW243" s="4">
        <v>96320546</v>
      </c>
      <c r="AX243" s="4">
        <v>9815839</v>
      </c>
      <c r="AY243" s="4">
        <v>18292152</v>
      </c>
      <c r="AZ243" s="4">
        <v>118427592</v>
      </c>
      <c r="BA243" s="4">
        <v>161822465</v>
      </c>
      <c r="BB243" s="3">
        <v>44895</v>
      </c>
      <c r="BC243" s="4">
        <v>704906</v>
      </c>
    </row>
    <row r="244" spans="22:55" hidden="1">
      <c r="V244" s="3">
        <v>44879</v>
      </c>
      <c r="W244" s="4">
        <v>143156</v>
      </c>
      <c r="X244" s="4">
        <v>19449</v>
      </c>
      <c r="Y244" s="4">
        <v>-171342</v>
      </c>
      <c r="Z244" s="4">
        <v>-37630</v>
      </c>
      <c r="AA244" s="4">
        <v>-23381</v>
      </c>
      <c r="AB244" s="4">
        <v>192774</v>
      </c>
      <c r="AC244" s="4">
        <v>-152410</v>
      </c>
      <c r="AD244" s="4">
        <v>-19457</v>
      </c>
      <c r="AE244" s="4">
        <v>13498</v>
      </c>
      <c r="AF244" s="4">
        <v>45785</v>
      </c>
      <c r="AG244" s="4">
        <v>-43122</v>
      </c>
      <c r="AH244" s="4">
        <v>-134552</v>
      </c>
      <c r="AI244" s="4">
        <v>-2225</v>
      </c>
      <c r="AJ244" s="4">
        <v>842</v>
      </c>
      <c r="AK244" s="4">
        <v>985</v>
      </c>
      <c r="AL244" s="4">
        <v>-3093</v>
      </c>
      <c r="AN244" s="3">
        <v>44896</v>
      </c>
      <c r="AO244" s="4">
        <v>4.03</v>
      </c>
      <c r="AP244" s="4">
        <v>3.65</v>
      </c>
      <c r="AQ244" s="4">
        <v>5.4219999999999997</v>
      </c>
      <c r="AR244" s="4">
        <v>11.259</v>
      </c>
      <c r="AS244" s="4">
        <f t="shared" si="19"/>
        <v>1.7719999999999998</v>
      </c>
      <c r="AT244" s="3">
        <v>44894</v>
      </c>
      <c r="AU244" s="4">
        <v>482378</v>
      </c>
      <c r="AV244" s="3">
        <v>44896</v>
      </c>
      <c r="AW244" s="4">
        <v>97165208</v>
      </c>
      <c r="AX244" s="4">
        <v>9822816</v>
      </c>
      <c r="AY244" s="4">
        <v>18304711</v>
      </c>
      <c r="AZ244" s="4">
        <v>118087524</v>
      </c>
      <c r="BA244" s="4">
        <v>155964979</v>
      </c>
      <c r="BB244" s="3">
        <v>44894</v>
      </c>
      <c r="BC244" s="4">
        <v>708474</v>
      </c>
    </row>
    <row r="245" spans="22:55" hidden="1">
      <c r="V245" s="3">
        <v>44876</v>
      </c>
      <c r="W245" s="4">
        <v>700349</v>
      </c>
      <c r="X245" s="4">
        <v>-1673170</v>
      </c>
      <c r="Y245" s="4">
        <v>991478</v>
      </c>
      <c r="Z245" s="4">
        <v>51688</v>
      </c>
      <c r="AA245" s="4">
        <v>207366</v>
      </c>
      <c r="AB245" s="4">
        <v>-537390</v>
      </c>
      <c r="AC245" s="4">
        <v>343043</v>
      </c>
      <c r="AD245" s="4">
        <v>21597</v>
      </c>
      <c r="AE245" s="4">
        <v>280130</v>
      </c>
      <c r="AF245" s="4">
        <v>-259126</v>
      </c>
      <c r="AG245" s="4">
        <v>-17987</v>
      </c>
      <c r="AH245" s="4">
        <v>-50559</v>
      </c>
      <c r="AI245" s="4">
        <v>-5091</v>
      </c>
      <c r="AJ245" s="4">
        <v>-1458</v>
      </c>
      <c r="AK245" s="4">
        <v>7967</v>
      </c>
      <c r="AL245" s="4">
        <v>11747</v>
      </c>
      <c r="AN245" s="3">
        <v>44895</v>
      </c>
      <c r="AO245" s="4">
        <v>4.03</v>
      </c>
      <c r="AP245" s="4">
        <v>3.6890000000000001</v>
      </c>
      <c r="AQ245" s="4">
        <v>5.4450000000000003</v>
      </c>
      <c r="AR245" s="4">
        <v>11.282999999999999</v>
      </c>
      <c r="AS245" s="4">
        <f t="shared" si="19"/>
        <v>1.7560000000000002</v>
      </c>
      <c r="AT245" s="3">
        <v>44893</v>
      </c>
      <c r="AU245" s="4">
        <v>492612</v>
      </c>
      <c r="AV245" s="3">
        <v>44895</v>
      </c>
      <c r="AW245" s="4">
        <v>96843924</v>
      </c>
      <c r="AX245" s="4">
        <v>9832896</v>
      </c>
      <c r="AY245" s="4">
        <v>18311410</v>
      </c>
      <c r="AZ245" s="4">
        <v>117916937</v>
      </c>
      <c r="BA245" s="4">
        <v>154834007</v>
      </c>
      <c r="BB245" s="3">
        <v>44893</v>
      </c>
      <c r="BC245" s="4">
        <v>713099</v>
      </c>
    </row>
    <row r="246" spans="22:55" hidden="1">
      <c r="V246" s="3">
        <v>44875</v>
      </c>
      <c r="W246" s="4">
        <v>-108199</v>
      </c>
      <c r="X246" s="4">
        <v>239380</v>
      </c>
      <c r="Y246" s="4">
        <v>-168714</v>
      </c>
      <c r="Z246" s="4">
        <v>-28008</v>
      </c>
      <c r="AA246" s="4">
        <v>-94124</v>
      </c>
      <c r="AB246" s="4">
        <v>211723</v>
      </c>
      <c r="AC246" s="4">
        <v>-110446</v>
      </c>
      <c r="AD246" s="4">
        <v>834</v>
      </c>
      <c r="AE246" s="4">
        <v>42755</v>
      </c>
      <c r="AF246" s="4">
        <v>20398</v>
      </c>
      <c r="AG246" s="4">
        <v>-65991</v>
      </c>
      <c r="AH246" s="4">
        <v>83630</v>
      </c>
      <c r="AI246" s="4">
        <v>5571</v>
      </c>
      <c r="AJ246" s="4">
        <v>4054</v>
      </c>
      <c r="AK246" s="4">
        <v>-10658</v>
      </c>
      <c r="AL246" s="4">
        <v>-4811</v>
      </c>
      <c r="AN246" s="3">
        <v>44894</v>
      </c>
      <c r="AO246" s="4">
        <v>4.03</v>
      </c>
      <c r="AP246" s="4">
        <v>3.7229999999999999</v>
      </c>
      <c r="AQ246" s="4">
        <v>5.468</v>
      </c>
      <c r="AR246" s="4">
        <v>11.308</v>
      </c>
      <c r="AS246" s="4">
        <f t="shared" si="19"/>
        <v>1.7450000000000001</v>
      </c>
      <c r="AT246" s="3">
        <v>44890</v>
      </c>
      <c r="AU246" s="4">
        <v>478268</v>
      </c>
      <c r="AV246" s="3">
        <v>44894</v>
      </c>
      <c r="AW246" s="4">
        <v>96252653</v>
      </c>
      <c r="AX246" s="4">
        <v>9834700</v>
      </c>
      <c r="AY246" s="4">
        <v>18359680</v>
      </c>
      <c r="AZ246" s="4">
        <v>118659514</v>
      </c>
      <c r="BA246" s="4">
        <v>158212659</v>
      </c>
      <c r="BB246" s="3">
        <v>44890</v>
      </c>
      <c r="BC246" s="4">
        <v>712733</v>
      </c>
    </row>
    <row r="247" spans="22:55" hidden="1">
      <c r="V247" s="3">
        <v>44874</v>
      </c>
      <c r="W247" s="4">
        <v>414668</v>
      </c>
      <c r="X247" s="4">
        <v>-776952</v>
      </c>
      <c r="Y247" s="4">
        <v>346560</v>
      </c>
      <c r="Z247" s="4">
        <v>-101</v>
      </c>
      <c r="AA247" s="4">
        <v>12995</v>
      </c>
      <c r="AB247" s="4">
        <v>79440</v>
      </c>
      <c r="AC247" s="4">
        <v>-85990</v>
      </c>
      <c r="AD247" s="4">
        <v>-13631</v>
      </c>
      <c r="AE247" s="4">
        <v>105267</v>
      </c>
      <c r="AF247" s="4">
        <v>-17762</v>
      </c>
      <c r="AG247" s="4">
        <v>-88596</v>
      </c>
      <c r="AH247" s="4">
        <v>-47440</v>
      </c>
      <c r="AI247" s="4">
        <v>2759</v>
      </c>
      <c r="AJ247" s="4">
        <v>-231</v>
      </c>
      <c r="AK247" s="4">
        <v>-1636</v>
      </c>
      <c r="AL247" s="4">
        <v>639</v>
      </c>
      <c r="AN247" s="3">
        <v>44893</v>
      </c>
      <c r="AO247" s="4">
        <v>4.03</v>
      </c>
      <c r="AP247" s="4">
        <v>3.669</v>
      </c>
      <c r="AQ247" s="4">
        <v>5.4050000000000002</v>
      </c>
      <c r="AR247" s="4">
        <v>11.242000000000001</v>
      </c>
      <c r="AS247" s="4">
        <f t="shared" si="19"/>
        <v>1.7360000000000002</v>
      </c>
      <c r="AT247" s="3">
        <v>44889</v>
      </c>
      <c r="AU247" s="4">
        <v>477310</v>
      </c>
      <c r="AV247" s="3">
        <v>44893</v>
      </c>
      <c r="AW247" s="4">
        <v>96494712</v>
      </c>
      <c r="AX247" s="4">
        <v>9834234</v>
      </c>
      <c r="AY247" s="4">
        <v>18371596</v>
      </c>
      <c r="AZ247" s="4">
        <v>118704589</v>
      </c>
      <c r="BA247" s="4">
        <v>156283103</v>
      </c>
      <c r="BB247" s="3">
        <v>44889</v>
      </c>
      <c r="BC247" s="4">
        <v>715851</v>
      </c>
    </row>
    <row r="248" spans="22:55" hidden="1">
      <c r="V248" s="3">
        <v>44873</v>
      </c>
      <c r="W248" s="4">
        <v>278067</v>
      </c>
      <c r="X248" s="4">
        <v>-723862</v>
      </c>
      <c r="Y248" s="4">
        <v>436099</v>
      </c>
      <c r="Z248" s="4">
        <v>-4490</v>
      </c>
      <c r="AA248" s="4">
        <v>93423</v>
      </c>
      <c r="AB248" s="4">
        <v>-171961</v>
      </c>
      <c r="AC248" s="4">
        <v>82601</v>
      </c>
      <c r="AD248" s="4">
        <v>10548</v>
      </c>
      <c r="AE248" s="4">
        <v>64382</v>
      </c>
      <c r="AF248" s="4">
        <v>-25701</v>
      </c>
      <c r="AG248" s="4">
        <v>-42581</v>
      </c>
      <c r="AH248" s="4">
        <v>-90867</v>
      </c>
      <c r="AI248" s="4">
        <v>-2089</v>
      </c>
      <c r="AJ248" s="4">
        <v>1232</v>
      </c>
      <c r="AK248" s="4">
        <v>799</v>
      </c>
      <c r="AL248" s="4">
        <v>983</v>
      </c>
      <c r="AN248" s="3">
        <v>44890</v>
      </c>
      <c r="AO248" s="4">
        <v>4.03</v>
      </c>
      <c r="AP248" s="4">
        <v>3.6440000000000001</v>
      </c>
      <c r="AQ248" s="4">
        <v>5.3760000000000003</v>
      </c>
      <c r="AR248" s="4">
        <v>11.211</v>
      </c>
      <c r="AS248" s="4">
        <f t="shared" si="19"/>
        <v>1.7320000000000002</v>
      </c>
      <c r="AT248" s="3">
        <v>44888</v>
      </c>
      <c r="AU248" s="4">
        <v>484081</v>
      </c>
      <c r="AV248" s="3">
        <v>44890</v>
      </c>
      <c r="AW248" s="4">
        <v>96446606</v>
      </c>
      <c r="AX248" s="4">
        <v>9843546</v>
      </c>
      <c r="AY248" s="4">
        <v>18357267</v>
      </c>
      <c r="AZ248" s="4">
        <v>118794803</v>
      </c>
      <c r="BA248" s="4">
        <v>155835683</v>
      </c>
      <c r="BB248" s="3">
        <v>44888</v>
      </c>
      <c r="BC248" s="4">
        <v>719282</v>
      </c>
    </row>
    <row r="249" spans="22:55" hidden="1">
      <c r="V249" s="3">
        <v>44872</v>
      </c>
      <c r="W249" s="4">
        <v>111968</v>
      </c>
      <c r="X249" s="4">
        <v>-404992</v>
      </c>
      <c r="Y249" s="4">
        <v>276716</v>
      </c>
      <c r="Z249" s="4">
        <v>50840</v>
      </c>
      <c r="AA249" s="4">
        <v>86548</v>
      </c>
      <c r="AB249" s="4">
        <v>-28599</v>
      </c>
      <c r="AC249" s="4">
        <v>-53436</v>
      </c>
      <c r="AD249" s="4">
        <v>-14515</v>
      </c>
      <c r="AE249" s="4">
        <v>104247</v>
      </c>
      <c r="AF249" s="4">
        <v>-29383</v>
      </c>
      <c r="AG249" s="4">
        <v>-68691</v>
      </c>
      <c r="AH249" s="4">
        <v>-110021</v>
      </c>
      <c r="AI249" s="4">
        <v>-1847</v>
      </c>
      <c r="AJ249" s="4">
        <v>-1260</v>
      </c>
      <c r="AK249" s="4">
        <v>579</v>
      </c>
      <c r="AL249" s="4">
        <v>662</v>
      </c>
      <c r="AN249" s="3">
        <v>44889</v>
      </c>
      <c r="AO249" s="4">
        <v>4.03</v>
      </c>
      <c r="AP249" s="4">
        <v>3.6890000000000001</v>
      </c>
      <c r="AQ249" s="4">
        <v>5.4020000000000001</v>
      </c>
      <c r="AR249" s="4">
        <v>11.239000000000001</v>
      </c>
      <c r="AS249" s="4">
        <f t="shared" si="19"/>
        <v>1.7130000000000001</v>
      </c>
      <c r="AT249" s="3">
        <v>44887</v>
      </c>
      <c r="AU249" s="4">
        <v>478543</v>
      </c>
      <c r="AV249" s="3">
        <v>44889</v>
      </c>
      <c r="AW249" s="4">
        <v>96662914</v>
      </c>
      <c r="AX249" s="4">
        <v>9848214</v>
      </c>
      <c r="AY249" s="4">
        <v>18351295</v>
      </c>
      <c r="AZ249" s="4">
        <v>118661004</v>
      </c>
      <c r="BA249" s="4">
        <v>156966531</v>
      </c>
      <c r="BB249" s="3">
        <v>44887</v>
      </c>
      <c r="BC249" s="4">
        <v>718695</v>
      </c>
    </row>
    <row r="250" spans="22:55" hidden="1">
      <c r="V250" s="3">
        <v>44869</v>
      </c>
      <c r="W250" s="4">
        <v>42045</v>
      </c>
      <c r="X250" s="4">
        <v>-145786</v>
      </c>
      <c r="Y250" s="4">
        <v>101391</v>
      </c>
      <c r="Z250" s="4">
        <v>29910</v>
      </c>
      <c r="AA250" s="4">
        <v>-50514</v>
      </c>
      <c r="AB250" s="4">
        <v>238114</v>
      </c>
      <c r="AC250" s="4">
        <v>-165475</v>
      </c>
      <c r="AD250" s="4">
        <v>-36926</v>
      </c>
      <c r="AE250" s="4">
        <v>3868</v>
      </c>
      <c r="AF250" s="4">
        <v>72074</v>
      </c>
      <c r="AG250" s="4">
        <v>-78494</v>
      </c>
      <c r="AH250" s="4">
        <v>63548</v>
      </c>
      <c r="AI250" s="4">
        <v>2847</v>
      </c>
      <c r="AJ250" s="4">
        <v>-2673</v>
      </c>
      <c r="AK250" s="4">
        <v>170</v>
      </c>
      <c r="AL250" s="4">
        <v>4525</v>
      </c>
      <c r="AN250" s="3">
        <v>44888</v>
      </c>
      <c r="AO250" s="4">
        <v>4.0199999999999996</v>
      </c>
      <c r="AP250" s="4">
        <v>3.8490000000000002</v>
      </c>
      <c r="AQ250" s="4">
        <v>5.5359999999999996</v>
      </c>
      <c r="AR250" s="4">
        <v>11.377000000000001</v>
      </c>
      <c r="AS250" s="4">
        <f t="shared" si="19"/>
        <v>1.6869999999999994</v>
      </c>
      <c r="AT250" s="3">
        <v>44886</v>
      </c>
      <c r="AU250" s="4">
        <v>484173</v>
      </c>
      <c r="AV250" s="3">
        <v>44888</v>
      </c>
      <c r="AW250" s="4">
        <v>96087013</v>
      </c>
      <c r="AX250" s="4">
        <v>9855274</v>
      </c>
      <c r="AY250" s="4">
        <v>18368947</v>
      </c>
      <c r="AZ250" s="4">
        <v>118393595</v>
      </c>
      <c r="BA250" s="4">
        <v>159919565</v>
      </c>
      <c r="BB250" s="3">
        <v>44886</v>
      </c>
      <c r="BC250" s="4">
        <v>719925</v>
      </c>
    </row>
    <row r="251" spans="22:55" hidden="1">
      <c r="V251" s="3">
        <v>44868</v>
      </c>
      <c r="W251" s="4">
        <v>173497</v>
      </c>
      <c r="X251" s="4">
        <v>387539</v>
      </c>
      <c r="Y251" s="4">
        <v>-584132</v>
      </c>
      <c r="Z251" s="4">
        <v>31813</v>
      </c>
      <c r="AA251" s="4">
        <v>37802</v>
      </c>
      <c r="AB251" s="4">
        <v>69770</v>
      </c>
      <c r="AC251" s="4">
        <v>-106497</v>
      </c>
      <c r="AD251" s="4">
        <v>-5308</v>
      </c>
      <c r="AE251" s="4">
        <v>-32330</v>
      </c>
      <c r="AF251" s="4">
        <v>76631</v>
      </c>
      <c r="AG251" s="4">
        <v>-38844</v>
      </c>
      <c r="AH251" s="4">
        <v>-47560</v>
      </c>
      <c r="AI251" s="4">
        <v>-841</v>
      </c>
      <c r="AJ251" s="4">
        <v>1930</v>
      </c>
      <c r="AK251" s="4">
        <v>-998</v>
      </c>
      <c r="AL251" s="4">
        <v>-5745</v>
      </c>
      <c r="AN251" s="3">
        <v>44887</v>
      </c>
      <c r="AO251" s="4">
        <v>4.0199999999999996</v>
      </c>
      <c r="AP251" s="4">
        <v>3.8439999999999999</v>
      </c>
      <c r="AQ251" s="4">
        <v>5.516</v>
      </c>
      <c r="AR251" s="4">
        <v>11.356999999999999</v>
      </c>
      <c r="AS251" s="4">
        <f t="shared" si="19"/>
        <v>1.6720000000000002</v>
      </c>
      <c r="AT251" s="3">
        <v>44883</v>
      </c>
      <c r="AU251" s="4">
        <v>496876</v>
      </c>
      <c r="AV251" s="3">
        <v>44887</v>
      </c>
      <c r="AW251" s="4">
        <v>95733444</v>
      </c>
      <c r="AX251" s="4">
        <v>9859661</v>
      </c>
      <c r="AY251" s="4">
        <v>18385164</v>
      </c>
      <c r="AZ251" s="4">
        <v>118492007</v>
      </c>
      <c r="BA251" s="4">
        <v>160110977</v>
      </c>
      <c r="BB251" s="3">
        <v>44883</v>
      </c>
      <c r="BC251" s="4">
        <v>722253</v>
      </c>
    </row>
    <row r="252" spans="22:55" hidden="1">
      <c r="V252" s="3">
        <v>44867</v>
      </c>
      <c r="W252" s="4">
        <v>524088</v>
      </c>
      <c r="X252" s="4">
        <v>-181762</v>
      </c>
      <c r="Y252" s="4">
        <v>-338344</v>
      </c>
      <c r="Z252" s="4">
        <v>24272</v>
      </c>
      <c r="AA252" s="4">
        <v>-60268</v>
      </c>
      <c r="AB252" s="4">
        <v>249474</v>
      </c>
      <c r="AC252" s="4">
        <v>-184497</v>
      </c>
      <c r="AD252" s="4">
        <v>-37084</v>
      </c>
      <c r="AE252" s="4">
        <v>7257</v>
      </c>
      <c r="AF252" s="4">
        <v>25374</v>
      </c>
      <c r="AG252" s="4">
        <v>-32912</v>
      </c>
      <c r="AH252" s="4">
        <v>-23219</v>
      </c>
      <c r="AI252" s="4">
        <v>1274</v>
      </c>
      <c r="AJ252" s="4">
        <v>-1394</v>
      </c>
      <c r="AK252" s="4">
        <v>-77</v>
      </c>
      <c r="AL252" s="4">
        <v>-3878</v>
      </c>
      <c r="AN252" s="3">
        <v>44886</v>
      </c>
      <c r="AO252" s="4">
        <v>4.01</v>
      </c>
      <c r="AP252" s="4">
        <v>3.8370000000000002</v>
      </c>
      <c r="AQ252" s="4">
        <v>5.492</v>
      </c>
      <c r="AR252" s="4">
        <v>11.333</v>
      </c>
      <c r="AS252" s="4">
        <f t="shared" si="19"/>
        <v>1.6549999999999998</v>
      </c>
      <c r="AT252" s="3">
        <v>44882</v>
      </c>
      <c r="AU252" s="4">
        <v>497517</v>
      </c>
      <c r="AV252" s="3">
        <v>44886</v>
      </c>
      <c r="AW252" s="4">
        <v>95967442</v>
      </c>
      <c r="AX252" s="4">
        <v>9864127</v>
      </c>
      <c r="AY252" s="4">
        <v>18396446</v>
      </c>
      <c r="AZ252" s="4">
        <v>119951234</v>
      </c>
      <c r="BA252" s="4">
        <v>159970210</v>
      </c>
      <c r="BB252" s="3">
        <v>44882</v>
      </c>
      <c r="BC252" s="4">
        <v>720354</v>
      </c>
    </row>
    <row r="253" spans="22:55" hidden="1">
      <c r="V253" s="3">
        <v>44866</v>
      </c>
      <c r="W253" s="4">
        <v>492385</v>
      </c>
      <c r="X253" s="4">
        <v>-723357</v>
      </c>
      <c r="Y253" s="4">
        <v>194280</v>
      </c>
      <c r="Z253" s="4">
        <v>32168</v>
      </c>
      <c r="AA253" s="4">
        <v>59889</v>
      </c>
      <c r="AB253" s="4">
        <v>-18179</v>
      </c>
      <c r="AC253" s="4">
        <v>-12343</v>
      </c>
      <c r="AD253" s="4">
        <v>-9883</v>
      </c>
      <c r="AE253" s="4">
        <v>-7562</v>
      </c>
      <c r="AF253" s="4">
        <v>-38553</v>
      </c>
      <c r="AG253" s="4">
        <v>26750</v>
      </c>
      <c r="AH253" s="4">
        <v>-126783</v>
      </c>
      <c r="AI253" s="4">
        <v>-710</v>
      </c>
      <c r="AJ253" s="4">
        <v>971</v>
      </c>
      <c r="AK253" s="4">
        <v>-228</v>
      </c>
      <c r="AL253" s="4">
        <v>2186</v>
      </c>
      <c r="AN253" s="3">
        <v>44883</v>
      </c>
      <c r="AO253" s="4">
        <v>3.99</v>
      </c>
      <c r="AP253" s="4">
        <v>3.7869999999999999</v>
      </c>
      <c r="AQ253" s="4">
        <v>5.4290000000000003</v>
      </c>
      <c r="AR253" s="4">
        <v>11.272</v>
      </c>
      <c r="AS253" s="4">
        <f t="shared" si="19"/>
        <v>1.6420000000000003</v>
      </c>
      <c r="AT253" s="3">
        <v>44881</v>
      </c>
      <c r="AU253" s="4">
        <v>501139</v>
      </c>
      <c r="AV253" s="3">
        <v>44883</v>
      </c>
      <c r="AW253" s="4">
        <v>96018706</v>
      </c>
      <c r="AX253" s="4">
        <v>9867023</v>
      </c>
      <c r="AY253" s="4">
        <v>18404726</v>
      </c>
      <c r="AZ253" s="4">
        <v>120192493</v>
      </c>
      <c r="BA253" s="4">
        <v>159168622</v>
      </c>
      <c r="BB253" s="3">
        <v>44881</v>
      </c>
      <c r="BC253" s="4">
        <v>720146</v>
      </c>
    </row>
    <row r="254" spans="22:55" hidden="1">
      <c r="V254" s="3">
        <v>44865</v>
      </c>
      <c r="W254" s="4">
        <v>230291</v>
      </c>
      <c r="X254" s="4">
        <v>-205782</v>
      </c>
      <c r="Y254" s="4">
        <v>-27863</v>
      </c>
      <c r="Z254" s="4">
        <v>5759</v>
      </c>
      <c r="AA254" s="4">
        <v>27051</v>
      </c>
      <c r="AB254" s="4">
        <v>-22016</v>
      </c>
      <c r="AC254" s="4">
        <v>8825</v>
      </c>
      <c r="AD254" s="4">
        <v>-4669</v>
      </c>
      <c r="AE254" s="4">
        <v>37422</v>
      </c>
      <c r="AF254" s="4">
        <v>-59293</v>
      </c>
      <c r="AG254" s="4">
        <v>24051</v>
      </c>
      <c r="AH254" s="4">
        <v>34400</v>
      </c>
      <c r="AI254" s="4">
        <v>1122</v>
      </c>
      <c r="AJ254" s="4">
        <v>-4088</v>
      </c>
      <c r="AK254" s="4">
        <v>3151</v>
      </c>
      <c r="AL254" s="4">
        <v>5753</v>
      </c>
      <c r="AN254" s="3">
        <v>44882</v>
      </c>
      <c r="AO254" s="4">
        <v>3.99</v>
      </c>
      <c r="AP254" s="4">
        <v>3.8039999999999998</v>
      </c>
      <c r="AQ254" s="4">
        <v>5.4269999999999996</v>
      </c>
      <c r="AR254" s="4">
        <v>11.27</v>
      </c>
      <c r="AS254" s="4">
        <f t="shared" si="19"/>
        <v>1.6229999999999998</v>
      </c>
      <c r="AT254" s="3">
        <v>44880</v>
      </c>
      <c r="AU254" s="4">
        <v>510322</v>
      </c>
      <c r="AV254" s="3">
        <v>44882</v>
      </c>
      <c r="AW254" s="4">
        <v>95861153</v>
      </c>
      <c r="AX254" s="4">
        <v>9872313</v>
      </c>
      <c r="AY254" s="4">
        <v>18420056</v>
      </c>
      <c r="AZ254" s="4">
        <v>119408754</v>
      </c>
      <c r="BA254" s="4">
        <v>158968193</v>
      </c>
      <c r="BB254" s="3">
        <v>44880</v>
      </c>
      <c r="BC254" s="4">
        <v>720033</v>
      </c>
    </row>
    <row r="255" spans="22:55" hidden="1">
      <c r="V255" s="3">
        <v>44862</v>
      </c>
      <c r="W255" s="4">
        <v>-192115</v>
      </c>
      <c r="X255" s="4">
        <v>-67948</v>
      </c>
      <c r="Y255" s="4">
        <v>251965</v>
      </c>
      <c r="Z255" s="4">
        <v>-52831</v>
      </c>
      <c r="AA255" s="4">
        <v>38395</v>
      </c>
      <c r="AB255" s="4">
        <v>64384</v>
      </c>
      <c r="AC255" s="4">
        <v>-94061</v>
      </c>
      <c r="AD255" s="4">
        <v>-11925</v>
      </c>
      <c r="AE255" s="4">
        <v>7786</v>
      </c>
      <c r="AF255" s="4">
        <v>16121</v>
      </c>
      <c r="AG255" s="4">
        <v>-19430</v>
      </c>
      <c r="AH255" s="4">
        <v>-113542</v>
      </c>
      <c r="AI255" s="4">
        <v>-1881</v>
      </c>
      <c r="AJ255" s="4">
        <v>5629</v>
      </c>
      <c r="AK255" s="4">
        <v>-4466</v>
      </c>
      <c r="AL255" s="4">
        <v>-8231</v>
      </c>
      <c r="AN255" s="3">
        <v>44881</v>
      </c>
      <c r="AO255" s="4">
        <v>3.97</v>
      </c>
      <c r="AP255" s="4">
        <v>3.8079999999999998</v>
      </c>
      <c r="AQ255" s="4">
        <v>5.4160000000000004</v>
      </c>
      <c r="AR255" s="4">
        <v>11.260999999999999</v>
      </c>
      <c r="AS255" s="4">
        <f t="shared" si="19"/>
        <v>1.6080000000000005</v>
      </c>
      <c r="AT255" s="3">
        <v>44879</v>
      </c>
      <c r="AU255" s="4">
        <v>499262</v>
      </c>
      <c r="AV255" s="3">
        <v>44881</v>
      </c>
      <c r="AW255" s="4">
        <v>96405467</v>
      </c>
      <c r="AX255" s="4">
        <v>9872371</v>
      </c>
      <c r="AY255" s="4">
        <v>18440541</v>
      </c>
      <c r="AZ255" s="4">
        <v>119359525</v>
      </c>
      <c r="BA255" s="4">
        <v>159615217</v>
      </c>
      <c r="BB255" s="3">
        <v>44879</v>
      </c>
      <c r="BC255" s="4">
        <v>717707</v>
      </c>
    </row>
    <row r="256" spans="22:55" hidden="1">
      <c r="V256" s="3">
        <v>44861</v>
      </c>
      <c r="W256" s="4">
        <v>378686</v>
      </c>
      <c r="X256" s="4">
        <v>-903796</v>
      </c>
      <c r="Y256" s="4">
        <v>514526</v>
      </c>
      <c r="Z256" s="4">
        <v>18689</v>
      </c>
      <c r="AA256" s="4">
        <v>128422</v>
      </c>
      <c r="AB256" s="4">
        <v>-169116</v>
      </c>
      <c r="AC256" s="4">
        <v>53174</v>
      </c>
      <c r="AD256" s="4">
        <v>-5437</v>
      </c>
      <c r="AE256" s="4">
        <v>24520</v>
      </c>
      <c r="AF256" s="4">
        <v>-32036</v>
      </c>
      <c r="AG256" s="4">
        <v>1468</v>
      </c>
      <c r="AH256" s="4">
        <v>73050</v>
      </c>
      <c r="AI256" s="4">
        <v>2601</v>
      </c>
      <c r="AJ256" s="4">
        <v>-3145</v>
      </c>
      <c r="AK256" s="4">
        <v>1718</v>
      </c>
      <c r="AL256" s="4">
        <v>2444</v>
      </c>
      <c r="AN256" s="3">
        <v>44880</v>
      </c>
      <c r="AO256" s="4">
        <v>3.97</v>
      </c>
      <c r="AP256" s="4">
        <v>3.7530000000000001</v>
      </c>
      <c r="AQ256" s="4">
        <v>5.3460000000000001</v>
      </c>
      <c r="AR256" s="4">
        <v>11.194000000000001</v>
      </c>
      <c r="AS256" s="4">
        <f t="shared" si="19"/>
        <v>1.593</v>
      </c>
      <c r="AT256" s="3">
        <v>44876</v>
      </c>
      <c r="AU256" s="4">
        <v>490088</v>
      </c>
      <c r="AV256" s="3">
        <v>44880</v>
      </c>
      <c r="AW256" s="4">
        <v>96379027</v>
      </c>
      <c r="AX256" s="4">
        <v>9873849</v>
      </c>
      <c r="AY256" s="4">
        <v>18473573</v>
      </c>
      <c r="AZ256" s="4">
        <v>119247196</v>
      </c>
      <c r="BA256" s="4">
        <v>155730090</v>
      </c>
      <c r="BB256" s="3">
        <v>44876</v>
      </c>
      <c r="BC256" s="4">
        <v>718968</v>
      </c>
    </row>
    <row r="257" spans="22:55" hidden="1">
      <c r="V257" s="3">
        <v>44860</v>
      </c>
      <c r="W257" s="4">
        <v>600311</v>
      </c>
      <c r="X257" s="4">
        <v>-496989</v>
      </c>
      <c r="Y257" s="4">
        <v>-107839</v>
      </c>
      <c r="Z257" s="4">
        <v>32029</v>
      </c>
      <c r="AA257" s="4">
        <v>-58765</v>
      </c>
      <c r="AB257" s="4">
        <v>80277</v>
      </c>
      <c r="AC257" s="4">
        <v>-26270</v>
      </c>
      <c r="AD257" s="4">
        <v>-9624</v>
      </c>
      <c r="AE257" s="4">
        <v>15732</v>
      </c>
      <c r="AF257" s="4">
        <v>36533</v>
      </c>
      <c r="AG257" s="4">
        <v>-66568</v>
      </c>
      <c r="AH257" s="4">
        <v>45559</v>
      </c>
      <c r="AI257" s="4">
        <v>10131</v>
      </c>
      <c r="AJ257" s="4">
        <v>-5918</v>
      </c>
      <c r="AK257" s="4">
        <v>-4395</v>
      </c>
      <c r="AL257" s="4">
        <v>2568</v>
      </c>
      <c r="AN257" s="3">
        <v>44879</v>
      </c>
      <c r="AO257" s="4">
        <v>3.97</v>
      </c>
      <c r="AP257" s="4">
        <v>3.85</v>
      </c>
      <c r="AQ257" s="4">
        <v>5.42</v>
      </c>
      <c r="AR257" s="4">
        <v>11.266999999999999</v>
      </c>
      <c r="AS257" s="4">
        <f t="shared" si="19"/>
        <v>1.5699999999999998</v>
      </c>
      <c r="AT257" s="3">
        <v>44875</v>
      </c>
      <c r="AU257" s="4">
        <v>493589</v>
      </c>
      <c r="AV257" s="3">
        <v>44879</v>
      </c>
      <c r="AW257" s="4">
        <v>96407706</v>
      </c>
      <c r="AX257" s="4">
        <v>9875602</v>
      </c>
      <c r="AY257" s="4">
        <v>18508964</v>
      </c>
      <c r="AZ257" s="4">
        <v>119349403</v>
      </c>
      <c r="BA257" s="4">
        <v>152294096</v>
      </c>
      <c r="BB257" s="3">
        <v>44875</v>
      </c>
      <c r="BC257" s="4">
        <v>722873</v>
      </c>
    </row>
    <row r="258" spans="22:55" hidden="1">
      <c r="V258" s="3">
        <v>44859</v>
      </c>
      <c r="W258" s="4">
        <v>73094</v>
      </c>
      <c r="X258" s="4">
        <v>-134208</v>
      </c>
      <c r="Y258" s="4">
        <v>65733</v>
      </c>
      <c r="Z258" s="4">
        <v>13627</v>
      </c>
      <c r="AA258" s="4">
        <v>-92491</v>
      </c>
      <c r="AB258" s="4">
        <v>66267</v>
      </c>
      <c r="AC258" s="4">
        <v>21017</v>
      </c>
      <c r="AD258" s="4">
        <v>11878</v>
      </c>
      <c r="AE258" s="4">
        <v>-12071</v>
      </c>
      <c r="AF258" s="4">
        <v>-15257</v>
      </c>
      <c r="AG258" s="4">
        <v>5942</v>
      </c>
      <c r="AH258" s="4">
        <v>-78760</v>
      </c>
      <c r="AI258" s="4">
        <v>-684</v>
      </c>
      <c r="AJ258" s="4">
        <v>1911</v>
      </c>
      <c r="AK258" s="4">
        <v>-1080</v>
      </c>
      <c r="AL258" s="4">
        <v>-150</v>
      </c>
      <c r="AN258" s="3">
        <v>44876</v>
      </c>
      <c r="AO258" s="4">
        <v>3.97</v>
      </c>
      <c r="AP258" s="4">
        <v>3.8340000000000001</v>
      </c>
      <c r="AQ258" s="4">
        <v>5.3609999999999998</v>
      </c>
      <c r="AR258" s="4">
        <v>11.208</v>
      </c>
      <c r="AS258" s="4">
        <f t="shared" si="19"/>
        <v>1.5269999999999997</v>
      </c>
      <c r="AT258" s="3">
        <v>44874</v>
      </c>
      <c r="AU258" s="4">
        <v>475354</v>
      </c>
      <c r="AV258" s="3">
        <v>44876</v>
      </c>
      <c r="AW258" s="4">
        <v>96302401</v>
      </c>
      <c r="AX258" s="4">
        <v>9886355</v>
      </c>
      <c r="AY258" s="4">
        <v>18565192</v>
      </c>
      <c r="AZ258" s="4">
        <v>119462112</v>
      </c>
      <c r="BA258" s="4">
        <v>151578509</v>
      </c>
      <c r="BB258" s="3">
        <v>44874</v>
      </c>
      <c r="BC258" s="4">
        <v>719234</v>
      </c>
    </row>
    <row r="259" spans="22:55" hidden="1">
      <c r="V259" s="3">
        <v>44858</v>
      </c>
      <c r="W259" s="4">
        <v>145260</v>
      </c>
      <c r="X259" s="4">
        <v>-482270</v>
      </c>
      <c r="Y259" s="4">
        <v>321632</v>
      </c>
      <c r="Z259" s="4">
        <v>26248</v>
      </c>
      <c r="AA259" s="4">
        <v>115222</v>
      </c>
      <c r="AB259" s="4">
        <v>-316459</v>
      </c>
      <c r="AC259" s="4">
        <v>198818</v>
      </c>
      <c r="AD259" s="4">
        <v>14727</v>
      </c>
      <c r="AE259" s="4">
        <v>9775</v>
      </c>
      <c r="AF259" s="4">
        <v>-29085</v>
      </c>
      <c r="AG259" s="4">
        <v>20731</v>
      </c>
      <c r="AH259" s="4">
        <v>-87020</v>
      </c>
      <c r="AI259" s="4">
        <v>-2194</v>
      </c>
      <c r="AJ259" s="4">
        <v>28</v>
      </c>
      <c r="AK259" s="4">
        <v>2332</v>
      </c>
      <c r="AL259" s="4">
        <v>2031</v>
      </c>
      <c r="AN259" s="3">
        <v>44875</v>
      </c>
      <c r="AO259" s="4">
        <v>3.97</v>
      </c>
      <c r="AP259" s="4">
        <v>4.0330000000000004</v>
      </c>
      <c r="AQ259" s="4">
        <v>5.5510000000000002</v>
      </c>
      <c r="AR259" s="4">
        <v>11.401999999999999</v>
      </c>
      <c r="AS259" s="4">
        <f t="shared" si="19"/>
        <v>1.5179999999999998</v>
      </c>
      <c r="AT259" s="3">
        <v>44873</v>
      </c>
      <c r="AU259" s="4">
        <v>469386</v>
      </c>
      <c r="AV259" s="3">
        <v>44875</v>
      </c>
      <c r="AW259" s="4">
        <v>94873295</v>
      </c>
      <c r="AX259" s="4">
        <v>9886666</v>
      </c>
      <c r="AY259" s="4">
        <v>18582585</v>
      </c>
      <c r="AZ259" s="4">
        <v>119371445</v>
      </c>
      <c r="BA259" s="4">
        <v>150131182</v>
      </c>
      <c r="BB259" s="3">
        <v>44873</v>
      </c>
      <c r="BC259" s="4">
        <v>718684</v>
      </c>
    </row>
    <row r="260" spans="22:55" hidden="1">
      <c r="V260" s="3">
        <v>44855</v>
      </c>
      <c r="W260" s="4">
        <v>32611</v>
      </c>
      <c r="X260" s="4">
        <v>-69529</v>
      </c>
      <c r="Y260" s="4">
        <v>8884</v>
      </c>
      <c r="Z260" s="4">
        <v>-48342</v>
      </c>
      <c r="AA260" s="4">
        <v>-41385</v>
      </c>
      <c r="AB260" s="4">
        <v>82758</v>
      </c>
      <c r="AC260" s="4">
        <v>-28466</v>
      </c>
      <c r="AD260" s="4">
        <v>3625</v>
      </c>
      <c r="AE260" s="4">
        <v>14056</v>
      </c>
      <c r="AF260" s="4">
        <v>93926</v>
      </c>
      <c r="AG260" s="4">
        <v>-112472</v>
      </c>
      <c r="AH260" s="4">
        <v>81319</v>
      </c>
      <c r="AI260" s="4">
        <v>6249</v>
      </c>
      <c r="AJ260" s="4">
        <v>-1090</v>
      </c>
      <c r="AK260" s="4">
        <v>-5050</v>
      </c>
      <c r="AL260" s="4">
        <v>1883</v>
      </c>
      <c r="AN260" s="3">
        <v>44874</v>
      </c>
      <c r="AO260" s="4">
        <v>3.97</v>
      </c>
      <c r="AP260" s="4">
        <v>4.0860000000000003</v>
      </c>
      <c r="AQ260" s="4">
        <v>5.5940000000000003</v>
      </c>
      <c r="AR260" s="4">
        <v>11.442</v>
      </c>
      <c r="AS260" s="4">
        <f t="shared" si="19"/>
        <v>1.508</v>
      </c>
      <c r="AT260" s="3">
        <v>44872</v>
      </c>
      <c r="AU260" s="4">
        <v>474560</v>
      </c>
      <c r="AV260" s="3">
        <v>44874</v>
      </c>
      <c r="AW260" s="4">
        <v>95315707</v>
      </c>
      <c r="AX260" s="4">
        <v>9888625</v>
      </c>
      <c r="AY260" s="4">
        <v>18602476</v>
      </c>
      <c r="AZ260" s="4">
        <v>119397253</v>
      </c>
      <c r="BA260" s="4">
        <v>157866474</v>
      </c>
      <c r="BB260" s="3">
        <v>44872</v>
      </c>
      <c r="BC260" s="4">
        <v>722933</v>
      </c>
    </row>
    <row r="261" spans="22:55" hidden="1">
      <c r="V261" s="3">
        <v>44854</v>
      </c>
      <c r="W261" s="4">
        <v>-23228</v>
      </c>
      <c r="X261" s="4">
        <v>399926</v>
      </c>
      <c r="Y261" s="4">
        <v>-409447</v>
      </c>
      <c r="Z261" s="4">
        <v>-42665</v>
      </c>
      <c r="AA261" s="4">
        <v>-144678</v>
      </c>
      <c r="AB261" s="4">
        <v>306654</v>
      </c>
      <c r="AC261" s="4">
        <v>-172229</v>
      </c>
      <c r="AD261" s="4">
        <v>-23858</v>
      </c>
      <c r="AE261" s="4">
        <v>-54093</v>
      </c>
      <c r="AF261" s="4">
        <v>24319</v>
      </c>
      <c r="AG261" s="4">
        <v>21249</v>
      </c>
      <c r="AH261" s="4">
        <v>104711</v>
      </c>
      <c r="AI261" s="4">
        <v>11</v>
      </c>
      <c r="AJ261" s="4">
        <v>715</v>
      </c>
      <c r="AK261" s="4">
        <v>-529</v>
      </c>
      <c r="AL261" s="4">
        <v>-1688</v>
      </c>
      <c r="AN261" s="3">
        <v>44873</v>
      </c>
      <c r="AO261" s="4">
        <v>3.97</v>
      </c>
      <c r="AP261" s="4">
        <v>4.1559999999999997</v>
      </c>
      <c r="AQ261" s="4">
        <v>5.6420000000000003</v>
      </c>
      <c r="AR261" s="4">
        <v>11.493</v>
      </c>
      <c r="AS261" s="4">
        <f t="shared" ref="AS261:AS324" si="20">AQ261-AP261</f>
        <v>1.4860000000000007</v>
      </c>
      <c r="AT261" s="3">
        <v>44869</v>
      </c>
      <c r="AU261" s="4">
        <v>483225</v>
      </c>
      <c r="AV261" s="3">
        <v>44873</v>
      </c>
      <c r="AW261" s="4">
        <v>94981928</v>
      </c>
      <c r="AX261" s="4">
        <v>9890096</v>
      </c>
      <c r="AY261" s="4">
        <v>18631494</v>
      </c>
      <c r="AZ261" s="4">
        <v>120106979</v>
      </c>
      <c r="BA261" s="4">
        <v>159101733</v>
      </c>
      <c r="BB261" s="3">
        <v>44869</v>
      </c>
      <c r="BC261" s="4">
        <v>726046</v>
      </c>
    </row>
    <row r="262" spans="22:55" hidden="1">
      <c r="V262" s="3">
        <v>44853</v>
      </c>
      <c r="W262" s="4">
        <v>149681</v>
      </c>
      <c r="X262" s="4">
        <v>-91144</v>
      </c>
      <c r="Y262" s="4">
        <v>-82377</v>
      </c>
      <c r="Z262" s="4">
        <v>48558</v>
      </c>
      <c r="AA262" s="4">
        <v>50674</v>
      </c>
      <c r="AB262" s="4">
        <v>-9992</v>
      </c>
      <c r="AC262" s="4">
        <v>-39344</v>
      </c>
      <c r="AD262" s="4">
        <v>17346</v>
      </c>
      <c r="AE262" s="4">
        <v>-38183</v>
      </c>
      <c r="AF262" s="4">
        <v>13677</v>
      </c>
      <c r="AG262" s="4">
        <v>21234</v>
      </c>
      <c r="AH262" s="4">
        <v>-75205</v>
      </c>
      <c r="AI262" s="4">
        <v>-1926</v>
      </c>
      <c r="AJ262" s="4">
        <v>1671</v>
      </c>
      <c r="AK262" s="4">
        <v>149</v>
      </c>
      <c r="AL262" s="4">
        <v>-3780</v>
      </c>
      <c r="AN262" s="3">
        <v>44872</v>
      </c>
      <c r="AO262" s="4">
        <v>3.97</v>
      </c>
      <c r="AP262" s="4">
        <v>4.1859999999999999</v>
      </c>
      <c r="AQ262" s="4">
        <v>5.6619999999999999</v>
      </c>
      <c r="AR262" s="4">
        <v>11.510999999999999</v>
      </c>
      <c r="AS262" s="4">
        <f t="shared" si="20"/>
        <v>1.476</v>
      </c>
      <c r="AT262" s="3">
        <v>44868</v>
      </c>
      <c r="AU262" s="4">
        <v>488176</v>
      </c>
      <c r="AV262" s="3">
        <v>44872</v>
      </c>
      <c r="AW262" s="4">
        <v>94584276</v>
      </c>
      <c r="AX262" s="4">
        <v>9893259</v>
      </c>
      <c r="AY262" s="4">
        <v>18669495</v>
      </c>
      <c r="AZ262" s="4">
        <v>120370968</v>
      </c>
      <c r="BA262" s="4">
        <v>158324806</v>
      </c>
      <c r="BB262" s="3">
        <v>44868</v>
      </c>
      <c r="BC262" s="4">
        <v>727725</v>
      </c>
    </row>
    <row r="263" spans="22:55" hidden="1">
      <c r="V263" s="3">
        <v>44852</v>
      </c>
      <c r="W263" s="4">
        <v>78069</v>
      </c>
      <c r="X263" s="4">
        <v>-227883</v>
      </c>
      <c r="Y263" s="4">
        <v>154636</v>
      </c>
      <c r="Z263" s="4">
        <v>20154</v>
      </c>
      <c r="AA263" s="4">
        <v>-76310</v>
      </c>
      <c r="AB263" s="4">
        <v>29584</v>
      </c>
      <c r="AC263" s="4">
        <v>33841</v>
      </c>
      <c r="AD263" s="4">
        <v>3914</v>
      </c>
      <c r="AE263" s="4">
        <v>72250</v>
      </c>
      <c r="AF263" s="4">
        <v>-92724</v>
      </c>
      <c r="AG263" s="4">
        <v>19405</v>
      </c>
      <c r="AH263" s="4">
        <v>68861</v>
      </c>
      <c r="AI263" s="4">
        <v>-5727</v>
      </c>
      <c r="AJ263" s="4">
        <v>631</v>
      </c>
      <c r="AK263" s="4">
        <v>5019</v>
      </c>
      <c r="AL263" s="4">
        <v>4830</v>
      </c>
      <c r="AN263" s="3">
        <v>44869</v>
      </c>
      <c r="AO263" s="4">
        <v>3.97</v>
      </c>
      <c r="AP263" s="4">
        <v>4.1180000000000003</v>
      </c>
      <c r="AQ263" s="4">
        <v>5.5910000000000002</v>
      </c>
      <c r="AR263" s="4">
        <v>11.438000000000001</v>
      </c>
      <c r="AS263" s="4">
        <f t="shared" si="20"/>
        <v>1.4729999999999999</v>
      </c>
      <c r="AT263" s="3">
        <v>44867</v>
      </c>
      <c r="AU263" s="4">
        <v>500036</v>
      </c>
      <c r="AV263" s="3">
        <v>44869</v>
      </c>
      <c r="AW263" s="4">
        <v>94315403</v>
      </c>
      <c r="AX263" s="4">
        <v>9897652</v>
      </c>
      <c r="AY263" s="4">
        <v>18695813</v>
      </c>
      <c r="AZ263" s="4">
        <v>120355437</v>
      </c>
      <c r="BA263" s="4">
        <v>157608019</v>
      </c>
      <c r="BB263" s="3">
        <v>44867</v>
      </c>
      <c r="BC263" s="4">
        <v>728036</v>
      </c>
    </row>
    <row r="264" spans="22:55" hidden="1">
      <c r="V264" s="3">
        <v>44851</v>
      </c>
      <c r="W264" s="4">
        <v>262091</v>
      </c>
      <c r="X264" s="4">
        <v>54532</v>
      </c>
      <c r="Y264" s="4">
        <v>-317273</v>
      </c>
      <c r="Z264" s="4">
        <v>-12307</v>
      </c>
      <c r="AA264" s="4">
        <v>17675</v>
      </c>
      <c r="AB264" s="4">
        <v>40836</v>
      </c>
      <c r="AC264" s="4">
        <v>-52630</v>
      </c>
      <c r="AD264" s="4">
        <v>9023</v>
      </c>
      <c r="AE264" s="4">
        <v>-235193</v>
      </c>
      <c r="AF264" s="4">
        <v>70289</v>
      </c>
      <c r="AG264" s="4">
        <v>156600</v>
      </c>
      <c r="AH264" s="4">
        <v>-99580</v>
      </c>
      <c r="AI264" s="4">
        <v>2397</v>
      </c>
      <c r="AJ264" s="4">
        <v>937</v>
      </c>
      <c r="AK264" s="4">
        <v>-2997</v>
      </c>
      <c r="AL264" s="4">
        <v>-3732</v>
      </c>
      <c r="AN264" s="3">
        <v>44868</v>
      </c>
      <c r="AO264" s="4">
        <v>3.97</v>
      </c>
      <c r="AP264" s="4">
        <v>4.1580000000000004</v>
      </c>
      <c r="AQ264" s="4">
        <v>5.6159999999999997</v>
      </c>
      <c r="AR264" s="4">
        <v>11.461</v>
      </c>
      <c r="AS264" s="4">
        <f t="shared" si="20"/>
        <v>1.4579999999999993</v>
      </c>
      <c r="AT264" s="3">
        <v>44866</v>
      </c>
      <c r="AU264" s="4">
        <v>498469</v>
      </c>
      <c r="AV264" s="3">
        <v>44868</v>
      </c>
      <c r="AW264" s="4">
        <v>94448764</v>
      </c>
      <c r="AX264" s="4">
        <v>9899580</v>
      </c>
      <c r="AY264" s="4">
        <v>18706634</v>
      </c>
      <c r="AZ264" s="4">
        <v>120619330</v>
      </c>
      <c r="BA264" s="4">
        <v>158237032</v>
      </c>
      <c r="BB264" s="3">
        <v>44866</v>
      </c>
      <c r="BC264" s="4">
        <v>724824</v>
      </c>
    </row>
    <row r="265" spans="22:55" hidden="1">
      <c r="V265" s="3">
        <v>44848</v>
      </c>
      <c r="W265" s="4">
        <v>261830</v>
      </c>
      <c r="X265" s="4">
        <v>-622880</v>
      </c>
      <c r="Y265" s="4">
        <v>363115</v>
      </c>
      <c r="Z265" s="4">
        <v>36761</v>
      </c>
      <c r="AA265" s="4">
        <v>184777</v>
      </c>
      <c r="AB265" s="4">
        <v>-340492</v>
      </c>
      <c r="AC265" s="4">
        <v>144993</v>
      </c>
      <c r="AD265" s="4">
        <v>19419</v>
      </c>
      <c r="AE265" s="4">
        <v>44053</v>
      </c>
      <c r="AF265" s="4">
        <v>2880</v>
      </c>
      <c r="AG265" s="4">
        <v>-53812</v>
      </c>
      <c r="AH265" s="4">
        <v>-75553</v>
      </c>
      <c r="AI265" s="4">
        <v>4016</v>
      </c>
      <c r="AJ265" s="4">
        <v>-6653</v>
      </c>
      <c r="AK265" s="4">
        <v>3052</v>
      </c>
      <c r="AL265" s="4">
        <v>11433</v>
      </c>
      <c r="AN265" s="3">
        <v>44867</v>
      </c>
      <c r="AO265" s="4">
        <v>3.97</v>
      </c>
      <c r="AP265" s="4">
        <v>4.0949999999999998</v>
      </c>
      <c r="AQ265" s="4">
        <v>5.5330000000000004</v>
      </c>
      <c r="AR265" s="4">
        <v>11.378</v>
      </c>
      <c r="AS265" s="4">
        <f t="shared" si="20"/>
        <v>1.4380000000000006</v>
      </c>
      <c r="AT265" s="3">
        <v>44865</v>
      </c>
      <c r="AU265" s="4">
        <v>486191</v>
      </c>
      <c r="AV265" s="3">
        <v>44867</v>
      </c>
      <c r="AW265" s="4">
        <v>94858510</v>
      </c>
      <c r="AX265" s="4">
        <v>9890869</v>
      </c>
      <c r="AY265" s="4">
        <v>18732019</v>
      </c>
      <c r="AZ265" s="4">
        <v>120780954</v>
      </c>
      <c r="BA265" s="4">
        <v>153642646</v>
      </c>
      <c r="BB265" s="3">
        <v>44865</v>
      </c>
      <c r="BC265" s="4">
        <v>726697</v>
      </c>
    </row>
    <row r="266" spans="22:55" hidden="1">
      <c r="V266" s="3">
        <v>44847</v>
      </c>
      <c r="W266" s="4">
        <v>201244</v>
      </c>
      <c r="X266" s="4">
        <v>72025</v>
      </c>
      <c r="Y266" s="4">
        <v>-299358</v>
      </c>
      <c r="Z266" s="4">
        <v>-65748</v>
      </c>
      <c r="AA266" s="4">
        <v>-41601</v>
      </c>
      <c r="AB266" s="4">
        <v>25929</v>
      </c>
      <c r="AC266" s="4">
        <v>-3609</v>
      </c>
      <c r="AD266" s="4">
        <v>14741</v>
      </c>
      <c r="AE266" s="4">
        <v>-4850</v>
      </c>
      <c r="AF266" s="4">
        <v>33579</v>
      </c>
      <c r="AG266" s="4">
        <v>-33856</v>
      </c>
      <c r="AH266" s="4">
        <v>-51172</v>
      </c>
      <c r="AI266" s="4">
        <v>-16495</v>
      </c>
      <c r="AJ266" s="4">
        <v>8521</v>
      </c>
      <c r="AK266" s="4">
        <v>5802</v>
      </c>
      <c r="AL266" s="4">
        <v>-6529</v>
      </c>
      <c r="AN266" s="3">
        <v>44866</v>
      </c>
      <c r="AO266" s="4">
        <v>3.97</v>
      </c>
      <c r="AP266" s="4">
        <v>4.0679999999999996</v>
      </c>
      <c r="AQ266" s="4">
        <v>5.4859999999999998</v>
      </c>
      <c r="AR266" s="4">
        <v>11.332000000000001</v>
      </c>
      <c r="AS266" s="4">
        <f t="shared" si="20"/>
        <v>1.4180000000000001</v>
      </c>
      <c r="AT266" s="3">
        <v>44862</v>
      </c>
      <c r="AU266" s="4">
        <v>476727</v>
      </c>
      <c r="AV266" s="3">
        <v>44866</v>
      </c>
      <c r="AW266" s="4">
        <v>95216177</v>
      </c>
      <c r="AX266" s="4">
        <v>9894162</v>
      </c>
      <c r="AY266" s="4">
        <v>18742110</v>
      </c>
      <c r="AZ266" s="4">
        <v>120760451</v>
      </c>
      <c r="BA266" s="4">
        <v>148697276</v>
      </c>
      <c r="BB266" s="3">
        <v>44862</v>
      </c>
      <c r="BC266" s="4">
        <v>735913</v>
      </c>
    </row>
    <row r="267" spans="22:55" hidden="1">
      <c r="V267" s="3">
        <v>44846</v>
      </c>
      <c r="W267" s="4">
        <v>237961</v>
      </c>
      <c r="X267" s="4">
        <v>-145973</v>
      </c>
      <c r="Y267" s="4">
        <v>-104998</v>
      </c>
      <c r="Z267" s="4">
        <v>30528</v>
      </c>
      <c r="AA267" s="4">
        <v>-79634</v>
      </c>
      <c r="AB267" s="4">
        <v>8565</v>
      </c>
      <c r="AC267" s="4">
        <v>59605</v>
      </c>
      <c r="AD267" s="4">
        <v>4490</v>
      </c>
      <c r="AE267" s="4">
        <v>-48460</v>
      </c>
      <c r="AF267" s="4">
        <v>49963</v>
      </c>
      <c r="AG267" s="4">
        <v>-3534</v>
      </c>
      <c r="AH267" s="4">
        <v>-21272</v>
      </c>
      <c r="AI267" s="4">
        <v>-2074</v>
      </c>
      <c r="AJ267" s="4">
        <v>-1599</v>
      </c>
      <c r="AK267" s="4">
        <v>3722</v>
      </c>
      <c r="AL267" s="4">
        <v>3482</v>
      </c>
      <c r="AN267" s="3">
        <v>44865</v>
      </c>
      <c r="AO267" s="4">
        <v>3.96</v>
      </c>
      <c r="AP267" s="4">
        <v>4.1849999999999996</v>
      </c>
      <c r="AQ267" s="4">
        <v>5.58</v>
      </c>
      <c r="AR267" s="4">
        <v>11.423999999999999</v>
      </c>
      <c r="AS267" s="4">
        <f t="shared" si="20"/>
        <v>1.3950000000000005</v>
      </c>
      <c r="AT267" s="3">
        <v>44861</v>
      </c>
      <c r="AU267" s="4">
        <v>509418</v>
      </c>
      <c r="AV267" s="3">
        <v>44865</v>
      </c>
      <c r="AW267" s="4">
        <v>94888928</v>
      </c>
      <c r="AX267" s="4">
        <v>9897968</v>
      </c>
      <c r="AY267" s="4">
        <v>18767935</v>
      </c>
      <c r="AZ267" s="4">
        <v>120913567</v>
      </c>
      <c r="BA267" s="4">
        <v>148507724</v>
      </c>
      <c r="BB267" s="3">
        <v>44861</v>
      </c>
      <c r="BC267" s="4">
        <v>727182</v>
      </c>
    </row>
    <row r="268" spans="22:55" hidden="1">
      <c r="V268" s="3">
        <v>44845</v>
      </c>
      <c r="W268" s="4">
        <v>196594</v>
      </c>
      <c r="X268" s="4">
        <v>108596</v>
      </c>
      <c r="Y268" s="4">
        <v>-309715</v>
      </c>
      <c r="Z268" s="4">
        <v>-38435</v>
      </c>
      <c r="AA268" s="4">
        <v>-62101</v>
      </c>
      <c r="AB268" s="4">
        <v>138696</v>
      </c>
      <c r="AC268" s="4">
        <v>-75387</v>
      </c>
      <c r="AD268" s="4">
        <v>1204</v>
      </c>
      <c r="AE268" s="4">
        <v>5414</v>
      </c>
      <c r="AF268" s="4">
        <v>66989</v>
      </c>
      <c r="AG268" s="4">
        <v>-71053</v>
      </c>
      <c r="AH268" s="4">
        <v>164486</v>
      </c>
      <c r="AI268" s="4">
        <v>3708</v>
      </c>
      <c r="AJ268" s="4">
        <v>-1422</v>
      </c>
      <c r="AK268" s="4">
        <v>-1524</v>
      </c>
      <c r="AL268" s="4">
        <v>-5572</v>
      </c>
      <c r="AN268" s="3">
        <v>44862</v>
      </c>
      <c r="AO268" s="4">
        <v>3.95</v>
      </c>
      <c r="AP268" s="4">
        <v>4.1120000000000001</v>
      </c>
      <c r="AQ268" s="4">
        <v>5.4870000000000001</v>
      </c>
      <c r="AR268" s="4">
        <v>11.337</v>
      </c>
      <c r="AS268" s="4">
        <f t="shared" si="20"/>
        <v>1.375</v>
      </c>
      <c r="AT268" s="3">
        <v>44860</v>
      </c>
      <c r="AU268" s="4">
        <v>484651</v>
      </c>
      <c r="AV268" s="3">
        <v>44862</v>
      </c>
      <c r="AW268" s="4">
        <v>94298101</v>
      </c>
      <c r="AX268" s="4">
        <v>9897538</v>
      </c>
      <c r="AY268" s="4">
        <v>18812290</v>
      </c>
      <c r="AZ268" s="4">
        <v>121622362</v>
      </c>
      <c r="BA268" s="4">
        <v>151644508</v>
      </c>
      <c r="BB268" s="3">
        <v>44860</v>
      </c>
      <c r="BC268" s="4">
        <v>733437</v>
      </c>
    </row>
    <row r="269" spans="22:55" hidden="1">
      <c r="V269" s="3">
        <v>44841</v>
      </c>
      <c r="W269" s="4">
        <v>100475</v>
      </c>
      <c r="X269" s="4">
        <v>45833</v>
      </c>
      <c r="Y269" s="4">
        <v>-153821</v>
      </c>
      <c r="Z269" s="4">
        <v>-13466</v>
      </c>
      <c r="AA269" s="4">
        <v>-138350</v>
      </c>
      <c r="AB269" s="4">
        <v>212336</v>
      </c>
      <c r="AC269" s="4">
        <v>-78303</v>
      </c>
      <c r="AD269" s="4">
        <v>8432</v>
      </c>
      <c r="AE269" s="4">
        <v>22794</v>
      </c>
      <c r="AF269" s="4">
        <v>77936</v>
      </c>
      <c r="AG269" s="4">
        <v>-109819</v>
      </c>
      <c r="AH269" s="4">
        <v>-159402</v>
      </c>
      <c r="AI269" s="4">
        <v>3359</v>
      </c>
      <c r="AJ269" s="4">
        <v>873</v>
      </c>
      <c r="AK269" s="4">
        <v>-4319</v>
      </c>
      <c r="AL269" s="4">
        <v>-4639</v>
      </c>
      <c r="AN269" s="3">
        <v>44861</v>
      </c>
      <c r="AO269" s="4">
        <v>3.94</v>
      </c>
      <c r="AP269" s="4">
        <v>4.2539999999999996</v>
      </c>
      <c r="AQ269" s="4">
        <v>5.62</v>
      </c>
      <c r="AR269" s="4">
        <v>11.465999999999999</v>
      </c>
      <c r="AS269" s="4">
        <f t="shared" si="20"/>
        <v>1.3660000000000005</v>
      </c>
      <c r="AT269" s="3">
        <v>44859</v>
      </c>
      <c r="AU269" s="4">
        <v>476967</v>
      </c>
      <c r="AV269" s="3">
        <v>44861</v>
      </c>
      <c r="AW269" s="4">
        <v>94711111</v>
      </c>
      <c r="AX269" s="4">
        <v>9898384</v>
      </c>
      <c r="AY269" s="4">
        <v>18827029</v>
      </c>
      <c r="AZ269" s="4">
        <v>122504827</v>
      </c>
      <c r="BA269" s="4">
        <v>147733613</v>
      </c>
      <c r="BB269" s="3">
        <v>44859</v>
      </c>
      <c r="BC269" s="4">
        <v>735520</v>
      </c>
    </row>
    <row r="270" spans="22:55" hidden="1">
      <c r="V270" s="3">
        <v>44840</v>
      </c>
      <c r="W270" s="4">
        <v>252399</v>
      </c>
      <c r="X270" s="4">
        <v>-185538</v>
      </c>
      <c r="Y270" s="4">
        <v>-74014</v>
      </c>
      <c r="Z270" s="4">
        <v>-2520</v>
      </c>
      <c r="AA270" s="4">
        <v>133768</v>
      </c>
      <c r="AB270" s="4">
        <v>-242949</v>
      </c>
      <c r="AC270" s="4">
        <v>113182</v>
      </c>
      <c r="AD270" s="4">
        <v>28534</v>
      </c>
      <c r="AE270" s="4">
        <v>42963</v>
      </c>
      <c r="AF270" s="4">
        <v>-63917</v>
      </c>
      <c r="AG270" s="4">
        <v>-22592</v>
      </c>
      <c r="AH270" s="4">
        <v>88028</v>
      </c>
      <c r="AI270" s="4">
        <v>-1072</v>
      </c>
      <c r="AJ270" s="4">
        <v>201</v>
      </c>
      <c r="AK270" s="4">
        <v>564</v>
      </c>
      <c r="AL270" s="4">
        <v>2284</v>
      </c>
      <c r="AN270" s="3">
        <v>44860</v>
      </c>
      <c r="AO270" s="4">
        <v>3.94</v>
      </c>
      <c r="AP270" s="4">
        <v>4.2080000000000002</v>
      </c>
      <c r="AQ270" s="4">
        <v>5.5529999999999999</v>
      </c>
      <c r="AR270" s="4">
        <v>11.404</v>
      </c>
      <c r="AS270" s="4">
        <f t="shared" si="20"/>
        <v>1.3449999999999998</v>
      </c>
      <c r="AT270" s="3">
        <v>44858</v>
      </c>
      <c r="AU270" s="4">
        <v>482913</v>
      </c>
      <c r="AV270" s="3">
        <v>44860</v>
      </c>
      <c r="AW270" s="4">
        <v>94320703</v>
      </c>
      <c r="AX270" s="4">
        <v>9899543</v>
      </c>
      <c r="AY270" s="4">
        <v>18847088</v>
      </c>
      <c r="AZ270" s="4">
        <v>122936401</v>
      </c>
      <c r="BA270" s="4">
        <v>147170476</v>
      </c>
      <c r="BB270" s="3">
        <v>44858</v>
      </c>
      <c r="BC270" s="4">
        <v>746101</v>
      </c>
    </row>
    <row r="271" spans="22:55" hidden="1">
      <c r="V271" s="3">
        <v>44839</v>
      </c>
      <c r="W271" s="4">
        <v>78367</v>
      </c>
      <c r="X271" s="4">
        <v>453068</v>
      </c>
      <c r="Y271" s="4">
        <v>-551070</v>
      </c>
      <c r="Z271" s="4">
        <v>10495</v>
      </c>
      <c r="AA271" s="4">
        <v>-266581</v>
      </c>
      <c r="AB271" s="4">
        <v>323898</v>
      </c>
      <c r="AC271" s="4">
        <v>-56500</v>
      </c>
      <c r="AD271" s="4">
        <v>5765</v>
      </c>
      <c r="AE271" s="4">
        <v>-13653</v>
      </c>
      <c r="AF271" s="4">
        <v>33135</v>
      </c>
      <c r="AG271" s="4">
        <v>-18182</v>
      </c>
      <c r="AH271" s="4">
        <v>-71846</v>
      </c>
      <c r="AI271" s="4">
        <v>-17953</v>
      </c>
      <c r="AJ271" s="4">
        <v>5002</v>
      </c>
      <c r="AK271" s="4">
        <v>11244</v>
      </c>
      <c r="AL271" s="4">
        <v>842</v>
      </c>
      <c r="AN271" s="3">
        <v>44859</v>
      </c>
      <c r="AO271" s="4">
        <v>3.93</v>
      </c>
      <c r="AP271" s="4">
        <v>4.2210000000000001</v>
      </c>
      <c r="AQ271" s="4">
        <v>5.5279999999999996</v>
      </c>
      <c r="AR271" s="4">
        <v>11.382</v>
      </c>
      <c r="AS271" s="4">
        <f t="shared" si="20"/>
        <v>1.3069999999999995</v>
      </c>
      <c r="AT271" s="3">
        <v>44855</v>
      </c>
      <c r="AU271" s="4">
        <v>486638</v>
      </c>
      <c r="AV271" s="3">
        <v>44859</v>
      </c>
      <c r="AW271" s="4">
        <v>93834186</v>
      </c>
      <c r="AX271" s="4">
        <v>9902638</v>
      </c>
      <c r="AY271" s="4">
        <v>18900703</v>
      </c>
      <c r="AZ271" s="4">
        <v>123057650</v>
      </c>
      <c r="BA271" s="4">
        <v>146626791</v>
      </c>
      <c r="BB271" s="3">
        <v>44855</v>
      </c>
      <c r="BC271" s="4">
        <v>753899</v>
      </c>
    </row>
    <row r="272" spans="22:55" hidden="1">
      <c r="V272" s="3">
        <v>44838</v>
      </c>
      <c r="W272" s="4">
        <v>218198</v>
      </c>
      <c r="X272" s="4">
        <v>-204014</v>
      </c>
      <c r="Y272" s="4">
        <v>-17339</v>
      </c>
      <c r="Z272" s="4">
        <v>-8253</v>
      </c>
      <c r="AA272" s="4">
        <v>59956</v>
      </c>
      <c r="AB272" s="4">
        <v>-184921</v>
      </c>
      <c r="AC272" s="4">
        <v>132640</v>
      </c>
      <c r="AD272" s="4">
        <v>14392</v>
      </c>
      <c r="AE272" s="4">
        <v>7422</v>
      </c>
      <c r="AF272" s="4">
        <v>-31574</v>
      </c>
      <c r="AG272" s="4">
        <v>29321</v>
      </c>
      <c r="AH272" s="4">
        <v>-33202</v>
      </c>
      <c r="AI272" s="4">
        <v>-1797</v>
      </c>
      <c r="AJ272" s="4">
        <v>-1665</v>
      </c>
      <c r="AK272" s="4">
        <v>3767</v>
      </c>
      <c r="AL272" s="4">
        <v>6552</v>
      </c>
      <c r="AN272" s="3">
        <v>44858</v>
      </c>
      <c r="AO272" s="4">
        <v>3.92</v>
      </c>
      <c r="AP272" s="4">
        <v>4.3049999999999997</v>
      </c>
      <c r="AQ272" s="4">
        <v>5.5919999999999996</v>
      </c>
      <c r="AR272" s="4">
        <v>11.446</v>
      </c>
      <c r="AS272" s="4">
        <f t="shared" si="20"/>
        <v>1.2869999999999999</v>
      </c>
      <c r="AT272" s="3">
        <v>44854</v>
      </c>
      <c r="AU272" s="4">
        <v>491588</v>
      </c>
      <c r="AV272" s="3">
        <v>44858</v>
      </c>
      <c r="AW272" s="4">
        <v>93793012</v>
      </c>
      <c r="AX272" s="4">
        <v>9907648</v>
      </c>
      <c r="AY272" s="4">
        <v>19014701</v>
      </c>
      <c r="AZ272" s="4">
        <v>122975462</v>
      </c>
      <c r="BA272" s="4">
        <v>146294373</v>
      </c>
      <c r="BB272" s="3">
        <v>44854</v>
      </c>
      <c r="BC272" s="4">
        <v>752036</v>
      </c>
    </row>
    <row r="273" spans="22:55" hidden="1">
      <c r="V273" s="3">
        <v>44834</v>
      </c>
      <c r="W273" s="4">
        <v>164684</v>
      </c>
      <c r="X273" s="4">
        <v>-281595</v>
      </c>
      <c r="Y273" s="4">
        <v>108188</v>
      </c>
      <c r="Z273" s="4">
        <v>58952</v>
      </c>
      <c r="AA273" s="4">
        <v>95721</v>
      </c>
      <c r="AB273" s="4">
        <v>-66323</v>
      </c>
      <c r="AC273" s="4">
        <v>-31897</v>
      </c>
      <c r="AD273" s="4">
        <v>-14340</v>
      </c>
      <c r="AE273" s="4">
        <v>21245</v>
      </c>
      <c r="AF273" s="4">
        <v>42238</v>
      </c>
      <c r="AG273" s="4">
        <v>-67926</v>
      </c>
      <c r="AH273" s="4">
        <v>-86838</v>
      </c>
      <c r="AI273" s="4">
        <v>3355</v>
      </c>
      <c r="AJ273" s="4">
        <v>3129</v>
      </c>
      <c r="AK273" s="4">
        <v>-6849</v>
      </c>
      <c r="AL273" s="4">
        <v>-4136</v>
      </c>
      <c r="AN273" s="3">
        <v>44855</v>
      </c>
      <c r="AO273" s="4">
        <v>3.9</v>
      </c>
      <c r="AP273" s="4">
        <v>4.4950000000000001</v>
      </c>
      <c r="AQ273" s="4">
        <v>5.7359999999999998</v>
      </c>
      <c r="AR273" s="4">
        <v>11.590999999999999</v>
      </c>
      <c r="AS273" s="4">
        <f t="shared" si="20"/>
        <v>1.2409999999999997</v>
      </c>
      <c r="AT273" s="3">
        <v>44853</v>
      </c>
      <c r="AU273" s="4">
        <v>487409</v>
      </c>
      <c r="AV273" s="3">
        <v>44855</v>
      </c>
      <c r="AW273" s="4">
        <v>93218371</v>
      </c>
      <c r="AX273" s="4">
        <v>9908710</v>
      </c>
      <c r="AY273" s="4">
        <v>19077538</v>
      </c>
      <c r="AZ273" s="4">
        <v>123049339</v>
      </c>
      <c r="BA273" s="4">
        <v>147254913</v>
      </c>
      <c r="BB273" s="3">
        <v>44853</v>
      </c>
      <c r="BC273" s="4">
        <v>748131</v>
      </c>
    </row>
    <row r="274" spans="22:55" hidden="1">
      <c r="V274" s="3">
        <v>44833</v>
      </c>
      <c r="W274" s="4">
        <v>219690</v>
      </c>
      <c r="X274" s="4">
        <v>-224238</v>
      </c>
      <c r="Y274" s="4">
        <v>-2246</v>
      </c>
      <c r="Z274" s="4">
        <v>20431</v>
      </c>
      <c r="AA274" s="4">
        <v>138118</v>
      </c>
      <c r="AB274" s="4">
        <v>-243379</v>
      </c>
      <c r="AC274" s="4">
        <v>107500</v>
      </c>
      <c r="AD274" s="4">
        <v>26070</v>
      </c>
      <c r="AE274" s="4">
        <v>-21258</v>
      </c>
      <c r="AF274" s="4">
        <v>32810</v>
      </c>
      <c r="AG274" s="4">
        <v>-11401</v>
      </c>
      <c r="AH274" s="4">
        <v>75847</v>
      </c>
      <c r="AI274" s="4">
        <v>7949</v>
      </c>
      <c r="AJ274" s="4">
        <v>-4381</v>
      </c>
      <c r="AK274" s="4">
        <v>-2820</v>
      </c>
      <c r="AL274" s="4">
        <v>3719</v>
      </c>
      <c r="AN274" s="3">
        <v>44854</v>
      </c>
      <c r="AO274" s="4">
        <v>3.85</v>
      </c>
      <c r="AP274" s="4">
        <v>4.3499999999999996</v>
      </c>
      <c r="AQ274" s="4">
        <v>5.5880000000000001</v>
      </c>
      <c r="AR274" s="4">
        <v>11.444000000000001</v>
      </c>
      <c r="AS274" s="4">
        <f t="shared" si="20"/>
        <v>1.2380000000000004</v>
      </c>
      <c r="AT274" s="3">
        <v>44852</v>
      </c>
      <c r="AU274" s="4">
        <v>490695</v>
      </c>
      <c r="AV274" s="3">
        <v>44854</v>
      </c>
      <c r="AW274" s="4">
        <v>93139122</v>
      </c>
      <c r="AX274" s="4">
        <v>9907178</v>
      </c>
      <c r="AY274" s="4">
        <v>19193748</v>
      </c>
      <c r="AZ274" s="4">
        <v>123363047</v>
      </c>
      <c r="BA274" s="4">
        <v>148290999</v>
      </c>
      <c r="BB274" s="3">
        <v>44852</v>
      </c>
      <c r="BC274" s="4">
        <v>748483</v>
      </c>
    </row>
    <row r="275" spans="22:55" hidden="1">
      <c r="V275" s="3">
        <v>44832</v>
      </c>
      <c r="W275" s="4">
        <v>-142097</v>
      </c>
      <c r="X275" s="4">
        <v>323641</v>
      </c>
      <c r="Y275" s="4">
        <v>-180888</v>
      </c>
      <c r="Z275" s="4">
        <v>4015</v>
      </c>
      <c r="AA275" s="4">
        <v>-132127</v>
      </c>
      <c r="AB275" s="4">
        <v>56528</v>
      </c>
      <c r="AC275" s="4">
        <v>73385</v>
      </c>
      <c r="AD275" s="4">
        <v>4730</v>
      </c>
      <c r="AE275" s="4">
        <v>14475</v>
      </c>
      <c r="AF275" s="4">
        <v>32137</v>
      </c>
      <c r="AG275" s="4">
        <v>-37467</v>
      </c>
      <c r="AH275" s="4">
        <v>35541</v>
      </c>
      <c r="AI275" s="4">
        <v>7040</v>
      </c>
      <c r="AJ275" s="4">
        <v>-875</v>
      </c>
      <c r="AK275" s="4">
        <v>-5526</v>
      </c>
      <c r="AL275" s="4">
        <v>-4679</v>
      </c>
      <c r="AN275" s="3">
        <v>44853</v>
      </c>
      <c r="AO275" s="4">
        <v>3.81</v>
      </c>
      <c r="AP275" s="4">
        <v>4.3310000000000004</v>
      </c>
      <c r="AQ275" s="4">
        <v>5.5330000000000004</v>
      </c>
      <c r="AR275" s="4">
        <v>11.388</v>
      </c>
      <c r="AS275" s="4">
        <f t="shared" si="20"/>
        <v>1.202</v>
      </c>
      <c r="AT275" s="3">
        <v>44851</v>
      </c>
      <c r="AU275" s="4">
        <v>490423</v>
      </c>
      <c r="AV275" s="3">
        <v>44853</v>
      </c>
      <c r="AW275" s="4">
        <v>93526124</v>
      </c>
      <c r="AX275" s="4">
        <v>9894050</v>
      </c>
      <c r="AY275" s="4">
        <v>19206395</v>
      </c>
      <c r="AZ275" s="4">
        <v>123536534</v>
      </c>
      <c r="BA275" s="4">
        <v>149717988</v>
      </c>
      <c r="BB275" s="3">
        <v>44851</v>
      </c>
      <c r="BC275" s="4">
        <v>756332</v>
      </c>
    </row>
    <row r="276" spans="22:55" hidden="1">
      <c r="V276" s="3">
        <v>44831</v>
      </c>
      <c r="W276" s="4">
        <v>-243465</v>
      </c>
      <c r="X276" s="4">
        <v>-30815</v>
      </c>
      <c r="Y276" s="4">
        <v>257284</v>
      </c>
      <c r="Z276" s="4">
        <v>6397</v>
      </c>
      <c r="AA276" s="4">
        <v>45713</v>
      </c>
      <c r="AB276" s="4">
        <v>-176039</v>
      </c>
      <c r="AC276" s="4">
        <v>129753</v>
      </c>
      <c r="AD276" s="4">
        <v>11088</v>
      </c>
      <c r="AE276" s="4">
        <v>17101</v>
      </c>
      <c r="AF276" s="4">
        <v>27328</v>
      </c>
      <c r="AG276" s="4">
        <v>-41654</v>
      </c>
      <c r="AH276" s="4">
        <v>76750</v>
      </c>
      <c r="AI276" s="4">
        <v>-351</v>
      </c>
      <c r="AJ276" s="4">
        <v>-520</v>
      </c>
      <c r="AK276" s="4">
        <v>598</v>
      </c>
      <c r="AL276" s="4">
        <v>819</v>
      </c>
      <c r="AN276" s="3">
        <v>44852</v>
      </c>
      <c r="AO276" s="4">
        <v>3.76</v>
      </c>
      <c r="AP276" s="4">
        <v>4.242</v>
      </c>
      <c r="AQ276" s="4">
        <v>5.4080000000000004</v>
      </c>
      <c r="AR276" s="4">
        <v>11.263999999999999</v>
      </c>
      <c r="AS276" s="4">
        <f t="shared" si="20"/>
        <v>1.1660000000000004</v>
      </c>
      <c r="AT276" s="3">
        <v>44848</v>
      </c>
      <c r="AU276" s="4">
        <v>503882</v>
      </c>
      <c r="AV276" s="3">
        <v>44852</v>
      </c>
      <c r="AW276" s="4">
        <v>93339791</v>
      </c>
      <c r="AX276" s="4">
        <v>9899436</v>
      </c>
      <c r="AY276" s="4">
        <v>19245294</v>
      </c>
      <c r="AZ276" s="4">
        <v>123720789</v>
      </c>
      <c r="BA276" s="4">
        <v>150494531</v>
      </c>
      <c r="BB276" s="3">
        <v>44848</v>
      </c>
      <c r="BC276" s="4">
        <v>760257</v>
      </c>
    </row>
    <row r="277" spans="22:55" hidden="1">
      <c r="V277" s="3">
        <v>44830</v>
      </c>
      <c r="W277" s="4">
        <v>-5626</v>
      </c>
      <c r="X277" s="4">
        <v>-242116</v>
      </c>
      <c r="Y277" s="4">
        <v>276689</v>
      </c>
      <c r="Z277" s="4">
        <v>-88480</v>
      </c>
      <c r="AA277" s="4">
        <v>123668</v>
      </c>
      <c r="AB277" s="4">
        <v>-198597</v>
      </c>
      <c r="AC277" s="4">
        <v>84351</v>
      </c>
      <c r="AD277" s="4">
        <v>-18033</v>
      </c>
      <c r="AE277" s="4">
        <v>47294</v>
      </c>
      <c r="AF277" s="4">
        <v>130239</v>
      </c>
      <c r="AG277" s="4">
        <v>-170060</v>
      </c>
      <c r="AH277" s="4">
        <v>46566</v>
      </c>
      <c r="AI277" s="4">
        <v>11386</v>
      </c>
      <c r="AJ277" s="4">
        <v>-2615</v>
      </c>
      <c r="AK277" s="4">
        <v>-7650</v>
      </c>
      <c r="AL277" s="4">
        <v>-2465</v>
      </c>
      <c r="AN277" s="3">
        <v>44851</v>
      </c>
      <c r="AO277" s="4">
        <v>3.7</v>
      </c>
      <c r="AP277" s="4">
        <v>4.2389999999999999</v>
      </c>
      <c r="AQ277" s="4">
        <v>5.3730000000000002</v>
      </c>
      <c r="AR277" s="4">
        <v>11.233000000000001</v>
      </c>
      <c r="AS277" s="4">
        <f t="shared" si="20"/>
        <v>1.1340000000000003</v>
      </c>
      <c r="AT277" s="3">
        <v>44847</v>
      </c>
      <c r="AU277" s="4">
        <v>503347</v>
      </c>
      <c r="AV277" s="3">
        <v>44851</v>
      </c>
      <c r="AW277" s="4">
        <v>92527620</v>
      </c>
      <c r="AX277" s="4">
        <v>9887699</v>
      </c>
      <c r="AY277" s="4">
        <v>19270574</v>
      </c>
      <c r="AZ277" s="4">
        <v>123679627</v>
      </c>
      <c r="BA277" s="4">
        <v>151505643</v>
      </c>
      <c r="BB277" s="3">
        <v>44847</v>
      </c>
      <c r="BC277" s="4">
        <v>763347</v>
      </c>
    </row>
    <row r="278" spans="22:55" hidden="1">
      <c r="V278" s="3">
        <v>44827</v>
      </c>
      <c r="W278" s="4">
        <v>-190484</v>
      </c>
      <c r="X278" s="4">
        <v>431298</v>
      </c>
      <c r="Y278" s="4">
        <v>-251013</v>
      </c>
      <c r="Z278" s="4">
        <v>-76910</v>
      </c>
      <c r="AA278" s="4">
        <v>-307216</v>
      </c>
      <c r="AB278" s="4">
        <v>287494</v>
      </c>
      <c r="AC278" s="4">
        <v>36481</v>
      </c>
      <c r="AD278" s="4">
        <v>-6536</v>
      </c>
      <c r="AE278" s="4">
        <v>92042</v>
      </c>
      <c r="AF278" s="4">
        <v>50171</v>
      </c>
      <c r="AG278" s="4">
        <v>-152579</v>
      </c>
      <c r="AH278" s="4">
        <v>89054</v>
      </c>
      <c r="AI278" s="4">
        <v>-5352</v>
      </c>
      <c r="AJ278" s="4">
        <v>2796</v>
      </c>
      <c r="AK278" s="4">
        <v>2480</v>
      </c>
      <c r="AL278" s="4">
        <v>-2019</v>
      </c>
      <c r="AN278" s="3">
        <v>44848</v>
      </c>
      <c r="AO278" s="4">
        <v>3.66</v>
      </c>
      <c r="AP278" s="4">
        <v>4.2069999999999999</v>
      </c>
      <c r="AQ278" s="4">
        <v>5.32</v>
      </c>
      <c r="AR278" s="4">
        <v>11.173</v>
      </c>
      <c r="AS278" s="4">
        <f t="shared" si="20"/>
        <v>1.1130000000000004</v>
      </c>
      <c r="AT278" s="3">
        <v>44846</v>
      </c>
      <c r="AU278" s="4">
        <v>496471</v>
      </c>
      <c r="AV278" s="3">
        <v>44848</v>
      </c>
      <c r="AW278" s="4">
        <v>92710253</v>
      </c>
      <c r="AX278" s="4">
        <v>9884978</v>
      </c>
      <c r="AY278" s="4">
        <v>19311397</v>
      </c>
      <c r="AZ278" s="4">
        <v>123863995</v>
      </c>
      <c r="BA278" s="4">
        <v>150183464</v>
      </c>
      <c r="BB278" s="3">
        <v>44846</v>
      </c>
      <c r="BC278" s="4">
        <v>759425</v>
      </c>
    </row>
    <row r="279" spans="22:55" hidden="1">
      <c r="V279" s="3">
        <v>44826</v>
      </c>
      <c r="W279" s="4">
        <v>-58540</v>
      </c>
      <c r="X279" s="4">
        <v>312630</v>
      </c>
      <c r="Y279" s="4">
        <v>-281435</v>
      </c>
      <c r="Z279" s="4">
        <v>-8197</v>
      </c>
      <c r="AA279" s="4">
        <v>-48292</v>
      </c>
      <c r="AB279" s="4">
        <v>18210</v>
      </c>
      <c r="AC279" s="4">
        <v>30780</v>
      </c>
      <c r="AD279" s="4">
        <v>17281</v>
      </c>
      <c r="AE279" s="4">
        <v>-17375</v>
      </c>
      <c r="AF279" s="4">
        <v>71993</v>
      </c>
      <c r="AG279" s="4">
        <v>-59091</v>
      </c>
      <c r="AH279" s="4">
        <v>41314</v>
      </c>
      <c r="AI279" s="4">
        <v>969</v>
      </c>
      <c r="AJ279" s="4">
        <v>1540</v>
      </c>
      <c r="AK279" s="4">
        <v>-2647</v>
      </c>
      <c r="AL279" s="4">
        <v>670</v>
      </c>
      <c r="AN279" s="3">
        <v>44847</v>
      </c>
      <c r="AO279" s="4">
        <v>3.66</v>
      </c>
      <c r="AP279" s="4">
        <v>4.2030000000000003</v>
      </c>
      <c r="AQ279" s="4">
        <v>5.31</v>
      </c>
      <c r="AR279" s="4">
        <v>11.164</v>
      </c>
      <c r="AS279" s="4">
        <f t="shared" si="20"/>
        <v>1.1069999999999993</v>
      </c>
      <c r="AT279" s="3">
        <v>44845</v>
      </c>
      <c r="AU279" s="4">
        <v>512531</v>
      </c>
      <c r="AV279" s="3">
        <v>44847</v>
      </c>
      <c r="AW279" s="4">
        <v>91672681</v>
      </c>
      <c r="AX279" s="4">
        <v>9891435</v>
      </c>
      <c r="AY279" s="4">
        <v>19322047</v>
      </c>
      <c r="AZ279" s="4">
        <v>124134898</v>
      </c>
      <c r="BA279" s="4">
        <v>149215326</v>
      </c>
      <c r="BB279" s="3">
        <v>44845</v>
      </c>
      <c r="BC279" s="4">
        <v>757790</v>
      </c>
    </row>
    <row r="280" spans="22:55" hidden="1">
      <c r="V280" s="3">
        <v>44825</v>
      </c>
      <c r="W280" s="4">
        <v>-275366</v>
      </c>
      <c r="X280" s="4">
        <v>329008</v>
      </c>
      <c r="Y280" s="4">
        <v>-67286</v>
      </c>
      <c r="Z280" s="4">
        <v>8896</v>
      </c>
      <c r="AA280" s="4">
        <v>-74719</v>
      </c>
      <c r="AB280" s="4">
        <v>66318</v>
      </c>
      <c r="AC280" s="4">
        <v>10835</v>
      </c>
      <c r="AD280" s="4">
        <v>-3981</v>
      </c>
      <c r="AE280" s="4">
        <v>5171</v>
      </c>
      <c r="AF280" s="4">
        <v>23450</v>
      </c>
      <c r="AG280" s="4">
        <v>-32239</v>
      </c>
      <c r="AH280" s="4">
        <v>-67715</v>
      </c>
      <c r="AI280" s="4">
        <v>-2059</v>
      </c>
      <c r="AJ280" s="4">
        <v>1053</v>
      </c>
      <c r="AK280" s="4">
        <v>504</v>
      </c>
      <c r="AL280" s="4">
        <v>-3317</v>
      </c>
      <c r="AN280" s="3">
        <v>44846</v>
      </c>
      <c r="AO280" s="4">
        <v>3.63</v>
      </c>
      <c r="AP280" s="4">
        <v>4.1070000000000002</v>
      </c>
      <c r="AQ280" s="4">
        <v>5.21</v>
      </c>
      <c r="AR280" s="4">
        <v>11.063000000000001</v>
      </c>
      <c r="AS280" s="4">
        <f t="shared" si="20"/>
        <v>1.1029999999999998</v>
      </c>
      <c r="AT280" s="3">
        <v>44841</v>
      </c>
      <c r="AU280" s="4">
        <v>493041</v>
      </c>
      <c r="AV280" s="3">
        <v>44846</v>
      </c>
      <c r="AW280" s="4">
        <v>92292846</v>
      </c>
      <c r="AX280" s="4">
        <v>9892320</v>
      </c>
      <c r="AY280" s="4">
        <v>19335161</v>
      </c>
      <c r="AZ280" s="4">
        <v>124402890</v>
      </c>
      <c r="BA280" s="4">
        <v>147502221</v>
      </c>
      <c r="BB280" s="3">
        <v>44841</v>
      </c>
      <c r="BC280" s="4">
        <v>756447</v>
      </c>
    </row>
    <row r="281" spans="22:55" hidden="1">
      <c r="V281" s="3">
        <v>44824</v>
      </c>
      <c r="W281" s="4">
        <v>-58246</v>
      </c>
      <c r="X281" s="4">
        <v>-225195</v>
      </c>
      <c r="Y281" s="4">
        <v>283304</v>
      </c>
      <c r="Z281" s="4">
        <v>14138</v>
      </c>
      <c r="AA281" s="4">
        <v>46595</v>
      </c>
      <c r="AB281" s="4">
        <v>-134678</v>
      </c>
      <c r="AC281" s="4">
        <v>91821</v>
      </c>
      <c r="AD281" s="4">
        <v>11287</v>
      </c>
      <c r="AE281" s="4">
        <v>16158</v>
      </c>
      <c r="AF281" s="4">
        <v>-29350</v>
      </c>
      <c r="AG281" s="4">
        <v>12088</v>
      </c>
      <c r="AH281" s="4">
        <v>52682</v>
      </c>
      <c r="AI281" s="4">
        <v>-563</v>
      </c>
      <c r="AJ281" s="4">
        <v>618</v>
      </c>
      <c r="AK281" s="4">
        <v>6</v>
      </c>
      <c r="AL281" s="4">
        <v>2629</v>
      </c>
      <c r="AN281" s="3">
        <v>44845</v>
      </c>
      <c r="AO281" s="4">
        <v>3.32</v>
      </c>
      <c r="AP281" s="4">
        <v>4.3419999999999996</v>
      </c>
      <c r="AQ281" s="4">
        <v>5.4359999999999999</v>
      </c>
      <c r="AR281" s="4">
        <v>11.284000000000001</v>
      </c>
      <c r="AS281" s="4">
        <f t="shared" si="20"/>
        <v>1.0940000000000003</v>
      </c>
      <c r="AT281" s="3">
        <v>44840</v>
      </c>
      <c r="AU281" s="4">
        <v>516950</v>
      </c>
      <c r="AV281" s="3">
        <v>44845</v>
      </c>
      <c r="AW281" s="4">
        <v>92173318</v>
      </c>
      <c r="AX281" s="4">
        <v>9893455</v>
      </c>
      <c r="AY281" s="4">
        <v>19348262</v>
      </c>
      <c r="AZ281" s="4">
        <v>124544920</v>
      </c>
      <c r="BA281" s="4">
        <v>144849965</v>
      </c>
      <c r="BB281" s="3">
        <v>44840</v>
      </c>
      <c r="BC281" s="4">
        <v>752026</v>
      </c>
    </row>
    <row r="282" spans="22:55" hidden="1">
      <c r="V282" s="3">
        <v>44823</v>
      </c>
      <c r="W282" s="4">
        <v>54</v>
      </c>
      <c r="X282" s="4">
        <v>27741</v>
      </c>
      <c r="Y282" s="4">
        <v>-41218</v>
      </c>
      <c r="Z282" s="4">
        <v>-20268</v>
      </c>
      <c r="AA282" s="4">
        <v>-49733</v>
      </c>
      <c r="AB282" s="4">
        <v>57368</v>
      </c>
      <c r="AC282" s="4">
        <v>11810</v>
      </c>
      <c r="AD282" s="4">
        <v>-17435</v>
      </c>
      <c r="AE282" s="4">
        <v>26898</v>
      </c>
      <c r="AF282" s="4">
        <v>23328</v>
      </c>
      <c r="AG282" s="4">
        <v>-50117</v>
      </c>
      <c r="AH282" s="4">
        <v>66718</v>
      </c>
      <c r="AI282" s="4">
        <v>-4434</v>
      </c>
      <c r="AJ282" s="4">
        <v>1658</v>
      </c>
      <c r="AK282" s="4">
        <v>2701</v>
      </c>
      <c r="AL282" s="4">
        <v>-208</v>
      </c>
      <c r="AN282" s="3">
        <v>44841</v>
      </c>
      <c r="AO282" s="4">
        <v>3.32</v>
      </c>
      <c r="AP282" s="4">
        <v>4.2759999999999998</v>
      </c>
      <c r="AQ282" s="4">
        <v>5.3579999999999997</v>
      </c>
      <c r="AR282" s="4">
        <v>11.211</v>
      </c>
      <c r="AS282" s="4">
        <f t="shared" si="20"/>
        <v>1.0819999999999999</v>
      </c>
      <c r="AT282" s="3">
        <v>44839</v>
      </c>
      <c r="AU282" s="4">
        <v>511910</v>
      </c>
      <c r="AV282" s="3">
        <v>44841</v>
      </c>
      <c r="AW282" s="4">
        <v>93198934</v>
      </c>
      <c r="AX282" s="4">
        <v>9909547</v>
      </c>
      <c r="AY282" s="4">
        <v>19356954</v>
      </c>
      <c r="AZ282" s="4">
        <v>124818665</v>
      </c>
      <c r="BA282" s="4">
        <v>146315714</v>
      </c>
      <c r="BB282" s="3">
        <v>44839</v>
      </c>
      <c r="BC282" s="4">
        <v>745483</v>
      </c>
    </row>
    <row r="283" spans="22:55" hidden="1">
      <c r="V283" s="3">
        <v>44820</v>
      </c>
      <c r="W283" s="4">
        <v>-46310</v>
      </c>
      <c r="X283" s="4">
        <v>444352</v>
      </c>
      <c r="Y283" s="4">
        <v>-408187</v>
      </c>
      <c r="Z283" s="4">
        <v>-43899</v>
      </c>
      <c r="AA283" s="4">
        <v>-91634</v>
      </c>
      <c r="AB283" s="4">
        <v>140481</v>
      </c>
      <c r="AC283" s="4">
        <v>-42759</v>
      </c>
      <c r="AD283" s="4">
        <v>-6407</v>
      </c>
      <c r="AE283" s="4">
        <v>-8265</v>
      </c>
      <c r="AF283" s="4">
        <v>69430</v>
      </c>
      <c r="AG283" s="4">
        <v>-70448</v>
      </c>
      <c r="AH283" s="4">
        <v>118199</v>
      </c>
      <c r="AI283" s="4">
        <v>1374</v>
      </c>
      <c r="AJ283" s="4">
        <v>-1741</v>
      </c>
      <c r="AK283" s="4">
        <v>518</v>
      </c>
      <c r="AL283" s="4">
        <v>-801</v>
      </c>
      <c r="AN283" s="3">
        <v>44840</v>
      </c>
      <c r="AO283" s="4">
        <v>3.32</v>
      </c>
      <c r="AP283" s="4">
        <v>4.1449999999999996</v>
      </c>
      <c r="AQ283" s="4">
        <v>5.2309999999999999</v>
      </c>
      <c r="AR283" s="4">
        <v>11.083</v>
      </c>
      <c r="AS283" s="4">
        <f t="shared" si="20"/>
        <v>1.0860000000000003</v>
      </c>
      <c r="AT283" s="3">
        <v>44838</v>
      </c>
      <c r="AU283" s="4">
        <v>512195</v>
      </c>
      <c r="AV283" s="3">
        <v>44840</v>
      </c>
      <c r="AW283" s="4">
        <v>93214824</v>
      </c>
      <c r="AX283" s="4">
        <v>9911996</v>
      </c>
      <c r="AY283" s="4">
        <v>19373920</v>
      </c>
      <c r="AZ283" s="4">
        <v>125115012</v>
      </c>
      <c r="BA283" s="4">
        <v>145096589</v>
      </c>
      <c r="BB283" s="3">
        <v>44838</v>
      </c>
      <c r="BC283" s="4">
        <v>750175</v>
      </c>
    </row>
    <row r="284" spans="22:55" hidden="1">
      <c r="V284" s="3">
        <v>44819</v>
      </c>
      <c r="W284" s="4">
        <v>-223113</v>
      </c>
      <c r="X284" s="4">
        <v>349665</v>
      </c>
      <c r="Y284" s="4">
        <v>-144013</v>
      </c>
      <c r="Z284" s="4">
        <v>7864</v>
      </c>
      <c r="AA284" s="4">
        <v>-144080</v>
      </c>
      <c r="AB284" s="4">
        <v>113142</v>
      </c>
      <c r="AC284" s="4">
        <v>29999</v>
      </c>
      <c r="AD284" s="4">
        <v>11577</v>
      </c>
      <c r="AE284" s="4">
        <v>9001</v>
      </c>
      <c r="AF284" s="4">
        <v>72133</v>
      </c>
      <c r="AG284" s="4">
        <v>-79332</v>
      </c>
      <c r="AH284" s="4">
        <v>125142</v>
      </c>
      <c r="AI284" s="4">
        <v>-7394</v>
      </c>
      <c r="AJ284" s="4">
        <v>3328</v>
      </c>
      <c r="AK284" s="4">
        <v>2637</v>
      </c>
      <c r="AL284" s="4">
        <v>-1149</v>
      </c>
      <c r="AN284" s="3">
        <v>44839</v>
      </c>
      <c r="AO284" s="4">
        <v>3.32</v>
      </c>
      <c r="AP284" s="4">
        <v>4.157</v>
      </c>
      <c r="AQ284" s="4">
        <v>5.242</v>
      </c>
      <c r="AR284" s="4">
        <v>11.093</v>
      </c>
      <c r="AS284" s="4">
        <f t="shared" si="20"/>
        <v>1.085</v>
      </c>
      <c r="AT284" s="3">
        <v>44834</v>
      </c>
      <c r="AU284" s="4">
        <v>508523</v>
      </c>
      <c r="AV284" s="3">
        <v>44839</v>
      </c>
      <c r="AW284" s="4">
        <v>92875040</v>
      </c>
      <c r="AX284" s="4">
        <v>9918568</v>
      </c>
      <c r="AY284" s="4">
        <v>19410089</v>
      </c>
      <c r="AZ284" s="4">
        <v>125330067</v>
      </c>
      <c r="BA284" s="4">
        <v>143962320</v>
      </c>
      <c r="BB284" s="3">
        <v>44834</v>
      </c>
      <c r="BC284" s="4">
        <v>733331</v>
      </c>
    </row>
    <row r="285" spans="22:55" hidden="1">
      <c r="V285" s="3">
        <v>44818</v>
      </c>
      <c r="W285" s="4">
        <v>-163409</v>
      </c>
      <c r="X285" s="4">
        <v>389660</v>
      </c>
      <c r="Y285" s="4">
        <v>-239580</v>
      </c>
      <c r="Z285" s="4">
        <v>-5928</v>
      </c>
      <c r="AA285" s="4">
        <v>-8157</v>
      </c>
      <c r="AB285" s="4">
        <v>197254</v>
      </c>
      <c r="AC285" s="4">
        <v>-175810</v>
      </c>
      <c r="AD285" s="4">
        <v>-15432</v>
      </c>
      <c r="AE285" s="4">
        <v>-31593</v>
      </c>
      <c r="AF285" s="4">
        <v>106496</v>
      </c>
      <c r="AG285" s="4">
        <v>-77196</v>
      </c>
      <c r="AH285" s="4">
        <v>-77670</v>
      </c>
      <c r="AI285" s="4">
        <v>6659</v>
      </c>
      <c r="AJ285" s="4">
        <v>-1468</v>
      </c>
      <c r="AK285" s="4">
        <v>-3062</v>
      </c>
      <c r="AL285" s="4">
        <v>-8107</v>
      </c>
      <c r="AN285" s="3">
        <v>44838</v>
      </c>
      <c r="AO285" s="4">
        <v>3.28</v>
      </c>
      <c r="AP285" s="4">
        <v>4.0810000000000004</v>
      </c>
      <c r="AQ285" s="4">
        <v>5.1749999999999998</v>
      </c>
      <c r="AR285" s="4">
        <v>11.028</v>
      </c>
      <c r="AS285" s="4">
        <f t="shared" si="20"/>
        <v>1.0939999999999994</v>
      </c>
      <c r="AT285" s="3">
        <v>44833</v>
      </c>
      <c r="AU285" s="4">
        <v>518539</v>
      </c>
      <c r="AV285" s="3">
        <v>44838</v>
      </c>
      <c r="AW285" s="4">
        <v>92562909</v>
      </c>
      <c r="AX285" s="4">
        <v>9919002</v>
      </c>
      <c r="AY285" s="4">
        <v>19433632</v>
      </c>
      <c r="AZ285" s="4">
        <v>125351487</v>
      </c>
      <c r="BA285" s="4">
        <v>142755091</v>
      </c>
      <c r="BB285" s="3">
        <v>44833</v>
      </c>
      <c r="BC285" s="4">
        <v>748390</v>
      </c>
    </row>
    <row r="286" spans="22:55" hidden="1">
      <c r="V286" s="3">
        <v>44817</v>
      </c>
      <c r="W286" s="4">
        <v>396876</v>
      </c>
      <c r="X286" s="4">
        <v>-1103034</v>
      </c>
      <c r="Y286" s="4">
        <v>715441</v>
      </c>
      <c r="Z286" s="4">
        <v>-9732</v>
      </c>
      <c r="AA286" s="4">
        <v>109367</v>
      </c>
      <c r="AB286" s="4">
        <v>-316449</v>
      </c>
      <c r="AC286" s="4">
        <v>227757</v>
      </c>
      <c r="AD286" s="4">
        <v>21066</v>
      </c>
      <c r="AE286" s="4">
        <v>-8375</v>
      </c>
      <c r="AF286" s="4">
        <v>-103235</v>
      </c>
      <c r="AG286" s="4">
        <v>118225</v>
      </c>
      <c r="AH286" s="4">
        <v>-171016</v>
      </c>
      <c r="AI286" s="4">
        <v>14807</v>
      </c>
      <c r="AJ286" s="4">
        <v>-7767</v>
      </c>
      <c r="AK286" s="4">
        <v>-5924</v>
      </c>
      <c r="AL286" s="4">
        <v>7358</v>
      </c>
      <c r="AN286" s="3">
        <v>44834</v>
      </c>
      <c r="AO286" s="4">
        <v>3.24</v>
      </c>
      <c r="AP286" s="4">
        <v>4.1859999999999999</v>
      </c>
      <c r="AQ286" s="4">
        <v>5.28</v>
      </c>
      <c r="AR286" s="4">
        <v>11.132999999999999</v>
      </c>
      <c r="AS286" s="4">
        <f t="shared" si="20"/>
        <v>1.0940000000000003</v>
      </c>
      <c r="AT286" s="3">
        <v>44832</v>
      </c>
      <c r="AU286" s="4">
        <v>525678</v>
      </c>
      <c r="AV286" s="3">
        <v>44834</v>
      </c>
      <c r="AW286" s="4">
        <v>91806490</v>
      </c>
      <c r="AX286" s="4">
        <v>9922136</v>
      </c>
      <c r="AY286" s="4">
        <v>19438805</v>
      </c>
      <c r="AZ286" s="4">
        <v>125619950</v>
      </c>
      <c r="BA286" s="4">
        <v>142080262</v>
      </c>
      <c r="BB286" s="3">
        <v>44832</v>
      </c>
      <c r="BC286" s="4">
        <v>752963</v>
      </c>
    </row>
    <row r="287" spans="22:55" hidden="1">
      <c r="V287" s="3">
        <v>44812</v>
      </c>
      <c r="W287" s="4">
        <v>-385653</v>
      </c>
      <c r="X287" s="4">
        <v>140701</v>
      </c>
      <c r="Y287" s="4">
        <v>234143</v>
      </c>
      <c r="Z287" s="4">
        <v>24271</v>
      </c>
      <c r="AA287" s="4">
        <v>116252</v>
      </c>
      <c r="AB287" s="4">
        <v>-181037</v>
      </c>
      <c r="AC287" s="4">
        <v>76825</v>
      </c>
      <c r="AD287" s="4">
        <v>-6718</v>
      </c>
      <c r="AE287" s="4">
        <v>85407</v>
      </c>
      <c r="AF287" s="4">
        <v>-55648</v>
      </c>
      <c r="AG287" s="4">
        <v>-28413</v>
      </c>
      <c r="AH287" s="4">
        <v>64196</v>
      </c>
      <c r="AI287" s="4">
        <v>3284</v>
      </c>
      <c r="AJ287" s="4">
        <v>-2118</v>
      </c>
      <c r="AK287" s="4">
        <v>2661</v>
      </c>
      <c r="AL287" s="4">
        <v>2453</v>
      </c>
      <c r="AN287" s="3">
        <v>44833</v>
      </c>
      <c r="AO287" s="4">
        <v>3.2</v>
      </c>
      <c r="AP287" s="4">
        <v>4.3029999999999999</v>
      </c>
      <c r="AQ287" s="4">
        <v>5.3780000000000001</v>
      </c>
      <c r="AR287" s="4">
        <v>11.231999999999999</v>
      </c>
      <c r="AS287" s="4">
        <f t="shared" si="20"/>
        <v>1.0750000000000002</v>
      </c>
      <c r="AT287" s="3">
        <v>44831</v>
      </c>
      <c r="AU287" s="4">
        <v>514712</v>
      </c>
      <c r="AV287" s="3">
        <v>44833</v>
      </c>
      <c r="AW287" s="4">
        <v>92405878</v>
      </c>
      <c r="AX287" s="4">
        <v>9945690</v>
      </c>
      <c r="AY287" s="4">
        <v>19599595</v>
      </c>
      <c r="AZ287" s="4">
        <v>126417158</v>
      </c>
      <c r="BA287" s="4">
        <v>148477712</v>
      </c>
      <c r="BB287" s="3">
        <v>44831</v>
      </c>
      <c r="BC287" s="4">
        <v>758729</v>
      </c>
    </row>
    <row r="288" spans="22:55" hidden="1">
      <c r="V288" s="3">
        <v>44811</v>
      </c>
      <c r="W288" s="4">
        <v>-488960</v>
      </c>
      <c r="X288" s="4">
        <v>685974</v>
      </c>
      <c r="Y288" s="4">
        <v>-226386</v>
      </c>
      <c r="Z288" s="4">
        <v>-56925</v>
      </c>
      <c r="AA288" s="4">
        <v>-50883</v>
      </c>
      <c r="AB288" s="4">
        <v>96756</v>
      </c>
      <c r="AC288" s="4">
        <v>-48123</v>
      </c>
      <c r="AD288" s="4">
        <v>-1398</v>
      </c>
      <c r="AE288" s="4">
        <v>53071</v>
      </c>
      <c r="AF288" s="4">
        <v>48767</v>
      </c>
      <c r="AG288" s="4">
        <v>-105512</v>
      </c>
      <c r="AH288" s="4">
        <v>106272</v>
      </c>
      <c r="AI288" s="4">
        <v>-7777</v>
      </c>
      <c r="AJ288" s="4">
        <v>3402</v>
      </c>
      <c r="AK288" s="4">
        <v>2289</v>
      </c>
      <c r="AL288" s="4">
        <v>-1086</v>
      </c>
      <c r="AN288" s="3">
        <v>44832</v>
      </c>
      <c r="AO288" s="4">
        <v>3.14</v>
      </c>
      <c r="AP288" s="4">
        <v>4.3380000000000001</v>
      </c>
      <c r="AQ288" s="4">
        <v>5.3419999999999996</v>
      </c>
      <c r="AR288" s="4">
        <v>11.202</v>
      </c>
      <c r="AS288" s="4">
        <f t="shared" si="20"/>
        <v>1.0039999999999996</v>
      </c>
      <c r="AT288" s="3">
        <v>44830</v>
      </c>
      <c r="AU288" s="4">
        <v>517020</v>
      </c>
      <c r="AV288" s="3">
        <v>44832</v>
      </c>
      <c r="AW288" s="4">
        <v>92112941</v>
      </c>
      <c r="AX288" s="4">
        <v>9953495</v>
      </c>
      <c r="AY288" s="4">
        <v>19753427</v>
      </c>
      <c r="AZ288" s="4">
        <v>129397390</v>
      </c>
      <c r="BA288" s="4">
        <v>149341469</v>
      </c>
      <c r="BB288" s="3">
        <v>44830</v>
      </c>
      <c r="BC288" s="4">
        <v>781050</v>
      </c>
    </row>
    <row r="289" spans="22:55" hidden="1">
      <c r="V289" s="3">
        <v>44810</v>
      </c>
      <c r="W289" s="4">
        <v>-79266</v>
      </c>
      <c r="X289" s="4">
        <v>85188</v>
      </c>
      <c r="Y289" s="4">
        <v>-13241</v>
      </c>
      <c r="Z289" s="4">
        <v>23465</v>
      </c>
      <c r="AA289" s="4">
        <v>66116</v>
      </c>
      <c r="AB289" s="4">
        <v>-120933</v>
      </c>
      <c r="AC289" s="4">
        <v>55324</v>
      </c>
      <c r="AD289" s="4">
        <v>4246</v>
      </c>
      <c r="AE289" s="4">
        <v>33473</v>
      </c>
      <c r="AF289" s="4">
        <v>-5360</v>
      </c>
      <c r="AG289" s="4">
        <v>-26412</v>
      </c>
      <c r="AH289" s="4">
        <v>-72563</v>
      </c>
      <c r="AI289" s="4">
        <v>-2983</v>
      </c>
      <c r="AJ289" s="4">
        <v>1449</v>
      </c>
      <c r="AK289" s="4">
        <v>1612</v>
      </c>
      <c r="AL289" s="4">
        <v>-1921</v>
      </c>
      <c r="AN289" s="3">
        <v>44831</v>
      </c>
      <c r="AO289" s="4">
        <v>3.12</v>
      </c>
      <c r="AP289" s="4">
        <v>4.3040000000000003</v>
      </c>
      <c r="AQ289" s="4">
        <v>5.3079999999999998</v>
      </c>
      <c r="AR289" s="4">
        <v>11.164</v>
      </c>
      <c r="AS289" s="4">
        <f t="shared" si="20"/>
        <v>1.0039999999999996</v>
      </c>
      <c r="AT289" s="3">
        <v>44827</v>
      </c>
      <c r="AU289" s="4">
        <v>517020</v>
      </c>
      <c r="AV289" s="3">
        <v>44831</v>
      </c>
      <c r="AW289" s="4">
        <v>92795669</v>
      </c>
      <c r="AX289" s="4">
        <v>9968910</v>
      </c>
      <c r="AY289" s="4">
        <v>19783487</v>
      </c>
      <c r="AZ289" s="4">
        <v>127025872</v>
      </c>
      <c r="BA289" s="4">
        <v>150916792</v>
      </c>
      <c r="BB289" s="3">
        <v>44827</v>
      </c>
      <c r="BC289" s="4">
        <v>781050</v>
      </c>
    </row>
    <row r="290" spans="22:55" hidden="1">
      <c r="V290" s="3">
        <v>44809</v>
      </c>
      <c r="W290" s="4">
        <v>-69300</v>
      </c>
      <c r="X290" s="4">
        <v>-66127</v>
      </c>
      <c r="Y290" s="4">
        <v>133654</v>
      </c>
      <c r="Z290" s="4">
        <v>28168</v>
      </c>
      <c r="AA290" s="4">
        <v>-4892</v>
      </c>
      <c r="AB290" s="4">
        <v>52498</v>
      </c>
      <c r="AC290" s="4">
        <v>-23152</v>
      </c>
      <c r="AD290" s="4">
        <v>-17141</v>
      </c>
      <c r="AE290" s="4">
        <v>-14173</v>
      </c>
      <c r="AF290" s="4">
        <v>79535</v>
      </c>
      <c r="AG290" s="4">
        <v>-68951</v>
      </c>
      <c r="AH290" s="4">
        <v>75351</v>
      </c>
      <c r="AI290" s="4">
        <v>2699</v>
      </c>
      <c r="AJ290" s="4">
        <v>1020</v>
      </c>
      <c r="AK290" s="4">
        <v>-3991</v>
      </c>
      <c r="AL290" s="4">
        <v>1484</v>
      </c>
      <c r="AN290" s="3">
        <v>44830</v>
      </c>
      <c r="AO290" s="4">
        <v>3.09</v>
      </c>
      <c r="AP290" s="4">
        <v>4.548</v>
      </c>
      <c r="AQ290" s="4">
        <v>5.5279999999999996</v>
      </c>
      <c r="AR290" s="4">
        <v>11.382</v>
      </c>
      <c r="AS290" s="4">
        <f t="shared" si="20"/>
        <v>0.97999999999999954</v>
      </c>
      <c r="AT290" s="3">
        <v>44826</v>
      </c>
      <c r="AU290" s="4">
        <v>515260</v>
      </c>
      <c r="AV290" s="3">
        <v>44830</v>
      </c>
      <c r="AW290" s="4">
        <v>92675201</v>
      </c>
      <c r="AX290" s="4">
        <v>9972096</v>
      </c>
      <c r="AY290" s="4">
        <v>19790748</v>
      </c>
      <c r="AZ290" s="4">
        <v>127084399</v>
      </c>
      <c r="BA290" s="4">
        <v>153840149</v>
      </c>
      <c r="BB290" s="3">
        <v>44826</v>
      </c>
      <c r="BC290" s="4">
        <v>780789</v>
      </c>
    </row>
    <row r="291" spans="22:55" hidden="1">
      <c r="V291" s="3">
        <v>44806</v>
      </c>
      <c r="W291" s="4">
        <v>-173045</v>
      </c>
      <c r="X291" s="4">
        <v>294859</v>
      </c>
      <c r="Y291" s="4">
        <v>-142597</v>
      </c>
      <c r="Z291" s="4">
        <v>-10240</v>
      </c>
      <c r="AA291" s="4">
        <v>-76871</v>
      </c>
      <c r="AB291" s="4">
        <v>52148</v>
      </c>
      <c r="AC291" s="4">
        <v>12306</v>
      </c>
      <c r="AD291" s="4">
        <v>-8094</v>
      </c>
      <c r="AE291" s="4">
        <v>-82122</v>
      </c>
      <c r="AF291" s="4">
        <v>8425</v>
      </c>
      <c r="AG291" s="4">
        <v>82958</v>
      </c>
      <c r="AH291" s="4">
        <v>144644</v>
      </c>
      <c r="AI291" s="4">
        <v>-7659</v>
      </c>
      <c r="AJ291" s="4">
        <v>900</v>
      </c>
      <c r="AK291" s="4">
        <v>4835</v>
      </c>
      <c r="AL291" s="4">
        <v>3280</v>
      </c>
      <c r="AN291" s="3">
        <v>44827</v>
      </c>
      <c r="AO291" s="4">
        <v>3.07</v>
      </c>
      <c r="AP291" s="4">
        <v>4.1989999999999998</v>
      </c>
      <c r="AQ291" s="4">
        <v>5.1890000000000001</v>
      </c>
      <c r="AR291" s="4">
        <v>11.042999999999999</v>
      </c>
      <c r="AS291" s="4">
        <f t="shared" si="20"/>
        <v>0.99000000000000021</v>
      </c>
      <c r="AT291" s="3">
        <v>44825</v>
      </c>
      <c r="AU291" s="4">
        <v>507793</v>
      </c>
      <c r="AV291" s="3">
        <v>44827</v>
      </c>
      <c r="AW291" s="4">
        <v>93495240</v>
      </c>
      <c r="AX291" s="4">
        <v>9972521</v>
      </c>
      <c r="AY291" s="4">
        <v>19840635</v>
      </c>
      <c r="AZ291" s="4">
        <v>127252013</v>
      </c>
      <c r="BA291" s="4">
        <v>153944284</v>
      </c>
      <c r="BB291" s="3">
        <v>44825</v>
      </c>
      <c r="BC291" s="4">
        <v>784116</v>
      </c>
    </row>
    <row r="292" spans="22:55" hidden="1">
      <c r="V292" s="3">
        <v>44805</v>
      </c>
      <c r="W292" s="4">
        <v>-288169</v>
      </c>
      <c r="X292" s="4">
        <v>1148049</v>
      </c>
      <c r="Y292" s="4">
        <v>-887056</v>
      </c>
      <c r="Z292" s="4">
        <v>-71132</v>
      </c>
      <c r="AA292" s="4">
        <v>-136679</v>
      </c>
      <c r="AB292" s="4">
        <v>259420</v>
      </c>
      <c r="AC292" s="4">
        <v>-136140</v>
      </c>
      <c r="AD292" s="4">
        <v>13776</v>
      </c>
      <c r="AE292" s="4">
        <v>-71168</v>
      </c>
      <c r="AF292" s="4">
        <v>51824</v>
      </c>
      <c r="AG292" s="4">
        <v>-10842</v>
      </c>
      <c r="AH292" s="4">
        <v>-52809</v>
      </c>
      <c r="AI292" s="4">
        <v>-8965</v>
      </c>
      <c r="AJ292" s="4">
        <v>3115</v>
      </c>
      <c r="AK292" s="4">
        <v>5037</v>
      </c>
      <c r="AL292" s="4">
        <v>-7356</v>
      </c>
      <c r="AN292" s="3">
        <v>44826</v>
      </c>
      <c r="AO292" s="4">
        <v>3.04</v>
      </c>
      <c r="AP292" s="4">
        <v>4.1040000000000001</v>
      </c>
      <c r="AQ292" s="4">
        <v>5.0919999999999996</v>
      </c>
      <c r="AR292" s="4">
        <v>10.946999999999999</v>
      </c>
      <c r="AS292" s="4">
        <f t="shared" si="20"/>
        <v>0.98799999999999955</v>
      </c>
      <c r="AT292" s="3">
        <v>44824</v>
      </c>
      <c r="AU292" s="4">
        <v>508301</v>
      </c>
      <c r="AV292" s="3">
        <v>44826</v>
      </c>
      <c r="AW292" s="4">
        <v>94110782</v>
      </c>
      <c r="AX292" s="4">
        <v>9976493</v>
      </c>
      <c r="AY292" s="4">
        <v>19887922</v>
      </c>
      <c r="AZ292" s="4">
        <v>127651907</v>
      </c>
      <c r="BA292" s="4">
        <v>155675301</v>
      </c>
      <c r="BB292" s="3">
        <v>44824</v>
      </c>
      <c r="BC292" s="4">
        <v>789737</v>
      </c>
    </row>
    <row r="293" spans="22:55" hidden="1">
      <c r="V293" s="3">
        <v>44804</v>
      </c>
      <c r="W293" s="4">
        <v>744641</v>
      </c>
      <c r="X293" s="4">
        <v>44622</v>
      </c>
      <c r="Y293" s="4">
        <v>-228807</v>
      </c>
      <c r="Z293" s="4">
        <v>-20305</v>
      </c>
      <c r="AA293" s="4">
        <v>63373</v>
      </c>
      <c r="AB293" s="4">
        <v>-72318</v>
      </c>
      <c r="AC293" s="4">
        <v>11070</v>
      </c>
      <c r="AD293" s="4">
        <v>13307</v>
      </c>
      <c r="AE293" s="4">
        <v>7166</v>
      </c>
      <c r="AF293" s="4">
        <v>121</v>
      </c>
      <c r="AG293" s="4">
        <v>-9036</v>
      </c>
      <c r="AH293" s="4">
        <v>-167097</v>
      </c>
      <c r="AI293" s="4">
        <v>-4665</v>
      </c>
      <c r="AJ293" s="4">
        <v>1982</v>
      </c>
      <c r="AK293" s="4">
        <v>2951</v>
      </c>
      <c r="AL293" s="4">
        <v>81</v>
      </c>
      <c r="AN293" s="3">
        <v>44825</v>
      </c>
      <c r="AO293" s="4">
        <v>3.02</v>
      </c>
      <c r="AP293" s="4">
        <v>3.847</v>
      </c>
      <c r="AQ293" s="4">
        <v>4.843</v>
      </c>
      <c r="AR293" s="4">
        <v>10.698</v>
      </c>
      <c r="AS293" s="4">
        <f t="shared" si="20"/>
        <v>0.996</v>
      </c>
      <c r="AT293" s="3">
        <v>44823</v>
      </c>
      <c r="AU293" s="4">
        <v>515545</v>
      </c>
      <c r="AV293" s="3">
        <v>44825</v>
      </c>
      <c r="AW293" s="4">
        <v>94188921</v>
      </c>
      <c r="AX293" s="4">
        <v>9974913</v>
      </c>
      <c r="AY293" s="4">
        <v>19923920</v>
      </c>
      <c r="AZ293" s="4">
        <v>127591129</v>
      </c>
      <c r="BA293" s="4">
        <v>155388958</v>
      </c>
      <c r="BB293" s="3">
        <v>44823</v>
      </c>
      <c r="BC293" s="4">
        <v>794761</v>
      </c>
    </row>
    <row r="294" spans="22:55" hidden="1">
      <c r="V294" s="3">
        <v>44803</v>
      </c>
      <c r="W294" s="4">
        <v>-40337</v>
      </c>
      <c r="X294" s="4">
        <v>155935</v>
      </c>
      <c r="Y294" s="4">
        <v>-135411</v>
      </c>
      <c r="Z294" s="4">
        <v>-35166</v>
      </c>
      <c r="AA294" s="4">
        <v>63087</v>
      </c>
      <c r="AB294" s="4">
        <v>-133586</v>
      </c>
      <c r="AC294" s="4">
        <v>82889</v>
      </c>
      <c r="AD294" s="4">
        <v>9631</v>
      </c>
      <c r="AE294" s="4">
        <v>-10496</v>
      </c>
      <c r="AF294" s="4">
        <v>96440</v>
      </c>
      <c r="AG294" s="4">
        <v>-78510</v>
      </c>
      <c r="AH294" s="4">
        <v>80298</v>
      </c>
      <c r="AI294" s="4">
        <v>117</v>
      </c>
      <c r="AJ294" s="4">
        <v>-538</v>
      </c>
      <c r="AK294" s="4">
        <v>-127</v>
      </c>
      <c r="AL294" s="4">
        <v>3307</v>
      </c>
      <c r="AN294" s="3">
        <v>44824</v>
      </c>
      <c r="AO294" s="4">
        <v>3</v>
      </c>
      <c r="AP294" s="4">
        <v>3.823</v>
      </c>
      <c r="AQ294" s="4">
        <v>4.806</v>
      </c>
      <c r="AR294" s="4">
        <v>10.664</v>
      </c>
      <c r="AS294" s="4">
        <f t="shared" si="20"/>
        <v>0.9830000000000001</v>
      </c>
      <c r="AT294" s="3">
        <v>44820</v>
      </c>
      <c r="AU294" s="4">
        <v>520966</v>
      </c>
      <c r="AV294" s="3">
        <v>44824</v>
      </c>
      <c r="AW294" s="4">
        <v>94345961</v>
      </c>
      <c r="AX294" s="4">
        <v>9975832</v>
      </c>
      <c r="AY294" s="4">
        <v>19948193</v>
      </c>
      <c r="AZ294" s="4">
        <v>127735106</v>
      </c>
      <c r="BA294" s="4">
        <v>156396918</v>
      </c>
      <c r="BB294" s="3">
        <v>44820</v>
      </c>
      <c r="BC294" s="4">
        <v>797606</v>
      </c>
    </row>
    <row r="295" spans="22:55" hidden="1">
      <c r="V295" s="3">
        <v>44802</v>
      </c>
      <c r="W295" s="4">
        <v>-58936</v>
      </c>
      <c r="X295" s="4">
        <v>599580</v>
      </c>
      <c r="Y295" s="4">
        <v>-556694</v>
      </c>
      <c r="Z295" s="4">
        <v>-40108</v>
      </c>
      <c r="AA295" s="4">
        <v>73604</v>
      </c>
      <c r="AB295" s="4">
        <v>96891</v>
      </c>
      <c r="AC295" s="4">
        <v>-159904</v>
      </c>
      <c r="AD295" s="4">
        <v>-8413</v>
      </c>
      <c r="AE295" s="4">
        <v>-48507</v>
      </c>
      <c r="AF295" s="4">
        <v>126317</v>
      </c>
      <c r="AG295" s="4">
        <v>-71818</v>
      </c>
      <c r="AH295" s="4">
        <v>155632</v>
      </c>
      <c r="AI295" s="4">
        <v>1567</v>
      </c>
      <c r="AJ295" s="4">
        <v>920</v>
      </c>
      <c r="AK295" s="4">
        <v>-2070</v>
      </c>
      <c r="AL295" s="4">
        <v>-4549</v>
      </c>
      <c r="AN295" s="3">
        <v>44823</v>
      </c>
      <c r="AO295" s="4">
        <v>2.99</v>
      </c>
      <c r="AP295" s="4">
        <v>3.7589999999999999</v>
      </c>
      <c r="AQ295" s="4">
        <v>4.7510000000000003</v>
      </c>
      <c r="AR295" s="4">
        <v>10.609</v>
      </c>
      <c r="AS295" s="4">
        <f t="shared" si="20"/>
        <v>0.99200000000000044</v>
      </c>
      <c r="AT295" s="3">
        <v>44819</v>
      </c>
      <c r="AU295" s="4">
        <v>525658</v>
      </c>
      <c r="AV295" s="3">
        <v>44823</v>
      </c>
      <c r="AW295" s="4">
        <v>94183416</v>
      </c>
      <c r="AX295" s="4">
        <v>9976332</v>
      </c>
      <c r="AY295" s="4">
        <v>19965242</v>
      </c>
      <c r="AZ295" s="4">
        <v>127436690</v>
      </c>
      <c r="BA295" s="4">
        <v>156397493</v>
      </c>
      <c r="BB295" s="3">
        <v>44819</v>
      </c>
      <c r="BC295" s="4">
        <v>794734</v>
      </c>
    </row>
    <row r="296" spans="22:55" hidden="1">
      <c r="V296" s="3">
        <v>44799</v>
      </c>
      <c r="W296" s="4">
        <v>240174</v>
      </c>
      <c r="X296" s="4">
        <v>-253880</v>
      </c>
      <c r="Y296" s="4">
        <v>476796</v>
      </c>
      <c r="Z296" s="4">
        <v>216715</v>
      </c>
      <c r="AA296" s="4">
        <v>-55504</v>
      </c>
      <c r="AB296" s="4">
        <v>109756</v>
      </c>
      <c r="AC296" s="4">
        <v>-60227</v>
      </c>
      <c r="AD296" s="4">
        <v>7789</v>
      </c>
      <c r="AE296" s="4">
        <v>-3929</v>
      </c>
      <c r="AF296" s="4">
        <v>-16440</v>
      </c>
      <c r="AG296" s="4">
        <v>19709</v>
      </c>
      <c r="AH296" s="4">
        <v>-102806</v>
      </c>
      <c r="AI296" s="4">
        <v>-1188</v>
      </c>
      <c r="AJ296" s="4">
        <v>719</v>
      </c>
      <c r="AK296" s="4">
        <v>349</v>
      </c>
      <c r="AL296" s="4">
        <v>-1892</v>
      </c>
      <c r="AN296" s="3">
        <v>44820</v>
      </c>
      <c r="AO296" s="4">
        <v>2.97</v>
      </c>
      <c r="AP296" s="4">
        <v>3.7669999999999999</v>
      </c>
      <c r="AQ296" s="4">
        <v>4.758</v>
      </c>
      <c r="AR296" s="4">
        <v>10.614000000000001</v>
      </c>
      <c r="AS296" s="4">
        <f t="shared" si="20"/>
        <v>0.9910000000000001</v>
      </c>
      <c r="AT296" s="3">
        <v>44818</v>
      </c>
      <c r="AU296" s="4">
        <v>522293</v>
      </c>
      <c r="AV296" s="3">
        <v>44820</v>
      </c>
      <c r="AW296" s="4">
        <v>94469939</v>
      </c>
      <c r="AX296" s="4">
        <v>9977038</v>
      </c>
      <c r="AY296" s="4">
        <v>19986365</v>
      </c>
      <c r="AZ296" s="4">
        <v>127328277</v>
      </c>
      <c r="BA296" s="4">
        <v>153508836</v>
      </c>
      <c r="BB296" s="3">
        <v>44818</v>
      </c>
      <c r="BC296" s="4">
        <v>792234</v>
      </c>
    </row>
    <row r="297" spans="22:55" hidden="1">
      <c r="V297" s="3">
        <v>44798</v>
      </c>
      <c r="W297" s="4">
        <v>41882</v>
      </c>
      <c r="X297" s="4">
        <v>-179733</v>
      </c>
      <c r="Y297" s="4">
        <v>119918</v>
      </c>
      <c r="Z297" s="4">
        <v>356</v>
      </c>
      <c r="AA297" s="4">
        <v>63091</v>
      </c>
      <c r="AB297" s="4">
        <v>-128465</v>
      </c>
      <c r="AC297" s="4">
        <v>64699</v>
      </c>
      <c r="AD297" s="4">
        <v>-8051</v>
      </c>
      <c r="AE297" s="4">
        <v>-6133</v>
      </c>
      <c r="AF297" s="4">
        <v>38484</v>
      </c>
      <c r="AG297" s="4">
        <v>-29905</v>
      </c>
      <c r="AH297" s="4">
        <v>-117017</v>
      </c>
      <c r="AI297" s="4">
        <v>1857</v>
      </c>
      <c r="AJ297" s="4">
        <v>-1983</v>
      </c>
      <c r="AK297" s="4">
        <v>468</v>
      </c>
      <c r="AL297" s="4">
        <v>2306</v>
      </c>
      <c r="AN297" s="3">
        <v>44819</v>
      </c>
      <c r="AO297" s="4">
        <v>2.96</v>
      </c>
      <c r="AP297" s="4">
        <v>3.77</v>
      </c>
      <c r="AQ297" s="4">
        <v>4.7590000000000003</v>
      </c>
      <c r="AR297" s="4">
        <v>10.613</v>
      </c>
      <c r="AS297" s="4">
        <f t="shared" si="20"/>
        <v>0.98900000000000032</v>
      </c>
      <c r="AT297" s="3">
        <v>44817</v>
      </c>
      <c r="AU297" s="4">
        <v>513434</v>
      </c>
      <c r="AV297" s="3">
        <v>44819</v>
      </c>
      <c r="AW297" s="4">
        <v>94879038</v>
      </c>
      <c r="AX297" s="4">
        <v>9979159</v>
      </c>
      <c r="AY297" s="4">
        <v>20027689</v>
      </c>
      <c r="AZ297" s="4">
        <v>127406215</v>
      </c>
      <c r="BA297" s="4">
        <v>150909002</v>
      </c>
      <c r="BB297" s="3">
        <v>44817</v>
      </c>
      <c r="BC297" s="4">
        <v>793115</v>
      </c>
    </row>
    <row r="298" spans="22:55" hidden="1">
      <c r="V298" s="3">
        <v>44797</v>
      </c>
      <c r="W298" s="4">
        <v>150539</v>
      </c>
      <c r="X298" s="4">
        <v>-3688</v>
      </c>
      <c r="Y298" s="4">
        <v>-141077</v>
      </c>
      <c r="Z298" s="4">
        <v>37321</v>
      </c>
      <c r="AA298" s="4">
        <v>-9406</v>
      </c>
      <c r="AB298" s="4">
        <v>-641</v>
      </c>
      <c r="AC298" s="4">
        <v>32788</v>
      </c>
      <c r="AD298" s="4">
        <v>2659</v>
      </c>
      <c r="AE298" s="4">
        <v>-36465</v>
      </c>
      <c r="AF298" s="4">
        <v>43321</v>
      </c>
      <c r="AG298" s="4">
        <v>-8497</v>
      </c>
      <c r="AH298" s="4">
        <v>94096</v>
      </c>
      <c r="AI298" s="4">
        <v>-50</v>
      </c>
      <c r="AJ298" s="4">
        <v>-548</v>
      </c>
      <c r="AK298" s="4">
        <v>530</v>
      </c>
      <c r="AL298" s="4">
        <v>3340</v>
      </c>
      <c r="AN298" s="3">
        <v>44818</v>
      </c>
      <c r="AO298" s="4">
        <v>2.94</v>
      </c>
      <c r="AP298" s="4">
        <v>3.585</v>
      </c>
      <c r="AQ298" s="4">
        <v>4.5789999999999997</v>
      </c>
      <c r="AR298" s="4">
        <v>10.433</v>
      </c>
      <c r="AS298" s="4">
        <f t="shared" si="20"/>
        <v>0.99399999999999977</v>
      </c>
      <c r="AT298" s="3">
        <v>44812</v>
      </c>
      <c r="AU298" s="4">
        <v>517043</v>
      </c>
      <c r="AV298" s="3">
        <v>44818</v>
      </c>
      <c r="AW298" s="4">
        <v>94574372</v>
      </c>
      <c r="AX298" s="4">
        <v>9975412</v>
      </c>
      <c r="AY298" s="4">
        <v>20032334</v>
      </c>
      <c r="AZ298" s="4">
        <v>127484671</v>
      </c>
      <c r="BA298" s="4">
        <v>149461278</v>
      </c>
      <c r="BB298" s="3">
        <v>44812</v>
      </c>
      <c r="BC298" s="4">
        <v>795296</v>
      </c>
    </row>
    <row r="299" spans="22:55" hidden="1">
      <c r="V299" s="3">
        <v>44796</v>
      </c>
      <c r="W299" s="4">
        <v>607</v>
      </c>
      <c r="X299" s="4">
        <v>138742</v>
      </c>
      <c r="Y299" s="4">
        <v>-130881</v>
      </c>
      <c r="Z299" s="4">
        <v>-19250</v>
      </c>
      <c r="AA299" s="4">
        <v>26681</v>
      </c>
      <c r="AB299" s="4">
        <v>35347</v>
      </c>
      <c r="AC299" s="4">
        <v>-63205</v>
      </c>
      <c r="AD299" s="4">
        <v>-34291</v>
      </c>
      <c r="AE299" s="4">
        <v>14509</v>
      </c>
      <c r="AF299" s="4">
        <v>26274</v>
      </c>
      <c r="AG299" s="4">
        <v>-34816</v>
      </c>
      <c r="AH299" s="4">
        <v>-87202</v>
      </c>
      <c r="AI299" s="4">
        <v>-2187</v>
      </c>
      <c r="AJ299" s="4">
        <v>1760</v>
      </c>
      <c r="AK299" s="4">
        <v>551</v>
      </c>
      <c r="AL299" s="4">
        <v>-4174</v>
      </c>
      <c r="AN299" s="3">
        <v>44817</v>
      </c>
      <c r="AO299" s="4">
        <v>2.93</v>
      </c>
      <c r="AP299" s="4">
        <v>3.536</v>
      </c>
      <c r="AQ299" s="4">
        <v>4.5250000000000004</v>
      </c>
      <c r="AR299" s="4">
        <v>10.38</v>
      </c>
      <c r="AS299" s="4">
        <f t="shared" si="20"/>
        <v>0.98900000000000032</v>
      </c>
      <c r="AT299" s="3">
        <v>44811</v>
      </c>
      <c r="AU299" s="4">
        <v>518803</v>
      </c>
      <c r="AV299" s="3">
        <v>44817</v>
      </c>
      <c r="AW299" s="4">
        <v>95493735</v>
      </c>
      <c r="AX299" s="4">
        <v>9972040</v>
      </c>
      <c r="AY299" s="4">
        <v>20047721</v>
      </c>
      <c r="AZ299" s="4">
        <v>127342330</v>
      </c>
      <c r="BA299" s="4">
        <v>150399576</v>
      </c>
      <c r="BB299" s="3">
        <v>44811</v>
      </c>
      <c r="BC299" s="4">
        <v>797372</v>
      </c>
    </row>
    <row r="300" spans="22:55" hidden="1">
      <c r="V300" s="3">
        <v>44795</v>
      </c>
      <c r="W300" s="4">
        <v>119234</v>
      </c>
      <c r="X300" s="4">
        <v>130975</v>
      </c>
      <c r="Y300" s="4">
        <v>-237472</v>
      </c>
      <c r="Z300" s="4">
        <v>3794</v>
      </c>
      <c r="AA300" s="4">
        <v>44480</v>
      </c>
      <c r="AB300" s="4">
        <v>148979</v>
      </c>
      <c r="AC300" s="4">
        <v>-183404</v>
      </c>
      <c r="AD300" s="4">
        <v>-29030</v>
      </c>
      <c r="AE300" s="4">
        <v>6489</v>
      </c>
      <c r="AF300" s="4">
        <v>-41366</v>
      </c>
      <c r="AG300" s="4">
        <v>35138</v>
      </c>
      <c r="AH300" s="4">
        <v>90703</v>
      </c>
      <c r="AI300" s="4">
        <v>2409</v>
      </c>
      <c r="AJ300" s="4">
        <v>100</v>
      </c>
      <c r="AK300" s="4">
        <v>-2317</v>
      </c>
      <c r="AL300" s="4">
        <v>-2432</v>
      </c>
      <c r="AN300" s="3">
        <v>44812</v>
      </c>
      <c r="AO300" s="4">
        <v>2.93</v>
      </c>
      <c r="AP300" s="4">
        <v>3.5430000000000001</v>
      </c>
      <c r="AQ300" s="4">
        <v>4.5410000000000004</v>
      </c>
      <c r="AR300" s="4">
        <v>10.398</v>
      </c>
      <c r="AS300" s="4">
        <f t="shared" si="20"/>
        <v>0.99800000000000022</v>
      </c>
      <c r="AT300" s="3">
        <v>44810</v>
      </c>
      <c r="AU300" s="4">
        <v>520426</v>
      </c>
      <c r="AV300" s="3">
        <v>44812</v>
      </c>
      <c r="AW300" s="4">
        <v>94001427</v>
      </c>
      <c r="AX300" s="4">
        <v>9962710</v>
      </c>
      <c r="AY300" s="4">
        <v>20056197</v>
      </c>
      <c r="AZ300" s="4">
        <v>127283831</v>
      </c>
      <c r="BA300" s="4">
        <v>153888897</v>
      </c>
      <c r="BB300" s="3">
        <v>44810</v>
      </c>
      <c r="BC300" s="4">
        <v>799264</v>
      </c>
    </row>
    <row r="301" spans="22:55" hidden="1">
      <c r="V301" s="3">
        <v>44792</v>
      </c>
      <c r="W301" s="4">
        <v>333750</v>
      </c>
      <c r="X301" s="4">
        <v>270770</v>
      </c>
      <c r="Y301" s="4">
        <v>-624261</v>
      </c>
      <c r="Z301" s="4">
        <v>-21754</v>
      </c>
      <c r="AA301" s="4">
        <v>-151400</v>
      </c>
      <c r="AB301" s="4">
        <v>280096</v>
      </c>
      <c r="AC301" s="4">
        <v>-127981</v>
      </c>
      <c r="AD301" s="4">
        <v>-13344</v>
      </c>
      <c r="AE301" s="4">
        <v>46699</v>
      </c>
      <c r="AF301" s="4">
        <v>-1980</v>
      </c>
      <c r="AG301" s="4">
        <v>-47255</v>
      </c>
      <c r="AH301" s="4">
        <v>22715</v>
      </c>
      <c r="AI301" s="4">
        <v>-1208</v>
      </c>
      <c r="AJ301" s="4">
        <v>1033</v>
      </c>
      <c r="AK301" s="4">
        <v>-76</v>
      </c>
      <c r="AL301" s="4">
        <v>-758</v>
      </c>
      <c r="AN301" s="3">
        <v>44811</v>
      </c>
      <c r="AO301" s="4">
        <v>2.93</v>
      </c>
      <c r="AP301" s="4">
        <v>3.6850000000000001</v>
      </c>
      <c r="AQ301" s="4">
        <v>4.6680000000000001</v>
      </c>
      <c r="AR301" s="4">
        <v>10.523999999999999</v>
      </c>
      <c r="AS301" s="4">
        <f t="shared" si="20"/>
        <v>0.9830000000000001</v>
      </c>
      <c r="AT301" s="3">
        <v>44809</v>
      </c>
      <c r="AU301" s="4">
        <v>522912</v>
      </c>
      <c r="AV301" s="3">
        <v>44811</v>
      </c>
      <c r="AW301" s="4">
        <v>93483933</v>
      </c>
      <c r="AX301" s="4">
        <v>9962317</v>
      </c>
      <c r="AY301" s="4">
        <v>20119003</v>
      </c>
      <c r="AZ301" s="4">
        <v>127491908</v>
      </c>
      <c r="BA301" s="4">
        <v>159676701</v>
      </c>
      <c r="BB301" s="3">
        <v>44809</v>
      </c>
      <c r="BC301" s="4">
        <v>799897</v>
      </c>
    </row>
    <row r="302" spans="22:55" hidden="1">
      <c r="V302" s="3">
        <v>44791</v>
      </c>
      <c r="W302" s="4">
        <v>303024</v>
      </c>
      <c r="X302" s="4">
        <v>134438</v>
      </c>
      <c r="Y302" s="4">
        <v>-443975</v>
      </c>
      <c r="Z302" s="4">
        <v>-27246</v>
      </c>
      <c r="AA302" s="4">
        <v>-7012</v>
      </c>
      <c r="AB302" s="4">
        <v>89152</v>
      </c>
      <c r="AC302" s="4">
        <v>-51289</v>
      </c>
      <c r="AD302" s="4">
        <v>-2270</v>
      </c>
      <c r="AE302" s="4">
        <v>-3809</v>
      </c>
      <c r="AF302" s="4">
        <v>-4897</v>
      </c>
      <c r="AG302" s="4">
        <v>11584</v>
      </c>
      <c r="AH302" s="4">
        <v>122636</v>
      </c>
      <c r="AI302" s="4">
        <v>5295</v>
      </c>
      <c r="AJ302" s="4">
        <v>-1826</v>
      </c>
      <c r="AK302" s="4">
        <v>-3715</v>
      </c>
      <c r="AL302" s="4">
        <v>95</v>
      </c>
      <c r="AN302" s="3">
        <v>44810</v>
      </c>
      <c r="AO302" s="4">
        <v>2.93</v>
      </c>
      <c r="AP302" s="4">
        <v>3.6819999999999999</v>
      </c>
      <c r="AQ302" s="4">
        <v>4.6619999999999999</v>
      </c>
      <c r="AR302" s="4">
        <v>10.516999999999999</v>
      </c>
      <c r="AS302" s="4">
        <f t="shared" si="20"/>
        <v>0.98</v>
      </c>
      <c r="AT302" s="3">
        <v>44806</v>
      </c>
      <c r="AU302" s="4">
        <v>547126</v>
      </c>
      <c r="AV302" s="3">
        <v>44810</v>
      </c>
      <c r="AW302" s="4">
        <v>93863013</v>
      </c>
      <c r="AX302" s="4">
        <v>9952141</v>
      </c>
      <c r="AY302" s="4">
        <v>20161051</v>
      </c>
      <c r="AZ302" s="4">
        <v>127545258</v>
      </c>
      <c r="BA302" s="4">
        <v>160510037</v>
      </c>
      <c r="BB302" s="3">
        <v>44806</v>
      </c>
      <c r="BC302" s="4">
        <v>798889</v>
      </c>
    </row>
    <row r="303" spans="22:55" hidden="1">
      <c r="V303" s="3">
        <v>44790</v>
      </c>
      <c r="W303" s="4">
        <v>51384</v>
      </c>
      <c r="X303" s="4">
        <v>154722</v>
      </c>
      <c r="Y303" s="4">
        <v>-199755</v>
      </c>
      <c r="Z303" s="4">
        <v>-61748</v>
      </c>
      <c r="AA303" s="4">
        <v>-17613</v>
      </c>
      <c r="AB303" s="4">
        <v>123712</v>
      </c>
      <c r="AC303" s="4">
        <v>-82936</v>
      </c>
      <c r="AD303" s="4">
        <v>12095</v>
      </c>
      <c r="AE303" s="4">
        <v>-7901</v>
      </c>
      <c r="AF303" s="4">
        <v>-4267</v>
      </c>
      <c r="AG303" s="4">
        <v>24154</v>
      </c>
      <c r="AH303" s="4">
        <v>67376</v>
      </c>
      <c r="AI303" s="4">
        <v>-5506</v>
      </c>
      <c r="AJ303" s="4">
        <v>3710</v>
      </c>
      <c r="AK303" s="4">
        <v>1520</v>
      </c>
      <c r="AL303" s="4">
        <v>376</v>
      </c>
      <c r="AN303" s="3">
        <v>44809</v>
      </c>
      <c r="AO303" s="4">
        <v>2.93</v>
      </c>
      <c r="AP303" s="4">
        <v>3.6160000000000001</v>
      </c>
      <c r="AQ303" s="4">
        <v>4.5960000000000001</v>
      </c>
      <c r="AR303" s="4">
        <v>10.452999999999999</v>
      </c>
      <c r="AS303" s="4">
        <f t="shared" si="20"/>
        <v>0.98</v>
      </c>
      <c r="AT303" s="3">
        <v>44805</v>
      </c>
      <c r="AU303" s="4">
        <v>555022</v>
      </c>
      <c r="AV303" s="3">
        <v>44809</v>
      </c>
      <c r="AW303" s="4">
        <v>93842100</v>
      </c>
      <c r="AX303" s="4">
        <v>9937816</v>
      </c>
      <c r="AY303" s="4">
        <v>20231368</v>
      </c>
      <c r="AZ303" s="4">
        <v>127871231</v>
      </c>
      <c r="BA303" s="4">
        <v>159651215</v>
      </c>
      <c r="BB303" s="3">
        <v>44805</v>
      </c>
      <c r="BC303" s="4">
        <v>796374</v>
      </c>
    </row>
    <row r="304" spans="22:55" hidden="1">
      <c r="V304" s="3">
        <v>44789</v>
      </c>
      <c r="W304" s="4">
        <v>49043</v>
      </c>
      <c r="X304" s="4">
        <v>-54263</v>
      </c>
      <c r="Y304" s="4">
        <v>-17359</v>
      </c>
      <c r="Z304" s="4">
        <v>-24967</v>
      </c>
      <c r="AA304" s="4">
        <v>123021</v>
      </c>
      <c r="AB304" s="4">
        <v>-50905</v>
      </c>
      <c r="AC304" s="4">
        <v>-56122</v>
      </c>
      <c r="AD304" s="4">
        <v>2750</v>
      </c>
      <c r="AE304" s="4">
        <v>75535</v>
      </c>
      <c r="AF304" s="4">
        <v>-92055</v>
      </c>
      <c r="AG304" s="4">
        <v>38363</v>
      </c>
      <c r="AH304" s="4">
        <v>-54871</v>
      </c>
      <c r="AI304" s="4">
        <v>-589</v>
      </c>
      <c r="AJ304" s="4">
        <v>150</v>
      </c>
      <c r="AK304" s="4">
        <v>460</v>
      </c>
      <c r="AL304" s="4">
        <v>-1975</v>
      </c>
      <c r="AN304" s="3">
        <v>44806</v>
      </c>
      <c r="AO304" s="4">
        <v>2.93</v>
      </c>
      <c r="AP304" s="4">
        <v>3.6779999999999999</v>
      </c>
      <c r="AQ304" s="4">
        <v>4.6550000000000002</v>
      </c>
      <c r="AR304" s="4">
        <v>10.518000000000001</v>
      </c>
      <c r="AS304" s="4">
        <f t="shared" si="20"/>
        <v>0.97700000000000031</v>
      </c>
      <c r="AT304" s="3">
        <v>44804</v>
      </c>
      <c r="AU304" s="4">
        <v>530633</v>
      </c>
      <c r="AV304" s="3">
        <v>44806</v>
      </c>
      <c r="AW304" s="4">
        <v>94156527</v>
      </c>
      <c r="AX304" s="4">
        <v>9940518</v>
      </c>
      <c r="AY304" s="4">
        <v>20271593</v>
      </c>
      <c r="AZ304" s="4">
        <v>127913730</v>
      </c>
      <c r="BA304" s="4">
        <v>156167473</v>
      </c>
      <c r="BB304" s="3">
        <v>44804</v>
      </c>
      <c r="BC304" s="4">
        <v>794099</v>
      </c>
    </row>
    <row r="305" spans="22:55" hidden="1">
      <c r="V305" s="3">
        <v>44785</v>
      </c>
      <c r="W305" s="4">
        <v>-12990</v>
      </c>
      <c r="X305" s="4">
        <v>-224295</v>
      </c>
      <c r="Y305" s="4">
        <v>202685</v>
      </c>
      <c r="Z305" s="4">
        <v>21080</v>
      </c>
      <c r="AA305" s="4">
        <v>6853</v>
      </c>
      <c r="AB305" s="4">
        <v>89972</v>
      </c>
      <c r="AC305" s="4">
        <v>-76310</v>
      </c>
      <c r="AD305" s="4">
        <v>-11519</v>
      </c>
      <c r="AE305" s="4">
        <v>-40243</v>
      </c>
      <c r="AF305" s="4">
        <v>64891</v>
      </c>
      <c r="AG305" s="4">
        <v>-19669</v>
      </c>
      <c r="AH305" s="4">
        <v>-135132</v>
      </c>
      <c r="AI305" s="4">
        <v>5038</v>
      </c>
      <c r="AJ305" s="4">
        <v>-1354</v>
      </c>
      <c r="AK305" s="4">
        <v>-2515</v>
      </c>
      <c r="AL305" s="4">
        <v>-1272</v>
      </c>
      <c r="AN305" s="3">
        <v>44805</v>
      </c>
      <c r="AO305" s="4">
        <v>2.92</v>
      </c>
      <c r="AP305" s="4">
        <v>3.778</v>
      </c>
      <c r="AQ305" s="4">
        <v>4.7469999999999999</v>
      </c>
      <c r="AR305" s="4">
        <v>10.605</v>
      </c>
      <c r="AS305" s="4">
        <f t="shared" si="20"/>
        <v>0.96899999999999986</v>
      </c>
      <c r="AT305" s="3">
        <v>44803</v>
      </c>
      <c r="AU305" s="4">
        <v>541642</v>
      </c>
      <c r="AV305" s="3">
        <v>44805</v>
      </c>
      <c r="AW305" s="4">
        <v>94158655</v>
      </c>
      <c r="AX305" s="4">
        <v>9944761</v>
      </c>
      <c r="AY305" s="4">
        <v>20302611</v>
      </c>
      <c r="AZ305" s="4">
        <v>127904979</v>
      </c>
      <c r="BA305" s="4">
        <v>152453550</v>
      </c>
      <c r="BB305" s="3">
        <v>44803</v>
      </c>
      <c r="BC305" s="4">
        <v>797611</v>
      </c>
    </row>
    <row r="306" spans="22:55" hidden="1">
      <c r="V306" s="3">
        <v>44784</v>
      </c>
      <c r="W306" s="4">
        <v>138609</v>
      </c>
      <c r="X306" s="4">
        <v>-601263</v>
      </c>
      <c r="Y306" s="4">
        <v>461172</v>
      </c>
      <c r="Z306" s="4">
        <v>35467</v>
      </c>
      <c r="AA306" s="4">
        <v>69425</v>
      </c>
      <c r="AB306" s="4">
        <v>-166937</v>
      </c>
      <c r="AC306" s="4">
        <v>110506</v>
      </c>
      <c r="AD306" s="4">
        <v>-14425</v>
      </c>
      <c r="AE306" s="4">
        <v>-4008</v>
      </c>
      <c r="AF306" s="4">
        <v>-109776</v>
      </c>
      <c r="AG306" s="4">
        <v>112067</v>
      </c>
      <c r="AH306" s="4">
        <v>91596</v>
      </c>
      <c r="AI306" s="4">
        <v>7780</v>
      </c>
      <c r="AJ306" s="4">
        <v>-3955</v>
      </c>
      <c r="AK306" s="4">
        <v>-3216</v>
      </c>
      <c r="AL306" s="4">
        <v>6324</v>
      </c>
      <c r="AN306" s="3">
        <v>44804</v>
      </c>
      <c r="AO306" s="4">
        <v>2.92</v>
      </c>
      <c r="AP306" s="4">
        <v>3.6850000000000001</v>
      </c>
      <c r="AQ306" s="4">
        <v>4.6580000000000004</v>
      </c>
      <c r="AR306" s="4">
        <v>10.516999999999999</v>
      </c>
      <c r="AS306" s="4">
        <f t="shared" si="20"/>
        <v>0.97300000000000031</v>
      </c>
      <c r="AT306" s="3">
        <v>44802</v>
      </c>
      <c r="AU306" s="4">
        <v>551706</v>
      </c>
      <c r="AV306" s="3">
        <v>44804</v>
      </c>
      <c r="AW306" s="4">
        <v>94917069</v>
      </c>
      <c r="AX306" s="4">
        <v>9945705</v>
      </c>
      <c r="AY306" s="4">
        <v>20350271</v>
      </c>
      <c r="AZ306" s="4">
        <v>127958258</v>
      </c>
      <c r="BA306" s="4">
        <v>152958765</v>
      </c>
      <c r="BB306" s="3">
        <v>44802</v>
      </c>
      <c r="BC306" s="4">
        <v>800027</v>
      </c>
    </row>
    <row r="307" spans="22:55" hidden="1">
      <c r="V307" s="3">
        <v>44783</v>
      </c>
      <c r="W307" s="4">
        <v>-102274</v>
      </c>
      <c r="X307" s="4">
        <v>262142</v>
      </c>
      <c r="Y307" s="4">
        <v>-203171</v>
      </c>
      <c r="Z307" s="4">
        <v>-46172</v>
      </c>
      <c r="AA307" s="4">
        <v>-79864</v>
      </c>
      <c r="AB307" s="4">
        <v>223577</v>
      </c>
      <c r="AC307" s="4">
        <v>-129755</v>
      </c>
      <c r="AD307" s="4">
        <v>-31043</v>
      </c>
      <c r="AE307" s="4">
        <v>27108</v>
      </c>
      <c r="AF307" s="4">
        <v>22990</v>
      </c>
      <c r="AG307" s="4">
        <v>-56154</v>
      </c>
      <c r="AH307" s="4">
        <v>-110928</v>
      </c>
      <c r="AI307" s="4">
        <v>-8306</v>
      </c>
      <c r="AJ307" s="4">
        <v>4208</v>
      </c>
      <c r="AK307" s="4">
        <v>4401</v>
      </c>
      <c r="AL307" s="4">
        <v>-5493</v>
      </c>
      <c r="AN307" s="3">
        <v>44803</v>
      </c>
      <c r="AO307" s="4">
        <v>2.92</v>
      </c>
      <c r="AP307" s="4">
        <v>3.6419999999999999</v>
      </c>
      <c r="AQ307" s="4">
        <v>4.6180000000000003</v>
      </c>
      <c r="AR307" s="4">
        <v>10.475</v>
      </c>
      <c r="AS307" s="4">
        <f t="shared" si="20"/>
        <v>0.97600000000000042</v>
      </c>
      <c r="AT307" s="3">
        <v>44799</v>
      </c>
      <c r="AU307" s="4">
        <v>542650</v>
      </c>
      <c r="AV307" s="3">
        <v>44803</v>
      </c>
      <c r="AW307" s="4">
        <v>94856940</v>
      </c>
      <c r="AX307" s="4">
        <v>9942193</v>
      </c>
      <c r="AY307" s="4">
        <v>20402489</v>
      </c>
      <c r="AZ307" s="4">
        <v>128168758</v>
      </c>
      <c r="BA307" s="4">
        <v>156703334</v>
      </c>
      <c r="BB307" s="3">
        <v>44799</v>
      </c>
      <c r="BC307" s="4">
        <v>803267</v>
      </c>
    </row>
    <row r="308" spans="22:55" hidden="1">
      <c r="V308" s="3">
        <v>44782</v>
      </c>
      <c r="W308" s="4">
        <v>32950</v>
      </c>
      <c r="X308" s="4">
        <v>-176707</v>
      </c>
      <c r="Y308" s="4">
        <v>137075</v>
      </c>
      <c r="Z308" s="4">
        <v>-21892</v>
      </c>
      <c r="AA308" s="4">
        <v>-23228</v>
      </c>
      <c r="AB308" s="4">
        <v>54565</v>
      </c>
      <c r="AC308" s="4">
        <v>-23891</v>
      </c>
      <c r="AD308" s="4">
        <v>-10068</v>
      </c>
      <c r="AE308" s="4">
        <v>-2009</v>
      </c>
      <c r="AF308" s="4">
        <v>-14206</v>
      </c>
      <c r="AG308" s="4">
        <v>10947</v>
      </c>
      <c r="AH308" s="4">
        <v>122743</v>
      </c>
      <c r="AI308" s="4">
        <v>5918</v>
      </c>
      <c r="AJ308" s="4">
        <v>-2603</v>
      </c>
      <c r="AK308" s="4">
        <v>-3741</v>
      </c>
      <c r="AL308" s="4">
        <v>3082</v>
      </c>
      <c r="AN308" s="3">
        <v>44802</v>
      </c>
      <c r="AO308" s="4">
        <v>2.92</v>
      </c>
      <c r="AP308" s="4">
        <v>3.653</v>
      </c>
      <c r="AQ308" s="4">
        <v>4.6210000000000004</v>
      </c>
      <c r="AR308" s="4">
        <v>10.481999999999999</v>
      </c>
      <c r="AS308" s="4">
        <f t="shared" si="20"/>
        <v>0.96800000000000042</v>
      </c>
      <c r="AT308" s="3">
        <v>44798</v>
      </c>
      <c r="AU308" s="4">
        <v>542994</v>
      </c>
      <c r="AV308" s="3">
        <v>44802</v>
      </c>
      <c r="AW308" s="4">
        <v>94646870</v>
      </c>
      <c r="AX308" s="4">
        <v>9940637</v>
      </c>
      <c r="AY308" s="4">
        <v>20419276</v>
      </c>
      <c r="AZ308" s="4">
        <v>128114219</v>
      </c>
      <c r="BA308" s="4">
        <v>157749949</v>
      </c>
      <c r="BB308" s="3">
        <v>44798</v>
      </c>
      <c r="BC308" s="4">
        <v>802817</v>
      </c>
    </row>
    <row r="309" spans="22:55" hidden="1">
      <c r="V309" s="3">
        <v>44781</v>
      </c>
      <c r="W309" s="4">
        <v>175749</v>
      </c>
      <c r="X309" s="4">
        <v>83243</v>
      </c>
      <c r="Y309" s="4">
        <v>-296191</v>
      </c>
      <c r="Z309" s="4">
        <v>14652</v>
      </c>
      <c r="AA309" s="4">
        <v>-47474</v>
      </c>
      <c r="AB309" s="4">
        <v>120053</v>
      </c>
      <c r="AC309" s="4">
        <v>-61142</v>
      </c>
      <c r="AD309" s="4">
        <v>-7937</v>
      </c>
      <c r="AE309" s="4">
        <v>33863</v>
      </c>
      <c r="AF309" s="4">
        <v>-68479</v>
      </c>
      <c r="AG309" s="4">
        <v>36091</v>
      </c>
      <c r="AH309" s="4">
        <v>-91559</v>
      </c>
      <c r="AI309" s="4">
        <v>-1250</v>
      </c>
      <c r="AJ309" s="4">
        <v>-956</v>
      </c>
      <c r="AK309" s="4">
        <v>2589</v>
      </c>
      <c r="AL309" s="4">
        <v>-2581</v>
      </c>
      <c r="AN309" s="3">
        <v>44799</v>
      </c>
      <c r="AO309" s="4">
        <v>2.92</v>
      </c>
      <c r="AP309" s="4">
        <v>3.5249999999999999</v>
      </c>
      <c r="AQ309" s="4">
        <v>4.4989999999999997</v>
      </c>
      <c r="AR309" s="4">
        <v>10.356</v>
      </c>
      <c r="AS309" s="4">
        <f t="shared" si="20"/>
        <v>0.97399999999999975</v>
      </c>
      <c r="AT309" s="3">
        <v>44797</v>
      </c>
      <c r="AU309" s="4">
        <v>546814</v>
      </c>
      <c r="AV309" s="3">
        <v>44799</v>
      </c>
      <c r="AW309" s="4">
        <v>95217698</v>
      </c>
      <c r="AX309" s="4">
        <v>9953611</v>
      </c>
      <c r="AY309" s="4">
        <v>20475245</v>
      </c>
      <c r="AZ309" s="4">
        <v>128102393</v>
      </c>
      <c r="BA309" s="4">
        <v>156725922</v>
      </c>
      <c r="BB309" s="3">
        <v>44797</v>
      </c>
      <c r="BC309" s="4">
        <v>805971</v>
      </c>
    </row>
    <row r="310" spans="22:55" hidden="1">
      <c r="V310" s="3">
        <v>44778</v>
      </c>
      <c r="W310" s="4">
        <v>375549</v>
      </c>
      <c r="X310" s="4">
        <v>-415723</v>
      </c>
      <c r="Y310" s="4">
        <v>43866</v>
      </c>
      <c r="Z310" s="4">
        <v>-22932</v>
      </c>
      <c r="AA310" s="4">
        <v>57244</v>
      </c>
      <c r="AB310" s="4">
        <v>-82382</v>
      </c>
      <c r="AC310" s="4">
        <v>39692</v>
      </c>
      <c r="AD310" s="4">
        <v>11151</v>
      </c>
      <c r="AE310" s="4">
        <v>9705</v>
      </c>
      <c r="AF310" s="4">
        <v>-153238</v>
      </c>
      <c r="AG310" s="4">
        <v>144050</v>
      </c>
      <c r="AH310" s="4">
        <v>-129444</v>
      </c>
      <c r="AI310" s="4">
        <v>2125</v>
      </c>
      <c r="AJ310" s="4">
        <v>51</v>
      </c>
      <c r="AK310" s="4">
        <v>-2499</v>
      </c>
      <c r="AL310" s="4">
        <v>325</v>
      </c>
      <c r="AN310" s="3">
        <v>44798</v>
      </c>
      <c r="AO310" s="4">
        <v>2.92</v>
      </c>
      <c r="AP310" s="4">
        <v>3.5310000000000001</v>
      </c>
      <c r="AQ310" s="4">
        <v>4.5069999999999997</v>
      </c>
      <c r="AR310" s="4">
        <v>10.365</v>
      </c>
      <c r="AS310" s="4">
        <f t="shared" si="20"/>
        <v>0.97599999999999953</v>
      </c>
      <c r="AT310" s="3">
        <v>44796</v>
      </c>
      <c r="AU310" s="4">
        <v>548351</v>
      </c>
      <c r="AV310" s="3">
        <v>44798</v>
      </c>
      <c r="AW310" s="4">
        <v>95081575</v>
      </c>
      <c r="AX310" s="4">
        <v>9955860</v>
      </c>
      <c r="AY310" s="4">
        <v>20494544</v>
      </c>
      <c r="AZ310" s="4">
        <v>128148843</v>
      </c>
      <c r="BA310" s="4">
        <v>156928815</v>
      </c>
      <c r="BB310" s="3">
        <v>44796</v>
      </c>
      <c r="BC310" s="4">
        <v>809694</v>
      </c>
    </row>
    <row r="311" spans="22:55" hidden="1">
      <c r="V311" s="3">
        <v>44777</v>
      </c>
      <c r="W311" s="4">
        <v>197412</v>
      </c>
      <c r="X311" s="4">
        <v>12004</v>
      </c>
      <c r="Y311" s="4">
        <v>-226474</v>
      </c>
      <c r="Z311" s="4">
        <v>368</v>
      </c>
      <c r="AA311" s="4">
        <v>131570</v>
      </c>
      <c r="AB311" s="4">
        <v>-80278</v>
      </c>
      <c r="AC311" s="4">
        <v>-34202</v>
      </c>
      <c r="AD311" s="4">
        <v>11006</v>
      </c>
      <c r="AE311" s="4">
        <v>7530</v>
      </c>
      <c r="AF311" s="4">
        <v>-82912</v>
      </c>
      <c r="AG311" s="4">
        <v>53767</v>
      </c>
      <c r="AH311" s="4">
        <v>-115348</v>
      </c>
      <c r="AI311" s="4">
        <v>-6742</v>
      </c>
      <c r="AJ311" s="4">
        <v>1939</v>
      </c>
      <c r="AK311" s="4">
        <v>5566</v>
      </c>
      <c r="AL311" s="4">
        <v>-1629</v>
      </c>
      <c r="AN311" s="3">
        <v>44797</v>
      </c>
      <c r="AO311" s="4">
        <v>2.76</v>
      </c>
      <c r="AP311" s="4">
        <v>3.3109999999999999</v>
      </c>
      <c r="AQ311" s="4">
        <v>4.298</v>
      </c>
      <c r="AR311" s="4">
        <v>10.154999999999999</v>
      </c>
      <c r="AS311" s="4">
        <f t="shared" si="20"/>
        <v>0.9870000000000001</v>
      </c>
      <c r="AT311" s="3">
        <v>44795</v>
      </c>
      <c r="AU311" s="4">
        <v>548323</v>
      </c>
      <c r="AV311" s="3">
        <v>44797</v>
      </c>
      <c r="AW311" s="4">
        <v>94740671</v>
      </c>
      <c r="AX311" s="4">
        <v>9956808</v>
      </c>
      <c r="AY311" s="4">
        <v>20501121</v>
      </c>
      <c r="AZ311" s="4">
        <v>127883697</v>
      </c>
      <c r="BA311" s="4">
        <v>157923845</v>
      </c>
      <c r="BB311" s="3">
        <v>44795</v>
      </c>
      <c r="BC311" s="4">
        <v>812594</v>
      </c>
    </row>
    <row r="312" spans="22:55" hidden="1">
      <c r="V312" s="3">
        <v>44776</v>
      </c>
      <c r="W312" s="4">
        <v>475741</v>
      </c>
      <c r="X312" s="4">
        <v>-330862</v>
      </c>
      <c r="Y312" s="4">
        <v>-146529</v>
      </c>
      <c r="Z312" s="4">
        <v>-47639</v>
      </c>
      <c r="AA312" s="4">
        <v>80163</v>
      </c>
      <c r="AB312" s="4">
        <v>-135087</v>
      </c>
      <c r="AC312" s="4">
        <v>61297</v>
      </c>
      <c r="AD312" s="4">
        <v>4082</v>
      </c>
      <c r="AE312" s="4">
        <v>34128</v>
      </c>
      <c r="AF312" s="4">
        <v>38018</v>
      </c>
      <c r="AG312" s="4">
        <v>-76354</v>
      </c>
      <c r="AH312" s="4">
        <v>75658</v>
      </c>
      <c r="AI312" s="4">
        <v>6512</v>
      </c>
      <c r="AJ312" s="4">
        <v>-3519</v>
      </c>
      <c r="AK312" s="4">
        <v>-2909</v>
      </c>
      <c r="AL312" s="4">
        <v>3276</v>
      </c>
      <c r="AN312" s="3">
        <v>44796</v>
      </c>
      <c r="AO312" s="4">
        <v>2.76</v>
      </c>
      <c r="AP312" s="4">
        <v>3.2810000000000001</v>
      </c>
      <c r="AQ312" s="4">
        <v>4.2699999999999996</v>
      </c>
      <c r="AR312" s="4">
        <v>10.122999999999999</v>
      </c>
      <c r="AS312" s="4">
        <f t="shared" si="20"/>
        <v>0.98899999999999944</v>
      </c>
      <c r="AT312" s="3">
        <v>44792</v>
      </c>
      <c r="AU312" s="4">
        <v>552274</v>
      </c>
      <c r="AV312" s="3">
        <v>44796</v>
      </c>
      <c r="AW312" s="4">
        <v>94744259</v>
      </c>
      <c r="AX312" s="4">
        <v>9955963</v>
      </c>
      <c r="AY312" s="4">
        <v>20984998</v>
      </c>
      <c r="AZ312" s="4">
        <v>128207266</v>
      </c>
      <c r="BA312" s="4">
        <v>161110437</v>
      </c>
      <c r="BB312" s="3">
        <v>44792</v>
      </c>
      <c r="BC312" s="4">
        <v>814809</v>
      </c>
    </row>
    <row r="313" spans="22:55" hidden="1">
      <c r="V313" s="3">
        <v>44775</v>
      </c>
      <c r="W313" s="4">
        <v>296248</v>
      </c>
      <c r="X313" s="4">
        <v>292351</v>
      </c>
      <c r="Y313" s="4">
        <v>-595964</v>
      </c>
      <c r="Z313" s="4">
        <v>-79974</v>
      </c>
      <c r="AA313" s="4">
        <v>-100100</v>
      </c>
      <c r="AB313" s="4">
        <v>152371</v>
      </c>
      <c r="AC313" s="4">
        <v>-47593</v>
      </c>
      <c r="AD313" s="4">
        <v>6745</v>
      </c>
      <c r="AE313" s="4">
        <v>11976</v>
      </c>
      <c r="AF313" s="4">
        <v>-36817</v>
      </c>
      <c r="AG313" s="4">
        <v>31116</v>
      </c>
      <c r="AH313" s="4">
        <v>58829</v>
      </c>
      <c r="AI313" s="4">
        <v>-3514</v>
      </c>
      <c r="AJ313" s="4">
        <v>1380</v>
      </c>
      <c r="AK313" s="4">
        <v>1890</v>
      </c>
      <c r="AL313" s="4">
        <v>-900</v>
      </c>
      <c r="AN313" s="3">
        <v>44795</v>
      </c>
      <c r="AO313" s="4">
        <v>2.76</v>
      </c>
      <c r="AP313" s="4">
        <v>3.2450000000000001</v>
      </c>
      <c r="AQ313" s="4">
        <v>4.2350000000000003</v>
      </c>
      <c r="AR313" s="4">
        <v>10.086</v>
      </c>
      <c r="AS313" s="4">
        <f t="shared" si="20"/>
        <v>0.99000000000000021</v>
      </c>
      <c r="AT313" s="3">
        <v>44791</v>
      </c>
      <c r="AU313" s="4">
        <v>552252</v>
      </c>
      <c r="AV313" s="3">
        <v>44795</v>
      </c>
      <c r="AW313" s="4">
        <v>95349375</v>
      </c>
      <c r="AX313" s="4">
        <v>9956451</v>
      </c>
      <c r="AY313" s="4">
        <v>20996237</v>
      </c>
      <c r="AZ313" s="4">
        <v>128285974</v>
      </c>
      <c r="BA313" s="4">
        <v>161378844</v>
      </c>
      <c r="BB313" s="3">
        <v>44791</v>
      </c>
      <c r="BC313" s="4">
        <v>811222</v>
      </c>
    </row>
    <row r="314" spans="22:55" hidden="1">
      <c r="V314" s="3">
        <v>44774</v>
      </c>
      <c r="W314" s="4">
        <v>136178</v>
      </c>
      <c r="X314" s="4">
        <v>41105</v>
      </c>
      <c r="Y314" s="4">
        <v>-175524</v>
      </c>
      <c r="Z314" s="4">
        <v>-25713</v>
      </c>
      <c r="AA314" s="4">
        <v>24536</v>
      </c>
      <c r="AB314" s="4">
        <v>-12986</v>
      </c>
      <c r="AC314" s="4">
        <v>-10709</v>
      </c>
      <c r="AD314" s="4">
        <v>7281</v>
      </c>
      <c r="AE314" s="4">
        <v>19838</v>
      </c>
      <c r="AF314" s="4">
        <v>2038</v>
      </c>
      <c r="AG314" s="4">
        <v>-31692</v>
      </c>
      <c r="AH314" s="4">
        <v>-37684</v>
      </c>
      <c r="AI314" s="4">
        <v>4835</v>
      </c>
      <c r="AJ314" s="4">
        <v>-2434</v>
      </c>
      <c r="AK314" s="4">
        <v>-2648</v>
      </c>
      <c r="AL314" s="4">
        <v>-964</v>
      </c>
      <c r="AN314" s="3">
        <v>44792</v>
      </c>
      <c r="AO314" s="4">
        <v>2.76</v>
      </c>
      <c r="AP314" s="4">
        <v>3.1970000000000001</v>
      </c>
      <c r="AQ314" s="4">
        <v>4.1859999999999999</v>
      </c>
      <c r="AR314" s="4">
        <v>10.036</v>
      </c>
      <c r="AS314" s="4">
        <f t="shared" si="20"/>
        <v>0.98899999999999988</v>
      </c>
      <c r="AT314" s="3">
        <v>44790</v>
      </c>
      <c r="AU314" s="4">
        <v>560036</v>
      </c>
      <c r="AV314" s="3">
        <v>44792</v>
      </c>
      <c r="AW314" s="4">
        <v>95938861</v>
      </c>
      <c r="AX314" s="4">
        <v>9958370</v>
      </c>
      <c r="AY314" s="4">
        <v>21014428</v>
      </c>
      <c r="AZ314" s="4">
        <v>128041232</v>
      </c>
      <c r="BA314" s="4">
        <v>160808143</v>
      </c>
      <c r="BB314" s="3">
        <v>44790</v>
      </c>
      <c r="BC314" s="4">
        <v>809899</v>
      </c>
    </row>
    <row r="315" spans="22:55" hidden="1">
      <c r="V315" s="3">
        <v>44771</v>
      </c>
      <c r="W315" s="4">
        <v>337277</v>
      </c>
      <c r="X315" s="4">
        <v>-493248</v>
      </c>
      <c r="Y315" s="4">
        <v>147828</v>
      </c>
      <c r="Z315" s="4">
        <v>-66133</v>
      </c>
      <c r="AA315" s="4">
        <v>67287</v>
      </c>
      <c r="AB315" s="4">
        <v>-67142</v>
      </c>
      <c r="AC315" s="4">
        <v>18004</v>
      </c>
      <c r="AD315" s="4">
        <v>8653</v>
      </c>
      <c r="AE315" s="4">
        <v>27192</v>
      </c>
      <c r="AF315" s="4">
        <v>-102592</v>
      </c>
      <c r="AG315" s="4">
        <v>67019</v>
      </c>
      <c r="AH315" s="4">
        <v>-72021</v>
      </c>
      <c r="AI315" s="4">
        <v>191</v>
      </c>
      <c r="AJ315" s="4">
        <v>1033</v>
      </c>
      <c r="AK315" s="4">
        <v>-479</v>
      </c>
      <c r="AL315" s="4">
        <v>-1118</v>
      </c>
      <c r="AN315" s="3">
        <v>44791</v>
      </c>
      <c r="AO315" s="4">
        <v>2.76</v>
      </c>
      <c r="AP315" s="4">
        <v>3.125</v>
      </c>
      <c r="AQ315" s="4">
        <v>4.1139999999999999</v>
      </c>
      <c r="AR315" s="4">
        <v>9.9640000000000004</v>
      </c>
      <c r="AS315" s="4">
        <f t="shared" si="20"/>
        <v>0.98899999999999988</v>
      </c>
      <c r="AT315" s="3">
        <v>44789</v>
      </c>
      <c r="AU315" s="4">
        <v>569498</v>
      </c>
      <c r="AV315" s="3">
        <v>44791</v>
      </c>
      <c r="AW315" s="4">
        <v>96188680</v>
      </c>
      <c r="AX315" s="4">
        <v>9966269</v>
      </c>
      <c r="AY315" s="4">
        <v>21036534</v>
      </c>
      <c r="AZ315" s="4">
        <v>128041174</v>
      </c>
      <c r="BA315" s="4">
        <v>161247282</v>
      </c>
      <c r="BB315" s="3">
        <v>44789</v>
      </c>
      <c r="BC315" s="4">
        <v>812580</v>
      </c>
    </row>
    <row r="316" spans="22:55" hidden="1">
      <c r="V316" s="3">
        <v>44770</v>
      </c>
      <c r="W316" s="4">
        <v>408899</v>
      </c>
      <c r="X316" s="4">
        <v>-328033</v>
      </c>
      <c r="Y316" s="4">
        <v>-60189</v>
      </c>
      <c r="Z316" s="4">
        <v>-14025</v>
      </c>
      <c r="AA316" s="4">
        <v>-5385</v>
      </c>
      <c r="AB316" s="4">
        <v>42751</v>
      </c>
      <c r="AC316" s="4">
        <v>-29540</v>
      </c>
      <c r="AD316" s="4">
        <v>2568</v>
      </c>
      <c r="AE316" s="4">
        <v>187</v>
      </c>
      <c r="AF316" s="4">
        <v>-13392</v>
      </c>
      <c r="AG316" s="4">
        <v>7744</v>
      </c>
      <c r="AH316" s="4">
        <v>52177</v>
      </c>
      <c r="AI316" s="4">
        <v>-1328</v>
      </c>
      <c r="AJ316" s="4">
        <v>-203</v>
      </c>
      <c r="AK316" s="4">
        <v>2110</v>
      </c>
      <c r="AL316" s="4">
        <v>5219</v>
      </c>
      <c r="AN316" s="3">
        <v>44790</v>
      </c>
      <c r="AO316" s="4">
        <v>2.76</v>
      </c>
      <c r="AP316" s="4">
        <v>3.0870000000000002</v>
      </c>
      <c r="AQ316" s="4">
        <v>4.0759999999999996</v>
      </c>
      <c r="AR316" s="4">
        <v>9.9260000000000002</v>
      </c>
      <c r="AS316" s="4">
        <f t="shared" si="20"/>
        <v>0.98899999999999944</v>
      </c>
      <c r="AT316" s="3">
        <v>44785</v>
      </c>
      <c r="AU316" s="4">
        <v>553138</v>
      </c>
      <c r="AV316" s="3">
        <v>44790</v>
      </c>
      <c r="AW316" s="4">
        <v>96447171</v>
      </c>
      <c r="AX316" s="4">
        <v>9953961</v>
      </c>
      <c r="AY316" s="4">
        <v>21051020</v>
      </c>
      <c r="AZ316" s="4">
        <v>127782842</v>
      </c>
      <c r="BA316" s="4">
        <v>159973669</v>
      </c>
      <c r="BB316" s="3">
        <v>44785</v>
      </c>
      <c r="BC316" s="4">
        <v>810097</v>
      </c>
    </row>
    <row r="317" spans="22:55" hidden="1">
      <c r="V317" s="3">
        <v>44769</v>
      </c>
      <c r="W317" s="4">
        <v>-117206</v>
      </c>
      <c r="X317" s="4">
        <v>211950</v>
      </c>
      <c r="Y317" s="4">
        <v>-55248</v>
      </c>
      <c r="Z317" s="4">
        <v>-112523</v>
      </c>
      <c r="AA317" s="4">
        <v>44760</v>
      </c>
      <c r="AB317" s="4">
        <v>-11821</v>
      </c>
      <c r="AC317" s="4">
        <v>-32864</v>
      </c>
      <c r="AD317" s="4">
        <v>-2112</v>
      </c>
      <c r="AE317" s="4">
        <v>25393</v>
      </c>
      <c r="AF317" s="4">
        <v>-37835</v>
      </c>
      <c r="AG317" s="4">
        <v>18186</v>
      </c>
      <c r="AH317" s="4">
        <v>26497</v>
      </c>
      <c r="AI317" s="4">
        <v>-7277</v>
      </c>
      <c r="AJ317" s="4">
        <v>1493</v>
      </c>
      <c r="AK317" s="4">
        <v>5382</v>
      </c>
      <c r="AL317" s="4">
        <v>-324</v>
      </c>
      <c r="AN317" s="3">
        <v>44789</v>
      </c>
      <c r="AO317" s="4">
        <v>2.76</v>
      </c>
      <c r="AP317" s="4">
        <v>3.0779999999999998</v>
      </c>
      <c r="AQ317" s="4">
        <v>4.0570000000000004</v>
      </c>
      <c r="AR317" s="4">
        <v>9.9060000000000006</v>
      </c>
      <c r="AS317" s="4">
        <f t="shared" si="20"/>
        <v>0.97900000000000054</v>
      </c>
      <c r="AT317" s="3">
        <v>44784</v>
      </c>
      <c r="AU317" s="4">
        <v>547873</v>
      </c>
      <c r="AV317" s="3">
        <v>44789</v>
      </c>
      <c r="AW317" s="4">
        <v>96556371</v>
      </c>
      <c r="AX317" s="4">
        <v>9955384</v>
      </c>
      <c r="AY317" s="4">
        <v>21104317</v>
      </c>
      <c r="AZ317" s="4">
        <v>127685042</v>
      </c>
      <c r="BA317" s="4">
        <v>156185663</v>
      </c>
      <c r="BB317" s="3">
        <v>44784</v>
      </c>
      <c r="BC317" s="4">
        <v>804046</v>
      </c>
    </row>
    <row r="318" spans="22:55" hidden="1">
      <c r="V318" s="3">
        <v>44768</v>
      </c>
      <c r="W318" s="4">
        <v>2070</v>
      </c>
      <c r="X318" s="4">
        <v>-48179</v>
      </c>
      <c r="Y318" s="4">
        <v>45928</v>
      </c>
      <c r="Z318" s="4">
        <v>-2526</v>
      </c>
      <c r="AA318" s="4">
        <v>-52940</v>
      </c>
      <c r="AB318" s="4">
        <v>69207</v>
      </c>
      <c r="AC318" s="4">
        <v>-10475</v>
      </c>
      <c r="AD318" s="4">
        <v>-8056</v>
      </c>
      <c r="AE318" s="4">
        <v>12126</v>
      </c>
      <c r="AF318" s="4">
        <v>43685</v>
      </c>
      <c r="AG318" s="4">
        <v>-57180</v>
      </c>
      <c r="AH318" s="4">
        <v>-21338</v>
      </c>
      <c r="AI318" s="4">
        <v>3610</v>
      </c>
      <c r="AJ318" s="4">
        <v>-3134</v>
      </c>
      <c r="AK318" s="4">
        <v>-388</v>
      </c>
      <c r="AL318" s="4">
        <v>-336</v>
      </c>
      <c r="AN318" s="3">
        <v>44785</v>
      </c>
      <c r="AO318" s="4">
        <v>2.76</v>
      </c>
      <c r="AP318" s="4">
        <v>3.181</v>
      </c>
      <c r="AQ318" s="4">
        <v>4.1589999999999998</v>
      </c>
      <c r="AR318" s="4">
        <v>10.006</v>
      </c>
      <c r="AS318" s="4">
        <f t="shared" si="20"/>
        <v>0.97799999999999976</v>
      </c>
      <c r="AT318" s="3">
        <v>44783</v>
      </c>
      <c r="AU318" s="4">
        <v>554939</v>
      </c>
      <c r="AV318" s="3">
        <v>44785</v>
      </c>
      <c r="AW318" s="4">
        <v>96114807</v>
      </c>
      <c r="AX318" s="4">
        <v>9956726</v>
      </c>
      <c r="AY318" s="4">
        <v>21119647</v>
      </c>
      <c r="AZ318" s="4">
        <v>127742681</v>
      </c>
      <c r="BA318" s="4">
        <v>153964804</v>
      </c>
      <c r="BB318" s="3">
        <v>44783</v>
      </c>
      <c r="BC318" s="4">
        <v>802173</v>
      </c>
    </row>
    <row r="319" spans="22:55" hidden="1">
      <c r="V319" s="3">
        <v>44767</v>
      </c>
      <c r="W319" s="4">
        <v>90088</v>
      </c>
      <c r="X319" s="4">
        <v>-280233</v>
      </c>
      <c r="Y319" s="4">
        <v>192784</v>
      </c>
      <c r="Z319" s="4">
        <v>32453</v>
      </c>
      <c r="AA319" s="4">
        <v>-66027</v>
      </c>
      <c r="AB319" s="4">
        <v>72763</v>
      </c>
      <c r="AC319" s="4">
        <v>4377</v>
      </c>
      <c r="AD319" s="4">
        <v>-9888</v>
      </c>
      <c r="AE319" s="4">
        <v>-30855</v>
      </c>
      <c r="AF319" s="4">
        <v>-772</v>
      </c>
      <c r="AG319" s="4">
        <v>34150</v>
      </c>
      <c r="AH319" s="4">
        <v>66557</v>
      </c>
      <c r="AI319" s="4">
        <v>6181</v>
      </c>
      <c r="AJ319" s="4">
        <v>-1929</v>
      </c>
      <c r="AK319" s="4">
        <v>-3531</v>
      </c>
      <c r="AL319" s="4">
        <v>1564</v>
      </c>
      <c r="AN319" s="3">
        <v>44784</v>
      </c>
      <c r="AO319" s="4">
        <v>2.76</v>
      </c>
      <c r="AP319" s="4">
        <v>3.1240000000000001</v>
      </c>
      <c r="AQ319" s="4">
        <v>4.1109999999999998</v>
      </c>
      <c r="AR319" s="4">
        <v>9.9600000000000009</v>
      </c>
      <c r="AS319" s="4">
        <f t="shared" si="20"/>
        <v>0.98699999999999966</v>
      </c>
      <c r="AT319" s="3">
        <v>44782</v>
      </c>
      <c r="AU319" s="4">
        <v>543155</v>
      </c>
      <c r="AV319" s="3">
        <v>44784</v>
      </c>
      <c r="AW319" s="4">
        <v>95983366</v>
      </c>
      <c r="AX319" s="4">
        <v>9950550</v>
      </c>
      <c r="AY319" s="4">
        <v>21148752</v>
      </c>
      <c r="AZ319" s="4">
        <v>127761952</v>
      </c>
      <c r="BA319" s="4">
        <v>153700202</v>
      </c>
      <c r="BB319" s="3">
        <v>44782</v>
      </c>
      <c r="BC319" s="4">
        <v>813060</v>
      </c>
    </row>
    <row r="320" spans="22:55" hidden="1">
      <c r="V320" s="3">
        <v>44764</v>
      </c>
      <c r="W320" s="4">
        <v>37449</v>
      </c>
      <c r="X320" s="4">
        <v>252548</v>
      </c>
      <c r="Y320" s="4">
        <v>-303611</v>
      </c>
      <c r="Z320" s="4">
        <v>-51486</v>
      </c>
      <c r="AA320" s="4">
        <v>-70423</v>
      </c>
      <c r="AB320" s="4">
        <v>94948</v>
      </c>
      <c r="AC320" s="4">
        <v>-21653</v>
      </c>
      <c r="AD320" s="4">
        <v>11803</v>
      </c>
      <c r="AE320" s="4">
        <v>46272</v>
      </c>
      <c r="AF320" s="4">
        <v>-13197</v>
      </c>
      <c r="AG320" s="4">
        <v>-33681</v>
      </c>
      <c r="AH320" s="4">
        <v>-87543</v>
      </c>
      <c r="AI320" s="4">
        <v>1570</v>
      </c>
      <c r="AJ320" s="4">
        <v>-496</v>
      </c>
      <c r="AK320" s="4">
        <v>-1429</v>
      </c>
      <c r="AL320" s="4">
        <v>-5034</v>
      </c>
      <c r="AN320" s="3">
        <v>44783</v>
      </c>
      <c r="AO320" s="4">
        <v>2.76</v>
      </c>
      <c r="AP320" s="4">
        <v>3.1539999999999999</v>
      </c>
      <c r="AQ320" s="4">
        <v>4.133</v>
      </c>
      <c r="AR320" s="4">
        <v>9.9819999999999993</v>
      </c>
      <c r="AS320" s="4">
        <f t="shared" si="20"/>
        <v>0.97900000000000009</v>
      </c>
      <c r="AT320" s="3">
        <v>44781</v>
      </c>
      <c r="AU320" s="4">
        <v>542344</v>
      </c>
      <c r="AV320" s="3">
        <v>44783</v>
      </c>
      <c r="AW320" s="4">
        <v>95495805</v>
      </c>
      <c r="AX320" s="4">
        <v>9949757</v>
      </c>
      <c r="AY320" s="4">
        <v>21119203</v>
      </c>
      <c r="AZ320" s="4">
        <v>127629223</v>
      </c>
      <c r="BA320" s="4">
        <v>154260770</v>
      </c>
      <c r="BB320" s="3">
        <v>44781</v>
      </c>
      <c r="BC320" s="4">
        <v>812990</v>
      </c>
    </row>
    <row r="321" spans="22:55" hidden="1">
      <c r="V321" s="3">
        <v>44763</v>
      </c>
      <c r="W321" s="4">
        <v>439259</v>
      </c>
      <c r="X321" s="4">
        <v>-329501</v>
      </c>
      <c r="Y321" s="4">
        <v>-113322</v>
      </c>
      <c r="Z321" s="4">
        <v>53709</v>
      </c>
      <c r="AA321" s="4">
        <v>-64199</v>
      </c>
      <c r="AB321" s="4">
        <v>45037</v>
      </c>
      <c r="AC321" s="4">
        <v>32069</v>
      </c>
      <c r="AD321" s="4">
        <v>7486</v>
      </c>
      <c r="AE321" s="4">
        <v>-16810</v>
      </c>
      <c r="AF321" s="4">
        <v>39617</v>
      </c>
      <c r="AG321" s="4">
        <v>-21357</v>
      </c>
      <c r="AH321" s="4">
        <v>-116674</v>
      </c>
      <c r="AI321" s="4">
        <v>4393</v>
      </c>
      <c r="AJ321" s="4">
        <v>-1155</v>
      </c>
      <c r="AK321" s="4">
        <v>-2980</v>
      </c>
      <c r="AL321" s="4">
        <v>1885</v>
      </c>
      <c r="AN321" s="3">
        <v>44782</v>
      </c>
      <c r="AO321" s="4">
        <v>2.75</v>
      </c>
      <c r="AP321" s="4">
        <v>3.1339999999999999</v>
      </c>
      <c r="AQ321" s="4">
        <v>4.1189999999999998</v>
      </c>
      <c r="AR321" s="4">
        <v>9.9670000000000005</v>
      </c>
      <c r="AS321" s="4">
        <f t="shared" si="20"/>
        <v>0.98499999999999988</v>
      </c>
      <c r="AT321" s="3">
        <v>44778</v>
      </c>
      <c r="AU321" s="4">
        <v>537629</v>
      </c>
      <c r="AV321" s="3">
        <v>44782</v>
      </c>
      <c r="AW321" s="4">
        <v>95972958</v>
      </c>
      <c r="AX321" s="4">
        <v>9964058</v>
      </c>
      <c r="AY321" s="4">
        <v>21149687</v>
      </c>
      <c r="AZ321" s="4">
        <v>127521058</v>
      </c>
      <c r="BA321" s="4">
        <v>157444763</v>
      </c>
      <c r="BB321" s="3">
        <v>44778</v>
      </c>
      <c r="BC321" s="4">
        <v>814556</v>
      </c>
    </row>
    <row r="322" spans="22:55" hidden="1">
      <c r="V322" s="3">
        <v>44762</v>
      </c>
      <c r="W322" s="4">
        <v>-40002</v>
      </c>
      <c r="X322" s="4">
        <v>64240</v>
      </c>
      <c r="Y322" s="4">
        <v>-59490</v>
      </c>
      <c r="Z322" s="4">
        <v>7777</v>
      </c>
      <c r="AA322" s="4">
        <v>1364</v>
      </c>
      <c r="AB322" s="4">
        <v>-25587</v>
      </c>
      <c r="AC322" s="4">
        <v>28841</v>
      </c>
      <c r="AD322" s="4">
        <v>7392</v>
      </c>
      <c r="AE322" s="4">
        <v>17749</v>
      </c>
      <c r="AF322" s="4">
        <v>-78597</v>
      </c>
      <c r="AG322" s="4">
        <v>44598</v>
      </c>
      <c r="AH322" s="4">
        <v>43778</v>
      </c>
      <c r="AI322" s="4">
        <v>-5742</v>
      </c>
      <c r="AJ322" s="4">
        <v>-1318</v>
      </c>
      <c r="AK322" s="4">
        <v>7621</v>
      </c>
      <c r="AL322" s="4">
        <v>3341</v>
      </c>
      <c r="AN322" s="3">
        <v>44781</v>
      </c>
      <c r="AO322" s="4">
        <v>2.75</v>
      </c>
      <c r="AP322" s="4">
        <v>3.1339999999999999</v>
      </c>
      <c r="AQ322" s="4">
        <v>4.1130000000000004</v>
      </c>
      <c r="AR322" s="4">
        <v>9.9619999999999997</v>
      </c>
      <c r="AS322" s="4">
        <f t="shared" si="20"/>
        <v>0.97900000000000054</v>
      </c>
      <c r="AT322" s="3">
        <v>44777</v>
      </c>
      <c r="AU322" s="4">
        <v>551727</v>
      </c>
      <c r="AV322" s="3">
        <v>44781</v>
      </c>
      <c r="AW322" s="4">
        <v>95866280</v>
      </c>
      <c r="AX322" s="4">
        <v>9966910</v>
      </c>
      <c r="AY322" s="4">
        <v>21158711</v>
      </c>
      <c r="AZ322" s="4">
        <v>127584793</v>
      </c>
      <c r="BA322" s="4">
        <v>159524847</v>
      </c>
      <c r="BB322" s="3">
        <v>44777</v>
      </c>
      <c r="BC322" s="4">
        <v>815137</v>
      </c>
    </row>
    <row r="323" spans="22:55" hidden="1">
      <c r="V323" s="3">
        <v>44761</v>
      </c>
      <c r="W323" s="4">
        <v>38449</v>
      </c>
      <c r="X323" s="4">
        <v>91628</v>
      </c>
      <c r="Y323" s="4">
        <v>-144122</v>
      </c>
      <c r="Z323" s="4">
        <v>12415</v>
      </c>
      <c r="AA323" s="4">
        <v>-3219</v>
      </c>
      <c r="AB323" s="4">
        <v>-13282</v>
      </c>
      <c r="AC323" s="4">
        <v>22561</v>
      </c>
      <c r="AD323" s="4">
        <v>2534</v>
      </c>
      <c r="AE323" s="4">
        <v>9525</v>
      </c>
      <c r="AF323" s="4">
        <v>32187</v>
      </c>
      <c r="AG323" s="4">
        <v>-45783</v>
      </c>
      <c r="AH323" s="4">
        <v>-58096</v>
      </c>
      <c r="AI323" s="4">
        <v>-5569</v>
      </c>
      <c r="AJ323" s="4">
        <v>2172</v>
      </c>
      <c r="AK323" s="4">
        <v>3386</v>
      </c>
      <c r="AL323" s="4">
        <v>-3354</v>
      </c>
      <c r="AN323" s="3">
        <v>44778</v>
      </c>
      <c r="AO323" s="4">
        <v>2.74</v>
      </c>
      <c r="AP323" s="4">
        <v>3.0790000000000002</v>
      </c>
      <c r="AQ323" s="4">
        <v>4.056</v>
      </c>
      <c r="AR323" s="4">
        <v>9.9039999999999999</v>
      </c>
      <c r="AS323" s="4">
        <f t="shared" si="20"/>
        <v>0.97699999999999987</v>
      </c>
      <c r="AT323" s="3">
        <v>44776</v>
      </c>
      <c r="AU323" s="4">
        <v>560393</v>
      </c>
      <c r="AV323" s="3">
        <v>44778</v>
      </c>
      <c r="AW323" s="4">
        <v>95745838</v>
      </c>
      <c r="AX323" s="4">
        <v>9968982</v>
      </c>
      <c r="AY323" s="4">
        <v>21213590</v>
      </c>
      <c r="AZ323" s="4">
        <v>127406112</v>
      </c>
      <c r="BA323" s="4">
        <v>162047434</v>
      </c>
      <c r="BB323" s="3">
        <v>44776</v>
      </c>
      <c r="BC323" s="4">
        <v>813278</v>
      </c>
    </row>
    <row r="324" spans="22:55" hidden="1">
      <c r="V324" s="3">
        <v>44760</v>
      </c>
      <c r="W324" s="4">
        <v>627503</v>
      </c>
      <c r="X324" s="4">
        <v>-421402</v>
      </c>
      <c r="Y324" s="4">
        <v>-200001</v>
      </c>
      <c r="Z324" s="4">
        <v>18004</v>
      </c>
      <c r="AA324" s="4">
        <v>-1829</v>
      </c>
      <c r="AB324" s="4">
        <v>-20360</v>
      </c>
      <c r="AC324" s="4">
        <v>17665</v>
      </c>
      <c r="AD324" s="4">
        <v>-15051</v>
      </c>
      <c r="AE324" s="4">
        <v>4211</v>
      </c>
      <c r="AF324" s="4">
        <v>-11766</v>
      </c>
      <c r="AG324" s="4">
        <v>-18751</v>
      </c>
      <c r="AH324" s="4">
        <v>-104057</v>
      </c>
      <c r="AI324" s="4">
        <v>-1506</v>
      </c>
      <c r="AJ324" s="4">
        <v>-3012</v>
      </c>
      <c r="AK324" s="4">
        <v>4568</v>
      </c>
      <c r="AL324" s="4">
        <v>4705</v>
      </c>
      <c r="AN324" s="3">
        <v>44777</v>
      </c>
      <c r="AO324" s="4">
        <v>2.74</v>
      </c>
      <c r="AP324" s="4">
        <v>3.1139999999999999</v>
      </c>
      <c r="AQ324" s="4">
        <v>4.0910000000000002</v>
      </c>
      <c r="AR324" s="4">
        <v>9.9369999999999994</v>
      </c>
      <c r="AS324" s="4">
        <f t="shared" si="20"/>
        <v>0.97700000000000031</v>
      </c>
      <c r="AT324" s="3">
        <v>44775</v>
      </c>
      <c r="AU324" s="4">
        <v>551099</v>
      </c>
      <c r="AV324" s="3">
        <v>44777</v>
      </c>
      <c r="AW324" s="4">
        <v>95622648</v>
      </c>
      <c r="AX324" s="4">
        <v>9952183</v>
      </c>
      <c r="AY324" s="4">
        <v>21207987</v>
      </c>
      <c r="AZ324" s="4">
        <v>127448839</v>
      </c>
      <c r="BA324" s="4">
        <v>162029774</v>
      </c>
      <c r="BB324" s="3">
        <v>44775</v>
      </c>
      <c r="BC324" s="4">
        <v>811452</v>
      </c>
    </row>
    <row r="325" spans="22:55" hidden="1">
      <c r="V325" s="3">
        <v>44757</v>
      </c>
      <c r="W325" s="4">
        <v>263135</v>
      </c>
      <c r="X325" s="4">
        <v>-20191</v>
      </c>
      <c r="Y325" s="4">
        <v>-262866</v>
      </c>
      <c r="Z325" s="4">
        <v>-15012</v>
      </c>
      <c r="AA325" s="4">
        <v>-123239</v>
      </c>
      <c r="AB325" s="4">
        <v>191961</v>
      </c>
      <c r="AC325" s="4">
        <v>-73222</v>
      </c>
      <c r="AD325" s="4">
        <v>-12617</v>
      </c>
      <c r="AE325" s="4">
        <v>-4721</v>
      </c>
      <c r="AF325" s="4">
        <v>6283</v>
      </c>
      <c r="AG325" s="4">
        <v>-6317</v>
      </c>
      <c r="AH325" s="4">
        <v>70975</v>
      </c>
      <c r="AI325" s="4">
        <v>-2729</v>
      </c>
      <c r="AJ325" s="4">
        <v>571</v>
      </c>
      <c r="AK325" s="4">
        <v>2353</v>
      </c>
      <c r="AL325" s="4">
        <v>3364</v>
      </c>
      <c r="AN325" s="3">
        <v>44776</v>
      </c>
      <c r="AO325" s="4">
        <v>2.73</v>
      </c>
      <c r="AP325" s="4">
        <v>3.0649999999999999</v>
      </c>
      <c r="AQ325" s="4">
        <v>4.0449999999999999</v>
      </c>
      <c r="AR325" s="4">
        <v>9.891</v>
      </c>
      <c r="AS325" s="4">
        <f t="shared" ref="AS325:AS388" si="21">AQ325-AP325</f>
        <v>0.98</v>
      </c>
      <c r="AT325" s="3">
        <v>44774</v>
      </c>
      <c r="AU325" s="4">
        <v>557664</v>
      </c>
      <c r="AV325" s="3">
        <v>44776</v>
      </c>
      <c r="AW325" s="4">
        <v>95280911</v>
      </c>
      <c r="AX325" s="4">
        <v>9953301</v>
      </c>
      <c r="AY325" s="4">
        <v>21304528</v>
      </c>
      <c r="AZ325" s="4">
        <v>127247907</v>
      </c>
      <c r="BA325" s="4">
        <v>161056713</v>
      </c>
      <c r="BB325" s="3">
        <v>44774</v>
      </c>
      <c r="BC325" s="4">
        <v>807797</v>
      </c>
    </row>
    <row r="326" spans="22:55" hidden="1">
      <c r="V326" s="3">
        <v>44756</v>
      </c>
      <c r="W326" s="4">
        <v>398800</v>
      </c>
      <c r="X326" s="4">
        <v>103695</v>
      </c>
      <c r="Y326" s="4">
        <v>-533532</v>
      </c>
      <c r="Z326" s="4">
        <v>56560</v>
      </c>
      <c r="AA326" s="4">
        <v>-7555</v>
      </c>
      <c r="AB326" s="4">
        <v>61701</v>
      </c>
      <c r="AC326" s="4">
        <v>-40364</v>
      </c>
      <c r="AD326" s="4">
        <v>-12718</v>
      </c>
      <c r="AE326" s="4">
        <v>21361</v>
      </c>
      <c r="AF326" s="4">
        <v>-16738</v>
      </c>
      <c r="AG326" s="4">
        <v>-5917</v>
      </c>
      <c r="AH326" s="4">
        <v>-97486</v>
      </c>
      <c r="AI326" s="4">
        <v>295</v>
      </c>
      <c r="AJ326" s="4">
        <v>2319</v>
      </c>
      <c r="AK326" s="4">
        <v>-3151</v>
      </c>
      <c r="AL326" s="4">
        <v>-4399</v>
      </c>
      <c r="AN326" s="3">
        <v>44775</v>
      </c>
      <c r="AO326" s="4">
        <v>2.73</v>
      </c>
      <c r="AP326" s="4">
        <v>3.012</v>
      </c>
      <c r="AQ326" s="4">
        <v>3.9830000000000001</v>
      </c>
      <c r="AR326" s="4">
        <v>9.8309999999999995</v>
      </c>
      <c r="AS326" s="4">
        <f t="shared" si="21"/>
        <v>0.97100000000000009</v>
      </c>
      <c r="AT326" s="3">
        <v>44771</v>
      </c>
      <c r="AU326" s="4">
        <v>542590</v>
      </c>
      <c r="AV326" s="3">
        <v>44775</v>
      </c>
      <c r="AW326" s="4">
        <v>95059917</v>
      </c>
      <c r="AX326" s="4">
        <v>9960550</v>
      </c>
      <c r="AY326" s="4">
        <v>21327530</v>
      </c>
      <c r="AZ326" s="4">
        <v>127169344</v>
      </c>
      <c r="BA326" s="4">
        <v>158179066</v>
      </c>
      <c r="BB326" s="3">
        <v>44771</v>
      </c>
      <c r="BC326" s="4">
        <v>806575</v>
      </c>
    </row>
    <row r="327" spans="22:55" hidden="1">
      <c r="V327" s="3"/>
      <c r="AN327" s="3">
        <v>44774</v>
      </c>
      <c r="AO327" s="4">
        <v>2.73</v>
      </c>
      <c r="AP327" s="4">
        <v>3.081</v>
      </c>
      <c r="AQ327" s="4">
        <v>4.0430000000000001</v>
      </c>
      <c r="AR327" s="4">
        <v>9.8930000000000007</v>
      </c>
      <c r="AS327" s="4">
        <f t="shared" si="21"/>
        <v>0.96200000000000019</v>
      </c>
      <c r="AT327" s="3">
        <v>44770</v>
      </c>
      <c r="AU327" s="4">
        <v>538785</v>
      </c>
      <c r="AV327" s="3">
        <v>44774</v>
      </c>
      <c r="AW327" s="4">
        <v>95178300</v>
      </c>
      <c r="AX327" s="4">
        <v>9962330</v>
      </c>
      <c r="AY327" s="4">
        <v>21323975</v>
      </c>
      <c r="AZ327" s="4">
        <v>127284728</v>
      </c>
      <c r="BA327" s="4">
        <v>153812666</v>
      </c>
      <c r="BB327" s="3">
        <v>44770</v>
      </c>
      <c r="BC327" s="4">
        <v>804738</v>
      </c>
    </row>
    <row r="328" spans="22:55" hidden="1">
      <c r="V328" s="3"/>
      <c r="AN328" s="3">
        <v>44771</v>
      </c>
      <c r="AO328" s="4">
        <v>2.73</v>
      </c>
      <c r="AP328" s="4">
        <v>3.0089999999999999</v>
      </c>
      <c r="AQ328" s="4">
        <v>3.9689999999999999</v>
      </c>
      <c r="AR328" s="4">
        <v>9.8190000000000008</v>
      </c>
      <c r="AS328" s="4">
        <f t="shared" si="21"/>
        <v>0.96</v>
      </c>
      <c r="AT328" s="3">
        <v>44769</v>
      </c>
      <c r="AU328" s="4">
        <v>546644</v>
      </c>
      <c r="AV328" s="3">
        <v>44771</v>
      </c>
      <c r="AW328" s="4">
        <v>94963995</v>
      </c>
      <c r="AX328" s="4">
        <v>9974957</v>
      </c>
      <c r="AY328" s="4">
        <v>21390808</v>
      </c>
      <c r="AZ328" s="4">
        <v>127120621</v>
      </c>
      <c r="BA328" s="4">
        <v>153601546</v>
      </c>
      <c r="BB328" s="3">
        <v>44769</v>
      </c>
      <c r="BC328" s="4">
        <v>806870</v>
      </c>
    </row>
    <row r="329" spans="22:55" hidden="1">
      <c r="V329" s="3"/>
      <c r="AN329" s="3">
        <v>44770</v>
      </c>
      <c r="AO329" s="4">
        <v>2.74</v>
      </c>
      <c r="AP329" s="4">
        <v>3.13</v>
      </c>
      <c r="AQ329" s="4">
        <v>4.0819999999999999</v>
      </c>
      <c r="AR329" s="4">
        <v>9.9320000000000004</v>
      </c>
      <c r="AS329" s="4">
        <f t="shared" si="21"/>
        <v>0.95199999999999996</v>
      </c>
      <c r="AT329" s="3">
        <v>44768</v>
      </c>
      <c r="AU329" s="4">
        <v>548367</v>
      </c>
      <c r="AV329" s="3">
        <v>44770</v>
      </c>
      <c r="AW329" s="4">
        <v>94530082</v>
      </c>
      <c r="AX329" s="4">
        <v>9977005</v>
      </c>
      <c r="AY329" s="4">
        <v>21414389</v>
      </c>
      <c r="AZ329" s="4">
        <v>127198527</v>
      </c>
      <c r="BA329" s="4">
        <v>158823384</v>
      </c>
      <c r="BB329" s="3">
        <v>44768</v>
      </c>
      <c r="BC329" s="4">
        <v>815826</v>
      </c>
    </row>
    <row r="330" spans="22:55" hidden="1">
      <c r="V330" s="3"/>
      <c r="AN330" s="3">
        <v>44769</v>
      </c>
      <c r="AO330" s="4">
        <v>2.68</v>
      </c>
      <c r="AP330" s="4">
        <v>3.09</v>
      </c>
      <c r="AQ330" s="4">
        <v>4.0330000000000004</v>
      </c>
      <c r="AR330" s="4">
        <v>9.8859999999999992</v>
      </c>
      <c r="AS330" s="4">
        <f t="shared" si="21"/>
        <v>0.9430000000000005</v>
      </c>
      <c r="AT330" s="3">
        <v>44767</v>
      </c>
      <c r="AU330" s="4">
        <v>547329</v>
      </c>
      <c r="AV330" s="3">
        <v>44769</v>
      </c>
      <c r="AW330" s="4">
        <v>93963745</v>
      </c>
      <c r="AX330" s="4">
        <v>9980347</v>
      </c>
      <c r="AY330" s="4">
        <v>21418967</v>
      </c>
      <c r="AZ330" s="4">
        <v>127195516</v>
      </c>
      <c r="BA330" s="4">
        <v>159116375</v>
      </c>
      <c r="BB330" s="3">
        <v>44767</v>
      </c>
      <c r="BC330" s="4">
        <v>816296</v>
      </c>
    </row>
    <row r="331" spans="22:55" hidden="1">
      <c r="V331" s="3"/>
      <c r="AN331" s="3">
        <v>44768</v>
      </c>
      <c r="AO331" s="4">
        <v>2.61</v>
      </c>
      <c r="AP331" s="4">
        <v>3.121</v>
      </c>
      <c r="AQ331" s="4">
        <v>4.0629999999999997</v>
      </c>
      <c r="AR331" s="4">
        <v>9.9120000000000008</v>
      </c>
      <c r="AS331" s="4">
        <f t="shared" si="21"/>
        <v>0.94199999999999973</v>
      </c>
      <c r="AT331" s="3">
        <v>44764</v>
      </c>
      <c r="AU331" s="4">
        <v>552406</v>
      </c>
      <c r="AV331" s="3">
        <v>44768</v>
      </c>
      <c r="AW331" s="4">
        <v>94131991</v>
      </c>
      <c r="AX331" s="4">
        <v>9981685</v>
      </c>
      <c r="AY331" s="4">
        <v>21423745</v>
      </c>
      <c r="AZ331" s="4">
        <v>126869935</v>
      </c>
      <c r="BA331" s="4">
        <v>158938958</v>
      </c>
      <c r="BB331" s="3">
        <v>44764</v>
      </c>
      <c r="BC331" s="4">
        <v>819228</v>
      </c>
    </row>
    <row r="332" spans="22:55" hidden="1">
      <c r="V332" s="3"/>
      <c r="AN332" s="3">
        <v>44767</v>
      </c>
      <c r="AO332" s="4">
        <v>2.59</v>
      </c>
      <c r="AP332" s="4">
        <v>3.153</v>
      </c>
      <c r="AQ332" s="4">
        <v>4.0819999999999999</v>
      </c>
      <c r="AR332" s="4">
        <v>9.93</v>
      </c>
      <c r="AS332" s="4">
        <f t="shared" si="21"/>
        <v>0.92899999999999983</v>
      </c>
      <c r="AT332" s="3">
        <v>44763</v>
      </c>
      <c r="AU332" s="4">
        <v>560724</v>
      </c>
      <c r="AV332" s="3">
        <v>44767</v>
      </c>
      <c r="AW332" s="4">
        <v>94153461</v>
      </c>
      <c r="AX332" s="4">
        <v>9981595</v>
      </c>
      <c r="AY332" s="4">
        <v>21431496</v>
      </c>
      <c r="AZ332" s="4">
        <v>126922314</v>
      </c>
      <c r="BA332" s="4">
        <v>158036416</v>
      </c>
      <c r="BB332" s="3">
        <v>44763</v>
      </c>
      <c r="BC332" s="4">
        <v>819759</v>
      </c>
    </row>
    <row r="333" spans="22:55" hidden="1">
      <c r="V333" s="3"/>
      <c r="AN333" s="3">
        <v>44764</v>
      </c>
      <c r="AO333" s="4">
        <v>2.58</v>
      </c>
      <c r="AP333" s="4">
        <v>3.218</v>
      </c>
      <c r="AQ333" s="4">
        <v>4.1349999999999998</v>
      </c>
      <c r="AR333" s="4">
        <v>9.984</v>
      </c>
      <c r="AS333" s="4">
        <f t="shared" si="21"/>
        <v>0.91699999999999982</v>
      </c>
      <c r="AT333" s="3">
        <v>44762</v>
      </c>
      <c r="AU333" s="4">
        <v>534922</v>
      </c>
      <c r="AV333" s="3">
        <v>44764</v>
      </c>
      <c r="AW333" s="4">
        <v>94178185</v>
      </c>
      <c r="AX333" s="4">
        <v>9967129</v>
      </c>
      <c r="AY333" s="4">
        <v>21438732</v>
      </c>
      <c r="AZ333" s="4">
        <v>126791126</v>
      </c>
      <c r="BA333" s="4">
        <v>158954228</v>
      </c>
      <c r="BB333" s="3">
        <v>44762</v>
      </c>
      <c r="BC333" s="4">
        <v>805552</v>
      </c>
    </row>
    <row r="334" spans="22:55" hidden="1">
      <c r="V334" s="3"/>
      <c r="AN334" s="3">
        <v>44763</v>
      </c>
      <c r="AO334" s="4">
        <v>2.58</v>
      </c>
      <c r="AP334" s="4">
        <v>3.294</v>
      </c>
      <c r="AQ334" s="4">
        <v>4.202</v>
      </c>
      <c r="AR334" s="4">
        <v>10.052</v>
      </c>
      <c r="AS334" s="4">
        <f t="shared" si="21"/>
        <v>0.90799999999999992</v>
      </c>
      <c r="AT334" s="3">
        <v>44761</v>
      </c>
      <c r="AU334" s="4">
        <v>534959</v>
      </c>
      <c r="AV334" s="3">
        <v>44763</v>
      </c>
      <c r="AW334" s="4">
        <v>94257636</v>
      </c>
      <c r="AX334" s="4">
        <v>9966577</v>
      </c>
      <c r="AY334" s="4">
        <v>21461521</v>
      </c>
      <c r="AZ334" s="4">
        <v>126507007</v>
      </c>
      <c r="BA334" s="4">
        <v>159509959</v>
      </c>
      <c r="BB334" s="3">
        <v>44761</v>
      </c>
      <c r="BC334" s="4">
        <v>802461</v>
      </c>
    </row>
    <row r="335" spans="22:55" hidden="1">
      <c r="V335" s="3"/>
      <c r="AN335" s="3">
        <v>44762</v>
      </c>
      <c r="AO335" s="4">
        <v>2.58</v>
      </c>
      <c r="AP335" s="4">
        <v>3.2959999999999998</v>
      </c>
      <c r="AQ335" s="4">
        <v>4.1970000000000001</v>
      </c>
      <c r="AR335" s="4">
        <v>10.047000000000001</v>
      </c>
      <c r="AS335" s="4">
        <f t="shared" si="21"/>
        <v>0.90100000000000025</v>
      </c>
      <c r="AT335" s="3">
        <v>44760</v>
      </c>
      <c r="AU335" s="4">
        <v>548543</v>
      </c>
      <c r="AV335" s="3">
        <v>44762</v>
      </c>
      <c r="AW335" s="4">
        <v>93805408</v>
      </c>
      <c r="AX335" s="4">
        <v>9970026</v>
      </c>
      <c r="AY335" s="4">
        <v>21470592</v>
      </c>
      <c r="AZ335" s="4">
        <v>126432366</v>
      </c>
      <c r="BA335" s="4">
        <v>158769208</v>
      </c>
      <c r="BB335" s="3">
        <v>44760</v>
      </c>
      <c r="BC335" s="4">
        <v>823155</v>
      </c>
    </row>
    <row r="336" spans="22:55" hidden="1">
      <c r="V336" s="3"/>
      <c r="AN336" s="3">
        <v>44761</v>
      </c>
      <c r="AO336" s="4">
        <v>2.58</v>
      </c>
      <c r="AP336" s="4">
        <v>3.1920000000000002</v>
      </c>
      <c r="AQ336" s="4">
        <v>4.0919999999999996</v>
      </c>
      <c r="AR336" s="4">
        <v>9.9410000000000007</v>
      </c>
      <c r="AS336" s="4">
        <f t="shared" si="21"/>
        <v>0.89999999999999947</v>
      </c>
      <c r="AT336" s="3">
        <v>44757</v>
      </c>
      <c r="AU336" s="4">
        <v>544787</v>
      </c>
      <c r="AV336" s="3">
        <v>44761</v>
      </c>
      <c r="AW336" s="4">
        <v>93185444</v>
      </c>
      <c r="AX336" s="4">
        <v>9871973</v>
      </c>
      <c r="AY336" s="4">
        <v>21490770</v>
      </c>
      <c r="AZ336" s="4">
        <v>126456820</v>
      </c>
      <c r="BA336" s="4">
        <v>160078267</v>
      </c>
      <c r="BB336" s="3">
        <v>44757</v>
      </c>
      <c r="BC336" s="4">
        <v>826487</v>
      </c>
    </row>
    <row r="337" spans="22:55" hidden="1">
      <c r="V337" s="3"/>
      <c r="AN337" s="3">
        <v>44760</v>
      </c>
      <c r="AO337" s="4">
        <v>2.58</v>
      </c>
      <c r="AP337" s="4">
        <v>3.2120000000000002</v>
      </c>
      <c r="AQ337" s="4">
        <v>4.1040000000000001</v>
      </c>
      <c r="AR337" s="4">
        <v>9.9559999999999995</v>
      </c>
      <c r="AS337" s="4">
        <f t="shared" si="21"/>
        <v>0.8919999999999999</v>
      </c>
      <c r="AT337" s="3">
        <v>44756</v>
      </c>
      <c r="AU337" s="4">
        <v>557767</v>
      </c>
      <c r="AV337" s="3">
        <v>44760</v>
      </c>
      <c r="AW337" s="4">
        <v>93391069</v>
      </c>
      <c r="AX337" s="4">
        <v>9876528</v>
      </c>
      <c r="AY337" s="4">
        <v>21519103</v>
      </c>
      <c r="AZ337" s="4">
        <v>126580924</v>
      </c>
      <c r="BA337" s="4">
        <v>159945427</v>
      </c>
      <c r="BB337" s="3">
        <v>44756</v>
      </c>
      <c r="BC337" s="4">
        <v>823149</v>
      </c>
    </row>
    <row r="338" spans="22:55" hidden="1">
      <c r="V338" s="3"/>
      <c r="AN338" s="3">
        <v>44757</v>
      </c>
      <c r="AO338" s="4">
        <v>2.58</v>
      </c>
      <c r="AP338" s="4">
        <v>3.2050000000000001</v>
      </c>
      <c r="AQ338" s="4">
        <v>4.0910000000000002</v>
      </c>
      <c r="AR338" s="4">
        <v>9.9459999999999997</v>
      </c>
      <c r="AS338" s="4">
        <f t="shared" si="21"/>
        <v>0.88600000000000012</v>
      </c>
      <c r="AT338" s="3">
        <v>44755</v>
      </c>
      <c r="AU338" s="4">
        <v>557944</v>
      </c>
      <c r="AV338" s="3">
        <v>44757</v>
      </c>
      <c r="AW338" s="4">
        <v>92762439</v>
      </c>
      <c r="AX338" s="4">
        <v>9885159</v>
      </c>
      <c r="AY338" s="4">
        <v>21542774</v>
      </c>
      <c r="AZ338" s="4">
        <v>126486512</v>
      </c>
      <c r="BA338" s="4">
        <v>160712415</v>
      </c>
      <c r="BB338" s="3">
        <v>44755</v>
      </c>
      <c r="BC338" s="4">
        <v>820108</v>
      </c>
    </row>
    <row r="339" spans="22:55" hidden="1">
      <c r="V339" s="3"/>
      <c r="AN339" s="3">
        <v>44756</v>
      </c>
      <c r="AO339" s="4">
        <v>2.58</v>
      </c>
      <c r="AP339" s="4">
        <v>3.26</v>
      </c>
      <c r="AQ339" s="4">
        <v>4.1390000000000002</v>
      </c>
      <c r="AR339" s="4">
        <v>9.9890000000000008</v>
      </c>
      <c r="AS339" s="4">
        <f t="shared" si="21"/>
        <v>0.87900000000000045</v>
      </c>
      <c r="AT339" s="3">
        <v>44754</v>
      </c>
      <c r="AU339" s="4">
        <v>552016</v>
      </c>
      <c r="AV339" s="3">
        <v>44756</v>
      </c>
      <c r="AW339" s="4">
        <v>92453074</v>
      </c>
      <c r="AX339" s="4">
        <v>9871043</v>
      </c>
      <c r="AY339" s="4">
        <v>21529051</v>
      </c>
      <c r="AZ339" s="4">
        <v>126296803</v>
      </c>
      <c r="BA339" s="4">
        <v>158396143</v>
      </c>
      <c r="BB339" s="3">
        <v>44754</v>
      </c>
      <c r="BC339" s="4">
        <v>821213</v>
      </c>
    </row>
    <row r="340" spans="22:55" hidden="1">
      <c r="V340" s="3"/>
      <c r="AN340" s="3">
        <v>44755</v>
      </c>
      <c r="AO340" s="4">
        <v>2.57</v>
      </c>
      <c r="AP340" s="4">
        <v>3.2109999999999999</v>
      </c>
      <c r="AQ340" s="4">
        <v>4.0940000000000003</v>
      </c>
      <c r="AR340" s="4">
        <v>9.9420000000000002</v>
      </c>
      <c r="AS340" s="4">
        <f t="shared" si="21"/>
        <v>0.88300000000000045</v>
      </c>
      <c r="AT340" s="3">
        <v>44753</v>
      </c>
      <c r="AU340" s="4">
        <v>552323</v>
      </c>
      <c r="AV340" s="3">
        <v>44755</v>
      </c>
      <c r="AW340" s="4">
        <v>92507954</v>
      </c>
      <c r="AX340" s="4">
        <v>9870005</v>
      </c>
      <c r="AY340" s="4">
        <v>21523403</v>
      </c>
      <c r="AZ340" s="4">
        <v>126342127</v>
      </c>
      <c r="BA340" s="4">
        <v>154507559</v>
      </c>
      <c r="BB340" s="3">
        <v>44753</v>
      </c>
      <c r="BC340" s="4">
        <v>810853</v>
      </c>
    </row>
    <row r="341" spans="22:55" hidden="1">
      <c r="V341" s="3"/>
      <c r="AN341" s="3">
        <v>44754</v>
      </c>
      <c r="AO341" s="4">
        <v>2.14</v>
      </c>
      <c r="AP341" s="4">
        <v>3.2909999999999999</v>
      </c>
      <c r="AQ341" s="4">
        <v>4.1580000000000004</v>
      </c>
      <c r="AR341" s="4">
        <v>10.006</v>
      </c>
      <c r="AS341" s="4">
        <f t="shared" si="21"/>
        <v>0.86700000000000044</v>
      </c>
      <c r="AT341" s="3">
        <v>44750</v>
      </c>
      <c r="AU341" s="4">
        <v>544137</v>
      </c>
      <c r="AV341" s="3">
        <v>44754</v>
      </c>
      <c r="AW341" s="4">
        <v>92351350</v>
      </c>
      <c r="AX341" s="4">
        <v>9863573</v>
      </c>
      <c r="AY341" s="4">
        <v>21548867</v>
      </c>
      <c r="AZ341" s="4">
        <v>126443447</v>
      </c>
      <c r="BA341" s="4">
        <v>151852319</v>
      </c>
      <c r="BB341" s="3">
        <v>44750</v>
      </c>
      <c r="BC341" s="4">
        <v>801148</v>
      </c>
    </row>
    <row r="342" spans="22:55" hidden="1">
      <c r="V342" s="3"/>
      <c r="AN342" s="3">
        <v>44753</v>
      </c>
      <c r="AO342" s="4">
        <v>2.12</v>
      </c>
      <c r="AP342" s="4">
        <v>3.3239999999999998</v>
      </c>
      <c r="AQ342" s="4">
        <v>4.1980000000000004</v>
      </c>
      <c r="AR342" s="4">
        <v>10.047000000000001</v>
      </c>
      <c r="AS342" s="4">
        <f t="shared" si="21"/>
        <v>0.87400000000000055</v>
      </c>
      <c r="AT342" s="3">
        <v>44749</v>
      </c>
      <c r="AU342" s="4">
        <v>550084</v>
      </c>
      <c r="AV342" s="3">
        <v>44753</v>
      </c>
      <c r="AW342" s="4">
        <v>92763241</v>
      </c>
      <c r="AX342" s="4">
        <v>9865944</v>
      </c>
      <c r="AY342" s="4">
        <v>21517025</v>
      </c>
      <c r="AZ342" s="4">
        <v>126986923</v>
      </c>
      <c r="BA342" s="4">
        <v>149215632</v>
      </c>
      <c r="BB342" s="3">
        <v>44749</v>
      </c>
      <c r="BC342" s="4">
        <v>808108</v>
      </c>
    </row>
    <row r="343" spans="22:55" hidden="1">
      <c r="V343" s="3"/>
      <c r="AN343" s="3">
        <v>44750</v>
      </c>
      <c r="AO343" s="4">
        <v>2.0499999999999998</v>
      </c>
      <c r="AP343" s="4">
        <v>3.3149999999999999</v>
      </c>
      <c r="AQ343" s="4">
        <v>4.1859999999999999</v>
      </c>
      <c r="AR343" s="4">
        <v>10.035</v>
      </c>
      <c r="AS343" s="4">
        <f t="shared" si="21"/>
        <v>0.871</v>
      </c>
      <c r="AT343" s="3">
        <v>44748</v>
      </c>
      <c r="AU343" s="4">
        <v>558905</v>
      </c>
      <c r="AV343" s="3">
        <v>44750</v>
      </c>
      <c r="AW343" s="4">
        <v>92929942</v>
      </c>
      <c r="AX343" s="4">
        <v>9876941</v>
      </c>
      <c r="AY343" s="4">
        <v>21530940</v>
      </c>
      <c r="AZ343" s="4">
        <v>126764548</v>
      </c>
      <c r="BA343" s="4">
        <v>151948211</v>
      </c>
      <c r="BB343" s="3">
        <v>44748</v>
      </c>
      <c r="BC343" s="4">
        <v>811209</v>
      </c>
    </row>
    <row r="344" spans="22:55" hidden="1">
      <c r="V344" s="3"/>
      <c r="AN344" s="3">
        <v>44749</v>
      </c>
      <c r="AO344" s="4">
        <v>2.0499999999999998</v>
      </c>
      <c r="AP344" s="4">
        <v>3.262</v>
      </c>
      <c r="AQ344" s="4">
        <v>4.1130000000000004</v>
      </c>
      <c r="AR344" s="4">
        <v>9.9640000000000004</v>
      </c>
      <c r="AS344" s="4">
        <f t="shared" si="21"/>
        <v>0.85100000000000042</v>
      </c>
      <c r="AT344" s="3">
        <v>44747</v>
      </c>
      <c r="AU344" s="4">
        <v>549244</v>
      </c>
      <c r="AV344" s="3">
        <v>44749</v>
      </c>
      <c r="AW344" s="4">
        <v>92459612</v>
      </c>
      <c r="AX344" s="4">
        <v>9877827</v>
      </c>
      <c r="AY344" s="4">
        <v>21603503</v>
      </c>
      <c r="AZ344" s="4">
        <v>126921822</v>
      </c>
      <c r="BA344" s="4">
        <v>155201351</v>
      </c>
      <c r="BB344" s="3">
        <v>44747</v>
      </c>
      <c r="BC344" s="4">
        <v>813421</v>
      </c>
    </row>
    <row r="345" spans="22:55" hidden="1">
      <c r="V345" s="3"/>
      <c r="AN345" s="3">
        <v>44748</v>
      </c>
      <c r="AO345" s="4">
        <v>2.0499999999999998</v>
      </c>
      <c r="AP345" s="4">
        <v>3.2389999999999999</v>
      </c>
      <c r="AQ345" s="4">
        <v>4.0860000000000003</v>
      </c>
      <c r="AR345" s="4">
        <v>9.9380000000000006</v>
      </c>
      <c r="AS345" s="4">
        <f t="shared" si="21"/>
        <v>0.84700000000000042</v>
      </c>
      <c r="AT345" s="3">
        <v>44746</v>
      </c>
      <c r="AU345" s="4">
        <v>576693</v>
      </c>
      <c r="AV345" s="3">
        <v>44748</v>
      </c>
      <c r="AW345" s="4">
        <v>91929394</v>
      </c>
      <c r="AX345" s="4">
        <v>9906228</v>
      </c>
      <c r="AY345" s="4">
        <v>21638507</v>
      </c>
      <c r="AZ345" s="4">
        <v>126636929</v>
      </c>
      <c r="BA345" s="4">
        <v>154025354</v>
      </c>
      <c r="BB345" s="3">
        <v>44746</v>
      </c>
      <c r="BC345" s="4">
        <v>818064</v>
      </c>
    </row>
    <row r="346" spans="22:55" hidden="1">
      <c r="V346" s="3"/>
      <c r="AN346" s="3">
        <v>44747</v>
      </c>
      <c r="AO346" s="4">
        <v>2.0499999999999998</v>
      </c>
      <c r="AP346" s="4">
        <v>3.3010000000000002</v>
      </c>
      <c r="AQ346" s="4">
        <v>4.1280000000000001</v>
      </c>
      <c r="AR346" s="4">
        <v>9.9749999999999996</v>
      </c>
      <c r="AS346" s="4">
        <f t="shared" si="21"/>
        <v>0.82699999999999996</v>
      </c>
      <c r="AT346" s="3">
        <v>44743</v>
      </c>
      <c r="AU346" s="4">
        <v>587383</v>
      </c>
      <c r="AV346" s="3">
        <v>44747</v>
      </c>
      <c r="AW346" s="4">
        <v>92375635</v>
      </c>
      <c r="AX346" s="4">
        <v>9907224</v>
      </c>
      <c r="AY346" s="4">
        <v>21656557</v>
      </c>
      <c r="AZ346" s="4">
        <v>126805398</v>
      </c>
      <c r="BA346" s="4">
        <v>153336019</v>
      </c>
      <c r="BB346" s="3">
        <v>44743</v>
      </c>
      <c r="BC346" s="4">
        <v>815275</v>
      </c>
    </row>
    <row r="347" spans="22:55" hidden="1">
      <c r="V347" s="3"/>
      <c r="AN347" s="3">
        <v>44746</v>
      </c>
      <c r="AO347" s="4">
        <v>2.0499999999999998</v>
      </c>
      <c r="AP347" s="4">
        <v>3.43</v>
      </c>
      <c r="AQ347" s="4">
        <v>4.2469999999999999</v>
      </c>
      <c r="AR347" s="4">
        <v>10.090999999999999</v>
      </c>
      <c r="AS347" s="4">
        <f t="shared" si="21"/>
        <v>0.81699999999999973</v>
      </c>
      <c r="AT347" s="3">
        <v>44742</v>
      </c>
      <c r="AU347" s="4">
        <v>573649</v>
      </c>
      <c r="AV347" s="3">
        <v>44746</v>
      </c>
      <c r="AW347" s="4">
        <v>91475012</v>
      </c>
      <c r="AX347" s="4">
        <v>9906237</v>
      </c>
      <c r="AY347" s="4">
        <v>21666736</v>
      </c>
      <c r="AZ347" s="4">
        <v>126992271</v>
      </c>
      <c r="BA347" s="4">
        <v>150172571</v>
      </c>
      <c r="BB347" s="3">
        <v>44742</v>
      </c>
      <c r="BC347" s="4">
        <v>776252</v>
      </c>
    </row>
    <row r="348" spans="22:55" hidden="1">
      <c r="V348" s="3"/>
      <c r="AN348" s="3">
        <v>44743</v>
      </c>
      <c r="AO348" s="4">
        <v>2.0499999999999998</v>
      </c>
      <c r="AP348" s="4">
        <v>3.4390000000000001</v>
      </c>
      <c r="AQ348" s="4">
        <v>4.2569999999999997</v>
      </c>
      <c r="AR348" s="4">
        <v>10.099</v>
      </c>
      <c r="AS348" s="4">
        <f t="shared" si="21"/>
        <v>0.81799999999999962</v>
      </c>
      <c r="AT348" s="3">
        <v>44741</v>
      </c>
      <c r="AU348" s="4">
        <v>573576</v>
      </c>
      <c r="AV348" s="3">
        <v>44743</v>
      </c>
      <c r="AW348" s="4">
        <v>91500863</v>
      </c>
      <c r="AX348" s="4">
        <v>9872523</v>
      </c>
      <c r="AY348" s="4">
        <v>21687085</v>
      </c>
      <c r="AZ348" s="4">
        <v>127010382</v>
      </c>
      <c r="BA348" s="4">
        <v>146158356</v>
      </c>
      <c r="BB348" s="3">
        <v>44741</v>
      </c>
      <c r="BC348" s="4">
        <v>807416</v>
      </c>
    </row>
    <row r="349" spans="22:55" hidden="1">
      <c r="V349" s="3"/>
      <c r="AN349" s="3">
        <v>44742</v>
      </c>
      <c r="AO349" s="4">
        <v>2.04</v>
      </c>
      <c r="AP349" s="4">
        <v>3.55</v>
      </c>
      <c r="AQ349" s="4">
        <v>4.3609999999999998</v>
      </c>
      <c r="AR349" s="4">
        <v>10.207000000000001</v>
      </c>
      <c r="AS349" s="4">
        <f t="shared" si="21"/>
        <v>0.81099999999999994</v>
      </c>
      <c r="AT349" s="3">
        <v>44740</v>
      </c>
      <c r="AU349" s="4">
        <v>583175</v>
      </c>
      <c r="AV349" s="3">
        <v>44742</v>
      </c>
      <c r="AW349" s="4">
        <v>92172827</v>
      </c>
      <c r="AX349" s="4">
        <v>9865661</v>
      </c>
      <c r="AY349" s="4">
        <v>21677934</v>
      </c>
      <c r="AZ349" s="4">
        <v>127210470</v>
      </c>
      <c r="BA349" s="4">
        <v>146176755</v>
      </c>
      <c r="BB349" s="3">
        <v>44740</v>
      </c>
      <c r="BC349" s="4">
        <v>816722</v>
      </c>
    </row>
    <row r="350" spans="22:55" hidden="1">
      <c r="V350" s="3"/>
      <c r="AN350" s="3">
        <v>44741</v>
      </c>
      <c r="AO350" s="4">
        <v>2.04</v>
      </c>
      <c r="AP350" s="4">
        <v>3.552</v>
      </c>
      <c r="AQ350" s="4">
        <v>4.359</v>
      </c>
      <c r="AR350" s="4">
        <v>10.205</v>
      </c>
      <c r="AS350" s="4">
        <f t="shared" si="21"/>
        <v>0.80699999999999994</v>
      </c>
      <c r="AT350" s="3">
        <v>44739</v>
      </c>
      <c r="AU350" s="4">
        <v>574337</v>
      </c>
      <c r="AV350" s="3">
        <v>44741</v>
      </c>
      <c r="AW350" s="4">
        <v>92947461</v>
      </c>
      <c r="AX350" s="4">
        <v>9853378</v>
      </c>
      <c r="AY350" s="4">
        <v>21683552</v>
      </c>
      <c r="AZ350" s="4">
        <v>124866185</v>
      </c>
      <c r="BA350" s="4">
        <v>151718498</v>
      </c>
      <c r="BB350" s="3">
        <v>44739</v>
      </c>
      <c r="BC350" s="4">
        <v>838265</v>
      </c>
    </row>
    <row r="351" spans="22:55" hidden="1">
      <c r="V351" s="3"/>
      <c r="AN351" s="3">
        <v>44740</v>
      </c>
      <c r="AO351" s="4">
        <v>2.02</v>
      </c>
      <c r="AP351" s="4">
        <v>3.552</v>
      </c>
      <c r="AQ351" s="4">
        <v>4.3390000000000004</v>
      </c>
      <c r="AR351" s="4">
        <v>10.191000000000001</v>
      </c>
      <c r="AS351" s="4">
        <f t="shared" si="21"/>
        <v>0.78700000000000037</v>
      </c>
      <c r="AT351" s="3">
        <v>44736</v>
      </c>
      <c r="AU351" s="4">
        <v>575460</v>
      </c>
      <c r="AV351" s="3">
        <v>44740</v>
      </c>
      <c r="AW351" s="4">
        <v>93855686</v>
      </c>
      <c r="AX351" s="4">
        <v>9830291</v>
      </c>
      <c r="AY351" s="4">
        <v>21716306</v>
      </c>
      <c r="AZ351" s="4">
        <v>125581614</v>
      </c>
      <c r="BA351" s="4">
        <v>151493278</v>
      </c>
      <c r="BB351" s="3">
        <v>44736</v>
      </c>
      <c r="BC351" s="4">
        <v>848613</v>
      </c>
    </row>
    <row r="352" spans="22:55" hidden="1">
      <c r="V352" s="3"/>
      <c r="AN352" s="3">
        <v>44739</v>
      </c>
      <c r="AO352" s="4">
        <v>2</v>
      </c>
      <c r="AP352" s="4">
        <v>3.5680000000000001</v>
      </c>
      <c r="AQ352" s="4">
        <v>4.3440000000000003</v>
      </c>
      <c r="AR352" s="4">
        <v>10.194000000000001</v>
      </c>
      <c r="AS352" s="4">
        <f t="shared" si="21"/>
        <v>0.77600000000000025</v>
      </c>
      <c r="AT352" s="3">
        <v>44735</v>
      </c>
      <c r="AU352" s="4">
        <v>569889</v>
      </c>
      <c r="AV352" s="3">
        <v>44739</v>
      </c>
      <c r="AW352" s="4">
        <v>93553060</v>
      </c>
      <c r="AX352" s="4">
        <v>9822155</v>
      </c>
      <c r="AY352" s="4">
        <v>21731253</v>
      </c>
      <c r="AZ352" s="4">
        <v>125594436</v>
      </c>
      <c r="BA352" s="4">
        <v>150469549</v>
      </c>
      <c r="BB352" s="3">
        <v>44735</v>
      </c>
      <c r="BC352" s="4">
        <v>840338</v>
      </c>
    </row>
    <row r="353" spans="22:55" hidden="1">
      <c r="V353" s="3"/>
      <c r="AN353" s="3">
        <v>44736</v>
      </c>
      <c r="AO353" s="4">
        <v>2</v>
      </c>
      <c r="AP353" s="4">
        <v>3.5230000000000001</v>
      </c>
      <c r="AQ353" s="4">
        <v>4.2969999999999997</v>
      </c>
      <c r="AR353" s="4">
        <v>10.148999999999999</v>
      </c>
      <c r="AS353" s="4">
        <f t="shared" si="21"/>
        <v>0.77399999999999958</v>
      </c>
      <c r="AT353" s="3">
        <v>44734</v>
      </c>
      <c r="AU353" s="4">
        <v>563946</v>
      </c>
      <c r="AV353" s="3">
        <v>44736</v>
      </c>
      <c r="AW353" s="4">
        <v>92396917</v>
      </c>
      <c r="AX353" s="4">
        <v>9828361</v>
      </c>
      <c r="AY353" s="4">
        <v>21775658</v>
      </c>
      <c r="AZ353" s="4">
        <v>126229002</v>
      </c>
      <c r="BA353" s="4">
        <v>151123171</v>
      </c>
      <c r="BB353" s="3">
        <v>44734</v>
      </c>
      <c r="BC353" s="4">
        <v>843897</v>
      </c>
    </row>
    <row r="354" spans="22:55" hidden="1">
      <c r="V354" s="3"/>
      <c r="AN354" s="3">
        <v>44735</v>
      </c>
      <c r="AO354" s="4">
        <v>2</v>
      </c>
      <c r="AP354" s="4">
        <v>3.6080000000000001</v>
      </c>
      <c r="AQ354" s="4">
        <v>4.3630000000000004</v>
      </c>
      <c r="AR354" s="4">
        <v>10.221</v>
      </c>
      <c r="AS354" s="4">
        <f t="shared" si="21"/>
        <v>0.75500000000000034</v>
      </c>
      <c r="AT354" s="3">
        <v>44733</v>
      </c>
      <c r="AU354" s="4">
        <v>569621</v>
      </c>
      <c r="AV354" s="3">
        <v>44735</v>
      </c>
      <c r="AW354" s="4">
        <v>91401396</v>
      </c>
      <c r="AX354" s="4">
        <v>9835882</v>
      </c>
      <c r="AY354" s="4">
        <v>21811543</v>
      </c>
      <c r="AZ354" s="4">
        <v>126934692</v>
      </c>
      <c r="BA354" s="4">
        <v>154412538</v>
      </c>
      <c r="BB354" s="3">
        <v>44733</v>
      </c>
      <c r="BC354" s="4">
        <v>857197</v>
      </c>
    </row>
    <row r="355" spans="22:55" hidden="1">
      <c r="V355" s="3"/>
      <c r="AN355" s="3">
        <v>44734</v>
      </c>
      <c r="AO355" s="4">
        <v>2</v>
      </c>
      <c r="AP355" s="4">
        <v>3.5219999999999998</v>
      </c>
      <c r="AQ355" s="4">
        <v>4.2750000000000004</v>
      </c>
      <c r="AR355" s="4">
        <v>10.141999999999999</v>
      </c>
      <c r="AS355" s="4">
        <f t="shared" si="21"/>
        <v>0.75300000000000056</v>
      </c>
      <c r="AT355" s="3">
        <v>44732</v>
      </c>
      <c r="AU355" s="4">
        <v>572056</v>
      </c>
      <c r="AV355" s="3">
        <v>44734</v>
      </c>
      <c r="AW355" s="4">
        <v>91835229</v>
      </c>
      <c r="AX355" s="4">
        <v>9835298</v>
      </c>
      <c r="AY355" s="4">
        <v>21849637</v>
      </c>
      <c r="AZ355" s="4">
        <v>126997677</v>
      </c>
      <c r="BA355" s="4">
        <v>156968070</v>
      </c>
      <c r="BB355" s="3">
        <v>44732</v>
      </c>
      <c r="BC355" s="4">
        <v>856353</v>
      </c>
    </row>
    <row r="356" spans="22:55" hidden="1">
      <c r="V356" s="3"/>
      <c r="AN356" s="3">
        <v>44733</v>
      </c>
      <c r="AO356" s="4">
        <v>1.99</v>
      </c>
      <c r="AP356" s="4">
        <v>3.6629999999999998</v>
      </c>
      <c r="AQ356" s="4">
        <v>4.4020000000000001</v>
      </c>
      <c r="AR356" s="4">
        <v>10.249000000000001</v>
      </c>
      <c r="AS356" s="4">
        <f t="shared" si="21"/>
        <v>0.73900000000000032</v>
      </c>
      <c r="AT356" s="3">
        <v>44729</v>
      </c>
      <c r="AU356" s="4">
        <v>571736</v>
      </c>
      <c r="AV356" s="3">
        <v>44733</v>
      </c>
      <c r="AW356" s="4">
        <v>92073584</v>
      </c>
      <c r="AX356" s="4">
        <v>9853943</v>
      </c>
      <c r="AY356" s="4">
        <v>21893481</v>
      </c>
      <c r="AZ356" s="4">
        <v>127040939</v>
      </c>
      <c r="BA356" s="4">
        <v>156927478</v>
      </c>
      <c r="BB356" s="3">
        <v>44729</v>
      </c>
      <c r="BC356" s="4">
        <v>858234</v>
      </c>
    </row>
    <row r="357" spans="22:55" hidden="1">
      <c r="V357" s="3"/>
      <c r="AN357" s="3">
        <v>44732</v>
      </c>
      <c r="AO357" s="4">
        <v>1.99</v>
      </c>
      <c r="AP357" s="4">
        <v>3.6749999999999998</v>
      </c>
      <c r="AQ357" s="4">
        <v>4.4139999999999997</v>
      </c>
      <c r="AR357" s="4">
        <v>10.260999999999999</v>
      </c>
      <c r="AS357" s="4">
        <f t="shared" si="21"/>
        <v>0.73899999999999988</v>
      </c>
      <c r="AT357" s="3">
        <v>44728</v>
      </c>
      <c r="AU357" s="4">
        <v>570207</v>
      </c>
      <c r="AV357" s="3">
        <v>44732</v>
      </c>
      <c r="AW357" s="4">
        <v>91509837</v>
      </c>
      <c r="AX357" s="4">
        <v>9854680</v>
      </c>
      <c r="AY357" s="4">
        <v>21816152</v>
      </c>
      <c r="AZ357" s="4">
        <v>127446378</v>
      </c>
      <c r="BA357" s="4">
        <v>157565046</v>
      </c>
      <c r="BB357" s="3">
        <v>44728</v>
      </c>
      <c r="BC357" s="4">
        <v>847850</v>
      </c>
    </row>
    <row r="358" spans="22:55" hidden="1">
      <c r="V358" s="3"/>
      <c r="AN358" s="3">
        <v>44729</v>
      </c>
      <c r="AO358" s="4">
        <v>1.99</v>
      </c>
      <c r="AP358" s="4">
        <v>3.7450000000000001</v>
      </c>
      <c r="AQ358" s="4">
        <v>4.468</v>
      </c>
      <c r="AR358" s="4">
        <v>10.305999999999999</v>
      </c>
      <c r="AS358" s="4">
        <f t="shared" si="21"/>
        <v>0.72299999999999986</v>
      </c>
      <c r="AT358" s="3">
        <v>44727</v>
      </c>
      <c r="AU358" s="4">
        <v>579763</v>
      </c>
      <c r="AV358" s="3">
        <v>44729</v>
      </c>
      <c r="AW358" s="4">
        <v>91761711</v>
      </c>
      <c r="AX358" s="4">
        <v>9862889</v>
      </c>
      <c r="AY358" s="4">
        <v>21855527</v>
      </c>
      <c r="AZ358" s="4">
        <v>127757432</v>
      </c>
      <c r="BA358" s="4">
        <v>158077813</v>
      </c>
      <c r="BB358" s="3">
        <v>44727</v>
      </c>
      <c r="BC358" s="4">
        <v>856290</v>
      </c>
    </row>
    <row r="359" spans="22:55" hidden="1">
      <c r="V359" s="3"/>
      <c r="AN359" s="3">
        <v>44728</v>
      </c>
      <c r="AO359" s="4">
        <v>1.99</v>
      </c>
      <c r="AP359" s="4">
        <v>3.7280000000000002</v>
      </c>
      <c r="AQ359" s="4">
        <v>4.4370000000000003</v>
      </c>
      <c r="AR359" s="4">
        <v>10.272</v>
      </c>
      <c r="AS359" s="4">
        <f t="shared" si="21"/>
        <v>0.70900000000000007</v>
      </c>
      <c r="AT359" s="3">
        <v>44726</v>
      </c>
      <c r="AU359" s="4">
        <v>587366</v>
      </c>
      <c r="AV359" s="3">
        <v>44728</v>
      </c>
      <c r="AW359" s="4">
        <v>91954032</v>
      </c>
      <c r="AX359" s="4">
        <v>9865218</v>
      </c>
      <c r="AY359" s="4">
        <v>21893519</v>
      </c>
      <c r="AZ359" s="4">
        <v>127823723</v>
      </c>
      <c r="BA359" s="4">
        <v>159164043</v>
      </c>
      <c r="BB359" s="3">
        <v>44726</v>
      </c>
      <c r="BC359" s="4">
        <v>864396</v>
      </c>
    </row>
    <row r="360" spans="22:55" hidden="1">
      <c r="V360" s="3"/>
      <c r="AN360" s="3">
        <v>44727</v>
      </c>
      <c r="AO360" s="4">
        <v>1.97</v>
      </c>
      <c r="AP360" s="4">
        <v>3.6659999999999999</v>
      </c>
      <c r="AQ360" s="4">
        <v>4.3710000000000004</v>
      </c>
      <c r="AR360" s="4">
        <v>10.209</v>
      </c>
      <c r="AS360" s="4">
        <f t="shared" si="21"/>
        <v>0.70500000000000052</v>
      </c>
      <c r="AT360" s="3">
        <v>44725</v>
      </c>
      <c r="AU360" s="4">
        <v>590810</v>
      </c>
      <c r="AV360" s="3">
        <v>44727</v>
      </c>
      <c r="AW360" s="4">
        <v>90835140</v>
      </c>
      <c r="AX360" s="4">
        <v>9865559</v>
      </c>
      <c r="AY360" s="4">
        <v>21926589</v>
      </c>
      <c r="AZ360" s="4">
        <v>127860801</v>
      </c>
      <c r="BA360" s="4">
        <v>157372912</v>
      </c>
      <c r="BB360" s="3">
        <v>44725</v>
      </c>
      <c r="BC360" s="4">
        <v>868234</v>
      </c>
    </row>
    <row r="361" spans="22:55" hidden="1">
      <c r="V361" s="3"/>
      <c r="AN361" s="3">
        <v>44726</v>
      </c>
      <c r="AO361" s="4">
        <v>1.97</v>
      </c>
      <c r="AP361" s="4">
        <v>3.548</v>
      </c>
      <c r="AQ361" s="4">
        <v>4.2699999999999996</v>
      </c>
      <c r="AR361" s="4">
        <v>10.109</v>
      </c>
      <c r="AS361" s="4">
        <f t="shared" si="21"/>
        <v>0.72199999999999953</v>
      </c>
      <c r="AT361" s="3">
        <v>44722</v>
      </c>
      <c r="AU361" s="4">
        <v>573044</v>
      </c>
      <c r="AV361" s="3">
        <v>44726</v>
      </c>
      <c r="AW361" s="4">
        <v>90701596</v>
      </c>
      <c r="AX361" s="4">
        <v>9862497</v>
      </c>
      <c r="AY361" s="4">
        <v>21931515</v>
      </c>
      <c r="AZ361" s="4">
        <v>127988702</v>
      </c>
      <c r="BA361" s="4">
        <v>157430157</v>
      </c>
      <c r="BB361" s="3">
        <v>44722</v>
      </c>
      <c r="BC361" s="4">
        <v>862826</v>
      </c>
    </row>
    <row r="362" spans="22:55" hidden="1">
      <c r="V362" s="3"/>
      <c r="AN362" s="3">
        <v>44725</v>
      </c>
      <c r="AO362" s="4">
        <v>1.96</v>
      </c>
      <c r="AP362" s="4">
        <v>3.5139999999999998</v>
      </c>
      <c r="AQ362" s="4">
        <v>4.2220000000000004</v>
      </c>
      <c r="AR362" s="4">
        <v>10.071999999999999</v>
      </c>
      <c r="AS362" s="4">
        <f t="shared" si="21"/>
        <v>0.70800000000000063</v>
      </c>
      <c r="AT362" s="3">
        <v>44721</v>
      </c>
      <c r="AU362" s="4">
        <v>569731</v>
      </c>
      <c r="AV362" s="3">
        <v>44725</v>
      </c>
      <c r="AW362" s="4">
        <v>91275187</v>
      </c>
      <c r="AX362" s="4">
        <v>9859242</v>
      </c>
      <c r="AY362" s="4">
        <v>21957727</v>
      </c>
      <c r="AZ362" s="4">
        <v>128034564</v>
      </c>
      <c r="BA362" s="4">
        <v>156692721</v>
      </c>
      <c r="BB362" s="3">
        <v>44721</v>
      </c>
      <c r="BC362" s="4">
        <v>868318</v>
      </c>
    </row>
    <row r="363" spans="22:55" hidden="1">
      <c r="V363" s="3"/>
      <c r="AN363" s="3">
        <v>44722</v>
      </c>
      <c r="AO363" s="4">
        <v>1.96</v>
      </c>
      <c r="AP363" s="4">
        <v>3.2749999999999999</v>
      </c>
      <c r="AQ363" s="4">
        <v>3.996</v>
      </c>
      <c r="AR363" s="4">
        <v>9.8569999999999993</v>
      </c>
      <c r="AS363" s="4">
        <f t="shared" si="21"/>
        <v>0.72100000000000009</v>
      </c>
      <c r="AT363" s="3">
        <v>44720</v>
      </c>
      <c r="AU363" s="4">
        <v>575174</v>
      </c>
      <c r="AV363" s="3">
        <v>44722</v>
      </c>
      <c r="AW363" s="4">
        <v>92635430</v>
      </c>
      <c r="AX363" s="4">
        <v>9868520</v>
      </c>
      <c r="AY363" s="4">
        <v>21942803</v>
      </c>
      <c r="AZ363" s="4">
        <v>128062511</v>
      </c>
      <c r="BA363" s="4">
        <v>154975871</v>
      </c>
      <c r="BB363" s="3">
        <v>44720</v>
      </c>
      <c r="BC363" s="4">
        <v>875277</v>
      </c>
    </row>
    <row r="364" spans="22:55" hidden="1">
      <c r="V364" s="3"/>
      <c r="AN364" s="3">
        <v>44721</v>
      </c>
      <c r="AO364" s="4">
        <v>1.96</v>
      </c>
      <c r="AP364" s="4">
        <v>3.1709999999999998</v>
      </c>
      <c r="AQ364" s="4">
        <v>3.9580000000000002</v>
      </c>
      <c r="AR364" s="4">
        <v>9.8040000000000003</v>
      </c>
      <c r="AS364" s="4">
        <f t="shared" si="21"/>
        <v>0.78700000000000037</v>
      </c>
      <c r="AT364" s="3">
        <v>44719</v>
      </c>
      <c r="AU364" s="4">
        <v>577866</v>
      </c>
      <c r="AV364" s="3">
        <v>44721</v>
      </c>
      <c r="AW364" s="4">
        <v>93126286</v>
      </c>
      <c r="AX364" s="4">
        <v>9862079</v>
      </c>
      <c r="AY364" s="4">
        <v>21957986</v>
      </c>
      <c r="AZ364" s="4">
        <v>127892271</v>
      </c>
      <c r="BA364" s="4">
        <v>159722306</v>
      </c>
      <c r="BB364" s="3">
        <v>44719</v>
      </c>
      <c r="BC364" s="4">
        <v>881110</v>
      </c>
    </row>
    <row r="365" spans="22:55" hidden="1">
      <c r="V365" s="3"/>
      <c r="AN365" s="3">
        <v>44720</v>
      </c>
      <c r="AO365" s="4">
        <v>1.96</v>
      </c>
      <c r="AP365" s="4">
        <v>3.2090000000000001</v>
      </c>
      <c r="AQ365" s="4">
        <v>3.9820000000000002</v>
      </c>
      <c r="AR365" s="4">
        <v>9.8260000000000005</v>
      </c>
      <c r="AS365" s="4">
        <f t="shared" si="21"/>
        <v>0.77300000000000013</v>
      </c>
      <c r="AT365" s="3">
        <v>44715</v>
      </c>
      <c r="AU365" s="4">
        <v>586526</v>
      </c>
      <c r="AV365" s="3">
        <v>44720</v>
      </c>
      <c r="AW365" s="4">
        <v>93611235</v>
      </c>
      <c r="AX365" s="4">
        <v>9944727</v>
      </c>
      <c r="AY365" s="4">
        <v>21867713</v>
      </c>
      <c r="AZ365" s="4">
        <v>127509390</v>
      </c>
      <c r="BA365" s="4">
        <v>165891338</v>
      </c>
      <c r="BB365" s="3">
        <v>44715</v>
      </c>
      <c r="BC365" s="4">
        <v>879468</v>
      </c>
    </row>
    <row r="366" spans="22:55" hidden="1">
      <c r="V366" s="3"/>
      <c r="AN366" s="3">
        <v>44719</v>
      </c>
      <c r="AO366" s="4">
        <v>1.96</v>
      </c>
      <c r="AP366" s="4">
        <v>3.2320000000000002</v>
      </c>
      <c r="AQ366" s="4">
        <v>4.0010000000000003</v>
      </c>
      <c r="AR366" s="4">
        <v>9.8469999999999995</v>
      </c>
      <c r="AS366" s="4">
        <f t="shared" si="21"/>
        <v>0.76900000000000013</v>
      </c>
      <c r="AT366" s="3">
        <v>44714</v>
      </c>
      <c r="AU366" s="4">
        <v>616321</v>
      </c>
      <c r="AV366" s="3">
        <v>44719</v>
      </c>
      <c r="AW366" s="4">
        <v>94186771</v>
      </c>
      <c r="AX366" s="4">
        <v>9945301</v>
      </c>
      <c r="AY366" s="4">
        <v>21887328</v>
      </c>
      <c r="AZ366" s="4">
        <v>127385216</v>
      </c>
      <c r="BA366" s="4">
        <v>166423587</v>
      </c>
      <c r="BB366" s="3">
        <v>44714</v>
      </c>
      <c r="BC366" s="4">
        <v>875271</v>
      </c>
    </row>
    <row r="367" spans="22:55" hidden="1">
      <c r="V367" s="3"/>
      <c r="AN367" s="3">
        <v>44715</v>
      </c>
      <c r="AO367" s="4">
        <v>1.96</v>
      </c>
      <c r="AP367" s="4">
        <v>3.121</v>
      </c>
      <c r="AQ367" s="4">
        <v>3.8959999999999999</v>
      </c>
      <c r="AR367" s="4">
        <v>9.74</v>
      </c>
      <c r="AS367" s="4">
        <f t="shared" si="21"/>
        <v>0.77499999999999991</v>
      </c>
      <c r="AT367" s="3">
        <v>44712</v>
      </c>
      <c r="AU367" s="4">
        <v>575671</v>
      </c>
      <c r="AV367" s="3">
        <v>44715</v>
      </c>
      <c r="AW367" s="4">
        <v>95570732</v>
      </c>
      <c r="AX367" s="4">
        <v>9940583</v>
      </c>
      <c r="AY367" s="4">
        <v>21901193</v>
      </c>
      <c r="AZ367" s="4">
        <v>127434305</v>
      </c>
      <c r="BA367" s="4">
        <v>165445412</v>
      </c>
      <c r="BB367" s="3">
        <v>44712</v>
      </c>
      <c r="BC367" s="4">
        <v>868896</v>
      </c>
    </row>
    <row r="368" spans="22:55" hidden="1">
      <c r="V368" s="3"/>
      <c r="AN368" s="3">
        <v>44714</v>
      </c>
      <c r="AO368" s="4">
        <v>1.96</v>
      </c>
      <c r="AP368" s="4">
        <v>3.125</v>
      </c>
      <c r="AQ368" s="4">
        <v>3.8969999999999998</v>
      </c>
      <c r="AR368" s="4">
        <v>9.74</v>
      </c>
      <c r="AS368" s="4">
        <f t="shared" si="21"/>
        <v>0.7719999999999998</v>
      </c>
      <c r="AT368" s="3">
        <v>44711</v>
      </c>
      <c r="AU368" s="4">
        <v>583480</v>
      </c>
      <c r="AV368" s="3">
        <v>44714</v>
      </c>
      <c r="AW368" s="4">
        <v>95473283</v>
      </c>
      <c r="AX368" s="4">
        <v>9943111</v>
      </c>
      <c r="AY368" s="4">
        <v>21903537</v>
      </c>
      <c r="AZ368" s="4">
        <v>127335846</v>
      </c>
      <c r="BA368" s="4">
        <v>156653644</v>
      </c>
      <c r="BB368" s="3">
        <v>44711</v>
      </c>
      <c r="BC368" s="4">
        <v>874328</v>
      </c>
    </row>
    <row r="369" spans="22:55" hidden="1">
      <c r="V369" s="3"/>
      <c r="AN369" s="3">
        <v>44712</v>
      </c>
      <c r="AO369" s="4">
        <v>1.96</v>
      </c>
      <c r="AP369" s="4">
        <v>3.0270000000000001</v>
      </c>
      <c r="AQ369" s="4">
        <v>3.8069999999999999</v>
      </c>
      <c r="AR369" s="4">
        <v>9.65</v>
      </c>
      <c r="AS369" s="4">
        <f t="shared" si="21"/>
        <v>0.7799999999999998</v>
      </c>
      <c r="AT369" s="3">
        <v>44708</v>
      </c>
      <c r="AU369" s="4">
        <v>584834</v>
      </c>
      <c r="AV369" s="3">
        <v>44712</v>
      </c>
      <c r="AW369" s="4">
        <v>95642467</v>
      </c>
      <c r="AX369" s="4">
        <v>9939141</v>
      </c>
      <c r="AY369" s="4">
        <v>21900678</v>
      </c>
      <c r="AZ369" s="4">
        <v>127415296</v>
      </c>
      <c r="BA369" s="4">
        <v>156646776</v>
      </c>
      <c r="BB369" s="3">
        <v>44708</v>
      </c>
      <c r="BC369" s="4">
        <v>875496</v>
      </c>
    </row>
    <row r="370" spans="22:55" hidden="1">
      <c r="V370" s="3"/>
      <c r="AN370" s="3">
        <v>44711</v>
      </c>
      <c r="AO370" s="4">
        <v>1.96</v>
      </c>
      <c r="AP370" s="4">
        <v>2.9420000000000002</v>
      </c>
      <c r="AQ370" s="4">
        <v>3.7240000000000002</v>
      </c>
      <c r="AR370" s="4">
        <v>9.57</v>
      </c>
      <c r="AS370" s="4">
        <f t="shared" si="21"/>
        <v>0.78200000000000003</v>
      </c>
      <c r="AT370" s="3">
        <v>44707</v>
      </c>
      <c r="AU370" s="4">
        <v>588535</v>
      </c>
      <c r="AV370" s="3">
        <v>44711</v>
      </c>
      <c r="AW370" s="4">
        <v>95281710</v>
      </c>
      <c r="AX370" s="4">
        <v>9934341</v>
      </c>
      <c r="AY370" s="4">
        <v>21919152</v>
      </c>
      <c r="AZ370" s="4">
        <v>128611006</v>
      </c>
      <c r="BA370" s="4">
        <v>158394056</v>
      </c>
      <c r="BB370" s="3">
        <v>44707</v>
      </c>
      <c r="BC370" s="4">
        <v>872496</v>
      </c>
    </row>
    <row r="371" spans="22:55" hidden="1">
      <c r="V371" s="3"/>
      <c r="AN371" s="3">
        <v>44708</v>
      </c>
      <c r="AO371" s="4">
        <v>1.96</v>
      </c>
      <c r="AP371" s="4">
        <v>2.9470000000000001</v>
      </c>
      <c r="AQ371" s="4">
        <v>3.7280000000000002</v>
      </c>
      <c r="AR371" s="4">
        <v>9.5709999999999997</v>
      </c>
      <c r="AS371" s="4">
        <f t="shared" si="21"/>
        <v>0.78100000000000014</v>
      </c>
      <c r="AT371" s="3">
        <v>44706</v>
      </c>
      <c r="AU371" s="4">
        <v>592138</v>
      </c>
      <c r="AV371" s="3">
        <v>44708</v>
      </c>
      <c r="AW371" s="4">
        <v>94905982</v>
      </c>
      <c r="AX371" s="4">
        <v>9928407</v>
      </c>
      <c r="AY371" s="4">
        <v>21935697</v>
      </c>
      <c r="AZ371" s="4">
        <v>128566075</v>
      </c>
      <c r="BA371" s="4">
        <v>158287343</v>
      </c>
      <c r="BB371" s="3">
        <v>44706</v>
      </c>
      <c r="BC371" s="4">
        <v>875247</v>
      </c>
    </row>
    <row r="372" spans="22:55" hidden="1">
      <c r="V372" s="3"/>
      <c r="AN372" s="3">
        <v>44707</v>
      </c>
      <c r="AO372" s="4">
        <v>1.96</v>
      </c>
      <c r="AP372" s="4">
        <v>2.9550000000000001</v>
      </c>
      <c r="AQ372" s="4">
        <v>3.7330000000000001</v>
      </c>
      <c r="AR372" s="4">
        <v>9.577</v>
      </c>
      <c r="AS372" s="4">
        <f t="shared" si="21"/>
        <v>0.77800000000000002</v>
      </c>
      <c r="AT372" s="3">
        <v>44705</v>
      </c>
      <c r="AU372" s="4">
        <v>593602</v>
      </c>
      <c r="AV372" s="3">
        <v>44707</v>
      </c>
      <c r="AW372" s="4">
        <v>94482273</v>
      </c>
      <c r="AX372" s="4">
        <v>9929856</v>
      </c>
      <c r="AY372" s="4">
        <v>21937484</v>
      </c>
      <c r="AZ372" s="4">
        <v>128411117</v>
      </c>
      <c r="BA372" s="4">
        <v>160576669</v>
      </c>
      <c r="BB372" s="3">
        <v>44705</v>
      </c>
      <c r="BC372" s="4">
        <v>876913</v>
      </c>
    </row>
    <row r="373" spans="22:55" hidden="1">
      <c r="V373" s="3"/>
      <c r="AN373" s="3">
        <v>44706</v>
      </c>
      <c r="AO373" s="4">
        <v>1.75</v>
      </c>
      <c r="AP373" s="4">
        <v>2.9460000000000002</v>
      </c>
      <c r="AQ373" s="4">
        <v>3.72</v>
      </c>
      <c r="AR373" s="4">
        <v>9.5660000000000007</v>
      </c>
      <c r="AS373" s="4">
        <f t="shared" si="21"/>
        <v>0.77400000000000002</v>
      </c>
      <c r="AT373" s="3">
        <v>44704</v>
      </c>
      <c r="AU373" s="4">
        <v>586646</v>
      </c>
      <c r="AV373" s="3">
        <v>44706</v>
      </c>
      <c r="AW373" s="4">
        <v>94463187</v>
      </c>
      <c r="AX373" s="4">
        <v>9930155</v>
      </c>
      <c r="AY373" s="4">
        <v>21943662</v>
      </c>
      <c r="AZ373" s="4">
        <v>129185448</v>
      </c>
      <c r="BA373" s="4">
        <v>165046478</v>
      </c>
      <c r="BB373" s="3">
        <v>44704</v>
      </c>
      <c r="BC373" s="4">
        <v>877242</v>
      </c>
    </row>
    <row r="374" spans="22:55" hidden="1">
      <c r="V374" s="3"/>
      <c r="AN374" s="3">
        <v>44705</v>
      </c>
      <c r="AO374" s="4">
        <v>1.75</v>
      </c>
      <c r="AP374" s="4">
        <v>2.9670000000000001</v>
      </c>
      <c r="AQ374" s="4">
        <v>3.742</v>
      </c>
      <c r="AR374" s="4">
        <v>9.59</v>
      </c>
      <c r="AS374" s="4">
        <f t="shared" si="21"/>
        <v>0.77499999999999991</v>
      </c>
      <c r="AT374" s="3">
        <v>44701</v>
      </c>
      <c r="AU374" s="4">
        <v>596016</v>
      </c>
      <c r="AV374" s="3">
        <v>44705</v>
      </c>
      <c r="AW374" s="4">
        <v>94303633</v>
      </c>
      <c r="AX374" s="4">
        <v>9931681</v>
      </c>
      <c r="AY374" s="4">
        <v>21960468</v>
      </c>
      <c r="AZ374" s="4">
        <v>129458180</v>
      </c>
      <c r="BA374" s="4">
        <v>171969382</v>
      </c>
      <c r="BB374" s="3">
        <v>44701</v>
      </c>
      <c r="BC374" s="4">
        <v>878233</v>
      </c>
    </row>
    <row r="375" spans="22:55" hidden="1">
      <c r="V375" s="3"/>
      <c r="AN375" s="3">
        <v>44704</v>
      </c>
      <c r="AO375" s="4">
        <v>1.75</v>
      </c>
      <c r="AP375" s="4">
        <v>3.0179999999999998</v>
      </c>
      <c r="AQ375" s="4">
        <v>3.7959999999999998</v>
      </c>
      <c r="AR375" s="4">
        <v>9.641</v>
      </c>
      <c r="AS375" s="4">
        <f t="shared" si="21"/>
        <v>0.77800000000000002</v>
      </c>
      <c r="AT375" s="3">
        <v>44700</v>
      </c>
      <c r="AU375" s="4">
        <v>597638</v>
      </c>
      <c r="AV375" s="3">
        <v>44704</v>
      </c>
      <c r="AW375" s="4">
        <v>94868596</v>
      </c>
      <c r="AX375" s="4">
        <v>9931895</v>
      </c>
      <c r="AY375" s="4">
        <v>21971087</v>
      </c>
      <c r="AZ375" s="4">
        <v>129437377</v>
      </c>
      <c r="BA375" s="4">
        <v>173620683</v>
      </c>
      <c r="BB375" s="3">
        <v>44700</v>
      </c>
      <c r="BC375" s="4">
        <v>876336</v>
      </c>
    </row>
    <row r="376" spans="22:55" hidden="1">
      <c r="V376" s="3"/>
      <c r="AN376" s="3">
        <v>44701</v>
      </c>
      <c r="AO376" s="4">
        <v>1.72</v>
      </c>
      <c r="AP376" s="4">
        <v>3.0110000000000001</v>
      </c>
      <c r="AQ376" s="4">
        <v>3.7839999999999998</v>
      </c>
      <c r="AR376" s="4">
        <v>9.6280000000000001</v>
      </c>
      <c r="AS376" s="4">
        <f t="shared" si="21"/>
        <v>0.77299999999999969</v>
      </c>
      <c r="AT376" s="3">
        <v>44699</v>
      </c>
      <c r="AU376" s="4">
        <v>591905</v>
      </c>
      <c r="AV376" s="3">
        <v>44701</v>
      </c>
      <c r="AW376" s="4">
        <v>94832765</v>
      </c>
      <c r="AX376" s="4">
        <v>9931551</v>
      </c>
      <c r="AY376" s="4">
        <v>21967695</v>
      </c>
      <c r="AZ376" s="4">
        <v>129548444</v>
      </c>
      <c r="BA376" s="4">
        <v>174121483</v>
      </c>
      <c r="BB376" s="3">
        <v>44699</v>
      </c>
      <c r="BC376" s="4">
        <v>878846</v>
      </c>
    </row>
    <row r="377" spans="22:55" hidden="1">
      <c r="V377" s="3"/>
      <c r="AN377" s="3">
        <v>44700</v>
      </c>
      <c r="AO377" s="4">
        <v>1.72</v>
      </c>
      <c r="AP377" s="4">
        <v>3.0459999999999998</v>
      </c>
      <c r="AQ377" s="4">
        <v>3.8210000000000002</v>
      </c>
      <c r="AR377" s="4">
        <v>9.6669999999999998</v>
      </c>
      <c r="AS377" s="4">
        <f t="shared" si="21"/>
        <v>0.77500000000000036</v>
      </c>
      <c r="AT377" s="3">
        <v>44698</v>
      </c>
      <c r="AU377" s="4">
        <v>605077</v>
      </c>
      <c r="AV377" s="3">
        <v>44700</v>
      </c>
      <c r="AW377" s="4">
        <v>94267584</v>
      </c>
      <c r="AX377" s="4">
        <v>9972066</v>
      </c>
      <c r="AY377" s="4">
        <v>21979025</v>
      </c>
      <c r="AZ377" s="4">
        <v>129551799</v>
      </c>
      <c r="BA377" s="4">
        <v>176222500</v>
      </c>
      <c r="BB377" s="3">
        <v>44698</v>
      </c>
      <c r="BC377" s="4">
        <v>880587</v>
      </c>
    </row>
    <row r="378" spans="22:55" hidden="1">
      <c r="V378" s="3"/>
      <c r="AN378" s="3">
        <v>44699</v>
      </c>
      <c r="AO378" s="4">
        <v>1.72</v>
      </c>
      <c r="AP378" s="4">
        <v>3.069</v>
      </c>
      <c r="AQ378" s="4">
        <v>3.8319999999999999</v>
      </c>
      <c r="AR378" s="4">
        <v>9.6750000000000007</v>
      </c>
      <c r="AS378" s="4">
        <f t="shared" si="21"/>
        <v>0.7629999999999999</v>
      </c>
      <c r="AT378" s="3">
        <v>44697</v>
      </c>
      <c r="AU378" s="4">
        <v>590890</v>
      </c>
      <c r="AV378" s="3">
        <v>44699</v>
      </c>
      <c r="AW378" s="4">
        <v>94911277</v>
      </c>
      <c r="AX378" s="4">
        <v>9982491</v>
      </c>
      <c r="AY378" s="4">
        <v>22008633</v>
      </c>
      <c r="AZ378" s="4">
        <v>129483932</v>
      </c>
      <c r="BA378" s="4">
        <v>176630075</v>
      </c>
      <c r="BB378" s="3">
        <v>44697</v>
      </c>
      <c r="BC378" s="4">
        <v>866591</v>
      </c>
    </row>
    <row r="379" spans="22:55" hidden="1">
      <c r="V379" s="3"/>
      <c r="AN379" s="3">
        <v>44698</v>
      </c>
      <c r="AO379" s="4">
        <v>1.72</v>
      </c>
      <c r="AP379" s="4">
        <v>3.0310000000000001</v>
      </c>
      <c r="AQ379" s="4">
        <v>3.7839999999999998</v>
      </c>
      <c r="AR379" s="4">
        <v>9.6259999999999994</v>
      </c>
      <c r="AS379" s="4">
        <f t="shared" si="21"/>
        <v>0.75299999999999967</v>
      </c>
      <c r="AT379" s="3">
        <v>44694</v>
      </c>
      <c r="AU379" s="4">
        <v>599665</v>
      </c>
      <c r="AV379" s="3">
        <v>44698</v>
      </c>
      <c r="AW379" s="4">
        <v>94399743</v>
      </c>
      <c r="AX379" s="4">
        <v>9988134</v>
      </c>
      <c r="AY379" s="4">
        <v>22016766</v>
      </c>
      <c r="AZ379" s="4">
        <v>129537628</v>
      </c>
      <c r="BA379" s="4">
        <v>176971142</v>
      </c>
      <c r="BB379" s="3">
        <v>44694</v>
      </c>
      <c r="BC379" s="4">
        <v>858491</v>
      </c>
    </row>
    <row r="380" spans="22:55" hidden="1">
      <c r="V380" s="3"/>
      <c r="AN380" s="3">
        <v>44697</v>
      </c>
      <c r="AO380" s="4">
        <v>1.72</v>
      </c>
      <c r="AP380" s="4">
        <v>3.0459999999999998</v>
      </c>
      <c r="AQ380" s="4">
        <v>3.7810000000000001</v>
      </c>
      <c r="AR380" s="4">
        <v>9.6270000000000007</v>
      </c>
      <c r="AS380" s="4">
        <f t="shared" si="21"/>
        <v>0.73500000000000032</v>
      </c>
      <c r="AT380" s="3">
        <v>44693</v>
      </c>
      <c r="AU380" s="4">
        <v>603248</v>
      </c>
      <c r="AV380" s="3">
        <v>44697</v>
      </c>
      <c r="AW380" s="4">
        <v>94164930</v>
      </c>
      <c r="AX380" s="4">
        <v>9991320</v>
      </c>
      <c r="AY380" s="4">
        <v>22051380</v>
      </c>
      <c r="AZ380" s="4">
        <v>129474010</v>
      </c>
      <c r="BA380" s="4">
        <v>176898950</v>
      </c>
      <c r="BB380" s="3">
        <v>44693</v>
      </c>
      <c r="BC380" s="4">
        <v>870251</v>
      </c>
    </row>
    <row r="381" spans="22:55" hidden="1">
      <c r="V381" s="3"/>
      <c r="AN381" s="3">
        <v>44694</v>
      </c>
      <c r="AO381" s="4">
        <v>1.72</v>
      </c>
      <c r="AP381" s="4">
        <v>2.911</v>
      </c>
      <c r="AQ381" s="4">
        <v>3.673</v>
      </c>
      <c r="AR381" s="4">
        <v>9.5169999999999995</v>
      </c>
      <c r="AS381" s="4">
        <f t="shared" si="21"/>
        <v>0.76200000000000001</v>
      </c>
      <c r="AT381" s="3">
        <v>44692</v>
      </c>
      <c r="AU381" s="4">
        <v>599038</v>
      </c>
      <c r="AV381" s="3">
        <v>44694</v>
      </c>
      <c r="AW381" s="4">
        <v>93825444</v>
      </c>
      <c r="AX381" s="4">
        <v>9919096</v>
      </c>
      <c r="AY381" s="4">
        <v>22092287</v>
      </c>
      <c r="AZ381" s="4">
        <v>129348542</v>
      </c>
      <c r="BA381" s="4">
        <v>174965647</v>
      </c>
      <c r="BB381" s="3">
        <v>44692</v>
      </c>
      <c r="BC381" s="4">
        <v>879537</v>
      </c>
    </row>
    <row r="382" spans="22:55" hidden="1">
      <c r="V382" s="3"/>
      <c r="AN382" s="3">
        <v>44693</v>
      </c>
      <c r="AO382" s="4">
        <v>1.72</v>
      </c>
      <c r="AP382" s="4">
        <v>2.9</v>
      </c>
      <c r="AQ382" s="4">
        <v>3.657</v>
      </c>
      <c r="AR382" s="4">
        <v>9.5060000000000002</v>
      </c>
      <c r="AS382" s="4">
        <f t="shared" si="21"/>
        <v>0.75700000000000012</v>
      </c>
      <c r="AT382" s="3">
        <v>44691</v>
      </c>
      <c r="AU382" s="4">
        <v>615856</v>
      </c>
      <c r="AV382" s="3">
        <v>44693</v>
      </c>
      <c r="AW382" s="4">
        <v>92964465</v>
      </c>
      <c r="AX382" s="4">
        <v>9923277</v>
      </c>
      <c r="AY382" s="4">
        <v>22130387</v>
      </c>
      <c r="AZ382" s="4">
        <v>129393197</v>
      </c>
      <c r="BA382" s="4">
        <v>175715225</v>
      </c>
      <c r="BB382" s="3">
        <v>44691</v>
      </c>
      <c r="BC382" s="4">
        <v>877271</v>
      </c>
    </row>
    <row r="383" spans="22:55" hidden="1">
      <c r="V383" s="3"/>
      <c r="AN383" s="3">
        <v>44692</v>
      </c>
      <c r="AO383" s="4">
        <v>1.72</v>
      </c>
      <c r="AP383" s="4">
        <v>2.9279999999999999</v>
      </c>
      <c r="AQ383" s="4">
        <v>3.6909999999999998</v>
      </c>
      <c r="AR383" s="4">
        <v>9.5340000000000007</v>
      </c>
      <c r="AS383" s="4">
        <f t="shared" si="21"/>
        <v>0.7629999999999999</v>
      </c>
      <c r="AT383" s="3">
        <v>44690</v>
      </c>
      <c r="AU383" s="4">
        <v>618063</v>
      </c>
      <c r="AV383" s="3">
        <v>44692</v>
      </c>
      <c r="AW383" s="4">
        <v>93646429</v>
      </c>
      <c r="AX383" s="4">
        <v>9910798</v>
      </c>
      <c r="AY383" s="4">
        <v>22176713</v>
      </c>
      <c r="AZ383" s="4">
        <v>129466844</v>
      </c>
      <c r="BA383" s="4">
        <v>174603391</v>
      </c>
      <c r="BB383" s="3">
        <v>44690</v>
      </c>
      <c r="BC383" s="4">
        <v>882492</v>
      </c>
    </row>
    <row r="384" spans="22:55" hidden="1">
      <c r="V384" s="3"/>
      <c r="AN384" s="3">
        <v>44691</v>
      </c>
      <c r="AO384" s="4">
        <v>1.72</v>
      </c>
      <c r="AP384" s="4">
        <v>3.0459999999999998</v>
      </c>
      <c r="AQ384" s="4">
        <v>3.7829999999999999</v>
      </c>
      <c r="AR384" s="4">
        <v>9.6270000000000007</v>
      </c>
      <c r="AS384" s="4">
        <f t="shared" si="21"/>
        <v>0.7370000000000001</v>
      </c>
      <c r="AT384" s="3">
        <v>44687</v>
      </c>
      <c r="AU384" s="4">
        <v>603908</v>
      </c>
      <c r="AV384" s="3">
        <v>44691</v>
      </c>
      <c r="AW384" s="4">
        <v>93459207</v>
      </c>
      <c r="AX384" s="4">
        <v>9914140</v>
      </c>
      <c r="AY384" s="4">
        <v>22194480</v>
      </c>
      <c r="AZ384" s="4">
        <v>129567659</v>
      </c>
      <c r="BA384" s="4">
        <v>174735056</v>
      </c>
      <c r="BB384" s="3">
        <v>44687</v>
      </c>
      <c r="BC384" s="4">
        <v>881965</v>
      </c>
    </row>
    <row r="385" spans="22:55" hidden="1">
      <c r="V385" s="3"/>
      <c r="AN385" s="3">
        <v>44690</v>
      </c>
      <c r="AO385" s="4">
        <v>1.72</v>
      </c>
      <c r="AP385" s="4">
        <v>3.0619999999999998</v>
      </c>
      <c r="AQ385" s="4">
        <v>3.8</v>
      </c>
      <c r="AR385" s="4">
        <v>9.641</v>
      </c>
      <c r="AS385" s="4">
        <f t="shared" si="21"/>
        <v>0.73799999999999999</v>
      </c>
      <c r="AT385" s="3">
        <v>44685</v>
      </c>
      <c r="AU385" s="4">
        <v>633274</v>
      </c>
      <c r="AV385" s="3">
        <v>44690</v>
      </c>
      <c r="AW385" s="4">
        <v>93928098</v>
      </c>
      <c r="AX385" s="4">
        <v>9908429</v>
      </c>
      <c r="AY385" s="4">
        <v>22211856</v>
      </c>
      <c r="AZ385" s="4">
        <v>129543312</v>
      </c>
      <c r="BA385" s="4">
        <v>174428100</v>
      </c>
      <c r="BB385" s="3">
        <v>44685</v>
      </c>
      <c r="BC385" s="4">
        <v>884913</v>
      </c>
    </row>
    <row r="386" spans="22:55" hidden="1">
      <c r="V386" s="3"/>
      <c r="AN386" s="3">
        <v>44687</v>
      </c>
      <c r="AO386" s="4">
        <v>1.72</v>
      </c>
      <c r="AP386" s="4">
        <v>3.1459999999999999</v>
      </c>
      <c r="AQ386" s="4">
        <v>3.8730000000000002</v>
      </c>
      <c r="AR386" s="4">
        <v>9.7189999999999994</v>
      </c>
      <c r="AS386" s="4">
        <f t="shared" si="21"/>
        <v>0.72700000000000031</v>
      </c>
      <c r="AT386" s="3">
        <v>44684</v>
      </c>
      <c r="AU386" s="4">
        <v>621648</v>
      </c>
      <c r="AV386" s="3">
        <v>44687</v>
      </c>
      <c r="AW386" s="4">
        <v>94419989</v>
      </c>
      <c r="AX386" s="4">
        <v>9909535</v>
      </c>
      <c r="AY386" s="4">
        <v>22246726</v>
      </c>
      <c r="AZ386" s="4">
        <v>129749376</v>
      </c>
      <c r="BA386" s="4">
        <v>174662935</v>
      </c>
      <c r="BB386" s="3">
        <v>44684</v>
      </c>
      <c r="BC386" s="4">
        <v>884648</v>
      </c>
    </row>
    <row r="387" spans="22:55" hidden="1">
      <c r="V387" s="3"/>
      <c r="AN387" s="3">
        <v>44685</v>
      </c>
      <c r="AO387" s="4">
        <v>1.72</v>
      </c>
      <c r="AP387" s="4">
        <v>3.1779999999999999</v>
      </c>
      <c r="AQ387" s="4">
        <v>3.887</v>
      </c>
      <c r="AR387" s="4">
        <v>9.7230000000000008</v>
      </c>
      <c r="AS387" s="4">
        <f t="shared" si="21"/>
        <v>0.70900000000000007</v>
      </c>
      <c r="AT387" s="3">
        <v>44683</v>
      </c>
      <c r="AU387" s="4">
        <v>617990</v>
      </c>
      <c r="AV387" s="3">
        <v>44685</v>
      </c>
      <c r="AW387" s="4">
        <v>95220565</v>
      </c>
      <c r="AX387" s="4">
        <v>9910071</v>
      </c>
      <c r="AY387" s="4">
        <v>22270286</v>
      </c>
      <c r="AZ387" s="4">
        <v>129525990</v>
      </c>
      <c r="BA387" s="4">
        <v>167896602</v>
      </c>
      <c r="BB387" s="3">
        <v>44683</v>
      </c>
      <c r="BC387" s="4">
        <v>883824</v>
      </c>
    </row>
    <row r="388" spans="22:55" hidden="1">
      <c r="V388" s="3"/>
      <c r="AN388" s="3">
        <v>44684</v>
      </c>
      <c r="AO388" s="4">
        <v>1.72</v>
      </c>
      <c r="AP388" s="4">
        <v>3.1389999999999998</v>
      </c>
      <c r="AQ388" s="4">
        <v>3.855</v>
      </c>
      <c r="AR388" s="4">
        <v>9.6869999999999994</v>
      </c>
      <c r="AS388" s="4">
        <f t="shared" si="21"/>
        <v>0.71600000000000019</v>
      </c>
      <c r="AT388" s="3">
        <v>44680</v>
      </c>
      <c r="AU388" s="4">
        <v>614062</v>
      </c>
      <c r="AV388" s="3">
        <v>44684</v>
      </c>
      <c r="AW388" s="4">
        <v>95062229</v>
      </c>
      <c r="AX388" s="4">
        <v>9913163</v>
      </c>
      <c r="AY388" s="4">
        <v>22277394</v>
      </c>
      <c r="AZ388" s="4">
        <v>129457493</v>
      </c>
      <c r="BA388" s="4">
        <v>165883403</v>
      </c>
      <c r="BB388" s="3">
        <v>44680</v>
      </c>
      <c r="BC388" s="4">
        <v>887371</v>
      </c>
    </row>
    <row r="389" spans="22:55" hidden="1">
      <c r="V389" s="3"/>
      <c r="AN389" s="3">
        <v>44683</v>
      </c>
      <c r="AO389" s="4">
        <v>1.72</v>
      </c>
      <c r="AP389" s="4">
        <v>3.0859999999999999</v>
      </c>
      <c r="AQ389" s="4">
        <v>3.794</v>
      </c>
      <c r="AR389" s="4">
        <v>9.6329999999999991</v>
      </c>
      <c r="AS389" s="4">
        <f t="shared" ref="AS389:AS452" si="22">AQ389-AP389</f>
        <v>0.70800000000000018</v>
      </c>
      <c r="AT389" s="3">
        <v>44679</v>
      </c>
      <c r="AU389" s="4">
        <v>629229</v>
      </c>
      <c r="AV389" s="3">
        <v>44683</v>
      </c>
      <c r="AW389" s="4">
        <v>94815655</v>
      </c>
      <c r="AX389" s="4">
        <v>9913759</v>
      </c>
      <c r="AY389" s="4">
        <v>22330155</v>
      </c>
      <c r="AZ389" s="4">
        <v>129556599</v>
      </c>
      <c r="BA389" s="4">
        <v>163344405</v>
      </c>
      <c r="BB389" s="3">
        <v>44679</v>
      </c>
      <c r="BC389" s="4">
        <v>901609</v>
      </c>
    </row>
    <row r="390" spans="22:55" hidden="1">
      <c r="V390" s="3"/>
      <c r="AN390" s="3">
        <v>44680</v>
      </c>
      <c r="AO390" s="4">
        <v>1.72</v>
      </c>
      <c r="AP390" s="4">
        <v>2.9580000000000002</v>
      </c>
      <c r="AQ390" s="4">
        <v>3.68</v>
      </c>
      <c r="AR390" s="4">
        <v>9.52</v>
      </c>
      <c r="AS390" s="4">
        <f t="shared" si="22"/>
        <v>0.72199999999999998</v>
      </c>
      <c r="AT390" s="3">
        <v>44678</v>
      </c>
      <c r="AU390" s="4">
        <v>648560</v>
      </c>
      <c r="AV390" s="3">
        <v>44680</v>
      </c>
      <c r="AW390" s="4">
        <v>95188322</v>
      </c>
      <c r="AX390" s="4">
        <v>9942281</v>
      </c>
      <c r="AY390" s="4">
        <v>22355132</v>
      </c>
      <c r="AZ390" s="4">
        <v>129525331</v>
      </c>
      <c r="BA390" s="4">
        <v>163378677</v>
      </c>
      <c r="BB390" s="3">
        <v>44678</v>
      </c>
      <c r="BC390" s="4">
        <v>889134</v>
      </c>
    </row>
    <row r="391" spans="22:55" hidden="1">
      <c r="V391" s="3"/>
      <c r="AN391" s="3">
        <v>44679</v>
      </c>
      <c r="AO391" s="4">
        <v>1.72</v>
      </c>
      <c r="AP391" s="4">
        <v>2.9249999999999998</v>
      </c>
      <c r="AQ391" s="4">
        <v>3.6360000000000001</v>
      </c>
      <c r="AR391" s="4">
        <v>9.4849999999999994</v>
      </c>
      <c r="AS391" s="4">
        <f t="shared" si="22"/>
        <v>0.7110000000000003</v>
      </c>
      <c r="AT391" s="3">
        <v>44677</v>
      </c>
      <c r="AU391" s="4">
        <v>655737</v>
      </c>
      <c r="AV391" s="3">
        <v>44679</v>
      </c>
      <c r="AW391" s="4">
        <v>94592152</v>
      </c>
      <c r="AX391" s="4">
        <v>9923153</v>
      </c>
      <c r="AY391" s="4">
        <v>22420981</v>
      </c>
      <c r="AZ391" s="4">
        <v>129482373</v>
      </c>
      <c r="BA391" s="4">
        <v>169468870</v>
      </c>
      <c r="BB391" s="3">
        <v>44677</v>
      </c>
      <c r="BC391" s="4">
        <v>888937</v>
      </c>
    </row>
    <row r="392" spans="22:55" hidden="1">
      <c r="V392" s="3"/>
      <c r="AN392" s="3">
        <v>44678</v>
      </c>
      <c r="AO392" s="4">
        <v>1.72</v>
      </c>
      <c r="AP392" s="4">
        <v>2.899</v>
      </c>
      <c r="AQ392" s="4">
        <v>3.5950000000000002</v>
      </c>
      <c r="AR392" s="4">
        <v>9.4550000000000001</v>
      </c>
      <c r="AS392" s="4">
        <f t="shared" si="22"/>
        <v>0.69600000000000017</v>
      </c>
      <c r="AT392" s="3">
        <v>44676</v>
      </c>
      <c r="AU392" s="4">
        <v>638614</v>
      </c>
      <c r="AV392" s="3">
        <v>44678</v>
      </c>
      <c r="AW392" s="4">
        <v>94303242</v>
      </c>
      <c r="AX392" s="4">
        <v>9917989</v>
      </c>
      <c r="AY392" s="4">
        <v>22441542</v>
      </c>
      <c r="AZ392" s="4">
        <v>129456685</v>
      </c>
      <c r="BA392" s="4">
        <v>168337594</v>
      </c>
      <c r="BB392" s="3">
        <v>44676</v>
      </c>
      <c r="BC392" s="4">
        <v>887811</v>
      </c>
    </row>
    <row r="393" spans="22:55" hidden="1">
      <c r="V393" s="3"/>
      <c r="AN393" s="3">
        <v>44677</v>
      </c>
      <c r="AO393" s="4">
        <v>1.72</v>
      </c>
      <c r="AP393" s="4">
        <v>2.83</v>
      </c>
      <c r="AQ393" s="4">
        <v>3.5840000000000001</v>
      </c>
      <c r="AR393" s="4">
        <v>9.4369999999999994</v>
      </c>
      <c r="AS393" s="4">
        <f t="shared" si="22"/>
        <v>0.754</v>
      </c>
      <c r="AT393" s="3">
        <v>44673</v>
      </c>
      <c r="AU393" s="4">
        <v>628601</v>
      </c>
      <c r="AV393" s="3">
        <v>44677</v>
      </c>
      <c r="AW393" s="4">
        <v>95129521</v>
      </c>
      <c r="AX393" s="4">
        <v>9916572</v>
      </c>
      <c r="AY393" s="4">
        <v>22461188</v>
      </c>
      <c r="AZ393" s="4">
        <v>129703246</v>
      </c>
      <c r="BA393" s="4">
        <v>163255790</v>
      </c>
      <c r="BB393" s="3">
        <v>44673</v>
      </c>
      <c r="BC393" s="4">
        <v>893803</v>
      </c>
    </row>
    <row r="394" spans="22:55" hidden="1">
      <c r="V394" s="3"/>
      <c r="AN394" s="3">
        <v>44676</v>
      </c>
      <c r="AO394" s="4">
        <v>1.72</v>
      </c>
      <c r="AP394" s="4">
        <v>2.8570000000000002</v>
      </c>
      <c r="AQ394" s="4">
        <v>3.6019999999999999</v>
      </c>
      <c r="AR394" s="4">
        <v>9.4529999999999994</v>
      </c>
      <c r="AS394" s="4">
        <f t="shared" si="22"/>
        <v>0.74499999999999966</v>
      </c>
      <c r="AT394" s="3">
        <v>44672</v>
      </c>
      <c r="AU394" s="4">
        <v>617487</v>
      </c>
      <c r="AV394" s="3">
        <v>44676</v>
      </c>
      <c r="AW394" s="4">
        <v>94799950</v>
      </c>
      <c r="AX394" s="4">
        <v>9900835</v>
      </c>
      <c r="AY394" s="4">
        <v>22478610</v>
      </c>
      <c r="AZ394" s="4">
        <v>129543924</v>
      </c>
      <c r="BA394" s="4">
        <v>163635859</v>
      </c>
      <c r="BB394" s="3">
        <v>44672</v>
      </c>
      <c r="BC394" s="4">
        <v>872288</v>
      </c>
    </row>
    <row r="395" spans="22:55" hidden="1">
      <c r="V395" s="3"/>
      <c r="AN395" s="3">
        <v>44673</v>
      </c>
      <c r="AO395" s="4">
        <v>1.72</v>
      </c>
      <c r="AP395" s="4">
        <v>2.9710000000000001</v>
      </c>
      <c r="AQ395" s="4">
        <v>3.6880000000000002</v>
      </c>
      <c r="AR395" s="4">
        <v>9.5310000000000006</v>
      </c>
      <c r="AS395" s="4">
        <f t="shared" si="22"/>
        <v>0.71700000000000008</v>
      </c>
      <c r="AT395" s="3">
        <v>44671</v>
      </c>
      <c r="AU395" s="4">
        <v>604011</v>
      </c>
      <c r="AV395" s="3">
        <v>44673</v>
      </c>
      <c r="AW395" s="4">
        <v>95411957</v>
      </c>
      <c r="AX395" s="4">
        <v>9892806</v>
      </c>
      <c r="AY395" s="4">
        <v>22512982</v>
      </c>
      <c r="AZ395" s="4">
        <v>129698708</v>
      </c>
      <c r="BA395" s="4">
        <v>163461877</v>
      </c>
      <c r="BB395" s="3">
        <v>44671</v>
      </c>
      <c r="BC395" s="4">
        <v>869614</v>
      </c>
    </row>
    <row r="396" spans="22:55" hidden="1">
      <c r="V396" s="3"/>
      <c r="AN396" s="3">
        <v>44672</v>
      </c>
      <c r="AO396" s="4">
        <v>1.72</v>
      </c>
      <c r="AP396" s="4">
        <v>2.927</v>
      </c>
      <c r="AQ396" s="4">
        <v>3.6469999999999998</v>
      </c>
      <c r="AR396" s="4">
        <v>9.4930000000000003</v>
      </c>
      <c r="AS396" s="4">
        <f t="shared" si="22"/>
        <v>0.71999999999999975</v>
      </c>
      <c r="AT396" s="3">
        <v>44670</v>
      </c>
      <c r="AU396" s="4">
        <v>610687</v>
      </c>
      <c r="AV396" s="3">
        <v>44672</v>
      </c>
      <c r="AW396" s="4">
        <v>96019571</v>
      </c>
      <c r="AX396" s="4">
        <v>9891761</v>
      </c>
      <c r="AY396" s="4">
        <v>22523596</v>
      </c>
      <c r="AZ396" s="4">
        <v>129566414</v>
      </c>
      <c r="BA396" s="4">
        <v>162544865</v>
      </c>
      <c r="BB396" s="3">
        <v>44670</v>
      </c>
      <c r="BC396" s="4">
        <v>888240</v>
      </c>
    </row>
    <row r="397" spans="22:55" hidden="1">
      <c r="V397" s="3"/>
      <c r="AN397" s="3">
        <v>44671</v>
      </c>
      <c r="AO397" s="4">
        <v>1.72</v>
      </c>
      <c r="AP397" s="4">
        <v>2.9569999999999999</v>
      </c>
      <c r="AQ397" s="4">
        <v>3.6619999999999999</v>
      </c>
      <c r="AR397" s="4">
        <v>9.5090000000000003</v>
      </c>
      <c r="AS397" s="4">
        <f t="shared" si="22"/>
        <v>0.70500000000000007</v>
      </c>
      <c r="AT397" s="3">
        <v>44669</v>
      </c>
      <c r="AU397" s="4">
        <v>624719</v>
      </c>
      <c r="AV397" s="3">
        <v>44671</v>
      </c>
      <c r="AW397" s="4">
        <v>95966496</v>
      </c>
      <c r="AX397" s="4">
        <v>9899655</v>
      </c>
      <c r="AY397" s="4">
        <v>22588059</v>
      </c>
      <c r="AZ397" s="4">
        <v>129674605</v>
      </c>
      <c r="BA397" s="4">
        <v>163721166</v>
      </c>
      <c r="BB397" s="3">
        <v>44669</v>
      </c>
      <c r="BC397" s="4">
        <v>891038</v>
      </c>
    </row>
    <row r="398" spans="22:55" hidden="1">
      <c r="V398" s="3"/>
      <c r="AN398" s="3">
        <v>44670</v>
      </c>
      <c r="AO398" s="4">
        <v>1.72</v>
      </c>
      <c r="AP398" s="4">
        <v>2.9809999999999999</v>
      </c>
      <c r="AQ398" s="4">
        <v>3.6709999999999998</v>
      </c>
      <c r="AR398" s="4">
        <v>9.5169999999999995</v>
      </c>
      <c r="AS398" s="4">
        <f t="shared" si="22"/>
        <v>0.69</v>
      </c>
      <c r="AT398" s="3">
        <v>44666</v>
      </c>
      <c r="AU398" s="4">
        <v>617973</v>
      </c>
      <c r="AV398" s="3">
        <v>44670</v>
      </c>
      <c r="AW398" s="4">
        <v>96003964</v>
      </c>
      <c r="AX398" s="4">
        <v>9881399</v>
      </c>
      <c r="AY398" s="4">
        <v>22625894</v>
      </c>
      <c r="AZ398" s="4">
        <v>129786619</v>
      </c>
      <c r="BA398" s="4">
        <v>164856804</v>
      </c>
      <c r="BB398" s="3">
        <v>44666</v>
      </c>
      <c r="BC398" s="4">
        <v>889572</v>
      </c>
    </row>
    <row r="399" spans="22:55" hidden="1">
      <c r="V399" s="3"/>
      <c r="AN399" s="3">
        <v>44669</v>
      </c>
      <c r="AO399" s="4">
        <v>1.72</v>
      </c>
      <c r="AP399" s="4">
        <v>2.99</v>
      </c>
      <c r="AQ399" s="4">
        <v>3.6890000000000001</v>
      </c>
      <c r="AR399" s="4">
        <v>9.5299999999999994</v>
      </c>
      <c r="AS399" s="4">
        <f t="shared" si="22"/>
        <v>0.69899999999999984</v>
      </c>
      <c r="AT399" s="3">
        <v>44665</v>
      </c>
      <c r="AU399" s="4">
        <v>627140</v>
      </c>
      <c r="AV399" s="3">
        <v>44669</v>
      </c>
      <c r="AW399" s="4">
        <v>95727953</v>
      </c>
      <c r="AX399" s="4">
        <v>9878587</v>
      </c>
      <c r="AY399" s="4">
        <v>22676522</v>
      </c>
      <c r="AZ399" s="4">
        <v>129813129</v>
      </c>
      <c r="BA399" s="4">
        <v>164128753</v>
      </c>
      <c r="BB399" s="3">
        <v>44665</v>
      </c>
      <c r="BC399" s="4">
        <v>889359</v>
      </c>
    </row>
    <row r="400" spans="22:55" hidden="1">
      <c r="V400" s="3"/>
      <c r="AN400" s="3">
        <v>44666</v>
      </c>
      <c r="AO400" s="4">
        <v>1.72</v>
      </c>
      <c r="AP400" s="4">
        <v>2.944</v>
      </c>
      <c r="AQ400" s="4">
        <v>3.64</v>
      </c>
      <c r="AR400" s="4">
        <v>9.4849999999999994</v>
      </c>
      <c r="AS400" s="4">
        <f t="shared" si="22"/>
        <v>0.69600000000000017</v>
      </c>
      <c r="AT400" s="3">
        <v>44664</v>
      </c>
      <c r="AU400" s="4">
        <v>615778</v>
      </c>
      <c r="AV400" s="3">
        <v>44666</v>
      </c>
      <c r="AW400" s="4">
        <v>95632554</v>
      </c>
      <c r="AX400" s="4">
        <v>9875152</v>
      </c>
      <c r="AY400" s="4">
        <v>22718307</v>
      </c>
      <c r="AZ400" s="4">
        <v>129778657</v>
      </c>
      <c r="BA400" s="4">
        <v>165049002</v>
      </c>
      <c r="BB400" s="3">
        <v>44664</v>
      </c>
      <c r="BC400" s="4">
        <v>886349</v>
      </c>
    </row>
    <row r="401" spans="22:55" hidden="1">
      <c r="V401" s="3"/>
      <c r="AN401" s="3">
        <v>44665</v>
      </c>
      <c r="AO401" s="4">
        <v>1.72</v>
      </c>
      <c r="AP401" s="4">
        <v>2.8879999999999999</v>
      </c>
      <c r="AQ401" s="4">
        <v>3.5830000000000002</v>
      </c>
      <c r="AR401" s="4">
        <v>9.4290000000000003</v>
      </c>
      <c r="AS401" s="4">
        <f t="shared" si="22"/>
        <v>0.69500000000000028</v>
      </c>
      <c r="AT401" s="3">
        <v>44663</v>
      </c>
      <c r="AU401" s="4">
        <v>620682</v>
      </c>
      <c r="AV401" s="3">
        <v>44665</v>
      </c>
      <c r="AW401" s="4">
        <v>95959759</v>
      </c>
      <c r="AX401" s="4">
        <v>9887913</v>
      </c>
      <c r="AY401" s="4">
        <v>22798232</v>
      </c>
      <c r="AZ401" s="4">
        <v>129533030</v>
      </c>
      <c r="BA401" s="4">
        <v>168415130</v>
      </c>
      <c r="BB401" s="3">
        <v>44663</v>
      </c>
      <c r="BC401" s="4">
        <v>887970</v>
      </c>
    </row>
    <row r="402" spans="22:55" hidden="1">
      <c r="V402" s="3"/>
      <c r="AN402" s="3">
        <v>44664</v>
      </c>
      <c r="AO402" s="4">
        <v>1.51</v>
      </c>
      <c r="AP402" s="4">
        <v>3.0009999999999999</v>
      </c>
      <c r="AQ402" s="4">
        <v>3.6880000000000002</v>
      </c>
      <c r="AR402" s="4">
        <v>9.5210000000000008</v>
      </c>
      <c r="AS402" s="4">
        <f t="shared" si="22"/>
        <v>0.68700000000000028</v>
      </c>
      <c r="AT402" s="3">
        <v>44662</v>
      </c>
      <c r="AU402" s="4">
        <v>616360</v>
      </c>
      <c r="AV402" s="3">
        <v>44664</v>
      </c>
      <c r="AW402" s="4">
        <v>95940473</v>
      </c>
      <c r="AX402" s="4">
        <v>9886333</v>
      </c>
      <c r="AY402" s="4">
        <v>22811180</v>
      </c>
      <c r="AZ402" s="4">
        <v>129844056</v>
      </c>
      <c r="BA402" s="4">
        <v>167543879</v>
      </c>
      <c r="BB402" s="3">
        <v>44662</v>
      </c>
      <c r="BC402" s="4">
        <v>891009</v>
      </c>
    </row>
    <row r="403" spans="22:55" hidden="1">
      <c r="V403" s="3"/>
      <c r="AN403" s="3">
        <v>44663</v>
      </c>
      <c r="AO403" s="4">
        <v>1.51</v>
      </c>
      <c r="AP403" s="4">
        <v>3.105</v>
      </c>
      <c r="AQ403" s="4">
        <v>3.774</v>
      </c>
      <c r="AR403" s="4">
        <v>9.5990000000000002</v>
      </c>
      <c r="AS403" s="4">
        <f t="shared" si="22"/>
        <v>0.66900000000000004</v>
      </c>
      <c r="AT403" s="3">
        <v>44659</v>
      </c>
      <c r="AU403" s="4">
        <v>618928</v>
      </c>
      <c r="AV403" s="3">
        <v>44663</v>
      </c>
      <c r="AW403" s="4">
        <v>95069489</v>
      </c>
      <c r="AX403" s="4">
        <v>9885987</v>
      </c>
      <c r="AY403" s="4">
        <v>22830479</v>
      </c>
      <c r="AZ403" s="4">
        <v>130121707</v>
      </c>
      <c r="BA403" s="4">
        <v>166536405</v>
      </c>
      <c r="BB403" s="3">
        <v>44659</v>
      </c>
      <c r="BC403" s="4">
        <v>886959</v>
      </c>
    </row>
    <row r="404" spans="22:55" hidden="1">
      <c r="V404" s="3"/>
      <c r="AN404" s="3">
        <v>44662</v>
      </c>
      <c r="AO404" s="4">
        <v>1.51</v>
      </c>
      <c r="AP404" s="4">
        <v>3.1859999999999999</v>
      </c>
      <c r="AQ404" s="4">
        <v>3.8130000000000002</v>
      </c>
      <c r="AR404" s="4">
        <v>9.6379999999999999</v>
      </c>
      <c r="AS404" s="4">
        <f t="shared" si="22"/>
        <v>0.62700000000000022</v>
      </c>
      <c r="AT404" s="3">
        <v>44658</v>
      </c>
      <c r="AU404" s="4">
        <v>636668</v>
      </c>
      <c r="AV404" s="3">
        <v>44662</v>
      </c>
      <c r="AW404" s="4">
        <v>95524904</v>
      </c>
      <c r="AX404" s="4">
        <v>9880820</v>
      </c>
      <c r="AY404" s="4">
        <v>22855243</v>
      </c>
      <c r="AZ404" s="4">
        <v>130229712</v>
      </c>
      <c r="BA404" s="4">
        <v>166624113</v>
      </c>
      <c r="BB404" s="3">
        <v>44658</v>
      </c>
      <c r="BC404" s="4">
        <v>890204</v>
      </c>
    </row>
    <row r="405" spans="22:55" hidden="1">
      <c r="V405" s="3"/>
      <c r="AN405" s="3">
        <v>44659</v>
      </c>
      <c r="AO405" s="4">
        <v>1.51</v>
      </c>
      <c r="AP405" s="4">
        <v>2.9870000000000001</v>
      </c>
      <c r="AQ405" s="4">
        <v>3.6360000000000001</v>
      </c>
      <c r="AR405" s="4">
        <v>9.4740000000000002</v>
      </c>
      <c r="AS405" s="4">
        <f t="shared" si="22"/>
        <v>0.64900000000000002</v>
      </c>
      <c r="AT405" s="3">
        <v>44657</v>
      </c>
      <c r="AU405" s="4">
        <v>624825</v>
      </c>
      <c r="AV405" s="3">
        <v>44659</v>
      </c>
      <c r="AW405" s="4">
        <v>96060227</v>
      </c>
      <c r="AX405" s="4">
        <v>9880551</v>
      </c>
      <c r="AY405" s="4">
        <v>22888127</v>
      </c>
      <c r="AZ405" s="4">
        <v>130154834</v>
      </c>
      <c r="BA405" s="4">
        <v>169125633</v>
      </c>
      <c r="BB405" s="3">
        <v>44657</v>
      </c>
      <c r="BC405" s="4">
        <v>890334</v>
      </c>
    </row>
    <row r="406" spans="22:55" hidden="1">
      <c r="V406" s="3"/>
      <c r="AN406" s="3">
        <v>44658</v>
      </c>
      <c r="AO406" s="4">
        <v>1.51</v>
      </c>
      <c r="AP406" s="4">
        <v>2.9049999999999998</v>
      </c>
      <c r="AQ406" s="4">
        <v>3.5619999999999998</v>
      </c>
      <c r="AR406" s="4">
        <v>9.4009999999999998</v>
      </c>
      <c r="AS406" s="4">
        <f t="shared" si="22"/>
        <v>0.65700000000000003</v>
      </c>
      <c r="AT406" s="3">
        <v>44656</v>
      </c>
      <c r="AU406" s="4">
        <v>622450</v>
      </c>
      <c r="AV406" s="3">
        <v>44658</v>
      </c>
      <c r="AW406" s="4">
        <v>95803978</v>
      </c>
      <c r="AX406" s="4">
        <v>9889331</v>
      </c>
      <c r="AY406" s="4">
        <v>22906234</v>
      </c>
      <c r="AZ406" s="4">
        <v>130019881</v>
      </c>
      <c r="BA406" s="4">
        <v>169687475</v>
      </c>
      <c r="BB406" s="3">
        <v>44656</v>
      </c>
      <c r="BC406" s="4">
        <v>882515</v>
      </c>
    </row>
    <row r="407" spans="22:55" hidden="1">
      <c r="V407" s="3"/>
      <c r="AN407" s="3">
        <v>44657</v>
      </c>
      <c r="AO407" s="4">
        <v>1.51</v>
      </c>
      <c r="AP407" s="4">
        <v>2.9409999999999998</v>
      </c>
      <c r="AQ407" s="4">
        <v>3.5920000000000001</v>
      </c>
      <c r="AR407" s="4">
        <v>9.4250000000000007</v>
      </c>
      <c r="AS407" s="4">
        <f t="shared" si="22"/>
        <v>0.65100000000000025</v>
      </c>
      <c r="AT407" s="3">
        <v>44655</v>
      </c>
      <c r="AU407" s="4">
        <v>658503</v>
      </c>
      <c r="AV407" s="3">
        <v>44657</v>
      </c>
      <c r="AW407" s="4">
        <v>96361623</v>
      </c>
      <c r="AX407" s="4">
        <v>9890392</v>
      </c>
      <c r="AY407" s="4">
        <v>22924361</v>
      </c>
      <c r="AZ407" s="4">
        <v>129871529</v>
      </c>
      <c r="BA407" s="4">
        <v>170954679</v>
      </c>
      <c r="BB407" s="3">
        <v>44655</v>
      </c>
      <c r="BC407" s="4">
        <v>883353</v>
      </c>
    </row>
    <row r="408" spans="22:55" hidden="1">
      <c r="V408" s="3"/>
      <c r="AN408" s="3">
        <v>44656</v>
      </c>
      <c r="AO408" s="4">
        <v>1.51</v>
      </c>
      <c r="AP408" s="4">
        <v>2.879</v>
      </c>
      <c r="AQ408" s="4">
        <v>3.5419999999999998</v>
      </c>
      <c r="AR408" s="4">
        <v>9.3759999999999994</v>
      </c>
      <c r="AS408" s="4">
        <f t="shared" si="22"/>
        <v>0.66299999999999981</v>
      </c>
      <c r="AT408" s="3">
        <v>44652</v>
      </c>
      <c r="AU408" s="4">
        <v>668051</v>
      </c>
      <c r="AV408" s="3">
        <v>44656</v>
      </c>
      <c r="AW408" s="4">
        <v>96800761</v>
      </c>
      <c r="AX408" s="4">
        <v>9893960</v>
      </c>
      <c r="AY408" s="4">
        <v>22959907</v>
      </c>
      <c r="AZ408" s="4">
        <v>130115753</v>
      </c>
      <c r="BA408" s="4">
        <v>169604045</v>
      </c>
      <c r="BB408" s="3">
        <v>44652</v>
      </c>
      <c r="BC408" s="4">
        <v>877807</v>
      </c>
    </row>
    <row r="409" spans="22:55" hidden="1">
      <c r="V409" s="3"/>
      <c r="AN409" s="3">
        <v>44655</v>
      </c>
      <c r="AO409" s="4">
        <v>1.51</v>
      </c>
      <c r="AP409" s="4">
        <v>2.8370000000000002</v>
      </c>
      <c r="AQ409" s="4">
        <v>3.4990000000000001</v>
      </c>
      <c r="AR409" s="4">
        <v>9.3309999999999995</v>
      </c>
      <c r="AS409" s="4">
        <f t="shared" si="22"/>
        <v>0.66199999999999992</v>
      </c>
      <c r="AT409" s="3">
        <v>44651</v>
      </c>
      <c r="AU409" s="4">
        <v>632826</v>
      </c>
      <c r="AV409" s="3">
        <v>44655</v>
      </c>
      <c r="AW409" s="4">
        <v>96450192</v>
      </c>
      <c r="AX409" s="4">
        <v>9890504</v>
      </c>
      <c r="AY409" s="4">
        <v>22966571</v>
      </c>
      <c r="AZ409" s="4">
        <v>130342649</v>
      </c>
      <c r="BA409" s="4">
        <v>161803256</v>
      </c>
      <c r="BB409" s="3">
        <v>44651</v>
      </c>
      <c r="BC409" s="4">
        <v>823279</v>
      </c>
    </row>
    <row r="410" spans="22:55" hidden="1">
      <c r="V410" s="3"/>
      <c r="AN410" s="3">
        <v>44652</v>
      </c>
      <c r="AO410" s="4">
        <v>1.51</v>
      </c>
      <c r="AP410" s="4">
        <v>2.7839999999999998</v>
      </c>
      <c r="AQ410" s="4">
        <v>3.4580000000000002</v>
      </c>
      <c r="AR410" s="4">
        <v>9.2810000000000006</v>
      </c>
      <c r="AS410" s="4">
        <f t="shared" si="22"/>
        <v>0.67400000000000038</v>
      </c>
      <c r="AT410" s="3">
        <v>44650</v>
      </c>
      <c r="AU410" s="4">
        <v>628207</v>
      </c>
      <c r="AV410" s="3">
        <v>44652</v>
      </c>
      <c r="AW410" s="4">
        <v>96143066</v>
      </c>
      <c r="AX410" s="4">
        <v>9898575</v>
      </c>
      <c r="AY410" s="4">
        <v>23019328</v>
      </c>
      <c r="AZ410" s="4">
        <v>130073152</v>
      </c>
      <c r="BA410" s="4">
        <v>153958093</v>
      </c>
      <c r="BB410" s="3">
        <v>44650</v>
      </c>
      <c r="BC410" s="4">
        <v>869541</v>
      </c>
    </row>
    <row r="411" spans="22:55" hidden="1">
      <c r="V411" s="3"/>
      <c r="AN411" s="3">
        <v>44651</v>
      </c>
      <c r="AO411" s="4">
        <v>1.51</v>
      </c>
      <c r="AP411" s="4">
        <v>2.6629999999999998</v>
      </c>
      <c r="AQ411" s="4">
        <v>3.34</v>
      </c>
      <c r="AR411" s="4">
        <v>9.1639999999999997</v>
      </c>
      <c r="AS411" s="4">
        <f t="shared" si="22"/>
        <v>0.67700000000000005</v>
      </c>
      <c r="AT411" s="3">
        <v>44649</v>
      </c>
      <c r="AU411" s="4">
        <v>631911</v>
      </c>
      <c r="AV411" s="3">
        <v>44651</v>
      </c>
      <c r="AW411" s="4">
        <v>96291484</v>
      </c>
      <c r="AX411" s="4">
        <v>9893725</v>
      </c>
      <c r="AY411" s="4">
        <v>23038742</v>
      </c>
      <c r="AZ411" s="4">
        <v>130070340</v>
      </c>
      <c r="BA411" s="4">
        <v>153012031</v>
      </c>
      <c r="BB411" s="3">
        <v>44649</v>
      </c>
      <c r="BC411" s="4">
        <v>881706</v>
      </c>
    </row>
    <row r="412" spans="22:55" hidden="1">
      <c r="V412" s="3"/>
      <c r="AN412" s="3">
        <v>44650</v>
      </c>
      <c r="AO412" s="4">
        <v>1.51</v>
      </c>
      <c r="AP412" s="4">
        <v>2.6150000000000002</v>
      </c>
      <c r="AQ412" s="4">
        <v>3.2909999999999999</v>
      </c>
      <c r="AR412" s="4">
        <v>9.1180000000000003</v>
      </c>
      <c r="AS412" s="4">
        <f t="shared" si="22"/>
        <v>0.67599999999999971</v>
      </c>
      <c r="AT412" s="3">
        <v>44648</v>
      </c>
      <c r="AU412" s="4">
        <v>638564</v>
      </c>
      <c r="AV412" s="3">
        <v>44650</v>
      </c>
      <c r="AW412" s="4">
        <v>95779222</v>
      </c>
      <c r="AX412" s="4">
        <v>9888465</v>
      </c>
      <c r="AY412" s="4">
        <v>23053249</v>
      </c>
      <c r="AZ412" s="4">
        <v>130892437</v>
      </c>
      <c r="BA412" s="4">
        <v>158690126</v>
      </c>
      <c r="BB412" s="3">
        <v>44648</v>
      </c>
      <c r="BC412" s="4">
        <v>884096</v>
      </c>
    </row>
    <row r="413" spans="22:55" hidden="1">
      <c r="V413" s="3"/>
      <c r="AN413" s="3">
        <v>44649</v>
      </c>
      <c r="AO413" s="4">
        <v>1.51</v>
      </c>
      <c r="AP413" s="4">
        <v>2.7</v>
      </c>
      <c r="AQ413" s="4">
        <v>3.3610000000000002</v>
      </c>
      <c r="AR413" s="4">
        <v>9.1809999999999992</v>
      </c>
      <c r="AS413" s="4">
        <f t="shared" si="22"/>
        <v>0.66100000000000003</v>
      </c>
      <c r="AT413" s="3">
        <v>44645</v>
      </c>
      <c r="AU413" s="4">
        <v>629772</v>
      </c>
      <c r="AV413" s="3">
        <v>44649</v>
      </c>
      <c r="AW413" s="4">
        <v>95318954</v>
      </c>
      <c r="AX413" s="4">
        <v>9889068</v>
      </c>
      <c r="AY413" s="4">
        <v>23067104</v>
      </c>
      <c r="AZ413" s="4">
        <v>131852714</v>
      </c>
      <c r="BA413" s="4">
        <v>160100043</v>
      </c>
      <c r="BB413" s="3">
        <v>44645</v>
      </c>
      <c r="BC413" s="4">
        <v>886765</v>
      </c>
    </row>
    <row r="414" spans="22:55" hidden="1">
      <c r="V414" s="3"/>
      <c r="AN414" s="3">
        <v>44648</v>
      </c>
      <c r="AO414" s="4">
        <v>1.51</v>
      </c>
      <c r="AP414" s="4">
        <v>2.7469999999999999</v>
      </c>
      <c r="AQ414" s="4">
        <v>3.3940000000000001</v>
      </c>
      <c r="AR414" s="4">
        <v>9.2170000000000005</v>
      </c>
      <c r="AS414" s="4">
        <f t="shared" si="22"/>
        <v>0.64700000000000024</v>
      </c>
      <c r="AT414" s="3">
        <v>44644</v>
      </c>
      <c r="AU414" s="4">
        <v>633422</v>
      </c>
      <c r="AV414" s="3">
        <v>44648</v>
      </c>
      <c r="AW414" s="4">
        <v>95108495</v>
      </c>
      <c r="AX414" s="4">
        <v>9889973</v>
      </c>
      <c r="AY414" s="4">
        <v>23061339</v>
      </c>
      <c r="AZ414" s="4">
        <v>132865298</v>
      </c>
      <c r="BA414" s="4">
        <v>158596759</v>
      </c>
      <c r="BB414" s="3">
        <v>44644</v>
      </c>
      <c r="BC414" s="4">
        <v>893542</v>
      </c>
    </row>
    <row r="415" spans="22:55" hidden="1">
      <c r="V415" s="3"/>
      <c r="AN415" s="3">
        <v>44645</v>
      </c>
      <c r="AO415" s="4">
        <v>1.51</v>
      </c>
      <c r="AP415" s="4">
        <v>2.5049999999999999</v>
      </c>
      <c r="AQ415" s="4">
        <v>3.1629999999999998</v>
      </c>
      <c r="AR415" s="4">
        <v>8.9830000000000005</v>
      </c>
      <c r="AS415" s="4">
        <f t="shared" si="22"/>
        <v>0.65799999999999992</v>
      </c>
      <c r="AT415" s="3">
        <v>44643</v>
      </c>
      <c r="AU415" s="4">
        <v>615851</v>
      </c>
      <c r="AV415" s="3">
        <v>44645</v>
      </c>
      <c r="AW415" s="4">
        <v>95078241</v>
      </c>
      <c r="AX415" s="4">
        <v>9879294</v>
      </c>
      <c r="AY415" s="4">
        <v>23069211</v>
      </c>
      <c r="AZ415" s="4">
        <v>132850340</v>
      </c>
      <c r="BA415" s="4">
        <v>160098408</v>
      </c>
      <c r="BB415" s="3">
        <v>44643</v>
      </c>
      <c r="BC415" s="4">
        <v>884496</v>
      </c>
    </row>
    <row r="416" spans="22:55" hidden="1">
      <c r="V416" s="3"/>
      <c r="AN416" s="3">
        <v>44644</v>
      </c>
      <c r="AO416" s="4">
        <v>1.51</v>
      </c>
      <c r="AP416" s="4">
        <v>2.4550000000000001</v>
      </c>
      <c r="AQ416" s="4">
        <v>3.1040000000000001</v>
      </c>
      <c r="AR416" s="4">
        <v>8.9339999999999993</v>
      </c>
      <c r="AS416" s="4">
        <f t="shared" si="22"/>
        <v>0.64900000000000002</v>
      </c>
      <c r="AT416" s="3">
        <v>44642</v>
      </c>
      <c r="AU416" s="4">
        <v>623286</v>
      </c>
      <c r="AV416" s="3">
        <v>44644</v>
      </c>
      <c r="AW416" s="4">
        <v>94763603</v>
      </c>
      <c r="AX416" s="4">
        <v>9860153</v>
      </c>
      <c r="AY416" s="4">
        <v>23043998</v>
      </c>
      <c r="AZ416" s="4">
        <v>132983508</v>
      </c>
      <c r="BA416" s="4">
        <v>158266359</v>
      </c>
      <c r="BB416" s="3">
        <v>44642</v>
      </c>
      <c r="BC416" s="4">
        <v>889255</v>
      </c>
    </row>
    <row r="417" spans="22:55" hidden="1">
      <c r="V417" s="3"/>
      <c r="AN417" s="3">
        <v>44643</v>
      </c>
      <c r="AO417" s="4">
        <v>1.5</v>
      </c>
      <c r="AP417" s="4">
        <v>2.4260000000000002</v>
      </c>
      <c r="AQ417" s="4">
        <v>3.073</v>
      </c>
      <c r="AR417" s="4">
        <v>8.9049999999999994</v>
      </c>
      <c r="AS417" s="4">
        <f t="shared" si="22"/>
        <v>0.6469999999999998</v>
      </c>
      <c r="AT417" s="3">
        <v>44641</v>
      </c>
      <c r="AU417" s="4">
        <v>627866</v>
      </c>
      <c r="AV417" s="3">
        <v>44643</v>
      </c>
      <c r="AW417" s="4">
        <v>94689734</v>
      </c>
      <c r="AX417" s="4">
        <v>9865200</v>
      </c>
      <c r="AY417" s="4">
        <v>23064577</v>
      </c>
      <c r="AZ417" s="4">
        <v>133030657</v>
      </c>
      <c r="BA417" s="4">
        <v>158895930</v>
      </c>
      <c r="BB417" s="3">
        <v>44641</v>
      </c>
      <c r="BC417" s="4">
        <v>900901</v>
      </c>
    </row>
    <row r="418" spans="22:55" hidden="1">
      <c r="V418" s="3"/>
      <c r="AN418" s="3">
        <v>44642</v>
      </c>
      <c r="AO418" s="4">
        <v>1.5</v>
      </c>
      <c r="AP418" s="4">
        <v>2.399</v>
      </c>
      <c r="AQ418" s="4">
        <v>3.0449999999999999</v>
      </c>
      <c r="AR418" s="4">
        <v>8.8829999999999991</v>
      </c>
      <c r="AS418" s="4">
        <f t="shared" si="22"/>
        <v>0.64599999999999991</v>
      </c>
      <c r="AT418" s="3">
        <v>44638</v>
      </c>
      <c r="AU418" s="4">
        <v>614492</v>
      </c>
      <c r="AV418" s="3">
        <v>44642</v>
      </c>
      <c r="AW418" s="4">
        <v>94381393</v>
      </c>
      <c r="AX418" s="4">
        <v>9852157</v>
      </c>
      <c r="AY418" s="4">
        <v>23077195</v>
      </c>
      <c r="AZ418" s="4">
        <v>132762333</v>
      </c>
      <c r="BA418" s="4">
        <v>159144634</v>
      </c>
      <c r="BB418" s="3">
        <v>44638</v>
      </c>
      <c r="BC418" s="4">
        <v>904816</v>
      </c>
    </row>
    <row r="419" spans="22:55" hidden="1">
      <c r="V419" s="3"/>
      <c r="AN419" s="3">
        <v>44641</v>
      </c>
      <c r="AO419" s="4">
        <v>1.5</v>
      </c>
      <c r="AP419" s="4">
        <v>2.2679999999999998</v>
      </c>
      <c r="AQ419" s="4">
        <v>2.944</v>
      </c>
      <c r="AR419" s="4">
        <v>8.7829999999999995</v>
      </c>
      <c r="AS419" s="4">
        <f t="shared" si="22"/>
        <v>0.67600000000000016</v>
      </c>
      <c r="AT419" s="3">
        <v>44637</v>
      </c>
      <c r="AU419" s="4">
        <v>610639</v>
      </c>
      <c r="AV419" s="3">
        <v>44641</v>
      </c>
      <c r="AW419" s="4">
        <v>93992661</v>
      </c>
      <c r="AX419" s="4">
        <v>9855247</v>
      </c>
      <c r="AY419" s="4">
        <v>23097000</v>
      </c>
      <c r="AZ419" s="4">
        <v>132806138</v>
      </c>
      <c r="BA419" s="4">
        <v>160263340</v>
      </c>
      <c r="BB419" s="3">
        <v>44637</v>
      </c>
      <c r="BC419" s="4">
        <v>888531</v>
      </c>
    </row>
    <row r="420" spans="22:55" hidden="1">
      <c r="V420" s="3"/>
      <c r="AN420" s="3">
        <v>44638</v>
      </c>
      <c r="AO420" s="4">
        <v>1.5</v>
      </c>
      <c r="AP420" s="4">
        <v>2.2309999999999999</v>
      </c>
      <c r="AQ420" s="4">
        <v>2.911</v>
      </c>
      <c r="AR420" s="4">
        <v>8.7509999999999994</v>
      </c>
      <c r="AS420" s="4">
        <f t="shared" si="22"/>
        <v>0.68000000000000016</v>
      </c>
      <c r="AT420" s="3">
        <v>44636</v>
      </c>
      <c r="AU420" s="4">
        <v>609717</v>
      </c>
      <c r="AV420" s="3">
        <v>44638</v>
      </c>
      <c r="AW420" s="4">
        <v>94174826</v>
      </c>
      <c r="AX420" s="4">
        <v>9850104</v>
      </c>
      <c r="AY420" s="4">
        <v>23101967</v>
      </c>
      <c r="AZ420" s="4">
        <v>132851742</v>
      </c>
      <c r="BA420" s="4">
        <v>159320280</v>
      </c>
      <c r="BB420" s="3">
        <v>44636</v>
      </c>
      <c r="BC420" s="4">
        <v>886949</v>
      </c>
    </row>
    <row r="421" spans="22:55" hidden="1">
      <c r="V421" s="3"/>
      <c r="AN421" s="3">
        <v>44637</v>
      </c>
      <c r="AO421" s="4">
        <v>1.5</v>
      </c>
      <c r="AP421" s="4">
        <v>2.2170000000000001</v>
      </c>
      <c r="AQ421" s="4">
        <v>2.9020000000000001</v>
      </c>
      <c r="AR421" s="4">
        <v>8.7379999999999995</v>
      </c>
      <c r="AS421" s="4">
        <f t="shared" si="22"/>
        <v>0.68500000000000005</v>
      </c>
      <c r="AT421" s="3">
        <v>44635</v>
      </c>
      <c r="AU421" s="4">
        <v>627119</v>
      </c>
      <c r="AV421" s="3">
        <v>44637</v>
      </c>
      <c r="AW421" s="4">
        <v>93953783</v>
      </c>
      <c r="AX421" s="4">
        <v>9846605</v>
      </c>
      <c r="AY421" s="4">
        <v>23113961</v>
      </c>
      <c r="AZ421" s="4">
        <v>132508519</v>
      </c>
      <c r="BA421" s="4">
        <v>160003366</v>
      </c>
      <c r="BB421" s="3">
        <v>44635</v>
      </c>
      <c r="BC421" s="4">
        <v>894037</v>
      </c>
    </row>
    <row r="422" spans="22:55" hidden="1">
      <c r="V422" s="3"/>
      <c r="AN422" s="3">
        <v>44636</v>
      </c>
      <c r="AO422" s="4">
        <v>1.5</v>
      </c>
      <c r="AP422" s="4">
        <v>2.2679999999999998</v>
      </c>
      <c r="AQ422" s="4">
        <v>2.948</v>
      </c>
      <c r="AR422" s="4">
        <v>8.7769999999999992</v>
      </c>
      <c r="AS422" s="4">
        <f t="shared" si="22"/>
        <v>0.68000000000000016</v>
      </c>
      <c r="AT422" s="3">
        <v>44634</v>
      </c>
      <c r="AU422" s="4">
        <v>630140</v>
      </c>
      <c r="AV422" s="3">
        <v>44636</v>
      </c>
      <c r="AW422" s="4">
        <v>93189301</v>
      </c>
      <c r="AX422" s="4">
        <v>9848488</v>
      </c>
      <c r="AY422" s="4">
        <v>23117840</v>
      </c>
      <c r="AZ422" s="4">
        <v>132401598</v>
      </c>
      <c r="BA422" s="4">
        <v>160341279</v>
      </c>
      <c r="BB422" s="3">
        <v>44634</v>
      </c>
      <c r="BC422" s="4">
        <v>898678</v>
      </c>
    </row>
    <row r="423" spans="22:55" hidden="1">
      <c r="V423" s="3"/>
      <c r="AN423" s="3">
        <v>44635</v>
      </c>
      <c r="AO423" s="4">
        <v>1.5</v>
      </c>
      <c r="AP423" s="4">
        <v>2.2850000000000001</v>
      </c>
      <c r="AQ423" s="4">
        <v>2.9649999999999999</v>
      </c>
      <c r="AR423" s="4">
        <v>8.7899999999999991</v>
      </c>
      <c r="AS423" s="4">
        <f t="shared" si="22"/>
        <v>0.67999999999999972</v>
      </c>
      <c r="AT423" s="3">
        <v>44631</v>
      </c>
      <c r="AU423" s="4">
        <v>625009</v>
      </c>
      <c r="AV423" s="3">
        <v>44635</v>
      </c>
      <c r="AW423" s="4">
        <v>92487796</v>
      </c>
      <c r="AX423" s="4">
        <v>9849837</v>
      </c>
      <c r="AY423" s="4">
        <v>23102403</v>
      </c>
      <c r="AZ423" s="4">
        <v>132487775</v>
      </c>
      <c r="BA423" s="4">
        <v>157287995</v>
      </c>
      <c r="BB423" s="3">
        <v>44631</v>
      </c>
      <c r="BC423" s="4">
        <v>899880</v>
      </c>
    </row>
    <row r="424" spans="22:55" hidden="1">
      <c r="V424" s="3"/>
      <c r="AN424" s="3">
        <v>44634</v>
      </c>
      <c r="AO424" s="4">
        <v>1.5</v>
      </c>
      <c r="AP424" s="4">
        <v>2.2829999999999999</v>
      </c>
      <c r="AQ424" s="4">
        <v>2.9470000000000001</v>
      </c>
      <c r="AR424" s="4">
        <v>8.7739999999999991</v>
      </c>
      <c r="AS424" s="4">
        <f t="shared" si="22"/>
        <v>0.66400000000000015</v>
      </c>
      <c r="AT424" s="3">
        <v>44630</v>
      </c>
      <c r="AU424" s="4">
        <v>631372</v>
      </c>
      <c r="AV424" s="3">
        <v>44634</v>
      </c>
      <c r="AW424" s="4">
        <v>93108116</v>
      </c>
      <c r="AX424" s="4">
        <v>9852839</v>
      </c>
      <c r="AY424" s="4">
        <v>23097941</v>
      </c>
      <c r="AZ424" s="4">
        <v>132363656</v>
      </c>
      <c r="BA424" s="4">
        <v>158181129</v>
      </c>
      <c r="BB424" s="3">
        <v>44630</v>
      </c>
      <c r="BC424" s="4">
        <v>890475</v>
      </c>
    </row>
    <row r="425" spans="22:55" hidden="1">
      <c r="V425" s="3"/>
      <c r="AN425" s="3">
        <v>44631</v>
      </c>
      <c r="AO425" s="4">
        <v>1.5</v>
      </c>
      <c r="AP425" s="4">
        <v>2.2549999999999999</v>
      </c>
      <c r="AQ425" s="4">
        <v>2.92</v>
      </c>
      <c r="AR425" s="4">
        <v>8.7460000000000004</v>
      </c>
      <c r="AS425" s="4">
        <f t="shared" si="22"/>
        <v>0.66500000000000004</v>
      </c>
      <c r="AT425" s="3">
        <v>44628</v>
      </c>
      <c r="AU425" s="4">
        <v>643832</v>
      </c>
      <c r="AV425" s="3">
        <v>44631</v>
      </c>
      <c r="AW425" s="4">
        <v>93248490</v>
      </c>
      <c r="AX425" s="4">
        <v>9849367</v>
      </c>
      <c r="AY425" s="4">
        <v>23098570</v>
      </c>
      <c r="AZ425" s="4">
        <v>132241677</v>
      </c>
      <c r="BA425" s="4">
        <v>158005636</v>
      </c>
      <c r="BB425" s="3">
        <v>44628</v>
      </c>
      <c r="BC425" s="4">
        <v>889707</v>
      </c>
    </row>
    <row r="426" spans="22:55" hidden="1">
      <c r="V426" s="3"/>
      <c r="AN426" s="3">
        <v>44630</v>
      </c>
      <c r="AO426" s="4">
        <v>1.5</v>
      </c>
      <c r="AP426" s="4">
        <v>2.2669999999999999</v>
      </c>
      <c r="AQ426" s="4">
        <v>2.9329999999999998</v>
      </c>
      <c r="AR426" s="4">
        <v>8.7560000000000002</v>
      </c>
      <c r="AS426" s="4">
        <f t="shared" si="22"/>
        <v>0.66599999999999993</v>
      </c>
      <c r="AT426" s="3">
        <v>44627</v>
      </c>
      <c r="AU426" s="4">
        <v>658629</v>
      </c>
      <c r="AV426" s="3">
        <v>44630</v>
      </c>
      <c r="AW426" s="4">
        <v>93753417</v>
      </c>
      <c r="AX426" s="4">
        <v>9829313</v>
      </c>
      <c r="AY426" s="4">
        <v>23112165</v>
      </c>
      <c r="AZ426" s="4">
        <v>132273723</v>
      </c>
      <c r="BA426" s="4">
        <v>158206964</v>
      </c>
      <c r="BB426" s="3">
        <v>44627</v>
      </c>
      <c r="BC426" s="4">
        <v>901487</v>
      </c>
    </row>
    <row r="427" spans="22:55" hidden="1">
      <c r="V427" s="3"/>
      <c r="AN427" s="3">
        <v>44628</v>
      </c>
      <c r="AO427" s="4">
        <v>1.5</v>
      </c>
      <c r="AP427" s="4">
        <v>2.2869999999999999</v>
      </c>
      <c r="AQ427" s="4">
        <v>2.931</v>
      </c>
      <c r="AR427" s="4">
        <v>8.76</v>
      </c>
      <c r="AS427" s="4">
        <f t="shared" si="22"/>
        <v>0.64400000000000013</v>
      </c>
      <c r="AT427" s="3">
        <v>44624</v>
      </c>
      <c r="AU427" s="4">
        <v>630369</v>
      </c>
      <c r="AV427" s="3">
        <v>44628</v>
      </c>
      <c r="AW427" s="4">
        <v>93139098</v>
      </c>
      <c r="AX427" s="4">
        <v>9827470</v>
      </c>
      <c r="AY427" s="4">
        <v>23111528</v>
      </c>
      <c r="AZ427" s="4">
        <v>132221287</v>
      </c>
      <c r="BA427" s="4">
        <v>162198554</v>
      </c>
      <c r="BB427" s="3">
        <v>44624</v>
      </c>
      <c r="BC427" s="4">
        <v>895498</v>
      </c>
    </row>
    <row r="428" spans="22:55" hidden="1">
      <c r="V428" s="3"/>
      <c r="AN428" s="3">
        <v>44627</v>
      </c>
      <c r="AO428" s="4">
        <v>1.5</v>
      </c>
      <c r="AP428" s="4">
        <v>2.2879999999999998</v>
      </c>
      <c r="AQ428" s="4">
        <v>2.9220000000000002</v>
      </c>
      <c r="AR428" s="4">
        <v>8.7560000000000002</v>
      </c>
      <c r="AS428" s="4">
        <f t="shared" si="22"/>
        <v>0.63400000000000034</v>
      </c>
      <c r="AT428" s="3">
        <v>44623</v>
      </c>
      <c r="AU428" s="4">
        <v>642629</v>
      </c>
      <c r="AV428" s="3">
        <v>44627</v>
      </c>
      <c r="AW428" s="4">
        <v>93757997</v>
      </c>
      <c r="AX428" s="4">
        <v>9833823</v>
      </c>
      <c r="AY428" s="4">
        <v>23119094</v>
      </c>
      <c r="AZ428" s="4">
        <v>132215644</v>
      </c>
      <c r="BA428" s="4">
        <v>162446709</v>
      </c>
      <c r="BB428" s="3">
        <v>44623</v>
      </c>
      <c r="BC428" s="4">
        <v>893816</v>
      </c>
    </row>
    <row r="429" spans="22:55" hidden="1">
      <c r="V429" s="3"/>
      <c r="AN429" s="3">
        <v>44624</v>
      </c>
      <c r="AO429" s="4">
        <v>1.5</v>
      </c>
      <c r="AP429" s="4">
        <v>2.214</v>
      </c>
      <c r="AQ429" s="4">
        <v>2.8479999999999999</v>
      </c>
      <c r="AR429" s="4">
        <v>8.6820000000000004</v>
      </c>
      <c r="AS429" s="4">
        <f t="shared" si="22"/>
        <v>0.6339999999999999</v>
      </c>
      <c r="AT429" s="3">
        <v>44622</v>
      </c>
      <c r="AU429" s="4">
        <v>643628</v>
      </c>
      <c r="AV429" s="3">
        <v>44624</v>
      </c>
      <c r="AW429" s="4">
        <v>94552908</v>
      </c>
      <c r="AX429" s="4">
        <v>9830345</v>
      </c>
      <c r="AY429" s="4">
        <v>23094166</v>
      </c>
      <c r="AZ429" s="4">
        <v>132181235</v>
      </c>
      <c r="BA429" s="4">
        <v>163768129</v>
      </c>
      <c r="BB429" s="3">
        <v>44622</v>
      </c>
      <c r="BC429" s="4">
        <v>901944</v>
      </c>
    </row>
    <row r="430" spans="22:55" hidden="1">
      <c r="V430" s="3"/>
      <c r="AN430" s="3">
        <v>44623</v>
      </c>
      <c r="AO430" s="4">
        <v>1.5</v>
      </c>
      <c r="AP430" s="4">
        <v>2.1949999999999998</v>
      </c>
      <c r="AQ430" s="4">
        <v>2.835</v>
      </c>
      <c r="AR430" s="4">
        <v>8.6720000000000006</v>
      </c>
      <c r="AS430" s="4">
        <f t="shared" si="22"/>
        <v>0.64000000000000012</v>
      </c>
      <c r="AT430" s="3">
        <v>44620</v>
      </c>
      <c r="AU430" s="4">
        <v>634254</v>
      </c>
      <c r="AV430" s="3">
        <v>44623</v>
      </c>
      <c r="AW430" s="4">
        <v>95254460</v>
      </c>
      <c r="AX430" s="4">
        <v>9823914</v>
      </c>
      <c r="AY430" s="4">
        <v>23127111</v>
      </c>
      <c r="AZ430" s="4">
        <v>132127850</v>
      </c>
      <c r="BA430" s="4">
        <v>160164691</v>
      </c>
      <c r="BB430" s="3">
        <v>44620</v>
      </c>
      <c r="BC430" s="4">
        <v>899770</v>
      </c>
    </row>
    <row r="431" spans="22:55" hidden="1">
      <c r="V431" s="3"/>
      <c r="AN431" s="3">
        <v>44622</v>
      </c>
      <c r="AO431" s="4">
        <v>1.5</v>
      </c>
      <c r="AP431" s="4">
        <v>2.1869999999999998</v>
      </c>
      <c r="AQ431" s="4">
        <v>2.8130000000000002</v>
      </c>
      <c r="AR431" s="4">
        <v>8.6539999999999999</v>
      </c>
      <c r="AS431" s="4">
        <f t="shared" si="22"/>
        <v>0.62600000000000033</v>
      </c>
      <c r="AT431" s="3">
        <v>44617</v>
      </c>
      <c r="AU431" s="4">
        <v>649930</v>
      </c>
      <c r="AV431" s="3">
        <v>44622</v>
      </c>
      <c r="AW431" s="4">
        <v>94469637</v>
      </c>
      <c r="AX431" s="4">
        <v>9822784</v>
      </c>
      <c r="AY431" s="4">
        <v>23137850</v>
      </c>
      <c r="AZ431" s="4">
        <v>132183134</v>
      </c>
      <c r="BA431" s="4">
        <v>155367508</v>
      </c>
      <c r="BB431" s="3">
        <v>44617</v>
      </c>
      <c r="BC431" s="4">
        <v>904807</v>
      </c>
    </row>
    <row r="432" spans="22:55" hidden="1">
      <c r="V432" s="3"/>
      <c r="AN432" s="3">
        <v>44620</v>
      </c>
      <c r="AO432" s="4">
        <v>1.5</v>
      </c>
      <c r="AP432" s="4">
        <v>2.242</v>
      </c>
      <c r="AQ432" s="4">
        <v>2.855</v>
      </c>
      <c r="AR432" s="4">
        <v>8.6989999999999998</v>
      </c>
      <c r="AS432" s="4">
        <f t="shared" si="22"/>
        <v>0.61299999999999999</v>
      </c>
      <c r="AT432" s="3">
        <v>44616</v>
      </c>
      <c r="AU432" s="4">
        <v>652733</v>
      </c>
      <c r="AV432" s="3">
        <v>44620</v>
      </c>
      <c r="AW432" s="4">
        <v>94528238</v>
      </c>
      <c r="AX432" s="4">
        <v>9821546</v>
      </c>
      <c r="AY432" s="4">
        <v>23124450</v>
      </c>
      <c r="AZ432" s="4">
        <v>132177193</v>
      </c>
      <c r="BA432" s="4">
        <v>154226458</v>
      </c>
      <c r="BB432" s="3">
        <v>44616</v>
      </c>
      <c r="BC432" s="4">
        <v>906540</v>
      </c>
    </row>
    <row r="433" spans="22:55" hidden="1">
      <c r="V433" s="3"/>
      <c r="AN433" s="3">
        <v>44617</v>
      </c>
      <c r="AO433" s="4">
        <v>1.5</v>
      </c>
      <c r="AP433" s="4">
        <v>2.2440000000000002</v>
      </c>
      <c r="AQ433" s="4">
        <v>2.8540000000000001</v>
      </c>
      <c r="AR433" s="4">
        <v>8.6980000000000004</v>
      </c>
      <c r="AS433" s="4">
        <f t="shared" si="22"/>
        <v>0.60999999999999988</v>
      </c>
      <c r="AT433" s="3">
        <v>44615</v>
      </c>
      <c r="AU433" s="4">
        <v>631427</v>
      </c>
      <c r="AV433" s="3">
        <v>44617</v>
      </c>
      <c r="AW433" s="4">
        <v>93982261</v>
      </c>
      <c r="AX433" s="4">
        <v>9815163</v>
      </c>
      <c r="AY433" s="4">
        <v>23122009</v>
      </c>
      <c r="AZ433" s="4">
        <v>131939083</v>
      </c>
      <c r="BA433" s="4">
        <v>160853901</v>
      </c>
      <c r="BB433" s="3">
        <v>44615</v>
      </c>
      <c r="BC433" s="4">
        <v>894883</v>
      </c>
    </row>
    <row r="434" spans="22:55" hidden="1">
      <c r="V434" s="3"/>
      <c r="AN434" s="3">
        <v>44616</v>
      </c>
      <c r="AO434" s="4">
        <v>1.5</v>
      </c>
      <c r="AP434" s="4">
        <v>2.226</v>
      </c>
      <c r="AQ434" s="4">
        <v>2.83</v>
      </c>
      <c r="AR434" s="4">
        <v>8.6750000000000007</v>
      </c>
      <c r="AS434" s="4">
        <f t="shared" si="22"/>
        <v>0.60400000000000009</v>
      </c>
      <c r="AT434" s="3">
        <v>44614</v>
      </c>
      <c r="AU434" s="4">
        <v>637032</v>
      </c>
      <c r="AV434" s="3">
        <v>44616</v>
      </c>
      <c r="AW434" s="4">
        <v>93270088</v>
      </c>
      <c r="AX434" s="4">
        <v>9818783</v>
      </c>
      <c r="AY434" s="4">
        <v>23120311</v>
      </c>
      <c r="AZ434" s="4">
        <v>132009646</v>
      </c>
      <c r="BA434" s="4">
        <v>162239767</v>
      </c>
      <c r="BB434" s="3">
        <v>44614</v>
      </c>
      <c r="BC434" s="4">
        <v>894241</v>
      </c>
    </row>
    <row r="435" spans="22:55" hidden="1">
      <c r="V435" s="3"/>
      <c r="AN435" s="3">
        <v>44615</v>
      </c>
      <c r="AO435" s="4">
        <v>1.5</v>
      </c>
      <c r="AP435" s="4">
        <v>2.3170000000000002</v>
      </c>
      <c r="AQ435" s="4">
        <v>2.9129999999999998</v>
      </c>
      <c r="AR435" s="4">
        <v>8.7530000000000001</v>
      </c>
      <c r="AS435" s="4">
        <f t="shared" si="22"/>
        <v>0.59599999999999964</v>
      </c>
      <c r="AT435" s="3">
        <v>44613</v>
      </c>
      <c r="AU435" s="4">
        <v>624731</v>
      </c>
      <c r="AV435" s="3">
        <v>44615</v>
      </c>
      <c r="AW435" s="4">
        <v>94435935</v>
      </c>
      <c r="AX435" s="4">
        <v>9820343</v>
      </c>
      <c r="AY435" s="4">
        <v>23062668</v>
      </c>
      <c r="AZ435" s="4">
        <v>131806380</v>
      </c>
      <c r="BA435" s="4">
        <v>165528806</v>
      </c>
      <c r="BB435" s="3">
        <v>44613</v>
      </c>
      <c r="BC435" s="4">
        <v>893827</v>
      </c>
    </row>
    <row r="436" spans="22:55" hidden="1">
      <c r="V436" s="3"/>
      <c r="AN436" s="3">
        <v>44614</v>
      </c>
      <c r="AO436" s="4">
        <v>1.5</v>
      </c>
      <c r="AP436" s="4">
        <v>2.327</v>
      </c>
      <c r="AQ436" s="4">
        <v>2.9159999999999999</v>
      </c>
      <c r="AR436" s="4">
        <v>8.76</v>
      </c>
      <c r="AS436" s="4">
        <f t="shared" si="22"/>
        <v>0.58899999999999997</v>
      </c>
      <c r="AT436" s="3">
        <v>44610</v>
      </c>
      <c r="AU436" s="4">
        <v>625005</v>
      </c>
      <c r="AV436" s="3">
        <v>44614</v>
      </c>
      <c r="AW436" s="4">
        <v>94447025</v>
      </c>
      <c r="AX436" s="4">
        <v>9817891</v>
      </c>
      <c r="AY436" s="4">
        <v>23069453</v>
      </c>
      <c r="AZ436" s="4">
        <v>131557387</v>
      </c>
      <c r="BA436" s="4">
        <v>170146181</v>
      </c>
      <c r="BB436" s="3">
        <v>44610</v>
      </c>
      <c r="BC436" s="4">
        <v>894090</v>
      </c>
    </row>
    <row r="437" spans="22:55" hidden="1">
      <c r="V437" s="3"/>
      <c r="AN437" s="3">
        <v>44613</v>
      </c>
      <c r="AO437" s="4">
        <v>1.5</v>
      </c>
      <c r="AP437" s="4">
        <v>2.363</v>
      </c>
      <c r="AQ437" s="4">
        <v>2.9489999999999998</v>
      </c>
      <c r="AR437" s="4">
        <v>8.7940000000000005</v>
      </c>
      <c r="AS437" s="4">
        <f t="shared" si="22"/>
        <v>0.58599999999999985</v>
      </c>
      <c r="AT437" s="3">
        <v>44609</v>
      </c>
      <c r="AU437" s="4">
        <v>633948</v>
      </c>
      <c r="AV437" s="3">
        <v>44613</v>
      </c>
      <c r="AW437" s="4">
        <v>94785608</v>
      </c>
      <c r="AX437" s="4">
        <v>9821005</v>
      </c>
      <c r="AY437" s="4">
        <v>23078106</v>
      </c>
      <c r="AZ437" s="4">
        <v>131507415</v>
      </c>
      <c r="BA437" s="4">
        <v>171306405</v>
      </c>
      <c r="BB437" s="3">
        <v>44609</v>
      </c>
      <c r="BC437" s="4">
        <v>899050</v>
      </c>
    </row>
    <row r="438" spans="22:55" hidden="1">
      <c r="V438" s="3"/>
      <c r="AN438" s="3">
        <v>44610</v>
      </c>
      <c r="AO438" s="4">
        <v>1.5</v>
      </c>
      <c r="AP438" s="4">
        <v>2.3220000000000001</v>
      </c>
      <c r="AQ438" s="4">
        <v>2.9159999999999999</v>
      </c>
      <c r="AR438" s="4">
        <v>8.7609999999999992</v>
      </c>
      <c r="AS438" s="4">
        <f t="shared" si="22"/>
        <v>0.59399999999999986</v>
      </c>
      <c r="AT438" s="3">
        <v>44608</v>
      </c>
      <c r="AU438" s="4">
        <v>634851</v>
      </c>
      <c r="AV438" s="3">
        <v>44610</v>
      </c>
      <c r="AW438" s="4">
        <v>95062592</v>
      </c>
      <c r="AX438" s="4">
        <v>9820981</v>
      </c>
      <c r="AY438" s="4">
        <v>23091939</v>
      </c>
      <c r="AZ438" s="4">
        <v>131504006</v>
      </c>
      <c r="BA438" s="4">
        <v>171926674</v>
      </c>
      <c r="BB438" s="3">
        <v>44608</v>
      </c>
      <c r="BC438" s="4">
        <v>893252</v>
      </c>
    </row>
    <row r="439" spans="22:55" hidden="1">
      <c r="V439" s="3"/>
      <c r="AN439" s="3">
        <v>44609</v>
      </c>
      <c r="AO439" s="4">
        <v>1.5</v>
      </c>
      <c r="AP439" s="4">
        <v>2.2949999999999999</v>
      </c>
      <c r="AQ439" s="4">
        <v>2.895</v>
      </c>
      <c r="AR439" s="4">
        <v>8.7379999999999995</v>
      </c>
      <c r="AS439" s="4">
        <f t="shared" si="22"/>
        <v>0.60000000000000009</v>
      </c>
      <c r="AT439" s="3">
        <v>44607</v>
      </c>
      <c r="AU439" s="4">
        <v>645584</v>
      </c>
      <c r="AV439" s="3">
        <v>44609</v>
      </c>
      <c r="AW439" s="4">
        <v>95265132</v>
      </c>
      <c r="AX439" s="4">
        <v>9801466</v>
      </c>
      <c r="AY439" s="4">
        <v>23097852</v>
      </c>
      <c r="AZ439" s="4">
        <v>131390822</v>
      </c>
      <c r="BA439" s="4">
        <v>171685062</v>
      </c>
      <c r="BB439" s="3">
        <v>44607</v>
      </c>
      <c r="BC439" s="4">
        <v>904055</v>
      </c>
    </row>
    <row r="440" spans="22:55" hidden="1">
      <c r="V440" s="3"/>
      <c r="AN440" s="3">
        <v>44608</v>
      </c>
      <c r="AO440" s="4">
        <v>1.5</v>
      </c>
      <c r="AP440" s="4">
        <v>2.3250000000000002</v>
      </c>
      <c r="AQ440" s="4">
        <v>2.9129999999999998</v>
      </c>
      <c r="AR440" s="4">
        <v>8.7560000000000002</v>
      </c>
      <c r="AS440" s="4">
        <f t="shared" si="22"/>
        <v>0.58799999999999963</v>
      </c>
      <c r="AT440" s="3">
        <v>44606</v>
      </c>
      <c r="AU440" s="4">
        <v>654623</v>
      </c>
      <c r="AV440" s="3">
        <v>44608</v>
      </c>
      <c r="AW440" s="4">
        <v>94896261</v>
      </c>
      <c r="AX440" s="4">
        <v>9803049</v>
      </c>
      <c r="AY440" s="4">
        <v>23116621</v>
      </c>
      <c r="AZ440" s="4">
        <v>131286564</v>
      </c>
      <c r="BA440" s="4">
        <v>171181495</v>
      </c>
      <c r="BB440" s="3">
        <v>44606</v>
      </c>
      <c r="BC440" s="4">
        <v>910924</v>
      </c>
    </row>
    <row r="441" spans="22:55" hidden="1">
      <c r="V441" s="3"/>
      <c r="AN441" s="3">
        <v>44607</v>
      </c>
      <c r="AO441" s="4">
        <v>1.5</v>
      </c>
      <c r="AP441" s="4">
        <v>2.3450000000000002</v>
      </c>
      <c r="AQ441" s="4">
        <v>2.9279999999999999</v>
      </c>
      <c r="AR441" s="4">
        <v>8.7720000000000002</v>
      </c>
      <c r="AS441" s="4">
        <f t="shared" si="22"/>
        <v>0.58299999999999974</v>
      </c>
      <c r="AT441" s="3">
        <v>44603</v>
      </c>
      <c r="AU441" s="4">
        <v>641011</v>
      </c>
      <c r="AV441" s="3">
        <v>44607</v>
      </c>
      <c r="AW441" s="4">
        <v>93805949</v>
      </c>
      <c r="AX441" s="4">
        <v>9829293</v>
      </c>
      <c r="AY441" s="4">
        <v>23129201</v>
      </c>
      <c r="AZ441" s="4">
        <v>131056988</v>
      </c>
      <c r="BA441" s="4">
        <v>169242989</v>
      </c>
      <c r="BB441" s="3">
        <v>44603</v>
      </c>
      <c r="BC441" s="4">
        <v>911754</v>
      </c>
    </row>
    <row r="442" spans="22:55" hidden="1">
      <c r="V442" s="3"/>
      <c r="AN442" s="3">
        <v>44606</v>
      </c>
      <c r="AO442" s="4">
        <v>1.5</v>
      </c>
      <c r="AP442" s="4">
        <v>2.347</v>
      </c>
      <c r="AQ442" s="4">
        <v>2.9260000000000002</v>
      </c>
      <c r="AR442" s="4">
        <v>8.7750000000000004</v>
      </c>
      <c r="AS442" s="4">
        <f t="shared" si="22"/>
        <v>0.57900000000000018</v>
      </c>
      <c r="AT442" s="3">
        <v>44602</v>
      </c>
      <c r="AU442" s="4">
        <v>636959</v>
      </c>
      <c r="AV442" s="3">
        <v>44606</v>
      </c>
      <c r="AW442" s="4">
        <v>94139268</v>
      </c>
      <c r="AX442" s="4">
        <v>9837036</v>
      </c>
      <c r="AY442" s="4">
        <v>23153321</v>
      </c>
      <c r="AZ442" s="4">
        <v>130892927</v>
      </c>
      <c r="BA442" s="4">
        <v>166764449</v>
      </c>
      <c r="BB442" s="3">
        <v>44602</v>
      </c>
      <c r="BC442" s="4">
        <v>908239</v>
      </c>
    </row>
    <row r="443" spans="22:55" hidden="1">
      <c r="V443" s="3"/>
      <c r="AN443" s="3">
        <v>44603</v>
      </c>
      <c r="AO443" s="4">
        <v>1.5</v>
      </c>
      <c r="AP443" s="4">
        <v>2.343</v>
      </c>
      <c r="AQ443" s="4">
        <v>2.9209999999999998</v>
      </c>
      <c r="AR443" s="4">
        <v>8.7759999999999998</v>
      </c>
      <c r="AS443" s="4">
        <f t="shared" si="22"/>
        <v>0.57799999999999985</v>
      </c>
      <c r="AT443" s="3">
        <v>44601</v>
      </c>
      <c r="AU443" s="4">
        <v>640015</v>
      </c>
      <c r="AV443" s="3">
        <v>44603</v>
      </c>
      <c r="AW443" s="4">
        <v>95160184</v>
      </c>
      <c r="AX443" s="4">
        <v>9835738</v>
      </c>
      <c r="AY443" s="4">
        <v>23165350</v>
      </c>
      <c r="AZ443" s="4">
        <v>130920562</v>
      </c>
      <c r="BA443" s="4">
        <v>166779298</v>
      </c>
      <c r="BB443" s="3">
        <v>44601</v>
      </c>
      <c r="BC443" s="4">
        <v>909443</v>
      </c>
    </row>
    <row r="444" spans="22:55" hidden="1">
      <c r="V444" s="3"/>
      <c r="AN444" s="3">
        <v>44602</v>
      </c>
      <c r="AO444" s="4">
        <v>1.5</v>
      </c>
      <c r="AP444" s="4">
        <v>2.2639999999999998</v>
      </c>
      <c r="AQ444" s="4">
        <v>2.85</v>
      </c>
      <c r="AR444" s="4">
        <v>8.7080000000000002</v>
      </c>
      <c r="AS444" s="4">
        <f t="shared" si="22"/>
        <v>0.5860000000000003</v>
      </c>
      <c r="AT444" s="3">
        <v>44600</v>
      </c>
      <c r="AU444" s="4">
        <v>666303</v>
      </c>
      <c r="AV444" s="3">
        <v>44602</v>
      </c>
      <c r="AW444" s="4">
        <v>95554778</v>
      </c>
      <c r="AX444" s="4">
        <v>9846560</v>
      </c>
      <c r="AY444" s="4">
        <v>23205599</v>
      </c>
      <c r="AZ444" s="4">
        <v>130893490</v>
      </c>
      <c r="BA444" s="4">
        <v>169959955</v>
      </c>
      <c r="BB444" s="3">
        <v>44600</v>
      </c>
      <c r="BC444" s="4">
        <v>922130</v>
      </c>
    </row>
    <row r="445" spans="22:55" hidden="1">
      <c r="V445" s="3"/>
      <c r="AN445" s="3">
        <v>44601</v>
      </c>
      <c r="AO445" s="4">
        <v>1.5</v>
      </c>
      <c r="AP445" s="4">
        <v>2.2789999999999999</v>
      </c>
      <c r="AQ445" s="4">
        <v>2.8570000000000002</v>
      </c>
      <c r="AR445" s="4">
        <v>8.718</v>
      </c>
      <c r="AS445" s="4">
        <f t="shared" si="22"/>
        <v>0.57800000000000029</v>
      </c>
      <c r="AT445" s="3">
        <v>44599</v>
      </c>
      <c r="AU445" s="4">
        <v>668097</v>
      </c>
      <c r="AV445" s="3">
        <v>44601</v>
      </c>
      <c r="AW445" s="4">
        <v>95335149</v>
      </c>
      <c r="AX445" s="4">
        <v>9829980</v>
      </c>
      <c r="AY445" s="4">
        <v>23248453</v>
      </c>
      <c r="AZ445" s="4">
        <v>130897996</v>
      </c>
      <c r="BA445" s="4">
        <v>173524537</v>
      </c>
      <c r="BB445" s="3">
        <v>44599</v>
      </c>
      <c r="BC445" s="4">
        <v>914981</v>
      </c>
    </row>
    <row r="446" spans="22:55" hidden="1">
      <c r="V446" s="3"/>
      <c r="AN446" s="3">
        <v>44600</v>
      </c>
      <c r="AO446" s="4">
        <v>1.5</v>
      </c>
      <c r="AP446" s="4">
        <v>2.3029999999999999</v>
      </c>
      <c r="AQ446" s="4">
        <v>2.867</v>
      </c>
      <c r="AR446" s="4">
        <v>8.7330000000000005</v>
      </c>
      <c r="AS446" s="4">
        <f t="shared" si="22"/>
        <v>0.56400000000000006</v>
      </c>
      <c r="AT446" s="3">
        <v>44596</v>
      </c>
      <c r="AU446" s="4">
        <v>666658</v>
      </c>
      <c r="AV446" s="3">
        <v>44600</v>
      </c>
      <c r="AW446" s="4">
        <v>94672047</v>
      </c>
      <c r="AX446" s="4">
        <v>9839582</v>
      </c>
      <c r="AY446" s="4">
        <v>23324546</v>
      </c>
      <c r="AZ446" s="4">
        <v>130696523</v>
      </c>
      <c r="BA446" s="4">
        <v>170917914</v>
      </c>
      <c r="BB446" s="3">
        <v>44596</v>
      </c>
      <c r="BC446" s="4">
        <v>910170</v>
      </c>
    </row>
    <row r="447" spans="22:55" hidden="1">
      <c r="V447" s="3"/>
      <c r="AN447" s="3">
        <v>44599</v>
      </c>
      <c r="AO447" s="4">
        <v>1.5</v>
      </c>
      <c r="AP447" s="4">
        <v>2.2370000000000001</v>
      </c>
      <c r="AQ447" s="4">
        <v>2.8149999999999999</v>
      </c>
      <c r="AR447" s="4">
        <v>8.68</v>
      </c>
      <c r="AS447" s="4">
        <f t="shared" si="22"/>
        <v>0.57799999999999985</v>
      </c>
      <c r="AT447" s="3">
        <v>44595</v>
      </c>
      <c r="AU447" s="4">
        <v>687099</v>
      </c>
      <c r="AV447" s="3">
        <v>44599</v>
      </c>
      <c r="AW447" s="4">
        <v>94808521</v>
      </c>
      <c r="AX447" s="4">
        <v>9847626</v>
      </c>
      <c r="AY447" s="4">
        <v>23361370</v>
      </c>
      <c r="AZ447" s="4">
        <v>130545539</v>
      </c>
      <c r="BA447" s="4">
        <v>168894167</v>
      </c>
      <c r="BB447" s="3">
        <v>44595</v>
      </c>
      <c r="BC447" s="4">
        <v>904015</v>
      </c>
    </row>
    <row r="448" spans="22:55" hidden="1">
      <c r="V448" s="3"/>
      <c r="AN448" s="3">
        <v>44596</v>
      </c>
      <c r="AO448" s="4">
        <v>1.5</v>
      </c>
      <c r="AP448" s="4">
        <v>2.194</v>
      </c>
      <c r="AQ448" s="4">
        <v>2.7709999999999999</v>
      </c>
      <c r="AR448" s="4">
        <v>8.6370000000000005</v>
      </c>
      <c r="AS448" s="4">
        <f t="shared" si="22"/>
        <v>0.57699999999999996</v>
      </c>
      <c r="AT448" s="3">
        <v>44589</v>
      </c>
      <c r="AU448" s="4">
        <v>703447</v>
      </c>
      <c r="AV448" s="3">
        <v>44596</v>
      </c>
      <c r="AW448" s="4">
        <v>94681839</v>
      </c>
      <c r="AX448" s="4">
        <v>9824514</v>
      </c>
      <c r="AY448" s="4">
        <v>23402528</v>
      </c>
      <c r="AZ448" s="4">
        <v>130606795</v>
      </c>
      <c r="BA448" s="4">
        <v>165522685</v>
      </c>
      <c r="BB448" s="3">
        <v>44589</v>
      </c>
      <c r="BC448" s="4">
        <v>895506</v>
      </c>
    </row>
    <row r="449" spans="22:55" hidden="1">
      <c r="V449" s="3"/>
      <c r="AN449" s="3">
        <v>44595</v>
      </c>
      <c r="AO449" s="4">
        <v>1.5</v>
      </c>
      <c r="AP449" s="4">
        <v>2.1579999999999999</v>
      </c>
      <c r="AQ449" s="4">
        <v>2.7330000000000001</v>
      </c>
      <c r="AR449" s="4">
        <v>8.6010000000000009</v>
      </c>
      <c r="AS449" s="4">
        <f t="shared" si="22"/>
        <v>0.57500000000000018</v>
      </c>
      <c r="AT449" s="3">
        <v>44588</v>
      </c>
      <c r="AU449" s="4">
        <v>751073</v>
      </c>
      <c r="AV449" s="3">
        <v>44595</v>
      </c>
      <c r="AW449" s="4">
        <v>94473343</v>
      </c>
      <c r="AX449" s="4">
        <v>9827878</v>
      </c>
      <c r="AY449" s="4">
        <v>23492354</v>
      </c>
      <c r="AZ449" s="4">
        <v>130499027</v>
      </c>
      <c r="BA449" s="4">
        <v>160511456</v>
      </c>
      <c r="BB449" s="3">
        <v>44588</v>
      </c>
      <c r="BC449" s="4">
        <v>895470</v>
      </c>
    </row>
    <row r="450" spans="22:55" hidden="1">
      <c r="V450" s="3"/>
      <c r="AN450" s="3">
        <v>44589</v>
      </c>
      <c r="AO450" s="4">
        <v>1.5</v>
      </c>
      <c r="AP450" s="4">
        <v>2.1890000000000001</v>
      </c>
      <c r="AQ450" s="4">
        <v>2.7650000000000001</v>
      </c>
      <c r="AR450" s="4">
        <v>8.6349999999999998</v>
      </c>
      <c r="AS450" s="4">
        <f t="shared" si="22"/>
        <v>0.57600000000000007</v>
      </c>
      <c r="AT450" s="3">
        <v>44587</v>
      </c>
      <c r="AU450" s="4">
        <v>714673</v>
      </c>
      <c r="AV450" s="3">
        <v>44589</v>
      </c>
      <c r="AW450" s="4">
        <v>93249731</v>
      </c>
      <c r="AX450" s="4">
        <v>9858983</v>
      </c>
      <c r="AY450" s="4">
        <v>23605476</v>
      </c>
      <c r="AZ450" s="4">
        <v>130237214</v>
      </c>
      <c r="BA450" s="4">
        <v>158011566</v>
      </c>
      <c r="BB450" s="3">
        <v>44587</v>
      </c>
      <c r="BC450" s="4">
        <v>894493</v>
      </c>
    </row>
    <row r="451" spans="22:55" hidden="1">
      <c r="V451" s="3"/>
      <c r="AN451" s="3">
        <v>44588</v>
      </c>
      <c r="AO451" s="4">
        <v>1.5</v>
      </c>
      <c r="AP451" s="4">
        <v>2.2170000000000001</v>
      </c>
      <c r="AQ451" s="4">
        <v>2.7810000000000001</v>
      </c>
      <c r="AR451" s="4">
        <v>8.6530000000000005</v>
      </c>
      <c r="AS451" s="4">
        <f t="shared" si="22"/>
        <v>0.56400000000000006</v>
      </c>
      <c r="AT451" s="3">
        <v>44586</v>
      </c>
      <c r="AU451" s="4">
        <v>695457</v>
      </c>
      <c r="AV451" s="3">
        <v>44588</v>
      </c>
      <c r="AW451" s="4">
        <v>92197820</v>
      </c>
      <c r="AX451" s="4">
        <v>9938994</v>
      </c>
      <c r="AY451" s="4">
        <v>23765106</v>
      </c>
      <c r="AZ451" s="4">
        <v>130555731</v>
      </c>
      <c r="BA451" s="4">
        <v>154213869</v>
      </c>
      <c r="BB451" s="3">
        <v>44586</v>
      </c>
      <c r="BC451" s="4">
        <v>891854</v>
      </c>
    </row>
    <row r="452" spans="22:55" hidden="1">
      <c r="V452" s="3"/>
      <c r="AN452" s="3">
        <v>44587</v>
      </c>
      <c r="AO452" s="4">
        <v>1.49</v>
      </c>
      <c r="AP452" s="4">
        <v>2.1560000000000001</v>
      </c>
      <c r="AQ452" s="4">
        <v>2.7130000000000001</v>
      </c>
      <c r="AR452" s="4">
        <v>8.5909999999999993</v>
      </c>
      <c r="AS452" s="4">
        <f t="shared" si="22"/>
        <v>0.55699999999999994</v>
      </c>
      <c r="AT452" s="3">
        <v>44585</v>
      </c>
      <c r="AU452" s="4">
        <v>713963</v>
      </c>
      <c r="AV452" s="3">
        <v>44587</v>
      </c>
      <c r="AW452" s="4">
        <v>93367295</v>
      </c>
      <c r="AX452" s="4">
        <v>9940704</v>
      </c>
      <c r="AY452" s="4">
        <v>23722413</v>
      </c>
      <c r="AZ452" s="4">
        <v>130518144</v>
      </c>
      <c r="BA452" s="4">
        <v>149971513</v>
      </c>
      <c r="BB452" s="3">
        <v>44585</v>
      </c>
      <c r="BC452" s="4">
        <v>891455</v>
      </c>
    </row>
    <row r="453" spans="22:55" hidden="1">
      <c r="V453" s="3"/>
      <c r="AN453" s="3">
        <v>44586</v>
      </c>
      <c r="AO453" s="4">
        <v>1.48</v>
      </c>
      <c r="AP453" s="4">
        <v>2.1739999999999999</v>
      </c>
      <c r="AQ453" s="4">
        <v>2.7250000000000001</v>
      </c>
      <c r="AR453" s="4">
        <v>8.6059999999999999</v>
      </c>
      <c r="AS453" s="4">
        <f t="shared" ref="AS453:AS516" si="23">AQ453-AP453</f>
        <v>0.55100000000000016</v>
      </c>
      <c r="AT453" s="3">
        <v>44582</v>
      </c>
      <c r="AU453" s="4">
        <v>740410</v>
      </c>
      <c r="AV453" s="3">
        <v>44586</v>
      </c>
      <c r="AW453" s="4">
        <v>93172320</v>
      </c>
      <c r="AX453" s="4">
        <v>9929202</v>
      </c>
      <c r="AY453" s="4">
        <v>23643936</v>
      </c>
      <c r="AZ453" s="4">
        <v>130719949</v>
      </c>
      <c r="BA453" s="4">
        <v>148196410</v>
      </c>
      <c r="BB453" s="3">
        <v>44582</v>
      </c>
      <c r="BC453" s="4">
        <v>867591</v>
      </c>
    </row>
    <row r="454" spans="22:55" hidden="1">
      <c r="V454" s="3"/>
      <c r="AN454" s="3">
        <v>44585</v>
      </c>
      <c r="AO454" s="4">
        <v>1.46</v>
      </c>
      <c r="AP454" s="4">
        <v>2.1120000000000001</v>
      </c>
      <c r="AQ454" s="4">
        <v>2.6749999999999998</v>
      </c>
      <c r="AR454" s="4">
        <v>8.5589999999999993</v>
      </c>
      <c r="AS454" s="4">
        <f t="shared" si="23"/>
        <v>0.56299999999999972</v>
      </c>
      <c r="AT454" s="3">
        <v>44581</v>
      </c>
      <c r="AU454" s="4">
        <v>538056</v>
      </c>
      <c r="AV454" s="3">
        <v>44585</v>
      </c>
      <c r="AW454" s="4">
        <v>94023209</v>
      </c>
      <c r="AX454" s="4">
        <v>9893441</v>
      </c>
      <c r="AY454" s="4">
        <v>23587041</v>
      </c>
      <c r="AZ454" s="4">
        <v>130937190</v>
      </c>
      <c r="BA454" s="4">
        <v>144430174</v>
      </c>
      <c r="BB454" s="3">
        <v>44581</v>
      </c>
      <c r="BC454" s="4">
        <v>759336</v>
      </c>
    </row>
    <row r="455" spans="22:55" hidden="1">
      <c r="AN455" s="3">
        <v>44582</v>
      </c>
      <c r="AO455" s="4">
        <v>1.46</v>
      </c>
      <c r="AP455" s="4">
        <v>2.1320000000000001</v>
      </c>
      <c r="AQ455" s="4">
        <v>2.6930000000000001</v>
      </c>
      <c r="AR455" s="4">
        <v>8.577</v>
      </c>
      <c r="AS455" s="4">
        <f t="shared" si="23"/>
        <v>0.56099999999999994</v>
      </c>
      <c r="AT455" s="3">
        <v>44580</v>
      </c>
      <c r="AU455" s="4">
        <v>540200</v>
      </c>
      <c r="AV455" s="3">
        <v>44582</v>
      </c>
      <c r="AW455" s="4">
        <v>94472986</v>
      </c>
      <c r="AX455" s="4">
        <v>9844969</v>
      </c>
      <c r="AY455" s="4">
        <v>23524241</v>
      </c>
      <c r="AZ455" s="4">
        <v>130990764</v>
      </c>
      <c r="BA455" s="4">
        <v>139600928</v>
      </c>
      <c r="BB455" s="3">
        <v>44580</v>
      </c>
      <c r="BC455" s="4">
        <v>788168</v>
      </c>
    </row>
    <row r="456" spans="22:55" hidden="1">
      <c r="AN456" s="3">
        <v>44581</v>
      </c>
      <c r="AO456" s="4">
        <v>1.46</v>
      </c>
      <c r="AP456" s="4">
        <v>2.1190000000000002</v>
      </c>
      <c r="AQ456" s="4">
        <v>2.6840000000000002</v>
      </c>
      <c r="AR456" s="4">
        <v>8.5660000000000007</v>
      </c>
      <c r="AS456" s="4">
        <f t="shared" si="23"/>
        <v>0.56499999999999995</v>
      </c>
      <c r="AT456" s="3">
        <v>44579</v>
      </c>
      <c r="AU456" s="4">
        <v>703863</v>
      </c>
      <c r="AV456" s="3">
        <v>44581</v>
      </c>
      <c r="AW456" s="4">
        <v>94906299</v>
      </c>
      <c r="AX456" s="4">
        <v>9851620</v>
      </c>
      <c r="AY456" s="4">
        <v>23505537</v>
      </c>
      <c r="AZ456" s="4">
        <v>131044979</v>
      </c>
      <c r="BA456" s="4">
        <v>139236322</v>
      </c>
      <c r="BB456" s="3">
        <v>44579</v>
      </c>
      <c r="BC456" s="4">
        <v>868467</v>
      </c>
    </row>
    <row r="457" spans="22:55" hidden="1">
      <c r="AN457" s="3">
        <v>44580</v>
      </c>
      <c r="AO457" s="4">
        <v>1.46</v>
      </c>
      <c r="AP457" s="4">
        <v>2.073</v>
      </c>
      <c r="AQ457" s="4">
        <v>2.645</v>
      </c>
      <c r="AR457" s="4">
        <v>8.5259999999999998</v>
      </c>
      <c r="AS457" s="4">
        <f t="shared" si="23"/>
        <v>0.57200000000000006</v>
      </c>
      <c r="AT457" s="3">
        <v>44578</v>
      </c>
      <c r="AU457" s="4">
        <v>742589</v>
      </c>
      <c r="AV457" s="3">
        <v>44580</v>
      </c>
      <c r="AW457" s="4">
        <v>94499609</v>
      </c>
      <c r="AX457" s="4">
        <v>9844204</v>
      </c>
      <c r="AY457" s="4">
        <v>23490591</v>
      </c>
      <c r="AZ457" s="4">
        <v>130953008</v>
      </c>
      <c r="BA457" s="4">
        <v>147284771</v>
      </c>
      <c r="BB457" s="3">
        <v>44578</v>
      </c>
      <c r="BC457" s="4">
        <v>910904</v>
      </c>
    </row>
    <row r="458" spans="22:55" hidden="1">
      <c r="AN458" s="3">
        <v>44579</v>
      </c>
      <c r="AO458" s="4">
        <v>1.45</v>
      </c>
      <c r="AP458" s="4">
        <v>2.1269999999999998</v>
      </c>
      <c r="AQ458" s="4">
        <v>2.6850000000000001</v>
      </c>
      <c r="AR458" s="4">
        <v>8.5649999999999995</v>
      </c>
      <c r="AS458" s="4">
        <f t="shared" si="23"/>
        <v>0.55800000000000027</v>
      </c>
      <c r="AT458" s="3">
        <v>44575</v>
      </c>
      <c r="AU458" s="4">
        <v>653401</v>
      </c>
      <c r="AV458" s="3">
        <v>44579</v>
      </c>
      <c r="AW458" s="4">
        <v>94940233</v>
      </c>
      <c r="AX458" s="4">
        <v>9847330</v>
      </c>
      <c r="AY458" s="4">
        <v>23469399</v>
      </c>
      <c r="AZ458" s="4">
        <v>130803323</v>
      </c>
      <c r="BA458" s="4">
        <v>154802374</v>
      </c>
      <c r="BB458" s="3">
        <v>44575</v>
      </c>
      <c r="BC458" s="4">
        <v>906401</v>
      </c>
    </row>
    <row r="459" spans="22:55" hidden="1">
      <c r="AN459" s="3">
        <v>44578</v>
      </c>
      <c r="AO459" s="4">
        <v>1.44</v>
      </c>
      <c r="AP459" s="4">
        <v>2.1480000000000001</v>
      </c>
      <c r="AQ459" s="4">
        <v>2.6989999999999998</v>
      </c>
      <c r="AR459" s="4">
        <v>8.5790000000000006</v>
      </c>
      <c r="AS459" s="4">
        <f t="shared" si="23"/>
        <v>0.55099999999999971</v>
      </c>
      <c r="AT459" s="3">
        <v>44574</v>
      </c>
      <c r="AU459" s="4">
        <v>640954</v>
      </c>
      <c r="AV459" s="3">
        <v>44578</v>
      </c>
      <c r="AW459" s="4">
        <v>95143342</v>
      </c>
      <c r="AX459" s="4">
        <v>9859263</v>
      </c>
      <c r="AY459" s="4">
        <v>23443562</v>
      </c>
      <c r="AZ459" s="4">
        <v>130694074</v>
      </c>
      <c r="BA459" s="4">
        <v>158025013</v>
      </c>
      <c r="BB459" s="3">
        <v>44574</v>
      </c>
      <c r="BC459" s="4">
        <v>899211</v>
      </c>
    </row>
    <row r="460" spans="22:55" hidden="1">
      <c r="AN460" s="3">
        <v>44575</v>
      </c>
      <c r="AO460" s="4">
        <v>1.43</v>
      </c>
      <c r="AP460" s="4">
        <v>2.044</v>
      </c>
      <c r="AQ460" s="4">
        <v>2.6</v>
      </c>
      <c r="AR460" s="4">
        <v>8.484</v>
      </c>
      <c r="AS460" s="4">
        <f t="shared" si="23"/>
        <v>0.55600000000000005</v>
      </c>
      <c r="AT460" s="3">
        <v>44573</v>
      </c>
      <c r="AU460" s="4">
        <v>646033</v>
      </c>
      <c r="AV460" s="3">
        <v>44575</v>
      </c>
      <c r="AW460" s="4">
        <v>95156237</v>
      </c>
      <c r="AX460" s="4">
        <v>9889464</v>
      </c>
      <c r="AY460" s="4">
        <v>23604464</v>
      </c>
      <c r="AZ460" s="4">
        <v>130786430</v>
      </c>
      <c r="BA460" s="4">
        <v>160011397</v>
      </c>
      <c r="BB460" s="3">
        <v>44573</v>
      </c>
      <c r="BC460" s="4">
        <v>899634</v>
      </c>
    </row>
    <row r="461" spans="22:55" hidden="1">
      <c r="AN461" s="3">
        <v>44574</v>
      </c>
      <c r="AO461" s="4">
        <v>1.35</v>
      </c>
      <c r="AP461" s="4">
        <v>1.9530000000000001</v>
      </c>
      <c r="AQ461" s="4">
        <v>2.5369999999999999</v>
      </c>
      <c r="AR461" s="4">
        <v>8.4090000000000007</v>
      </c>
      <c r="AS461" s="4">
        <f t="shared" si="23"/>
        <v>0.58399999999999985</v>
      </c>
      <c r="AT461" s="3">
        <v>44572</v>
      </c>
      <c r="AU461" s="4">
        <v>646643</v>
      </c>
      <c r="AV461" s="3">
        <v>44574</v>
      </c>
      <c r="AW461" s="4">
        <v>95808890</v>
      </c>
      <c r="AX461" s="4">
        <v>9889742</v>
      </c>
      <c r="AY461" s="4">
        <v>23605561</v>
      </c>
      <c r="AZ461" s="4">
        <v>130910421</v>
      </c>
      <c r="BA461" s="4">
        <v>158668163</v>
      </c>
      <c r="BB461" s="3">
        <v>44572</v>
      </c>
      <c r="BC461" s="4">
        <v>903930</v>
      </c>
    </row>
    <row r="462" spans="22:55" hidden="1">
      <c r="AN462" s="3">
        <v>44573</v>
      </c>
      <c r="AO462" s="4">
        <v>1.31</v>
      </c>
      <c r="AP462" s="4">
        <v>1.998</v>
      </c>
      <c r="AQ462" s="4">
        <v>2.5760000000000001</v>
      </c>
      <c r="AR462" s="4">
        <v>8.4469999999999992</v>
      </c>
      <c r="AS462" s="4">
        <f t="shared" si="23"/>
        <v>0.57800000000000007</v>
      </c>
      <c r="AT462" s="3">
        <v>44571</v>
      </c>
      <c r="AU462" s="4">
        <v>644325</v>
      </c>
      <c r="AV462" s="3">
        <v>44573</v>
      </c>
      <c r="AW462" s="4">
        <v>95878158</v>
      </c>
      <c r="AX462" s="4">
        <v>9891142</v>
      </c>
      <c r="AY462" s="4">
        <v>23586048</v>
      </c>
      <c r="AZ462" s="4">
        <v>130908983</v>
      </c>
      <c r="BA462" s="4">
        <v>155991913</v>
      </c>
      <c r="BB462" s="3">
        <v>44571</v>
      </c>
      <c r="BC462" s="4">
        <v>906008</v>
      </c>
    </row>
    <row r="463" spans="22:55" hidden="1">
      <c r="AN463" s="3">
        <v>44572</v>
      </c>
      <c r="AO463" s="4">
        <v>1.3</v>
      </c>
      <c r="AP463" s="4">
        <v>2.0379999999999998</v>
      </c>
      <c r="AQ463" s="4">
        <v>2.6110000000000002</v>
      </c>
      <c r="AR463" s="4">
        <v>8.48</v>
      </c>
      <c r="AS463" s="4">
        <f t="shared" si="23"/>
        <v>0.5730000000000004</v>
      </c>
      <c r="AT463" s="3">
        <v>44568</v>
      </c>
      <c r="AU463" s="4">
        <v>652047</v>
      </c>
      <c r="AV463" s="3">
        <v>44572</v>
      </c>
      <c r="AW463" s="4">
        <v>94980598</v>
      </c>
      <c r="AX463" s="4">
        <v>9889536</v>
      </c>
      <c r="AY463" s="4">
        <v>23561196</v>
      </c>
      <c r="AZ463" s="4">
        <v>130788026</v>
      </c>
      <c r="BA463" s="4">
        <v>155915707</v>
      </c>
      <c r="BB463" s="3">
        <v>44568</v>
      </c>
      <c r="BC463" s="4">
        <v>906060</v>
      </c>
    </row>
    <row r="464" spans="22:55" hidden="1">
      <c r="AN464" s="3">
        <v>44571</v>
      </c>
      <c r="AO464" s="4">
        <v>1.3</v>
      </c>
      <c r="AP464" s="4">
        <v>2.0579999999999998</v>
      </c>
      <c r="AQ464" s="4">
        <v>2.6240000000000001</v>
      </c>
      <c r="AR464" s="4">
        <v>8.4930000000000003</v>
      </c>
      <c r="AS464" s="4">
        <f t="shared" si="23"/>
        <v>0.56600000000000028</v>
      </c>
      <c r="AT464" s="3">
        <v>44567</v>
      </c>
      <c r="AU464" s="4">
        <v>673564</v>
      </c>
      <c r="AV464" s="3">
        <v>44571</v>
      </c>
      <c r="AW464" s="4">
        <v>94937325</v>
      </c>
      <c r="AX464" s="4">
        <v>9889358</v>
      </c>
      <c r="AY464" s="4">
        <v>23430293</v>
      </c>
      <c r="AZ464" s="4">
        <v>130953042</v>
      </c>
      <c r="BA464" s="4">
        <v>155815818</v>
      </c>
      <c r="BB464" s="3">
        <v>44567</v>
      </c>
      <c r="BC464" s="4">
        <v>903622</v>
      </c>
    </row>
    <row r="465" spans="40:55" hidden="1">
      <c r="AN465" s="3">
        <v>44568</v>
      </c>
      <c r="AO465" s="4">
        <v>1.3</v>
      </c>
      <c r="AP465" s="4">
        <v>2.0150000000000001</v>
      </c>
      <c r="AQ465" s="4">
        <v>2.593</v>
      </c>
      <c r="AR465" s="4">
        <v>8.4640000000000004</v>
      </c>
      <c r="AS465" s="4">
        <f t="shared" si="23"/>
        <v>0.57799999999999985</v>
      </c>
      <c r="AT465" s="3">
        <v>44566</v>
      </c>
      <c r="AU465" s="4">
        <v>689861</v>
      </c>
      <c r="AV465" s="3">
        <v>44568</v>
      </c>
      <c r="AW465" s="4">
        <v>95234915</v>
      </c>
      <c r="AX465" s="4">
        <v>9760505</v>
      </c>
      <c r="AY465" s="4">
        <v>22812854</v>
      </c>
      <c r="AZ465" s="4">
        <v>131004042</v>
      </c>
      <c r="BA465" s="4">
        <v>156982709</v>
      </c>
      <c r="BB465" s="3">
        <v>44566</v>
      </c>
      <c r="BC465" s="4">
        <v>900182</v>
      </c>
    </row>
    <row r="466" spans="40:55" hidden="1">
      <c r="AN466" s="3">
        <v>44567</v>
      </c>
      <c r="AO466" s="4">
        <v>1.3</v>
      </c>
      <c r="AP466" s="4">
        <v>2.0129999999999999</v>
      </c>
      <c r="AQ466" s="4">
        <v>2.59</v>
      </c>
      <c r="AR466" s="4">
        <v>8.4619999999999997</v>
      </c>
      <c r="AS466" s="4">
        <f t="shared" si="23"/>
        <v>0.57699999999999996</v>
      </c>
      <c r="AT466" s="3">
        <v>44565</v>
      </c>
      <c r="AU466" s="4">
        <v>665702</v>
      </c>
      <c r="AV466" s="3">
        <v>44567</v>
      </c>
      <c r="AW466" s="4">
        <v>94698522</v>
      </c>
      <c r="AX466" s="4">
        <v>9778796</v>
      </c>
      <c r="AY466" s="4">
        <v>22535134</v>
      </c>
      <c r="AZ466" s="4">
        <v>131212715</v>
      </c>
      <c r="BA466" s="4">
        <v>155969112</v>
      </c>
      <c r="BB466" s="3">
        <v>44565</v>
      </c>
      <c r="BC466" s="4">
        <v>898707</v>
      </c>
    </row>
    <row r="467" spans="40:55" hidden="1">
      <c r="AN467" s="3">
        <v>44566</v>
      </c>
      <c r="AO467" s="4">
        <v>1.3</v>
      </c>
      <c r="AP467" s="4">
        <v>1.913</v>
      </c>
      <c r="AQ467" s="4">
        <v>2.5059999999999998</v>
      </c>
      <c r="AR467" s="4">
        <v>8.3680000000000003</v>
      </c>
      <c r="AS467" s="4">
        <f t="shared" si="23"/>
        <v>0.59299999999999975</v>
      </c>
      <c r="AT467" s="3">
        <v>44564</v>
      </c>
      <c r="AU467" s="4">
        <v>717328</v>
      </c>
      <c r="AV467" s="3">
        <v>44566</v>
      </c>
      <c r="AW467" s="4">
        <v>95282198</v>
      </c>
      <c r="AX467" s="4">
        <v>9716375</v>
      </c>
      <c r="AY467" s="4">
        <v>22251110</v>
      </c>
      <c r="AZ467" s="4">
        <v>130807858</v>
      </c>
      <c r="BA467" s="4">
        <v>153549077</v>
      </c>
      <c r="BB467" s="3">
        <v>44564</v>
      </c>
      <c r="BC467" s="4">
        <v>875156</v>
      </c>
    </row>
    <row r="468" spans="40:55" hidden="1">
      <c r="AN468" s="3">
        <v>44565</v>
      </c>
      <c r="AO468" s="4">
        <v>1.3</v>
      </c>
      <c r="AP468" s="4">
        <v>1.8680000000000001</v>
      </c>
      <c r="AQ468" s="4">
        <v>2.4740000000000002</v>
      </c>
      <c r="AR468" s="4">
        <v>8.3330000000000002</v>
      </c>
      <c r="AS468" s="4">
        <f t="shared" si="23"/>
        <v>0.60600000000000009</v>
      </c>
      <c r="AT468" s="3">
        <v>44561</v>
      </c>
      <c r="AU468" s="4">
        <v>675307</v>
      </c>
      <c r="AV468" s="3">
        <v>44565</v>
      </c>
      <c r="AW468" s="4">
        <v>95865372</v>
      </c>
      <c r="AX468" s="4">
        <v>9684028</v>
      </c>
      <c r="AY468" s="4">
        <v>21943864</v>
      </c>
      <c r="AZ468" s="4">
        <v>130787181</v>
      </c>
      <c r="BA468" s="4">
        <v>147242406</v>
      </c>
      <c r="BB468" s="3">
        <v>44561</v>
      </c>
      <c r="BC468" s="4">
        <v>833962</v>
      </c>
    </row>
    <row r="469" spans="40:55" hidden="1">
      <c r="AN469" s="3">
        <v>44564</v>
      </c>
      <c r="AO469" s="4">
        <v>1.3</v>
      </c>
      <c r="AP469" s="4">
        <v>1.855</v>
      </c>
      <c r="AQ469" s="4">
        <v>2.46</v>
      </c>
      <c r="AR469" s="4">
        <v>8.3160000000000007</v>
      </c>
      <c r="AS469" s="4">
        <f t="shared" si="23"/>
        <v>0.60499999999999998</v>
      </c>
      <c r="AT469" s="3">
        <v>44560</v>
      </c>
      <c r="AU469" s="4">
        <v>696535</v>
      </c>
      <c r="AV469" s="3">
        <v>44564</v>
      </c>
      <c r="AW469" s="4">
        <v>95735251</v>
      </c>
      <c r="AX469" s="4">
        <v>9679665</v>
      </c>
      <c r="AY469" s="4">
        <v>21694868</v>
      </c>
      <c r="AZ469" s="4">
        <v>130167207</v>
      </c>
      <c r="BA469" s="4">
        <v>136633140</v>
      </c>
      <c r="BB469" s="3">
        <v>44560</v>
      </c>
      <c r="BC469" s="4">
        <v>884378</v>
      </c>
    </row>
    <row r="470" spans="40:55" hidden="1">
      <c r="AN470" s="3">
        <v>44560</v>
      </c>
      <c r="AO470" s="4">
        <v>1.29</v>
      </c>
      <c r="AP470" s="4">
        <v>1.7989999999999999</v>
      </c>
      <c r="AQ470" s="4">
        <v>2.4169999999999998</v>
      </c>
      <c r="AR470" s="4">
        <v>8.27</v>
      </c>
      <c r="AS470" s="4">
        <f t="shared" si="23"/>
        <v>0.61799999999999988</v>
      </c>
      <c r="AT470" s="3">
        <v>44559</v>
      </c>
      <c r="AU470" s="4">
        <v>680015</v>
      </c>
      <c r="AV470" s="3">
        <v>44561</v>
      </c>
      <c r="AW470" s="4">
        <v>95945079</v>
      </c>
      <c r="AX470" s="4">
        <v>9660357</v>
      </c>
      <c r="AY470" s="4">
        <v>21624688</v>
      </c>
      <c r="AZ470" s="4">
        <v>130091197</v>
      </c>
      <c r="BA470" s="4">
        <v>135514829</v>
      </c>
      <c r="BB470" s="3">
        <v>44559</v>
      </c>
      <c r="BC470" s="4">
        <v>905815</v>
      </c>
    </row>
    <row r="471" spans="40:55" hidden="1">
      <c r="AN471" s="3">
        <v>44559</v>
      </c>
      <c r="AO471" s="4">
        <v>1.28</v>
      </c>
      <c r="AP471" s="4">
        <v>1.7829999999999999</v>
      </c>
      <c r="AQ471" s="4">
        <v>2.4089999999999998</v>
      </c>
      <c r="AR471" s="4">
        <v>8.2609999999999992</v>
      </c>
      <c r="AS471" s="4">
        <f t="shared" si="23"/>
        <v>0.62599999999999989</v>
      </c>
      <c r="AT471" s="3">
        <v>44558</v>
      </c>
      <c r="AU471" s="4">
        <v>662010</v>
      </c>
      <c r="AV471" s="3">
        <v>44560</v>
      </c>
      <c r="AW471" s="4">
        <v>95901075</v>
      </c>
      <c r="AX471" s="4">
        <v>9654705</v>
      </c>
      <c r="AY471" s="4">
        <v>21587269</v>
      </c>
      <c r="AZ471" s="4">
        <v>129900806</v>
      </c>
      <c r="BA471" s="4">
        <v>137985874</v>
      </c>
      <c r="BB471" s="3">
        <v>44558</v>
      </c>
      <c r="BC471" s="4">
        <v>914322</v>
      </c>
    </row>
    <row r="472" spans="40:55" hidden="1">
      <c r="AN472" s="3">
        <v>44558</v>
      </c>
      <c r="AO472" s="4">
        <v>1.28</v>
      </c>
      <c r="AP472" s="4">
        <v>1.786</v>
      </c>
      <c r="AQ472" s="4">
        <v>2.4169999999999998</v>
      </c>
      <c r="AR472" s="4">
        <v>8.2680000000000007</v>
      </c>
      <c r="AS472" s="4">
        <f t="shared" si="23"/>
        <v>0.63099999999999978</v>
      </c>
      <c r="AT472" s="3">
        <v>44557</v>
      </c>
      <c r="AU472" s="4">
        <v>644713</v>
      </c>
      <c r="AV472" s="3">
        <v>44559</v>
      </c>
      <c r="AW472" s="4">
        <v>95993271</v>
      </c>
      <c r="AX472" s="4">
        <v>9649446</v>
      </c>
      <c r="AY472" s="4">
        <v>21582761</v>
      </c>
      <c r="AZ472" s="4">
        <v>129792537</v>
      </c>
      <c r="BA472" s="4">
        <v>148440455</v>
      </c>
      <c r="BB472" s="3">
        <v>44557</v>
      </c>
      <c r="BC472" s="4">
        <v>918371</v>
      </c>
    </row>
    <row r="473" spans="40:55" hidden="1">
      <c r="AN473" s="3">
        <v>44557</v>
      </c>
      <c r="AO473" s="4">
        <v>1.28</v>
      </c>
      <c r="AP473" s="4">
        <v>1.776</v>
      </c>
      <c r="AQ473" s="4">
        <v>2.411</v>
      </c>
      <c r="AR473" s="4">
        <v>8.2609999999999992</v>
      </c>
      <c r="AS473" s="4">
        <f t="shared" si="23"/>
        <v>0.63500000000000001</v>
      </c>
      <c r="AT473" s="3">
        <v>44554</v>
      </c>
      <c r="AU473" s="4">
        <v>627758</v>
      </c>
      <c r="AV473" s="3">
        <v>44558</v>
      </c>
      <c r="AW473" s="4">
        <v>95716912</v>
      </c>
      <c r="AX473" s="4">
        <v>9661115</v>
      </c>
      <c r="AY473" s="4">
        <v>21600177</v>
      </c>
      <c r="AZ473" s="4">
        <v>130116977</v>
      </c>
      <c r="BA473" s="4">
        <v>154062291</v>
      </c>
      <c r="BB473" s="3">
        <v>44554</v>
      </c>
      <c r="BC473" s="4">
        <v>924599</v>
      </c>
    </row>
    <row r="474" spans="40:55" hidden="1">
      <c r="AN474" s="3">
        <v>44554</v>
      </c>
      <c r="AO474" s="4">
        <v>1.27</v>
      </c>
      <c r="AP474" s="4">
        <v>1.798</v>
      </c>
      <c r="AQ474" s="4">
        <v>2.4380000000000002</v>
      </c>
      <c r="AR474" s="4">
        <v>8.2840000000000007</v>
      </c>
      <c r="AS474" s="4">
        <f t="shared" si="23"/>
        <v>0.64000000000000012</v>
      </c>
      <c r="AT474" s="3">
        <v>44553</v>
      </c>
      <c r="AU474" s="4">
        <v>633463</v>
      </c>
      <c r="AV474" s="3">
        <v>44557</v>
      </c>
      <c r="AW474" s="4">
        <v>94815427</v>
      </c>
      <c r="AX474" s="4">
        <v>9662023</v>
      </c>
      <c r="AY474" s="4">
        <v>21609385</v>
      </c>
      <c r="AZ474" s="4">
        <v>129999611</v>
      </c>
      <c r="BA474" s="4">
        <v>153551066</v>
      </c>
      <c r="BB474" s="3">
        <v>44553</v>
      </c>
      <c r="BC474" s="4">
        <v>922769</v>
      </c>
    </row>
    <row r="475" spans="40:55" hidden="1">
      <c r="AN475" s="3">
        <v>44553</v>
      </c>
      <c r="AO475" s="4">
        <v>1.27</v>
      </c>
      <c r="AP475" s="4">
        <v>1.8049999999999999</v>
      </c>
      <c r="AQ475" s="4">
        <v>2.4409999999999998</v>
      </c>
      <c r="AR475" s="4">
        <v>8.2899999999999991</v>
      </c>
      <c r="AS475" s="4">
        <f t="shared" si="23"/>
        <v>0.6359999999999999</v>
      </c>
      <c r="AT475" s="3">
        <v>44552</v>
      </c>
      <c r="AU475" s="4">
        <v>622037</v>
      </c>
      <c r="AV475" s="3">
        <v>44554</v>
      </c>
      <c r="AW475" s="4">
        <v>94687015</v>
      </c>
      <c r="AX475" s="4">
        <v>9664000</v>
      </c>
      <c r="AY475" s="4">
        <v>21638504</v>
      </c>
      <c r="AZ475" s="4">
        <v>130116153</v>
      </c>
      <c r="BA475" s="4">
        <v>155394934</v>
      </c>
      <c r="BB475" s="3">
        <v>44552</v>
      </c>
      <c r="BC475" s="4">
        <v>919211</v>
      </c>
    </row>
    <row r="476" spans="40:55" hidden="1">
      <c r="AN476" s="3">
        <v>44552</v>
      </c>
      <c r="AO476" s="4">
        <v>1.27</v>
      </c>
      <c r="AP476" s="4">
        <v>1.7569999999999999</v>
      </c>
      <c r="AQ476" s="4">
        <v>2.3919999999999999</v>
      </c>
      <c r="AR476" s="4">
        <v>8.2430000000000003</v>
      </c>
      <c r="AS476" s="4">
        <f t="shared" si="23"/>
        <v>0.63500000000000001</v>
      </c>
      <c r="AT476" s="3">
        <v>44551</v>
      </c>
      <c r="AU476" s="4">
        <v>634766</v>
      </c>
      <c r="AV476" s="3">
        <v>44553</v>
      </c>
      <c r="AW476" s="4">
        <v>94315763</v>
      </c>
      <c r="AX476" s="4">
        <v>9663871</v>
      </c>
      <c r="AY476" s="4">
        <v>21658943</v>
      </c>
      <c r="AZ476" s="4">
        <v>129953948</v>
      </c>
      <c r="BA476" s="4">
        <v>155395062</v>
      </c>
      <c r="BB476" s="3">
        <v>44551</v>
      </c>
      <c r="BC476" s="4">
        <v>920933</v>
      </c>
    </row>
    <row r="477" spans="40:55" hidden="1">
      <c r="AN477" s="3">
        <v>44551</v>
      </c>
      <c r="AO477" s="4">
        <v>1.27</v>
      </c>
      <c r="AP477" s="4">
        <v>1.72</v>
      </c>
      <c r="AQ477" s="4">
        <v>2.355</v>
      </c>
      <c r="AR477" s="4">
        <v>8.2080000000000002</v>
      </c>
      <c r="AS477" s="4">
        <f t="shared" si="23"/>
        <v>0.63500000000000001</v>
      </c>
      <c r="AT477" s="3">
        <v>44550</v>
      </c>
      <c r="AU477" s="4">
        <v>635190</v>
      </c>
      <c r="AV477" s="3">
        <v>44552</v>
      </c>
      <c r="AW477" s="4">
        <v>93844040</v>
      </c>
      <c r="AX477" s="4">
        <v>9666137</v>
      </c>
      <c r="AY477" s="4">
        <v>21635506</v>
      </c>
      <c r="AZ477" s="4">
        <v>129879199</v>
      </c>
      <c r="BA477" s="4">
        <v>155974839</v>
      </c>
      <c r="BB477" s="3">
        <v>44550</v>
      </c>
      <c r="BC477" s="4">
        <v>923914</v>
      </c>
    </row>
    <row r="478" spans="40:55" hidden="1">
      <c r="AN478" s="3">
        <v>44550</v>
      </c>
      <c r="AO478" s="4">
        <v>1.27</v>
      </c>
      <c r="AP478" s="4">
        <v>1.74</v>
      </c>
      <c r="AQ478" s="4">
        <v>2.3719999999999999</v>
      </c>
      <c r="AR478" s="4">
        <v>8.2249999999999996</v>
      </c>
      <c r="AS478" s="4">
        <f t="shared" si="23"/>
        <v>0.6319999999999999</v>
      </c>
      <c r="AT478" s="3">
        <v>44547</v>
      </c>
      <c r="AU478" s="4">
        <v>628408</v>
      </c>
      <c r="AV478" s="3">
        <v>44551</v>
      </c>
      <c r="AW478" s="4">
        <v>93298619</v>
      </c>
      <c r="AX478" s="4">
        <v>9682640</v>
      </c>
      <c r="AY478" s="4">
        <v>21638621</v>
      </c>
      <c r="AZ478" s="4">
        <v>129193942</v>
      </c>
      <c r="BA478" s="4">
        <v>154874209</v>
      </c>
      <c r="BB478" s="3">
        <v>44547</v>
      </c>
      <c r="BC478" s="4">
        <v>926543</v>
      </c>
    </row>
    <row r="479" spans="40:55" hidden="1">
      <c r="AN479" s="3">
        <v>44547</v>
      </c>
      <c r="AO479" s="4">
        <v>1.27</v>
      </c>
      <c r="AP479" s="4">
        <v>1.7669999999999999</v>
      </c>
      <c r="AQ479" s="4">
        <v>2.3980000000000001</v>
      </c>
      <c r="AR479" s="4">
        <v>8.2479999999999993</v>
      </c>
      <c r="AS479" s="4">
        <f t="shared" si="23"/>
        <v>0.63100000000000023</v>
      </c>
      <c r="AT479" s="3">
        <v>44546</v>
      </c>
      <c r="AU479" s="4">
        <v>635959</v>
      </c>
      <c r="AV479" s="3">
        <v>44550</v>
      </c>
      <c r="AW479" s="4">
        <v>93127735</v>
      </c>
      <c r="AX479" s="4">
        <v>9656802</v>
      </c>
      <c r="AY479" s="4">
        <v>21602779</v>
      </c>
      <c r="AZ479" s="4">
        <v>128475806</v>
      </c>
      <c r="BA479" s="4">
        <v>154333354</v>
      </c>
      <c r="BB479" s="3">
        <v>44546</v>
      </c>
      <c r="BC479" s="4">
        <v>916939</v>
      </c>
    </row>
    <row r="480" spans="40:55" hidden="1">
      <c r="AN480" s="3">
        <v>44546</v>
      </c>
      <c r="AO480" s="4">
        <v>1.27</v>
      </c>
      <c r="AP480" s="4">
        <v>1.766</v>
      </c>
      <c r="AQ480" s="4">
        <v>2.3980000000000001</v>
      </c>
      <c r="AR480" s="4">
        <v>8.2490000000000006</v>
      </c>
      <c r="AS480" s="4">
        <f t="shared" si="23"/>
        <v>0.63200000000000012</v>
      </c>
      <c r="AT480" s="3">
        <v>44545</v>
      </c>
      <c r="AU480" s="4">
        <v>635622</v>
      </c>
      <c r="AV480" s="3">
        <v>44547</v>
      </c>
      <c r="AW480" s="4">
        <v>93564101</v>
      </c>
      <c r="AX480" s="4">
        <v>9665225</v>
      </c>
      <c r="AY480" s="4">
        <v>21593772</v>
      </c>
      <c r="AZ480" s="4">
        <v>128278520</v>
      </c>
      <c r="BA480" s="4">
        <v>155875257</v>
      </c>
      <c r="BB480" s="3">
        <v>44545</v>
      </c>
      <c r="BC480" s="4">
        <v>915585</v>
      </c>
    </row>
    <row r="481" spans="40:55" hidden="1">
      <c r="AN481" s="3">
        <v>44545</v>
      </c>
      <c r="AO481" s="4">
        <v>1.27</v>
      </c>
      <c r="AP481" s="4">
        <v>1.8080000000000001</v>
      </c>
      <c r="AQ481" s="4">
        <v>2.4300000000000002</v>
      </c>
      <c r="AR481" s="4">
        <v>8.2810000000000006</v>
      </c>
      <c r="AS481" s="4">
        <f t="shared" si="23"/>
        <v>0.62200000000000011</v>
      </c>
      <c r="AT481" s="3">
        <v>44544</v>
      </c>
      <c r="AU481" s="4">
        <v>640625</v>
      </c>
      <c r="AV481" s="3">
        <v>44546</v>
      </c>
      <c r="AW481" s="4">
        <v>93209194</v>
      </c>
      <c r="AX481" s="4">
        <v>9655629</v>
      </c>
      <c r="AY481" s="4">
        <v>21580370</v>
      </c>
      <c r="AZ481" s="4">
        <v>128147461</v>
      </c>
      <c r="BA481" s="4">
        <v>156031101</v>
      </c>
      <c r="BB481" s="3">
        <v>44544</v>
      </c>
      <c r="BC481" s="4">
        <v>919291</v>
      </c>
    </row>
    <row r="482" spans="40:55" hidden="1">
      <c r="AN482" s="3">
        <v>44544</v>
      </c>
      <c r="AO482" s="4">
        <v>1.27</v>
      </c>
      <c r="AP482" s="4">
        <v>1.784</v>
      </c>
      <c r="AQ482" s="4">
        <v>2.4020000000000001</v>
      </c>
      <c r="AR482" s="4">
        <v>8.2539999999999996</v>
      </c>
      <c r="AS482" s="4">
        <f t="shared" si="23"/>
        <v>0.6180000000000001</v>
      </c>
      <c r="AT482" s="3">
        <v>44543</v>
      </c>
      <c r="AU482" s="4">
        <v>644773</v>
      </c>
      <c r="AV482" s="3">
        <v>44545</v>
      </c>
      <c r="AW482" s="4">
        <v>92404433</v>
      </c>
      <c r="AX482" s="4">
        <v>9672199</v>
      </c>
      <c r="AY482" s="4">
        <v>21583701</v>
      </c>
      <c r="AZ482" s="4">
        <v>127856237</v>
      </c>
      <c r="BA482" s="4">
        <v>154037031</v>
      </c>
      <c r="BB482" s="3">
        <v>44543</v>
      </c>
      <c r="BC482" s="4">
        <v>917368</v>
      </c>
    </row>
    <row r="483" spans="40:55" hidden="1">
      <c r="AN483" s="3">
        <v>44543</v>
      </c>
      <c r="AO483" s="4">
        <v>1.27</v>
      </c>
      <c r="AP483" s="4">
        <v>1.79</v>
      </c>
      <c r="AQ483" s="4">
        <v>2.4020000000000001</v>
      </c>
      <c r="AR483" s="4">
        <v>8.2530000000000001</v>
      </c>
      <c r="AS483" s="4">
        <f t="shared" si="23"/>
        <v>0.6120000000000001</v>
      </c>
      <c r="AT483" s="3">
        <v>44540</v>
      </c>
      <c r="AU483" s="4">
        <v>635284</v>
      </c>
      <c r="AV483" s="3">
        <v>44544</v>
      </c>
      <c r="AW483" s="4">
        <v>92081469</v>
      </c>
      <c r="AX483" s="4">
        <v>9668135</v>
      </c>
      <c r="AY483" s="4">
        <v>21565958</v>
      </c>
      <c r="AZ483" s="4">
        <v>127891647</v>
      </c>
      <c r="BA483" s="4">
        <v>151736085</v>
      </c>
      <c r="BB483" s="3">
        <v>44540</v>
      </c>
      <c r="BC483" s="4">
        <v>914520</v>
      </c>
    </row>
    <row r="484" spans="40:55" hidden="1">
      <c r="AN484" s="3">
        <v>44540</v>
      </c>
      <c r="AO484" s="4">
        <v>1.27</v>
      </c>
      <c r="AP484" s="4">
        <v>1.8049999999999999</v>
      </c>
      <c r="AQ484" s="4">
        <v>2.399</v>
      </c>
      <c r="AR484" s="4">
        <v>8.2550000000000008</v>
      </c>
      <c r="AS484" s="4">
        <f t="shared" si="23"/>
        <v>0.59400000000000008</v>
      </c>
      <c r="AT484" s="3">
        <v>44539</v>
      </c>
      <c r="AU484" s="4">
        <v>635484</v>
      </c>
      <c r="AV484" s="3">
        <v>44543</v>
      </c>
      <c r="AW484" s="4">
        <v>92384696</v>
      </c>
      <c r="AX484" s="4">
        <v>9667382</v>
      </c>
      <c r="AY484" s="4">
        <v>21516634</v>
      </c>
      <c r="AZ484" s="4">
        <v>127757401</v>
      </c>
      <c r="BA484" s="4">
        <v>149511738</v>
      </c>
      <c r="BB484" s="3">
        <v>44539</v>
      </c>
      <c r="BC484" s="4">
        <v>922654</v>
      </c>
    </row>
    <row r="485" spans="40:55" hidden="1">
      <c r="AN485" s="3">
        <v>44539</v>
      </c>
      <c r="AO485" s="4">
        <v>1.27</v>
      </c>
      <c r="AP485" s="4">
        <v>1.794</v>
      </c>
      <c r="AQ485" s="4">
        <v>2.3849999999999998</v>
      </c>
      <c r="AR485" s="4">
        <v>8.2409999999999997</v>
      </c>
      <c r="AS485" s="4">
        <f t="shared" si="23"/>
        <v>0.59099999999999975</v>
      </c>
      <c r="AT485" s="3">
        <v>44538</v>
      </c>
      <c r="AU485" s="4">
        <v>630393</v>
      </c>
      <c r="AV485" s="3">
        <v>44540</v>
      </c>
      <c r="AW485" s="4">
        <v>91938025</v>
      </c>
      <c r="AX485" s="4">
        <v>9576600</v>
      </c>
      <c r="AY485" s="4">
        <v>21490203</v>
      </c>
      <c r="AZ485" s="4">
        <v>128094774</v>
      </c>
      <c r="BA485" s="4">
        <v>148095824</v>
      </c>
      <c r="BB485" s="3">
        <v>44538</v>
      </c>
      <c r="BC485" s="4">
        <v>916691</v>
      </c>
    </row>
    <row r="486" spans="40:55" hidden="1">
      <c r="AN486" s="3">
        <v>44538</v>
      </c>
      <c r="AO486" s="4">
        <v>1.27</v>
      </c>
      <c r="AP486" s="4">
        <v>1.831</v>
      </c>
      <c r="AQ486" s="4">
        <v>2.4089999999999998</v>
      </c>
      <c r="AR486" s="4">
        <v>8.266</v>
      </c>
      <c r="AS486" s="4">
        <f t="shared" si="23"/>
        <v>0.57799999999999985</v>
      </c>
      <c r="AT486" s="3">
        <v>44537</v>
      </c>
      <c r="AU486" s="4">
        <v>644556</v>
      </c>
      <c r="AV486" s="3">
        <v>44539</v>
      </c>
      <c r="AW486" s="4">
        <v>92249109</v>
      </c>
      <c r="AX486" s="4">
        <v>9540610</v>
      </c>
      <c r="AY486" s="4">
        <v>21496632</v>
      </c>
      <c r="AZ486" s="4">
        <v>128438358</v>
      </c>
      <c r="BA486" s="4">
        <v>151084443</v>
      </c>
      <c r="BB486" s="3">
        <v>44537</v>
      </c>
      <c r="BC486" s="4">
        <v>916878</v>
      </c>
    </row>
    <row r="487" spans="40:55" hidden="1">
      <c r="AN487" s="3">
        <v>44537</v>
      </c>
      <c r="AO487" s="4">
        <v>1.27</v>
      </c>
      <c r="AP487" s="4">
        <v>1.8720000000000001</v>
      </c>
      <c r="AQ487" s="4">
        <v>2.4460000000000002</v>
      </c>
      <c r="AR487" s="4">
        <v>8.3030000000000008</v>
      </c>
      <c r="AS487" s="4">
        <f t="shared" si="23"/>
        <v>0.57400000000000007</v>
      </c>
      <c r="AT487" s="3">
        <v>44536</v>
      </c>
      <c r="AU487" s="4">
        <v>642789</v>
      </c>
      <c r="AV487" s="3">
        <v>44538</v>
      </c>
      <c r="AW487" s="4">
        <v>92294538</v>
      </c>
      <c r="AX487" s="4">
        <v>9549710</v>
      </c>
      <c r="AY487" s="4">
        <v>21521075</v>
      </c>
      <c r="AZ487" s="4">
        <v>128465514</v>
      </c>
      <c r="BA487" s="4">
        <v>157174116</v>
      </c>
      <c r="BB487" s="3">
        <v>44536</v>
      </c>
      <c r="BC487" s="4">
        <v>924167</v>
      </c>
    </row>
    <row r="488" spans="40:55" hidden="1">
      <c r="AN488" s="3">
        <v>44536</v>
      </c>
      <c r="AO488" s="4">
        <v>1.27</v>
      </c>
      <c r="AP488" s="4">
        <v>1.865</v>
      </c>
      <c r="AQ488" s="4">
        <v>2.4359999999999999</v>
      </c>
      <c r="AR488" s="4">
        <v>8.2929999999999993</v>
      </c>
      <c r="AS488" s="4">
        <f t="shared" si="23"/>
        <v>0.57099999999999995</v>
      </c>
      <c r="AT488" s="3">
        <v>44533</v>
      </c>
      <c r="AU488" s="4">
        <v>642444</v>
      </c>
      <c r="AV488" s="3">
        <v>44537</v>
      </c>
      <c r="AW488" s="4">
        <v>92624885</v>
      </c>
      <c r="AX488" s="4">
        <v>9552729</v>
      </c>
      <c r="AY488" s="4">
        <v>21528711</v>
      </c>
      <c r="AZ488" s="4">
        <v>128283869</v>
      </c>
      <c r="BA488" s="4">
        <v>159199388</v>
      </c>
      <c r="BB488" s="3">
        <v>44533</v>
      </c>
      <c r="BC488" s="4">
        <v>913223</v>
      </c>
    </row>
    <row r="489" spans="40:55" hidden="1">
      <c r="AN489" s="3">
        <v>44533</v>
      </c>
      <c r="AO489" s="4">
        <v>1.27</v>
      </c>
      <c r="AP489" s="4">
        <v>1.9</v>
      </c>
      <c r="AQ489" s="4">
        <v>2.464</v>
      </c>
      <c r="AR489" s="4">
        <v>8.3219999999999992</v>
      </c>
      <c r="AS489" s="4">
        <f t="shared" si="23"/>
        <v>0.56400000000000006</v>
      </c>
      <c r="AT489" s="3">
        <v>44532</v>
      </c>
      <c r="AU489" s="4">
        <v>672797</v>
      </c>
      <c r="AV489" s="3">
        <v>44536</v>
      </c>
      <c r="AW489" s="4">
        <v>92395074</v>
      </c>
      <c r="AX489" s="4">
        <v>9553242</v>
      </c>
      <c r="AY489" s="4">
        <v>21534278</v>
      </c>
      <c r="AZ489" s="4">
        <v>128347810</v>
      </c>
      <c r="BA489" s="4">
        <v>159579269</v>
      </c>
      <c r="BB489" s="3">
        <v>44532</v>
      </c>
      <c r="BC489" s="4">
        <v>920337</v>
      </c>
    </row>
    <row r="490" spans="40:55" hidden="1">
      <c r="AN490" s="3">
        <v>44532</v>
      </c>
      <c r="AO490" s="4">
        <v>1.26</v>
      </c>
      <c r="AP490" s="4">
        <v>1.845</v>
      </c>
      <c r="AQ490" s="4">
        <v>2.4060000000000001</v>
      </c>
      <c r="AR490" s="4">
        <v>8.2669999999999995</v>
      </c>
      <c r="AS490" s="4">
        <f t="shared" si="23"/>
        <v>0.56100000000000017</v>
      </c>
      <c r="AT490" s="3">
        <v>44531</v>
      </c>
      <c r="AU490" s="4">
        <v>673933</v>
      </c>
      <c r="AV490" s="3">
        <v>44533</v>
      </c>
      <c r="AW490" s="4">
        <v>92234084</v>
      </c>
      <c r="AX490" s="4">
        <v>9554057</v>
      </c>
      <c r="AY490" s="4">
        <v>21548403</v>
      </c>
      <c r="AZ490" s="4">
        <v>128597502</v>
      </c>
      <c r="BA490" s="4">
        <v>158450371</v>
      </c>
      <c r="BB490" s="3">
        <v>44531</v>
      </c>
      <c r="BC490" s="4">
        <v>913970</v>
      </c>
    </row>
    <row r="491" spans="40:55" hidden="1">
      <c r="AN491" s="3">
        <v>44531</v>
      </c>
      <c r="AO491" s="4">
        <v>1.26</v>
      </c>
      <c r="AP491" s="4">
        <v>1.8129999999999999</v>
      </c>
      <c r="AQ491" s="4">
        <v>2.3849999999999998</v>
      </c>
      <c r="AR491" s="4">
        <v>8.2439999999999998</v>
      </c>
      <c r="AS491" s="4">
        <f t="shared" si="23"/>
        <v>0.57199999999999984</v>
      </c>
      <c r="AT491" s="3">
        <v>44530</v>
      </c>
      <c r="AU491" s="4">
        <v>659824</v>
      </c>
      <c r="AV491" s="3">
        <v>44532</v>
      </c>
      <c r="AW491" s="4">
        <v>91815196</v>
      </c>
      <c r="AX491" s="4">
        <v>9554024</v>
      </c>
      <c r="AY491" s="4">
        <v>21566307</v>
      </c>
      <c r="AZ491" s="4">
        <v>128263630</v>
      </c>
      <c r="BA491" s="4">
        <v>153552811</v>
      </c>
      <c r="BB491" s="3">
        <v>44530</v>
      </c>
      <c r="BC491" s="4">
        <v>906968</v>
      </c>
    </row>
    <row r="492" spans="40:55" hidden="1">
      <c r="AN492" s="3">
        <v>44530</v>
      </c>
      <c r="AO492" s="4">
        <v>1.26</v>
      </c>
      <c r="AP492" s="4">
        <v>1.7989999999999999</v>
      </c>
      <c r="AQ492" s="4">
        <v>2.3730000000000002</v>
      </c>
      <c r="AR492" s="4">
        <v>8.2319999999999993</v>
      </c>
      <c r="AS492" s="4">
        <f t="shared" si="23"/>
        <v>0.57400000000000029</v>
      </c>
      <c r="AT492" s="3">
        <v>44529</v>
      </c>
      <c r="AU492" s="4">
        <v>670108</v>
      </c>
      <c r="AV492" s="3">
        <v>44531</v>
      </c>
      <c r="AW492" s="4">
        <v>91670168</v>
      </c>
      <c r="AX492" s="4">
        <v>9540484</v>
      </c>
      <c r="AY492" s="4">
        <v>21569802</v>
      </c>
      <c r="AZ492" s="4">
        <v>128335344</v>
      </c>
      <c r="BA492" s="4">
        <v>149375323</v>
      </c>
      <c r="BB492" s="3">
        <v>44529</v>
      </c>
      <c r="BC492" s="4">
        <v>906739</v>
      </c>
    </row>
    <row r="493" spans="40:55" hidden="1">
      <c r="AN493" s="3">
        <v>44529</v>
      </c>
      <c r="AO493" s="4">
        <v>1.25</v>
      </c>
      <c r="AP493" s="4">
        <v>1.8440000000000001</v>
      </c>
      <c r="AQ493" s="4">
        <v>2.4180000000000001</v>
      </c>
      <c r="AR493" s="4">
        <v>8.2729999999999997</v>
      </c>
      <c r="AS493" s="4">
        <f t="shared" si="23"/>
        <v>0.57400000000000007</v>
      </c>
      <c r="AT493" s="3">
        <v>44526</v>
      </c>
      <c r="AU493" s="4">
        <v>649045</v>
      </c>
      <c r="AV493" s="3">
        <v>44530</v>
      </c>
      <c r="AW493" s="4">
        <v>90756791</v>
      </c>
      <c r="AX493" s="4">
        <v>9547071</v>
      </c>
      <c r="AY493" s="4">
        <v>21562595</v>
      </c>
      <c r="AZ493" s="4">
        <v>128602321</v>
      </c>
      <c r="BA493" s="4">
        <v>149130867</v>
      </c>
      <c r="BB493" s="3">
        <v>44526</v>
      </c>
      <c r="BC493" s="4">
        <v>908051</v>
      </c>
    </row>
    <row r="494" spans="40:55" hidden="1">
      <c r="AN494" s="3">
        <v>44526</v>
      </c>
      <c r="AO494" s="4">
        <v>1.25</v>
      </c>
      <c r="AP494" s="4">
        <v>1.863</v>
      </c>
      <c r="AQ494" s="4">
        <v>2.4329999999999998</v>
      </c>
      <c r="AR494" s="4">
        <v>8.2850000000000001</v>
      </c>
      <c r="AS494" s="4">
        <f t="shared" si="23"/>
        <v>0.56999999999999984</v>
      </c>
      <c r="AT494" s="3">
        <v>44525</v>
      </c>
      <c r="AU494" s="4">
        <v>641765</v>
      </c>
      <c r="AV494" s="3">
        <v>44529</v>
      </c>
      <c r="AW494" s="4">
        <v>91253327</v>
      </c>
      <c r="AX494" s="4">
        <v>9533628</v>
      </c>
      <c r="AY494" s="4">
        <v>21491223</v>
      </c>
      <c r="AZ494" s="4">
        <v>128720672</v>
      </c>
      <c r="BA494" s="4">
        <v>152037592</v>
      </c>
      <c r="BB494" s="3">
        <v>44525</v>
      </c>
      <c r="BC494" s="4">
        <v>897458</v>
      </c>
    </row>
    <row r="495" spans="40:55" hidden="1">
      <c r="AN495" s="3">
        <v>44525</v>
      </c>
      <c r="AO495" s="4">
        <v>1.25</v>
      </c>
      <c r="AP495" s="4">
        <v>1.9330000000000001</v>
      </c>
      <c r="AQ495" s="4">
        <v>2.4990000000000001</v>
      </c>
      <c r="AR495" s="4">
        <v>8.359</v>
      </c>
      <c r="AS495" s="4">
        <f t="shared" si="23"/>
        <v>0.56600000000000006</v>
      </c>
      <c r="AT495" s="3">
        <v>44524</v>
      </c>
      <c r="AU495" s="4">
        <v>646700</v>
      </c>
      <c r="AV495" s="3">
        <v>44526</v>
      </c>
      <c r="AW495" s="4">
        <v>91652775</v>
      </c>
      <c r="AX495" s="4">
        <v>9523865</v>
      </c>
      <c r="AY495" s="4">
        <v>21484058</v>
      </c>
      <c r="AZ495" s="4">
        <v>128771442</v>
      </c>
      <c r="BA495" s="4">
        <v>151699856</v>
      </c>
      <c r="BB495" s="3">
        <v>44524</v>
      </c>
      <c r="BC495" s="4">
        <v>904035</v>
      </c>
    </row>
    <row r="496" spans="40:55" hidden="1">
      <c r="AN496" s="3">
        <v>44524</v>
      </c>
      <c r="AO496" s="4">
        <v>1.2</v>
      </c>
      <c r="AP496" s="4">
        <v>2.0129999999999999</v>
      </c>
      <c r="AQ496" s="4">
        <v>2.569</v>
      </c>
      <c r="AR496" s="4">
        <v>8.43</v>
      </c>
      <c r="AS496" s="4">
        <f t="shared" si="23"/>
        <v>0.55600000000000005</v>
      </c>
      <c r="AT496" s="3">
        <v>44523</v>
      </c>
      <c r="AU496" s="4">
        <v>652454</v>
      </c>
      <c r="AV496" s="3">
        <v>44525</v>
      </c>
      <c r="AW496" s="4">
        <v>91953749</v>
      </c>
      <c r="AX496" s="4">
        <v>9507114</v>
      </c>
      <c r="AY496" s="4">
        <v>21488566</v>
      </c>
      <c r="AZ496" s="4">
        <v>129167903</v>
      </c>
      <c r="BA496" s="4">
        <v>151167216</v>
      </c>
      <c r="BB496" s="3">
        <v>44523</v>
      </c>
      <c r="BC496" s="4">
        <v>919590</v>
      </c>
    </row>
    <row r="497" spans="40:55" hidden="1">
      <c r="AN497" s="3">
        <v>44523</v>
      </c>
      <c r="AO497" s="4">
        <v>1.19</v>
      </c>
      <c r="AP497" s="4">
        <v>2.0310000000000001</v>
      </c>
      <c r="AQ497" s="4">
        <v>2.5819999999999999</v>
      </c>
      <c r="AR497" s="4">
        <v>8.4420000000000002</v>
      </c>
      <c r="AS497" s="4">
        <f t="shared" si="23"/>
        <v>0.55099999999999971</v>
      </c>
      <c r="AT497" s="3">
        <v>44522</v>
      </c>
      <c r="AU497" s="4">
        <v>650964</v>
      </c>
      <c r="AV497" s="3">
        <v>44524</v>
      </c>
      <c r="AW497" s="4">
        <v>92051847</v>
      </c>
      <c r="AX497" s="4">
        <v>9490824</v>
      </c>
      <c r="AY497" s="4">
        <v>21507987</v>
      </c>
      <c r="AZ497" s="4">
        <v>129227328</v>
      </c>
      <c r="BA497" s="4">
        <v>155433523</v>
      </c>
      <c r="BB497" s="3">
        <v>44522</v>
      </c>
      <c r="BC497" s="4">
        <v>921530</v>
      </c>
    </row>
    <row r="498" spans="40:55" hidden="1">
      <c r="AN498" s="3">
        <v>44522</v>
      </c>
      <c r="AO498" s="4">
        <v>1.18</v>
      </c>
      <c r="AP498" s="4">
        <v>2.0179999999999998</v>
      </c>
      <c r="AQ498" s="4">
        <v>2.5630000000000002</v>
      </c>
      <c r="AR498" s="4">
        <v>8.4250000000000007</v>
      </c>
      <c r="AS498" s="4">
        <f t="shared" si="23"/>
        <v>0.54500000000000037</v>
      </c>
      <c r="AT498" s="3">
        <v>44519</v>
      </c>
      <c r="AU498" s="4">
        <v>660808</v>
      </c>
      <c r="AV498" s="3">
        <v>44523</v>
      </c>
      <c r="AW498" s="4">
        <v>91795696</v>
      </c>
      <c r="AX498" s="4">
        <v>9495899</v>
      </c>
      <c r="AY498" s="4">
        <v>21523833</v>
      </c>
      <c r="AZ498" s="4">
        <v>129405218</v>
      </c>
      <c r="BA498" s="4">
        <v>160938696</v>
      </c>
      <c r="BB498" s="3">
        <v>44519</v>
      </c>
      <c r="BC498" s="4">
        <v>925012</v>
      </c>
    </row>
    <row r="499" spans="40:55" hidden="1">
      <c r="AN499" s="3">
        <v>44519</v>
      </c>
      <c r="AO499" s="4">
        <v>1.17</v>
      </c>
      <c r="AP499" s="4">
        <v>1.966</v>
      </c>
      <c r="AQ499" s="4">
        <v>2.5129999999999999</v>
      </c>
      <c r="AR499" s="4">
        <v>8.375</v>
      </c>
      <c r="AS499" s="4">
        <f t="shared" si="23"/>
        <v>0.54699999999999993</v>
      </c>
      <c r="AT499" s="3">
        <v>44518</v>
      </c>
      <c r="AU499" s="4">
        <v>663547</v>
      </c>
      <c r="AV499" s="3">
        <v>44522</v>
      </c>
      <c r="AW499" s="4">
        <v>92102757</v>
      </c>
      <c r="AX499" s="4">
        <v>9498194</v>
      </c>
      <c r="AY499" s="4">
        <v>21532269</v>
      </c>
      <c r="AZ499" s="4">
        <v>129419413</v>
      </c>
      <c r="BA499" s="4">
        <v>160873877</v>
      </c>
      <c r="BB499" s="3">
        <v>44518</v>
      </c>
      <c r="BC499" s="4">
        <v>923409</v>
      </c>
    </row>
    <row r="500" spans="40:55" hidden="1">
      <c r="AN500" s="3">
        <v>44518</v>
      </c>
      <c r="AO500" s="4">
        <v>1.1499999999999999</v>
      </c>
      <c r="AP500" s="4">
        <v>1.9530000000000001</v>
      </c>
      <c r="AQ500" s="4">
        <v>2.5009999999999999</v>
      </c>
      <c r="AR500" s="4">
        <v>8.3670000000000009</v>
      </c>
      <c r="AS500" s="4">
        <f t="shared" si="23"/>
        <v>0.54799999999999982</v>
      </c>
      <c r="AT500" s="3">
        <v>44517</v>
      </c>
      <c r="AU500" s="4">
        <v>668143</v>
      </c>
      <c r="AV500" s="3">
        <v>44519</v>
      </c>
      <c r="AW500" s="4">
        <v>91642501</v>
      </c>
      <c r="AX500" s="4">
        <v>9514066</v>
      </c>
      <c r="AY500" s="4">
        <v>21564396</v>
      </c>
      <c r="AZ500" s="4">
        <v>129895890</v>
      </c>
      <c r="BA500" s="4">
        <v>160537725</v>
      </c>
      <c r="BB500" s="3">
        <v>44517</v>
      </c>
      <c r="BC500" s="4">
        <v>926308</v>
      </c>
    </row>
    <row r="501" spans="40:55" hidden="1">
      <c r="AN501" s="3">
        <v>44517</v>
      </c>
      <c r="AO501" s="4">
        <v>1.1499999999999999</v>
      </c>
      <c r="AP501" s="4">
        <v>1.974</v>
      </c>
      <c r="AQ501" s="4">
        <v>2.5169999999999999</v>
      </c>
      <c r="AR501" s="4">
        <v>8.3819999999999997</v>
      </c>
      <c r="AS501" s="4">
        <f t="shared" si="23"/>
        <v>0.54299999999999993</v>
      </c>
      <c r="AT501" s="3">
        <v>44516</v>
      </c>
      <c r="AU501" s="4">
        <v>663820</v>
      </c>
      <c r="AV501" s="3">
        <v>44518</v>
      </c>
      <c r="AW501" s="4">
        <v>91245179</v>
      </c>
      <c r="AX501" s="4">
        <v>9515441</v>
      </c>
      <c r="AY501" s="4">
        <v>21570160</v>
      </c>
      <c r="AZ501" s="4">
        <v>129956574</v>
      </c>
      <c r="BA501" s="4">
        <v>163107921</v>
      </c>
      <c r="BB501" s="3">
        <v>44516</v>
      </c>
      <c r="BC501" s="4">
        <v>918913</v>
      </c>
    </row>
    <row r="502" spans="40:55" hidden="1">
      <c r="AN502" s="3">
        <v>44516</v>
      </c>
      <c r="AO502" s="4">
        <v>1.1499999999999999</v>
      </c>
      <c r="AP502" s="4">
        <v>1.9630000000000001</v>
      </c>
      <c r="AQ502" s="4">
        <v>2.5049999999999999</v>
      </c>
      <c r="AR502" s="4">
        <v>8.375</v>
      </c>
      <c r="AS502" s="4">
        <f t="shared" si="23"/>
        <v>0.54199999999999982</v>
      </c>
      <c r="AT502" s="3">
        <v>44515</v>
      </c>
      <c r="AU502" s="4">
        <v>641912</v>
      </c>
      <c r="AV502" s="3">
        <v>44517</v>
      </c>
      <c r="AW502" s="4">
        <v>91261712</v>
      </c>
      <c r="AX502" s="4">
        <v>9526456</v>
      </c>
      <c r="AY502" s="4">
        <v>21653600</v>
      </c>
      <c r="AZ502" s="4">
        <v>129969012</v>
      </c>
      <c r="BA502" s="4">
        <v>162145001</v>
      </c>
      <c r="BB502" s="3">
        <v>44515</v>
      </c>
      <c r="BC502" s="4">
        <v>894295</v>
      </c>
    </row>
    <row r="503" spans="40:55" hidden="1">
      <c r="AN503" s="3">
        <v>44515</v>
      </c>
      <c r="AO503" s="4">
        <v>1.1499999999999999</v>
      </c>
      <c r="AP503" s="4">
        <v>1.9119999999999999</v>
      </c>
      <c r="AQ503" s="4">
        <v>2.4569999999999999</v>
      </c>
      <c r="AR503" s="4">
        <v>8.3320000000000007</v>
      </c>
      <c r="AS503" s="4">
        <f t="shared" si="23"/>
        <v>0.54499999999999993</v>
      </c>
      <c r="AT503" s="3">
        <v>44512</v>
      </c>
      <c r="AU503" s="4">
        <v>635313</v>
      </c>
      <c r="AV503" s="3">
        <v>44516</v>
      </c>
      <c r="AW503" s="4">
        <v>91184386</v>
      </c>
      <c r="AX503" s="4">
        <v>9527543</v>
      </c>
      <c r="AY503" s="4">
        <v>21675184</v>
      </c>
      <c r="AZ503" s="4">
        <v>130172698</v>
      </c>
      <c r="BA503" s="4">
        <v>161978697</v>
      </c>
      <c r="BB503" s="3">
        <v>44512</v>
      </c>
      <c r="BC503" s="4">
        <v>900160</v>
      </c>
    </row>
    <row r="504" spans="40:55" hidden="1">
      <c r="AN504" s="3">
        <v>44512</v>
      </c>
      <c r="AO504" s="4">
        <v>1.1499999999999999</v>
      </c>
      <c r="AP504" s="4">
        <v>1.968</v>
      </c>
      <c r="AQ504" s="4">
        <v>2.4990000000000001</v>
      </c>
      <c r="AR504" s="4">
        <v>8.3759999999999994</v>
      </c>
      <c r="AS504" s="4">
        <f t="shared" si="23"/>
        <v>0.53100000000000014</v>
      </c>
      <c r="AT504" s="3">
        <v>44511</v>
      </c>
      <c r="AU504" s="4">
        <v>670751</v>
      </c>
      <c r="AV504" s="3">
        <v>44515</v>
      </c>
      <c r="AW504" s="4">
        <v>91046028</v>
      </c>
      <c r="AX504" s="4">
        <v>9531590</v>
      </c>
      <c r="AY504" s="4">
        <v>21692473</v>
      </c>
      <c r="AZ504" s="4">
        <v>130268974</v>
      </c>
      <c r="BA504" s="4">
        <v>159671822</v>
      </c>
      <c r="BB504" s="3">
        <v>44511</v>
      </c>
      <c r="BC504" s="4">
        <v>918971</v>
      </c>
    </row>
    <row r="505" spans="40:55" hidden="1">
      <c r="AN505" s="3">
        <v>44511</v>
      </c>
      <c r="AO505" s="4">
        <v>1.1499999999999999</v>
      </c>
      <c r="AP505" s="4">
        <v>1.913</v>
      </c>
      <c r="AQ505" s="4">
        <v>2.4529999999999998</v>
      </c>
      <c r="AR505" s="4">
        <v>8.3309999999999995</v>
      </c>
      <c r="AS505" s="4">
        <f t="shared" si="23"/>
        <v>0.53999999999999981</v>
      </c>
      <c r="AT505" s="3">
        <v>44510</v>
      </c>
      <c r="AU505" s="4">
        <v>646563</v>
      </c>
      <c r="AV505" s="3">
        <v>44512</v>
      </c>
      <c r="AW505" s="4">
        <v>90654745</v>
      </c>
      <c r="AX505" s="4">
        <v>9512531</v>
      </c>
      <c r="AY505" s="4">
        <v>21753650</v>
      </c>
      <c r="AZ505" s="4">
        <v>130405128</v>
      </c>
      <c r="BA505" s="4">
        <v>159949151</v>
      </c>
      <c r="BB505" s="3">
        <v>44510</v>
      </c>
      <c r="BC505" s="4">
        <v>904373</v>
      </c>
    </row>
    <row r="506" spans="40:55" hidden="1">
      <c r="AN506" s="3">
        <v>44510</v>
      </c>
      <c r="AO506" s="4">
        <v>1.1499999999999999</v>
      </c>
      <c r="AP506" s="4">
        <v>1.877</v>
      </c>
      <c r="AQ506" s="4">
        <v>2.4169999999999998</v>
      </c>
      <c r="AR506" s="4">
        <v>8.3000000000000007</v>
      </c>
      <c r="AS506" s="4">
        <f t="shared" si="23"/>
        <v>0.53999999999999981</v>
      </c>
      <c r="AT506" s="3">
        <v>44509</v>
      </c>
      <c r="AU506" s="4">
        <v>654578</v>
      </c>
      <c r="AV506" s="3">
        <v>44511</v>
      </c>
      <c r="AW506" s="4">
        <v>89987953</v>
      </c>
      <c r="AX506" s="4">
        <v>9513932</v>
      </c>
      <c r="AY506" s="4">
        <v>21988377</v>
      </c>
      <c r="AZ506" s="4">
        <v>130392122</v>
      </c>
      <c r="BA506" s="4">
        <v>158983695</v>
      </c>
      <c r="BB506" s="3">
        <v>44509</v>
      </c>
      <c r="BC506" s="4">
        <v>907866</v>
      </c>
    </row>
    <row r="507" spans="40:55" hidden="1">
      <c r="AN507" s="3">
        <v>44509</v>
      </c>
      <c r="AO507" s="4">
        <v>1.1399999999999999</v>
      </c>
      <c r="AP507" s="4">
        <v>1.865</v>
      </c>
      <c r="AQ507" s="4">
        <v>2.403</v>
      </c>
      <c r="AR507" s="4">
        <v>8.2940000000000005</v>
      </c>
      <c r="AS507" s="4">
        <f t="shared" si="23"/>
        <v>0.53800000000000003</v>
      </c>
      <c r="AT507" s="3">
        <v>44508</v>
      </c>
      <c r="AU507" s="4">
        <v>658337</v>
      </c>
      <c r="AV507" s="3">
        <v>44510</v>
      </c>
      <c r="AW507" s="4">
        <v>89984153</v>
      </c>
      <c r="AX507" s="4">
        <v>9485315</v>
      </c>
      <c r="AY507" s="4">
        <v>22076971</v>
      </c>
      <c r="AZ507" s="4">
        <v>130724173</v>
      </c>
      <c r="BA507" s="4">
        <v>162728269</v>
      </c>
      <c r="BB507" s="3">
        <v>44508</v>
      </c>
      <c r="BC507" s="4">
        <v>903590</v>
      </c>
    </row>
    <row r="508" spans="40:55" hidden="1">
      <c r="AN508" s="3">
        <v>44508</v>
      </c>
      <c r="AO508" s="4">
        <v>1.1399999999999999</v>
      </c>
      <c r="AP508" s="4">
        <v>1.9059999999999999</v>
      </c>
      <c r="AQ508" s="4">
        <v>2.4380000000000002</v>
      </c>
      <c r="AR508" s="4">
        <v>8.3330000000000002</v>
      </c>
      <c r="AS508" s="4">
        <f t="shared" si="23"/>
        <v>0.53200000000000025</v>
      </c>
      <c r="AT508" s="3">
        <v>44505</v>
      </c>
      <c r="AU508" s="4">
        <v>650100</v>
      </c>
      <c r="AV508" s="3">
        <v>44509</v>
      </c>
      <c r="AW508" s="4">
        <v>90472349</v>
      </c>
      <c r="AX508" s="4">
        <v>9491148</v>
      </c>
      <c r="AY508" s="4">
        <v>22130785</v>
      </c>
      <c r="AZ508" s="4">
        <v>130651576</v>
      </c>
      <c r="BA508" s="4">
        <v>164313293</v>
      </c>
      <c r="BB508" s="3">
        <v>44505</v>
      </c>
      <c r="BC508" s="4">
        <v>904206</v>
      </c>
    </row>
    <row r="509" spans="40:55" hidden="1">
      <c r="AN509" s="3">
        <v>44505</v>
      </c>
      <c r="AO509" s="4">
        <v>1.1299999999999999</v>
      </c>
      <c r="AP509" s="4">
        <v>1.944</v>
      </c>
      <c r="AQ509" s="4">
        <v>2.468</v>
      </c>
      <c r="AR509" s="4">
        <v>8.3770000000000007</v>
      </c>
      <c r="AS509" s="4">
        <f t="shared" si="23"/>
        <v>0.52400000000000002</v>
      </c>
      <c r="AT509" s="3">
        <v>44504</v>
      </c>
      <c r="AU509" s="4">
        <v>671204</v>
      </c>
      <c r="AV509" s="3">
        <v>44508</v>
      </c>
      <c r="AW509" s="4">
        <v>90295113</v>
      </c>
      <c r="AX509" s="4">
        <v>9492482</v>
      </c>
      <c r="AY509" s="4">
        <v>22159860</v>
      </c>
      <c r="AZ509" s="4">
        <v>130419437</v>
      </c>
      <c r="BA509" s="4">
        <v>167824651</v>
      </c>
      <c r="BB509" s="3">
        <v>44504</v>
      </c>
      <c r="BC509" s="4">
        <v>898347</v>
      </c>
    </row>
    <row r="510" spans="40:55" hidden="1">
      <c r="AN510" s="3">
        <v>44504</v>
      </c>
      <c r="AO510" s="4">
        <v>1.1299999999999999</v>
      </c>
      <c r="AP510" s="4">
        <v>2.04</v>
      </c>
      <c r="AQ510" s="4">
        <v>2.544</v>
      </c>
      <c r="AR510" s="4">
        <v>8.4670000000000005</v>
      </c>
      <c r="AS510" s="4">
        <f t="shared" si="23"/>
        <v>0.504</v>
      </c>
      <c r="AT510" s="3">
        <v>44503</v>
      </c>
      <c r="AU510" s="4">
        <v>639407</v>
      </c>
      <c r="AV510" s="3">
        <v>44505</v>
      </c>
      <c r="AW510" s="4">
        <v>90269145</v>
      </c>
      <c r="AX510" s="4">
        <v>9494641</v>
      </c>
      <c r="AY510" s="4">
        <v>22193525</v>
      </c>
      <c r="AZ510" s="4">
        <v>130671660</v>
      </c>
      <c r="BA510" s="4">
        <v>171036745</v>
      </c>
      <c r="BB510" s="3">
        <v>44503</v>
      </c>
      <c r="BC510" s="4">
        <v>879577</v>
      </c>
    </row>
    <row r="511" spans="40:55" hidden="1">
      <c r="AN511" s="3">
        <v>44503</v>
      </c>
      <c r="AO511" s="4">
        <v>1.1200000000000001</v>
      </c>
      <c r="AP511" s="4">
        <v>2.036</v>
      </c>
      <c r="AQ511" s="4">
        <v>2.5390000000000001</v>
      </c>
      <c r="AR511" s="4">
        <v>8.4659999999999993</v>
      </c>
      <c r="AS511" s="4">
        <f t="shared" si="23"/>
        <v>0.50300000000000011</v>
      </c>
      <c r="AT511" s="3">
        <v>44502</v>
      </c>
      <c r="AU511" s="4">
        <v>634361</v>
      </c>
      <c r="AV511" s="3">
        <v>44504</v>
      </c>
      <c r="AW511" s="4">
        <v>90460721</v>
      </c>
      <c r="AX511" s="4">
        <v>9499788</v>
      </c>
      <c r="AY511" s="4">
        <v>22220847</v>
      </c>
      <c r="AZ511" s="4">
        <v>130926588</v>
      </c>
      <c r="BA511" s="4">
        <v>169731696</v>
      </c>
      <c r="BB511" s="3">
        <v>44502</v>
      </c>
      <c r="BC511" s="4">
        <v>894201</v>
      </c>
    </row>
    <row r="512" spans="40:55" hidden="1">
      <c r="AN512" s="3">
        <v>44502</v>
      </c>
      <c r="AO512" s="4">
        <v>1.1200000000000001</v>
      </c>
      <c r="AP512" s="4">
        <v>2.0379999999999998</v>
      </c>
      <c r="AQ512" s="4">
        <v>2.5419999999999998</v>
      </c>
      <c r="AR512" s="4">
        <v>8.4779999999999998</v>
      </c>
      <c r="AS512" s="4">
        <f t="shared" si="23"/>
        <v>0.504</v>
      </c>
      <c r="AT512" s="3">
        <v>44501</v>
      </c>
      <c r="AU512" s="4">
        <v>668482</v>
      </c>
      <c r="AV512" s="3">
        <v>44503</v>
      </c>
      <c r="AW512" s="4">
        <v>89910653</v>
      </c>
      <c r="AX512" s="4">
        <v>9506823</v>
      </c>
      <c r="AY512" s="4">
        <v>22264389</v>
      </c>
      <c r="AZ512" s="4">
        <v>131123197</v>
      </c>
      <c r="BA512" s="4">
        <v>169301091</v>
      </c>
      <c r="BB512" s="3">
        <v>44501</v>
      </c>
      <c r="BC512" s="4">
        <v>922740</v>
      </c>
    </row>
    <row r="513" spans="40:55" hidden="1">
      <c r="AN513" s="3">
        <v>44501</v>
      </c>
      <c r="AO513" s="4">
        <v>1.1200000000000001</v>
      </c>
      <c r="AP513" s="4">
        <v>2.1080000000000001</v>
      </c>
      <c r="AQ513" s="4">
        <v>2.58</v>
      </c>
      <c r="AR513" s="4">
        <v>8.532</v>
      </c>
      <c r="AS513" s="4">
        <f t="shared" si="23"/>
        <v>0.47199999999999998</v>
      </c>
      <c r="AT513" s="3">
        <v>44498</v>
      </c>
      <c r="AU513" s="4">
        <v>667305</v>
      </c>
      <c r="AV513" s="3">
        <v>44502</v>
      </c>
      <c r="AW513" s="4">
        <v>90069424</v>
      </c>
      <c r="AX513" s="4">
        <v>9508057</v>
      </c>
      <c r="AY513" s="4">
        <v>22253943</v>
      </c>
      <c r="AZ513" s="4">
        <v>131541641</v>
      </c>
      <c r="BA513" s="4">
        <v>167349488</v>
      </c>
      <c r="BB513" s="3">
        <v>44498</v>
      </c>
      <c r="BC513" s="4">
        <v>923909</v>
      </c>
    </row>
    <row r="514" spans="40:55" hidden="1">
      <c r="AN514" s="3">
        <v>44498</v>
      </c>
      <c r="AO514" s="4">
        <v>1.1200000000000001</v>
      </c>
      <c r="AP514" s="4">
        <v>2.1030000000000002</v>
      </c>
      <c r="AQ514" s="4">
        <v>2.573</v>
      </c>
      <c r="AR514" s="4">
        <v>8.5449999999999999</v>
      </c>
      <c r="AS514" s="4">
        <f t="shared" si="23"/>
        <v>0.46999999999999975</v>
      </c>
      <c r="AT514" s="3">
        <v>44497</v>
      </c>
      <c r="AU514" s="4">
        <v>679471</v>
      </c>
      <c r="AV514" s="3">
        <v>44501</v>
      </c>
      <c r="AW514" s="4">
        <v>89496480</v>
      </c>
      <c r="AX514" s="4">
        <v>9501517</v>
      </c>
      <c r="AY514" s="4">
        <v>22227308</v>
      </c>
      <c r="AZ514" s="4">
        <v>131672491</v>
      </c>
      <c r="BA514" s="4">
        <v>162886461</v>
      </c>
      <c r="BB514" s="3">
        <v>44497</v>
      </c>
      <c r="BC514" s="4">
        <v>926987</v>
      </c>
    </row>
    <row r="515" spans="40:55" hidden="1">
      <c r="AN515" s="3">
        <v>44497</v>
      </c>
      <c r="AO515" s="4">
        <v>1.1000000000000001</v>
      </c>
      <c r="AP515" s="4">
        <v>2.0169999999999999</v>
      </c>
      <c r="AQ515" s="4">
        <v>2.4870000000000001</v>
      </c>
      <c r="AR515" s="4">
        <v>8.4809999999999999</v>
      </c>
      <c r="AS515" s="4">
        <f t="shared" si="23"/>
        <v>0.4700000000000002</v>
      </c>
      <c r="AT515" s="3">
        <v>44496</v>
      </c>
      <c r="AU515" s="4">
        <v>676554</v>
      </c>
      <c r="AV515" s="3">
        <v>44498</v>
      </c>
      <c r="AW515" s="4">
        <v>89336406</v>
      </c>
      <c r="AX515" s="4">
        <v>9495837</v>
      </c>
      <c r="AY515" s="4">
        <v>22232585</v>
      </c>
      <c r="AZ515" s="4">
        <v>131800488</v>
      </c>
      <c r="BA515" s="4">
        <v>162757818</v>
      </c>
      <c r="BB515" s="3">
        <v>44496</v>
      </c>
      <c r="BC515" s="4">
        <v>923498</v>
      </c>
    </row>
    <row r="516" spans="40:55" hidden="1">
      <c r="AN516" s="3">
        <v>44496</v>
      </c>
      <c r="AO516" s="4">
        <v>1.1000000000000001</v>
      </c>
      <c r="AP516" s="4">
        <v>2.044</v>
      </c>
      <c r="AQ516" s="4">
        <v>2.5059999999999998</v>
      </c>
      <c r="AR516" s="4">
        <v>8.5210000000000008</v>
      </c>
      <c r="AS516" s="4">
        <f t="shared" si="23"/>
        <v>0.46199999999999974</v>
      </c>
      <c r="AT516" s="3">
        <v>44495</v>
      </c>
      <c r="AU516" s="4">
        <v>649928</v>
      </c>
      <c r="AV516" s="3">
        <v>44497</v>
      </c>
      <c r="AW516" s="4">
        <v>89435519</v>
      </c>
      <c r="AX516" s="4">
        <v>9487646</v>
      </c>
      <c r="AY516" s="4">
        <v>22206680</v>
      </c>
      <c r="AZ516" s="4">
        <v>131723310</v>
      </c>
      <c r="BA516" s="4">
        <v>166423875</v>
      </c>
      <c r="BB516" s="3">
        <v>44495</v>
      </c>
      <c r="BC516" s="4">
        <v>914947</v>
      </c>
    </row>
    <row r="517" spans="40:55" hidden="1">
      <c r="AN517" s="3">
        <v>44495</v>
      </c>
      <c r="AO517" s="4">
        <v>1.0900000000000001</v>
      </c>
      <c r="AP517" s="4">
        <v>1.9470000000000001</v>
      </c>
      <c r="AQ517" s="4">
        <v>2.423</v>
      </c>
      <c r="AR517" s="4">
        <v>8.4529999999999994</v>
      </c>
      <c r="AS517" s="4">
        <f t="shared" ref="AS517:AS567" si="24">AQ517-AP517</f>
        <v>0.47599999999999998</v>
      </c>
      <c r="AT517" s="3">
        <v>44494</v>
      </c>
      <c r="AU517" s="4">
        <v>634563</v>
      </c>
      <c r="AV517" s="3">
        <v>44496</v>
      </c>
      <c r="AW517" s="4">
        <v>89040073</v>
      </c>
      <c r="AX517" s="4">
        <v>9477832</v>
      </c>
      <c r="AY517" s="4">
        <v>22198155</v>
      </c>
      <c r="AZ517" s="4">
        <v>131948480</v>
      </c>
      <c r="BA517" s="4">
        <v>156665175</v>
      </c>
      <c r="BB517" s="3">
        <v>44494</v>
      </c>
      <c r="BC517" s="4">
        <v>898374</v>
      </c>
    </row>
    <row r="518" spans="40:55" hidden="1">
      <c r="AN518" s="3">
        <v>44494</v>
      </c>
      <c r="AO518" s="4">
        <v>1.0900000000000001</v>
      </c>
      <c r="AP518" s="4">
        <v>1.919</v>
      </c>
      <c r="AQ518" s="4">
        <v>2.387</v>
      </c>
      <c r="AR518" s="4">
        <v>8.4260000000000002</v>
      </c>
      <c r="AS518" s="4">
        <f t="shared" si="24"/>
        <v>0.46799999999999997</v>
      </c>
      <c r="AT518" s="3">
        <v>44491</v>
      </c>
      <c r="AU518" s="4">
        <v>643390</v>
      </c>
      <c r="AV518" s="3">
        <v>44495</v>
      </c>
      <c r="AW518" s="4">
        <v>89148395</v>
      </c>
      <c r="AX518" s="4">
        <v>9480105</v>
      </c>
      <c r="AY518" s="4">
        <v>22200707</v>
      </c>
      <c r="AZ518" s="4">
        <v>131860588</v>
      </c>
      <c r="BA518" s="4">
        <v>155349259</v>
      </c>
      <c r="BB518" s="3">
        <v>44491</v>
      </c>
      <c r="BC518" s="4">
        <v>915486</v>
      </c>
    </row>
    <row r="519" spans="40:55" hidden="1">
      <c r="AN519" s="3">
        <v>44491</v>
      </c>
      <c r="AO519" s="4">
        <v>1.0900000000000001</v>
      </c>
      <c r="AP519" s="4">
        <v>1.889</v>
      </c>
      <c r="AQ519" s="4">
        <v>2.3620000000000001</v>
      </c>
      <c r="AR519" s="4">
        <v>8.4120000000000008</v>
      </c>
      <c r="AS519" s="4">
        <f t="shared" si="24"/>
        <v>0.47300000000000009</v>
      </c>
      <c r="AT519" s="3">
        <v>44490</v>
      </c>
      <c r="AU519" s="4">
        <v>665530</v>
      </c>
      <c r="AV519" s="3">
        <v>44494</v>
      </c>
      <c r="AW519" s="4">
        <v>88315803</v>
      </c>
      <c r="AX519" s="4">
        <v>9513923</v>
      </c>
      <c r="AY519" s="4">
        <v>22295910</v>
      </c>
      <c r="AZ519" s="4">
        <v>132047794</v>
      </c>
      <c r="BA519" s="4">
        <v>155959958</v>
      </c>
      <c r="BB519" s="3">
        <v>44490</v>
      </c>
      <c r="BC519" s="4">
        <v>927431</v>
      </c>
    </row>
    <row r="520" spans="40:55" hidden="1">
      <c r="AN520" s="3">
        <v>44490</v>
      </c>
      <c r="AO520" s="4">
        <v>1.0900000000000001</v>
      </c>
      <c r="AP520" s="4">
        <v>1.8360000000000001</v>
      </c>
      <c r="AQ520" s="4">
        <v>2.31</v>
      </c>
      <c r="AR520" s="4">
        <v>8.3719999999999999</v>
      </c>
      <c r="AS520" s="4">
        <f t="shared" si="24"/>
        <v>0.47399999999999998</v>
      </c>
      <c r="AT520" s="3">
        <v>44489</v>
      </c>
      <c r="AU520" s="4">
        <v>656169</v>
      </c>
      <c r="AV520" s="3">
        <v>44491</v>
      </c>
      <c r="AW520" s="4">
        <v>87911054</v>
      </c>
      <c r="AX520" s="4">
        <v>9513428</v>
      </c>
      <c r="AY520" s="4">
        <v>22275267</v>
      </c>
      <c r="AZ520" s="4">
        <v>132290913</v>
      </c>
      <c r="BA520" s="4">
        <v>157058843</v>
      </c>
      <c r="BB520" s="3">
        <v>44489</v>
      </c>
      <c r="BC520" s="4">
        <v>925721</v>
      </c>
    </row>
    <row r="521" spans="40:55" hidden="1">
      <c r="AN521" s="3">
        <v>44489</v>
      </c>
      <c r="AO521" s="4">
        <v>1.0900000000000001</v>
      </c>
      <c r="AP521" s="4">
        <v>1.847</v>
      </c>
      <c r="AQ521" s="4">
        <v>2.3180000000000001</v>
      </c>
      <c r="AR521" s="4">
        <v>8.3819999999999997</v>
      </c>
      <c r="AS521" s="4">
        <f t="shared" si="24"/>
        <v>0.47100000000000009</v>
      </c>
      <c r="AT521" s="3">
        <v>44488</v>
      </c>
      <c r="AU521" s="4">
        <v>678587</v>
      </c>
      <c r="AV521" s="3">
        <v>44490</v>
      </c>
      <c r="AW521" s="4">
        <v>87798870</v>
      </c>
      <c r="AX521" s="4">
        <v>9515979</v>
      </c>
      <c r="AY521" s="4">
        <v>22258609</v>
      </c>
      <c r="AZ521" s="4">
        <v>132211314</v>
      </c>
      <c r="BA521" s="4">
        <v>158915285</v>
      </c>
      <c r="BB521" s="3">
        <v>44488</v>
      </c>
      <c r="BC521" s="4">
        <v>936273</v>
      </c>
    </row>
    <row r="522" spans="40:55" hidden="1">
      <c r="AN522" s="3">
        <v>44488</v>
      </c>
      <c r="AO522" s="4">
        <v>1.0900000000000001</v>
      </c>
      <c r="AP522" s="4">
        <v>1.8660000000000001</v>
      </c>
      <c r="AQ522" s="4">
        <v>2.3250000000000002</v>
      </c>
      <c r="AR522" s="4">
        <v>8.3940000000000001</v>
      </c>
      <c r="AS522" s="4">
        <f t="shared" si="24"/>
        <v>0.45900000000000007</v>
      </c>
      <c r="AT522" s="3">
        <v>44487</v>
      </c>
      <c r="AU522" s="4">
        <v>669819</v>
      </c>
      <c r="AV522" s="3">
        <v>44489</v>
      </c>
      <c r="AW522" s="4">
        <v>87774558</v>
      </c>
      <c r="AX522" s="4">
        <v>9516570</v>
      </c>
      <c r="AY522" s="4">
        <v>22300621</v>
      </c>
      <c r="AZ522" s="4">
        <v>132357277</v>
      </c>
      <c r="BA522" s="4">
        <v>159141000</v>
      </c>
      <c r="BB522" s="3">
        <v>44487</v>
      </c>
      <c r="BC522" s="4">
        <v>936986</v>
      </c>
    </row>
    <row r="523" spans="40:55" hidden="1">
      <c r="AN523" s="3">
        <v>44487</v>
      </c>
      <c r="AO523" s="4">
        <v>1.08</v>
      </c>
      <c r="AP523" s="4">
        <v>1.875</v>
      </c>
      <c r="AQ523" s="4">
        <v>2.3330000000000002</v>
      </c>
      <c r="AR523" s="4">
        <v>8.4030000000000005</v>
      </c>
      <c r="AS523" s="4">
        <f t="shared" si="24"/>
        <v>0.45800000000000018</v>
      </c>
      <c r="AT523" s="3">
        <v>44484</v>
      </c>
      <c r="AU523" s="4">
        <v>678426</v>
      </c>
      <c r="AV523" s="3">
        <v>44488</v>
      </c>
      <c r="AW523" s="4">
        <v>87895778</v>
      </c>
      <c r="AX523" s="4">
        <v>9485732</v>
      </c>
      <c r="AY523" s="4">
        <v>22220914</v>
      </c>
      <c r="AZ523" s="4">
        <v>132441154</v>
      </c>
      <c r="BA523" s="4">
        <v>160027171</v>
      </c>
      <c r="BB523" s="3">
        <v>44484</v>
      </c>
      <c r="BC523" s="4">
        <v>934280</v>
      </c>
    </row>
    <row r="524" spans="40:55" hidden="1">
      <c r="AN524" s="3">
        <v>44484</v>
      </c>
      <c r="AO524" s="4">
        <v>1.07</v>
      </c>
      <c r="AP524" s="4">
        <v>1.7949999999999999</v>
      </c>
      <c r="AQ524" s="4">
        <v>2.2490000000000001</v>
      </c>
      <c r="AR524" s="4">
        <v>8.33</v>
      </c>
      <c r="AS524" s="4">
        <f t="shared" si="24"/>
        <v>0.45400000000000018</v>
      </c>
      <c r="AT524" s="3">
        <v>44483</v>
      </c>
      <c r="AU524" s="4">
        <v>655498</v>
      </c>
      <c r="AV524" s="3">
        <v>44487</v>
      </c>
      <c r="AW524" s="4">
        <v>87507381</v>
      </c>
      <c r="AX524" s="4">
        <v>9492298</v>
      </c>
      <c r="AY524" s="4">
        <v>22231303</v>
      </c>
      <c r="AZ524" s="4">
        <v>132191340</v>
      </c>
      <c r="BA524" s="4">
        <v>159895972</v>
      </c>
      <c r="BB524" s="3">
        <v>44483</v>
      </c>
      <c r="BC524" s="4">
        <v>906413</v>
      </c>
    </row>
    <row r="525" spans="40:55" hidden="1">
      <c r="AN525" s="3">
        <v>44483</v>
      </c>
      <c r="AO525" s="4">
        <v>1.07</v>
      </c>
      <c r="AP525" s="4">
        <v>1.8129999999999999</v>
      </c>
      <c r="AQ525" s="4">
        <v>2.2610000000000001</v>
      </c>
      <c r="AR525" s="4">
        <v>8.3439999999999994</v>
      </c>
      <c r="AS525" s="4">
        <f t="shared" si="24"/>
        <v>0.44800000000000018</v>
      </c>
      <c r="AT525" s="3">
        <v>44482</v>
      </c>
      <c r="AU525" s="4">
        <v>651386</v>
      </c>
      <c r="AV525" s="3">
        <v>44484</v>
      </c>
      <c r="AW525" s="4">
        <v>87330542</v>
      </c>
      <c r="AX525" s="4">
        <v>9471487</v>
      </c>
      <c r="AY525" s="4">
        <v>22231503</v>
      </c>
      <c r="AZ525" s="4">
        <v>131869979</v>
      </c>
      <c r="BA525" s="4">
        <v>157775064</v>
      </c>
      <c r="BB525" s="3">
        <v>44482</v>
      </c>
      <c r="BC525" s="4">
        <v>910626</v>
      </c>
    </row>
    <row r="526" spans="40:55" hidden="1">
      <c r="AN526" s="3">
        <v>44482</v>
      </c>
      <c r="AO526" s="4">
        <v>1.07</v>
      </c>
      <c r="AP526" s="4">
        <v>1.8240000000000001</v>
      </c>
      <c r="AQ526" s="4">
        <v>2.27</v>
      </c>
      <c r="AR526" s="4">
        <v>8.3559999999999999</v>
      </c>
      <c r="AS526" s="4">
        <f t="shared" si="24"/>
        <v>0.44599999999999995</v>
      </c>
      <c r="AT526" s="3">
        <v>44481</v>
      </c>
      <c r="AU526" s="4">
        <v>670659</v>
      </c>
      <c r="AV526" s="3">
        <v>44483</v>
      </c>
      <c r="AW526" s="4">
        <v>86677486</v>
      </c>
      <c r="AX526" s="4">
        <v>9468852</v>
      </c>
      <c r="AY526" s="4">
        <v>22231697</v>
      </c>
      <c r="AZ526" s="4">
        <v>131924068</v>
      </c>
      <c r="BA526" s="4">
        <v>154370101</v>
      </c>
      <c r="BB526" s="3">
        <v>44481</v>
      </c>
      <c r="BC526" s="4">
        <v>933923</v>
      </c>
    </row>
    <row r="527" spans="40:55" hidden="1">
      <c r="AN527" s="3">
        <v>44481</v>
      </c>
      <c r="AO527" s="4">
        <v>1.06</v>
      </c>
      <c r="AP527" s="4">
        <v>1.8149999999999999</v>
      </c>
      <c r="AQ527" s="4">
        <v>2.262</v>
      </c>
      <c r="AR527" s="4">
        <v>8.35</v>
      </c>
      <c r="AS527" s="4">
        <f t="shared" si="24"/>
        <v>0.44700000000000006</v>
      </c>
      <c r="AT527" s="3">
        <v>44477</v>
      </c>
      <c r="AU527" s="4">
        <v>662217</v>
      </c>
      <c r="AV527" s="3">
        <v>44482</v>
      </c>
      <c r="AW527" s="4">
        <v>85892747</v>
      </c>
      <c r="AX527" s="4">
        <v>9463167</v>
      </c>
      <c r="AY527" s="4">
        <v>22242604</v>
      </c>
      <c r="AZ527" s="4">
        <v>132059020</v>
      </c>
      <c r="BA527" s="4">
        <v>152790997</v>
      </c>
      <c r="BB527" s="3">
        <v>44477</v>
      </c>
      <c r="BC527" s="4">
        <v>937662</v>
      </c>
    </row>
    <row r="528" spans="40:55" hidden="1">
      <c r="AN528" s="3">
        <v>44477</v>
      </c>
      <c r="AO528" s="4">
        <v>1.05</v>
      </c>
      <c r="AP528" s="4">
        <v>1.7010000000000001</v>
      </c>
      <c r="AQ528" s="4">
        <v>2.1560000000000001</v>
      </c>
      <c r="AR528" s="4">
        <v>8.2590000000000003</v>
      </c>
      <c r="AS528" s="4">
        <f t="shared" si="24"/>
        <v>0.45500000000000007</v>
      </c>
      <c r="AT528" s="3">
        <v>44476</v>
      </c>
      <c r="AU528" s="4">
        <v>676605</v>
      </c>
      <c r="AV528" s="3">
        <v>44481</v>
      </c>
      <c r="AW528" s="4">
        <v>85578964</v>
      </c>
      <c r="AX528" s="4">
        <v>9465340</v>
      </c>
      <c r="AY528" s="4">
        <v>22226618</v>
      </c>
      <c r="AZ528" s="4">
        <v>131937209</v>
      </c>
      <c r="BA528" s="4">
        <v>156143498</v>
      </c>
      <c r="BB528" s="3">
        <v>44476</v>
      </c>
      <c r="BC528" s="4">
        <v>932796</v>
      </c>
    </row>
    <row r="529" spans="40:55" hidden="1">
      <c r="AN529" s="3">
        <v>44476</v>
      </c>
      <c r="AO529" s="4">
        <v>1.05</v>
      </c>
      <c r="AP529" s="4">
        <v>1.704</v>
      </c>
      <c r="AQ529" s="4">
        <v>2.1579999999999999</v>
      </c>
      <c r="AR529" s="4">
        <v>8.26</v>
      </c>
      <c r="AS529" s="4">
        <f t="shared" si="24"/>
        <v>0.45399999999999996</v>
      </c>
      <c r="AT529" s="3">
        <v>44475</v>
      </c>
      <c r="AU529" s="4">
        <v>700842</v>
      </c>
      <c r="AV529" s="3">
        <v>44477</v>
      </c>
      <c r="AW529" s="4">
        <v>85595277</v>
      </c>
      <c r="AX529" s="4">
        <v>9467842</v>
      </c>
      <c r="AY529" s="4">
        <v>22255138</v>
      </c>
      <c r="AZ529" s="4">
        <v>131978888</v>
      </c>
      <c r="BA529" s="4">
        <v>158881223</v>
      </c>
      <c r="BB529" s="3">
        <v>44475</v>
      </c>
      <c r="BC529" s="4">
        <v>923171</v>
      </c>
    </row>
    <row r="530" spans="40:55" hidden="1">
      <c r="AN530" s="3">
        <v>44475</v>
      </c>
      <c r="AO530" s="4">
        <v>1.05</v>
      </c>
      <c r="AP530" s="4">
        <v>1.7190000000000001</v>
      </c>
      <c r="AQ530" s="4">
        <v>2.1709999999999998</v>
      </c>
      <c r="AR530" s="4">
        <v>8.3219999999999992</v>
      </c>
      <c r="AS530" s="4">
        <f t="shared" si="24"/>
        <v>0.45199999999999974</v>
      </c>
      <c r="AT530" s="3">
        <v>44474</v>
      </c>
      <c r="AU530" s="4">
        <v>708794</v>
      </c>
      <c r="AV530" s="3">
        <v>44476</v>
      </c>
      <c r="AW530" s="4">
        <v>85320088</v>
      </c>
      <c r="AX530" s="4">
        <v>9472742</v>
      </c>
      <c r="AY530" s="4">
        <v>22275301</v>
      </c>
      <c r="AZ530" s="4">
        <v>132000865</v>
      </c>
      <c r="BA530" s="4">
        <v>157716253</v>
      </c>
      <c r="BB530" s="3">
        <v>44474</v>
      </c>
      <c r="BC530" s="4">
        <v>927463</v>
      </c>
    </row>
    <row r="531" spans="40:55" hidden="1">
      <c r="AN531" s="3">
        <v>44474</v>
      </c>
      <c r="AO531" s="4">
        <v>1.04</v>
      </c>
      <c r="AP531" s="4">
        <v>1.65</v>
      </c>
      <c r="AQ531" s="4">
        <v>2.101</v>
      </c>
      <c r="AR531" s="4">
        <v>8.2720000000000002</v>
      </c>
      <c r="AS531" s="4">
        <f t="shared" si="24"/>
        <v>0.45100000000000007</v>
      </c>
      <c r="AT531" s="3">
        <v>44470</v>
      </c>
      <c r="AU531" s="4">
        <v>697746</v>
      </c>
      <c r="AV531" s="3">
        <v>44475</v>
      </c>
      <c r="AW531" s="4">
        <v>84768502</v>
      </c>
      <c r="AX531" s="4">
        <v>9475332</v>
      </c>
      <c r="AY531" s="4">
        <v>22307517</v>
      </c>
      <c r="AZ531" s="4">
        <v>132210231</v>
      </c>
      <c r="BA531" s="4">
        <v>155442349</v>
      </c>
      <c r="BB531" s="3">
        <v>44470</v>
      </c>
      <c r="BC531" s="4">
        <v>918257</v>
      </c>
    </row>
    <row r="532" spans="40:55" hidden="1">
      <c r="AN532" s="3">
        <v>44470</v>
      </c>
      <c r="AO532" s="4">
        <v>1.04</v>
      </c>
      <c r="AP532" s="4">
        <v>1.633</v>
      </c>
      <c r="AQ532" s="4">
        <v>2.0870000000000002</v>
      </c>
      <c r="AR532" s="4">
        <v>8.2629999999999999</v>
      </c>
      <c r="AS532" s="4">
        <f t="shared" si="24"/>
        <v>0.45400000000000018</v>
      </c>
      <c r="AT532" s="3">
        <v>44469</v>
      </c>
      <c r="AU532" s="4">
        <v>683463</v>
      </c>
      <c r="AV532" s="3">
        <v>44474</v>
      </c>
      <c r="AW532" s="4">
        <v>85118675</v>
      </c>
      <c r="AX532" s="4">
        <v>9472169</v>
      </c>
      <c r="AY532" s="4">
        <v>22318826</v>
      </c>
      <c r="AZ532" s="4">
        <v>131822427</v>
      </c>
      <c r="BA532" s="4">
        <v>148980147</v>
      </c>
      <c r="BB532" s="3">
        <v>44469</v>
      </c>
      <c r="BC532" s="4">
        <v>875047</v>
      </c>
    </row>
    <row r="533" spans="40:55" hidden="1">
      <c r="AN533" s="3">
        <v>44469</v>
      </c>
      <c r="AO533" s="4">
        <v>1.04</v>
      </c>
      <c r="AP533" s="4">
        <v>1.593</v>
      </c>
      <c r="AQ533" s="4">
        <v>2.0489999999999999</v>
      </c>
      <c r="AR533" s="4">
        <v>8.2439999999999998</v>
      </c>
      <c r="AS533" s="4">
        <f t="shared" si="24"/>
        <v>0.45599999999999996</v>
      </c>
      <c r="AT533" s="3">
        <v>44468</v>
      </c>
      <c r="AU533" s="4">
        <v>669528</v>
      </c>
      <c r="AV533" s="3">
        <v>44470</v>
      </c>
      <c r="AW533" s="4">
        <v>85675765</v>
      </c>
      <c r="AX533" s="4">
        <v>9480765</v>
      </c>
      <c r="AY533" s="4">
        <v>22327717</v>
      </c>
      <c r="AZ533" s="4">
        <v>131749705</v>
      </c>
      <c r="BA533" s="4">
        <v>143088868</v>
      </c>
      <c r="BB533" s="3">
        <v>44468</v>
      </c>
      <c r="BC533" s="4">
        <v>874346</v>
      </c>
    </row>
    <row r="534" spans="40:55" hidden="1">
      <c r="AN534" s="3">
        <v>44468</v>
      </c>
      <c r="AO534" s="4">
        <v>1.04</v>
      </c>
      <c r="AP534" s="4">
        <v>1.603</v>
      </c>
      <c r="AQ534" s="4">
        <v>2.0569999999999999</v>
      </c>
      <c r="AR534" s="4">
        <v>8.25</v>
      </c>
      <c r="AS534" s="4">
        <f t="shared" si="24"/>
        <v>0.45399999999999996</v>
      </c>
      <c r="AT534" s="3">
        <v>44467</v>
      </c>
      <c r="AU534" s="4">
        <v>684443</v>
      </c>
      <c r="AV534" s="3">
        <v>44469</v>
      </c>
      <c r="AW534" s="4">
        <v>85677112</v>
      </c>
      <c r="AX534" s="4">
        <v>9468492</v>
      </c>
      <c r="AY534" s="4">
        <v>22317034</v>
      </c>
      <c r="AZ534" s="4">
        <v>131418630</v>
      </c>
      <c r="BA534" s="4">
        <v>142057558</v>
      </c>
      <c r="BB534" s="3">
        <v>44467</v>
      </c>
      <c r="BC534" s="4">
        <v>903592</v>
      </c>
    </row>
    <row r="535" spans="40:55" hidden="1">
      <c r="AN535" s="3">
        <v>44467</v>
      </c>
      <c r="AO535" s="4">
        <v>1.04</v>
      </c>
      <c r="AP535" s="4">
        <v>1.609</v>
      </c>
      <c r="AQ535" s="4">
        <v>2.0609999999999999</v>
      </c>
      <c r="AR535" s="4">
        <v>8.26</v>
      </c>
      <c r="AS535" s="4">
        <f t="shared" si="24"/>
        <v>0.45199999999999996</v>
      </c>
      <c r="AT535" s="3">
        <v>44466</v>
      </c>
      <c r="AU535" s="4">
        <v>686219</v>
      </c>
      <c r="AV535" s="3">
        <v>44468</v>
      </c>
      <c r="AW535" s="4">
        <v>85473362</v>
      </c>
      <c r="AX535" s="4">
        <v>9467486</v>
      </c>
      <c r="AY535" s="4">
        <v>22297166</v>
      </c>
      <c r="AZ535" s="4">
        <v>131304270</v>
      </c>
      <c r="BA535" s="4">
        <v>149735872</v>
      </c>
      <c r="BB535" s="3">
        <v>44466</v>
      </c>
      <c r="BC535" s="4">
        <v>925764</v>
      </c>
    </row>
    <row r="536" spans="40:55" hidden="1">
      <c r="AN536" s="3">
        <v>44466</v>
      </c>
      <c r="AO536" s="4">
        <v>1.03</v>
      </c>
      <c r="AP536" s="4">
        <v>1.5660000000000001</v>
      </c>
      <c r="AQ536" s="4">
        <v>2.0150000000000001</v>
      </c>
      <c r="AR536" s="4">
        <v>8.2270000000000003</v>
      </c>
      <c r="AS536" s="4">
        <f t="shared" si="24"/>
        <v>0.44900000000000007</v>
      </c>
      <c r="AT536" s="3">
        <v>44463</v>
      </c>
      <c r="AU536" s="4">
        <v>678228</v>
      </c>
      <c r="AV536" s="3">
        <v>44467</v>
      </c>
      <c r="AW536" s="4">
        <v>85614382</v>
      </c>
      <c r="AX536" s="4">
        <v>9453007</v>
      </c>
      <c r="AY536" s="4">
        <v>22304785</v>
      </c>
      <c r="AZ536" s="4">
        <v>131422504</v>
      </c>
      <c r="BA536" s="4">
        <v>150772136</v>
      </c>
      <c r="BB536" s="3">
        <v>44463</v>
      </c>
      <c r="BC536" s="4">
        <v>929900</v>
      </c>
    </row>
    <row r="537" spans="40:55" hidden="1">
      <c r="AN537" s="3">
        <v>44463</v>
      </c>
      <c r="AO537" s="4">
        <v>1.02</v>
      </c>
      <c r="AP537" s="4">
        <v>1.575</v>
      </c>
      <c r="AQ537" s="4">
        <v>2.0169999999999999</v>
      </c>
      <c r="AR537" s="4">
        <v>8.2319999999999993</v>
      </c>
      <c r="AS537" s="4">
        <f t="shared" si="24"/>
        <v>0.44199999999999995</v>
      </c>
      <c r="AT537" s="3">
        <v>44462</v>
      </c>
      <c r="AU537" s="4">
        <v>694882</v>
      </c>
      <c r="AV537" s="3">
        <v>44466</v>
      </c>
      <c r="AW537" s="4">
        <v>86171951</v>
      </c>
      <c r="AX537" s="4">
        <v>9452812</v>
      </c>
      <c r="AY537" s="4">
        <v>22307779</v>
      </c>
      <c r="AZ537" s="4">
        <v>131265073</v>
      </c>
      <c r="BA537" s="4">
        <v>150411051</v>
      </c>
      <c r="BB537" s="3">
        <v>44462</v>
      </c>
      <c r="BC537" s="4">
        <v>938293</v>
      </c>
    </row>
    <row r="538" spans="40:55" hidden="1">
      <c r="AN538" s="3">
        <v>44462</v>
      </c>
      <c r="AO538" s="4">
        <v>1.02</v>
      </c>
      <c r="AP538" s="4">
        <v>1.5580000000000001</v>
      </c>
      <c r="AQ538" s="4">
        <v>1.996</v>
      </c>
      <c r="AR538" s="4">
        <v>8.218</v>
      </c>
      <c r="AS538" s="4">
        <f t="shared" si="24"/>
        <v>0.43799999999999994</v>
      </c>
      <c r="AT538" s="3">
        <v>44456</v>
      </c>
      <c r="AU538" s="4">
        <v>693626</v>
      </c>
      <c r="AV538" s="3">
        <v>44463</v>
      </c>
      <c r="AW538" s="4">
        <v>85729213</v>
      </c>
      <c r="AX538" s="4">
        <v>9446628</v>
      </c>
      <c r="AY538" s="4">
        <v>22289383</v>
      </c>
      <c r="AZ538" s="4">
        <v>131155029</v>
      </c>
      <c r="BA538" s="4">
        <v>150965879</v>
      </c>
      <c r="BB538" s="3">
        <v>44456</v>
      </c>
      <c r="BC538" s="4">
        <v>935288</v>
      </c>
    </row>
    <row r="539" spans="40:55" hidden="1">
      <c r="AN539" s="3">
        <v>44456</v>
      </c>
      <c r="AO539" s="4">
        <v>1.01</v>
      </c>
      <c r="AP539" s="4">
        <v>1.5349999999999999</v>
      </c>
      <c r="AQ539" s="4">
        <v>1.978</v>
      </c>
      <c r="AR539" s="4">
        <v>8.2050000000000001</v>
      </c>
      <c r="AS539" s="4">
        <f t="shared" si="24"/>
        <v>0.44300000000000006</v>
      </c>
      <c r="AT539" s="3">
        <v>44455</v>
      </c>
      <c r="AU539" s="4">
        <v>689174</v>
      </c>
      <c r="AV539" s="3">
        <v>44462</v>
      </c>
      <c r="AW539" s="4">
        <v>85406713</v>
      </c>
      <c r="AX539" s="4">
        <v>9443798</v>
      </c>
      <c r="AY539" s="4">
        <v>22283845</v>
      </c>
      <c r="AZ539" s="4">
        <v>131228301</v>
      </c>
      <c r="BA539" s="4">
        <v>151908552</v>
      </c>
      <c r="BB539" s="3">
        <v>44455</v>
      </c>
      <c r="BC539" s="4">
        <v>908827</v>
      </c>
    </row>
    <row r="540" spans="40:55" hidden="1">
      <c r="AN540" s="3">
        <v>44455</v>
      </c>
      <c r="AO540" s="4">
        <v>1.01</v>
      </c>
      <c r="AP540" s="4">
        <v>1.51</v>
      </c>
      <c r="AQ540" s="4">
        <v>1.958</v>
      </c>
      <c r="AR540" s="4">
        <v>8.1910000000000007</v>
      </c>
      <c r="AS540" s="4">
        <f t="shared" si="24"/>
        <v>0.44799999999999995</v>
      </c>
      <c r="AT540" s="3">
        <v>44454</v>
      </c>
      <c r="AU540" s="4">
        <v>656237</v>
      </c>
      <c r="AV540" s="3">
        <v>44456</v>
      </c>
      <c r="AW540" s="4">
        <v>85482655</v>
      </c>
      <c r="AX540" s="4">
        <v>9444698</v>
      </c>
      <c r="AY540" s="4">
        <v>22364559</v>
      </c>
      <c r="AZ540" s="4">
        <v>131572237</v>
      </c>
      <c r="BA540" s="4">
        <v>152452953</v>
      </c>
      <c r="BB540" s="3">
        <v>44454</v>
      </c>
      <c r="BC540" s="4">
        <v>904917</v>
      </c>
    </row>
    <row r="541" spans="40:55" hidden="1">
      <c r="AN541" s="3">
        <v>44454</v>
      </c>
      <c r="AO541" s="4">
        <v>1.01</v>
      </c>
      <c r="AP541" s="4">
        <v>1.492</v>
      </c>
      <c r="AQ541" s="4">
        <v>1.9419999999999999</v>
      </c>
      <c r="AR541" s="4">
        <v>8.18</v>
      </c>
      <c r="AS541" s="4">
        <f t="shared" si="24"/>
        <v>0.44999999999999996</v>
      </c>
      <c r="AT541" s="3">
        <v>44453</v>
      </c>
      <c r="AU541" s="4">
        <v>685559</v>
      </c>
      <c r="AV541" s="3">
        <v>44455</v>
      </c>
      <c r="AW541" s="4">
        <v>85301944</v>
      </c>
      <c r="AX541" s="4">
        <v>9482729</v>
      </c>
      <c r="AY541" s="4">
        <v>22325485</v>
      </c>
      <c r="AZ541" s="4">
        <v>131171289</v>
      </c>
      <c r="BA541" s="4">
        <v>152981326</v>
      </c>
      <c r="BB541" s="3">
        <v>44453</v>
      </c>
      <c r="BC541" s="4">
        <v>921942</v>
      </c>
    </row>
    <row r="542" spans="40:55" hidden="1">
      <c r="AN542" s="3">
        <v>44453</v>
      </c>
      <c r="AO542" s="4">
        <v>1</v>
      </c>
      <c r="AP542" s="4">
        <v>1.5349999999999999</v>
      </c>
      <c r="AQ542" s="4">
        <v>1.9750000000000001</v>
      </c>
      <c r="AR542" s="4">
        <v>8.2119999999999997</v>
      </c>
      <c r="AS542" s="4">
        <f t="shared" si="24"/>
        <v>0.44000000000000017</v>
      </c>
      <c r="AT542" s="3">
        <v>44452</v>
      </c>
      <c r="AU542" s="4">
        <v>704114</v>
      </c>
      <c r="AV542" s="3">
        <v>44454</v>
      </c>
      <c r="AW542" s="4">
        <v>85274315</v>
      </c>
      <c r="AX542" s="4">
        <v>9481332</v>
      </c>
      <c r="AY542" s="4">
        <v>22191869</v>
      </c>
      <c r="AZ542" s="4">
        <v>131242296</v>
      </c>
      <c r="BA542" s="4">
        <v>153747467</v>
      </c>
      <c r="BB542" s="3">
        <v>44452</v>
      </c>
      <c r="BC542" s="4">
        <v>934143</v>
      </c>
    </row>
    <row r="543" spans="40:55" hidden="1">
      <c r="AN543" s="3">
        <v>44452</v>
      </c>
      <c r="AO543" s="4">
        <v>1</v>
      </c>
      <c r="AP543" s="4">
        <v>1.5249999999999999</v>
      </c>
      <c r="AQ543" s="4">
        <v>1.962</v>
      </c>
      <c r="AR543" s="4">
        <v>8.202</v>
      </c>
      <c r="AS543" s="4">
        <f t="shared" si="24"/>
        <v>0.43700000000000006</v>
      </c>
      <c r="AT543" s="3">
        <v>44449</v>
      </c>
      <c r="AU543" s="4">
        <v>733419</v>
      </c>
      <c r="AV543" s="3">
        <v>44453</v>
      </c>
      <c r="AW543" s="4">
        <v>85310768</v>
      </c>
      <c r="AX543" s="4">
        <v>9467542</v>
      </c>
      <c r="AY543" s="4">
        <v>22135792</v>
      </c>
      <c r="AZ543" s="4">
        <v>131471806</v>
      </c>
      <c r="BA543" s="4">
        <v>153442513</v>
      </c>
      <c r="BB543" s="3">
        <v>44449</v>
      </c>
      <c r="BC543" s="4">
        <v>907534</v>
      </c>
    </row>
    <row r="544" spans="40:55" hidden="1">
      <c r="AN544" s="3">
        <v>44449</v>
      </c>
      <c r="AO544" s="4">
        <v>0.96</v>
      </c>
      <c r="AP544" s="4">
        <v>1.5009999999999999</v>
      </c>
      <c r="AQ544" s="4">
        <v>1.9359999999999999</v>
      </c>
      <c r="AR544" s="4">
        <v>8.1859999999999999</v>
      </c>
      <c r="AS544" s="4">
        <f t="shared" si="24"/>
        <v>0.43500000000000005</v>
      </c>
      <c r="AT544" s="3">
        <v>44448</v>
      </c>
      <c r="AU544" s="4">
        <v>610028</v>
      </c>
      <c r="AV544" s="3">
        <v>44452</v>
      </c>
      <c r="AW544" s="4">
        <v>85134192</v>
      </c>
      <c r="AX544" s="4">
        <v>9469658</v>
      </c>
      <c r="AY544" s="4">
        <v>22050799</v>
      </c>
      <c r="AZ544" s="4">
        <v>131562495</v>
      </c>
      <c r="BA544" s="4">
        <v>148872590</v>
      </c>
      <c r="BB544" s="3">
        <v>44448</v>
      </c>
      <c r="BC544" s="4">
        <v>843081</v>
      </c>
    </row>
    <row r="545" spans="40:55" hidden="1">
      <c r="AN545" s="3">
        <v>44448</v>
      </c>
      <c r="AO545" s="4">
        <v>0.93</v>
      </c>
      <c r="AP545" s="4">
        <v>1.4990000000000001</v>
      </c>
      <c r="AQ545" s="4">
        <v>1.921</v>
      </c>
      <c r="AR545" s="4">
        <v>8.1839999999999993</v>
      </c>
      <c r="AS545" s="4">
        <f t="shared" si="24"/>
        <v>0.42199999999999993</v>
      </c>
      <c r="AT545" s="3">
        <v>44447</v>
      </c>
      <c r="AU545" s="4">
        <v>610932</v>
      </c>
      <c r="AV545" s="3">
        <v>44449</v>
      </c>
      <c r="AW545" s="4">
        <v>84919988</v>
      </c>
      <c r="AX545" s="4">
        <v>9449976</v>
      </c>
      <c r="AY545" s="4">
        <v>22039623</v>
      </c>
      <c r="AZ545" s="4">
        <v>131710524</v>
      </c>
      <c r="BA545" s="4">
        <v>145587836</v>
      </c>
      <c r="BB545" s="3">
        <v>44447</v>
      </c>
      <c r="BC545" s="4">
        <v>865964</v>
      </c>
    </row>
    <row r="546" spans="40:55" hidden="1">
      <c r="AN546" s="3">
        <v>44447</v>
      </c>
      <c r="AO546" s="4">
        <v>0.92</v>
      </c>
      <c r="AP546" s="4">
        <v>1.4890000000000001</v>
      </c>
      <c r="AQ546" s="4">
        <v>1.9079999999999999</v>
      </c>
      <c r="AR546" s="4">
        <v>8.1780000000000008</v>
      </c>
      <c r="AS546" s="4">
        <f t="shared" si="24"/>
        <v>0.41899999999999982</v>
      </c>
      <c r="AT546" s="3">
        <v>44446</v>
      </c>
      <c r="AU546" s="4">
        <v>693871</v>
      </c>
      <c r="AV546" s="3">
        <v>44448</v>
      </c>
      <c r="AW546" s="4">
        <v>85094866</v>
      </c>
      <c r="AX546" s="4">
        <v>9452384</v>
      </c>
      <c r="AY546" s="4">
        <v>22003861</v>
      </c>
      <c r="AZ546" s="4">
        <v>131864748</v>
      </c>
      <c r="BA546" s="4">
        <v>152483468</v>
      </c>
      <c r="BB546" s="3">
        <v>44446</v>
      </c>
      <c r="BC546" s="4">
        <v>928096</v>
      </c>
    </row>
    <row r="547" spans="40:55" hidden="1">
      <c r="AN547" s="3">
        <v>44446</v>
      </c>
      <c r="AO547" s="4">
        <v>0.92</v>
      </c>
      <c r="AP547" s="4">
        <v>1.464</v>
      </c>
      <c r="AQ547" s="4">
        <v>1.8879999999999999</v>
      </c>
      <c r="AR547" s="4">
        <v>8.1679999999999993</v>
      </c>
      <c r="AS547" s="4">
        <f t="shared" si="24"/>
        <v>0.42399999999999993</v>
      </c>
      <c r="AT547" s="3">
        <v>44445</v>
      </c>
      <c r="AU547" s="4">
        <v>695906</v>
      </c>
      <c r="AV547" s="3">
        <v>44447</v>
      </c>
      <c r="AW547" s="4">
        <v>85766982</v>
      </c>
      <c r="AX547" s="4">
        <v>9443994</v>
      </c>
      <c r="AY547" s="4">
        <v>21999466</v>
      </c>
      <c r="AZ547" s="4">
        <v>131862445</v>
      </c>
      <c r="BA547" s="4">
        <v>159075270</v>
      </c>
      <c r="BB547" s="3">
        <v>44445</v>
      </c>
      <c r="BC547" s="4">
        <v>931072</v>
      </c>
    </row>
    <row r="548" spans="40:55" hidden="1">
      <c r="AN548" s="3">
        <v>44445</v>
      </c>
      <c r="AO548" s="4">
        <v>0.92</v>
      </c>
      <c r="AP548" s="4">
        <v>1.4590000000000001</v>
      </c>
      <c r="AQ548" s="4">
        <v>1.881</v>
      </c>
      <c r="AR548" s="4">
        <v>8.1630000000000003</v>
      </c>
      <c r="AS548" s="4">
        <f t="shared" si="24"/>
        <v>0.42199999999999993</v>
      </c>
      <c r="AT548" s="3">
        <v>44442</v>
      </c>
      <c r="AU548" s="4">
        <v>697502</v>
      </c>
      <c r="AV548" s="3">
        <v>44446</v>
      </c>
      <c r="AW548" s="4">
        <v>86127431</v>
      </c>
      <c r="AX548" s="4">
        <v>9475222</v>
      </c>
      <c r="AY548" s="4">
        <v>21955627</v>
      </c>
      <c r="AZ548" s="4">
        <v>132292640</v>
      </c>
      <c r="BA548" s="4">
        <v>163393119</v>
      </c>
      <c r="BB548" s="3">
        <v>44442</v>
      </c>
      <c r="BC548" s="4">
        <v>920614</v>
      </c>
    </row>
    <row r="549" spans="40:55" hidden="1">
      <c r="AN549" s="3">
        <v>44442</v>
      </c>
      <c r="AO549" s="4">
        <v>0.92</v>
      </c>
      <c r="AP549" s="4">
        <v>1.4370000000000001</v>
      </c>
      <c r="AQ549" s="4">
        <v>1.865</v>
      </c>
      <c r="AR549" s="4">
        <v>8.1519999999999992</v>
      </c>
      <c r="AS549" s="4">
        <f t="shared" si="24"/>
        <v>0.42799999999999994</v>
      </c>
      <c r="AT549" s="3">
        <v>44441</v>
      </c>
      <c r="AU549" s="4">
        <v>696391</v>
      </c>
      <c r="AV549" s="3">
        <v>44445</v>
      </c>
      <c r="AW549" s="4">
        <v>86217644</v>
      </c>
      <c r="AX549" s="4">
        <v>9473983</v>
      </c>
      <c r="AY549" s="4">
        <v>21936706</v>
      </c>
      <c r="AZ549" s="4">
        <v>132340417</v>
      </c>
      <c r="BA549" s="4">
        <v>162508028</v>
      </c>
      <c r="BB549" s="3">
        <v>44441</v>
      </c>
      <c r="BC549" s="4">
        <v>888503</v>
      </c>
    </row>
    <row r="550" spans="40:55" hidden="1">
      <c r="AN550" s="3">
        <v>44441</v>
      </c>
      <c r="AO550" s="4">
        <v>0.92</v>
      </c>
      <c r="AP550" s="4">
        <v>1.4219999999999999</v>
      </c>
      <c r="AQ550" s="4">
        <v>1.855</v>
      </c>
      <c r="AR550" s="4">
        <v>8.1460000000000008</v>
      </c>
      <c r="AS550" s="4">
        <f t="shared" si="24"/>
        <v>0.43300000000000005</v>
      </c>
      <c r="AT550" s="3">
        <v>44440</v>
      </c>
      <c r="AU550" s="4">
        <v>674163</v>
      </c>
      <c r="AV550" s="3">
        <v>44442</v>
      </c>
      <c r="AW550" s="4">
        <v>86032401</v>
      </c>
      <c r="AX550" s="4">
        <v>9466150</v>
      </c>
      <c r="AY550" s="4">
        <v>21918344</v>
      </c>
      <c r="AZ550" s="4">
        <v>132261293</v>
      </c>
      <c r="BA550" s="4">
        <v>161499434</v>
      </c>
      <c r="BB550" s="3">
        <v>44440</v>
      </c>
      <c r="BC550" s="4">
        <v>892751</v>
      </c>
    </row>
    <row r="551" spans="40:55" hidden="1">
      <c r="AN551" s="3">
        <v>44440</v>
      </c>
      <c r="AO551" s="4">
        <v>0.92</v>
      </c>
      <c r="AP551" s="4">
        <v>1.417</v>
      </c>
      <c r="AQ551" s="4">
        <v>1.8480000000000001</v>
      </c>
      <c r="AR551" s="4">
        <v>8.141</v>
      </c>
      <c r="AS551" s="4">
        <f t="shared" si="24"/>
        <v>0.43100000000000005</v>
      </c>
      <c r="AT551" s="3">
        <v>44439</v>
      </c>
      <c r="AU551" s="4">
        <v>695953</v>
      </c>
      <c r="AV551" s="3">
        <v>44441</v>
      </c>
      <c r="AW551" s="4">
        <v>85656968</v>
      </c>
      <c r="AX551" s="4">
        <v>9459060</v>
      </c>
      <c r="AY551" s="4">
        <v>21913630</v>
      </c>
      <c r="AZ551" s="4">
        <v>132139727</v>
      </c>
      <c r="BA551" s="4">
        <v>152259469</v>
      </c>
      <c r="BB551" s="3">
        <v>44439</v>
      </c>
      <c r="BC551" s="4">
        <v>921116</v>
      </c>
    </row>
    <row r="552" spans="40:55" hidden="1">
      <c r="AN552" s="3">
        <v>44439</v>
      </c>
      <c r="AO552" s="4">
        <v>0.92</v>
      </c>
      <c r="AP552" s="4">
        <v>1.395</v>
      </c>
      <c r="AQ552" s="4">
        <v>1.829</v>
      </c>
      <c r="AR552" s="4">
        <v>8.1259999999999994</v>
      </c>
      <c r="AS552" s="4">
        <f t="shared" si="24"/>
        <v>0.43399999999999994</v>
      </c>
      <c r="AT552" s="3">
        <v>44438</v>
      </c>
      <c r="AU552" s="4">
        <v>707269</v>
      </c>
      <c r="AV552" s="3">
        <v>44440</v>
      </c>
      <c r="AW552" s="4">
        <v>85918634</v>
      </c>
      <c r="AX552" s="4">
        <v>9425974</v>
      </c>
      <c r="AY552" s="4">
        <v>22042620</v>
      </c>
      <c r="AZ552" s="4">
        <v>131822594</v>
      </c>
      <c r="BA552" s="4">
        <v>150038735</v>
      </c>
      <c r="BB552" s="3">
        <v>44438</v>
      </c>
      <c r="BC552" s="4">
        <v>927077</v>
      </c>
    </row>
    <row r="553" spans="40:55" hidden="1">
      <c r="AN553" s="3">
        <v>44438</v>
      </c>
      <c r="AO553" s="4">
        <v>0.92</v>
      </c>
      <c r="AP553" s="4">
        <v>1.3979999999999999</v>
      </c>
      <c r="AQ553" s="4">
        <v>1.8320000000000001</v>
      </c>
      <c r="AR553" s="4">
        <v>8.1289999999999996</v>
      </c>
      <c r="AS553" s="4">
        <f t="shared" si="24"/>
        <v>0.43400000000000016</v>
      </c>
      <c r="AT553" s="3">
        <v>44435</v>
      </c>
      <c r="AU553" s="4">
        <v>712843</v>
      </c>
      <c r="AV553" s="3">
        <v>44439</v>
      </c>
      <c r="AW553" s="4">
        <v>85921570</v>
      </c>
      <c r="AX553" s="4">
        <v>9410171</v>
      </c>
      <c r="AY553" s="4">
        <v>22012601</v>
      </c>
      <c r="AZ553" s="4">
        <v>131141839</v>
      </c>
      <c r="BA553" s="4">
        <v>151056738</v>
      </c>
      <c r="BB553" s="3">
        <v>44435</v>
      </c>
      <c r="BC553" s="4">
        <v>914821</v>
      </c>
    </row>
    <row r="554" spans="40:55" hidden="1">
      <c r="AN554" s="3">
        <v>44435</v>
      </c>
      <c r="AO554" s="4">
        <v>0.92</v>
      </c>
      <c r="AP554" s="4">
        <v>1.4079999999999999</v>
      </c>
      <c r="AQ554" s="4">
        <v>1.8420000000000001</v>
      </c>
      <c r="AR554" s="4">
        <v>8.14</v>
      </c>
      <c r="AS554" s="4">
        <f t="shared" si="24"/>
        <v>0.43400000000000016</v>
      </c>
      <c r="AT554" s="3">
        <v>44434</v>
      </c>
      <c r="AU554" s="4">
        <v>641950</v>
      </c>
      <c r="AV554" s="3">
        <v>44438</v>
      </c>
      <c r="AW554" s="4">
        <v>85138872</v>
      </c>
      <c r="AX554" s="4">
        <v>9408804</v>
      </c>
      <c r="AY554" s="4">
        <v>21989484</v>
      </c>
      <c r="AZ554" s="4">
        <v>131394148</v>
      </c>
      <c r="BA554" s="4">
        <v>153635938</v>
      </c>
      <c r="BB554" s="3">
        <v>44434</v>
      </c>
      <c r="BC554" s="4">
        <v>861568</v>
      </c>
    </row>
    <row r="555" spans="40:55" hidden="1">
      <c r="AN555" s="3">
        <v>44434</v>
      </c>
      <c r="AO555" s="4">
        <v>0.92</v>
      </c>
      <c r="AP555" s="4">
        <v>1.3979999999999999</v>
      </c>
      <c r="AQ555" s="4">
        <v>1.8360000000000001</v>
      </c>
      <c r="AR555" s="4">
        <v>8.1319999999999997</v>
      </c>
      <c r="AS555" s="4">
        <f t="shared" si="24"/>
        <v>0.43800000000000017</v>
      </c>
      <c r="AT555" s="3">
        <v>44433</v>
      </c>
      <c r="AU555" s="4">
        <v>635856</v>
      </c>
      <c r="AV555" s="3">
        <v>44435</v>
      </c>
      <c r="AW555" s="4">
        <v>85008247</v>
      </c>
      <c r="AX555" s="4">
        <v>9364489</v>
      </c>
      <c r="AY555" s="4">
        <v>21987045</v>
      </c>
      <c r="AZ555" s="4">
        <v>131385495</v>
      </c>
      <c r="BA555" s="4">
        <v>155979627</v>
      </c>
      <c r="BB555" s="3">
        <v>44433</v>
      </c>
      <c r="BC555" s="4">
        <v>873716</v>
      </c>
    </row>
    <row r="556" spans="40:55" hidden="1">
      <c r="AN556" s="3">
        <v>44433</v>
      </c>
      <c r="AO556" s="4">
        <v>0.77</v>
      </c>
      <c r="AP556" s="4">
        <v>1.4350000000000001</v>
      </c>
      <c r="AQ556" s="4">
        <v>1.863</v>
      </c>
      <c r="AR556" s="4">
        <v>8.1669999999999998</v>
      </c>
      <c r="AS556" s="4">
        <f t="shared" si="24"/>
        <v>0.42799999999999994</v>
      </c>
      <c r="AT556" s="3">
        <v>44432</v>
      </c>
      <c r="AU556" s="4">
        <v>688438</v>
      </c>
      <c r="AV556" s="3">
        <v>44434</v>
      </c>
      <c r="AW556" s="4">
        <v>84980370</v>
      </c>
      <c r="AX556" s="4">
        <v>9330607</v>
      </c>
      <c r="AY556" s="4">
        <v>22009719</v>
      </c>
      <c r="AZ556" s="4">
        <v>131133172</v>
      </c>
      <c r="BA556" s="4">
        <v>155826827</v>
      </c>
      <c r="BB556" s="3">
        <v>44432</v>
      </c>
      <c r="BC556" s="4">
        <v>924616</v>
      </c>
    </row>
    <row r="557" spans="40:55" hidden="1">
      <c r="AN557" s="3">
        <v>44432</v>
      </c>
      <c r="AO557" s="4">
        <v>0.77</v>
      </c>
      <c r="AP557" s="4">
        <v>1.4379999999999999</v>
      </c>
      <c r="AQ557" s="4">
        <v>1.8620000000000001</v>
      </c>
      <c r="AR557" s="4">
        <v>8.1720000000000006</v>
      </c>
      <c r="AS557" s="4">
        <f t="shared" si="24"/>
        <v>0.42400000000000015</v>
      </c>
      <c r="AT557" s="3">
        <v>44431</v>
      </c>
      <c r="AU557" s="4">
        <v>693895</v>
      </c>
      <c r="AV557" s="3">
        <v>44433</v>
      </c>
      <c r="AW557" s="4">
        <v>84940738</v>
      </c>
      <c r="AX557" s="4">
        <v>9328733</v>
      </c>
      <c r="AY557" s="4">
        <v>21937136</v>
      </c>
      <c r="AZ557" s="4">
        <v>131137920</v>
      </c>
      <c r="BA557" s="4">
        <v>164722601</v>
      </c>
      <c r="BB557" s="3">
        <v>44431</v>
      </c>
      <c r="BC557" s="4">
        <v>934551</v>
      </c>
    </row>
    <row r="558" spans="40:55" hidden="1">
      <c r="AN558" s="3">
        <v>44431</v>
      </c>
      <c r="AO558" s="4">
        <v>0.77</v>
      </c>
      <c r="AP558" s="4">
        <v>1.389</v>
      </c>
      <c r="AQ558" s="4">
        <v>1.82</v>
      </c>
      <c r="AR558" s="4">
        <v>8.15</v>
      </c>
      <c r="AS558" s="4">
        <f t="shared" si="24"/>
        <v>0.43100000000000005</v>
      </c>
      <c r="AT558" s="3">
        <v>44428</v>
      </c>
      <c r="AU558" s="4">
        <v>696500</v>
      </c>
      <c r="AV558" s="3">
        <v>44432</v>
      </c>
      <c r="AW558" s="4">
        <v>84385654</v>
      </c>
      <c r="AX558" s="4">
        <v>9329003</v>
      </c>
      <c r="AY558" s="4">
        <v>21899651</v>
      </c>
      <c r="AZ558" s="4">
        <v>131181145</v>
      </c>
      <c r="BA558" s="4">
        <v>173784678</v>
      </c>
      <c r="BB558" s="3">
        <v>44428</v>
      </c>
      <c r="BC558" s="4">
        <v>934225</v>
      </c>
    </row>
    <row r="559" spans="40:55" hidden="1">
      <c r="AN559" s="3">
        <v>44428</v>
      </c>
      <c r="AO559" s="4">
        <v>0.76</v>
      </c>
      <c r="AP559" s="4">
        <v>1.3640000000000001</v>
      </c>
      <c r="AQ559" s="4">
        <v>1.794</v>
      </c>
      <c r="AR559" s="4">
        <v>8.1359999999999992</v>
      </c>
      <c r="AS559" s="4">
        <f t="shared" si="24"/>
        <v>0.42999999999999994</v>
      </c>
      <c r="AT559" s="3">
        <v>44427</v>
      </c>
      <c r="AU559" s="4">
        <v>698762</v>
      </c>
      <c r="AV559" s="3">
        <v>44431</v>
      </c>
      <c r="AW559" s="4">
        <v>83795913</v>
      </c>
      <c r="AX559" s="4">
        <v>9308434</v>
      </c>
      <c r="AY559" s="4">
        <v>21905587</v>
      </c>
      <c r="AZ559" s="4">
        <v>131406076</v>
      </c>
      <c r="BA559" s="4">
        <v>174754197</v>
      </c>
      <c r="BB559" s="3">
        <v>44427</v>
      </c>
      <c r="BC559" s="4">
        <v>931308</v>
      </c>
    </row>
    <row r="560" spans="40:55" hidden="1">
      <c r="AN560" s="3">
        <v>44427</v>
      </c>
      <c r="AO560" s="4">
        <v>0.76</v>
      </c>
      <c r="AP560" s="4">
        <v>1.36</v>
      </c>
      <c r="AQ560" s="4">
        <v>1.79</v>
      </c>
      <c r="AR560" s="4">
        <v>8.1340000000000003</v>
      </c>
      <c r="AS560" s="4">
        <f t="shared" si="24"/>
        <v>0.42999999999999994</v>
      </c>
      <c r="AT560" s="3">
        <v>44426</v>
      </c>
      <c r="AU560" s="4">
        <v>708378</v>
      </c>
      <c r="AV560" s="3">
        <v>44428</v>
      </c>
      <c r="AW560" s="4">
        <v>83189515</v>
      </c>
      <c r="AX560" s="4">
        <v>9282786</v>
      </c>
      <c r="AY560" s="4">
        <v>21885920</v>
      </c>
      <c r="AZ560" s="4">
        <v>131503604</v>
      </c>
      <c r="BA560" s="4">
        <v>177355365</v>
      </c>
      <c r="BB560" s="3">
        <v>44426</v>
      </c>
      <c r="BC560" s="4">
        <v>924877</v>
      </c>
    </row>
    <row r="561" spans="40:55" hidden="1">
      <c r="AN561" s="3">
        <v>44426</v>
      </c>
      <c r="AO561" s="4">
        <v>0.75</v>
      </c>
      <c r="AP561" s="4">
        <v>1.389</v>
      </c>
      <c r="AQ561" s="4">
        <v>1.8169999999999999</v>
      </c>
      <c r="AR561" s="4">
        <v>8.16</v>
      </c>
      <c r="AS561" s="4">
        <f t="shared" si="24"/>
        <v>0.42799999999999994</v>
      </c>
      <c r="AT561" s="3">
        <v>44425</v>
      </c>
      <c r="AU561" s="4">
        <v>701231</v>
      </c>
      <c r="AV561" s="3">
        <v>44427</v>
      </c>
      <c r="AW561" s="4">
        <v>83201959</v>
      </c>
      <c r="AX561" s="4">
        <v>9285350</v>
      </c>
      <c r="AY561" s="4">
        <v>21899228</v>
      </c>
      <c r="AZ561" s="4">
        <v>131581232</v>
      </c>
      <c r="BA561" s="4">
        <v>177170714</v>
      </c>
      <c r="BB561" s="3">
        <v>44425</v>
      </c>
      <c r="BC561" s="4">
        <v>909452</v>
      </c>
    </row>
    <row r="562" spans="40:55" hidden="1">
      <c r="AN562" s="3">
        <v>44425</v>
      </c>
      <c r="AO562" s="4">
        <v>0.74</v>
      </c>
      <c r="AP562" s="4">
        <v>1.4019999999999999</v>
      </c>
      <c r="AQ562" s="4">
        <v>1.83</v>
      </c>
      <c r="AR562" s="4">
        <v>8.173</v>
      </c>
      <c r="AS562" s="4">
        <f t="shared" si="24"/>
        <v>0.42800000000000016</v>
      </c>
      <c r="AT562" s="3">
        <v>44421</v>
      </c>
      <c r="AU562" s="4">
        <v>719869</v>
      </c>
      <c r="AV562" s="3">
        <v>44426</v>
      </c>
      <c r="AW562" s="4">
        <v>83763656</v>
      </c>
      <c r="AX562" s="4">
        <v>9255167</v>
      </c>
      <c r="AY562" s="4">
        <v>21908711</v>
      </c>
      <c r="AZ562" s="4">
        <v>131771481</v>
      </c>
      <c r="BA562" s="4">
        <v>178228805</v>
      </c>
      <c r="BB562" s="3">
        <v>44421</v>
      </c>
      <c r="BC562" s="4">
        <v>917674</v>
      </c>
    </row>
    <row r="563" spans="40:55" hidden="1">
      <c r="AN563" s="3">
        <v>44421</v>
      </c>
      <c r="AO563" s="4">
        <v>0.73</v>
      </c>
      <c r="AP563" s="4">
        <v>1.407</v>
      </c>
      <c r="AQ563" s="4">
        <v>1.8340000000000001</v>
      </c>
      <c r="AR563" s="4">
        <v>8.1769999999999996</v>
      </c>
      <c r="AS563" s="4">
        <f t="shared" si="24"/>
        <v>0.42700000000000005</v>
      </c>
      <c r="AT563" s="3">
        <v>44420</v>
      </c>
      <c r="AU563" s="4">
        <v>742016</v>
      </c>
      <c r="AV563" s="3">
        <v>44425</v>
      </c>
      <c r="AW563" s="4">
        <v>83518145</v>
      </c>
      <c r="AX563" s="4">
        <v>9230430</v>
      </c>
      <c r="AY563" s="4">
        <v>21915419</v>
      </c>
      <c r="AZ563" s="4">
        <v>131930741</v>
      </c>
      <c r="BA563" s="4">
        <v>179700101</v>
      </c>
      <c r="BB563" s="3">
        <v>44420</v>
      </c>
      <c r="BC563" s="4">
        <v>921294</v>
      </c>
    </row>
    <row r="564" spans="40:55" hidden="1">
      <c r="AN564" s="3">
        <v>44420</v>
      </c>
      <c r="AO564" s="4">
        <v>0.72</v>
      </c>
      <c r="AP564" s="4">
        <v>1.413</v>
      </c>
      <c r="AQ564" s="4">
        <v>1.84</v>
      </c>
      <c r="AR564" s="4">
        <v>8.1809999999999992</v>
      </c>
      <c r="AS564" s="4">
        <f t="shared" si="24"/>
        <v>0.42700000000000005</v>
      </c>
      <c r="AT564" s="3">
        <v>44419</v>
      </c>
      <c r="AU564" s="4">
        <v>666872</v>
      </c>
      <c r="AV564" s="3">
        <v>44421</v>
      </c>
      <c r="AW564" s="4">
        <v>83916471</v>
      </c>
      <c r="AX564" s="4">
        <v>9223484</v>
      </c>
      <c r="AY564" s="4">
        <v>21863319</v>
      </c>
      <c r="AZ564" s="4">
        <v>131917663</v>
      </c>
      <c r="BA564" s="4">
        <v>174485064</v>
      </c>
      <c r="BB564" s="3">
        <v>44419</v>
      </c>
      <c r="BC564" s="4">
        <v>880646</v>
      </c>
    </row>
    <row r="565" spans="40:55" hidden="1">
      <c r="AN565" s="3">
        <v>44419</v>
      </c>
      <c r="AO565" s="4">
        <v>0.71</v>
      </c>
      <c r="AP565" s="4">
        <v>1.419</v>
      </c>
      <c r="AQ565" s="4">
        <v>1.845</v>
      </c>
      <c r="AR565" s="4">
        <v>8.1869999999999994</v>
      </c>
      <c r="AS565" s="4">
        <f t="shared" si="24"/>
        <v>0.42599999999999993</v>
      </c>
      <c r="AT565" s="3">
        <v>44418</v>
      </c>
      <c r="AU565" s="4">
        <v>667997</v>
      </c>
      <c r="AV565" s="3">
        <v>44420</v>
      </c>
      <c r="AW565" s="4">
        <v>83996825</v>
      </c>
      <c r="AX565" s="4">
        <v>9224402</v>
      </c>
      <c r="AY565" s="4">
        <v>21872274</v>
      </c>
      <c r="AZ565" s="4">
        <v>132121355</v>
      </c>
      <c r="BA565" s="4">
        <v>174864638</v>
      </c>
      <c r="BB565" s="3">
        <v>44418</v>
      </c>
      <c r="BC565" s="4">
        <v>896295</v>
      </c>
    </row>
    <row r="566" spans="40:55" hidden="1">
      <c r="AN566" s="3">
        <v>44418</v>
      </c>
      <c r="AO566" s="4">
        <v>0.71</v>
      </c>
      <c r="AP566" s="4">
        <v>1.4319999999999999</v>
      </c>
      <c r="AQ566" s="4">
        <v>1.855</v>
      </c>
      <c r="AR566" s="4">
        <v>8.1989999999999998</v>
      </c>
      <c r="AS566" s="4">
        <f t="shared" si="24"/>
        <v>0.42300000000000004</v>
      </c>
      <c r="AT566" s="3">
        <v>44417</v>
      </c>
      <c r="AU566" s="4">
        <v>715824</v>
      </c>
      <c r="AV566" s="3">
        <v>44419</v>
      </c>
      <c r="AW566" s="4">
        <v>83910373</v>
      </c>
      <c r="AX566" s="4">
        <v>9223115</v>
      </c>
      <c r="AY566" s="4">
        <v>21977234</v>
      </c>
      <c r="AZ566" s="4">
        <v>132212951</v>
      </c>
      <c r="BA566" s="4">
        <v>177501856</v>
      </c>
      <c r="BB566" s="3">
        <v>44417</v>
      </c>
      <c r="BC566" s="4">
        <v>929499</v>
      </c>
    </row>
    <row r="567" spans="40:55" hidden="1">
      <c r="AN567" s="3">
        <v>44417</v>
      </c>
      <c r="AO567" s="4">
        <v>0.7</v>
      </c>
      <c r="AP567" s="4">
        <v>1.4359999999999999</v>
      </c>
      <c r="AQ567" s="4">
        <v>1.859</v>
      </c>
      <c r="AR567" s="4">
        <v>8.2040000000000006</v>
      </c>
      <c r="AS567" s="4">
        <f t="shared" si="24"/>
        <v>0.42300000000000004</v>
      </c>
      <c r="AT567" s="3">
        <v>44414</v>
      </c>
      <c r="AU567" s="4">
        <v>688074</v>
      </c>
      <c r="AV567" s="3">
        <v>44418</v>
      </c>
      <c r="AW567" s="4">
        <v>84411794</v>
      </c>
      <c r="AX567" s="4">
        <v>9212539</v>
      </c>
      <c r="AY567" s="4">
        <v>22010328</v>
      </c>
      <c r="AZ567" s="4">
        <v>132128292</v>
      </c>
      <c r="BA567" s="4">
        <v>181179019</v>
      </c>
      <c r="BB567" s="3">
        <v>44414</v>
      </c>
      <c r="BC567" s="4">
        <v>930075</v>
      </c>
    </row>
  </sheetData>
  <mergeCells count="7">
    <mergeCell ref="C2:P2"/>
    <mergeCell ref="K81:P81"/>
    <mergeCell ref="N7:O7"/>
    <mergeCell ref="C52:J52"/>
    <mergeCell ref="C61:J61"/>
    <mergeCell ref="C70:J70"/>
    <mergeCell ref="C79:J79"/>
  </mergeCells>
  <phoneticPr fontId="3" type="noConversion"/>
  <conditionalFormatting sqref="G8:G4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L46">
    <cfRule type="colorScale" priority="2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G8:L45 H32:H46">
    <cfRule type="colorScale" priority="1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IY18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8:L46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8:L31 H9:H4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dataValidations count="1">
    <dataValidation type="list" allowBlank="1" showInputMessage="1" showErrorMessage="1" sqref="E4">
      <formula1>$U$7:$U$8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P483"/>
  <sheetViews>
    <sheetView showGridLines="0" topLeftCell="B1" zoomScale="85" zoomScaleNormal="85" workbookViewId="0">
      <selection activeCell="E48" sqref="E48"/>
    </sheetView>
  </sheetViews>
  <sheetFormatPr defaultColWidth="0" defaultRowHeight="15" customHeight="1" zeroHeight="1"/>
  <cols>
    <col min="1" max="1" width="12.7109375" style="4" hidden="1" customWidth="1"/>
    <col min="2" max="2" width="3.140625" style="4" customWidth="1"/>
    <col min="3" max="3" width="22" customWidth="1"/>
    <col min="4" max="15" width="12.7109375" customWidth="1"/>
    <col min="16" max="17" width="8.85546875" customWidth="1"/>
    <col min="18" max="19" width="8.85546875" style="4" hidden="1" customWidth="1"/>
    <col min="20" max="20" width="8.85546875" style="77" hidden="1" customWidth="1"/>
    <col min="21" max="21" width="11.42578125" style="77" hidden="1" customWidth="1"/>
    <col min="22" max="22" width="12.5703125" style="77" hidden="1" customWidth="1"/>
    <col min="23" max="23" width="13.85546875" style="77" hidden="1" customWidth="1"/>
    <col min="24" max="25" width="14.140625" style="77" hidden="1" customWidth="1"/>
    <col min="26" max="26" width="11.140625" style="77" hidden="1" customWidth="1"/>
    <col min="27" max="27" width="10.42578125" style="77" hidden="1" customWidth="1"/>
    <col min="28" max="28" width="13.42578125" style="77" hidden="1" customWidth="1"/>
    <col min="29" max="29" width="13.85546875" style="77" hidden="1" customWidth="1"/>
    <col min="30" max="30" width="13" style="77" hidden="1" customWidth="1"/>
    <col min="31" max="31" width="13.85546875" style="77" hidden="1" customWidth="1"/>
    <col min="32" max="33" width="14.140625" style="77" hidden="1" customWidth="1"/>
    <col min="34" max="34" width="13.85546875" style="77" hidden="1" customWidth="1"/>
    <col min="35" max="35" width="14.140625" style="77" hidden="1" customWidth="1"/>
    <col min="36" max="36" width="14.140625" style="82" hidden="1" customWidth="1"/>
    <col min="37" max="37" width="10.7109375" style="82" hidden="1" customWidth="1"/>
    <col min="38" max="38" width="14.140625" style="82" hidden="1" customWidth="1"/>
    <col min="39" max="39" width="13.85546875" style="82" hidden="1" customWidth="1"/>
    <col min="40" max="40" width="13.28515625" style="82" hidden="1" customWidth="1"/>
    <col min="41" max="41" width="13.85546875" style="82" hidden="1" customWidth="1"/>
    <col min="42" max="42" width="10.42578125" style="82" hidden="1" customWidth="1"/>
    <col min="43" max="43" width="11" style="82" hidden="1" customWidth="1"/>
    <col min="44" max="44" width="13.28515625" style="82" hidden="1" customWidth="1"/>
    <col min="45" max="45" width="13.85546875" style="82" hidden="1" customWidth="1"/>
    <col min="46" max="46" width="13.28515625" style="82" hidden="1" customWidth="1"/>
    <col min="47" max="50" width="13.85546875" style="82" hidden="1" customWidth="1"/>
    <col min="51" max="51" width="14.140625" style="82" hidden="1" customWidth="1"/>
    <col min="52" max="56" width="13.85546875" style="82" hidden="1" customWidth="1"/>
    <col min="57" max="57" width="13" style="82" hidden="1" customWidth="1"/>
    <col min="58" max="59" width="13.85546875" style="82" hidden="1" customWidth="1"/>
    <col min="60" max="60" width="12.7109375" style="82" hidden="1" customWidth="1"/>
    <col min="61" max="61" width="13.28515625" style="82" hidden="1" customWidth="1"/>
    <col min="62" max="62" width="13" style="82" hidden="1" customWidth="1"/>
    <col min="63" max="63" width="13.85546875" style="82" hidden="1" customWidth="1"/>
    <col min="64" max="64" width="12.7109375" style="82" hidden="1" customWidth="1"/>
    <col min="65" max="71" width="13.85546875" style="82" hidden="1" customWidth="1"/>
    <col min="72" max="72" width="13" style="82" hidden="1" customWidth="1"/>
    <col min="73" max="74" width="13.85546875" style="82" hidden="1" customWidth="1"/>
    <col min="75" max="75" width="13.28515625" style="82" hidden="1" customWidth="1"/>
    <col min="76" max="87" width="13.85546875" style="82" hidden="1" customWidth="1"/>
    <col min="88" max="88" width="13" style="82" hidden="1" customWidth="1"/>
    <col min="89" max="89" width="13.28515625" style="82" hidden="1" customWidth="1"/>
    <col min="90" max="92" width="13.85546875" style="82" hidden="1" customWidth="1"/>
    <col min="93" max="93" width="13.28515625" style="82" hidden="1" customWidth="1"/>
    <col min="94" max="94" width="13.85546875" style="82" hidden="1" customWidth="1"/>
    <col min="95" max="95" width="13.28515625" style="82" hidden="1" customWidth="1"/>
    <col min="96" max="96" width="13.85546875" style="82" hidden="1" customWidth="1"/>
    <col min="97" max="97" width="14.140625" style="82" hidden="1" customWidth="1"/>
    <col min="98" max="98" width="13.85546875" style="82" hidden="1" customWidth="1"/>
    <col min="99" max="99" width="13" style="82" hidden="1" customWidth="1"/>
    <col min="100" max="102" width="13.85546875" style="82" hidden="1" customWidth="1"/>
    <col min="103" max="103" width="13.28515625" style="82" hidden="1" customWidth="1"/>
    <col min="104" max="105" width="13.85546875" style="82" hidden="1" customWidth="1"/>
    <col min="106" max="106" width="13.28515625" style="82" hidden="1" customWidth="1"/>
    <col min="107" max="110" width="13.85546875" style="82" hidden="1" customWidth="1"/>
    <col min="111" max="111" width="13" style="82" hidden="1" customWidth="1"/>
    <col min="112" max="112" width="13.28515625" style="82" hidden="1" customWidth="1"/>
    <col min="113" max="113" width="13.85546875" style="82" hidden="1" customWidth="1"/>
    <col min="114" max="114" width="13.28515625" style="82" hidden="1" customWidth="1"/>
    <col min="115" max="115" width="13.85546875" style="82" hidden="1" customWidth="1"/>
    <col min="116" max="117" width="13" style="82" hidden="1" customWidth="1"/>
    <col min="118" max="118" width="13.85546875" style="82" hidden="1" customWidth="1"/>
    <col min="119" max="121" width="13.28515625" style="82" hidden="1" customWidth="1"/>
    <col min="122" max="125" width="13.85546875" style="82" hidden="1" customWidth="1"/>
    <col min="126" max="126" width="13.28515625" style="82" hidden="1" customWidth="1"/>
    <col min="127" max="128" width="13" style="82" hidden="1" customWidth="1"/>
    <col min="129" max="129" width="13.85546875" style="82" hidden="1" customWidth="1"/>
    <col min="130" max="130" width="13.28515625" style="82" hidden="1" customWidth="1"/>
    <col min="131" max="131" width="13" style="82" hidden="1" customWidth="1"/>
    <col min="132" max="132" width="13.28515625" style="82" hidden="1" customWidth="1"/>
    <col min="133" max="133" width="13" style="82" hidden="1" customWidth="1"/>
    <col min="134" max="134" width="14.140625" style="82" hidden="1" customWidth="1"/>
    <col min="135" max="135" width="13" style="82" hidden="1" customWidth="1"/>
    <col min="136" max="136" width="13.85546875" style="82" hidden="1" customWidth="1"/>
    <col min="137" max="139" width="14.140625" style="82" hidden="1" customWidth="1"/>
    <col min="140" max="140" width="13" style="82" hidden="1" customWidth="1"/>
    <col min="141" max="142" width="13.28515625" style="82" hidden="1" customWidth="1"/>
    <col min="143" max="143" width="14.140625" style="82" hidden="1" customWidth="1"/>
    <col min="144" max="144" width="13.28515625" style="82" hidden="1" customWidth="1"/>
    <col min="145" max="145" width="13" style="82" hidden="1" customWidth="1"/>
    <col min="146" max="146" width="13.85546875" style="82" hidden="1" customWidth="1"/>
    <col min="147" max="148" width="13" style="82" hidden="1" customWidth="1"/>
    <col min="149" max="149" width="13.85546875" style="82" hidden="1" customWidth="1"/>
    <col min="150" max="150" width="14.140625" style="82" hidden="1" customWidth="1"/>
    <col min="151" max="151" width="13.85546875" style="82" hidden="1" customWidth="1"/>
    <col min="152" max="152" width="13" style="82" hidden="1" customWidth="1"/>
    <col min="153" max="153" width="13.85546875" style="82" hidden="1" customWidth="1"/>
    <col min="154" max="154" width="13" style="82" hidden="1" customWidth="1"/>
    <col min="155" max="155" width="13.28515625" style="82" hidden="1" customWidth="1"/>
    <col min="156" max="156" width="13.85546875" style="82" hidden="1" customWidth="1"/>
    <col min="157" max="157" width="13.28515625" style="82" hidden="1" customWidth="1"/>
    <col min="158" max="158" width="13" style="82" hidden="1" customWidth="1"/>
    <col min="159" max="159" width="13.28515625" style="82" hidden="1" customWidth="1"/>
    <col min="160" max="160" width="13.85546875" style="82" hidden="1" customWidth="1"/>
    <col min="161" max="161" width="12.7109375" style="82" hidden="1" customWidth="1"/>
    <col min="162" max="162" width="13.85546875" style="82" hidden="1" customWidth="1"/>
    <col min="163" max="163" width="13.28515625" style="82" hidden="1" customWidth="1"/>
    <col min="164" max="165" width="13.85546875" style="82" hidden="1" customWidth="1"/>
    <col min="166" max="167" width="13.28515625" style="82" hidden="1" customWidth="1"/>
    <col min="168" max="168" width="13.85546875" style="82" hidden="1" customWidth="1"/>
    <col min="169" max="170" width="13" style="82" hidden="1" customWidth="1"/>
    <col min="171" max="171" width="13.85546875" style="82" hidden="1" customWidth="1"/>
    <col min="172" max="172" width="13.28515625" style="82" hidden="1" customWidth="1"/>
    <col min="173" max="173" width="13" style="82" hidden="1" customWidth="1"/>
    <col min="174" max="178" width="13.85546875" style="82" hidden="1" customWidth="1"/>
    <col min="179" max="179" width="14.140625" style="82" hidden="1" customWidth="1"/>
    <col min="180" max="182" width="13.85546875" style="82" hidden="1" customWidth="1"/>
    <col min="183" max="183" width="14.140625" style="82" hidden="1" customWidth="1"/>
    <col min="184" max="186" width="13.85546875" style="82" hidden="1" customWidth="1"/>
    <col min="187" max="188" width="13.28515625" style="82" hidden="1" customWidth="1"/>
    <col min="189" max="189" width="13" style="82" hidden="1" customWidth="1"/>
    <col min="190" max="190" width="13.85546875" style="82" hidden="1" customWidth="1"/>
    <col min="191" max="191" width="14.140625" style="82" hidden="1" customWidth="1"/>
    <col min="192" max="192" width="13.85546875" style="82" hidden="1" customWidth="1"/>
    <col min="193" max="193" width="13.28515625" style="82" hidden="1" customWidth="1"/>
    <col min="194" max="195" width="14.140625" style="82" hidden="1" customWidth="1"/>
    <col min="196" max="196" width="13" style="82" hidden="1" customWidth="1"/>
    <col min="197" max="197" width="13.85546875" style="82" hidden="1" customWidth="1"/>
    <col min="198" max="198" width="14.140625" style="82" hidden="1" customWidth="1"/>
    <col min="199" max="200" width="13.85546875" style="82" hidden="1" customWidth="1"/>
    <col min="201" max="201" width="13" style="82" hidden="1" customWidth="1"/>
    <col min="202" max="205" width="13.85546875" style="82" hidden="1" customWidth="1"/>
    <col min="206" max="206" width="13" style="82" hidden="1" customWidth="1"/>
    <col min="207" max="207" width="13.28515625" style="82" hidden="1" customWidth="1"/>
    <col min="208" max="208" width="13" style="82" hidden="1" customWidth="1"/>
    <col min="209" max="211" width="13.85546875" style="82" hidden="1" customWidth="1"/>
    <col min="212" max="212" width="13" style="82" hidden="1" customWidth="1"/>
    <col min="213" max="213" width="14.140625" style="82" hidden="1" customWidth="1"/>
    <col min="214" max="214" width="13.85546875" style="82" hidden="1" customWidth="1"/>
    <col min="215" max="215" width="13" style="82" hidden="1" customWidth="1"/>
    <col min="216" max="216" width="13.85546875" style="82" hidden="1" customWidth="1"/>
    <col min="217" max="218" width="13" style="82" hidden="1" customWidth="1"/>
    <col min="219" max="219" width="13.28515625" style="82" hidden="1" customWidth="1"/>
    <col min="220" max="221" width="13.85546875" style="82" hidden="1" customWidth="1"/>
    <col min="222" max="222" width="13.28515625" style="82" hidden="1" customWidth="1"/>
    <col min="223" max="223" width="13" style="82" hidden="1" customWidth="1"/>
    <col min="224" max="224" width="13.85546875" style="82" hidden="1" customWidth="1"/>
    <col min="225" max="225" width="13.28515625" style="82" hidden="1" customWidth="1"/>
    <col min="226" max="226" width="13.85546875" style="82" hidden="1" customWidth="1"/>
    <col min="227" max="227" width="13.28515625" style="82" hidden="1" customWidth="1"/>
    <col min="228" max="228" width="13.85546875" style="82" hidden="1" customWidth="1"/>
    <col min="229" max="230" width="13" style="82" hidden="1" customWidth="1"/>
    <col min="231" max="231" width="13.85546875" style="82" hidden="1" customWidth="1"/>
    <col min="232" max="232" width="14.140625" style="82" hidden="1" customWidth="1"/>
    <col min="233" max="238" width="13.85546875" style="82" hidden="1" customWidth="1"/>
    <col min="239" max="239" width="14.140625" style="82" hidden="1" customWidth="1"/>
    <col min="240" max="241" width="13.85546875" style="82" hidden="1" customWidth="1"/>
    <col min="242" max="242" width="13" style="82" hidden="1" customWidth="1"/>
    <col min="243" max="243" width="13.85546875" style="82" hidden="1" customWidth="1"/>
    <col min="244" max="244" width="14.140625" style="82" hidden="1" customWidth="1"/>
    <col min="245" max="245" width="13" style="82" hidden="1" customWidth="1"/>
    <col min="246" max="247" width="13.85546875" style="82" hidden="1" customWidth="1"/>
    <col min="248" max="248" width="14.140625" style="82" hidden="1" customWidth="1"/>
    <col min="249" max="249" width="13.85546875" style="82" hidden="1" customWidth="1"/>
    <col min="250" max="253" width="14.140625" style="82" hidden="1" customWidth="1"/>
    <col min="254" max="254" width="13.85546875" style="82" hidden="1" customWidth="1"/>
    <col min="255" max="255" width="14.140625" style="82" hidden="1" customWidth="1"/>
    <col min="256" max="256" width="13" style="82" hidden="1" customWidth="1"/>
    <col min="257" max="257" width="14.140625" style="82" hidden="1" customWidth="1"/>
    <col min="258" max="259" width="13.85546875" style="82" hidden="1" customWidth="1"/>
    <col min="260" max="260" width="13.28515625" style="82" hidden="1" customWidth="1"/>
    <col min="261" max="261" width="13.85546875" style="82" hidden="1" customWidth="1"/>
    <col min="262" max="262" width="13.28515625" style="82" hidden="1" customWidth="1"/>
    <col min="263" max="263" width="13.85546875" style="82" hidden="1" customWidth="1"/>
    <col min="264" max="264" width="13.28515625" style="82" hidden="1" customWidth="1"/>
    <col min="265" max="265" width="13.85546875" style="82" hidden="1" customWidth="1"/>
    <col min="266" max="269" width="14.140625" style="82" hidden="1" customWidth="1"/>
    <col min="270" max="273" width="13.85546875" style="82" hidden="1" customWidth="1"/>
    <col min="274" max="274" width="13" style="82" hidden="1" customWidth="1"/>
    <col min="275" max="275" width="14.140625" style="82" hidden="1" customWidth="1"/>
    <col min="276" max="278" width="13.85546875" style="82" hidden="1" customWidth="1"/>
    <col min="279" max="280" width="13.28515625" style="82" hidden="1" customWidth="1"/>
    <col min="281" max="282" width="14.140625" style="82" hidden="1" customWidth="1"/>
    <col min="283" max="283" width="13.85546875" style="82" hidden="1" customWidth="1"/>
    <col min="284" max="284" width="14.140625" style="82" hidden="1" customWidth="1"/>
    <col min="285" max="285" width="13.85546875" style="82" hidden="1" customWidth="1"/>
    <col min="286" max="286" width="13.28515625" style="82" hidden="1" customWidth="1"/>
    <col min="287" max="287" width="14.140625" style="82" hidden="1" customWidth="1"/>
    <col min="288" max="288" width="13" style="82" hidden="1" customWidth="1"/>
    <col min="289" max="290" width="14.140625" style="82" hidden="1" customWidth="1"/>
    <col min="291" max="291" width="13.85546875" style="82" hidden="1" customWidth="1"/>
    <col min="292" max="292" width="14.140625" style="82" hidden="1" customWidth="1"/>
    <col min="293" max="294" width="13.85546875" style="82" hidden="1" customWidth="1"/>
    <col min="295" max="295" width="14.140625" style="82" hidden="1" customWidth="1"/>
    <col min="296" max="296" width="12.7109375" style="82" hidden="1" customWidth="1"/>
    <col min="297" max="297" width="13" style="82" hidden="1" customWidth="1"/>
    <col min="298" max="299" width="13.85546875" style="82" hidden="1" customWidth="1"/>
    <col min="300" max="300" width="13" style="82" hidden="1" customWidth="1"/>
    <col min="301" max="301" width="13.28515625" style="82" hidden="1" customWidth="1"/>
    <col min="302" max="302" width="14.140625" style="82" hidden="1" customWidth="1"/>
    <col min="303" max="303" width="13.28515625" style="82" hidden="1" customWidth="1"/>
    <col min="304" max="306" width="13.85546875" style="82" hidden="1" customWidth="1"/>
    <col min="307" max="307" width="13" style="82" hidden="1" customWidth="1"/>
    <col min="308" max="310" width="13.85546875" style="82" hidden="1" customWidth="1"/>
    <col min="311" max="311" width="13.28515625" style="82" hidden="1" customWidth="1"/>
    <col min="312" max="312" width="14.140625" style="82" hidden="1" customWidth="1"/>
    <col min="313" max="313" width="13.85546875" style="82" hidden="1" customWidth="1"/>
    <col min="314" max="314" width="13" style="82" hidden="1" customWidth="1"/>
    <col min="315" max="318" width="13.85546875" style="82" hidden="1" customWidth="1"/>
    <col min="319" max="319" width="13" style="82" hidden="1" customWidth="1"/>
    <col min="320" max="320" width="13.85546875" style="82" hidden="1" customWidth="1"/>
    <col min="321" max="321" width="13" style="82" hidden="1" customWidth="1"/>
    <col min="322" max="322" width="13.28515625" style="82" hidden="1" customWidth="1"/>
    <col min="323" max="323" width="13.85546875" style="82" hidden="1" customWidth="1"/>
    <col min="324" max="324" width="14.140625" style="82" hidden="1" customWidth="1"/>
    <col min="325" max="325" width="12.7109375" style="82" hidden="1" customWidth="1"/>
    <col min="326" max="329" width="13.85546875" style="82" hidden="1" customWidth="1"/>
    <col min="330" max="330" width="14.140625" style="82" hidden="1" customWidth="1"/>
    <col min="331" max="331" width="13.28515625" style="82" hidden="1" customWidth="1"/>
    <col min="332" max="337" width="13.85546875" style="82" hidden="1" customWidth="1"/>
    <col min="338" max="338" width="13" style="82" hidden="1" customWidth="1"/>
    <col min="339" max="339" width="13.85546875" style="82" hidden="1" customWidth="1"/>
    <col min="340" max="340" width="14.140625" style="82" hidden="1" customWidth="1"/>
    <col min="341" max="341" width="13.85546875" style="82" hidden="1" customWidth="1"/>
    <col min="342" max="342" width="13" style="82" hidden="1" customWidth="1"/>
    <col min="343" max="343" width="13.85546875" style="82" hidden="1" customWidth="1"/>
    <col min="344" max="344" width="14.140625" style="82" hidden="1" customWidth="1"/>
    <col min="345" max="346" width="13.85546875" style="82" hidden="1" customWidth="1"/>
    <col min="347" max="347" width="14.140625" style="82" hidden="1" customWidth="1"/>
    <col min="348" max="348" width="13.85546875" style="82" hidden="1" customWidth="1"/>
    <col min="349" max="350" width="13.28515625" style="82" hidden="1" customWidth="1"/>
    <col min="351" max="352" width="13" style="82" hidden="1" customWidth="1"/>
    <col min="353" max="353" width="13.85546875" style="82" hidden="1" customWidth="1"/>
    <col min="354" max="354" width="13" style="82" hidden="1" customWidth="1"/>
    <col min="355" max="355" width="13.85546875" style="82" hidden="1" customWidth="1"/>
    <col min="356" max="356" width="13" style="82" hidden="1" customWidth="1"/>
    <col min="357" max="357" width="13.85546875" style="82" hidden="1" customWidth="1"/>
    <col min="358" max="358" width="13" style="82" hidden="1" customWidth="1"/>
    <col min="359" max="360" width="13.85546875" style="82" hidden="1" customWidth="1"/>
    <col min="361" max="361" width="13" style="82" hidden="1" customWidth="1"/>
    <col min="362" max="362" width="13.28515625" style="82" hidden="1" customWidth="1"/>
    <col min="363" max="363" width="13.85546875" style="82" hidden="1" customWidth="1"/>
    <col min="364" max="364" width="13.28515625" style="82" hidden="1" customWidth="1"/>
    <col min="365" max="365" width="13" style="82" hidden="1" customWidth="1"/>
    <col min="366" max="368" width="13.85546875" style="82" hidden="1" customWidth="1"/>
    <col min="369" max="369" width="14.140625" style="82" hidden="1" customWidth="1"/>
    <col min="370" max="371" width="13.28515625" style="82" hidden="1" customWidth="1"/>
    <col min="372" max="372" width="13" style="82" hidden="1" customWidth="1"/>
    <col min="373" max="374" width="13.28515625" style="82" hidden="1" customWidth="1"/>
    <col min="375" max="375" width="13.85546875" style="82" hidden="1" customWidth="1"/>
    <col min="376" max="376" width="13.28515625" style="82" hidden="1" customWidth="1"/>
    <col min="377" max="377" width="14.140625" style="82" hidden="1" customWidth="1"/>
    <col min="378" max="378" width="13.28515625" style="82" hidden="1" customWidth="1"/>
    <col min="379" max="381" width="13.85546875" style="82" hidden="1" customWidth="1"/>
    <col min="382" max="382" width="14.140625" style="82" hidden="1" customWidth="1"/>
    <col min="383" max="383" width="13.85546875" style="82" hidden="1" customWidth="1"/>
    <col min="384" max="384" width="13.28515625" style="82" hidden="1" customWidth="1"/>
    <col min="385" max="385" width="13.85546875" style="82" hidden="1" customWidth="1"/>
    <col min="386" max="386" width="14.140625" style="82" hidden="1" customWidth="1"/>
    <col min="387" max="16384" width="9.140625" style="82" hidden="1"/>
  </cols>
  <sheetData>
    <row r="1" spans="1:386" s="77" customFormat="1" ht="15" customHeight="1">
      <c r="A1" s="4"/>
      <c r="B1" s="4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s="4"/>
      <c r="S1" s="4"/>
    </row>
    <row r="2" spans="1:386" s="77" customFormat="1" ht="29.25" customHeight="1">
      <c r="A2" s="4"/>
      <c r="B2" s="4"/>
      <c r="C2" s="218" t="s">
        <v>246</v>
      </c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/>
      <c r="R2" s="4"/>
      <c r="S2" s="4"/>
    </row>
    <row r="3" spans="1:386" s="165" customFormat="1" ht="6.75" customHeight="1">
      <c r="A3" s="4"/>
      <c r="B3" s="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3"/>
      <c r="R3" s="163"/>
      <c r="S3" s="163"/>
    </row>
    <row r="4" spans="1:386" s="77" customFormat="1" ht="15" customHeight="1">
      <c r="B4" s="4"/>
      <c r="C4" s="28" t="s">
        <v>189</v>
      </c>
      <c r="D4" s="217">
        <f ca="1">WORKDAY(TODAY(),-1)</f>
        <v>45155</v>
      </c>
      <c r="E4"/>
      <c r="F4"/>
      <c r="G4"/>
      <c r="H4"/>
      <c r="I4"/>
      <c r="J4"/>
      <c r="K4"/>
      <c r="L4"/>
      <c r="M4"/>
      <c r="N4"/>
      <c r="O4"/>
      <c r="P4"/>
      <c r="Q4"/>
      <c r="R4" s="4"/>
      <c r="S4" s="4"/>
    </row>
    <row r="5" spans="1:386" s="77" customFormat="1" ht="15" customHeight="1" thickBot="1">
      <c r="A5" s="4"/>
      <c r="B5" s="4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4"/>
      <c r="S5" s="4"/>
      <c r="U5" s="77" t="str">
        <f ca="1">_xll.IMDH("FUT","C01",U6:U18,TODAY()-2543,$D$4,365,"Per=일,sort=D,real=true,Bizday=0,Quote=종가,Pos=11,Orient=H,Title=코스피200선물,DtFmt=1,TmFmt=1")</f>
        <v>코스피200선물</v>
      </c>
    </row>
    <row r="6" spans="1:386" s="77" customFormat="1" ht="15" customHeight="1">
      <c r="A6" s="4"/>
      <c r="B6" s="4"/>
      <c r="C6" s="150" t="s">
        <v>247</v>
      </c>
      <c r="D6" s="144">
        <f>IF(V6="","",V6)</f>
        <v>45155</v>
      </c>
      <c r="E6" s="144">
        <f t="shared" ref="E6:O15" si="0">IF(W6="","",W6)</f>
        <v>45154</v>
      </c>
      <c r="F6" s="144">
        <f t="shared" si="0"/>
        <v>45152</v>
      </c>
      <c r="G6" s="144">
        <f t="shared" si="0"/>
        <v>45149</v>
      </c>
      <c r="H6" s="144">
        <f t="shared" si="0"/>
        <v>45148</v>
      </c>
      <c r="I6" s="144">
        <f t="shared" si="0"/>
        <v>45147</v>
      </c>
      <c r="J6" s="144">
        <f t="shared" si="0"/>
        <v>45146</v>
      </c>
      <c r="K6" s="144">
        <f t="shared" si="0"/>
        <v>45145</v>
      </c>
      <c r="L6" s="144">
        <f t="shared" si="0"/>
        <v>45142</v>
      </c>
      <c r="M6" s="144">
        <f t="shared" si="0"/>
        <v>45141</v>
      </c>
      <c r="N6" s="144">
        <f t="shared" si="0"/>
        <v>45140</v>
      </c>
      <c r="O6" s="145">
        <f t="shared" si="0"/>
        <v>45139</v>
      </c>
      <c r="P6"/>
      <c r="Q6"/>
      <c r="R6" s="4"/>
      <c r="S6" s="4"/>
      <c r="U6" s="78" t="s">
        <v>176</v>
      </c>
      <c r="V6" s="79">
        <v>45155</v>
      </c>
      <c r="W6" s="79">
        <v>45154</v>
      </c>
      <c r="X6" s="79">
        <v>45152</v>
      </c>
      <c r="Y6" s="79">
        <v>45149</v>
      </c>
      <c r="Z6" s="79">
        <v>45148</v>
      </c>
      <c r="AA6" s="79">
        <v>45147</v>
      </c>
      <c r="AB6" s="79">
        <v>45146</v>
      </c>
      <c r="AC6" s="79">
        <v>45145</v>
      </c>
      <c r="AD6" s="79">
        <v>45142</v>
      </c>
      <c r="AE6" s="79">
        <v>45141</v>
      </c>
      <c r="AF6" s="79">
        <v>45140</v>
      </c>
      <c r="AG6" s="79">
        <v>45139</v>
      </c>
      <c r="AH6" s="79">
        <v>45138</v>
      </c>
      <c r="AI6" s="79">
        <v>45135</v>
      </c>
      <c r="AJ6" s="79">
        <v>45134</v>
      </c>
      <c r="AK6" s="79">
        <v>45133</v>
      </c>
      <c r="AL6" s="79">
        <v>45132</v>
      </c>
      <c r="AM6" s="79">
        <v>45131</v>
      </c>
      <c r="AN6" s="79">
        <v>45128</v>
      </c>
      <c r="AO6" s="79">
        <v>45127</v>
      </c>
      <c r="AP6" s="79">
        <v>45126</v>
      </c>
      <c r="AQ6" s="79">
        <v>45125</v>
      </c>
      <c r="AR6" s="79">
        <v>45124</v>
      </c>
      <c r="AS6" s="79">
        <v>45121</v>
      </c>
      <c r="AT6" s="79">
        <v>45120</v>
      </c>
      <c r="AU6" s="79">
        <v>45119</v>
      </c>
      <c r="AV6" s="79">
        <v>45118</v>
      </c>
      <c r="AW6" s="79">
        <v>45117</v>
      </c>
      <c r="AX6" s="79">
        <v>45114</v>
      </c>
      <c r="AY6" s="79">
        <v>45113</v>
      </c>
      <c r="AZ6" s="79">
        <v>45112</v>
      </c>
      <c r="BA6" s="79">
        <v>45111</v>
      </c>
      <c r="BB6" s="79">
        <v>45110</v>
      </c>
      <c r="BC6" s="79">
        <v>45107</v>
      </c>
      <c r="BD6" s="79">
        <v>45106</v>
      </c>
      <c r="BE6" s="79">
        <v>45105</v>
      </c>
      <c r="BF6" s="79">
        <v>45104</v>
      </c>
      <c r="BG6" s="79">
        <v>45103</v>
      </c>
      <c r="BH6" s="79">
        <v>45100</v>
      </c>
      <c r="BI6" s="79">
        <v>45099</v>
      </c>
      <c r="BJ6" s="79">
        <v>45098</v>
      </c>
      <c r="BK6" s="79">
        <v>45097</v>
      </c>
      <c r="BL6" s="79">
        <v>45096</v>
      </c>
      <c r="BM6" s="79">
        <v>45093</v>
      </c>
      <c r="BN6" s="79">
        <v>45092</v>
      </c>
      <c r="BO6" s="79">
        <v>45091</v>
      </c>
      <c r="BP6" s="79">
        <v>45090</v>
      </c>
      <c r="BQ6" s="79">
        <v>45089</v>
      </c>
      <c r="BR6" s="79">
        <v>45086</v>
      </c>
      <c r="BS6" s="79">
        <v>45085</v>
      </c>
      <c r="BT6" s="79">
        <v>45084</v>
      </c>
      <c r="BU6" s="79">
        <v>45082</v>
      </c>
      <c r="BV6" s="79">
        <v>45079</v>
      </c>
      <c r="BW6" s="79">
        <v>45078</v>
      </c>
      <c r="BX6" s="79">
        <v>45077</v>
      </c>
      <c r="BY6" s="79">
        <v>45076</v>
      </c>
      <c r="BZ6" s="79">
        <v>45072</v>
      </c>
      <c r="CA6" s="79">
        <v>45071</v>
      </c>
      <c r="CB6" s="79">
        <v>45070</v>
      </c>
      <c r="CC6" s="79">
        <v>45069</v>
      </c>
      <c r="CD6" s="79">
        <v>45068</v>
      </c>
      <c r="CE6" s="79">
        <v>45065</v>
      </c>
      <c r="CF6" s="79">
        <v>45064</v>
      </c>
      <c r="CG6" s="79">
        <v>45063</v>
      </c>
      <c r="CH6" s="79">
        <v>45062</v>
      </c>
      <c r="CI6" s="79">
        <v>45061</v>
      </c>
      <c r="CJ6" s="79">
        <v>45058</v>
      </c>
      <c r="CK6" s="79">
        <v>45057</v>
      </c>
      <c r="CL6" s="79">
        <v>45056</v>
      </c>
      <c r="CM6" s="79">
        <v>45055</v>
      </c>
      <c r="CN6" s="79">
        <v>45054</v>
      </c>
      <c r="CO6" s="79">
        <v>45050</v>
      </c>
      <c r="CP6" s="79">
        <v>45049</v>
      </c>
      <c r="CQ6" s="79">
        <v>45048</v>
      </c>
      <c r="CR6" s="79">
        <v>45044</v>
      </c>
      <c r="CS6" s="79">
        <v>45043</v>
      </c>
      <c r="CT6" s="79">
        <v>45042</v>
      </c>
      <c r="CU6" s="79">
        <v>45041</v>
      </c>
      <c r="CV6" s="79">
        <v>45040</v>
      </c>
      <c r="CW6" s="79">
        <v>45037</v>
      </c>
      <c r="CX6" s="79">
        <v>45036</v>
      </c>
      <c r="CY6" s="79">
        <v>45035</v>
      </c>
      <c r="CZ6" s="79">
        <v>45034</v>
      </c>
      <c r="DA6" s="79">
        <v>45033</v>
      </c>
      <c r="DB6" s="79">
        <v>45030</v>
      </c>
      <c r="DC6" s="79">
        <v>45029</v>
      </c>
      <c r="DD6" s="79">
        <v>45028</v>
      </c>
      <c r="DE6" s="79">
        <v>45027</v>
      </c>
      <c r="DF6" s="79">
        <v>45026</v>
      </c>
      <c r="DG6" s="79">
        <v>45023</v>
      </c>
      <c r="DH6" s="79">
        <v>45022</v>
      </c>
      <c r="DI6" s="79">
        <v>45021</v>
      </c>
      <c r="DJ6" s="79">
        <v>45020</v>
      </c>
      <c r="DK6" s="79">
        <v>45019</v>
      </c>
      <c r="DL6" s="79">
        <v>45016</v>
      </c>
      <c r="DM6" s="79">
        <v>45015</v>
      </c>
      <c r="DN6" s="79">
        <v>45014</v>
      </c>
      <c r="DO6" s="79">
        <v>45013</v>
      </c>
      <c r="DP6" s="79">
        <v>45012</v>
      </c>
      <c r="DQ6" s="79">
        <v>45009</v>
      </c>
      <c r="DR6" s="79">
        <v>45008</v>
      </c>
      <c r="DS6" s="79">
        <v>45007</v>
      </c>
      <c r="DT6" s="79">
        <v>45006</v>
      </c>
      <c r="DU6" s="79">
        <v>45005</v>
      </c>
      <c r="DV6" s="79">
        <v>45002</v>
      </c>
      <c r="DW6" s="79">
        <v>45001</v>
      </c>
      <c r="DX6" s="79">
        <v>45000</v>
      </c>
      <c r="DY6" s="79">
        <v>44999</v>
      </c>
      <c r="DZ6" s="79">
        <v>44998</v>
      </c>
      <c r="EA6" s="79">
        <v>44995</v>
      </c>
      <c r="EB6" s="79">
        <v>44994</v>
      </c>
      <c r="EC6" s="79">
        <v>44993</v>
      </c>
      <c r="ED6" s="79">
        <v>44992</v>
      </c>
      <c r="EE6" s="79">
        <v>44991</v>
      </c>
      <c r="EF6" s="79">
        <v>44988</v>
      </c>
      <c r="EG6" s="79">
        <v>44987</v>
      </c>
      <c r="EH6" s="79">
        <v>44985</v>
      </c>
      <c r="EI6" s="79">
        <v>44984</v>
      </c>
      <c r="EJ6" s="79">
        <v>44981</v>
      </c>
      <c r="EK6" s="79">
        <v>44980</v>
      </c>
      <c r="EL6" s="79">
        <v>44979</v>
      </c>
      <c r="EM6" s="79">
        <v>44978</v>
      </c>
      <c r="EN6" s="79">
        <v>44977</v>
      </c>
      <c r="EO6" s="79">
        <v>44974</v>
      </c>
      <c r="EP6" s="79">
        <v>44973</v>
      </c>
      <c r="EQ6" s="79">
        <v>44972</v>
      </c>
      <c r="ER6" s="79">
        <v>44971</v>
      </c>
      <c r="ES6" s="79">
        <v>44970</v>
      </c>
      <c r="ET6" s="79">
        <v>44967</v>
      </c>
      <c r="EU6" s="79">
        <v>44966</v>
      </c>
      <c r="EV6" s="79">
        <v>44965</v>
      </c>
      <c r="EW6" s="79">
        <v>44964</v>
      </c>
      <c r="EX6" s="79">
        <v>44963</v>
      </c>
      <c r="EY6" s="79">
        <v>44960</v>
      </c>
      <c r="EZ6" s="79">
        <v>44959</v>
      </c>
      <c r="FA6" s="79">
        <v>44958</v>
      </c>
      <c r="FB6" s="79">
        <v>44957</v>
      </c>
      <c r="FC6" s="79">
        <v>44956</v>
      </c>
      <c r="FD6" s="79">
        <v>44953</v>
      </c>
      <c r="FE6" s="79">
        <v>44952</v>
      </c>
      <c r="FF6" s="79">
        <v>44951</v>
      </c>
      <c r="FG6" s="79">
        <v>44946</v>
      </c>
      <c r="FH6" s="79">
        <v>44945</v>
      </c>
      <c r="FI6" s="79">
        <v>44944</v>
      </c>
      <c r="FJ6" s="79">
        <v>44943</v>
      </c>
      <c r="FK6" s="79">
        <v>44942</v>
      </c>
      <c r="FL6" s="79">
        <v>44939</v>
      </c>
      <c r="FM6" s="79">
        <v>44938</v>
      </c>
      <c r="FN6" s="79">
        <v>44937</v>
      </c>
      <c r="FO6" s="79">
        <v>44936</v>
      </c>
      <c r="FP6" s="79">
        <v>44935</v>
      </c>
      <c r="FQ6" s="79">
        <v>44932</v>
      </c>
      <c r="FR6" s="79">
        <v>44931</v>
      </c>
      <c r="FS6" s="79">
        <v>44930</v>
      </c>
      <c r="FT6" s="79">
        <v>44929</v>
      </c>
      <c r="FU6" s="79">
        <v>44928</v>
      </c>
      <c r="FV6" s="79">
        <v>44924</v>
      </c>
      <c r="FW6" s="79">
        <v>44923</v>
      </c>
      <c r="FX6" s="79">
        <v>44922</v>
      </c>
      <c r="FY6" s="79">
        <v>44921</v>
      </c>
      <c r="FZ6" s="79">
        <v>44918</v>
      </c>
      <c r="GA6" s="79">
        <v>44917</v>
      </c>
      <c r="GB6" s="79">
        <v>44916</v>
      </c>
      <c r="GC6" s="79">
        <v>44915</v>
      </c>
      <c r="GD6" s="79">
        <v>44914</v>
      </c>
      <c r="GE6" s="79">
        <v>44911</v>
      </c>
      <c r="GF6" s="79">
        <v>44910</v>
      </c>
      <c r="GG6" s="79">
        <v>44909</v>
      </c>
      <c r="GH6" s="79">
        <v>44908</v>
      </c>
      <c r="GI6" s="79">
        <v>44907</v>
      </c>
      <c r="GJ6" s="79">
        <v>44904</v>
      </c>
      <c r="GK6" s="79">
        <v>44903</v>
      </c>
      <c r="GL6" s="79">
        <v>44902</v>
      </c>
      <c r="GM6" s="79">
        <v>44901</v>
      </c>
      <c r="GN6" s="79">
        <v>44900</v>
      </c>
      <c r="GO6" s="79">
        <v>44897</v>
      </c>
      <c r="GP6" s="79">
        <v>44896</v>
      </c>
      <c r="GQ6" s="79">
        <v>44895</v>
      </c>
      <c r="GR6" s="79">
        <v>44894</v>
      </c>
      <c r="GS6" s="79">
        <v>44893</v>
      </c>
      <c r="GT6" s="79">
        <v>44890</v>
      </c>
      <c r="GU6" s="79">
        <v>44889</v>
      </c>
      <c r="GV6" s="79">
        <v>44888</v>
      </c>
      <c r="GW6" s="79">
        <v>44887</v>
      </c>
      <c r="GX6" s="79">
        <v>44886</v>
      </c>
      <c r="GY6" s="79">
        <v>44883</v>
      </c>
      <c r="GZ6" s="79">
        <v>44882</v>
      </c>
      <c r="HA6" s="79">
        <v>44881</v>
      </c>
      <c r="HB6" s="79">
        <v>44880</v>
      </c>
      <c r="HC6" s="79">
        <v>44879</v>
      </c>
      <c r="HD6" s="79">
        <v>44876</v>
      </c>
      <c r="HE6" s="79">
        <v>44875</v>
      </c>
      <c r="HF6" s="79">
        <v>44874</v>
      </c>
      <c r="HG6" s="79">
        <v>44873</v>
      </c>
      <c r="HH6" s="79">
        <v>44872</v>
      </c>
      <c r="HI6" s="79">
        <v>44869</v>
      </c>
      <c r="HJ6" s="79">
        <v>44868</v>
      </c>
      <c r="HK6" s="79">
        <v>44867</v>
      </c>
      <c r="HL6" s="79">
        <v>44866</v>
      </c>
      <c r="HM6" s="79">
        <v>44865</v>
      </c>
      <c r="HN6" s="79">
        <v>44862</v>
      </c>
      <c r="HO6" s="79">
        <v>44861</v>
      </c>
      <c r="HP6" s="79">
        <v>44860</v>
      </c>
      <c r="HQ6" s="79">
        <v>44859</v>
      </c>
      <c r="HR6" s="79">
        <v>44858</v>
      </c>
      <c r="HS6" s="79">
        <v>44855</v>
      </c>
      <c r="HT6" s="79">
        <v>44854</v>
      </c>
      <c r="HU6" s="79">
        <v>44853</v>
      </c>
      <c r="HV6" s="79">
        <v>44852</v>
      </c>
      <c r="HW6" s="79">
        <v>44851</v>
      </c>
      <c r="HX6" s="79">
        <v>44848</v>
      </c>
      <c r="HY6" s="79">
        <v>44847</v>
      </c>
      <c r="HZ6" s="79">
        <v>44846</v>
      </c>
      <c r="IA6" s="79">
        <v>44845</v>
      </c>
      <c r="IB6" s="79">
        <v>44841</v>
      </c>
      <c r="IC6" s="79">
        <v>44840</v>
      </c>
      <c r="ID6" s="79">
        <v>44839</v>
      </c>
      <c r="IE6" s="79">
        <v>44838</v>
      </c>
      <c r="IF6" s="79">
        <v>44834</v>
      </c>
      <c r="IG6" s="79">
        <v>44833</v>
      </c>
      <c r="IH6" s="79">
        <v>44832</v>
      </c>
      <c r="II6" s="79">
        <v>44831</v>
      </c>
      <c r="IJ6" s="79">
        <v>44830</v>
      </c>
      <c r="IK6" s="79">
        <v>44827</v>
      </c>
      <c r="IL6" s="79">
        <v>44826</v>
      </c>
      <c r="IM6" s="79">
        <v>44825</v>
      </c>
      <c r="IN6" s="79">
        <v>44824</v>
      </c>
      <c r="IO6" s="79">
        <v>44823</v>
      </c>
      <c r="IP6" s="79">
        <v>44820</v>
      </c>
      <c r="IQ6" s="79">
        <v>44819</v>
      </c>
      <c r="IR6" s="79">
        <v>44818</v>
      </c>
      <c r="IS6" s="79">
        <v>44817</v>
      </c>
      <c r="IT6" s="79">
        <v>44812</v>
      </c>
      <c r="IU6" s="79">
        <v>44811</v>
      </c>
      <c r="IV6" s="79">
        <v>44810</v>
      </c>
      <c r="IW6" s="79">
        <v>44809</v>
      </c>
      <c r="IX6" s="79">
        <v>44806</v>
      </c>
      <c r="IY6" s="79">
        <v>44805</v>
      </c>
      <c r="IZ6" s="79">
        <v>44804</v>
      </c>
      <c r="JA6" s="79">
        <v>44803</v>
      </c>
      <c r="JB6" s="79">
        <v>44802</v>
      </c>
      <c r="JC6" s="79">
        <v>44799</v>
      </c>
      <c r="JD6" s="79">
        <v>44798</v>
      </c>
      <c r="JE6" s="79">
        <v>44797</v>
      </c>
      <c r="JF6" s="79">
        <v>44796</v>
      </c>
      <c r="JG6" s="79">
        <v>44795</v>
      </c>
      <c r="JH6" s="79">
        <v>44792</v>
      </c>
      <c r="JI6" s="79">
        <v>44791</v>
      </c>
      <c r="JJ6" s="79">
        <v>44790</v>
      </c>
      <c r="JK6" s="79">
        <v>44789</v>
      </c>
      <c r="JL6" s="79">
        <v>44785</v>
      </c>
      <c r="JM6" s="79">
        <v>44784</v>
      </c>
      <c r="JN6" s="79">
        <v>44783</v>
      </c>
      <c r="JO6" s="79">
        <v>44782</v>
      </c>
      <c r="JP6" s="79">
        <v>44781</v>
      </c>
      <c r="JQ6" s="79">
        <v>44778</v>
      </c>
      <c r="JR6" s="79">
        <v>44777</v>
      </c>
      <c r="JS6" s="79">
        <v>44776</v>
      </c>
      <c r="JT6" s="79">
        <v>44775</v>
      </c>
      <c r="JU6" s="79">
        <v>44774</v>
      </c>
      <c r="JV6" s="79">
        <v>44771</v>
      </c>
      <c r="JW6" s="79">
        <v>44770</v>
      </c>
      <c r="JX6" s="79">
        <v>44769</v>
      </c>
      <c r="JY6" s="79">
        <v>44768</v>
      </c>
      <c r="JZ6" s="79">
        <v>44767</v>
      </c>
      <c r="KA6" s="79">
        <v>44764</v>
      </c>
      <c r="KB6" s="79">
        <v>44763</v>
      </c>
      <c r="KC6" s="79">
        <v>44762</v>
      </c>
      <c r="KD6" s="79">
        <v>44761</v>
      </c>
      <c r="KE6" s="79">
        <v>44760</v>
      </c>
      <c r="KF6" s="79">
        <v>44757</v>
      </c>
      <c r="KG6" s="79">
        <v>44756</v>
      </c>
      <c r="KH6" s="79">
        <v>44755</v>
      </c>
      <c r="KI6" s="79">
        <v>44754</v>
      </c>
      <c r="KJ6" s="79">
        <v>44753</v>
      </c>
      <c r="KK6" s="79">
        <v>44750</v>
      </c>
      <c r="KL6" s="79">
        <v>44749</v>
      </c>
      <c r="KM6" s="79">
        <v>44748</v>
      </c>
      <c r="KN6" s="79">
        <v>44747</v>
      </c>
      <c r="KO6" s="79">
        <v>44746</v>
      </c>
      <c r="KP6" s="79">
        <v>44743</v>
      </c>
      <c r="KQ6" s="79">
        <v>44742</v>
      </c>
      <c r="KR6" s="79">
        <v>44741</v>
      </c>
      <c r="KS6" s="79">
        <v>44740</v>
      </c>
      <c r="KT6" s="79">
        <v>44739</v>
      </c>
      <c r="KU6" s="79">
        <v>44736</v>
      </c>
      <c r="KV6" s="79">
        <v>44735</v>
      </c>
      <c r="KW6" s="79">
        <v>44734</v>
      </c>
      <c r="KX6" s="79">
        <v>44733</v>
      </c>
      <c r="KY6" s="79">
        <v>44732</v>
      </c>
      <c r="KZ6" s="79">
        <v>44729</v>
      </c>
      <c r="LA6" s="79">
        <v>44728</v>
      </c>
      <c r="LB6" s="79">
        <v>44727</v>
      </c>
      <c r="LC6" s="79">
        <v>44726</v>
      </c>
      <c r="LD6" s="79">
        <v>44725</v>
      </c>
      <c r="LE6" s="79">
        <v>44722</v>
      </c>
      <c r="LF6" s="79">
        <v>44721</v>
      </c>
      <c r="LG6" s="79">
        <v>44720</v>
      </c>
      <c r="LH6" s="79">
        <v>44719</v>
      </c>
      <c r="LI6" s="79">
        <v>44715</v>
      </c>
      <c r="LJ6" s="79">
        <v>44714</v>
      </c>
      <c r="LK6" s="79">
        <v>44712</v>
      </c>
      <c r="LL6" s="79">
        <v>44711</v>
      </c>
      <c r="LM6" s="79">
        <v>44708</v>
      </c>
      <c r="LN6" s="79">
        <v>44707</v>
      </c>
      <c r="LO6" s="79">
        <v>44706</v>
      </c>
      <c r="LP6" s="79">
        <v>44705</v>
      </c>
      <c r="LQ6" s="79">
        <v>44704</v>
      </c>
      <c r="LR6" s="79">
        <v>44701</v>
      </c>
      <c r="LS6" s="79">
        <v>44700</v>
      </c>
      <c r="LT6" s="79">
        <v>44699</v>
      </c>
      <c r="LU6" s="79">
        <v>44698</v>
      </c>
      <c r="LV6" s="79">
        <v>44697</v>
      </c>
      <c r="LW6" s="79">
        <v>44694</v>
      </c>
      <c r="LX6" s="79">
        <v>44693</v>
      </c>
      <c r="LY6" s="79">
        <v>44692</v>
      </c>
      <c r="LZ6" s="79">
        <v>44691</v>
      </c>
      <c r="MA6" s="79">
        <v>44690</v>
      </c>
      <c r="MB6" s="79">
        <v>44687</v>
      </c>
      <c r="MC6" s="79">
        <v>44685</v>
      </c>
      <c r="MD6" s="79">
        <v>44684</v>
      </c>
      <c r="ME6" s="79">
        <v>44683</v>
      </c>
      <c r="MF6" s="79">
        <v>44680</v>
      </c>
      <c r="MG6" s="79">
        <v>44679</v>
      </c>
      <c r="MH6" s="79">
        <v>44678</v>
      </c>
      <c r="MI6" s="79">
        <v>44677</v>
      </c>
      <c r="MJ6" s="79">
        <v>44676</v>
      </c>
      <c r="MK6" s="79">
        <v>44673</v>
      </c>
      <c r="ML6" s="79">
        <v>44672</v>
      </c>
      <c r="MM6" s="79">
        <v>44671</v>
      </c>
      <c r="MN6" s="79">
        <v>44670</v>
      </c>
      <c r="MO6" s="79">
        <v>44669</v>
      </c>
      <c r="MP6" s="79">
        <v>44666</v>
      </c>
      <c r="MQ6" s="79">
        <v>44665</v>
      </c>
      <c r="MR6" s="79">
        <v>44664</v>
      </c>
      <c r="MS6" s="79">
        <v>44663</v>
      </c>
      <c r="MT6" s="79">
        <v>44662</v>
      </c>
      <c r="MU6" s="79">
        <v>44659</v>
      </c>
      <c r="MV6" s="79">
        <v>44658</v>
      </c>
      <c r="MW6" s="79">
        <v>44657</v>
      </c>
      <c r="MX6" s="79">
        <v>44656</v>
      </c>
      <c r="MY6" s="79">
        <v>44655</v>
      </c>
      <c r="MZ6" s="79">
        <v>44652</v>
      </c>
      <c r="NA6" s="79">
        <v>44651</v>
      </c>
      <c r="NB6" s="79">
        <v>44650</v>
      </c>
      <c r="NC6" s="79">
        <v>44649</v>
      </c>
      <c r="ND6" s="79">
        <v>44648</v>
      </c>
      <c r="NE6" s="79">
        <v>44645</v>
      </c>
      <c r="NF6" s="79">
        <v>44644</v>
      </c>
      <c r="NG6" s="79">
        <v>44643</v>
      </c>
      <c r="NH6" s="79">
        <v>44642</v>
      </c>
      <c r="NI6" s="79">
        <v>44641</v>
      </c>
      <c r="NJ6" s="79">
        <v>44638</v>
      </c>
      <c r="NK6" s="79">
        <v>44637</v>
      </c>
      <c r="NL6" s="79">
        <v>44636</v>
      </c>
      <c r="NM6" s="79">
        <v>44635</v>
      </c>
      <c r="NN6" s="79">
        <v>44634</v>
      </c>
      <c r="NO6" s="79">
        <v>44631</v>
      </c>
      <c r="NP6" s="79">
        <v>44630</v>
      </c>
      <c r="NQ6" s="79">
        <v>44628</v>
      </c>
      <c r="NR6" s="79">
        <v>44627</v>
      </c>
      <c r="NS6" s="79">
        <v>44624</v>
      </c>
      <c r="NT6" s="79">
        <v>44623</v>
      </c>
      <c r="NU6" s="79">
        <v>44622</v>
      </c>
      <c r="NV6" s="79">
        <v>44620</v>
      </c>
    </row>
    <row r="7" spans="1:386" s="77" customFormat="1" ht="15" customHeight="1">
      <c r="A7" s="4"/>
      <c r="B7" s="4"/>
      <c r="C7" s="149" t="s">
        <v>234</v>
      </c>
      <c r="D7" s="151">
        <f>IF(V7="","",V7)</f>
        <v>331</v>
      </c>
      <c r="E7" s="152">
        <f t="shared" si="0"/>
        <v>332.35</v>
      </c>
      <c r="F7" s="152">
        <f t="shared" si="0"/>
        <v>337.25</v>
      </c>
      <c r="G7" s="152">
        <f t="shared" si="0"/>
        <v>340.45</v>
      </c>
      <c r="H7" s="152">
        <f t="shared" si="0"/>
        <v>340.45</v>
      </c>
      <c r="I7" s="152">
        <f t="shared" si="0"/>
        <v>342.5</v>
      </c>
      <c r="J7" s="152">
        <f t="shared" si="0"/>
        <v>339.15</v>
      </c>
      <c r="K7" s="152">
        <f t="shared" si="0"/>
        <v>340.95</v>
      </c>
      <c r="L7" s="152">
        <f t="shared" si="0"/>
        <v>342.3</v>
      </c>
      <c r="M7" s="152">
        <f t="shared" si="0"/>
        <v>342.7</v>
      </c>
      <c r="N7" s="152">
        <f t="shared" si="0"/>
        <v>344.8</v>
      </c>
      <c r="O7" s="153">
        <f t="shared" si="0"/>
        <v>352.35</v>
      </c>
      <c r="P7"/>
      <c r="Q7"/>
      <c r="R7" s="4"/>
      <c r="S7" s="4"/>
      <c r="U7" s="80" t="s">
        <v>251</v>
      </c>
      <c r="V7" s="77">
        <v>331</v>
      </c>
      <c r="W7" s="77">
        <v>332.35</v>
      </c>
      <c r="X7" s="77">
        <v>337.25</v>
      </c>
      <c r="Y7" s="77">
        <v>340.45</v>
      </c>
      <c r="Z7" s="77">
        <v>340.45</v>
      </c>
      <c r="AA7" s="77">
        <v>342.5</v>
      </c>
      <c r="AB7" s="77">
        <v>339.15</v>
      </c>
      <c r="AC7" s="77">
        <v>340.95</v>
      </c>
      <c r="AD7" s="77">
        <v>342.3</v>
      </c>
      <c r="AE7" s="77">
        <v>342.7</v>
      </c>
      <c r="AF7" s="77">
        <v>344.8</v>
      </c>
      <c r="AG7" s="77">
        <v>352.35</v>
      </c>
      <c r="AH7" s="77">
        <v>347.25</v>
      </c>
      <c r="AI7" s="77">
        <v>345.25</v>
      </c>
      <c r="AJ7" s="77">
        <v>346.35</v>
      </c>
      <c r="AK7" s="77">
        <v>342.45</v>
      </c>
      <c r="AL7" s="77">
        <v>346.4</v>
      </c>
      <c r="AM7" s="77">
        <v>346</v>
      </c>
      <c r="AN7" s="77">
        <v>344.15</v>
      </c>
      <c r="AO7" s="77">
        <v>343.3</v>
      </c>
      <c r="AP7" s="77">
        <v>344.4</v>
      </c>
      <c r="AQ7" s="77">
        <v>345.6</v>
      </c>
      <c r="AR7" s="77">
        <v>347.9</v>
      </c>
      <c r="AS7" s="77">
        <v>348.2</v>
      </c>
      <c r="AT7" s="77">
        <v>343.65</v>
      </c>
      <c r="AU7" s="77">
        <v>340.8</v>
      </c>
      <c r="AV7" s="77">
        <v>338.85</v>
      </c>
      <c r="AW7" s="77">
        <v>332.85</v>
      </c>
      <c r="AX7" s="77">
        <v>332.85</v>
      </c>
      <c r="AY7" s="77">
        <v>338.1</v>
      </c>
      <c r="AZ7" s="77">
        <v>340.6</v>
      </c>
      <c r="BA7" s="77">
        <v>343.85</v>
      </c>
      <c r="BB7" s="77">
        <v>345.75</v>
      </c>
      <c r="BC7" s="77">
        <v>340.5</v>
      </c>
      <c r="BD7" s="77">
        <v>339.2</v>
      </c>
      <c r="BE7" s="77">
        <v>339.55</v>
      </c>
      <c r="BF7" s="77">
        <v>341.55</v>
      </c>
      <c r="BG7" s="77">
        <v>341.4</v>
      </c>
      <c r="BH7" s="77">
        <v>340.25</v>
      </c>
      <c r="BI7" s="77">
        <v>342.25</v>
      </c>
      <c r="BJ7" s="77">
        <v>341.15</v>
      </c>
      <c r="BK7" s="77">
        <v>344.15</v>
      </c>
      <c r="BL7" s="77">
        <v>345.1</v>
      </c>
      <c r="BM7" s="77">
        <v>347.3</v>
      </c>
      <c r="BN7" s="77">
        <v>345.15</v>
      </c>
      <c r="BO7" s="77">
        <v>346.4</v>
      </c>
      <c r="BP7" s="77">
        <v>348.4</v>
      </c>
      <c r="BQ7" s="77">
        <v>346.65</v>
      </c>
      <c r="BR7" s="77">
        <v>349.5</v>
      </c>
      <c r="BS7" s="77">
        <v>342.3</v>
      </c>
      <c r="BT7" s="77">
        <v>343.25</v>
      </c>
      <c r="BU7" s="77">
        <v>344</v>
      </c>
      <c r="BV7" s="77">
        <v>342.95</v>
      </c>
      <c r="BW7" s="77">
        <v>338.05</v>
      </c>
      <c r="BX7" s="77">
        <v>339</v>
      </c>
      <c r="BY7" s="77">
        <v>342.05</v>
      </c>
      <c r="BZ7" s="77">
        <v>337.8</v>
      </c>
      <c r="CA7" s="77">
        <v>336</v>
      </c>
      <c r="CB7" s="77">
        <v>336.85</v>
      </c>
      <c r="CC7" s="77">
        <v>338</v>
      </c>
      <c r="CD7" s="77">
        <v>337</v>
      </c>
      <c r="CE7" s="77">
        <v>334.75</v>
      </c>
      <c r="CF7" s="77">
        <v>329.8</v>
      </c>
      <c r="CG7" s="77">
        <v>326.5</v>
      </c>
      <c r="CH7" s="77">
        <v>325.55</v>
      </c>
      <c r="CI7" s="77">
        <v>325.14999999999998</v>
      </c>
      <c r="CJ7" s="77">
        <v>324.3</v>
      </c>
      <c r="CK7" s="77">
        <v>325.39999999999998</v>
      </c>
      <c r="CL7" s="77">
        <v>326.5</v>
      </c>
      <c r="CM7" s="77">
        <v>328.6</v>
      </c>
      <c r="CN7" s="77">
        <v>330</v>
      </c>
      <c r="CO7" s="77">
        <v>325.8</v>
      </c>
      <c r="CP7" s="77">
        <v>326.8</v>
      </c>
      <c r="CQ7" s="77">
        <v>330</v>
      </c>
      <c r="CR7" s="77">
        <v>326.39999999999998</v>
      </c>
      <c r="CS7" s="77">
        <v>325.85000000000002</v>
      </c>
      <c r="CT7" s="77">
        <v>325.25</v>
      </c>
      <c r="CU7" s="77">
        <v>325.75</v>
      </c>
      <c r="CV7" s="77">
        <v>329.95</v>
      </c>
      <c r="CW7" s="77">
        <v>331.95</v>
      </c>
      <c r="CX7" s="77">
        <v>334.15</v>
      </c>
      <c r="CY7" s="77">
        <v>335.1</v>
      </c>
      <c r="CZ7" s="77">
        <v>335.15</v>
      </c>
      <c r="DA7" s="77">
        <v>335.4</v>
      </c>
      <c r="DB7" s="77">
        <v>335.2</v>
      </c>
      <c r="DC7" s="77">
        <v>334.3</v>
      </c>
      <c r="DD7" s="77">
        <v>333.45</v>
      </c>
      <c r="DE7" s="77">
        <v>332.15</v>
      </c>
      <c r="DF7" s="77">
        <v>327.95</v>
      </c>
      <c r="DG7" s="77">
        <v>324.85000000000002</v>
      </c>
      <c r="DH7" s="77">
        <v>319.75</v>
      </c>
      <c r="DI7" s="77">
        <v>325.75</v>
      </c>
      <c r="DJ7" s="77">
        <v>323.7</v>
      </c>
      <c r="DK7" s="77">
        <v>322.10000000000002</v>
      </c>
      <c r="DL7" s="77">
        <v>323.7</v>
      </c>
      <c r="DM7" s="77">
        <v>319.89999999999998</v>
      </c>
      <c r="DN7" s="77">
        <v>317.89999999999998</v>
      </c>
      <c r="DO7" s="77">
        <v>317.45</v>
      </c>
      <c r="DP7" s="77">
        <v>314.25</v>
      </c>
      <c r="DQ7" s="77">
        <v>315.3</v>
      </c>
      <c r="DR7" s="77">
        <v>316.10000000000002</v>
      </c>
      <c r="DS7" s="77">
        <v>315.39999999999998</v>
      </c>
      <c r="DT7" s="77">
        <v>311.85000000000002</v>
      </c>
      <c r="DU7" s="77">
        <v>310</v>
      </c>
      <c r="DV7" s="77">
        <v>313.39999999999998</v>
      </c>
      <c r="DW7" s="77">
        <v>309.60000000000002</v>
      </c>
      <c r="DX7" s="77">
        <v>310.10000000000002</v>
      </c>
      <c r="DY7" s="77">
        <v>306.89999999999998</v>
      </c>
      <c r="DZ7" s="77">
        <v>314.14999999999998</v>
      </c>
      <c r="EA7" s="77">
        <v>311.35000000000002</v>
      </c>
      <c r="EB7" s="77">
        <v>313.95</v>
      </c>
      <c r="EC7" s="77">
        <v>314.64999999999998</v>
      </c>
      <c r="ED7" s="77">
        <v>319.39999999999998</v>
      </c>
      <c r="EE7" s="77">
        <v>321</v>
      </c>
      <c r="EF7" s="77">
        <v>316.8</v>
      </c>
      <c r="EG7" s="77">
        <v>315.3</v>
      </c>
      <c r="EH7" s="77">
        <v>315.8</v>
      </c>
      <c r="EI7" s="77">
        <v>314</v>
      </c>
      <c r="EJ7" s="77">
        <v>317.7</v>
      </c>
      <c r="EK7" s="77">
        <v>320.10000000000002</v>
      </c>
      <c r="EL7" s="77">
        <v>316.2</v>
      </c>
      <c r="EM7" s="77">
        <v>322</v>
      </c>
      <c r="EN7" s="77">
        <v>323.2</v>
      </c>
      <c r="EO7" s="77">
        <v>321.55</v>
      </c>
      <c r="EP7" s="77">
        <v>324.10000000000002</v>
      </c>
      <c r="EQ7" s="77">
        <v>317.39999999999998</v>
      </c>
      <c r="ER7" s="77">
        <v>324.85000000000002</v>
      </c>
      <c r="ES7" s="77">
        <v>322.60000000000002</v>
      </c>
      <c r="ET7" s="77">
        <v>323.75</v>
      </c>
      <c r="EU7" s="77">
        <v>324.85000000000002</v>
      </c>
      <c r="EV7" s="77">
        <v>326.35000000000002</v>
      </c>
      <c r="EW7" s="77">
        <v>321.3</v>
      </c>
      <c r="EX7" s="77">
        <v>318.8</v>
      </c>
      <c r="EY7" s="77">
        <v>326.05</v>
      </c>
      <c r="EZ7" s="77">
        <v>325.10000000000002</v>
      </c>
      <c r="FA7" s="77">
        <v>322.85000000000002</v>
      </c>
      <c r="FB7" s="77">
        <v>318.64999999999998</v>
      </c>
      <c r="FC7" s="77">
        <v>323.85000000000002</v>
      </c>
      <c r="FD7" s="77">
        <v>328.75</v>
      </c>
      <c r="FE7" s="77">
        <v>326.64999999999998</v>
      </c>
      <c r="FF7" s="77">
        <v>322.55</v>
      </c>
      <c r="FG7" s="77">
        <v>316.85000000000002</v>
      </c>
      <c r="FH7" s="77">
        <v>314.75</v>
      </c>
      <c r="FI7" s="77">
        <v>313.7</v>
      </c>
      <c r="FJ7" s="77">
        <v>315.55</v>
      </c>
      <c r="FK7" s="77">
        <v>317.7</v>
      </c>
      <c r="FL7" s="77">
        <v>315.3</v>
      </c>
      <c r="FM7" s="77">
        <v>313.3</v>
      </c>
      <c r="FN7" s="77">
        <v>312</v>
      </c>
      <c r="FO7" s="77">
        <v>310.89999999999998</v>
      </c>
      <c r="FP7" s="77">
        <v>311.5</v>
      </c>
      <c r="FQ7" s="77">
        <v>303.25</v>
      </c>
      <c r="FR7" s="77">
        <v>298.45</v>
      </c>
      <c r="FS7" s="77">
        <v>297</v>
      </c>
      <c r="FT7" s="77">
        <v>290.95</v>
      </c>
      <c r="FU7" s="77">
        <v>291.25</v>
      </c>
      <c r="FV7" s="77">
        <v>292.85000000000002</v>
      </c>
      <c r="FW7" s="77">
        <v>298.45</v>
      </c>
      <c r="FX7" s="77">
        <v>302.3</v>
      </c>
      <c r="FY7" s="77">
        <v>299.95</v>
      </c>
      <c r="FZ7" s="77">
        <v>299.45</v>
      </c>
      <c r="GA7" s="77">
        <v>305.05</v>
      </c>
      <c r="GB7" s="77">
        <v>301</v>
      </c>
      <c r="GC7" s="77">
        <v>301.89999999999998</v>
      </c>
      <c r="GD7" s="77">
        <v>304.35000000000002</v>
      </c>
      <c r="GE7" s="77">
        <v>304.05</v>
      </c>
      <c r="GF7" s="77">
        <v>306.14999999999998</v>
      </c>
      <c r="GG7" s="77">
        <v>311.39999999999998</v>
      </c>
      <c r="GH7" s="77">
        <v>308.3</v>
      </c>
      <c r="GI7" s="77">
        <v>308.05</v>
      </c>
      <c r="GJ7" s="77">
        <v>310.64999999999998</v>
      </c>
      <c r="GK7" s="77">
        <v>307.60000000000002</v>
      </c>
      <c r="GL7" s="77">
        <v>308.2</v>
      </c>
      <c r="GM7" s="77">
        <v>310.14999999999998</v>
      </c>
      <c r="GN7" s="77">
        <v>314.35000000000002</v>
      </c>
      <c r="GO7" s="77">
        <v>315</v>
      </c>
      <c r="GP7" s="77">
        <v>323.10000000000002</v>
      </c>
      <c r="GQ7" s="77">
        <v>319.64999999999998</v>
      </c>
      <c r="GR7" s="77">
        <v>315.7</v>
      </c>
      <c r="GS7" s="77">
        <v>312.89999999999998</v>
      </c>
      <c r="GT7" s="77">
        <v>316.5</v>
      </c>
      <c r="GU7" s="77">
        <v>318.05</v>
      </c>
      <c r="GV7" s="77">
        <v>315.05</v>
      </c>
      <c r="GW7" s="77">
        <v>312.35000000000002</v>
      </c>
      <c r="GX7" s="77">
        <v>314.45</v>
      </c>
      <c r="GY7" s="77">
        <v>317.45</v>
      </c>
      <c r="GZ7" s="77">
        <v>319.25</v>
      </c>
      <c r="HA7" s="77">
        <v>322.95</v>
      </c>
      <c r="HB7" s="77">
        <v>323</v>
      </c>
      <c r="HC7" s="77">
        <v>322.60000000000002</v>
      </c>
      <c r="HD7" s="77">
        <v>324.95</v>
      </c>
      <c r="HE7" s="77">
        <v>311.45</v>
      </c>
      <c r="HF7" s="77">
        <v>316.25</v>
      </c>
      <c r="HG7" s="77">
        <v>312.95</v>
      </c>
      <c r="HH7" s="77">
        <v>309</v>
      </c>
      <c r="HI7" s="77">
        <v>305.39999999999998</v>
      </c>
      <c r="HJ7" s="77">
        <v>302.05</v>
      </c>
      <c r="HK7" s="77">
        <v>304.45</v>
      </c>
      <c r="HL7" s="77">
        <v>303.89999999999998</v>
      </c>
      <c r="HM7" s="77">
        <v>300.7</v>
      </c>
      <c r="HN7" s="77">
        <v>295.8</v>
      </c>
      <c r="HO7" s="77">
        <v>299.64999999999998</v>
      </c>
      <c r="HP7" s="77">
        <v>294.7</v>
      </c>
      <c r="HQ7" s="77">
        <v>292.45</v>
      </c>
      <c r="HR7" s="77">
        <v>292.89999999999998</v>
      </c>
      <c r="HS7" s="77">
        <v>289.55</v>
      </c>
      <c r="HT7" s="77">
        <v>288.60000000000002</v>
      </c>
      <c r="HU7" s="77">
        <v>291.3</v>
      </c>
      <c r="HV7" s="77">
        <v>294.5</v>
      </c>
      <c r="HW7" s="77">
        <v>289.35000000000002</v>
      </c>
      <c r="HX7" s="77">
        <v>290.89999999999998</v>
      </c>
      <c r="HY7" s="77">
        <v>282.8</v>
      </c>
      <c r="HZ7" s="77">
        <v>287.85000000000002</v>
      </c>
      <c r="IA7" s="77">
        <v>284.89999999999998</v>
      </c>
      <c r="IB7" s="77">
        <v>290.85000000000002</v>
      </c>
      <c r="IC7" s="77">
        <v>292.14999999999998</v>
      </c>
      <c r="ID7" s="77">
        <v>290.39999999999998</v>
      </c>
      <c r="IE7" s="77">
        <v>290</v>
      </c>
      <c r="IF7" s="77">
        <v>282.45</v>
      </c>
      <c r="IG7" s="77">
        <v>284.75</v>
      </c>
      <c r="IH7" s="77">
        <v>283</v>
      </c>
      <c r="II7" s="77">
        <v>290.60000000000002</v>
      </c>
      <c r="IJ7" s="77">
        <v>290.3</v>
      </c>
      <c r="IK7" s="77">
        <v>297.85000000000002</v>
      </c>
      <c r="IL7" s="77">
        <v>301.05</v>
      </c>
      <c r="IM7" s="77">
        <v>304.39999999999998</v>
      </c>
      <c r="IN7" s="77">
        <v>307.55</v>
      </c>
      <c r="IO7" s="77">
        <v>306.89999999999998</v>
      </c>
      <c r="IP7" s="77">
        <v>307.89999999999998</v>
      </c>
      <c r="IQ7" s="77">
        <v>311.39999999999998</v>
      </c>
      <c r="IR7" s="77">
        <v>312.7</v>
      </c>
      <c r="IS7" s="77">
        <v>320.2</v>
      </c>
      <c r="IT7" s="77">
        <v>309.10000000000002</v>
      </c>
      <c r="IU7" s="77">
        <v>308.3</v>
      </c>
      <c r="IV7" s="77">
        <v>312.89999999999998</v>
      </c>
      <c r="IW7" s="77">
        <v>312.10000000000002</v>
      </c>
      <c r="IX7" s="77">
        <v>313.85000000000002</v>
      </c>
      <c r="IY7" s="77">
        <v>314.5</v>
      </c>
      <c r="IZ7" s="77">
        <v>321</v>
      </c>
      <c r="JA7" s="77">
        <v>319.45</v>
      </c>
      <c r="JB7" s="77">
        <v>315.7</v>
      </c>
      <c r="JC7" s="77">
        <v>324.5</v>
      </c>
      <c r="JD7" s="77">
        <v>323.85000000000002</v>
      </c>
      <c r="JE7" s="77">
        <v>319.60000000000002</v>
      </c>
      <c r="JF7" s="77">
        <v>318.14999999999998</v>
      </c>
      <c r="JG7" s="77">
        <v>322.2</v>
      </c>
      <c r="JH7" s="77">
        <v>326.8</v>
      </c>
      <c r="JI7" s="77">
        <v>328.35</v>
      </c>
      <c r="JJ7" s="77">
        <v>329.8</v>
      </c>
      <c r="JK7" s="77">
        <v>332.05</v>
      </c>
      <c r="JL7" s="77">
        <v>330.7</v>
      </c>
      <c r="JM7" s="77">
        <v>330.2</v>
      </c>
      <c r="JN7" s="77">
        <v>324.5</v>
      </c>
      <c r="JO7" s="77">
        <v>328.2</v>
      </c>
      <c r="JP7" s="77">
        <v>326.85000000000002</v>
      </c>
      <c r="JQ7" s="77">
        <v>327.35000000000002</v>
      </c>
      <c r="JR7" s="77">
        <v>325.75</v>
      </c>
      <c r="JS7" s="77">
        <v>324.14999999999998</v>
      </c>
      <c r="JT7" s="77">
        <v>321.5</v>
      </c>
      <c r="JU7" s="77">
        <v>323.89999999999998</v>
      </c>
      <c r="JV7" s="77">
        <v>323.45</v>
      </c>
      <c r="JW7" s="77">
        <v>322.8</v>
      </c>
      <c r="JX7" s="77">
        <v>320.25</v>
      </c>
      <c r="JY7" s="77">
        <v>320.5</v>
      </c>
      <c r="JZ7" s="77">
        <v>319.10000000000002</v>
      </c>
      <c r="KA7" s="77">
        <v>318.2</v>
      </c>
      <c r="KB7" s="77">
        <v>318.8</v>
      </c>
      <c r="KC7" s="77">
        <v>316.5</v>
      </c>
      <c r="KD7" s="77">
        <v>313.7</v>
      </c>
      <c r="KE7" s="77">
        <v>316</v>
      </c>
      <c r="KF7" s="77">
        <v>308</v>
      </c>
      <c r="KG7" s="77">
        <v>306.60000000000002</v>
      </c>
      <c r="KH7" s="77">
        <v>307.89999999999998</v>
      </c>
      <c r="KI7" s="77">
        <v>305.55</v>
      </c>
      <c r="KJ7" s="77">
        <v>309.10000000000002</v>
      </c>
      <c r="KK7" s="77">
        <v>310.8</v>
      </c>
      <c r="KL7" s="77">
        <v>308.95</v>
      </c>
      <c r="KM7" s="77">
        <v>303.3</v>
      </c>
      <c r="KN7" s="77">
        <v>309.95</v>
      </c>
      <c r="KO7" s="77">
        <v>305.05</v>
      </c>
      <c r="KP7" s="77">
        <v>304.95</v>
      </c>
      <c r="KQ7" s="77">
        <v>307.45</v>
      </c>
      <c r="KR7" s="77">
        <v>313.3</v>
      </c>
      <c r="KS7" s="77">
        <v>318.95</v>
      </c>
      <c r="KT7" s="77">
        <v>316.60000000000002</v>
      </c>
      <c r="KU7" s="77">
        <v>312.7</v>
      </c>
      <c r="KV7" s="77">
        <v>306.10000000000002</v>
      </c>
      <c r="KW7" s="77">
        <v>308.3</v>
      </c>
      <c r="KX7" s="77">
        <v>316.7</v>
      </c>
      <c r="KY7" s="77">
        <v>313.85000000000002</v>
      </c>
      <c r="KZ7" s="77">
        <v>319</v>
      </c>
      <c r="LA7" s="77">
        <v>321.60000000000002</v>
      </c>
      <c r="LB7" s="77">
        <v>321.39999999999998</v>
      </c>
      <c r="LC7" s="77">
        <v>327</v>
      </c>
      <c r="LD7" s="77">
        <v>329.25</v>
      </c>
      <c r="LE7" s="77">
        <v>341.1</v>
      </c>
      <c r="LF7" s="77">
        <v>345.5</v>
      </c>
      <c r="LG7" s="77">
        <v>346.65</v>
      </c>
      <c r="LH7" s="77">
        <v>345.7</v>
      </c>
      <c r="LI7" s="77">
        <v>352.4</v>
      </c>
      <c r="LJ7" s="77">
        <v>350</v>
      </c>
      <c r="LK7" s="77">
        <v>354.15</v>
      </c>
      <c r="LL7" s="77">
        <v>352.95</v>
      </c>
      <c r="LM7" s="77">
        <v>348.9</v>
      </c>
      <c r="LN7" s="77">
        <v>344.8</v>
      </c>
      <c r="LO7" s="77">
        <v>346.15</v>
      </c>
      <c r="LP7" s="77">
        <v>344.2</v>
      </c>
      <c r="LQ7" s="77">
        <v>350.7</v>
      </c>
      <c r="LR7" s="77">
        <v>349.65</v>
      </c>
      <c r="LS7" s="77">
        <v>342.1</v>
      </c>
      <c r="LT7" s="77">
        <v>348.4</v>
      </c>
      <c r="LU7" s="77">
        <v>347.6</v>
      </c>
      <c r="LV7" s="77">
        <v>344.15</v>
      </c>
      <c r="LW7" s="77">
        <v>345.7</v>
      </c>
      <c r="LX7" s="77">
        <v>337.8</v>
      </c>
      <c r="LY7" s="77">
        <v>343.05</v>
      </c>
      <c r="LZ7" s="77">
        <v>343.1</v>
      </c>
      <c r="MA7" s="77">
        <v>345.3</v>
      </c>
      <c r="MB7" s="77">
        <v>348.3</v>
      </c>
      <c r="MC7" s="77">
        <v>353.55</v>
      </c>
      <c r="MD7" s="77">
        <v>352.85</v>
      </c>
      <c r="ME7" s="77">
        <v>353.45</v>
      </c>
      <c r="MF7" s="77">
        <v>355.6</v>
      </c>
      <c r="MG7" s="77">
        <v>349.9</v>
      </c>
      <c r="MH7" s="77">
        <v>345.4</v>
      </c>
      <c r="MI7" s="77">
        <v>350.05</v>
      </c>
      <c r="MJ7" s="77">
        <v>348.35</v>
      </c>
      <c r="MK7" s="77">
        <v>354.55</v>
      </c>
      <c r="ML7" s="77">
        <v>358.9</v>
      </c>
      <c r="MM7" s="77">
        <v>356.95</v>
      </c>
      <c r="MN7" s="77">
        <v>357.2</v>
      </c>
      <c r="MO7" s="77">
        <v>353.7</v>
      </c>
      <c r="MP7" s="77">
        <v>352.95</v>
      </c>
      <c r="MQ7" s="77">
        <v>357.35</v>
      </c>
      <c r="MR7" s="77">
        <v>358.8</v>
      </c>
      <c r="MS7" s="77">
        <v>352.65</v>
      </c>
      <c r="MT7" s="77">
        <v>356.05</v>
      </c>
      <c r="MU7" s="77">
        <v>356.4</v>
      </c>
      <c r="MV7" s="77">
        <v>356.2</v>
      </c>
      <c r="MW7" s="77">
        <v>361.35</v>
      </c>
      <c r="MX7" s="77">
        <v>365.3</v>
      </c>
      <c r="MY7" s="77">
        <v>365.5</v>
      </c>
      <c r="MZ7" s="77">
        <v>363.5</v>
      </c>
      <c r="NA7" s="77">
        <v>365.7</v>
      </c>
      <c r="NB7" s="77">
        <v>364.75</v>
      </c>
      <c r="NC7" s="77">
        <v>363.55</v>
      </c>
      <c r="ND7" s="77">
        <v>362.45</v>
      </c>
      <c r="NE7" s="77">
        <v>361.75</v>
      </c>
      <c r="NF7" s="77">
        <v>362.5</v>
      </c>
      <c r="NG7" s="77">
        <v>364.25</v>
      </c>
      <c r="NH7" s="77">
        <v>361.4</v>
      </c>
      <c r="NI7" s="77">
        <v>358.75</v>
      </c>
      <c r="NJ7" s="77">
        <v>362</v>
      </c>
      <c r="NK7" s="77">
        <v>361.75</v>
      </c>
      <c r="NL7" s="77">
        <v>356.1</v>
      </c>
      <c r="NM7" s="77">
        <v>350.3</v>
      </c>
      <c r="NN7" s="77">
        <v>354</v>
      </c>
      <c r="NO7" s="77">
        <v>354.15</v>
      </c>
      <c r="NP7" s="77">
        <v>355.45</v>
      </c>
      <c r="NQ7" s="77">
        <v>347.9</v>
      </c>
      <c r="NR7" s="77">
        <v>352.8</v>
      </c>
      <c r="NS7" s="77">
        <v>361.15</v>
      </c>
      <c r="NT7" s="77">
        <v>366.45</v>
      </c>
      <c r="NU7" s="77">
        <v>360.2</v>
      </c>
      <c r="NV7" s="77">
        <v>361.2</v>
      </c>
    </row>
    <row r="8" spans="1:386" s="77" customFormat="1" ht="15" customHeight="1">
      <c r="A8" s="4"/>
      <c r="B8" s="4"/>
      <c r="C8" s="146" t="s">
        <v>248</v>
      </c>
      <c r="D8" s="154">
        <f t="shared" ref="D8:D15" si="1">IF(V8="","",V8)</f>
        <v>-1.35</v>
      </c>
      <c r="E8" s="155">
        <f t="shared" si="0"/>
        <v>-4.9000000000000004</v>
      </c>
      <c r="F8" s="155">
        <f t="shared" si="0"/>
        <v>-3.2</v>
      </c>
      <c r="G8" s="155">
        <f t="shared" si="0"/>
        <v>0</v>
      </c>
      <c r="H8" s="155">
        <f t="shared" si="0"/>
        <v>-2.0499999999999998</v>
      </c>
      <c r="I8" s="155">
        <f t="shared" si="0"/>
        <v>3.35</v>
      </c>
      <c r="J8" s="155">
        <f t="shared" si="0"/>
        <v>-1.8</v>
      </c>
      <c r="K8" s="155">
        <f t="shared" si="0"/>
        <v>-1.35</v>
      </c>
      <c r="L8" s="155">
        <f t="shared" si="0"/>
        <v>-0.4</v>
      </c>
      <c r="M8" s="155">
        <f t="shared" si="0"/>
        <v>-2.1</v>
      </c>
      <c r="N8" s="155">
        <f t="shared" si="0"/>
        <v>-7.55</v>
      </c>
      <c r="O8" s="156">
        <f t="shared" si="0"/>
        <v>5.0999999999999996</v>
      </c>
      <c r="P8"/>
      <c r="Q8"/>
      <c r="R8" s="4"/>
      <c r="S8" s="4"/>
      <c r="U8" s="80" t="s">
        <v>3</v>
      </c>
      <c r="V8" s="77">
        <v>-1.35</v>
      </c>
      <c r="W8" s="77">
        <v>-4.9000000000000004</v>
      </c>
      <c r="X8" s="77">
        <v>-3.2</v>
      </c>
      <c r="Y8" s="77">
        <v>0</v>
      </c>
      <c r="Z8" s="77">
        <v>-2.0499999999999998</v>
      </c>
      <c r="AA8" s="77">
        <v>3.35</v>
      </c>
      <c r="AB8" s="77">
        <v>-1.8</v>
      </c>
      <c r="AC8" s="77">
        <v>-1.35</v>
      </c>
      <c r="AD8" s="77">
        <v>-0.4</v>
      </c>
      <c r="AE8" s="77">
        <v>-2.1</v>
      </c>
      <c r="AF8" s="77">
        <v>-7.55</v>
      </c>
      <c r="AG8" s="77">
        <v>5.0999999999999996</v>
      </c>
      <c r="AH8" s="77">
        <v>2</v>
      </c>
      <c r="AI8" s="77">
        <v>-1.1000000000000001</v>
      </c>
      <c r="AJ8" s="77">
        <v>3.9</v>
      </c>
      <c r="AK8" s="77">
        <v>-3.95</v>
      </c>
      <c r="AL8" s="77">
        <v>0.4</v>
      </c>
      <c r="AM8" s="77">
        <v>1.85</v>
      </c>
      <c r="AN8" s="77">
        <v>0.85</v>
      </c>
      <c r="AO8" s="77">
        <v>-1.1000000000000001</v>
      </c>
      <c r="AP8" s="77">
        <v>-1.2</v>
      </c>
      <c r="AQ8" s="77">
        <v>-2.2999999999999998</v>
      </c>
      <c r="AR8" s="77">
        <v>-0.3</v>
      </c>
      <c r="AS8" s="77">
        <v>4.55</v>
      </c>
      <c r="AT8" s="77">
        <v>2.85</v>
      </c>
      <c r="AU8" s="77">
        <v>1.95</v>
      </c>
      <c r="AV8" s="77">
        <v>6</v>
      </c>
      <c r="AW8" s="77">
        <v>0</v>
      </c>
      <c r="AX8" s="77">
        <v>-5.25</v>
      </c>
      <c r="AY8" s="77">
        <v>-2.5</v>
      </c>
      <c r="AZ8" s="77">
        <v>-3.25</v>
      </c>
      <c r="BA8" s="77">
        <v>-1.9</v>
      </c>
      <c r="BB8" s="77">
        <v>5.25</v>
      </c>
      <c r="BC8" s="77">
        <v>1.3</v>
      </c>
      <c r="BD8" s="77">
        <v>-0.35</v>
      </c>
      <c r="BE8" s="77">
        <v>-2</v>
      </c>
      <c r="BF8" s="77">
        <v>0.15</v>
      </c>
      <c r="BG8" s="77">
        <v>1.1499999999999999</v>
      </c>
      <c r="BH8" s="77">
        <v>-2</v>
      </c>
      <c r="BI8" s="77">
        <v>1.1000000000000001</v>
      </c>
      <c r="BJ8" s="77">
        <v>-3</v>
      </c>
      <c r="BK8" s="77">
        <v>-0.95</v>
      </c>
      <c r="BL8" s="77">
        <v>-2.2000000000000002</v>
      </c>
      <c r="BM8" s="77">
        <v>2.15</v>
      </c>
      <c r="BN8" s="77">
        <v>-1.25</v>
      </c>
      <c r="BO8" s="77">
        <v>-2</v>
      </c>
      <c r="BP8" s="77">
        <v>1.75</v>
      </c>
      <c r="BQ8" s="77">
        <v>-2.85</v>
      </c>
      <c r="BR8" s="77">
        <v>7.2</v>
      </c>
      <c r="BS8" s="77">
        <v>-0.95</v>
      </c>
      <c r="BT8" s="77">
        <v>-0.75</v>
      </c>
      <c r="BU8" s="77">
        <v>1.05</v>
      </c>
      <c r="BV8" s="77">
        <v>4.9000000000000004</v>
      </c>
      <c r="BW8" s="77">
        <v>-0.95</v>
      </c>
      <c r="BX8" s="77">
        <v>-3.05</v>
      </c>
      <c r="BY8" s="77">
        <v>4.25</v>
      </c>
      <c r="BZ8" s="77">
        <v>1.8</v>
      </c>
      <c r="CA8" s="77">
        <v>-0.85</v>
      </c>
      <c r="CB8" s="77">
        <v>-1.1499999999999999</v>
      </c>
      <c r="CC8" s="77">
        <v>1</v>
      </c>
      <c r="CD8" s="77">
        <v>2.25</v>
      </c>
      <c r="CE8" s="77">
        <v>4.95</v>
      </c>
      <c r="CF8" s="77">
        <v>3.3</v>
      </c>
      <c r="CG8" s="77">
        <v>0.95</v>
      </c>
      <c r="CH8" s="77">
        <v>0.4</v>
      </c>
      <c r="CI8" s="77">
        <v>0.85</v>
      </c>
      <c r="CJ8" s="77">
        <v>-1.1000000000000001</v>
      </c>
      <c r="CK8" s="77">
        <v>-1.1000000000000001</v>
      </c>
      <c r="CL8" s="77">
        <v>-2.1</v>
      </c>
      <c r="CM8" s="77">
        <v>-1.4</v>
      </c>
      <c r="CN8" s="77">
        <v>4.2</v>
      </c>
      <c r="CO8" s="77">
        <v>-1</v>
      </c>
      <c r="CP8" s="77">
        <v>-3.2</v>
      </c>
      <c r="CQ8" s="77">
        <v>3.6</v>
      </c>
      <c r="CR8" s="77">
        <v>0.55000000000000004</v>
      </c>
      <c r="CS8" s="77">
        <v>0.6</v>
      </c>
      <c r="CT8" s="77">
        <v>-0.5</v>
      </c>
      <c r="CU8" s="77">
        <v>-4.2</v>
      </c>
      <c r="CV8" s="77">
        <v>-2</v>
      </c>
      <c r="CW8" s="77">
        <v>-2.2000000000000002</v>
      </c>
      <c r="CX8" s="77">
        <v>-0.95</v>
      </c>
      <c r="CY8" s="77">
        <v>-0.05</v>
      </c>
      <c r="CZ8" s="77">
        <v>-0.25</v>
      </c>
      <c r="DA8" s="77">
        <v>0.2</v>
      </c>
      <c r="DB8" s="77">
        <v>0.9</v>
      </c>
      <c r="DC8" s="77">
        <v>0.85</v>
      </c>
      <c r="DD8" s="77">
        <v>1.3</v>
      </c>
      <c r="DE8" s="77">
        <v>4.2</v>
      </c>
      <c r="DF8" s="77">
        <v>3.1</v>
      </c>
      <c r="DG8" s="77">
        <v>5.0999999999999996</v>
      </c>
      <c r="DH8" s="77">
        <v>-6</v>
      </c>
      <c r="DI8" s="77">
        <v>2.0499999999999998</v>
      </c>
      <c r="DJ8" s="77">
        <v>1.6</v>
      </c>
      <c r="DK8" s="77">
        <v>-1.6</v>
      </c>
      <c r="DL8" s="77">
        <v>3.8</v>
      </c>
      <c r="DM8" s="77">
        <v>2</v>
      </c>
      <c r="DN8" s="77">
        <v>0.45</v>
      </c>
      <c r="DO8" s="77">
        <v>3.2</v>
      </c>
      <c r="DP8" s="77">
        <v>-1.05</v>
      </c>
      <c r="DQ8" s="77">
        <v>-0.8</v>
      </c>
      <c r="DR8" s="77">
        <v>0.7</v>
      </c>
      <c r="DS8" s="77">
        <v>3.55</v>
      </c>
      <c r="DT8" s="77">
        <v>1.85</v>
      </c>
      <c r="DU8" s="77">
        <v>-3.4</v>
      </c>
      <c r="DV8" s="77">
        <v>3.8</v>
      </c>
      <c r="DW8" s="77">
        <v>-0.5</v>
      </c>
      <c r="DX8" s="77">
        <v>3.2</v>
      </c>
      <c r="DY8" s="77">
        <v>-7.25</v>
      </c>
      <c r="DZ8" s="77">
        <v>2.8</v>
      </c>
      <c r="EA8" s="77">
        <v>-2.6</v>
      </c>
      <c r="EB8" s="77">
        <v>-0.7</v>
      </c>
      <c r="EC8" s="77">
        <v>-4.75</v>
      </c>
      <c r="ED8" s="77">
        <v>-1.6</v>
      </c>
      <c r="EE8" s="77">
        <v>4.2</v>
      </c>
      <c r="EF8" s="77">
        <v>1.5</v>
      </c>
      <c r="EG8" s="77">
        <v>-0.5</v>
      </c>
      <c r="EH8" s="77">
        <v>1.8</v>
      </c>
      <c r="EI8" s="77">
        <v>-3.7</v>
      </c>
      <c r="EJ8" s="77">
        <v>-2.4</v>
      </c>
      <c r="EK8" s="77">
        <v>3.9</v>
      </c>
      <c r="EL8" s="77">
        <v>-5.8</v>
      </c>
      <c r="EM8" s="77">
        <v>-1.2</v>
      </c>
      <c r="EN8" s="77">
        <v>1.65</v>
      </c>
      <c r="EO8" s="77">
        <v>-2.5499999999999998</v>
      </c>
      <c r="EP8" s="77">
        <v>6.7</v>
      </c>
      <c r="EQ8" s="77">
        <v>-7.45</v>
      </c>
      <c r="ER8" s="77">
        <v>2.25</v>
      </c>
      <c r="ES8" s="77">
        <v>-1.1499999999999999</v>
      </c>
      <c r="ET8" s="77">
        <v>-1.1000000000000001</v>
      </c>
      <c r="EU8" s="77">
        <v>-1.5</v>
      </c>
      <c r="EV8" s="77">
        <v>5.05</v>
      </c>
      <c r="EW8" s="77">
        <v>2.5</v>
      </c>
      <c r="EX8" s="77">
        <v>-7.25</v>
      </c>
      <c r="EY8" s="77">
        <v>0.95</v>
      </c>
      <c r="EZ8" s="77">
        <v>2.25</v>
      </c>
      <c r="FA8" s="77">
        <v>4.2</v>
      </c>
      <c r="FB8" s="77">
        <v>-5.2</v>
      </c>
      <c r="FC8" s="77">
        <v>-4.9000000000000004</v>
      </c>
      <c r="FD8" s="77">
        <v>2.1</v>
      </c>
      <c r="FE8" s="77">
        <v>4.0999999999999996</v>
      </c>
      <c r="FF8" s="77">
        <v>5.7</v>
      </c>
      <c r="FG8" s="77">
        <v>2.1</v>
      </c>
      <c r="FH8" s="77">
        <v>1.05</v>
      </c>
      <c r="FI8" s="77">
        <v>-1.85</v>
      </c>
      <c r="FJ8" s="77">
        <v>-2.15</v>
      </c>
      <c r="FK8" s="77">
        <v>2.4</v>
      </c>
      <c r="FL8" s="77">
        <v>2</v>
      </c>
      <c r="FM8" s="77">
        <v>1.3</v>
      </c>
      <c r="FN8" s="77">
        <v>1.1000000000000001</v>
      </c>
      <c r="FO8" s="77">
        <v>-0.6</v>
      </c>
      <c r="FP8" s="77">
        <v>8.25</v>
      </c>
      <c r="FQ8" s="77">
        <v>4.8</v>
      </c>
      <c r="FR8" s="77">
        <v>1.45</v>
      </c>
      <c r="FS8" s="77">
        <v>6.05</v>
      </c>
      <c r="FT8" s="77">
        <v>-0.3</v>
      </c>
      <c r="FU8" s="77">
        <v>-1.6</v>
      </c>
      <c r="FV8" s="77">
        <v>-5.6</v>
      </c>
      <c r="FW8" s="77">
        <v>-3.85</v>
      </c>
      <c r="FX8" s="77">
        <v>2.35</v>
      </c>
      <c r="FY8" s="77">
        <v>0.5</v>
      </c>
      <c r="FZ8" s="77">
        <v>-5.6</v>
      </c>
      <c r="GA8" s="77">
        <v>4.05</v>
      </c>
      <c r="GB8" s="77">
        <v>-0.9</v>
      </c>
      <c r="GC8" s="77">
        <v>-2.4500000000000002</v>
      </c>
      <c r="GD8" s="77">
        <v>0.3</v>
      </c>
      <c r="GE8" s="77">
        <v>-2.1</v>
      </c>
      <c r="GF8" s="77">
        <v>-5.25</v>
      </c>
      <c r="GG8" s="77">
        <v>3.1</v>
      </c>
      <c r="GH8" s="77">
        <v>0.25</v>
      </c>
      <c r="GI8" s="77">
        <v>-2.6</v>
      </c>
      <c r="GJ8" s="77">
        <v>3.05</v>
      </c>
      <c r="GK8" s="77">
        <v>-0.6</v>
      </c>
      <c r="GL8" s="77">
        <v>-1.95</v>
      </c>
      <c r="GM8" s="77">
        <v>-4.2</v>
      </c>
      <c r="GN8" s="77">
        <v>-0.65</v>
      </c>
      <c r="GO8" s="77">
        <v>-8.1</v>
      </c>
      <c r="GP8" s="77">
        <v>3.45</v>
      </c>
      <c r="GQ8" s="77">
        <v>3.95</v>
      </c>
      <c r="GR8" s="77">
        <v>2.8</v>
      </c>
      <c r="GS8" s="77">
        <v>-3.6</v>
      </c>
      <c r="GT8" s="77">
        <v>-1.55</v>
      </c>
      <c r="GU8" s="77">
        <v>3</v>
      </c>
      <c r="GV8" s="77">
        <v>2.7</v>
      </c>
      <c r="GW8" s="77">
        <v>-2.1</v>
      </c>
      <c r="GX8" s="77">
        <v>-3</v>
      </c>
      <c r="GY8" s="77">
        <v>-1.8</v>
      </c>
      <c r="GZ8" s="77">
        <v>-3.7</v>
      </c>
      <c r="HA8" s="77">
        <v>-0.05</v>
      </c>
      <c r="HB8" s="77">
        <v>0.4</v>
      </c>
      <c r="HC8" s="77">
        <v>-2.35</v>
      </c>
      <c r="HD8" s="77">
        <v>13.5</v>
      </c>
      <c r="HE8" s="77">
        <v>-4.8</v>
      </c>
      <c r="HF8" s="77">
        <v>3.3</v>
      </c>
      <c r="HG8" s="77">
        <v>3.95</v>
      </c>
      <c r="HH8" s="77">
        <v>3.6</v>
      </c>
      <c r="HI8" s="77">
        <v>3.35</v>
      </c>
      <c r="HJ8" s="77">
        <v>-2.4</v>
      </c>
      <c r="HK8" s="77">
        <v>0.55000000000000004</v>
      </c>
      <c r="HL8" s="77">
        <v>3.2</v>
      </c>
      <c r="HM8" s="77">
        <v>4.9000000000000004</v>
      </c>
      <c r="HN8" s="77">
        <v>-3.85</v>
      </c>
      <c r="HO8" s="77">
        <v>4.95</v>
      </c>
      <c r="HP8" s="77">
        <v>2.25</v>
      </c>
      <c r="HQ8" s="77">
        <v>-0.45</v>
      </c>
      <c r="HR8" s="77">
        <v>3.35</v>
      </c>
      <c r="HS8" s="77">
        <v>0.95</v>
      </c>
      <c r="HT8" s="77">
        <v>-2.7</v>
      </c>
      <c r="HU8" s="77">
        <v>-3.2</v>
      </c>
      <c r="HV8" s="77">
        <v>5.15</v>
      </c>
      <c r="HW8" s="77">
        <v>-1.55</v>
      </c>
      <c r="HX8" s="77">
        <v>8.1</v>
      </c>
      <c r="HY8" s="77">
        <v>-5.05</v>
      </c>
      <c r="HZ8" s="77">
        <v>2.95</v>
      </c>
      <c r="IA8" s="77">
        <v>-5.95</v>
      </c>
      <c r="IB8" s="77">
        <v>-1.3</v>
      </c>
      <c r="IC8" s="77">
        <v>1.75</v>
      </c>
      <c r="ID8" s="77">
        <v>0.4</v>
      </c>
      <c r="IE8" s="77">
        <v>7.55</v>
      </c>
      <c r="IF8" s="77">
        <v>-2.2999999999999998</v>
      </c>
      <c r="IG8" s="77">
        <v>1.75</v>
      </c>
      <c r="IH8" s="77">
        <v>-7.6</v>
      </c>
      <c r="II8" s="77">
        <v>0.3</v>
      </c>
      <c r="IJ8" s="77">
        <v>-7.55</v>
      </c>
      <c r="IK8" s="77">
        <v>-3.2</v>
      </c>
      <c r="IL8" s="77">
        <v>-3.35</v>
      </c>
      <c r="IM8" s="77">
        <v>-3.15</v>
      </c>
      <c r="IN8" s="77">
        <v>0.65</v>
      </c>
      <c r="IO8" s="77">
        <v>-1</v>
      </c>
      <c r="IP8" s="77">
        <v>-3.5</v>
      </c>
      <c r="IQ8" s="77">
        <v>-1.3</v>
      </c>
      <c r="IR8" s="77">
        <v>-7.5</v>
      </c>
      <c r="IS8" s="77">
        <v>10.85</v>
      </c>
      <c r="IT8" s="77">
        <v>0.8</v>
      </c>
      <c r="IU8" s="77">
        <v>-4.5999999999999996</v>
      </c>
      <c r="IV8" s="77">
        <v>0.8</v>
      </c>
      <c r="IW8" s="77">
        <v>-1.75</v>
      </c>
      <c r="IX8" s="77">
        <v>-0.65</v>
      </c>
      <c r="IY8" s="77">
        <v>-6.5</v>
      </c>
      <c r="IZ8" s="77">
        <v>1.55</v>
      </c>
      <c r="JA8" s="77">
        <v>3.75</v>
      </c>
      <c r="JB8" s="77">
        <v>-8.8000000000000007</v>
      </c>
      <c r="JC8" s="77">
        <v>0.65</v>
      </c>
      <c r="JD8" s="77">
        <v>4.25</v>
      </c>
      <c r="JE8" s="77">
        <v>1.45</v>
      </c>
      <c r="JF8" s="77">
        <v>-4.05</v>
      </c>
      <c r="JG8" s="77">
        <v>-4.5999999999999996</v>
      </c>
      <c r="JH8" s="77">
        <v>-1.55</v>
      </c>
      <c r="JI8" s="77">
        <v>-1.45</v>
      </c>
      <c r="JJ8" s="77">
        <v>-2.25</v>
      </c>
      <c r="JK8" s="77">
        <v>1.35</v>
      </c>
      <c r="JL8" s="77">
        <v>0.5</v>
      </c>
      <c r="JM8" s="77">
        <v>5.7</v>
      </c>
      <c r="JN8" s="77">
        <v>-3.7</v>
      </c>
      <c r="JO8" s="77">
        <v>1.35</v>
      </c>
      <c r="JP8" s="77">
        <v>-0.5</v>
      </c>
      <c r="JQ8" s="77">
        <v>1.6</v>
      </c>
      <c r="JR8" s="77">
        <v>1.6</v>
      </c>
      <c r="JS8" s="77">
        <v>2.65</v>
      </c>
      <c r="JT8" s="77">
        <v>-2.4</v>
      </c>
      <c r="JU8" s="77">
        <v>0.45</v>
      </c>
      <c r="JV8" s="77">
        <v>0.65</v>
      </c>
      <c r="JW8" s="77">
        <v>2.5499999999999998</v>
      </c>
      <c r="JX8" s="77">
        <v>-0.25</v>
      </c>
      <c r="JY8" s="77">
        <v>1.4</v>
      </c>
      <c r="JZ8" s="77">
        <v>0.9</v>
      </c>
      <c r="KA8" s="77">
        <v>-0.6</v>
      </c>
      <c r="KB8" s="77">
        <v>2.2999999999999998</v>
      </c>
      <c r="KC8" s="77">
        <v>2.8</v>
      </c>
      <c r="KD8" s="77">
        <v>-2.2999999999999998</v>
      </c>
      <c r="KE8" s="77">
        <v>8</v>
      </c>
      <c r="KF8" s="77">
        <v>1.4</v>
      </c>
      <c r="KG8" s="77">
        <v>-1.3</v>
      </c>
      <c r="KH8" s="77">
        <v>2.35</v>
      </c>
      <c r="KI8" s="77">
        <v>-3.55</v>
      </c>
      <c r="KJ8" s="77">
        <v>-1.7</v>
      </c>
      <c r="KK8" s="77">
        <v>1.85</v>
      </c>
      <c r="KL8" s="77">
        <v>5.65</v>
      </c>
      <c r="KM8" s="77">
        <v>-6.65</v>
      </c>
      <c r="KN8" s="77">
        <v>4.9000000000000004</v>
      </c>
      <c r="KO8" s="77">
        <v>0.1</v>
      </c>
      <c r="KP8" s="77">
        <v>-2.5</v>
      </c>
      <c r="KQ8" s="77">
        <v>-5.85</v>
      </c>
      <c r="KR8" s="77">
        <v>-5.65</v>
      </c>
      <c r="KS8" s="77">
        <v>2.35</v>
      </c>
      <c r="KT8" s="77">
        <v>3.9</v>
      </c>
      <c r="KU8" s="77">
        <v>6.6</v>
      </c>
      <c r="KV8" s="77">
        <v>-2.2000000000000002</v>
      </c>
      <c r="KW8" s="77">
        <v>-8.4</v>
      </c>
      <c r="KX8" s="77">
        <v>2.85</v>
      </c>
      <c r="KY8" s="77">
        <v>-5.15</v>
      </c>
      <c r="KZ8" s="77">
        <v>-2.6</v>
      </c>
      <c r="LA8" s="77">
        <v>0.2</v>
      </c>
      <c r="LB8" s="77">
        <v>-5.6</v>
      </c>
      <c r="LC8" s="77">
        <v>-2.25</v>
      </c>
      <c r="LD8" s="77">
        <v>-11.85</v>
      </c>
      <c r="LE8" s="77">
        <v>-3.9</v>
      </c>
      <c r="LF8" s="77">
        <v>-1.1499999999999999</v>
      </c>
      <c r="LG8" s="77">
        <v>0.95</v>
      </c>
      <c r="LH8" s="77">
        <v>-6.7</v>
      </c>
      <c r="LI8" s="77">
        <v>2.4</v>
      </c>
      <c r="LJ8" s="77">
        <v>-4.1500000000000004</v>
      </c>
      <c r="LK8" s="77">
        <v>1.2</v>
      </c>
      <c r="LL8" s="77">
        <v>4.05</v>
      </c>
      <c r="LM8" s="77">
        <v>4.0999999999999996</v>
      </c>
      <c r="LN8" s="77">
        <v>-1.35</v>
      </c>
      <c r="LO8" s="77">
        <v>1.95</v>
      </c>
      <c r="LP8" s="77">
        <v>-6.5</v>
      </c>
      <c r="LQ8" s="77">
        <v>1.05</v>
      </c>
      <c r="LR8" s="77">
        <v>7.55</v>
      </c>
      <c r="LS8" s="77">
        <v>-6.3</v>
      </c>
      <c r="LT8" s="77">
        <v>0.8</v>
      </c>
      <c r="LU8" s="77">
        <v>3.45</v>
      </c>
      <c r="LV8" s="77">
        <v>-1.55</v>
      </c>
      <c r="LW8" s="77">
        <v>7.9</v>
      </c>
      <c r="LX8" s="77">
        <v>-5.25</v>
      </c>
      <c r="LY8" s="77">
        <v>-0.05</v>
      </c>
      <c r="LZ8" s="77">
        <v>-2.2000000000000002</v>
      </c>
      <c r="MA8" s="77">
        <v>-3</v>
      </c>
      <c r="MB8" s="77">
        <v>-5.25</v>
      </c>
      <c r="MC8" s="77">
        <v>0.7</v>
      </c>
      <c r="MD8" s="77">
        <v>-0.6</v>
      </c>
      <c r="ME8" s="77">
        <v>-2.15</v>
      </c>
      <c r="MF8" s="77">
        <v>5.7</v>
      </c>
      <c r="MG8" s="77">
        <v>4.5</v>
      </c>
      <c r="MH8" s="77">
        <v>-4.6500000000000004</v>
      </c>
      <c r="MI8" s="77">
        <v>1.7</v>
      </c>
      <c r="MJ8" s="77">
        <v>-6.2</v>
      </c>
      <c r="MK8" s="77">
        <v>-4.3499999999999996</v>
      </c>
      <c r="ML8" s="77">
        <v>1.95</v>
      </c>
      <c r="MM8" s="77">
        <v>-0.25</v>
      </c>
      <c r="MN8" s="77">
        <v>3.5</v>
      </c>
      <c r="MO8" s="77">
        <v>0.75</v>
      </c>
      <c r="MP8" s="77">
        <v>-4.4000000000000004</v>
      </c>
      <c r="MQ8" s="77">
        <v>-1.45</v>
      </c>
      <c r="MR8" s="77">
        <v>6.15</v>
      </c>
      <c r="MS8" s="77">
        <v>-3.4</v>
      </c>
      <c r="MT8" s="77">
        <v>-0.35</v>
      </c>
      <c r="MU8" s="77">
        <v>0.2</v>
      </c>
      <c r="MV8" s="77">
        <v>-5.15</v>
      </c>
      <c r="MW8" s="77">
        <v>-3.95</v>
      </c>
      <c r="MX8" s="77">
        <v>-0.2</v>
      </c>
      <c r="MY8" s="77">
        <v>2</v>
      </c>
      <c r="MZ8" s="77">
        <v>-2.2000000000000002</v>
      </c>
      <c r="NA8" s="77">
        <v>0.95</v>
      </c>
      <c r="NB8" s="77">
        <v>1.2</v>
      </c>
      <c r="NC8" s="77">
        <v>1.1000000000000001</v>
      </c>
      <c r="ND8" s="77">
        <v>0.7</v>
      </c>
      <c r="NE8" s="77">
        <v>-0.75</v>
      </c>
      <c r="NF8" s="77">
        <v>-1.75</v>
      </c>
      <c r="NG8" s="77">
        <v>2.85</v>
      </c>
      <c r="NH8" s="77">
        <v>2.65</v>
      </c>
      <c r="NI8" s="77">
        <v>-3.25</v>
      </c>
      <c r="NJ8" s="77">
        <v>0.25</v>
      </c>
      <c r="NK8" s="77">
        <v>5.65</v>
      </c>
      <c r="NL8" s="77">
        <v>5.8</v>
      </c>
      <c r="NM8" s="77">
        <v>-3.7</v>
      </c>
      <c r="NN8" s="77">
        <v>-0.15</v>
      </c>
      <c r="NO8" s="77">
        <v>-2.75</v>
      </c>
      <c r="NP8" s="77">
        <v>7.55</v>
      </c>
      <c r="NQ8" s="77">
        <v>-4.9000000000000004</v>
      </c>
      <c r="NR8" s="77">
        <v>-8.35</v>
      </c>
      <c r="NS8" s="77">
        <v>-5.3</v>
      </c>
      <c r="NT8" s="77">
        <v>6.25</v>
      </c>
      <c r="NU8" s="77">
        <v>-1</v>
      </c>
      <c r="NV8" s="77">
        <v>1.8</v>
      </c>
    </row>
    <row r="9" spans="1:386" s="77" customFormat="1" ht="15" customHeight="1">
      <c r="A9" s="4"/>
      <c r="B9" s="4"/>
      <c r="C9" s="146" t="s">
        <v>249</v>
      </c>
      <c r="D9" s="154">
        <f t="shared" si="1"/>
        <v>331.2</v>
      </c>
      <c r="E9" s="155">
        <f t="shared" si="0"/>
        <v>332.28</v>
      </c>
      <c r="F9" s="155">
        <f t="shared" si="0"/>
        <v>337.42</v>
      </c>
      <c r="G9" s="155">
        <f t="shared" si="0"/>
        <v>340.18</v>
      </c>
      <c r="H9" s="155">
        <f t="shared" si="0"/>
        <v>341.7</v>
      </c>
      <c r="I9" s="155">
        <f t="shared" si="0"/>
        <v>342.89</v>
      </c>
      <c r="J9" s="155">
        <f t="shared" si="0"/>
        <v>339.26</v>
      </c>
      <c r="K9" s="155">
        <f t="shared" si="0"/>
        <v>341.03</v>
      </c>
      <c r="L9" s="155">
        <f t="shared" si="0"/>
        <v>342.71</v>
      </c>
      <c r="M9" s="155">
        <f t="shared" si="0"/>
        <v>343.04</v>
      </c>
      <c r="N9" s="155">
        <f t="shared" si="0"/>
        <v>345.35</v>
      </c>
      <c r="O9" s="156">
        <f t="shared" si="0"/>
        <v>352.62</v>
      </c>
      <c r="P9"/>
      <c r="Q9"/>
      <c r="R9" s="4"/>
      <c r="S9" s="4"/>
      <c r="U9" s="80" t="s">
        <v>252</v>
      </c>
      <c r="V9" s="77">
        <v>331.2</v>
      </c>
      <c r="W9" s="77">
        <v>332.28</v>
      </c>
      <c r="X9" s="77">
        <v>337.42</v>
      </c>
      <c r="Y9" s="77">
        <v>340.18</v>
      </c>
      <c r="Z9" s="77">
        <v>341.7</v>
      </c>
      <c r="AA9" s="77">
        <v>342.89</v>
      </c>
      <c r="AB9" s="77">
        <v>339.26</v>
      </c>
      <c r="AC9" s="77">
        <v>341.03</v>
      </c>
      <c r="AD9" s="77">
        <v>342.71</v>
      </c>
      <c r="AE9" s="77">
        <v>343.04</v>
      </c>
      <c r="AF9" s="77">
        <v>345.35</v>
      </c>
      <c r="AG9" s="77">
        <v>352.62</v>
      </c>
      <c r="AH9" s="77">
        <v>347.25</v>
      </c>
      <c r="AI9" s="77">
        <v>345.76</v>
      </c>
      <c r="AJ9" s="77">
        <v>346.53</v>
      </c>
      <c r="AK9" s="77">
        <v>342.34</v>
      </c>
      <c r="AL9" s="77">
        <v>346.76</v>
      </c>
      <c r="AM9" s="77">
        <v>346.19</v>
      </c>
      <c r="AN9" s="77">
        <v>344.36</v>
      </c>
      <c r="AO9" s="77">
        <v>343.67</v>
      </c>
      <c r="AP9" s="77">
        <v>345.15</v>
      </c>
      <c r="AQ9" s="77">
        <v>345.46</v>
      </c>
      <c r="AR9" s="77">
        <v>347.88</v>
      </c>
      <c r="AS9" s="77">
        <v>349.18</v>
      </c>
      <c r="AT9" s="77">
        <v>343.37</v>
      </c>
      <c r="AU9" s="77">
        <v>341.73</v>
      </c>
      <c r="AV9" s="77">
        <v>339.31</v>
      </c>
      <c r="AW9" s="77">
        <v>333.12</v>
      </c>
      <c r="AX9" s="77">
        <v>333.95</v>
      </c>
      <c r="AY9" s="77">
        <v>338.65</v>
      </c>
      <c r="AZ9" s="77">
        <v>341.54</v>
      </c>
      <c r="BA9" s="77">
        <v>344.15</v>
      </c>
      <c r="BB9" s="77">
        <v>345.69</v>
      </c>
      <c r="BC9" s="77">
        <v>340.62</v>
      </c>
      <c r="BD9" s="77">
        <v>339.09</v>
      </c>
      <c r="BE9" s="77">
        <v>340.08</v>
      </c>
      <c r="BF9" s="77">
        <v>342.04</v>
      </c>
      <c r="BG9" s="77">
        <v>342.14</v>
      </c>
      <c r="BH9" s="77">
        <v>340.3</v>
      </c>
      <c r="BI9" s="77">
        <v>343.03</v>
      </c>
      <c r="BJ9" s="77">
        <v>341.37</v>
      </c>
      <c r="BK9" s="77">
        <v>344.57</v>
      </c>
      <c r="BL9" s="77">
        <v>345.16</v>
      </c>
      <c r="BM9" s="77">
        <v>347.32</v>
      </c>
      <c r="BN9" s="77">
        <v>345.36</v>
      </c>
      <c r="BO9" s="77">
        <v>346.87</v>
      </c>
      <c r="BP9" s="77">
        <v>348.66</v>
      </c>
      <c r="BQ9" s="77">
        <v>346.86</v>
      </c>
      <c r="BR9" s="77">
        <v>349.2</v>
      </c>
      <c r="BS9" s="77">
        <v>342.79</v>
      </c>
      <c r="BT9" s="77">
        <v>343.29</v>
      </c>
      <c r="BU9" s="77">
        <v>344.05</v>
      </c>
      <c r="BV9" s="77">
        <v>342.92</v>
      </c>
      <c r="BW9" s="77">
        <v>338.36</v>
      </c>
      <c r="BX9" s="77">
        <v>339.43</v>
      </c>
      <c r="BY9" s="77">
        <v>341.85</v>
      </c>
      <c r="BZ9" s="77">
        <v>337.59</v>
      </c>
      <c r="CA9" s="77">
        <v>335.86</v>
      </c>
      <c r="CB9" s="77">
        <v>337.04</v>
      </c>
      <c r="CC9" s="77">
        <v>337.67</v>
      </c>
      <c r="CD9" s="77">
        <v>336.88</v>
      </c>
      <c r="CE9" s="77">
        <v>334.93</v>
      </c>
      <c r="CF9" s="77">
        <v>330.57</v>
      </c>
      <c r="CG9" s="77">
        <v>327.36</v>
      </c>
      <c r="CH9" s="77">
        <v>326.08</v>
      </c>
      <c r="CI9" s="77">
        <v>325.26</v>
      </c>
      <c r="CJ9" s="77">
        <v>324.5</v>
      </c>
      <c r="CK9" s="77">
        <v>326.20999999999998</v>
      </c>
      <c r="CL9" s="77">
        <v>326.99</v>
      </c>
      <c r="CM9" s="77">
        <v>329.21</v>
      </c>
      <c r="CN9" s="77">
        <v>329.92</v>
      </c>
      <c r="CO9" s="77">
        <v>327.31</v>
      </c>
      <c r="CP9" s="77">
        <v>327.69</v>
      </c>
      <c r="CQ9" s="77">
        <v>330.3</v>
      </c>
      <c r="CR9" s="77">
        <v>327.78</v>
      </c>
      <c r="CS9" s="77">
        <v>326.43</v>
      </c>
      <c r="CT9" s="77">
        <v>325.33</v>
      </c>
      <c r="CU9" s="77">
        <v>325.88</v>
      </c>
      <c r="CV9" s="77">
        <v>330.15</v>
      </c>
      <c r="CW9" s="77">
        <v>332.48</v>
      </c>
      <c r="CX9" s="77">
        <v>334.23</v>
      </c>
      <c r="CY9" s="77">
        <v>335.37</v>
      </c>
      <c r="CZ9" s="77">
        <v>335.13</v>
      </c>
      <c r="DA9" s="77">
        <v>335.58</v>
      </c>
      <c r="DB9" s="77">
        <v>335.44</v>
      </c>
      <c r="DC9" s="77">
        <v>334.87</v>
      </c>
      <c r="DD9" s="77">
        <v>333.93</v>
      </c>
      <c r="DE9" s="77">
        <v>332.75</v>
      </c>
      <c r="DF9" s="77">
        <v>328.27</v>
      </c>
      <c r="DG9" s="77">
        <v>325.36</v>
      </c>
      <c r="DH9" s="77">
        <v>319.82</v>
      </c>
      <c r="DI9" s="77">
        <v>325.63</v>
      </c>
      <c r="DJ9" s="77">
        <v>323.83999999999997</v>
      </c>
      <c r="DK9" s="77">
        <v>322.49</v>
      </c>
      <c r="DL9" s="77">
        <v>324.25</v>
      </c>
      <c r="DM9" s="77">
        <v>320.27</v>
      </c>
      <c r="DN9" s="77">
        <v>318.44</v>
      </c>
      <c r="DO9" s="77">
        <v>317.81</v>
      </c>
      <c r="DP9" s="77">
        <v>314.31</v>
      </c>
      <c r="DQ9" s="77">
        <v>315.88</v>
      </c>
      <c r="DR9" s="77">
        <v>317.38</v>
      </c>
      <c r="DS9" s="77">
        <v>315.75</v>
      </c>
      <c r="DT9" s="77">
        <v>312.01</v>
      </c>
      <c r="DU9" s="77">
        <v>311.16000000000003</v>
      </c>
      <c r="DV9" s="77">
        <v>313.85000000000002</v>
      </c>
      <c r="DW9" s="77">
        <v>310.17</v>
      </c>
      <c r="DX9" s="77">
        <v>310.91000000000003</v>
      </c>
      <c r="DY9" s="77">
        <v>307.39</v>
      </c>
      <c r="DZ9" s="77">
        <v>315.12</v>
      </c>
      <c r="EA9" s="77">
        <v>312.63</v>
      </c>
      <c r="EB9" s="77">
        <v>314.07</v>
      </c>
      <c r="EC9" s="77">
        <v>315.44</v>
      </c>
      <c r="ED9" s="77">
        <v>319.89</v>
      </c>
      <c r="EE9" s="77">
        <v>321.07</v>
      </c>
      <c r="EF9" s="77">
        <v>316.58</v>
      </c>
      <c r="EG9" s="77">
        <v>316.51</v>
      </c>
      <c r="EH9" s="77">
        <v>315.11</v>
      </c>
      <c r="EI9" s="77">
        <v>314.27999999999997</v>
      </c>
      <c r="EJ9" s="77">
        <v>317.38</v>
      </c>
      <c r="EK9" s="77">
        <v>319.91000000000003</v>
      </c>
      <c r="EL9" s="77">
        <v>316.43</v>
      </c>
      <c r="EM9" s="77">
        <v>322.08999999999997</v>
      </c>
      <c r="EN9" s="77">
        <v>322.35000000000002</v>
      </c>
      <c r="EO9" s="77">
        <v>321.43</v>
      </c>
      <c r="EP9" s="77">
        <v>324.77999999999997</v>
      </c>
      <c r="EQ9" s="77">
        <v>318.69</v>
      </c>
      <c r="ER9" s="77">
        <v>324.20999999999998</v>
      </c>
      <c r="ES9" s="77">
        <v>322.51</v>
      </c>
      <c r="ET9" s="77">
        <v>324.55</v>
      </c>
      <c r="EU9" s="77">
        <v>325.79000000000002</v>
      </c>
      <c r="EV9" s="77">
        <v>326.56</v>
      </c>
      <c r="EW9" s="77">
        <v>321.49</v>
      </c>
      <c r="EX9" s="77">
        <v>319.81</v>
      </c>
      <c r="EY9" s="77">
        <v>326.95999999999998</v>
      </c>
      <c r="EZ9" s="77">
        <v>325.08</v>
      </c>
      <c r="FA9" s="77">
        <v>322.37</v>
      </c>
      <c r="FB9" s="77">
        <v>318.45999999999998</v>
      </c>
      <c r="FC9" s="77">
        <v>323.92</v>
      </c>
      <c r="FD9" s="77">
        <v>329.36</v>
      </c>
      <c r="FE9" s="77">
        <v>326.97000000000003</v>
      </c>
      <c r="FF9" s="77">
        <v>322.18</v>
      </c>
      <c r="FG9" s="77">
        <v>317.14</v>
      </c>
      <c r="FH9" s="77">
        <v>315.41000000000003</v>
      </c>
      <c r="FI9" s="77">
        <v>313.55</v>
      </c>
      <c r="FJ9" s="77">
        <v>315.44</v>
      </c>
      <c r="FK9" s="77">
        <v>317.82</v>
      </c>
      <c r="FL9" s="77">
        <v>315.63</v>
      </c>
      <c r="FM9" s="77">
        <v>312.58999999999997</v>
      </c>
      <c r="FN9" s="77">
        <v>312.31</v>
      </c>
      <c r="FO9" s="77">
        <v>311.52999999999997</v>
      </c>
      <c r="FP9" s="77">
        <v>311.70999999999998</v>
      </c>
      <c r="FQ9" s="77">
        <v>303.58999999999997</v>
      </c>
      <c r="FR9" s="77">
        <v>299.94</v>
      </c>
      <c r="FS9" s="77">
        <v>298.07</v>
      </c>
      <c r="FT9" s="77">
        <v>291.66000000000003</v>
      </c>
      <c r="FU9" s="77">
        <v>291.91000000000003</v>
      </c>
      <c r="FV9" s="77">
        <v>293.35000000000002</v>
      </c>
      <c r="FW9" s="77">
        <v>299.45</v>
      </c>
      <c r="FX9" s="77">
        <v>301.83</v>
      </c>
      <c r="FY9" s="77">
        <v>299.89</v>
      </c>
      <c r="FZ9" s="77">
        <v>299.79000000000002</v>
      </c>
      <c r="GA9" s="77">
        <v>305.27999999999997</v>
      </c>
      <c r="GB9" s="77">
        <v>301.02999999999997</v>
      </c>
      <c r="GC9" s="77">
        <v>301.89</v>
      </c>
      <c r="GD9" s="77">
        <v>304.67</v>
      </c>
      <c r="GE9" s="77">
        <v>305.49</v>
      </c>
      <c r="GF9" s="77">
        <v>305.77</v>
      </c>
      <c r="GG9" s="77">
        <v>311.36</v>
      </c>
      <c r="GH9" s="77">
        <v>307.68</v>
      </c>
      <c r="GI9" s="77">
        <v>307.8</v>
      </c>
      <c r="GJ9" s="77">
        <v>309.86</v>
      </c>
      <c r="GK9" s="77">
        <v>308.27</v>
      </c>
      <c r="GL9" s="77">
        <v>308.33999999999997</v>
      </c>
      <c r="GM9" s="77">
        <v>310.24</v>
      </c>
      <c r="GN9" s="77">
        <v>314.05</v>
      </c>
      <c r="GO9" s="77">
        <v>315.26</v>
      </c>
      <c r="GP9" s="77">
        <v>322.3</v>
      </c>
      <c r="GQ9" s="77">
        <v>321.32900000000001</v>
      </c>
      <c r="GR9" s="77">
        <v>315.93</v>
      </c>
      <c r="GS9" s="77">
        <v>312.58999999999997</v>
      </c>
      <c r="GT9" s="77">
        <v>316.56</v>
      </c>
      <c r="GU9" s="77">
        <v>317.82</v>
      </c>
      <c r="GV9" s="77">
        <v>314.66000000000003</v>
      </c>
      <c r="GW9" s="77">
        <v>312.60000000000002</v>
      </c>
      <c r="GX9" s="77">
        <v>315.29000000000002</v>
      </c>
      <c r="GY9" s="77">
        <v>317.85000000000002</v>
      </c>
      <c r="GZ9" s="77">
        <v>317.51</v>
      </c>
      <c r="HA9" s="77">
        <v>322.77</v>
      </c>
      <c r="HB9" s="77">
        <v>323.14999999999998</v>
      </c>
      <c r="HC9" s="77">
        <v>322.39999999999998</v>
      </c>
      <c r="HD9" s="77">
        <v>324.07</v>
      </c>
      <c r="HE9" s="77">
        <v>312.11</v>
      </c>
      <c r="HF9" s="77">
        <v>316.26</v>
      </c>
      <c r="HG9" s="77">
        <v>313.06</v>
      </c>
      <c r="HH9" s="77">
        <v>308.94</v>
      </c>
      <c r="HI9" s="77">
        <v>305.49</v>
      </c>
      <c r="HJ9" s="77">
        <v>302.83999999999997</v>
      </c>
      <c r="HK9" s="77">
        <v>305.08999999999997</v>
      </c>
      <c r="HL9" s="77">
        <v>305.13</v>
      </c>
      <c r="HM9" s="77">
        <v>300.83999999999997</v>
      </c>
      <c r="HN9" s="77">
        <v>296.39999999999998</v>
      </c>
      <c r="HO9" s="77">
        <v>300.20999999999998</v>
      </c>
      <c r="HP9" s="77">
        <v>295.24</v>
      </c>
      <c r="HQ9" s="77">
        <v>292.99</v>
      </c>
      <c r="HR9" s="77">
        <v>292.89999999999998</v>
      </c>
      <c r="HS9" s="77">
        <v>290.05</v>
      </c>
      <c r="HT9" s="77">
        <v>290.11</v>
      </c>
      <c r="HU9" s="77">
        <v>292.81</v>
      </c>
      <c r="HV9" s="77">
        <v>295.13</v>
      </c>
      <c r="HW9" s="77">
        <v>291.11</v>
      </c>
      <c r="HX9" s="77">
        <v>290.98</v>
      </c>
      <c r="HY9" s="77">
        <v>284.14999999999998</v>
      </c>
      <c r="HZ9" s="77">
        <v>288.60000000000002</v>
      </c>
      <c r="IA9" s="77">
        <v>286.49</v>
      </c>
      <c r="IB9" s="77">
        <v>292.07</v>
      </c>
      <c r="IC9" s="77">
        <v>292.95</v>
      </c>
      <c r="ID9" s="77">
        <v>290.73</v>
      </c>
      <c r="IE9" s="77">
        <v>289.95999999999998</v>
      </c>
      <c r="IF9" s="77">
        <v>283.08</v>
      </c>
      <c r="IG9" s="77">
        <v>284.38</v>
      </c>
      <c r="IH9" s="77">
        <v>284.22000000000003</v>
      </c>
      <c r="II9" s="77">
        <v>291.27999999999997</v>
      </c>
      <c r="IJ9" s="77">
        <v>290.86</v>
      </c>
      <c r="IK9" s="77">
        <v>298.93</v>
      </c>
      <c r="IL9" s="77">
        <v>302.88</v>
      </c>
      <c r="IM9" s="77">
        <v>305.94</v>
      </c>
      <c r="IN9" s="77">
        <v>308.83</v>
      </c>
      <c r="IO9" s="77">
        <v>307.8</v>
      </c>
      <c r="IP9" s="77">
        <v>310.07</v>
      </c>
      <c r="IQ9" s="77">
        <v>312.04000000000002</v>
      </c>
      <c r="IR9" s="77">
        <v>314.19</v>
      </c>
      <c r="IS9" s="77">
        <v>320.08</v>
      </c>
      <c r="IT9" s="77">
        <v>309.14</v>
      </c>
      <c r="IU9" s="77">
        <v>308.20999999999998</v>
      </c>
      <c r="IV9" s="77">
        <v>313.08999999999997</v>
      </c>
      <c r="IW9" s="77">
        <v>312.57</v>
      </c>
      <c r="IX9" s="77">
        <v>313.10000000000002</v>
      </c>
      <c r="IY9" s="77">
        <v>315.22000000000003</v>
      </c>
      <c r="IZ9" s="77">
        <v>323.19</v>
      </c>
      <c r="JA9" s="77">
        <v>319.75</v>
      </c>
      <c r="JB9" s="77">
        <v>316.63</v>
      </c>
      <c r="JC9" s="77">
        <v>324.27</v>
      </c>
      <c r="JD9" s="77">
        <v>324</v>
      </c>
      <c r="JE9" s="77">
        <v>320.25</v>
      </c>
      <c r="JF9" s="77">
        <v>319.10000000000002</v>
      </c>
      <c r="JG9" s="77">
        <v>323.20999999999998</v>
      </c>
      <c r="JH9" s="77">
        <v>327.31</v>
      </c>
      <c r="JI9" s="77">
        <v>329.35</v>
      </c>
      <c r="JJ9" s="77">
        <v>330.48</v>
      </c>
      <c r="JK9" s="77">
        <v>332.38</v>
      </c>
      <c r="JL9" s="77">
        <v>331.37</v>
      </c>
      <c r="JM9" s="77">
        <v>330.64</v>
      </c>
      <c r="JN9" s="77">
        <v>325.08</v>
      </c>
      <c r="JO9" s="77">
        <v>328.88</v>
      </c>
      <c r="JP9" s="77">
        <v>328.02</v>
      </c>
      <c r="JQ9" s="77">
        <v>328.36</v>
      </c>
      <c r="JR9" s="77">
        <v>326.35000000000002</v>
      </c>
      <c r="JS9" s="77">
        <v>324.7</v>
      </c>
      <c r="JT9" s="77">
        <v>322.55</v>
      </c>
      <c r="JU9" s="77">
        <v>323.92</v>
      </c>
      <c r="JV9" s="77">
        <v>324.31</v>
      </c>
      <c r="JW9" s="77">
        <v>322.63</v>
      </c>
      <c r="JX9" s="77">
        <v>320.74</v>
      </c>
      <c r="JY9" s="77">
        <v>320.63</v>
      </c>
      <c r="JZ9" s="77">
        <v>319.38</v>
      </c>
      <c r="KA9" s="77">
        <v>318.39999999999998</v>
      </c>
      <c r="KB9" s="77">
        <v>320.77999999999997</v>
      </c>
      <c r="KC9" s="77">
        <v>317.13</v>
      </c>
      <c r="KD9" s="77">
        <v>315.02</v>
      </c>
      <c r="KE9" s="77">
        <v>316.02</v>
      </c>
      <c r="KF9" s="77">
        <v>309.08999999999997</v>
      </c>
      <c r="KG9" s="77">
        <v>306.49</v>
      </c>
      <c r="KH9" s="77">
        <v>307.60000000000002</v>
      </c>
      <c r="KI9" s="77">
        <v>306.01</v>
      </c>
      <c r="KJ9" s="77">
        <v>309.3</v>
      </c>
      <c r="KK9" s="77">
        <v>311.22000000000003</v>
      </c>
      <c r="KL9" s="77">
        <v>309.39</v>
      </c>
      <c r="KM9" s="77">
        <v>303.35000000000002</v>
      </c>
      <c r="KN9" s="77">
        <v>310.14</v>
      </c>
      <c r="KO9" s="77">
        <v>305.12</v>
      </c>
      <c r="KP9" s="77">
        <v>305.18</v>
      </c>
      <c r="KQ9" s="77">
        <v>308.38</v>
      </c>
      <c r="KR9" s="77">
        <v>314.06</v>
      </c>
      <c r="KS9" s="77">
        <v>319.39999999999998</v>
      </c>
      <c r="KT9" s="77">
        <v>316.49</v>
      </c>
      <c r="KU9" s="77">
        <v>312.39999999999998</v>
      </c>
      <c r="KV9" s="77">
        <v>305.76</v>
      </c>
      <c r="KW9" s="77">
        <v>308.42</v>
      </c>
      <c r="KX9" s="77">
        <v>316.77</v>
      </c>
      <c r="KY9" s="77">
        <v>314.83999999999997</v>
      </c>
      <c r="KZ9" s="77">
        <v>320.55</v>
      </c>
      <c r="LA9" s="77">
        <v>322.74</v>
      </c>
      <c r="LB9" s="77">
        <v>322.70999999999998</v>
      </c>
      <c r="LC9" s="77">
        <v>328.77</v>
      </c>
      <c r="LD9" s="77">
        <v>330.45</v>
      </c>
      <c r="LE9" s="77">
        <v>342.55</v>
      </c>
      <c r="LF9" s="77">
        <v>346.64</v>
      </c>
      <c r="LG9" s="77">
        <v>346.26</v>
      </c>
      <c r="LH9" s="77">
        <v>345.73</v>
      </c>
      <c r="LI9" s="77">
        <v>352.14</v>
      </c>
      <c r="LJ9" s="77">
        <v>350.66</v>
      </c>
      <c r="LK9" s="77">
        <v>354.73</v>
      </c>
      <c r="LL9" s="77">
        <v>352.7</v>
      </c>
      <c r="LM9" s="77">
        <v>348.3</v>
      </c>
      <c r="LN9" s="77">
        <v>344.51</v>
      </c>
      <c r="LO9" s="77">
        <v>345.87</v>
      </c>
      <c r="LP9" s="77">
        <v>344.36</v>
      </c>
      <c r="LQ9" s="77">
        <v>350.64</v>
      </c>
      <c r="LR9" s="77">
        <v>349.64</v>
      </c>
      <c r="LS9" s="77">
        <v>343.6</v>
      </c>
      <c r="LT9" s="77">
        <v>348.72</v>
      </c>
      <c r="LU9" s="77">
        <v>347.92</v>
      </c>
      <c r="LV9" s="77">
        <v>344.35</v>
      </c>
      <c r="LW9" s="77">
        <v>345.96</v>
      </c>
      <c r="LX9" s="77">
        <v>338.4</v>
      </c>
      <c r="LY9" s="77">
        <v>343.93</v>
      </c>
      <c r="LZ9" s="77">
        <v>344.17</v>
      </c>
      <c r="MA9" s="77">
        <v>345.93</v>
      </c>
      <c r="MB9" s="77">
        <v>349.58600000000001</v>
      </c>
      <c r="MC9" s="77">
        <v>354.47</v>
      </c>
      <c r="MD9" s="77">
        <v>353.95</v>
      </c>
      <c r="ME9" s="77">
        <v>354.67</v>
      </c>
      <c r="MF9" s="77">
        <v>355.78</v>
      </c>
      <c r="MG9" s="77">
        <v>350.87</v>
      </c>
      <c r="MH9" s="77">
        <v>346.93</v>
      </c>
      <c r="MI9" s="77">
        <v>351.41</v>
      </c>
      <c r="MJ9" s="77">
        <v>349.74</v>
      </c>
      <c r="MK9" s="77">
        <v>356.25</v>
      </c>
      <c r="ML9" s="77">
        <v>359.87</v>
      </c>
      <c r="MM9" s="77">
        <v>358.38</v>
      </c>
      <c r="MN9" s="77">
        <v>358.24</v>
      </c>
      <c r="MO9" s="77">
        <v>354.51</v>
      </c>
      <c r="MP9" s="77">
        <v>354.77</v>
      </c>
      <c r="MQ9" s="77">
        <v>358.22</v>
      </c>
      <c r="MR9" s="77">
        <v>359.86099999999999</v>
      </c>
      <c r="MS9" s="77">
        <v>353.18</v>
      </c>
      <c r="MT9" s="77">
        <v>356.66</v>
      </c>
      <c r="MU9" s="77">
        <v>356.94</v>
      </c>
      <c r="MV9" s="77">
        <v>356.67</v>
      </c>
      <c r="MW9" s="77">
        <v>361.98</v>
      </c>
      <c r="MX9" s="77">
        <v>365.74</v>
      </c>
      <c r="MY9" s="77">
        <v>365.95</v>
      </c>
      <c r="MZ9" s="77">
        <v>364.24</v>
      </c>
      <c r="NA9" s="77">
        <v>366.68</v>
      </c>
      <c r="NB9" s="77">
        <v>365.59</v>
      </c>
      <c r="NC9" s="77">
        <v>364.26</v>
      </c>
      <c r="ND9" s="77">
        <v>362.56</v>
      </c>
      <c r="NE9" s="77">
        <v>362.59</v>
      </c>
      <c r="NF9" s="77">
        <v>363.93</v>
      </c>
      <c r="NG9" s="77">
        <v>365.41</v>
      </c>
      <c r="NH9" s="77">
        <v>362.24</v>
      </c>
      <c r="NI9" s="77">
        <v>359.35</v>
      </c>
      <c r="NJ9" s="77">
        <v>362.97</v>
      </c>
      <c r="NK9" s="77">
        <v>362.11</v>
      </c>
      <c r="NL9" s="77">
        <v>356.74</v>
      </c>
      <c r="NM9" s="77">
        <v>351.67</v>
      </c>
      <c r="NN9" s="77">
        <v>355.28</v>
      </c>
      <c r="NO9" s="77">
        <v>356.02</v>
      </c>
      <c r="NP9" s="77">
        <v>358.02</v>
      </c>
      <c r="NQ9" s="77">
        <v>349.42</v>
      </c>
      <c r="NR9" s="77">
        <v>353.09</v>
      </c>
      <c r="NS9" s="77">
        <v>361.79</v>
      </c>
      <c r="NT9" s="77">
        <v>367.18</v>
      </c>
      <c r="NU9" s="77">
        <v>360.72</v>
      </c>
      <c r="NV9" s="77">
        <v>361.7</v>
      </c>
    </row>
    <row r="10" spans="1:386" s="77" customFormat="1" ht="15" customHeight="1">
      <c r="A10" s="4"/>
      <c r="B10" s="4"/>
      <c r="C10" s="146" t="s">
        <v>261</v>
      </c>
      <c r="D10" s="154">
        <f t="shared" si="1"/>
        <v>330.23</v>
      </c>
      <c r="E10" s="155">
        <f t="shared" si="0"/>
        <v>331.28</v>
      </c>
      <c r="F10" s="155">
        <f t="shared" si="0"/>
        <v>336.33</v>
      </c>
      <c r="G10" s="155">
        <f t="shared" si="0"/>
        <v>338.98</v>
      </c>
      <c r="H10" s="155">
        <f t="shared" si="0"/>
        <v>340.46</v>
      </c>
      <c r="I10" s="155">
        <f t="shared" si="0"/>
        <v>341.61</v>
      </c>
      <c r="J10" s="155">
        <f t="shared" si="0"/>
        <v>337.95</v>
      </c>
      <c r="K10" s="155">
        <f t="shared" si="0"/>
        <v>339.68</v>
      </c>
      <c r="L10" s="155">
        <f t="shared" si="0"/>
        <v>341.25</v>
      </c>
      <c r="M10" s="155">
        <f t="shared" si="0"/>
        <v>341.54</v>
      </c>
      <c r="N10" s="155">
        <f t="shared" si="0"/>
        <v>343.8</v>
      </c>
      <c r="O10" s="156">
        <f t="shared" si="0"/>
        <v>351</v>
      </c>
      <c r="P10"/>
      <c r="Q10"/>
      <c r="R10" s="4"/>
      <c r="S10" s="4"/>
      <c r="U10" s="80" t="s">
        <v>253</v>
      </c>
      <c r="V10" s="77">
        <v>330.23</v>
      </c>
      <c r="W10" s="77">
        <v>331.28</v>
      </c>
      <c r="X10" s="77">
        <v>336.33</v>
      </c>
      <c r="Y10" s="77">
        <v>338.98</v>
      </c>
      <c r="Z10" s="77">
        <v>340.46</v>
      </c>
      <c r="AA10" s="77">
        <v>341.61</v>
      </c>
      <c r="AB10" s="77">
        <v>337.95</v>
      </c>
      <c r="AC10" s="77">
        <v>339.68</v>
      </c>
      <c r="AD10" s="77">
        <v>341.25</v>
      </c>
      <c r="AE10" s="77">
        <v>341.54</v>
      </c>
      <c r="AF10" s="77">
        <v>343.8</v>
      </c>
      <c r="AG10" s="77">
        <v>351</v>
      </c>
      <c r="AH10" s="77">
        <v>345.62</v>
      </c>
      <c r="AI10" s="77">
        <v>344.03</v>
      </c>
      <c r="AJ10" s="77">
        <v>344.76</v>
      </c>
      <c r="AK10" s="77">
        <v>340.56</v>
      </c>
      <c r="AL10" s="77">
        <v>344.92</v>
      </c>
      <c r="AM10" s="77">
        <v>344.32</v>
      </c>
      <c r="AN10" s="77">
        <v>342.39</v>
      </c>
      <c r="AO10" s="77">
        <v>341.67</v>
      </c>
      <c r="AP10" s="77">
        <v>343.11</v>
      </c>
      <c r="AQ10" s="77">
        <v>343.38</v>
      </c>
      <c r="AR10" s="77">
        <v>345.75</v>
      </c>
      <c r="AS10" s="77">
        <v>346.93</v>
      </c>
      <c r="AT10" s="77">
        <v>341.13</v>
      </c>
      <c r="AU10" s="77">
        <v>339.46</v>
      </c>
      <c r="AV10" s="77">
        <v>337.02</v>
      </c>
      <c r="AW10" s="77">
        <v>330.84</v>
      </c>
      <c r="AX10" s="77">
        <v>331.57</v>
      </c>
      <c r="AY10" s="77">
        <v>336.2</v>
      </c>
      <c r="AZ10" s="77">
        <v>339.04</v>
      </c>
      <c r="BA10" s="77">
        <v>341.59</v>
      </c>
      <c r="BB10" s="77">
        <v>343.08</v>
      </c>
      <c r="BC10" s="77">
        <v>337.95</v>
      </c>
      <c r="BD10" s="77">
        <v>336.39</v>
      </c>
      <c r="BE10" s="77">
        <v>338.41</v>
      </c>
      <c r="BF10" s="77">
        <v>340.32</v>
      </c>
      <c r="BG10" s="77">
        <v>340.38</v>
      </c>
      <c r="BH10" s="77">
        <v>338.45</v>
      </c>
      <c r="BI10" s="77">
        <v>341.12</v>
      </c>
      <c r="BJ10" s="77">
        <v>339.44</v>
      </c>
      <c r="BK10" s="77">
        <v>342.58</v>
      </c>
      <c r="BL10" s="77">
        <v>343.13</v>
      </c>
      <c r="BM10" s="77">
        <v>345.17</v>
      </c>
      <c r="BN10" s="77">
        <v>343.19</v>
      </c>
      <c r="BO10" s="77">
        <v>344.65</v>
      </c>
      <c r="BP10" s="77">
        <v>346.39</v>
      </c>
      <c r="BQ10" s="77">
        <v>344.57</v>
      </c>
      <c r="BR10" s="77">
        <v>346.79</v>
      </c>
      <c r="BS10" s="77">
        <v>342.75</v>
      </c>
      <c r="BT10" s="77">
        <v>343.22</v>
      </c>
      <c r="BU10" s="77">
        <v>343.91</v>
      </c>
      <c r="BV10" s="77">
        <v>342.67</v>
      </c>
      <c r="BW10" s="77">
        <v>338.08</v>
      </c>
      <c r="BX10" s="77">
        <v>339.12</v>
      </c>
      <c r="BY10" s="77">
        <v>341.5</v>
      </c>
      <c r="BZ10" s="77">
        <v>337.11</v>
      </c>
      <c r="CA10" s="77">
        <v>335.35</v>
      </c>
      <c r="CB10" s="77">
        <v>336.49</v>
      </c>
      <c r="CC10" s="77">
        <v>337.09</v>
      </c>
      <c r="CD10" s="77">
        <v>336.27</v>
      </c>
      <c r="CE10" s="77">
        <v>334.23</v>
      </c>
      <c r="CF10" s="77">
        <v>329.84</v>
      </c>
      <c r="CG10" s="77">
        <v>326.61</v>
      </c>
      <c r="CH10" s="77">
        <v>325.31</v>
      </c>
      <c r="CI10" s="77">
        <v>324.45999999999998</v>
      </c>
      <c r="CJ10" s="77">
        <v>323.61</v>
      </c>
      <c r="CK10" s="77">
        <v>325.27999999999997</v>
      </c>
      <c r="CL10" s="77">
        <v>326.04000000000002</v>
      </c>
      <c r="CM10" s="77">
        <v>328.22</v>
      </c>
      <c r="CN10" s="77">
        <v>328.9</v>
      </c>
      <c r="CO10" s="77">
        <v>326.17</v>
      </c>
      <c r="CP10" s="77">
        <v>326.52</v>
      </c>
      <c r="CQ10" s="77">
        <v>329.09</v>
      </c>
      <c r="CR10" s="77">
        <v>326.45999999999998</v>
      </c>
      <c r="CS10" s="77">
        <v>325.08999999999997</v>
      </c>
      <c r="CT10" s="77">
        <v>323.97000000000003</v>
      </c>
      <c r="CU10" s="77">
        <v>324.48</v>
      </c>
      <c r="CV10" s="77">
        <v>328.7</v>
      </c>
      <c r="CW10" s="77">
        <v>330.94</v>
      </c>
      <c r="CX10" s="77">
        <v>332.66</v>
      </c>
      <c r="CY10" s="77">
        <v>333.77</v>
      </c>
      <c r="CZ10" s="77">
        <v>333.5</v>
      </c>
      <c r="DA10" s="77">
        <v>333.92</v>
      </c>
      <c r="DB10" s="77">
        <v>333.68</v>
      </c>
      <c r="DC10" s="77">
        <v>333.09</v>
      </c>
      <c r="DD10" s="77">
        <v>332.09</v>
      </c>
      <c r="DE10" s="77">
        <v>330.87</v>
      </c>
      <c r="DF10" s="77">
        <v>326.38</v>
      </c>
      <c r="DG10" s="77">
        <v>323.36</v>
      </c>
      <c r="DH10" s="77">
        <v>317.82</v>
      </c>
      <c r="DI10" s="77">
        <v>323.56</v>
      </c>
      <c r="DJ10" s="77">
        <v>321.75</v>
      </c>
      <c r="DK10" s="77">
        <v>320.38</v>
      </c>
      <c r="DL10" s="77">
        <v>322.02999999999997</v>
      </c>
      <c r="DM10" s="77">
        <v>318.05</v>
      </c>
      <c r="DN10" s="77">
        <v>317.01</v>
      </c>
      <c r="DO10" s="77">
        <v>316.36</v>
      </c>
      <c r="DP10" s="77">
        <v>312.85000000000002</v>
      </c>
      <c r="DQ10" s="77">
        <v>314.3</v>
      </c>
      <c r="DR10" s="77">
        <v>315.75</v>
      </c>
      <c r="DS10" s="77">
        <v>314.11</v>
      </c>
      <c r="DT10" s="77">
        <v>310.36</v>
      </c>
      <c r="DU10" s="77">
        <v>309.49</v>
      </c>
      <c r="DV10" s="77">
        <v>312.07</v>
      </c>
      <c r="DW10" s="77">
        <v>308.39</v>
      </c>
      <c r="DX10" s="77">
        <v>309.10000000000002</v>
      </c>
      <c r="DY10" s="77">
        <v>305.58</v>
      </c>
      <c r="DZ10" s="77">
        <v>313.20999999999998</v>
      </c>
      <c r="EA10" s="77">
        <v>310.64999999999998</v>
      </c>
      <c r="EB10" s="77">
        <v>314.04000000000002</v>
      </c>
      <c r="EC10" s="77">
        <v>315.38</v>
      </c>
      <c r="ED10" s="77">
        <v>319.8</v>
      </c>
      <c r="EE10" s="77">
        <v>320.94</v>
      </c>
      <c r="EF10" s="77">
        <v>316.36</v>
      </c>
      <c r="EG10" s="77">
        <v>316.26</v>
      </c>
      <c r="EH10" s="77">
        <v>314.8</v>
      </c>
      <c r="EI10" s="77">
        <v>313.94</v>
      </c>
      <c r="EJ10" s="77">
        <v>316.94</v>
      </c>
      <c r="EK10" s="77">
        <v>319.44</v>
      </c>
      <c r="EL10" s="77">
        <v>315.94</v>
      </c>
      <c r="EM10" s="77">
        <v>321.56</v>
      </c>
      <c r="EN10" s="77">
        <v>321.79000000000002</v>
      </c>
      <c r="EO10" s="77">
        <v>320.77999999999997</v>
      </c>
      <c r="EP10" s="77">
        <v>324.10000000000002</v>
      </c>
      <c r="EQ10" s="77">
        <v>317.99</v>
      </c>
      <c r="ER10" s="77">
        <v>323.47000000000003</v>
      </c>
      <c r="ES10" s="77">
        <v>321.75</v>
      </c>
      <c r="ET10" s="77">
        <v>323.69</v>
      </c>
      <c r="EU10" s="77">
        <v>324.89999999999998</v>
      </c>
      <c r="EV10" s="77">
        <v>325.63</v>
      </c>
      <c r="EW10" s="77">
        <v>320.55</v>
      </c>
      <c r="EX10" s="77">
        <v>318.83</v>
      </c>
      <c r="EY10" s="77">
        <v>325.86</v>
      </c>
      <c r="EZ10" s="77">
        <v>323.93</v>
      </c>
      <c r="FA10" s="77">
        <v>321.19</v>
      </c>
      <c r="FB10" s="77">
        <v>317.26</v>
      </c>
      <c r="FC10" s="77">
        <v>322.67</v>
      </c>
      <c r="FD10" s="77">
        <v>327.98</v>
      </c>
      <c r="FE10" s="77">
        <v>325.57</v>
      </c>
      <c r="FF10" s="77">
        <v>320.76</v>
      </c>
      <c r="FG10" s="77">
        <v>315.58</v>
      </c>
      <c r="FH10" s="77">
        <v>313.81</v>
      </c>
      <c r="FI10" s="77">
        <v>311.91000000000003</v>
      </c>
      <c r="FJ10" s="77">
        <v>313.75</v>
      </c>
      <c r="FK10" s="77">
        <v>316.04000000000002</v>
      </c>
      <c r="FL10" s="77">
        <v>313.77</v>
      </c>
      <c r="FM10" s="77">
        <v>310.7</v>
      </c>
      <c r="FN10" s="77">
        <v>310.38</v>
      </c>
      <c r="FO10" s="77">
        <v>309.57</v>
      </c>
      <c r="FP10" s="77">
        <v>309.69</v>
      </c>
      <c r="FQ10" s="77">
        <v>301.52999999999997</v>
      </c>
      <c r="FR10" s="77">
        <v>297.87</v>
      </c>
      <c r="FS10" s="77">
        <v>295.98</v>
      </c>
      <c r="FT10" s="77">
        <v>289.58</v>
      </c>
      <c r="FU10" s="77">
        <v>289.79000000000002</v>
      </c>
      <c r="FV10" s="77">
        <v>291.10000000000002</v>
      </c>
      <c r="FW10" s="77">
        <v>297.08999999999997</v>
      </c>
      <c r="FX10" s="77">
        <v>304.22000000000003</v>
      </c>
      <c r="FY10" s="77">
        <v>302.27</v>
      </c>
      <c r="FZ10" s="77">
        <v>302.07</v>
      </c>
      <c r="GA10" s="77">
        <v>307.48</v>
      </c>
      <c r="GB10" s="77">
        <v>303.23</v>
      </c>
      <c r="GC10" s="77">
        <v>304.05</v>
      </c>
      <c r="GD10" s="77">
        <v>306.77</v>
      </c>
      <c r="GE10" s="77">
        <v>307.48</v>
      </c>
      <c r="GF10" s="77">
        <v>307.73</v>
      </c>
      <c r="GG10" s="77">
        <v>313.23</v>
      </c>
      <c r="GH10" s="77">
        <v>309.56</v>
      </c>
      <c r="GI10" s="77">
        <v>309.64</v>
      </c>
      <c r="GJ10" s="77">
        <v>311.63</v>
      </c>
      <c r="GK10" s="77">
        <v>308.24</v>
      </c>
      <c r="GL10" s="77">
        <v>308.27</v>
      </c>
      <c r="GM10" s="77">
        <v>310.14</v>
      </c>
      <c r="GN10" s="77">
        <v>313.91000000000003</v>
      </c>
      <c r="GO10" s="77">
        <v>315.02</v>
      </c>
      <c r="GP10" s="77">
        <v>322.02</v>
      </c>
      <c r="GQ10" s="77">
        <v>321.01</v>
      </c>
      <c r="GR10" s="77">
        <v>315.58</v>
      </c>
      <c r="GS10" s="77">
        <v>312.20999999999998</v>
      </c>
      <c r="GT10" s="77">
        <v>316.07</v>
      </c>
      <c r="GU10" s="77">
        <v>317.3</v>
      </c>
      <c r="GV10" s="77">
        <v>314.11</v>
      </c>
      <c r="GW10" s="77">
        <v>312.02</v>
      </c>
      <c r="GX10" s="77">
        <v>314.67</v>
      </c>
      <c r="GY10" s="77">
        <v>317.12</v>
      </c>
      <c r="GZ10" s="77">
        <v>316.75</v>
      </c>
      <c r="HA10" s="77">
        <v>321.95999999999998</v>
      </c>
      <c r="HB10" s="77">
        <v>322.31</v>
      </c>
      <c r="HC10" s="77">
        <v>321.52999999999997</v>
      </c>
      <c r="HD10" s="77">
        <v>323.08999999999997</v>
      </c>
      <c r="HE10" s="77">
        <v>311.13</v>
      </c>
      <c r="HF10" s="77">
        <v>315.23</v>
      </c>
      <c r="HG10" s="77">
        <v>312.01</v>
      </c>
      <c r="HH10" s="77">
        <v>307.87</v>
      </c>
      <c r="HI10" s="77">
        <v>304.33</v>
      </c>
      <c r="HJ10" s="77">
        <v>301.66000000000003</v>
      </c>
      <c r="HK10" s="77">
        <v>303.87</v>
      </c>
      <c r="HL10" s="77">
        <v>303.88</v>
      </c>
      <c r="HM10" s="77">
        <v>299.58</v>
      </c>
      <c r="HN10" s="77">
        <v>295.06</v>
      </c>
      <c r="HO10" s="77">
        <v>298.82</v>
      </c>
      <c r="HP10" s="77">
        <v>293.85000000000002</v>
      </c>
      <c r="HQ10" s="77">
        <v>291.58</v>
      </c>
      <c r="HR10" s="77">
        <v>291.47000000000003</v>
      </c>
      <c r="HS10" s="77">
        <v>288.57</v>
      </c>
      <c r="HT10" s="77">
        <v>288.61</v>
      </c>
      <c r="HU10" s="77">
        <v>291.29000000000002</v>
      </c>
      <c r="HV10" s="77">
        <v>293.58999999999997</v>
      </c>
      <c r="HW10" s="77">
        <v>289.57</v>
      </c>
      <c r="HX10" s="77">
        <v>289.36</v>
      </c>
      <c r="HY10" s="77">
        <v>282.57</v>
      </c>
      <c r="HZ10" s="77">
        <v>287.08999999999997</v>
      </c>
      <c r="IA10" s="77">
        <v>284.95999999999998</v>
      </c>
      <c r="IB10" s="77">
        <v>290.41000000000003</v>
      </c>
      <c r="IC10" s="77">
        <v>291.26</v>
      </c>
      <c r="ID10" s="77">
        <v>289.05</v>
      </c>
      <c r="IE10" s="77">
        <v>288.27</v>
      </c>
      <c r="IF10" s="77">
        <v>281.36</v>
      </c>
      <c r="IG10" s="77">
        <v>282.64999999999998</v>
      </c>
      <c r="IH10" s="77">
        <v>283.19</v>
      </c>
      <c r="II10" s="77">
        <v>290.2</v>
      </c>
      <c r="IJ10" s="77">
        <v>289.77</v>
      </c>
      <c r="IK10" s="77">
        <v>297.74</v>
      </c>
      <c r="IL10" s="77">
        <v>301.64999999999998</v>
      </c>
      <c r="IM10" s="77">
        <v>304.67</v>
      </c>
      <c r="IN10" s="77">
        <v>307.54000000000002</v>
      </c>
      <c r="IO10" s="77">
        <v>306.49</v>
      </c>
      <c r="IP10" s="77">
        <v>308.69</v>
      </c>
      <c r="IQ10" s="77">
        <v>310.63</v>
      </c>
      <c r="IR10" s="77">
        <v>312.74</v>
      </c>
      <c r="IS10" s="77">
        <v>318.56</v>
      </c>
      <c r="IT10" s="77">
        <v>309.12</v>
      </c>
      <c r="IU10" s="77">
        <v>308.16000000000003</v>
      </c>
      <c r="IV10" s="77">
        <v>313.01</v>
      </c>
      <c r="IW10" s="77">
        <v>312.47000000000003</v>
      </c>
      <c r="IX10" s="77">
        <v>312.92</v>
      </c>
      <c r="IY10" s="77">
        <v>315.02</v>
      </c>
      <c r="IZ10" s="77">
        <v>322.95999999999998</v>
      </c>
      <c r="JA10" s="77">
        <v>319.49</v>
      </c>
      <c r="JB10" s="77">
        <v>316.35000000000002</v>
      </c>
      <c r="JC10" s="77">
        <v>323.91000000000003</v>
      </c>
      <c r="JD10" s="77">
        <v>323.63</v>
      </c>
      <c r="JE10" s="77">
        <v>319.86</v>
      </c>
      <c r="JF10" s="77">
        <v>318.69</v>
      </c>
      <c r="JG10" s="77">
        <v>322.77</v>
      </c>
      <c r="JH10" s="77">
        <v>326.79000000000002</v>
      </c>
      <c r="JI10" s="77">
        <v>328.8</v>
      </c>
      <c r="JJ10" s="77">
        <v>329.91</v>
      </c>
      <c r="JK10" s="77">
        <v>331.78</v>
      </c>
      <c r="JL10" s="77">
        <v>330.67</v>
      </c>
      <c r="JM10" s="77">
        <v>329.92</v>
      </c>
      <c r="JN10" s="77">
        <v>324.35000000000002</v>
      </c>
      <c r="JO10" s="77">
        <v>328.11</v>
      </c>
      <c r="JP10" s="77">
        <v>327.23</v>
      </c>
      <c r="JQ10" s="77">
        <v>327.5</v>
      </c>
      <c r="JR10" s="77">
        <v>325.47000000000003</v>
      </c>
      <c r="JS10" s="77">
        <v>323.8</v>
      </c>
      <c r="JT10" s="77">
        <v>321.64</v>
      </c>
      <c r="JU10" s="77">
        <v>322.97000000000003</v>
      </c>
      <c r="JV10" s="77">
        <v>323.31</v>
      </c>
      <c r="JW10" s="77">
        <v>321.62</v>
      </c>
      <c r="JX10" s="77">
        <v>319.74</v>
      </c>
      <c r="JY10" s="77">
        <v>319.61</v>
      </c>
      <c r="JZ10" s="77">
        <v>318.33999999999997</v>
      </c>
      <c r="KA10" s="77">
        <v>317.33</v>
      </c>
      <c r="KB10" s="77">
        <v>319.68</v>
      </c>
      <c r="KC10" s="77">
        <v>316.02</v>
      </c>
      <c r="KD10" s="77">
        <v>313.89999999999998</v>
      </c>
      <c r="KE10" s="77">
        <v>314.87</v>
      </c>
      <c r="KF10" s="77">
        <v>307.91000000000003</v>
      </c>
      <c r="KG10" s="77">
        <v>305.35000000000002</v>
      </c>
      <c r="KH10" s="77">
        <v>306.58999999999997</v>
      </c>
      <c r="KI10" s="77">
        <v>305.02999999999997</v>
      </c>
      <c r="KJ10" s="77">
        <v>308.29000000000002</v>
      </c>
      <c r="KK10" s="77">
        <v>310.14999999999998</v>
      </c>
      <c r="KL10" s="77">
        <v>308.31</v>
      </c>
      <c r="KM10" s="77">
        <v>302.27999999999997</v>
      </c>
      <c r="KN10" s="77">
        <v>309.02999999999997</v>
      </c>
      <c r="KO10" s="77">
        <v>304.01</v>
      </c>
      <c r="KP10" s="77">
        <v>304.02</v>
      </c>
      <c r="KQ10" s="77">
        <v>307.2</v>
      </c>
      <c r="KR10" s="77">
        <v>312.86</v>
      </c>
      <c r="KS10" s="77">
        <v>319.11</v>
      </c>
      <c r="KT10" s="77">
        <v>316.2</v>
      </c>
      <c r="KU10" s="77">
        <v>312.07</v>
      </c>
      <c r="KV10" s="77">
        <v>305.45</v>
      </c>
      <c r="KW10" s="77">
        <v>308.08</v>
      </c>
      <c r="KX10" s="77">
        <v>316.38</v>
      </c>
      <c r="KY10" s="77">
        <v>314.44</v>
      </c>
      <c r="KZ10" s="77">
        <v>320.08999999999997</v>
      </c>
      <c r="LA10" s="77">
        <v>322.25</v>
      </c>
      <c r="LB10" s="77">
        <v>322.20999999999998</v>
      </c>
      <c r="LC10" s="77">
        <v>328.23</v>
      </c>
      <c r="LD10" s="77">
        <v>329.88</v>
      </c>
      <c r="LE10" s="77">
        <v>341.89</v>
      </c>
      <c r="LF10" s="77">
        <v>346.62</v>
      </c>
      <c r="LG10" s="77">
        <v>346.22</v>
      </c>
      <c r="LH10" s="77">
        <v>345.67</v>
      </c>
      <c r="LI10" s="77">
        <v>352.01</v>
      </c>
      <c r="LJ10" s="77">
        <v>350.51</v>
      </c>
      <c r="LK10" s="77">
        <v>354.54</v>
      </c>
      <c r="LL10" s="77">
        <v>352.49</v>
      </c>
      <c r="LM10" s="77">
        <v>348.04</v>
      </c>
      <c r="LN10" s="77">
        <v>344.26</v>
      </c>
      <c r="LO10" s="77">
        <v>345.6</v>
      </c>
      <c r="LP10" s="77">
        <v>344.08</v>
      </c>
      <c r="LQ10" s="77">
        <v>350.34</v>
      </c>
      <c r="LR10" s="77">
        <v>349.29</v>
      </c>
      <c r="LS10" s="77">
        <v>343.24</v>
      </c>
      <c r="LT10" s="77">
        <v>348.34</v>
      </c>
      <c r="LU10" s="77">
        <v>347.53</v>
      </c>
      <c r="LV10" s="77">
        <v>343.94</v>
      </c>
      <c r="LW10" s="77">
        <v>345.5</v>
      </c>
      <c r="LX10" s="77">
        <v>337.94</v>
      </c>
      <c r="LY10" s="77">
        <v>343.44</v>
      </c>
      <c r="LZ10" s="77">
        <v>343.67</v>
      </c>
      <c r="MA10" s="77">
        <v>345.41</v>
      </c>
      <c r="MB10" s="77">
        <v>349.01</v>
      </c>
      <c r="MC10" s="77">
        <v>353.85</v>
      </c>
      <c r="MD10" s="77">
        <v>353.32</v>
      </c>
      <c r="ME10" s="77">
        <v>354.02</v>
      </c>
      <c r="MF10" s="77">
        <v>355.08</v>
      </c>
      <c r="MG10" s="77">
        <v>350.16</v>
      </c>
      <c r="MH10" s="77">
        <v>346.21</v>
      </c>
      <c r="MI10" s="77">
        <v>350.67</v>
      </c>
      <c r="MJ10" s="77">
        <v>348.98</v>
      </c>
      <c r="MK10" s="77">
        <v>355.43</v>
      </c>
      <c r="ML10" s="77">
        <v>359.02</v>
      </c>
      <c r="MM10" s="77">
        <v>357.52</v>
      </c>
      <c r="MN10" s="77">
        <v>357.36</v>
      </c>
      <c r="MO10" s="77">
        <v>353.63</v>
      </c>
      <c r="MP10" s="77">
        <v>353.84</v>
      </c>
      <c r="MQ10" s="77">
        <v>357.38</v>
      </c>
      <c r="MR10" s="77">
        <v>359</v>
      </c>
      <c r="MS10" s="77">
        <v>352.32</v>
      </c>
      <c r="MT10" s="77">
        <v>355.78</v>
      </c>
      <c r="MU10" s="77">
        <v>356.01</v>
      </c>
      <c r="MV10" s="77">
        <v>355.73</v>
      </c>
      <c r="MW10" s="77">
        <v>361.01</v>
      </c>
      <c r="MX10" s="77">
        <v>364.74</v>
      </c>
      <c r="MY10" s="77">
        <v>364.94</v>
      </c>
      <c r="MZ10" s="77">
        <v>363.19</v>
      </c>
      <c r="NA10" s="77">
        <v>365.61</v>
      </c>
      <c r="NB10" s="77">
        <v>364.5</v>
      </c>
      <c r="NC10" s="77">
        <v>363.77</v>
      </c>
      <c r="ND10" s="77">
        <v>362.06</v>
      </c>
      <c r="NE10" s="77">
        <v>362.06</v>
      </c>
      <c r="NF10" s="77">
        <v>363.38</v>
      </c>
      <c r="NG10" s="77">
        <v>364.84</v>
      </c>
      <c r="NH10" s="77">
        <v>361.66</v>
      </c>
      <c r="NI10" s="77">
        <v>358.77</v>
      </c>
      <c r="NJ10" s="77">
        <v>362.33</v>
      </c>
      <c r="NK10" s="77">
        <v>361.46</v>
      </c>
      <c r="NL10" s="77">
        <v>356.09</v>
      </c>
      <c r="NM10" s="77">
        <v>351.03</v>
      </c>
      <c r="NN10" s="77">
        <v>354.61</v>
      </c>
      <c r="NO10" s="77">
        <v>355.31</v>
      </c>
      <c r="NP10" s="77">
        <v>358.01</v>
      </c>
      <c r="NQ10" s="77">
        <v>349.38</v>
      </c>
      <c r="NR10" s="77">
        <v>353.03</v>
      </c>
      <c r="NS10" s="77">
        <v>361.69</v>
      </c>
      <c r="NT10" s="77">
        <v>367.06</v>
      </c>
      <c r="NU10" s="77">
        <v>360.59</v>
      </c>
      <c r="NV10" s="77">
        <v>361.54</v>
      </c>
    </row>
    <row r="11" spans="1:386" s="77" customFormat="1" ht="15" customHeight="1">
      <c r="A11" s="4"/>
      <c r="B11" s="4"/>
      <c r="C11" s="146" t="s">
        <v>274</v>
      </c>
      <c r="D11" s="154">
        <f t="shared" si="1"/>
        <v>0.77</v>
      </c>
      <c r="E11" s="155">
        <f t="shared" si="0"/>
        <v>1.07</v>
      </c>
      <c r="F11" s="155">
        <f t="shared" si="0"/>
        <v>0.92</v>
      </c>
      <c r="G11" s="155">
        <f t="shared" si="0"/>
        <v>1.47</v>
      </c>
      <c r="H11" s="155">
        <f t="shared" si="0"/>
        <v>-0.01</v>
      </c>
      <c r="I11" s="155">
        <f t="shared" si="0"/>
        <v>0.89</v>
      </c>
      <c r="J11" s="155">
        <f t="shared" si="0"/>
        <v>1.2</v>
      </c>
      <c r="K11" s="155">
        <f t="shared" si="0"/>
        <v>1.27</v>
      </c>
      <c r="L11" s="155">
        <f t="shared" si="0"/>
        <v>1.05</v>
      </c>
      <c r="M11" s="155">
        <f t="shared" si="0"/>
        <v>1.1599999999999999</v>
      </c>
      <c r="N11" s="155">
        <f t="shared" si="0"/>
        <v>1</v>
      </c>
      <c r="O11" s="156">
        <f t="shared" si="0"/>
        <v>1.35</v>
      </c>
      <c r="P11"/>
      <c r="Q11"/>
      <c r="R11" s="4"/>
      <c r="S11" s="4"/>
      <c r="U11" s="81" t="s">
        <v>273</v>
      </c>
      <c r="V11" s="77">
        <v>0.77</v>
      </c>
      <c r="W11" s="77">
        <v>1.07</v>
      </c>
      <c r="X11" s="77">
        <v>0.92</v>
      </c>
      <c r="Y11" s="77">
        <v>1.47</v>
      </c>
      <c r="Z11" s="77">
        <v>-0.01</v>
      </c>
      <c r="AA11" s="77">
        <v>0.89</v>
      </c>
      <c r="AB11" s="77">
        <v>1.2</v>
      </c>
      <c r="AC11" s="77">
        <v>1.27</v>
      </c>
      <c r="AD11" s="77">
        <v>1.05</v>
      </c>
      <c r="AE11" s="77">
        <v>1.1599999999999999</v>
      </c>
      <c r="AF11" s="77">
        <v>1</v>
      </c>
      <c r="AG11" s="77">
        <v>1.35</v>
      </c>
      <c r="AH11" s="77">
        <v>1.63</v>
      </c>
      <c r="AI11" s="77">
        <v>1.22</v>
      </c>
      <c r="AJ11" s="77">
        <v>1.59</v>
      </c>
      <c r="AK11" s="77">
        <v>1.89</v>
      </c>
      <c r="AL11" s="77">
        <v>1.48</v>
      </c>
      <c r="AM11" s="77">
        <v>1.68</v>
      </c>
      <c r="AN11" s="77">
        <v>1.76</v>
      </c>
      <c r="AO11" s="77">
        <v>1.63</v>
      </c>
      <c r="AP11" s="77">
        <v>1.29</v>
      </c>
      <c r="AQ11" s="77">
        <v>2.2200000000000002</v>
      </c>
      <c r="AR11" s="77">
        <v>2.15</v>
      </c>
      <c r="AS11" s="77">
        <v>1.27</v>
      </c>
      <c r="AT11" s="77">
        <v>2.52</v>
      </c>
      <c r="AU11" s="77">
        <v>1.34</v>
      </c>
      <c r="AV11" s="77">
        <v>1.83</v>
      </c>
      <c r="AW11" s="77">
        <v>2.0099999999999998</v>
      </c>
      <c r="AX11" s="77">
        <v>1.28</v>
      </c>
      <c r="AY11" s="77">
        <v>1.9</v>
      </c>
      <c r="AZ11" s="77">
        <v>1.56</v>
      </c>
      <c r="BA11" s="77">
        <v>2.2599999999999998</v>
      </c>
      <c r="BB11" s="77">
        <v>2.67</v>
      </c>
      <c r="BC11" s="77">
        <v>2.5499999999999998</v>
      </c>
      <c r="BD11" s="77">
        <v>2.81</v>
      </c>
      <c r="BE11" s="77">
        <v>1.1399999999999999</v>
      </c>
      <c r="BF11" s="77">
        <v>1.23</v>
      </c>
      <c r="BG11" s="77">
        <v>1.02</v>
      </c>
      <c r="BH11" s="77">
        <v>1.8</v>
      </c>
      <c r="BI11" s="77">
        <v>1.1299999999999999</v>
      </c>
      <c r="BJ11" s="77">
        <v>1.71</v>
      </c>
      <c r="BK11" s="77">
        <v>1.57</v>
      </c>
      <c r="BL11" s="77">
        <v>1.97</v>
      </c>
      <c r="BM11" s="77">
        <v>2.13</v>
      </c>
      <c r="BN11" s="77">
        <v>1.96</v>
      </c>
      <c r="BO11" s="77">
        <v>1.75</v>
      </c>
      <c r="BP11" s="77">
        <v>2.0099999999999998</v>
      </c>
      <c r="BQ11" s="77">
        <v>2.08</v>
      </c>
      <c r="BR11" s="77">
        <v>2.71</v>
      </c>
      <c r="BS11" s="77">
        <v>-0.45</v>
      </c>
      <c r="BT11" s="77">
        <v>0.03</v>
      </c>
      <c r="BU11" s="77">
        <v>0.09</v>
      </c>
      <c r="BV11" s="77">
        <v>0.28000000000000003</v>
      </c>
      <c r="BW11" s="77">
        <v>-0.03</v>
      </c>
      <c r="BX11" s="77">
        <v>-0.12</v>
      </c>
      <c r="BY11" s="77">
        <v>0.55000000000000004</v>
      </c>
      <c r="BZ11" s="77">
        <v>0.69</v>
      </c>
      <c r="CA11" s="77">
        <v>0.65</v>
      </c>
      <c r="CB11" s="77">
        <v>0.36</v>
      </c>
      <c r="CC11" s="77">
        <v>0.91</v>
      </c>
      <c r="CD11" s="77">
        <v>0.73</v>
      </c>
      <c r="CE11" s="77">
        <v>0.52</v>
      </c>
      <c r="CF11" s="77">
        <v>-0.04</v>
      </c>
      <c r="CG11" s="77">
        <v>-0.11</v>
      </c>
      <c r="CH11" s="77">
        <v>0.24</v>
      </c>
      <c r="CI11" s="77">
        <v>0.69</v>
      </c>
      <c r="CJ11" s="77">
        <v>0.69</v>
      </c>
      <c r="CK11" s="77">
        <v>0.12</v>
      </c>
      <c r="CL11" s="77">
        <v>0.46</v>
      </c>
      <c r="CM11" s="77">
        <v>0.38</v>
      </c>
      <c r="CN11" s="77">
        <v>1.1000000000000001</v>
      </c>
      <c r="CO11" s="77">
        <v>-0.37</v>
      </c>
      <c r="CP11" s="77">
        <v>0.28000000000000003</v>
      </c>
      <c r="CQ11" s="77">
        <v>0.91</v>
      </c>
      <c r="CR11" s="77">
        <v>-0.06</v>
      </c>
      <c r="CS11" s="77">
        <v>0.76</v>
      </c>
      <c r="CT11" s="77">
        <v>1.28</v>
      </c>
      <c r="CU11" s="77">
        <v>1.27</v>
      </c>
      <c r="CV11" s="77">
        <v>1.25</v>
      </c>
      <c r="CW11" s="77">
        <v>1.01</v>
      </c>
      <c r="CX11" s="77">
        <v>1.49</v>
      </c>
      <c r="CY11" s="77">
        <v>1.33</v>
      </c>
      <c r="CZ11" s="77">
        <v>1.65</v>
      </c>
      <c r="DA11" s="77">
        <v>1.48</v>
      </c>
      <c r="DB11" s="77">
        <v>1.52</v>
      </c>
      <c r="DC11" s="77">
        <v>1.21</v>
      </c>
      <c r="DD11" s="77">
        <v>1.36</v>
      </c>
      <c r="DE11" s="77">
        <v>1.28</v>
      </c>
      <c r="DF11" s="77">
        <v>1.57</v>
      </c>
      <c r="DG11" s="77">
        <v>1.49</v>
      </c>
      <c r="DH11" s="77">
        <v>1.93</v>
      </c>
      <c r="DI11" s="77">
        <v>2.19</v>
      </c>
      <c r="DJ11" s="77">
        <v>1.95</v>
      </c>
      <c r="DK11" s="77">
        <v>1.72</v>
      </c>
      <c r="DL11" s="77">
        <v>1.67</v>
      </c>
      <c r="DM11" s="77">
        <v>1.85</v>
      </c>
      <c r="DN11" s="77">
        <v>0.89</v>
      </c>
      <c r="DO11" s="77">
        <v>1.0900000000000001</v>
      </c>
      <c r="DP11" s="77">
        <v>1.4</v>
      </c>
      <c r="DQ11" s="77">
        <v>1</v>
      </c>
      <c r="DR11" s="77">
        <v>0.35</v>
      </c>
      <c r="DS11" s="77">
        <v>1.29</v>
      </c>
      <c r="DT11" s="77">
        <v>1.49</v>
      </c>
      <c r="DU11" s="77">
        <v>0.51</v>
      </c>
      <c r="DV11" s="77">
        <v>1.33</v>
      </c>
      <c r="DW11" s="77">
        <v>1.21</v>
      </c>
      <c r="DX11" s="77">
        <v>1</v>
      </c>
      <c r="DY11" s="77">
        <v>1.32</v>
      </c>
      <c r="DZ11" s="77">
        <v>0.94</v>
      </c>
      <c r="EA11" s="77">
        <v>0.7</v>
      </c>
      <c r="EB11" s="77">
        <v>-0.09</v>
      </c>
      <c r="EC11" s="77">
        <v>-0.73</v>
      </c>
      <c r="ED11" s="77">
        <v>-0.4</v>
      </c>
      <c r="EE11" s="77">
        <v>0.06</v>
      </c>
      <c r="EF11" s="77">
        <v>0.44</v>
      </c>
      <c r="EG11" s="77">
        <v>-0.96</v>
      </c>
      <c r="EH11" s="77">
        <v>1</v>
      </c>
      <c r="EI11" s="77">
        <v>0.06</v>
      </c>
      <c r="EJ11" s="77">
        <v>0.76</v>
      </c>
      <c r="EK11" s="77">
        <v>0.66</v>
      </c>
      <c r="EL11" s="77">
        <v>0.26</v>
      </c>
      <c r="EM11" s="77">
        <v>0.44</v>
      </c>
      <c r="EN11" s="77">
        <v>1.41</v>
      </c>
      <c r="EO11" s="77">
        <v>0.77</v>
      </c>
      <c r="EP11" s="77">
        <v>0</v>
      </c>
      <c r="EQ11" s="77">
        <v>-0.59</v>
      </c>
      <c r="ER11" s="77">
        <v>1.38</v>
      </c>
      <c r="ES11" s="77">
        <v>0.85</v>
      </c>
      <c r="ET11" s="77">
        <v>0.06</v>
      </c>
      <c r="EU11" s="77">
        <v>-0.05</v>
      </c>
      <c r="EV11" s="77">
        <v>0.72</v>
      </c>
      <c r="EW11" s="77">
        <v>0.75</v>
      </c>
      <c r="EX11" s="77">
        <v>-0.03</v>
      </c>
      <c r="EY11" s="77">
        <v>0.19</v>
      </c>
      <c r="EZ11" s="77">
        <v>1.17</v>
      </c>
      <c r="FA11" s="77">
        <v>1.66</v>
      </c>
      <c r="FB11" s="77">
        <v>1.39</v>
      </c>
      <c r="FC11" s="77">
        <v>1.18</v>
      </c>
      <c r="FD11" s="77">
        <v>0.77</v>
      </c>
      <c r="FE11" s="77">
        <v>1.08</v>
      </c>
      <c r="FF11" s="77">
        <v>1.79</v>
      </c>
      <c r="FG11" s="77">
        <v>1.27</v>
      </c>
      <c r="FH11" s="77">
        <v>0.94</v>
      </c>
      <c r="FI11" s="77">
        <v>1.79</v>
      </c>
      <c r="FJ11" s="77">
        <v>1.8</v>
      </c>
      <c r="FK11" s="77">
        <v>1.66</v>
      </c>
      <c r="FL11" s="77">
        <v>1.53</v>
      </c>
      <c r="FM11" s="77">
        <v>2.6</v>
      </c>
      <c r="FN11" s="77">
        <v>1.62</v>
      </c>
      <c r="FO11" s="77">
        <v>1.33</v>
      </c>
      <c r="FP11" s="77">
        <v>1.81</v>
      </c>
      <c r="FQ11" s="77">
        <v>1.72</v>
      </c>
      <c r="FR11" s="77">
        <v>0.57999999999999996</v>
      </c>
      <c r="FS11" s="77">
        <v>1.02</v>
      </c>
      <c r="FT11" s="77">
        <v>1.37</v>
      </c>
      <c r="FU11" s="77">
        <v>1.46</v>
      </c>
      <c r="FV11" s="77">
        <v>1.75</v>
      </c>
      <c r="FW11" s="77">
        <v>1.36</v>
      </c>
      <c r="FX11" s="77">
        <v>-1.92</v>
      </c>
      <c r="FY11" s="77">
        <v>-2.3199999999999998</v>
      </c>
      <c r="FZ11" s="77">
        <v>-2.62</v>
      </c>
      <c r="GA11" s="77">
        <v>-2.4300000000000002</v>
      </c>
      <c r="GB11" s="77">
        <v>-2.23</v>
      </c>
      <c r="GC11" s="77">
        <v>-2.15</v>
      </c>
      <c r="GD11" s="77">
        <v>-2.42</v>
      </c>
      <c r="GE11" s="77">
        <v>-3.43</v>
      </c>
      <c r="GF11" s="77">
        <v>-1.58</v>
      </c>
      <c r="GG11" s="77">
        <v>-1.83</v>
      </c>
      <c r="GH11" s="77">
        <v>-1.26</v>
      </c>
      <c r="GI11" s="77">
        <v>-1.59</v>
      </c>
      <c r="GJ11" s="77">
        <v>-0.98</v>
      </c>
      <c r="GK11" s="77">
        <v>-0.64</v>
      </c>
      <c r="GL11" s="77">
        <v>-7.0000000000000007E-2</v>
      </c>
      <c r="GM11" s="77">
        <v>0.01</v>
      </c>
      <c r="GN11" s="77">
        <v>0.44</v>
      </c>
      <c r="GO11" s="77">
        <v>-0.02</v>
      </c>
      <c r="GP11" s="77">
        <v>1.08</v>
      </c>
      <c r="GQ11" s="77">
        <v>-1.36</v>
      </c>
      <c r="GR11" s="77">
        <v>0.12</v>
      </c>
      <c r="GS11" s="77">
        <v>0.69</v>
      </c>
      <c r="GT11" s="77">
        <v>0.43</v>
      </c>
      <c r="GU11" s="77">
        <v>0.75</v>
      </c>
      <c r="GV11" s="77">
        <v>0.94</v>
      </c>
      <c r="GW11" s="77">
        <v>0.33</v>
      </c>
      <c r="GX11" s="77">
        <v>-0.22</v>
      </c>
      <c r="GY11" s="77">
        <v>0.33</v>
      </c>
      <c r="GZ11" s="77">
        <v>2.5</v>
      </c>
      <c r="HA11" s="77">
        <v>0.99</v>
      </c>
      <c r="HB11" s="77">
        <v>0.69</v>
      </c>
      <c r="HC11" s="77">
        <v>1.07</v>
      </c>
      <c r="HD11" s="77">
        <v>1.86</v>
      </c>
      <c r="HE11" s="77">
        <v>0.32</v>
      </c>
      <c r="HF11" s="77">
        <v>1.02</v>
      </c>
      <c r="HG11" s="77">
        <v>0.94</v>
      </c>
      <c r="HH11" s="77">
        <v>1.1299999999999999</v>
      </c>
      <c r="HI11" s="77">
        <v>1.07</v>
      </c>
      <c r="HJ11" s="77">
        <v>0.39</v>
      </c>
      <c r="HK11" s="77">
        <v>0.57999999999999996</v>
      </c>
      <c r="HL11" s="77">
        <v>0.02</v>
      </c>
      <c r="HM11" s="77">
        <v>1.1200000000000001</v>
      </c>
      <c r="HN11" s="77">
        <v>0.74</v>
      </c>
      <c r="HO11" s="77">
        <v>0.83</v>
      </c>
      <c r="HP11" s="77">
        <v>0.85</v>
      </c>
      <c r="HQ11" s="77">
        <v>0.87</v>
      </c>
      <c r="HR11" s="77">
        <v>1.43</v>
      </c>
      <c r="HS11" s="77">
        <v>0.98</v>
      </c>
      <c r="HT11" s="77">
        <v>-0.01</v>
      </c>
      <c r="HU11" s="77">
        <v>0.01</v>
      </c>
      <c r="HV11" s="77">
        <v>0.91</v>
      </c>
      <c r="HW11" s="77">
        <v>-0.22</v>
      </c>
      <c r="HX11" s="77">
        <v>1.54</v>
      </c>
      <c r="HY11" s="77">
        <v>0.23</v>
      </c>
      <c r="HZ11" s="77">
        <v>0.76</v>
      </c>
      <c r="IA11" s="77">
        <v>-0.06</v>
      </c>
      <c r="IB11" s="77">
        <v>0.44</v>
      </c>
      <c r="IC11" s="77">
        <v>0.89</v>
      </c>
      <c r="ID11" s="77">
        <v>1.35</v>
      </c>
      <c r="IE11" s="77">
        <v>1.73</v>
      </c>
      <c r="IF11" s="77">
        <v>1.0900000000000001</v>
      </c>
      <c r="IG11" s="77">
        <v>2.1</v>
      </c>
      <c r="IH11" s="77">
        <v>-0.19</v>
      </c>
      <c r="II11" s="77">
        <v>0.4</v>
      </c>
      <c r="IJ11" s="77">
        <v>0.53</v>
      </c>
      <c r="IK11" s="77">
        <v>0.11</v>
      </c>
      <c r="IL11" s="77">
        <v>-0.6</v>
      </c>
      <c r="IM11" s="77">
        <v>-0.27</v>
      </c>
      <c r="IN11" s="77">
        <v>0.01</v>
      </c>
      <c r="IO11" s="77">
        <v>0.41</v>
      </c>
      <c r="IP11" s="77">
        <v>-0.79</v>
      </c>
      <c r="IQ11" s="77">
        <v>0.77</v>
      </c>
      <c r="IR11" s="77">
        <v>-0.04</v>
      </c>
      <c r="IS11" s="77">
        <v>1.64</v>
      </c>
      <c r="IT11" s="77">
        <v>-0.02</v>
      </c>
      <c r="IU11" s="77">
        <v>0.14000000000000001</v>
      </c>
      <c r="IV11" s="77">
        <v>-0.11</v>
      </c>
      <c r="IW11" s="77">
        <v>-0.37</v>
      </c>
      <c r="IX11" s="77">
        <v>0.93</v>
      </c>
      <c r="IY11" s="77">
        <v>-0.52</v>
      </c>
      <c r="IZ11" s="77">
        <v>-1.96</v>
      </c>
      <c r="JA11" s="77">
        <v>-0.04</v>
      </c>
      <c r="JB11" s="77">
        <v>-0.65</v>
      </c>
      <c r="JC11" s="77">
        <v>0.59</v>
      </c>
      <c r="JD11" s="77">
        <v>0.22</v>
      </c>
      <c r="JE11" s="77">
        <v>-0.26</v>
      </c>
      <c r="JF11" s="77">
        <v>-0.54</v>
      </c>
      <c r="JG11" s="77">
        <v>-0.56999999999999995</v>
      </c>
      <c r="JH11" s="77">
        <v>0.01</v>
      </c>
      <c r="JI11" s="77">
        <v>-0.45</v>
      </c>
      <c r="JJ11" s="77">
        <v>-0.11</v>
      </c>
      <c r="JK11" s="77">
        <v>0.27</v>
      </c>
      <c r="JL11" s="77">
        <v>0.03</v>
      </c>
      <c r="JM11" s="77">
        <v>0.28000000000000003</v>
      </c>
      <c r="JN11" s="77">
        <v>0.15</v>
      </c>
      <c r="JO11" s="77">
        <v>0.09</v>
      </c>
      <c r="JP11" s="77">
        <v>-0.38</v>
      </c>
      <c r="JQ11" s="77">
        <v>-0.15</v>
      </c>
      <c r="JR11" s="77">
        <v>0.28000000000000003</v>
      </c>
      <c r="JS11" s="77">
        <v>0.35</v>
      </c>
      <c r="JT11" s="77">
        <v>-0.14000000000000001</v>
      </c>
      <c r="JU11" s="77">
        <v>0.93</v>
      </c>
      <c r="JV11" s="77">
        <v>0.14000000000000001</v>
      </c>
      <c r="JW11" s="77">
        <v>1.18</v>
      </c>
      <c r="JX11" s="77">
        <v>0.51</v>
      </c>
      <c r="JY11" s="77">
        <v>0.89</v>
      </c>
      <c r="JZ11" s="77">
        <v>0.76</v>
      </c>
      <c r="KA11" s="77">
        <v>0.87</v>
      </c>
      <c r="KB11" s="77">
        <v>-0.88</v>
      </c>
      <c r="KC11" s="77">
        <v>0.48</v>
      </c>
      <c r="KD11" s="77">
        <v>-0.2</v>
      </c>
      <c r="KE11" s="77">
        <v>1.1299999999999999</v>
      </c>
      <c r="KF11" s="77">
        <v>0.09</v>
      </c>
      <c r="KG11" s="77">
        <v>1.25</v>
      </c>
      <c r="KH11" s="77">
        <v>1.31</v>
      </c>
      <c r="KI11" s="77">
        <v>0.52</v>
      </c>
      <c r="KJ11" s="77">
        <v>0.81</v>
      </c>
      <c r="KK11" s="77">
        <v>0.65</v>
      </c>
      <c r="KL11" s="77">
        <v>0.64</v>
      </c>
      <c r="KM11" s="77">
        <v>1.02</v>
      </c>
      <c r="KN11" s="77">
        <v>0.92</v>
      </c>
      <c r="KO11" s="77">
        <v>1.04</v>
      </c>
      <c r="KP11" s="77">
        <v>0.93</v>
      </c>
      <c r="KQ11" s="77">
        <v>0.25</v>
      </c>
      <c r="KR11" s="77">
        <v>0.44</v>
      </c>
      <c r="KS11" s="77">
        <v>-0.16</v>
      </c>
      <c r="KT11" s="77">
        <v>0.4</v>
      </c>
      <c r="KU11" s="77">
        <v>0.63</v>
      </c>
      <c r="KV11" s="77">
        <v>0.65</v>
      </c>
      <c r="KW11" s="77">
        <v>0.22</v>
      </c>
      <c r="KX11" s="77">
        <v>0.32</v>
      </c>
      <c r="KY11" s="77">
        <v>-0.59</v>
      </c>
      <c r="KZ11" s="77">
        <v>-1.0900000000000001</v>
      </c>
      <c r="LA11" s="77">
        <v>-0.65</v>
      </c>
      <c r="LB11" s="77">
        <v>-0.81</v>
      </c>
      <c r="LC11" s="77">
        <v>-1.23</v>
      </c>
      <c r="LD11" s="77">
        <v>-0.63</v>
      </c>
      <c r="LE11" s="77">
        <v>-0.79</v>
      </c>
      <c r="LF11" s="77">
        <v>-1.1200000000000001</v>
      </c>
      <c r="LG11" s="77">
        <v>0.43</v>
      </c>
      <c r="LH11" s="77">
        <v>0.03</v>
      </c>
      <c r="LI11" s="77">
        <v>0.39</v>
      </c>
      <c r="LJ11" s="77">
        <v>-0.51</v>
      </c>
      <c r="LK11" s="77">
        <v>-0.39</v>
      </c>
      <c r="LL11" s="77">
        <v>0.46</v>
      </c>
      <c r="LM11" s="77">
        <v>0.86</v>
      </c>
      <c r="LN11" s="77">
        <v>0.54</v>
      </c>
      <c r="LO11" s="77">
        <v>0.55000000000000004</v>
      </c>
      <c r="LP11" s="77">
        <v>0.12</v>
      </c>
      <c r="LQ11" s="77">
        <v>0.36</v>
      </c>
      <c r="LR11" s="77">
        <v>0.36</v>
      </c>
      <c r="LS11" s="77">
        <v>-1.1399999999999999</v>
      </c>
      <c r="LT11" s="77">
        <v>0.06</v>
      </c>
      <c r="LU11" s="77">
        <v>7.0000000000000007E-2</v>
      </c>
      <c r="LV11" s="77">
        <v>0.21</v>
      </c>
      <c r="LW11" s="77">
        <v>0.2</v>
      </c>
      <c r="LX11" s="77">
        <v>-0.14000000000000001</v>
      </c>
      <c r="LY11" s="77">
        <v>-0.39</v>
      </c>
      <c r="LZ11" s="77">
        <v>-0.56999999999999995</v>
      </c>
      <c r="MA11" s="77">
        <v>-0.11</v>
      </c>
      <c r="MB11" s="77">
        <v>-0.71</v>
      </c>
      <c r="MC11" s="77">
        <v>-0.3</v>
      </c>
      <c r="MD11" s="77">
        <v>-0.47</v>
      </c>
      <c r="ME11" s="77">
        <v>-0.56999999999999995</v>
      </c>
      <c r="MF11" s="77">
        <v>0.52</v>
      </c>
      <c r="MG11" s="77">
        <v>-0.26</v>
      </c>
      <c r="MH11" s="77">
        <v>-0.81</v>
      </c>
      <c r="MI11" s="77">
        <v>-0.62</v>
      </c>
      <c r="MJ11" s="77">
        <v>-0.63</v>
      </c>
      <c r="MK11" s="77">
        <v>-0.88</v>
      </c>
      <c r="ML11" s="77">
        <v>-0.12</v>
      </c>
      <c r="MM11" s="77">
        <v>-0.56999999999999995</v>
      </c>
      <c r="MN11" s="77">
        <v>-0.16</v>
      </c>
      <c r="MO11" s="77">
        <v>7.0000000000000007E-2</v>
      </c>
      <c r="MP11" s="77">
        <v>-0.89</v>
      </c>
      <c r="MQ11" s="77">
        <v>-0.03</v>
      </c>
      <c r="MR11" s="77">
        <v>-0.2</v>
      </c>
      <c r="MS11" s="77">
        <v>0.33</v>
      </c>
      <c r="MT11" s="77">
        <v>0.27</v>
      </c>
      <c r="MU11" s="77">
        <v>0.39</v>
      </c>
      <c r="MV11" s="77">
        <v>0.47</v>
      </c>
      <c r="MW11" s="77">
        <v>0.34</v>
      </c>
      <c r="MX11" s="77">
        <v>0.56000000000000005</v>
      </c>
      <c r="MY11" s="77">
        <v>0.56000000000000005</v>
      </c>
      <c r="MZ11" s="77">
        <v>0.31</v>
      </c>
      <c r="NA11" s="77">
        <v>0.09</v>
      </c>
      <c r="NB11" s="77">
        <v>0.25</v>
      </c>
      <c r="NC11" s="77">
        <v>-0.22</v>
      </c>
      <c r="ND11" s="77">
        <v>0.39</v>
      </c>
      <c r="NE11" s="77">
        <v>-0.31</v>
      </c>
      <c r="NF11" s="77">
        <v>-0.88</v>
      </c>
      <c r="NG11" s="77">
        <v>-0.59</v>
      </c>
      <c r="NH11" s="77">
        <v>-0.26</v>
      </c>
      <c r="NI11" s="77">
        <v>-0.02</v>
      </c>
      <c r="NJ11" s="77">
        <v>-0.33</v>
      </c>
      <c r="NK11" s="77">
        <v>0.28999999999999998</v>
      </c>
      <c r="NL11" s="77">
        <v>0.01</v>
      </c>
      <c r="NM11" s="77">
        <v>-0.73</v>
      </c>
      <c r="NN11" s="77">
        <v>-0.61</v>
      </c>
      <c r="NO11" s="77">
        <v>-1.1599999999999999</v>
      </c>
      <c r="NP11" s="77">
        <v>-2.56</v>
      </c>
      <c r="NQ11" s="77">
        <v>-1.48</v>
      </c>
      <c r="NR11" s="77">
        <v>-0.23</v>
      </c>
      <c r="NS11" s="77">
        <v>-0.54</v>
      </c>
      <c r="NT11" s="77">
        <v>-0.61</v>
      </c>
      <c r="NU11" s="77">
        <v>-0.39</v>
      </c>
      <c r="NV11" s="77">
        <v>-0.34</v>
      </c>
    </row>
    <row r="12" spans="1:386" s="77" customFormat="1" ht="15" customHeight="1">
      <c r="A12" s="4"/>
      <c r="B12" s="4"/>
      <c r="C12" s="146" t="s">
        <v>275</v>
      </c>
      <c r="D12" s="154">
        <f t="shared" si="1"/>
        <v>0.97</v>
      </c>
      <c r="E12" s="155">
        <f t="shared" si="0"/>
        <v>1</v>
      </c>
      <c r="F12" s="155">
        <f t="shared" si="0"/>
        <v>1.0900000000000001</v>
      </c>
      <c r="G12" s="155">
        <f t="shared" si="0"/>
        <v>1.2</v>
      </c>
      <c r="H12" s="155">
        <f t="shared" si="0"/>
        <v>1.24</v>
      </c>
      <c r="I12" s="155">
        <f t="shared" si="0"/>
        <v>1.28</v>
      </c>
      <c r="J12" s="155">
        <f t="shared" si="0"/>
        <v>1.31</v>
      </c>
      <c r="K12" s="155">
        <f t="shared" si="0"/>
        <v>1.35</v>
      </c>
      <c r="L12" s="155">
        <f t="shared" si="0"/>
        <v>1.46</v>
      </c>
      <c r="M12" s="155">
        <f t="shared" si="0"/>
        <v>1.5</v>
      </c>
      <c r="N12" s="155">
        <f t="shared" si="0"/>
        <v>1.55</v>
      </c>
      <c r="O12" s="156">
        <f t="shared" si="0"/>
        <v>1.62</v>
      </c>
      <c r="P12"/>
      <c r="Q12"/>
      <c r="R12" s="4"/>
      <c r="S12" s="4"/>
      <c r="U12" s="81" t="s">
        <v>276</v>
      </c>
      <c r="V12" s="77">
        <v>0.97</v>
      </c>
      <c r="W12" s="77">
        <v>1</v>
      </c>
      <c r="X12" s="77">
        <v>1.0900000000000001</v>
      </c>
      <c r="Y12" s="77">
        <v>1.2</v>
      </c>
      <c r="Z12" s="77">
        <v>1.24</v>
      </c>
      <c r="AA12" s="77">
        <v>1.28</v>
      </c>
      <c r="AB12" s="77">
        <v>1.31</v>
      </c>
      <c r="AC12" s="77">
        <v>1.35</v>
      </c>
      <c r="AD12" s="77">
        <v>1.46</v>
      </c>
      <c r="AE12" s="77">
        <v>1.5</v>
      </c>
      <c r="AF12" s="77">
        <v>1.55</v>
      </c>
      <c r="AG12" s="77">
        <v>1.62</v>
      </c>
      <c r="AH12" s="77">
        <v>1.63</v>
      </c>
      <c r="AI12" s="77">
        <v>1.73</v>
      </c>
      <c r="AJ12" s="77">
        <v>1.77</v>
      </c>
      <c r="AK12" s="77">
        <v>1.78</v>
      </c>
      <c r="AL12" s="77">
        <v>1.84</v>
      </c>
      <c r="AM12" s="77">
        <v>1.87</v>
      </c>
      <c r="AN12" s="77">
        <v>1.97</v>
      </c>
      <c r="AO12" s="77">
        <v>2</v>
      </c>
      <c r="AP12" s="77">
        <v>2.04</v>
      </c>
      <c r="AQ12" s="77">
        <v>2.08</v>
      </c>
      <c r="AR12" s="77">
        <v>2.13</v>
      </c>
      <c r="AS12" s="77">
        <v>2.25</v>
      </c>
      <c r="AT12" s="77">
        <v>2.2400000000000002</v>
      </c>
      <c r="AU12" s="77">
        <v>2.27</v>
      </c>
      <c r="AV12" s="77">
        <v>2.29</v>
      </c>
      <c r="AW12" s="77">
        <v>2.2799999999999998</v>
      </c>
      <c r="AX12" s="77">
        <v>2.38</v>
      </c>
      <c r="AY12" s="77">
        <v>2.4500000000000002</v>
      </c>
      <c r="AZ12" s="77">
        <v>2.5</v>
      </c>
      <c r="BA12" s="77">
        <v>2.56</v>
      </c>
      <c r="BB12" s="77">
        <v>2.61</v>
      </c>
      <c r="BC12" s="77">
        <v>2.67</v>
      </c>
      <c r="BD12" s="77">
        <v>2.7</v>
      </c>
      <c r="BE12" s="77">
        <v>1.67</v>
      </c>
      <c r="BF12" s="77">
        <v>1.72</v>
      </c>
      <c r="BG12" s="77">
        <v>1.76</v>
      </c>
      <c r="BH12" s="77">
        <v>1.85</v>
      </c>
      <c r="BI12" s="77">
        <v>1.91</v>
      </c>
      <c r="BJ12" s="77">
        <v>1.93</v>
      </c>
      <c r="BK12" s="77">
        <v>1.99</v>
      </c>
      <c r="BL12" s="77">
        <v>2.0299999999999998</v>
      </c>
      <c r="BM12" s="77">
        <v>2.15</v>
      </c>
      <c r="BN12" s="77">
        <v>2.17</v>
      </c>
      <c r="BO12" s="77">
        <v>2.2200000000000002</v>
      </c>
      <c r="BP12" s="77">
        <v>2.27</v>
      </c>
      <c r="BQ12" s="77">
        <v>2.29</v>
      </c>
      <c r="BR12" s="77">
        <v>2.41</v>
      </c>
      <c r="BS12" s="77">
        <v>0.04</v>
      </c>
      <c r="BT12" s="77">
        <v>7.0000000000000007E-2</v>
      </c>
      <c r="BU12" s="77">
        <v>0.14000000000000001</v>
      </c>
      <c r="BV12" s="77">
        <v>0.25</v>
      </c>
      <c r="BW12" s="77">
        <v>0.28000000000000003</v>
      </c>
      <c r="BX12" s="77">
        <v>0.31</v>
      </c>
      <c r="BY12" s="77">
        <v>0.35</v>
      </c>
      <c r="BZ12" s="77">
        <v>0.48</v>
      </c>
      <c r="CA12" s="77">
        <v>0.51</v>
      </c>
      <c r="CB12" s="77">
        <v>0.55000000000000004</v>
      </c>
      <c r="CC12" s="77">
        <v>0.57999999999999996</v>
      </c>
      <c r="CD12" s="77">
        <v>0.61</v>
      </c>
      <c r="CE12" s="77">
        <v>0.7</v>
      </c>
      <c r="CF12" s="77">
        <v>0.73</v>
      </c>
      <c r="CG12" s="77">
        <v>0.75</v>
      </c>
      <c r="CH12" s="77">
        <v>0.77</v>
      </c>
      <c r="CI12" s="77">
        <v>0.8</v>
      </c>
      <c r="CJ12" s="77">
        <v>0.89</v>
      </c>
      <c r="CK12" s="77">
        <v>0.93</v>
      </c>
      <c r="CL12" s="77">
        <v>0.95</v>
      </c>
      <c r="CM12" s="77">
        <v>0.99</v>
      </c>
      <c r="CN12" s="77">
        <v>1.02</v>
      </c>
      <c r="CO12" s="77">
        <v>1.1399999999999999</v>
      </c>
      <c r="CP12" s="77">
        <v>1.17</v>
      </c>
      <c r="CQ12" s="77">
        <v>1.21</v>
      </c>
      <c r="CR12" s="77">
        <v>1.32</v>
      </c>
      <c r="CS12" s="77">
        <v>1.34</v>
      </c>
      <c r="CT12" s="77">
        <v>1.36</v>
      </c>
      <c r="CU12" s="77">
        <v>1.4</v>
      </c>
      <c r="CV12" s="77">
        <v>1.45</v>
      </c>
      <c r="CW12" s="77">
        <v>1.54</v>
      </c>
      <c r="CX12" s="77">
        <v>1.57</v>
      </c>
      <c r="CY12" s="77">
        <v>1.6</v>
      </c>
      <c r="CZ12" s="77">
        <v>1.63</v>
      </c>
      <c r="DA12" s="77">
        <v>1.66</v>
      </c>
      <c r="DB12" s="77">
        <v>1.76</v>
      </c>
      <c r="DC12" s="77">
        <v>1.78</v>
      </c>
      <c r="DD12" s="77">
        <v>1.84</v>
      </c>
      <c r="DE12" s="77">
        <v>1.88</v>
      </c>
      <c r="DF12" s="77">
        <v>1.89</v>
      </c>
      <c r="DG12" s="77">
        <v>2</v>
      </c>
      <c r="DH12" s="77">
        <v>2</v>
      </c>
      <c r="DI12" s="77">
        <v>2.0699999999999998</v>
      </c>
      <c r="DJ12" s="77">
        <v>2.09</v>
      </c>
      <c r="DK12" s="77">
        <v>2.11</v>
      </c>
      <c r="DL12" s="77">
        <v>2.2200000000000002</v>
      </c>
      <c r="DM12" s="77">
        <v>2.2200000000000002</v>
      </c>
      <c r="DN12" s="77">
        <v>1.43</v>
      </c>
      <c r="DO12" s="77">
        <v>1.45</v>
      </c>
      <c r="DP12" s="77">
        <v>1.46</v>
      </c>
      <c r="DQ12" s="77">
        <v>1.58</v>
      </c>
      <c r="DR12" s="77">
        <v>1.63</v>
      </c>
      <c r="DS12" s="77">
        <v>1.64</v>
      </c>
      <c r="DT12" s="77">
        <v>1.65</v>
      </c>
      <c r="DU12" s="77">
        <v>1.67</v>
      </c>
      <c r="DV12" s="77">
        <v>1.78</v>
      </c>
      <c r="DW12" s="77">
        <v>1.78</v>
      </c>
      <c r="DX12" s="77">
        <v>1.81</v>
      </c>
      <c r="DY12" s="77">
        <v>1.81</v>
      </c>
      <c r="DZ12" s="77">
        <v>1.91</v>
      </c>
      <c r="EA12" s="77">
        <v>1.98</v>
      </c>
      <c r="EB12" s="77">
        <v>0.03</v>
      </c>
      <c r="EC12" s="77">
        <v>0.06</v>
      </c>
      <c r="ED12" s="77">
        <v>0.09</v>
      </c>
      <c r="EE12" s="77">
        <v>0.13</v>
      </c>
      <c r="EF12" s="77">
        <v>0.22</v>
      </c>
      <c r="EG12" s="77">
        <v>0.25</v>
      </c>
      <c r="EH12" s="77">
        <v>0.31</v>
      </c>
      <c r="EI12" s="77">
        <v>0.34</v>
      </c>
      <c r="EJ12" s="77">
        <v>0.44</v>
      </c>
      <c r="EK12" s="77">
        <v>0.47</v>
      </c>
      <c r="EL12" s="77">
        <v>0.49</v>
      </c>
      <c r="EM12" s="77">
        <v>0.53</v>
      </c>
      <c r="EN12" s="77">
        <v>0.56000000000000005</v>
      </c>
      <c r="EO12" s="77">
        <v>0.65</v>
      </c>
      <c r="EP12" s="77">
        <v>0.68</v>
      </c>
      <c r="EQ12" s="77">
        <v>0.7</v>
      </c>
      <c r="ER12" s="77">
        <v>0.74</v>
      </c>
      <c r="ES12" s="77">
        <v>0.76</v>
      </c>
      <c r="ET12" s="77">
        <v>0.86</v>
      </c>
      <c r="EU12" s="77">
        <v>0.89</v>
      </c>
      <c r="EV12" s="77">
        <v>0.93</v>
      </c>
      <c r="EW12" s="77">
        <v>0.94</v>
      </c>
      <c r="EX12" s="77">
        <v>0.98</v>
      </c>
      <c r="EY12" s="77">
        <v>1.1000000000000001</v>
      </c>
      <c r="EZ12" s="77">
        <v>1.1499999999999999</v>
      </c>
      <c r="FA12" s="77">
        <v>1.18</v>
      </c>
      <c r="FB12" s="77">
        <v>1.2</v>
      </c>
      <c r="FC12" s="77">
        <v>1.25</v>
      </c>
      <c r="FD12" s="77">
        <v>1.38</v>
      </c>
      <c r="FE12" s="77">
        <v>1.4</v>
      </c>
      <c r="FF12" s="77">
        <v>1.42</v>
      </c>
      <c r="FG12" s="77">
        <v>1.56</v>
      </c>
      <c r="FH12" s="77">
        <v>1.6</v>
      </c>
      <c r="FI12" s="77">
        <v>1.64</v>
      </c>
      <c r="FJ12" s="77">
        <v>1.69</v>
      </c>
      <c r="FK12" s="77">
        <v>1.78</v>
      </c>
      <c r="FL12" s="77">
        <v>1.86</v>
      </c>
      <c r="FM12" s="77">
        <v>1.89</v>
      </c>
      <c r="FN12" s="77">
        <v>1.93</v>
      </c>
      <c r="FO12" s="77">
        <v>1.96</v>
      </c>
      <c r="FP12" s="77">
        <v>2.02</v>
      </c>
      <c r="FQ12" s="77">
        <v>2.06</v>
      </c>
      <c r="FR12" s="77">
        <v>2.0699999999999998</v>
      </c>
      <c r="FS12" s="77">
        <v>2.09</v>
      </c>
      <c r="FT12" s="77">
        <v>2.08</v>
      </c>
      <c r="FU12" s="77">
        <v>2.12</v>
      </c>
      <c r="FV12" s="77">
        <v>2.25</v>
      </c>
      <c r="FW12" s="77">
        <v>2.36</v>
      </c>
      <c r="FX12" s="77">
        <v>-2.39</v>
      </c>
      <c r="FY12" s="77">
        <v>-2.38</v>
      </c>
      <c r="FZ12" s="77">
        <v>-2.2799999999999998</v>
      </c>
      <c r="GA12" s="77">
        <v>-2.2000000000000002</v>
      </c>
      <c r="GB12" s="77">
        <v>-2.2000000000000002</v>
      </c>
      <c r="GC12" s="77">
        <v>-2.16</v>
      </c>
      <c r="GD12" s="77">
        <v>-2.1</v>
      </c>
      <c r="GE12" s="77">
        <v>-1.99</v>
      </c>
      <c r="GF12" s="77">
        <v>-1.96</v>
      </c>
      <c r="GG12" s="77">
        <v>-1.87</v>
      </c>
      <c r="GH12" s="77">
        <v>-1.88</v>
      </c>
      <c r="GI12" s="77">
        <v>-1.84</v>
      </c>
      <c r="GJ12" s="77">
        <v>-1.77</v>
      </c>
      <c r="GK12" s="77">
        <v>0.03</v>
      </c>
      <c r="GL12" s="77">
        <v>7.0000000000000007E-2</v>
      </c>
      <c r="GM12" s="77">
        <v>0.1</v>
      </c>
      <c r="GN12" s="77">
        <v>0.14000000000000001</v>
      </c>
      <c r="GO12" s="77">
        <v>0.24</v>
      </c>
      <c r="GP12" s="77">
        <v>0.28000000000000003</v>
      </c>
      <c r="GQ12" s="77">
        <v>0.31900000000000001</v>
      </c>
      <c r="GR12" s="77">
        <v>0.35</v>
      </c>
      <c r="GS12" s="77">
        <v>0.38</v>
      </c>
      <c r="GT12" s="77">
        <v>0.49</v>
      </c>
      <c r="GU12" s="77">
        <v>0.52</v>
      </c>
      <c r="GV12" s="77">
        <v>0.55000000000000004</v>
      </c>
      <c r="GW12" s="77">
        <v>0.57999999999999996</v>
      </c>
      <c r="GX12" s="77">
        <v>0.62</v>
      </c>
      <c r="GY12" s="77">
        <v>0.73</v>
      </c>
      <c r="GZ12" s="77">
        <v>0.76</v>
      </c>
      <c r="HA12" s="77">
        <v>0.81</v>
      </c>
      <c r="HB12" s="77">
        <v>0.84</v>
      </c>
      <c r="HC12" s="77">
        <v>0.87</v>
      </c>
      <c r="HD12" s="77">
        <v>0.98</v>
      </c>
      <c r="HE12" s="77">
        <v>0.98</v>
      </c>
      <c r="HF12" s="77">
        <v>1.03</v>
      </c>
      <c r="HG12" s="77">
        <v>1.05</v>
      </c>
      <c r="HH12" s="77">
        <v>1.07</v>
      </c>
      <c r="HI12" s="77">
        <v>1.1599999999999999</v>
      </c>
      <c r="HJ12" s="77">
        <v>1.18</v>
      </c>
      <c r="HK12" s="77">
        <v>1.22</v>
      </c>
      <c r="HL12" s="77">
        <v>1.25</v>
      </c>
      <c r="HM12" s="77">
        <v>1.26</v>
      </c>
      <c r="HN12" s="77">
        <v>1.34</v>
      </c>
      <c r="HO12" s="77">
        <v>1.39</v>
      </c>
      <c r="HP12" s="77">
        <v>1.39</v>
      </c>
      <c r="HQ12" s="77">
        <v>1.41</v>
      </c>
      <c r="HR12" s="77">
        <v>1.43</v>
      </c>
      <c r="HS12" s="77">
        <v>1.48</v>
      </c>
      <c r="HT12" s="77">
        <v>1.5</v>
      </c>
      <c r="HU12" s="77">
        <v>1.52</v>
      </c>
      <c r="HV12" s="77">
        <v>1.54</v>
      </c>
      <c r="HW12" s="77">
        <v>1.54</v>
      </c>
      <c r="HX12" s="77">
        <v>1.62</v>
      </c>
      <c r="HY12" s="77">
        <v>1.58</v>
      </c>
      <c r="HZ12" s="77">
        <v>1.51</v>
      </c>
      <c r="IA12" s="77">
        <v>1.53</v>
      </c>
      <c r="IB12" s="77">
        <v>1.66</v>
      </c>
      <c r="IC12" s="77">
        <v>1.69</v>
      </c>
      <c r="ID12" s="77">
        <v>1.68</v>
      </c>
      <c r="IE12" s="77">
        <v>1.69</v>
      </c>
      <c r="IF12" s="77">
        <v>1.72</v>
      </c>
      <c r="IG12" s="77">
        <v>1.73</v>
      </c>
      <c r="IH12" s="77">
        <v>1.03</v>
      </c>
      <c r="II12" s="77">
        <v>1.08</v>
      </c>
      <c r="IJ12" s="77">
        <v>1.0900000000000001</v>
      </c>
      <c r="IK12" s="77">
        <v>1.19</v>
      </c>
      <c r="IL12" s="77">
        <v>1.23</v>
      </c>
      <c r="IM12" s="77">
        <v>1.27</v>
      </c>
      <c r="IN12" s="77">
        <v>1.29</v>
      </c>
      <c r="IO12" s="77">
        <v>1.31</v>
      </c>
      <c r="IP12" s="77">
        <v>1.38</v>
      </c>
      <c r="IQ12" s="77">
        <v>1.41</v>
      </c>
      <c r="IR12" s="77">
        <v>1.45</v>
      </c>
      <c r="IS12" s="77">
        <v>1.52</v>
      </c>
      <c r="IT12" s="77">
        <v>0.02</v>
      </c>
      <c r="IU12" s="77">
        <v>0.05</v>
      </c>
      <c r="IV12" s="77">
        <v>0.08</v>
      </c>
      <c r="IW12" s="77">
        <v>0.1</v>
      </c>
      <c r="IX12" s="77">
        <v>0.18</v>
      </c>
      <c r="IY12" s="77">
        <v>0.2</v>
      </c>
      <c r="IZ12" s="77">
        <v>0.23</v>
      </c>
      <c r="JA12" s="77">
        <v>0.26</v>
      </c>
      <c r="JB12" s="77">
        <v>0.28000000000000003</v>
      </c>
      <c r="JC12" s="77">
        <v>0.36</v>
      </c>
      <c r="JD12" s="77">
        <v>0.37</v>
      </c>
      <c r="JE12" s="77">
        <v>0.39</v>
      </c>
      <c r="JF12" s="77">
        <v>0.41</v>
      </c>
      <c r="JG12" s="77">
        <v>0.44</v>
      </c>
      <c r="JH12" s="77">
        <v>0.52</v>
      </c>
      <c r="JI12" s="77">
        <v>0.55000000000000004</v>
      </c>
      <c r="JJ12" s="77">
        <v>0.56999999999999995</v>
      </c>
      <c r="JK12" s="77">
        <v>0.6</v>
      </c>
      <c r="JL12" s="77">
        <v>0.7</v>
      </c>
      <c r="JM12" s="77">
        <v>0.72</v>
      </c>
      <c r="JN12" s="77">
        <v>0.73</v>
      </c>
      <c r="JO12" s="77">
        <v>0.77</v>
      </c>
      <c r="JP12" s="77">
        <v>0.79</v>
      </c>
      <c r="JQ12" s="77">
        <v>0.86</v>
      </c>
      <c r="JR12" s="77">
        <v>0.88</v>
      </c>
      <c r="JS12" s="77">
        <v>0.9</v>
      </c>
      <c r="JT12" s="77">
        <v>0.91</v>
      </c>
      <c r="JU12" s="77">
        <v>0.95</v>
      </c>
      <c r="JV12" s="77">
        <v>1</v>
      </c>
      <c r="JW12" s="77">
        <v>1.01</v>
      </c>
      <c r="JX12" s="77">
        <v>1</v>
      </c>
      <c r="JY12" s="77">
        <v>1.02</v>
      </c>
      <c r="JZ12" s="77">
        <v>1.04</v>
      </c>
      <c r="KA12" s="77">
        <v>1.07</v>
      </c>
      <c r="KB12" s="77">
        <v>1.1000000000000001</v>
      </c>
      <c r="KC12" s="77">
        <v>1.1100000000000001</v>
      </c>
      <c r="KD12" s="77">
        <v>1.1200000000000001</v>
      </c>
      <c r="KE12" s="77">
        <v>1.1499999999999999</v>
      </c>
      <c r="KF12" s="77">
        <v>1.18</v>
      </c>
      <c r="KG12" s="77">
        <v>1.1399999999999999</v>
      </c>
      <c r="KH12" s="77">
        <v>1.01</v>
      </c>
      <c r="KI12" s="77">
        <v>0.98</v>
      </c>
      <c r="KJ12" s="77">
        <v>1.01</v>
      </c>
      <c r="KK12" s="77">
        <v>1.07</v>
      </c>
      <c r="KL12" s="77">
        <v>1.08</v>
      </c>
      <c r="KM12" s="77">
        <v>1.07</v>
      </c>
      <c r="KN12" s="77">
        <v>1.1100000000000001</v>
      </c>
      <c r="KO12" s="77">
        <v>1.1100000000000001</v>
      </c>
      <c r="KP12" s="77">
        <v>1.1599999999999999</v>
      </c>
      <c r="KQ12" s="77">
        <v>1.18</v>
      </c>
      <c r="KR12" s="77">
        <v>1.2</v>
      </c>
      <c r="KS12" s="77">
        <v>0.28999999999999998</v>
      </c>
      <c r="KT12" s="77">
        <v>0.28999999999999998</v>
      </c>
      <c r="KU12" s="77">
        <v>0.33</v>
      </c>
      <c r="KV12" s="77">
        <v>0.31</v>
      </c>
      <c r="KW12" s="77">
        <v>0.34</v>
      </c>
      <c r="KX12" s="77">
        <v>0.39</v>
      </c>
      <c r="KY12" s="77">
        <v>0.4</v>
      </c>
      <c r="KZ12" s="77">
        <v>0.46</v>
      </c>
      <c r="LA12" s="77">
        <v>0.49</v>
      </c>
      <c r="LB12" s="77">
        <v>0.5</v>
      </c>
      <c r="LC12" s="77">
        <v>0.54</v>
      </c>
      <c r="LD12" s="77">
        <v>0.56999999999999995</v>
      </c>
      <c r="LE12" s="77">
        <v>0.66</v>
      </c>
      <c r="LF12" s="77">
        <v>0.02</v>
      </c>
      <c r="LG12" s="77">
        <v>0.04</v>
      </c>
      <c r="LH12" s="77">
        <v>0.06</v>
      </c>
      <c r="LI12" s="77">
        <v>0.13</v>
      </c>
      <c r="LJ12" s="77">
        <v>0.15</v>
      </c>
      <c r="LK12" s="77">
        <v>0.19</v>
      </c>
      <c r="LL12" s="77">
        <v>0.21</v>
      </c>
      <c r="LM12" s="77">
        <v>0.26</v>
      </c>
      <c r="LN12" s="77">
        <v>0.25</v>
      </c>
      <c r="LO12" s="77">
        <v>0.27</v>
      </c>
      <c r="LP12" s="77">
        <v>0.28000000000000003</v>
      </c>
      <c r="LQ12" s="77">
        <v>0.3</v>
      </c>
      <c r="LR12" s="77">
        <v>0.35</v>
      </c>
      <c r="LS12" s="77">
        <v>0.36</v>
      </c>
      <c r="LT12" s="77">
        <v>0.38</v>
      </c>
      <c r="LU12" s="77">
        <v>0.39</v>
      </c>
      <c r="LV12" s="77">
        <v>0.41</v>
      </c>
      <c r="LW12" s="77">
        <v>0.46</v>
      </c>
      <c r="LX12" s="77">
        <v>0.46</v>
      </c>
      <c r="LY12" s="77">
        <v>0.49</v>
      </c>
      <c r="LZ12" s="77">
        <v>0.5</v>
      </c>
      <c r="MA12" s="77">
        <v>0.52</v>
      </c>
      <c r="MB12" s="77">
        <v>0.57599999999999996</v>
      </c>
      <c r="MC12" s="77">
        <v>0.62</v>
      </c>
      <c r="MD12" s="77">
        <v>0.63</v>
      </c>
      <c r="ME12" s="77">
        <v>0.65</v>
      </c>
      <c r="MF12" s="77">
        <v>0.7</v>
      </c>
      <c r="MG12" s="77">
        <v>0.71</v>
      </c>
      <c r="MH12" s="77">
        <v>0.72</v>
      </c>
      <c r="MI12" s="77">
        <v>0.74</v>
      </c>
      <c r="MJ12" s="77">
        <v>0.76</v>
      </c>
      <c r="MK12" s="77">
        <v>0.82</v>
      </c>
      <c r="ML12" s="77">
        <v>0.85</v>
      </c>
      <c r="MM12" s="77">
        <v>0.86</v>
      </c>
      <c r="MN12" s="77">
        <v>0.88</v>
      </c>
      <c r="MO12" s="77">
        <v>0.88</v>
      </c>
      <c r="MP12" s="77">
        <v>0.93</v>
      </c>
      <c r="MQ12" s="77">
        <v>0.84</v>
      </c>
      <c r="MR12" s="77">
        <v>0.86099999999999999</v>
      </c>
      <c r="MS12" s="77">
        <v>0.86</v>
      </c>
      <c r="MT12" s="77">
        <v>0.88</v>
      </c>
      <c r="MU12" s="77">
        <v>0.93</v>
      </c>
      <c r="MV12" s="77">
        <v>0.94</v>
      </c>
      <c r="MW12" s="77">
        <v>0.97</v>
      </c>
      <c r="MX12" s="77">
        <v>1</v>
      </c>
      <c r="MY12" s="77">
        <v>1.01</v>
      </c>
      <c r="MZ12" s="77">
        <v>1.05</v>
      </c>
      <c r="NA12" s="77">
        <v>1.07</v>
      </c>
      <c r="NB12" s="77">
        <v>1.0900000000000001</v>
      </c>
      <c r="NC12" s="77">
        <v>0.49</v>
      </c>
      <c r="ND12" s="77">
        <v>0.5</v>
      </c>
      <c r="NE12" s="77">
        <v>0.53</v>
      </c>
      <c r="NF12" s="77">
        <v>0.55000000000000004</v>
      </c>
      <c r="NG12" s="77">
        <v>0.56999999999999995</v>
      </c>
      <c r="NH12" s="77">
        <v>0.57999999999999996</v>
      </c>
      <c r="NI12" s="77">
        <v>0.57999999999999996</v>
      </c>
      <c r="NJ12" s="77">
        <v>0.64</v>
      </c>
      <c r="NK12" s="77">
        <v>0.65</v>
      </c>
      <c r="NL12" s="77">
        <v>0.65</v>
      </c>
      <c r="NM12" s="77">
        <v>0.64</v>
      </c>
      <c r="NN12" s="77">
        <v>0.67</v>
      </c>
      <c r="NO12" s="77">
        <v>0.71</v>
      </c>
      <c r="NP12" s="77">
        <v>0.01</v>
      </c>
      <c r="NQ12" s="77">
        <v>0.04</v>
      </c>
      <c r="NR12" s="77">
        <v>0.06</v>
      </c>
      <c r="NS12" s="77">
        <v>0.1</v>
      </c>
      <c r="NT12" s="77">
        <v>0.12</v>
      </c>
      <c r="NU12" s="77">
        <v>0.13</v>
      </c>
      <c r="NV12" s="77">
        <v>0.16</v>
      </c>
    </row>
    <row r="13" spans="1:386" s="77" customFormat="1" ht="15" customHeight="1">
      <c r="A13" s="4"/>
      <c r="B13" s="4"/>
      <c r="C13" s="146" t="s">
        <v>262</v>
      </c>
      <c r="D13" s="157">
        <f t="shared" si="1"/>
        <v>271389</v>
      </c>
      <c r="E13" s="158">
        <f t="shared" si="0"/>
        <v>219460</v>
      </c>
      <c r="F13" s="158">
        <f t="shared" si="0"/>
        <v>217736</v>
      </c>
      <c r="G13" s="158">
        <f t="shared" si="0"/>
        <v>211671</v>
      </c>
      <c r="H13" s="158">
        <f t="shared" si="0"/>
        <v>188822</v>
      </c>
      <c r="I13" s="158">
        <f t="shared" si="0"/>
        <v>223244</v>
      </c>
      <c r="J13" s="158">
        <f t="shared" si="0"/>
        <v>268663</v>
      </c>
      <c r="K13" s="158">
        <f t="shared" si="0"/>
        <v>226576</v>
      </c>
      <c r="L13" s="158">
        <f t="shared" si="0"/>
        <v>218132</v>
      </c>
      <c r="M13" s="158">
        <f t="shared" si="0"/>
        <v>306275</v>
      </c>
      <c r="N13" s="158">
        <f t="shared" si="0"/>
        <v>271324</v>
      </c>
      <c r="O13" s="159">
        <f t="shared" si="0"/>
        <v>244033</v>
      </c>
      <c r="P13"/>
      <c r="Q13"/>
      <c r="R13" s="4"/>
      <c r="S13" s="4"/>
      <c r="U13" s="80" t="s">
        <v>254</v>
      </c>
      <c r="V13" s="77">
        <v>271389</v>
      </c>
      <c r="W13" s="77">
        <v>219460</v>
      </c>
      <c r="X13" s="77">
        <v>217736</v>
      </c>
      <c r="Y13" s="77">
        <v>211671</v>
      </c>
      <c r="Z13" s="77">
        <v>188822</v>
      </c>
      <c r="AA13" s="77">
        <v>223244</v>
      </c>
      <c r="AB13" s="77">
        <v>268663</v>
      </c>
      <c r="AC13" s="77">
        <v>226576</v>
      </c>
      <c r="AD13" s="77">
        <v>218132</v>
      </c>
      <c r="AE13" s="77">
        <v>306275</v>
      </c>
      <c r="AF13" s="77">
        <v>271324</v>
      </c>
      <c r="AG13" s="77">
        <v>244033</v>
      </c>
      <c r="AH13" s="77">
        <v>220440</v>
      </c>
      <c r="AI13" s="77">
        <v>256052</v>
      </c>
      <c r="AJ13" s="77">
        <v>261667</v>
      </c>
      <c r="AK13" s="77">
        <v>320785</v>
      </c>
      <c r="AL13" s="77">
        <v>178223</v>
      </c>
      <c r="AM13" s="77">
        <v>258458</v>
      </c>
      <c r="AN13" s="77">
        <v>219926</v>
      </c>
      <c r="AO13" s="77">
        <v>189949</v>
      </c>
      <c r="AP13" s="77">
        <v>199479</v>
      </c>
      <c r="AQ13" s="77">
        <v>197052</v>
      </c>
      <c r="AR13" s="77">
        <v>173660</v>
      </c>
      <c r="AS13" s="77">
        <v>244413</v>
      </c>
      <c r="AT13" s="77">
        <v>234619</v>
      </c>
      <c r="AU13" s="77">
        <v>232866</v>
      </c>
      <c r="AV13" s="77">
        <v>248422</v>
      </c>
      <c r="AW13" s="77">
        <v>285322</v>
      </c>
      <c r="AX13" s="77">
        <v>301636</v>
      </c>
      <c r="AY13" s="77">
        <v>295953</v>
      </c>
      <c r="AZ13" s="77">
        <v>211466</v>
      </c>
      <c r="BA13" s="77">
        <v>163074</v>
      </c>
      <c r="BB13" s="77">
        <v>202833</v>
      </c>
      <c r="BC13" s="77">
        <v>232355</v>
      </c>
      <c r="BD13" s="77">
        <v>225586</v>
      </c>
      <c r="BE13" s="77">
        <v>188506</v>
      </c>
      <c r="BF13" s="77">
        <v>195461</v>
      </c>
      <c r="BG13" s="77">
        <v>169654</v>
      </c>
      <c r="BH13" s="77">
        <v>182327</v>
      </c>
      <c r="BI13" s="77">
        <v>183257</v>
      </c>
      <c r="BJ13" s="77">
        <v>193850</v>
      </c>
      <c r="BK13" s="77">
        <v>175579</v>
      </c>
      <c r="BL13" s="77">
        <v>159278</v>
      </c>
      <c r="BM13" s="77">
        <v>215762</v>
      </c>
      <c r="BN13" s="77">
        <v>248157</v>
      </c>
      <c r="BO13" s="77">
        <v>220040</v>
      </c>
      <c r="BP13" s="77">
        <v>200652</v>
      </c>
      <c r="BQ13" s="77">
        <v>204495</v>
      </c>
      <c r="BR13" s="77">
        <v>218816</v>
      </c>
      <c r="BS13" s="77">
        <v>121646</v>
      </c>
      <c r="BT13" s="77">
        <v>200725</v>
      </c>
      <c r="BU13" s="77">
        <v>201368</v>
      </c>
      <c r="BV13" s="77">
        <v>198507</v>
      </c>
      <c r="BW13" s="77">
        <v>222978</v>
      </c>
      <c r="BX13" s="77">
        <v>244958</v>
      </c>
      <c r="BY13" s="77">
        <v>210786</v>
      </c>
      <c r="BZ13" s="77">
        <v>190949</v>
      </c>
      <c r="CA13" s="77">
        <v>233771</v>
      </c>
      <c r="CB13" s="77">
        <v>200002</v>
      </c>
      <c r="CC13" s="77">
        <v>204064</v>
      </c>
      <c r="CD13" s="77">
        <v>227039</v>
      </c>
      <c r="CE13" s="77">
        <v>215326</v>
      </c>
      <c r="CF13" s="77">
        <v>216695</v>
      </c>
      <c r="CG13" s="77">
        <v>159444</v>
      </c>
      <c r="CH13" s="77">
        <v>189383</v>
      </c>
      <c r="CI13" s="77">
        <v>201823</v>
      </c>
      <c r="CJ13" s="77">
        <v>203352</v>
      </c>
      <c r="CK13" s="77">
        <v>222006</v>
      </c>
      <c r="CL13" s="77">
        <v>179905</v>
      </c>
      <c r="CM13" s="77">
        <v>179954</v>
      </c>
      <c r="CN13" s="77">
        <v>199569</v>
      </c>
      <c r="CO13" s="77">
        <v>210373</v>
      </c>
      <c r="CP13" s="77">
        <v>194846</v>
      </c>
      <c r="CQ13" s="77">
        <v>225202</v>
      </c>
      <c r="CR13" s="77">
        <v>295863</v>
      </c>
      <c r="CS13" s="77">
        <v>283305</v>
      </c>
      <c r="CT13" s="77">
        <v>220726</v>
      </c>
      <c r="CU13" s="77">
        <v>313351</v>
      </c>
      <c r="CV13" s="77">
        <v>196405</v>
      </c>
      <c r="CW13" s="77">
        <v>224464</v>
      </c>
      <c r="CX13" s="77">
        <v>234553</v>
      </c>
      <c r="CY13" s="77">
        <v>177384</v>
      </c>
      <c r="CZ13" s="77">
        <v>206938</v>
      </c>
      <c r="DA13" s="77">
        <v>204141</v>
      </c>
      <c r="DB13" s="77">
        <v>250890</v>
      </c>
      <c r="DC13" s="77">
        <v>256470</v>
      </c>
      <c r="DD13" s="77">
        <v>289185</v>
      </c>
      <c r="DE13" s="77">
        <v>280756</v>
      </c>
      <c r="DF13" s="77">
        <v>243489</v>
      </c>
      <c r="DG13" s="77">
        <v>187103</v>
      </c>
      <c r="DH13" s="77">
        <v>250382</v>
      </c>
      <c r="DI13" s="77">
        <v>204707</v>
      </c>
      <c r="DJ13" s="77">
        <v>222918</v>
      </c>
      <c r="DK13" s="77">
        <v>227642</v>
      </c>
      <c r="DL13" s="77">
        <v>234887</v>
      </c>
      <c r="DM13" s="77">
        <v>272504</v>
      </c>
      <c r="DN13" s="77">
        <v>183437</v>
      </c>
      <c r="DO13" s="77">
        <v>216335</v>
      </c>
      <c r="DP13" s="77">
        <v>323846</v>
      </c>
      <c r="DQ13" s="77">
        <v>220302</v>
      </c>
      <c r="DR13" s="77">
        <v>243071</v>
      </c>
      <c r="DS13" s="77">
        <v>194179</v>
      </c>
      <c r="DT13" s="77">
        <v>212758</v>
      </c>
      <c r="DU13" s="77">
        <v>211638</v>
      </c>
      <c r="DV13" s="77">
        <v>239198</v>
      </c>
      <c r="DW13" s="77">
        <v>313375</v>
      </c>
      <c r="DX13" s="77">
        <v>283275</v>
      </c>
      <c r="DY13" s="77">
        <v>329525</v>
      </c>
      <c r="DZ13" s="77">
        <v>302807</v>
      </c>
      <c r="EA13" s="77">
        <v>284482</v>
      </c>
      <c r="EB13" s="77">
        <v>127711</v>
      </c>
      <c r="EC13" s="77">
        <v>209598</v>
      </c>
      <c r="ED13" s="77">
        <v>224505</v>
      </c>
      <c r="EE13" s="77">
        <v>273856</v>
      </c>
      <c r="EF13" s="77">
        <v>237353</v>
      </c>
      <c r="EG13" s="77">
        <v>295454</v>
      </c>
      <c r="EH13" s="77">
        <v>234173</v>
      </c>
      <c r="EI13" s="77">
        <v>264520</v>
      </c>
      <c r="EJ13" s="77">
        <v>201513</v>
      </c>
      <c r="EK13" s="77">
        <v>264791</v>
      </c>
      <c r="EL13" s="77">
        <v>240254</v>
      </c>
      <c r="EM13" s="77">
        <v>239461</v>
      </c>
      <c r="EN13" s="77">
        <v>255640</v>
      </c>
      <c r="EO13" s="77">
        <v>250092</v>
      </c>
      <c r="EP13" s="77">
        <v>272449</v>
      </c>
      <c r="EQ13" s="77">
        <v>252617</v>
      </c>
      <c r="ER13" s="77">
        <v>223294</v>
      </c>
      <c r="ES13" s="77">
        <v>243049</v>
      </c>
      <c r="ET13" s="77">
        <v>265586</v>
      </c>
      <c r="EU13" s="77">
        <v>248198</v>
      </c>
      <c r="EV13" s="77">
        <v>215900</v>
      </c>
      <c r="EW13" s="77">
        <v>240782</v>
      </c>
      <c r="EX13" s="77">
        <v>288577</v>
      </c>
      <c r="EY13" s="77">
        <v>232538</v>
      </c>
      <c r="EZ13" s="77">
        <v>274034</v>
      </c>
      <c r="FA13" s="77">
        <v>226213</v>
      </c>
      <c r="FB13" s="77">
        <v>245542</v>
      </c>
      <c r="FC13" s="77">
        <v>214297</v>
      </c>
      <c r="FD13" s="77">
        <v>216274</v>
      </c>
      <c r="FE13" s="77">
        <v>189897</v>
      </c>
      <c r="FF13" s="77">
        <v>136273</v>
      </c>
      <c r="FG13" s="77">
        <v>210854</v>
      </c>
      <c r="FH13" s="77">
        <v>233386</v>
      </c>
      <c r="FI13" s="77">
        <v>259910</v>
      </c>
      <c r="FJ13" s="77">
        <v>242209</v>
      </c>
      <c r="FK13" s="77">
        <v>205415</v>
      </c>
      <c r="FL13" s="77">
        <v>282230</v>
      </c>
      <c r="FM13" s="77">
        <v>248769</v>
      </c>
      <c r="FN13" s="77">
        <v>269281</v>
      </c>
      <c r="FO13" s="77">
        <v>318493</v>
      </c>
      <c r="FP13" s="77">
        <v>357791</v>
      </c>
      <c r="FQ13" s="77">
        <v>373232</v>
      </c>
      <c r="FR13" s="77">
        <v>344644</v>
      </c>
      <c r="FS13" s="77">
        <v>349292</v>
      </c>
      <c r="FT13" s="77">
        <v>380925</v>
      </c>
      <c r="FU13" s="77">
        <v>158197</v>
      </c>
      <c r="FV13" s="77">
        <v>231992</v>
      </c>
      <c r="FW13" s="77">
        <v>237868</v>
      </c>
      <c r="FX13" s="77">
        <v>214524</v>
      </c>
      <c r="FY13" s="77">
        <v>129641</v>
      </c>
      <c r="FZ13" s="77">
        <v>240940</v>
      </c>
      <c r="GA13" s="77">
        <v>229168</v>
      </c>
      <c r="GB13" s="77">
        <v>216414</v>
      </c>
      <c r="GC13" s="77">
        <v>317749</v>
      </c>
      <c r="GD13" s="77">
        <v>197025</v>
      </c>
      <c r="GE13" s="77">
        <v>254812</v>
      </c>
      <c r="GF13" s="77">
        <v>261146</v>
      </c>
      <c r="GG13" s="77">
        <v>248475</v>
      </c>
      <c r="GH13" s="77">
        <v>256316</v>
      </c>
      <c r="GI13" s="77">
        <v>227602</v>
      </c>
      <c r="GJ13" s="77">
        <v>293906</v>
      </c>
      <c r="GK13" s="77">
        <v>174795</v>
      </c>
      <c r="GL13" s="77">
        <v>278518</v>
      </c>
      <c r="GM13" s="77">
        <v>305465</v>
      </c>
      <c r="GN13" s="77">
        <v>329523</v>
      </c>
      <c r="GO13" s="77">
        <v>300049</v>
      </c>
      <c r="GP13" s="77">
        <v>333481</v>
      </c>
      <c r="GQ13" s="77">
        <v>288773</v>
      </c>
      <c r="GR13" s="77">
        <v>253618</v>
      </c>
      <c r="GS13" s="77">
        <v>270536</v>
      </c>
      <c r="GT13" s="77">
        <v>183174</v>
      </c>
      <c r="GU13" s="77">
        <v>226503</v>
      </c>
      <c r="GV13" s="77">
        <v>229596</v>
      </c>
      <c r="GW13" s="77">
        <v>265291</v>
      </c>
      <c r="GX13" s="77">
        <v>243130</v>
      </c>
      <c r="GY13" s="77">
        <v>302971</v>
      </c>
      <c r="GZ13" s="77">
        <v>286696</v>
      </c>
      <c r="HA13" s="77">
        <v>367562</v>
      </c>
      <c r="HB13" s="77">
        <v>283557</v>
      </c>
      <c r="HC13" s="77">
        <v>345955</v>
      </c>
      <c r="HD13" s="77">
        <v>400966</v>
      </c>
      <c r="HE13" s="77">
        <v>382915</v>
      </c>
      <c r="HF13" s="77">
        <v>323356</v>
      </c>
      <c r="HG13" s="77">
        <v>340379</v>
      </c>
      <c r="HH13" s="77">
        <v>326749</v>
      </c>
      <c r="HI13" s="77">
        <v>333766</v>
      </c>
      <c r="HJ13" s="77">
        <v>363672</v>
      </c>
      <c r="HK13" s="77">
        <v>249179</v>
      </c>
      <c r="HL13" s="77">
        <v>275607</v>
      </c>
      <c r="HM13" s="77">
        <v>306519</v>
      </c>
      <c r="HN13" s="77">
        <v>288035</v>
      </c>
      <c r="HO13" s="77">
        <v>319832</v>
      </c>
      <c r="HP13" s="77">
        <v>290497</v>
      </c>
      <c r="HQ13" s="77">
        <v>315678</v>
      </c>
      <c r="HR13" s="77">
        <v>320898</v>
      </c>
      <c r="HS13" s="77">
        <v>310210</v>
      </c>
      <c r="HT13" s="77">
        <v>391163</v>
      </c>
      <c r="HU13" s="77">
        <v>347327</v>
      </c>
      <c r="HV13" s="77">
        <v>327919</v>
      </c>
      <c r="HW13" s="77">
        <v>295858</v>
      </c>
      <c r="HX13" s="77">
        <v>303718</v>
      </c>
      <c r="HY13" s="77">
        <v>372422</v>
      </c>
      <c r="HZ13" s="77">
        <v>362663</v>
      </c>
      <c r="IA13" s="77">
        <v>356762</v>
      </c>
      <c r="IB13" s="77">
        <v>324437</v>
      </c>
      <c r="IC13" s="77">
        <v>328123</v>
      </c>
      <c r="ID13" s="77">
        <v>352192</v>
      </c>
      <c r="IE13" s="77">
        <v>324977</v>
      </c>
      <c r="IF13" s="77">
        <v>514851</v>
      </c>
      <c r="IG13" s="77">
        <v>395453</v>
      </c>
      <c r="IH13" s="77">
        <v>545400</v>
      </c>
      <c r="II13" s="77">
        <v>401787</v>
      </c>
      <c r="IJ13" s="77">
        <v>383151</v>
      </c>
      <c r="IK13" s="77">
        <v>276747</v>
      </c>
      <c r="IL13" s="77">
        <v>287425</v>
      </c>
      <c r="IM13" s="77">
        <v>269119</v>
      </c>
      <c r="IN13" s="77">
        <v>238819</v>
      </c>
      <c r="IO13" s="77">
        <v>239061</v>
      </c>
      <c r="IP13" s="77">
        <v>269437</v>
      </c>
      <c r="IQ13" s="77">
        <v>266916</v>
      </c>
      <c r="IR13" s="77">
        <v>387476</v>
      </c>
      <c r="IS13" s="77">
        <v>305245</v>
      </c>
      <c r="IT13" s="77">
        <v>184169</v>
      </c>
      <c r="IU13" s="77">
        <v>277500</v>
      </c>
      <c r="IV13" s="77">
        <v>279087</v>
      </c>
      <c r="IW13" s="77">
        <v>283327</v>
      </c>
      <c r="IX13" s="77">
        <v>304744</v>
      </c>
      <c r="IY13" s="77">
        <v>331008</v>
      </c>
      <c r="IZ13" s="77">
        <v>298954</v>
      </c>
      <c r="JA13" s="77">
        <v>226519</v>
      </c>
      <c r="JB13" s="77">
        <v>234645</v>
      </c>
      <c r="JC13" s="77">
        <v>205932</v>
      </c>
      <c r="JD13" s="77">
        <v>224181</v>
      </c>
      <c r="JE13" s="77">
        <v>211083</v>
      </c>
      <c r="JF13" s="77">
        <v>244012</v>
      </c>
      <c r="JG13" s="77">
        <v>205783</v>
      </c>
      <c r="JH13" s="77">
        <v>174029</v>
      </c>
      <c r="JI13" s="77">
        <v>225307</v>
      </c>
      <c r="JJ13" s="77">
        <v>180827</v>
      </c>
      <c r="JK13" s="77">
        <v>168709</v>
      </c>
      <c r="JL13" s="77">
        <v>182636</v>
      </c>
      <c r="JM13" s="77">
        <v>268780</v>
      </c>
      <c r="JN13" s="77">
        <v>194914</v>
      </c>
      <c r="JO13" s="77">
        <v>207321</v>
      </c>
      <c r="JP13" s="77">
        <v>177166</v>
      </c>
      <c r="JQ13" s="77">
        <v>201548</v>
      </c>
      <c r="JR13" s="77">
        <v>249905</v>
      </c>
      <c r="JS13" s="77">
        <v>226947</v>
      </c>
      <c r="JT13" s="77">
        <v>224410</v>
      </c>
      <c r="JU13" s="77">
        <v>228608</v>
      </c>
      <c r="JV13" s="77">
        <v>246496</v>
      </c>
      <c r="JW13" s="77">
        <v>273253</v>
      </c>
      <c r="JX13" s="77">
        <v>196247</v>
      </c>
      <c r="JY13" s="77">
        <v>208493</v>
      </c>
      <c r="JZ13" s="77">
        <v>252746</v>
      </c>
      <c r="KA13" s="77">
        <v>256111</v>
      </c>
      <c r="KB13" s="77">
        <v>259724</v>
      </c>
      <c r="KC13" s="77">
        <v>277949</v>
      </c>
      <c r="KD13" s="77">
        <v>244401</v>
      </c>
      <c r="KE13" s="77">
        <v>274956</v>
      </c>
      <c r="KF13" s="77">
        <v>390269</v>
      </c>
      <c r="KG13" s="77">
        <v>362167</v>
      </c>
      <c r="KH13" s="77">
        <v>314774</v>
      </c>
      <c r="KI13" s="77">
        <v>270440</v>
      </c>
      <c r="KJ13" s="77">
        <v>275608</v>
      </c>
      <c r="KK13" s="77">
        <v>324460</v>
      </c>
      <c r="KL13" s="77">
        <v>333560</v>
      </c>
      <c r="KM13" s="77">
        <v>404853</v>
      </c>
      <c r="KN13" s="77">
        <v>328328</v>
      </c>
      <c r="KO13" s="77">
        <v>334316</v>
      </c>
      <c r="KP13" s="77">
        <v>396349</v>
      </c>
      <c r="KQ13" s="77">
        <v>345799</v>
      </c>
      <c r="KR13" s="77">
        <v>278784</v>
      </c>
      <c r="KS13" s="77">
        <v>325046</v>
      </c>
      <c r="KT13" s="77">
        <v>368095</v>
      </c>
      <c r="KU13" s="77">
        <v>381586</v>
      </c>
      <c r="KV13" s="77">
        <v>519534</v>
      </c>
      <c r="KW13" s="77">
        <v>374885</v>
      </c>
      <c r="KX13" s="77">
        <v>333578</v>
      </c>
      <c r="KY13" s="77">
        <v>368638</v>
      </c>
      <c r="KZ13" s="77">
        <v>388515</v>
      </c>
      <c r="LA13" s="77">
        <v>394339</v>
      </c>
      <c r="LB13" s="77">
        <v>350821</v>
      </c>
      <c r="LC13" s="77">
        <v>379727</v>
      </c>
      <c r="LD13" s="77">
        <v>286465</v>
      </c>
      <c r="LE13" s="77">
        <v>252633</v>
      </c>
      <c r="LF13" s="77">
        <v>166497</v>
      </c>
      <c r="LG13" s="77">
        <v>214275</v>
      </c>
      <c r="LH13" s="77">
        <v>259087</v>
      </c>
      <c r="LI13" s="77">
        <v>206024</v>
      </c>
      <c r="LJ13" s="77">
        <v>224584</v>
      </c>
      <c r="LK13" s="77">
        <v>239612</v>
      </c>
      <c r="LL13" s="77">
        <v>201861</v>
      </c>
      <c r="LM13" s="77">
        <v>224824</v>
      </c>
      <c r="LN13" s="77">
        <v>276489</v>
      </c>
      <c r="LO13" s="77">
        <v>241078</v>
      </c>
      <c r="LP13" s="77">
        <v>225128</v>
      </c>
      <c r="LQ13" s="77">
        <v>222987</v>
      </c>
      <c r="LR13" s="77">
        <v>256524</v>
      </c>
      <c r="LS13" s="77">
        <v>302469</v>
      </c>
      <c r="LT13" s="77">
        <v>241194</v>
      </c>
      <c r="LU13" s="77">
        <v>199731</v>
      </c>
      <c r="LV13" s="77">
        <v>280573</v>
      </c>
      <c r="LW13" s="77">
        <v>273651</v>
      </c>
      <c r="LX13" s="77">
        <v>406916</v>
      </c>
      <c r="LY13" s="77">
        <v>245715</v>
      </c>
      <c r="LZ13" s="77">
        <v>340305</v>
      </c>
      <c r="MA13" s="77">
        <v>227904</v>
      </c>
      <c r="MB13" s="77">
        <v>223303</v>
      </c>
      <c r="MC13" s="77">
        <v>191110</v>
      </c>
      <c r="MD13" s="77">
        <v>247418</v>
      </c>
      <c r="ME13" s="77">
        <v>216524</v>
      </c>
      <c r="MF13" s="77">
        <v>237173</v>
      </c>
      <c r="MG13" s="77">
        <v>245617</v>
      </c>
      <c r="MH13" s="77">
        <v>262049</v>
      </c>
      <c r="MI13" s="77">
        <v>198462</v>
      </c>
      <c r="MJ13" s="77">
        <v>255250</v>
      </c>
      <c r="MK13" s="77">
        <v>254384</v>
      </c>
      <c r="ML13" s="77">
        <v>216969</v>
      </c>
      <c r="MM13" s="77">
        <v>225319</v>
      </c>
      <c r="MN13" s="77">
        <v>216946</v>
      </c>
      <c r="MO13" s="77">
        <v>197530</v>
      </c>
      <c r="MP13" s="77">
        <v>197807</v>
      </c>
      <c r="MQ13" s="77">
        <v>275549</v>
      </c>
      <c r="MR13" s="77">
        <v>288713</v>
      </c>
      <c r="MS13" s="77">
        <v>277634</v>
      </c>
      <c r="MT13" s="77">
        <v>244155</v>
      </c>
      <c r="MU13" s="77">
        <v>201805</v>
      </c>
      <c r="MV13" s="77">
        <v>256843</v>
      </c>
      <c r="MW13" s="77">
        <v>193937</v>
      </c>
      <c r="MX13" s="77">
        <v>161315</v>
      </c>
      <c r="MY13" s="77">
        <v>163180</v>
      </c>
      <c r="MZ13" s="77">
        <v>180246</v>
      </c>
      <c r="NA13" s="77">
        <v>207244</v>
      </c>
      <c r="NB13" s="77">
        <v>201113</v>
      </c>
      <c r="NC13" s="77">
        <v>178843</v>
      </c>
      <c r="ND13" s="77">
        <v>191271</v>
      </c>
      <c r="NE13" s="77">
        <v>195764</v>
      </c>
      <c r="NF13" s="77">
        <v>202860</v>
      </c>
      <c r="NG13" s="77">
        <v>199878</v>
      </c>
      <c r="NH13" s="77">
        <v>194926</v>
      </c>
      <c r="NI13" s="77">
        <v>184976</v>
      </c>
      <c r="NJ13" s="77">
        <v>224911</v>
      </c>
      <c r="NK13" s="77">
        <v>260226</v>
      </c>
      <c r="NL13" s="77">
        <v>232074</v>
      </c>
      <c r="NM13" s="77">
        <v>236253</v>
      </c>
      <c r="NN13" s="77">
        <v>220691</v>
      </c>
      <c r="NO13" s="77">
        <v>239901</v>
      </c>
      <c r="NP13" s="77">
        <v>147358</v>
      </c>
      <c r="NQ13" s="77">
        <v>289959</v>
      </c>
      <c r="NR13" s="77">
        <v>331817</v>
      </c>
      <c r="NS13" s="77">
        <v>340827</v>
      </c>
      <c r="NT13" s="77">
        <v>233529</v>
      </c>
      <c r="NU13" s="77">
        <v>265064</v>
      </c>
      <c r="NV13" s="77">
        <v>282810</v>
      </c>
    </row>
    <row r="14" spans="1:386" s="77" customFormat="1" ht="15" customHeight="1">
      <c r="A14" s="4"/>
      <c r="B14" s="4"/>
      <c r="C14" s="146" t="s">
        <v>250</v>
      </c>
      <c r="D14" s="157">
        <f t="shared" si="1"/>
        <v>288666</v>
      </c>
      <c r="E14" s="158">
        <f t="shared" si="0"/>
        <v>288572</v>
      </c>
      <c r="F14" s="158">
        <f t="shared" si="0"/>
        <v>273900</v>
      </c>
      <c r="G14" s="158">
        <f t="shared" si="0"/>
        <v>271367</v>
      </c>
      <c r="H14" s="158">
        <f t="shared" si="0"/>
        <v>269688</v>
      </c>
      <c r="I14" s="158">
        <f t="shared" si="0"/>
        <v>275794</v>
      </c>
      <c r="J14" s="158">
        <f t="shared" si="0"/>
        <v>282381</v>
      </c>
      <c r="K14" s="158">
        <f t="shared" si="0"/>
        <v>278059</v>
      </c>
      <c r="L14" s="158">
        <f t="shared" si="0"/>
        <v>286254</v>
      </c>
      <c r="M14" s="158">
        <f t="shared" si="0"/>
        <v>287908</v>
      </c>
      <c r="N14" s="158">
        <f t="shared" si="0"/>
        <v>285395</v>
      </c>
      <c r="O14" s="159">
        <f t="shared" si="0"/>
        <v>285049</v>
      </c>
      <c r="P14"/>
      <c r="Q14"/>
      <c r="R14" s="4"/>
      <c r="S14" s="4"/>
      <c r="U14" s="80" t="s">
        <v>255</v>
      </c>
      <c r="V14" s="77">
        <v>288666</v>
      </c>
      <c r="W14" s="77">
        <v>288572</v>
      </c>
      <c r="X14" s="77">
        <v>273900</v>
      </c>
      <c r="Y14" s="77">
        <v>271367</v>
      </c>
      <c r="Z14" s="77">
        <v>269688</v>
      </c>
      <c r="AA14" s="77">
        <v>275794</v>
      </c>
      <c r="AB14" s="77">
        <v>282381</v>
      </c>
      <c r="AC14" s="77">
        <v>278059</v>
      </c>
      <c r="AD14" s="77">
        <v>286254</v>
      </c>
      <c r="AE14" s="77">
        <v>287908</v>
      </c>
      <c r="AF14" s="77">
        <v>285395</v>
      </c>
      <c r="AG14" s="77">
        <v>285049</v>
      </c>
      <c r="AH14" s="77">
        <v>280150</v>
      </c>
      <c r="AI14" s="77">
        <v>281860</v>
      </c>
      <c r="AJ14" s="77">
        <v>283456</v>
      </c>
      <c r="AK14" s="77">
        <v>283379</v>
      </c>
      <c r="AL14" s="77">
        <v>282742</v>
      </c>
      <c r="AM14" s="77">
        <v>283698</v>
      </c>
      <c r="AN14" s="77">
        <v>285923</v>
      </c>
      <c r="AO14" s="77">
        <v>286496</v>
      </c>
      <c r="AP14" s="77">
        <v>288620</v>
      </c>
      <c r="AQ14" s="77">
        <v>284418</v>
      </c>
      <c r="AR14" s="77">
        <v>286854</v>
      </c>
      <c r="AS14" s="77">
        <v>289726</v>
      </c>
      <c r="AT14" s="77">
        <v>289657</v>
      </c>
      <c r="AU14" s="77">
        <v>285034</v>
      </c>
      <c r="AV14" s="77">
        <v>287586</v>
      </c>
      <c r="AW14" s="77">
        <v>289803</v>
      </c>
      <c r="AX14" s="77">
        <v>294700</v>
      </c>
      <c r="AY14" s="77">
        <v>292074</v>
      </c>
      <c r="AZ14" s="77">
        <v>295119</v>
      </c>
      <c r="BA14" s="77">
        <v>285247</v>
      </c>
      <c r="BB14" s="77">
        <v>284969</v>
      </c>
      <c r="BC14" s="77">
        <v>281342</v>
      </c>
      <c r="BD14" s="77">
        <v>285707</v>
      </c>
      <c r="BE14" s="77">
        <v>291142</v>
      </c>
      <c r="BF14" s="77">
        <v>281574</v>
      </c>
      <c r="BG14" s="77">
        <v>283028</v>
      </c>
      <c r="BH14" s="77">
        <v>283443</v>
      </c>
      <c r="BI14" s="77">
        <v>280669</v>
      </c>
      <c r="BJ14" s="77">
        <v>284863</v>
      </c>
      <c r="BK14" s="77">
        <v>276494</v>
      </c>
      <c r="BL14" s="77">
        <v>275175</v>
      </c>
      <c r="BM14" s="77">
        <v>273793</v>
      </c>
      <c r="BN14" s="77">
        <v>276777</v>
      </c>
      <c r="BO14" s="77">
        <v>280077</v>
      </c>
      <c r="BP14" s="77">
        <v>277710</v>
      </c>
      <c r="BQ14" s="77">
        <v>275275</v>
      </c>
      <c r="BR14" s="77">
        <v>274260</v>
      </c>
      <c r="BS14" s="77">
        <v>0</v>
      </c>
      <c r="BT14" s="77">
        <v>144557</v>
      </c>
      <c r="BU14" s="77">
        <v>224727</v>
      </c>
      <c r="BV14" s="77">
        <v>266012</v>
      </c>
      <c r="BW14" s="77">
        <v>308679</v>
      </c>
      <c r="BX14" s="77">
        <v>320407</v>
      </c>
      <c r="BY14" s="77">
        <v>324758</v>
      </c>
      <c r="BZ14" s="77">
        <v>316704</v>
      </c>
      <c r="CA14" s="77">
        <v>316832</v>
      </c>
      <c r="CB14" s="77">
        <v>325927</v>
      </c>
      <c r="CC14" s="77">
        <v>329203</v>
      </c>
      <c r="CD14" s="77">
        <v>330820</v>
      </c>
      <c r="CE14" s="77">
        <v>325036</v>
      </c>
      <c r="CF14" s="77">
        <v>317145</v>
      </c>
      <c r="CG14" s="77">
        <v>318578</v>
      </c>
      <c r="CH14" s="77">
        <v>315593</v>
      </c>
      <c r="CI14" s="77">
        <v>316448</v>
      </c>
      <c r="CJ14" s="77">
        <v>314833</v>
      </c>
      <c r="CK14" s="77">
        <v>315168</v>
      </c>
      <c r="CL14" s="77">
        <v>317012</v>
      </c>
      <c r="CM14" s="77">
        <v>319565</v>
      </c>
      <c r="CN14" s="77">
        <v>320903</v>
      </c>
      <c r="CO14" s="77">
        <v>319652</v>
      </c>
      <c r="CP14" s="77">
        <v>316695</v>
      </c>
      <c r="CQ14" s="77">
        <v>321283</v>
      </c>
      <c r="CR14" s="77">
        <v>317799</v>
      </c>
      <c r="CS14" s="77">
        <v>315734</v>
      </c>
      <c r="CT14" s="77">
        <v>322047</v>
      </c>
      <c r="CU14" s="77">
        <v>325505</v>
      </c>
      <c r="CV14" s="77">
        <v>329714</v>
      </c>
      <c r="CW14" s="77">
        <v>324484</v>
      </c>
      <c r="CX14" s="77">
        <v>322889</v>
      </c>
      <c r="CY14" s="77">
        <v>323163</v>
      </c>
      <c r="CZ14" s="77">
        <v>322246</v>
      </c>
      <c r="DA14" s="77">
        <v>320779</v>
      </c>
      <c r="DB14" s="77">
        <v>321596</v>
      </c>
      <c r="DC14" s="77">
        <v>320151</v>
      </c>
      <c r="DD14" s="77">
        <v>325307</v>
      </c>
      <c r="DE14" s="77">
        <v>324711</v>
      </c>
      <c r="DF14" s="77">
        <v>321221</v>
      </c>
      <c r="DG14" s="77">
        <v>316953</v>
      </c>
      <c r="DH14" s="77">
        <v>316464</v>
      </c>
      <c r="DI14" s="77">
        <v>323047</v>
      </c>
      <c r="DJ14" s="77">
        <v>318675</v>
      </c>
      <c r="DK14" s="77">
        <v>318291</v>
      </c>
      <c r="DL14" s="77">
        <v>321041</v>
      </c>
      <c r="DM14" s="77">
        <v>310485</v>
      </c>
      <c r="DN14" s="77">
        <v>305361</v>
      </c>
      <c r="DO14" s="77">
        <v>308130</v>
      </c>
      <c r="DP14" s="77">
        <v>311232</v>
      </c>
      <c r="DQ14" s="77">
        <v>308743</v>
      </c>
      <c r="DR14" s="77">
        <v>306170</v>
      </c>
      <c r="DS14" s="77">
        <v>303426</v>
      </c>
      <c r="DT14" s="77">
        <v>304535</v>
      </c>
      <c r="DU14" s="77">
        <v>307751</v>
      </c>
      <c r="DV14" s="77">
        <v>306512</v>
      </c>
      <c r="DW14" s="77">
        <v>311281</v>
      </c>
      <c r="DX14" s="77">
        <v>318410</v>
      </c>
      <c r="DY14" s="77">
        <v>328291</v>
      </c>
      <c r="DZ14" s="77">
        <v>309953</v>
      </c>
      <c r="EA14" s="77">
        <v>309648</v>
      </c>
      <c r="EB14" s="77">
        <v>0</v>
      </c>
      <c r="EC14" s="77">
        <v>118144</v>
      </c>
      <c r="ED14" s="77">
        <v>164304</v>
      </c>
      <c r="EE14" s="77">
        <v>264804</v>
      </c>
      <c r="EF14" s="77">
        <v>314143</v>
      </c>
      <c r="EG14" s="77">
        <v>319453</v>
      </c>
      <c r="EH14" s="77">
        <v>318612</v>
      </c>
      <c r="EI14" s="77">
        <v>324498</v>
      </c>
      <c r="EJ14" s="77">
        <v>315790</v>
      </c>
      <c r="EK14" s="77">
        <v>311405</v>
      </c>
      <c r="EL14" s="77">
        <v>313839</v>
      </c>
      <c r="EM14" s="77">
        <v>308639</v>
      </c>
      <c r="EN14" s="77">
        <v>310012</v>
      </c>
      <c r="EO14" s="77">
        <v>309148</v>
      </c>
      <c r="EP14" s="77">
        <v>305963</v>
      </c>
      <c r="EQ14" s="77">
        <v>311561</v>
      </c>
      <c r="ER14" s="77">
        <v>303009</v>
      </c>
      <c r="ES14" s="77">
        <v>301508</v>
      </c>
      <c r="ET14" s="77">
        <v>299935</v>
      </c>
      <c r="EU14" s="77">
        <v>295429</v>
      </c>
      <c r="EV14" s="77">
        <v>297392</v>
      </c>
      <c r="EW14" s="77">
        <v>299210</v>
      </c>
      <c r="EX14" s="77">
        <v>304749</v>
      </c>
      <c r="EY14" s="77">
        <v>310260</v>
      </c>
      <c r="EZ14" s="77">
        <v>306416</v>
      </c>
      <c r="FA14" s="77">
        <v>309219</v>
      </c>
      <c r="FB14" s="77">
        <v>306901</v>
      </c>
      <c r="FC14" s="77">
        <v>306598</v>
      </c>
      <c r="FD14" s="77">
        <v>305922</v>
      </c>
      <c r="FE14" s="77">
        <v>306576</v>
      </c>
      <c r="FF14" s="77">
        <v>306177</v>
      </c>
      <c r="FG14" s="77">
        <v>313466</v>
      </c>
      <c r="FH14" s="77">
        <v>312017</v>
      </c>
      <c r="FI14" s="77">
        <v>308621</v>
      </c>
      <c r="FJ14" s="77">
        <v>305719</v>
      </c>
      <c r="FK14" s="77">
        <v>303261</v>
      </c>
      <c r="FL14" s="77">
        <v>302805</v>
      </c>
      <c r="FM14" s="77">
        <v>304866</v>
      </c>
      <c r="FN14" s="77">
        <v>304906</v>
      </c>
      <c r="FO14" s="77">
        <v>302764</v>
      </c>
      <c r="FP14" s="77">
        <v>305275</v>
      </c>
      <c r="FQ14" s="77">
        <v>305760</v>
      </c>
      <c r="FR14" s="77">
        <v>308294</v>
      </c>
      <c r="FS14" s="77">
        <v>307724</v>
      </c>
      <c r="FT14" s="77">
        <v>313578</v>
      </c>
      <c r="FU14" s="77">
        <v>307626</v>
      </c>
      <c r="FV14" s="77">
        <v>304599</v>
      </c>
      <c r="FW14" s="77">
        <v>295511</v>
      </c>
      <c r="FX14" s="77">
        <v>285573</v>
      </c>
      <c r="FY14" s="77">
        <v>281938</v>
      </c>
      <c r="FZ14" s="77">
        <v>283476</v>
      </c>
      <c r="GA14" s="77">
        <v>277204</v>
      </c>
      <c r="GB14" s="77">
        <v>283005</v>
      </c>
      <c r="GC14" s="77">
        <v>281130</v>
      </c>
      <c r="GD14" s="77">
        <v>281990</v>
      </c>
      <c r="GE14" s="77">
        <v>281297</v>
      </c>
      <c r="GF14" s="77">
        <v>286881</v>
      </c>
      <c r="GG14" s="77">
        <v>277714</v>
      </c>
      <c r="GH14" s="77">
        <v>275304</v>
      </c>
      <c r="GI14" s="77">
        <v>269785</v>
      </c>
      <c r="GJ14" s="77">
        <v>270621</v>
      </c>
      <c r="GK14" s="77">
        <v>0</v>
      </c>
      <c r="GL14" s="77">
        <v>129794</v>
      </c>
      <c r="GM14" s="77">
        <v>188896</v>
      </c>
      <c r="GN14" s="77">
        <v>248772</v>
      </c>
      <c r="GO14" s="77">
        <v>304840</v>
      </c>
      <c r="GP14" s="77">
        <v>304342</v>
      </c>
      <c r="GQ14" s="77">
        <v>298880</v>
      </c>
      <c r="GR14" s="77">
        <v>303108</v>
      </c>
      <c r="GS14" s="77">
        <v>303456</v>
      </c>
      <c r="GT14" s="77">
        <v>303185</v>
      </c>
      <c r="GU14" s="77">
        <v>305173</v>
      </c>
      <c r="GV14" s="77">
        <v>305810</v>
      </c>
      <c r="GW14" s="77">
        <v>310038</v>
      </c>
      <c r="GX14" s="77">
        <v>305709</v>
      </c>
      <c r="GY14" s="77">
        <v>299827</v>
      </c>
      <c r="GZ14" s="77">
        <v>300176</v>
      </c>
      <c r="HA14" s="77">
        <v>301855</v>
      </c>
      <c r="HB14" s="77">
        <v>307588</v>
      </c>
      <c r="HC14" s="77">
        <v>308543</v>
      </c>
      <c r="HD14" s="77">
        <v>318740</v>
      </c>
      <c r="HE14" s="77">
        <v>325317</v>
      </c>
      <c r="HF14" s="77">
        <v>329597</v>
      </c>
      <c r="HG14" s="77">
        <v>334121</v>
      </c>
      <c r="HH14" s="77">
        <v>340216</v>
      </c>
      <c r="HI14" s="77">
        <v>341255</v>
      </c>
      <c r="HJ14" s="77">
        <v>335712</v>
      </c>
      <c r="HK14" s="77">
        <v>336490</v>
      </c>
      <c r="HL14" s="77">
        <v>338199</v>
      </c>
      <c r="HM14" s="77">
        <v>337474</v>
      </c>
      <c r="HN14" s="77">
        <v>339232</v>
      </c>
      <c r="HO14" s="77">
        <v>335913</v>
      </c>
      <c r="HP14" s="77">
        <v>341277</v>
      </c>
      <c r="HQ14" s="77">
        <v>338854</v>
      </c>
      <c r="HR14" s="77">
        <v>342005</v>
      </c>
      <c r="HS14" s="77">
        <v>335975</v>
      </c>
      <c r="HT14" s="77">
        <v>338009</v>
      </c>
      <c r="HU14" s="77">
        <v>336361</v>
      </c>
      <c r="HV14" s="77">
        <v>332882</v>
      </c>
      <c r="HW14" s="77">
        <v>331197</v>
      </c>
      <c r="HX14" s="77">
        <v>330563</v>
      </c>
      <c r="HY14" s="77">
        <v>333176</v>
      </c>
      <c r="HZ14" s="77">
        <v>331991</v>
      </c>
      <c r="IA14" s="77">
        <v>338214</v>
      </c>
      <c r="IB14" s="77">
        <v>330160</v>
      </c>
      <c r="IC14" s="77">
        <v>332462</v>
      </c>
      <c r="ID14" s="77">
        <v>339693</v>
      </c>
      <c r="IE14" s="77">
        <v>346091</v>
      </c>
      <c r="IF14" s="77">
        <v>353878</v>
      </c>
      <c r="IG14" s="77">
        <v>355306</v>
      </c>
      <c r="IH14" s="77">
        <v>362540</v>
      </c>
      <c r="II14" s="77">
        <v>342653</v>
      </c>
      <c r="IJ14" s="77">
        <v>333251</v>
      </c>
      <c r="IK14" s="77">
        <v>325773</v>
      </c>
      <c r="IL14" s="77">
        <v>314554</v>
      </c>
      <c r="IM14" s="77">
        <v>308284</v>
      </c>
      <c r="IN14" s="77">
        <v>300249</v>
      </c>
      <c r="IO14" s="77">
        <v>301909</v>
      </c>
      <c r="IP14" s="77">
        <v>298371</v>
      </c>
      <c r="IQ14" s="77">
        <v>294503</v>
      </c>
      <c r="IR14" s="77">
        <v>287782</v>
      </c>
      <c r="IS14" s="77">
        <v>297377</v>
      </c>
      <c r="IT14" s="77">
        <v>0</v>
      </c>
      <c r="IU14" s="77">
        <v>161640</v>
      </c>
      <c r="IV14" s="77">
        <v>222645</v>
      </c>
      <c r="IW14" s="77">
        <v>296308</v>
      </c>
      <c r="IX14" s="77">
        <v>333028</v>
      </c>
      <c r="IY14" s="77">
        <v>327258</v>
      </c>
      <c r="IZ14" s="77">
        <v>317029</v>
      </c>
      <c r="JA14" s="77">
        <v>307032</v>
      </c>
      <c r="JB14" s="77">
        <v>304975</v>
      </c>
      <c r="JC14" s="77">
        <v>302255</v>
      </c>
      <c r="JD14" s="77">
        <v>302154</v>
      </c>
      <c r="JE14" s="77">
        <v>301797</v>
      </c>
      <c r="JF14" s="77">
        <v>305470</v>
      </c>
      <c r="JG14" s="77">
        <v>297284</v>
      </c>
      <c r="JH14" s="77">
        <v>295417</v>
      </c>
      <c r="JI14" s="77">
        <v>293989</v>
      </c>
      <c r="JJ14" s="77">
        <v>298960</v>
      </c>
      <c r="JK14" s="77">
        <v>295326</v>
      </c>
      <c r="JL14" s="77">
        <v>293889</v>
      </c>
      <c r="JM14" s="77">
        <v>295982</v>
      </c>
      <c r="JN14" s="77">
        <v>314238</v>
      </c>
      <c r="JO14" s="77">
        <v>308809</v>
      </c>
      <c r="JP14" s="77">
        <v>313113</v>
      </c>
      <c r="JQ14" s="77">
        <v>308722</v>
      </c>
      <c r="JR14" s="77">
        <v>304539</v>
      </c>
      <c r="JS14" s="77">
        <v>304817</v>
      </c>
      <c r="JT14" s="77">
        <v>306425</v>
      </c>
      <c r="JU14" s="77">
        <v>303054</v>
      </c>
      <c r="JV14" s="77">
        <v>300159</v>
      </c>
      <c r="JW14" s="77">
        <v>295059</v>
      </c>
      <c r="JX14" s="77">
        <v>292980</v>
      </c>
      <c r="JY14" s="77">
        <v>292943</v>
      </c>
      <c r="JZ14" s="77">
        <v>294138</v>
      </c>
      <c r="KA14" s="77">
        <v>291900</v>
      </c>
      <c r="KB14" s="77">
        <v>290767</v>
      </c>
      <c r="KC14" s="77">
        <v>297616</v>
      </c>
      <c r="KD14" s="77">
        <v>293851</v>
      </c>
      <c r="KE14" s="77">
        <v>292300</v>
      </c>
      <c r="KF14" s="77">
        <v>291739</v>
      </c>
      <c r="KG14" s="77">
        <v>294226</v>
      </c>
      <c r="KH14" s="77">
        <v>298559</v>
      </c>
      <c r="KI14" s="77">
        <v>305672</v>
      </c>
      <c r="KJ14" s="77">
        <v>306949</v>
      </c>
      <c r="KK14" s="77">
        <v>306769</v>
      </c>
      <c r="KL14" s="77">
        <v>313267</v>
      </c>
      <c r="KM14" s="77">
        <v>318956</v>
      </c>
      <c r="KN14" s="77">
        <v>313688</v>
      </c>
      <c r="KO14" s="77">
        <v>316422</v>
      </c>
      <c r="KP14" s="77">
        <v>317961</v>
      </c>
      <c r="KQ14" s="77">
        <v>313343</v>
      </c>
      <c r="KR14" s="77">
        <v>305480</v>
      </c>
      <c r="KS14" s="77">
        <v>305042</v>
      </c>
      <c r="KT14" s="77">
        <v>310000</v>
      </c>
      <c r="KU14" s="77">
        <v>314148</v>
      </c>
      <c r="KV14" s="77">
        <v>319074</v>
      </c>
      <c r="KW14" s="77">
        <v>318411</v>
      </c>
      <c r="KX14" s="77">
        <v>308918</v>
      </c>
      <c r="KY14" s="77">
        <v>306436</v>
      </c>
      <c r="KZ14" s="77">
        <v>296574</v>
      </c>
      <c r="LA14" s="77">
        <v>297596</v>
      </c>
      <c r="LB14" s="77">
        <v>301442</v>
      </c>
      <c r="LC14" s="77">
        <v>288263</v>
      </c>
      <c r="LD14" s="77">
        <v>281454</v>
      </c>
      <c r="LE14" s="77">
        <v>265972</v>
      </c>
      <c r="LF14" s="77">
        <v>0</v>
      </c>
      <c r="LG14" s="77">
        <v>110670</v>
      </c>
      <c r="LH14" s="77">
        <v>174916</v>
      </c>
      <c r="LI14" s="77">
        <v>268736</v>
      </c>
      <c r="LJ14" s="77">
        <v>290464</v>
      </c>
      <c r="LK14" s="77">
        <v>292368</v>
      </c>
      <c r="LL14" s="77">
        <v>295355</v>
      </c>
      <c r="LM14" s="77">
        <v>295710</v>
      </c>
      <c r="LN14" s="77">
        <v>297562</v>
      </c>
      <c r="LO14" s="77">
        <v>296572</v>
      </c>
      <c r="LP14" s="77">
        <v>297601</v>
      </c>
      <c r="LQ14" s="77">
        <v>293553</v>
      </c>
      <c r="LR14" s="77">
        <v>296167</v>
      </c>
      <c r="LS14" s="77">
        <v>294862</v>
      </c>
      <c r="LT14" s="77">
        <v>292808</v>
      </c>
      <c r="LU14" s="77">
        <v>292778</v>
      </c>
      <c r="LV14" s="77">
        <v>287319</v>
      </c>
      <c r="LW14" s="77">
        <v>289464</v>
      </c>
      <c r="LX14" s="77">
        <v>301655</v>
      </c>
      <c r="LY14" s="77">
        <v>299065</v>
      </c>
      <c r="LZ14" s="77">
        <v>300478</v>
      </c>
      <c r="MA14" s="77">
        <v>290364</v>
      </c>
      <c r="MB14" s="77">
        <v>282303</v>
      </c>
      <c r="MC14" s="77">
        <v>276265</v>
      </c>
      <c r="MD14" s="77">
        <v>275009</v>
      </c>
      <c r="ME14" s="77">
        <v>273444</v>
      </c>
      <c r="MF14" s="77">
        <v>274080</v>
      </c>
      <c r="MG14" s="77">
        <v>280638</v>
      </c>
      <c r="MH14" s="77">
        <v>287487</v>
      </c>
      <c r="MI14" s="77">
        <v>280041</v>
      </c>
      <c r="MJ14" s="77">
        <v>287770</v>
      </c>
      <c r="MK14" s="77">
        <v>275831</v>
      </c>
      <c r="ML14" s="77">
        <v>267961</v>
      </c>
      <c r="MM14" s="77">
        <v>269734</v>
      </c>
      <c r="MN14" s="77">
        <v>267861</v>
      </c>
      <c r="MO14" s="77">
        <v>272561</v>
      </c>
      <c r="MP14" s="77">
        <v>268107</v>
      </c>
      <c r="MQ14" s="77">
        <v>262383</v>
      </c>
      <c r="MR14" s="77">
        <v>264373</v>
      </c>
      <c r="MS14" s="77">
        <v>263228</v>
      </c>
      <c r="MT14" s="77">
        <v>253786</v>
      </c>
      <c r="MU14" s="77">
        <v>257483</v>
      </c>
      <c r="MV14" s="77">
        <v>257999</v>
      </c>
      <c r="MW14" s="77">
        <v>253366</v>
      </c>
      <c r="MX14" s="77">
        <v>254414</v>
      </c>
      <c r="MY14" s="77">
        <v>258073</v>
      </c>
      <c r="MZ14" s="77">
        <v>253026</v>
      </c>
      <c r="NA14" s="77">
        <v>255090</v>
      </c>
      <c r="NB14" s="77">
        <v>253813</v>
      </c>
      <c r="NC14" s="77">
        <v>252202</v>
      </c>
      <c r="ND14" s="77">
        <v>254046</v>
      </c>
      <c r="NE14" s="77">
        <v>254298</v>
      </c>
      <c r="NF14" s="77">
        <v>253481</v>
      </c>
      <c r="NG14" s="77">
        <v>254151</v>
      </c>
      <c r="NH14" s="77">
        <v>253986</v>
      </c>
      <c r="NI14" s="77">
        <v>252693</v>
      </c>
      <c r="NJ14" s="77">
        <v>246893</v>
      </c>
      <c r="NK14" s="77">
        <v>243821</v>
      </c>
      <c r="NL14" s="77">
        <v>246458</v>
      </c>
      <c r="NM14" s="77">
        <v>251007</v>
      </c>
      <c r="NN14" s="77">
        <v>245643</v>
      </c>
      <c r="NO14" s="77">
        <v>244632</v>
      </c>
      <c r="NP14" s="77">
        <v>0</v>
      </c>
      <c r="NQ14" s="77">
        <v>126111</v>
      </c>
      <c r="NR14" s="77">
        <v>212828</v>
      </c>
      <c r="NS14" s="77">
        <v>256043</v>
      </c>
      <c r="NT14" s="77">
        <v>268787</v>
      </c>
      <c r="NU14" s="77">
        <v>278998</v>
      </c>
      <c r="NV14" s="77">
        <v>279631</v>
      </c>
    </row>
    <row r="15" spans="1:386" s="77" customFormat="1" ht="15" customHeight="1">
      <c r="A15" s="4"/>
      <c r="B15" s="4"/>
      <c r="C15" s="146" t="s">
        <v>263</v>
      </c>
      <c r="D15" s="157">
        <f t="shared" si="1"/>
        <v>94</v>
      </c>
      <c r="E15" s="158">
        <f t="shared" si="0"/>
        <v>14672</v>
      </c>
      <c r="F15" s="158">
        <f t="shared" si="0"/>
        <v>2533</v>
      </c>
      <c r="G15" s="158">
        <f t="shared" si="0"/>
        <v>1679</v>
      </c>
      <c r="H15" s="158">
        <f t="shared" si="0"/>
        <v>-6106</v>
      </c>
      <c r="I15" s="158">
        <f t="shared" si="0"/>
        <v>-6587</v>
      </c>
      <c r="J15" s="158">
        <f t="shared" si="0"/>
        <v>4322</v>
      </c>
      <c r="K15" s="158">
        <f t="shared" si="0"/>
        <v>-8195</v>
      </c>
      <c r="L15" s="158">
        <f t="shared" si="0"/>
        <v>-1654</v>
      </c>
      <c r="M15" s="158">
        <f t="shared" si="0"/>
        <v>2513</v>
      </c>
      <c r="N15" s="158">
        <f t="shared" si="0"/>
        <v>346</v>
      </c>
      <c r="O15" s="159">
        <f t="shared" si="0"/>
        <v>4899</v>
      </c>
      <c r="P15"/>
      <c r="Q15"/>
      <c r="R15" s="4"/>
      <c r="S15" s="4"/>
      <c r="U15" s="80" t="s">
        <v>256</v>
      </c>
      <c r="V15" s="77">
        <v>94</v>
      </c>
      <c r="W15" s="77">
        <v>14672</v>
      </c>
      <c r="X15" s="77">
        <v>2533</v>
      </c>
      <c r="Y15" s="77">
        <v>1679</v>
      </c>
      <c r="Z15" s="77">
        <v>-6106</v>
      </c>
      <c r="AA15" s="77">
        <v>-6587</v>
      </c>
      <c r="AB15" s="77">
        <v>4322</v>
      </c>
      <c r="AC15" s="77">
        <v>-8195</v>
      </c>
      <c r="AD15" s="77">
        <v>-1654</v>
      </c>
      <c r="AE15" s="77">
        <v>2513</v>
      </c>
      <c r="AF15" s="77">
        <v>346</v>
      </c>
      <c r="AG15" s="77">
        <v>4899</v>
      </c>
      <c r="AH15" s="77">
        <v>-1710</v>
      </c>
      <c r="AI15" s="77">
        <v>-1596</v>
      </c>
      <c r="AJ15" s="77">
        <v>77</v>
      </c>
      <c r="AK15" s="77">
        <v>637</v>
      </c>
      <c r="AL15" s="77">
        <v>-956</v>
      </c>
      <c r="AM15" s="77">
        <v>-2225</v>
      </c>
      <c r="AN15" s="77">
        <v>-573</v>
      </c>
      <c r="AO15" s="77">
        <v>-2124</v>
      </c>
      <c r="AP15" s="77">
        <v>4202</v>
      </c>
      <c r="AQ15" s="77">
        <v>-2436</v>
      </c>
      <c r="AR15" s="77">
        <v>-2872</v>
      </c>
      <c r="AS15" s="77">
        <v>69</v>
      </c>
      <c r="AT15" s="77">
        <v>4623</v>
      </c>
      <c r="AU15" s="77">
        <v>-2552</v>
      </c>
      <c r="AV15" s="77">
        <v>-2217</v>
      </c>
      <c r="AW15" s="77">
        <v>-4897</v>
      </c>
      <c r="AX15" s="77">
        <v>2626</v>
      </c>
      <c r="AY15" s="77">
        <v>-3045</v>
      </c>
      <c r="AZ15" s="77">
        <v>9872</v>
      </c>
      <c r="BA15" s="77">
        <v>278</v>
      </c>
      <c r="BB15" s="77">
        <v>3627</v>
      </c>
      <c r="BC15" s="77">
        <v>-4365</v>
      </c>
      <c r="BD15" s="77">
        <v>-5435</v>
      </c>
      <c r="BE15" s="77">
        <v>9568</v>
      </c>
      <c r="BF15" s="77">
        <v>-1454</v>
      </c>
      <c r="BG15" s="77">
        <v>-415</v>
      </c>
      <c r="BH15" s="77">
        <v>2774</v>
      </c>
      <c r="BI15" s="77">
        <v>-4194</v>
      </c>
      <c r="BJ15" s="77">
        <v>8369</v>
      </c>
      <c r="BK15" s="77">
        <v>1319</v>
      </c>
      <c r="BL15" s="77">
        <v>1382</v>
      </c>
      <c r="BM15" s="77">
        <v>-2984</v>
      </c>
      <c r="BN15" s="77">
        <v>-3300</v>
      </c>
      <c r="BO15" s="77">
        <v>2367</v>
      </c>
      <c r="BP15" s="77">
        <v>2435</v>
      </c>
      <c r="BQ15" s="77">
        <v>1015</v>
      </c>
      <c r="BR15" s="77">
        <v>3847</v>
      </c>
      <c r="BS15" s="77">
        <v>-144557</v>
      </c>
      <c r="BT15" s="77">
        <v>-80170</v>
      </c>
      <c r="BU15" s="77">
        <v>-41285</v>
      </c>
      <c r="BV15" s="77">
        <v>-42667</v>
      </c>
      <c r="BW15" s="77">
        <v>-11728</v>
      </c>
      <c r="BX15" s="77">
        <v>-4351</v>
      </c>
      <c r="BY15" s="77">
        <v>8054</v>
      </c>
      <c r="BZ15" s="77">
        <v>-128</v>
      </c>
      <c r="CA15" s="77">
        <v>-9095</v>
      </c>
      <c r="CB15" s="77">
        <v>-3276</v>
      </c>
      <c r="CC15" s="77">
        <v>-1617</v>
      </c>
      <c r="CD15" s="77">
        <v>5784</v>
      </c>
      <c r="CE15" s="77">
        <v>7891</v>
      </c>
      <c r="CF15" s="77">
        <v>-1433</v>
      </c>
      <c r="CG15" s="77">
        <v>2985</v>
      </c>
      <c r="CH15" s="77">
        <v>-855</v>
      </c>
      <c r="CI15" s="77">
        <v>1615</v>
      </c>
      <c r="CJ15" s="77">
        <v>-335</v>
      </c>
      <c r="CK15" s="77">
        <v>-1844</v>
      </c>
      <c r="CL15" s="77">
        <v>-2553</v>
      </c>
      <c r="CM15" s="77">
        <v>-1338</v>
      </c>
      <c r="CN15" s="77">
        <v>1251</v>
      </c>
      <c r="CO15" s="77">
        <v>2957</v>
      </c>
      <c r="CP15" s="77">
        <v>-4588</v>
      </c>
      <c r="CQ15" s="77">
        <v>3484</v>
      </c>
      <c r="CR15" s="77">
        <v>2065</v>
      </c>
      <c r="CS15" s="77">
        <v>-6313</v>
      </c>
      <c r="CT15" s="77">
        <v>-3458</v>
      </c>
      <c r="CU15" s="77">
        <v>-4209</v>
      </c>
      <c r="CV15" s="77">
        <v>5230</v>
      </c>
      <c r="CW15" s="77">
        <v>1595</v>
      </c>
      <c r="CX15" s="77">
        <v>-274</v>
      </c>
      <c r="CY15" s="77">
        <v>917</v>
      </c>
      <c r="CZ15" s="77">
        <v>1467</v>
      </c>
      <c r="DA15" s="77">
        <v>-817</v>
      </c>
      <c r="DB15" s="77">
        <v>1445</v>
      </c>
      <c r="DC15" s="77">
        <v>-5156</v>
      </c>
      <c r="DD15" s="77">
        <v>596</v>
      </c>
      <c r="DE15" s="77">
        <v>3490</v>
      </c>
      <c r="DF15" s="77">
        <v>4268</v>
      </c>
      <c r="DG15" s="77">
        <v>489</v>
      </c>
      <c r="DH15" s="77">
        <v>-6583</v>
      </c>
      <c r="DI15" s="77">
        <v>4372</v>
      </c>
      <c r="DJ15" s="77">
        <v>384</v>
      </c>
      <c r="DK15" s="77">
        <v>-2750</v>
      </c>
      <c r="DL15" s="77">
        <v>10556</v>
      </c>
      <c r="DM15" s="77">
        <v>5124</v>
      </c>
      <c r="DN15" s="77">
        <v>-2769</v>
      </c>
      <c r="DO15" s="77">
        <v>-3102</v>
      </c>
      <c r="DP15" s="77">
        <v>2489</v>
      </c>
      <c r="DQ15" s="77">
        <v>2573</v>
      </c>
      <c r="DR15" s="77">
        <v>2744</v>
      </c>
      <c r="DS15" s="77">
        <v>-1109</v>
      </c>
      <c r="DT15" s="77">
        <v>-3216</v>
      </c>
      <c r="DU15" s="77">
        <v>1239</v>
      </c>
      <c r="DV15" s="77">
        <v>-4769</v>
      </c>
      <c r="DW15" s="77">
        <v>-7129</v>
      </c>
      <c r="DX15" s="77">
        <v>-9881</v>
      </c>
      <c r="DY15" s="77">
        <v>18338</v>
      </c>
      <c r="DZ15" s="77">
        <v>305</v>
      </c>
      <c r="EA15" s="77">
        <v>6191</v>
      </c>
      <c r="EB15" s="77">
        <v>-118144</v>
      </c>
      <c r="EC15" s="77">
        <v>-46160</v>
      </c>
      <c r="ED15" s="77">
        <v>-100500</v>
      </c>
      <c r="EE15" s="77">
        <v>-49339</v>
      </c>
      <c r="EF15" s="77">
        <v>-5310</v>
      </c>
      <c r="EG15" s="77">
        <v>841</v>
      </c>
      <c r="EH15" s="77">
        <v>-5886</v>
      </c>
      <c r="EI15" s="77">
        <v>8708</v>
      </c>
      <c r="EJ15" s="77">
        <v>4385</v>
      </c>
      <c r="EK15" s="77">
        <v>-2434</v>
      </c>
      <c r="EL15" s="77">
        <v>5200</v>
      </c>
      <c r="EM15" s="77">
        <v>-1373</v>
      </c>
      <c r="EN15" s="77">
        <v>864</v>
      </c>
      <c r="EO15" s="77">
        <v>3185</v>
      </c>
      <c r="EP15" s="77">
        <v>-5598</v>
      </c>
      <c r="EQ15" s="77">
        <v>8552</v>
      </c>
      <c r="ER15" s="77">
        <v>1501</v>
      </c>
      <c r="ES15" s="77">
        <v>1573</v>
      </c>
      <c r="ET15" s="77">
        <v>4506</v>
      </c>
      <c r="EU15" s="77">
        <v>-1963</v>
      </c>
      <c r="EV15" s="77">
        <v>-1818</v>
      </c>
      <c r="EW15" s="77">
        <v>-5539</v>
      </c>
      <c r="EX15" s="77">
        <v>-5511</v>
      </c>
      <c r="EY15" s="77">
        <v>3844</v>
      </c>
      <c r="EZ15" s="77">
        <v>-2803</v>
      </c>
      <c r="FA15" s="77">
        <v>2318</v>
      </c>
      <c r="FB15" s="77">
        <v>303</v>
      </c>
      <c r="FC15" s="77">
        <v>676</v>
      </c>
      <c r="FD15" s="77">
        <v>-654</v>
      </c>
      <c r="FE15" s="77">
        <v>399</v>
      </c>
      <c r="FF15" s="77">
        <v>-7289</v>
      </c>
      <c r="FG15" s="77">
        <v>1449</v>
      </c>
      <c r="FH15" s="77">
        <v>3396</v>
      </c>
      <c r="FI15" s="77">
        <v>2902</v>
      </c>
      <c r="FJ15" s="77">
        <v>2458</v>
      </c>
      <c r="FK15" s="77">
        <v>456</v>
      </c>
      <c r="FL15" s="77">
        <v>-2061</v>
      </c>
      <c r="FM15" s="77">
        <v>-40</v>
      </c>
      <c r="FN15" s="77">
        <v>2142</v>
      </c>
      <c r="FO15" s="77">
        <v>-2511</v>
      </c>
      <c r="FP15" s="77">
        <v>-485</v>
      </c>
      <c r="FQ15" s="77">
        <v>-2534</v>
      </c>
      <c r="FR15" s="77">
        <v>570</v>
      </c>
      <c r="FS15" s="77">
        <v>-5854</v>
      </c>
      <c r="FT15" s="77">
        <v>5952</v>
      </c>
      <c r="FU15" s="77">
        <v>3027</v>
      </c>
      <c r="FV15" s="77">
        <v>9088</v>
      </c>
      <c r="FW15" s="77">
        <v>9938</v>
      </c>
      <c r="FX15" s="77">
        <v>3635</v>
      </c>
      <c r="FY15" s="77">
        <v>-1538</v>
      </c>
      <c r="FZ15" s="77">
        <v>6272</v>
      </c>
      <c r="GA15" s="77">
        <v>-5801</v>
      </c>
      <c r="GB15" s="77">
        <v>1875</v>
      </c>
      <c r="GC15" s="77">
        <v>-860</v>
      </c>
      <c r="GD15" s="77">
        <v>693</v>
      </c>
      <c r="GE15" s="77">
        <v>-5584</v>
      </c>
      <c r="GF15" s="77">
        <v>9167</v>
      </c>
      <c r="GG15" s="77">
        <v>2410</v>
      </c>
      <c r="GH15" s="77">
        <v>5519</v>
      </c>
      <c r="GI15" s="77">
        <v>-836</v>
      </c>
      <c r="GJ15" s="77">
        <v>2474</v>
      </c>
      <c r="GK15" s="77">
        <v>-129794</v>
      </c>
      <c r="GL15" s="77">
        <v>-59102</v>
      </c>
      <c r="GM15" s="77">
        <v>-59876</v>
      </c>
      <c r="GN15" s="77">
        <v>-56068</v>
      </c>
      <c r="GO15" s="77">
        <v>498</v>
      </c>
      <c r="GP15" s="77">
        <v>5462</v>
      </c>
      <c r="GQ15" s="77">
        <v>-4228</v>
      </c>
      <c r="GR15" s="77">
        <v>-348</v>
      </c>
      <c r="GS15" s="77">
        <v>271</v>
      </c>
      <c r="GT15" s="77">
        <v>-1988</v>
      </c>
      <c r="GU15" s="77">
        <v>-637</v>
      </c>
      <c r="GV15" s="77">
        <v>-4228</v>
      </c>
      <c r="GW15" s="77">
        <v>4329</v>
      </c>
      <c r="GX15" s="77">
        <v>5882</v>
      </c>
      <c r="GY15" s="77">
        <v>-349</v>
      </c>
      <c r="GZ15" s="77">
        <v>-1679</v>
      </c>
      <c r="HA15" s="77">
        <v>-5733</v>
      </c>
      <c r="HB15" s="77">
        <v>-955</v>
      </c>
      <c r="HC15" s="77">
        <v>-10197</v>
      </c>
      <c r="HD15" s="77">
        <v>-6577</v>
      </c>
      <c r="HE15" s="77">
        <v>-4280</v>
      </c>
      <c r="HF15" s="77">
        <v>-4524</v>
      </c>
      <c r="HG15" s="77">
        <v>-6095</v>
      </c>
      <c r="HH15" s="77">
        <v>-1039</v>
      </c>
      <c r="HI15" s="77">
        <v>5543</v>
      </c>
      <c r="HJ15" s="77">
        <v>-778</v>
      </c>
      <c r="HK15" s="77">
        <v>-1709</v>
      </c>
      <c r="HL15" s="77">
        <v>725</v>
      </c>
      <c r="HM15" s="77">
        <v>-1758</v>
      </c>
      <c r="HN15" s="77">
        <v>3319</v>
      </c>
      <c r="HO15" s="77">
        <v>-5364</v>
      </c>
      <c r="HP15" s="77">
        <v>2423</v>
      </c>
      <c r="HQ15" s="77">
        <v>-3151</v>
      </c>
      <c r="HR15" s="77">
        <v>6030</v>
      </c>
      <c r="HS15" s="77">
        <v>-2034</v>
      </c>
      <c r="HT15" s="77">
        <v>1648</v>
      </c>
      <c r="HU15" s="77">
        <v>3479</v>
      </c>
      <c r="HV15" s="77">
        <v>1685</v>
      </c>
      <c r="HW15" s="77">
        <v>634</v>
      </c>
      <c r="HX15" s="77">
        <v>-2613</v>
      </c>
      <c r="HY15" s="77">
        <v>1185</v>
      </c>
      <c r="HZ15" s="77">
        <v>-6223</v>
      </c>
      <c r="IA15" s="77">
        <v>8054</v>
      </c>
      <c r="IB15" s="77">
        <v>-2302</v>
      </c>
      <c r="IC15" s="77">
        <v>-7231</v>
      </c>
      <c r="ID15" s="77">
        <v>-6398</v>
      </c>
      <c r="IE15" s="77">
        <v>-7787</v>
      </c>
      <c r="IF15" s="77">
        <v>-1428</v>
      </c>
      <c r="IG15" s="77">
        <v>-7234</v>
      </c>
      <c r="IH15" s="77">
        <v>19887</v>
      </c>
      <c r="II15" s="77">
        <v>9402</v>
      </c>
      <c r="IJ15" s="77">
        <v>7478</v>
      </c>
      <c r="IK15" s="77">
        <v>11219</v>
      </c>
      <c r="IL15" s="77">
        <v>6270</v>
      </c>
      <c r="IM15" s="77">
        <v>8035</v>
      </c>
      <c r="IN15" s="77">
        <v>-1660</v>
      </c>
      <c r="IO15" s="77">
        <v>3538</v>
      </c>
      <c r="IP15" s="77">
        <v>3868</v>
      </c>
      <c r="IQ15" s="77">
        <v>6721</v>
      </c>
      <c r="IR15" s="77">
        <v>-9595</v>
      </c>
      <c r="IS15" s="77">
        <v>19272</v>
      </c>
      <c r="IT15" s="77">
        <v>-161640</v>
      </c>
      <c r="IU15" s="77">
        <v>-61005</v>
      </c>
      <c r="IV15" s="77">
        <v>-73663</v>
      </c>
      <c r="IW15" s="77">
        <v>-36720</v>
      </c>
      <c r="IX15" s="77">
        <v>5770</v>
      </c>
      <c r="IY15" s="77">
        <v>10229</v>
      </c>
      <c r="IZ15" s="77">
        <v>9997</v>
      </c>
      <c r="JA15" s="77">
        <v>2057</v>
      </c>
      <c r="JB15" s="77">
        <v>2720</v>
      </c>
      <c r="JC15" s="77">
        <v>101</v>
      </c>
      <c r="JD15" s="77">
        <v>357</v>
      </c>
      <c r="JE15" s="77">
        <v>-3673</v>
      </c>
      <c r="JF15" s="77">
        <v>8186</v>
      </c>
      <c r="JG15" s="77">
        <v>1867</v>
      </c>
      <c r="JH15" s="77">
        <v>1428</v>
      </c>
      <c r="JI15" s="77">
        <v>-4971</v>
      </c>
      <c r="JJ15" s="77">
        <v>3634</v>
      </c>
      <c r="JK15" s="77">
        <v>1437</v>
      </c>
      <c r="JL15" s="77">
        <v>-2093</v>
      </c>
      <c r="JM15" s="77">
        <v>-18256</v>
      </c>
      <c r="JN15" s="77">
        <v>5429</v>
      </c>
      <c r="JO15" s="77">
        <v>-4304</v>
      </c>
      <c r="JP15" s="77">
        <v>4391</v>
      </c>
      <c r="JQ15" s="77">
        <v>4183</v>
      </c>
      <c r="JR15" s="77">
        <v>-278</v>
      </c>
      <c r="JS15" s="77">
        <v>-1608</v>
      </c>
      <c r="JT15" s="77">
        <v>3371</v>
      </c>
      <c r="JU15" s="77">
        <v>2895</v>
      </c>
      <c r="JV15" s="77">
        <v>5100</v>
      </c>
      <c r="JW15" s="77">
        <v>2079</v>
      </c>
      <c r="JX15" s="77">
        <v>37</v>
      </c>
      <c r="JY15" s="77">
        <v>-1195</v>
      </c>
      <c r="JZ15" s="77">
        <v>2238</v>
      </c>
      <c r="KA15" s="77">
        <v>1133</v>
      </c>
      <c r="KB15" s="77">
        <v>-6849</v>
      </c>
      <c r="KC15" s="77">
        <v>3765</v>
      </c>
      <c r="KD15" s="77">
        <v>1551</v>
      </c>
      <c r="KE15" s="77">
        <v>561</v>
      </c>
      <c r="KF15" s="77">
        <v>-2487</v>
      </c>
      <c r="KG15" s="77">
        <v>-4333</v>
      </c>
      <c r="KH15" s="77">
        <v>-7113</v>
      </c>
      <c r="KI15" s="77">
        <v>-1277</v>
      </c>
      <c r="KJ15" s="77">
        <v>180</v>
      </c>
      <c r="KK15" s="77">
        <v>-6498</v>
      </c>
      <c r="KL15" s="77">
        <v>-5689</v>
      </c>
      <c r="KM15" s="77">
        <v>5268</v>
      </c>
      <c r="KN15" s="77">
        <v>-2734</v>
      </c>
      <c r="KO15" s="77">
        <v>-1539</v>
      </c>
      <c r="KP15" s="77">
        <v>4618</v>
      </c>
      <c r="KQ15" s="77">
        <v>7863</v>
      </c>
      <c r="KR15" s="77">
        <v>438</v>
      </c>
      <c r="KS15" s="77">
        <v>-4958</v>
      </c>
      <c r="KT15" s="77">
        <v>-4148</v>
      </c>
      <c r="KU15" s="77">
        <v>-4926</v>
      </c>
      <c r="KV15" s="77">
        <v>663</v>
      </c>
      <c r="KW15" s="77">
        <v>9493</v>
      </c>
      <c r="KX15" s="77">
        <v>2482</v>
      </c>
      <c r="KY15" s="77">
        <v>9862</v>
      </c>
      <c r="KZ15" s="77">
        <v>-1022</v>
      </c>
      <c r="LA15" s="77">
        <v>-3846</v>
      </c>
      <c r="LB15" s="77">
        <v>13179</v>
      </c>
      <c r="LC15" s="77">
        <v>6809</v>
      </c>
      <c r="LD15" s="77">
        <v>15482</v>
      </c>
      <c r="LE15" s="77">
        <v>11188</v>
      </c>
      <c r="LF15" s="77">
        <v>-110670</v>
      </c>
      <c r="LG15" s="77">
        <v>-64246</v>
      </c>
      <c r="LH15" s="77">
        <v>-93820</v>
      </c>
      <c r="LI15" s="77">
        <v>-21728</v>
      </c>
      <c r="LJ15" s="77">
        <v>-1904</v>
      </c>
      <c r="LK15" s="77">
        <v>-2987</v>
      </c>
      <c r="LL15" s="77">
        <v>-355</v>
      </c>
      <c r="LM15" s="77">
        <v>-1852</v>
      </c>
      <c r="LN15" s="77">
        <v>990</v>
      </c>
      <c r="LO15" s="77">
        <v>-1029</v>
      </c>
      <c r="LP15" s="77">
        <v>4048</v>
      </c>
      <c r="LQ15" s="77">
        <v>-2614</v>
      </c>
      <c r="LR15" s="77">
        <v>1305</v>
      </c>
      <c r="LS15" s="77">
        <v>2054</v>
      </c>
      <c r="LT15" s="77">
        <v>30</v>
      </c>
      <c r="LU15" s="77">
        <v>5459</v>
      </c>
      <c r="LV15" s="77">
        <v>-2145</v>
      </c>
      <c r="LW15" s="77">
        <v>-12191</v>
      </c>
      <c r="LX15" s="77">
        <v>2590</v>
      </c>
      <c r="LY15" s="77">
        <v>-1413</v>
      </c>
      <c r="LZ15" s="77">
        <v>10114</v>
      </c>
      <c r="MA15" s="77">
        <v>8061</v>
      </c>
      <c r="MB15" s="77">
        <v>6038</v>
      </c>
      <c r="MC15" s="77">
        <v>1256</v>
      </c>
      <c r="MD15" s="77">
        <v>1565</v>
      </c>
      <c r="ME15" s="77">
        <v>-636</v>
      </c>
      <c r="MF15" s="77">
        <v>-6558</v>
      </c>
      <c r="MG15" s="77">
        <v>-6849</v>
      </c>
      <c r="MH15" s="77">
        <v>7446</v>
      </c>
      <c r="MI15" s="77">
        <v>-7729</v>
      </c>
      <c r="MJ15" s="77">
        <v>11939</v>
      </c>
      <c r="MK15" s="77">
        <v>7870</v>
      </c>
      <c r="ML15" s="77">
        <v>-1773</v>
      </c>
      <c r="MM15" s="77">
        <v>1873</v>
      </c>
      <c r="MN15" s="77">
        <v>-4700</v>
      </c>
      <c r="MO15" s="77">
        <v>4454</v>
      </c>
      <c r="MP15" s="77">
        <v>5724</v>
      </c>
      <c r="MQ15" s="77">
        <v>-1990</v>
      </c>
      <c r="MR15" s="77">
        <v>1145</v>
      </c>
      <c r="MS15" s="77">
        <v>9442</v>
      </c>
      <c r="MT15" s="77">
        <v>-3697</v>
      </c>
      <c r="MU15" s="77">
        <v>-516</v>
      </c>
      <c r="MV15" s="77">
        <v>4633</v>
      </c>
      <c r="MW15" s="77">
        <v>-1048</v>
      </c>
      <c r="MX15" s="77">
        <v>-3659</v>
      </c>
      <c r="MY15" s="77">
        <v>5047</v>
      </c>
      <c r="MZ15" s="77">
        <v>-2064</v>
      </c>
      <c r="NA15" s="77">
        <v>1277</v>
      </c>
      <c r="NB15" s="77">
        <v>1611</v>
      </c>
      <c r="NC15" s="77">
        <v>-1844</v>
      </c>
      <c r="ND15" s="77">
        <v>-252</v>
      </c>
      <c r="NE15" s="77">
        <v>817</v>
      </c>
      <c r="NF15" s="77">
        <v>-670</v>
      </c>
      <c r="NG15" s="77">
        <v>165</v>
      </c>
      <c r="NH15" s="77">
        <v>1293</v>
      </c>
      <c r="NI15" s="77">
        <v>5800</v>
      </c>
      <c r="NJ15" s="77">
        <v>3072</v>
      </c>
      <c r="NK15" s="77">
        <v>-2637</v>
      </c>
      <c r="NL15" s="77">
        <v>-4549</v>
      </c>
      <c r="NM15" s="77">
        <v>5364</v>
      </c>
      <c r="NN15" s="77">
        <v>1011</v>
      </c>
      <c r="NO15" s="77">
        <v>8847</v>
      </c>
      <c r="NP15" s="77">
        <v>-126111</v>
      </c>
      <c r="NQ15" s="77">
        <v>-86717</v>
      </c>
      <c r="NR15" s="77">
        <v>-43215</v>
      </c>
      <c r="NS15" s="77">
        <v>-12744</v>
      </c>
      <c r="NT15" s="77">
        <v>-10211</v>
      </c>
      <c r="NU15" s="77">
        <v>-633</v>
      </c>
      <c r="NV15" s="77">
        <v>-1452</v>
      </c>
    </row>
    <row r="16" spans="1:386" s="77" customFormat="1" ht="15" customHeight="1">
      <c r="A16" s="4"/>
      <c r="B16" s="4"/>
      <c r="C16" s="146" t="s">
        <v>272</v>
      </c>
      <c r="D16" s="157">
        <f t="shared" ref="D16:O16" si="2">SUM(D17:D18)</f>
        <v>138802.70564400003</v>
      </c>
      <c r="E16" s="158">
        <f t="shared" si="2"/>
        <v>89480.899382000003</v>
      </c>
      <c r="F16" s="158">
        <f t="shared" si="2"/>
        <v>-61374.750533999999</v>
      </c>
      <c r="G16" s="158">
        <f t="shared" si="2"/>
        <v>-119919.699786</v>
      </c>
      <c r="H16" s="158">
        <f t="shared" si="2"/>
        <v>-336517.62670699996</v>
      </c>
      <c r="I16" s="158">
        <f t="shared" si="2"/>
        <v>17669.269782999996</v>
      </c>
      <c r="J16" s="158">
        <f t="shared" si="2"/>
        <v>-168855.06189899999</v>
      </c>
      <c r="K16" s="158">
        <f t="shared" si="2"/>
        <v>184592.91351799999</v>
      </c>
      <c r="L16" s="158">
        <f t="shared" si="2"/>
        <v>-289197.72740799998</v>
      </c>
      <c r="M16" s="158">
        <f t="shared" si="2"/>
        <v>-121912.190564</v>
      </c>
      <c r="N16" s="158">
        <f t="shared" si="2"/>
        <v>-206122.82681300002</v>
      </c>
      <c r="O16" s="159">
        <f t="shared" si="2"/>
        <v>211822.50495499998</v>
      </c>
      <c r="P16"/>
      <c r="Q16"/>
      <c r="R16" s="4"/>
      <c r="S16" s="4"/>
      <c r="U16" s="80" t="s">
        <v>257</v>
      </c>
      <c r="V16" s="77">
        <v>-5100</v>
      </c>
      <c r="W16" s="77">
        <v>-9194</v>
      </c>
      <c r="X16" s="77">
        <v>-2433</v>
      </c>
      <c r="Y16" s="77">
        <v>3884</v>
      </c>
      <c r="Z16" s="77">
        <v>-7420</v>
      </c>
      <c r="AA16" s="77">
        <v>6745</v>
      </c>
      <c r="AB16" s="77">
        <v>-1407</v>
      </c>
      <c r="AC16" s="77">
        <v>3349</v>
      </c>
      <c r="AD16" s="77">
        <v>-5160</v>
      </c>
      <c r="AE16" s="77">
        <v>-16509</v>
      </c>
      <c r="AF16" s="77">
        <v>-26347</v>
      </c>
      <c r="AG16" s="77">
        <v>20522</v>
      </c>
      <c r="AH16" s="77">
        <v>134</v>
      </c>
      <c r="AI16" s="77">
        <v>-4571</v>
      </c>
      <c r="AJ16" s="77">
        <v>7660</v>
      </c>
      <c r="AK16" s="77">
        <v>-4048</v>
      </c>
      <c r="AL16" s="77">
        <v>-3012</v>
      </c>
      <c r="AM16" s="77">
        <v>-596</v>
      </c>
      <c r="AN16" s="77">
        <v>-380</v>
      </c>
      <c r="AO16" s="77">
        <v>2475</v>
      </c>
      <c r="AP16" s="77">
        <v>-6568</v>
      </c>
      <c r="AQ16" s="77">
        <v>-9929</v>
      </c>
      <c r="AR16" s="77">
        <v>1642</v>
      </c>
      <c r="AS16" s="77">
        <v>12616</v>
      </c>
      <c r="AT16" s="77">
        <v>15070</v>
      </c>
      <c r="AU16" s="77">
        <v>569</v>
      </c>
      <c r="AV16" s="77">
        <v>5505</v>
      </c>
      <c r="AW16" s="77">
        <v>6559</v>
      </c>
      <c r="AX16" s="77">
        <v>-15102</v>
      </c>
      <c r="AY16" s="77">
        <v>-1915</v>
      </c>
      <c r="AZ16" s="77">
        <v>-13175</v>
      </c>
      <c r="BA16" s="77">
        <v>-10611</v>
      </c>
      <c r="BB16" s="77">
        <v>10102</v>
      </c>
      <c r="BC16" s="77">
        <v>4817</v>
      </c>
      <c r="BD16" s="77">
        <v>3846</v>
      </c>
      <c r="BE16" s="77">
        <v>-15572</v>
      </c>
      <c r="BF16" s="77">
        <v>-9861</v>
      </c>
      <c r="BG16" s="77">
        <v>9252</v>
      </c>
      <c r="BH16" s="77">
        <v>-9363</v>
      </c>
      <c r="BI16" s="77">
        <v>8006</v>
      </c>
      <c r="BJ16" s="77">
        <v>-10325</v>
      </c>
      <c r="BK16" s="77">
        <v>-690</v>
      </c>
      <c r="BL16" s="77">
        <v>-2811</v>
      </c>
      <c r="BM16" s="77">
        <v>3595</v>
      </c>
      <c r="BN16" s="77">
        <v>3293</v>
      </c>
      <c r="BO16" s="77">
        <v>4180</v>
      </c>
      <c r="BP16" s="77">
        <v>-159</v>
      </c>
      <c r="BQ16" s="77">
        <v>-8647</v>
      </c>
      <c r="BR16" s="77">
        <v>2922</v>
      </c>
      <c r="BS16" s="77">
        <v>8290</v>
      </c>
      <c r="BT16" s="77">
        <v>5358</v>
      </c>
      <c r="BU16" s="77">
        <v>2456</v>
      </c>
      <c r="BV16" s="77">
        <v>5789</v>
      </c>
      <c r="BW16" s="77">
        <v>-1570</v>
      </c>
      <c r="BX16" s="77">
        <v>-4722</v>
      </c>
      <c r="BY16" s="77">
        <v>3679</v>
      </c>
      <c r="BZ16" s="77">
        <v>2215</v>
      </c>
      <c r="CA16" s="77">
        <v>-7365</v>
      </c>
      <c r="CB16" s="77">
        <v>877</v>
      </c>
      <c r="CC16" s="77">
        <v>-41</v>
      </c>
      <c r="CD16" s="77">
        <v>1110</v>
      </c>
      <c r="CE16" s="77">
        <v>4696</v>
      </c>
      <c r="CF16" s="77">
        <v>-1683</v>
      </c>
      <c r="CG16" s="77">
        <v>5619</v>
      </c>
      <c r="CH16" s="77">
        <v>-2466</v>
      </c>
      <c r="CI16" s="77">
        <v>6902</v>
      </c>
      <c r="CJ16" s="77">
        <v>-890</v>
      </c>
      <c r="CK16" s="77">
        <v>-1891</v>
      </c>
      <c r="CL16" s="77">
        <v>-3840</v>
      </c>
      <c r="CM16" s="77">
        <v>-6373</v>
      </c>
      <c r="CN16" s="77">
        <v>11377</v>
      </c>
      <c r="CO16" s="77">
        <v>-1399</v>
      </c>
      <c r="CP16" s="77">
        <v>-12003</v>
      </c>
      <c r="CQ16" s="77">
        <v>12098</v>
      </c>
      <c r="CR16" s="77">
        <v>-6776</v>
      </c>
      <c r="CS16" s="77">
        <v>-5771</v>
      </c>
      <c r="CT16" s="77">
        <v>-2492</v>
      </c>
      <c r="CU16" s="77">
        <v>-9382</v>
      </c>
      <c r="CV16" s="77">
        <v>1247</v>
      </c>
      <c r="CW16" s="77">
        <v>-834</v>
      </c>
      <c r="CX16" s="77">
        <v>690</v>
      </c>
      <c r="CY16" s="77">
        <v>6381</v>
      </c>
      <c r="CZ16" s="77">
        <v>-4279</v>
      </c>
      <c r="DA16" s="77">
        <v>480</v>
      </c>
      <c r="DB16" s="77">
        <v>-1638</v>
      </c>
      <c r="DC16" s="77">
        <v>-12</v>
      </c>
      <c r="DD16" s="77">
        <v>9996</v>
      </c>
      <c r="DE16" s="77">
        <v>5575</v>
      </c>
      <c r="DF16" s="77">
        <v>4211</v>
      </c>
      <c r="DG16" s="77">
        <v>10959</v>
      </c>
      <c r="DH16" s="77">
        <v>-24074</v>
      </c>
      <c r="DI16" s="77">
        <v>7526</v>
      </c>
      <c r="DJ16" s="77">
        <v>8179</v>
      </c>
      <c r="DK16" s="77">
        <v>-13255</v>
      </c>
      <c r="DL16" s="77">
        <v>9068</v>
      </c>
      <c r="DM16" s="77">
        <v>9674</v>
      </c>
      <c r="DN16" s="77">
        <v>-3766</v>
      </c>
      <c r="DO16" s="77">
        <v>8469</v>
      </c>
      <c r="DP16" s="77">
        <v>-2736</v>
      </c>
      <c r="DQ16" s="77">
        <v>-9990</v>
      </c>
      <c r="DR16" s="77">
        <v>301</v>
      </c>
      <c r="DS16" s="77">
        <v>3933</v>
      </c>
      <c r="DT16" s="77">
        <v>1704</v>
      </c>
      <c r="DU16" s="77">
        <v>-3086</v>
      </c>
      <c r="DV16" s="77">
        <v>1227</v>
      </c>
      <c r="DW16" s="77">
        <v>2329</v>
      </c>
      <c r="DX16" s="77">
        <v>7058</v>
      </c>
      <c r="DY16" s="77">
        <v>-18332</v>
      </c>
      <c r="DZ16" s="77">
        <v>-3131</v>
      </c>
      <c r="EA16" s="77">
        <v>-353</v>
      </c>
      <c r="EB16" s="77">
        <v>2316</v>
      </c>
      <c r="EC16" s="77">
        <v>-4441</v>
      </c>
      <c r="ED16" s="77">
        <v>-2482</v>
      </c>
      <c r="EE16" s="77">
        <v>1507</v>
      </c>
      <c r="EF16" s="77">
        <v>-2128</v>
      </c>
      <c r="EG16" s="77">
        <v>-3423</v>
      </c>
      <c r="EH16" s="77">
        <v>6915</v>
      </c>
      <c r="EI16" s="77">
        <v>-2107</v>
      </c>
      <c r="EJ16" s="77">
        <v>-2352</v>
      </c>
      <c r="EK16" s="77">
        <v>5539</v>
      </c>
      <c r="EL16" s="77">
        <v>-4587</v>
      </c>
      <c r="EM16" s="77">
        <v>-3025</v>
      </c>
      <c r="EN16" s="77">
        <v>-1130</v>
      </c>
      <c r="EO16" s="77">
        <v>1002</v>
      </c>
      <c r="EP16" s="77">
        <v>11557</v>
      </c>
      <c r="EQ16" s="77">
        <v>-7237</v>
      </c>
      <c r="ER16" s="77">
        <v>-1282</v>
      </c>
      <c r="ES16" s="77">
        <v>-1340</v>
      </c>
      <c r="ET16" s="77">
        <v>777</v>
      </c>
      <c r="EU16" s="77">
        <v>-6283</v>
      </c>
      <c r="EV16" s="77">
        <v>831</v>
      </c>
      <c r="EW16" s="77">
        <v>1661</v>
      </c>
      <c r="EX16" s="77">
        <v>-84</v>
      </c>
      <c r="EY16" s="77">
        <v>4358</v>
      </c>
      <c r="EZ16" s="77">
        <v>-5996</v>
      </c>
      <c r="FA16" s="77">
        <v>1431</v>
      </c>
      <c r="FB16" s="77">
        <v>2499</v>
      </c>
      <c r="FC16" s="77">
        <v>-55</v>
      </c>
      <c r="FD16" s="77">
        <v>2499</v>
      </c>
      <c r="FE16" s="77">
        <v>555</v>
      </c>
      <c r="FF16" s="77">
        <v>-1113</v>
      </c>
      <c r="FG16" s="77">
        <v>-587</v>
      </c>
      <c r="FH16" s="77">
        <v>7201</v>
      </c>
      <c r="FI16" s="77">
        <v>-3465</v>
      </c>
      <c r="FJ16" s="77">
        <v>1391</v>
      </c>
      <c r="FK16" s="77">
        <v>3326</v>
      </c>
      <c r="FL16" s="77">
        <v>178</v>
      </c>
      <c r="FM16" s="77">
        <v>-820</v>
      </c>
      <c r="FN16" s="77">
        <v>2773</v>
      </c>
      <c r="FO16" s="77">
        <v>-1216</v>
      </c>
      <c r="FP16" s="77">
        <v>-3123</v>
      </c>
      <c r="FQ16" s="77">
        <v>834</v>
      </c>
      <c r="FR16" s="77">
        <v>-113</v>
      </c>
      <c r="FS16" s="77">
        <v>1676</v>
      </c>
      <c r="FT16" s="77">
        <v>-5860</v>
      </c>
      <c r="FU16" s="77">
        <v>2460</v>
      </c>
      <c r="FV16" s="77">
        <v>-6327</v>
      </c>
      <c r="FW16" s="77">
        <v>-5728</v>
      </c>
      <c r="FX16" s="77">
        <v>6014</v>
      </c>
      <c r="FY16" s="77">
        <v>5705</v>
      </c>
      <c r="FZ16" s="77">
        <v>1360</v>
      </c>
      <c r="GA16" s="77">
        <v>6144</v>
      </c>
      <c r="GB16" s="77">
        <v>-4807</v>
      </c>
      <c r="GC16" s="77">
        <v>563</v>
      </c>
      <c r="GD16" s="77">
        <v>-621</v>
      </c>
      <c r="GE16" s="77">
        <v>7377</v>
      </c>
      <c r="GF16" s="77">
        <v>-397</v>
      </c>
      <c r="GG16" s="77">
        <v>930</v>
      </c>
      <c r="GH16" s="77">
        <v>-7008</v>
      </c>
      <c r="GI16" s="77">
        <v>-2</v>
      </c>
      <c r="GJ16" s="77">
        <v>-2849</v>
      </c>
      <c r="GK16" s="77">
        <v>2092</v>
      </c>
      <c r="GL16" s="77">
        <v>309</v>
      </c>
      <c r="GM16" s="77">
        <v>127</v>
      </c>
      <c r="GN16" s="77">
        <v>3145</v>
      </c>
      <c r="GO16" s="77">
        <v>-3403</v>
      </c>
      <c r="GP16" s="77">
        <v>-10680</v>
      </c>
      <c r="GQ16" s="77">
        <v>3760</v>
      </c>
      <c r="GR16" s="77">
        <v>2708</v>
      </c>
      <c r="GS16" s="77">
        <v>7444</v>
      </c>
      <c r="GT16" s="77">
        <v>-5159</v>
      </c>
      <c r="GU16" s="77">
        <v>1486</v>
      </c>
      <c r="GV16" s="77">
        <v>5240</v>
      </c>
      <c r="GW16" s="77">
        <v>-1219</v>
      </c>
      <c r="GX16" s="77">
        <v>-377</v>
      </c>
      <c r="GY16" s="77">
        <v>691</v>
      </c>
      <c r="GZ16" s="77">
        <v>5194</v>
      </c>
      <c r="HA16" s="77">
        <v>-1160</v>
      </c>
      <c r="HB16" s="77">
        <v>-1311</v>
      </c>
      <c r="HC16" s="77">
        <v>-2225</v>
      </c>
      <c r="HD16" s="77">
        <v>-5091</v>
      </c>
      <c r="HE16" s="77">
        <v>5571</v>
      </c>
      <c r="HF16" s="77">
        <v>2759</v>
      </c>
      <c r="HG16" s="77">
        <v>-2089</v>
      </c>
      <c r="HH16" s="77">
        <v>-1847</v>
      </c>
      <c r="HI16" s="77">
        <v>2847</v>
      </c>
      <c r="HJ16" s="77">
        <v>-841</v>
      </c>
      <c r="HK16" s="77">
        <v>1274</v>
      </c>
      <c r="HL16" s="77">
        <v>-710</v>
      </c>
      <c r="HM16" s="77">
        <v>1122</v>
      </c>
      <c r="HN16" s="77">
        <v>-1881</v>
      </c>
      <c r="HO16" s="77">
        <v>2601</v>
      </c>
      <c r="HP16" s="77">
        <v>10131</v>
      </c>
      <c r="HQ16" s="77">
        <v>-684</v>
      </c>
      <c r="HR16" s="77">
        <v>-2194</v>
      </c>
      <c r="HS16" s="77">
        <v>6249</v>
      </c>
      <c r="HT16" s="77">
        <v>11</v>
      </c>
      <c r="HU16" s="77">
        <v>-1926</v>
      </c>
      <c r="HV16" s="77">
        <v>-5727</v>
      </c>
      <c r="HW16" s="77">
        <v>2397</v>
      </c>
      <c r="HX16" s="77">
        <v>4016</v>
      </c>
      <c r="HY16" s="77">
        <v>-16495</v>
      </c>
      <c r="HZ16" s="77">
        <v>-2074</v>
      </c>
      <c r="IA16" s="77">
        <v>3708</v>
      </c>
      <c r="IB16" s="77">
        <v>3359</v>
      </c>
      <c r="IC16" s="77">
        <v>-1072</v>
      </c>
      <c r="ID16" s="77">
        <v>-17953</v>
      </c>
      <c r="IE16" s="77">
        <v>-1797</v>
      </c>
      <c r="IF16" s="77">
        <v>3355</v>
      </c>
      <c r="IG16" s="77">
        <v>7949</v>
      </c>
      <c r="IH16" s="77">
        <v>7040</v>
      </c>
      <c r="II16" s="77">
        <v>-351</v>
      </c>
      <c r="IJ16" s="77">
        <v>11386</v>
      </c>
      <c r="IK16" s="77">
        <v>-5352</v>
      </c>
      <c r="IL16" s="77">
        <v>969</v>
      </c>
      <c r="IM16" s="77">
        <v>-2059</v>
      </c>
      <c r="IN16" s="77">
        <v>-563</v>
      </c>
      <c r="IO16" s="77">
        <v>-4434</v>
      </c>
      <c r="IP16" s="77">
        <v>1374</v>
      </c>
      <c r="IQ16" s="77">
        <v>-7394</v>
      </c>
      <c r="IR16" s="77">
        <v>6659</v>
      </c>
      <c r="IS16" s="77">
        <v>14807</v>
      </c>
      <c r="IT16" s="77">
        <v>3284</v>
      </c>
      <c r="IU16" s="77">
        <v>-7777</v>
      </c>
      <c r="IV16" s="77">
        <v>-2983</v>
      </c>
      <c r="IW16" s="77">
        <v>2699</v>
      </c>
      <c r="IX16" s="77">
        <v>-7659</v>
      </c>
      <c r="IY16" s="77">
        <v>-8965</v>
      </c>
      <c r="IZ16" s="77">
        <v>-4665</v>
      </c>
      <c r="JA16" s="77">
        <v>117</v>
      </c>
      <c r="JB16" s="77">
        <v>1567</v>
      </c>
      <c r="JC16" s="77">
        <v>-1188</v>
      </c>
      <c r="JD16" s="77">
        <v>1857</v>
      </c>
      <c r="JE16" s="77">
        <v>-50</v>
      </c>
      <c r="JF16" s="77">
        <v>-2187</v>
      </c>
      <c r="JG16" s="77">
        <v>2409</v>
      </c>
      <c r="JH16" s="77">
        <v>-1208</v>
      </c>
      <c r="JI16" s="77">
        <v>5295</v>
      </c>
      <c r="JJ16" s="77">
        <v>-5506</v>
      </c>
      <c r="JK16" s="77">
        <v>-589</v>
      </c>
      <c r="JL16" s="77">
        <v>5038</v>
      </c>
      <c r="JM16" s="77">
        <v>7780</v>
      </c>
      <c r="JN16" s="77">
        <v>-8306</v>
      </c>
      <c r="JO16" s="77">
        <v>5918</v>
      </c>
      <c r="JP16" s="77">
        <v>-1250</v>
      </c>
      <c r="JQ16" s="77">
        <v>2125</v>
      </c>
      <c r="JR16" s="77">
        <v>-6742</v>
      </c>
      <c r="JS16" s="77">
        <v>6512</v>
      </c>
      <c r="JT16" s="77">
        <v>-3514</v>
      </c>
      <c r="JU16" s="77">
        <v>4835</v>
      </c>
      <c r="JV16" s="77">
        <v>191</v>
      </c>
      <c r="JW16" s="77">
        <v>-1328</v>
      </c>
      <c r="JX16" s="77">
        <v>-7277</v>
      </c>
      <c r="JY16" s="77">
        <v>3610</v>
      </c>
      <c r="JZ16" s="77">
        <v>6181</v>
      </c>
      <c r="KA16" s="77">
        <v>1570</v>
      </c>
      <c r="KB16" s="77">
        <v>4393</v>
      </c>
      <c r="KC16" s="77">
        <v>-5742</v>
      </c>
      <c r="KD16" s="77">
        <v>-5569</v>
      </c>
      <c r="KE16" s="77">
        <v>-1506</v>
      </c>
      <c r="KF16" s="77">
        <v>-2729</v>
      </c>
      <c r="KG16" s="77">
        <v>295</v>
      </c>
      <c r="KH16" s="77">
        <v>1074</v>
      </c>
      <c r="KI16" s="77">
        <v>-2726</v>
      </c>
      <c r="KJ16" s="77">
        <v>1522</v>
      </c>
      <c r="KK16" s="77">
        <v>-66</v>
      </c>
      <c r="KL16" s="77">
        <v>4437</v>
      </c>
      <c r="KM16" s="77">
        <v>-2243</v>
      </c>
      <c r="KN16" s="77">
        <v>-4634</v>
      </c>
      <c r="KO16" s="77">
        <v>2741</v>
      </c>
      <c r="KP16" s="77">
        <v>3517</v>
      </c>
      <c r="KQ16" s="77">
        <v>367</v>
      </c>
      <c r="KR16" s="77">
        <v>-944</v>
      </c>
      <c r="KS16" s="77">
        <v>1934</v>
      </c>
      <c r="KT16" s="77">
        <v>-2263</v>
      </c>
      <c r="KU16" s="77">
        <v>3068</v>
      </c>
      <c r="KV16" s="77">
        <v>9718</v>
      </c>
      <c r="KW16" s="77">
        <v>-787</v>
      </c>
      <c r="KX16" s="77">
        <v>1880</v>
      </c>
      <c r="KY16" s="77">
        <v>-673</v>
      </c>
      <c r="KZ16" s="77">
        <v>2545</v>
      </c>
      <c r="LA16" s="77">
        <v>7959</v>
      </c>
      <c r="LB16" s="77">
        <v>-1424</v>
      </c>
      <c r="LC16" s="77">
        <v>-2686</v>
      </c>
      <c r="LD16" s="77">
        <v>-6953</v>
      </c>
      <c r="LE16" s="77">
        <v>-3667</v>
      </c>
      <c r="LF16" s="77">
        <v>-2759</v>
      </c>
      <c r="LG16" s="77">
        <v>5941</v>
      </c>
      <c r="LH16" s="77">
        <v>-14610</v>
      </c>
      <c r="LI16" s="77">
        <v>2402</v>
      </c>
      <c r="LJ16" s="77">
        <v>-5348</v>
      </c>
      <c r="LK16" s="77">
        <v>2257</v>
      </c>
      <c r="LL16" s="77">
        <v>3597</v>
      </c>
      <c r="LM16" s="77">
        <v>2345</v>
      </c>
      <c r="LN16" s="77">
        <v>-4197</v>
      </c>
      <c r="LO16" s="77">
        <v>1293</v>
      </c>
      <c r="LP16" s="77">
        <v>-1479</v>
      </c>
      <c r="LQ16" s="77">
        <v>-4231</v>
      </c>
      <c r="LR16" s="77">
        <v>10840</v>
      </c>
      <c r="LS16" s="77">
        <v>878</v>
      </c>
      <c r="LT16" s="77">
        <v>-2739</v>
      </c>
      <c r="LU16" s="77">
        <v>1231</v>
      </c>
      <c r="LV16" s="77">
        <v>-5518</v>
      </c>
      <c r="LW16" s="77">
        <v>11200</v>
      </c>
      <c r="LX16" s="77">
        <v>2647</v>
      </c>
      <c r="LY16" s="77">
        <v>-1843</v>
      </c>
      <c r="LZ16" s="77">
        <v>-9560</v>
      </c>
      <c r="MA16" s="77">
        <v>-3967</v>
      </c>
      <c r="MB16" s="77">
        <v>-4114</v>
      </c>
      <c r="MC16" s="77">
        <v>-3867</v>
      </c>
      <c r="MD16" s="77">
        <v>-6617</v>
      </c>
      <c r="ME16" s="77">
        <v>62</v>
      </c>
      <c r="MF16" s="77">
        <v>7458</v>
      </c>
      <c r="MG16" s="77">
        <v>2399</v>
      </c>
      <c r="MH16" s="77">
        <v>259</v>
      </c>
      <c r="MI16" s="77">
        <v>1793</v>
      </c>
      <c r="MJ16" s="77">
        <v>-3518</v>
      </c>
      <c r="MK16" s="77">
        <v>-12205</v>
      </c>
      <c r="ML16" s="77">
        <v>5000</v>
      </c>
      <c r="MM16" s="77">
        <v>408</v>
      </c>
      <c r="MN16" s="77">
        <v>2403</v>
      </c>
      <c r="MO16" s="77">
        <v>4339</v>
      </c>
      <c r="MP16" s="77">
        <v>-10367</v>
      </c>
      <c r="MQ16" s="77">
        <v>-3158</v>
      </c>
      <c r="MR16" s="77">
        <v>6006</v>
      </c>
      <c r="MS16" s="77">
        <v>-3921</v>
      </c>
      <c r="MT16" s="77">
        <v>3881</v>
      </c>
      <c r="MU16" s="77">
        <v>786</v>
      </c>
      <c r="MV16" s="77">
        <v>-10623</v>
      </c>
      <c r="MW16" s="77">
        <v>-7168</v>
      </c>
      <c r="MX16" s="77">
        <v>-3886</v>
      </c>
      <c r="MY16" s="77">
        <v>1134</v>
      </c>
      <c r="MZ16" s="77">
        <v>-5585</v>
      </c>
      <c r="NA16" s="77">
        <v>6248</v>
      </c>
      <c r="NB16" s="77">
        <v>3183</v>
      </c>
      <c r="NC16" s="77">
        <v>-1837</v>
      </c>
      <c r="ND16" s="77">
        <v>6791</v>
      </c>
      <c r="NE16" s="77">
        <v>-2218</v>
      </c>
      <c r="NF16" s="77">
        <v>-2405</v>
      </c>
      <c r="NG16" s="77">
        <v>406</v>
      </c>
      <c r="NH16" s="77">
        <v>4685</v>
      </c>
      <c r="NI16" s="77">
        <v>-3055</v>
      </c>
      <c r="NJ16" s="77">
        <v>2672</v>
      </c>
      <c r="NK16" s="77">
        <v>-975</v>
      </c>
      <c r="NL16" s="77">
        <v>-1429</v>
      </c>
      <c r="NM16" s="77">
        <v>-2608</v>
      </c>
      <c r="NN16" s="77">
        <v>2216</v>
      </c>
      <c r="NO16" s="77">
        <v>-2874</v>
      </c>
      <c r="NP16" s="77">
        <v>-5851</v>
      </c>
      <c r="NQ16" s="77">
        <v>-961</v>
      </c>
      <c r="NR16" s="77">
        <v>-1046</v>
      </c>
      <c r="NS16" s="77">
        <v>-2981</v>
      </c>
      <c r="NT16" s="77">
        <v>558</v>
      </c>
      <c r="NU16" s="77">
        <v>-1111</v>
      </c>
      <c r="NV16" s="77">
        <v>450</v>
      </c>
    </row>
    <row r="17" spans="1:386" s="77" customFormat="1" ht="15" customHeight="1">
      <c r="A17" s="4"/>
      <c r="B17" s="4"/>
      <c r="C17" s="147" t="s">
        <v>265</v>
      </c>
      <c r="D17" s="157">
        <f>IF(V21="","",V21)/1000000</f>
        <v>-37263.740059999996</v>
      </c>
      <c r="E17" s="158">
        <f t="shared" ref="E17:O17" si="3">IF(W21="","",W21)/1000000</f>
        <v>-25492.74093</v>
      </c>
      <c r="F17" s="158">
        <f t="shared" si="3"/>
        <v>-17247.989750000001</v>
      </c>
      <c r="G17" s="158">
        <f t="shared" si="3"/>
        <v>-31154.800145000001</v>
      </c>
      <c r="H17" s="158">
        <f t="shared" si="3"/>
        <v>-28641.066914999999</v>
      </c>
      <c r="I17" s="158">
        <f t="shared" si="3"/>
        <v>-16595.408230000001</v>
      </c>
      <c r="J17" s="158">
        <f t="shared" si="3"/>
        <v>-59598.799129999999</v>
      </c>
      <c r="K17" s="158">
        <f t="shared" si="3"/>
        <v>453.97945499999997</v>
      </c>
      <c r="L17" s="158">
        <f t="shared" si="3"/>
        <v>-19188.433209999999</v>
      </c>
      <c r="M17" s="158">
        <f t="shared" si="3"/>
        <v>-5360.2109399999999</v>
      </c>
      <c r="N17" s="158">
        <f t="shared" si="3"/>
        <v>1881.6640500000001</v>
      </c>
      <c r="O17" s="159">
        <f t="shared" si="3"/>
        <v>-4328.9414150000002</v>
      </c>
      <c r="P17"/>
      <c r="Q17"/>
      <c r="R17" s="4"/>
      <c r="S17" s="4"/>
      <c r="U17" s="80" t="s">
        <v>258</v>
      </c>
      <c r="V17" s="77">
        <v>-283</v>
      </c>
      <c r="W17" s="77">
        <v>4290</v>
      </c>
      <c r="X17" s="77">
        <v>413</v>
      </c>
      <c r="Y17" s="77">
        <v>-1655</v>
      </c>
      <c r="Z17" s="77">
        <v>1312</v>
      </c>
      <c r="AA17" s="77">
        <v>-1751</v>
      </c>
      <c r="AB17" s="77">
        <v>-1199</v>
      </c>
      <c r="AC17" s="77">
        <v>-780</v>
      </c>
      <c r="AD17" s="77">
        <v>618</v>
      </c>
      <c r="AE17" s="77">
        <v>3524</v>
      </c>
      <c r="AF17" s="77">
        <v>14894</v>
      </c>
      <c r="AG17" s="77">
        <v>-7717</v>
      </c>
      <c r="AH17" s="77">
        <v>22</v>
      </c>
      <c r="AI17" s="77">
        <v>614</v>
      </c>
      <c r="AJ17" s="77">
        <v>-2000</v>
      </c>
      <c r="AK17" s="77">
        <v>2291</v>
      </c>
      <c r="AL17" s="77">
        <v>402</v>
      </c>
      <c r="AM17" s="77">
        <v>797</v>
      </c>
      <c r="AN17" s="77">
        <v>-962</v>
      </c>
      <c r="AO17" s="77">
        <v>310</v>
      </c>
      <c r="AP17" s="77">
        <v>2973</v>
      </c>
      <c r="AQ17" s="77">
        <v>3694</v>
      </c>
      <c r="AR17" s="77">
        <v>809</v>
      </c>
      <c r="AS17" s="77">
        <v>-4318</v>
      </c>
      <c r="AT17" s="77">
        <v>-4147</v>
      </c>
      <c r="AU17" s="77">
        <v>221</v>
      </c>
      <c r="AV17" s="77">
        <v>-6538</v>
      </c>
      <c r="AW17" s="77">
        <v>-3148</v>
      </c>
      <c r="AX17" s="77">
        <v>6480</v>
      </c>
      <c r="AY17" s="77">
        <v>-114</v>
      </c>
      <c r="AZ17" s="77">
        <v>5842</v>
      </c>
      <c r="BA17" s="77">
        <v>6290</v>
      </c>
      <c r="BB17" s="77">
        <v>-6768</v>
      </c>
      <c r="BC17" s="77">
        <v>-4014</v>
      </c>
      <c r="BD17" s="77">
        <v>663</v>
      </c>
      <c r="BE17" s="77">
        <v>4432</v>
      </c>
      <c r="BF17" s="77">
        <v>2095</v>
      </c>
      <c r="BG17" s="77">
        <v>-4018</v>
      </c>
      <c r="BH17" s="77">
        <v>3995</v>
      </c>
      <c r="BI17" s="77">
        <v>-5390</v>
      </c>
      <c r="BJ17" s="77">
        <v>4085</v>
      </c>
      <c r="BK17" s="77">
        <v>359</v>
      </c>
      <c r="BL17" s="77">
        <v>2884</v>
      </c>
      <c r="BM17" s="77">
        <v>-3018</v>
      </c>
      <c r="BN17" s="77">
        <v>-40</v>
      </c>
      <c r="BO17" s="77">
        <v>372</v>
      </c>
      <c r="BP17" s="77">
        <v>1055</v>
      </c>
      <c r="BQ17" s="77">
        <v>6494</v>
      </c>
      <c r="BR17" s="77">
        <v>-5687</v>
      </c>
      <c r="BS17" s="77">
        <v>-2229</v>
      </c>
      <c r="BT17" s="77">
        <v>-1253</v>
      </c>
      <c r="BU17" s="77">
        <v>811</v>
      </c>
      <c r="BV17" s="77">
        <v>-4895</v>
      </c>
      <c r="BW17" s="77">
        <v>813</v>
      </c>
      <c r="BX17" s="77">
        <v>5209</v>
      </c>
      <c r="BY17" s="77">
        <v>-3008</v>
      </c>
      <c r="BZ17" s="77">
        <v>-1905</v>
      </c>
      <c r="CA17" s="77">
        <v>3241</v>
      </c>
      <c r="CB17" s="77">
        <v>2195</v>
      </c>
      <c r="CC17" s="77">
        <v>1120</v>
      </c>
      <c r="CD17" s="77">
        <v>-216</v>
      </c>
      <c r="CE17" s="77">
        <v>-4262</v>
      </c>
      <c r="CF17" s="77">
        <v>-414</v>
      </c>
      <c r="CG17" s="77">
        <v>-2451</v>
      </c>
      <c r="CH17" s="77">
        <v>1096</v>
      </c>
      <c r="CI17" s="77">
        <v>-4798</v>
      </c>
      <c r="CJ17" s="77">
        <v>-1197</v>
      </c>
      <c r="CK17" s="77">
        <v>2857</v>
      </c>
      <c r="CL17" s="77">
        <v>3806</v>
      </c>
      <c r="CM17" s="77">
        <v>458</v>
      </c>
      <c r="CN17" s="77">
        <v>-4204</v>
      </c>
      <c r="CO17" s="77">
        <v>842</v>
      </c>
      <c r="CP17" s="77">
        <v>3835</v>
      </c>
      <c r="CQ17" s="77">
        <v>-5968</v>
      </c>
      <c r="CR17" s="77">
        <v>1329</v>
      </c>
      <c r="CS17" s="77">
        <v>-1661</v>
      </c>
      <c r="CT17" s="77">
        <v>-739</v>
      </c>
      <c r="CU17" s="77">
        <v>-1186</v>
      </c>
      <c r="CV17" s="77">
        <v>630</v>
      </c>
      <c r="CW17" s="77">
        <v>1805</v>
      </c>
      <c r="CX17" s="77">
        <v>1171</v>
      </c>
      <c r="CY17" s="77">
        <v>-1793</v>
      </c>
      <c r="CZ17" s="77">
        <v>1542</v>
      </c>
      <c r="DA17" s="77">
        <v>-6</v>
      </c>
      <c r="DB17" s="77">
        <v>5679</v>
      </c>
      <c r="DC17" s="77">
        <v>-860</v>
      </c>
      <c r="DD17" s="77">
        <v>-1006</v>
      </c>
      <c r="DE17" s="77">
        <v>-3237</v>
      </c>
      <c r="DF17" s="77">
        <v>-749</v>
      </c>
      <c r="DG17" s="77">
        <v>-3532</v>
      </c>
      <c r="DH17" s="77">
        <v>9192</v>
      </c>
      <c r="DI17" s="77">
        <v>-2444</v>
      </c>
      <c r="DJ17" s="77">
        <v>-2974</v>
      </c>
      <c r="DK17" s="77">
        <v>3550</v>
      </c>
      <c r="DL17" s="77">
        <v>-1941</v>
      </c>
      <c r="DM17" s="77">
        <v>-1736</v>
      </c>
      <c r="DN17" s="77">
        <v>522</v>
      </c>
      <c r="DO17" s="77">
        <v>-2665</v>
      </c>
      <c r="DP17" s="77">
        <v>438</v>
      </c>
      <c r="DQ17" s="77">
        <v>3638</v>
      </c>
      <c r="DR17" s="77">
        <v>247</v>
      </c>
      <c r="DS17" s="77">
        <v>-1979</v>
      </c>
      <c r="DT17" s="77">
        <v>-2137</v>
      </c>
      <c r="DU17" s="77">
        <v>2401</v>
      </c>
      <c r="DV17" s="77">
        <v>-437</v>
      </c>
      <c r="DW17" s="77">
        <v>-2804</v>
      </c>
      <c r="DX17" s="77">
        <v>-2025</v>
      </c>
      <c r="DY17" s="77">
        <v>4919</v>
      </c>
      <c r="DZ17" s="77">
        <v>-1390</v>
      </c>
      <c r="EA17" s="77">
        <v>-1308</v>
      </c>
      <c r="EB17" s="77">
        <v>1080</v>
      </c>
      <c r="EC17" s="77">
        <v>3479</v>
      </c>
      <c r="ED17" s="77">
        <v>1965</v>
      </c>
      <c r="EE17" s="77">
        <v>260</v>
      </c>
      <c r="EF17" s="77">
        <v>-661</v>
      </c>
      <c r="EG17" s="77">
        <v>2265</v>
      </c>
      <c r="EH17" s="77">
        <v>-2101</v>
      </c>
      <c r="EI17" s="77">
        <v>-164</v>
      </c>
      <c r="EJ17" s="77">
        <v>1187</v>
      </c>
      <c r="EK17" s="77">
        <v>-1780</v>
      </c>
      <c r="EL17" s="77">
        <v>3495</v>
      </c>
      <c r="EM17" s="77">
        <v>866</v>
      </c>
      <c r="EN17" s="77">
        <v>-1360</v>
      </c>
      <c r="EO17" s="77">
        <v>-396</v>
      </c>
      <c r="EP17" s="77">
        <v>-4117</v>
      </c>
      <c r="EQ17" s="77">
        <v>4271</v>
      </c>
      <c r="ER17" s="77">
        <v>-182</v>
      </c>
      <c r="ES17" s="77">
        <v>-1268</v>
      </c>
      <c r="ET17" s="77">
        <v>-2609</v>
      </c>
      <c r="EU17" s="77">
        <v>1117</v>
      </c>
      <c r="EV17" s="77">
        <v>-873</v>
      </c>
      <c r="EW17" s="77">
        <v>-1604</v>
      </c>
      <c r="EX17" s="77">
        <v>-513</v>
      </c>
      <c r="EY17" s="77">
        <v>-423</v>
      </c>
      <c r="EZ17" s="77">
        <v>2282</v>
      </c>
      <c r="FA17" s="77">
        <v>-2230</v>
      </c>
      <c r="FB17" s="77">
        <v>1268</v>
      </c>
      <c r="FC17" s="77">
        <v>3239</v>
      </c>
      <c r="FD17" s="77">
        <v>32</v>
      </c>
      <c r="FE17" s="77">
        <v>623</v>
      </c>
      <c r="FF17" s="77">
        <v>-2219</v>
      </c>
      <c r="FG17" s="77">
        <v>647</v>
      </c>
      <c r="FH17" s="77">
        <v>656</v>
      </c>
      <c r="FI17" s="77">
        <v>1466</v>
      </c>
      <c r="FJ17" s="77">
        <v>606</v>
      </c>
      <c r="FK17" s="77">
        <v>-1013</v>
      </c>
      <c r="FL17" s="77">
        <v>-206</v>
      </c>
      <c r="FM17" s="77">
        <v>656</v>
      </c>
      <c r="FN17" s="77">
        <v>785</v>
      </c>
      <c r="FO17" s="77">
        <v>2115</v>
      </c>
      <c r="FP17" s="77">
        <v>182</v>
      </c>
      <c r="FQ17" s="77">
        <v>-1001</v>
      </c>
      <c r="FR17" s="77">
        <v>-1401</v>
      </c>
      <c r="FS17" s="77">
        <v>-1844</v>
      </c>
      <c r="FT17" s="77">
        <v>-3249</v>
      </c>
      <c r="FU17" s="77">
        <v>-1196</v>
      </c>
      <c r="FV17" s="77">
        <v>4943</v>
      </c>
      <c r="FW17" s="77">
        <v>2872</v>
      </c>
      <c r="FX17" s="77">
        <v>-1174</v>
      </c>
      <c r="FY17" s="77">
        <v>-2081</v>
      </c>
      <c r="FZ17" s="77">
        <v>3045</v>
      </c>
      <c r="GA17" s="77">
        <v>-5577</v>
      </c>
      <c r="GB17" s="77">
        <v>1693</v>
      </c>
      <c r="GC17" s="77">
        <v>118</v>
      </c>
      <c r="GD17" s="77">
        <v>229</v>
      </c>
      <c r="GE17" s="77">
        <v>-2793</v>
      </c>
      <c r="GF17" s="77">
        <v>1675</v>
      </c>
      <c r="GG17" s="77">
        <v>-110</v>
      </c>
      <c r="GH17" s="77">
        <v>124</v>
      </c>
      <c r="GI17" s="77">
        <v>2453</v>
      </c>
      <c r="GJ17" s="77">
        <v>-1370</v>
      </c>
      <c r="GK17" s="77">
        <v>-3106</v>
      </c>
      <c r="GL17" s="77">
        <v>-347</v>
      </c>
      <c r="GM17" s="77">
        <v>1197</v>
      </c>
      <c r="GN17" s="77">
        <v>-1351</v>
      </c>
      <c r="GO17" s="77">
        <v>4112</v>
      </c>
      <c r="GP17" s="77">
        <v>4286</v>
      </c>
      <c r="GQ17" s="77">
        <v>-1587</v>
      </c>
      <c r="GR17" s="77">
        <v>-2071</v>
      </c>
      <c r="GS17" s="77">
        <v>-1975</v>
      </c>
      <c r="GT17" s="77">
        <v>3667</v>
      </c>
      <c r="GU17" s="77">
        <v>-2592</v>
      </c>
      <c r="GV17" s="77">
        <v>-4624</v>
      </c>
      <c r="GW17" s="77">
        <v>1834</v>
      </c>
      <c r="GX17" s="77">
        <v>1677</v>
      </c>
      <c r="GY17" s="77">
        <v>2159</v>
      </c>
      <c r="GZ17" s="77">
        <v>415</v>
      </c>
      <c r="HA17" s="77">
        <v>-1080</v>
      </c>
      <c r="HB17" s="77">
        <v>1995</v>
      </c>
      <c r="HC17" s="77">
        <v>842</v>
      </c>
      <c r="HD17" s="77">
        <v>-1458</v>
      </c>
      <c r="HE17" s="77">
        <v>4054</v>
      </c>
      <c r="HF17" s="77">
        <v>-231</v>
      </c>
      <c r="HG17" s="77">
        <v>1232</v>
      </c>
      <c r="HH17" s="77">
        <v>-1260</v>
      </c>
      <c r="HI17" s="77">
        <v>-2673</v>
      </c>
      <c r="HJ17" s="77">
        <v>1930</v>
      </c>
      <c r="HK17" s="77">
        <v>-1394</v>
      </c>
      <c r="HL17" s="77">
        <v>971</v>
      </c>
      <c r="HM17" s="77">
        <v>-4088</v>
      </c>
      <c r="HN17" s="77">
        <v>5629</v>
      </c>
      <c r="HO17" s="77">
        <v>-3145</v>
      </c>
      <c r="HP17" s="77">
        <v>-5918</v>
      </c>
      <c r="HQ17" s="77">
        <v>1911</v>
      </c>
      <c r="HR17" s="77">
        <v>28</v>
      </c>
      <c r="HS17" s="77">
        <v>-1090</v>
      </c>
      <c r="HT17" s="77">
        <v>715</v>
      </c>
      <c r="HU17" s="77">
        <v>1671</v>
      </c>
      <c r="HV17" s="77">
        <v>631</v>
      </c>
      <c r="HW17" s="77">
        <v>937</v>
      </c>
      <c r="HX17" s="77">
        <v>-6653</v>
      </c>
      <c r="HY17" s="77">
        <v>8521</v>
      </c>
      <c r="HZ17" s="77">
        <v>-1599</v>
      </c>
      <c r="IA17" s="77">
        <v>-1422</v>
      </c>
      <c r="IB17" s="77">
        <v>873</v>
      </c>
      <c r="IC17" s="77">
        <v>201</v>
      </c>
      <c r="ID17" s="77">
        <v>5002</v>
      </c>
      <c r="IE17" s="77">
        <v>-1665</v>
      </c>
      <c r="IF17" s="77">
        <v>3129</v>
      </c>
      <c r="IG17" s="77">
        <v>-4381</v>
      </c>
      <c r="IH17" s="77">
        <v>-875</v>
      </c>
      <c r="II17" s="77">
        <v>-520</v>
      </c>
      <c r="IJ17" s="77">
        <v>-2615</v>
      </c>
      <c r="IK17" s="77">
        <v>2796</v>
      </c>
      <c r="IL17" s="77">
        <v>1540</v>
      </c>
      <c r="IM17" s="77">
        <v>1053</v>
      </c>
      <c r="IN17" s="77">
        <v>618</v>
      </c>
      <c r="IO17" s="77">
        <v>1658</v>
      </c>
      <c r="IP17" s="77">
        <v>-1741</v>
      </c>
      <c r="IQ17" s="77">
        <v>3328</v>
      </c>
      <c r="IR17" s="77">
        <v>-1468</v>
      </c>
      <c r="IS17" s="77">
        <v>-7767</v>
      </c>
      <c r="IT17" s="77">
        <v>-2118</v>
      </c>
      <c r="IU17" s="77">
        <v>3402</v>
      </c>
      <c r="IV17" s="77">
        <v>1449</v>
      </c>
      <c r="IW17" s="77">
        <v>1020</v>
      </c>
      <c r="IX17" s="77">
        <v>900</v>
      </c>
      <c r="IY17" s="77">
        <v>3115</v>
      </c>
      <c r="IZ17" s="77">
        <v>1982</v>
      </c>
      <c r="JA17" s="77">
        <v>-538</v>
      </c>
      <c r="JB17" s="77">
        <v>920</v>
      </c>
      <c r="JC17" s="77">
        <v>719</v>
      </c>
      <c r="JD17" s="77">
        <v>-1983</v>
      </c>
      <c r="JE17" s="77">
        <v>-548</v>
      </c>
      <c r="JF17" s="77">
        <v>1760</v>
      </c>
      <c r="JG17" s="77">
        <v>100</v>
      </c>
      <c r="JH17" s="77">
        <v>1033</v>
      </c>
      <c r="JI17" s="77">
        <v>-1826</v>
      </c>
      <c r="JJ17" s="77">
        <v>3710</v>
      </c>
      <c r="JK17" s="77">
        <v>150</v>
      </c>
      <c r="JL17" s="77">
        <v>-1354</v>
      </c>
      <c r="JM17" s="77">
        <v>-3955</v>
      </c>
      <c r="JN17" s="77">
        <v>4208</v>
      </c>
      <c r="JO17" s="77">
        <v>-2603</v>
      </c>
      <c r="JP17" s="77">
        <v>-956</v>
      </c>
      <c r="JQ17" s="77">
        <v>51</v>
      </c>
      <c r="JR17" s="77">
        <v>1939</v>
      </c>
      <c r="JS17" s="77">
        <v>-3519</v>
      </c>
      <c r="JT17" s="77">
        <v>1380</v>
      </c>
      <c r="JU17" s="77">
        <v>-2434</v>
      </c>
      <c r="JV17" s="77">
        <v>1033</v>
      </c>
      <c r="JW17" s="77">
        <v>-203</v>
      </c>
      <c r="JX17" s="77">
        <v>1493</v>
      </c>
      <c r="JY17" s="77">
        <v>-3134</v>
      </c>
      <c r="JZ17" s="77">
        <v>-1929</v>
      </c>
      <c r="KA17" s="77">
        <v>-496</v>
      </c>
      <c r="KB17" s="77">
        <v>-1155</v>
      </c>
      <c r="KC17" s="77">
        <v>-1318</v>
      </c>
      <c r="KD17" s="77">
        <v>2172</v>
      </c>
      <c r="KE17" s="77">
        <v>-3012</v>
      </c>
      <c r="KF17" s="77">
        <v>571</v>
      </c>
      <c r="KG17" s="77">
        <v>2319</v>
      </c>
      <c r="KH17" s="77">
        <v>2041</v>
      </c>
      <c r="KI17" s="77">
        <v>301</v>
      </c>
      <c r="KJ17" s="77">
        <v>-2</v>
      </c>
      <c r="KK17" s="77">
        <v>-1127</v>
      </c>
      <c r="KL17" s="77">
        <v>-990</v>
      </c>
      <c r="KM17" s="77">
        <v>-352</v>
      </c>
      <c r="KN17" s="77">
        <v>3432</v>
      </c>
      <c r="KO17" s="77">
        <v>-1735</v>
      </c>
      <c r="KP17" s="77">
        <v>-3169</v>
      </c>
      <c r="KQ17" s="77">
        <v>2129</v>
      </c>
      <c r="KR17" s="77">
        <v>1535</v>
      </c>
      <c r="KS17" s="77">
        <v>-2169</v>
      </c>
      <c r="KT17" s="77">
        <v>-1194</v>
      </c>
      <c r="KU17" s="77">
        <v>814</v>
      </c>
      <c r="KV17" s="77">
        <v>-3169</v>
      </c>
      <c r="KW17" s="77">
        <v>-492</v>
      </c>
      <c r="KX17" s="77">
        <v>14</v>
      </c>
      <c r="KY17" s="77">
        <v>2818</v>
      </c>
      <c r="KZ17" s="77">
        <v>-2530</v>
      </c>
      <c r="LA17" s="77">
        <v>-6362</v>
      </c>
      <c r="LB17" s="77">
        <v>300</v>
      </c>
      <c r="LC17" s="77">
        <v>1648</v>
      </c>
      <c r="LD17" s="77">
        <v>3698</v>
      </c>
      <c r="LE17" s="77">
        <v>3212</v>
      </c>
      <c r="LF17" s="77">
        <v>-647</v>
      </c>
      <c r="LG17" s="77">
        <v>-4186</v>
      </c>
      <c r="LH17" s="77">
        <v>7395</v>
      </c>
      <c r="LI17" s="77">
        <v>-2403</v>
      </c>
      <c r="LJ17" s="77">
        <v>4619</v>
      </c>
      <c r="LK17" s="77">
        <v>65</v>
      </c>
      <c r="LL17" s="77">
        <v>-3730</v>
      </c>
      <c r="LM17" s="77">
        <v>-3129</v>
      </c>
      <c r="LN17" s="77">
        <v>1748</v>
      </c>
      <c r="LO17" s="77">
        <v>-2833</v>
      </c>
      <c r="LP17" s="77">
        <v>3604</v>
      </c>
      <c r="LQ17" s="77">
        <v>3024</v>
      </c>
      <c r="LR17" s="77">
        <v>-4720</v>
      </c>
      <c r="LS17" s="77">
        <v>-1253</v>
      </c>
      <c r="LT17" s="77">
        <v>834</v>
      </c>
      <c r="LU17" s="77">
        <v>-1479</v>
      </c>
      <c r="LV17" s="77">
        <v>3848</v>
      </c>
      <c r="LW17" s="77">
        <v>-7891</v>
      </c>
      <c r="LX17" s="77">
        <v>3157</v>
      </c>
      <c r="LY17" s="77">
        <v>-157</v>
      </c>
      <c r="LZ17" s="77">
        <v>2140</v>
      </c>
      <c r="MA17" s="77">
        <v>2639</v>
      </c>
      <c r="MB17" s="77">
        <v>338</v>
      </c>
      <c r="MC17" s="77">
        <v>1335</v>
      </c>
      <c r="MD17" s="77">
        <v>3801</v>
      </c>
      <c r="ME17" s="77">
        <v>1955</v>
      </c>
      <c r="MF17" s="77">
        <v>-4411</v>
      </c>
      <c r="MG17" s="77">
        <v>-2872</v>
      </c>
      <c r="MH17" s="77">
        <v>-90</v>
      </c>
      <c r="MI17" s="77">
        <v>-652</v>
      </c>
      <c r="MJ17" s="77">
        <v>894</v>
      </c>
      <c r="MK17" s="77">
        <v>4762</v>
      </c>
      <c r="ML17" s="77">
        <v>-1494</v>
      </c>
      <c r="MM17" s="77">
        <v>-490</v>
      </c>
      <c r="MN17" s="77">
        <v>27</v>
      </c>
      <c r="MO17" s="77">
        <v>-3845</v>
      </c>
      <c r="MP17" s="77">
        <v>1473</v>
      </c>
      <c r="MQ17" s="77">
        <v>732</v>
      </c>
      <c r="MR17" s="77">
        <v>-1757</v>
      </c>
      <c r="MS17" s="77">
        <v>2026</v>
      </c>
      <c r="MT17" s="77">
        <v>-1341</v>
      </c>
      <c r="MU17" s="77">
        <v>-1499</v>
      </c>
      <c r="MV17" s="77">
        <v>5286</v>
      </c>
      <c r="MW17" s="77">
        <v>2609</v>
      </c>
      <c r="MX17" s="77">
        <v>-36</v>
      </c>
      <c r="MY17" s="77">
        <v>-1039</v>
      </c>
      <c r="MZ17" s="77">
        <v>2481</v>
      </c>
      <c r="NA17" s="77">
        <v>-1436</v>
      </c>
      <c r="NB17" s="77">
        <v>-1372</v>
      </c>
      <c r="NC17" s="77">
        <v>2202</v>
      </c>
      <c r="ND17" s="77">
        <v>-3407</v>
      </c>
      <c r="NE17" s="77">
        <v>-612</v>
      </c>
      <c r="NF17" s="77">
        <v>1602</v>
      </c>
      <c r="NG17" s="77">
        <v>-1043</v>
      </c>
      <c r="NH17" s="77">
        <v>-1984</v>
      </c>
      <c r="NI17" s="77">
        <v>1707</v>
      </c>
      <c r="NJ17" s="77">
        <v>-1497</v>
      </c>
      <c r="NK17" s="77">
        <v>728</v>
      </c>
      <c r="NL17" s="77">
        <v>-3179</v>
      </c>
      <c r="NM17" s="77">
        <v>2711</v>
      </c>
      <c r="NN17" s="77">
        <v>-204</v>
      </c>
      <c r="NO17" s="77">
        <v>1151</v>
      </c>
      <c r="NP17" s="77">
        <v>-2456</v>
      </c>
      <c r="NQ17" s="77">
        <v>314</v>
      </c>
      <c r="NR17" s="77">
        <v>-1113</v>
      </c>
      <c r="NS17" s="77">
        <v>3390</v>
      </c>
      <c r="NT17" s="77">
        <v>-2741</v>
      </c>
      <c r="NU17" s="77">
        <v>3067</v>
      </c>
      <c r="NV17" s="77">
        <v>-17</v>
      </c>
    </row>
    <row r="18" spans="1:386" s="77" customFormat="1" ht="15" customHeight="1">
      <c r="A18" s="4"/>
      <c r="B18" s="4"/>
      <c r="C18" s="147" t="s">
        <v>264</v>
      </c>
      <c r="D18" s="157">
        <f>IF(V22="","",V22)/1000000</f>
        <v>176066.44570400001</v>
      </c>
      <c r="E18" s="158">
        <f t="shared" ref="E18:O18" si="4">IF(W22="","",W22)/1000000</f>
        <v>114973.640312</v>
      </c>
      <c r="F18" s="158">
        <f t="shared" si="4"/>
        <v>-44126.760783999998</v>
      </c>
      <c r="G18" s="158">
        <f t="shared" si="4"/>
        <v>-88764.899640999996</v>
      </c>
      <c r="H18" s="158">
        <f t="shared" si="4"/>
        <v>-307876.55979199999</v>
      </c>
      <c r="I18" s="158">
        <f t="shared" si="4"/>
        <v>34264.678012999997</v>
      </c>
      <c r="J18" s="158">
        <f t="shared" si="4"/>
        <v>-109256.26276899999</v>
      </c>
      <c r="K18" s="158">
        <f t="shared" si="4"/>
        <v>184138.93406299999</v>
      </c>
      <c r="L18" s="158">
        <f t="shared" si="4"/>
        <v>-270009.29419799999</v>
      </c>
      <c r="M18" s="158">
        <f t="shared" si="4"/>
        <v>-116551.979624</v>
      </c>
      <c r="N18" s="158">
        <f t="shared" si="4"/>
        <v>-208004.49086300001</v>
      </c>
      <c r="O18" s="159">
        <f t="shared" si="4"/>
        <v>216151.44636999999</v>
      </c>
      <c r="P18"/>
      <c r="Q18"/>
      <c r="R18" s="4"/>
      <c r="S18" s="4"/>
      <c r="U18" s="80" t="s">
        <v>267</v>
      </c>
      <c r="V18" s="82">
        <v>4810</v>
      </c>
      <c r="W18" s="82">
        <v>3869</v>
      </c>
      <c r="X18" s="82">
        <v>3048</v>
      </c>
      <c r="Y18" s="82">
        <v>-830</v>
      </c>
      <c r="Z18" s="82">
        <v>7296</v>
      </c>
      <c r="AA18" s="82">
        <v>-6054</v>
      </c>
      <c r="AB18" s="82">
        <v>2692</v>
      </c>
      <c r="AC18" s="82">
        <v>-2467</v>
      </c>
      <c r="AD18" s="82">
        <v>4970</v>
      </c>
      <c r="AE18" s="82">
        <v>12329</v>
      </c>
      <c r="AF18" s="82">
        <v>6468</v>
      </c>
      <c r="AG18" s="82">
        <v>-10957</v>
      </c>
      <c r="AH18" s="82">
        <v>-329</v>
      </c>
      <c r="AI18" s="82">
        <v>3990</v>
      </c>
      <c r="AJ18" s="82">
        <v>-5601</v>
      </c>
      <c r="AK18" s="77">
        <v>1144</v>
      </c>
      <c r="AL18" s="77">
        <v>2402</v>
      </c>
      <c r="AM18" s="77">
        <v>-666</v>
      </c>
      <c r="AN18" s="77">
        <v>-477</v>
      </c>
      <c r="AO18" s="77">
        <v>-3634</v>
      </c>
      <c r="AP18" s="77">
        <v>3455</v>
      </c>
      <c r="AQ18" s="77">
        <v>5971</v>
      </c>
      <c r="AR18" s="77">
        <v>-2248</v>
      </c>
      <c r="AS18" s="77">
        <v>-8078</v>
      </c>
      <c r="AT18" s="77">
        <v>-8158</v>
      </c>
      <c r="AU18" s="77">
        <v>-579</v>
      </c>
      <c r="AV18" s="77">
        <v>1145</v>
      </c>
      <c r="AW18" s="77">
        <v>-3332</v>
      </c>
      <c r="AX18" s="77">
        <v>6965</v>
      </c>
      <c r="AY18" s="77">
        <v>884</v>
      </c>
      <c r="AZ18" s="77">
        <v>7314</v>
      </c>
      <c r="BA18" s="77">
        <v>3676</v>
      </c>
      <c r="BB18" s="77">
        <v>-846</v>
      </c>
      <c r="BC18" s="77">
        <v>-484</v>
      </c>
      <c r="BD18" s="77">
        <v>-5525</v>
      </c>
      <c r="BE18" s="77">
        <v>12390</v>
      </c>
      <c r="BF18" s="77">
        <v>7355</v>
      </c>
      <c r="BG18" s="77">
        <v>-4074</v>
      </c>
      <c r="BH18" s="77">
        <v>4759</v>
      </c>
      <c r="BI18" s="77">
        <v>-1704</v>
      </c>
      <c r="BJ18" s="77">
        <v>6519</v>
      </c>
      <c r="BK18" s="77">
        <v>670</v>
      </c>
      <c r="BL18" s="77">
        <v>-1385</v>
      </c>
      <c r="BM18" s="77">
        <v>261</v>
      </c>
      <c r="BN18" s="77">
        <v>-3790</v>
      </c>
      <c r="BO18" s="77">
        <v>-4961</v>
      </c>
      <c r="BP18" s="77">
        <v>-873</v>
      </c>
      <c r="BQ18" s="77">
        <v>1729</v>
      </c>
      <c r="BR18" s="77">
        <v>2492</v>
      </c>
      <c r="BS18" s="77">
        <v>-5084</v>
      </c>
      <c r="BT18" s="77">
        <v>-4565</v>
      </c>
      <c r="BU18" s="77">
        <v>-3301</v>
      </c>
      <c r="BV18" s="77">
        <v>-93</v>
      </c>
      <c r="BW18" s="77">
        <v>936</v>
      </c>
      <c r="BX18" s="77">
        <v>-576</v>
      </c>
      <c r="BY18" s="77">
        <v>-118</v>
      </c>
      <c r="BZ18" s="77">
        <v>-261</v>
      </c>
      <c r="CA18" s="77">
        <v>3293</v>
      </c>
      <c r="CB18" s="77">
        <v>-3600</v>
      </c>
      <c r="CC18" s="77">
        <v>-1211</v>
      </c>
      <c r="CD18" s="77">
        <v>-954</v>
      </c>
      <c r="CE18" s="77">
        <v>-636</v>
      </c>
      <c r="CF18" s="77">
        <v>627</v>
      </c>
      <c r="CG18" s="77">
        <v>-3030</v>
      </c>
      <c r="CH18" s="77">
        <v>2187</v>
      </c>
      <c r="CI18" s="77">
        <v>-1162</v>
      </c>
      <c r="CJ18" s="77">
        <v>2147</v>
      </c>
      <c r="CK18" s="77">
        <v>-1217</v>
      </c>
      <c r="CL18" s="77">
        <v>-375</v>
      </c>
      <c r="CM18" s="77">
        <v>5988</v>
      </c>
      <c r="CN18" s="77">
        <v>-6616</v>
      </c>
      <c r="CO18" s="77">
        <v>289</v>
      </c>
      <c r="CP18" s="77">
        <v>7317</v>
      </c>
      <c r="CQ18" s="77">
        <v>-4960</v>
      </c>
      <c r="CR18" s="77">
        <v>4773</v>
      </c>
      <c r="CS18" s="77">
        <v>7374</v>
      </c>
      <c r="CT18" s="77">
        <v>3449</v>
      </c>
      <c r="CU18" s="77">
        <v>10232</v>
      </c>
      <c r="CV18" s="77">
        <v>-1586</v>
      </c>
      <c r="CW18" s="77">
        <v>-988</v>
      </c>
      <c r="CX18" s="77">
        <v>-1749</v>
      </c>
      <c r="CY18" s="77">
        <v>-4176</v>
      </c>
      <c r="CZ18" s="77">
        <v>2282</v>
      </c>
      <c r="DA18" s="77">
        <v>-354</v>
      </c>
      <c r="DB18" s="77">
        <v>-4164</v>
      </c>
      <c r="DC18" s="77">
        <v>-26</v>
      </c>
      <c r="DD18" s="77">
        <v>-8811</v>
      </c>
      <c r="DE18" s="77">
        <v>-1460</v>
      </c>
      <c r="DF18" s="77">
        <v>-3423</v>
      </c>
      <c r="DG18" s="77">
        <v>-6459</v>
      </c>
      <c r="DH18" s="77">
        <v>13347</v>
      </c>
      <c r="DI18" s="77">
        <v>-5003</v>
      </c>
      <c r="DJ18" s="77">
        <v>-5001</v>
      </c>
      <c r="DK18" s="77">
        <v>10207</v>
      </c>
      <c r="DL18" s="77">
        <v>-7090</v>
      </c>
      <c r="DM18" s="77">
        <v>-7521</v>
      </c>
      <c r="DN18" s="77">
        <v>4080</v>
      </c>
      <c r="DO18" s="77">
        <v>-5304</v>
      </c>
      <c r="DP18" s="77">
        <v>2516</v>
      </c>
      <c r="DQ18" s="77">
        <v>4695</v>
      </c>
      <c r="DR18" s="77">
        <v>-576</v>
      </c>
      <c r="DS18" s="77">
        <v>-1809</v>
      </c>
      <c r="DT18" s="77">
        <v>340</v>
      </c>
      <c r="DU18" s="77">
        <v>314</v>
      </c>
      <c r="DV18" s="77">
        <v>-60</v>
      </c>
      <c r="DW18" s="77">
        <v>773</v>
      </c>
      <c r="DX18" s="77">
        <v>-4663</v>
      </c>
      <c r="DY18" s="77">
        <v>13136</v>
      </c>
      <c r="DZ18" s="77">
        <v>5206</v>
      </c>
      <c r="EA18" s="77">
        <v>1329</v>
      </c>
      <c r="EB18" s="77">
        <v>-3096</v>
      </c>
      <c r="EC18" s="77">
        <v>502</v>
      </c>
      <c r="ED18" s="77">
        <v>-118</v>
      </c>
      <c r="EE18" s="77">
        <v>-801</v>
      </c>
      <c r="EF18" s="77">
        <v>3161</v>
      </c>
      <c r="EG18" s="77">
        <v>-11</v>
      </c>
      <c r="EH18" s="77">
        <v>-4595</v>
      </c>
      <c r="EI18" s="77">
        <v>2214</v>
      </c>
      <c r="EJ18" s="77">
        <v>940</v>
      </c>
      <c r="EK18" s="77">
        <v>-3239</v>
      </c>
      <c r="EL18" s="77">
        <v>734</v>
      </c>
      <c r="EM18" s="77">
        <v>1794</v>
      </c>
      <c r="EN18" s="77">
        <v>2913</v>
      </c>
      <c r="EO18" s="77">
        <v>-695</v>
      </c>
      <c r="EP18" s="77">
        <v>-7130</v>
      </c>
      <c r="EQ18" s="77">
        <v>2618</v>
      </c>
      <c r="ER18" s="77">
        <v>2222</v>
      </c>
      <c r="ES18" s="77">
        <v>2601</v>
      </c>
      <c r="ET18" s="77">
        <v>2046</v>
      </c>
      <c r="EU18" s="77">
        <v>4234</v>
      </c>
      <c r="EV18" s="77">
        <v>177</v>
      </c>
      <c r="EW18" s="77">
        <v>243</v>
      </c>
      <c r="EX18" s="77">
        <v>352</v>
      </c>
      <c r="EY18" s="77">
        <v>-3813</v>
      </c>
      <c r="EZ18" s="77">
        <v>3601</v>
      </c>
      <c r="FA18" s="77">
        <v>2131</v>
      </c>
      <c r="FB18" s="77">
        <v>-3690</v>
      </c>
      <c r="FC18" s="77">
        <v>-4453</v>
      </c>
      <c r="FD18" s="77">
        <v>-2559</v>
      </c>
      <c r="FE18" s="77">
        <v>-883</v>
      </c>
      <c r="FF18" s="77">
        <v>3735</v>
      </c>
      <c r="FG18" s="77">
        <v>-2</v>
      </c>
      <c r="FH18" s="77">
        <v>-7218</v>
      </c>
      <c r="FI18" s="77">
        <v>1732</v>
      </c>
      <c r="FJ18" s="77">
        <v>-3150</v>
      </c>
      <c r="FK18" s="77">
        <v>-1943</v>
      </c>
      <c r="FL18" s="77">
        <v>-718</v>
      </c>
      <c r="FM18" s="77">
        <v>-667</v>
      </c>
      <c r="FN18" s="77">
        <v>-3015</v>
      </c>
      <c r="FO18" s="77">
        <v>-844</v>
      </c>
      <c r="FP18" s="77">
        <v>1920</v>
      </c>
      <c r="FQ18" s="77">
        <v>1001</v>
      </c>
      <c r="FR18" s="77">
        <v>1309</v>
      </c>
      <c r="FS18" s="77">
        <v>842</v>
      </c>
      <c r="FT18" s="77">
        <v>9427</v>
      </c>
      <c r="FU18" s="77">
        <v>-701</v>
      </c>
      <c r="FV18" s="77">
        <v>-457</v>
      </c>
      <c r="FW18" s="77">
        <v>2605</v>
      </c>
      <c r="FX18" s="77">
        <v>-4269</v>
      </c>
      <c r="FY18" s="77">
        <v>-3059</v>
      </c>
      <c r="FZ18" s="77">
        <v>-4952</v>
      </c>
      <c r="GA18" s="77">
        <v>916</v>
      </c>
      <c r="GB18" s="77">
        <v>3053</v>
      </c>
      <c r="GC18" s="77">
        <v>-933</v>
      </c>
      <c r="GD18" s="77">
        <v>361</v>
      </c>
      <c r="GE18" s="77">
        <v>-4247</v>
      </c>
      <c r="GF18" s="77">
        <v>-1716</v>
      </c>
      <c r="GG18" s="77">
        <v>-64</v>
      </c>
      <c r="GH18" s="77">
        <v>6875</v>
      </c>
      <c r="GI18" s="77">
        <v>-3259</v>
      </c>
      <c r="GJ18" s="77">
        <v>5021</v>
      </c>
      <c r="GK18" s="77">
        <v>589</v>
      </c>
      <c r="GL18" s="77">
        <v>-294</v>
      </c>
      <c r="GM18" s="77">
        <v>-1827</v>
      </c>
      <c r="GN18" s="77">
        <v>-1757</v>
      </c>
      <c r="GO18" s="77">
        <v>-959</v>
      </c>
      <c r="GP18" s="77">
        <v>5011</v>
      </c>
      <c r="GQ18" s="77">
        <v>-1694</v>
      </c>
      <c r="GR18" s="77">
        <v>433</v>
      </c>
      <c r="GS18" s="77">
        <v>-6059</v>
      </c>
      <c r="GT18" s="77">
        <v>505</v>
      </c>
      <c r="GU18" s="77">
        <v>1627</v>
      </c>
      <c r="GV18" s="77">
        <v>355</v>
      </c>
      <c r="GW18" s="77">
        <v>-366</v>
      </c>
      <c r="GX18" s="77">
        <v>-1339</v>
      </c>
      <c r="GY18" s="77">
        <v>-3030</v>
      </c>
      <c r="GZ18" s="77">
        <v>-6034</v>
      </c>
      <c r="HA18" s="77">
        <v>2334</v>
      </c>
      <c r="HB18" s="77">
        <v>-164</v>
      </c>
      <c r="HC18" s="77">
        <v>985</v>
      </c>
      <c r="HD18" s="77">
        <v>7967</v>
      </c>
      <c r="HE18" s="77">
        <v>-10658</v>
      </c>
      <c r="HF18" s="77">
        <v>-1636</v>
      </c>
      <c r="HG18" s="77">
        <v>799</v>
      </c>
      <c r="HH18" s="77">
        <v>579</v>
      </c>
      <c r="HI18" s="77">
        <v>170</v>
      </c>
      <c r="HJ18" s="77">
        <v>-998</v>
      </c>
      <c r="HK18" s="77">
        <v>-77</v>
      </c>
      <c r="HL18" s="77">
        <v>-228</v>
      </c>
      <c r="HM18" s="77">
        <v>3151</v>
      </c>
      <c r="HN18" s="77">
        <v>-4466</v>
      </c>
      <c r="HO18" s="77">
        <v>1718</v>
      </c>
      <c r="HP18" s="77">
        <v>-4395</v>
      </c>
      <c r="HQ18" s="77">
        <v>-1080</v>
      </c>
      <c r="HR18" s="77">
        <v>2332</v>
      </c>
      <c r="HS18" s="77">
        <v>-5050</v>
      </c>
      <c r="HT18" s="77">
        <v>-529</v>
      </c>
      <c r="HU18" s="77">
        <v>149</v>
      </c>
      <c r="HV18" s="77">
        <v>5019</v>
      </c>
      <c r="HW18" s="77">
        <v>-2997</v>
      </c>
      <c r="HX18" s="77">
        <v>3052</v>
      </c>
      <c r="HY18" s="77">
        <v>5802</v>
      </c>
      <c r="HZ18" s="77">
        <v>3722</v>
      </c>
      <c r="IA18" s="77">
        <v>-1524</v>
      </c>
      <c r="IB18" s="77">
        <v>-4319</v>
      </c>
      <c r="IC18" s="77">
        <v>564</v>
      </c>
      <c r="ID18" s="77">
        <v>11244</v>
      </c>
      <c r="IE18" s="77">
        <v>3767</v>
      </c>
      <c r="IF18" s="77">
        <v>-6849</v>
      </c>
      <c r="IG18" s="77">
        <v>-2820</v>
      </c>
      <c r="IH18" s="77">
        <v>-5526</v>
      </c>
      <c r="II18" s="77">
        <v>598</v>
      </c>
      <c r="IJ18" s="77">
        <v>-7650</v>
      </c>
      <c r="IK18" s="77">
        <v>2480</v>
      </c>
      <c r="IL18" s="77">
        <v>-2647</v>
      </c>
      <c r="IM18" s="77">
        <v>504</v>
      </c>
      <c r="IN18" s="77">
        <v>6</v>
      </c>
      <c r="IO18" s="77">
        <v>2701</v>
      </c>
      <c r="IP18" s="77">
        <v>518</v>
      </c>
      <c r="IQ18" s="77">
        <v>2637</v>
      </c>
      <c r="IR18" s="77">
        <v>-3062</v>
      </c>
      <c r="IS18" s="77">
        <v>-5924</v>
      </c>
      <c r="IT18" s="77">
        <v>2661</v>
      </c>
      <c r="IU18" s="77">
        <v>2289</v>
      </c>
      <c r="IV18" s="77">
        <v>1612</v>
      </c>
      <c r="IW18" s="77">
        <v>-3991</v>
      </c>
      <c r="IX18" s="77">
        <v>4835</v>
      </c>
      <c r="IY18" s="77">
        <v>5037</v>
      </c>
      <c r="IZ18" s="77">
        <v>2951</v>
      </c>
      <c r="JA18" s="77">
        <v>-127</v>
      </c>
      <c r="JB18" s="77">
        <v>-2070</v>
      </c>
      <c r="JC18" s="77">
        <v>349</v>
      </c>
      <c r="JD18" s="77">
        <v>468</v>
      </c>
      <c r="JE18" s="77">
        <v>530</v>
      </c>
      <c r="JF18" s="77">
        <v>551</v>
      </c>
      <c r="JG18" s="77">
        <v>-2317</v>
      </c>
      <c r="JH18" s="77">
        <v>-76</v>
      </c>
      <c r="JI18" s="77">
        <v>-3715</v>
      </c>
      <c r="JJ18" s="77">
        <v>1520</v>
      </c>
      <c r="JK18" s="77">
        <v>460</v>
      </c>
      <c r="JL18" s="77">
        <v>-2515</v>
      </c>
      <c r="JM18" s="77">
        <v>-3216</v>
      </c>
      <c r="JN18" s="77">
        <v>4401</v>
      </c>
      <c r="JO18" s="77">
        <v>-3741</v>
      </c>
      <c r="JP18" s="77">
        <v>2589</v>
      </c>
      <c r="JQ18" s="77">
        <v>-2499</v>
      </c>
      <c r="JR18" s="77">
        <v>5566</v>
      </c>
      <c r="JS18" s="77">
        <v>-2909</v>
      </c>
      <c r="JT18" s="77">
        <v>1890</v>
      </c>
      <c r="JU18" s="77">
        <v>-2648</v>
      </c>
      <c r="JV18" s="77">
        <v>-479</v>
      </c>
      <c r="JW18" s="77">
        <v>2110</v>
      </c>
      <c r="JX18" s="77">
        <v>5382</v>
      </c>
      <c r="JY18" s="77">
        <v>-388</v>
      </c>
      <c r="JZ18" s="77">
        <v>-3531</v>
      </c>
      <c r="KA18" s="77">
        <v>-1429</v>
      </c>
      <c r="KB18" s="77">
        <v>-2980</v>
      </c>
      <c r="KC18" s="77">
        <v>7621</v>
      </c>
      <c r="KD18" s="77">
        <v>3386</v>
      </c>
      <c r="KE18" s="77">
        <v>4568</v>
      </c>
      <c r="KF18" s="77">
        <v>2353</v>
      </c>
      <c r="KG18" s="77">
        <v>-3151</v>
      </c>
      <c r="KH18" s="77">
        <v>-3892</v>
      </c>
      <c r="KI18" s="77">
        <v>2199</v>
      </c>
      <c r="KJ18" s="77">
        <v>-1375</v>
      </c>
      <c r="KK18" s="77">
        <v>964</v>
      </c>
      <c r="KL18" s="77">
        <v>-1910</v>
      </c>
      <c r="KM18" s="77">
        <v>2048</v>
      </c>
      <c r="KN18" s="77">
        <v>1528</v>
      </c>
      <c r="KO18" s="77">
        <v>-1004</v>
      </c>
      <c r="KP18" s="77">
        <v>-457</v>
      </c>
      <c r="KQ18" s="77">
        <v>-3055</v>
      </c>
      <c r="KR18" s="77">
        <v>-348</v>
      </c>
      <c r="KS18" s="77">
        <v>-213</v>
      </c>
      <c r="KT18" s="77">
        <v>4443</v>
      </c>
      <c r="KU18" s="77">
        <v>-4033</v>
      </c>
      <c r="KV18" s="77">
        <v>-7067</v>
      </c>
      <c r="KW18" s="77">
        <v>-9</v>
      </c>
      <c r="KX18" s="77">
        <v>-1994</v>
      </c>
      <c r="KY18" s="77">
        <v>-1471</v>
      </c>
      <c r="KZ18" s="77">
        <v>1043</v>
      </c>
      <c r="LA18" s="77">
        <v>-2778</v>
      </c>
      <c r="LB18" s="77">
        <v>1770</v>
      </c>
      <c r="LC18" s="77">
        <v>115</v>
      </c>
      <c r="LD18" s="77">
        <v>3018</v>
      </c>
      <c r="LE18" s="77">
        <v>739</v>
      </c>
      <c r="LF18" s="77">
        <v>40</v>
      </c>
      <c r="LG18" s="77">
        <v>262</v>
      </c>
      <c r="LH18" s="77">
        <v>5969</v>
      </c>
      <c r="LI18" s="77">
        <v>331</v>
      </c>
      <c r="LJ18" s="77">
        <v>670</v>
      </c>
      <c r="LK18" s="77">
        <v>-2009</v>
      </c>
      <c r="LL18" s="77">
        <v>1157</v>
      </c>
      <c r="LM18" s="77">
        <v>1754</v>
      </c>
      <c r="LN18" s="77">
        <v>2329</v>
      </c>
      <c r="LO18" s="77">
        <v>-406</v>
      </c>
      <c r="LP18" s="77">
        <v>-692</v>
      </c>
      <c r="LQ18" s="77">
        <v>921</v>
      </c>
      <c r="LR18" s="77">
        <v>-5387</v>
      </c>
      <c r="LS18" s="77">
        <v>-262</v>
      </c>
      <c r="LT18" s="77">
        <v>2728</v>
      </c>
      <c r="LU18" s="77">
        <v>-271</v>
      </c>
      <c r="LV18" s="77">
        <v>438</v>
      </c>
      <c r="LW18" s="77">
        <v>-1888</v>
      </c>
      <c r="LX18" s="77">
        <v>-8388</v>
      </c>
      <c r="LY18" s="77">
        <v>4082</v>
      </c>
      <c r="LZ18" s="77">
        <v>5963</v>
      </c>
      <c r="MA18" s="77">
        <v>2230</v>
      </c>
      <c r="MB18" s="77">
        <v>4288</v>
      </c>
      <c r="MC18" s="77">
        <v>2270</v>
      </c>
      <c r="MD18" s="77">
        <v>3713</v>
      </c>
      <c r="ME18" s="77">
        <v>-2246</v>
      </c>
      <c r="MF18" s="77">
        <v>-3026</v>
      </c>
      <c r="MG18" s="77">
        <v>1105</v>
      </c>
      <c r="MH18" s="77">
        <v>-592</v>
      </c>
      <c r="MI18" s="77">
        <v>-1249</v>
      </c>
      <c r="MJ18" s="77">
        <v>2058</v>
      </c>
      <c r="MK18" s="77">
        <v>6917</v>
      </c>
      <c r="ML18" s="77">
        <v>-4153</v>
      </c>
      <c r="MM18" s="77">
        <v>1456</v>
      </c>
      <c r="MN18" s="77">
        <v>-1958</v>
      </c>
      <c r="MO18" s="77">
        <v>-1191</v>
      </c>
      <c r="MP18" s="77">
        <v>8014</v>
      </c>
      <c r="MQ18" s="77">
        <v>2261</v>
      </c>
      <c r="MR18" s="77">
        <v>-3934</v>
      </c>
      <c r="MS18" s="77">
        <v>1511</v>
      </c>
      <c r="MT18" s="77">
        <v>-3392</v>
      </c>
      <c r="MU18" s="77">
        <v>25</v>
      </c>
      <c r="MV18" s="77">
        <v>5724</v>
      </c>
      <c r="MW18" s="77">
        <v>4647</v>
      </c>
      <c r="MX18" s="77">
        <v>3738</v>
      </c>
      <c r="MY18" s="77">
        <v>546</v>
      </c>
      <c r="MZ18" s="77">
        <v>3211</v>
      </c>
      <c r="NA18" s="77">
        <v>-4853</v>
      </c>
      <c r="NB18" s="77">
        <v>-2327</v>
      </c>
      <c r="NC18" s="77">
        <v>509</v>
      </c>
      <c r="ND18" s="77">
        <v>-3271</v>
      </c>
      <c r="NE18" s="77">
        <v>2974</v>
      </c>
      <c r="NF18" s="77">
        <v>174</v>
      </c>
      <c r="NG18" s="77">
        <v>1050</v>
      </c>
      <c r="NH18" s="77">
        <v>-2496</v>
      </c>
      <c r="NI18" s="77">
        <v>1106</v>
      </c>
      <c r="NJ18" s="77">
        <v>-1047</v>
      </c>
      <c r="NK18" s="77">
        <v>677</v>
      </c>
      <c r="NL18" s="77">
        <v>5115</v>
      </c>
      <c r="NM18" s="77">
        <v>87</v>
      </c>
      <c r="NN18" s="77">
        <v>-1808</v>
      </c>
      <c r="NO18" s="77">
        <v>1470</v>
      </c>
      <c r="NP18" s="77">
        <v>8233</v>
      </c>
      <c r="NQ18" s="77">
        <v>-533</v>
      </c>
      <c r="NR18" s="77">
        <v>1958</v>
      </c>
      <c r="NS18" s="77">
        <v>-798</v>
      </c>
      <c r="NT18" s="77">
        <v>2977</v>
      </c>
      <c r="NU18" s="77">
        <v>-1588</v>
      </c>
      <c r="NV18" s="77">
        <v>-799</v>
      </c>
    </row>
    <row r="19" spans="1:386" s="77" customFormat="1" ht="15" customHeight="1">
      <c r="A19" s="4"/>
      <c r="B19" s="4"/>
      <c r="C19" s="146" t="s">
        <v>268</v>
      </c>
      <c r="D19" s="157">
        <f>IF(V16="","",V16)</f>
        <v>-5100</v>
      </c>
      <c r="E19" s="158">
        <f t="shared" ref="E19:O21" si="5">IF(W16="","",W16)</f>
        <v>-9194</v>
      </c>
      <c r="F19" s="158">
        <f t="shared" si="5"/>
        <v>-2433</v>
      </c>
      <c r="G19" s="158">
        <f t="shared" si="5"/>
        <v>3884</v>
      </c>
      <c r="H19" s="158">
        <f t="shared" si="5"/>
        <v>-7420</v>
      </c>
      <c r="I19" s="158">
        <f t="shared" si="5"/>
        <v>6745</v>
      </c>
      <c r="J19" s="158">
        <f t="shared" si="5"/>
        <v>-1407</v>
      </c>
      <c r="K19" s="158">
        <f t="shared" si="5"/>
        <v>3349</v>
      </c>
      <c r="L19" s="158">
        <f t="shared" si="5"/>
        <v>-5160</v>
      </c>
      <c r="M19" s="158">
        <f t="shared" si="5"/>
        <v>-16509</v>
      </c>
      <c r="N19" s="158">
        <f t="shared" si="5"/>
        <v>-26347</v>
      </c>
      <c r="O19" s="159">
        <f t="shared" si="5"/>
        <v>20522</v>
      </c>
      <c r="P19"/>
      <c r="Q19"/>
      <c r="R19" s="4"/>
      <c r="S19" s="4"/>
      <c r="U19" s="77" t="str">
        <f ca="1">_xll.IMDH("IDX","001",U20:U22,TODAY()-2543,$D$4,365,"Per=일,sort=D,real=true,Bizday=0,Quote=종가,Pos=11,Orient=H,Title=KOSPI,DtFmt=1,TmFmt=1,unit=true")</f>
        <v>KOSPI</v>
      </c>
    </row>
    <row r="20" spans="1:386" s="77" customFormat="1" ht="15" customHeight="1">
      <c r="A20" s="4"/>
      <c r="B20" s="4"/>
      <c r="C20" s="146" t="s">
        <v>269</v>
      </c>
      <c r="D20" s="157">
        <f>IF(V17="","",V17)</f>
        <v>-283</v>
      </c>
      <c r="E20" s="158">
        <f t="shared" si="5"/>
        <v>4290</v>
      </c>
      <c r="F20" s="158">
        <f t="shared" si="5"/>
        <v>413</v>
      </c>
      <c r="G20" s="158">
        <f t="shared" si="5"/>
        <v>-1655</v>
      </c>
      <c r="H20" s="158">
        <f t="shared" si="5"/>
        <v>1312</v>
      </c>
      <c r="I20" s="158">
        <f t="shared" si="5"/>
        <v>-1751</v>
      </c>
      <c r="J20" s="158">
        <f t="shared" si="5"/>
        <v>-1199</v>
      </c>
      <c r="K20" s="158">
        <f t="shared" si="5"/>
        <v>-780</v>
      </c>
      <c r="L20" s="158">
        <f t="shared" si="5"/>
        <v>618</v>
      </c>
      <c r="M20" s="158">
        <f t="shared" si="5"/>
        <v>3524</v>
      </c>
      <c r="N20" s="158">
        <f t="shared" si="5"/>
        <v>14894</v>
      </c>
      <c r="O20" s="159">
        <f t="shared" si="5"/>
        <v>-7717</v>
      </c>
      <c r="P20"/>
      <c r="Q20"/>
      <c r="R20" s="4"/>
      <c r="S20" s="4"/>
      <c r="U20" s="81" t="s">
        <v>271</v>
      </c>
      <c r="V20" s="79">
        <v>45155</v>
      </c>
      <c r="W20" s="79">
        <v>45154</v>
      </c>
      <c r="X20" s="79">
        <v>45152</v>
      </c>
      <c r="Y20" s="79">
        <v>45149</v>
      </c>
      <c r="Z20" s="79">
        <v>45148</v>
      </c>
      <c r="AA20" s="79">
        <v>45147</v>
      </c>
      <c r="AB20" s="79">
        <v>45146</v>
      </c>
      <c r="AC20" s="79">
        <v>45145</v>
      </c>
      <c r="AD20" s="79">
        <v>45142</v>
      </c>
      <c r="AE20" s="79">
        <v>45141</v>
      </c>
      <c r="AF20" s="79">
        <v>45140</v>
      </c>
      <c r="AG20" s="79">
        <v>45139</v>
      </c>
      <c r="AH20" s="79">
        <v>45138</v>
      </c>
      <c r="AI20" s="79">
        <v>45135</v>
      </c>
      <c r="AJ20" s="79">
        <v>45134</v>
      </c>
      <c r="AK20" s="79">
        <v>45133</v>
      </c>
      <c r="AL20" s="79">
        <v>45132</v>
      </c>
      <c r="AM20" s="79">
        <v>45131</v>
      </c>
      <c r="AN20" s="79">
        <v>45128</v>
      </c>
      <c r="AO20" s="79">
        <v>45127</v>
      </c>
      <c r="AP20" s="79">
        <v>45126</v>
      </c>
      <c r="AQ20" s="79">
        <v>45125</v>
      </c>
      <c r="AR20" s="79">
        <v>45124</v>
      </c>
      <c r="AS20" s="79">
        <v>45121</v>
      </c>
      <c r="AT20" s="79">
        <v>45120</v>
      </c>
      <c r="AU20" s="79">
        <v>45119</v>
      </c>
      <c r="AV20" s="79">
        <v>45118</v>
      </c>
      <c r="AW20" s="79">
        <v>45117</v>
      </c>
      <c r="AX20" s="79">
        <v>45114</v>
      </c>
      <c r="AY20" s="79">
        <v>45113</v>
      </c>
      <c r="AZ20" s="79">
        <v>45112</v>
      </c>
      <c r="BA20" s="79">
        <v>45111</v>
      </c>
      <c r="BB20" s="79">
        <v>45110</v>
      </c>
      <c r="BC20" s="79">
        <v>45107</v>
      </c>
      <c r="BD20" s="79">
        <v>45106</v>
      </c>
      <c r="BE20" s="79">
        <v>45105</v>
      </c>
      <c r="BF20" s="79">
        <v>45104</v>
      </c>
      <c r="BG20" s="79">
        <v>45103</v>
      </c>
      <c r="BH20" s="79">
        <v>45100</v>
      </c>
      <c r="BI20" s="79">
        <v>45099</v>
      </c>
      <c r="BJ20" s="79">
        <v>45098</v>
      </c>
      <c r="BK20" s="79">
        <v>45097</v>
      </c>
      <c r="BL20" s="79">
        <v>45096</v>
      </c>
      <c r="BM20" s="79">
        <v>45093</v>
      </c>
      <c r="BN20" s="79">
        <v>45092</v>
      </c>
      <c r="BO20" s="79">
        <v>45091</v>
      </c>
      <c r="BP20" s="79">
        <v>45090</v>
      </c>
      <c r="BQ20" s="79">
        <v>45089</v>
      </c>
      <c r="BR20" s="79">
        <v>45086</v>
      </c>
      <c r="BS20" s="79">
        <v>45085</v>
      </c>
      <c r="BT20" s="79">
        <v>45084</v>
      </c>
      <c r="BU20" s="79">
        <v>45082</v>
      </c>
      <c r="BV20" s="79">
        <v>45079</v>
      </c>
      <c r="BW20" s="79">
        <v>45078</v>
      </c>
      <c r="BX20" s="79">
        <v>45077</v>
      </c>
      <c r="BY20" s="79">
        <v>45076</v>
      </c>
      <c r="BZ20" s="79">
        <v>45072</v>
      </c>
      <c r="CA20" s="79">
        <v>45071</v>
      </c>
      <c r="CB20" s="79">
        <v>45070</v>
      </c>
      <c r="CC20" s="79">
        <v>45069</v>
      </c>
      <c r="CD20" s="79">
        <v>45068</v>
      </c>
      <c r="CE20" s="79">
        <v>45065</v>
      </c>
      <c r="CF20" s="79">
        <v>45064</v>
      </c>
      <c r="CG20" s="79">
        <v>45063</v>
      </c>
      <c r="CH20" s="79">
        <v>45062</v>
      </c>
      <c r="CI20" s="79">
        <v>45061</v>
      </c>
      <c r="CJ20" s="79">
        <v>45058</v>
      </c>
      <c r="CK20" s="79">
        <v>45057</v>
      </c>
      <c r="CL20" s="79">
        <v>45056</v>
      </c>
      <c r="CM20" s="79">
        <v>45055</v>
      </c>
      <c r="CN20" s="79">
        <v>45054</v>
      </c>
      <c r="CO20" s="79">
        <v>45050</v>
      </c>
      <c r="CP20" s="79">
        <v>45049</v>
      </c>
      <c r="CQ20" s="79">
        <v>45048</v>
      </c>
      <c r="CR20" s="79">
        <v>45044</v>
      </c>
      <c r="CS20" s="79">
        <v>45043</v>
      </c>
      <c r="CT20" s="79">
        <v>45042</v>
      </c>
      <c r="CU20" s="79">
        <v>45041</v>
      </c>
      <c r="CV20" s="79">
        <v>45040</v>
      </c>
      <c r="CW20" s="79">
        <v>45037</v>
      </c>
      <c r="CX20" s="79">
        <v>45036</v>
      </c>
      <c r="CY20" s="79">
        <v>45035</v>
      </c>
      <c r="CZ20" s="79">
        <v>45034</v>
      </c>
      <c r="DA20" s="79">
        <v>45033</v>
      </c>
      <c r="DB20" s="79">
        <v>45030</v>
      </c>
      <c r="DC20" s="79">
        <v>45029</v>
      </c>
      <c r="DD20" s="79">
        <v>45028</v>
      </c>
      <c r="DE20" s="79">
        <v>45027</v>
      </c>
      <c r="DF20" s="79">
        <v>45026</v>
      </c>
      <c r="DG20" s="79">
        <v>45023</v>
      </c>
      <c r="DH20" s="79">
        <v>45022</v>
      </c>
      <c r="DI20" s="79">
        <v>45021</v>
      </c>
      <c r="DJ20" s="79">
        <v>45020</v>
      </c>
      <c r="DK20" s="79">
        <v>45019</v>
      </c>
      <c r="DL20" s="79">
        <v>45016</v>
      </c>
      <c r="DM20" s="79">
        <v>45015</v>
      </c>
      <c r="DN20" s="79">
        <v>45014</v>
      </c>
      <c r="DO20" s="79">
        <v>45013</v>
      </c>
      <c r="DP20" s="79">
        <v>45012</v>
      </c>
      <c r="DQ20" s="79">
        <v>45009</v>
      </c>
      <c r="DR20" s="79">
        <v>45008</v>
      </c>
      <c r="DS20" s="79">
        <v>45007</v>
      </c>
      <c r="DT20" s="79">
        <v>45006</v>
      </c>
      <c r="DU20" s="79">
        <v>45005</v>
      </c>
      <c r="DV20" s="79">
        <v>45002</v>
      </c>
      <c r="DW20" s="79">
        <v>45001</v>
      </c>
      <c r="DX20" s="79">
        <v>45000</v>
      </c>
      <c r="DY20" s="79">
        <v>44999</v>
      </c>
      <c r="DZ20" s="79">
        <v>44998</v>
      </c>
      <c r="EA20" s="79">
        <v>44995</v>
      </c>
      <c r="EB20" s="79">
        <v>44994</v>
      </c>
      <c r="EC20" s="79">
        <v>44993</v>
      </c>
      <c r="ED20" s="79">
        <v>44992</v>
      </c>
      <c r="EE20" s="79">
        <v>44991</v>
      </c>
      <c r="EF20" s="79">
        <v>44988</v>
      </c>
      <c r="EG20" s="79">
        <v>44987</v>
      </c>
      <c r="EH20" s="79">
        <v>44985</v>
      </c>
      <c r="EI20" s="79">
        <v>44984</v>
      </c>
      <c r="EJ20" s="79">
        <v>44981</v>
      </c>
      <c r="EK20" s="79">
        <v>44980</v>
      </c>
      <c r="EL20" s="79">
        <v>44979</v>
      </c>
      <c r="EM20" s="79">
        <v>44978</v>
      </c>
      <c r="EN20" s="79">
        <v>44977</v>
      </c>
      <c r="EO20" s="79">
        <v>44974</v>
      </c>
      <c r="EP20" s="79">
        <v>44973</v>
      </c>
      <c r="EQ20" s="79">
        <v>44972</v>
      </c>
      <c r="ER20" s="79">
        <v>44971</v>
      </c>
      <c r="ES20" s="79">
        <v>44970</v>
      </c>
      <c r="ET20" s="79">
        <v>44967</v>
      </c>
      <c r="EU20" s="79">
        <v>44966</v>
      </c>
      <c r="EV20" s="79">
        <v>44965</v>
      </c>
      <c r="EW20" s="79">
        <v>44964</v>
      </c>
      <c r="EX20" s="79">
        <v>44963</v>
      </c>
      <c r="EY20" s="79">
        <v>44960</v>
      </c>
      <c r="EZ20" s="79">
        <v>44959</v>
      </c>
      <c r="FA20" s="79">
        <v>44958</v>
      </c>
      <c r="FB20" s="79">
        <v>44957</v>
      </c>
      <c r="FC20" s="79">
        <v>44956</v>
      </c>
      <c r="FD20" s="79">
        <v>44953</v>
      </c>
      <c r="FE20" s="79">
        <v>44952</v>
      </c>
      <c r="FF20" s="79">
        <v>44951</v>
      </c>
      <c r="FG20" s="79">
        <v>44946</v>
      </c>
      <c r="FH20" s="79">
        <v>44945</v>
      </c>
      <c r="FI20" s="79">
        <v>44944</v>
      </c>
      <c r="FJ20" s="79">
        <v>44943</v>
      </c>
      <c r="FK20" s="79">
        <v>44942</v>
      </c>
      <c r="FL20" s="79">
        <v>44939</v>
      </c>
      <c r="FM20" s="79">
        <v>44938</v>
      </c>
      <c r="FN20" s="79">
        <v>44937</v>
      </c>
      <c r="FO20" s="79">
        <v>44936</v>
      </c>
      <c r="FP20" s="79">
        <v>44935</v>
      </c>
      <c r="FQ20" s="79">
        <v>44932</v>
      </c>
      <c r="FR20" s="79">
        <v>44931</v>
      </c>
      <c r="FS20" s="79">
        <v>44930</v>
      </c>
      <c r="FT20" s="79">
        <v>44929</v>
      </c>
      <c r="FU20" s="79">
        <v>44928</v>
      </c>
      <c r="FV20" s="79">
        <v>44924</v>
      </c>
      <c r="FW20" s="79">
        <v>44923</v>
      </c>
      <c r="FX20" s="79">
        <v>44922</v>
      </c>
      <c r="FY20" s="79">
        <v>44921</v>
      </c>
      <c r="FZ20" s="79">
        <v>44918</v>
      </c>
      <c r="GA20" s="79">
        <v>44917</v>
      </c>
      <c r="GB20" s="79">
        <v>44916</v>
      </c>
      <c r="GC20" s="79">
        <v>44915</v>
      </c>
      <c r="GD20" s="79">
        <v>44914</v>
      </c>
      <c r="GE20" s="79">
        <v>44911</v>
      </c>
      <c r="GF20" s="79">
        <v>44910</v>
      </c>
      <c r="GG20" s="79">
        <v>44909</v>
      </c>
      <c r="GH20" s="79">
        <v>44908</v>
      </c>
      <c r="GI20" s="79">
        <v>44907</v>
      </c>
      <c r="GJ20" s="79">
        <v>44904</v>
      </c>
      <c r="GK20" s="79">
        <v>44903</v>
      </c>
      <c r="GL20" s="79">
        <v>44902</v>
      </c>
      <c r="GM20" s="79">
        <v>44901</v>
      </c>
      <c r="GN20" s="79">
        <v>44900</v>
      </c>
      <c r="GO20" s="79">
        <v>44897</v>
      </c>
      <c r="GP20" s="79">
        <v>44896</v>
      </c>
      <c r="GQ20" s="79">
        <v>44895</v>
      </c>
      <c r="GR20" s="79">
        <v>44894</v>
      </c>
      <c r="GS20" s="79">
        <v>44893</v>
      </c>
      <c r="GT20" s="79">
        <v>44890</v>
      </c>
      <c r="GU20" s="79">
        <v>44889</v>
      </c>
      <c r="GV20" s="79">
        <v>44888</v>
      </c>
      <c r="GW20" s="79">
        <v>44887</v>
      </c>
      <c r="GX20" s="79">
        <v>44886</v>
      </c>
      <c r="GY20" s="79">
        <v>44883</v>
      </c>
      <c r="GZ20" s="79">
        <v>44882</v>
      </c>
      <c r="HA20" s="79">
        <v>44881</v>
      </c>
      <c r="HB20" s="79">
        <v>44880</v>
      </c>
      <c r="HC20" s="79">
        <v>44879</v>
      </c>
      <c r="HD20" s="79">
        <v>44876</v>
      </c>
      <c r="HE20" s="79">
        <v>44875</v>
      </c>
      <c r="HF20" s="79">
        <v>44874</v>
      </c>
      <c r="HG20" s="79">
        <v>44873</v>
      </c>
      <c r="HH20" s="79">
        <v>44872</v>
      </c>
      <c r="HI20" s="79">
        <v>44869</v>
      </c>
      <c r="HJ20" s="79">
        <v>44868</v>
      </c>
      <c r="HK20" s="79">
        <v>44867</v>
      </c>
      <c r="HL20" s="79">
        <v>44866</v>
      </c>
      <c r="HM20" s="79">
        <v>44865</v>
      </c>
      <c r="HN20" s="79">
        <v>44862</v>
      </c>
      <c r="HO20" s="79">
        <v>44861</v>
      </c>
      <c r="HP20" s="79">
        <v>44860</v>
      </c>
      <c r="HQ20" s="79">
        <v>44859</v>
      </c>
      <c r="HR20" s="79">
        <v>44858</v>
      </c>
      <c r="HS20" s="79">
        <v>44855</v>
      </c>
      <c r="HT20" s="79">
        <v>44854</v>
      </c>
      <c r="HU20" s="79">
        <v>44853</v>
      </c>
      <c r="HV20" s="79">
        <v>44852</v>
      </c>
      <c r="HW20" s="79">
        <v>44851</v>
      </c>
      <c r="HX20" s="79">
        <v>44848</v>
      </c>
      <c r="HY20" s="79">
        <v>44847</v>
      </c>
      <c r="HZ20" s="79">
        <v>44846</v>
      </c>
      <c r="IA20" s="79">
        <v>44845</v>
      </c>
      <c r="IB20" s="79">
        <v>44841</v>
      </c>
      <c r="IC20" s="79">
        <v>44840</v>
      </c>
      <c r="ID20" s="79">
        <v>44839</v>
      </c>
      <c r="IE20" s="79">
        <v>44838</v>
      </c>
      <c r="IF20" s="79">
        <v>44834</v>
      </c>
      <c r="IG20" s="79">
        <v>44833</v>
      </c>
      <c r="IH20" s="79">
        <v>44832</v>
      </c>
      <c r="II20" s="79">
        <v>44831</v>
      </c>
      <c r="IJ20" s="79">
        <v>44830</v>
      </c>
      <c r="IK20" s="79">
        <v>44827</v>
      </c>
      <c r="IL20" s="79">
        <v>44826</v>
      </c>
      <c r="IM20" s="79">
        <v>44825</v>
      </c>
      <c r="IN20" s="79">
        <v>44824</v>
      </c>
      <c r="IO20" s="79">
        <v>44823</v>
      </c>
      <c r="IP20" s="79">
        <v>44820</v>
      </c>
      <c r="IQ20" s="79">
        <v>44819</v>
      </c>
      <c r="IR20" s="79">
        <v>44818</v>
      </c>
      <c r="IS20" s="79">
        <v>44817</v>
      </c>
      <c r="IT20" s="79">
        <v>44812</v>
      </c>
      <c r="IU20" s="79">
        <v>44811</v>
      </c>
      <c r="IV20" s="79">
        <v>44810</v>
      </c>
      <c r="IW20" s="79">
        <v>44809</v>
      </c>
      <c r="IX20" s="79">
        <v>44806</v>
      </c>
      <c r="IY20" s="79">
        <v>44805</v>
      </c>
      <c r="IZ20" s="79">
        <v>44804</v>
      </c>
      <c r="JA20" s="79">
        <v>44803</v>
      </c>
      <c r="JB20" s="79">
        <v>44802</v>
      </c>
      <c r="JC20" s="79">
        <v>44799</v>
      </c>
      <c r="JD20" s="79">
        <v>44798</v>
      </c>
      <c r="JE20" s="79">
        <v>44797</v>
      </c>
      <c r="JF20" s="79">
        <v>44796</v>
      </c>
      <c r="JG20" s="79">
        <v>44795</v>
      </c>
      <c r="JH20" s="79">
        <v>44792</v>
      </c>
      <c r="JI20" s="79">
        <v>44791</v>
      </c>
      <c r="JJ20" s="79">
        <v>44790</v>
      </c>
      <c r="JK20" s="79">
        <v>44789</v>
      </c>
      <c r="JL20" s="79">
        <v>44785</v>
      </c>
      <c r="JM20" s="79">
        <v>44784</v>
      </c>
      <c r="JN20" s="79">
        <v>44783</v>
      </c>
      <c r="JO20" s="79">
        <v>44782</v>
      </c>
      <c r="JP20" s="79">
        <v>44781</v>
      </c>
      <c r="JQ20" s="79">
        <v>44778</v>
      </c>
      <c r="JR20" s="79">
        <v>44777</v>
      </c>
      <c r="JS20" s="79">
        <v>44776</v>
      </c>
      <c r="JT20" s="79">
        <v>44775</v>
      </c>
      <c r="JU20" s="79">
        <v>44774</v>
      </c>
      <c r="JV20" s="79">
        <v>44771</v>
      </c>
      <c r="JW20" s="79">
        <v>44770</v>
      </c>
      <c r="JX20" s="79">
        <v>44769</v>
      </c>
      <c r="JY20" s="79">
        <v>44768</v>
      </c>
      <c r="JZ20" s="79">
        <v>44767</v>
      </c>
      <c r="KA20" s="79">
        <v>44764</v>
      </c>
      <c r="KB20" s="79">
        <v>44763</v>
      </c>
      <c r="KC20" s="79">
        <v>44762</v>
      </c>
      <c r="KD20" s="79">
        <v>44761</v>
      </c>
      <c r="KE20" s="79">
        <v>44760</v>
      </c>
      <c r="KF20" s="79">
        <v>44757</v>
      </c>
      <c r="KG20" s="79">
        <v>44756</v>
      </c>
      <c r="KH20" s="79">
        <v>44755</v>
      </c>
      <c r="KI20" s="79">
        <v>44754</v>
      </c>
      <c r="KJ20" s="79">
        <v>44753</v>
      </c>
      <c r="KK20" s="79">
        <v>44750</v>
      </c>
      <c r="KL20" s="79">
        <v>44749</v>
      </c>
      <c r="KM20" s="79">
        <v>44748</v>
      </c>
      <c r="KN20" s="79">
        <v>44747</v>
      </c>
      <c r="KO20" s="79">
        <v>44746</v>
      </c>
      <c r="KP20" s="79">
        <v>44743</v>
      </c>
      <c r="KQ20" s="79">
        <v>44742</v>
      </c>
      <c r="KR20" s="79">
        <v>44741</v>
      </c>
      <c r="KS20" s="79">
        <v>44740</v>
      </c>
      <c r="KT20" s="79">
        <v>44739</v>
      </c>
      <c r="KU20" s="79">
        <v>44736</v>
      </c>
      <c r="KV20" s="79">
        <v>44735</v>
      </c>
      <c r="KW20" s="79">
        <v>44734</v>
      </c>
      <c r="KX20" s="79">
        <v>44733</v>
      </c>
      <c r="KY20" s="79">
        <v>44732</v>
      </c>
      <c r="KZ20" s="79">
        <v>44729</v>
      </c>
      <c r="LA20" s="79">
        <v>44728</v>
      </c>
      <c r="LB20" s="79">
        <v>44727</v>
      </c>
      <c r="LC20" s="79">
        <v>44726</v>
      </c>
      <c r="LD20" s="79">
        <v>44725</v>
      </c>
      <c r="LE20" s="79">
        <v>44722</v>
      </c>
      <c r="LF20" s="79">
        <v>44721</v>
      </c>
      <c r="LG20" s="79">
        <v>44720</v>
      </c>
      <c r="LH20" s="79">
        <v>44719</v>
      </c>
      <c r="LI20" s="79">
        <v>44715</v>
      </c>
      <c r="LJ20" s="79">
        <v>44714</v>
      </c>
      <c r="LK20" s="79">
        <v>44712</v>
      </c>
      <c r="LL20" s="79">
        <v>44711</v>
      </c>
      <c r="LM20" s="79">
        <v>44708</v>
      </c>
      <c r="LN20" s="79">
        <v>44707</v>
      </c>
      <c r="LO20" s="79">
        <v>44706</v>
      </c>
      <c r="LP20" s="79">
        <v>44705</v>
      </c>
      <c r="LQ20" s="79">
        <v>44704</v>
      </c>
      <c r="LR20" s="79">
        <v>44701</v>
      </c>
      <c r="LS20" s="79">
        <v>44700</v>
      </c>
      <c r="LT20" s="79">
        <v>44699</v>
      </c>
      <c r="LU20" s="79">
        <v>44698</v>
      </c>
      <c r="LV20" s="79">
        <v>44697</v>
      </c>
      <c r="LW20" s="79">
        <v>44694</v>
      </c>
      <c r="LX20" s="79">
        <v>44693</v>
      </c>
      <c r="LY20" s="79">
        <v>44692</v>
      </c>
      <c r="LZ20" s="79">
        <v>44691</v>
      </c>
      <c r="MA20" s="79">
        <v>44690</v>
      </c>
      <c r="MB20" s="79">
        <v>44687</v>
      </c>
      <c r="MC20" s="79">
        <v>44685</v>
      </c>
      <c r="MD20" s="79">
        <v>44684</v>
      </c>
      <c r="ME20" s="79">
        <v>44683</v>
      </c>
      <c r="MF20" s="79">
        <v>44680</v>
      </c>
      <c r="MG20" s="79">
        <v>44679</v>
      </c>
      <c r="MH20" s="79">
        <v>44678</v>
      </c>
      <c r="MI20" s="79">
        <v>44677</v>
      </c>
      <c r="MJ20" s="79">
        <v>44676</v>
      </c>
      <c r="MK20" s="79">
        <v>44673</v>
      </c>
      <c r="ML20" s="79">
        <v>44672</v>
      </c>
      <c r="MM20" s="79">
        <v>44671</v>
      </c>
      <c r="MN20" s="79">
        <v>44670</v>
      </c>
      <c r="MO20" s="79">
        <v>44669</v>
      </c>
      <c r="MP20" s="79">
        <v>44666</v>
      </c>
      <c r="MQ20" s="79">
        <v>44665</v>
      </c>
      <c r="MR20" s="79">
        <v>44664</v>
      </c>
      <c r="MS20" s="79">
        <v>44663</v>
      </c>
      <c r="MT20" s="79">
        <v>44662</v>
      </c>
      <c r="MU20" s="79">
        <v>44659</v>
      </c>
      <c r="MV20" s="79">
        <v>44658</v>
      </c>
      <c r="MW20" s="79">
        <v>44657</v>
      </c>
      <c r="MX20" s="79">
        <v>44656</v>
      </c>
      <c r="MY20" s="79">
        <v>44655</v>
      </c>
      <c r="MZ20" s="79">
        <v>44652</v>
      </c>
      <c r="NA20" s="79">
        <v>44651</v>
      </c>
      <c r="NB20" s="79">
        <v>44650</v>
      </c>
      <c r="NC20" s="79">
        <v>44649</v>
      </c>
      <c r="ND20" s="79">
        <v>44648</v>
      </c>
      <c r="NE20" s="79">
        <v>44645</v>
      </c>
      <c r="NF20" s="79">
        <v>44644</v>
      </c>
      <c r="NG20" s="79">
        <v>44643</v>
      </c>
      <c r="NH20" s="79">
        <v>44642</v>
      </c>
      <c r="NI20" s="79">
        <v>44641</v>
      </c>
      <c r="NJ20" s="79">
        <v>44638</v>
      </c>
      <c r="NK20" s="79">
        <v>44637</v>
      </c>
      <c r="NL20" s="79">
        <v>44636</v>
      </c>
      <c r="NM20" s="79">
        <v>44635</v>
      </c>
      <c r="NN20" s="79">
        <v>44634</v>
      </c>
      <c r="NO20" s="79">
        <v>44631</v>
      </c>
      <c r="NP20" s="79">
        <v>44630</v>
      </c>
      <c r="NQ20" s="79">
        <v>44628</v>
      </c>
      <c r="NR20" s="79">
        <v>44627</v>
      </c>
      <c r="NS20" s="79">
        <v>44624</v>
      </c>
      <c r="NT20" s="79">
        <v>44623</v>
      </c>
      <c r="NU20" s="79">
        <v>44622</v>
      </c>
      <c r="NV20" s="79">
        <v>44620</v>
      </c>
    </row>
    <row r="21" spans="1:386" s="77" customFormat="1" ht="15" customHeight="1" thickBot="1">
      <c r="A21" s="4"/>
      <c r="B21" s="4"/>
      <c r="C21" s="148" t="s">
        <v>270</v>
      </c>
      <c r="D21" s="160">
        <f>IF(V18="","",V18)</f>
        <v>4810</v>
      </c>
      <c r="E21" s="161">
        <f t="shared" si="5"/>
        <v>3869</v>
      </c>
      <c r="F21" s="161">
        <f t="shared" si="5"/>
        <v>3048</v>
      </c>
      <c r="G21" s="161">
        <f t="shared" si="5"/>
        <v>-830</v>
      </c>
      <c r="H21" s="161">
        <f t="shared" si="5"/>
        <v>7296</v>
      </c>
      <c r="I21" s="161">
        <f t="shared" si="5"/>
        <v>-6054</v>
      </c>
      <c r="J21" s="161">
        <f t="shared" si="5"/>
        <v>2692</v>
      </c>
      <c r="K21" s="161">
        <f t="shared" si="5"/>
        <v>-2467</v>
      </c>
      <c r="L21" s="161">
        <f t="shared" si="5"/>
        <v>4970</v>
      </c>
      <c r="M21" s="161">
        <f t="shared" si="5"/>
        <v>12329</v>
      </c>
      <c r="N21" s="161">
        <f t="shared" si="5"/>
        <v>6468</v>
      </c>
      <c r="O21" s="162">
        <f t="shared" si="5"/>
        <v>-10957</v>
      </c>
      <c r="P21"/>
      <c r="Q21"/>
      <c r="R21" s="4"/>
      <c r="S21" s="4"/>
      <c r="U21" s="80" t="s">
        <v>259</v>
      </c>
      <c r="V21" s="77">
        <v>-37263740060</v>
      </c>
      <c r="W21" s="77">
        <v>-25492740930</v>
      </c>
      <c r="X21" s="77">
        <v>-17247989750</v>
      </c>
      <c r="Y21" s="77">
        <v>-31154800145</v>
      </c>
      <c r="Z21" s="77">
        <v>-28641066915</v>
      </c>
      <c r="AA21" s="77">
        <v>-16595408230</v>
      </c>
      <c r="AB21" s="77">
        <v>-59598799130</v>
      </c>
      <c r="AC21" s="77">
        <v>453979455</v>
      </c>
      <c r="AD21" s="77">
        <v>-19188433210</v>
      </c>
      <c r="AE21" s="77">
        <v>-5360210940</v>
      </c>
      <c r="AF21" s="77">
        <v>1881664050</v>
      </c>
      <c r="AG21" s="77">
        <v>-4328941415</v>
      </c>
      <c r="AH21" s="77">
        <v>-6949911730</v>
      </c>
      <c r="AI21" s="77">
        <v>-47084221470</v>
      </c>
      <c r="AJ21" s="77">
        <v>1952600235</v>
      </c>
      <c r="AK21" s="77">
        <v>-13120038290</v>
      </c>
      <c r="AL21" s="77">
        <v>-3854383545</v>
      </c>
      <c r="AM21" s="77">
        <v>-11851920815</v>
      </c>
      <c r="AN21" s="77">
        <v>-20549666995</v>
      </c>
      <c r="AO21" s="77">
        <v>-13123765930</v>
      </c>
      <c r="AP21" s="77">
        <v>4691987915</v>
      </c>
      <c r="AQ21" s="77">
        <v>-3426179945</v>
      </c>
      <c r="AR21" s="77">
        <v>-11238820640</v>
      </c>
      <c r="AS21" s="77">
        <v>15477970595</v>
      </c>
      <c r="AT21" s="77">
        <v>102959807640</v>
      </c>
      <c r="AU21" s="77">
        <v>1563481990</v>
      </c>
      <c r="AV21" s="77">
        <v>-1206474055</v>
      </c>
      <c r="AW21" s="77">
        <v>-8603016425</v>
      </c>
      <c r="AX21" s="77">
        <v>-20654899770</v>
      </c>
      <c r="AY21" s="77">
        <v>-8106977085</v>
      </c>
      <c r="AZ21" s="77">
        <v>-11296733100</v>
      </c>
      <c r="BA21" s="77">
        <v>-64415643450</v>
      </c>
      <c r="BB21" s="77">
        <v>-10470490410</v>
      </c>
      <c r="BC21" s="77">
        <v>-9534986305</v>
      </c>
      <c r="BD21" s="77">
        <v>-51145840535</v>
      </c>
      <c r="BE21" s="77">
        <v>-17289667445</v>
      </c>
      <c r="BF21" s="77">
        <v>-20031874020</v>
      </c>
      <c r="BG21" s="77">
        <v>2060340510</v>
      </c>
      <c r="BH21" s="77">
        <v>-27727494950</v>
      </c>
      <c r="BI21" s="77">
        <v>-5006886875</v>
      </c>
      <c r="BJ21" s="77">
        <v>1617423890</v>
      </c>
      <c r="BK21" s="77">
        <v>4607306970</v>
      </c>
      <c r="BL21" s="77">
        <v>3075240875</v>
      </c>
      <c r="BM21" s="77">
        <v>-3448653190</v>
      </c>
      <c r="BN21" s="77">
        <v>6555754730</v>
      </c>
      <c r="BO21" s="77">
        <v>-12407943890</v>
      </c>
      <c r="BP21" s="77">
        <v>-5349836130</v>
      </c>
      <c r="BQ21" s="77">
        <v>-1898478775</v>
      </c>
      <c r="BR21" s="77">
        <v>-316391160</v>
      </c>
      <c r="BS21" s="77">
        <v>-51647163485</v>
      </c>
      <c r="BT21" s="77">
        <v>-2272837407</v>
      </c>
      <c r="BU21" s="77">
        <v>153599299</v>
      </c>
      <c r="BV21" s="77">
        <v>-1682658890</v>
      </c>
      <c r="BW21" s="77">
        <v>-1040017975</v>
      </c>
      <c r="BX21" s="77">
        <v>-27660529430</v>
      </c>
      <c r="BY21" s="77">
        <v>-189044525</v>
      </c>
      <c r="BZ21" s="77">
        <v>-29722948940</v>
      </c>
      <c r="CA21" s="77">
        <v>-24218232735</v>
      </c>
      <c r="CB21" s="77">
        <v>-1275403670</v>
      </c>
      <c r="CC21" s="77">
        <v>-537667365</v>
      </c>
      <c r="CD21" s="77">
        <v>540795270</v>
      </c>
      <c r="CE21" s="77">
        <v>-465929430</v>
      </c>
      <c r="CF21" s="77">
        <v>-4700874327</v>
      </c>
      <c r="CG21" s="77">
        <v>-6527650928</v>
      </c>
      <c r="CH21" s="77">
        <v>-2299634804</v>
      </c>
      <c r="CI21" s="77">
        <v>-1444644344</v>
      </c>
      <c r="CJ21" s="77">
        <v>-15238049723</v>
      </c>
      <c r="CK21" s="77">
        <v>4980519865</v>
      </c>
      <c r="CL21" s="77">
        <v>-3598886430</v>
      </c>
      <c r="CM21" s="77">
        <v>-1327730905</v>
      </c>
      <c r="CN21" s="77">
        <v>-21067785385</v>
      </c>
      <c r="CO21" s="77">
        <v>-29707383790</v>
      </c>
      <c r="CP21" s="77">
        <v>-11095014254</v>
      </c>
      <c r="CQ21" s="77">
        <v>-20032448354</v>
      </c>
      <c r="CR21" s="77">
        <v>-44900052420</v>
      </c>
      <c r="CS21" s="77">
        <v>-32112108092</v>
      </c>
      <c r="CT21" s="77">
        <v>-6290256585</v>
      </c>
      <c r="CU21" s="77">
        <v>-159130927</v>
      </c>
      <c r="CV21" s="77">
        <v>-175256624</v>
      </c>
      <c r="CW21" s="77">
        <v>-10874485032</v>
      </c>
      <c r="CX21" s="77">
        <v>-21448477687</v>
      </c>
      <c r="CY21" s="77">
        <v>-616535215</v>
      </c>
      <c r="CZ21" s="77">
        <v>-37351483988</v>
      </c>
      <c r="DA21" s="77">
        <v>-11600167554</v>
      </c>
      <c r="DB21" s="77">
        <v>-21857425337</v>
      </c>
      <c r="DC21" s="77">
        <v>25830387510</v>
      </c>
      <c r="DD21" s="77">
        <v>-8756734403</v>
      </c>
      <c r="DE21" s="77">
        <v>-2932548270</v>
      </c>
      <c r="DF21" s="77">
        <v>-10174422591</v>
      </c>
      <c r="DG21" s="77">
        <v>-18560923376</v>
      </c>
      <c r="DH21" s="77">
        <v>-5380102081</v>
      </c>
      <c r="DI21" s="77">
        <v>212741012</v>
      </c>
      <c r="DJ21" s="77">
        <v>-825645070</v>
      </c>
      <c r="DK21" s="77">
        <v>-13487546049</v>
      </c>
      <c r="DL21" s="77">
        <v>2834179617</v>
      </c>
      <c r="DM21" s="77">
        <v>-34583379669</v>
      </c>
      <c r="DN21" s="77">
        <v>-920063549</v>
      </c>
      <c r="DO21" s="77">
        <v>2076251963</v>
      </c>
      <c r="DP21" s="77">
        <v>-9249874058</v>
      </c>
      <c r="DQ21" s="77">
        <v>-16324190347</v>
      </c>
      <c r="DR21" s="77">
        <v>-21399203425</v>
      </c>
      <c r="DS21" s="77">
        <v>-6075707521</v>
      </c>
      <c r="DT21" s="77">
        <v>-324977546</v>
      </c>
      <c r="DU21" s="77">
        <v>119030977</v>
      </c>
      <c r="DV21" s="77">
        <v>-1810742535</v>
      </c>
      <c r="DW21" s="77">
        <v>-12582538038</v>
      </c>
      <c r="DX21" s="77">
        <v>-13150558852</v>
      </c>
      <c r="DY21" s="77">
        <v>-16430074169</v>
      </c>
      <c r="DZ21" s="77">
        <v>1569552090</v>
      </c>
      <c r="EA21" s="77">
        <v>-55221316271</v>
      </c>
      <c r="EB21" s="77">
        <v>-105704945558</v>
      </c>
      <c r="EC21" s="77">
        <v>-154535984633</v>
      </c>
      <c r="ED21" s="77">
        <v>-10868636837</v>
      </c>
      <c r="EE21" s="77">
        <v>-1838802565</v>
      </c>
      <c r="EF21" s="77">
        <v>-26967846745</v>
      </c>
      <c r="EG21" s="77">
        <v>-33504057088</v>
      </c>
      <c r="EH21" s="77">
        <v>-11631918953</v>
      </c>
      <c r="EI21" s="77">
        <v>-29458528673</v>
      </c>
      <c r="EJ21" s="77">
        <v>-16711564001</v>
      </c>
      <c r="EK21" s="77">
        <v>-6439903856</v>
      </c>
      <c r="EL21" s="77">
        <v>-18774697985</v>
      </c>
      <c r="EM21" s="77">
        <v>-9350709589</v>
      </c>
      <c r="EN21" s="77">
        <v>-9497366688</v>
      </c>
      <c r="EO21" s="77">
        <v>-70935554763</v>
      </c>
      <c r="EP21" s="77">
        <v>78856553208</v>
      </c>
      <c r="EQ21" s="77">
        <v>-70004850063</v>
      </c>
      <c r="ER21" s="77">
        <v>-1634968080</v>
      </c>
      <c r="ES21" s="77">
        <v>-100268060239</v>
      </c>
      <c r="ET21" s="77">
        <v>-98281387546</v>
      </c>
      <c r="EU21" s="77">
        <v>-22834426470</v>
      </c>
      <c r="EV21" s="77">
        <v>-22609650777</v>
      </c>
      <c r="EW21" s="77">
        <v>-10831982469</v>
      </c>
      <c r="EX21" s="77">
        <v>-23802327276</v>
      </c>
      <c r="EY21" s="77">
        <v>-12042396447</v>
      </c>
      <c r="EZ21" s="77">
        <v>-2539221505</v>
      </c>
      <c r="FA21" s="77">
        <v>-25221992885</v>
      </c>
      <c r="FB21" s="77">
        <v>-12670520710</v>
      </c>
      <c r="FC21" s="77">
        <v>-10274381989</v>
      </c>
      <c r="FD21" s="77">
        <v>-5342008910</v>
      </c>
      <c r="FE21" s="77">
        <v>34433399517</v>
      </c>
      <c r="FF21" s="77">
        <v>-3546820845</v>
      </c>
      <c r="FG21" s="77">
        <v>-5788744760</v>
      </c>
      <c r="FH21" s="77">
        <v>13576700735</v>
      </c>
      <c r="FI21" s="77">
        <v>-5991965760</v>
      </c>
      <c r="FJ21" s="77">
        <v>32911982380</v>
      </c>
      <c r="FK21" s="77">
        <v>9701107865</v>
      </c>
      <c r="FL21" s="77">
        <v>39600610705</v>
      </c>
      <c r="FM21" s="77">
        <v>98956784995</v>
      </c>
      <c r="FN21" s="77">
        <v>-4244857850</v>
      </c>
      <c r="FO21" s="77">
        <v>-8695365010</v>
      </c>
      <c r="FP21" s="77">
        <v>-10616215880</v>
      </c>
      <c r="FQ21" s="77">
        <v>-42412009790</v>
      </c>
      <c r="FR21" s="77">
        <v>-127606231535</v>
      </c>
      <c r="FS21" s="77">
        <v>-44043267415</v>
      </c>
      <c r="FT21" s="77">
        <v>-48084739170</v>
      </c>
      <c r="FU21" s="77">
        <v>-37909745455</v>
      </c>
      <c r="FV21" s="77">
        <v>-19313464785</v>
      </c>
      <c r="FW21" s="77">
        <v>-52193382510</v>
      </c>
      <c r="FX21" s="77">
        <v>218832973660</v>
      </c>
      <c r="FY21" s="77">
        <v>7403798185</v>
      </c>
      <c r="FZ21" s="77">
        <v>9080442920</v>
      </c>
      <c r="GA21" s="77">
        <v>11534548855</v>
      </c>
      <c r="GB21" s="77">
        <v>-6847665040</v>
      </c>
      <c r="GC21" s="77">
        <v>-3197114890</v>
      </c>
      <c r="GD21" s="77">
        <v>-3902806705</v>
      </c>
      <c r="GE21" s="77">
        <v>12660944885</v>
      </c>
      <c r="GF21" s="77">
        <v>-5480325400</v>
      </c>
      <c r="GG21" s="77">
        <v>30247228690</v>
      </c>
      <c r="GH21" s="77">
        <v>-1111684275</v>
      </c>
      <c r="GI21" s="77">
        <v>7986308630</v>
      </c>
      <c r="GJ21" s="77">
        <v>16707483995</v>
      </c>
      <c r="GK21" s="77">
        <v>-3506726630</v>
      </c>
      <c r="GL21" s="77">
        <v>-17480239920</v>
      </c>
      <c r="GM21" s="77">
        <v>-14969308470</v>
      </c>
      <c r="GN21" s="77">
        <v>-4237682975</v>
      </c>
      <c r="GO21" s="77">
        <v>-12032931320</v>
      </c>
      <c r="GP21" s="77">
        <v>-11329455605</v>
      </c>
      <c r="GQ21" s="77">
        <v>-15967386625</v>
      </c>
      <c r="GR21" s="77">
        <v>-724774845</v>
      </c>
      <c r="GS21" s="77">
        <v>-12685224915</v>
      </c>
      <c r="GT21" s="77">
        <v>22989837510</v>
      </c>
      <c r="GU21" s="77">
        <v>-4084266100</v>
      </c>
      <c r="GV21" s="77">
        <v>31400199500</v>
      </c>
      <c r="GW21" s="77">
        <v>15195343715</v>
      </c>
      <c r="GX21" s="77">
        <v>25538485795</v>
      </c>
      <c r="GY21" s="77">
        <v>1728489060</v>
      </c>
      <c r="GZ21" s="77">
        <v>39359317505</v>
      </c>
      <c r="HA21" s="77">
        <v>46136701870</v>
      </c>
      <c r="HB21" s="77">
        <v>80370886140</v>
      </c>
      <c r="HC21" s="77">
        <v>37491181675</v>
      </c>
      <c r="HD21" s="77">
        <v>120426942430</v>
      </c>
      <c r="HE21" s="77">
        <v>-53628927890</v>
      </c>
      <c r="HF21" s="77">
        <v>62192640145</v>
      </c>
      <c r="HG21" s="77">
        <v>9466831355</v>
      </c>
      <c r="HH21" s="77">
        <v>4503554825</v>
      </c>
      <c r="HI21" s="77">
        <v>-13058806190</v>
      </c>
      <c r="HJ21" s="77">
        <v>-70123701120</v>
      </c>
      <c r="HK21" s="77">
        <v>-22139076565</v>
      </c>
      <c r="HL21" s="77">
        <v>7949014940</v>
      </c>
      <c r="HM21" s="77">
        <v>4160933475</v>
      </c>
      <c r="HN21" s="77">
        <v>14122395870</v>
      </c>
      <c r="HO21" s="77">
        <v>21550916260</v>
      </c>
      <c r="HP21" s="77">
        <v>-6514721610</v>
      </c>
      <c r="HQ21" s="77">
        <v>-1039147970</v>
      </c>
      <c r="HR21" s="77">
        <v>14355349385</v>
      </c>
      <c r="HS21" s="77">
        <v>-10299356815</v>
      </c>
      <c r="HT21" s="77">
        <v>-10940297785</v>
      </c>
      <c r="HU21" s="77">
        <v>-13774943640</v>
      </c>
      <c r="HV21" s="77">
        <v>2086259415</v>
      </c>
      <c r="HW21" s="77">
        <v>-40682083845</v>
      </c>
      <c r="HX21" s="77">
        <v>-1091494330</v>
      </c>
      <c r="HY21" s="77">
        <v>-157473518285</v>
      </c>
      <c r="HZ21" s="77">
        <v>-96805683205</v>
      </c>
      <c r="IA21" s="77">
        <v>-68853444945</v>
      </c>
      <c r="IB21" s="77">
        <v>-13469465915</v>
      </c>
      <c r="IC21" s="77">
        <v>-36858998420</v>
      </c>
      <c r="ID21" s="77">
        <v>-70617929935</v>
      </c>
      <c r="IE21" s="77">
        <v>-6367902730</v>
      </c>
      <c r="IF21" s="77">
        <v>20440310940</v>
      </c>
      <c r="IG21" s="77">
        <v>9270215150</v>
      </c>
      <c r="IH21" s="77">
        <v>-9780654045</v>
      </c>
      <c r="II21" s="77">
        <v>12419278710</v>
      </c>
      <c r="IJ21" s="77">
        <v>13184978805</v>
      </c>
      <c r="IK21" s="77">
        <v>-26910454240</v>
      </c>
      <c r="IL21" s="77">
        <v>-58906851665</v>
      </c>
      <c r="IM21" s="77">
        <v>-3742906955</v>
      </c>
      <c r="IN21" s="77">
        <v>6333422665</v>
      </c>
      <c r="IO21" s="77">
        <v>3136865440</v>
      </c>
      <c r="IP21" s="77">
        <v>-118297981765</v>
      </c>
      <c r="IQ21" s="77">
        <v>-67049255925</v>
      </c>
      <c r="IR21" s="77">
        <v>-21748370210</v>
      </c>
      <c r="IS21" s="77">
        <v>29563393085</v>
      </c>
      <c r="IT21" s="77">
        <v>-113299861885</v>
      </c>
      <c r="IU21" s="77">
        <v>-58029497620</v>
      </c>
      <c r="IV21" s="77">
        <v>-9656212120</v>
      </c>
      <c r="IW21" s="77">
        <v>28542204045</v>
      </c>
      <c r="IX21" s="77">
        <v>-144466079005</v>
      </c>
      <c r="IY21" s="77">
        <v>-421502689690</v>
      </c>
      <c r="IZ21" s="77">
        <v>-79434259415</v>
      </c>
      <c r="JA21" s="77">
        <v>-8590695895</v>
      </c>
      <c r="JB21" s="77">
        <v>-16042441530</v>
      </c>
      <c r="JC21" s="77">
        <v>-7987049125</v>
      </c>
      <c r="JD21" s="77">
        <v>2798351340</v>
      </c>
      <c r="JE21" s="77">
        <v>-7082106265</v>
      </c>
      <c r="JF21" s="77">
        <v>-12976852200</v>
      </c>
      <c r="JG21" s="77">
        <v>-940791825</v>
      </c>
      <c r="JH21" s="77">
        <v>-4502573305</v>
      </c>
      <c r="JI21" s="77">
        <v>-30226528080</v>
      </c>
      <c r="JJ21" s="77">
        <v>5123110825</v>
      </c>
      <c r="JK21" s="77">
        <v>2827748805</v>
      </c>
      <c r="JL21" s="77">
        <v>11060494675</v>
      </c>
      <c r="JM21" s="77">
        <v>16836725945</v>
      </c>
      <c r="JN21" s="77">
        <v>-15930959160</v>
      </c>
      <c r="JO21" s="77">
        <v>12659943135</v>
      </c>
      <c r="JP21" s="77">
        <v>-32611628785</v>
      </c>
      <c r="JQ21" s="77">
        <v>-495886025</v>
      </c>
      <c r="JR21" s="77">
        <v>-25186268505</v>
      </c>
      <c r="JS21" s="77">
        <v>11329169640</v>
      </c>
      <c r="JT21" s="77">
        <v>-13745046935</v>
      </c>
      <c r="JU21" s="77">
        <v>-4650728880</v>
      </c>
      <c r="JV21" s="77">
        <v>12189328090</v>
      </c>
      <c r="JW21" s="77">
        <v>5923559970</v>
      </c>
      <c r="JX21" s="77">
        <v>13959263015</v>
      </c>
      <c r="JY21" s="77">
        <v>-460294840</v>
      </c>
      <c r="JZ21" s="77">
        <v>16278145855</v>
      </c>
      <c r="KA21" s="77">
        <v>-16699410615</v>
      </c>
      <c r="KB21" s="77">
        <v>-29667372145</v>
      </c>
      <c r="KC21" s="77">
        <v>-2904034510</v>
      </c>
      <c r="KD21" s="77">
        <v>-18712069405</v>
      </c>
      <c r="KE21" s="77">
        <v>-31332020790</v>
      </c>
      <c r="KF21" s="77">
        <v>-11411416240</v>
      </c>
      <c r="KG21" s="77">
        <v>14560373060</v>
      </c>
      <c r="KH21" s="77">
        <v>-876361600</v>
      </c>
      <c r="KI21" s="77">
        <v>-2665408535</v>
      </c>
      <c r="KJ21" s="77">
        <v>-9328480040</v>
      </c>
      <c r="KK21" s="77">
        <v>-11140480130</v>
      </c>
      <c r="KL21" s="77">
        <v>16059932725</v>
      </c>
      <c r="KM21" s="77">
        <v>-35573326155</v>
      </c>
      <c r="KN21" s="77">
        <v>7491781380</v>
      </c>
      <c r="KO21" s="77">
        <v>43203137595</v>
      </c>
      <c r="KP21" s="77">
        <v>10493805610</v>
      </c>
      <c r="KQ21" s="77">
        <v>-9682383075</v>
      </c>
      <c r="KR21" s="77">
        <v>-23549100110</v>
      </c>
      <c r="KS21" s="77">
        <v>-449760515</v>
      </c>
      <c r="KT21" s="77">
        <v>-27259928745</v>
      </c>
      <c r="KU21" s="77">
        <v>164624789120</v>
      </c>
      <c r="KV21" s="77">
        <v>184600944430</v>
      </c>
      <c r="KW21" s="77">
        <v>11194838925</v>
      </c>
      <c r="KX21" s="77">
        <v>46089697185</v>
      </c>
      <c r="KY21" s="77">
        <v>51862443335</v>
      </c>
      <c r="KZ21" s="77">
        <v>12008100470</v>
      </c>
      <c r="LA21" s="77">
        <v>31276261150</v>
      </c>
      <c r="LB21" s="77">
        <v>-9663975365</v>
      </c>
      <c r="LC21" s="77">
        <v>21771684485</v>
      </c>
      <c r="LD21" s="77">
        <v>3043135760</v>
      </c>
      <c r="LE21" s="77">
        <v>-41368444945</v>
      </c>
      <c r="LF21" s="77">
        <v>1074743835</v>
      </c>
      <c r="LG21" s="77">
        <v>9255757075</v>
      </c>
      <c r="LH21" s="77">
        <v>-23591128840</v>
      </c>
      <c r="LI21" s="77">
        <v>24006068935</v>
      </c>
      <c r="LJ21" s="77">
        <v>-29031581365</v>
      </c>
      <c r="LK21" s="77">
        <v>-15613891495</v>
      </c>
      <c r="LL21" s="77">
        <v>21236056440</v>
      </c>
      <c r="LM21" s="77">
        <v>20501095900</v>
      </c>
      <c r="LN21" s="77">
        <v>11356812995</v>
      </c>
      <c r="LO21" s="77">
        <v>19110990985</v>
      </c>
      <c r="LP21" s="77">
        <v>-803353055</v>
      </c>
      <c r="LQ21" s="77">
        <v>18149752070</v>
      </c>
      <c r="LR21" s="77">
        <v>35634603530</v>
      </c>
      <c r="LS21" s="77">
        <v>-8243883840</v>
      </c>
      <c r="LT21" s="77">
        <v>2403984355</v>
      </c>
      <c r="LU21" s="77">
        <v>11513314500</v>
      </c>
      <c r="LV21" s="77">
        <v>8504922550</v>
      </c>
      <c r="LW21" s="77">
        <v>42715072290</v>
      </c>
      <c r="LX21" s="77">
        <v>-2294974715</v>
      </c>
      <c r="LY21" s="77">
        <v>-38994176140</v>
      </c>
      <c r="LZ21" s="77">
        <v>734264590</v>
      </c>
      <c r="MA21" s="77">
        <v>-9597907100</v>
      </c>
      <c r="MB21" s="77">
        <v>-64534462015</v>
      </c>
      <c r="MC21" s="77">
        <v>643732005</v>
      </c>
      <c r="MD21" s="77">
        <v>-26121395430</v>
      </c>
      <c r="ME21" s="77">
        <v>-14839851050</v>
      </c>
      <c r="MF21" s="77">
        <v>22981172880</v>
      </c>
      <c r="MG21" s="77">
        <v>-33190876560</v>
      </c>
      <c r="MH21" s="77">
        <v>-1241190825</v>
      </c>
      <c r="MI21" s="77">
        <v>-3119764205</v>
      </c>
      <c r="MJ21" s="77">
        <v>-117975760990</v>
      </c>
      <c r="MK21" s="77">
        <v>-74792410025</v>
      </c>
      <c r="ML21" s="77">
        <v>23706034010</v>
      </c>
      <c r="MM21" s="77">
        <v>-29298617190</v>
      </c>
      <c r="MN21" s="77">
        <v>18852348255</v>
      </c>
      <c r="MO21" s="77">
        <v>-31073377215</v>
      </c>
      <c r="MP21" s="77">
        <v>-85417531760</v>
      </c>
      <c r="MQ21" s="77">
        <v>-33858924465</v>
      </c>
      <c r="MR21" s="77">
        <v>22165796385</v>
      </c>
      <c r="MS21" s="77">
        <v>-19837478010</v>
      </c>
      <c r="MT21" s="77">
        <v>-1927100180</v>
      </c>
      <c r="MU21" s="77">
        <v>11718429475</v>
      </c>
      <c r="MV21" s="77">
        <v>-87292004040</v>
      </c>
      <c r="MW21" s="77">
        <v>-41199774465</v>
      </c>
      <c r="MX21" s="77">
        <v>-4266504895</v>
      </c>
      <c r="MY21" s="77">
        <v>12365282555</v>
      </c>
      <c r="MZ21" s="77">
        <v>-37165299770</v>
      </c>
      <c r="NA21" s="77">
        <v>3553096975</v>
      </c>
      <c r="NB21" s="77">
        <v>13751012360</v>
      </c>
      <c r="NC21" s="77">
        <v>8193005950</v>
      </c>
      <c r="ND21" s="77">
        <v>1165686420</v>
      </c>
      <c r="NE21" s="77">
        <v>-3477627940</v>
      </c>
      <c r="NF21" s="77">
        <v>-28202642690</v>
      </c>
      <c r="NG21" s="77">
        <v>5941524420</v>
      </c>
      <c r="NH21" s="77">
        <v>23128455030</v>
      </c>
      <c r="NI21" s="77">
        <v>-10402699495</v>
      </c>
      <c r="NJ21" s="77">
        <v>-4237795270</v>
      </c>
      <c r="NK21" s="77">
        <v>9140019790</v>
      </c>
      <c r="NL21" s="77">
        <v>30671934940</v>
      </c>
      <c r="NM21" s="77">
        <v>-10170453035</v>
      </c>
      <c r="NN21" s="77">
        <v>-3225213140</v>
      </c>
      <c r="NO21" s="77">
        <v>-37903518915</v>
      </c>
      <c r="NP21" s="77">
        <v>18124084505</v>
      </c>
      <c r="NQ21" s="77">
        <v>-19357111460</v>
      </c>
      <c r="NR21" s="77">
        <v>-326254375615</v>
      </c>
      <c r="NS21" s="77">
        <v>-117932622290</v>
      </c>
      <c r="NT21" s="77">
        <v>-5326076320</v>
      </c>
      <c r="NU21" s="77">
        <v>-14752760815</v>
      </c>
      <c r="NV21" s="77">
        <v>-10963983560</v>
      </c>
    </row>
    <row r="22" spans="1:386" s="77" customFormat="1" ht="15" customHeight="1">
      <c r="A22" s="4"/>
      <c r="B22" s="4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s="4"/>
      <c r="S22" s="4"/>
      <c r="U22" s="80" t="s">
        <v>260</v>
      </c>
      <c r="V22" s="77">
        <v>176066445704</v>
      </c>
      <c r="W22" s="77">
        <v>114973640312</v>
      </c>
      <c r="X22" s="77">
        <v>-44126760784</v>
      </c>
      <c r="Y22" s="77">
        <v>-88764899641</v>
      </c>
      <c r="Z22" s="77">
        <v>-307876559792</v>
      </c>
      <c r="AA22" s="77">
        <v>34264678013</v>
      </c>
      <c r="AB22" s="77">
        <v>-109256262769</v>
      </c>
      <c r="AC22" s="77">
        <v>184138934063</v>
      </c>
      <c r="AD22" s="77">
        <v>-270009294198</v>
      </c>
      <c r="AE22" s="77">
        <v>-116551979624</v>
      </c>
      <c r="AF22" s="77">
        <v>-208004490863</v>
      </c>
      <c r="AG22" s="77">
        <v>216151446370</v>
      </c>
      <c r="AH22" s="77">
        <v>-148358343459</v>
      </c>
      <c r="AI22" s="77">
        <v>-81566385495</v>
      </c>
      <c r="AJ22" s="77">
        <v>47756821894</v>
      </c>
      <c r="AK22" s="77">
        <v>-467230835328</v>
      </c>
      <c r="AL22" s="77">
        <v>-326156898811</v>
      </c>
      <c r="AM22" s="77">
        <v>-82072728691</v>
      </c>
      <c r="AN22" s="77">
        <v>26678756325</v>
      </c>
      <c r="AO22" s="77">
        <v>248952371557</v>
      </c>
      <c r="AP22" s="77">
        <v>35929482312</v>
      </c>
      <c r="AQ22" s="77">
        <v>-112480740542</v>
      </c>
      <c r="AR22" s="77">
        <v>-276461350824</v>
      </c>
      <c r="AS22" s="77">
        <v>307137362368</v>
      </c>
      <c r="AT22" s="77">
        <v>-115364532717</v>
      </c>
      <c r="AU22" s="77">
        <v>244355180205</v>
      </c>
      <c r="AV22" s="77">
        <v>282690190623</v>
      </c>
      <c r="AW22" s="77">
        <v>42322348694</v>
      </c>
      <c r="AX22" s="77">
        <v>-270227271301</v>
      </c>
      <c r="AY22" s="77">
        <v>-191762444136</v>
      </c>
      <c r="AZ22" s="77">
        <v>176166542380</v>
      </c>
      <c r="BA22" s="77">
        <v>-256348347392</v>
      </c>
      <c r="BB22" s="77">
        <v>-216539503665</v>
      </c>
      <c r="BC22" s="77">
        <v>-9216361594</v>
      </c>
      <c r="BD22" s="77">
        <v>64342315541</v>
      </c>
      <c r="BE22" s="77">
        <v>-255807635627</v>
      </c>
      <c r="BF22" s="77">
        <v>-65286657698</v>
      </c>
      <c r="BG22" s="77">
        <v>46383985751</v>
      </c>
      <c r="BH22" s="77">
        <v>-233519348780</v>
      </c>
      <c r="BI22" s="77">
        <v>96448935658</v>
      </c>
      <c r="BJ22" s="77">
        <v>-282992913666</v>
      </c>
      <c r="BK22" s="77">
        <v>-231246173789</v>
      </c>
      <c r="BL22" s="77">
        <v>-494827586240</v>
      </c>
      <c r="BM22" s="77">
        <v>300224628307</v>
      </c>
      <c r="BN22" s="77">
        <v>-125030012776</v>
      </c>
      <c r="BO22" s="77">
        <v>-124270658107</v>
      </c>
      <c r="BP22" s="77">
        <v>-103366019249</v>
      </c>
      <c r="BQ22" s="77">
        <v>-332840062892</v>
      </c>
      <c r="BR22" s="77">
        <v>165814884672</v>
      </c>
      <c r="BS22" s="77">
        <v>-253642951735</v>
      </c>
      <c r="BT22" s="77">
        <v>114942403322</v>
      </c>
      <c r="BU22" s="77">
        <v>-27657013466</v>
      </c>
      <c r="BV22" s="77">
        <v>322862705726</v>
      </c>
      <c r="BW22" s="77">
        <v>-167047645315</v>
      </c>
      <c r="BX22" s="77">
        <v>-63627539015</v>
      </c>
      <c r="BY22" s="77">
        <v>228374853473</v>
      </c>
      <c r="BZ22" s="77">
        <v>126428818872</v>
      </c>
      <c r="CA22" s="77">
        <v>-38323961009</v>
      </c>
      <c r="CB22" s="77">
        <v>47139291346</v>
      </c>
      <c r="CC22" s="77">
        <v>-119759859003</v>
      </c>
      <c r="CD22" s="77">
        <v>105201802986</v>
      </c>
      <c r="CE22" s="77">
        <v>196451698103</v>
      </c>
      <c r="CF22" s="77">
        <v>273698693131</v>
      </c>
      <c r="CG22" s="77">
        <v>3768113735</v>
      </c>
      <c r="CH22" s="77">
        <v>140332567466</v>
      </c>
      <c r="CI22" s="77">
        <v>-64122073888</v>
      </c>
      <c r="CJ22" s="77">
        <v>-110219031012</v>
      </c>
      <c r="CK22" s="77">
        <v>-68025966184</v>
      </c>
      <c r="CL22" s="77">
        <v>-42311290661</v>
      </c>
      <c r="CM22" s="77">
        <v>20587868029</v>
      </c>
      <c r="CN22" s="77">
        <v>64057428775</v>
      </c>
      <c r="CO22" s="77">
        <v>70732713392</v>
      </c>
      <c r="CP22" s="77">
        <v>-49541548743</v>
      </c>
      <c r="CQ22" s="77">
        <v>155941843373</v>
      </c>
      <c r="CR22" s="77">
        <v>146706627754</v>
      </c>
      <c r="CS22" s="77">
        <v>101541975292</v>
      </c>
      <c r="CT22" s="77">
        <v>-123350764049</v>
      </c>
      <c r="CU22" s="77">
        <v>97610209381</v>
      </c>
      <c r="CV22" s="77">
        <v>-58133399163</v>
      </c>
      <c r="CW22" s="77">
        <v>-114449106773</v>
      </c>
      <c r="CX22" s="77">
        <v>137217954112</v>
      </c>
      <c r="CY22" s="77">
        <v>-77033041733</v>
      </c>
      <c r="CZ22" s="77">
        <v>87786472066</v>
      </c>
      <c r="DA22" s="77">
        <v>-53499735637</v>
      </c>
      <c r="DB22" s="77">
        <v>145880560462</v>
      </c>
      <c r="DC22" s="77">
        <v>31256936911</v>
      </c>
      <c r="DD22" s="77">
        <v>210352593290</v>
      </c>
      <c r="DE22" s="77">
        <v>-116273649806</v>
      </c>
      <c r="DF22" s="77">
        <v>521040634853</v>
      </c>
      <c r="DG22" s="77">
        <v>741626760237</v>
      </c>
      <c r="DH22" s="77">
        <v>-216420235611</v>
      </c>
      <c r="DI22" s="77">
        <v>155789796915</v>
      </c>
      <c r="DJ22" s="77">
        <v>-85772898260</v>
      </c>
      <c r="DK22" s="77">
        <v>-73190948825</v>
      </c>
      <c r="DL22" s="77">
        <v>575539512741</v>
      </c>
      <c r="DM22" s="77">
        <v>186729191997</v>
      </c>
      <c r="DN22" s="77">
        <v>131846503429</v>
      </c>
      <c r="DO22" s="77">
        <v>49107438071</v>
      </c>
      <c r="DP22" s="77">
        <v>42861440023</v>
      </c>
      <c r="DQ22" s="77">
        <v>45120043959</v>
      </c>
      <c r="DR22" s="77">
        <v>231082727095</v>
      </c>
      <c r="DS22" s="77">
        <v>50942264516</v>
      </c>
      <c r="DT22" s="77">
        <v>56188885801</v>
      </c>
      <c r="DU22" s="77">
        <v>-135319475659</v>
      </c>
      <c r="DV22" s="77">
        <v>21776255448</v>
      </c>
      <c r="DW22" s="77">
        <v>42213652388</v>
      </c>
      <c r="DX22" s="77">
        <v>-6020648761</v>
      </c>
      <c r="DY22" s="77">
        <v>-525103407315</v>
      </c>
      <c r="DZ22" s="77">
        <v>90100712191</v>
      </c>
      <c r="EA22" s="77">
        <v>-188455840100</v>
      </c>
      <c r="EB22" s="77">
        <v>-380566485729</v>
      </c>
      <c r="EC22" s="77">
        <v>-344115373289</v>
      </c>
      <c r="ED22" s="77">
        <v>141180971639</v>
      </c>
      <c r="EE22" s="77">
        <v>145536107854</v>
      </c>
      <c r="EF22" s="77">
        <v>-385819725412</v>
      </c>
      <c r="EG22" s="77">
        <v>365863411725</v>
      </c>
      <c r="EH22" s="77">
        <v>-222414022565</v>
      </c>
      <c r="EI22" s="77">
        <v>-71004269869</v>
      </c>
      <c r="EJ22" s="77">
        <v>-274587096115</v>
      </c>
      <c r="EK22" s="77">
        <v>-41460849092</v>
      </c>
      <c r="EL22" s="77">
        <v>-222606693464</v>
      </c>
      <c r="EM22" s="77">
        <v>45984455267</v>
      </c>
      <c r="EN22" s="77">
        <v>-351770768991</v>
      </c>
      <c r="EO22" s="77">
        <v>151760287170</v>
      </c>
      <c r="EP22" s="77">
        <v>165154702680</v>
      </c>
      <c r="EQ22" s="77">
        <v>-162134470282</v>
      </c>
      <c r="ER22" s="77">
        <v>56941193930</v>
      </c>
      <c r="ES22" s="77">
        <v>-171367445639</v>
      </c>
      <c r="ET22" s="77">
        <v>-123393609135</v>
      </c>
      <c r="EU22" s="77">
        <v>-4792282298</v>
      </c>
      <c r="EV22" s="77">
        <v>244435801676</v>
      </c>
      <c r="EW22" s="77">
        <v>-177477137052</v>
      </c>
      <c r="EX22" s="77">
        <v>-273885536717</v>
      </c>
      <c r="EY22" s="77">
        <v>434091151298</v>
      </c>
      <c r="EZ22" s="77">
        <v>209779643564</v>
      </c>
      <c r="FA22" s="77">
        <v>131276364962</v>
      </c>
      <c r="FB22" s="77">
        <v>-153584639555</v>
      </c>
      <c r="FC22" s="77">
        <v>-166301346219</v>
      </c>
      <c r="FD22" s="77">
        <v>415942631658</v>
      </c>
      <c r="FE22" s="77">
        <v>536174101924</v>
      </c>
      <c r="FF22" s="77">
        <v>203417240882</v>
      </c>
      <c r="FG22" s="77">
        <v>148770521223</v>
      </c>
      <c r="FH22" s="77">
        <v>410308788266</v>
      </c>
      <c r="FI22" s="77">
        <v>-65974217257</v>
      </c>
      <c r="FJ22" s="77">
        <v>-5151911391</v>
      </c>
      <c r="FK22" s="77">
        <v>114135693112</v>
      </c>
      <c r="FL22" s="77">
        <v>427383687470</v>
      </c>
      <c r="FM22" s="77">
        <v>50488839069</v>
      </c>
      <c r="FN22" s="77">
        <v>51305612253</v>
      </c>
      <c r="FO22" s="77">
        <v>-44723459467</v>
      </c>
      <c r="FP22" s="77">
        <v>481768827353</v>
      </c>
      <c r="FQ22" s="77">
        <v>278626865018</v>
      </c>
      <c r="FR22" s="77">
        <v>415605765777</v>
      </c>
      <c r="FS22" s="77">
        <v>262414338400</v>
      </c>
      <c r="FT22" s="77">
        <v>97633420571</v>
      </c>
      <c r="FU22" s="77">
        <v>7726464840</v>
      </c>
      <c r="FV22" s="77">
        <v>-176614862756</v>
      </c>
      <c r="FW22" s="77">
        <v>-118365646175</v>
      </c>
      <c r="FX22" s="77">
        <v>60029900673</v>
      </c>
      <c r="FY22" s="77">
        <v>68954681468</v>
      </c>
      <c r="FZ22" s="77">
        <v>1571177785</v>
      </c>
      <c r="GA22" s="77">
        <v>181317872086</v>
      </c>
      <c r="GB22" s="77">
        <v>-74153889087</v>
      </c>
      <c r="GC22" s="77">
        <v>-115396519427</v>
      </c>
      <c r="GD22" s="77">
        <v>-117700685809</v>
      </c>
      <c r="GE22" s="77">
        <v>150641626066</v>
      </c>
      <c r="GF22" s="77">
        <v>-37913058684</v>
      </c>
      <c r="GG22" s="77">
        <v>224911867460</v>
      </c>
      <c r="GH22" s="77">
        <v>-112749066190</v>
      </c>
      <c r="GI22" s="77">
        <v>49622371588</v>
      </c>
      <c r="GJ22" s="77">
        <v>68290741546</v>
      </c>
      <c r="GK22" s="77">
        <v>13545286580</v>
      </c>
      <c r="GL22" s="77">
        <v>-67461002654</v>
      </c>
      <c r="GM22" s="77">
        <v>100277708150</v>
      </c>
      <c r="GN22" s="77">
        <v>-252066220504</v>
      </c>
      <c r="GO22" s="77">
        <v>-337790138216</v>
      </c>
      <c r="GP22" s="77">
        <v>-20447743419</v>
      </c>
      <c r="GQ22" s="77">
        <v>940684758844</v>
      </c>
      <c r="GR22" s="77">
        <v>117410639380</v>
      </c>
      <c r="GS22" s="77">
        <v>-145355875667</v>
      </c>
      <c r="GT22" s="77">
        <v>95075134129</v>
      </c>
      <c r="GU22" s="77">
        <v>156427890627</v>
      </c>
      <c r="GV22" s="77">
        <v>95830752922</v>
      </c>
      <c r="GW22" s="77">
        <v>62543995292</v>
      </c>
      <c r="GX22" s="77">
        <v>34708944338</v>
      </c>
      <c r="GY22" s="77">
        <v>345793041976</v>
      </c>
      <c r="GZ22" s="77">
        <v>-174103333091</v>
      </c>
      <c r="HA22" s="77">
        <v>240812239432</v>
      </c>
      <c r="HB22" s="77">
        <v>-104274323337</v>
      </c>
      <c r="HC22" s="77">
        <v>98958417498</v>
      </c>
      <c r="HD22" s="77">
        <v>599937716173</v>
      </c>
      <c r="HE22" s="77">
        <v>-219778738651</v>
      </c>
      <c r="HF22" s="77">
        <v>198961223842</v>
      </c>
      <c r="HG22" s="77">
        <v>184635840736</v>
      </c>
      <c r="HH22" s="77">
        <v>48835755854</v>
      </c>
      <c r="HI22" s="77">
        <v>-17596189551</v>
      </c>
      <c r="HJ22" s="77">
        <v>195951424251</v>
      </c>
      <c r="HK22" s="77">
        <v>354924202130</v>
      </c>
      <c r="HL22" s="77">
        <v>391836621941</v>
      </c>
      <c r="HM22" s="77">
        <v>109441575972</v>
      </c>
      <c r="HN22" s="77">
        <v>-86851620726</v>
      </c>
      <c r="HO22" s="77">
        <v>337859522451</v>
      </c>
      <c r="HP22" s="77">
        <v>439432519039</v>
      </c>
      <c r="HQ22" s="77">
        <v>-72690464548</v>
      </c>
      <c r="HR22" s="77">
        <v>54426677198</v>
      </c>
      <c r="HS22" s="77">
        <v>73650675665</v>
      </c>
      <c r="HT22" s="77">
        <v>-182421547538</v>
      </c>
      <c r="HU22" s="77">
        <v>109211310780</v>
      </c>
      <c r="HV22" s="77">
        <v>-132205822206</v>
      </c>
      <c r="HW22" s="77">
        <v>203184902112</v>
      </c>
      <c r="HX22" s="77">
        <v>209096390934</v>
      </c>
      <c r="HY22" s="77">
        <v>-101972009855</v>
      </c>
      <c r="HZ22" s="77">
        <v>59795646861</v>
      </c>
      <c r="IA22" s="77">
        <v>246341289842</v>
      </c>
      <c r="IB22" s="77">
        <v>-158522251298</v>
      </c>
      <c r="IC22" s="77">
        <v>61556119059</v>
      </c>
      <c r="ID22" s="77">
        <v>-226924680252</v>
      </c>
      <c r="IE22" s="77">
        <v>167372860460</v>
      </c>
      <c r="IF22" s="77">
        <v>283128874312</v>
      </c>
      <c r="IG22" s="77">
        <v>96653544781</v>
      </c>
      <c r="IH22" s="77">
        <v>-240084893162</v>
      </c>
      <c r="II22" s="77">
        <v>-261939426633</v>
      </c>
      <c r="IJ22" s="77">
        <v>-163325558262</v>
      </c>
      <c r="IK22" s="77">
        <v>-168590220897</v>
      </c>
      <c r="IL22" s="77">
        <v>-56148230751</v>
      </c>
      <c r="IM22" s="77">
        <v>-137242942286</v>
      </c>
      <c r="IN22" s="77">
        <v>87635033617</v>
      </c>
      <c r="IO22" s="77">
        <v>109034227276</v>
      </c>
      <c r="IP22" s="77">
        <v>-139882678941</v>
      </c>
      <c r="IQ22" s="77">
        <v>-218174937688</v>
      </c>
      <c r="IR22" s="77">
        <v>-155480181545</v>
      </c>
      <c r="IS22" s="77">
        <v>325634871893</v>
      </c>
      <c r="IT22" s="77">
        <v>-302062491916</v>
      </c>
      <c r="IU22" s="77">
        <v>-346058538406</v>
      </c>
      <c r="IV22" s="77">
        <v>-64430161169</v>
      </c>
      <c r="IW22" s="77">
        <v>-58964831496</v>
      </c>
      <c r="IX22" s="77">
        <v>-124466007843</v>
      </c>
      <c r="IY22" s="77">
        <v>-429221851169</v>
      </c>
      <c r="IZ22" s="77">
        <v>370970185985</v>
      </c>
      <c r="JA22" s="77">
        <v>8916189577</v>
      </c>
      <c r="JB22" s="77">
        <v>-145707634634</v>
      </c>
      <c r="JC22" s="77">
        <v>-16439890513</v>
      </c>
      <c r="JD22" s="77">
        <v>63978706878</v>
      </c>
      <c r="JE22" s="77">
        <v>74677488667</v>
      </c>
      <c r="JF22" s="77">
        <v>33585770257</v>
      </c>
      <c r="JG22" s="77">
        <v>93399940252</v>
      </c>
      <c r="JH22" s="77">
        <v>-66001157433</v>
      </c>
      <c r="JI22" s="77">
        <v>234163583536</v>
      </c>
      <c r="JJ22" s="77">
        <v>11529646365</v>
      </c>
      <c r="JK22" s="77">
        <v>-138392293502</v>
      </c>
      <c r="JL22" s="77">
        <v>43022550701</v>
      </c>
      <c r="JM22" s="77">
        <v>430519793896</v>
      </c>
      <c r="JN22" s="77">
        <v>-99840737212</v>
      </c>
      <c r="JO22" s="77">
        <v>181912946316</v>
      </c>
      <c r="JP22" s="77">
        <v>205214130696</v>
      </c>
      <c r="JQ22" s="77">
        <v>380216246842</v>
      </c>
      <c r="JR22" s="77">
        <v>220945147090</v>
      </c>
      <c r="JS22" s="77">
        <v>364969128240</v>
      </c>
      <c r="JT22" s="77">
        <v>117373379167</v>
      </c>
      <c r="JU22" s="77">
        <v>121613338800</v>
      </c>
      <c r="JV22" s="77">
        <v>212879447562</v>
      </c>
      <c r="JW22" s="77">
        <v>302537658718</v>
      </c>
      <c r="JX22" s="77">
        <v>-42925692676</v>
      </c>
      <c r="JY22" s="77">
        <v>17460953900</v>
      </c>
      <c r="JZ22" s="77">
        <v>93231080110</v>
      </c>
      <c r="KA22" s="77">
        <v>-102101813821</v>
      </c>
      <c r="KB22" s="77">
        <v>398414849765</v>
      </c>
      <c r="KC22" s="77">
        <v>1138295483</v>
      </c>
      <c r="KD22" s="77">
        <v>-12136925262</v>
      </c>
      <c r="KE22" s="77">
        <v>317385843972</v>
      </c>
      <c r="KF22" s="77">
        <v>86972495608</v>
      </c>
      <c r="KG22" s="77">
        <v>89841427737</v>
      </c>
      <c r="KH22" s="77">
        <v>9833879168</v>
      </c>
      <c r="KI22" s="77">
        <v>13064235174</v>
      </c>
      <c r="KJ22" s="77">
        <v>-36749261534</v>
      </c>
      <c r="KK22" s="77">
        <v>100218148834</v>
      </c>
      <c r="KL22" s="77">
        <v>123305010332</v>
      </c>
      <c r="KM22" s="77">
        <v>-104338124242</v>
      </c>
      <c r="KN22" s="77">
        <v>111815106660</v>
      </c>
      <c r="KO22" s="77">
        <v>-175885460345</v>
      </c>
      <c r="KP22" s="77">
        <v>-370943607175</v>
      </c>
      <c r="KQ22" s="77">
        <v>-448226972499</v>
      </c>
      <c r="KR22" s="77">
        <v>-265696564779</v>
      </c>
      <c r="KS22" s="77">
        <v>-113254814804</v>
      </c>
      <c r="KT22" s="77">
        <v>64445353082</v>
      </c>
      <c r="KU22" s="77">
        <v>65520626346</v>
      </c>
      <c r="KV22" s="77">
        <v>-63925503647</v>
      </c>
      <c r="KW22" s="77">
        <v>-178129738194</v>
      </c>
      <c r="KX22" s="77">
        <v>-183753039522</v>
      </c>
      <c r="KY22" s="77">
        <v>-468929349237</v>
      </c>
      <c r="KZ22" s="77">
        <v>-427879706254</v>
      </c>
      <c r="LA22" s="77">
        <v>145481667310</v>
      </c>
      <c r="LB22" s="77">
        <v>-427094548817</v>
      </c>
      <c r="LC22" s="77">
        <v>34295192536</v>
      </c>
      <c r="LD22" s="77">
        <v>-284447600553</v>
      </c>
      <c r="LE22" s="77">
        <v>-550793292144</v>
      </c>
      <c r="LF22" s="77">
        <v>-284950180846</v>
      </c>
      <c r="LG22" s="77">
        <v>14048670112</v>
      </c>
      <c r="LH22" s="77">
        <v>-142830699718</v>
      </c>
      <c r="LI22" s="77">
        <v>-65766834846</v>
      </c>
      <c r="LJ22" s="77">
        <v>30031509734</v>
      </c>
      <c r="LK22" s="77">
        <v>1150945704067</v>
      </c>
      <c r="LL22" s="77">
        <v>339699716799</v>
      </c>
      <c r="LM22" s="77">
        <v>116872649196</v>
      </c>
      <c r="LN22" s="77">
        <v>220061846916</v>
      </c>
      <c r="LO22" s="77">
        <v>33789573209</v>
      </c>
      <c r="LP22" s="77">
        <v>-146301326835</v>
      </c>
      <c r="LQ22" s="77">
        <v>-53804627204</v>
      </c>
      <c r="LR22" s="77">
        <v>254814670128</v>
      </c>
      <c r="LS22" s="77">
        <v>-62765228810</v>
      </c>
      <c r="LT22" s="77">
        <v>142439743271</v>
      </c>
      <c r="LU22" s="77">
        <v>-142670569912</v>
      </c>
      <c r="LV22" s="77">
        <v>-122776394336</v>
      </c>
      <c r="LW22" s="77">
        <v>131263909224</v>
      </c>
      <c r="LX22" s="77">
        <v>-126298322867</v>
      </c>
      <c r="LY22" s="77">
        <v>-244053439342</v>
      </c>
      <c r="LZ22" s="77">
        <v>-235334239031</v>
      </c>
      <c r="MA22" s="77">
        <v>-349610511320</v>
      </c>
      <c r="MB22" s="77">
        <v>-345409056793</v>
      </c>
      <c r="MC22" s="77">
        <v>8700801655</v>
      </c>
      <c r="MD22" s="77">
        <v>88332567414</v>
      </c>
      <c r="ME22" s="77">
        <v>11960970867</v>
      </c>
      <c r="MF22" s="77">
        <v>81482848956</v>
      </c>
      <c r="MG22" s="77">
        <v>58167271471</v>
      </c>
      <c r="MH22" s="77">
        <v>-368441540019</v>
      </c>
      <c r="MI22" s="77">
        <v>-92300407509</v>
      </c>
      <c r="MJ22" s="77">
        <v>-437853286046</v>
      </c>
      <c r="MK22" s="77">
        <v>-32452422404</v>
      </c>
      <c r="ML22" s="77">
        <v>-51821402983</v>
      </c>
      <c r="MM22" s="77">
        <v>150409132962</v>
      </c>
      <c r="MN22" s="77">
        <v>94575768612</v>
      </c>
      <c r="MO22" s="77">
        <v>-27250939186</v>
      </c>
      <c r="MP22" s="77">
        <v>-110965119627</v>
      </c>
      <c r="MQ22" s="77">
        <v>-46129423292</v>
      </c>
      <c r="MR22" s="77">
        <v>67416541440</v>
      </c>
      <c r="MS22" s="77">
        <v>-310340743089</v>
      </c>
      <c r="MT22" s="77">
        <v>-143535674589</v>
      </c>
      <c r="MU22" s="77">
        <v>-381449316043</v>
      </c>
      <c r="MV22" s="77">
        <v>-568039195023</v>
      </c>
      <c r="MW22" s="77">
        <v>-259423433304</v>
      </c>
      <c r="MX22" s="77">
        <v>-39475273981</v>
      </c>
      <c r="MY22" s="77">
        <v>171690205270</v>
      </c>
      <c r="MZ22" s="77">
        <v>47194683171</v>
      </c>
      <c r="NA22" s="77">
        <v>-177189169719</v>
      </c>
      <c r="NB22" s="77">
        <v>-51105573309</v>
      </c>
      <c r="NC22" s="77">
        <v>-105253245390</v>
      </c>
      <c r="ND22" s="77">
        <v>-55353076115</v>
      </c>
      <c r="NE22" s="77">
        <v>-295656246965</v>
      </c>
      <c r="NF22" s="77">
        <v>-297322326062</v>
      </c>
      <c r="NG22" s="77">
        <v>83150584655</v>
      </c>
      <c r="NH22" s="77">
        <v>28735596073</v>
      </c>
      <c r="NI22" s="77">
        <v>-432894547093</v>
      </c>
      <c r="NJ22" s="77">
        <v>-66783660386</v>
      </c>
      <c r="NK22" s="77">
        <v>654974094217</v>
      </c>
      <c r="NL22" s="77">
        <v>39437404085</v>
      </c>
      <c r="NM22" s="77">
        <v>-556354338916</v>
      </c>
      <c r="NN22" s="77">
        <v>-412522441066</v>
      </c>
      <c r="NO22" s="77">
        <v>-685354637962</v>
      </c>
      <c r="NP22" s="77">
        <v>-183404875439</v>
      </c>
      <c r="NQ22" s="77">
        <v>-365101524448</v>
      </c>
      <c r="NR22" s="77">
        <v>-751838494318</v>
      </c>
      <c r="NS22" s="77">
        <v>-341374514403</v>
      </c>
      <c r="NT22" s="77">
        <v>202330369250</v>
      </c>
      <c r="NU22" s="77">
        <v>-194399598286</v>
      </c>
      <c r="NV22" s="77">
        <v>312043184666</v>
      </c>
    </row>
    <row r="23" spans="1:386" s="77" customFormat="1" ht="15" customHeight="1">
      <c r="A23" s="4"/>
      <c r="B23" s="4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 s="4"/>
      <c r="S23" s="4"/>
      <c r="U23" s="77" t="str">
        <f ca="1">_xll.IMDH("FUT","C01",U24:U25,TODAY()-2543,$D$4,250,"Per=일,sort=D,real=true,Bizday=0,Quote=종가,Pos=11,Orient=H,Title=코스피200 연결,DtFmt=1,TmFmt=1")</f>
        <v>코스피200 연결</v>
      </c>
    </row>
    <row r="24" spans="1:386" s="77" customFormat="1" ht="15" customHeight="1">
      <c r="A24" s="4"/>
      <c r="B24" s="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4"/>
      <c r="S24" s="4"/>
      <c r="U24" s="81" t="s">
        <v>271</v>
      </c>
      <c r="V24" s="79">
        <v>45155</v>
      </c>
      <c r="W24" s="79">
        <v>45154</v>
      </c>
      <c r="X24" s="79">
        <v>45152</v>
      </c>
      <c r="Y24" s="79">
        <v>45149</v>
      </c>
      <c r="Z24" s="79">
        <v>45148</v>
      </c>
      <c r="AA24" s="79">
        <v>45147</v>
      </c>
      <c r="AB24" s="79">
        <v>45146</v>
      </c>
      <c r="AC24" s="79">
        <v>45145</v>
      </c>
      <c r="AD24" s="79">
        <v>45142</v>
      </c>
      <c r="AE24" s="79">
        <v>45141</v>
      </c>
      <c r="AF24" s="79">
        <v>45140</v>
      </c>
      <c r="AG24" s="79">
        <v>45139</v>
      </c>
      <c r="AH24" s="79">
        <v>45138</v>
      </c>
      <c r="AI24" s="79">
        <v>45135</v>
      </c>
      <c r="AJ24" s="79">
        <v>45134</v>
      </c>
      <c r="AK24" s="79">
        <v>45133</v>
      </c>
      <c r="AL24" s="79">
        <v>45132</v>
      </c>
      <c r="AM24" s="79">
        <v>45131</v>
      </c>
      <c r="AN24" s="79">
        <v>45128</v>
      </c>
      <c r="AO24" s="79">
        <v>45127</v>
      </c>
      <c r="AP24" s="79">
        <v>45126</v>
      </c>
      <c r="AQ24" s="79">
        <v>45125</v>
      </c>
      <c r="AR24" s="79">
        <v>45124</v>
      </c>
      <c r="AS24" s="79">
        <v>45121</v>
      </c>
      <c r="AT24" s="79">
        <v>45120</v>
      </c>
      <c r="AU24" s="79">
        <v>45119</v>
      </c>
      <c r="AV24" s="79">
        <v>45118</v>
      </c>
      <c r="AW24" s="79">
        <v>45117</v>
      </c>
      <c r="AX24" s="79">
        <v>45114</v>
      </c>
      <c r="AY24" s="79">
        <v>45113</v>
      </c>
      <c r="AZ24" s="79">
        <v>45112</v>
      </c>
      <c r="BA24" s="79">
        <v>45111</v>
      </c>
      <c r="BB24" s="79">
        <v>45110</v>
      </c>
      <c r="BC24" s="79">
        <v>45107</v>
      </c>
      <c r="BD24" s="79">
        <v>45106</v>
      </c>
      <c r="BE24" s="79">
        <v>45105</v>
      </c>
      <c r="BF24" s="79">
        <v>45104</v>
      </c>
      <c r="BG24" s="79">
        <v>45103</v>
      </c>
      <c r="BH24" s="79">
        <v>45100</v>
      </c>
      <c r="BI24" s="79">
        <v>45099</v>
      </c>
      <c r="BJ24" s="79">
        <v>45098</v>
      </c>
      <c r="BK24" s="79">
        <v>45097</v>
      </c>
      <c r="BL24" s="79">
        <v>45096</v>
      </c>
      <c r="BM24" s="79">
        <v>45093</v>
      </c>
      <c r="BN24" s="79">
        <v>45092</v>
      </c>
      <c r="BO24" s="79">
        <v>45091</v>
      </c>
      <c r="BP24" s="79">
        <v>45090</v>
      </c>
      <c r="BQ24" s="79">
        <v>45089</v>
      </c>
      <c r="BR24" s="79">
        <v>45086</v>
      </c>
      <c r="BS24" s="79">
        <v>45085</v>
      </c>
      <c r="BT24" s="79">
        <v>45084</v>
      </c>
      <c r="BU24" s="79">
        <v>45082</v>
      </c>
      <c r="BV24" s="79">
        <v>45079</v>
      </c>
      <c r="BW24" s="79">
        <v>45078</v>
      </c>
      <c r="BX24" s="79">
        <v>45077</v>
      </c>
      <c r="BY24" s="79">
        <v>45076</v>
      </c>
      <c r="BZ24" s="79">
        <v>45072</v>
      </c>
      <c r="CA24" s="79">
        <v>45071</v>
      </c>
      <c r="CB24" s="79">
        <v>45070</v>
      </c>
      <c r="CC24" s="79">
        <v>45069</v>
      </c>
      <c r="CD24" s="79">
        <v>45068</v>
      </c>
      <c r="CE24" s="79">
        <v>45065</v>
      </c>
      <c r="CF24" s="79">
        <v>45064</v>
      </c>
      <c r="CG24" s="79">
        <v>45063</v>
      </c>
      <c r="CH24" s="79">
        <v>45062</v>
      </c>
      <c r="CI24" s="79">
        <v>45061</v>
      </c>
      <c r="CJ24" s="79">
        <v>45058</v>
      </c>
      <c r="CK24" s="79">
        <v>45057</v>
      </c>
      <c r="CL24" s="79">
        <v>45056</v>
      </c>
      <c r="CM24" s="79">
        <v>45055</v>
      </c>
      <c r="CN24" s="79">
        <v>45054</v>
      </c>
      <c r="CO24" s="79">
        <v>45050</v>
      </c>
      <c r="CP24" s="79">
        <v>45049</v>
      </c>
      <c r="CQ24" s="79">
        <v>45048</v>
      </c>
      <c r="CR24" s="79">
        <v>45044</v>
      </c>
      <c r="CS24" s="79">
        <v>45043</v>
      </c>
      <c r="CT24" s="79">
        <v>45042</v>
      </c>
      <c r="CU24" s="79">
        <v>45041</v>
      </c>
      <c r="CV24" s="79">
        <v>45040</v>
      </c>
      <c r="CW24" s="79">
        <v>45037</v>
      </c>
      <c r="CX24" s="79">
        <v>45036</v>
      </c>
      <c r="CY24" s="79">
        <v>45035</v>
      </c>
      <c r="CZ24" s="79">
        <v>45034</v>
      </c>
      <c r="DA24" s="79">
        <v>45033</v>
      </c>
      <c r="DB24" s="79">
        <v>45030</v>
      </c>
      <c r="DC24" s="79">
        <v>45029</v>
      </c>
      <c r="DD24" s="79">
        <v>45028</v>
      </c>
      <c r="DE24" s="79">
        <v>45027</v>
      </c>
      <c r="DF24" s="79">
        <v>45026</v>
      </c>
      <c r="DG24" s="79">
        <v>45023</v>
      </c>
      <c r="DH24" s="79">
        <v>45022</v>
      </c>
      <c r="DI24" s="79">
        <v>45021</v>
      </c>
      <c r="DJ24" s="79">
        <v>45020</v>
      </c>
      <c r="DK24" s="79">
        <v>45019</v>
      </c>
      <c r="DL24" s="79">
        <v>45016</v>
      </c>
      <c r="DM24" s="79">
        <v>45015</v>
      </c>
      <c r="DN24" s="79">
        <v>45014</v>
      </c>
      <c r="DO24" s="79">
        <v>45013</v>
      </c>
      <c r="DP24" s="79">
        <v>45012</v>
      </c>
      <c r="DQ24" s="79">
        <v>45009</v>
      </c>
      <c r="DR24" s="79">
        <v>45008</v>
      </c>
      <c r="DS24" s="79">
        <v>45007</v>
      </c>
      <c r="DT24" s="79">
        <v>45006</v>
      </c>
      <c r="DU24" s="79">
        <v>45005</v>
      </c>
      <c r="DV24" s="79">
        <v>45002</v>
      </c>
      <c r="DW24" s="79">
        <v>45001</v>
      </c>
      <c r="DX24" s="79">
        <v>45000</v>
      </c>
      <c r="DY24" s="79">
        <v>44999</v>
      </c>
      <c r="DZ24" s="79">
        <v>44998</v>
      </c>
      <c r="EA24" s="79">
        <v>44995</v>
      </c>
      <c r="EB24" s="79">
        <v>44994</v>
      </c>
      <c r="EC24" s="79">
        <v>44993</v>
      </c>
      <c r="ED24" s="79">
        <v>44992</v>
      </c>
      <c r="EE24" s="79">
        <v>44991</v>
      </c>
      <c r="EF24" s="79">
        <v>44988</v>
      </c>
      <c r="EG24" s="79">
        <v>44987</v>
      </c>
      <c r="EH24" s="79">
        <v>44985</v>
      </c>
      <c r="EI24" s="79">
        <v>44984</v>
      </c>
      <c r="EJ24" s="79">
        <v>44981</v>
      </c>
      <c r="EK24" s="79">
        <v>44980</v>
      </c>
      <c r="EL24" s="79">
        <v>44979</v>
      </c>
      <c r="EM24" s="79">
        <v>44978</v>
      </c>
      <c r="EN24" s="79">
        <v>44977</v>
      </c>
      <c r="EO24" s="79">
        <v>44974</v>
      </c>
      <c r="EP24" s="79">
        <v>44973</v>
      </c>
      <c r="EQ24" s="79">
        <v>44972</v>
      </c>
      <c r="ER24" s="79">
        <v>44971</v>
      </c>
      <c r="ES24" s="79">
        <v>44970</v>
      </c>
      <c r="ET24" s="79">
        <v>44967</v>
      </c>
      <c r="EU24" s="79">
        <v>44966</v>
      </c>
      <c r="EV24" s="79">
        <v>44965</v>
      </c>
      <c r="EW24" s="79">
        <v>44964</v>
      </c>
      <c r="EX24" s="79">
        <v>44963</v>
      </c>
      <c r="EY24" s="79">
        <v>44960</v>
      </c>
      <c r="EZ24" s="79">
        <v>44959</v>
      </c>
      <c r="FA24" s="79">
        <v>44958</v>
      </c>
      <c r="FB24" s="79">
        <v>44957</v>
      </c>
      <c r="FC24" s="79">
        <v>44956</v>
      </c>
      <c r="FD24" s="79">
        <v>44953</v>
      </c>
      <c r="FE24" s="79">
        <v>44952</v>
      </c>
      <c r="FF24" s="79">
        <v>44951</v>
      </c>
      <c r="FG24" s="79">
        <v>44946</v>
      </c>
      <c r="FH24" s="79">
        <v>44945</v>
      </c>
      <c r="FI24" s="79">
        <v>44944</v>
      </c>
      <c r="FJ24" s="79">
        <v>44943</v>
      </c>
      <c r="FK24" s="79">
        <v>44942</v>
      </c>
      <c r="FL24" s="79">
        <v>44939</v>
      </c>
      <c r="FM24" s="79">
        <v>44938</v>
      </c>
      <c r="FN24" s="79">
        <v>44937</v>
      </c>
      <c r="FO24" s="79">
        <v>44936</v>
      </c>
      <c r="FP24" s="79">
        <v>44935</v>
      </c>
      <c r="FQ24" s="79">
        <v>44932</v>
      </c>
      <c r="FR24" s="79">
        <v>44931</v>
      </c>
      <c r="FS24" s="79">
        <v>44930</v>
      </c>
      <c r="FT24" s="79">
        <v>44929</v>
      </c>
      <c r="FU24" s="79">
        <v>44928</v>
      </c>
      <c r="FV24" s="79">
        <v>44924</v>
      </c>
      <c r="FW24" s="79">
        <v>44923</v>
      </c>
      <c r="FX24" s="79">
        <v>44922</v>
      </c>
      <c r="FY24" s="79">
        <v>44921</v>
      </c>
      <c r="FZ24" s="79">
        <v>44918</v>
      </c>
      <c r="GA24" s="79">
        <v>44917</v>
      </c>
      <c r="GB24" s="79">
        <v>44916</v>
      </c>
      <c r="GC24" s="79">
        <v>44915</v>
      </c>
      <c r="GD24" s="79">
        <v>44914</v>
      </c>
      <c r="GE24" s="79">
        <v>44911</v>
      </c>
      <c r="GF24" s="79">
        <v>44910</v>
      </c>
      <c r="GG24" s="79">
        <v>44909</v>
      </c>
      <c r="GH24" s="79">
        <v>44908</v>
      </c>
      <c r="GI24" s="79">
        <v>44907</v>
      </c>
      <c r="GJ24" s="79">
        <v>44904</v>
      </c>
      <c r="GK24" s="79">
        <v>44903</v>
      </c>
      <c r="GL24" s="79">
        <v>44902</v>
      </c>
      <c r="GM24" s="79">
        <v>44901</v>
      </c>
      <c r="GN24" s="79">
        <v>44900</v>
      </c>
      <c r="GO24" s="79">
        <v>44897</v>
      </c>
      <c r="GP24" s="79">
        <v>44896</v>
      </c>
      <c r="GQ24" s="79">
        <v>44895</v>
      </c>
      <c r="GR24" s="79">
        <v>44894</v>
      </c>
      <c r="GS24" s="79">
        <v>44893</v>
      </c>
      <c r="GT24" s="79">
        <v>44890</v>
      </c>
      <c r="GU24" s="79">
        <v>44889</v>
      </c>
      <c r="GV24" s="79">
        <v>44888</v>
      </c>
      <c r="GW24" s="79">
        <v>44887</v>
      </c>
      <c r="GX24" s="79">
        <v>44886</v>
      </c>
      <c r="GY24" s="79">
        <v>44883</v>
      </c>
      <c r="GZ24" s="79">
        <v>44882</v>
      </c>
      <c r="HA24" s="79">
        <v>44881</v>
      </c>
      <c r="HB24" s="79">
        <v>44880</v>
      </c>
      <c r="HC24" s="79">
        <v>44879</v>
      </c>
      <c r="HD24" s="79">
        <v>44876</v>
      </c>
      <c r="HE24" s="79">
        <v>44875</v>
      </c>
      <c r="HF24" s="79">
        <v>44874</v>
      </c>
      <c r="HG24" s="79">
        <v>44873</v>
      </c>
      <c r="HH24" s="79">
        <v>44872</v>
      </c>
      <c r="HI24" s="79">
        <v>44869</v>
      </c>
      <c r="HJ24" s="79">
        <v>44868</v>
      </c>
      <c r="HK24" s="79">
        <v>44867</v>
      </c>
      <c r="HL24" s="79">
        <v>44866</v>
      </c>
      <c r="HM24" s="79">
        <v>44865</v>
      </c>
      <c r="HN24" s="79">
        <v>44862</v>
      </c>
      <c r="HO24" s="79">
        <v>44861</v>
      </c>
      <c r="HP24" s="79">
        <v>44860</v>
      </c>
      <c r="HQ24" s="79">
        <v>44859</v>
      </c>
      <c r="HR24" s="79">
        <v>44858</v>
      </c>
      <c r="HS24" s="79">
        <v>44855</v>
      </c>
      <c r="HT24" s="79">
        <v>44854</v>
      </c>
      <c r="HU24" s="79">
        <v>44853</v>
      </c>
      <c r="HV24" s="79">
        <v>44852</v>
      </c>
      <c r="HW24" s="79">
        <v>44851</v>
      </c>
      <c r="HX24" s="79">
        <v>44848</v>
      </c>
      <c r="HY24" s="79">
        <v>44847</v>
      </c>
      <c r="HZ24" s="79">
        <v>44846</v>
      </c>
      <c r="IA24" s="79">
        <v>44845</v>
      </c>
      <c r="IB24" s="79">
        <v>44841</v>
      </c>
      <c r="IC24" s="79">
        <v>44840</v>
      </c>
      <c r="ID24" s="79">
        <v>44839</v>
      </c>
      <c r="IE24" s="79">
        <v>44838</v>
      </c>
      <c r="IF24" s="79">
        <v>44834</v>
      </c>
      <c r="IG24" s="79">
        <v>44833</v>
      </c>
      <c r="IH24" s="79">
        <v>44832</v>
      </c>
      <c r="II24" s="79">
        <v>44831</v>
      </c>
      <c r="IJ24" s="79">
        <v>44830</v>
      </c>
      <c r="IK24" s="79">
        <v>44827</v>
      </c>
      <c r="IL24" s="79">
        <v>44826</v>
      </c>
      <c r="IM24" s="79">
        <v>44825</v>
      </c>
      <c r="IN24" s="79">
        <v>44824</v>
      </c>
      <c r="IO24" s="79">
        <v>44823</v>
      </c>
      <c r="IP24" s="79">
        <v>44820</v>
      </c>
      <c r="IQ24" s="79">
        <v>44819</v>
      </c>
      <c r="IR24" s="79">
        <v>44818</v>
      </c>
      <c r="IS24" s="79">
        <v>44817</v>
      </c>
      <c r="IT24" s="79">
        <v>44812</v>
      </c>
      <c r="IU24" s="79">
        <v>44811</v>
      </c>
      <c r="IV24" s="79">
        <v>44810</v>
      </c>
      <c r="IW24" s="79">
        <v>44809</v>
      </c>
      <c r="IX24" s="79">
        <v>44806</v>
      </c>
      <c r="IY24" s="79">
        <v>44805</v>
      </c>
      <c r="IZ24" s="79">
        <v>44804</v>
      </c>
      <c r="JA24" s="79">
        <v>44803</v>
      </c>
      <c r="JB24" s="79">
        <v>44802</v>
      </c>
      <c r="JC24" s="79">
        <v>44799</v>
      </c>
      <c r="JD24" s="79">
        <v>44798</v>
      </c>
      <c r="JE24" s="79">
        <v>44797</v>
      </c>
      <c r="JF24" s="79">
        <v>44796</v>
      </c>
      <c r="JG24" s="79">
        <v>44795</v>
      </c>
      <c r="JH24" s="79">
        <v>44792</v>
      </c>
      <c r="JI24" s="79">
        <v>44791</v>
      </c>
      <c r="JJ24" s="79">
        <v>44790</v>
      </c>
      <c r="JK24" s="79">
        <v>44789</v>
      </c>
    </row>
    <row r="25" spans="1:386" s="77" customFormat="1" ht="15" customHeight="1">
      <c r="A25" s="4"/>
      <c r="B25" s="4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 s="4"/>
      <c r="S25" s="4"/>
      <c r="U25" s="81" t="s">
        <v>277</v>
      </c>
      <c r="V25" s="77">
        <v>0.2</v>
      </c>
      <c r="W25" s="77">
        <v>-7.0000000000000007E-2</v>
      </c>
      <c r="X25" s="77">
        <v>0.17</v>
      </c>
      <c r="Y25" s="77">
        <v>-0.27</v>
      </c>
      <c r="Z25" s="77">
        <v>1.25</v>
      </c>
      <c r="AA25" s="77">
        <v>0.39</v>
      </c>
      <c r="AB25" s="77">
        <v>0.11</v>
      </c>
      <c r="AC25" s="77">
        <v>0.08</v>
      </c>
      <c r="AD25" s="77">
        <v>0.41</v>
      </c>
      <c r="AE25" s="77">
        <v>0.34</v>
      </c>
      <c r="AF25" s="77">
        <v>0.55000000000000004</v>
      </c>
      <c r="AG25" s="77">
        <v>0.27</v>
      </c>
      <c r="AH25" s="77">
        <v>0</v>
      </c>
      <c r="AI25" s="77">
        <v>0.51</v>
      </c>
      <c r="AJ25" s="77">
        <v>0.18</v>
      </c>
      <c r="AK25" s="77">
        <v>-0.11</v>
      </c>
      <c r="AL25" s="77">
        <v>0.36</v>
      </c>
      <c r="AM25" s="77">
        <v>0.19</v>
      </c>
      <c r="AN25" s="77">
        <v>0.21</v>
      </c>
      <c r="AO25" s="77">
        <v>0.37</v>
      </c>
      <c r="AP25" s="77">
        <v>0.75</v>
      </c>
      <c r="AQ25" s="77">
        <v>-0.14000000000000001</v>
      </c>
      <c r="AR25" s="77">
        <v>-0.02</v>
      </c>
      <c r="AS25" s="77">
        <v>0.98</v>
      </c>
      <c r="AT25" s="77">
        <v>-0.28000000000000003</v>
      </c>
      <c r="AU25" s="77">
        <v>0.93</v>
      </c>
      <c r="AV25" s="77">
        <v>0.46</v>
      </c>
      <c r="AW25" s="77">
        <v>0.27</v>
      </c>
      <c r="AX25" s="77">
        <v>1.1000000000000001</v>
      </c>
      <c r="AY25" s="77">
        <v>0.55000000000000004</v>
      </c>
      <c r="AZ25" s="77">
        <v>0.94</v>
      </c>
      <c r="BA25" s="77">
        <v>0.3</v>
      </c>
      <c r="BB25" s="77">
        <v>-0.06</v>
      </c>
      <c r="BC25" s="77">
        <v>0.12</v>
      </c>
      <c r="BD25" s="77">
        <v>-0.11</v>
      </c>
      <c r="BE25" s="77">
        <v>0.53</v>
      </c>
      <c r="BF25" s="77">
        <v>0.49</v>
      </c>
      <c r="BG25" s="77">
        <v>0.74</v>
      </c>
      <c r="BH25" s="77">
        <v>0.05</v>
      </c>
      <c r="BI25" s="77">
        <v>0.78</v>
      </c>
      <c r="BJ25" s="77">
        <v>0.22</v>
      </c>
      <c r="BK25" s="77">
        <v>0.42</v>
      </c>
      <c r="BL25" s="77">
        <v>0.06</v>
      </c>
      <c r="BM25" s="77">
        <v>0.02</v>
      </c>
      <c r="BN25" s="77">
        <v>0.21</v>
      </c>
      <c r="BO25" s="77">
        <v>0.47</v>
      </c>
      <c r="BP25" s="77">
        <v>0.26</v>
      </c>
      <c r="BQ25" s="77">
        <v>0.21</v>
      </c>
      <c r="BR25" s="77">
        <v>-0.3</v>
      </c>
      <c r="BS25" s="77">
        <v>0.49</v>
      </c>
      <c r="BT25" s="77">
        <v>0.04</v>
      </c>
      <c r="BU25" s="77">
        <v>0.05</v>
      </c>
      <c r="BV25" s="77">
        <v>-0.03</v>
      </c>
      <c r="BW25" s="77">
        <v>0.31</v>
      </c>
      <c r="BX25" s="77">
        <v>0.43</v>
      </c>
      <c r="BY25" s="77">
        <v>-0.2</v>
      </c>
      <c r="BZ25" s="77">
        <v>-0.21</v>
      </c>
      <c r="CA25" s="77">
        <v>-0.14000000000000001</v>
      </c>
      <c r="CB25" s="77">
        <v>0.19</v>
      </c>
      <c r="CC25" s="77">
        <v>-0.33</v>
      </c>
      <c r="CD25" s="77">
        <v>-0.12</v>
      </c>
      <c r="CE25" s="77">
        <v>0.18</v>
      </c>
      <c r="CF25" s="77">
        <v>0.77</v>
      </c>
      <c r="CG25" s="77">
        <v>0.86</v>
      </c>
      <c r="CH25" s="77">
        <v>0.53</v>
      </c>
      <c r="CI25" s="77">
        <v>0.11</v>
      </c>
      <c r="CJ25" s="77">
        <v>0.2</v>
      </c>
      <c r="CK25" s="77">
        <v>0.81</v>
      </c>
      <c r="CL25" s="77">
        <v>0.49</v>
      </c>
      <c r="CM25" s="77">
        <v>0.61</v>
      </c>
      <c r="CN25" s="77">
        <v>-0.08</v>
      </c>
      <c r="CO25" s="77">
        <v>1.51</v>
      </c>
      <c r="CP25" s="77">
        <v>0.89</v>
      </c>
      <c r="CQ25" s="77">
        <v>0.3</v>
      </c>
      <c r="CR25" s="77">
        <v>1.38</v>
      </c>
      <c r="CS25" s="77">
        <v>0.57999999999999996</v>
      </c>
      <c r="CT25" s="77">
        <v>0.08</v>
      </c>
      <c r="CU25" s="77">
        <v>0.13</v>
      </c>
      <c r="CV25" s="77">
        <v>0.2</v>
      </c>
      <c r="CW25" s="77">
        <v>0.53</v>
      </c>
      <c r="CX25" s="77">
        <v>0.08</v>
      </c>
      <c r="CY25" s="77">
        <v>0.27</v>
      </c>
      <c r="CZ25" s="77">
        <v>-0.02</v>
      </c>
      <c r="DA25" s="77">
        <v>0.18</v>
      </c>
      <c r="DB25" s="77">
        <v>0.24</v>
      </c>
      <c r="DC25" s="77">
        <v>0.56999999999999995</v>
      </c>
      <c r="DD25" s="77">
        <v>0.48</v>
      </c>
      <c r="DE25" s="77">
        <v>0.6</v>
      </c>
      <c r="DF25" s="77">
        <v>0.32</v>
      </c>
      <c r="DG25" s="77">
        <v>0.51</v>
      </c>
      <c r="DH25" s="77">
        <v>7.0000000000000007E-2</v>
      </c>
      <c r="DI25" s="77">
        <v>-0.12</v>
      </c>
      <c r="DJ25" s="77">
        <v>0.14000000000000001</v>
      </c>
      <c r="DK25" s="77">
        <v>0.39</v>
      </c>
      <c r="DL25" s="77">
        <v>0.55000000000000004</v>
      </c>
      <c r="DM25" s="77">
        <v>0.37</v>
      </c>
      <c r="DN25" s="77">
        <v>0.54</v>
      </c>
      <c r="DO25" s="77">
        <v>0.36</v>
      </c>
      <c r="DP25" s="77">
        <v>0.06</v>
      </c>
      <c r="DQ25" s="77">
        <v>0.57999999999999996</v>
      </c>
      <c r="DR25" s="77">
        <v>1.28</v>
      </c>
      <c r="DS25" s="77">
        <v>0.35</v>
      </c>
      <c r="DT25" s="77">
        <v>0.16</v>
      </c>
      <c r="DU25" s="77">
        <v>1.1599999999999999</v>
      </c>
      <c r="DV25" s="77">
        <v>0.45</v>
      </c>
      <c r="DW25" s="77">
        <v>0.56999999999999995</v>
      </c>
      <c r="DX25" s="77">
        <v>0.81</v>
      </c>
      <c r="DY25" s="77">
        <v>0.49</v>
      </c>
      <c r="DZ25" s="77">
        <v>0.97</v>
      </c>
      <c r="EA25" s="77">
        <v>1.28</v>
      </c>
      <c r="EB25" s="77">
        <v>0.12</v>
      </c>
      <c r="EC25" s="77">
        <v>0.79</v>
      </c>
      <c r="ED25" s="77">
        <v>0.49</v>
      </c>
      <c r="EE25" s="77">
        <v>7.0000000000000007E-2</v>
      </c>
      <c r="EF25" s="77">
        <v>-0.22</v>
      </c>
      <c r="EG25" s="77">
        <v>1.21</v>
      </c>
      <c r="EH25" s="77">
        <v>-0.69</v>
      </c>
      <c r="EI25" s="77">
        <v>0.28000000000000003</v>
      </c>
      <c r="EJ25" s="77">
        <v>-0.32</v>
      </c>
      <c r="EK25" s="77">
        <v>-0.19</v>
      </c>
      <c r="EL25" s="77">
        <v>0.23</v>
      </c>
      <c r="EM25" s="77">
        <v>0.09</v>
      </c>
      <c r="EN25" s="77">
        <v>-0.85</v>
      </c>
      <c r="EO25" s="77">
        <v>-0.12</v>
      </c>
      <c r="EP25" s="77">
        <v>0.68</v>
      </c>
      <c r="EQ25" s="77">
        <v>1.29</v>
      </c>
      <c r="ER25" s="77">
        <v>-0.64</v>
      </c>
      <c r="ES25" s="77">
        <v>-0.09</v>
      </c>
      <c r="ET25" s="77">
        <v>0.8</v>
      </c>
      <c r="EU25" s="77">
        <v>0.94</v>
      </c>
      <c r="EV25" s="77">
        <v>0.21</v>
      </c>
      <c r="EW25" s="77">
        <v>0.19</v>
      </c>
      <c r="EX25" s="77">
        <v>1.01</v>
      </c>
      <c r="EY25" s="77">
        <v>0.91</v>
      </c>
      <c r="EZ25" s="77">
        <v>-0.02</v>
      </c>
      <c r="FA25" s="77">
        <v>-0.48</v>
      </c>
      <c r="FB25" s="77">
        <v>-0.19</v>
      </c>
      <c r="FC25" s="77">
        <v>7.0000000000000007E-2</v>
      </c>
      <c r="FD25" s="77">
        <v>0.61</v>
      </c>
      <c r="FE25" s="77">
        <v>0.32</v>
      </c>
      <c r="FF25" s="77">
        <v>-0.37</v>
      </c>
      <c r="FG25" s="77">
        <v>0.28999999999999998</v>
      </c>
      <c r="FH25" s="77">
        <v>0.66</v>
      </c>
      <c r="FI25" s="77">
        <v>-0.15</v>
      </c>
      <c r="FJ25" s="77">
        <v>-0.11</v>
      </c>
      <c r="FK25" s="77">
        <v>0.12</v>
      </c>
      <c r="FL25" s="77">
        <v>0.33</v>
      </c>
      <c r="FM25" s="77">
        <v>-0.71</v>
      </c>
      <c r="FN25" s="77">
        <v>0.31</v>
      </c>
      <c r="FO25" s="77">
        <v>0.63</v>
      </c>
      <c r="FP25" s="77">
        <v>0.21</v>
      </c>
      <c r="FQ25" s="77">
        <v>0.34</v>
      </c>
      <c r="FR25" s="77">
        <v>1.49</v>
      </c>
      <c r="FS25" s="77">
        <v>1.07</v>
      </c>
      <c r="FT25" s="77">
        <v>0.71</v>
      </c>
      <c r="FU25" s="77">
        <v>0.66</v>
      </c>
      <c r="FV25" s="77">
        <v>0.5</v>
      </c>
      <c r="FW25" s="77">
        <v>1</v>
      </c>
      <c r="FX25" s="77">
        <v>-0.47</v>
      </c>
      <c r="FY25" s="77">
        <v>-0.06</v>
      </c>
      <c r="FZ25" s="77">
        <v>0.34</v>
      </c>
      <c r="GA25" s="77">
        <v>0.23</v>
      </c>
      <c r="GB25" s="77">
        <v>0.03</v>
      </c>
      <c r="GC25" s="77">
        <v>-0.01</v>
      </c>
      <c r="GD25" s="77">
        <v>0.32</v>
      </c>
      <c r="GE25" s="77">
        <v>1.44</v>
      </c>
      <c r="GF25" s="77">
        <v>-0.38</v>
      </c>
      <c r="GG25" s="77">
        <v>-0.04</v>
      </c>
      <c r="GH25" s="77">
        <v>-0.62</v>
      </c>
      <c r="GI25" s="77">
        <v>-0.25</v>
      </c>
      <c r="GJ25" s="77">
        <v>-0.79</v>
      </c>
      <c r="GK25" s="77">
        <v>0.67</v>
      </c>
      <c r="GL25" s="77">
        <v>0.14000000000000001</v>
      </c>
      <c r="GM25" s="77">
        <v>0.09</v>
      </c>
      <c r="GN25" s="77">
        <v>-0.3</v>
      </c>
      <c r="GO25" s="77">
        <v>0.26</v>
      </c>
      <c r="GP25" s="77">
        <v>-0.8</v>
      </c>
      <c r="GQ25" s="77">
        <v>1.679</v>
      </c>
      <c r="GR25" s="77">
        <v>0.23</v>
      </c>
      <c r="GS25" s="77">
        <v>-0.31</v>
      </c>
      <c r="GT25" s="77">
        <v>0.06</v>
      </c>
      <c r="GU25" s="77">
        <v>-0.23</v>
      </c>
      <c r="GV25" s="77">
        <v>-0.39</v>
      </c>
      <c r="GW25" s="77">
        <v>0.25</v>
      </c>
      <c r="GX25" s="77">
        <v>0.84</v>
      </c>
      <c r="GY25" s="77">
        <v>0.4</v>
      </c>
      <c r="GZ25" s="77">
        <v>-1.74</v>
      </c>
      <c r="HA25" s="77">
        <v>-0.18</v>
      </c>
      <c r="HB25" s="77">
        <v>0.15</v>
      </c>
      <c r="HC25" s="77">
        <v>-0.2</v>
      </c>
      <c r="HD25" s="77">
        <v>-0.88</v>
      </c>
      <c r="HE25" s="77">
        <v>0.66</v>
      </c>
      <c r="HF25" s="77">
        <v>0.01</v>
      </c>
      <c r="HG25" s="77">
        <v>0.11</v>
      </c>
      <c r="HH25" s="77">
        <v>-0.06</v>
      </c>
      <c r="HI25" s="77">
        <v>0.09</v>
      </c>
      <c r="HJ25" s="77">
        <v>0.79</v>
      </c>
      <c r="HK25" s="77">
        <v>0.64</v>
      </c>
      <c r="HL25" s="77">
        <v>1.23</v>
      </c>
      <c r="HM25" s="77">
        <v>0.14000000000000001</v>
      </c>
      <c r="HN25" s="77">
        <v>0.6</v>
      </c>
      <c r="HO25" s="77">
        <v>0.56000000000000005</v>
      </c>
      <c r="HP25" s="77">
        <v>0.54</v>
      </c>
      <c r="HQ25" s="77">
        <v>0.54</v>
      </c>
      <c r="HR25" s="77">
        <v>0</v>
      </c>
      <c r="HS25" s="77">
        <v>0.5</v>
      </c>
      <c r="HT25" s="77">
        <v>1.51</v>
      </c>
      <c r="HU25" s="77">
        <v>1.51</v>
      </c>
      <c r="HV25" s="77">
        <v>0.63</v>
      </c>
      <c r="HW25" s="77">
        <v>1.76</v>
      </c>
      <c r="HX25" s="77">
        <v>0.08</v>
      </c>
      <c r="HY25" s="77">
        <v>1.35</v>
      </c>
      <c r="HZ25" s="77">
        <v>0.75</v>
      </c>
      <c r="IA25" s="77">
        <v>1.59</v>
      </c>
      <c r="IB25" s="77">
        <v>1.22</v>
      </c>
      <c r="IC25" s="77">
        <v>0.8</v>
      </c>
      <c r="ID25" s="77">
        <v>0.33</v>
      </c>
      <c r="IE25" s="77">
        <v>-0.04</v>
      </c>
      <c r="IF25" s="77">
        <v>0.63</v>
      </c>
      <c r="IG25" s="77">
        <v>-0.37</v>
      </c>
      <c r="IH25" s="77">
        <v>1.22</v>
      </c>
      <c r="II25" s="77">
        <v>0.68</v>
      </c>
      <c r="IJ25" s="77">
        <v>0.56000000000000005</v>
      </c>
      <c r="IK25" s="77">
        <v>1.08</v>
      </c>
      <c r="IL25" s="77">
        <v>1.83</v>
      </c>
      <c r="IM25" s="77">
        <v>1.54</v>
      </c>
      <c r="IN25" s="77">
        <v>1.28</v>
      </c>
      <c r="IO25" s="77">
        <v>0.9</v>
      </c>
      <c r="IP25" s="77">
        <v>2.17</v>
      </c>
      <c r="IQ25" s="77">
        <v>0.64</v>
      </c>
      <c r="IR25" s="77">
        <v>1.49</v>
      </c>
      <c r="IS25" s="77">
        <v>-0.12</v>
      </c>
      <c r="IT25" s="77">
        <v>0.04</v>
      </c>
      <c r="IU25" s="77">
        <v>-0.09</v>
      </c>
      <c r="IV25" s="77">
        <v>0.19</v>
      </c>
      <c r="IW25" s="77">
        <v>0.47</v>
      </c>
      <c r="IX25" s="77">
        <v>-0.75</v>
      </c>
      <c r="IY25" s="77">
        <v>0.72</v>
      </c>
      <c r="IZ25" s="77">
        <v>2.19</v>
      </c>
      <c r="JA25" s="77">
        <v>0.3</v>
      </c>
      <c r="JB25" s="77">
        <v>0.93</v>
      </c>
      <c r="JC25" s="77">
        <v>-0.23</v>
      </c>
      <c r="JD25" s="77">
        <v>0.15</v>
      </c>
      <c r="JE25" s="77">
        <v>0.65</v>
      </c>
      <c r="JF25" s="77">
        <v>0.95</v>
      </c>
      <c r="JG25" s="77">
        <v>1.01</v>
      </c>
      <c r="JH25" s="77">
        <v>0.51</v>
      </c>
      <c r="JI25" s="77">
        <v>1</v>
      </c>
      <c r="JJ25" s="77">
        <v>0.68</v>
      </c>
      <c r="JK25" s="77">
        <v>0.33</v>
      </c>
    </row>
    <row r="26" spans="1:386" s="77" customFormat="1" ht="15" customHeight="1">
      <c r="A26" s="4"/>
      <c r="B26" s="4"/>
      <c r="C26"/>
      <c r="D26"/>
      <c r="E26"/>
      <c r="F26"/>
      <c r="G26"/>
      <c r="H26" s="49"/>
      <c r="I26" s="21"/>
      <c r="J26"/>
      <c r="K26"/>
      <c r="L26"/>
      <c r="M26"/>
      <c r="N26"/>
      <c r="O26"/>
      <c r="P26"/>
      <c r="Q26"/>
      <c r="R26" s="4"/>
      <c r="S26" s="4"/>
    </row>
    <row r="27" spans="1:386" ht="15" customHeight="1" thickBot="1">
      <c r="H27" s="50"/>
      <c r="I27" s="51"/>
      <c r="U27" s="81"/>
      <c r="W27" s="82"/>
      <c r="X27" s="79"/>
      <c r="Y27" s="79"/>
      <c r="Z27" s="83"/>
      <c r="AA27" s="83"/>
      <c r="AB27" s="83"/>
      <c r="AC27" s="83"/>
      <c r="AE27" s="84"/>
      <c r="AF27" s="83"/>
      <c r="AG27" s="83"/>
      <c r="AH27" s="83"/>
      <c r="AI27" s="83"/>
      <c r="AN27" s="84" t="s">
        <v>279</v>
      </c>
      <c r="AO27" s="84">
        <f>Y34</f>
        <v>330.23</v>
      </c>
      <c r="AP27" s="82" t="s">
        <v>271</v>
      </c>
      <c r="AQ27" s="79">
        <f>V6</f>
        <v>45155</v>
      </c>
      <c r="AR27" s="82" t="s">
        <v>297</v>
      </c>
      <c r="AS27" s="82">
        <f t="array" ref="AS27">INDEX(AK31:AK113,MATCH(MIN(ABS(AK31:AK113-AO27)),ABS(AK31:AK113-AO27),0))</f>
        <v>330</v>
      </c>
      <c r="AT27" s="82">
        <f>MATCH(AS27,AK31:AK111,0)</f>
        <v>29</v>
      </c>
      <c r="BJ27" s="89"/>
    </row>
    <row r="28" spans="1:386" ht="15" customHeight="1" thickBot="1">
      <c r="H28" s="50"/>
      <c r="I28" s="52"/>
      <c r="U28" s="191">
        <v>2018</v>
      </c>
      <c r="V28" s="192" t="s">
        <v>342</v>
      </c>
      <c r="W28" s="90">
        <v>1</v>
      </c>
      <c r="X28" s="91">
        <v>3</v>
      </c>
      <c r="Z28" s="92" t="s">
        <v>300</v>
      </c>
      <c r="AA28" s="93"/>
      <c r="AB28" s="93"/>
      <c r="AC28" s="94"/>
      <c r="AD28" s="95">
        <f>_xll.IMDP(Z28,AD30,"현재가",$V$6)</f>
        <v>331</v>
      </c>
      <c r="AE28" s="93"/>
      <c r="AF28" s="93"/>
      <c r="AG28" s="96"/>
      <c r="AH28" s="82"/>
      <c r="AN28" s="99"/>
      <c r="AO28" s="99"/>
      <c r="AP28" s="193"/>
      <c r="AQ28" s="193"/>
      <c r="AR28" s="99"/>
      <c r="AS28" s="99"/>
      <c r="AT28" s="99"/>
      <c r="AU28" s="99"/>
      <c r="AV28" s="99"/>
      <c r="AW28" s="99"/>
      <c r="AX28" s="99"/>
      <c r="AY28" s="99"/>
      <c r="AZ28" s="99"/>
    </row>
    <row r="29" spans="1:386" ht="15" customHeight="1">
      <c r="H29" s="50"/>
      <c r="I29" s="52"/>
      <c r="U29" s="101">
        <v>2019</v>
      </c>
      <c r="V29" s="102" t="s">
        <v>280</v>
      </c>
      <c r="W29" s="103">
        <v>2</v>
      </c>
      <c r="X29" s="104">
        <v>3</v>
      </c>
      <c r="Z29" s="105"/>
      <c r="AA29" s="106" t="s">
        <v>289</v>
      </c>
      <c r="AB29" s="106" t="s">
        <v>299</v>
      </c>
      <c r="AC29" s="106" t="s">
        <v>301</v>
      </c>
      <c r="AD29" s="107" t="s">
        <v>303</v>
      </c>
      <c r="AE29" s="106" t="s">
        <v>302</v>
      </c>
      <c r="AF29" s="106" t="s">
        <v>294</v>
      </c>
      <c r="AG29" s="100" t="s">
        <v>311</v>
      </c>
      <c r="AH29" s="82"/>
      <c r="AI29" s="83"/>
      <c r="AN29" s="194"/>
      <c r="AO29" s="194"/>
      <c r="AP29" s="194"/>
      <c r="AQ29" s="194"/>
      <c r="AR29" s="194"/>
      <c r="AS29" s="194"/>
      <c r="AT29" s="195"/>
      <c r="AU29" s="194"/>
      <c r="AV29" s="194"/>
      <c r="AW29" s="194"/>
      <c r="AX29" s="194"/>
      <c r="AY29" s="194"/>
      <c r="AZ29" s="194"/>
    </row>
    <row r="30" spans="1:386" ht="15" customHeight="1" thickBot="1">
      <c r="H30" s="50"/>
      <c r="I30" s="52"/>
      <c r="U30" s="101">
        <v>2020</v>
      </c>
      <c r="V30" s="102" t="s">
        <v>281</v>
      </c>
      <c r="W30" s="103">
        <v>3</v>
      </c>
      <c r="X30" s="104">
        <v>3</v>
      </c>
      <c r="Z30" s="110">
        <v>101</v>
      </c>
      <c r="AA30" s="111" t="str">
        <f>VLOOKUP(YEAR($V$6),$U$28:$V$46,2,0)</f>
        <v>T</v>
      </c>
      <c r="AB30" s="112">
        <f>VLOOKUP(MONTH($V$6),W28:X39,2,0)</f>
        <v>9</v>
      </c>
      <c r="AC30" s="113" t="s">
        <v>298</v>
      </c>
      <c r="AD30" s="114" t="str">
        <f>Z30&amp;AA30&amp;AB30&amp;AC30</f>
        <v>101T9000</v>
      </c>
      <c r="AE30" s="112">
        <f>IF(AD28="",AB30,IF(AB30=3,"C",AB30-3))</f>
        <v>6</v>
      </c>
      <c r="AF30" s="111" t="str">
        <f>IF(AB30=3,VLOOKUP(YEAR($V$6)-1,$U$28:$V$46,2,0),AA30)</f>
        <v>T</v>
      </c>
      <c r="AG30" s="114" t="str">
        <f>Z30&amp;AF30&amp;AE30&amp;AC30</f>
        <v>101T6000</v>
      </c>
      <c r="AH30" s="82"/>
      <c r="AI30" s="79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</row>
    <row r="31" spans="1:386" ht="15" customHeight="1" thickBot="1">
      <c r="H31" s="50"/>
      <c r="I31" s="52"/>
      <c r="U31" s="101">
        <v>2021</v>
      </c>
      <c r="V31" s="102" t="s">
        <v>282</v>
      </c>
      <c r="W31" s="103">
        <v>4</v>
      </c>
      <c r="X31" s="104">
        <v>6</v>
      </c>
      <c r="Y31" s="77" t="str">
        <f ca="1">_xll.IMDH(Z28,"C01",Y33,TODAY()-2543,$D$4,70,"Per=일,sort=D,real=true,Bizday=0,Quote=종가,Pos=30,Orient=V,Title=K200,DtFmt=1,TmFmt=1,unit=true")</f>
        <v>K200</v>
      </c>
      <c r="Z31" s="77" t="str">
        <f ca="1">_xll.IMDH(Z28,AG30,Z33:AD33,TODAY()-2543,$D$4,70,"Per=일,sort=D,real=true,Bizday=0,Quote=종가,Pos=30,Orient=V,Title="&amp;AG30&amp;",DtFmt=1,TmFmt=1,unit=true")</f>
        <v>101T6000</v>
      </c>
      <c r="AH31" s="82"/>
      <c r="AI31" s="79"/>
      <c r="AK31" s="82">
        <v>400</v>
      </c>
      <c r="AL31" s="82" t="str">
        <f>LEFT(AK31,3)</f>
        <v>400</v>
      </c>
      <c r="AM31" s="97"/>
      <c r="AN31" s="85" t="s">
        <v>296</v>
      </c>
      <c r="AO31" s="86"/>
      <c r="AP31" s="86"/>
      <c r="AQ31" s="86"/>
      <c r="AR31" s="87" t="str">
        <f>_xll.IMDP("OPT",AR33,"현재가",$V$6)</f>
        <v/>
      </c>
      <c r="AS31" s="86"/>
      <c r="AT31" s="86"/>
      <c r="AU31" s="88"/>
      <c r="AV31" s="99"/>
      <c r="AW31" s="99"/>
      <c r="AX31" s="99"/>
      <c r="AY31" s="99"/>
      <c r="AZ31" s="99"/>
    </row>
    <row r="32" spans="1:386" ht="15" customHeight="1">
      <c r="H32" s="50"/>
      <c r="I32" s="52"/>
      <c r="U32" s="101">
        <v>2022</v>
      </c>
      <c r="V32" s="102" t="s">
        <v>283</v>
      </c>
      <c r="W32" s="118">
        <v>5</v>
      </c>
      <c r="X32" s="119">
        <v>6</v>
      </c>
      <c r="AH32" s="82"/>
      <c r="AI32" s="79"/>
      <c r="AK32" s="82">
        <v>397.5</v>
      </c>
      <c r="AL32" s="82" t="str">
        <f t="shared" ref="AL32:AL95" si="6">LEFT(AK32,3)</f>
        <v>397</v>
      </c>
      <c r="AM32" s="97"/>
      <c r="AN32" s="98" t="s">
        <v>288</v>
      </c>
      <c r="AO32" s="99" t="s">
        <v>289</v>
      </c>
      <c r="AP32" s="99" t="s">
        <v>290</v>
      </c>
      <c r="AQ32" s="99" t="s">
        <v>292</v>
      </c>
      <c r="AR32" s="99" t="s">
        <v>291</v>
      </c>
      <c r="AS32" s="99" t="s">
        <v>293</v>
      </c>
      <c r="AT32" s="99" t="s">
        <v>294</v>
      </c>
      <c r="AU32" s="100" t="s">
        <v>295</v>
      </c>
      <c r="AV32" s="99"/>
      <c r="AW32" s="99"/>
      <c r="AX32" s="99"/>
      <c r="AY32" s="99"/>
      <c r="AZ32" s="99"/>
    </row>
    <row r="33" spans="1:52" ht="15" customHeight="1">
      <c r="U33" s="101">
        <v>2023</v>
      </c>
      <c r="V33" s="102" t="s">
        <v>284</v>
      </c>
      <c r="W33" s="103">
        <v>6</v>
      </c>
      <c r="X33" s="119">
        <v>6</v>
      </c>
      <c r="Y33" s="77" t="s">
        <v>307</v>
      </c>
      <c r="Z33" s="82" t="s">
        <v>176</v>
      </c>
      <c r="AA33" s="81" t="s">
        <v>278</v>
      </c>
      <c r="AB33" s="80" t="s">
        <v>257</v>
      </c>
      <c r="AC33" s="80" t="s">
        <v>258</v>
      </c>
      <c r="AD33" s="80" t="s">
        <v>266</v>
      </c>
      <c r="AK33" s="82">
        <v>395</v>
      </c>
      <c r="AL33" s="82" t="str">
        <f t="shared" si="6"/>
        <v>395</v>
      </c>
      <c r="AM33" s="97"/>
      <c r="AN33" s="108">
        <v>201</v>
      </c>
      <c r="AO33" s="89" t="str">
        <f>VLOOKUP(YEAR($V$6),$AN$36:$AO$54,2,0)</f>
        <v>T</v>
      </c>
      <c r="AP33" s="89">
        <f>VLOOKUP(MONTH($V$6),$AP$36:$AQ$47,2,0)</f>
        <v>8</v>
      </c>
      <c r="AQ33" s="89">
        <v>265</v>
      </c>
      <c r="AR33" s="89" t="str">
        <f>AN33&amp;AO33&amp;AP33&amp;AQ33</f>
        <v>201T8265</v>
      </c>
      <c r="AS33" s="89">
        <f>IF($AR$31="",VLOOKUP(IF(MONTH($V$6)+1&gt;12,MONTH($V$6)-11,MONTH($V$6)+1),$AP$36:$AQ$47,2,0),AP33)</f>
        <v>9</v>
      </c>
      <c r="AT33" s="89" t="str">
        <f>IF(MONTH($V$6)+1&gt;12, VLOOKUP(YEAR($V$6)+1,$AN$36:$AO$54,2,0),AO33)</f>
        <v>T</v>
      </c>
      <c r="AU33" s="109" t="str">
        <f>AN33&amp;AT33&amp;AS33</f>
        <v>201T9</v>
      </c>
      <c r="AV33" s="99"/>
      <c r="AW33" s="99"/>
      <c r="AX33" s="99"/>
      <c r="AY33" s="99"/>
      <c r="AZ33" s="99"/>
    </row>
    <row r="34" spans="1:52" ht="15" customHeight="1" thickBot="1">
      <c r="U34" s="101">
        <v>2024</v>
      </c>
      <c r="V34" s="102" t="s">
        <v>331</v>
      </c>
      <c r="W34" s="103">
        <v>7</v>
      </c>
      <c r="X34" s="119">
        <v>9</v>
      </c>
      <c r="Y34" s="77">
        <v>330.23</v>
      </c>
      <c r="Z34" s="79">
        <v>45155</v>
      </c>
      <c r="AB34" s="77">
        <v>-5100</v>
      </c>
      <c r="AC34" s="77">
        <v>-283</v>
      </c>
      <c r="AD34" s="77">
        <v>4810</v>
      </c>
      <c r="AE34" s="120">
        <f t="shared" ref="AE34:AE65" si="7">IF($AA34="",AB34,NA())</f>
        <v>-5100</v>
      </c>
      <c r="AF34" s="121">
        <f t="shared" ref="AF34:AF65" si="8">IF($AA34="",AC34,NA())</f>
        <v>-283</v>
      </c>
      <c r="AG34" s="122">
        <f t="shared" ref="AG34:AG65" si="9">IF($AA34="",AD34,NA())</f>
        <v>4810</v>
      </c>
      <c r="AK34" s="82">
        <v>392.5</v>
      </c>
      <c r="AL34" s="82" t="str">
        <f t="shared" si="6"/>
        <v>392</v>
      </c>
      <c r="AM34" s="97"/>
      <c r="AN34" s="115">
        <v>301</v>
      </c>
      <c r="AO34" s="116" t="str">
        <f>AO33</f>
        <v>T</v>
      </c>
      <c r="AP34" s="116">
        <f>AP33</f>
        <v>8</v>
      </c>
      <c r="AQ34" s="116">
        <f>AQ33</f>
        <v>265</v>
      </c>
      <c r="AR34" s="116" t="str">
        <f>AN34&amp;AO34&amp;AP34&amp;AQ34</f>
        <v>301T8265</v>
      </c>
      <c r="AS34" s="116">
        <f>AS33</f>
        <v>9</v>
      </c>
      <c r="AT34" s="116" t="str">
        <f>AT33</f>
        <v>T</v>
      </c>
      <c r="AU34" s="117" t="str">
        <f>AN34&amp;AT34&amp;AS34</f>
        <v>301T9</v>
      </c>
      <c r="AV34" s="99"/>
      <c r="AW34" s="99"/>
      <c r="AX34" s="99"/>
      <c r="AY34" s="99"/>
      <c r="AZ34" s="99"/>
    </row>
    <row r="35" spans="1:52" ht="15" customHeight="1">
      <c r="U35" s="101">
        <v>2025</v>
      </c>
      <c r="V35" s="102" t="s">
        <v>332</v>
      </c>
      <c r="W35" s="103">
        <v>8</v>
      </c>
      <c r="X35" s="119">
        <v>9</v>
      </c>
      <c r="Y35" s="77">
        <v>331.28</v>
      </c>
      <c r="Z35" s="79">
        <v>45154</v>
      </c>
      <c r="AB35" s="77">
        <v>-9194</v>
      </c>
      <c r="AC35" s="77">
        <v>4290</v>
      </c>
      <c r="AD35" s="77">
        <v>3869</v>
      </c>
      <c r="AE35" s="123">
        <f t="shared" si="7"/>
        <v>-9194</v>
      </c>
      <c r="AF35" s="124">
        <f t="shared" si="8"/>
        <v>4290</v>
      </c>
      <c r="AG35" s="125">
        <f t="shared" si="9"/>
        <v>3869</v>
      </c>
      <c r="AK35" s="82">
        <v>390</v>
      </c>
      <c r="AL35" s="82" t="str">
        <f t="shared" si="6"/>
        <v>390</v>
      </c>
      <c r="AM35" s="97"/>
      <c r="AV35" s="99"/>
      <c r="AW35" s="99"/>
      <c r="AX35" s="99"/>
      <c r="AY35" s="99"/>
      <c r="AZ35" s="99"/>
    </row>
    <row r="36" spans="1:52" ht="15" customHeight="1">
      <c r="U36" s="101">
        <v>2026</v>
      </c>
      <c r="V36" s="102">
        <v>6</v>
      </c>
      <c r="W36" s="103">
        <v>9</v>
      </c>
      <c r="X36" s="119">
        <v>9</v>
      </c>
      <c r="Y36" s="77">
        <v>336.33</v>
      </c>
      <c r="Z36" s="79">
        <v>45152</v>
      </c>
      <c r="AB36" s="77">
        <v>-2433</v>
      </c>
      <c r="AC36" s="77">
        <v>413</v>
      </c>
      <c r="AD36" s="77">
        <v>3048</v>
      </c>
      <c r="AE36" s="123">
        <f t="shared" si="7"/>
        <v>-2433</v>
      </c>
      <c r="AF36" s="124">
        <f t="shared" si="8"/>
        <v>413</v>
      </c>
      <c r="AG36" s="125">
        <f t="shared" si="9"/>
        <v>3048</v>
      </c>
      <c r="AK36" s="82">
        <v>387.5</v>
      </c>
      <c r="AL36" s="82" t="str">
        <f t="shared" si="6"/>
        <v>387</v>
      </c>
      <c r="AM36" s="97"/>
      <c r="AN36" s="175">
        <v>2018</v>
      </c>
      <c r="AO36" s="176" t="s">
        <v>334</v>
      </c>
      <c r="AP36" s="182">
        <v>1</v>
      </c>
      <c r="AQ36" s="176">
        <v>1</v>
      </c>
      <c r="AR36" s="190">
        <v>2018</v>
      </c>
      <c r="AV36" s="99"/>
      <c r="AW36" s="99"/>
      <c r="AX36" s="99"/>
      <c r="AY36" s="99"/>
      <c r="AZ36" s="99"/>
    </row>
    <row r="37" spans="1:52" ht="15" customHeight="1">
      <c r="U37" s="101">
        <v>2027</v>
      </c>
      <c r="V37" s="102">
        <v>7</v>
      </c>
      <c r="W37" s="118">
        <v>10</v>
      </c>
      <c r="X37" s="119" t="s">
        <v>309</v>
      </c>
      <c r="Y37" s="77">
        <v>338.98</v>
      </c>
      <c r="Z37" s="79">
        <v>45149</v>
      </c>
      <c r="AB37" s="77">
        <v>3884</v>
      </c>
      <c r="AC37" s="77">
        <v>-1655</v>
      </c>
      <c r="AD37" s="77">
        <v>-830</v>
      </c>
      <c r="AE37" s="123">
        <f t="shared" si="7"/>
        <v>3884</v>
      </c>
      <c r="AF37" s="124">
        <f t="shared" si="8"/>
        <v>-1655</v>
      </c>
      <c r="AG37" s="125">
        <f t="shared" si="9"/>
        <v>-830</v>
      </c>
      <c r="AK37" s="82">
        <v>385</v>
      </c>
      <c r="AL37" s="82" t="str">
        <f t="shared" si="6"/>
        <v>385</v>
      </c>
      <c r="AM37" s="97"/>
      <c r="AN37" s="177">
        <v>2019</v>
      </c>
      <c r="AO37" s="178" t="s">
        <v>335</v>
      </c>
      <c r="AP37" s="183">
        <v>2</v>
      </c>
      <c r="AQ37" s="178">
        <v>2</v>
      </c>
      <c r="AR37" s="184">
        <v>2019</v>
      </c>
      <c r="AV37" s="99"/>
      <c r="AW37" s="99"/>
      <c r="AX37" s="99"/>
      <c r="AY37" s="99"/>
      <c r="AZ37" s="99"/>
    </row>
    <row r="38" spans="1:52" ht="15" customHeight="1">
      <c r="U38" s="101">
        <v>2028</v>
      </c>
      <c r="V38" s="102">
        <v>8</v>
      </c>
      <c r="W38" s="103">
        <v>11</v>
      </c>
      <c r="X38" s="104" t="s">
        <v>310</v>
      </c>
      <c r="Y38" s="83">
        <v>340.46</v>
      </c>
      <c r="Z38" s="79">
        <v>45148</v>
      </c>
      <c r="AB38" s="77">
        <v>-7420</v>
      </c>
      <c r="AC38" s="77">
        <v>1312</v>
      </c>
      <c r="AD38" s="77">
        <v>7296</v>
      </c>
      <c r="AE38" s="123">
        <f t="shared" si="7"/>
        <v>-7420</v>
      </c>
      <c r="AF38" s="124">
        <f t="shared" si="8"/>
        <v>1312</v>
      </c>
      <c r="AG38" s="125">
        <f t="shared" si="9"/>
        <v>7296</v>
      </c>
      <c r="AK38" s="82">
        <v>382.5</v>
      </c>
      <c r="AL38" s="82" t="str">
        <f t="shared" si="6"/>
        <v>382</v>
      </c>
      <c r="AM38" s="97"/>
      <c r="AN38" s="177">
        <v>2020</v>
      </c>
      <c r="AO38" s="178" t="s">
        <v>336</v>
      </c>
      <c r="AP38" s="183">
        <v>3</v>
      </c>
      <c r="AQ38" s="178">
        <v>3</v>
      </c>
      <c r="AR38" s="184">
        <v>2020</v>
      </c>
      <c r="AV38" s="99"/>
      <c r="AW38" s="99"/>
      <c r="AX38" s="99"/>
      <c r="AY38" s="99"/>
      <c r="AZ38" s="99"/>
    </row>
    <row r="39" spans="1:52" ht="15" customHeight="1">
      <c r="U39" s="101">
        <v>2029</v>
      </c>
      <c r="V39" s="102">
        <v>9</v>
      </c>
      <c r="W39" s="103">
        <v>12</v>
      </c>
      <c r="X39" s="119" t="s">
        <v>309</v>
      </c>
      <c r="Y39" s="83">
        <v>341.61</v>
      </c>
      <c r="Z39" s="79">
        <v>45147</v>
      </c>
      <c r="AB39" s="77">
        <v>6745</v>
      </c>
      <c r="AC39" s="77">
        <v>-1751</v>
      </c>
      <c r="AD39" s="77">
        <v>-6054</v>
      </c>
      <c r="AE39" s="123">
        <f t="shared" si="7"/>
        <v>6745</v>
      </c>
      <c r="AF39" s="124">
        <f t="shared" si="8"/>
        <v>-1751</v>
      </c>
      <c r="AG39" s="125">
        <f t="shared" si="9"/>
        <v>-6054</v>
      </c>
      <c r="AK39" s="82">
        <v>380</v>
      </c>
      <c r="AL39" s="82" t="str">
        <f t="shared" si="6"/>
        <v>380</v>
      </c>
      <c r="AM39" s="97"/>
      <c r="AN39" s="177">
        <v>2021</v>
      </c>
      <c r="AO39" s="178" t="s">
        <v>337</v>
      </c>
      <c r="AP39" s="183">
        <v>4</v>
      </c>
      <c r="AQ39" s="178">
        <v>4</v>
      </c>
      <c r="AR39" s="184">
        <v>2021</v>
      </c>
      <c r="AV39" s="99"/>
      <c r="AW39" s="99"/>
      <c r="AX39" s="99"/>
      <c r="AY39" s="99"/>
      <c r="AZ39" s="99"/>
    </row>
    <row r="40" spans="1:52" ht="15" customHeight="1">
      <c r="U40" s="170">
        <v>2030</v>
      </c>
      <c r="V40" s="167">
        <v>0</v>
      </c>
      <c r="W40" s="169"/>
      <c r="X40" s="171"/>
      <c r="Y40" s="83">
        <v>337.95</v>
      </c>
      <c r="Z40" s="79">
        <v>45146</v>
      </c>
      <c r="AB40" s="77">
        <v>-1407</v>
      </c>
      <c r="AC40" s="77">
        <v>-1199</v>
      </c>
      <c r="AD40" s="77">
        <v>2692</v>
      </c>
      <c r="AE40" s="123">
        <f t="shared" si="7"/>
        <v>-1407</v>
      </c>
      <c r="AF40" s="124">
        <f t="shared" si="8"/>
        <v>-1199</v>
      </c>
      <c r="AG40" s="125">
        <f t="shared" si="9"/>
        <v>2692</v>
      </c>
      <c r="AK40" s="82">
        <v>377.5</v>
      </c>
      <c r="AL40" s="82" t="str">
        <f t="shared" si="6"/>
        <v>377</v>
      </c>
      <c r="AM40" s="97"/>
      <c r="AN40" s="177">
        <v>2022</v>
      </c>
      <c r="AO40" s="178" t="s">
        <v>338</v>
      </c>
      <c r="AP40" s="183">
        <v>5</v>
      </c>
      <c r="AQ40" s="178">
        <v>5</v>
      </c>
      <c r="AR40" s="184">
        <v>2022</v>
      </c>
      <c r="AV40" s="99"/>
      <c r="AW40" s="99"/>
      <c r="AX40" s="99"/>
      <c r="AY40" s="99"/>
      <c r="AZ40" s="99"/>
    </row>
    <row r="41" spans="1:52" ht="15" customHeight="1" thickBot="1">
      <c r="C41" s="70" t="s">
        <v>315</v>
      </c>
      <c r="U41" s="170">
        <v>2031</v>
      </c>
      <c r="V41" s="168">
        <v>1</v>
      </c>
      <c r="W41" s="169"/>
      <c r="X41" s="171"/>
      <c r="Y41" s="83">
        <v>339.68</v>
      </c>
      <c r="Z41" s="79">
        <v>45145</v>
      </c>
      <c r="AB41" s="77">
        <v>3349</v>
      </c>
      <c r="AC41" s="77">
        <v>-780</v>
      </c>
      <c r="AD41" s="77">
        <v>-2467</v>
      </c>
      <c r="AE41" s="123">
        <f t="shared" si="7"/>
        <v>3349</v>
      </c>
      <c r="AF41" s="124">
        <f t="shared" si="8"/>
        <v>-780</v>
      </c>
      <c r="AG41" s="125">
        <f t="shared" si="9"/>
        <v>-2467</v>
      </c>
      <c r="AK41" s="82">
        <v>375</v>
      </c>
      <c r="AL41" s="82" t="str">
        <f t="shared" si="6"/>
        <v>375</v>
      </c>
      <c r="AM41" s="97"/>
      <c r="AN41" s="177">
        <v>2023</v>
      </c>
      <c r="AO41" s="178" t="s">
        <v>339</v>
      </c>
      <c r="AP41" s="183">
        <v>6</v>
      </c>
      <c r="AQ41" s="178">
        <v>6</v>
      </c>
      <c r="AR41" s="184">
        <v>2023</v>
      </c>
      <c r="AV41" s="99"/>
      <c r="AW41" s="99"/>
      <c r="AX41" s="99"/>
      <c r="AY41" s="99"/>
      <c r="AZ41" s="99"/>
    </row>
    <row r="42" spans="1:52" ht="15" customHeight="1" thickBot="1">
      <c r="C42" s="67" t="str">
        <f>VLOOKUP(AT33,AO36:AR54,4,0)&amp;"년 "&amp;MATCH(AS33,$AQ$36:$AQ$47,0)&amp;"월물"</f>
        <v>2023년 9월물</v>
      </c>
      <c r="D42" s="225" t="s">
        <v>312</v>
      </c>
      <c r="E42" s="226"/>
      <c r="F42" s="226"/>
      <c r="G42" s="226"/>
      <c r="H42" s="226"/>
      <c r="I42" s="226"/>
      <c r="J42" s="228" t="s">
        <v>349</v>
      </c>
      <c r="K42" s="226" t="s">
        <v>313</v>
      </c>
      <c r="L42" s="226"/>
      <c r="M42" s="226"/>
      <c r="N42" s="226"/>
      <c r="O42" s="226"/>
      <c r="P42" s="227"/>
      <c r="U42" s="170">
        <v>2032</v>
      </c>
      <c r="V42" s="168">
        <v>2</v>
      </c>
      <c r="W42" s="169"/>
      <c r="X42" s="171"/>
      <c r="Y42" s="83">
        <v>341.25</v>
      </c>
      <c r="Z42" s="79">
        <v>45142</v>
      </c>
      <c r="AB42" s="77">
        <v>-5160</v>
      </c>
      <c r="AC42" s="77">
        <v>618</v>
      </c>
      <c r="AD42" s="77">
        <v>4970</v>
      </c>
      <c r="AE42" s="123">
        <f t="shared" si="7"/>
        <v>-5160</v>
      </c>
      <c r="AF42" s="124">
        <f t="shared" si="8"/>
        <v>618</v>
      </c>
      <c r="AG42" s="125">
        <f t="shared" si="9"/>
        <v>4970</v>
      </c>
      <c r="AK42" s="82">
        <v>372.5</v>
      </c>
      <c r="AL42" s="82" t="str">
        <f t="shared" si="6"/>
        <v>372</v>
      </c>
      <c r="AM42" s="97"/>
      <c r="AN42" s="177">
        <v>2024</v>
      </c>
      <c r="AO42" s="178" t="s">
        <v>340</v>
      </c>
      <c r="AP42" s="183">
        <v>7</v>
      </c>
      <c r="AQ42" s="178">
        <v>7</v>
      </c>
      <c r="AR42" s="184">
        <v>2024</v>
      </c>
      <c r="AV42" s="99"/>
      <c r="AW42" s="99"/>
      <c r="AX42" s="99"/>
      <c r="AY42" s="99"/>
      <c r="AZ42" s="99"/>
    </row>
    <row r="43" spans="1:52" ht="15" customHeight="1" thickBot="1">
      <c r="C43" s="66" t="s">
        <v>314</v>
      </c>
      <c r="D43" s="199" t="s">
        <v>343</v>
      </c>
      <c r="E43" s="200" t="s">
        <v>344</v>
      </c>
      <c r="F43" s="200" t="s">
        <v>345</v>
      </c>
      <c r="G43" s="200" t="s">
        <v>346</v>
      </c>
      <c r="H43" s="200" t="s">
        <v>347</v>
      </c>
      <c r="I43" s="200" t="s">
        <v>348</v>
      </c>
      <c r="J43" s="229"/>
      <c r="K43" s="200" t="s">
        <v>348</v>
      </c>
      <c r="L43" s="200" t="s">
        <v>347</v>
      </c>
      <c r="M43" s="200" t="s">
        <v>350</v>
      </c>
      <c r="N43" s="200" t="s">
        <v>345</v>
      </c>
      <c r="O43" s="200" t="s">
        <v>344</v>
      </c>
      <c r="P43" s="201" t="s">
        <v>343</v>
      </c>
      <c r="U43" s="170">
        <v>2033</v>
      </c>
      <c r="V43" s="168">
        <v>3</v>
      </c>
      <c r="W43" s="169"/>
      <c r="X43" s="171"/>
      <c r="Y43" s="83">
        <v>341.54</v>
      </c>
      <c r="Z43" s="79">
        <v>45141</v>
      </c>
      <c r="AB43" s="77">
        <v>-16509</v>
      </c>
      <c r="AC43" s="77">
        <v>3524</v>
      </c>
      <c r="AD43" s="77">
        <v>12329</v>
      </c>
      <c r="AE43" s="123">
        <f t="shared" si="7"/>
        <v>-16509</v>
      </c>
      <c r="AF43" s="124">
        <f t="shared" si="8"/>
        <v>3524</v>
      </c>
      <c r="AG43" s="125">
        <f t="shared" si="9"/>
        <v>12329</v>
      </c>
      <c r="AK43" s="82">
        <v>370</v>
      </c>
      <c r="AL43" s="82" t="str">
        <f t="shared" si="6"/>
        <v>370</v>
      </c>
      <c r="AM43" s="97"/>
      <c r="AN43" s="177">
        <v>2025</v>
      </c>
      <c r="AO43" s="178" t="s">
        <v>341</v>
      </c>
      <c r="AP43" s="183">
        <v>8</v>
      </c>
      <c r="AQ43" s="178">
        <v>8</v>
      </c>
      <c r="AR43" s="184">
        <v>2025</v>
      </c>
      <c r="AV43" s="99"/>
      <c r="AW43" s="99"/>
      <c r="AX43" s="99"/>
      <c r="AY43" s="99"/>
      <c r="AZ43" s="99"/>
    </row>
    <row r="44" spans="1:52" ht="15" customHeight="1">
      <c r="A44" s="4">
        <v>-4</v>
      </c>
      <c r="C44" s="196">
        <f>I44-K44</f>
        <v>-9.2100000000000009</v>
      </c>
      <c r="D44" s="202">
        <f>_xll.IMDP($AN$31,$AU$33&amp;INDEX($AL$31:$AL$113,$AT$27+$A44),D$43,$AQ$27)</f>
        <v>0.23960000000000001</v>
      </c>
      <c r="E44" s="203">
        <f>_xll.IMDP($AN$31,$AU$33&amp;INDEX($AL$31:$AL$113,$AT$27+$A44),E$43,$AQ$27)</f>
        <v>13.569900000000001</v>
      </c>
      <c r="F44" s="203">
        <f>_xll.IMDP($AN$31,$AU$33&amp;INDEX($AL$31:$AL$113,$AT$27+$A44),F$43,$AQ$27)</f>
        <v>7299</v>
      </c>
      <c r="G44" s="203">
        <f>_xll.IMDP($AN$31,$AU$33&amp;INDEX($AL$31:$AL$113,$AT$27+$A44),G$43,$AQ$27)</f>
        <v>24791</v>
      </c>
      <c r="H44" s="203">
        <f>_xll.IMDP($AN$31,$AU$33&amp;INDEX($AL$31:$AL$113,$AT$27+$A44),H$43,$AQ$27)</f>
        <v>-17.510000000000002</v>
      </c>
      <c r="I44" s="203">
        <f>_xll.IMDP($AN$31,$AU$33&amp;INDEX($AL$31:$AL$113,$AT$27+$A44),I$43,$AQ$27)</f>
        <v>1.79</v>
      </c>
      <c r="J44" s="205">
        <f>J45+2.5</f>
        <v>340</v>
      </c>
      <c r="K44" s="203">
        <f>_xll.IMDP($AN$31,$AU$34&amp;INDEX($AL$31:$AL$113,$AT$27+$A44),K$43,$AQ$27)</f>
        <v>11</v>
      </c>
      <c r="L44" s="203">
        <f>_xll.IMDP($AN$31,$AU$34&amp;INDEX($AL$31:$AL$113,$AT$27+$A44),L$43,$AQ$27)</f>
        <v>12.02</v>
      </c>
      <c r="M44" s="203">
        <f>_xll.IMDP($AN$31,$AU$34&amp;INDEX($AL$31:$AL$113,$AT$27+$A44),M$43,$AQ$27)</f>
        <v>12380</v>
      </c>
      <c r="N44" s="203">
        <f>_xll.IMDP($AN$31,$AU$34&amp;INDEX($AL$31:$AL$113,$AT$27+$A44),N$43,$AQ$27)</f>
        <v>-156</v>
      </c>
      <c r="O44" s="203">
        <f>_xll.IMDP($AN$31,$AU$34&amp;INDEX($AL$31:$AL$113,$AT$27+$A44),O$43,$AQ$27)</f>
        <v>14.898400000000001</v>
      </c>
      <c r="P44" s="204">
        <f>_xll.IMDP($AN$31,$AU$34&amp;INDEX($AL$31:$AL$113,$AT$27+$A44),P$43,$AQ$27)</f>
        <v>-0.76039999999999996</v>
      </c>
      <c r="U44" s="170">
        <v>2034</v>
      </c>
      <c r="V44" s="168">
        <v>4</v>
      </c>
      <c r="W44" s="169"/>
      <c r="X44" s="171"/>
      <c r="Y44" s="83">
        <v>343.8</v>
      </c>
      <c r="Z44" s="79">
        <v>45140</v>
      </c>
      <c r="AB44" s="77">
        <v>-26347</v>
      </c>
      <c r="AC44" s="77">
        <v>14894</v>
      </c>
      <c r="AD44" s="77">
        <v>6468</v>
      </c>
      <c r="AE44" s="123">
        <f t="shared" si="7"/>
        <v>-26347</v>
      </c>
      <c r="AF44" s="124">
        <f t="shared" si="8"/>
        <v>14894</v>
      </c>
      <c r="AG44" s="125">
        <f t="shared" si="9"/>
        <v>6468</v>
      </c>
      <c r="AK44" s="82">
        <v>367.5</v>
      </c>
      <c r="AL44" s="82" t="str">
        <f t="shared" si="6"/>
        <v>367</v>
      </c>
      <c r="AM44" s="97"/>
      <c r="AN44" s="177">
        <v>2026</v>
      </c>
      <c r="AO44" s="178">
        <v>6</v>
      </c>
      <c r="AP44" s="183">
        <v>9</v>
      </c>
      <c r="AQ44" s="178">
        <v>9</v>
      </c>
      <c r="AR44" s="184">
        <v>2026</v>
      </c>
      <c r="AV44" s="99"/>
      <c r="AW44" s="99"/>
      <c r="AX44" s="99"/>
      <c r="AY44" s="99"/>
      <c r="AZ44" s="99"/>
    </row>
    <row r="45" spans="1:52" ht="15" customHeight="1">
      <c r="A45" s="4">
        <v>-3</v>
      </c>
      <c r="C45" s="196">
        <f t="shared" ref="C45:C52" si="10">I45-K45</f>
        <v>-6.71</v>
      </c>
      <c r="D45" s="55">
        <f>_xll.IMDP($AN$31,$AU$33&amp;INDEX($AL$31:$AL$113,$AT$27+$A45),D$43,$AQ$27)</f>
        <v>0.30769999999999997</v>
      </c>
      <c r="E45" s="54">
        <f>_xll.IMDP($AN$31,$AU$33&amp;INDEX($AL$31:$AL$113,$AT$27+$A45),E$43,$AQ$27)</f>
        <v>13.8284</v>
      </c>
      <c r="F45" s="54">
        <f>_xll.IMDP($AN$31,$AU$33&amp;INDEX($AL$31:$AL$113,$AT$27+$A45),F$43,$AQ$27)</f>
        <v>5514</v>
      </c>
      <c r="G45" s="54">
        <f>_xll.IMDP($AN$31,$AU$33&amp;INDEX($AL$31:$AL$113,$AT$27+$A45),G$43,$AQ$27)</f>
        <v>11334</v>
      </c>
      <c r="H45" s="54">
        <f>_xll.IMDP($AN$31,$AU$33&amp;INDEX($AL$31:$AL$113,$AT$27+$A45),H$43,$AQ$27)</f>
        <v>-14.48</v>
      </c>
      <c r="I45" s="54">
        <f>_xll.IMDP($AN$31,$AU$33&amp;INDEX($AL$31:$AL$113,$AT$27+$A45),I$43,$AQ$27)</f>
        <v>2.54</v>
      </c>
      <c r="J45" s="60">
        <f>J46+2.5</f>
        <v>337.5</v>
      </c>
      <c r="K45" s="54">
        <f>_xll.IMDP($AN$31,$AU$34&amp;INDEX($AL$31:$AL$113,$AT$27+$A45),K$43,$AQ$27)</f>
        <v>9.25</v>
      </c>
      <c r="L45" s="54">
        <f>_xll.IMDP($AN$31,$AU$34&amp;INDEX($AL$31:$AL$113,$AT$27+$A45),L$43,$AQ$27)</f>
        <v>13.22</v>
      </c>
      <c r="M45" s="54">
        <f>_xll.IMDP($AN$31,$AU$34&amp;INDEX($AL$31:$AL$113,$AT$27+$A45),M$43,$AQ$27)</f>
        <v>8896</v>
      </c>
      <c r="N45" s="54">
        <f>_xll.IMDP($AN$31,$AU$34&amp;INDEX($AL$31:$AL$113,$AT$27+$A45),N$43,$AQ$27)</f>
        <v>-216</v>
      </c>
      <c r="O45" s="54">
        <f>_xll.IMDP($AN$31,$AU$34&amp;INDEX($AL$31:$AL$113,$AT$27+$A45),O$43,$AQ$27)</f>
        <v>15.000299999999999</v>
      </c>
      <c r="P45" s="56">
        <f>_xll.IMDP($AN$31,$AU$34&amp;INDEX($AL$31:$AL$113,$AT$27+$A45),P$43,$AQ$27)</f>
        <v>-0.69299999999999995</v>
      </c>
      <c r="U45" s="170">
        <v>2035</v>
      </c>
      <c r="V45" s="168">
        <v>5</v>
      </c>
      <c r="W45" s="169"/>
      <c r="X45" s="171"/>
      <c r="Y45" s="83">
        <v>351</v>
      </c>
      <c r="Z45" s="79">
        <v>45139</v>
      </c>
      <c r="AB45" s="77">
        <v>20522</v>
      </c>
      <c r="AC45" s="77">
        <v>-7717</v>
      </c>
      <c r="AD45" s="77">
        <v>-10957</v>
      </c>
      <c r="AE45" s="123">
        <f t="shared" si="7"/>
        <v>20522</v>
      </c>
      <c r="AF45" s="124">
        <f t="shared" si="8"/>
        <v>-7717</v>
      </c>
      <c r="AG45" s="125">
        <f t="shared" si="9"/>
        <v>-10957</v>
      </c>
      <c r="AK45" s="82">
        <v>365</v>
      </c>
      <c r="AL45" s="82" t="str">
        <f t="shared" si="6"/>
        <v>365</v>
      </c>
      <c r="AM45" s="97"/>
      <c r="AN45" s="177">
        <v>2027</v>
      </c>
      <c r="AO45" s="178">
        <v>7</v>
      </c>
      <c r="AP45" s="183">
        <v>10</v>
      </c>
      <c r="AQ45" s="178" t="s">
        <v>285</v>
      </c>
      <c r="AR45" s="184">
        <v>2027</v>
      </c>
      <c r="AV45" s="99"/>
      <c r="AW45" s="99"/>
      <c r="AX45" s="99"/>
      <c r="AY45" s="99"/>
      <c r="AZ45" s="99"/>
    </row>
    <row r="46" spans="1:52" ht="15" customHeight="1">
      <c r="A46" s="4">
        <v>-2</v>
      </c>
      <c r="C46" s="196">
        <f t="shared" si="10"/>
        <v>-3.92</v>
      </c>
      <c r="D46" s="55">
        <f>_xll.IMDP($AN$31,$AU$33&amp;INDEX($AL$31:$AL$113,$AT$27+$A46),D$43,$AQ$27)</f>
        <v>0.38219999999999998</v>
      </c>
      <c r="E46" s="54">
        <f>_xll.IMDP($AN$31,$AU$33&amp;INDEX($AL$31:$AL$113,$AT$27+$A46),E$43,$AQ$27)</f>
        <v>14.1328</v>
      </c>
      <c r="F46" s="54">
        <f>_xll.IMDP($AN$31,$AU$33&amp;INDEX($AL$31:$AL$113,$AT$27+$A46),F$43,$AQ$27)</f>
        <v>5850</v>
      </c>
      <c r="G46" s="54">
        <f>_xll.IMDP($AN$31,$AU$33&amp;INDEX($AL$31:$AL$113,$AT$27+$A46),G$43,$AQ$27)</f>
        <v>15396</v>
      </c>
      <c r="H46" s="54">
        <f>_xll.IMDP($AN$31,$AU$33&amp;INDEX($AL$31:$AL$113,$AT$27+$A46),H$43,$AQ$27)</f>
        <v>-11.42</v>
      </c>
      <c r="I46" s="54">
        <f>_xll.IMDP($AN$31,$AU$33&amp;INDEX($AL$31:$AL$113,$AT$27+$A46),I$43,$AQ$27)</f>
        <v>3.49</v>
      </c>
      <c r="J46" s="60">
        <f>J47+2.5</f>
        <v>335</v>
      </c>
      <c r="K46" s="54">
        <f>_xll.IMDP($AN$31,$AU$34&amp;INDEX($AL$31:$AL$113,$AT$27+$A46),K$43,$AQ$27)</f>
        <v>7.41</v>
      </c>
      <c r="L46" s="54">
        <f>_xll.IMDP($AN$31,$AU$34&amp;INDEX($AL$31:$AL$113,$AT$27+$A46),L$43,$AQ$27)</f>
        <v>11.09</v>
      </c>
      <c r="M46" s="54">
        <f>_xll.IMDP($AN$31,$AU$34&amp;INDEX($AL$31:$AL$113,$AT$27+$A46),M$43,$AQ$27)</f>
        <v>13647</v>
      </c>
      <c r="N46" s="54">
        <f>_xll.IMDP($AN$31,$AU$34&amp;INDEX($AL$31:$AL$113,$AT$27+$A46),N$43,$AQ$27)</f>
        <v>-932</v>
      </c>
      <c r="O46" s="54">
        <f>_xll.IMDP($AN$31,$AU$34&amp;INDEX($AL$31:$AL$113,$AT$27+$A46),O$43,$AQ$27)</f>
        <v>14.3833</v>
      </c>
      <c r="P46" s="56">
        <f>_xll.IMDP($AN$31,$AU$34&amp;INDEX($AL$31:$AL$113,$AT$27+$A46),P$43,$AQ$27)</f>
        <v>-0.61780000000000002</v>
      </c>
      <c r="Q46" s="54"/>
      <c r="R46" s="54"/>
      <c r="S46" s="54"/>
      <c r="T46" s="106"/>
      <c r="U46" s="166">
        <v>2036</v>
      </c>
      <c r="V46" s="172" t="s">
        <v>333</v>
      </c>
      <c r="W46" s="173"/>
      <c r="X46" s="174"/>
      <c r="Y46" s="83">
        <v>345.62</v>
      </c>
      <c r="Z46" s="79">
        <v>45138</v>
      </c>
      <c r="AB46" s="77">
        <v>134</v>
      </c>
      <c r="AC46" s="77">
        <v>22</v>
      </c>
      <c r="AD46" s="77">
        <v>-329</v>
      </c>
      <c r="AE46" s="123">
        <f t="shared" si="7"/>
        <v>134</v>
      </c>
      <c r="AF46" s="124">
        <f t="shared" si="8"/>
        <v>22</v>
      </c>
      <c r="AG46" s="125">
        <f t="shared" si="9"/>
        <v>-329</v>
      </c>
      <c r="AK46" s="82">
        <v>362.5</v>
      </c>
      <c r="AL46" s="82" t="str">
        <f t="shared" si="6"/>
        <v>362</v>
      </c>
      <c r="AM46" s="97"/>
      <c r="AN46" s="177">
        <v>2028</v>
      </c>
      <c r="AO46" s="178">
        <v>8</v>
      </c>
      <c r="AP46" s="183">
        <v>11</v>
      </c>
      <c r="AQ46" s="178" t="s">
        <v>286</v>
      </c>
      <c r="AR46" s="184">
        <v>2028</v>
      </c>
      <c r="AV46" s="99"/>
      <c r="AW46" s="99"/>
      <c r="AX46" s="99"/>
      <c r="AY46" s="99"/>
      <c r="AZ46" s="99"/>
    </row>
    <row r="47" spans="1:52" ht="15" customHeight="1">
      <c r="A47" s="4">
        <v>-1</v>
      </c>
      <c r="C47" s="196">
        <f t="shared" si="10"/>
        <v>-1.5</v>
      </c>
      <c r="D47" s="55">
        <f>_xll.IMDP($AN$31,$AU$33&amp;INDEX($AL$31:$AL$113,$AT$27+$A47),D$43,$AQ$27)</f>
        <v>0.46279999999999999</v>
      </c>
      <c r="E47" s="54">
        <f>_xll.IMDP($AN$31,$AU$33&amp;INDEX($AL$31:$AL$113,$AT$27+$A47),E$43,$AQ$27)</f>
        <v>14.185700000000001</v>
      </c>
      <c r="F47" s="54">
        <f>_xll.IMDP($AN$31,$AU$33&amp;INDEX($AL$31:$AL$113,$AT$27+$A47),F$43,$AQ$27)</f>
        <v>5938</v>
      </c>
      <c r="G47" s="54">
        <f>_xll.IMDP($AN$31,$AU$33&amp;INDEX($AL$31:$AL$113,$AT$27+$A47),G$43,$AQ$27)</f>
        <v>8917</v>
      </c>
      <c r="H47" s="54">
        <f>_xll.IMDP($AN$31,$AU$33&amp;INDEX($AL$31:$AL$113,$AT$27+$A47),H$43,$AQ$27)</f>
        <v>-12.19</v>
      </c>
      <c r="I47" s="54">
        <f>_xll.IMDP($AN$31,$AU$33&amp;INDEX($AL$31:$AL$113,$AT$27+$A47),I$43,$AQ$27)</f>
        <v>4.54</v>
      </c>
      <c r="J47" s="60">
        <f>J48+2.5</f>
        <v>332.5</v>
      </c>
      <c r="K47" s="54">
        <f>_xll.IMDP($AN$31,$AU$34&amp;INDEX($AL$31:$AL$113,$AT$27+$A47),K$43,$AQ$27)</f>
        <v>6.04</v>
      </c>
      <c r="L47" s="54">
        <f>_xll.IMDP($AN$31,$AU$34&amp;INDEX($AL$31:$AL$113,$AT$27+$A47),L$43,$AQ$27)</f>
        <v>11.85</v>
      </c>
      <c r="M47" s="54">
        <f>_xll.IMDP($AN$31,$AU$34&amp;INDEX($AL$31:$AL$113,$AT$27+$A47),M$43,$AQ$27)</f>
        <v>9058</v>
      </c>
      <c r="N47" s="54">
        <f>_xll.IMDP($AN$31,$AU$34&amp;INDEX($AL$31:$AL$113,$AT$27+$A47),N$43,$AQ$27)</f>
        <v>262</v>
      </c>
      <c r="O47" s="54">
        <f>_xll.IMDP($AN$31,$AU$34&amp;INDEX($AL$31:$AL$113,$AT$27+$A47),O$43,$AQ$27)</f>
        <v>14.628500000000001</v>
      </c>
      <c r="P47" s="56">
        <f>_xll.IMDP($AN$31,$AU$34&amp;INDEX($AL$31:$AL$113,$AT$27+$A47),P$43,$AQ$27)</f>
        <v>-0.53700000000000003</v>
      </c>
      <c r="U47" s="79"/>
      <c r="Y47" s="83">
        <v>344.03</v>
      </c>
      <c r="Z47" s="79">
        <v>45135</v>
      </c>
      <c r="AB47" s="77">
        <v>-4571</v>
      </c>
      <c r="AC47" s="77">
        <v>614</v>
      </c>
      <c r="AD47" s="77">
        <v>3990</v>
      </c>
      <c r="AE47" s="123">
        <f t="shared" si="7"/>
        <v>-4571</v>
      </c>
      <c r="AF47" s="124">
        <f t="shared" si="8"/>
        <v>614</v>
      </c>
      <c r="AG47" s="125">
        <f t="shared" si="9"/>
        <v>3990</v>
      </c>
      <c r="AK47" s="82">
        <v>360</v>
      </c>
      <c r="AL47" s="82" t="str">
        <f t="shared" si="6"/>
        <v>360</v>
      </c>
      <c r="AM47" s="97"/>
      <c r="AN47" s="179">
        <v>2029</v>
      </c>
      <c r="AO47" s="180">
        <v>9</v>
      </c>
      <c r="AP47" s="183">
        <v>12</v>
      </c>
      <c r="AQ47" s="178" t="s">
        <v>287</v>
      </c>
      <c r="AR47" s="184">
        <v>2029</v>
      </c>
      <c r="AV47" s="99"/>
      <c r="AW47" s="99"/>
      <c r="AX47" s="99"/>
      <c r="AY47" s="99"/>
      <c r="AZ47" s="99"/>
    </row>
    <row r="48" spans="1:52" ht="15" customHeight="1">
      <c r="A48" s="4">
        <v>0</v>
      </c>
      <c r="C48" s="197">
        <f t="shared" si="10"/>
        <v>0.99000000000000021</v>
      </c>
      <c r="D48" s="62">
        <f>_xll.IMDP($AN$31,$AU$33&amp;INDEX($AL$31:$AL$113,$AT$27+$A48),D$43,$AQ$27)</f>
        <v>0.54549999999999998</v>
      </c>
      <c r="E48" s="63">
        <f>_xll.IMDP($AN$31,$AU$33&amp;INDEX($AL$31:$AL$113,$AT$27+$A48),E$43,$AQ$27)</f>
        <v>14.599600000000001</v>
      </c>
      <c r="F48" s="63">
        <f>_xll.IMDP($AN$31,$AU$33&amp;INDEX($AL$31:$AL$113,$AT$27+$A48),F$43,$AQ$27)</f>
        <v>3563</v>
      </c>
      <c r="G48" s="63">
        <f>_xll.IMDP($AN$31,$AU$33&amp;INDEX($AL$31:$AL$113,$AT$27+$A48),G$43,$AQ$27)</f>
        <v>12701</v>
      </c>
      <c r="H48" s="63">
        <f>_xll.IMDP($AN$31,$AU$33&amp;INDEX($AL$31:$AL$113,$AT$27+$A48),H$43,$AQ$27)</f>
        <v>-9.91</v>
      </c>
      <c r="I48" s="63">
        <f>_xll.IMDP($AN$31,$AU$33&amp;INDEX($AL$31:$AL$113,$AT$27+$A48),I$43,$AQ$27)</f>
        <v>5.91</v>
      </c>
      <c r="J48" s="64">
        <f>AS27</f>
        <v>330</v>
      </c>
      <c r="K48" s="63">
        <f>_xll.IMDP($AN$31,$AU$34&amp;INDEX($AL$31:$AL$113,$AT$27+$A48),K$43,$AQ$27)</f>
        <v>4.92</v>
      </c>
      <c r="L48" s="63">
        <f>_xll.IMDP($AN$31,$AU$34&amp;INDEX($AL$31:$AL$113,$AT$27+$A48),L$43,$AQ$27)</f>
        <v>13.63</v>
      </c>
      <c r="M48" s="63">
        <f>_xll.IMDP($AN$31,$AU$34&amp;INDEX($AL$31:$AL$113,$AT$27+$A48),M$43,$AQ$27)</f>
        <v>17671</v>
      </c>
      <c r="N48" s="63">
        <f>_xll.IMDP($AN$31,$AU$34&amp;INDEX($AL$31:$AL$113,$AT$27+$A48),N$43,$AQ$27)</f>
        <v>-967</v>
      </c>
      <c r="O48" s="63">
        <f>_xll.IMDP($AN$31,$AU$34&amp;INDEX($AL$31:$AL$113,$AT$27+$A48),O$43,$AQ$27)</f>
        <v>15.051600000000001</v>
      </c>
      <c r="P48" s="65">
        <f>_xll.IMDP($AN$31,$AU$34&amp;INDEX($AL$31:$AL$113,$AT$27+$A48),P$43,$AQ$27)</f>
        <v>-0.45440000000000003</v>
      </c>
      <c r="U48" s="79"/>
      <c r="Y48" s="83">
        <v>344.76</v>
      </c>
      <c r="Z48" s="79">
        <v>45134</v>
      </c>
      <c r="AB48" s="77">
        <v>7660</v>
      </c>
      <c r="AC48" s="77">
        <v>-2000</v>
      </c>
      <c r="AD48" s="77">
        <v>-5601</v>
      </c>
      <c r="AE48" s="123">
        <f t="shared" si="7"/>
        <v>7660</v>
      </c>
      <c r="AF48" s="124">
        <f t="shared" si="8"/>
        <v>-2000</v>
      </c>
      <c r="AG48" s="125">
        <f t="shared" si="9"/>
        <v>-5601</v>
      </c>
      <c r="AK48" s="82">
        <v>357.5</v>
      </c>
      <c r="AL48" s="82" t="str">
        <f t="shared" si="6"/>
        <v>357</v>
      </c>
      <c r="AM48" s="97"/>
      <c r="AN48" s="179">
        <v>2030</v>
      </c>
      <c r="AO48" s="180">
        <v>0</v>
      </c>
      <c r="AP48" s="185"/>
      <c r="AQ48" s="185"/>
      <c r="AR48" s="186">
        <v>2030</v>
      </c>
      <c r="AV48" s="99"/>
      <c r="AW48" s="99"/>
      <c r="AX48" s="99"/>
      <c r="AY48" s="99"/>
      <c r="AZ48" s="99"/>
    </row>
    <row r="49" spans="1:52" ht="15" customHeight="1">
      <c r="A49" s="4">
        <v>1</v>
      </c>
      <c r="C49" s="196">
        <f t="shared" si="10"/>
        <v>3.49</v>
      </c>
      <c r="D49" s="55">
        <f>_xll.IMDP($AN$31,$AU$33&amp;INDEX($AL$31:$AL$113,$AT$27+$A49),D$43,$AQ$27)</f>
        <v>0.62660000000000005</v>
      </c>
      <c r="E49" s="54">
        <f>_xll.IMDP($AN$31,$AU$33&amp;INDEX($AL$31:$AL$113,$AT$27+$A49),E$43,$AQ$27)</f>
        <v>14.842700000000001</v>
      </c>
      <c r="F49" s="54">
        <f>_xll.IMDP($AN$31,$AU$33&amp;INDEX($AL$31:$AL$113,$AT$27+$A49),F$43,$AQ$27)</f>
        <v>3292</v>
      </c>
      <c r="G49" s="54">
        <f>_xll.IMDP($AN$31,$AU$33&amp;INDEX($AL$31:$AL$113,$AT$27+$A49),G$43,$AQ$27)</f>
        <v>3587</v>
      </c>
      <c r="H49" s="54">
        <f>_xll.IMDP($AN$31,$AU$33&amp;INDEX($AL$31:$AL$113,$AT$27+$A49),H$43,$AQ$27)</f>
        <v>-7.38</v>
      </c>
      <c r="I49" s="54">
        <f>_xll.IMDP($AN$31,$AU$33&amp;INDEX($AL$31:$AL$113,$AT$27+$A49),I$43,$AQ$27)</f>
        <v>7.4</v>
      </c>
      <c r="J49" s="60">
        <f>J48-2.5</f>
        <v>327.5</v>
      </c>
      <c r="K49" s="54">
        <f>_xll.IMDP($AN$31,$AU$34&amp;INDEX($AL$31:$AL$113,$AT$27+$A49),K$43,$AQ$27)</f>
        <v>3.91</v>
      </c>
      <c r="L49" s="54">
        <f>_xll.IMDP($AN$31,$AU$34&amp;INDEX($AL$31:$AL$113,$AT$27+$A49),L$43,$AQ$27)</f>
        <v>16.37</v>
      </c>
      <c r="M49" s="54">
        <f>_xll.IMDP($AN$31,$AU$34&amp;INDEX($AL$31:$AL$113,$AT$27+$A49),M$43,$AQ$27)</f>
        <v>13123</v>
      </c>
      <c r="N49" s="54">
        <f>_xll.IMDP($AN$31,$AU$34&amp;INDEX($AL$31:$AL$113,$AT$27+$A49),N$43,$AQ$27)</f>
        <v>-3353</v>
      </c>
      <c r="O49" s="54">
        <f>_xll.IMDP($AN$31,$AU$34&amp;INDEX($AL$31:$AL$113,$AT$27+$A49),O$43,$AQ$27)</f>
        <v>15.290800000000001</v>
      </c>
      <c r="P49" s="56">
        <f>_xll.IMDP($AN$31,$AU$34&amp;INDEX($AL$31:$AL$113,$AT$27+$A49),P$43,$AQ$27)</f>
        <v>-0.373</v>
      </c>
      <c r="U49" s="79"/>
      <c r="Y49" s="83">
        <v>340.56</v>
      </c>
      <c r="Z49" s="79">
        <v>45133</v>
      </c>
      <c r="AB49" s="77">
        <v>-4048</v>
      </c>
      <c r="AC49" s="77">
        <v>2291</v>
      </c>
      <c r="AD49" s="77">
        <v>1144</v>
      </c>
      <c r="AE49" s="123">
        <f t="shared" si="7"/>
        <v>-4048</v>
      </c>
      <c r="AF49" s="124">
        <f t="shared" si="8"/>
        <v>2291</v>
      </c>
      <c r="AG49" s="125">
        <f t="shared" si="9"/>
        <v>1144</v>
      </c>
      <c r="AK49" s="82">
        <v>355</v>
      </c>
      <c r="AL49" s="82" t="str">
        <f t="shared" si="6"/>
        <v>355</v>
      </c>
      <c r="AM49" s="97"/>
      <c r="AN49" s="179">
        <v>2031</v>
      </c>
      <c r="AO49" s="180">
        <v>1</v>
      </c>
      <c r="AP49" s="185"/>
      <c r="AQ49" s="185"/>
      <c r="AR49" s="186">
        <v>2031</v>
      </c>
      <c r="AV49" s="99"/>
      <c r="AW49" s="99"/>
      <c r="AX49" s="99"/>
      <c r="AY49" s="99"/>
      <c r="AZ49" s="99"/>
    </row>
    <row r="50" spans="1:52" ht="15" customHeight="1">
      <c r="A50" s="4">
        <v>2</v>
      </c>
      <c r="C50" s="196">
        <f t="shared" si="10"/>
        <v>5.7299999999999995</v>
      </c>
      <c r="D50" s="55">
        <f>_xll.IMDP($AN$31,$AU$33&amp;INDEX($AL$31:$AL$113,$AT$27+$A50),D$43,$AQ$27)</f>
        <v>0.70299999999999996</v>
      </c>
      <c r="E50" s="54">
        <f>_xll.IMDP($AN$31,$AU$33&amp;INDEX($AL$31:$AL$113,$AT$27+$A50),E$43,$AQ$27)</f>
        <v>14.192500000000001</v>
      </c>
      <c r="F50" s="54">
        <f>_xll.IMDP($AN$31,$AU$33&amp;INDEX($AL$31:$AL$113,$AT$27+$A50),F$43,$AQ$27)</f>
        <v>1138</v>
      </c>
      <c r="G50" s="54">
        <f>_xll.IMDP($AN$31,$AU$33&amp;INDEX($AL$31:$AL$113,$AT$27+$A50),G$43,$AQ$27)</f>
        <v>8152</v>
      </c>
      <c r="H50" s="54">
        <f>_xll.IMDP($AN$31,$AU$33&amp;INDEX($AL$31:$AL$113,$AT$27+$A50),H$43,$AQ$27)</f>
        <v>-10.14</v>
      </c>
      <c r="I50" s="54">
        <f>_xll.IMDP($AN$31,$AU$33&amp;INDEX($AL$31:$AL$113,$AT$27+$A50),I$43,$AQ$27)</f>
        <v>8.77</v>
      </c>
      <c r="J50" s="60">
        <f>J49-2.5</f>
        <v>325</v>
      </c>
      <c r="K50" s="54">
        <f>_xll.IMDP($AN$31,$AU$34&amp;INDEX($AL$31:$AL$113,$AT$27+$A50),K$43,$AQ$27)</f>
        <v>3.04</v>
      </c>
      <c r="L50" s="54">
        <f>_xll.IMDP($AN$31,$AU$34&amp;INDEX($AL$31:$AL$113,$AT$27+$A50),L$43,$AQ$27)</f>
        <v>13.86</v>
      </c>
      <c r="M50" s="54">
        <f>_xll.IMDP($AN$31,$AU$34&amp;INDEX($AL$31:$AL$113,$AT$27+$A50),M$43,$AQ$27)</f>
        <v>20732</v>
      </c>
      <c r="N50" s="54">
        <f>_xll.IMDP($AN$31,$AU$34&amp;INDEX($AL$31:$AL$113,$AT$27+$A50),N$43,$AQ$27)</f>
        <v>-1906</v>
      </c>
      <c r="O50" s="54">
        <f>_xll.IMDP($AN$31,$AU$34&amp;INDEX($AL$31:$AL$113,$AT$27+$A50),O$43,$AQ$27)</f>
        <v>15.452500000000001</v>
      </c>
      <c r="P50" s="56">
        <f>_xll.IMDP($AN$31,$AU$34&amp;INDEX($AL$31:$AL$113,$AT$27+$A50),P$43,$AQ$27)</f>
        <v>-0.29699999999999999</v>
      </c>
      <c r="U50" s="79"/>
      <c r="Y50" s="83">
        <v>344.92</v>
      </c>
      <c r="Z50" s="79">
        <v>45132</v>
      </c>
      <c r="AB50" s="77">
        <v>-3012</v>
      </c>
      <c r="AC50" s="77">
        <v>402</v>
      </c>
      <c r="AD50" s="77">
        <v>2402</v>
      </c>
      <c r="AE50" s="123">
        <f t="shared" si="7"/>
        <v>-3012</v>
      </c>
      <c r="AF50" s="124">
        <f t="shared" si="8"/>
        <v>402</v>
      </c>
      <c r="AG50" s="125">
        <f t="shared" si="9"/>
        <v>2402</v>
      </c>
      <c r="AK50" s="82">
        <v>352.5</v>
      </c>
      <c r="AL50" s="82" t="str">
        <f t="shared" si="6"/>
        <v>352</v>
      </c>
      <c r="AM50" s="97"/>
      <c r="AN50" s="179">
        <v>2032</v>
      </c>
      <c r="AO50" s="180">
        <v>2</v>
      </c>
      <c r="AP50" s="185"/>
      <c r="AQ50" s="185"/>
      <c r="AR50" s="186">
        <v>2032</v>
      </c>
      <c r="AV50" s="99"/>
      <c r="AW50" s="99"/>
      <c r="AX50" s="99"/>
      <c r="AY50" s="99"/>
      <c r="AZ50" s="99"/>
    </row>
    <row r="51" spans="1:52" ht="15" customHeight="1">
      <c r="A51" s="4">
        <v>3</v>
      </c>
      <c r="C51" s="196">
        <f t="shared" si="10"/>
        <v>8.0499999999999989</v>
      </c>
      <c r="D51" s="55">
        <f>_xll.IMDP($AN$31,$AU$33&amp;INDEX($AL$31:$AL$113,$AT$27+$A51),D$43,$AQ$27)</f>
        <v>0.77190000000000003</v>
      </c>
      <c r="E51" s="54">
        <f>_xll.IMDP($AN$31,$AU$33&amp;INDEX($AL$31:$AL$113,$AT$27+$A51),E$43,$AQ$27)</f>
        <v>13.8706</v>
      </c>
      <c r="F51" s="54">
        <f>_xll.IMDP($AN$31,$AU$33&amp;INDEX($AL$31:$AL$113,$AT$27+$A51),F$43,$AQ$27)</f>
        <v>264</v>
      </c>
      <c r="G51" s="54">
        <f>_xll.IMDP($AN$31,$AU$33&amp;INDEX($AL$31:$AL$113,$AT$27+$A51),G$43,$AQ$27)</f>
        <v>303</v>
      </c>
      <c r="H51" s="54">
        <f>_xll.IMDP($AN$31,$AU$33&amp;INDEX($AL$31:$AL$113,$AT$27+$A51),H$43,$AQ$27)</f>
        <v>-9.91</v>
      </c>
      <c r="I51" s="54">
        <f>_xll.IMDP($AN$31,$AU$33&amp;INDEX($AL$31:$AL$113,$AT$27+$A51),I$43,$AQ$27)</f>
        <v>10.45</v>
      </c>
      <c r="J51" s="60">
        <f>J50-2.5</f>
        <v>322.5</v>
      </c>
      <c r="K51" s="54">
        <f>_xll.IMDP($AN$31,$AU$34&amp;INDEX($AL$31:$AL$113,$AT$27+$A51),K$43,$AQ$27)</f>
        <v>2.4</v>
      </c>
      <c r="L51" s="54">
        <f>_xll.IMDP($AN$31,$AU$34&amp;INDEX($AL$31:$AL$113,$AT$27+$A51),L$43,$AQ$27)</f>
        <v>16.5</v>
      </c>
      <c r="M51" s="54">
        <f>_xll.IMDP($AN$31,$AU$34&amp;INDEX($AL$31:$AL$113,$AT$27+$A51),M$43,$AQ$27)</f>
        <v>12999</v>
      </c>
      <c r="N51" s="54">
        <f>_xll.IMDP($AN$31,$AU$34&amp;INDEX($AL$31:$AL$113,$AT$27+$A51),N$43,$AQ$27)</f>
        <v>-1364</v>
      </c>
      <c r="O51" s="54">
        <f>_xll.IMDP($AN$31,$AU$34&amp;INDEX($AL$31:$AL$113,$AT$27+$A51),O$43,$AQ$27)</f>
        <v>15.8649</v>
      </c>
      <c r="P51" s="56">
        <f>_xll.IMDP($AN$31,$AU$34&amp;INDEX($AL$31:$AL$113,$AT$27+$A51),P$43,$AQ$27)</f>
        <v>-0.2281</v>
      </c>
      <c r="U51" s="79"/>
      <c r="Y51" s="83">
        <v>344.32</v>
      </c>
      <c r="Z51" s="79">
        <v>45131</v>
      </c>
      <c r="AB51" s="77">
        <v>-596</v>
      </c>
      <c r="AC51" s="77">
        <v>797</v>
      </c>
      <c r="AD51" s="77">
        <v>-666</v>
      </c>
      <c r="AE51" s="123">
        <f t="shared" si="7"/>
        <v>-596</v>
      </c>
      <c r="AF51" s="124">
        <f t="shared" si="8"/>
        <v>797</v>
      </c>
      <c r="AG51" s="125">
        <f t="shared" si="9"/>
        <v>-666</v>
      </c>
      <c r="AK51" s="82">
        <v>350</v>
      </c>
      <c r="AL51" s="82" t="str">
        <f t="shared" si="6"/>
        <v>350</v>
      </c>
      <c r="AM51" s="97"/>
      <c r="AN51" s="179">
        <v>2033</v>
      </c>
      <c r="AO51" s="180">
        <v>3</v>
      </c>
      <c r="AP51" s="185"/>
      <c r="AQ51" s="185"/>
      <c r="AR51" s="186">
        <v>2033</v>
      </c>
      <c r="AV51" s="99"/>
      <c r="AW51" s="99"/>
      <c r="AX51" s="99"/>
      <c r="AY51" s="99"/>
      <c r="AZ51" s="99"/>
    </row>
    <row r="52" spans="1:52" ht="15" customHeight="1" thickBot="1">
      <c r="A52" s="4">
        <v>4</v>
      </c>
      <c r="C52" s="198">
        <f t="shared" si="10"/>
        <v>10.61</v>
      </c>
      <c r="D52" s="57">
        <f>_xll.IMDP($AN$31,$AU$33&amp;INDEX($AL$31:$AL$113,$AT$27+$A52),D$43,$AQ$27)</f>
        <v>0.83199999999999996</v>
      </c>
      <c r="E52" s="58">
        <f>_xll.IMDP($AN$31,$AU$33&amp;INDEX($AL$31:$AL$113,$AT$27+$A52),E$43,$AQ$27)</f>
        <v>14.104200000000001</v>
      </c>
      <c r="F52" s="58">
        <f>_xll.IMDP($AN$31,$AU$33&amp;INDEX($AL$31:$AL$113,$AT$27+$A52),F$43,$AQ$27)</f>
        <v>82</v>
      </c>
      <c r="G52" s="58">
        <f>_xll.IMDP($AN$31,$AU$33&amp;INDEX($AL$31:$AL$113,$AT$27+$A52),G$43,$AQ$27)</f>
        <v>3582</v>
      </c>
      <c r="H52" s="58">
        <f>_xll.IMDP($AN$31,$AU$33&amp;INDEX($AL$31:$AL$113,$AT$27+$A52),H$43,$AQ$27)</f>
        <v>-8.4600000000000009</v>
      </c>
      <c r="I52" s="58">
        <f>_xll.IMDP($AN$31,$AU$33&amp;INDEX($AL$31:$AL$113,$AT$27+$A52),I$43,$AQ$27)</f>
        <v>12.45</v>
      </c>
      <c r="J52" s="61">
        <f>J51-2.5</f>
        <v>320</v>
      </c>
      <c r="K52" s="58">
        <f>_xll.IMDP($AN$31,$AU$34&amp;INDEX($AL$31:$AL$113,$AT$27+$A52),K$43,$AQ$27)</f>
        <v>1.84</v>
      </c>
      <c r="L52" s="58">
        <f>_xll.IMDP($AN$31,$AU$34&amp;INDEX($AL$31:$AL$113,$AT$27+$A52),L$43,$AQ$27)</f>
        <v>18.71</v>
      </c>
      <c r="M52" s="58">
        <f>_xll.IMDP($AN$31,$AU$34&amp;INDEX($AL$31:$AL$113,$AT$27+$A52),M$43,$AQ$27)</f>
        <v>22023</v>
      </c>
      <c r="N52" s="58">
        <f>_xll.IMDP($AN$31,$AU$34&amp;INDEX($AL$31:$AL$113,$AT$27+$A52),N$43,$AQ$27)</f>
        <v>-2882</v>
      </c>
      <c r="O52" s="58">
        <f>_xll.IMDP($AN$31,$AU$34&amp;INDEX($AL$31:$AL$113,$AT$27+$A52),O$43,$AQ$27)</f>
        <v>16.119499999999999</v>
      </c>
      <c r="P52" s="59">
        <f>_xll.IMDP($AN$31,$AU$34&amp;INDEX($AL$31:$AL$113,$AT$27+$A52),P$43,$AQ$27)</f>
        <v>-0.16889999999999999</v>
      </c>
      <c r="U52" s="79"/>
      <c r="Y52" s="83">
        <v>342.39</v>
      </c>
      <c r="Z52" s="79">
        <v>45128</v>
      </c>
      <c r="AB52" s="77">
        <v>-380</v>
      </c>
      <c r="AC52" s="77">
        <v>-962</v>
      </c>
      <c r="AD52" s="77">
        <v>-477</v>
      </c>
      <c r="AE52" s="123">
        <f t="shared" si="7"/>
        <v>-380</v>
      </c>
      <c r="AF52" s="124">
        <f t="shared" si="8"/>
        <v>-962</v>
      </c>
      <c r="AG52" s="125">
        <f t="shared" si="9"/>
        <v>-477</v>
      </c>
      <c r="AK52" s="82">
        <v>347.5</v>
      </c>
      <c r="AL52" s="82" t="str">
        <f t="shared" si="6"/>
        <v>347</v>
      </c>
      <c r="AM52" s="97"/>
      <c r="AN52" s="179">
        <v>2034</v>
      </c>
      <c r="AO52" s="180">
        <v>4</v>
      </c>
      <c r="AP52" s="185"/>
      <c r="AQ52" s="185"/>
      <c r="AR52" s="186">
        <v>2034</v>
      </c>
      <c r="AV52" s="99"/>
      <c r="AW52" s="99"/>
      <c r="AX52" s="99"/>
      <c r="AY52" s="99"/>
      <c r="AZ52" s="99"/>
    </row>
    <row r="53" spans="1:52" ht="15" customHeight="1">
      <c r="D53" s="47"/>
      <c r="E53" s="47"/>
      <c r="F53" s="47"/>
      <c r="G53" s="47"/>
      <c r="H53" s="47"/>
      <c r="I53" s="47"/>
      <c r="J53" s="53"/>
      <c r="K53" s="47"/>
      <c r="L53" s="47"/>
      <c r="M53" s="47"/>
      <c r="N53" s="47"/>
      <c r="O53" s="47"/>
      <c r="P53" s="47"/>
      <c r="U53" s="79"/>
      <c r="Y53" s="83">
        <v>341.67</v>
      </c>
      <c r="Z53" s="79">
        <v>45127</v>
      </c>
      <c r="AB53" s="77">
        <v>2475</v>
      </c>
      <c r="AC53" s="77">
        <v>310</v>
      </c>
      <c r="AD53" s="77">
        <v>-3634</v>
      </c>
      <c r="AE53" s="123">
        <f t="shared" si="7"/>
        <v>2475</v>
      </c>
      <c r="AF53" s="124">
        <f t="shared" si="8"/>
        <v>310</v>
      </c>
      <c r="AG53" s="125">
        <f t="shared" si="9"/>
        <v>-3634</v>
      </c>
      <c r="AK53" s="82">
        <v>345</v>
      </c>
      <c r="AL53" s="82" t="str">
        <f t="shared" si="6"/>
        <v>345</v>
      </c>
      <c r="AM53" s="97"/>
      <c r="AN53" s="179">
        <v>2035</v>
      </c>
      <c r="AO53" s="180">
        <v>5</v>
      </c>
      <c r="AP53" s="185"/>
      <c r="AQ53" s="185"/>
      <c r="AR53" s="186">
        <v>2035</v>
      </c>
      <c r="AV53" s="99"/>
      <c r="AW53" s="99"/>
      <c r="AX53" s="99"/>
      <c r="AY53" s="99"/>
      <c r="AZ53" s="99"/>
    </row>
    <row r="54" spans="1:52" ht="15" customHeight="1">
      <c r="D54" s="224" t="s">
        <v>320</v>
      </c>
      <c r="E54" s="224"/>
      <c r="F54" s="224"/>
      <c r="G54" s="224"/>
      <c r="H54" s="224"/>
      <c r="I54" s="47"/>
      <c r="J54" s="53"/>
      <c r="K54" s="224" t="s">
        <v>321</v>
      </c>
      <c r="L54" s="224"/>
      <c r="M54" s="224"/>
      <c r="N54" s="224"/>
      <c r="O54" s="224"/>
      <c r="P54" s="47"/>
      <c r="U54" s="79"/>
      <c r="Y54" s="83">
        <v>343.11</v>
      </c>
      <c r="Z54" s="79">
        <v>45126</v>
      </c>
      <c r="AB54" s="77">
        <v>-6568</v>
      </c>
      <c r="AC54" s="77">
        <v>2973</v>
      </c>
      <c r="AD54" s="77">
        <v>3455</v>
      </c>
      <c r="AE54" s="123">
        <f t="shared" si="7"/>
        <v>-6568</v>
      </c>
      <c r="AF54" s="124">
        <f t="shared" si="8"/>
        <v>2973</v>
      </c>
      <c r="AG54" s="125">
        <f t="shared" si="9"/>
        <v>3455</v>
      </c>
      <c r="AK54" s="82">
        <v>342.5</v>
      </c>
      <c r="AL54" s="82" t="str">
        <f t="shared" si="6"/>
        <v>342</v>
      </c>
      <c r="AM54" s="97"/>
      <c r="AN54" s="181">
        <v>2036</v>
      </c>
      <c r="AO54" s="188" t="s">
        <v>333</v>
      </c>
      <c r="AP54" s="187"/>
      <c r="AQ54" s="187"/>
      <c r="AR54" s="189">
        <v>2036</v>
      </c>
      <c r="AV54" s="99"/>
      <c r="AW54" s="99"/>
      <c r="AX54" s="99"/>
      <c r="AY54" s="99"/>
      <c r="AZ54" s="99"/>
    </row>
    <row r="55" spans="1:52" ht="15" customHeight="1">
      <c r="D55" s="224"/>
      <c r="E55" s="224"/>
      <c r="F55" s="224"/>
      <c r="G55" s="224"/>
      <c r="H55" s="224"/>
      <c r="I55" s="47"/>
      <c r="J55" s="53"/>
      <c r="K55" s="224"/>
      <c r="L55" s="224"/>
      <c r="M55" s="224"/>
      <c r="N55" s="224"/>
      <c r="O55" s="224"/>
      <c r="P55" s="47"/>
      <c r="Y55" s="83">
        <v>343.38</v>
      </c>
      <c r="Z55" s="79">
        <v>45125</v>
      </c>
      <c r="AB55" s="77">
        <v>-9929</v>
      </c>
      <c r="AC55" s="77">
        <v>3694</v>
      </c>
      <c r="AD55" s="77">
        <v>5971</v>
      </c>
      <c r="AE55" s="123">
        <f t="shared" si="7"/>
        <v>-9929</v>
      </c>
      <c r="AF55" s="124">
        <f t="shared" si="8"/>
        <v>3694</v>
      </c>
      <c r="AG55" s="125">
        <f t="shared" si="9"/>
        <v>5971</v>
      </c>
      <c r="AK55" s="82">
        <v>340</v>
      </c>
      <c r="AL55" s="82" t="str">
        <f t="shared" si="6"/>
        <v>340</v>
      </c>
      <c r="AM55" s="97"/>
      <c r="AN55" s="99"/>
      <c r="AO55" s="99"/>
      <c r="AP55" s="99"/>
      <c r="AQ55" s="99"/>
      <c r="AR55" s="99"/>
      <c r="AS55" s="99"/>
      <c r="AT55" s="195"/>
      <c r="AU55" s="99"/>
      <c r="AV55" s="99"/>
      <c r="AW55" s="99"/>
      <c r="AX55" s="99"/>
      <c r="AY55" s="99"/>
      <c r="AZ55" s="99"/>
    </row>
    <row r="56" spans="1:52" ht="15" customHeight="1">
      <c r="D56" s="47"/>
      <c r="E56" s="47"/>
      <c r="F56" s="47"/>
      <c r="G56" s="47"/>
      <c r="H56" s="47"/>
      <c r="I56" s="47"/>
      <c r="J56" s="53"/>
      <c r="K56" s="47"/>
      <c r="L56" s="47"/>
      <c r="M56" s="47"/>
      <c r="N56" s="47"/>
      <c r="O56" s="47"/>
      <c r="P56" s="47"/>
      <c r="Y56" s="83">
        <v>345.75</v>
      </c>
      <c r="Z56" s="79">
        <v>45124</v>
      </c>
      <c r="AB56" s="77">
        <v>1642</v>
      </c>
      <c r="AC56" s="77">
        <v>809</v>
      </c>
      <c r="AD56" s="77">
        <v>-2248</v>
      </c>
      <c r="AE56" s="123">
        <f t="shared" si="7"/>
        <v>1642</v>
      </c>
      <c r="AF56" s="124">
        <f t="shared" si="8"/>
        <v>809</v>
      </c>
      <c r="AG56" s="125">
        <f t="shared" si="9"/>
        <v>-2248</v>
      </c>
      <c r="AK56" s="82">
        <v>337.5</v>
      </c>
      <c r="AL56" s="82" t="str">
        <f t="shared" si="6"/>
        <v>337</v>
      </c>
      <c r="AM56" s="97"/>
      <c r="AN56" s="99"/>
      <c r="AO56" s="99"/>
      <c r="AP56" s="99"/>
      <c r="AQ56" s="99"/>
      <c r="AR56" s="99"/>
      <c r="AS56" s="99"/>
      <c r="AT56" s="195"/>
      <c r="AU56" s="99"/>
      <c r="AV56" s="99"/>
      <c r="AW56" s="99"/>
      <c r="AX56" s="99"/>
      <c r="AY56" s="99"/>
      <c r="AZ56" s="99"/>
    </row>
    <row r="57" spans="1:52" ht="15" customHeight="1">
      <c r="D57" s="47"/>
      <c r="E57" s="47"/>
      <c r="F57" s="47"/>
      <c r="G57" s="47"/>
      <c r="H57" s="47"/>
      <c r="I57" s="47"/>
      <c r="J57" s="53"/>
      <c r="K57" s="47"/>
      <c r="L57" s="47"/>
      <c r="M57" s="47"/>
      <c r="N57" s="47"/>
      <c r="O57" s="47"/>
      <c r="P57" s="47"/>
      <c r="Y57" s="83">
        <v>346.93</v>
      </c>
      <c r="Z57" s="79">
        <v>45121</v>
      </c>
      <c r="AB57" s="77">
        <v>12616</v>
      </c>
      <c r="AC57" s="77">
        <v>-4318</v>
      </c>
      <c r="AD57" s="77">
        <v>-8078</v>
      </c>
      <c r="AE57" s="123">
        <f t="shared" si="7"/>
        <v>12616</v>
      </c>
      <c r="AF57" s="124">
        <f t="shared" si="8"/>
        <v>-4318</v>
      </c>
      <c r="AG57" s="125">
        <f t="shared" si="9"/>
        <v>-8078</v>
      </c>
      <c r="AK57" s="82">
        <v>335</v>
      </c>
      <c r="AL57" s="82" t="str">
        <f t="shared" si="6"/>
        <v>335</v>
      </c>
      <c r="AM57" s="97"/>
      <c r="AN57" s="99"/>
      <c r="AO57" s="99"/>
      <c r="AP57" s="99"/>
      <c r="AQ57" s="99"/>
      <c r="AR57" s="99"/>
      <c r="AS57" s="99"/>
      <c r="AT57" s="195"/>
      <c r="AU57" s="99"/>
      <c r="AV57" s="99"/>
      <c r="AW57" s="99"/>
      <c r="AX57" s="99"/>
      <c r="AY57" s="99"/>
      <c r="AZ57" s="99"/>
    </row>
    <row r="58" spans="1:52" ht="15" customHeight="1">
      <c r="D58" s="47"/>
      <c r="E58" s="47"/>
      <c r="F58" s="47"/>
      <c r="G58" s="47"/>
      <c r="H58" s="47"/>
      <c r="I58" s="47"/>
      <c r="J58" s="53"/>
      <c r="K58" s="47"/>
      <c r="L58" s="47"/>
      <c r="M58" s="47"/>
      <c r="N58" s="47"/>
      <c r="O58" s="47"/>
      <c r="P58" s="47"/>
      <c r="Y58" s="83">
        <v>341.13</v>
      </c>
      <c r="Z58" s="79">
        <v>45120</v>
      </c>
      <c r="AB58" s="77">
        <v>15070</v>
      </c>
      <c r="AC58" s="77">
        <v>-4147</v>
      </c>
      <c r="AD58" s="77">
        <v>-8158</v>
      </c>
      <c r="AE58" s="123">
        <f t="shared" si="7"/>
        <v>15070</v>
      </c>
      <c r="AF58" s="124">
        <f t="shared" si="8"/>
        <v>-4147</v>
      </c>
      <c r="AG58" s="125">
        <f t="shared" si="9"/>
        <v>-8158</v>
      </c>
      <c r="AK58" s="82">
        <v>332.5</v>
      </c>
      <c r="AL58" s="82" t="str">
        <f t="shared" si="6"/>
        <v>332</v>
      </c>
      <c r="AM58" s="97"/>
      <c r="AN58" s="99"/>
      <c r="AO58" s="99"/>
      <c r="AP58" s="99"/>
      <c r="AQ58" s="99"/>
      <c r="AR58" s="99"/>
      <c r="AS58" s="99"/>
      <c r="AT58" s="195"/>
      <c r="AU58" s="99"/>
      <c r="AV58" s="99"/>
      <c r="AW58" s="99"/>
      <c r="AX58" s="99"/>
      <c r="AY58" s="99"/>
      <c r="AZ58" s="99"/>
    </row>
    <row r="59" spans="1:52" ht="15" customHeight="1">
      <c r="D59" s="47"/>
      <c r="E59" s="47"/>
      <c r="F59" s="47"/>
      <c r="G59" s="47"/>
      <c r="H59" s="47"/>
      <c r="I59" s="47"/>
      <c r="J59" s="53"/>
      <c r="K59" s="47"/>
      <c r="L59" s="47"/>
      <c r="M59" s="47"/>
      <c r="N59" s="47"/>
      <c r="O59" s="47"/>
      <c r="P59" s="47"/>
      <c r="Y59" s="83">
        <v>339.46</v>
      </c>
      <c r="Z59" s="79">
        <v>45119</v>
      </c>
      <c r="AB59" s="77">
        <v>569</v>
      </c>
      <c r="AC59" s="77">
        <v>221</v>
      </c>
      <c r="AD59" s="77">
        <v>-579</v>
      </c>
      <c r="AE59" s="123">
        <f t="shared" si="7"/>
        <v>569</v>
      </c>
      <c r="AF59" s="124">
        <f t="shared" si="8"/>
        <v>221</v>
      </c>
      <c r="AG59" s="125">
        <f t="shared" si="9"/>
        <v>-579</v>
      </c>
      <c r="AK59" s="82">
        <v>330</v>
      </c>
      <c r="AL59" s="82" t="str">
        <f t="shared" si="6"/>
        <v>330</v>
      </c>
      <c r="AM59" s="97"/>
      <c r="AN59" s="99"/>
      <c r="AO59" s="99"/>
      <c r="AP59" s="99"/>
      <c r="AQ59" s="99"/>
      <c r="AR59" s="99"/>
      <c r="AS59" s="99"/>
      <c r="AT59" s="195"/>
      <c r="AU59" s="99"/>
      <c r="AV59" s="99"/>
      <c r="AW59" s="99"/>
      <c r="AX59" s="99"/>
      <c r="AY59" s="99"/>
      <c r="AZ59" s="99"/>
    </row>
    <row r="60" spans="1:52" ht="15" customHeight="1">
      <c r="D60" s="47"/>
      <c r="E60" s="47"/>
      <c r="F60" s="47"/>
      <c r="G60" s="47"/>
      <c r="H60" s="47"/>
      <c r="I60" s="47"/>
      <c r="J60" s="53"/>
      <c r="K60" s="47"/>
      <c r="L60" s="47"/>
      <c r="M60" s="47"/>
      <c r="N60" s="47"/>
      <c r="O60" s="47"/>
      <c r="P60" s="47"/>
      <c r="Y60" s="83">
        <v>337.02</v>
      </c>
      <c r="Z60" s="79">
        <v>45118</v>
      </c>
      <c r="AB60" s="77">
        <v>5505</v>
      </c>
      <c r="AC60" s="77">
        <v>-6538</v>
      </c>
      <c r="AD60" s="77">
        <v>1145</v>
      </c>
      <c r="AE60" s="123">
        <f t="shared" si="7"/>
        <v>5505</v>
      </c>
      <c r="AF60" s="124">
        <f t="shared" si="8"/>
        <v>-6538</v>
      </c>
      <c r="AG60" s="125">
        <f t="shared" si="9"/>
        <v>1145</v>
      </c>
      <c r="AK60" s="82">
        <v>327.5</v>
      </c>
      <c r="AL60" s="82" t="str">
        <f t="shared" si="6"/>
        <v>327</v>
      </c>
      <c r="AM60" s="97"/>
      <c r="AN60" s="99"/>
      <c r="AO60" s="99"/>
      <c r="AP60" s="99"/>
      <c r="AQ60" s="99"/>
      <c r="AR60" s="99"/>
      <c r="AS60" s="99"/>
      <c r="AT60" s="195"/>
      <c r="AU60" s="99"/>
      <c r="AV60" s="99"/>
      <c r="AW60" s="99"/>
      <c r="AX60" s="99"/>
      <c r="AY60" s="99"/>
      <c r="AZ60" s="99"/>
    </row>
    <row r="61" spans="1:52" ht="15" customHeight="1">
      <c r="D61" s="47"/>
      <c r="E61" s="47"/>
      <c r="F61" s="47"/>
      <c r="G61" s="47"/>
      <c r="H61" s="47"/>
      <c r="I61" s="47"/>
      <c r="J61" s="53"/>
      <c r="K61" s="47"/>
      <c r="L61" s="47"/>
      <c r="M61" s="47"/>
      <c r="N61" s="47"/>
      <c r="O61" s="47"/>
      <c r="P61" s="47"/>
      <c r="Y61" s="83">
        <v>330.84</v>
      </c>
      <c r="Z61" s="79">
        <v>45117</v>
      </c>
      <c r="AB61" s="77">
        <v>6559</v>
      </c>
      <c r="AC61" s="77">
        <v>-3148</v>
      </c>
      <c r="AD61" s="77">
        <v>-3332</v>
      </c>
      <c r="AE61" s="123">
        <f t="shared" si="7"/>
        <v>6559</v>
      </c>
      <c r="AF61" s="124">
        <f t="shared" si="8"/>
        <v>-3148</v>
      </c>
      <c r="AG61" s="125">
        <f t="shared" si="9"/>
        <v>-3332</v>
      </c>
      <c r="AK61" s="82">
        <v>325</v>
      </c>
      <c r="AL61" s="82" t="str">
        <f t="shared" si="6"/>
        <v>325</v>
      </c>
      <c r="AM61" s="97"/>
      <c r="AN61" s="99"/>
      <c r="AO61" s="99"/>
      <c r="AP61" s="99"/>
      <c r="AQ61" s="99"/>
      <c r="AR61" s="99"/>
      <c r="AS61" s="99"/>
      <c r="AT61" s="195"/>
      <c r="AU61" s="99"/>
      <c r="AV61" s="99"/>
      <c r="AW61" s="99"/>
      <c r="AX61" s="99"/>
      <c r="AY61" s="99"/>
      <c r="AZ61" s="99"/>
    </row>
    <row r="62" spans="1:52" ht="15" customHeight="1">
      <c r="D62" s="47"/>
      <c r="E62" s="47"/>
      <c r="F62" s="47"/>
      <c r="G62" s="47"/>
      <c r="H62" s="47"/>
      <c r="I62" s="47"/>
      <c r="J62" s="53"/>
      <c r="K62" s="47"/>
      <c r="L62" s="47"/>
      <c r="M62" s="47"/>
      <c r="N62" s="47"/>
      <c r="O62" s="47"/>
      <c r="P62" s="47"/>
      <c r="Y62" s="83">
        <v>331.57</v>
      </c>
      <c r="Z62" s="79">
        <v>45114</v>
      </c>
      <c r="AB62" s="77">
        <v>-15102</v>
      </c>
      <c r="AC62" s="77">
        <v>6480</v>
      </c>
      <c r="AD62" s="77">
        <v>6965</v>
      </c>
      <c r="AE62" s="123">
        <f t="shared" si="7"/>
        <v>-15102</v>
      </c>
      <c r="AF62" s="124">
        <f t="shared" si="8"/>
        <v>6480</v>
      </c>
      <c r="AG62" s="125">
        <f t="shared" si="9"/>
        <v>6965</v>
      </c>
      <c r="AK62" s="82">
        <v>322.5</v>
      </c>
      <c r="AL62" s="82" t="str">
        <f t="shared" si="6"/>
        <v>322</v>
      </c>
      <c r="AM62" s="97"/>
      <c r="AN62" s="99"/>
      <c r="AO62" s="99"/>
      <c r="AP62" s="99"/>
      <c r="AQ62" s="99"/>
      <c r="AR62" s="99"/>
      <c r="AS62" s="99"/>
      <c r="AT62" s="195"/>
      <c r="AU62" s="99"/>
      <c r="AV62" s="99"/>
      <c r="AW62" s="99"/>
      <c r="AX62" s="99"/>
      <c r="AY62" s="99"/>
      <c r="AZ62" s="99"/>
    </row>
    <row r="63" spans="1:52" ht="15" customHeight="1">
      <c r="D63" s="47"/>
      <c r="E63" s="47"/>
      <c r="F63" s="47"/>
      <c r="G63" s="47"/>
      <c r="H63" s="47"/>
      <c r="I63" s="47"/>
      <c r="J63" s="53"/>
      <c r="K63" s="47"/>
      <c r="L63" s="47"/>
      <c r="M63" s="47"/>
      <c r="N63" s="47"/>
      <c r="O63" s="47"/>
      <c r="P63" s="47"/>
      <c r="Y63" s="83">
        <v>336.2</v>
      </c>
      <c r="Z63" s="79">
        <v>45113</v>
      </c>
      <c r="AB63" s="77">
        <v>-1915</v>
      </c>
      <c r="AC63" s="77">
        <v>-114</v>
      </c>
      <c r="AD63" s="77">
        <v>884</v>
      </c>
      <c r="AE63" s="123">
        <f t="shared" si="7"/>
        <v>-1915</v>
      </c>
      <c r="AF63" s="124">
        <f t="shared" si="8"/>
        <v>-114</v>
      </c>
      <c r="AG63" s="125">
        <f t="shared" si="9"/>
        <v>884</v>
      </c>
      <c r="AK63" s="82">
        <v>320</v>
      </c>
      <c r="AL63" s="82" t="str">
        <f t="shared" si="6"/>
        <v>320</v>
      </c>
      <c r="AM63" s="97"/>
      <c r="AN63" s="99"/>
      <c r="AO63" s="99"/>
      <c r="AP63" s="99"/>
      <c r="AQ63" s="99"/>
      <c r="AR63" s="99"/>
      <c r="AS63" s="99"/>
      <c r="AT63" s="195"/>
      <c r="AU63" s="99"/>
      <c r="AV63" s="99"/>
      <c r="AW63" s="99"/>
      <c r="AX63" s="99"/>
      <c r="AY63" s="99"/>
      <c r="AZ63" s="99"/>
    </row>
    <row r="64" spans="1:52" ht="15" customHeight="1">
      <c r="D64" s="47"/>
      <c r="E64" s="47"/>
      <c r="F64" s="47"/>
      <c r="G64" s="47"/>
      <c r="H64" s="47"/>
      <c r="I64" s="47"/>
      <c r="J64" s="53"/>
      <c r="K64" s="47"/>
      <c r="L64" s="47"/>
      <c r="M64" s="47"/>
      <c r="N64" s="47"/>
      <c r="O64" s="47"/>
      <c r="P64" s="47"/>
      <c r="Y64" s="83">
        <v>339.04</v>
      </c>
      <c r="Z64" s="79">
        <v>45112</v>
      </c>
      <c r="AB64" s="77">
        <v>-13175</v>
      </c>
      <c r="AC64" s="77">
        <v>5842</v>
      </c>
      <c r="AD64" s="77">
        <v>7314</v>
      </c>
      <c r="AE64" s="123">
        <f t="shared" si="7"/>
        <v>-13175</v>
      </c>
      <c r="AF64" s="124">
        <f t="shared" si="8"/>
        <v>5842</v>
      </c>
      <c r="AG64" s="125">
        <f t="shared" si="9"/>
        <v>7314</v>
      </c>
      <c r="AK64" s="82">
        <v>317.5</v>
      </c>
      <c r="AL64" s="82" t="str">
        <f t="shared" si="6"/>
        <v>317</v>
      </c>
      <c r="AM64" s="97"/>
      <c r="AN64" s="99"/>
      <c r="AO64" s="99"/>
      <c r="AP64" s="99"/>
      <c r="AQ64" s="99"/>
      <c r="AR64" s="99"/>
      <c r="AS64" s="99"/>
      <c r="AT64" s="195"/>
      <c r="AU64" s="99"/>
      <c r="AV64" s="99"/>
      <c r="AW64" s="99"/>
      <c r="AX64" s="99"/>
      <c r="AY64" s="99"/>
      <c r="AZ64" s="99"/>
    </row>
    <row r="65" spans="4:52" ht="15" customHeight="1">
      <c r="D65" s="47"/>
      <c r="E65" s="47"/>
      <c r="F65" s="47"/>
      <c r="G65" s="47"/>
      <c r="H65" s="47"/>
      <c r="I65" s="47"/>
      <c r="J65" s="53"/>
      <c r="K65" s="47"/>
      <c r="L65" s="47"/>
      <c r="M65" s="47"/>
      <c r="N65" s="47"/>
      <c r="O65" s="47"/>
      <c r="P65" s="47"/>
      <c r="Y65" s="83">
        <v>341.59</v>
      </c>
      <c r="Z65" s="79">
        <v>45111</v>
      </c>
      <c r="AB65" s="77">
        <v>-10611</v>
      </c>
      <c r="AC65" s="77">
        <v>6290</v>
      </c>
      <c r="AD65" s="77">
        <v>3676</v>
      </c>
      <c r="AE65" s="123">
        <f t="shared" si="7"/>
        <v>-10611</v>
      </c>
      <c r="AF65" s="124">
        <f t="shared" si="8"/>
        <v>6290</v>
      </c>
      <c r="AG65" s="125">
        <f t="shared" si="9"/>
        <v>3676</v>
      </c>
      <c r="AK65" s="82">
        <v>315</v>
      </c>
      <c r="AL65" s="82" t="str">
        <f t="shared" si="6"/>
        <v>315</v>
      </c>
      <c r="AM65" s="97"/>
      <c r="AN65" s="99"/>
      <c r="AO65" s="99"/>
      <c r="AP65" s="99"/>
      <c r="AQ65" s="99"/>
      <c r="AR65" s="99"/>
      <c r="AS65" s="99"/>
      <c r="AT65" s="195"/>
      <c r="AU65" s="99"/>
      <c r="AV65" s="99"/>
      <c r="AW65" s="99"/>
      <c r="AX65" s="99"/>
      <c r="AY65" s="99"/>
      <c r="AZ65" s="99"/>
    </row>
    <row r="66" spans="4:52" ht="15" customHeight="1">
      <c r="D66" s="47"/>
      <c r="E66" s="47"/>
      <c r="F66" s="47"/>
      <c r="G66" s="47"/>
      <c r="H66" s="47"/>
      <c r="I66" s="47"/>
      <c r="J66" s="53"/>
      <c r="K66" s="47"/>
      <c r="L66" s="47"/>
      <c r="M66" s="47"/>
      <c r="N66" s="47"/>
      <c r="O66" s="47"/>
      <c r="P66" s="47"/>
      <c r="Y66" s="83">
        <v>343.08</v>
      </c>
      <c r="Z66" s="79">
        <v>45110</v>
      </c>
      <c r="AB66" s="77">
        <v>10102</v>
      </c>
      <c r="AC66" s="77">
        <v>-6768</v>
      </c>
      <c r="AD66" s="77">
        <v>-846</v>
      </c>
      <c r="AE66" s="123">
        <f t="shared" ref="AE66:AE87" si="11">IF($AA66="",AB66,NA())</f>
        <v>10102</v>
      </c>
      <c r="AF66" s="124">
        <f t="shared" ref="AF66:AF87" si="12">IF($AA66="",AC66,NA())</f>
        <v>-6768</v>
      </c>
      <c r="AG66" s="125">
        <f t="shared" ref="AG66:AG87" si="13">IF($AA66="",AD66,NA())</f>
        <v>-846</v>
      </c>
      <c r="AK66" s="82">
        <v>312.5</v>
      </c>
      <c r="AL66" s="82" t="str">
        <f t="shared" si="6"/>
        <v>312</v>
      </c>
      <c r="AM66" s="97"/>
      <c r="AN66" s="99"/>
      <c r="AO66" s="99"/>
      <c r="AP66" s="99"/>
      <c r="AQ66" s="99"/>
      <c r="AR66" s="99"/>
      <c r="AS66" s="99"/>
      <c r="AT66" s="195"/>
      <c r="AU66" s="99"/>
      <c r="AV66" s="99"/>
      <c r="AW66" s="99"/>
      <c r="AX66" s="99"/>
      <c r="AY66" s="99"/>
      <c r="AZ66" s="99"/>
    </row>
    <row r="67" spans="4:52" ht="15" customHeight="1">
      <c r="D67" s="47"/>
      <c r="E67" s="47"/>
      <c r="F67" s="47"/>
      <c r="G67" s="47"/>
      <c r="H67" s="47"/>
      <c r="I67" s="47"/>
      <c r="J67" s="53"/>
      <c r="K67" s="47"/>
      <c r="L67" s="47"/>
      <c r="M67" s="47"/>
      <c r="N67" s="47"/>
      <c r="O67" s="47"/>
      <c r="P67" s="47"/>
      <c r="Y67" s="83">
        <v>337.95</v>
      </c>
      <c r="Z67" s="79">
        <v>45107</v>
      </c>
      <c r="AB67" s="77">
        <v>4817</v>
      </c>
      <c r="AC67" s="77">
        <v>-4014</v>
      </c>
      <c r="AD67" s="77">
        <v>-484</v>
      </c>
      <c r="AE67" s="123">
        <f t="shared" si="11"/>
        <v>4817</v>
      </c>
      <c r="AF67" s="124">
        <f t="shared" si="12"/>
        <v>-4014</v>
      </c>
      <c r="AG67" s="125">
        <f t="shared" si="13"/>
        <v>-484</v>
      </c>
      <c r="AK67" s="82">
        <v>310</v>
      </c>
      <c r="AL67" s="82" t="str">
        <f t="shared" si="6"/>
        <v>310</v>
      </c>
      <c r="AM67" s="97"/>
      <c r="AN67" s="99"/>
      <c r="AO67" s="99"/>
      <c r="AP67" s="99"/>
      <c r="AQ67" s="99"/>
      <c r="AR67" s="99"/>
      <c r="AS67" s="99"/>
      <c r="AT67" s="195"/>
      <c r="AU67" s="99"/>
      <c r="AV67" s="99"/>
      <c r="AW67" s="99"/>
      <c r="AX67" s="99"/>
      <c r="AY67" s="99"/>
      <c r="AZ67" s="99"/>
    </row>
    <row r="68" spans="4:52" ht="15" customHeight="1">
      <c r="D68" s="47"/>
      <c r="E68" s="47"/>
      <c r="F68" s="47"/>
      <c r="G68" s="47"/>
      <c r="H68" s="47"/>
      <c r="I68" s="47"/>
      <c r="J68" s="53"/>
      <c r="K68" s="47"/>
      <c r="L68" s="47"/>
      <c r="M68" s="47"/>
      <c r="N68" s="47"/>
      <c r="O68" s="47"/>
      <c r="P68" s="47"/>
      <c r="Y68" s="83">
        <v>336.39</v>
      </c>
      <c r="Z68" s="79">
        <v>45106</v>
      </c>
      <c r="AB68" s="77">
        <v>3846</v>
      </c>
      <c r="AC68" s="77">
        <v>663</v>
      </c>
      <c r="AD68" s="77">
        <v>-5525</v>
      </c>
      <c r="AE68" s="123">
        <f t="shared" si="11"/>
        <v>3846</v>
      </c>
      <c r="AF68" s="124">
        <f t="shared" si="12"/>
        <v>663</v>
      </c>
      <c r="AG68" s="125">
        <f t="shared" si="13"/>
        <v>-5525</v>
      </c>
      <c r="AK68" s="82">
        <v>307.5</v>
      </c>
      <c r="AL68" s="82" t="str">
        <f t="shared" si="6"/>
        <v>307</v>
      </c>
      <c r="AM68" s="97"/>
      <c r="AN68" s="99"/>
      <c r="AO68" s="99"/>
      <c r="AP68" s="99"/>
      <c r="AQ68" s="99"/>
      <c r="AR68" s="99"/>
      <c r="AS68" s="99"/>
      <c r="AT68" s="195"/>
      <c r="AU68" s="99"/>
      <c r="AV68" s="99"/>
      <c r="AW68" s="99"/>
      <c r="AX68" s="99"/>
      <c r="AY68" s="99"/>
      <c r="AZ68" s="99"/>
    </row>
    <row r="69" spans="4:52" ht="15" customHeight="1">
      <c r="D69" s="47"/>
      <c r="E69" s="47"/>
      <c r="F69" s="47"/>
      <c r="G69" s="47"/>
      <c r="H69" s="47"/>
      <c r="I69" s="47"/>
      <c r="J69" s="53"/>
      <c r="K69" s="47"/>
      <c r="L69" s="47"/>
      <c r="M69" s="47"/>
      <c r="N69" s="47"/>
      <c r="O69" s="47"/>
      <c r="P69" s="47"/>
      <c r="Y69" s="83">
        <v>338.41</v>
      </c>
      <c r="Z69" s="79">
        <v>45105</v>
      </c>
      <c r="AB69" s="77">
        <v>-15572</v>
      </c>
      <c r="AC69" s="77">
        <v>4432</v>
      </c>
      <c r="AD69" s="77">
        <v>12390</v>
      </c>
      <c r="AE69" s="123">
        <f t="shared" si="11"/>
        <v>-15572</v>
      </c>
      <c r="AF69" s="124">
        <f t="shared" si="12"/>
        <v>4432</v>
      </c>
      <c r="AG69" s="125">
        <f t="shared" si="13"/>
        <v>12390</v>
      </c>
      <c r="AK69" s="82">
        <v>305</v>
      </c>
      <c r="AL69" s="82" t="str">
        <f t="shared" si="6"/>
        <v>305</v>
      </c>
      <c r="AM69" s="97"/>
      <c r="AN69" s="99"/>
      <c r="AO69" s="99"/>
      <c r="AP69" s="99"/>
      <c r="AQ69" s="99"/>
      <c r="AR69" s="99"/>
      <c r="AS69" s="99"/>
      <c r="AT69" s="195"/>
      <c r="AU69" s="99"/>
      <c r="AV69" s="99"/>
      <c r="AW69" s="99"/>
      <c r="AX69" s="99"/>
      <c r="AY69" s="99"/>
      <c r="AZ69" s="99"/>
    </row>
    <row r="70" spans="4:52" ht="15" customHeight="1">
      <c r="D70" s="47"/>
      <c r="E70" s="47"/>
      <c r="F70" s="47"/>
      <c r="G70" s="47"/>
      <c r="H70" s="47"/>
      <c r="I70" s="47"/>
      <c r="J70" s="53"/>
      <c r="K70" s="47"/>
      <c r="L70" s="47"/>
      <c r="M70" s="47"/>
      <c r="N70" s="47"/>
      <c r="O70" s="47"/>
      <c r="P70" s="47"/>
      <c r="Y70" s="83">
        <v>340.32</v>
      </c>
      <c r="Z70" s="79">
        <v>45104</v>
      </c>
      <c r="AB70" s="77">
        <v>-9861</v>
      </c>
      <c r="AC70" s="77">
        <v>2095</v>
      </c>
      <c r="AD70" s="77">
        <v>7355</v>
      </c>
      <c r="AE70" s="123">
        <f t="shared" si="11"/>
        <v>-9861</v>
      </c>
      <c r="AF70" s="124">
        <f t="shared" si="12"/>
        <v>2095</v>
      </c>
      <c r="AG70" s="125">
        <f t="shared" si="13"/>
        <v>7355</v>
      </c>
      <c r="AK70" s="82">
        <v>302.5</v>
      </c>
      <c r="AL70" s="82" t="str">
        <f t="shared" si="6"/>
        <v>302</v>
      </c>
      <c r="AM70" s="97"/>
      <c r="AN70" s="99"/>
      <c r="AO70" s="99"/>
      <c r="AP70" s="99"/>
      <c r="AQ70" s="99"/>
      <c r="AR70" s="99"/>
      <c r="AS70" s="99"/>
      <c r="AT70" s="195"/>
      <c r="AU70" s="99"/>
      <c r="AV70" s="99"/>
      <c r="AW70" s="99"/>
      <c r="AX70" s="99"/>
      <c r="AY70" s="99"/>
      <c r="AZ70" s="99"/>
    </row>
    <row r="71" spans="4:52" ht="15" customHeight="1">
      <c r="D71" s="47"/>
      <c r="E71" s="47"/>
      <c r="F71" s="47"/>
      <c r="G71" s="47"/>
      <c r="H71" s="47"/>
      <c r="I71" s="47"/>
      <c r="J71" s="53"/>
      <c r="K71" s="47"/>
      <c r="L71" s="47"/>
      <c r="M71" s="47"/>
      <c r="N71" s="47"/>
      <c r="O71" s="47"/>
      <c r="P71" s="47"/>
      <c r="Y71" s="83">
        <v>340.38</v>
      </c>
      <c r="Z71" s="79">
        <v>45103</v>
      </c>
      <c r="AB71" s="77">
        <v>9252</v>
      </c>
      <c r="AC71" s="77">
        <v>-4018</v>
      </c>
      <c r="AD71" s="77">
        <v>-4074</v>
      </c>
      <c r="AE71" s="123">
        <f t="shared" si="11"/>
        <v>9252</v>
      </c>
      <c r="AF71" s="124">
        <f t="shared" si="12"/>
        <v>-4018</v>
      </c>
      <c r="AG71" s="125">
        <f t="shared" si="13"/>
        <v>-4074</v>
      </c>
      <c r="AK71" s="82">
        <v>300</v>
      </c>
      <c r="AL71" s="82" t="str">
        <f t="shared" si="6"/>
        <v>300</v>
      </c>
      <c r="AM71" s="97"/>
      <c r="AN71" s="99"/>
      <c r="AO71" s="99"/>
      <c r="AP71" s="99"/>
      <c r="AQ71" s="99"/>
      <c r="AR71" s="99"/>
      <c r="AS71" s="99"/>
      <c r="AT71" s="195"/>
      <c r="AU71" s="99"/>
      <c r="AV71" s="99"/>
      <c r="AW71" s="99"/>
      <c r="AX71" s="99"/>
      <c r="AY71" s="99"/>
      <c r="AZ71" s="99"/>
    </row>
    <row r="72" spans="4:52" ht="15" customHeight="1">
      <c r="D72" s="47"/>
      <c r="E72" s="47"/>
      <c r="F72" s="47"/>
      <c r="G72" s="47"/>
      <c r="H72" s="47"/>
      <c r="I72" s="47"/>
      <c r="J72" s="53"/>
      <c r="K72" s="47"/>
      <c r="L72" s="47"/>
      <c r="M72" s="47"/>
      <c r="N72" s="47"/>
      <c r="O72" s="47"/>
      <c r="P72" s="47"/>
      <c r="Y72" s="83">
        <v>338.45</v>
      </c>
      <c r="Z72" s="79">
        <v>45100</v>
      </c>
      <c r="AB72" s="77">
        <v>-9363</v>
      </c>
      <c r="AC72" s="77">
        <v>3995</v>
      </c>
      <c r="AD72" s="77">
        <v>4759</v>
      </c>
      <c r="AE72" s="123">
        <f t="shared" si="11"/>
        <v>-9363</v>
      </c>
      <c r="AF72" s="124">
        <f t="shared" si="12"/>
        <v>3995</v>
      </c>
      <c r="AG72" s="125">
        <f t="shared" si="13"/>
        <v>4759</v>
      </c>
      <c r="AK72" s="82">
        <v>297.5</v>
      </c>
      <c r="AL72" s="82" t="str">
        <f t="shared" si="6"/>
        <v>297</v>
      </c>
      <c r="AM72" s="97"/>
      <c r="AN72" s="99"/>
      <c r="AO72" s="99"/>
      <c r="AP72" s="99"/>
      <c r="AQ72" s="99"/>
      <c r="AR72" s="99"/>
      <c r="AS72" s="99"/>
      <c r="AT72" s="195"/>
      <c r="AU72" s="99"/>
      <c r="AV72" s="99"/>
      <c r="AW72" s="99"/>
      <c r="AX72" s="99"/>
      <c r="AY72" s="99"/>
      <c r="AZ72" s="99"/>
    </row>
    <row r="73" spans="4:52" ht="15" customHeight="1">
      <c r="D73" s="47"/>
      <c r="E73" s="47"/>
      <c r="F73" s="47"/>
      <c r="G73" s="47"/>
      <c r="H73" s="47"/>
      <c r="I73" s="47"/>
      <c r="J73" s="53"/>
      <c r="K73" s="47"/>
      <c r="L73" s="47"/>
      <c r="M73" s="47"/>
      <c r="N73" s="47"/>
      <c r="O73" s="47"/>
      <c r="P73" s="47"/>
      <c r="Y73" s="83">
        <v>341.12</v>
      </c>
      <c r="Z73" s="79">
        <v>45099</v>
      </c>
      <c r="AB73" s="77">
        <v>8006</v>
      </c>
      <c r="AC73" s="77">
        <v>-5390</v>
      </c>
      <c r="AD73" s="77">
        <v>-1704</v>
      </c>
      <c r="AE73" s="123">
        <f t="shared" si="11"/>
        <v>8006</v>
      </c>
      <c r="AF73" s="124">
        <f t="shared" si="12"/>
        <v>-5390</v>
      </c>
      <c r="AG73" s="125">
        <f t="shared" si="13"/>
        <v>-1704</v>
      </c>
      <c r="AK73" s="82">
        <v>295</v>
      </c>
      <c r="AL73" s="82" t="str">
        <f t="shared" si="6"/>
        <v>295</v>
      </c>
      <c r="AM73" s="97"/>
      <c r="AN73" s="99"/>
      <c r="AO73" s="99"/>
      <c r="AP73" s="99"/>
      <c r="AQ73" s="99"/>
      <c r="AR73" s="99"/>
      <c r="AS73" s="99"/>
      <c r="AT73" s="195"/>
      <c r="AU73" s="99"/>
      <c r="AV73" s="99"/>
      <c r="AW73" s="99"/>
      <c r="AX73" s="99"/>
      <c r="AY73" s="99"/>
      <c r="AZ73" s="99"/>
    </row>
    <row r="74" spans="4:52" ht="15" hidden="1" customHeight="1">
      <c r="D74" s="47"/>
      <c r="E74" s="47"/>
      <c r="F74" s="47"/>
      <c r="G74" s="47"/>
      <c r="H74" s="47"/>
      <c r="I74" s="47"/>
      <c r="J74" s="53"/>
      <c r="K74" s="47"/>
      <c r="L74" s="47"/>
      <c r="M74" s="47"/>
      <c r="N74" s="47"/>
      <c r="O74" s="47"/>
      <c r="P74" s="47"/>
      <c r="Y74" s="83">
        <v>339.44</v>
      </c>
      <c r="Z74" s="79">
        <v>45098</v>
      </c>
      <c r="AB74" s="77">
        <v>-10325</v>
      </c>
      <c r="AC74" s="77">
        <v>4085</v>
      </c>
      <c r="AD74" s="77">
        <v>6519</v>
      </c>
      <c r="AE74" s="123">
        <f t="shared" si="11"/>
        <v>-10325</v>
      </c>
      <c r="AF74" s="124">
        <f t="shared" si="12"/>
        <v>4085</v>
      </c>
      <c r="AG74" s="125">
        <f t="shared" si="13"/>
        <v>6519</v>
      </c>
      <c r="AK74" s="82">
        <v>292.5</v>
      </c>
      <c r="AL74" s="82" t="str">
        <f t="shared" si="6"/>
        <v>292</v>
      </c>
      <c r="AM74" s="97"/>
      <c r="AN74" s="99"/>
      <c r="AO74" s="99"/>
      <c r="AP74" s="99"/>
      <c r="AQ74" s="99"/>
      <c r="AR74" s="99"/>
      <c r="AS74" s="99"/>
      <c r="AT74" s="195"/>
      <c r="AU74" s="99"/>
      <c r="AV74" s="99"/>
      <c r="AW74" s="99"/>
      <c r="AX74" s="99"/>
      <c r="AY74" s="99"/>
      <c r="AZ74" s="99"/>
    </row>
    <row r="75" spans="4:52" ht="15" hidden="1" customHeight="1">
      <c r="D75" s="47"/>
      <c r="E75" s="47"/>
      <c r="F75" s="47"/>
      <c r="G75" s="47"/>
      <c r="H75" s="47"/>
      <c r="I75" s="47"/>
      <c r="J75" s="53"/>
      <c r="K75" s="47"/>
      <c r="L75" s="47"/>
      <c r="M75" s="47"/>
      <c r="N75" s="47"/>
      <c r="O75" s="47"/>
      <c r="P75" s="47"/>
      <c r="Y75" s="83">
        <v>342.58</v>
      </c>
      <c r="Z75" s="79">
        <v>45097</v>
      </c>
      <c r="AB75" s="77">
        <v>-690</v>
      </c>
      <c r="AC75" s="77">
        <v>359</v>
      </c>
      <c r="AD75" s="77">
        <v>670</v>
      </c>
      <c r="AE75" s="123">
        <f t="shared" si="11"/>
        <v>-690</v>
      </c>
      <c r="AF75" s="124">
        <f t="shared" si="12"/>
        <v>359</v>
      </c>
      <c r="AG75" s="125">
        <f t="shared" si="13"/>
        <v>670</v>
      </c>
      <c r="AK75" s="82">
        <v>290</v>
      </c>
      <c r="AL75" s="82" t="str">
        <f t="shared" si="6"/>
        <v>290</v>
      </c>
      <c r="AM75" s="97"/>
      <c r="AN75" s="99"/>
      <c r="AO75" s="99"/>
      <c r="AP75" s="99"/>
      <c r="AQ75" s="99"/>
      <c r="AR75" s="99"/>
      <c r="AS75" s="99"/>
      <c r="AT75" s="195"/>
      <c r="AU75" s="99"/>
      <c r="AV75" s="99"/>
      <c r="AW75" s="99"/>
      <c r="AX75" s="99"/>
      <c r="AY75" s="99"/>
      <c r="AZ75" s="99"/>
    </row>
    <row r="76" spans="4:52" ht="15" hidden="1" customHeight="1">
      <c r="D76" s="47"/>
      <c r="E76" s="47"/>
      <c r="F76" s="47"/>
      <c r="G76" s="47"/>
      <c r="H76" s="47"/>
      <c r="I76" s="47"/>
      <c r="J76" s="53"/>
      <c r="K76" s="47"/>
      <c r="L76" s="47"/>
      <c r="M76" s="47"/>
      <c r="N76" s="47"/>
      <c r="O76" s="47"/>
      <c r="P76" s="47"/>
      <c r="Y76" s="83">
        <v>343.13</v>
      </c>
      <c r="Z76" s="79">
        <v>45096</v>
      </c>
      <c r="AB76" s="77">
        <v>-2811</v>
      </c>
      <c r="AC76" s="77">
        <v>2884</v>
      </c>
      <c r="AD76" s="77">
        <v>-1385</v>
      </c>
      <c r="AE76" s="123">
        <f t="shared" si="11"/>
        <v>-2811</v>
      </c>
      <c r="AF76" s="124">
        <f t="shared" si="12"/>
        <v>2884</v>
      </c>
      <c r="AG76" s="125">
        <f t="shared" si="13"/>
        <v>-1385</v>
      </c>
      <c r="AK76" s="82">
        <v>287.5</v>
      </c>
      <c r="AL76" s="82" t="str">
        <f t="shared" si="6"/>
        <v>287</v>
      </c>
      <c r="AM76" s="97"/>
      <c r="AN76" s="99"/>
      <c r="AO76" s="99"/>
      <c r="AP76" s="99"/>
      <c r="AQ76" s="99"/>
      <c r="AR76" s="99"/>
      <c r="AS76" s="99"/>
      <c r="AT76" s="195"/>
      <c r="AU76" s="99"/>
      <c r="AV76" s="99"/>
      <c r="AW76" s="99"/>
      <c r="AX76" s="99"/>
      <c r="AY76" s="99"/>
      <c r="AZ76" s="99"/>
    </row>
    <row r="77" spans="4:52" ht="15" hidden="1" customHeight="1">
      <c r="D77" s="47"/>
      <c r="E77" s="47"/>
      <c r="F77" s="47"/>
      <c r="G77" s="47"/>
      <c r="H77" s="47"/>
      <c r="I77" s="47"/>
      <c r="J77" s="53"/>
      <c r="K77" s="47"/>
      <c r="L77" s="47"/>
      <c r="M77" s="47"/>
      <c r="N77" s="47"/>
      <c r="O77" s="47"/>
      <c r="P77" s="47"/>
      <c r="Y77" s="83">
        <v>345.17</v>
      </c>
      <c r="Z77" s="79">
        <v>45093</v>
      </c>
      <c r="AB77" s="77">
        <v>3595</v>
      </c>
      <c r="AC77" s="77">
        <v>-3018</v>
      </c>
      <c r="AD77" s="77">
        <v>261</v>
      </c>
      <c r="AE77" s="123">
        <f t="shared" si="11"/>
        <v>3595</v>
      </c>
      <c r="AF77" s="124">
        <f t="shared" si="12"/>
        <v>-3018</v>
      </c>
      <c r="AG77" s="125">
        <f t="shared" si="13"/>
        <v>261</v>
      </c>
      <c r="AK77" s="82">
        <v>285</v>
      </c>
      <c r="AL77" s="82" t="str">
        <f t="shared" si="6"/>
        <v>285</v>
      </c>
      <c r="AM77" s="97"/>
      <c r="AN77" s="99"/>
      <c r="AO77" s="99"/>
      <c r="AP77" s="99"/>
      <c r="AQ77" s="99"/>
      <c r="AR77" s="99"/>
      <c r="AS77" s="99"/>
      <c r="AT77" s="195"/>
      <c r="AU77" s="99"/>
      <c r="AV77" s="99"/>
      <c r="AW77" s="99"/>
      <c r="AX77" s="99"/>
      <c r="AY77" s="99"/>
      <c r="AZ77" s="99"/>
    </row>
    <row r="78" spans="4:52" ht="15" hidden="1" customHeight="1">
      <c r="D78" s="47"/>
      <c r="E78" s="47"/>
      <c r="F78" s="47"/>
      <c r="G78" s="47"/>
      <c r="H78" s="47"/>
      <c r="I78" s="47"/>
      <c r="J78" s="53"/>
      <c r="K78" s="47"/>
      <c r="L78" s="47"/>
      <c r="M78" s="47"/>
      <c r="N78" s="47"/>
      <c r="O78" s="47"/>
      <c r="P78" s="47"/>
      <c r="Y78" s="83">
        <v>343.19</v>
      </c>
      <c r="Z78" s="79">
        <v>45092</v>
      </c>
      <c r="AB78" s="77">
        <v>3293</v>
      </c>
      <c r="AC78" s="77">
        <v>-40</v>
      </c>
      <c r="AD78" s="77">
        <v>-3790</v>
      </c>
      <c r="AE78" s="123">
        <f t="shared" si="11"/>
        <v>3293</v>
      </c>
      <c r="AF78" s="124">
        <f t="shared" si="12"/>
        <v>-40</v>
      </c>
      <c r="AG78" s="125">
        <f t="shared" si="13"/>
        <v>-3790</v>
      </c>
      <c r="AK78" s="82">
        <v>282.5</v>
      </c>
      <c r="AL78" s="82" t="str">
        <f t="shared" si="6"/>
        <v>282</v>
      </c>
      <c r="AM78" s="97"/>
      <c r="AN78" s="99"/>
      <c r="AO78" s="99"/>
      <c r="AP78" s="99"/>
      <c r="AQ78" s="99"/>
      <c r="AR78" s="99"/>
      <c r="AS78" s="99"/>
      <c r="AT78" s="195"/>
      <c r="AU78" s="99"/>
      <c r="AV78" s="99"/>
      <c r="AW78" s="99"/>
      <c r="AX78" s="99"/>
      <c r="AY78" s="99"/>
      <c r="AZ78" s="99"/>
    </row>
    <row r="79" spans="4:52" ht="15" hidden="1" customHeight="1">
      <c r="D79" s="47"/>
      <c r="E79" s="47"/>
      <c r="F79" s="47"/>
      <c r="G79" s="47"/>
      <c r="H79" s="47"/>
      <c r="I79" s="47"/>
      <c r="J79" s="53"/>
      <c r="K79" s="47"/>
      <c r="L79" s="47"/>
      <c r="M79" s="47"/>
      <c r="N79" s="47"/>
      <c r="O79" s="47"/>
      <c r="P79" s="47"/>
      <c r="Y79" s="83">
        <v>344.65</v>
      </c>
      <c r="Z79" s="79">
        <v>45091</v>
      </c>
      <c r="AB79" s="77">
        <v>4180</v>
      </c>
      <c r="AC79" s="77">
        <v>372</v>
      </c>
      <c r="AD79" s="77">
        <v>-4961</v>
      </c>
      <c r="AE79" s="123">
        <f t="shared" si="11"/>
        <v>4180</v>
      </c>
      <c r="AF79" s="124">
        <f t="shared" si="12"/>
        <v>372</v>
      </c>
      <c r="AG79" s="125">
        <f t="shared" si="13"/>
        <v>-4961</v>
      </c>
      <c r="AK79" s="82">
        <v>280</v>
      </c>
      <c r="AL79" s="82" t="str">
        <f t="shared" si="6"/>
        <v>280</v>
      </c>
      <c r="AM79" s="97"/>
      <c r="AN79" s="99"/>
      <c r="AO79" s="99"/>
      <c r="AP79" s="99"/>
      <c r="AQ79" s="99"/>
      <c r="AR79" s="99"/>
      <c r="AS79" s="99"/>
      <c r="AT79" s="195"/>
      <c r="AU79" s="99"/>
      <c r="AV79" s="99"/>
      <c r="AW79" s="99"/>
      <c r="AX79" s="99"/>
      <c r="AY79" s="99"/>
      <c r="AZ79" s="99"/>
    </row>
    <row r="80" spans="4:52" ht="15" hidden="1" customHeight="1">
      <c r="D80" s="47"/>
      <c r="E80" s="47"/>
      <c r="F80" s="47"/>
      <c r="G80" s="47"/>
      <c r="H80" s="47"/>
      <c r="I80" s="47"/>
      <c r="J80" s="53"/>
      <c r="K80" s="47"/>
      <c r="L80" s="47"/>
      <c r="M80" s="47"/>
      <c r="N80" s="47"/>
      <c r="O80" s="47"/>
      <c r="P80" s="47"/>
      <c r="Y80" s="83">
        <v>346.39</v>
      </c>
      <c r="Z80" s="79">
        <v>45090</v>
      </c>
      <c r="AB80" s="77">
        <v>-159</v>
      </c>
      <c r="AC80" s="77">
        <v>1055</v>
      </c>
      <c r="AD80" s="77">
        <v>-873</v>
      </c>
      <c r="AE80" s="123">
        <f t="shared" si="11"/>
        <v>-159</v>
      </c>
      <c r="AF80" s="124">
        <f t="shared" si="12"/>
        <v>1055</v>
      </c>
      <c r="AG80" s="125">
        <f t="shared" si="13"/>
        <v>-873</v>
      </c>
      <c r="AK80" s="82">
        <v>277.5</v>
      </c>
      <c r="AL80" s="82" t="str">
        <f t="shared" si="6"/>
        <v>277</v>
      </c>
      <c r="AM80" s="97"/>
      <c r="AN80" s="99"/>
      <c r="AO80" s="99"/>
      <c r="AP80" s="99"/>
      <c r="AQ80" s="99"/>
      <c r="AR80" s="99"/>
      <c r="AS80" s="99"/>
      <c r="AT80" s="195"/>
      <c r="AU80" s="99"/>
      <c r="AV80" s="99"/>
      <c r="AW80" s="99"/>
      <c r="AX80" s="99"/>
      <c r="AY80" s="99"/>
      <c r="AZ80" s="99"/>
    </row>
    <row r="81" spans="4:52" ht="15" hidden="1" customHeight="1">
      <c r="D81" s="47"/>
      <c r="E81" s="47"/>
      <c r="F81" s="47"/>
      <c r="G81" s="47"/>
      <c r="H81" s="47"/>
      <c r="I81" s="47"/>
      <c r="J81" s="53"/>
      <c r="K81" s="47"/>
      <c r="L81" s="47"/>
      <c r="M81" s="47"/>
      <c r="N81" s="47"/>
      <c r="O81" s="47"/>
      <c r="P81" s="47"/>
      <c r="Y81" s="83">
        <v>344.57</v>
      </c>
      <c r="Z81" s="79">
        <v>45089</v>
      </c>
      <c r="AB81" s="77">
        <v>-8647</v>
      </c>
      <c r="AC81" s="77">
        <v>6494</v>
      </c>
      <c r="AD81" s="77">
        <v>1729</v>
      </c>
      <c r="AE81" s="123">
        <f t="shared" si="11"/>
        <v>-8647</v>
      </c>
      <c r="AF81" s="124">
        <f t="shared" si="12"/>
        <v>6494</v>
      </c>
      <c r="AG81" s="125">
        <f t="shared" si="13"/>
        <v>1729</v>
      </c>
      <c r="AK81" s="82">
        <v>275</v>
      </c>
      <c r="AL81" s="82" t="str">
        <f t="shared" si="6"/>
        <v>275</v>
      </c>
      <c r="AM81" s="97"/>
      <c r="AN81" s="99"/>
      <c r="AO81" s="99"/>
      <c r="AP81" s="99"/>
      <c r="AQ81" s="99"/>
      <c r="AR81" s="99"/>
      <c r="AS81" s="99"/>
      <c r="AT81" s="195"/>
      <c r="AU81" s="99"/>
      <c r="AV81" s="99"/>
      <c r="AW81" s="99"/>
      <c r="AX81" s="99"/>
      <c r="AY81" s="99"/>
      <c r="AZ81" s="99"/>
    </row>
    <row r="82" spans="4:52" ht="15" hidden="1" customHeight="1">
      <c r="D82" s="47"/>
      <c r="E82" s="47"/>
      <c r="F82" s="47"/>
      <c r="G82" s="47"/>
      <c r="H82" s="47"/>
      <c r="I82" s="47"/>
      <c r="J82" s="53"/>
      <c r="K82" s="47"/>
      <c r="L82" s="47"/>
      <c r="M82" s="47"/>
      <c r="N82" s="47"/>
      <c r="O82" s="47"/>
      <c r="P82" s="47"/>
      <c r="Y82" s="83">
        <v>346.79</v>
      </c>
      <c r="Z82" s="79">
        <v>45086</v>
      </c>
      <c r="AB82" s="77">
        <v>2922</v>
      </c>
      <c r="AC82" s="77">
        <v>-5687</v>
      </c>
      <c r="AD82" s="77">
        <v>2492</v>
      </c>
      <c r="AE82" s="123">
        <f t="shared" si="11"/>
        <v>2922</v>
      </c>
      <c r="AF82" s="124">
        <f t="shared" si="12"/>
        <v>-5687</v>
      </c>
      <c r="AG82" s="125">
        <f t="shared" si="13"/>
        <v>2492</v>
      </c>
      <c r="AK82" s="82">
        <v>272.5</v>
      </c>
      <c r="AL82" s="82" t="str">
        <f t="shared" si="6"/>
        <v>272</v>
      </c>
      <c r="AM82" s="97"/>
      <c r="AN82" s="99"/>
      <c r="AO82" s="99"/>
      <c r="AP82" s="99"/>
      <c r="AQ82" s="99"/>
      <c r="AR82" s="99"/>
      <c r="AS82" s="99"/>
      <c r="AT82" s="195"/>
      <c r="AU82" s="99"/>
      <c r="AV82" s="99"/>
      <c r="AW82" s="99"/>
      <c r="AX82" s="99"/>
      <c r="AY82" s="99"/>
      <c r="AZ82" s="99"/>
    </row>
    <row r="83" spans="4:52" ht="15" hidden="1" customHeight="1">
      <c r="D83" s="47"/>
      <c r="E83" s="47"/>
      <c r="F83" s="47"/>
      <c r="G83" s="47"/>
      <c r="H83" s="47"/>
      <c r="I83" s="47"/>
      <c r="J83" s="53"/>
      <c r="K83" s="47"/>
      <c r="L83" s="47"/>
      <c r="M83" s="47"/>
      <c r="N83" s="47"/>
      <c r="O83" s="47"/>
      <c r="P83" s="47"/>
      <c r="Y83" s="83">
        <v>342.75</v>
      </c>
      <c r="Z83" s="79">
        <v>45085</v>
      </c>
      <c r="AA83" s="77">
        <v>342.75</v>
      </c>
      <c r="AB83" s="77">
        <v>8290</v>
      </c>
      <c r="AC83" s="77">
        <v>-2229</v>
      </c>
      <c r="AD83" s="77">
        <v>-5084</v>
      </c>
      <c r="AE83" s="123" t="e">
        <f t="shared" si="11"/>
        <v>#N/A</v>
      </c>
      <c r="AF83" s="124" t="e">
        <f t="shared" si="12"/>
        <v>#N/A</v>
      </c>
      <c r="AG83" s="125" t="e">
        <f t="shared" si="13"/>
        <v>#N/A</v>
      </c>
      <c r="AK83" s="82">
        <v>270</v>
      </c>
      <c r="AL83" s="82" t="str">
        <f t="shared" si="6"/>
        <v>270</v>
      </c>
      <c r="AM83" s="97"/>
      <c r="AN83" s="99"/>
      <c r="AO83" s="99"/>
      <c r="AP83" s="99"/>
      <c r="AQ83" s="99"/>
      <c r="AR83" s="99"/>
      <c r="AS83" s="99"/>
      <c r="AT83" s="195"/>
      <c r="AU83" s="99"/>
      <c r="AV83" s="99"/>
      <c r="AW83" s="99"/>
      <c r="AX83" s="99"/>
      <c r="AY83" s="99"/>
      <c r="AZ83" s="99"/>
    </row>
    <row r="84" spans="4:52" ht="15" hidden="1" customHeight="1">
      <c r="D84" s="47"/>
      <c r="E84" s="47"/>
      <c r="F84" s="47"/>
      <c r="G84" s="47"/>
      <c r="H84" s="47"/>
      <c r="I84" s="47"/>
      <c r="J84" s="53"/>
      <c r="K84" s="47"/>
      <c r="L84" s="47"/>
      <c r="M84" s="47"/>
      <c r="N84" s="47"/>
      <c r="O84" s="47"/>
      <c r="P84" s="47"/>
      <c r="Y84" s="83">
        <v>343.22</v>
      </c>
      <c r="Z84" s="79">
        <v>45084</v>
      </c>
      <c r="AA84" s="77">
        <v>343.22</v>
      </c>
      <c r="AB84" s="77">
        <v>5358</v>
      </c>
      <c r="AC84" s="77">
        <v>-1253</v>
      </c>
      <c r="AD84" s="77">
        <v>-4565</v>
      </c>
      <c r="AE84" s="123" t="e">
        <f t="shared" si="11"/>
        <v>#N/A</v>
      </c>
      <c r="AF84" s="124" t="e">
        <f t="shared" si="12"/>
        <v>#N/A</v>
      </c>
      <c r="AG84" s="125" t="e">
        <f t="shared" si="13"/>
        <v>#N/A</v>
      </c>
      <c r="AK84" s="82">
        <v>267.5</v>
      </c>
      <c r="AL84" s="82" t="str">
        <f t="shared" si="6"/>
        <v>267</v>
      </c>
      <c r="AM84" s="97"/>
      <c r="AN84" s="99"/>
      <c r="AO84" s="99"/>
      <c r="AP84" s="99"/>
      <c r="AQ84" s="99"/>
      <c r="AR84" s="99"/>
      <c r="AS84" s="99"/>
      <c r="AT84" s="195"/>
      <c r="AU84" s="99"/>
      <c r="AV84" s="99"/>
      <c r="AW84" s="99"/>
      <c r="AX84" s="99"/>
      <c r="AY84" s="99"/>
      <c r="AZ84" s="99"/>
    </row>
    <row r="85" spans="4:52" ht="15" hidden="1" customHeight="1">
      <c r="D85" s="47"/>
      <c r="E85" s="47"/>
      <c r="F85" s="47"/>
      <c r="G85" s="47"/>
      <c r="H85" s="47"/>
      <c r="I85" s="47"/>
      <c r="J85" s="53"/>
      <c r="K85" s="47"/>
      <c r="L85" s="47"/>
      <c r="M85" s="47"/>
      <c r="N85" s="47"/>
      <c r="O85" s="47"/>
      <c r="P85" s="47"/>
      <c r="Y85" s="83">
        <v>343.91</v>
      </c>
      <c r="Z85" s="79">
        <v>45082</v>
      </c>
      <c r="AA85" s="77">
        <v>343.91</v>
      </c>
      <c r="AB85" s="77">
        <v>2456</v>
      </c>
      <c r="AC85" s="77">
        <v>811</v>
      </c>
      <c r="AD85" s="77">
        <v>-3301</v>
      </c>
      <c r="AE85" s="123" t="e">
        <f t="shared" si="11"/>
        <v>#N/A</v>
      </c>
      <c r="AF85" s="124" t="e">
        <f t="shared" si="12"/>
        <v>#N/A</v>
      </c>
      <c r="AG85" s="125" t="e">
        <f t="shared" si="13"/>
        <v>#N/A</v>
      </c>
      <c r="AK85" s="82">
        <v>265</v>
      </c>
      <c r="AL85" s="82" t="str">
        <f t="shared" si="6"/>
        <v>265</v>
      </c>
      <c r="AM85" s="97"/>
      <c r="AN85" s="99"/>
      <c r="AO85" s="99"/>
      <c r="AP85" s="99"/>
      <c r="AQ85" s="99"/>
      <c r="AR85" s="99"/>
      <c r="AS85" s="99"/>
      <c r="AT85" s="195"/>
      <c r="AU85" s="99"/>
      <c r="AV85" s="99"/>
      <c r="AW85" s="99"/>
      <c r="AX85" s="99"/>
      <c r="AY85" s="99"/>
      <c r="AZ85" s="99"/>
    </row>
    <row r="86" spans="4:52" ht="15" hidden="1" customHeight="1">
      <c r="D86" s="47"/>
      <c r="E86" s="47"/>
      <c r="F86" s="47"/>
      <c r="G86" s="47"/>
      <c r="H86" s="47"/>
      <c r="I86" s="47"/>
      <c r="J86" s="53"/>
      <c r="K86" s="47"/>
      <c r="L86" s="47"/>
      <c r="M86" s="47"/>
      <c r="N86" s="47"/>
      <c r="O86" s="47"/>
      <c r="P86" s="47"/>
      <c r="Y86" s="83">
        <v>342.67</v>
      </c>
      <c r="Z86" s="79">
        <v>45079</v>
      </c>
      <c r="AA86" s="77">
        <v>342.67</v>
      </c>
      <c r="AB86" s="77">
        <v>5789</v>
      </c>
      <c r="AC86" s="77">
        <v>-4895</v>
      </c>
      <c r="AD86" s="77">
        <v>-93</v>
      </c>
      <c r="AE86" s="123" t="e">
        <f t="shared" si="11"/>
        <v>#N/A</v>
      </c>
      <c r="AF86" s="124" t="e">
        <f t="shared" si="12"/>
        <v>#N/A</v>
      </c>
      <c r="AG86" s="125" t="e">
        <f t="shared" si="13"/>
        <v>#N/A</v>
      </c>
      <c r="AK86" s="82">
        <v>262.5</v>
      </c>
      <c r="AL86" s="82" t="str">
        <f t="shared" si="6"/>
        <v>262</v>
      </c>
      <c r="AM86" s="97"/>
      <c r="AN86" s="99"/>
      <c r="AO86" s="99"/>
      <c r="AP86" s="99"/>
      <c r="AQ86" s="99"/>
      <c r="AR86" s="99"/>
      <c r="AS86" s="99"/>
      <c r="AT86" s="195"/>
      <c r="AU86" s="99"/>
      <c r="AV86" s="99"/>
      <c r="AW86" s="99"/>
      <c r="AX86" s="99"/>
      <c r="AY86" s="99"/>
      <c r="AZ86" s="99"/>
    </row>
    <row r="87" spans="4:52" ht="15" hidden="1" customHeight="1">
      <c r="D87" s="47"/>
      <c r="E87" s="47"/>
      <c r="F87" s="47"/>
      <c r="G87" s="47"/>
      <c r="H87" s="47"/>
      <c r="I87" s="47"/>
      <c r="J87" s="53"/>
      <c r="K87" s="47"/>
      <c r="L87" s="47"/>
      <c r="M87" s="47"/>
      <c r="N87" s="47"/>
      <c r="O87" s="47"/>
      <c r="P87" s="47"/>
      <c r="Y87" s="83">
        <v>338.08</v>
      </c>
      <c r="Z87" s="79">
        <v>45078</v>
      </c>
      <c r="AA87" s="77">
        <v>338.08</v>
      </c>
      <c r="AB87" s="77">
        <v>-1570</v>
      </c>
      <c r="AC87" s="77">
        <v>813</v>
      </c>
      <c r="AD87" s="77">
        <v>936</v>
      </c>
      <c r="AE87" s="123" t="e">
        <f t="shared" si="11"/>
        <v>#N/A</v>
      </c>
      <c r="AF87" s="124" t="e">
        <f t="shared" si="12"/>
        <v>#N/A</v>
      </c>
      <c r="AG87" s="125" t="e">
        <f t="shared" si="13"/>
        <v>#N/A</v>
      </c>
      <c r="AK87" s="82">
        <v>260</v>
      </c>
      <c r="AL87" s="82" t="str">
        <f t="shared" si="6"/>
        <v>260</v>
      </c>
      <c r="AM87" s="97"/>
      <c r="AN87" s="99"/>
      <c r="AO87" s="99"/>
      <c r="AP87" s="99"/>
      <c r="AQ87" s="99"/>
      <c r="AR87" s="99"/>
      <c r="AS87" s="99"/>
      <c r="AT87" s="195"/>
      <c r="AU87" s="99"/>
      <c r="AV87" s="99"/>
      <c r="AW87" s="99"/>
      <c r="AX87" s="99"/>
      <c r="AY87" s="99"/>
      <c r="AZ87" s="99"/>
    </row>
    <row r="88" spans="4:52" ht="15" hidden="1" customHeight="1">
      <c r="D88" s="47"/>
      <c r="E88" s="47"/>
      <c r="F88" s="47"/>
      <c r="G88" s="47"/>
      <c r="H88" s="47"/>
      <c r="I88" s="47"/>
      <c r="J88" s="53"/>
      <c r="K88" s="47"/>
      <c r="L88" s="47"/>
      <c r="M88" s="47"/>
      <c r="N88" s="47"/>
      <c r="O88" s="47"/>
      <c r="P88" s="47"/>
      <c r="Y88" s="83">
        <v>339.12</v>
      </c>
      <c r="Z88" s="79">
        <v>45077</v>
      </c>
      <c r="AA88" s="77">
        <v>339.12</v>
      </c>
      <c r="AB88" s="77">
        <v>-4722</v>
      </c>
      <c r="AC88" s="77">
        <v>5209</v>
      </c>
      <c r="AD88" s="77">
        <v>-576</v>
      </c>
      <c r="AE88" s="123" t="str">
        <f>IF($AA88="",AB88,"")</f>
        <v/>
      </c>
      <c r="AF88" s="124" t="str">
        <f>IF($AA88="",AC88,"")</f>
        <v/>
      </c>
      <c r="AG88" s="125" t="str">
        <f>IF($AA88="",AD88,"")</f>
        <v/>
      </c>
      <c r="AK88" s="82">
        <v>257.5</v>
      </c>
      <c r="AL88" s="82" t="str">
        <f t="shared" si="6"/>
        <v>257</v>
      </c>
      <c r="AM88" s="97"/>
      <c r="AN88" s="99"/>
      <c r="AO88" s="99"/>
      <c r="AP88" s="99"/>
      <c r="AQ88" s="99"/>
      <c r="AR88" s="99"/>
      <c r="AS88" s="99"/>
      <c r="AT88" s="195"/>
      <c r="AU88" s="99"/>
      <c r="AV88" s="99"/>
      <c r="AW88" s="99"/>
      <c r="AX88" s="99"/>
      <c r="AY88" s="99"/>
      <c r="AZ88" s="99"/>
    </row>
    <row r="89" spans="4:52" ht="15" hidden="1" customHeight="1">
      <c r="D89" s="47"/>
      <c r="E89" s="47"/>
      <c r="F89" s="47"/>
      <c r="G89" s="47"/>
      <c r="H89" s="47"/>
      <c r="I89" s="47"/>
      <c r="J89" s="53"/>
      <c r="K89" s="47"/>
      <c r="L89" s="47"/>
      <c r="M89" s="47"/>
      <c r="N89" s="47"/>
      <c r="O89" s="47"/>
      <c r="P89" s="47"/>
      <c r="Y89" s="83">
        <v>341.5</v>
      </c>
      <c r="Z89" s="79">
        <v>45076</v>
      </c>
      <c r="AA89" s="77">
        <v>341.5</v>
      </c>
      <c r="AB89" s="77">
        <v>3679</v>
      </c>
      <c r="AC89" s="77">
        <v>-3008</v>
      </c>
      <c r="AD89" s="77">
        <v>-118</v>
      </c>
      <c r="AE89" s="123" t="str">
        <f t="shared" ref="AE89:AE103" si="14">IF($AA89="",AB89,"")</f>
        <v/>
      </c>
      <c r="AF89" s="124" t="str">
        <f t="shared" ref="AF89:AF103" si="15">IF($AA89="",AC89,"")</f>
        <v/>
      </c>
      <c r="AG89" s="125" t="str">
        <f t="shared" ref="AG89:AG103" si="16">IF($AA89="",AD89,"")</f>
        <v/>
      </c>
      <c r="AK89" s="82">
        <v>255</v>
      </c>
      <c r="AL89" s="82" t="str">
        <f t="shared" si="6"/>
        <v>255</v>
      </c>
      <c r="AM89" s="97"/>
      <c r="AN89" s="99"/>
      <c r="AO89" s="99"/>
      <c r="AP89" s="99"/>
      <c r="AQ89" s="99"/>
      <c r="AR89" s="99"/>
      <c r="AS89" s="99"/>
      <c r="AT89" s="195"/>
      <c r="AU89" s="99"/>
      <c r="AV89" s="99"/>
      <c r="AW89" s="99"/>
      <c r="AX89" s="99"/>
      <c r="AY89" s="99"/>
      <c r="AZ89" s="99"/>
    </row>
    <row r="90" spans="4:52" ht="15" hidden="1" customHeight="1">
      <c r="D90" s="47"/>
      <c r="E90" s="47"/>
      <c r="F90" s="47"/>
      <c r="G90" s="47"/>
      <c r="H90" s="47"/>
      <c r="I90" s="47"/>
      <c r="J90" s="53"/>
      <c r="K90" s="47"/>
      <c r="L90" s="47"/>
      <c r="M90" s="47"/>
      <c r="N90" s="47"/>
      <c r="O90" s="47"/>
      <c r="P90" s="47"/>
      <c r="Y90" s="83">
        <v>337.11</v>
      </c>
      <c r="Z90" s="79">
        <v>45072</v>
      </c>
      <c r="AA90" s="77">
        <v>337.11</v>
      </c>
      <c r="AB90" s="77">
        <v>2215</v>
      </c>
      <c r="AC90" s="77">
        <v>-1905</v>
      </c>
      <c r="AD90" s="77">
        <v>-261</v>
      </c>
      <c r="AE90" s="123" t="str">
        <f t="shared" si="14"/>
        <v/>
      </c>
      <c r="AF90" s="124" t="str">
        <f t="shared" si="15"/>
        <v/>
      </c>
      <c r="AG90" s="125" t="str">
        <f t="shared" si="16"/>
        <v/>
      </c>
      <c r="AK90" s="82">
        <v>252.5</v>
      </c>
      <c r="AL90" s="82" t="str">
        <f t="shared" si="6"/>
        <v>252</v>
      </c>
      <c r="AM90" s="97"/>
      <c r="AN90" s="99"/>
      <c r="AO90" s="99"/>
      <c r="AP90" s="99"/>
      <c r="AQ90" s="99"/>
      <c r="AR90" s="99"/>
      <c r="AS90" s="99"/>
      <c r="AT90" s="195"/>
      <c r="AU90" s="99"/>
      <c r="AV90" s="99"/>
      <c r="AW90" s="99"/>
      <c r="AX90" s="99"/>
      <c r="AY90" s="99"/>
      <c r="AZ90" s="99"/>
    </row>
    <row r="91" spans="4:52" ht="15" hidden="1" customHeight="1">
      <c r="D91" s="47"/>
      <c r="E91" s="47"/>
      <c r="F91" s="47"/>
      <c r="G91" s="47"/>
      <c r="H91" s="47"/>
      <c r="I91" s="47"/>
      <c r="J91" s="53"/>
      <c r="K91" s="47"/>
      <c r="L91" s="47"/>
      <c r="M91" s="47"/>
      <c r="N91" s="47"/>
      <c r="O91" s="47"/>
      <c r="P91" s="47"/>
      <c r="Y91" s="83">
        <v>335.35</v>
      </c>
      <c r="Z91" s="79">
        <v>45071</v>
      </c>
      <c r="AA91" s="77">
        <v>335.35</v>
      </c>
      <c r="AB91" s="77">
        <v>-7365</v>
      </c>
      <c r="AC91" s="77">
        <v>3241</v>
      </c>
      <c r="AD91" s="77">
        <v>3293</v>
      </c>
      <c r="AE91" s="123" t="str">
        <f t="shared" si="14"/>
        <v/>
      </c>
      <c r="AF91" s="124" t="str">
        <f t="shared" si="15"/>
        <v/>
      </c>
      <c r="AG91" s="125" t="str">
        <f t="shared" si="16"/>
        <v/>
      </c>
      <c r="AK91" s="82">
        <v>250</v>
      </c>
      <c r="AL91" s="82" t="str">
        <f t="shared" si="6"/>
        <v>250</v>
      </c>
      <c r="AM91" s="97"/>
      <c r="AN91" s="99"/>
      <c r="AO91" s="99"/>
      <c r="AP91" s="99"/>
      <c r="AQ91" s="99"/>
      <c r="AR91" s="99"/>
      <c r="AS91" s="99"/>
      <c r="AT91" s="195"/>
      <c r="AU91" s="99"/>
      <c r="AV91" s="99"/>
      <c r="AW91" s="99"/>
      <c r="AX91" s="99"/>
      <c r="AY91" s="99"/>
      <c r="AZ91" s="99"/>
    </row>
    <row r="92" spans="4:52" ht="15" hidden="1" customHeight="1">
      <c r="D92" s="47"/>
      <c r="E92" s="47"/>
      <c r="F92" s="47"/>
      <c r="G92" s="47"/>
      <c r="H92" s="47"/>
      <c r="I92" s="47"/>
      <c r="J92" s="53"/>
      <c r="K92" s="47"/>
      <c r="L92" s="47"/>
      <c r="M92" s="47"/>
      <c r="N92" s="47"/>
      <c r="O92" s="47"/>
      <c r="P92" s="47"/>
      <c r="Y92" s="83">
        <v>336.49</v>
      </c>
      <c r="Z92" s="79">
        <v>45070</v>
      </c>
      <c r="AA92" s="77">
        <v>336.49</v>
      </c>
      <c r="AB92" s="77">
        <v>877</v>
      </c>
      <c r="AC92" s="77">
        <v>2195</v>
      </c>
      <c r="AD92" s="77">
        <v>-3600</v>
      </c>
      <c r="AE92" s="123" t="str">
        <f t="shared" si="14"/>
        <v/>
      </c>
      <c r="AF92" s="124" t="str">
        <f t="shared" si="15"/>
        <v/>
      </c>
      <c r="AG92" s="125" t="str">
        <f t="shared" si="16"/>
        <v/>
      </c>
      <c r="AK92" s="82">
        <v>247.5</v>
      </c>
      <c r="AL92" s="82" t="str">
        <f t="shared" si="6"/>
        <v>247</v>
      </c>
      <c r="AM92" s="97"/>
      <c r="AN92" s="99"/>
      <c r="AO92" s="99"/>
      <c r="AP92" s="99"/>
      <c r="AQ92" s="99"/>
      <c r="AR92" s="99"/>
      <c r="AS92" s="99"/>
      <c r="AT92" s="195"/>
      <c r="AU92" s="99"/>
      <c r="AV92" s="99"/>
      <c r="AW92" s="99"/>
      <c r="AX92" s="99"/>
      <c r="AY92" s="99"/>
      <c r="AZ92" s="99"/>
    </row>
    <row r="93" spans="4:52" ht="15" hidden="1" customHeight="1">
      <c r="D93" s="47"/>
      <c r="E93" s="47"/>
      <c r="F93" s="47"/>
      <c r="G93" s="47"/>
      <c r="H93" s="47"/>
      <c r="I93" s="47"/>
      <c r="J93" s="53"/>
      <c r="K93" s="47"/>
      <c r="L93" s="47"/>
      <c r="M93" s="47"/>
      <c r="N93" s="47"/>
      <c r="O93" s="47"/>
      <c r="P93" s="47"/>
      <c r="Y93" s="83">
        <v>337.09</v>
      </c>
      <c r="Z93" s="79">
        <v>45069</v>
      </c>
      <c r="AA93" s="77">
        <v>337.09</v>
      </c>
      <c r="AB93" s="77">
        <v>-41</v>
      </c>
      <c r="AC93" s="77">
        <v>1120</v>
      </c>
      <c r="AD93" s="77">
        <v>-1211</v>
      </c>
      <c r="AE93" s="123" t="str">
        <f t="shared" si="14"/>
        <v/>
      </c>
      <c r="AF93" s="124" t="str">
        <f t="shared" si="15"/>
        <v/>
      </c>
      <c r="AG93" s="125" t="str">
        <f t="shared" si="16"/>
        <v/>
      </c>
      <c r="AK93" s="82">
        <v>245</v>
      </c>
      <c r="AL93" s="82" t="str">
        <f t="shared" si="6"/>
        <v>245</v>
      </c>
      <c r="AM93" s="97"/>
      <c r="AN93" s="99"/>
      <c r="AO93" s="99"/>
      <c r="AP93" s="99"/>
      <c r="AQ93" s="99"/>
      <c r="AR93" s="99"/>
      <c r="AS93" s="99"/>
      <c r="AT93" s="195"/>
      <c r="AU93" s="99"/>
      <c r="AV93" s="99"/>
      <c r="AW93" s="99"/>
      <c r="AX93" s="99"/>
      <c r="AY93" s="99"/>
      <c r="AZ93" s="99"/>
    </row>
    <row r="94" spans="4:52" ht="15" hidden="1" customHeight="1">
      <c r="D94" s="47"/>
      <c r="E94" s="47"/>
      <c r="F94" s="47"/>
      <c r="G94" s="47"/>
      <c r="H94" s="47"/>
      <c r="I94" s="47"/>
      <c r="J94" s="53"/>
      <c r="K94" s="47"/>
      <c r="L94" s="47"/>
      <c r="M94" s="47"/>
      <c r="N94" s="47"/>
      <c r="O94" s="47"/>
      <c r="P94" s="47"/>
      <c r="Y94" s="83">
        <v>336.27</v>
      </c>
      <c r="Z94" s="79">
        <v>45068</v>
      </c>
      <c r="AA94" s="77">
        <v>336.27</v>
      </c>
      <c r="AB94" s="77">
        <v>1110</v>
      </c>
      <c r="AC94" s="77">
        <v>-216</v>
      </c>
      <c r="AD94" s="77">
        <v>-954</v>
      </c>
      <c r="AE94" s="123" t="str">
        <f t="shared" si="14"/>
        <v/>
      </c>
      <c r="AF94" s="124" t="str">
        <f t="shared" si="15"/>
        <v/>
      </c>
      <c r="AG94" s="125" t="str">
        <f t="shared" si="16"/>
        <v/>
      </c>
      <c r="AK94" s="82">
        <v>242.5</v>
      </c>
      <c r="AL94" s="82" t="str">
        <f t="shared" si="6"/>
        <v>242</v>
      </c>
      <c r="AM94" s="97"/>
      <c r="AN94" s="99"/>
      <c r="AO94" s="99"/>
      <c r="AP94" s="99"/>
      <c r="AQ94" s="99"/>
      <c r="AR94" s="99"/>
      <c r="AS94" s="99"/>
      <c r="AT94" s="195"/>
      <c r="AU94" s="99"/>
      <c r="AV94" s="99"/>
      <c r="AW94" s="99"/>
      <c r="AX94" s="99"/>
      <c r="AY94" s="99"/>
      <c r="AZ94" s="99"/>
    </row>
    <row r="95" spans="4:52" ht="15" hidden="1" customHeight="1">
      <c r="D95" s="47"/>
      <c r="E95" s="47"/>
      <c r="F95" s="47"/>
      <c r="G95" s="47"/>
      <c r="H95" s="47"/>
      <c r="I95" s="47"/>
      <c r="J95" s="53"/>
      <c r="K95" s="47"/>
      <c r="L95" s="47"/>
      <c r="M95" s="47"/>
      <c r="N95" s="47"/>
      <c r="O95" s="47"/>
      <c r="P95" s="47"/>
      <c r="Y95" s="83">
        <v>334.23</v>
      </c>
      <c r="Z95" s="79">
        <v>45065</v>
      </c>
      <c r="AA95" s="77">
        <v>334.23</v>
      </c>
      <c r="AB95" s="77">
        <v>4696</v>
      </c>
      <c r="AC95" s="77">
        <v>-4262</v>
      </c>
      <c r="AD95" s="77">
        <v>-636</v>
      </c>
      <c r="AE95" s="123" t="str">
        <f t="shared" si="14"/>
        <v/>
      </c>
      <c r="AF95" s="124" t="str">
        <f t="shared" si="15"/>
        <v/>
      </c>
      <c r="AG95" s="125" t="str">
        <f t="shared" si="16"/>
        <v/>
      </c>
      <c r="AK95" s="82">
        <v>240</v>
      </c>
      <c r="AL95" s="82" t="str">
        <f t="shared" si="6"/>
        <v>240</v>
      </c>
      <c r="AM95" s="97"/>
      <c r="AN95" s="99"/>
      <c r="AO95" s="99"/>
      <c r="AP95" s="99"/>
      <c r="AQ95" s="99"/>
      <c r="AR95" s="99"/>
      <c r="AS95" s="99"/>
      <c r="AT95" s="195"/>
      <c r="AU95" s="99"/>
      <c r="AV95" s="99"/>
      <c r="AW95" s="99"/>
      <c r="AX95" s="99"/>
      <c r="AY95" s="99"/>
      <c r="AZ95" s="99"/>
    </row>
    <row r="96" spans="4:52" ht="15" hidden="1" customHeight="1">
      <c r="D96" s="47"/>
      <c r="E96" s="47"/>
      <c r="F96" s="47"/>
      <c r="G96" s="47"/>
      <c r="H96" s="47"/>
      <c r="I96" s="47"/>
      <c r="J96" s="53"/>
      <c r="K96" s="47"/>
      <c r="L96" s="47"/>
      <c r="M96" s="47"/>
      <c r="N96" s="47"/>
      <c r="O96" s="47"/>
      <c r="P96" s="47"/>
      <c r="Y96" s="83">
        <v>329.84</v>
      </c>
      <c r="Z96" s="79">
        <v>45064</v>
      </c>
      <c r="AA96" s="77">
        <v>329.84</v>
      </c>
      <c r="AB96" s="77">
        <v>-1683</v>
      </c>
      <c r="AC96" s="77">
        <v>-414</v>
      </c>
      <c r="AD96" s="77">
        <v>627</v>
      </c>
      <c r="AE96" s="123" t="str">
        <f t="shared" si="14"/>
        <v/>
      </c>
      <c r="AF96" s="124" t="str">
        <f t="shared" si="15"/>
        <v/>
      </c>
      <c r="AG96" s="125" t="str">
        <f t="shared" si="16"/>
        <v/>
      </c>
      <c r="AK96" s="82">
        <v>237.5</v>
      </c>
      <c r="AL96" s="82" t="str">
        <f t="shared" ref="AL96:AL113" si="17">LEFT(AK96,3)</f>
        <v>237</v>
      </c>
      <c r="AM96" s="97"/>
      <c r="AN96" s="99"/>
      <c r="AO96" s="99"/>
      <c r="AP96" s="99"/>
      <c r="AQ96" s="99"/>
      <c r="AR96" s="99"/>
      <c r="AS96" s="99"/>
      <c r="AT96" s="195"/>
      <c r="AU96" s="99"/>
      <c r="AV96" s="99"/>
      <c r="AW96" s="99"/>
      <c r="AX96" s="99"/>
      <c r="AY96" s="99"/>
      <c r="AZ96" s="99"/>
    </row>
    <row r="97" spans="4:52" ht="15" hidden="1" customHeight="1">
      <c r="D97" s="47"/>
      <c r="E97" s="47"/>
      <c r="F97" s="47"/>
      <c r="G97" s="47"/>
      <c r="H97" s="47"/>
      <c r="I97" s="47"/>
      <c r="J97" s="53"/>
      <c r="K97" s="47"/>
      <c r="L97" s="47"/>
      <c r="M97" s="47"/>
      <c r="N97" s="47"/>
      <c r="O97" s="47"/>
      <c r="P97" s="47"/>
      <c r="Y97" s="83">
        <v>326.61</v>
      </c>
      <c r="Z97" s="79">
        <v>45063</v>
      </c>
      <c r="AA97" s="77">
        <v>326.61</v>
      </c>
      <c r="AB97" s="77">
        <v>5619</v>
      </c>
      <c r="AC97" s="77">
        <v>-2451</v>
      </c>
      <c r="AD97" s="77">
        <v>-3030</v>
      </c>
      <c r="AE97" s="123" t="str">
        <f t="shared" si="14"/>
        <v/>
      </c>
      <c r="AF97" s="124" t="str">
        <f t="shared" si="15"/>
        <v/>
      </c>
      <c r="AG97" s="125" t="str">
        <f t="shared" si="16"/>
        <v/>
      </c>
      <c r="AK97" s="82">
        <v>235</v>
      </c>
      <c r="AL97" s="82" t="str">
        <f t="shared" si="17"/>
        <v>235</v>
      </c>
      <c r="AM97" s="97"/>
      <c r="AN97" s="99"/>
      <c r="AO97" s="99"/>
      <c r="AP97" s="99"/>
      <c r="AQ97" s="99"/>
      <c r="AR97" s="99"/>
      <c r="AS97" s="99"/>
      <c r="AT97" s="195"/>
      <c r="AU97" s="99"/>
      <c r="AV97" s="99"/>
      <c r="AW97" s="99"/>
      <c r="AX97" s="99"/>
      <c r="AY97" s="99"/>
      <c r="AZ97" s="99"/>
    </row>
    <row r="98" spans="4:52" ht="15" hidden="1" customHeight="1">
      <c r="D98" s="47"/>
      <c r="E98" s="47"/>
      <c r="F98" s="47"/>
      <c r="G98" s="47"/>
      <c r="H98" s="47"/>
      <c r="I98" s="47"/>
      <c r="J98" s="53"/>
      <c r="K98" s="47"/>
      <c r="L98" s="47"/>
      <c r="M98" s="47"/>
      <c r="N98" s="47"/>
      <c r="O98" s="47"/>
      <c r="P98" s="47"/>
      <c r="Y98" s="83">
        <v>325.31</v>
      </c>
      <c r="Z98" s="79">
        <v>45062</v>
      </c>
      <c r="AA98" s="77">
        <v>325.31</v>
      </c>
      <c r="AB98" s="77">
        <v>-2466</v>
      </c>
      <c r="AC98" s="77">
        <v>1096</v>
      </c>
      <c r="AD98" s="77">
        <v>2187</v>
      </c>
      <c r="AE98" s="123" t="str">
        <f t="shared" si="14"/>
        <v/>
      </c>
      <c r="AF98" s="124" t="str">
        <f t="shared" si="15"/>
        <v/>
      </c>
      <c r="AG98" s="125" t="str">
        <f t="shared" si="16"/>
        <v/>
      </c>
      <c r="AK98" s="82">
        <v>232.5</v>
      </c>
      <c r="AL98" s="82" t="str">
        <f t="shared" si="17"/>
        <v>232</v>
      </c>
      <c r="AM98" s="97"/>
      <c r="AN98" s="99"/>
      <c r="AO98" s="99"/>
      <c r="AP98" s="99"/>
      <c r="AQ98" s="99"/>
      <c r="AR98" s="99"/>
      <c r="AS98" s="99"/>
      <c r="AT98" s="195"/>
      <c r="AU98" s="99"/>
      <c r="AV98" s="99"/>
      <c r="AW98" s="99"/>
      <c r="AX98" s="99"/>
      <c r="AY98" s="99"/>
      <c r="AZ98" s="99"/>
    </row>
    <row r="99" spans="4:52" ht="15" hidden="1" customHeight="1">
      <c r="D99" s="47"/>
      <c r="E99" s="47"/>
      <c r="F99" s="47"/>
      <c r="G99" s="47"/>
      <c r="H99" s="47"/>
      <c r="I99" s="47"/>
      <c r="J99" s="53"/>
      <c r="K99" s="47"/>
      <c r="L99" s="47"/>
      <c r="M99" s="47"/>
      <c r="N99" s="47"/>
      <c r="O99" s="47"/>
      <c r="P99" s="47"/>
      <c r="Y99" s="83">
        <v>324.45999999999998</v>
      </c>
      <c r="Z99" s="79">
        <v>45061</v>
      </c>
      <c r="AA99" s="77">
        <v>324.45999999999998</v>
      </c>
      <c r="AB99" s="77">
        <v>6902</v>
      </c>
      <c r="AC99" s="77">
        <v>-4798</v>
      </c>
      <c r="AD99" s="77">
        <v>-1162</v>
      </c>
      <c r="AE99" s="123" t="str">
        <f t="shared" si="14"/>
        <v/>
      </c>
      <c r="AF99" s="124" t="str">
        <f t="shared" si="15"/>
        <v/>
      </c>
      <c r="AG99" s="125" t="str">
        <f t="shared" si="16"/>
        <v/>
      </c>
      <c r="AK99" s="82">
        <v>230</v>
      </c>
      <c r="AL99" s="82" t="str">
        <f t="shared" si="17"/>
        <v>230</v>
      </c>
      <c r="AM99" s="97"/>
      <c r="AN99" s="99"/>
      <c r="AO99" s="99"/>
      <c r="AP99" s="99"/>
      <c r="AQ99" s="99"/>
      <c r="AR99" s="99"/>
      <c r="AS99" s="99"/>
      <c r="AT99" s="195"/>
      <c r="AU99" s="99"/>
      <c r="AV99" s="99"/>
      <c r="AW99" s="99"/>
      <c r="AX99" s="99"/>
      <c r="AY99" s="99"/>
      <c r="AZ99" s="99"/>
    </row>
    <row r="100" spans="4:52" ht="15" hidden="1" customHeight="1">
      <c r="D100" s="47"/>
      <c r="E100" s="47"/>
      <c r="F100" s="47"/>
      <c r="G100" s="47"/>
      <c r="H100" s="47"/>
      <c r="I100" s="47"/>
      <c r="J100" s="53"/>
      <c r="K100" s="47"/>
      <c r="L100" s="47"/>
      <c r="M100" s="47"/>
      <c r="N100" s="47"/>
      <c r="O100" s="47"/>
      <c r="P100" s="47"/>
      <c r="Y100" s="83">
        <v>323.61</v>
      </c>
      <c r="Z100" s="79">
        <v>45058</v>
      </c>
      <c r="AA100" s="77">
        <v>323.61</v>
      </c>
      <c r="AB100" s="77">
        <v>-890</v>
      </c>
      <c r="AC100" s="77">
        <v>-1197</v>
      </c>
      <c r="AD100" s="77">
        <v>2147</v>
      </c>
      <c r="AE100" s="123" t="str">
        <f t="shared" si="14"/>
        <v/>
      </c>
      <c r="AF100" s="124" t="str">
        <f t="shared" si="15"/>
        <v/>
      </c>
      <c r="AG100" s="125" t="str">
        <f t="shared" si="16"/>
        <v/>
      </c>
      <c r="AK100" s="82">
        <v>227.5</v>
      </c>
      <c r="AL100" s="82" t="str">
        <f t="shared" si="17"/>
        <v>227</v>
      </c>
      <c r="AM100" s="97"/>
      <c r="AN100" s="99"/>
      <c r="AO100" s="99"/>
      <c r="AP100" s="99"/>
      <c r="AQ100" s="99"/>
      <c r="AR100" s="99"/>
      <c r="AS100" s="99"/>
      <c r="AT100" s="195"/>
      <c r="AU100" s="99"/>
      <c r="AV100" s="99"/>
      <c r="AW100" s="99"/>
      <c r="AX100" s="99"/>
      <c r="AY100" s="99"/>
      <c r="AZ100" s="99"/>
    </row>
    <row r="101" spans="4:52" ht="15" hidden="1" customHeight="1">
      <c r="D101" s="47"/>
      <c r="E101" s="47"/>
      <c r="F101" s="47"/>
      <c r="G101" s="47"/>
      <c r="H101" s="47"/>
      <c r="I101" s="47"/>
      <c r="J101" s="53"/>
      <c r="K101" s="47"/>
      <c r="L101" s="47"/>
      <c r="M101" s="47"/>
      <c r="N101" s="47"/>
      <c r="O101" s="47"/>
      <c r="P101" s="47"/>
      <c r="Y101" s="83">
        <v>325.27999999999997</v>
      </c>
      <c r="Z101" s="79">
        <v>45057</v>
      </c>
      <c r="AA101" s="77">
        <v>325.27999999999997</v>
      </c>
      <c r="AB101" s="77">
        <v>-1891</v>
      </c>
      <c r="AC101" s="77">
        <v>2857</v>
      </c>
      <c r="AD101" s="77">
        <v>-1217</v>
      </c>
      <c r="AE101" s="123" t="str">
        <f t="shared" si="14"/>
        <v/>
      </c>
      <c r="AF101" s="124" t="str">
        <f t="shared" si="15"/>
        <v/>
      </c>
      <c r="AG101" s="125" t="str">
        <f t="shared" si="16"/>
        <v/>
      </c>
      <c r="AK101" s="82">
        <v>225</v>
      </c>
      <c r="AL101" s="82" t="str">
        <f t="shared" si="17"/>
        <v>225</v>
      </c>
      <c r="AM101" s="97"/>
      <c r="AN101" s="99"/>
      <c r="AO101" s="99"/>
      <c r="AP101" s="99"/>
      <c r="AQ101" s="99"/>
      <c r="AR101" s="99"/>
      <c r="AS101" s="99"/>
      <c r="AT101" s="195"/>
      <c r="AU101" s="99"/>
      <c r="AV101" s="99"/>
      <c r="AW101" s="99"/>
      <c r="AX101" s="99"/>
      <c r="AY101" s="99"/>
      <c r="AZ101" s="99"/>
    </row>
    <row r="102" spans="4:52" ht="15" hidden="1" customHeight="1">
      <c r="D102" s="47"/>
      <c r="E102" s="47"/>
      <c r="F102" s="47"/>
      <c r="G102" s="47"/>
      <c r="H102" s="47"/>
      <c r="I102" s="47"/>
      <c r="J102" s="53"/>
      <c r="K102" s="47"/>
      <c r="L102" s="47"/>
      <c r="M102" s="47"/>
      <c r="N102" s="47"/>
      <c r="O102" s="47"/>
      <c r="P102" s="47"/>
      <c r="Y102" s="83">
        <v>326.04000000000002</v>
      </c>
      <c r="Z102" s="79">
        <v>45056</v>
      </c>
      <c r="AA102" s="77">
        <v>326.04000000000002</v>
      </c>
      <c r="AB102" s="77">
        <v>-3840</v>
      </c>
      <c r="AC102" s="77">
        <v>3806</v>
      </c>
      <c r="AD102" s="77">
        <v>-375</v>
      </c>
      <c r="AE102" s="123" t="str">
        <f t="shared" si="14"/>
        <v/>
      </c>
      <c r="AF102" s="124" t="str">
        <f t="shared" si="15"/>
        <v/>
      </c>
      <c r="AG102" s="125" t="str">
        <f t="shared" si="16"/>
        <v/>
      </c>
      <c r="AK102" s="82">
        <v>222.5</v>
      </c>
      <c r="AL102" s="82" t="str">
        <f t="shared" si="17"/>
        <v>222</v>
      </c>
      <c r="AM102" s="97"/>
      <c r="AN102" s="99"/>
      <c r="AO102" s="99"/>
      <c r="AP102" s="99"/>
      <c r="AQ102" s="99"/>
      <c r="AR102" s="99"/>
      <c r="AS102" s="99"/>
      <c r="AT102" s="195"/>
      <c r="AU102" s="99"/>
      <c r="AV102" s="99"/>
      <c r="AW102" s="99"/>
      <c r="AX102" s="99"/>
      <c r="AY102" s="99"/>
      <c r="AZ102" s="99"/>
    </row>
    <row r="103" spans="4:52" ht="15" hidden="1" customHeight="1">
      <c r="D103" s="47"/>
      <c r="E103" s="47"/>
      <c r="F103" s="47"/>
      <c r="G103" s="47"/>
      <c r="H103" s="47"/>
      <c r="I103" s="47"/>
      <c r="J103" s="53"/>
      <c r="K103" s="47"/>
      <c r="L103" s="47"/>
      <c r="M103" s="47"/>
      <c r="N103" s="47"/>
      <c r="O103" s="47"/>
      <c r="P103" s="47"/>
      <c r="Y103" s="83">
        <v>328.22</v>
      </c>
      <c r="Z103" s="79">
        <v>45055</v>
      </c>
      <c r="AA103" s="77">
        <v>328.22</v>
      </c>
      <c r="AB103" s="77">
        <v>-6373</v>
      </c>
      <c r="AC103" s="77">
        <v>458</v>
      </c>
      <c r="AD103" s="77">
        <v>5988</v>
      </c>
      <c r="AE103" s="127" t="str">
        <f t="shared" si="14"/>
        <v/>
      </c>
      <c r="AF103" s="126" t="str">
        <f t="shared" si="15"/>
        <v/>
      </c>
      <c r="AG103" s="128" t="str">
        <f t="shared" si="16"/>
        <v/>
      </c>
      <c r="AK103" s="82">
        <v>220</v>
      </c>
      <c r="AL103" s="82" t="str">
        <f t="shared" si="17"/>
        <v>220</v>
      </c>
      <c r="AM103" s="97"/>
      <c r="AN103" s="99"/>
      <c r="AO103" s="99"/>
      <c r="AP103" s="99"/>
      <c r="AQ103" s="99"/>
      <c r="AR103" s="99"/>
      <c r="AS103" s="99"/>
      <c r="AT103" s="195"/>
      <c r="AU103" s="99"/>
      <c r="AV103" s="99"/>
      <c r="AW103" s="99"/>
      <c r="AX103" s="99"/>
      <c r="AY103" s="99"/>
      <c r="AZ103" s="99"/>
    </row>
    <row r="104" spans="4:52" ht="15" hidden="1" customHeight="1" thickBot="1">
      <c r="D104" s="47"/>
      <c r="E104" s="47"/>
      <c r="F104" s="47"/>
      <c r="G104" s="47"/>
      <c r="H104" s="47"/>
      <c r="I104" s="47"/>
      <c r="J104" s="53"/>
      <c r="K104" s="47"/>
      <c r="L104" s="47"/>
      <c r="M104" s="47"/>
      <c r="N104" s="47"/>
      <c r="O104" s="47"/>
      <c r="P104" s="47"/>
      <c r="AI104" s="83"/>
      <c r="AJ104" s="83"/>
      <c r="AK104" s="82">
        <v>217.5</v>
      </c>
      <c r="AL104" s="82" t="str">
        <f t="shared" si="17"/>
        <v>217</v>
      </c>
      <c r="AM104" s="97"/>
      <c r="AN104" s="99"/>
      <c r="AO104" s="99"/>
      <c r="AP104" s="99"/>
      <c r="AQ104" s="99"/>
      <c r="AR104" s="99"/>
      <c r="AS104" s="99"/>
      <c r="AT104" s="195"/>
      <c r="AU104" s="99"/>
      <c r="AV104" s="99"/>
      <c r="AW104" s="99"/>
      <c r="AX104" s="99"/>
      <c r="AY104" s="99"/>
      <c r="AZ104" s="99"/>
    </row>
    <row r="105" spans="4:52" ht="15" hidden="1" customHeight="1" thickBot="1">
      <c r="D105" s="47"/>
      <c r="E105" s="47"/>
      <c r="F105" s="47"/>
      <c r="G105" s="47"/>
      <c r="H105" s="47"/>
      <c r="I105" s="47"/>
      <c r="J105" s="53"/>
      <c r="K105" s="47"/>
      <c r="L105" s="47"/>
      <c r="M105" s="47"/>
      <c r="N105" s="47"/>
      <c r="O105" s="47"/>
      <c r="P105" s="47"/>
      <c r="Y105" s="77" t="s">
        <v>308</v>
      </c>
      <c r="AA105" s="129" t="s">
        <v>304</v>
      </c>
      <c r="AB105" s="130" t="s">
        <v>305</v>
      </c>
      <c r="AC105" s="131" t="s">
        <v>306</v>
      </c>
      <c r="AI105" s="83"/>
      <c r="AJ105" s="83"/>
      <c r="AK105" s="82">
        <v>215</v>
      </c>
      <c r="AL105" s="82" t="str">
        <f t="shared" si="17"/>
        <v>215</v>
      </c>
      <c r="AM105" s="97"/>
      <c r="AN105" s="99"/>
      <c r="AO105" s="99"/>
      <c r="AP105" s="99"/>
      <c r="AQ105" s="99"/>
      <c r="AR105" s="99"/>
      <c r="AS105" s="99"/>
      <c r="AT105" s="195"/>
      <c r="AU105" s="99"/>
      <c r="AV105" s="99"/>
      <c r="AW105" s="99"/>
      <c r="AX105" s="99"/>
      <c r="AY105" s="99"/>
      <c r="AZ105" s="99"/>
    </row>
    <row r="106" spans="4:52" ht="15" hidden="1" customHeight="1">
      <c r="D106" s="47"/>
      <c r="E106" s="47"/>
      <c r="F106" s="47"/>
      <c r="G106" s="47"/>
      <c r="H106" s="47"/>
      <c r="I106" s="47"/>
      <c r="J106" s="53"/>
      <c r="K106" s="47"/>
      <c r="L106" s="47"/>
      <c r="M106" s="47"/>
      <c r="N106" s="47"/>
      <c r="O106" s="47"/>
      <c r="P106" s="47"/>
      <c r="Y106" s="77">
        <f>IF(AA34="",Y34,NA())</f>
        <v>330.23</v>
      </c>
      <c r="Z106" s="79">
        <f>IF(AA34="",Z34,NA())</f>
        <v>45155</v>
      </c>
      <c r="AA106" s="132" t="e">
        <f>IF(SUM(AE34:$AE$103)=0,NA(),SUM(AE34:$AE$103))</f>
        <v>#N/A</v>
      </c>
      <c r="AB106" s="93" t="e">
        <f>IF(SUM(AF34:$AF$103)=0,NA(),SUM(AF34:$AF$103))</f>
        <v>#N/A</v>
      </c>
      <c r="AC106" s="96" t="e">
        <f>IF(SUM(AG34:$AG$103)=0,NA(),SUM(AG34:$AG$103))</f>
        <v>#N/A</v>
      </c>
      <c r="AI106" s="83"/>
      <c r="AJ106" s="83"/>
      <c r="AK106" s="82">
        <v>212.5</v>
      </c>
      <c r="AL106" s="82" t="str">
        <f t="shared" si="17"/>
        <v>212</v>
      </c>
      <c r="AM106" s="97"/>
      <c r="AN106" s="99"/>
      <c r="AO106" s="99"/>
      <c r="AP106" s="99"/>
      <c r="AQ106" s="99"/>
      <c r="AR106" s="99"/>
      <c r="AS106" s="99"/>
      <c r="AT106" s="195"/>
      <c r="AU106" s="99"/>
      <c r="AV106" s="99"/>
      <c r="AW106" s="99"/>
      <c r="AX106" s="99"/>
      <c r="AY106" s="99"/>
      <c r="AZ106" s="99"/>
    </row>
    <row r="107" spans="4:52" ht="15" hidden="1" customHeight="1">
      <c r="D107" s="47"/>
      <c r="E107" s="47"/>
      <c r="F107" s="47"/>
      <c r="G107" s="47"/>
      <c r="H107" s="47"/>
      <c r="I107" s="47"/>
      <c r="J107" s="53"/>
      <c r="K107" s="47"/>
      <c r="L107" s="47"/>
      <c r="M107" s="47"/>
      <c r="N107" s="47"/>
      <c r="O107" s="47"/>
      <c r="P107" s="47"/>
      <c r="Y107" s="83">
        <f t="shared" ref="Y107:Y170" si="18">IF(AA35="",Y35,NA())</f>
        <v>331.28</v>
      </c>
      <c r="Z107" s="79">
        <f t="shared" ref="Z107:Z170" si="19">IF(AA35="",Z35,NA())</f>
        <v>45154</v>
      </c>
      <c r="AA107" s="105" t="e">
        <f>IF(SUM(AE35:$AE$103)=0,NA(),SUM(AE35:$AE$103))</f>
        <v>#N/A</v>
      </c>
      <c r="AB107" s="124" t="e">
        <f>IF(SUM(AF35:$AF$103)=0,NA(),SUM(AF35:$AF$103))</f>
        <v>#N/A</v>
      </c>
      <c r="AC107" s="133" t="e">
        <f>IF(SUM(AG35:$AG$103)=0,NA(),SUM(AG35:$AG$103))</f>
        <v>#N/A</v>
      </c>
      <c r="AI107" s="83"/>
      <c r="AJ107" s="83"/>
      <c r="AK107" s="82">
        <v>210</v>
      </c>
      <c r="AL107" s="82" t="str">
        <f t="shared" si="17"/>
        <v>210</v>
      </c>
      <c r="AM107" s="97"/>
      <c r="AN107" s="99"/>
      <c r="AO107" s="99"/>
      <c r="AP107" s="99"/>
      <c r="AQ107" s="99"/>
      <c r="AR107" s="99"/>
      <c r="AS107" s="99"/>
      <c r="AT107" s="195"/>
      <c r="AU107" s="99"/>
      <c r="AV107" s="99"/>
      <c r="AW107" s="99"/>
      <c r="AX107" s="99"/>
      <c r="AY107" s="99"/>
      <c r="AZ107" s="99"/>
    </row>
    <row r="108" spans="4:52" ht="15" hidden="1" customHeight="1">
      <c r="D108" s="47"/>
      <c r="E108" s="47"/>
      <c r="F108" s="47"/>
      <c r="G108" s="47"/>
      <c r="H108" s="47"/>
      <c r="I108" s="47"/>
      <c r="J108" s="53"/>
      <c r="K108" s="47"/>
      <c r="L108" s="47"/>
      <c r="M108" s="47"/>
      <c r="N108" s="47"/>
      <c r="O108" s="47"/>
      <c r="P108" s="47"/>
      <c r="Y108" s="83">
        <f t="shared" si="18"/>
        <v>336.33</v>
      </c>
      <c r="Z108" s="79">
        <f t="shared" si="19"/>
        <v>45152</v>
      </c>
      <c r="AA108" s="105" t="e">
        <f>IF(SUM(AE36:$AE$103)=0,NA(),SUM(AE36:$AE$103))</f>
        <v>#N/A</v>
      </c>
      <c r="AB108" s="124" t="e">
        <f>IF(SUM(AF36:$AF$103)=0,NA(),SUM(AF36:$AF$103))</f>
        <v>#N/A</v>
      </c>
      <c r="AC108" s="133" t="e">
        <f>IF(SUM(AG36:$AG$103)=0,NA(),SUM(AG36:$AG$103))</f>
        <v>#N/A</v>
      </c>
      <c r="AI108" s="83"/>
      <c r="AJ108" s="83"/>
      <c r="AK108" s="82">
        <v>207.5</v>
      </c>
      <c r="AL108" s="82" t="str">
        <f t="shared" si="17"/>
        <v>207</v>
      </c>
      <c r="AM108" s="97"/>
      <c r="AN108" s="99"/>
      <c r="AO108" s="99"/>
      <c r="AP108" s="99"/>
      <c r="AQ108" s="99"/>
      <c r="AR108" s="99"/>
      <c r="AS108" s="99"/>
      <c r="AT108" s="195"/>
      <c r="AU108" s="99"/>
      <c r="AV108" s="99"/>
      <c r="AW108" s="99"/>
      <c r="AX108" s="99"/>
      <c r="AY108" s="99"/>
      <c r="AZ108" s="99"/>
    </row>
    <row r="109" spans="4:52" ht="15" hidden="1" customHeight="1">
      <c r="D109" s="47"/>
      <c r="E109" s="47"/>
      <c r="F109" s="47"/>
      <c r="G109" s="47"/>
      <c r="H109" s="47"/>
      <c r="I109" s="47"/>
      <c r="J109" s="53"/>
      <c r="K109" s="47"/>
      <c r="L109" s="47"/>
      <c r="M109" s="47"/>
      <c r="N109" s="47"/>
      <c r="O109" s="47"/>
      <c r="P109" s="47"/>
      <c r="Y109" s="83">
        <f t="shared" si="18"/>
        <v>338.98</v>
      </c>
      <c r="Z109" s="79">
        <f t="shared" si="19"/>
        <v>45149</v>
      </c>
      <c r="AA109" s="105" t="e">
        <f>IF(SUM(AE37:$AE$103)=0,NA(),SUM(AE37:$AE$103))</f>
        <v>#N/A</v>
      </c>
      <c r="AB109" s="124" t="e">
        <f>IF(SUM(AF37:$AF$103)=0,NA(),SUM(AF37:$AF$103))</f>
        <v>#N/A</v>
      </c>
      <c r="AC109" s="133" t="e">
        <f>IF(SUM(AG37:$AG$103)=0,NA(),SUM(AG37:$AG$103))</f>
        <v>#N/A</v>
      </c>
      <c r="AI109" s="83"/>
      <c r="AJ109" s="83"/>
      <c r="AK109" s="82">
        <v>205</v>
      </c>
      <c r="AL109" s="82" t="str">
        <f t="shared" si="17"/>
        <v>205</v>
      </c>
      <c r="AM109" s="97"/>
      <c r="AN109" s="99"/>
      <c r="AO109" s="99"/>
      <c r="AP109" s="99"/>
      <c r="AQ109" s="99"/>
      <c r="AR109" s="99"/>
      <c r="AS109" s="99"/>
      <c r="AT109" s="195"/>
      <c r="AU109" s="99"/>
      <c r="AV109" s="99"/>
      <c r="AW109" s="99"/>
      <c r="AX109" s="99"/>
      <c r="AY109" s="99"/>
      <c r="AZ109" s="99"/>
    </row>
    <row r="110" spans="4:52" ht="15" hidden="1" customHeight="1">
      <c r="D110" s="47"/>
      <c r="E110" s="47"/>
      <c r="F110" s="47"/>
      <c r="G110" s="47"/>
      <c r="H110" s="47"/>
      <c r="I110" s="47"/>
      <c r="J110" s="53"/>
      <c r="K110" s="47"/>
      <c r="L110" s="47"/>
      <c r="M110" s="47"/>
      <c r="N110" s="47"/>
      <c r="O110" s="47"/>
      <c r="P110" s="47"/>
      <c r="Y110" s="83">
        <f t="shared" si="18"/>
        <v>340.46</v>
      </c>
      <c r="Z110" s="79">
        <f t="shared" si="19"/>
        <v>45148</v>
      </c>
      <c r="AA110" s="105" t="e">
        <f>IF(SUM(AE38:$AE$103)=0,NA(),SUM(AE38:$AE$103))</f>
        <v>#N/A</v>
      </c>
      <c r="AB110" s="124" t="e">
        <f>IF(SUM(AF38:$AF$103)=0,NA(),SUM(AF38:$AF$103))</f>
        <v>#N/A</v>
      </c>
      <c r="AC110" s="133" t="e">
        <f>IF(SUM(AG38:$AG$103)=0,NA(),SUM(AG38:$AG$103))</f>
        <v>#N/A</v>
      </c>
      <c r="AI110" s="83"/>
      <c r="AJ110" s="83"/>
      <c r="AK110" s="82">
        <v>202.5</v>
      </c>
      <c r="AL110" s="82" t="str">
        <f t="shared" si="17"/>
        <v>202</v>
      </c>
      <c r="AM110" s="97"/>
      <c r="AN110" s="99"/>
      <c r="AO110" s="99"/>
      <c r="AP110" s="99"/>
      <c r="AQ110" s="99"/>
      <c r="AR110" s="99"/>
      <c r="AS110" s="99"/>
      <c r="AT110" s="195"/>
      <c r="AU110" s="99"/>
      <c r="AV110" s="99"/>
      <c r="AW110" s="99"/>
      <c r="AX110" s="99"/>
      <c r="AY110" s="99"/>
      <c r="AZ110" s="99"/>
    </row>
    <row r="111" spans="4:52" ht="15" hidden="1" customHeight="1">
      <c r="Y111" s="83">
        <f t="shared" si="18"/>
        <v>341.61</v>
      </c>
      <c r="Z111" s="79">
        <f t="shared" si="19"/>
        <v>45147</v>
      </c>
      <c r="AA111" s="105" t="e">
        <f>IF(SUM(AE39:$AE$103)=0,NA(),SUM(AE39:$AE$103))</f>
        <v>#N/A</v>
      </c>
      <c r="AB111" s="124" t="e">
        <f>IF(SUM(AF39:$AF$103)=0,NA(),SUM(AF39:$AF$103))</f>
        <v>#N/A</v>
      </c>
      <c r="AC111" s="133" t="e">
        <f>IF(SUM(AG39:$AG$103)=0,NA(),SUM(AG39:$AG$103))</f>
        <v>#N/A</v>
      </c>
      <c r="AI111" s="83"/>
      <c r="AJ111" s="83"/>
      <c r="AK111" s="82">
        <v>200</v>
      </c>
      <c r="AL111" s="82" t="str">
        <f t="shared" si="17"/>
        <v>200</v>
      </c>
      <c r="AM111" s="97"/>
      <c r="AN111" s="99"/>
      <c r="AO111" s="99"/>
      <c r="AP111" s="99"/>
      <c r="AQ111" s="99"/>
      <c r="AR111" s="99"/>
      <c r="AS111" s="99"/>
      <c r="AT111" s="195"/>
      <c r="AU111" s="99"/>
      <c r="AV111" s="99"/>
      <c r="AW111" s="99"/>
      <c r="AX111" s="99"/>
      <c r="AY111" s="99"/>
      <c r="AZ111" s="99"/>
    </row>
    <row r="112" spans="4:52" ht="15" hidden="1" customHeight="1">
      <c r="Y112" s="83">
        <f t="shared" si="18"/>
        <v>337.95</v>
      </c>
      <c r="Z112" s="79">
        <f t="shared" si="19"/>
        <v>45146</v>
      </c>
      <c r="AA112" s="105" t="e">
        <f>IF(SUM(AE40:$AE$103)=0,NA(),SUM(AE40:$AE$103))</f>
        <v>#N/A</v>
      </c>
      <c r="AB112" s="124" t="e">
        <f>IF(SUM(AF40:$AF$103)=0,NA(),SUM(AF40:$AF$103))</f>
        <v>#N/A</v>
      </c>
      <c r="AC112" s="133" t="e">
        <f>IF(SUM(AG40:$AG$103)=0,NA(),SUM(AG40:$AG$103))</f>
        <v>#N/A</v>
      </c>
      <c r="AI112" s="83"/>
      <c r="AJ112" s="83"/>
      <c r="AK112" s="82">
        <v>197.5</v>
      </c>
      <c r="AL112" s="82" t="str">
        <f t="shared" si="17"/>
        <v>197</v>
      </c>
      <c r="AM112" s="97"/>
      <c r="AN112" s="99"/>
      <c r="AO112" s="99"/>
      <c r="AP112" s="99"/>
      <c r="AQ112" s="99"/>
      <c r="AR112" s="99"/>
      <c r="AS112" s="99"/>
      <c r="AT112" s="195"/>
      <c r="AU112" s="99"/>
      <c r="AV112" s="99"/>
      <c r="AW112" s="99"/>
      <c r="AX112" s="99"/>
      <c r="AY112" s="99"/>
      <c r="AZ112" s="99"/>
    </row>
    <row r="113" spans="25:406" ht="15" hidden="1" customHeight="1">
      <c r="Y113" s="83">
        <f t="shared" si="18"/>
        <v>339.68</v>
      </c>
      <c r="Z113" s="79">
        <f t="shared" si="19"/>
        <v>45145</v>
      </c>
      <c r="AA113" s="105" t="e">
        <f>IF(SUM(AE41:$AE$103)=0,NA(),SUM(AE41:$AE$103))</f>
        <v>#N/A</v>
      </c>
      <c r="AB113" s="124" t="e">
        <f>IF(SUM(AF41:$AF$103)=0,NA(),SUM(AF41:$AF$103))</f>
        <v>#N/A</v>
      </c>
      <c r="AC113" s="133" t="e">
        <f>IF(SUM(AG41:$AG$103)=0,NA(),SUM(AG41:$AG$103))</f>
        <v>#N/A</v>
      </c>
      <c r="AI113" s="83"/>
      <c r="AJ113" s="83"/>
      <c r="AK113" s="82">
        <v>195</v>
      </c>
      <c r="AL113" s="82" t="str">
        <f t="shared" si="17"/>
        <v>195</v>
      </c>
      <c r="AM113" s="97"/>
      <c r="AN113" s="99"/>
      <c r="AO113" s="99"/>
      <c r="AP113" s="99"/>
      <c r="AQ113" s="99"/>
      <c r="AR113" s="99"/>
      <c r="AS113" s="99"/>
      <c r="AT113" s="195"/>
      <c r="AU113" s="99"/>
      <c r="AV113" s="99"/>
      <c r="AW113" s="99"/>
      <c r="AX113" s="99"/>
      <c r="AY113" s="99"/>
      <c r="AZ113" s="99"/>
    </row>
    <row r="114" spans="25:406" ht="15" hidden="1" customHeight="1">
      <c r="Y114" s="83">
        <f t="shared" si="18"/>
        <v>341.25</v>
      </c>
      <c r="Z114" s="79">
        <f t="shared" si="19"/>
        <v>45142</v>
      </c>
      <c r="AA114" s="105" t="e">
        <f>IF(SUM(AE42:$AE$103)=0,NA(),SUM(AE42:$AE$103))</f>
        <v>#N/A</v>
      </c>
      <c r="AB114" s="124" t="e">
        <f>IF(SUM(AF42:$AF$103)=0,NA(),SUM(AF42:$AF$103))</f>
        <v>#N/A</v>
      </c>
      <c r="AC114" s="133" t="e">
        <f>IF(SUM(AG42:$AG$103)=0,NA(),SUM(AG42:$AG$103))</f>
        <v>#N/A</v>
      </c>
      <c r="AF114" s="134"/>
      <c r="AG114" s="134"/>
    </row>
    <row r="115" spans="25:406" ht="15" hidden="1" customHeight="1">
      <c r="Y115" s="83">
        <f t="shared" si="18"/>
        <v>341.54</v>
      </c>
      <c r="Z115" s="79">
        <f t="shared" si="19"/>
        <v>45141</v>
      </c>
      <c r="AA115" s="105" t="e">
        <f>IF(SUM(AE43:$AE$103)=0,NA(),SUM(AE43:$AE$103))</f>
        <v>#N/A</v>
      </c>
      <c r="AB115" s="124" t="e">
        <f>IF(SUM(AF43:$AF$103)=0,NA(),SUM(AF43:$AF$103))</f>
        <v>#N/A</v>
      </c>
      <c r="AC115" s="133" t="e">
        <f>IF(SUM(AG43:$AG$103)=0,NA(),SUM(AG43:$AG$103))</f>
        <v>#N/A</v>
      </c>
      <c r="AF115" s="83"/>
    </row>
    <row r="116" spans="25:406" ht="15" hidden="1" customHeight="1">
      <c r="Y116" s="83">
        <f t="shared" si="18"/>
        <v>343.8</v>
      </c>
      <c r="Z116" s="79">
        <f t="shared" si="19"/>
        <v>45140</v>
      </c>
      <c r="AA116" s="105" t="e">
        <f>IF(SUM(AE44:$AE$103)=0,NA(),SUM(AE44:$AE$103))</f>
        <v>#N/A</v>
      </c>
      <c r="AB116" s="124" t="e">
        <f>IF(SUM(AF44:$AF$103)=0,NA(),SUM(AF44:$AF$103))</f>
        <v>#N/A</v>
      </c>
      <c r="AC116" s="133" t="e">
        <f>IF(SUM(AG44:$AG$103)=0,NA(),SUM(AG44:$AG$103))</f>
        <v>#N/A</v>
      </c>
      <c r="AF116" s="134"/>
      <c r="AG116" s="134"/>
      <c r="AK116" s="82" t="str">
        <f>YEAR($V$6)&amp;"-01-01"</f>
        <v>2023-01-01</v>
      </c>
    </row>
    <row r="117" spans="25:406" ht="15" hidden="1" customHeight="1">
      <c r="Y117" s="83">
        <f t="shared" si="18"/>
        <v>351</v>
      </c>
      <c r="Z117" s="79">
        <f t="shared" si="19"/>
        <v>45139</v>
      </c>
      <c r="AA117" s="105" t="e">
        <f>IF(SUM(AE45:$AE$103)=0,NA(),SUM(AE45:$AE$103))</f>
        <v>#N/A</v>
      </c>
      <c r="AB117" s="124" t="e">
        <f>IF(SUM(AF45:$AF$103)=0,NA(),SUM(AF45:$AF$103))</f>
        <v>#N/A</v>
      </c>
      <c r="AC117" s="133" t="e">
        <f>IF(SUM(AG45:$AG$103)=0,NA(),SUM(AG45:$AG$103))</f>
        <v>#N/A</v>
      </c>
      <c r="AF117" s="134"/>
      <c r="AG117" s="134"/>
      <c r="AH117" s="134"/>
      <c r="AK117" s="82" t="str">
        <f>_xll.IMDH("IDX","211",AL117:AL118,AK116,V6,365,"Per=일,sort=A,real=true,Bizday=0,Quote=종가,Pos=20,Orient=H,DtFmt=1,TmFmt=1,unit=true")</f>
        <v>조회[211]</v>
      </c>
      <c r="AL117" s="82" t="s">
        <v>316</v>
      </c>
      <c r="AM117" s="79">
        <v>44928</v>
      </c>
      <c r="AN117" s="79">
        <v>44929</v>
      </c>
      <c r="AO117" s="79">
        <v>44930</v>
      </c>
      <c r="AP117" s="79">
        <v>44931</v>
      </c>
      <c r="AQ117" s="79">
        <v>44932</v>
      </c>
      <c r="AR117" s="79">
        <v>44935</v>
      </c>
      <c r="AS117" s="79">
        <v>44936</v>
      </c>
      <c r="AT117" s="79">
        <v>44937</v>
      </c>
      <c r="AU117" s="79">
        <v>44938</v>
      </c>
      <c r="AV117" s="79">
        <v>44939</v>
      </c>
      <c r="AW117" s="79">
        <v>44942</v>
      </c>
      <c r="AX117" s="79">
        <v>44943</v>
      </c>
      <c r="AY117" s="79">
        <v>44944</v>
      </c>
      <c r="AZ117" s="79">
        <v>44945</v>
      </c>
      <c r="BA117" s="79">
        <v>44946</v>
      </c>
      <c r="BB117" s="79">
        <v>44951</v>
      </c>
      <c r="BC117" s="79">
        <v>44952</v>
      </c>
      <c r="BD117" s="79">
        <v>44953</v>
      </c>
      <c r="BE117" s="79">
        <v>44956</v>
      </c>
      <c r="BF117" s="79">
        <v>44957</v>
      </c>
      <c r="BG117" s="79">
        <v>44958</v>
      </c>
      <c r="BH117" s="79">
        <v>44959</v>
      </c>
      <c r="BI117" s="79">
        <v>44960</v>
      </c>
      <c r="BJ117" s="79">
        <v>44963</v>
      </c>
      <c r="BK117" s="79">
        <v>44964</v>
      </c>
      <c r="BL117" s="79">
        <v>44965</v>
      </c>
      <c r="BM117" s="79">
        <v>44966</v>
      </c>
      <c r="BN117" s="79">
        <v>44967</v>
      </c>
      <c r="BO117" s="79">
        <v>44970</v>
      </c>
      <c r="BP117" s="79">
        <v>44971</v>
      </c>
      <c r="BQ117" s="79">
        <v>44972</v>
      </c>
      <c r="BR117" s="79">
        <v>44973</v>
      </c>
      <c r="BS117" s="79">
        <v>44974</v>
      </c>
      <c r="BT117" s="79">
        <v>44977</v>
      </c>
      <c r="BU117" s="79">
        <v>44978</v>
      </c>
      <c r="BV117" s="79">
        <v>44979</v>
      </c>
      <c r="BW117" s="79">
        <v>44980</v>
      </c>
      <c r="BX117" s="79">
        <v>44981</v>
      </c>
      <c r="BY117" s="79">
        <v>44984</v>
      </c>
      <c r="BZ117" s="79">
        <v>44985</v>
      </c>
      <c r="CA117" s="79">
        <v>44987</v>
      </c>
      <c r="CB117" s="79">
        <v>44988</v>
      </c>
      <c r="CC117" s="79">
        <v>44991</v>
      </c>
      <c r="CD117" s="79">
        <v>44992</v>
      </c>
      <c r="CE117" s="79">
        <v>44993</v>
      </c>
      <c r="CF117" s="79">
        <v>44994</v>
      </c>
      <c r="CG117" s="79">
        <v>44995</v>
      </c>
      <c r="CH117" s="79">
        <v>44998</v>
      </c>
      <c r="CI117" s="79">
        <v>44999</v>
      </c>
      <c r="CJ117" s="79">
        <v>45000</v>
      </c>
      <c r="CK117" s="79">
        <v>45001</v>
      </c>
      <c r="CL117" s="79">
        <v>45002</v>
      </c>
      <c r="CM117" s="79">
        <v>45005</v>
      </c>
      <c r="CN117" s="79">
        <v>45006</v>
      </c>
      <c r="CO117" s="79">
        <v>45007</v>
      </c>
      <c r="CP117" s="79">
        <v>45008</v>
      </c>
      <c r="CQ117" s="79">
        <v>45009</v>
      </c>
      <c r="CR117" s="79">
        <v>45012</v>
      </c>
      <c r="CS117" s="79">
        <v>45013</v>
      </c>
      <c r="CT117" s="79">
        <v>45014</v>
      </c>
      <c r="CU117" s="79">
        <v>45015</v>
      </c>
      <c r="CV117" s="79">
        <v>45016</v>
      </c>
      <c r="CW117" s="79">
        <v>45019</v>
      </c>
      <c r="CX117" s="79">
        <v>45020</v>
      </c>
      <c r="CY117" s="79">
        <v>45021</v>
      </c>
      <c r="CZ117" s="79">
        <v>45022</v>
      </c>
      <c r="DA117" s="79">
        <v>45023</v>
      </c>
      <c r="DB117" s="79">
        <v>45026</v>
      </c>
      <c r="DC117" s="79">
        <v>45027</v>
      </c>
      <c r="DD117" s="79">
        <v>45028</v>
      </c>
      <c r="DE117" s="79">
        <v>45029</v>
      </c>
      <c r="DF117" s="79">
        <v>45030</v>
      </c>
      <c r="DG117" s="79">
        <v>45033</v>
      </c>
      <c r="DH117" s="79">
        <v>45034</v>
      </c>
      <c r="DI117" s="79">
        <v>45035</v>
      </c>
      <c r="DJ117" s="79">
        <v>45036</v>
      </c>
      <c r="DK117" s="79">
        <v>45037</v>
      </c>
      <c r="DL117" s="79">
        <v>45040</v>
      </c>
      <c r="DM117" s="79">
        <v>45041</v>
      </c>
      <c r="DN117" s="79">
        <v>45042</v>
      </c>
      <c r="DO117" s="79">
        <v>45043</v>
      </c>
      <c r="DP117" s="79">
        <v>45044</v>
      </c>
      <c r="DQ117" s="79">
        <v>45048</v>
      </c>
      <c r="DR117" s="79">
        <v>45049</v>
      </c>
      <c r="DS117" s="79">
        <v>45050</v>
      </c>
      <c r="DT117" s="79">
        <v>45054</v>
      </c>
      <c r="DU117" s="79">
        <v>45055</v>
      </c>
      <c r="DV117" s="79">
        <v>45056</v>
      </c>
      <c r="DW117" s="79">
        <v>45057</v>
      </c>
      <c r="DX117" s="79">
        <v>45058</v>
      </c>
      <c r="DY117" s="79">
        <v>45061</v>
      </c>
      <c r="DZ117" s="79">
        <v>45062</v>
      </c>
      <c r="EA117" s="79">
        <v>45063</v>
      </c>
      <c r="EB117" s="79">
        <v>45064</v>
      </c>
      <c r="EC117" s="79">
        <v>45065</v>
      </c>
      <c r="ED117" s="79">
        <v>45068</v>
      </c>
      <c r="EE117" s="79">
        <v>45069</v>
      </c>
      <c r="EF117" s="79">
        <v>45070</v>
      </c>
      <c r="EG117" s="79">
        <v>45071</v>
      </c>
      <c r="EH117" s="79">
        <v>45072</v>
      </c>
      <c r="EI117" s="79">
        <v>45076</v>
      </c>
      <c r="EJ117" s="79">
        <v>45077</v>
      </c>
      <c r="EK117" s="79">
        <v>45078</v>
      </c>
      <c r="EL117" s="79">
        <v>45079</v>
      </c>
      <c r="EM117" s="79">
        <v>45082</v>
      </c>
      <c r="EN117" s="79">
        <v>45084</v>
      </c>
      <c r="EO117" s="79">
        <v>45085</v>
      </c>
      <c r="EP117" s="79">
        <v>45086</v>
      </c>
      <c r="EQ117" s="79">
        <v>45089</v>
      </c>
      <c r="ER117" s="79">
        <v>45090</v>
      </c>
      <c r="ES117" s="79">
        <v>45091</v>
      </c>
      <c r="ET117" s="79">
        <v>45092</v>
      </c>
      <c r="EU117" s="79">
        <v>45093</v>
      </c>
      <c r="EV117" s="79">
        <v>45096</v>
      </c>
      <c r="EW117" s="79">
        <v>45097</v>
      </c>
      <c r="EX117" s="79">
        <v>45098</v>
      </c>
      <c r="EY117" s="79">
        <v>45099</v>
      </c>
      <c r="EZ117" s="79">
        <v>45100</v>
      </c>
      <c r="FA117" s="79">
        <v>45103</v>
      </c>
      <c r="FB117" s="79">
        <v>45104</v>
      </c>
      <c r="FC117" s="79">
        <v>45105</v>
      </c>
      <c r="FD117" s="79">
        <v>45106</v>
      </c>
      <c r="FE117" s="79">
        <v>45107</v>
      </c>
      <c r="FF117" s="79">
        <v>45110</v>
      </c>
      <c r="FG117" s="79">
        <v>45111</v>
      </c>
      <c r="FH117" s="79">
        <v>45112</v>
      </c>
      <c r="FI117" s="79">
        <v>45113</v>
      </c>
      <c r="FJ117" s="79">
        <v>45114</v>
      </c>
      <c r="FK117" s="79">
        <v>45117</v>
      </c>
      <c r="FL117" s="79">
        <v>45118</v>
      </c>
      <c r="FM117" s="79">
        <v>45119</v>
      </c>
      <c r="FN117" s="79">
        <v>45120</v>
      </c>
      <c r="FO117" s="79">
        <v>45121</v>
      </c>
      <c r="FP117" s="79">
        <v>45124</v>
      </c>
      <c r="FQ117" s="79">
        <v>45125</v>
      </c>
      <c r="FR117" s="79">
        <v>45126</v>
      </c>
      <c r="FS117" s="79">
        <v>45127</v>
      </c>
      <c r="FT117" s="79">
        <v>45128</v>
      </c>
      <c r="FU117" s="79">
        <v>45131</v>
      </c>
      <c r="FV117" s="79">
        <v>45132</v>
      </c>
      <c r="FW117" s="79">
        <v>45133</v>
      </c>
      <c r="FX117" s="79">
        <v>45134</v>
      </c>
      <c r="FY117" s="79">
        <v>45135</v>
      </c>
      <c r="FZ117" s="79">
        <v>45138</v>
      </c>
      <c r="GA117" s="79">
        <v>45139</v>
      </c>
      <c r="GB117" s="79">
        <v>45140</v>
      </c>
      <c r="GC117" s="79">
        <v>45141</v>
      </c>
      <c r="GD117" s="79">
        <v>45142</v>
      </c>
      <c r="GE117" s="79">
        <v>45145</v>
      </c>
      <c r="GF117" s="79">
        <v>45146</v>
      </c>
      <c r="GG117" s="79">
        <v>45147</v>
      </c>
      <c r="GH117" s="79">
        <v>45148</v>
      </c>
      <c r="GI117" s="79">
        <v>45149</v>
      </c>
      <c r="GJ117" s="79">
        <v>45152</v>
      </c>
      <c r="GK117" s="79">
        <v>45154</v>
      </c>
      <c r="GL117" s="79">
        <v>45155</v>
      </c>
      <c r="GM117" s="79"/>
      <c r="GN117" s="79"/>
      <c r="GO117" s="79"/>
      <c r="GP117" s="79"/>
      <c r="GQ117" s="79"/>
      <c r="GR117" s="79"/>
      <c r="GS117" s="79"/>
      <c r="GT117" s="79"/>
      <c r="GU117" s="79"/>
      <c r="GV117" s="79"/>
      <c r="GW117" s="79"/>
      <c r="GX117" s="79"/>
      <c r="GY117" s="79"/>
      <c r="GZ117" s="79"/>
      <c r="HA117" s="79"/>
      <c r="HB117" s="79"/>
      <c r="HC117" s="79"/>
      <c r="HD117" s="79"/>
      <c r="HE117" s="79"/>
      <c r="HF117" s="79"/>
      <c r="HG117" s="79"/>
      <c r="HH117" s="79"/>
      <c r="HI117" s="79"/>
      <c r="HJ117" s="79"/>
      <c r="HK117" s="79"/>
      <c r="HL117" s="79"/>
      <c r="HM117" s="79"/>
      <c r="HN117" s="79"/>
      <c r="HO117" s="79"/>
      <c r="HP117" s="79"/>
      <c r="HQ117" s="79"/>
      <c r="HR117" s="79"/>
      <c r="HS117" s="79"/>
      <c r="HT117" s="79"/>
      <c r="HU117" s="79"/>
      <c r="HV117" s="79"/>
      <c r="HW117" s="79"/>
      <c r="HX117" s="79"/>
      <c r="HY117" s="79"/>
      <c r="HZ117" s="79"/>
      <c r="IA117" s="79"/>
      <c r="IB117" s="79"/>
      <c r="IC117" s="79"/>
      <c r="ID117" s="79"/>
      <c r="IE117" s="79"/>
      <c r="IF117" s="79"/>
      <c r="IG117" s="79"/>
      <c r="IH117" s="79"/>
      <c r="II117" s="79"/>
      <c r="IJ117" s="79"/>
      <c r="IK117" s="79"/>
      <c r="IL117" s="79"/>
      <c r="IM117" s="79"/>
      <c r="IN117" s="79"/>
      <c r="IO117" s="79"/>
      <c r="IP117" s="79"/>
      <c r="IQ117" s="79"/>
      <c r="IR117" s="79"/>
      <c r="IS117" s="79"/>
      <c r="IT117" s="79"/>
      <c r="IU117" s="79"/>
      <c r="IV117" s="79"/>
      <c r="IW117" s="79"/>
      <c r="IX117" s="79"/>
      <c r="IY117" s="79"/>
      <c r="IZ117" s="79"/>
      <c r="JA117" s="79"/>
      <c r="JB117" s="79"/>
      <c r="JC117" s="79"/>
      <c r="JD117" s="79"/>
      <c r="JE117" s="79"/>
      <c r="JF117" s="79"/>
      <c r="JG117" s="79"/>
      <c r="JH117" s="79"/>
      <c r="JI117" s="79"/>
      <c r="JJ117" s="79"/>
      <c r="JK117" s="79"/>
      <c r="JL117" s="79"/>
      <c r="JM117" s="79"/>
      <c r="JN117" s="79"/>
      <c r="JO117" s="79"/>
      <c r="JP117" s="79"/>
      <c r="JQ117" s="79"/>
      <c r="JR117" s="79"/>
      <c r="JS117" s="79"/>
      <c r="JT117" s="79"/>
      <c r="JU117" s="79"/>
      <c r="JV117" s="79"/>
      <c r="JW117" s="79"/>
      <c r="JX117" s="79"/>
      <c r="JY117" s="79"/>
      <c r="JZ117" s="79"/>
      <c r="KA117" s="79"/>
      <c r="KB117" s="79"/>
      <c r="KC117" s="79"/>
      <c r="KD117" s="79"/>
      <c r="KE117" s="79"/>
      <c r="KF117" s="79"/>
      <c r="KG117" s="79"/>
      <c r="KH117" s="79"/>
      <c r="KI117" s="79"/>
      <c r="KJ117" s="79"/>
      <c r="KK117" s="79"/>
      <c r="KL117" s="79"/>
      <c r="KM117" s="79"/>
      <c r="KN117" s="79"/>
      <c r="KO117" s="79"/>
      <c r="KP117" s="79"/>
      <c r="KQ117" s="79"/>
      <c r="KR117" s="79"/>
      <c r="KS117" s="79"/>
      <c r="KT117" s="79"/>
      <c r="KU117" s="79"/>
      <c r="KV117" s="79"/>
      <c r="KW117" s="79"/>
      <c r="KX117" s="79"/>
      <c r="KY117" s="79"/>
      <c r="KZ117" s="79"/>
      <c r="LA117" s="79"/>
      <c r="LB117" s="79"/>
      <c r="LC117" s="79"/>
      <c r="LD117" s="79"/>
      <c r="LE117" s="79"/>
      <c r="LF117" s="79"/>
      <c r="LG117" s="79"/>
      <c r="LH117" s="79"/>
      <c r="LI117" s="79"/>
      <c r="LJ117" s="79"/>
      <c r="LK117" s="79"/>
      <c r="LL117" s="79"/>
      <c r="LM117" s="79"/>
      <c r="LN117" s="79"/>
      <c r="LO117" s="79"/>
      <c r="LP117" s="79"/>
      <c r="LQ117" s="79"/>
      <c r="LR117" s="79"/>
      <c r="LS117" s="79"/>
      <c r="LT117" s="79"/>
      <c r="LU117" s="79"/>
      <c r="LV117" s="79"/>
      <c r="LW117" s="79"/>
      <c r="LX117" s="79"/>
      <c r="LY117" s="79"/>
      <c r="LZ117" s="79"/>
      <c r="MA117" s="79"/>
      <c r="MB117" s="79"/>
      <c r="MC117" s="79"/>
      <c r="MD117" s="79"/>
      <c r="ME117" s="79"/>
      <c r="MF117" s="79"/>
      <c r="MG117" s="79"/>
      <c r="MH117" s="79"/>
      <c r="MI117" s="79"/>
      <c r="MJ117" s="79"/>
      <c r="MK117" s="79"/>
      <c r="ML117" s="79"/>
      <c r="MM117" s="79"/>
      <c r="MN117" s="79"/>
      <c r="MO117" s="79"/>
      <c r="MP117" s="79"/>
      <c r="MQ117" s="79"/>
      <c r="MR117" s="79"/>
      <c r="MS117" s="79"/>
      <c r="MT117" s="79"/>
      <c r="MU117" s="79"/>
      <c r="MV117" s="79"/>
      <c r="MW117" s="79"/>
      <c r="MX117" s="79"/>
      <c r="MY117" s="79"/>
      <c r="MZ117" s="79"/>
      <c r="NA117" s="79"/>
      <c r="NB117" s="79"/>
      <c r="NC117" s="79"/>
      <c r="ND117" s="79"/>
      <c r="NE117" s="79"/>
      <c r="NF117" s="79"/>
      <c r="NG117" s="79"/>
      <c r="NH117" s="79"/>
      <c r="NI117" s="79"/>
      <c r="NJ117" s="79"/>
      <c r="NK117" s="79"/>
      <c r="NL117" s="79"/>
      <c r="NM117" s="79"/>
      <c r="NN117" s="79"/>
      <c r="NO117" s="79"/>
      <c r="NP117" s="79"/>
      <c r="NQ117" s="79"/>
      <c r="NR117" s="79"/>
      <c r="NS117" s="79"/>
      <c r="NT117" s="79"/>
      <c r="NU117" s="79"/>
      <c r="NV117" s="79"/>
      <c r="NW117" s="79"/>
      <c r="NX117" s="79"/>
      <c r="NY117" s="79"/>
      <c r="NZ117" s="79"/>
      <c r="OA117" s="79"/>
      <c r="OB117" s="79"/>
      <c r="OC117" s="79"/>
      <c r="OD117" s="79"/>
      <c r="OE117" s="79"/>
      <c r="OF117" s="79"/>
      <c r="OG117" s="79"/>
      <c r="OH117" s="79"/>
      <c r="OI117" s="79"/>
      <c r="OJ117" s="79"/>
      <c r="OK117" s="79"/>
      <c r="OL117" s="79"/>
      <c r="OM117" s="79"/>
      <c r="ON117" s="79"/>
      <c r="OO117" s="79"/>
      <c r="OP117" s="79"/>
    </row>
    <row r="118" spans="25:406" ht="15" hidden="1" customHeight="1">
      <c r="Y118" s="83">
        <f t="shared" si="18"/>
        <v>345.62</v>
      </c>
      <c r="Z118" s="79">
        <f t="shared" si="19"/>
        <v>45138</v>
      </c>
      <c r="AA118" s="105" t="e">
        <f>IF(SUM(AE46:$AE$103)=0,NA(),SUM(AE46:$AE$103))</f>
        <v>#N/A</v>
      </c>
      <c r="AB118" s="124" t="e">
        <f>IF(SUM(AF46:$AF$103)=0,NA(),SUM(AF46:$AF$103))</f>
        <v>#N/A</v>
      </c>
      <c r="AC118" s="133" t="e">
        <f>IF(SUM(AG46:$AG$103)=0,NA(),SUM(AG46:$AG$103))</f>
        <v>#N/A</v>
      </c>
      <c r="AF118" s="134"/>
      <c r="AG118" s="134"/>
      <c r="AH118" s="134"/>
      <c r="AL118" s="82" t="s">
        <v>317</v>
      </c>
      <c r="AM118" s="82">
        <v>289.79000000000002</v>
      </c>
      <c r="AN118" s="82">
        <v>289.58</v>
      </c>
      <c r="AO118" s="82">
        <v>295.98</v>
      </c>
      <c r="AP118" s="82">
        <v>297.87</v>
      </c>
      <c r="AQ118" s="82">
        <v>301.52999999999997</v>
      </c>
      <c r="AR118" s="82">
        <v>309.69</v>
      </c>
      <c r="AS118" s="82">
        <v>309.57</v>
      </c>
      <c r="AT118" s="82">
        <v>310.38</v>
      </c>
      <c r="AU118" s="82">
        <v>310.7</v>
      </c>
      <c r="AV118" s="82">
        <v>313.77</v>
      </c>
      <c r="AW118" s="82">
        <v>316.04000000000002</v>
      </c>
      <c r="AX118" s="82">
        <v>313.75</v>
      </c>
      <c r="AY118" s="82">
        <v>311.91000000000003</v>
      </c>
      <c r="AZ118" s="82">
        <v>313.81</v>
      </c>
      <c r="BA118" s="82">
        <v>315.58</v>
      </c>
      <c r="BB118" s="82">
        <v>320.76</v>
      </c>
      <c r="BC118" s="82">
        <v>325.57</v>
      </c>
      <c r="BD118" s="82">
        <v>327.98</v>
      </c>
      <c r="BE118" s="82">
        <v>322.67</v>
      </c>
      <c r="BF118" s="82">
        <v>317.26</v>
      </c>
      <c r="BG118" s="82">
        <v>321.19</v>
      </c>
      <c r="BH118" s="82">
        <v>323.93</v>
      </c>
      <c r="BI118" s="82">
        <v>325.86</v>
      </c>
      <c r="BJ118" s="82">
        <v>318.83</v>
      </c>
      <c r="BK118" s="82">
        <v>320.55</v>
      </c>
      <c r="BL118" s="82">
        <v>325.63</v>
      </c>
      <c r="BM118" s="82">
        <v>324.89999999999998</v>
      </c>
      <c r="BN118" s="82">
        <v>323.69</v>
      </c>
      <c r="BO118" s="82">
        <v>321.75</v>
      </c>
      <c r="BP118" s="82">
        <v>323.47000000000003</v>
      </c>
      <c r="BQ118" s="82">
        <v>317.99</v>
      </c>
      <c r="BR118" s="82">
        <v>324.10000000000002</v>
      </c>
      <c r="BS118" s="82">
        <v>320.77999999999997</v>
      </c>
      <c r="BT118" s="82">
        <v>321.79000000000002</v>
      </c>
      <c r="BU118" s="82">
        <v>321.56</v>
      </c>
      <c r="BV118" s="82">
        <v>315.94</v>
      </c>
      <c r="BW118" s="82">
        <v>319.44</v>
      </c>
      <c r="BX118" s="82">
        <v>316.94</v>
      </c>
      <c r="BY118" s="82">
        <v>313.94</v>
      </c>
      <c r="BZ118" s="82">
        <v>314.8</v>
      </c>
      <c r="CA118" s="82">
        <v>316.26</v>
      </c>
      <c r="CB118" s="82">
        <v>316.36</v>
      </c>
      <c r="CC118" s="82">
        <v>320.94</v>
      </c>
      <c r="CD118" s="82">
        <v>319.8</v>
      </c>
      <c r="CE118" s="82">
        <v>315.38</v>
      </c>
      <c r="CF118" s="82">
        <v>314.04000000000002</v>
      </c>
      <c r="CG118" s="82">
        <v>310.64999999999998</v>
      </c>
      <c r="CH118" s="82">
        <v>313.20999999999998</v>
      </c>
      <c r="CI118" s="82">
        <v>305.58</v>
      </c>
      <c r="CJ118" s="82">
        <v>309.10000000000002</v>
      </c>
      <c r="CK118" s="82">
        <v>308.39</v>
      </c>
      <c r="CL118" s="82">
        <v>312.07</v>
      </c>
      <c r="CM118" s="82">
        <v>309.49</v>
      </c>
      <c r="CN118" s="82">
        <v>310.36</v>
      </c>
      <c r="CO118" s="82">
        <v>314.11</v>
      </c>
      <c r="CP118" s="82">
        <v>315.75</v>
      </c>
      <c r="CQ118" s="82">
        <v>314.3</v>
      </c>
      <c r="CR118" s="82">
        <v>312.85000000000002</v>
      </c>
      <c r="CS118" s="82">
        <v>316.36</v>
      </c>
      <c r="CT118" s="82">
        <v>317.01</v>
      </c>
      <c r="CU118" s="82">
        <v>318.05</v>
      </c>
      <c r="CV118" s="82">
        <v>322.02999999999997</v>
      </c>
      <c r="CW118" s="82">
        <v>320.38</v>
      </c>
      <c r="CX118" s="82">
        <v>321.75</v>
      </c>
      <c r="CY118" s="82">
        <v>323.56</v>
      </c>
      <c r="CZ118" s="82">
        <v>317.82</v>
      </c>
      <c r="DA118" s="82">
        <v>323.36</v>
      </c>
      <c r="DB118" s="82">
        <v>326.38</v>
      </c>
      <c r="DC118" s="82">
        <v>330.87</v>
      </c>
      <c r="DD118" s="82">
        <v>332.09</v>
      </c>
      <c r="DE118" s="82">
        <v>333.09</v>
      </c>
      <c r="DF118" s="82">
        <v>333.68</v>
      </c>
      <c r="DG118" s="82">
        <v>333.92</v>
      </c>
      <c r="DH118" s="82">
        <v>333.5</v>
      </c>
      <c r="DI118" s="82">
        <v>333.77</v>
      </c>
      <c r="DJ118" s="82">
        <v>332.66</v>
      </c>
      <c r="DK118" s="82">
        <v>330.94</v>
      </c>
      <c r="DL118" s="82">
        <v>328.7</v>
      </c>
      <c r="DM118" s="82">
        <v>324.48</v>
      </c>
      <c r="DN118" s="82">
        <v>323.97000000000003</v>
      </c>
      <c r="DO118" s="82">
        <v>325.08999999999997</v>
      </c>
      <c r="DP118" s="82">
        <v>326.45999999999998</v>
      </c>
      <c r="DQ118" s="82">
        <v>329.09</v>
      </c>
      <c r="DR118" s="82">
        <v>326.52</v>
      </c>
      <c r="DS118" s="82">
        <v>326.17</v>
      </c>
      <c r="DT118" s="82">
        <v>328.9</v>
      </c>
      <c r="DU118" s="82">
        <v>328.22</v>
      </c>
      <c r="DV118" s="82">
        <v>326.04000000000002</v>
      </c>
      <c r="DW118" s="82">
        <v>325.27999999999997</v>
      </c>
      <c r="DX118" s="82">
        <v>323.61</v>
      </c>
      <c r="DY118" s="82">
        <v>324.45999999999998</v>
      </c>
      <c r="DZ118" s="82">
        <v>325.31</v>
      </c>
      <c r="EA118" s="82">
        <v>326.61</v>
      </c>
      <c r="EB118" s="82">
        <v>329.84</v>
      </c>
      <c r="EC118" s="82">
        <v>334.23</v>
      </c>
      <c r="ED118" s="82">
        <v>336.27</v>
      </c>
      <c r="EE118" s="82">
        <v>337.09</v>
      </c>
      <c r="EF118" s="82">
        <v>336.49</v>
      </c>
      <c r="EG118" s="82">
        <v>335.35</v>
      </c>
      <c r="EH118" s="82">
        <v>337.11</v>
      </c>
      <c r="EI118" s="82">
        <v>341.5</v>
      </c>
      <c r="EJ118" s="82">
        <v>339.12</v>
      </c>
      <c r="EK118" s="82">
        <v>338.08</v>
      </c>
      <c r="EL118" s="82">
        <v>342.67</v>
      </c>
      <c r="EM118" s="82">
        <v>343.91</v>
      </c>
      <c r="EN118" s="82">
        <v>343.22</v>
      </c>
      <c r="EO118" s="82">
        <v>342.75</v>
      </c>
      <c r="EP118" s="82">
        <v>346.79</v>
      </c>
      <c r="EQ118" s="82">
        <v>344.57</v>
      </c>
      <c r="ER118" s="82">
        <v>346.39</v>
      </c>
      <c r="ES118" s="82">
        <v>344.65</v>
      </c>
      <c r="ET118" s="82">
        <v>343.19</v>
      </c>
      <c r="EU118" s="82">
        <v>345.17</v>
      </c>
      <c r="EV118" s="82">
        <v>343.13</v>
      </c>
      <c r="EW118" s="82">
        <v>342.58</v>
      </c>
      <c r="EX118" s="82">
        <v>339.44</v>
      </c>
      <c r="EY118" s="82">
        <v>341.12</v>
      </c>
      <c r="EZ118" s="82">
        <v>338.45</v>
      </c>
      <c r="FA118" s="82">
        <v>340.38</v>
      </c>
      <c r="FB118" s="82">
        <v>340.32</v>
      </c>
      <c r="FC118" s="82">
        <v>338.41</v>
      </c>
      <c r="FD118" s="82">
        <v>336.39</v>
      </c>
      <c r="FE118" s="82">
        <v>337.95</v>
      </c>
      <c r="FF118" s="82">
        <v>343.08</v>
      </c>
      <c r="FG118" s="82">
        <v>341.59</v>
      </c>
      <c r="FH118" s="82">
        <v>339.04</v>
      </c>
      <c r="FI118" s="82">
        <v>336.2</v>
      </c>
      <c r="FJ118" s="82">
        <v>331.57</v>
      </c>
      <c r="FK118" s="82">
        <v>330.84</v>
      </c>
      <c r="FL118" s="82">
        <v>337.02</v>
      </c>
      <c r="FM118" s="82">
        <v>339.46</v>
      </c>
      <c r="FN118" s="82">
        <v>341.13</v>
      </c>
      <c r="FO118" s="82">
        <v>346.93</v>
      </c>
      <c r="FP118" s="82">
        <v>345.75</v>
      </c>
      <c r="FQ118" s="82">
        <v>343.38</v>
      </c>
      <c r="FR118" s="82">
        <v>343.11</v>
      </c>
      <c r="FS118" s="82">
        <v>341.67</v>
      </c>
      <c r="FT118" s="82">
        <v>342.39</v>
      </c>
      <c r="FU118" s="82">
        <v>344.32</v>
      </c>
      <c r="FV118" s="82">
        <v>344.92</v>
      </c>
      <c r="FW118" s="82">
        <v>340.56</v>
      </c>
      <c r="FX118" s="82">
        <v>344.76</v>
      </c>
      <c r="FY118" s="82">
        <v>344.03</v>
      </c>
      <c r="FZ118" s="82">
        <v>345.62</v>
      </c>
      <c r="GA118" s="82">
        <v>351</v>
      </c>
      <c r="GB118" s="82">
        <v>343.8</v>
      </c>
      <c r="GC118" s="82">
        <v>341.54</v>
      </c>
      <c r="GD118" s="82">
        <v>341.25</v>
      </c>
      <c r="GE118" s="82">
        <v>339.68</v>
      </c>
      <c r="GF118" s="82">
        <v>337.95</v>
      </c>
      <c r="GG118" s="82">
        <v>341.61</v>
      </c>
      <c r="GH118" s="82">
        <v>340.46</v>
      </c>
      <c r="GI118" s="82">
        <v>338.98</v>
      </c>
      <c r="GJ118" s="82">
        <v>336.33</v>
      </c>
      <c r="GK118" s="82">
        <v>331.28</v>
      </c>
      <c r="GL118" s="82">
        <v>330.23</v>
      </c>
    </row>
    <row r="119" spans="25:406" ht="15" hidden="1" customHeight="1">
      <c r="Y119" s="83">
        <f t="shared" si="18"/>
        <v>344.03</v>
      </c>
      <c r="Z119" s="79">
        <f t="shared" si="19"/>
        <v>45135</v>
      </c>
      <c r="AA119" s="105" t="e">
        <f>IF(SUM(AE47:$AE$103)=0,NA(),SUM(AE47:$AE$103))</f>
        <v>#N/A</v>
      </c>
      <c r="AB119" s="124" t="e">
        <f>IF(SUM(AF47:$AF$103)=0,NA(),SUM(AF47:$AF$103))</f>
        <v>#N/A</v>
      </c>
      <c r="AC119" s="133" t="e">
        <f>IF(SUM(AG47:$AG$103)=0,NA(),SUM(AG47:$AG$103))</f>
        <v>#N/A</v>
      </c>
      <c r="AF119" s="134"/>
      <c r="AG119" s="134"/>
      <c r="AH119" s="134"/>
      <c r="AK119" s="79" t="str">
        <f>_xll.IMDH("IDX","VKOSPI",AL119,AK116,V6,365,"Per=일,sort=A,real=true,Bizday=0,Quote=종가,Pos=20,Orient=H,DtFmt=1,TmFmt=1,unit=true")</f>
        <v>조회[VKOSPI]</v>
      </c>
      <c r="AL119" s="82" t="s">
        <v>317</v>
      </c>
      <c r="AM119" s="82">
        <v>18.850000000000001</v>
      </c>
      <c r="AN119" s="82">
        <v>18.96</v>
      </c>
      <c r="AO119" s="82">
        <v>18.170000000000002</v>
      </c>
      <c r="AP119" s="82">
        <v>17.850000000000001</v>
      </c>
      <c r="AQ119" s="82">
        <v>17.739999999999998</v>
      </c>
      <c r="AR119" s="82">
        <v>18.48</v>
      </c>
      <c r="AS119" s="82">
        <v>18.22</v>
      </c>
      <c r="AT119" s="82">
        <v>17.98</v>
      </c>
      <c r="AU119" s="82">
        <v>18.34</v>
      </c>
      <c r="AV119" s="82">
        <v>17.190000000000001</v>
      </c>
      <c r="AW119" s="82">
        <v>16.88</v>
      </c>
      <c r="AX119" s="82">
        <v>16.850000000000001</v>
      </c>
      <c r="AY119" s="82">
        <v>16.8</v>
      </c>
      <c r="AZ119" s="82">
        <v>16.89</v>
      </c>
      <c r="BA119" s="82">
        <v>16.809999999999999</v>
      </c>
      <c r="BB119" s="82">
        <v>16.84</v>
      </c>
      <c r="BC119" s="82">
        <v>16.53</v>
      </c>
      <c r="BD119" s="82">
        <v>16.86</v>
      </c>
      <c r="BE119" s="82">
        <v>17.38</v>
      </c>
      <c r="BF119" s="82">
        <v>17.75</v>
      </c>
      <c r="BG119" s="82">
        <v>17.54</v>
      </c>
      <c r="BH119" s="82">
        <v>17.079999999999998</v>
      </c>
      <c r="BI119" s="82">
        <v>17.010000000000002</v>
      </c>
      <c r="BJ119" s="82">
        <v>17.55</v>
      </c>
      <c r="BK119" s="82">
        <v>17.309999999999999</v>
      </c>
      <c r="BL119" s="82">
        <v>17.5</v>
      </c>
      <c r="BM119" s="82">
        <v>17.95</v>
      </c>
      <c r="BN119" s="82">
        <v>17.53</v>
      </c>
      <c r="BO119" s="82">
        <v>18.23</v>
      </c>
      <c r="BP119" s="82">
        <v>18.52</v>
      </c>
      <c r="BQ119" s="82">
        <v>18.18</v>
      </c>
      <c r="BR119" s="82">
        <v>17.84</v>
      </c>
      <c r="BS119" s="82">
        <v>18.23</v>
      </c>
      <c r="BT119" s="82">
        <v>18.64</v>
      </c>
      <c r="BU119" s="82">
        <v>18.89</v>
      </c>
      <c r="BV119" s="82">
        <v>19.559999999999999</v>
      </c>
      <c r="BW119" s="82">
        <v>18.989999999999998</v>
      </c>
      <c r="BX119" s="82">
        <v>18.809999999999999</v>
      </c>
      <c r="BY119" s="82">
        <v>19.38</v>
      </c>
      <c r="BZ119" s="82">
        <v>18.53</v>
      </c>
      <c r="CA119" s="82">
        <v>18.309999999999999</v>
      </c>
      <c r="CB119" s="82">
        <v>17.690000000000001</v>
      </c>
      <c r="CC119" s="82">
        <v>17.18</v>
      </c>
      <c r="CD119" s="82">
        <v>16.95</v>
      </c>
      <c r="CE119" s="82">
        <v>17.21</v>
      </c>
      <c r="CF119" s="82">
        <v>16.53</v>
      </c>
      <c r="CG119" s="82">
        <v>17.559999999999999</v>
      </c>
      <c r="CH119" s="82">
        <v>18.2</v>
      </c>
      <c r="CI119" s="82">
        <v>21.11</v>
      </c>
      <c r="CJ119" s="82">
        <v>18.75</v>
      </c>
      <c r="CK119" s="82">
        <v>19.97</v>
      </c>
      <c r="CL119" s="82">
        <v>18.260000000000002</v>
      </c>
      <c r="CM119" s="82">
        <v>20.62</v>
      </c>
      <c r="CN119" s="82">
        <v>19.510000000000002</v>
      </c>
      <c r="CO119" s="82">
        <v>18.29</v>
      </c>
      <c r="CP119" s="82">
        <v>17.97</v>
      </c>
      <c r="CQ119" s="82">
        <v>17.59</v>
      </c>
      <c r="CR119" s="82">
        <v>17.97</v>
      </c>
      <c r="CS119" s="82">
        <v>16.809999999999999</v>
      </c>
      <c r="CT119" s="82">
        <v>16.149999999999999</v>
      </c>
      <c r="CU119" s="82">
        <v>15.7</v>
      </c>
      <c r="CV119" s="82">
        <v>15.57</v>
      </c>
      <c r="CW119" s="82">
        <v>15.88</v>
      </c>
      <c r="CX119" s="82">
        <v>15.22</v>
      </c>
      <c r="CY119" s="82">
        <v>15.36</v>
      </c>
      <c r="CZ119" s="82">
        <v>15.87</v>
      </c>
      <c r="DA119" s="82">
        <v>15.35</v>
      </c>
      <c r="DB119" s="82">
        <v>15.72</v>
      </c>
      <c r="DC119" s="82">
        <v>15.62</v>
      </c>
      <c r="DD119" s="82">
        <v>15.82</v>
      </c>
      <c r="DE119" s="82">
        <v>15.52</v>
      </c>
      <c r="DF119" s="82">
        <v>15.42</v>
      </c>
      <c r="DG119" s="82">
        <v>15.49</v>
      </c>
      <c r="DH119" s="82">
        <v>15.17</v>
      </c>
      <c r="DI119" s="82">
        <v>14.86</v>
      </c>
      <c r="DJ119" s="82">
        <v>14.63</v>
      </c>
      <c r="DK119" s="82">
        <v>14.62</v>
      </c>
      <c r="DL119" s="82">
        <v>14.86</v>
      </c>
      <c r="DM119" s="82">
        <v>15.02</v>
      </c>
      <c r="DN119" s="82">
        <v>15.09</v>
      </c>
      <c r="DO119" s="82">
        <v>14.86</v>
      </c>
      <c r="DP119" s="82">
        <v>14.51</v>
      </c>
      <c r="DQ119" s="82">
        <v>14.21</v>
      </c>
      <c r="DR119" s="82">
        <v>15.09</v>
      </c>
      <c r="DS119" s="82">
        <v>15.27</v>
      </c>
      <c r="DT119" s="82">
        <v>14.87</v>
      </c>
      <c r="DU119" s="82">
        <v>14.39</v>
      </c>
      <c r="DV119" s="82">
        <v>14.77</v>
      </c>
      <c r="DW119" s="82">
        <v>14.31</v>
      </c>
      <c r="DX119" s="82">
        <v>13.93</v>
      </c>
      <c r="DY119" s="82">
        <v>13.81</v>
      </c>
      <c r="DZ119" s="82">
        <v>13.59</v>
      </c>
      <c r="EA119" s="82">
        <v>13.52</v>
      </c>
      <c r="EB119" s="82">
        <v>13.54</v>
      </c>
      <c r="EC119" s="82">
        <v>14.13</v>
      </c>
      <c r="ED119" s="82">
        <v>14.74</v>
      </c>
      <c r="EE119" s="82">
        <v>14.56</v>
      </c>
      <c r="EF119" s="82">
        <v>14.87</v>
      </c>
      <c r="EG119" s="82">
        <v>15.07</v>
      </c>
      <c r="EH119" s="82">
        <v>14.96</v>
      </c>
      <c r="EI119" s="82">
        <v>14.79</v>
      </c>
      <c r="EJ119" s="82">
        <v>14.8</v>
      </c>
      <c r="EK119" s="82">
        <v>14.35</v>
      </c>
      <c r="EL119" s="82">
        <v>13.96</v>
      </c>
      <c r="EM119" s="82">
        <v>14.08</v>
      </c>
      <c r="EN119" s="82">
        <v>13.71</v>
      </c>
      <c r="EO119" s="82">
        <v>13.44</v>
      </c>
      <c r="EP119" s="82">
        <v>13.16</v>
      </c>
      <c r="EQ119" s="82">
        <v>13.45</v>
      </c>
      <c r="ER119" s="82">
        <v>13.76</v>
      </c>
      <c r="ES119" s="82">
        <v>13.55</v>
      </c>
      <c r="ET119" s="82">
        <v>13.25</v>
      </c>
      <c r="EU119" s="82">
        <v>13.13</v>
      </c>
      <c r="EV119" s="82">
        <v>13.35</v>
      </c>
      <c r="EW119" s="82">
        <v>13.02</v>
      </c>
      <c r="EX119" s="82">
        <v>13.36</v>
      </c>
      <c r="EY119" s="82">
        <v>13.24</v>
      </c>
      <c r="EZ119" s="82">
        <v>13.04</v>
      </c>
      <c r="FA119" s="82">
        <v>13.46</v>
      </c>
      <c r="FB119" s="82">
        <v>13.18</v>
      </c>
      <c r="FC119" s="82">
        <v>13.1</v>
      </c>
      <c r="FD119" s="82">
        <v>12.93</v>
      </c>
      <c r="FE119" s="82">
        <v>12.59</v>
      </c>
      <c r="FF119" s="82">
        <v>12.73</v>
      </c>
      <c r="FG119" s="82">
        <v>12.27</v>
      </c>
      <c r="FH119" s="82">
        <v>12.37</v>
      </c>
      <c r="FI119" s="82">
        <v>12.98</v>
      </c>
      <c r="FJ119" s="82">
        <v>14.58</v>
      </c>
      <c r="FK119" s="82">
        <v>14.63</v>
      </c>
      <c r="FL119" s="82">
        <v>13.82</v>
      </c>
      <c r="FM119" s="82">
        <v>13.76</v>
      </c>
      <c r="FN119" s="82">
        <v>13.25</v>
      </c>
      <c r="FO119" s="82">
        <v>13.19</v>
      </c>
      <c r="FP119" s="82">
        <v>13.21</v>
      </c>
      <c r="FQ119" s="82">
        <v>13.07</v>
      </c>
      <c r="FR119" s="82">
        <v>12.91</v>
      </c>
      <c r="FS119" s="82">
        <v>13.22</v>
      </c>
      <c r="FT119" s="82">
        <v>13.35</v>
      </c>
      <c r="FU119" s="82">
        <v>14.12</v>
      </c>
      <c r="FV119" s="82">
        <v>14.08</v>
      </c>
      <c r="FW119" s="82">
        <v>14.53</v>
      </c>
      <c r="FX119" s="82">
        <v>13.9</v>
      </c>
      <c r="FY119" s="82">
        <v>14.15</v>
      </c>
      <c r="FZ119" s="82">
        <v>14.21</v>
      </c>
      <c r="GA119" s="82">
        <v>14.06</v>
      </c>
      <c r="GB119" s="82">
        <v>15.36</v>
      </c>
      <c r="GC119" s="82">
        <v>15.88</v>
      </c>
      <c r="GD119" s="82">
        <v>15.55</v>
      </c>
      <c r="GE119" s="82">
        <v>15.71</v>
      </c>
      <c r="GF119" s="82">
        <v>15.4</v>
      </c>
      <c r="GG119" s="82">
        <v>14.15</v>
      </c>
      <c r="GH119" s="82">
        <v>14</v>
      </c>
      <c r="GI119" s="82">
        <v>13.44</v>
      </c>
      <c r="GJ119" s="82">
        <v>14.14</v>
      </c>
      <c r="GK119" s="82">
        <v>15.15</v>
      </c>
      <c r="GL119" s="82">
        <v>15.57</v>
      </c>
    </row>
    <row r="120" spans="25:406" ht="15" hidden="1" customHeight="1">
      <c r="Y120" s="83">
        <f t="shared" si="18"/>
        <v>344.76</v>
      </c>
      <c r="Z120" s="79">
        <f t="shared" si="19"/>
        <v>45134</v>
      </c>
      <c r="AA120" s="105" t="e">
        <f>IF(SUM(AE48:$AE$103)=0,NA(),SUM(AE48:$AE$103))</f>
        <v>#N/A</v>
      </c>
      <c r="AB120" s="124" t="e">
        <f>IF(SUM(AF48:$AF$103)=0,NA(),SUM(AF48:$AF$103))</f>
        <v>#N/A</v>
      </c>
      <c r="AC120" s="133" t="e">
        <f>IF(SUM(AG48:$AG$103)=0,NA(),SUM(AG48:$AG$103))</f>
        <v>#N/A</v>
      </c>
      <c r="AF120" s="134"/>
      <c r="AG120" s="134"/>
      <c r="AH120" s="134"/>
      <c r="AI120" s="83"/>
      <c r="AK120" s="79"/>
      <c r="AN120" s="79"/>
    </row>
    <row r="121" spans="25:406" ht="15" hidden="1" customHeight="1">
      <c r="Y121" s="83">
        <f t="shared" si="18"/>
        <v>340.56</v>
      </c>
      <c r="Z121" s="79">
        <f t="shared" si="19"/>
        <v>45133</v>
      </c>
      <c r="AA121" s="105" t="e">
        <f>IF(SUM(AE49:$AE$103)=0,NA(),SUM(AE49:$AE$103))</f>
        <v>#N/A</v>
      </c>
      <c r="AB121" s="124" t="e">
        <f>IF(SUM(AF49:$AF$103)=0,NA(),SUM(AF49:$AF$103))</f>
        <v>#N/A</v>
      </c>
      <c r="AC121" s="133" t="e">
        <f>IF(SUM(AG49:$AG$103)=0,NA(),SUM(AG49:$AG$103))</f>
        <v>#N/A</v>
      </c>
      <c r="AF121" s="134"/>
      <c r="AG121" s="134"/>
      <c r="AK121" s="79"/>
      <c r="AM121" s="79">
        <f>IF(AM117="",NA(),AM117)</f>
        <v>44928</v>
      </c>
      <c r="AN121" s="79">
        <f t="shared" ref="AN121:CY121" si="20">IF(AN117="",NA(),AN117)</f>
        <v>44929</v>
      </c>
      <c r="AO121" s="79">
        <f t="shared" si="20"/>
        <v>44930</v>
      </c>
      <c r="AP121" s="79">
        <f t="shared" si="20"/>
        <v>44931</v>
      </c>
      <c r="AQ121" s="79">
        <f t="shared" si="20"/>
        <v>44932</v>
      </c>
      <c r="AR121" s="79">
        <f t="shared" si="20"/>
        <v>44935</v>
      </c>
      <c r="AS121" s="79">
        <f t="shared" si="20"/>
        <v>44936</v>
      </c>
      <c r="AT121" s="79">
        <f t="shared" si="20"/>
        <v>44937</v>
      </c>
      <c r="AU121" s="79">
        <f t="shared" si="20"/>
        <v>44938</v>
      </c>
      <c r="AV121" s="79">
        <f t="shared" si="20"/>
        <v>44939</v>
      </c>
      <c r="AW121" s="79">
        <f t="shared" si="20"/>
        <v>44942</v>
      </c>
      <c r="AX121" s="79">
        <f t="shared" si="20"/>
        <v>44943</v>
      </c>
      <c r="AY121" s="79">
        <f t="shared" si="20"/>
        <v>44944</v>
      </c>
      <c r="AZ121" s="79">
        <f t="shared" si="20"/>
        <v>44945</v>
      </c>
      <c r="BA121" s="79">
        <f t="shared" si="20"/>
        <v>44946</v>
      </c>
      <c r="BB121" s="79">
        <f t="shared" si="20"/>
        <v>44951</v>
      </c>
      <c r="BC121" s="79">
        <f t="shared" si="20"/>
        <v>44952</v>
      </c>
      <c r="BD121" s="79">
        <f t="shared" si="20"/>
        <v>44953</v>
      </c>
      <c r="BE121" s="79">
        <f t="shared" si="20"/>
        <v>44956</v>
      </c>
      <c r="BF121" s="79">
        <f t="shared" si="20"/>
        <v>44957</v>
      </c>
      <c r="BG121" s="79">
        <f t="shared" si="20"/>
        <v>44958</v>
      </c>
      <c r="BH121" s="79">
        <f t="shared" si="20"/>
        <v>44959</v>
      </c>
      <c r="BI121" s="79">
        <f t="shared" si="20"/>
        <v>44960</v>
      </c>
      <c r="BJ121" s="79">
        <f t="shared" si="20"/>
        <v>44963</v>
      </c>
      <c r="BK121" s="79">
        <f t="shared" si="20"/>
        <v>44964</v>
      </c>
      <c r="BL121" s="79">
        <f t="shared" si="20"/>
        <v>44965</v>
      </c>
      <c r="BM121" s="79">
        <f t="shared" si="20"/>
        <v>44966</v>
      </c>
      <c r="BN121" s="79">
        <f t="shared" si="20"/>
        <v>44967</v>
      </c>
      <c r="BO121" s="79">
        <f t="shared" si="20"/>
        <v>44970</v>
      </c>
      <c r="BP121" s="79">
        <f t="shared" si="20"/>
        <v>44971</v>
      </c>
      <c r="BQ121" s="79">
        <f t="shared" si="20"/>
        <v>44972</v>
      </c>
      <c r="BR121" s="79">
        <f t="shared" si="20"/>
        <v>44973</v>
      </c>
      <c r="BS121" s="79">
        <f t="shared" si="20"/>
        <v>44974</v>
      </c>
      <c r="BT121" s="79">
        <f t="shared" si="20"/>
        <v>44977</v>
      </c>
      <c r="BU121" s="79">
        <f t="shared" si="20"/>
        <v>44978</v>
      </c>
      <c r="BV121" s="79">
        <f t="shared" si="20"/>
        <v>44979</v>
      </c>
      <c r="BW121" s="79">
        <f t="shared" si="20"/>
        <v>44980</v>
      </c>
      <c r="BX121" s="79">
        <f t="shared" si="20"/>
        <v>44981</v>
      </c>
      <c r="BY121" s="79">
        <f t="shared" si="20"/>
        <v>44984</v>
      </c>
      <c r="BZ121" s="79">
        <f t="shared" si="20"/>
        <v>44985</v>
      </c>
      <c r="CA121" s="79">
        <f t="shared" si="20"/>
        <v>44987</v>
      </c>
      <c r="CB121" s="79">
        <f t="shared" si="20"/>
        <v>44988</v>
      </c>
      <c r="CC121" s="79">
        <f t="shared" si="20"/>
        <v>44991</v>
      </c>
      <c r="CD121" s="79">
        <f t="shared" si="20"/>
        <v>44992</v>
      </c>
      <c r="CE121" s="79">
        <f t="shared" si="20"/>
        <v>44993</v>
      </c>
      <c r="CF121" s="79">
        <f t="shared" si="20"/>
        <v>44994</v>
      </c>
      <c r="CG121" s="79">
        <f t="shared" si="20"/>
        <v>44995</v>
      </c>
      <c r="CH121" s="79">
        <f t="shared" si="20"/>
        <v>44998</v>
      </c>
      <c r="CI121" s="79">
        <f t="shared" si="20"/>
        <v>44999</v>
      </c>
      <c r="CJ121" s="79">
        <f t="shared" si="20"/>
        <v>45000</v>
      </c>
      <c r="CK121" s="79">
        <f t="shared" si="20"/>
        <v>45001</v>
      </c>
      <c r="CL121" s="79">
        <f t="shared" si="20"/>
        <v>45002</v>
      </c>
      <c r="CM121" s="79">
        <f t="shared" si="20"/>
        <v>45005</v>
      </c>
      <c r="CN121" s="79">
        <f t="shared" si="20"/>
        <v>45006</v>
      </c>
      <c r="CO121" s="79">
        <f t="shared" si="20"/>
        <v>45007</v>
      </c>
      <c r="CP121" s="79">
        <f t="shared" si="20"/>
        <v>45008</v>
      </c>
      <c r="CQ121" s="79">
        <f t="shared" si="20"/>
        <v>45009</v>
      </c>
      <c r="CR121" s="79">
        <f t="shared" si="20"/>
        <v>45012</v>
      </c>
      <c r="CS121" s="79">
        <f t="shared" si="20"/>
        <v>45013</v>
      </c>
      <c r="CT121" s="79">
        <f t="shared" si="20"/>
        <v>45014</v>
      </c>
      <c r="CU121" s="79">
        <f t="shared" si="20"/>
        <v>45015</v>
      </c>
      <c r="CV121" s="79">
        <f t="shared" si="20"/>
        <v>45016</v>
      </c>
      <c r="CW121" s="79">
        <f t="shared" si="20"/>
        <v>45019</v>
      </c>
      <c r="CX121" s="79">
        <f t="shared" si="20"/>
        <v>45020</v>
      </c>
      <c r="CY121" s="79">
        <f t="shared" si="20"/>
        <v>45021</v>
      </c>
      <c r="CZ121" s="79">
        <f t="shared" ref="CZ121:FK121" si="21">IF(CZ117="",NA(),CZ117)</f>
        <v>45022</v>
      </c>
      <c r="DA121" s="79">
        <f t="shared" si="21"/>
        <v>45023</v>
      </c>
      <c r="DB121" s="79">
        <f t="shared" si="21"/>
        <v>45026</v>
      </c>
      <c r="DC121" s="79">
        <f t="shared" si="21"/>
        <v>45027</v>
      </c>
      <c r="DD121" s="79">
        <f t="shared" si="21"/>
        <v>45028</v>
      </c>
      <c r="DE121" s="79">
        <f t="shared" si="21"/>
        <v>45029</v>
      </c>
      <c r="DF121" s="79">
        <f t="shared" si="21"/>
        <v>45030</v>
      </c>
      <c r="DG121" s="79">
        <f t="shared" si="21"/>
        <v>45033</v>
      </c>
      <c r="DH121" s="79">
        <f t="shared" si="21"/>
        <v>45034</v>
      </c>
      <c r="DI121" s="79">
        <f t="shared" si="21"/>
        <v>45035</v>
      </c>
      <c r="DJ121" s="79">
        <f t="shared" si="21"/>
        <v>45036</v>
      </c>
      <c r="DK121" s="79">
        <f t="shared" si="21"/>
        <v>45037</v>
      </c>
      <c r="DL121" s="79">
        <f t="shared" si="21"/>
        <v>45040</v>
      </c>
      <c r="DM121" s="79">
        <f t="shared" si="21"/>
        <v>45041</v>
      </c>
      <c r="DN121" s="79">
        <f t="shared" si="21"/>
        <v>45042</v>
      </c>
      <c r="DO121" s="79">
        <f t="shared" si="21"/>
        <v>45043</v>
      </c>
      <c r="DP121" s="79">
        <f t="shared" si="21"/>
        <v>45044</v>
      </c>
      <c r="DQ121" s="79">
        <f t="shared" si="21"/>
        <v>45048</v>
      </c>
      <c r="DR121" s="79">
        <f t="shared" si="21"/>
        <v>45049</v>
      </c>
      <c r="DS121" s="79">
        <f t="shared" si="21"/>
        <v>45050</v>
      </c>
      <c r="DT121" s="79">
        <f t="shared" si="21"/>
        <v>45054</v>
      </c>
      <c r="DU121" s="79">
        <f t="shared" si="21"/>
        <v>45055</v>
      </c>
      <c r="DV121" s="79">
        <f t="shared" si="21"/>
        <v>45056</v>
      </c>
      <c r="DW121" s="79">
        <f t="shared" si="21"/>
        <v>45057</v>
      </c>
      <c r="DX121" s="79">
        <f t="shared" si="21"/>
        <v>45058</v>
      </c>
      <c r="DY121" s="79">
        <f t="shared" si="21"/>
        <v>45061</v>
      </c>
      <c r="DZ121" s="79">
        <f t="shared" si="21"/>
        <v>45062</v>
      </c>
      <c r="EA121" s="79">
        <f t="shared" si="21"/>
        <v>45063</v>
      </c>
      <c r="EB121" s="79">
        <f t="shared" si="21"/>
        <v>45064</v>
      </c>
      <c r="EC121" s="79">
        <f t="shared" si="21"/>
        <v>45065</v>
      </c>
      <c r="ED121" s="79">
        <f t="shared" si="21"/>
        <v>45068</v>
      </c>
      <c r="EE121" s="79">
        <f t="shared" si="21"/>
        <v>45069</v>
      </c>
      <c r="EF121" s="79">
        <f t="shared" si="21"/>
        <v>45070</v>
      </c>
      <c r="EG121" s="79">
        <f t="shared" si="21"/>
        <v>45071</v>
      </c>
      <c r="EH121" s="79">
        <f t="shared" si="21"/>
        <v>45072</v>
      </c>
      <c r="EI121" s="79">
        <f t="shared" si="21"/>
        <v>45076</v>
      </c>
      <c r="EJ121" s="79">
        <f t="shared" si="21"/>
        <v>45077</v>
      </c>
      <c r="EK121" s="79">
        <f t="shared" si="21"/>
        <v>45078</v>
      </c>
      <c r="EL121" s="79">
        <f t="shared" si="21"/>
        <v>45079</v>
      </c>
      <c r="EM121" s="79">
        <f t="shared" si="21"/>
        <v>45082</v>
      </c>
      <c r="EN121" s="79">
        <f t="shared" si="21"/>
        <v>45084</v>
      </c>
      <c r="EO121" s="79">
        <f t="shared" si="21"/>
        <v>45085</v>
      </c>
      <c r="EP121" s="79">
        <f t="shared" si="21"/>
        <v>45086</v>
      </c>
      <c r="EQ121" s="79">
        <f t="shared" si="21"/>
        <v>45089</v>
      </c>
      <c r="ER121" s="79">
        <f t="shared" si="21"/>
        <v>45090</v>
      </c>
      <c r="ES121" s="79">
        <f t="shared" si="21"/>
        <v>45091</v>
      </c>
      <c r="ET121" s="79">
        <f t="shared" si="21"/>
        <v>45092</v>
      </c>
      <c r="EU121" s="79">
        <f t="shared" si="21"/>
        <v>45093</v>
      </c>
      <c r="EV121" s="79">
        <f t="shared" si="21"/>
        <v>45096</v>
      </c>
      <c r="EW121" s="79">
        <f t="shared" si="21"/>
        <v>45097</v>
      </c>
      <c r="EX121" s="79">
        <f t="shared" si="21"/>
        <v>45098</v>
      </c>
      <c r="EY121" s="79">
        <f t="shared" si="21"/>
        <v>45099</v>
      </c>
      <c r="EZ121" s="79">
        <f t="shared" si="21"/>
        <v>45100</v>
      </c>
      <c r="FA121" s="79">
        <f t="shared" si="21"/>
        <v>45103</v>
      </c>
      <c r="FB121" s="79">
        <f t="shared" si="21"/>
        <v>45104</v>
      </c>
      <c r="FC121" s="79">
        <f t="shared" si="21"/>
        <v>45105</v>
      </c>
      <c r="FD121" s="79">
        <f t="shared" si="21"/>
        <v>45106</v>
      </c>
      <c r="FE121" s="79">
        <f t="shared" si="21"/>
        <v>45107</v>
      </c>
      <c r="FF121" s="79">
        <f t="shared" si="21"/>
        <v>45110</v>
      </c>
      <c r="FG121" s="79">
        <f t="shared" si="21"/>
        <v>45111</v>
      </c>
      <c r="FH121" s="79">
        <f t="shared" si="21"/>
        <v>45112</v>
      </c>
      <c r="FI121" s="79">
        <f t="shared" si="21"/>
        <v>45113</v>
      </c>
      <c r="FJ121" s="79">
        <f t="shared" si="21"/>
        <v>45114</v>
      </c>
      <c r="FK121" s="79">
        <f t="shared" si="21"/>
        <v>45117</v>
      </c>
      <c r="FL121" s="79">
        <f t="shared" ref="FL121:HW121" si="22">IF(FL117="",NA(),FL117)</f>
        <v>45118</v>
      </c>
      <c r="FM121" s="79">
        <f t="shared" si="22"/>
        <v>45119</v>
      </c>
      <c r="FN121" s="79">
        <f t="shared" si="22"/>
        <v>45120</v>
      </c>
      <c r="FO121" s="79">
        <f t="shared" si="22"/>
        <v>45121</v>
      </c>
      <c r="FP121" s="79">
        <f t="shared" si="22"/>
        <v>45124</v>
      </c>
      <c r="FQ121" s="79">
        <f t="shared" si="22"/>
        <v>45125</v>
      </c>
      <c r="FR121" s="79">
        <f t="shared" si="22"/>
        <v>45126</v>
      </c>
      <c r="FS121" s="79">
        <f t="shared" si="22"/>
        <v>45127</v>
      </c>
      <c r="FT121" s="79">
        <f t="shared" si="22"/>
        <v>45128</v>
      </c>
      <c r="FU121" s="79">
        <f t="shared" si="22"/>
        <v>45131</v>
      </c>
      <c r="FV121" s="79">
        <f t="shared" si="22"/>
        <v>45132</v>
      </c>
      <c r="FW121" s="79">
        <f t="shared" si="22"/>
        <v>45133</v>
      </c>
      <c r="FX121" s="79">
        <f t="shared" si="22"/>
        <v>45134</v>
      </c>
      <c r="FY121" s="79">
        <f t="shared" si="22"/>
        <v>45135</v>
      </c>
      <c r="FZ121" s="79">
        <f t="shared" si="22"/>
        <v>45138</v>
      </c>
      <c r="GA121" s="79">
        <f t="shared" si="22"/>
        <v>45139</v>
      </c>
      <c r="GB121" s="79">
        <f t="shared" si="22"/>
        <v>45140</v>
      </c>
      <c r="GC121" s="79">
        <f t="shared" si="22"/>
        <v>45141</v>
      </c>
      <c r="GD121" s="79">
        <f t="shared" si="22"/>
        <v>45142</v>
      </c>
      <c r="GE121" s="79">
        <f t="shared" si="22"/>
        <v>45145</v>
      </c>
      <c r="GF121" s="79">
        <f t="shared" si="22"/>
        <v>45146</v>
      </c>
      <c r="GG121" s="79">
        <f t="shared" si="22"/>
        <v>45147</v>
      </c>
      <c r="GH121" s="79">
        <f t="shared" si="22"/>
        <v>45148</v>
      </c>
      <c r="GI121" s="79">
        <f t="shared" si="22"/>
        <v>45149</v>
      </c>
      <c r="GJ121" s="79">
        <f t="shared" si="22"/>
        <v>45152</v>
      </c>
      <c r="GK121" s="79">
        <f t="shared" si="22"/>
        <v>45154</v>
      </c>
      <c r="GL121" s="79">
        <f t="shared" si="22"/>
        <v>45155</v>
      </c>
      <c r="GM121" s="79" t="e">
        <f t="shared" si="22"/>
        <v>#N/A</v>
      </c>
      <c r="GN121" s="79" t="e">
        <f t="shared" si="22"/>
        <v>#N/A</v>
      </c>
      <c r="GO121" s="79" t="e">
        <f t="shared" si="22"/>
        <v>#N/A</v>
      </c>
      <c r="GP121" s="79" t="e">
        <f t="shared" si="22"/>
        <v>#N/A</v>
      </c>
      <c r="GQ121" s="79" t="e">
        <f t="shared" si="22"/>
        <v>#N/A</v>
      </c>
      <c r="GR121" s="79" t="e">
        <f t="shared" si="22"/>
        <v>#N/A</v>
      </c>
      <c r="GS121" s="79" t="e">
        <f t="shared" si="22"/>
        <v>#N/A</v>
      </c>
      <c r="GT121" s="79" t="e">
        <f t="shared" si="22"/>
        <v>#N/A</v>
      </c>
      <c r="GU121" s="79" t="e">
        <f t="shared" si="22"/>
        <v>#N/A</v>
      </c>
      <c r="GV121" s="79" t="e">
        <f t="shared" si="22"/>
        <v>#N/A</v>
      </c>
      <c r="GW121" s="79" t="e">
        <f t="shared" si="22"/>
        <v>#N/A</v>
      </c>
      <c r="GX121" s="79" t="e">
        <f t="shared" si="22"/>
        <v>#N/A</v>
      </c>
      <c r="GY121" s="79" t="e">
        <f t="shared" si="22"/>
        <v>#N/A</v>
      </c>
      <c r="GZ121" s="79" t="e">
        <f t="shared" si="22"/>
        <v>#N/A</v>
      </c>
      <c r="HA121" s="79" t="e">
        <f t="shared" si="22"/>
        <v>#N/A</v>
      </c>
      <c r="HB121" s="79" t="e">
        <f t="shared" si="22"/>
        <v>#N/A</v>
      </c>
      <c r="HC121" s="79" t="e">
        <f t="shared" si="22"/>
        <v>#N/A</v>
      </c>
      <c r="HD121" s="79" t="e">
        <f t="shared" si="22"/>
        <v>#N/A</v>
      </c>
      <c r="HE121" s="79" t="e">
        <f t="shared" si="22"/>
        <v>#N/A</v>
      </c>
      <c r="HF121" s="79" t="e">
        <f t="shared" si="22"/>
        <v>#N/A</v>
      </c>
      <c r="HG121" s="79" t="e">
        <f t="shared" si="22"/>
        <v>#N/A</v>
      </c>
      <c r="HH121" s="79" t="e">
        <f t="shared" si="22"/>
        <v>#N/A</v>
      </c>
      <c r="HI121" s="79" t="e">
        <f t="shared" si="22"/>
        <v>#N/A</v>
      </c>
      <c r="HJ121" s="79" t="e">
        <f t="shared" si="22"/>
        <v>#N/A</v>
      </c>
      <c r="HK121" s="79" t="e">
        <f t="shared" si="22"/>
        <v>#N/A</v>
      </c>
      <c r="HL121" s="79" t="e">
        <f t="shared" si="22"/>
        <v>#N/A</v>
      </c>
      <c r="HM121" s="79" t="e">
        <f t="shared" si="22"/>
        <v>#N/A</v>
      </c>
      <c r="HN121" s="79" t="e">
        <f t="shared" si="22"/>
        <v>#N/A</v>
      </c>
      <c r="HO121" s="79" t="e">
        <f t="shared" si="22"/>
        <v>#N/A</v>
      </c>
      <c r="HP121" s="79" t="e">
        <f t="shared" si="22"/>
        <v>#N/A</v>
      </c>
      <c r="HQ121" s="79" t="e">
        <f t="shared" si="22"/>
        <v>#N/A</v>
      </c>
      <c r="HR121" s="79" t="e">
        <f t="shared" si="22"/>
        <v>#N/A</v>
      </c>
      <c r="HS121" s="79" t="e">
        <f t="shared" si="22"/>
        <v>#N/A</v>
      </c>
      <c r="HT121" s="79" t="e">
        <f t="shared" si="22"/>
        <v>#N/A</v>
      </c>
      <c r="HU121" s="79" t="e">
        <f t="shared" si="22"/>
        <v>#N/A</v>
      </c>
      <c r="HV121" s="79" t="e">
        <f t="shared" si="22"/>
        <v>#N/A</v>
      </c>
      <c r="HW121" s="79" t="e">
        <f t="shared" si="22"/>
        <v>#N/A</v>
      </c>
      <c r="HX121" s="79" t="e">
        <f t="shared" ref="HX121:KI121" si="23">IF(HX117="",NA(),HX117)</f>
        <v>#N/A</v>
      </c>
      <c r="HY121" s="79" t="e">
        <f t="shared" si="23"/>
        <v>#N/A</v>
      </c>
      <c r="HZ121" s="79" t="e">
        <f t="shared" si="23"/>
        <v>#N/A</v>
      </c>
      <c r="IA121" s="79" t="e">
        <f t="shared" si="23"/>
        <v>#N/A</v>
      </c>
      <c r="IB121" s="79" t="e">
        <f t="shared" si="23"/>
        <v>#N/A</v>
      </c>
      <c r="IC121" s="79" t="e">
        <f t="shared" si="23"/>
        <v>#N/A</v>
      </c>
      <c r="ID121" s="79" t="e">
        <f t="shared" si="23"/>
        <v>#N/A</v>
      </c>
      <c r="IE121" s="79" t="e">
        <f t="shared" si="23"/>
        <v>#N/A</v>
      </c>
      <c r="IF121" s="79" t="e">
        <f t="shared" si="23"/>
        <v>#N/A</v>
      </c>
      <c r="IG121" s="79" t="e">
        <f t="shared" si="23"/>
        <v>#N/A</v>
      </c>
      <c r="IH121" s="79" t="e">
        <f t="shared" si="23"/>
        <v>#N/A</v>
      </c>
      <c r="II121" s="79" t="e">
        <f t="shared" si="23"/>
        <v>#N/A</v>
      </c>
      <c r="IJ121" s="79" t="e">
        <f t="shared" si="23"/>
        <v>#N/A</v>
      </c>
      <c r="IK121" s="79" t="e">
        <f t="shared" si="23"/>
        <v>#N/A</v>
      </c>
      <c r="IL121" s="79" t="e">
        <f t="shared" si="23"/>
        <v>#N/A</v>
      </c>
      <c r="IM121" s="79" t="e">
        <f t="shared" si="23"/>
        <v>#N/A</v>
      </c>
      <c r="IN121" s="79" t="e">
        <f t="shared" si="23"/>
        <v>#N/A</v>
      </c>
      <c r="IO121" s="79" t="e">
        <f t="shared" si="23"/>
        <v>#N/A</v>
      </c>
      <c r="IP121" s="79" t="e">
        <f t="shared" si="23"/>
        <v>#N/A</v>
      </c>
      <c r="IQ121" s="79" t="e">
        <f t="shared" si="23"/>
        <v>#N/A</v>
      </c>
      <c r="IR121" s="79" t="e">
        <f t="shared" si="23"/>
        <v>#N/A</v>
      </c>
      <c r="IS121" s="79" t="e">
        <f t="shared" si="23"/>
        <v>#N/A</v>
      </c>
      <c r="IT121" s="79" t="e">
        <f t="shared" si="23"/>
        <v>#N/A</v>
      </c>
      <c r="IU121" s="79" t="e">
        <f t="shared" si="23"/>
        <v>#N/A</v>
      </c>
      <c r="IV121" s="79" t="e">
        <f t="shared" si="23"/>
        <v>#N/A</v>
      </c>
      <c r="IW121" s="79" t="e">
        <f t="shared" si="23"/>
        <v>#N/A</v>
      </c>
      <c r="IX121" s="79" t="e">
        <f t="shared" si="23"/>
        <v>#N/A</v>
      </c>
      <c r="IY121" s="79" t="e">
        <f t="shared" si="23"/>
        <v>#N/A</v>
      </c>
      <c r="IZ121" s="79" t="e">
        <f t="shared" si="23"/>
        <v>#N/A</v>
      </c>
      <c r="JA121" s="79" t="e">
        <f t="shared" si="23"/>
        <v>#N/A</v>
      </c>
      <c r="JB121" s="79" t="e">
        <f t="shared" si="23"/>
        <v>#N/A</v>
      </c>
      <c r="JC121" s="79" t="e">
        <f t="shared" si="23"/>
        <v>#N/A</v>
      </c>
      <c r="JD121" s="79" t="e">
        <f t="shared" si="23"/>
        <v>#N/A</v>
      </c>
      <c r="JE121" s="79" t="e">
        <f t="shared" si="23"/>
        <v>#N/A</v>
      </c>
      <c r="JF121" s="79" t="e">
        <f t="shared" si="23"/>
        <v>#N/A</v>
      </c>
      <c r="JG121" s="79" t="e">
        <f t="shared" si="23"/>
        <v>#N/A</v>
      </c>
      <c r="JH121" s="79" t="e">
        <f t="shared" si="23"/>
        <v>#N/A</v>
      </c>
      <c r="JI121" s="79" t="e">
        <f t="shared" si="23"/>
        <v>#N/A</v>
      </c>
      <c r="JJ121" s="79" t="e">
        <f t="shared" si="23"/>
        <v>#N/A</v>
      </c>
      <c r="JK121" s="79" t="e">
        <f t="shared" si="23"/>
        <v>#N/A</v>
      </c>
      <c r="JL121" s="79" t="e">
        <f t="shared" si="23"/>
        <v>#N/A</v>
      </c>
      <c r="JM121" s="79" t="e">
        <f t="shared" si="23"/>
        <v>#N/A</v>
      </c>
      <c r="JN121" s="79" t="e">
        <f t="shared" si="23"/>
        <v>#N/A</v>
      </c>
      <c r="JO121" s="79" t="e">
        <f t="shared" si="23"/>
        <v>#N/A</v>
      </c>
      <c r="JP121" s="79" t="e">
        <f t="shared" si="23"/>
        <v>#N/A</v>
      </c>
      <c r="JQ121" s="79" t="e">
        <f t="shared" si="23"/>
        <v>#N/A</v>
      </c>
      <c r="JR121" s="79" t="e">
        <f t="shared" si="23"/>
        <v>#N/A</v>
      </c>
      <c r="JS121" s="79" t="e">
        <f t="shared" si="23"/>
        <v>#N/A</v>
      </c>
      <c r="JT121" s="79" t="e">
        <f t="shared" si="23"/>
        <v>#N/A</v>
      </c>
      <c r="JU121" s="79" t="e">
        <f t="shared" si="23"/>
        <v>#N/A</v>
      </c>
      <c r="JV121" s="79" t="e">
        <f t="shared" si="23"/>
        <v>#N/A</v>
      </c>
      <c r="JW121" s="79" t="e">
        <f t="shared" si="23"/>
        <v>#N/A</v>
      </c>
      <c r="JX121" s="79" t="e">
        <f t="shared" si="23"/>
        <v>#N/A</v>
      </c>
      <c r="JY121" s="79" t="e">
        <f t="shared" si="23"/>
        <v>#N/A</v>
      </c>
      <c r="JZ121" s="79" t="e">
        <f t="shared" si="23"/>
        <v>#N/A</v>
      </c>
      <c r="KA121" s="79" t="e">
        <f t="shared" si="23"/>
        <v>#N/A</v>
      </c>
      <c r="KB121" s="79" t="e">
        <f t="shared" si="23"/>
        <v>#N/A</v>
      </c>
      <c r="KC121" s="79" t="e">
        <f t="shared" si="23"/>
        <v>#N/A</v>
      </c>
      <c r="KD121" s="79" t="e">
        <f t="shared" si="23"/>
        <v>#N/A</v>
      </c>
      <c r="KE121" s="79" t="e">
        <f t="shared" si="23"/>
        <v>#N/A</v>
      </c>
      <c r="KF121" s="79" t="e">
        <f t="shared" si="23"/>
        <v>#N/A</v>
      </c>
      <c r="KG121" s="79" t="e">
        <f t="shared" si="23"/>
        <v>#N/A</v>
      </c>
      <c r="KH121" s="79" t="e">
        <f t="shared" si="23"/>
        <v>#N/A</v>
      </c>
      <c r="KI121" s="79" t="e">
        <f t="shared" si="23"/>
        <v>#N/A</v>
      </c>
      <c r="KJ121" s="79" t="e">
        <f t="shared" ref="KJ121:MN121" si="24">IF(KJ117="",NA(),KJ117)</f>
        <v>#N/A</v>
      </c>
      <c r="KK121" s="79" t="e">
        <f t="shared" si="24"/>
        <v>#N/A</v>
      </c>
      <c r="KL121" s="79" t="e">
        <f t="shared" si="24"/>
        <v>#N/A</v>
      </c>
      <c r="KM121" s="79" t="e">
        <f t="shared" si="24"/>
        <v>#N/A</v>
      </c>
      <c r="KN121" s="79" t="e">
        <f t="shared" si="24"/>
        <v>#N/A</v>
      </c>
      <c r="KO121" s="79" t="e">
        <f t="shared" si="24"/>
        <v>#N/A</v>
      </c>
      <c r="KP121" s="79" t="e">
        <f t="shared" si="24"/>
        <v>#N/A</v>
      </c>
      <c r="KQ121" s="79" t="e">
        <f t="shared" si="24"/>
        <v>#N/A</v>
      </c>
      <c r="KR121" s="79" t="e">
        <f t="shared" si="24"/>
        <v>#N/A</v>
      </c>
      <c r="KS121" s="79" t="e">
        <f t="shared" si="24"/>
        <v>#N/A</v>
      </c>
      <c r="KT121" s="79" t="e">
        <f t="shared" si="24"/>
        <v>#N/A</v>
      </c>
      <c r="KU121" s="79" t="e">
        <f t="shared" si="24"/>
        <v>#N/A</v>
      </c>
      <c r="KV121" s="79" t="e">
        <f t="shared" si="24"/>
        <v>#N/A</v>
      </c>
      <c r="KW121" s="79" t="e">
        <f t="shared" si="24"/>
        <v>#N/A</v>
      </c>
      <c r="KX121" s="79" t="e">
        <f t="shared" si="24"/>
        <v>#N/A</v>
      </c>
      <c r="KY121" s="79" t="e">
        <f t="shared" si="24"/>
        <v>#N/A</v>
      </c>
      <c r="KZ121" s="79" t="e">
        <f t="shared" si="24"/>
        <v>#N/A</v>
      </c>
      <c r="LA121" s="79" t="e">
        <f t="shared" si="24"/>
        <v>#N/A</v>
      </c>
      <c r="LB121" s="79" t="e">
        <f t="shared" si="24"/>
        <v>#N/A</v>
      </c>
      <c r="LC121" s="79" t="e">
        <f t="shared" si="24"/>
        <v>#N/A</v>
      </c>
      <c r="LD121" s="79" t="e">
        <f t="shared" si="24"/>
        <v>#N/A</v>
      </c>
      <c r="LE121" s="79" t="e">
        <f t="shared" si="24"/>
        <v>#N/A</v>
      </c>
      <c r="LF121" s="79" t="e">
        <f t="shared" si="24"/>
        <v>#N/A</v>
      </c>
      <c r="LG121" s="79" t="e">
        <f t="shared" si="24"/>
        <v>#N/A</v>
      </c>
      <c r="LH121" s="79" t="e">
        <f t="shared" si="24"/>
        <v>#N/A</v>
      </c>
      <c r="LI121" s="79" t="e">
        <f t="shared" si="24"/>
        <v>#N/A</v>
      </c>
      <c r="LJ121" s="79" t="e">
        <f t="shared" si="24"/>
        <v>#N/A</v>
      </c>
      <c r="LK121" s="79" t="e">
        <f t="shared" si="24"/>
        <v>#N/A</v>
      </c>
      <c r="LL121" s="79" t="e">
        <f t="shared" si="24"/>
        <v>#N/A</v>
      </c>
      <c r="LM121" s="79" t="e">
        <f t="shared" si="24"/>
        <v>#N/A</v>
      </c>
      <c r="LN121" s="79" t="e">
        <f t="shared" si="24"/>
        <v>#N/A</v>
      </c>
      <c r="LO121" s="79" t="e">
        <f t="shared" si="24"/>
        <v>#N/A</v>
      </c>
      <c r="LP121" s="79" t="e">
        <f t="shared" si="24"/>
        <v>#N/A</v>
      </c>
      <c r="LQ121" s="79" t="e">
        <f t="shared" si="24"/>
        <v>#N/A</v>
      </c>
      <c r="LR121" s="79" t="e">
        <f t="shared" si="24"/>
        <v>#N/A</v>
      </c>
      <c r="LS121" s="79" t="e">
        <f t="shared" si="24"/>
        <v>#N/A</v>
      </c>
      <c r="LT121" s="79" t="e">
        <f t="shared" si="24"/>
        <v>#N/A</v>
      </c>
      <c r="LU121" s="79" t="e">
        <f t="shared" si="24"/>
        <v>#N/A</v>
      </c>
      <c r="LV121" s="79" t="e">
        <f t="shared" si="24"/>
        <v>#N/A</v>
      </c>
      <c r="LW121" s="79" t="e">
        <f t="shared" si="24"/>
        <v>#N/A</v>
      </c>
      <c r="LX121" s="79" t="e">
        <f t="shared" si="24"/>
        <v>#N/A</v>
      </c>
      <c r="LY121" s="79" t="e">
        <f t="shared" si="24"/>
        <v>#N/A</v>
      </c>
      <c r="LZ121" s="79" t="e">
        <f t="shared" si="24"/>
        <v>#N/A</v>
      </c>
      <c r="MA121" s="79" t="e">
        <f t="shared" si="24"/>
        <v>#N/A</v>
      </c>
      <c r="MB121" s="79" t="e">
        <f t="shared" si="24"/>
        <v>#N/A</v>
      </c>
      <c r="MC121" s="79" t="e">
        <f t="shared" si="24"/>
        <v>#N/A</v>
      </c>
      <c r="MD121" s="79" t="e">
        <f t="shared" si="24"/>
        <v>#N/A</v>
      </c>
      <c r="ME121" s="79" t="e">
        <f t="shared" si="24"/>
        <v>#N/A</v>
      </c>
      <c r="MF121" s="79" t="e">
        <f t="shared" si="24"/>
        <v>#N/A</v>
      </c>
      <c r="MG121" s="79" t="e">
        <f t="shared" si="24"/>
        <v>#N/A</v>
      </c>
      <c r="MH121" s="79" t="e">
        <f t="shared" si="24"/>
        <v>#N/A</v>
      </c>
      <c r="MI121" s="79" t="e">
        <f t="shared" si="24"/>
        <v>#N/A</v>
      </c>
      <c r="MJ121" s="79" t="e">
        <f t="shared" si="24"/>
        <v>#N/A</v>
      </c>
      <c r="MK121" s="79" t="e">
        <f t="shared" si="24"/>
        <v>#N/A</v>
      </c>
      <c r="ML121" s="79" t="e">
        <f t="shared" si="24"/>
        <v>#N/A</v>
      </c>
      <c r="MM121" s="79" t="e">
        <f t="shared" si="24"/>
        <v>#N/A</v>
      </c>
      <c r="MN121" s="79" t="e">
        <f t="shared" si="24"/>
        <v>#N/A</v>
      </c>
    </row>
    <row r="122" spans="25:406" ht="15" hidden="1" customHeight="1">
      <c r="Y122" s="83">
        <f t="shared" si="18"/>
        <v>344.92</v>
      </c>
      <c r="Z122" s="79">
        <f t="shared" si="19"/>
        <v>45132</v>
      </c>
      <c r="AA122" s="105" t="e">
        <f>IF(SUM(AE50:$AE$103)=0,NA(),SUM(AE50:$AE$103))</f>
        <v>#N/A</v>
      </c>
      <c r="AB122" s="124" t="e">
        <f>IF(SUM(AF50:$AF$103)=0,NA(),SUM(AF50:$AF$103))</f>
        <v>#N/A</v>
      </c>
      <c r="AC122" s="133" t="e">
        <f>IF(SUM(AG50:$AG$103)=0,NA(),SUM(AG50:$AG$103))</f>
        <v>#N/A</v>
      </c>
      <c r="AK122" s="79"/>
      <c r="AL122" s="82" t="s">
        <v>318</v>
      </c>
      <c r="AM122" s="82">
        <f>IF(AM118="",NA(),AM118)</f>
        <v>289.79000000000002</v>
      </c>
      <c r="AN122" s="82">
        <f t="shared" ref="AN122:CY122" si="25">IF(AN118="",NA(),AN118)</f>
        <v>289.58</v>
      </c>
      <c r="AO122" s="82">
        <f t="shared" si="25"/>
        <v>295.98</v>
      </c>
      <c r="AP122" s="82">
        <f t="shared" si="25"/>
        <v>297.87</v>
      </c>
      <c r="AQ122" s="82">
        <f t="shared" si="25"/>
        <v>301.52999999999997</v>
      </c>
      <c r="AR122" s="82">
        <f t="shared" si="25"/>
        <v>309.69</v>
      </c>
      <c r="AS122" s="82">
        <f t="shared" si="25"/>
        <v>309.57</v>
      </c>
      <c r="AT122" s="82">
        <f t="shared" si="25"/>
        <v>310.38</v>
      </c>
      <c r="AU122" s="82">
        <f t="shared" si="25"/>
        <v>310.7</v>
      </c>
      <c r="AV122" s="82">
        <f t="shared" si="25"/>
        <v>313.77</v>
      </c>
      <c r="AW122" s="82">
        <f t="shared" si="25"/>
        <v>316.04000000000002</v>
      </c>
      <c r="AX122" s="82">
        <f t="shared" si="25"/>
        <v>313.75</v>
      </c>
      <c r="AY122" s="82">
        <f t="shared" si="25"/>
        <v>311.91000000000003</v>
      </c>
      <c r="AZ122" s="82">
        <f t="shared" si="25"/>
        <v>313.81</v>
      </c>
      <c r="BA122" s="82">
        <f t="shared" si="25"/>
        <v>315.58</v>
      </c>
      <c r="BB122" s="82">
        <f t="shared" si="25"/>
        <v>320.76</v>
      </c>
      <c r="BC122" s="82">
        <f t="shared" si="25"/>
        <v>325.57</v>
      </c>
      <c r="BD122" s="82">
        <f t="shared" si="25"/>
        <v>327.98</v>
      </c>
      <c r="BE122" s="82">
        <f t="shared" si="25"/>
        <v>322.67</v>
      </c>
      <c r="BF122" s="82">
        <f t="shared" si="25"/>
        <v>317.26</v>
      </c>
      <c r="BG122" s="82">
        <f t="shared" si="25"/>
        <v>321.19</v>
      </c>
      <c r="BH122" s="82">
        <f t="shared" si="25"/>
        <v>323.93</v>
      </c>
      <c r="BI122" s="82">
        <f t="shared" si="25"/>
        <v>325.86</v>
      </c>
      <c r="BJ122" s="82">
        <f t="shared" si="25"/>
        <v>318.83</v>
      </c>
      <c r="BK122" s="82">
        <f t="shared" si="25"/>
        <v>320.55</v>
      </c>
      <c r="BL122" s="82">
        <f t="shared" si="25"/>
        <v>325.63</v>
      </c>
      <c r="BM122" s="82">
        <f t="shared" si="25"/>
        <v>324.89999999999998</v>
      </c>
      <c r="BN122" s="82">
        <f t="shared" si="25"/>
        <v>323.69</v>
      </c>
      <c r="BO122" s="82">
        <f t="shared" si="25"/>
        <v>321.75</v>
      </c>
      <c r="BP122" s="82">
        <f t="shared" si="25"/>
        <v>323.47000000000003</v>
      </c>
      <c r="BQ122" s="82">
        <f t="shared" si="25"/>
        <v>317.99</v>
      </c>
      <c r="BR122" s="82">
        <f t="shared" si="25"/>
        <v>324.10000000000002</v>
      </c>
      <c r="BS122" s="82">
        <f t="shared" si="25"/>
        <v>320.77999999999997</v>
      </c>
      <c r="BT122" s="82">
        <f t="shared" si="25"/>
        <v>321.79000000000002</v>
      </c>
      <c r="BU122" s="82">
        <f t="shared" si="25"/>
        <v>321.56</v>
      </c>
      <c r="BV122" s="82">
        <f t="shared" si="25"/>
        <v>315.94</v>
      </c>
      <c r="BW122" s="82">
        <f t="shared" si="25"/>
        <v>319.44</v>
      </c>
      <c r="BX122" s="82">
        <f t="shared" si="25"/>
        <v>316.94</v>
      </c>
      <c r="BY122" s="82">
        <f t="shared" si="25"/>
        <v>313.94</v>
      </c>
      <c r="BZ122" s="82">
        <f t="shared" si="25"/>
        <v>314.8</v>
      </c>
      <c r="CA122" s="82">
        <f t="shared" si="25"/>
        <v>316.26</v>
      </c>
      <c r="CB122" s="82">
        <f t="shared" si="25"/>
        <v>316.36</v>
      </c>
      <c r="CC122" s="82">
        <f t="shared" si="25"/>
        <v>320.94</v>
      </c>
      <c r="CD122" s="82">
        <f t="shared" si="25"/>
        <v>319.8</v>
      </c>
      <c r="CE122" s="82">
        <f t="shared" si="25"/>
        <v>315.38</v>
      </c>
      <c r="CF122" s="82">
        <f t="shared" si="25"/>
        <v>314.04000000000002</v>
      </c>
      <c r="CG122" s="82">
        <f t="shared" si="25"/>
        <v>310.64999999999998</v>
      </c>
      <c r="CH122" s="82">
        <f t="shared" si="25"/>
        <v>313.20999999999998</v>
      </c>
      <c r="CI122" s="82">
        <f t="shared" si="25"/>
        <v>305.58</v>
      </c>
      <c r="CJ122" s="82">
        <f t="shared" si="25"/>
        <v>309.10000000000002</v>
      </c>
      <c r="CK122" s="82">
        <f t="shared" si="25"/>
        <v>308.39</v>
      </c>
      <c r="CL122" s="82">
        <f t="shared" si="25"/>
        <v>312.07</v>
      </c>
      <c r="CM122" s="82">
        <f t="shared" si="25"/>
        <v>309.49</v>
      </c>
      <c r="CN122" s="82">
        <f t="shared" si="25"/>
        <v>310.36</v>
      </c>
      <c r="CO122" s="82">
        <f t="shared" si="25"/>
        <v>314.11</v>
      </c>
      <c r="CP122" s="82">
        <f t="shared" si="25"/>
        <v>315.75</v>
      </c>
      <c r="CQ122" s="82">
        <f t="shared" si="25"/>
        <v>314.3</v>
      </c>
      <c r="CR122" s="82">
        <f t="shared" si="25"/>
        <v>312.85000000000002</v>
      </c>
      <c r="CS122" s="82">
        <f t="shared" si="25"/>
        <v>316.36</v>
      </c>
      <c r="CT122" s="82">
        <f t="shared" si="25"/>
        <v>317.01</v>
      </c>
      <c r="CU122" s="82">
        <f t="shared" si="25"/>
        <v>318.05</v>
      </c>
      <c r="CV122" s="82">
        <f t="shared" si="25"/>
        <v>322.02999999999997</v>
      </c>
      <c r="CW122" s="82">
        <f t="shared" si="25"/>
        <v>320.38</v>
      </c>
      <c r="CX122" s="82">
        <f t="shared" si="25"/>
        <v>321.75</v>
      </c>
      <c r="CY122" s="82">
        <f t="shared" si="25"/>
        <v>323.56</v>
      </c>
      <c r="CZ122" s="82">
        <f t="shared" ref="CZ122:FK122" si="26">IF(CZ118="",NA(),CZ118)</f>
        <v>317.82</v>
      </c>
      <c r="DA122" s="82">
        <f t="shared" si="26"/>
        <v>323.36</v>
      </c>
      <c r="DB122" s="82">
        <f t="shared" si="26"/>
        <v>326.38</v>
      </c>
      <c r="DC122" s="82">
        <f t="shared" si="26"/>
        <v>330.87</v>
      </c>
      <c r="DD122" s="82">
        <f t="shared" si="26"/>
        <v>332.09</v>
      </c>
      <c r="DE122" s="82">
        <f t="shared" si="26"/>
        <v>333.09</v>
      </c>
      <c r="DF122" s="82">
        <f t="shared" si="26"/>
        <v>333.68</v>
      </c>
      <c r="DG122" s="82">
        <f t="shared" si="26"/>
        <v>333.92</v>
      </c>
      <c r="DH122" s="82">
        <f t="shared" si="26"/>
        <v>333.5</v>
      </c>
      <c r="DI122" s="82">
        <f t="shared" si="26"/>
        <v>333.77</v>
      </c>
      <c r="DJ122" s="82">
        <f t="shared" si="26"/>
        <v>332.66</v>
      </c>
      <c r="DK122" s="82">
        <f t="shared" si="26"/>
        <v>330.94</v>
      </c>
      <c r="DL122" s="82">
        <f t="shared" si="26"/>
        <v>328.7</v>
      </c>
      <c r="DM122" s="82">
        <f t="shared" si="26"/>
        <v>324.48</v>
      </c>
      <c r="DN122" s="82">
        <f t="shared" si="26"/>
        <v>323.97000000000003</v>
      </c>
      <c r="DO122" s="82">
        <f t="shared" si="26"/>
        <v>325.08999999999997</v>
      </c>
      <c r="DP122" s="82">
        <f t="shared" si="26"/>
        <v>326.45999999999998</v>
      </c>
      <c r="DQ122" s="82">
        <f t="shared" si="26"/>
        <v>329.09</v>
      </c>
      <c r="DR122" s="82">
        <f t="shared" si="26"/>
        <v>326.52</v>
      </c>
      <c r="DS122" s="82">
        <f t="shared" si="26"/>
        <v>326.17</v>
      </c>
      <c r="DT122" s="82">
        <f t="shared" si="26"/>
        <v>328.9</v>
      </c>
      <c r="DU122" s="82">
        <f t="shared" si="26"/>
        <v>328.22</v>
      </c>
      <c r="DV122" s="82">
        <f t="shared" si="26"/>
        <v>326.04000000000002</v>
      </c>
      <c r="DW122" s="82">
        <f t="shared" si="26"/>
        <v>325.27999999999997</v>
      </c>
      <c r="DX122" s="82">
        <f t="shared" si="26"/>
        <v>323.61</v>
      </c>
      <c r="DY122" s="82">
        <f t="shared" si="26"/>
        <v>324.45999999999998</v>
      </c>
      <c r="DZ122" s="82">
        <f t="shared" si="26"/>
        <v>325.31</v>
      </c>
      <c r="EA122" s="82">
        <f t="shared" si="26"/>
        <v>326.61</v>
      </c>
      <c r="EB122" s="82">
        <f t="shared" si="26"/>
        <v>329.84</v>
      </c>
      <c r="EC122" s="82">
        <f t="shared" si="26"/>
        <v>334.23</v>
      </c>
      <c r="ED122" s="82">
        <f t="shared" si="26"/>
        <v>336.27</v>
      </c>
      <c r="EE122" s="82">
        <f t="shared" si="26"/>
        <v>337.09</v>
      </c>
      <c r="EF122" s="82">
        <f t="shared" si="26"/>
        <v>336.49</v>
      </c>
      <c r="EG122" s="82">
        <f t="shared" si="26"/>
        <v>335.35</v>
      </c>
      <c r="EH122" s="82">
        <f t="shared" si="26"/>
        <v>337.11</v>
      </c>
      <c r="EI122" s="82">
        <f t="shared" si="26"/>
        <v>341.5</v>
      </c>
      <c r="EJ122" s="82">
        <f t="shared" si="26"/>
        <v>339.12</v>
      </c>
      <c r="EK122" s="82">
        <f t="shared" si="26"/>
        <v>338.08</v>
      </c>
      <c r="EL122" s="82">
        <f t="shared" si="26"/>
        <v>342.67</v>
      </c>
      <c r="EM122" s="82">
        <f t="shared" si="26"/>
        <v>343.91</v>
      </c>
      <c r="EN122" s="82">
        <f t="shared" si="26"/>
        <v>343.22</v>
      </c>
      <c r="EO122" s="82">
        <f t="shared" si="26"/>
        <v>342.75</v>
      </c>
      <c r="EP122" s="82">
        <f t="shared" si="26"/>
        <v>346.79</v>
      </c>
      <c r="EQ122" s="82">
        <f t="shared" si="26"/>
        <v>344.57</v>
      </c>
      <c r="ER122" s="82">
        <f t="shared" si="26"/>
        <v>346.39</v>
      </c>
      <c r="ES122" s="82">
        <f t="shared" si="26"/>
        <v>344.65</v>
      </c>
      <c r="ET122" s="82">
        <f t="shared" si="26"/>
        <v>343.19</v>
      </c>
      <c r="EU122" s="82">
        <f t="shared" si="26"/>
        <v>345.17</v>
      </c>
      <c r="EV122" s="82">
        <f t="shared" si="26"/>
        <v>343.13</v>
      </c>
      <c r="EW122" s="82">
        <f t="shared" si="26"/>
        <v>342.58</v>
      </c>
      <c r="EX122" s="82">
        <f t="shared" si="26"/>
        <v>339.44</v>
      </c>
      <c r="EY122" s="82">
        <f t="shared" si="26"/>
        <v>341.12</v>
      </c>
      <c r="EZ122" s="82">
        <f t="shared" si="26"/>
        <v>338.45</v>
      </c>
      <c r="FA122" s="82">
        <f t="shared" si="26"/>
        <v>340.38</v>
      </c>
      <c r="FB122" s="82">
        <f t="shared" si="26"/>
        <v>340.32</v>
      </c>
      <c r="FC122" s="82">
        <f t="shared" si="26"/>
        <v>338.41</v>
      </c>
      <c r="FD122" s="82">
        <f t="shared" si="26"/>
        <v>336.39</v>
      </c>
      <c r="FE122" s="82">
        <f t="shared" si="26"/>
        <v>337.95</v>
      </c>
      <c r="FF122" s="82">
        <f t="shared" si="26"/>
        <v>343.08</v>
      </c>
      <c r="FG122" s="82">
        <f t="shared" si="26"/>
        <v>341.59</v>
      </c>
      <c r="FH122" s="82">
        <f t="shared" si="26"/>
        <v>339.04</v>
      </c>
      <c r="FI122" s="82">
        <f t="shared" si="26"/>
        <v>336.2</v>
      </c>
      <c r="FJ122" s="82">
        <f t="shared" si="26"/>
        <v>331.57</v>
      </c>
      <c r="FK122" s="82">
        <f t="shared" si="26"/>
        <v>330.84</v>
      </c>
      <c r="FL122" s="82">
        <f t="shared" ref="FL122:HW122" si="27">IF(FL118="",NA(),FL118)</f>
        <v>337.02</v>
      </c>
      <c r="FM122" s="82">
        <f t="shared" si="27"/>
        <v>339.46</v>
      </c>
      <c r="FN122" s="82">
        <f t="shared" si="27"/>
        <v>341.13</v>
      </c>
      <c r="FO122" s="82">
        <f t="shared" si="27"/>
        <v>346.93</v>
      </c>
      <c r="FP122" s="82">
        <f t="shared" si="27"/>
        <v>345.75</v>
      </c>
      <c r="FQ122" s="82">
        <f t="shared" si="27"/>
        <v>343.38</v>
      </c>
      <c r="FR122" s="82">
        <f t="shared" si="27"/>
        <v>343.11</v>
      </c>
      <c r="FS122" s="82">
        <f t="shared" si="27"/>
        <v>341.67</v>
      </c>
      <c r="FT122" s="82">
        <f t="shared" si="27"/>
        <v>342.39</v>
      </c>
      <c r="FU122" s="82">
        <f t="shared" si="27"/>
        <v>344.32</v>
      </c>
      <c r="FV122" s="82">
        <f t="shared" si="27"/>
        <v>344.92</v>
      </c>
      <c r="FW122" s="82">
        <f t="shared" si="27"/>
        <v>340.56</v>
      </c>
      <c r="FX122" s="82">
        <f t="shared" si="27"/>
        <v>344.76</v>
      </c>
      <c r="FY122" s="82">
        <f t="shared" si="27"/>
        <v>344.03</v>
      </c>
      <c r="FZ122" s="82">
        <f t="shared" si="27"/>
        <v>345.62</v>
      </c>
      <c r="GA122" s="82">
        <f t="shared" si="27"/>
        <v>351</v>
      </c>
      <c r="GB122" s="82">
        <f t="shared" si="27"/>
        <v>343.8</v>
      </c>
      <c r="GC122" s="82">
        <f t="shared" si="27"/>
        <v>341.54</v>
      </c>
      <c r="GD122" s="82">
        <f t="shared" si="27"/>
        <v>341.25</v>
      </c>
      <c r="GE122" s="82">
        <f t="shared" si="27"/>
        <v>339.68</v>
      </c>
      <c r="GF122" s="82">
        <f t="shared" si="27"/>
        <v>337.95</v>
      </c>
      <c r="GG122" s="82">
        <f t="shared" si="27"/>
        <v>341.61</v>
      </c>
      <c r="GH122" s="82">
        <f t="shared" si="27"/>
        <v>340.46</v>
      </c>
      <c r="GI122" s="82">
        <f t="shared" si="27"/>
        <v>338.98</v>
      </c>
      <c r="GJ122" s="82">
        <f t="shared" si="27"/>
        <v>336.33</v>
      </c>
      <c r="GK122" s="82">
        <f t="shared" si="27"/>
        <v>331.28</v>
      </c>
      <c r="GL122" s="82">
        <f t="shared" si="27"/>
        <v>330.23</v>
      </c>
      <c r="GM122" s="82" t="e">
        <f t="shared" si="27"/>
        <v>#N/A</v>
      </c>
      <c r="GN122" s="82" t="e">
        <f t="shared" si="27"/>
        <v>#N/A</v>
      </c>
      <c r="GO122" s="82" t="e">
        <f t="shared" si="27"/>
        <v>#N/A</v>
      </c>
      <c r="GP122" s="82" t="e">
        <f t="shared" si="27"/>
        <v>#N/A</v>
      </c>
      <c r="GQ122" s="82" t="e">
        <f t="shared" si="27"/>
        <v>#N/A</v>
      </c>
      <c r="GR122" s="82" t="e">
        <f t="shared" si="27"/>
        <v>#N/A</v>
      </c>
      <c r="GS122" s="82" t="e">
        <f t="shared" si="27"/>
        <v>#N/A</v>
      </c>
      <c r="GT122" s="82" t="e">
        <f t="shared" si="27"/>
        <v>#N/A</v>
      </c>
      <c r="GU122" s="82" t="e">
        <f t="shared" si="27"/>
        <v>#N/A</v>
      </c>
      <c r="GV122" s="82" t="e">
        <f t="shared" si="27"/>
        <v>#N/A</v>
      </c>
      <c r="GW122" s="82" t="e">
        <f t="shared" si="27"/>
        <v>#N/A</v>
      </c>
      <c r="GX122" s="82" t="e">
        <f t="shared" si="27"/>
        <v>#N/A</v>
      </c>
      <c r="GY122" s="82" t="e">
        <f t="shared" si="27"/>
        <v>#N/A</v>
      </c>
      <c r="GZ122" s="82" t="e">
        <f t="shared" si="27"/>
        <v>#N/A</v>
      </c>
      <c r="HA122" s="82" t="e">
        <f t="shared" si="27"/>
        <v>#N/A</v>
      </c>
      <c r="HB122" s="82" t="e">
        <f t="shared" si="27"/>
        <v>#N/A</v>
      </c>
      <c r="HC122" s="82" t="e">
        <f t="shared" si="27"/>
        <v>#N/A</v>
      </c>
      <c r="HD122" s="82" t="e">
        <f t="shared" si="27"/>
        <v>#N/A</v>
      </c>
      <c r="HE122" s="82" t="e">
        <f t="shared" si="27"/>
        <v>#N/A</v>
      </c>
      <c r="HF122" s="82" t="e">
        <f t="shared" si="27"/>
        <v>#N/A</v>
      </c>
      <c r="HG122" s="82" t="e">
        <f t="shared" si="27"/>
        <v>#N/A</v>
      </c>
      <c r="HH122" s="82" t="e">
        <f t="shared" si="27"/>
        <v>#N/A</v>
      </c>
      <c r="HI122" s="82" t="e">
        <f t="shared" si="27"/>
        <v>#N/A</v>
      </c>
      <c r="HJ122" s="82" t="e">
        <f t="shared" si="27"/>
        <v>#N/A</v>
      </c>
      <c r="HK122" s="82" t="e">
        <f t="shared" si="27"/>
        <v>#N/A</v>
      </c>
      <c r="HL122" s="82" t="e">
        <f t="shared" si="27"/>
        <v>#N/A</v>
      </c>
      <c r="HM122" s="82" t="e">
        <f t="shared" si="27"/>
        <v>#N/A</v>
      </c>
      <c r="HN122" s="82" t="e">
        <f t="shared" si="27"/>
        <v>#N/A</v>
      </c>
      <c r="HO122" s="82" t="e">
        <f t="shared" si="27"/>
        <v>#N/A</v>
      </c>
      <c r="HP122" s="82" t="e">
        <f t="shared" si="27"/>
        <v>#N/A</v>
      </c>
      <c r="HQ122" s="82" t="e">
        <f t="shared" si="27"/>
        <v>#N/A</v>
      </c>
      <c r="HR122" s="82" t="e">
        <f t="shared" si="27"/>
        <v>#N/A</v>
      </c>
      <c r="HS122" s="82" t="e">
        <f t="shared" si="27"/>
        <v>#N/A</v>
      </c>
      <c r="HT122" s="82" t="e">
        <f t="shared" si="27"/>
        <v>#N/A</v>
      </c>
      <c r="HU122" s="82" t="e">
        <f t="shared" si="27"/>
        <v>#N/A</v>
      </c>
      <c r="HV122" s="82" t="e">
        <f t="shared" si="27"/>
        <v>#N/A</v>
      </c>
      <c r="HW122" s="82" t="e">
        <f t="shared" si="27"/>
        <v>#N/A</v>
      </c>
      <c r="HX122" s="82" t="e">
        <f t="shared" ref="HX122:KI122" si="28">IF(HX118="",NA(),HX118)</f>
        <v>#N/A</v>
      </c>
      <c r="HY122" s="82" t="e">
        <f t="shared" si="28"/>
        <v>#N/A</v>
      </c>
      <c r="HZ122" s="82" t="e">
        <f t="shared" si="28"/>
        <v>#N/A</v>
      </c>
      <c r="IA122" s="82" t="e">
        <f t="shared" si="28"/>
        <v>#N/A</v>
      </c>
      <c r="IB122" s="82" t="e">
        <f t="shared" si="28"/>
        <v>#N/A</v>
      </c>
      <c r="IC122" s="82" t="e">
        <f t="shared" si="28"/>
        <v>#N/A</v>
      </c>
      <c r="ID122" s="82" t="e">
        <f t="shared" si="28"/>
        <v>#N/A</v>
      </c>
      <c r="IE122" s="82" t="e">
        <f t="shared" si="28"/>
        <v>#N/A</v>
      </c>
      <c r="IF122" s="82" t="e">
        <f t="shared" si="28"/>
        <v>#N/A</v>
      </c>
      <c r="IG122" s="82" t="e">
        <f t="shared" si="28"/>
        <v>#N/A</v>
      </c>
      <c r="IH122" s="82" t="e">
        <f t="shared" si="28"/>
        <v>#N/A</v>
      </c>
      <c r="II122" s="82" t="e">
        <f t="shared" si="28"/>
        <v>#N/A</v>
      </c>
      <c r="IJ122" s="82" t="e">
        <f t="shared" si="28"/>
        <v>#N/A</v>
      </c>
      <c r="IK122" s="82" t="e">
        <f t="shared" si="28"/>
        <v>#N/A</v>
      </c>
      <c r="IL122" s="82" t="e">
        <f t="shared" si="28"/>
        <v>#N/A</v>
      </c>
      <c r="IM122" s="82" t="e">
        <f t="shared" si="28"/>
        <v>#N/A</v>
      </c>
      <c r="IN122" s="82" t="e">
        <f t="shared" si="28"/>
        <v>#N/A</v>
      </c>
      <c r="IO122" s="82" t="e">
        <f t="shared" si="28"/>
        <v>#N/A</v>
      </c>
      <c r="IP122" s="82" t="e">
        <f t="shared" si="28"/>
        <v>#N/A</v>
      </c>
      <c r="IQ122" s="82" t="e">
        <f t="shared" si="28"/>
        <v>#N/A</v>
      </c>
      <c r="IR122" s="82" t="e">
        <f t="shared" si="28"/>
        <v>#N/A</v>
      </c>
      <c r="IS122" s="82" t="e">
        <f t="shared" si="28"/>
        <v>#N/A</v>
      </c>
      <c r="IT122" s="82" t="e">
        <f t="shared" si="28"/>
        <v>#N/A</v>
      </c>
      <c r="IU122" s="82" t="e">
        <f t="shared" si="28"/>
        <v>#N/A</v>
      </c>
      <c r="IV122" s="82" t="e">
        <f t="shared" si="28"/>
        <v>#N/A</v>
      </c>
      <c r="IW122" s="82" t="e">
        <f t="shared" si="28"/>
        <v>#N/A</v>
      </c>
      <c r="IX122" s="82" t="e">
        <f t="shared" si="28"/>
        <v>#N/A</v>
      </c>
      <c r="IY122" s="82" t="e">
        <f t="shared" si="28"/>
        <v>#N/A</v>
      </c>
      <c r="IZ122" s="82" t="e">
        <f t="shared" si="28"/>
        <v>#N/A</v>
      </c>
      <c r="JA122" s="82" t="e">
        <f t="shared" si="28"/>
        <v>#N/A</v>
      </c>
      <c r="JB122" s="82" t="e">
        <f t="shared" si="28"/>
        <v>#N/A</v>
      </c>
      <c r="JC122" s="82" t="e">
        <f t="shared" si="28"/>
        <v>#N/A</v>
      </c>
      <c r="JD122" s="82" t="e">
        <f t="shared" si="28"/>
        <v>#N/A</v>
      </c>
      <c r="JE122" s="82" t="e">
        <f t="shared" si="28"/>
        <v>#N/A</v>
      </c>
      <c r="JF122" s="82" t="e">
        <f t="shared" si="28"/>
        <v>#N/A</v>
      </c>
      <c r="JG122" s="82" t="e">
        <f t="shared" si="28"/>
        <v>#N/A</v>
      </c>
      <c r="JH122" s="82" t="e">
        <f t="shared" si="28"/>
        <v>#N/A</v>
      </c>
      <c r="JI122" s="82" t="e">
        <f t="shared" si="28"/>
        <v>#N/A</v>
      </c>
      <c r="JJ122" s="82" t="e">
        <f t="shared" si="28"/>
        <v>#N/A</v>
      </c>
      <c r="JK122" s="82" t="e">
        <f t="shared" si="28"/>
        <v>#N/A</v>
      </c>
      <c r="JL122" s="82" t="e">
        <f t="shared" si="28"/>
        <v>#N/A</v>
      </c>
      <c r="JM122" s="82" t="e">
        <f t="shared" si="28"/>
        <v>#N/A</v>
      </c>
      <c r="JN122" s="82" t="e">
        <f t="shared" si="28"/>
        <v>#N/A</v>
      </c>
      <c r="JO122" s="82" t="e">
        <f t="shared" si="28"/>
        <v>#N/A</v>
      </c>
      <c r="JP122" s="82" t="e">
        <f t="shared" si="28"/>
        <v>#N/A</v>
      </c>
      <c r="JQ122" s="82" t="e">
        <f t="shared" si="28"/>
        <v>#N/A</v>
      </c>
      <c r="JR122" s="82" t="e">
        <f t="shared" si="28"/>
        <v>#N/A</v>
      </c>
      <c r="JS122" s="82" t="e">
        <f t="shared" si="28"/>
        <v>#N/A</v>
      </c>
      <c r="JT122" s="82" t="e">
        <f t="shared" si="28"/>
        <v>#N/A</v>
      </c>
      <c r="JU122" s="82" t="e">
        <f t="shared" si="28"/>
        <v>#N/A</v>
      </c>
      <c r="JV122" s="82" t="e">
        <f t="shared" si="28"/>
        <v>#N/A</v>
      </c>
      <c r="JW122" s="82" t="e">
        <f t="shared" si="28"/>
        <v>#N/A</v>
      </c>
      <c r="JX122" s="82" t="e">
        <f t="shared" si="28"/>
        <v>#N/A</v>
      </c>
      <c r="JY122" s="82" t="e">
        <f t="shared" si="28"/>
        <v>#N/A</v>
      </c>
      <c r="JZ122" s="82" t="e">
        <f t="shared" si="28"/>
        <v>#N/A</v>
      </c>
      <c r="KA122" s="82" t="e">
        <f t="shared" si="28"/>
        <v>#N/A</v>
      </c>
      <c r="KB122" s="82" t="e">
        <f t="shared" si="28"/>
        <v>#N/A</v>
      </c>
      <c r="KC122" s="82" t="e">
        <f t="shared" si="28"/>
        <v>#N/A</v>
      </c>
      <c r="KD122" s="82" t="e">
        <f t="shared" si="28"/>
        <v>#N/A</v>
      </c>
      <c r="KE122" s="82" t="e">
        <f t="shared" si="28"/>
        <v>#N/A</v>
      </c>
      <c r="KF122" s="82" t="e">
        <f t="shared" si="28"/>
        <v>#N/A</v>
      </c>
      <c r="KG122" s="82" t="e">
        <f t="shared" si="28"/>
        <v>#N/A</v>
      </c>
      <c r="KH122" s="82" t="e">
        <f t="shared" si="28"/>
        <v>#N/A</v>
      </c>
      <c r="KI122" s="82" t="e">
        <f t="shared" si="28"/>
        <v>#N/A</v>
      </c>
      <c r="KJ122" s="82" t="e">
        <f t="shared" ref="KJ122:MN122" si="29">IF(KJ118="",NA(),KJ118)</f>
        <v>#N/A</v>
      </c>
      <c r="KK122" s="82" t="e">
        <f t="shared" si="29"/>
        <v>#N/A</v>
      </c>
      <c r="KL122" s="82" t="e">
        <f t="shared" si="29"/>
        <v>#N/A</v>
      </c>
      <c r="KM122" s="82" t="e">
        <f t="shared" si="29"/>
        <v>#N/A</v>
      </c>
      <c r="KN122" s="82" t="e">
        <f t="shared" si="29"/>
        <v>#N/A</v>
      </c>
      <c r="KO122" s="82" t="e">
        <f t="shared" si="29"/>
        <v>#N/A</v>
      </c>
      <c r="KP122" s="82" t="e">
        <f t="shared" si="29"/>
        <v>#N/A</v>
      </c>
      <c r="KQ122" s="82" t="e">
        <f t="shared" si="29"/>
        <v>#N/A</v>
      </c>
      <c r="KR122" s="82" t="e">
        <f t="shared" si="29"/>
        <v>#N/A</v>
      </c>
      <c r="KS122" s="82" t="e">
        <f t="shared" si="29"/>
        <v>#N/A</v>
      </c>
      <c r="KT122" s="82" t="e">
        <f t="shared" si="29"/>
        <v>#N/A</v>
      </c>
      <c r="KU122" s="82" t="e">
        <f t="shared" si="29"/>
        <v>#N/A</v>
      </c>
      <c r="KV122" s="82" t="e">
        <f t="shared" si="29"/>
        <v>#N/A</v>
      </c>
      <c r="KW122" s="82" t="e">
        <f t="shared" si="29"/>
        <v>#N/A</v>
      </c>
      <c r="KX122" s="82" t="e">
        <f t="shared" si="29"/>
        <v>#N/A</v>
      </c>
      <c r="KY122" s="82" t="e">
        <f t="shared" si="29"/>
        <v>#N/A</v>
      </c>
      <c r="KZ122" s="82" t="e">
        <f t="shared" si="29"/>
        <v>#N/A</v>
      </c>
      <c r="LA122" s="82" t="e">
        <f t="shared" si="29"/>
        <v>#N/A</v>
      </c>
      <c r="LB122" s="82" t="e">
        <f t="shared" si="29"/>
        <v>#N/A</v>
      </c>
      <c r="LC122" s="82" t="e">
        <f t="shared" si="29"/>
        <v>#N/A</v>
      </c>
      <c r="LD122" s="82" t="e">
        <f t="shared" si="29"/>
        <v>#N/A</v>
      </c>
      <c r="LE122" s="82" t="e">
        <f t="shared" si="29"/>
        <v>#N/A</v>
      </c>
      <c r="LF122" s="82" t="e">
        <f t="shared" si="29"/>
        <v>#N/A</v>
      </c>
      <c r="LG122" s="82" t="e">
        <f t="shared" si="29"/>
        <v>#N/A</v>
      </c>
      <c r="LH122" s="82" t="e">
        <f t="shared" si="29"/>
        <v>#N/A</v>
      </c>
      <c r="LI122" s="82" t="e">
        <f t="shared" si="29"/>
        <v>#N/A</v>
      </c>
      <c r="LJ122" s="82" t="e">
        <f t="shared" si="29"/>
        <v>#N/A</v>
      </c>
      <c r="LK122" s="82" t="e">
        <f t="shared" si="29"/>
        <v>#N/A</v>
      </c>
      <c r="LL122" s="82" t="e">
        <f t="shared" si="29"/>
        <v>#N/A</v>
      </c>
      <c r="LM122" s="82" t="e">
        <f t="shared" si="29"/>
        <v>#N/A</v>
      </c>
      <c r="LN122" s="82" t="e">
        <f t="shared" si="29"/>
        <v>#N/A</v>
      </c>
      <c r="LO122" s="82" t="e">
        <f t="shared" si="29"/>
        <v>#N/A</v>
      </c>
      <c r="LP122" s="82" t="e">
        <f t="shared" si="29"/>
        <v>#N/A</v>
      </c>
      <c r="LQ122" s="82" t="e">
        <f t="shared" si="29"/>
        <v>#N/A</v>
      </c>
      <c r="LR122" s="82" t="e">
        <f t="shared" si="29"/>
        <v>#N/A</v>
      </c>
      <c r="LS122" s="82" t="e">
        <f t="shared" si="29"/>
        <v>#N/A</v>
      </c>
      <c r="LT122" s="82" t="e">
        <f t="shared" si="29"/>
        <v>#N/A</v>
      </c>
      <c r="LU122" s="82" t="e">
        <f t="shared" si="29"/>
        <v>#N/A</v>
      </c>
      <c r="LV122" s="82" t="e">
        <f t="shared" si="29"/>
        <v>#N/A</v>
      </c>
      <c r="LW122" s="82" t="e">
        <f t="shared" si="29"/>
        <v>#N/A</v>
      </c>
      <c r="LX122" s="82" t="e">
        <f t="shared" si="29"/>
        <v>#N/A</v>
      </c>
      <c r="LY122" s="82" t="e">
        <f t="shared" si="29"/>
        <v>#N/A</v>
      </c>
      <c r="LZ122" s="82" t="e">
        <f t="shared" si="29"/>
        <v>#N/A</v>
      </c>
      <c r="MA122" s="82" t="e">
        <f t="shared" si="29"/>
        <v>#N/A</v>
      </c>
      <c r="MB122" s="82" t="e">
        <f t="shared" si="29"/>
        <v>#N/A</v>
      </c>
      <c r="MC122" s="82" t="e">
        <f t="shared" si="29"/>
        <v>#N/A</v>
      </c>
      <c r="MD122" s="82" t="e">
        <f t="shared" si="29"/>
        <v>#N/A</v>
      </c>
      <c r="ME122" s="82" t="e">
        <f t="shared" si="29"/>
        <v>#N/A</v>
      </c>
      <c r="MF122" s="82" t="e">
        <f t="shared" si="29"/>
        <v>#N/A</v>
      </c>
      <c r="MG122" s="82" t="e">
        <f t="shared" si="29"/>
        <v>#N/A</v>
      </c>
      <c r="MH122" s="82" t="e">
        <f t="shared" si="29"/>
        <v>#N/A</v>
      </c>
      <c r="MI122" s="82" t="e">
        <f t="shared" si="29"/>
        <v>#N/A</v>
      </c>
      <c r="MJ122" s="82" t="e">
        <f t="shared" si="29"/>
        <v>#N/A</v>
      </c>
      <c r="MK122" s="82" t="e">
        <f t="shared" si="29"/>
        <v>#N/A</v>
      </c>
      <c r="ML122" s="82" t="e">
        <f t="shared" si="29"/>
        <v>#N/A</v>
      </c>
      <c r="MM122" s="82" t="e">
        <f t="shared" si="29"/>
        <v>#N/A</v>
      </c>
      <c r="MN122" s="82" t="e">
        <f t="shared" si="29"/>
        <v>#N/A</v>
      </c>
    </row>
    <row r="123" spans="25:406" ht="15" hidden="1" customHeight="1">
      <c r="Y123" s="83">
        <f t="shared" si="18"/>
        <v>344.32</v>
      </c>
      <c r="Z123" s="79">
        <f t="shared" si="19"/>
        <v>45131</v>
      </c>
      <c r="AA123" s="105" t="e">
        <f>IF(SUM(AE51:$AE$103)=0,NA(),SUM(AE51:$AE$103))</f>
        <v>#N/A</v>
      </c>
      <c r="AB123" s="124" t="e">
        <f>IF(SUM(AF51:$AF$103)=0,NA(),SUM(AF51:$AF$103))</f>
        <v>#N/A</v>
      </c>
      <c r="AC123" s="133" t="e">
        <f>IF(SUM(AG51:$AG$103)=0,NA(),SUM(AG51:$AG$103))</f>
        <v>#N/A</v>
      </c>
      <c r="AG123" s="83"/>
      <c r="AK123" s="79"/>
      <c r="AL123" s="82" t="s">
        <v>319</v>
      </c>
      <c r="AM123" s="82">
        <f>IF(AM119="",NA(),AM119)</f>
        <v>18.850000000000001</v>
      </c>
      <c r="AN123" s="82">
        <f t="shared" ref="AN123:CY123" si="30">IF(AN119="",NA(),AN119)</f>
        <v>18.96</v>
      </c>
      <c r="AO123" s="82">
        <f t="shared" si="30"/>
        <v>18.170000000000002</v>
      </c>
      <c r="AP123" s="82">
        <f t="shared" si="30"/>
        <v>17.850000000000001</v>
      </c>
      <c r="AQ123" s="82">
        <f t="shared" si="30"/>
        <v>17.739999999999998</v>
      </c>
      <c r="AR123" s="82">
        <f t="shared" si="30"/>
        <v>18.48</v>
      </c>
      <c r="AS123" s="82">
        <f t="shared" si="30"/>
        <v>18.22</v>
      </c>
      <c r="AT123" s="82">
        <f t="shared" si="30"/>
        <v>17.98</v>
      </c>
      <c r="AU123" s="82">
        <f t="shared" si="30"/>
        <v>18.34</v>
      </c>
      <c r="AV123" s="82">
        <f t="shared" si="30"/>
        <v>17.190000000000001</v>
      </c>
      <c r="AW123" s="82">
        <f t="shared" si="30"/>
        <v>16.88</v>
      </c>
      <c r="AX123" s="82">
        <f t="shared" si="30"/>
        <v>16.850000000000001</v>
      </c>
      <c r="AY123" s="82">
        <f t="shared" si="30"/>
        <v>16.8</v>
      </c>
      <c r="AZ123" s="82">
        <f t="shared" si="30"/>
        <v>16.89</v>
      </c>
      <c r="BA123" s="82">
        <f t="shared" si="30"/>
        <v>16.809999999999999</v>
      </c>
      <c r="BB123" s="82">
        <f t="shared" si="30"/>
        <v>16.84</v>
      </c>
      <c r="BC123" s="82">
        <f t="shared" si="30"/>
        <v>16.53</v>
      </c>
      <c r="BD123" s="82">
        <f t="shared" si="30"/>
        <v>16.86</v>
      </c>
      <c r="BE123" s="82">
        <f t="shared" si="30"/>
        <v>17.38</v>
      </c>
      <c r="BF123" s="82">
        <f t="shared" si="30"/>
        <v>17.75</v>
      </c>
      <c r="BG123" s="82">
        <f t="shared" si="30"/>
        <v>17.54</v>
      </c>
      <c r="BH123" s="82">
        <f t="shared" si="30"/>
        <v>17.079999999999998</v>
      </c>
      <c r="BI123" s="82">
        <f t="shared" si="30"/>
        <v>17.010000000000002</v>
      </c>
      <c r="BJ123" s="82">
        <f t="shared" si="30"/>
        <v>17.55</v>
      </c>
      <c r="BK123" s="82">
        <f t="shared" si="30"/>
        <v>17.309999999999999</v>
      </c>
      <c r="BL123" s="82">
        <f t="shared" si="30"/>
        <v>17.5</v>
      </c>
      <c r="BM123" s="82">
        <f t="shared" si="30"/>
        <v>17.95</v>
      </c>
      <c r="BN123" s="82">
        <f t="shared" si="30"/>
        <v>17.53</v>
      </c>
      <c r="BO123" s="82">
        <f t="shared" si="30"/>
        <v>18.23</v>
      </c>
      <c r="BP123" s="82">
        <f t="shared" si="30"/>
        <v>18.52</v>
      </c>
      <c r="BQ123" s="82">
        <f t="shared" si="30"/>
        <v>18.18</v>
      </c>
      <c r="BR123" s="82">
        <f t="shared" si="30"/>
        <v>17.84</v>
      </c>
      <c r="BS123" s="82">
        <f t="shared" si="30"/>
        <v>18.23</v>
      </c>
      <c r="BT123" s="82">
        <f t="shared" si="30"/>
        <v>18.64</v>
      </c>
      <c r="BU123" s="82">
        <f t="shared" si="30"/>
        <v>18.89</v>
      </c>
      <c r="BV123" s="82">
        <f t="shared" si="30"/>
        <v>19.559999999999999</v>
      </c>
      <c r="BW123" s="82">
        <f t="shared" si="30"/>
        <v>18.989999999999998</v>
      </c>
      <c r="BX123" s="82">
        <f t="shared" si="30"/>
        <v>18.809999999999999</v>
      </c>
      <c r="BY123" s="82">
        <f t="shared" si="30"/>
        <v>19.38</v>
      </c>
      <c r="BZ123" s="82">
        <f t="shared" si="30"/>
        <v>18.53</v>
      </c>
      <c r="CA123" s="82">
        <f t="shared" si="30"/>
        <v>18.309999999999999</v>
      </c>
      <c r="CB123" s="82">
        <f t="shared" si="30"/>
        <v>17.690000000000001</v>
      </c>
      <c r="CC123" s="82">
        <f t="shared" si="30"/>
        <v>17.18</v>
      </c>
      <c r="CD123" s="82">
        <f t="shared" si="30"/>
        <v>16.95</v>
      </c>
      <c r="CE123" s="82">
        <f t="shared" si="30"/>
        <v>17.21</v>
      </c>
      <c r="CF123" s="82">
        <f t="shared" si="30"/>
        <v>16.53</v>
      </c>
      <c r="CG123" s="82">
        <f t="shared" si="30"/>
        <v>17.559999999999999</v>
      </c>
      <c r="CH123" s="82">
        <f t="shared" si="30"/>
        <v>18.2</v>
      </c>
      <c r="CI123" s="82">
        <f t="shared" si="30"/>
        <v>21.11</v>
      </c>
      <c r="CJ123" s="82">
        <f t="shared" si="30"/>
        <v>18.75</v>
      </c>
      <c r="CK123" s="82">
        <f t="shared" si="30"/>
        <v>19.97</v>
      </c>
      <c r="CL123" s="82">
        <f t="shared" si="30"/>
        <v>18.260000000000002</v>
      </c>
      <c r="CM123" s="82">
        <f t="shared" si="30"/>
        <v>20.62</v>
      </c>
      <c r="CN123" s="82">
        <f t="shared" si="30"/>
        <v>19.510000000000002</v>
      </c>
      <c r="CO123" s="82">
        <f t="shared" si="30"/>
        <v>18.29</v>
      </c>
      <c r="CP123" s="82">
        <f t="shared" si="30"/>
        <v>17.97</v>
      </c>
      <c r="CQ123" s="82">
        <f t="shared" si="30"/>
        <v>17.59</v>
      </c>
      <c r="CR123" s="82">
        <f t="shared" si="30"/>
        <v>17.97</v>
      </c>
      <c r="CS123" s="82">
        <f t="shared" si="30"/>
        <v>16.809999999999999</v>
      </c>
      <c r="CT123" s="82">
        <f t="shared" si="30"/>
        <v>16.149999999999999</v>
      </c>
      <c r="CU123" s="82">
        <f t="shared" si="30"/>
        <v>15.7</v>
      </c>
      <c r="CV123" s="82">
        <f t="shared" si="30"/>
        <v>15.57</v>
      </c>
      <c r="CW123" s="82">
        <f t="shared" si="30"/>
        <v>15.88</v>
      </c>
      <c r="CX123" s="82">
        <f t="shared" si="30"/>
        <v>15.22</v>
      </c>
      <c r="CY123" s="82">
        <f t="shared" si="30"/>
        <v>15.36</v>
      </c>
      <c r="CZ123" s="82">
        <f t="shared" ref="CZ123:FK123" si="31">IF(CZ119="",NA(),CZ119)</f>
        <v>15.87</v>
      </c>
      <c r="DA123" s="82">
        <f t="shared" si="31"/>
        <v>15.35</v>
      </c>
      <c r="DB123" s="82">
        <f t="shared" si="31"/>
        <v>15.72</v>
      </c>
      <c r="DC123" s="82">
        <f t="shared" si="31"/>
        <v>15.62</v>
      </c>
      <c r="DD123" s="82">
        <f t="shared" si="31"/>
        <v>15.82</v>
      </c>
      <c r="DE123" s="82">
        <f t="shared" si="31"/>
        <v>15.52</v>
      </c>
      <c r="DF123" s="82">
        <f t="shared" si="31"/>
        <v>15.42</v>
      </c>
      <c r="DG123" s="82">
        <f t="shared" si="31"/>
        <v>15.49</v>
      </c>
      <c r="DH123" s="82">
        <f t="shared" si="31"/>
        <v>15.17</v>
      </c>
      <c r="DI123" s="82">
        <f t="shared" si="31"/>
        <v>14.86</v>
      </c>
      <c r="DJ123" s="82">
        <f t="shared" si="31"/>
        <v>14.63</v>
      </c>
      <c r="DK123" s="82">
        <f t="shared" si="31"/>
        <v>14.62</v>
      </c>
      <c r="DL123" s="82">
        <f t="shared" si="31"/>
        <v>14.86</v>
      </c>
      <c r="DM123" s="82">
        <f t="shared" si="31"/>
        <v>15.02</v>
      </c>
      <c r="DN123" s="82">
        <f t="shared" si="31"/>
        <v>15.09</v>
      </c>
      <c r="DO123" s="82">
        <f t="shared" si="31"/>
        <v>14.86</v>
      </c>
      <c r="DP123" s="82">
        <f t="shared" si="31"/>
        <v>14.51</v>
      </c>
      <c r="DQ123" s="82">
        <f t="shared" si="31"/>
        <v>14.21</v>
      </c>
      <c r="DR123" s="82">
        <f t="shared" si="31"/>
        <v>15.09</v>
      </c>
      <c r="DS123" s="82">
        <f t="shared" si="31"/>
        <v>15.27</v>
      </c>
      <c r="DT123" s="82">
        <f t="shared" si="31"/>
        <v>14.87</v>
      </c>
      <c r="DU123" s="82">
        <f t="shared" si="31"/>
        <v>14.39</v>
      </c>
      <c r="DV123" s="82">
        <f t="shared" si="31"/>
        <v>14.77</v>
      </c>
      <c r="DW123" s="82">
        <f t="shared" si="31"/>
        <v>14.31</v>
      </c>
      <c r="DX123" s="82">
        <f t="shared" si="31"/>
        <v>13.93</v>
      </c>
      <c r="DY123" s="82">
        <f t="shared" si="31"/>
        <v>13.81</v>
      </c>
      <c r="DZ123" s="82">
        <f t="shared" si="31"/>
        <v>13.59</v>
      </c>
      <c r="EA123" s="82">
        <f t="shared" si="31"/>
        <v>13.52</v>
      </c>
      <c r="EB123" s="82">
        <f t="shared" si="31"/>
        <v>13.54</v>
      </c>
      <c r="EC123" s="82">
        <f t="shared" si="31"/>
        <v>14.13</v>
      </c>
      <c r="ED123" s="82">
        <f t="shared" si="31"/>
        <v>14.74</v>
      </c>
      <c r="EE123" s="82">
        <f t="shared" si="31"/>
        <v>14.56</v>
      </c>
      <c r="EF123" s="82">
        <f t="shared" si="31"/>
        <v>14.87</v>
      </c>
      <c r="EG123" s="82">
        <f t="shared" si="31"/>
        <v>15.07</v>
      </c>
      <c r="EH123" s="82">
        <f t="shared" si="31"/>
        <v>14.96</v>
      </c>
      <c r="EI123" s="82">
        <f t="shared" si="31"/>
        <v>14.79</v>
      </c>
      <c r="EJ123" s="82">
        <f t="shared" si="31"/>
        <v>14.8</v>
      </c>
      <c r="EK123" s="82">
        <f t="shared" si="31"/>
        <v>14.35</v>
      </c>
      <c r="EL123" s="82">
        <f t="shared" si="31"/>
        <v>13.96</v>
      </c>
      <c r="EM123" s="82">
        <f t="shared" si="31"/>
        <v>14.08</v>
      </c>
      <c r="EN123" s="82">
        <f t="shared" si="31"/>
        <v>13.71</v>
      </c>
      <c r="EO123" s="82">
        <f t="shared" si="31"/>
        <v>13.44</v>
      </c>
      <c r="EP123" s="82">
        <f t="shared" si="31"/>
        <v>13.16</v>
      </c>
      <c r="EQ123" s="82">
        <f t="shared" si="31"/>
        <v>13.45</v>
      </c>
      <c r="ER123" s="82">
        <f t="shared" si="31"/>
        <v>13.76</v>
      </c>
      <c r="ES123" s="82">
        <f t="shared" si="31"/>
        <v>13.55</v>
      </c>
      <c r="ET123" s="82">
        <f t="shared" si="31"/>
        <v>13.25</v>
      </c>
      <c r="EU123" s="82">
        <f t="shared" si="31"/>
        <v>13.13</v>
      </c>
      <c r="EV123" s="82">
        <f t="shared" si="31"/>
        <v>13.35</v>
      </c>
      <c r="EW123" s="82">
        <f t="shared" si="31"/>
        <v>13.02</v>
      </c>
      <c r="EX123" s="82">
        <f t="shared" si="31"/>
        <v>13.36</v>
      </c>
      <c r="EY123" s="82">
        <f t="shared" si="31"/>
        <v>13.24</v>
      </c>
      <c r="EZ123" s="82">
        <f t="shared" si="31"/>
        <v>13.04</v>
      </c>
      <c r="FA123" s="82">
        <f t="shared" si="31"/>
        <v>13.46</v>
      </c>
      <c r="FB123" s="82">
        <f t="shared" si="31"/>
        <v>13.18</v>
      </c>
      <c r="FC123" s="82">
        <f t="shared" si="31"/>
        <v>13.1</v>
      </c>
      <c r="FD123" s="82">
        <f t="shared" si="31"/>
        <v>12.93</v>
      </c>
      <c r="FE123" s="82">
        <f t="shared" si="31"/>
        <v>12.59</v>
      </c>
      <c r="FF123" s="82">
        <f t="shared" si="31"/>
        <v>12.73</v>
      </c>
      <c r="FG123" s="82">
        <f t="shared" si="31"/>
        <v>12.27</v>
      </c>
      <c r="FH123" s="82">
        <f t="shared" si="31"/>
        <v>12.37</v>
      </c>
      <c r="FI123" s="82">
        <f t="shared" si="31"/>
        <v>12.98</v>
      </c>
      <c r="FJ123" s="82">
        <f t="shared" si="31"/>
        <v>14.58</v>
      </c>
      <c r="FK123" s="82">
        <f t="shared" si="31"/>
        <v>14.63</v>
      </c>
      <c r="FL123" s="82">
        <f t="shared" ref="FL123:HW123" si="32">IF(FL119="",NA(),FL119)</f>
        <v>13.82</v>
      </c>
      <c r="FM123" s="82">
        <f t="shared" si="32"/>
        <v>13.76</v>
      </c>
      <c r="FN123" s="82">
        <f t="shared" si="32"/>
        <v>13.25</v>
      </c>
      <c r="FO123" s="82">
        <f t="shared" si="32"/>
        <v>13.19</v>
      </c>
      <c r="FP123" s="82">
        <f t="shared" si="32"/>
        <v>13.21</v>
      </c>
      <c r="FQ123" s="82">
        <f t="shared" si="32"/>
        <v>13.07</v>
      </c>
      <c r="FR123" s="82">
        <f t="shared" si="32"/>
        <v>12.91</v>
      </c>
      <c r="FS123" s="82">
        <f t="shared" si="32"/>
        <v>13.22</v>
      </c>
      <c r="FT123" s="82">
        <f t="shared" si="32"/>
        <v>13.35</v>
      </c>
      <c r="FU123" s="82">
        <f t="shared" si="32"/>
        <v>14.12</v>
      </c>
      <c r="FV123" s="82">
        <f t="shared" si="32"/>
        <v>14.08</v>
      </c>
      <c r="FW123" s="82">
        <f t="shared" si="32"/>
        <v>14.53</v>
      </c>
      <c r="FX123" s="82">
        <f t="shared" si="32"/>
        <v>13.9</v>
      </c>
      <c r="FY123" s="82">
        <f t="shared" si="32"/>
        <v>14.15</v>
      </c>
      <c r="FZ123" s="82">
        <f t="shared" si="32"/>
        <v>14.21</v>
      </c>
      <c r="GA123" s="82">
        <f t="shared" si="32"/>
        <v>14.06</v>
      </c>
      <c r="GB123" s="82">
        <f t="shared" si="32"/>
        <v>15.36</v>
      </c>
      <c r="GC123" s="82">
        <f t="shared" si="32"/>
        <v>15.88</v>
      </c>
      <c r="GD123" s="82">
        <f t="shared" si="32"/>
        <v>15.55</v>
      </c>
      <c r="GE123" s="82">
        <f t="shared" si="32"/>
        <v>15.71</v>
      </c>
      <c r="GF123" s="82">
        <f t="shared" si="32"/>
        <v>15.4</v>
      </c>
      <c r="GG123" s="82">
        <f t="shared" si="32"/>
        <v>14.15</v>
      </c>
      <c r="GH123" s="82">
        <f t="shared" si="32"/>
        <v>14</v>
      </c>
      <c r="GI123" s="82">
        <f t="shared" si="32"/>
        <v>13.44</v>
      </c>
      <c r="GJ123" s="82">
        <f t="shared" si="32"/>
        <v>14.14</v>
      </c>
      <c r="GK123" s="82">
        <f t="shared" si="32"/>
        <v>15.15</v>
      </c>
      <c r="GL123" s="82">
        <f t="shared" si="32"/>
        <v>15.57</v>
      </c>
      <c r="GM123" s="82" t="e">
        <f t="shared" si="32"/>
        <v>#N/A</v>
      </c>
      <c r="GN123" s="82" t="e">
        <f t="shared" si="32"/>
        <v>#N/A</v>
      </c>
      <c r="GO123" s="82" t="e">
        <f t="shared" si="32"/>
        <v>#N/A</v>
      </c>
      <c r="GP123" s="82" t="e">
        <f t="shared" si="32"/>
        <v>#N/A</v>
      </c>
      <c r="GQ123" s="82" t="e">
        <f t="shared" si="32"/>
        <v>#N/A</v>
      </c>
      <c r="GR123" s="82" t="e">
        <f t="shared" si="32"/>
        <v>#N/A</v>
      </c>
      <c r="GS123" s="82" t="e">
        <f t="shared" si="32"/>
        <v>#N/A</v>
      </c>
      <c r="GT123" s="82" t="e">
        <f t="shared" si="32"/>
        <v>#N/A</v>
      </c>
      <c r="GU123" s="82" t="e">
        <f t="shared" si="32"/>
        <v>#N/A</v>
      </c>
      <c r="GV123" s="82" t="e">
        <f t="shared" si="32"/>
        <v>#N/A</v>
      </c>
      <c r="GW123" s="82" t="e">
        <f t="shared" si="32"/>
        <v>#N/A</v>
      </c>
      <c r="GX123" s="82" t="e">
        <f t="shared" si="32"/>
        <v>#N/A</v>
      </c>
      <c r="GY123" s="82" t="e">
        <f t="shared" si="32"/>
        <v>#N/A</v>
      </c>
      <c r="GZ123" s="82" t="e">
        <f t="shared" si="32"/>
        <v>#N/A</v>
      </c>
      <c r="HA123" s="82" t="e">
        <f t="shared" si="32"/>
        <v>#N/A</v>
      </c>
      <c r="HB123" s="82" t="e">
        <f t="shared" si="32"/>
        <v>#N/A</v>
      </c>
      <c r="HC123" s="82" t="e">
        <f t="shared" si="32"/>
        <v>#N/A</v>
      </c>
      <c r="HD123" s="82" t="e">
        <f t="shared" si="32"/>
        <v>#N/A</v>
      </c>
      <c r="HE123" s="82" t="e">
        <f t="shared" si="32"/>
        <v>#N/A</v>
      </c>
      <c r="HF123" s="82" t="e">
        <f t="shared" si="32"/>
        <v>#N/A</v>
      </c>
      <c r="HG123" s="82" t="e">
        <f t="shared" si="32"/>
        <v>#N/A</v>
      </c>
      <c r="HH123" s="82" t="e">
        <f t="shared" si="32"/>
        <v>#N/A</v>
      </c>
      <c r="HI123" s="82" t="e">
        <f t="shared" si="32"/>
        <v>#N/A</v>
      </c>
      <c r="HJ123" s="82" t="e">
        <f t="shared" si="32"/>
        <v>#N/A</v>
      </c>
      <c r="HK123" s="82" t="e">
        <f t="shared" si="32"/>
        <v>#N/A</v>
      </c>
      <c r="HL123" s="82" t="e">
        <f t="shared" si="32"/>
        <v>#N/A</v>
      </c>
      <c r="HM123" s="82" t="e">
        <f t="shared" si="32"/>
        <v>#N/A</v>
      </c>
      <c r="HN123" s="82" t="e">
        <f t="shared" si="32"/>
        <v>#N/A</v>
      </c>
      <c r="HO123" s="82" t="e">
        <f t="shared" si="32"/>
        <v>#N/A</v>
      </c>
      <c r="HP123" s="82" t="e">
        <f t="shared" si="32"/>
        <v>#N/A</v>
      </c>
      <c r="HQ123" s="82" t="e">
        <f t="shared" si="32"/>
        <v>#N/A</v>
      </c>
      <c r="HR123" s="82" t="e">
        <f t="shared" si="32"/>
        <v>#N/A</v>
      </c>
      <c r="HS123" s="82" t="e">
        <f t="shared" si="32"/>
        <v>#N/A</v>
      </c>
      <c r="HT123" s="82" t="e">
        <f t="shared" si="32"/>
        <v>#N/A</v>
      </c>
      <c r="HU123" s="82" t="e">
        <f t="shared" si="32"/>
        <v>#N/A</v>
      </c>
      <c r="HV123" s="82" t="e">
        <f t="shared" si="32"/>
        <v>#N/A</v>
      </c>
      <c r="HW123" s="82" t="e">
        <f t="shared" si="32"/>
        <v>#N/A</v>
      </c>
      <c r="HX123" s="82" t="e">
        <f t="shared" ref="HX123:KI123" si="33">IF(HX119="",NA(),HX119)</f>
        <v>#N/A</v>
      </c>
      <c r="HY123" s="82" t="e">
        <f t="shared" si="33"/>
        <v>#N/A</v>
      </c>
      <c r="HZ123" s="82" t="e">
        <f t="shared" si="33"/>
        <v>#N/A</v>
      </c>
      <c r="IA123" s="82" t="e">
        <f t="shared" si="33"/>
        <v>#N/A</v>
      </c>
      <c r="IB123" s="82" t="e">
        <f t="shared" si="33"/>
        <v>#N/A</v>
      </c>
      <c r="IC123" s="82" t="e">
        <f t="shared" si="33"/>
        <v>#N/A</v>
      </c>
      <c r="ID123" s="82" t="e">
        <f t="shared" si="33"/>
        <v>#N/A</v>
      </c>
      <c r="IE123" s="82" t="e">
        <f t="shared" si="33"/>
        <v>#N/A</v>
      </c>
      <c r="IF123" s="82" t="e">
        <f t="shared" si="33"/>
        <v>#N/A</v>
      </c>
      <c r="IG123" s="82" t="e">
        <f t="shared" si="33"/>
        <v>#N/A</v>
      </c>
      <c r="IH123" s="82" t="e">
        <f t="shared" si="33"/>
        <v>#N/A</v>
      </c>
      <c r="II123" s="82" t="e">
        <f t="shared" si="33"/>
        <v>#N/A</v>
      </c>
      <c r="IJ123" s="82" t="e">
        <f t="shared" si="33"/>
        <v>#N/A</v>
      </c>
      <c r="IK123" s="82" t="e">
        <f t="shared" si="33"/>
        <v>#N/A</v>
      </c>
      <c r="IL123" s="82" t="e">
        <f t="shared" si="33"/>
        <v>#N/A</v>
      </c>
      <c r="IM123" s="82" t="e">
        <f t="shared" si="33"/>
        <v>#N/A</v>
      </c>
      <c r="IN123" s="82" t="e">
        <f t="shared" si="33"/>
        <v>#N/A</v>
      </c>
      <c r="IO123" s="82" t="e">
        <f t="shared" si="33"/>
        <v>#N/A</v>
      </c>
      <c r="IP123" s="82" t="e">
        <f t="shared" si="33"/>
        <v>#N/A</v>
      </c>
      <c r="IQ123" s="82" t="e">
        <f t="shared" si="33"/>
        <v>#N/A</v>
      </c>
      <c r="IR123" s="82" t="e">
        <f t="shared" si="33"/>
        <v>#N/A</v>
      </c>
      <c r="IS123" s="82" t="e">
        <f t="shared" si="33"/>
        <v>#N/A</v>
      </c>
      <c r="IT123" s="82" t="e">
        <f t="shared" si="33"/>
        <v>#N/A</v>
      </c>
      <c r="IU123" s="82" t="e">
        <f t="shared" si="33"/>
        <v>#N/A</v>
      </c>
      <c r="IV123" s="82" t="e">
        <f t="shared" si="33"/>
        <v>#N/A</v>
      </c>
      <c r="IW123" s="82" t="e">
        <f t="shared" si="33"/>
        <v>#N/A</v>
      </c>
      <c r="IX123" s="82" t="e">
        <f t="shared" si="33"/>
        <v>#N/A</v>
      </c>
      <c r="IY123" s="82" t="e">
        <f t="shared" si="33"/>
        <v>#N/A</v>
      </c>
      <c r="IZ123" s="82" t="e">
        <f t="shared" si="33"/>
        <v>#N/A</v>
      </c>
      <c r="JA123" s="82" t="e">
        <f t="shared" si="33"/>
        <v>#N/A</v>
      </c>
      <c r="JB123" s="82" t="e">
        <f t="shared" si="33"/>
        <v>#N/A</v>
      </c>
      <c r="JC123" s="82" t="e">
        <f t="shared" si="33"/>
        <v>#N/A</v>
      </c>
      <c r="JD123" s="82" t="e">
        <f t="shared" si="33"/>
        <v>#N/A</v>
      </c>
      <c r="JE123" s="82" t="e">
        <f t="shared" si="33"/>
        <v>#N/A</v>
      </c>
      <c r="JF123" s="82" t="e">
        <f t="shared" si="33"/>
        <v>#N/A</v>
      </c>
      <c r="JG123" s="82" t="e">
        <f t="shared" si="33"/>
        <v>#N/A</v>
      </c>
      <c r="JH123" s="82" t="e">
        <f t="shared" si="33"/>
        <v>#N/A</v>
      </c>
      <c r="JI123" s="82" t="e">
        <f t="shared" si="33"/>
        <v>#N/A</v>
      </c>
      <c r="JJ123" s="82" t="e">
        <f t="shared" si="33"/>
        <v>#N/A</v>
      </c>
      <c r="JK123" s="82" t="e">
        <f t="shared" si="33"/>
        <v>#N/A</v>
      </c>
      <c r="JL123" s="82" t="e">
        <f t="shared" si="33"/>
        <v>#N/A</v>
      </c>
      <c r="JM123" s="82" t="e">
        <f t="shared" si="33"/>
        <v>#N/A</v>
      </c>
      <c r="JN123" s="82" t="e">
        <f t="shared" si="33"/>
        <v>#N/A</v>
      </c>
      <c r="JO123" s="82" t="e">
        <f t="shared" si="33"/>
        <v>#N/A</v>
      </c>
      <c r="JP123" s="82" t="e">
        <f t="shared" si="33"/>
        <v>#N/A</v>
      </c>
      <c r="JQ123" s="82" t="e">
        <f t="shared" si="33"/>
        <v>#N/A</v>
      </c>
      <c r="JR123" s="82" t="e">
        <f t="shared" si="33"/>
        <v>#N/A</v>
      </c>
      <c r="JS123" s="82" t="e">
        <f t="shared" si="33"/>
        <v>#N/A</v>
      </c>
      <c r="JT123" s="82" t="e">
        <f t="shared" si="33"/>
        <v>#N/A</v>
      </c>
      <c r="JU123" s="82" t="e">
        <f t="shared" si="33"/>
        <v>#N/A</v>
      </c>
      <c r="JV123" s="82" t="e">
        <f t="shared" si="33"/>
        <v>#N/A</v>
      </c>
      <c r="JW123" s="82" t="e">
        <f t="shared" si="33"/>
        <v>#N/A</v>
      </c>
      <c r="JX123" s="82" t="e">
        <f t="shared" si="33"/>
        <v>#N/A</v>
      </c>
      <c r="JY123" s="82" t="e">
        <f t="shared" si="33"/>
        <v>#N/A</v>
      </c>
      <c r="JZ123" s="82" t="e">
        <f t="shared" si="33"/>
        <v>#N/A</v>
      </c>
      <c r="KA123" s="82" t="e">
        <f t="shared" si="33"/>
        <v>#N/A</v>
      </c>
      <c r="KB123" s="82" t="e">
        <f t="shared" si="33"/>
        <v>#N/A</v>
      </c>
      <c r="KC123" s="82" t="e">
        <f t="shared" si="33"/>
        <v>#N/A</v>
      </c>
      <c r="KD123" s="82" t="e">
        <f t="shared" si="33"/>
        <v>#N/A</v>
      </c>
      <c r="KE123" s="82" t="e">
        <f t="shared" si="33"/>
        <v>#N/A</v>
      </c>
      <c r="KF123" s="82" t="e">
        <f t="shared" si="33"/>
        <v>#N/A</v>
      </c>
      <c r="KG123" s="82" t="e">
        <f t="shared" si="33"/>
        <v>#N/A</v>
      </c>
      <c r="KH123" s="82" t="e">
        <f t="shared" si="33"/>
        <v>#N/A</v>
      </c>
      <c r="KI123" s="82" t="e">
        <f t="shared" si="33"/>
        <v>#N/A</v>
      </c>
      <c r="KJ123" s="82" t="e">
        <f t="shared" ref="KJ123:MN123" si="34">IF(KJ119="",NA(),KJ119)</f>
        <v>#N/A</v>
      </c>
      <c r="KK123" s="82" t="e">
        <f t="shared" si="34"/>
        <v>#N/A</v>
      </c>
      <c r="KL123" s="82" t="e">
        <f t="shared" si="34"/>
        <v>#N/A</v>
      </c>
      <c r="KM123" s="82" t="e">
        <f t="shared" si="34"/>
        <v>#N/A</v>
      </c>
      <c r="KN123" s="82" t="e">
        <f t="shared" si="34"/>
        <v>#N/A</v>
      </c>
      <c r="KO123" s="82" t="e">
        <f t="shared" si="34"/>
        <v>#N/A</v>
      </c>
      <c r="KP123" s="82" t="e">
        <f t="shared" si="34"/>
        <v>#N/A</v>
      </c>
      <c r="KQ123" s="82" t="e">
        <f t="shared" si="34"/>
        <v>#N/A</v>
      </c>
      <c r="KR123" s="82" t="e">
        <f t="shared" si="34"/>
        <v>#N/A</v>
      </c>
      <c r="KS123" s="82" t="e">
        <f t="shared" si="34"/>
        <v>#N/A</v>
      </c>
      <c r="KT123" s="82" t="e">
        <f t="shared" si="34"/>
        <v>#N/A</v>
      </c>
      <c r="KU123" s="82" t="e">
        <f t="shared" si="34"/>
        <v>#N/A</v>
      </c>
      <c r="KV123" s="82" t="e">
        <f t="shared" si="34"/>
        <v>#N/A</v>
      </c>
      <c r="KW123" s="82" t="e">
        <f t="shared" si="34"/>
        <v>#N/A</v>
      </c>
      <c r="KX123" s="82" t="e">
        <f t="shared" si="34"/>
        <v>#N/A</v>
      </c>
      <c r="KY123" s="82" t="e">
        <f t="shared" si="34"/>
        <v>#N/A</v>
      </c>
      <c r="KZ123" s="82" t="e">
        <f t="shared" si="34"/>
        <v>#N/A</v>
      </c>
      <c r="LA123" s="82" t="e">
        <f t="shared" si="34"/>
        <v>#N/A</v>
      </c>
      <c r="LB123" s="82" t="e">
        <f t="shared" si="34"/>
        <v>#N/A</v>
      </c>
      <c r="LC123" s="82" t="e">
        <f t="shared" si="34"/>
        <v>#N/A</v>
      </c>
      <c r="LD123" s="82" t="e">
        <f t="shared" si="34"/>
        <v>#N/A</v>
      </c>
      <c r="LE123" s="82" t="e">
        <f t="shared" si="34"/>
        <v>#N/A</v>
      </c>
      <c r="LF123" s="82" t="e">
        <f t="shared" si="34"/>
        <v>#N/A</v>
      </c>
      <c r="LG123" s="82" t="e">
        <f t="shared" si="34"/>
        <v>#N/A</v>
      </c>
      <c r="LH123" s="82" t="e">
        <f t="shared" si="34"/>
        <v>#N/A</v>
      </c>
      <c r="LI123" s="82" t="e">
        <f t="shared" si="34"/>
        <v>#N/A</v>
      </c>
      <c r="LJ123" s="82" t="e">
        <f t="shared" si="34"/>
        <v>#N/A</v>
      </c>
      <c r="LK123" s="82" t="e">
        <f t="shared" si="34"/>
        <v>#N/A</v>
      </c>
      <c r="LL123" s="82" t="e">
        <f t="shared" si="34"/>
        <v>#N/A</v>
      </c>
      <c r="LM123" s="82" t="e">
        <f t="shared" si="34"/>
        <v>#N/A</v>
      </c>
      <c r="LN123" s="82" t="e">
        <f t="shared" si="34"/>
        <v>#N/A</v>
      </c>
      <c r="LO123" s="82" t="e">
        <f t="shared" si="34"/>
        <v>#N/A</v>
      </c>
      <c r="LP123" s="82" t="e">
        <f t="shared" si="34"/>
        <v>#N/A</v>
      </c>
      <c r="LQ123" s="82" t="e">
        <f t="shared" si="34"/>
        <v>#N/A</v>
      </c>
      <c r="LR123" s="82" t="e">
        <f t="shared" si="34"/>
        <v>#N/A</v>
      </c>
      <c r="LS123" s="82" t="e">
        <f t="shared" si="34"/>
        <v>#N/A</v>
      </c>
      <c r="LT123" s="82" t="e">
        <f t="shared" si="34"/>
        <v>#N/A</v>
      </c>
      <c r="LU123" s="82" t="e">
        <f t="shared" si="34"/>
        <v>#N/A</v>
      </c>
      <c r="LV123" s="82" t="e">
        <f t="shared" si="34"/>
        <v>#N/A</v>
      </c>
      <c r="LW123" s="82" t="e">
        <f t="shared" si="34"/>
        <v>#N/A</v>
      </c>
      <c r="LX123" s="82" t="e">
        <f t="shared" si="34"/>
        <v>#N/A</v>
      </c>
      <c r="LY123" s="82" t="e">
        <f t="shared" si="34"/>
        <v>#N/A</v>
      </c>
      <c r="LZ123" s="82" t="e">
        <f t="shared" si="34"/>
        <v>#N/A</v>
      </c>
      <c r="MA123" s="82" t="e">
        <f t="shared" si="34"/>
        <v>#N/A</v>
      </c>
      <c r="MB123" s="82" t="e">
        <f t="shared" si="34"/>
        <v>#N/A</v>
      </c>
      <c r="MC123" s="82" t="e">
        <f t="shared" si="34"/>
        <v>#N/A</v>
      </c>
      <c r="MD123" s="82" t="e">
        <f t="shared" si="34"/>
        <v>#N/A</v>
      </c>
      <c r="ME123" s="82" t="e">
        <f t="shared" si="34"/>
        <v>#N/A</v>
      </c>
      <c r="MF123" s="82" t="e">
        <f t="shared" si="34"/>
        <v>#N/A</v>
      </c>
      <c r="MG123" s="82" t="e">
        <f t="shared" si="34"/>
        <v>#N/A</v>
      </c>
      <c r="MH123" s="82" t="e">
        <f t="shared" si="34"/>
        <v>#N/A</v>
      </c>
      <c r="MI123" s="82" t="e">
        <f t="shared" si="34"/>
        <v>#N/A</v>
      </c>
      <c r="MJ123" s="82" t="e">
        <f t="shared" si="34"/>
        <v>#N/A</v>
      </c>
      <c r="MK123" s="82" t="e">
        <f t="shared" si="34"/>
        <v>#N/A</v>
      </c>
      <c r="ML123" s="82" t="e">
        <f t="shared" si="34"/>
        <v>#N/A</v>
      </c>
      <c r="MM123" s="82" t="e">
        <f t="shared" si="34"/>
        <v>#N/A</v>
      </c>
      <c r="MN123" s="82" t="e">
        <f t="shared" si="34"/>
        <v>#N/A</v>
      </c>
    </row>
    <row r="124" spans="25:406" ht="15" hidden="1" customHeight="1">
      <c r="Y124" s="83">
        <f t="shared" si="18"/>
        <v>342.39</v>
      </c>
      <c r="Z124" s="79">
        <f t="shared" si="19"/>
        <v>45128</v>
      </c>
      <c r="AA124" s="105" t="e">
        <f>IF(SUM(AE52:$AE$103)=0,NA(),SUM(AE52:$AE$103))</f>
        <v>#N/A</v>
      </c>
      <c r="AB124" s="124" t="e">
        <f>IF(SUM(AF52:$AF$103)=0,NA(),SUM(AF52:$AF$103))</f>
        <v>#N/A</v>
      </c>
      <c r="AC124" s="133" t="e">
        <f>IF(SUM(AG52:$AG$103)=0,NA(),SUM(AG52:$AG$103))</f>
        <v>#N/A</v>
      </c>
      <c r="AK124" s="79"/>
      <c r="AN124" s="79"/>
    </row>
    <row r="125" spans="25:406" ht="15" hidden="1" customHeight="1">
      <c r="Y125" s="83">
        <f t="shared" si="18"/>
        <v>341.67</v>
      </c>
      <c r="Z125" s="79">
        <f t="shared" si="19"/>
        <v>45127</v>
      </c>
      <c r="AA125" s="105" t="e">
        <f>IF(SUM(AE53:$AE$103)=0,NA(),SUM(AE53:$AE$103))</f>
        <v>#N/A</v>
      </c>
      <c r="AB125" s="124" t="e">
        <f>IF(SUM(AF53:$AF$103)=0,NA(),SUM(AF53:$AF$103))</f>
        <v>#N/A</v>
      </c>
      <c r="AC125" s="133" t="e">
        <f>IF(SUM(AG53:$AG$103)=0,NA(),SUM(AG53:$AG$103))</f>
        <v>#N/A</v>
      </c>
      <c r="AG125" s="83"/>
      <c r="AK125" s="79"/>
      <c r="AN125" s="79"/>
    </row>
    <row r="126" spans="25:406" ht="15" hidden="1" customHeight="1">
      <c r="Y126" s="83">
        <f t="shared" si="18"/>
        <v>343.11</v>
      </c>
      <c r="Z126" s="79">
        <f t="shared" si="19"/>
        <v>45126</v>
      </c>
      <c r="AA126" s="105" t="e">
        <f>IF(SUM(AE54:$AE$103)=0,NA(),SUM(AE54:$AE$103))</f>
        <v>#N/A</v>
      </c>
      <c r="AB126" s="124" t="e">
        <f>IF(SUM(AF54:$AF$103)=0,NA(),SUM(AF54:$AF$103))</f>
        <v>#N/A</v>
      </c>
      <c r="AC126" s="133" t="e">
        <f>IF(SUM(AG54:$AG$103)=0,NA(),SUM(AG54:$AG$103))</f>
        <v>#N/A</v>
      </c>
      <c r="AK126" s="79"/>
      <c r="AN126" s="79"/>
    </row>
    <row r="127" spans="25:406" ht="15" hidden="1" customHeight="1">
      <c r="Y127" s="83">
        <f t="shared" si="18"/>
        <v>343.38</v>
      </c>
      <c r="Z127" s="79">
        <f t="shared" si="19"/>
        <v>45125</v>
      </c>
      <c r="AA127" s="105" t="e">
        <f>IF(SUM(AE55:$AE$103)=0,NA(),SUM(AE55:$AE$103))</f>
        <v>#N/A</v>
      </c>
      <c r="AB127" s="124" t="e">
        <f>IF(SUM(AF55:$AF$103)=0,NA(),SUM(AF55:$AF$103))</f>
        <v>#N/A</v>
      </c>
      <c r="AC127" s="133" t="e">
        <f>IF(SUM(AG55:$AG$103)=0,NA(),SUM(AG55:$AG$103))</f>
        <v>#N/A</v>
      </c>
      <c r="AK127" s="79"/>
      <c r="AN127" s="79"/>
    </row>
    <row r="128" spans="25:406" ht="15" hidden="1" customHeight="1">
      <c r="Y128" s="83">
        <f t="shared" si="18"/>
        <v>345.75</v>
      </c>
      <c r="Z128" s="79">
        <f t="shared" si="19"/>
        <v>45124</v>
      </c>
      <c r="AA128" s="105" t="e">
        <f>IF(SUM(AE56:$AE$103)=0,NA(),SUM(AE56:$AE$103))</f>
        <v>#N/A</v>
      </c>
      <c r="AB128" s="124" t="e">
        <f>IF(SUM(AF56:$AF$103)=0,NA(),SUM(AF56:$AF$103))</f>
        <v>#N/A</v>
      </c>
      <c r="AC128" s="133" t="e">
        <f>IF(SUM(AG56:$AG$103)=0,NA(),SUM(AG56:$AG$103))</f>
        <v>#N/A</v>
      </c>
      <c r="AK128" s="79"/>
      <c r="AN128" s="79"/>
    </row>
    <row r="129" spans="25:40" ht="15" hidden="1" customHeight="1">
      <c r="Y129" s="83">
        <f t="shared" si="18"/>
        <v>346.93</v>
      </c>
      <c r="Z129" s="79">
        <f t="shared" si="19"/>
        <v>45121</v>
      </c>
      <c r="AA129" s="105" t="e">
        <f>IF(SUM(AE57:$AE$103)=0,NA(),SUM(AE57:$AE$103))</f>
        <v>#N/A</v>
      </c>
      <c r="AB129" s="124" t="e">
        <f>IF(SUM(AF57:$AF$103)=0,NA(),SUM(AF57:$AF$103))</f>
        <v>#N/A</v>
      </c>
      <c r="AC129" s="133" t="e">
        <f>IF(SUM(AG57:$AG$103)=0,NA(),SUM(AG57:$AG$103))</f>
        <v>#N/A</v>
      </c>
      <c r="AK129" s="79"/>
      <c r="AN129" s="79"/>
    </row>
    <row r="130" spans="25:40" ht="15" hidden="1" customHeight="1">
      <c r="Y130" s="83">
        <f t="shared" si="18"/>
        <v>341.13</v>
      </c>
      <c r="Z130" s="79">
        <f t="shared" si="19"/>
        <v>45120</v>
      </c>
      <c r="AA130" s="105" t="e">
        <f>IF(SUM(AE58:$AE$103)=0,NA(),SUM(AE58:$AE$103))</f>
        <v>#N/A</v>
      </c>
      <c r="AB130" s="124" t="e">
        <f>IF(SUM(AF58:$AF$103)=0,NA(),SUM(AF58:$AF$103))</f>
        <v>#N/A</v>
      </c>
      <c r="AC130" s="133" t="e">
        <f>IF(SUM(AG58:$AG$103)=0,NA(),SUM(AG58:$AG$103))</f>
        <v>#N/A</v>
      </c>
      <c r="AK130" s="79"/>
      <c r="AN130" s="79"/>
    </row>
    <row r="131" spans="25:40" ht="15" hidden="1" customHeight="1">
      <c r="Y131" s="83">
        <f t="shared" si="18"/>
        <v>339.46</v>
      </c>
      <c r="Z131" s="79">
        <f t="shared" si="19"/>
        <v>45119</v>
      </c>
      <c r="AA131" s="105" t="e">
        <f>IF(SUM(AE59:$AE$103)=0,NA(),SUM(AE59:$AE$103))</f>
        <v>#N/A</v>
      </c>
      <c r="AB131" s="124" t="e">
        <f>IF(SUM(AF59:$AF$103)=0,NA(),SUM(AF59:$AF$103))</f>
        <v>#N/A</v>
      </c>
      <c r="AC131" s="133" t="e">
        <f>IF(SUM(AG59:$AG$103)=0,NA(),SUM(AG59:$AG$103))</f>
        <v>#N/A</v>
      </c>
      <c r="AK131" s="79"/>
      <c r="AN131" s="79"/>
    </row>
    <row r="132" spans="25:40" ht="15" hidden="1" customHeight="1">
      <c r="Y132" s="83">
        <f t="shared" si="18"/>
        <v>337.02</v>
      </c>
      <c r="Z132" s="79">
        <f t="shared" si="19"/>
        <v>45118</v>
      </c>
      <c r="AA132" s="105" t="e">
        <f>IF(SUM(AE60:$AE$103)=0,NA(),SUM(AE60:$AE$103))</f>
        <v>#N/A</v>
      </c>
      <c r="AB132" s="124" t="e">
        <f>IF(SUM(AF60:$AF$103)=0,NA(),SUM(AF60:$AF$103))</f>
        <v>#N/A</v>
      </c>
      <c r="AC132" s="133" t="e">
        <f>IF(SUM(AG60:$AG$103)=0,NA(),SUM(AG60:$AG$103))</f>
        <v>#N/A</v>
      </c>
      <c r="AK132" s="79"/>
      <c r="AN132" s="79"/>
    </row>
    <row r="133" spans="25:40" ht="15" hidden="1" customHeight="1">
      <c r="Y133" s="83">
        <f t="shared" si="18"/>
        <v>330.84</v>
      </c>
      <c r="Z133" s="79">
        <f t="shared" si="19"/>
        <v>45117</v>
      </c>
      <c r="AA133" s="105" t="e">
        <f>IF(SUM(AE61:$AE$103)=0,NA(),SUM(AE61:$AE$103))</f>
        <v>#N/A</v>
      </c>
      <c r="AB133" s="124" t="e">
        <f>IF(SUM(AF61:$AF$103)=0,NA(),SUM(AF61:$AF$103))</f>
        <v>#N/A</v>
      </c>
      <c r="AC133" s="133" t="e">
        <f>IF(SUM(AG61:$AG$103)=0,NA(),SUM(AG61:$AG$103))</f>
        <v>#N/A</v>
      </c>
      <c r="AK133" s="79"/>
      <c r="AN133" s="79"/>
    </row>
    <row r="134" spans="25:40" ht="15" hidden="1" customHeight="1">
      <c r="Y134" s="83">
        <f t="shared" si="18"/>
        <v>331.57</v>
      </c>
      <c r="Z134" s="79">
        <f t="shared" si="19"/>
        <v>45114</v>
      </c>
      <c r="AA134" s="105" t="e">
        <f>IF(SUM(AE62:$AE$103)=0,NA(),SUM(AE62:$AE$103))</f>
        <v>#N/A</v>
      </c>
      <c r="AB134" s="124" t="e">
        <f>IF(SUM(AF62:$AF$103)=0,NA(),SUM(AF62:$AF$103))</f>
        <v>#N/A</v>
      </c>
      <c r="AC134" s="133" t="e">
        <f>IF(SUM(AG62:$AG$103)=0,NA(),SUM(AG62:$AG$103))</f>
        <v>#N/A</v>
      </c>
      <c r="AK134" s="79"/>
      <c r="AN134" s="79"/>
    </row>
    <row r="135" spans="25:40" ht="15" hidden="1" customHeight="1">
      <c r="Y135" s="83">
        <f t="shared" si="18"/>
        <v>336.2</v>
      </c>
      <c r="Z135" s="79">
        <f t="shared" si="19"/>
        <v>45113</v>
      </c>
      <c r="AA135" s="105" t="e">
        <f>IF(SUM(AE63:$AE$103)=0,NA(),SUM(AE63:$AE$103))</f>
        <v>#N/A</v>
      </c>
      <c r="AB135" s="124" t="e">
        <f>IF(SUM(AF63:$AF$103)=0,NA(),SUM(AF63:$AF$103))</f>
        <v>#N/A</v>
      </c>
      <c r="AC135" s="133" t="e">
        <f>IF(SUM(AG63:$AG$103)=0,NA(),SUM(AG63:$AG$103))</f>
        <v>#N/A</v>
      </c>
      <c r="AK135" s="79"/>
      <c r="AN135" s="79"/>
    </row>
    <row r="136" spans="25:40" ht="15" hidden="1" customHeight="1">
      <c r="Y136" s="83">
        <f t="shared" si="18"/>
        <v>339.04</v>
      </c>
      <c r="Z136" s="79">
        <f t="shared" si="19"/>
        <v>45112</v>
      </c>
      <c r="AA136" s="105" t="e">
        <f>IF(SUM(AE64:$AE$103)=0,NA(),SUM(AE64:$AE$103))</f>
        <v>#N/A</v>
      </c>
      <c r="AB136" s="124" t="e">
        <f>IF(SUM(AF64:$AF$103)=0,NA(),SUM(AF64:$AF$103))</f>
        <v>#N/A</v>
      </c>
      <c r="AC136" s="133" t="e">
        <f>IF(SUM(AG64:$AG$103)=0,NA(),SUM(AG64:$AG$103))</f>
        <v>#N/A</v>
      </c>
      <c r="AK136" s="79"/>
      <c r="AN136" s="79"/>
    </row>
    <row r="137" spans="25:40" ht="15" hidden="1" customHeight="1">
      <c r="Y137" s="83">
        <f t="shared" si="18"/>
        <v>341.59</v>
      </c>
      <c r="Z137" s="79">
        <f t="shared" si="19"/>
        <v>45111</v>
      </c>
      <c r="AA137" s="105" t="e">
        <f>IF(SUM(AE65:$AE$103)=0,NA(),SUM(AE65:$AE$103))</f>
        <v>#N/A</v>
      </c>
      <c r="AB137" s="124" t="e">
        <f>IF(SUM(AF65:$AF$103)=0,NA(),SUM(AF65:$AF$103))</f>
        <v>#N/A</v>
      </c>
      <c r="AC137" s="133" t="e">
        <f>IF(SUM(AG65:$AG$103)=0,NA(),SUM(AG65:$AG$103))</f>
        <v>#N/A</v>
      </c>
      <c r="AK137" s="79"/>
      <c r="AN137" s="79"/>
    </row>
    <row r="138" spans="25:40" ht="15" hidden="1" customHeight="1">
      <c r="Y138" s="83">
        <f t="shared" si="18"/>
        <v>343.08</v>
      </c>
      <c r="Z138" s="79">
        <f t="shared" si="19"/>
        <v>45110</v>
      </c>
      <c r="AA138" s="105" t="e">
        <f>IF(SUM(AE66:$AE$103)=0,NA(),SUM(AE66:$AE$103))</f>
        <v>#N/A</v>
      </c>
      <c r="AB138" s="124" t="e">
        <f>IF(SUM(AF66:$AF$103)=0,NA(),SUM(AF66:$AF$103))</f>
        <v>#N/A</v>
      </c>
      <c r="AC138" s="133" t="e">
        <f>IF(SUM(AG66:$AG$103)=0,NA(),SUM(AG66:$AG$103))</f>
        <v>#N/A</v>
      </c>
      <c r="AK138" s="79"/>
      <c r="AN138" s="79"/>
    </row>
    <row r="139" spans="25:40" ht="15" hidden="1" customHeight="1">
      <c r="Y139" s="83">
        <f t="shared" si="18"/>
        <v>337.95</v>
      </c>
      <c r="Z139" s="79">
        <f t="shared" si="19"/>
        <v>45107</v>
      </c>
      <c r="AA139" s="105" t="e">
        <f>IF(SUM(AE67:$AE$103)=0,NA(),SUM(AE67:$AE$103))</f>
        <v>#N/A</v>
      </c>
      <c r="AB139" s="124" t="e">
        <f>IF(SUM(AF67:$AF$103)=0,NA(),SUM(AF67:$AF$103))</f>
        <v>#N/A</v>
      </c>
      <c r="AC139" s="133" t="e">
        <f>IF(SUM(AG67:$AG$103)=0,NA(),SUM(AG67:$AG$103))</f>
        <v>#N/A</v>
      </c>
      <c r="AK139" s="79"/>
      <c r="AN139" s="79"/>
    </row>
    <row r="140" spans="25:40" ht="15" hidden="1" customHeight="1">
      <c r="Y140" s="83">
        <f t="shared" si="18"/>
        <v>336.39</v>
      </c>
      <c r="Z140" s="79">
        <f t="shared" si="19"/>
        <v>45106</v>
      </c>
      <c r="AA140" s="105" t="e">
        <f>IF(SUM(AE68:$AE$103)=0,NA(),SUM(AE68:$AE$103))</f>
        <v>#N/A</v>
      </c>
      <c r="AB140" s="124" t="e">
        <f>IF(SUM(AF68:$AF$103)=0,NA(),SUM(AF68:$AF$103))</f>
        <v>#N/A</v>
      </c>
      <c r="AC140" s="133" t="e">
        <f>IF(SUM(AG68:$AG$103)=0,NA(),SUM(AG68:$AG$103))</f>
        <v>#N/A</v>
      </c>
      <c r="AK140" s="79"/>
      <c r="AN140" s="79"/>
    </row>
    <row r="141" spans="25:40" ht="15" hidden="1" customHeight="1">
      <c r="Y141" s="83">
        <f t="shared" si="18"/>
        <v>338.41</v>
      </c>
      <c r="Z141" s="79">
        <f t="shared" si="19"/>
        <v>45105</v>
      </c>
      <c r="AA141" s="105" t="e">
        <f>IF(SUM(AE69:$AE$103)=0,NA(),SUM(AE69:$AE$103))</f>
        <v>#N/A</v>
      </c>
      <c r="AB141" s="124" t="e">
        <f>IF(SUM(AF69:$AF$103)=0,NA(),SUM(AF69:$AF$103))</f>
        <v>#N/A</v>
      </c>
      <c r="AC141" s="133" t="e">
        <f>IF(SUM(AG69:$AG$103)=0,NA(),SUM(AG69:$AG$103))</f>
        <v>#N/A</v>
      </c>
      <c r="AK141" s="79"/>
      <c r="AN141" s="79"/>
    </row>
    <row r="142" spans="25:40" ht="15" hidden="1" customHeight="1">
      <c r="Y142" s="83">
        <f t="shared" si="18"/>
        <v>340.32</v>
      </c>
      <c r="Z142" s="79">
        <f t="shared" si="19"/>
        <v>45104</v>
      </c>
      <c r="AA142" s="105" t="e">
        <f>IF(SUM(AE70:$AE$103)=0,NA(),SUM(AE70:$AE$103))</f>
        <v>#N/A</v>
      </c>
      <c r="AB142" s="124" t="e">
        <f>IF(SUM(AF70:$AF$103)=0,NA(),SUM(AF70:$AF$103))</f>
        <v>#N/A</v>
      </c>
      <c r="AC142" s="133" t="e">
        <f>IF(SUM(AG70:$AG$103)=0,NA(),SUM(AG70:$AG$103))</f>
        <v>#N/A</v>
      </c>
      <c r="AK142" s="79"/>
      <c r="AN142" s="79"/>
    </row>
    <row r="143" spans="25:40" ht="15" hidden="1" customHeight="1">
      <c r="Y143" s="83">
        <f t="shared" si="18"/>
        <v>340.38</v>
      </c>
      <c r="Z143" s="79">
        <f t="shared" si="19"/>
        <v>45103</v>
      </c>
      <c r="AA143" s="105" t="e">
        <f>IF(SUM(AE71:$AE$103)=0,NA(),SUM(AE71:$AE$103))</f>
        <v>#N/A</v>
      </c>
      <c r="AB143" s="124" t="e">
        <f>IF(SUM(AF71:$AF$103)=0,NA(),SUM(AF71:$AF$103))</f>
        <v>#N/A</v>
      </c>
      <c r="AC143" s="133" t="e">
        <f>IF(SUM(AG71:$AG$103)=0,NA(),SUM(AG71:$AG$103))</f>
        <v>#N/A</v>
      </c>
      <c r="AK143" s="79"/>
      <c r="AN143" s="79"/>
    </row>
    <row r="144" spans="25:40" ht="15" hidden="1" customHeight="1">
      <c r="Y144" s="83">
        <f t="shared" si="18"/>
        <v>338.45</v>
      </c>
      <c r="Z144" s="79">
        <f t="shared" si="19"/>
        <v>45100</v>
      </c>
      <c r="AA144" s="105" t="e">
        <f>IF(SUM(AE72:$AE$103)=0,NA(),SUM(AE72:$AE$103))</f>
        <v>#N/A</v>
      </c>
      <c r="AB144" s="124" t="e">
        <f>IF(SUM(AF72:$AF$103)=0,NA(),SUM(AF72:$AF$103))</f>
        <v>#N/A</v>
      </c>
      <c r="AC144" s="133" t="e">
        <f>IF(SUM(AG72:$AG$103)=0,NA(),SUM(AG72:$AG$103))</f>
        <v>#N/A</v>
      </c>
      <c r="AK144" s="79"/>
      <c r="AN144" s="79"/>
    </row>
    <row r="145" spans="25:40" ht="15" hidden="1" customHeight="1">
      <c r="Y145" s="83">
        <f t="shared" si="18"/>
        <v>341.12</v>
      </c>
      <c r="Z145" s="79">
        <f t="shared" si="19"/>
        <v>45099</v>
      </c>
      <c r="AA145" s="105" t="e">
        <f>IF(SUM(AE73:$AE$103)=0,NA(),SUM(AE73:$AE$103))</f>
        <v>#N/A</v>
      </c>
      <c r="AB145" s="124" t="e">
        <f>IF(SUM(AF73:$AF$103)=0,NA(),SUM(AF73:$AF$103))</f>
        <v>#N/A</v>
      </c>
      <c r="AC145" s="133" t="e">
        <f>IF(SUM(AG73:$AG$103)=0,NA(),SUM(AG73:$AG$103))</f>
        <v>#N/A</v>
      </c>
      <c r="AK145" s="79"/>
      <c r="AN145" s="79"/>
    </row>
    <row r="146" spans="25:40" ht="15" hidden="1" customHeight="1">
      <c r="Y146" s="83">
        <f t="shared" si="18"/>
        <v>339.44</v>
      </c>
      <c r="Z146" s="79">
        <f t="shared" si="19"/>
        <v>45098</v>
      </c>
      <c r="AA146" s="105" t="e">
        <f>IF(SUM(AE74:$AE$103)=0,NA(),SUM(AE74:$AE$103))</f>
        <v>#N/A</v>
      </c>
      <c r="AB146" s="124" t="e">
        <f>IF(SUM(AF74:$AF$103)=0,NA(),SUM(AF74:$AF$103))</f>
        <v>#N/A</v>
      </c>
      <c r="AC146" s="133" t="e">
        <f>IF(SUM(AG74:$AG$103)=0,NA(),SUM(AG74:$AG$103))</f>
        <v>#N/A</v>
      </c>
      <c r="AK146" s="79"/>
      <c r="AN146" s="79"/>
    </row>
    <row r="147" spans="25:40" ht="15" hidden="1" customHeight="1">
      <c r="Y147" s="83">
        <f t="shared" si="18"/>
        <v>342.58</v>
      </c>
      <c r="Z147" s="79">
        <f t="shared" si="19"/>
        <v>45097</v>
      </c>
      <c r="AA147" s="105" t="e">
        <f>IF(SUM(AE75:$AE$103)=0,NA(),SUM(AE75:$AE$103))</f>
        <v>#N/A</v>
      </c>
      <c r="AB147" s="124" t="e">
        <f>IF(SUM(AF75:$AF$103)=0,NA(),SUM(AF75:$AF$103))</f>
        <v>#N/A</v>
      </c>
      <c r="AC147" s="133" t="e">
        <f>IF(SUM(AG75:$AG$103)=0,NA(),SUM(AG75:$AG$103))</f>
        <v>#N/A</v>
      </c>
      <c r="AK147" s="79"/>
      <c r="AN147" s="79"/>
    </row>
    <row r="148" spans="25:40" ht="15" hidden="1" customHeight="1">
      <c r="Y148" s="83">
        <f t="shared" si="18"/>
        <v>343.13</v>
      </c>
      <c r="Z148" s="79">
        <f t="shared" si="19"/>
        <v>45096</v>
      </c>
      <c r="AA148" s="105" t="e">
        <f>IF(SUM(AE76:$AE$103)=0,NA(),SUM(AE76:$AE$103))</f>
        <v>#N/A</v>
      </c>
      <c r="AB148" s="124" t="e">
        <f>IF(SUM(AF76:$AF$103)=0,NA(),SUM(AF76:$AF$103))</f>
        <v>#N/A</v>
      </c>
      <c r="AC148" s="133" t="e">
        <f>IF(SUM(AG76:$AG$103)=0,NA(),SUM(AG76:$AG$103))</f>
        <v>#N/A</v>
      </c>
      <c r="AK148" s="79"/>
      <c r="AN148" s="79"/>
    </row>
    <row r="149" spans="25:40" ht="15" hidden="1" customHeight="1">
      <c r="Y149" s="83">
        <f t="shared" si="18"/>
        <v>345.17</v>
      </c>
      <c r="Z149" s="79">
        <f t="shared" si="19"/>
        <v>45093</v>
      </c>
      <c r="AA149" s="105" t="e">
        <f>IF(SUM(AE77:$AE$103)=0,NA(),SUM(AE77:$AE$103))</f>
        <v>#N/A</v>
      </c>
      <c r="AB149" s="124" t="e">
        <f>IF(SUM(AF77:$AF$103)=0,NA(),SUM(AF77:$AF$103))</f>
        <v>#N/A</v>
      </c>
      <c r="AC149" s="133" t="e">
        <f>IF(SUM(AG77:$AG$103)=0,NA(),SUM(AG77:$AG$103))</f>
        <v>#N/A</v>
      </c>
      <c r="AK149" s="79"/>
      <c r="AN149" s="79"/>
    </row>
    <row r="150" spans="25:40" ht="15" hidden="1" customHeight="1">
      <c r="Y150" s="83">
        <f t="shared" si="18"/>
        <v>343.19</v>
      </c>
      <c r="Z150" s="79">
        <f t="shared" si="19"/>
        <v>45092</v>
      </c>
      <c r="AA150" s="105" t="e">
        <f>IF(SUM(AE78:$AE$103)=0,NA(),SUM(AE78:$AE$103))</f>
        <v>#N/A</v>
      </c>
      <c r="AB150" s="124" t="e">
        <f>IF(SUM(AF78:$AF$103)=0,NA(),SUM(AF78:$AF$103))</f>
        <v>#N/A</v>
      </c>
      <c r="AC150" s="133" t="e">
        <f>IF(SUM(AG78:$AG$103)=0,NA(),SUM(AG78:$AG$103))</f>
        <v>#N/A</v>
      </c>
      <c r="AK150" s="79"/>
      <c r="AN150" s="79"/>
    </row>
    <row r="151" spans="25:40" ht="15" hidden="1" customHeight="1">
      <c r="Y151" s="83">
        <f t="shared" si="18"/>
        <v>344.65</v>
      </c>
      <c r="Z151" s="79">
        <f t="shared" si="19"/>
        <v>45091</v>
      </c>
      <c r="AA151" s="105" t="e">
        <f>IF(SUM(AE79:$AE$103)=0,NA(),SUM(AE79:$AE$103))</f>
        <v>#N/A</v>
      </c>
      <c r="AB151" s="124" t="e">
        <f>IF(SUM(AF79:$AF$103)=0,NA(),SUM(AF79:$AF$103))</f>
        <v>#N/A</v>
      </c>
      <c r="AC151" s="133" t="e">
        <f>IF(SUM(AG79:$AG$103)=0,NA(),SUM(AG79:$AG$103))</f>
        <v>#N/A</v>
      </c>
      <c r="AK151" s="79"/>
      <c r="AN151" s="79"/>
    </row>
    <row r="152" spans="25:40" ht="15" hidden="1" customHeight="1">
      <c r="Y152" s="83">
        <f t="shared" si="18"/>
        <v>346.39</v>
      </c>
      <c r="Z152" s="79">
        <f t="shared" si="19"/>
        <v>45090</v>
      </c>
      <c r="AA152" s="105" t="e">
        <f>IF(SUM(AE80:$AE$103)=0,NA(),SUM(AE80:$AE$103))</f>
        <v>#N/A</v>
      </c>
      <c r="AB152" s="124" t="e">
        <f>IF(SUM(AF80:$AF$103)=0,NA(),SUM(AF80:$AF$103))</f>
        <v>#N/A</v>
      </c>
      <c r="AC152" s="133" t="e">
        <f>IF(SUM(AG80:$AG$103)=0,NA(),SUM(AG80:$AG$103))</f>
        <v>#N/A</v>
      </c>
      <c r="AK152" s="79"/>
      <c r="AN152" s="79"/>
    </row>
    <row r="153" spans="25:40" ht="15" hidden="1" customHeight="1">
      <c r="Y153" s="83">
        <f t="shared" si="18"/>
        <v>344.57</v>
      </c>
      <c r="Z153" s="79">
        <f t="shared" si="19"/>
        <v>45089</v>
      </c>
      <c r="AA153" s="105" t="e">
        <f>IF(SUM(AE81:$AE$103)=0,NA(),SUM(AE81:$AE$103))</f>
        <v>#N/A</v>
      </c>
      <c r="AB153" s="124" t="e">
        <f>IF(SUM(AF81:$AF$103)=0,NA(),SUM(AF81:$AF$103))</f>
        <v>#N/A</v>
      </c>
      <c r="AC153" s="133" t="e">
        <f>IF(SUM(AG81:$AG$103)=0,NA(),SUM(AG81:$AG$103))</f>
        <v>#N/A</v>
      </c>
      <c r="AK153" s="79"/>
      <c r="AN153" s="79"/>
    </row>
    <row r="154" spans="25:40" ht="15" hidden="1" customHeight="1">
      <c r="Y154" s="83">
        <f t="shared" si="18"/>
        <v>346.79</v>
      </c>
      <c r="Z154" s="79">
        <f t="shared" si="19"/>
        <v>45086</v>
      </c>
      <c r="AA154" s="105" t="e">
        <f>IF(SUM(AE82:$AE$103)=0,NA(),SUM(AE82:$AE$103))</f>
        <v>#N/A</v>
      </c>
      <c r="AB154" s="124" t="e">
        <f>IF(SUM(AF82:$AF$103)=0,NA(),SUM(AF82:$AF$103))</f>
        <v>#N/A</v>
      </c>
      <c r="AC154" s="133" t="e">
        <f>IF(SUM(AG82:$AG$103)=0,NA(),SUM(AG82:$AG$103))</f>
        <v>#N/A</v>
      </c>
      <c r="AK154" s="79"/>
      <c r="AN154" s="79"/>
    </row>
    <row r="155" spans="25:40" ht="15" hidden="1" customHeight="1">
      <c r="Y155" s="83" t="e">
        <f t="shared" si="18"/>
        <v>#N/A</v>
      </c>
      <c r="Z155" s="79" t="e">
        <f t="shared" si="19"/>
        <v>#N/A</v>
      </c>
      <c r="AA155" s="105" t="e">
        <f>IF(SUM(AE83:$AE$103)=0,NA(),SUM(AE83:$AE$103))</f>
        <v>#N/A</v>
      </c>
      <c r="AB155" s="124" t="e">
        <f>IF(SUM(AF83:$AF$103)=0,NA(),SUM(AF83:$AF$103))</f>
        <v>#N/A</v>
      </c>
      <c r="AC155" s="133" t="e">
        <f>IF(SUM(AG83:$AG$103)=0,NA(),SUM(AG83:$AG$103))</f>
        <v>#N/A</v>
      </c>
      <c r="AK155" s="79"/>
      <c r="AN155" s="79"/>
    </row>
    <row r="156" spans="25:40" ht="15" hidden="1" customHeight="1">
      <c r="Y156" s="83" t="e">
        <f t="shared" si="18"/>
        <v>#N/A</v>
      </c>
      <c r="Z156" s="79" t="e">
        <f t="shared" si="19"/>
        <v>#N/A</v>
      </c>
      <c r="AA156" s="105" t="e">
        <f>IF(SUM(AE84:$AE$103)=0,NA(),SUM(AE84:$AE$103))</f>
        <v>#N/A</v>
      </c>
      <c r="AB156" s="124" t="e">
        <f>IF(SUM(AF84:$AF$103)=0,NA(),SUM(AF84:$AF$103))</f>
        <v>#N/A</v>
      </c>
      <c r="AC156" s="133" t="e">
        <f>IF(SUM(AG84:$AG$103)=0,NA(),SUM(AG84:$AG$103))</f>
        <v>#N/A</v>
      </c>
      <c r="AK156" s="79"/>
      <c r="AN156" s="79"/>
    </row>
    <row r="157" spans="25:40" ht="15" hidden="1" customHeight="1">
      <c r="Y157" s="83" t="e">
        <f t="shared" si="18"/>
        <v>#N/A</v>
      </c>
      <c r="Z157" s="79" t="e">
        <f t="shared" si="19"/>
        <v>#N/A</v>
      </c>
      <c r="AA157" s="105" t="e">
        <f>IF(SUM(AE85:$AE$103)=0,NA(),SUM(AE85:$AE$103))</f>
        <v>#N/A</v>
      </c>
      <c r="AB157" s="124" t="e">
        <f>IF(SUM(AF85:$AF$103)=0,NA(),SUM(AF85:$AF$103))</f>
        <v>#N/A</v>
      </c>
      <c r="AC157" s="133" t="e">
        <f>IF(SUM(AG85:$AG$103)=0,NA(),SUM(AG85:$AG$103))</f>
        <v>#N/A</v>
      </c>
      <c r="AK157" s="79"/>
      <c r="AN157" s="79"/>
    </row>
    <row r="158" spans="25:40" ht="15" hidden="1" customHeight="1">
      <c r="Y158" s="83" t="e">
        <f t="shared" si="18"/>
        <v>#N/A</v>
      </c>
      <c r="Z158" s="79" t="e">
        <f t="shared" si="19"/>
        <v>#N/A</v>
      </c>
      <c r="AA158" s="105" t="e">
        <f>IF(SUM(AE86:$AE$103)=0,NA(),SUM(AE86:$AE$103))</f>
        <v>#N/A</v>
      </c>
      <c r="AB158" s="124" t="e">
        <f>IF(SUM(AF86:$AF$103)=0,NA(),SUM(AF86:$AF$103))</f>
        <v>#N/A</v>
      </c>
      <c r="AC158" s="133" t="e">
        <f>IF(SUM(AG86:$AG$103)=0,NA(),SUM(AG86:$AG$103))</f>
        <v>#N/A</v>
      </c>
      <c r="AK158" s="79"/>
      <c r="AN158" s="79"/>
    </row>
    <row r="159" spans="25:40" ht="15" hidden="1" customHeight="1">
      <c r="Y159" s="83" t="e">
        <f t="shared" si="18"/>
        <v>#N/A</v>
      </c>
      <c r="Z159" s="79" t="e">
        <f t="shared" si="19"/>
        <v>#N/A</v>
      </c>
      <c r="AA159" s="105" t="e">
        <f>IF(SUM(AE87:$AE$103)=0,NA(),SUM(AE87:$AE$103))</f>
        <v>#N/A</v>
      </c>
      <c r="AB159" s="124" t="e">
        <f>IF(SUM(AF87:$AF$103)=0,NA(),SUM(AF87:$AF$103))</f>
        <v>#N/A</v>
      </c>
      <c r="AC159" s="133" t="e">
        <f>IF(SUM(AG87:$AG$103)=0,NA(),SUM(AG87:$AG$103))</f>
        <v>#N/A</v>
      </c>
      <c r="AK159" s="79"/>
      <c r="AN159" s="79"/>
    </row>
    <row r="160" spans="25:40" ht="15" hidden="1" customHeight="1">
      <c r="Y160" s="83" t="e">
        <f t="shared" si="18"/>
        <v>#N/A</v>
      </c>
      <c r="Z160" s="79" t="e">
        <f t="shared" si="19"/>
        <v>#N/A</v>
      </c>
      <c r="AA160" s="105" t="e">
        <f>IF(SUM(AE88:$AE$103)=0,NA(),SUM(AE88:$AE$103))</f>
        <v>#N/A</v>
      </c>
      <c r="AB160" s="124" t="e">
        <f>IF(SUM(AF88:$AF$103)=0,NA(),SUM(AF88:$AF$103))</f>
        <v>#N/A</v>
      </c>
      <c r="AC160" s="133" t="e">
        <f>IF(SUM(AG88:$AG$103)=0,NA(),SUM(AG88:$AG$103))</f>
        <v>#N/A</v>
      </c>
      <c r="AK160" s="79"/>
      <c r="AN160" s="79"/>
    </row>
    <row r="161" spans="25:40" ht="15" hidden="1" customHeight="1">
      <c r="Y161" s="83" t="e">
        <f t="shared" si="18"/>
        <v>#N/A</v>
      </c>
      <c r="Z161" s="79" t="e">
        <f t="shared" si="19"/>
        <v>#N/A</v>
      </c>
      <c r="AA161" s="105" t="e">
        <f>IF(SUM(AE89:$AE$103)=0,NA(),SUM(AE89:$AE$103))</f>
        <v>#N/A</v>
      </c>
      <c r="AB161" s="124" t="e">
        <f>IF(SUM(AF89:$AF$103)=0,NA(),SUM(AF89:$AF$103))</f>
        <v>#N/A</v>
      </c>
      <c r="AC161" s="133" t="e">
        <f>IF(SUM(AG89:$AG$103)=0,NA(),SUM(AG89:$AG$103))</f>
        <v>#N/A</v>
      </c>
      <c r="AK161" s="79"/>
      <c r="AN161" s="79"/>
    </row>
    <row r="162" spans="25:40" ht="15" hidden="1" customHeight="1">
      <c r="Y162" s="83" t="e">
        <f t="shared" si="18"/>
        <v>#N/A</v>
      </c>
      <c r="Z162" s="79" t="e">
        <f t="shared" si="19"/>
        <v>#N/A</v>
      </c>
      <c r="AA162" s="105" t="e">
        <f>IF(SUM(AE90:$AE$103)=0,NA(),SUM(AE90:$AE$103))</f>
        <v>#N/A</v>
      </c>
      <c r="AB162" s="124" t="e">
        <f>IF(SUM(AF90:$AF$103)=0,NA(),SUM(AF90:$AF$103))</f>
        <v>#N/A</v>
      </c>
      <c r="AC162" s="133" t="e">
        <f>IF(SUM(AG90:$AG$103)=0,NA(),SUM(AG90:$AG$103))</f>
        <v>#N/A</v>
      </c>
      <c r="AK162" s="79"/>
      <c r="AN162" s="79"/>
    </row>
    <row r="163" spans="25:40" ht="15" hidden="1" customHeight="1">
      <c r="Y163" s="83" t="e">
        <f t="shared" si="18"/>
        <v>#N/A</v>
      </c>
      <c r="Z163" s="79" t="e">
        <f t="shared" si="19"/>
        <v>#N/A</v>
      </c>
      <c r="AA163" s="105" t="e">
        <f>IF(SUM(AE91:$AE$103)=0,NA(),SUM(AE91:$AE$103))</f>
        <v>#N/A</v>
      </c>
      <c r="AB163" s="124" t="e">
        <f>IF(SUM(AF91:$AF$103)=0,NA(),SUM(AF91:$AF$103))</f>
        <v>#N/A</v>
      </c>
      <c r="AC163" s="133" t="e">
        <f>IF(SUM(AG91:$AG$103)=0,NA(),SUM(AG91:$AG$103))</f>
        <v>#N/A</v>
      </c>
      <c r="AK163" s="79"/>
      <c r="AN163" s="79"/>
    </row>
    <row r="164" spans="25:40" ht="15" hidden="1" customHeight="1">
      <c r="Y164" s="83" t="e">
        <f t="shared" si="18"/>
        <v>#N/A</v>
      </c>
      <c r="Z164" s="79" t="e">
        <f t="shared" si="19"/>
        <v>#N/A</v>
      </c>
      <c r="AA164" s="105" t="e">
        <f>IF(SUM(AE92:$AE$103)=0,NA(),SUM(AE92:$AE$103))</f>
        <v>#N/A</v>
      </c>
      <c r="AB164" s="124" t="e">
        <f>IF(SUM(AF92:$AF$103)=0,NA(),SUM(AF92:$AF$103))</f>
        <v>#N/A</v>
      </c>
      <c r="AC164" s="133" t="e">
        <f>IF(SUM(AG92:$AG$103)=0,NA(),SUM(AG92:$AG$103))</f>
        <v>#N/A</v>
      </c>
      <c r="AK164" s="79"/>
      <c r="AN164" s="79"/>
    </row>
    <row r="165" spans="25:40" ht="15" hidden="1" customHeight="1">
      <c r="Y165" s="83" t="e">
        <f t="shared" si="18"/>
        <v>#N/A</v>
      </c>
      <c r="Z165" s="79" t="e">
        <f t="shared" si="19"/>
        <v>#N/A</v>
      </c>
      <c r="AA165" s="105" t="e">
        <f>IF(SUM(AE93:$AE$103)=0,NA(),SUM(AE93:$AE$103))</f>
        <v>#N/A</v>
      </c>
      <c r="AB165" s="124" t="e">
        <f>IF(SUM(AF93:$AF$103)=0,NA(),SUM(AF93:$AF$103))</f>
        <v>#N/A</v>
      </c>
      <c r="AC165" s="133" t="e">
        <f>IF(SUM(AG93:$AG$103)=0,NA(),SUM(AG93:$AG$103))</f>
        <v>#N/A</v>
      </c>
      <c r="AK165" s="79"/>
      <c r="AN165" s="79"/>
    </row>
    <row r="166" spans="25:40" ht="15" hidden="1" customHeight="1">
      <c r="Y166" s="83" t="e">
        <f t="shared" si="18"/>
        <v>#N/A</v>
      </c>
      <c r="Z166" s="79" t="e">
        <f t="shared" si="19"/>
        <v>#N/A</v>
      </c>
      <c r="AA166" s="105" t="e">
        <f>IF(SUM(AE94:$AE$103)=0,NA(),SUM(AE94:$AE$103))</f>
        <v>#N/A</v>
      </c>
      <c r="AB166" s="124" t="e">
        <f>IF(SUM(AF94:$AF$103)=0,NA(),SUM(AF94:$AF$103))</f>
        <v>#N/A</v>
      </c>
      <c r="AC166" s="133" t="e">
        <f>IF(SUM(AG94:$AG$103)=0,NA(),SUM(AG94:$AG$103))</f>
        <v>#N/A</v>
      </c>
      <c r="AK166" s="79"/>
      <c r="AN166" s="79"/>
    </row>
    <row r="167" spans="25:40" ht="15" hidden="1" customHeight="1">
      <c r="Y167" s="83" t="e">
        <f t="shared" si="18"/>
        <v>#N/A</v>
      </c>
      <c r="Z167" s="79" t="e">
        <f t="shared" si="19"/>
        <v>#N/A</v>
      </c>
      <c r="AA167" s="105" t="e">
        <f>IF(SUM(AE95:$AE$103)=0,NA(),SUM(AE95:$AE$103))</f>
        <v>#N/A</v>
      </c>
      <c r="AB167" s="124" t="e">
        <f>IF(SUM(AF95:$AF$103)=0,NA(),SUM(AF95:$AF$103))</f>
        <v>#N/A</v>
      </c>
      <c r="AC167" s="133" t="e">
        <f>IF(SUM(AG95:$AG$103)=0,NA(),SUM(AG95:$AG$103))</f>
        <v>#N/A</v>
      </c>
      <c r="AK167" s="79"/>
      <c r="AN167" s="79"/>
    </row>
    <row r="168" spans="25:40" ht="15" hidden="1" customHeight="1">
      <c r="Y168" s="83" t="e">
        <f t="shared" si="18"/>
        <v>#N/A</v>
      </c>
      <c r="Z168" s="79" t="e">
        <f t="shared" si="19"/>
        <v>#N/A</v>
      </c>
      <c r="AA168" s="105" t="e">
        <f>IF(SUM(AE96:$AE$103)=0,NA(),SUM(AE96:$AE$103))</f>
        <v>#N/A</v>
      </c>
      <c r="AB168" s="124" t="e">
        <f>IF(SUM(AF96:$AF$103)=0,NA(),SUM(AF96:$AF$103))</f>
        <v>#N/A</v>
      </c>
      <c r="AC168" s="133" t="e">
        <f>IF(SUM(AG96:$AG$103)=0,NA(),SUM(AG96:$AG$103))</f>
        <v>#N/A</v>
      </c>
      <c r="AK168" s="79"/>
      <c r="AN168" s="79"/>
    </row>
    <row r="169" spans="25:40" ht="15" hidden="1" customHeight="1">
      <c r="Y169" s="83" t="e">
        <f t="shared" si="18"/>
        <v>#N/A</v>
      </c>
      <c r="Z169" s="79" t="e">
        <f t="shared" si="19"/>
        <v>#N/A</v>
      </c>
      <c r="AA169" s="105" t="e">
        <f>IF(SUM(AE97:$AE$103)=0,NA(),SUM(AE97:$AE$103))</f>
        <v>#N/A</v>
      </c>
      <c r="AB169" s="124" t="e">
        <f>IF(SUM(AF97:$AF$103)=0,NA(),SUM(AF97:$AF$103))</f>
        <v>#N/A</v>
      </c>
      <c r="AC169" s="133" t="e">
        <f>IF(SUM(AG97:$AG$103)=0,NA(),SUM(AG97:$AG$103))</f>
        <v>#N/A</v>
      </c>
      <c r="AK169" s="79"/>
      <c r="AN169" s="79"/>
    </row>
    <row r="170" spans="25:40" ht="15" hidden="1" customHeight="1">
      <c r="Y170" s="83" t="e">
        <f t="shared" si="18"/>
        <v>#N/A</v>
      </c>
      <c r="Z170" s="79" t="e">
        <f t="shared" si="19"/>
        <v>#N/A</v>
      </c>
      <c r="AA170" s="105" t="e">
        <f>IF(SUM(AE98:$AE$103)=0,NA(),SUM(AE98:$AE$103))</f>
        <v>#N/A</v>
      </c>
      <c r="AB170" s="124" t="e">
        <f>IF(SUM(AF98:$AF$103)=0,NA(),SUM(AF98:$AF$103))</f>
        <v>#N/A</v>
      </c>
      <c r="AC170" s="133" t="e">
        <f>IF(SUM(AG98:$AG$103)=0,NA(),SUM(AG98:$AG$103))</f>
        <v>#N/A</v>
      </c>
      <c r="AK170" s="79"/>
      <c r="AN170" s="79"/>
    </row>
    <row r="171" spans="25:40" ht="15" hidden="1" customHeight="1">
      <c r="Y171" s="83" t="e">
        <f>IF(AA99="",Y99,NA())</f>
        <v>#N/A</v>
      </c>
      <c r="Z171" s="79" t="e">
        <f>IF(AA99="",Z99,NA())</f>
        <v>#N/A</v>
      </c>
      <c r="AA171" s="105" t="e">
        <f>IF(SUM(AE99:$AE$103)=0,NA(),SUM(AE99:$AE$103))</f>
        <v>#N/A</v>
      </c>
      <c r="AB171" s="124" t="e">
        <f>IF(SUM(AF99:$AF$103)=0,NA(),SUM(AF99:$AF$103))</f>
        <v>#N/A</v>
      </c>
      <c r="AC171" s="133" t="e">
        <f>IF(SUM(AG99:$AG$103)=0,NA(),SUM(AG99:$AG$103))</f>
        <v>#N/A</v>
      </c>
      <c r="AK171" s="79"/>
      <c r="AN171" s="79"/>
    </row>
    <row r="172" spans="25:40" ht="15" hidden="1" customHeight="1">
      <c r="Y172" s="83" t="e">
        <f>IF(AA100="",Y100,NA())</f>
        <v>#N/A</v>
      </c>
      <c r="Z172" s="79" t="e">
        <f>IF(AA100="",Z100,NA())</f>
        <v>#N/A</v>
      </c>
      <c r="AA172" s="105" t="e">
        <f>IF(SUM(AE100:$AE$103)=0,NA(),SUM(AE100:$AE$103))</f>
        <v>#N/A</v>
      </c>
      <c r="AB172" s="124" t="e">
        <f>IF(SUM(AF100:$AF$103)=0,NA(),SUM(AF100:$AF$103))</f>
        <v>#N/A</v>
      </c>
      <c r="AC172" s="133" t="e">
        <f>IF(SUM(AG100:$AG$103)=0,NA(),SUM(AG100:$AG$103))</f>
        <v>#N/A</v>
      </c>
      <c r="AK172" s="79"/>
      <c r="AN172" s="79"/>
    </row>
    <row r="173" spans="25:40" ht="15" hidden="1" customHeight="1">
      <c r="Y173" s="83" t="e">
        <f>IF(AA101="",Y101,NA())</f>
        <v>#N/A</v>
      </c>
      <c r="Z173" s="79" t="e">
        <f>IF(AA101="",Z101,NA())</f>
        <v>#N/A</v>
      </c>
      <c r="AA173" s="105" t="e">
        <f>IF(SUM(AE101:$AE$103)=0,NA(),SUM(AE101:$AE$103))</f>
        <v>#N/A</v>
      </c>
      <c r="AB173" s="124" t="e">
        <f>IF(SUM(AF101:$AF$103)=0,NA(),SUM(AF101:$AF$103))</f>
        <v>#N/A</v>
      </c>
      <c r="AC173" s="133" t="e">
        <f>IF(SUM(AG101:$AG$103)=0,NA(),SUM(AG101:$AG$103))</f>
        <v>#N/A</v>
      </c>
      <c r="AK173" s="79"/>
      <c r="AN173" s="79"/>
    </row>
    <row r="174" spans="25:40" ht="15" hidden="1" customHeight="1">
      <c r="Y174" s="83" t="e">
        <f>IF(AA102="",Y102,NA())</f>
        <v>#N/A</v>
      </c>
      <c r="Z174" s="79" t="e">
        <f>IF(AA102="",Z102,NA())</f>
        <v>#N/A</v>
      </c>
      <c r="AA174" s="105" t="e">
        <f>IF(SUM(AE102:$AE$103)=0,NA(),SUM(AE102:$AE$103))</f>
        <v>#N/A</v>
      </c>
      <c r="AB174" s="124" t="e">
        <f>IF(SUM(AF102:$AF$103)=0,NA(),SUM(AF102:$AF$103))</f>
        <v>#N/A</v>
      </c>
      <c r="AC174" s="133" t="e">
        <f>IF(SUM(AG102:$AG$103)=0,NA(),SUM(AG102:$AG$103))</f>
        <v>#N/A</v>
      </c>
      <c r="AK174" s="79"/>
      <c r="AN174" s="79"/>
    </row>
    <row r="175" spans="25:40" ht="15" hidden="1" customHeight="1" thickBot="1">
      <c r="Y175" s="83" t="e">
        <f>IF(AA103="",Y103,NA())</f>
        <v>#N/A</v>
      </c>
      <c r="Z175" s="79" t="e">
        <f>IF(AA103="",Z103,NA())</f>
        <v>#N/A</v>
      </c>
      <c r="AA175" s="135" t="e">
        <f>IF(SUM(AE103:$AE$103)=0,NA(),SUM(AE103:$AE$103))</f>
        <v>#N/A</v>
      </c>
      <c r="AB175" s="136" t="e">
        <f>IF(SUM(AF103:$AF$103)=0,NA(),SUM(AF103:$AF$103))</f>
        <v>#N/A</v>
      </c>
      <c r="AC175" s="137" t="e">
        <f>IF(SUM(AG103:$AG$103)=0,NA(),SUM(AG103:$AG$103))</f>
        <v>#N/A</v>
      </c>
      <c r="AK175" s="79"/>
      <c r="AN175" s="79"/>
    </row>
    <row r="176" spans="25:40" ht="15" hidden="1" customHeight="1">
      <c r="AK176" s="79"/>
      <c r="AN176" s="79"/>
    </row>
    <row r="177" spans="37:40" ht="15" hidden="1" customHeight="1">
      <c r="AK177" s="79"/>
      <c r="AN177" s="79"/>
    </row>
    <row r="178" spans="37:40" ht="15" hidden="1" customHeight="1">
      <c r="AK178" s="79"/>
      <c r="AN178" s="79"/>
    </row>
    <row r="179" spans="37:40" ht="15" hidden="1" customHeight="1">
      <c r="AK179" s="79"/>
      <c r="AN179" s="79"/>
    </row>
    <row r="180" spans="37:40" ht="15" hidden="1" customHeight="1">
      <c r="AK180" s="79"/>
      <c r="AN180" s="79"/>
    </row>
    <row r="181" spans="37:40" ht="15" hidden="1" customHeight="1">
      <c r="AK181" s="79"/>
      <c r="AN181" s="79"/>
    </row>
    <row r="182" spans="37:40" ht="15" hidden="1" customHeight="1">
      <c r="AK182" s="79"/>
      <c r="AN182" s="79"/>
    </row>
    <row r="183" spans="37:40" ht="15" hidden="1" customHeight="1">
      <c r="AK183" s="79"/>
      <c r="AN183" s="79"/>
    </row>
    <row r="184" spans="37:40" ht="15" hidden="1" customHeight="1">
      <c r="AK184" s="79"/>
      <c r="AN184" s="79"/>
    </row>
    <row r="185" spans="37:40" ht="15" hidden="1" customHeight="1">
      <c r="AK185" s="79"/>
      <c r="AN185" s="79"/>
    </row>
    <row r="186" spans="37:40" ht="15" hidden="1" customHeight="1">
      <c r="AK186" s="79"/>
      <c r="AN186" s="79"/>
    </row>
    <row r="187" spans="37:40" ht="15" hidden="1" customHeight="1">
      <c r="AK187" s="79"/>
      <c r="AN187" s="79"/>
    </row>
    <row r="188" spans="37:40" ht="15" hidden="1" customHeight="1">
      <c r="AK188" s="79"/>
      <c r="AN188" s="79"/>
    </row>
    <row r="189" spans="37:40" ht="15" hidden="1" customHeight="1">
      <c r="AK189" s="79"/>
      <c r="AN189" s="79"/>
    </row>
    <row r="190" spans="37:40" ht="15" hidden="1" customHeight="1">
      <c r="AK190" s="79"/>
      <c r="AN190" s="79"/>
    </row>
    <row r="191" spans="37:40" ht="15" hidden="1" customHeight="1">
      <c r="AK191" s="79"/>
      <c r="AN191" s="79"/>
    </row>
    <row r="192" spans="37:40" ht="15" hidden="1" customHeight="1">
      <c r="AK192" s="79"/>
      <c r="AN192" s="79"/>
    </row>
    <row r="193" spans="37:40" ht="15" hidden="1" customHeight="1">
      <c r="AK193" s="79"/>
      <c r="AN193" s="79"/>
    </row>
    <row r="194" spans="37:40" ht="15" hidden="1" customHeight="1">
      <c r="AK194" s="79"/>
      <c r="AN194" s="79"/>
    </row>
    <row r="195" spans="37:40" ht="15" hidden="1" customHeight="1">
      <c r="AK195" s="79"/>
      <c r="AN195" s="79"/>
    </row>
    <row r="196" spans="37:40" ht="15" hidden="1" customHeight="1">
      <c r="AK196" s="79"/>
      <c r="AN196" s="79"/>
    </row>
    <row r="197" spans="37:40" ht="15" hidden="1" customHeight="1">
      <c r="AK197" s="79"/>
      <c r="AN197" s="79"/>
    </row>
    <row r="198" spans="37:40" ht="15" hidden="1" customHeight="1">
      <c r="AK198" s="79"/>
      <c r="AN198" s="79"/>
    </row>
    <row r="199" spans="37:40" ht="15" hidden="1" customHeight="1">
      <c r="AK199" s="79"/>
      <c r="AN199" s="79"/>
    </row>
    <row r="200" spans="37:40" ht="15" hidden="1" customHeight="1">
      <c r="AK200" s="79"/>
      <c r="AN200" s="79"/>
    </row>
    <row r="201" spans="37:40" ht="15" hidden="1" customHeight="1">
      <c r="AK201" s="79"/>
      <c r="AN201" s="79"/>
    </row>
    <row r="202" spans="37:40" ht="15" hidden="1" customHeight="1">
      <c r="AK202" s="79"/>
      <c r="AN202" s="79"/>
    </row>
    <row r="203" spans="37:40" ht="15" hidden="1" customHeight="1">
      <c r="AK203" s="79"/>
      <c r="AN203" s="79"/>
    </row>
    <row r="204" spans="37:40" ht="15" hidden="1" customHeight="1">
      <c r="AK204" s="79"/>
      <c r="AN204" s="79"/>
    </row>
    <row r="205" spans="37:40" ht="15" hidden="1" customHeight="1">
      <c r="AK205" s="79"/>
      <c r="AN205" s="79"/>
    </row>
    <row r="206" spans="37:40" ht="15" hidden="1" customHeight="1">
      <c r="AK206" s="79"/>
      <c r="AN206" s="79"/>
    </row>
    <row r="207" spans="37:40" ht="15" hidden="1" customHeight="1">
      <c r="AK207" s="79"/>
      <c r="AN207" s="79"/>
    </row>
    <row r="208" spans="37:40" ht="15" hidden="1" customHeight="1">
      <c r="AK208" s="79"/>
      <c r="AN208" s="79"/>
    </row>
    <row r="209" spans="37:40" ht="15" hidden="1" customHeight="1">
      <c r="AK209" s="79"/>
      <c r="AN209" s="79"/>
    </row>
    <row r="210" spans="37:40" ht="15" hidden="1" customHeight="1">
      <c r="AK210" s="79"/>
      <c r="AN210" s="79"/>
    </row>
    <row r="211" spans="37:40" ht="15" hidden="1" customHeight="1">
      <c r="AK211" s="79"/>
      <c r="AN211" s="79"/>
    </row>
    <row r="212" spans="37:40" ht="15" hidden="1" customHeight="1">
      <c r="AK212" s="79"/>
      <c r="AN212" s="79"/>
    </row>
    <row r="213" spans="37:40" ht="15" hidden="1" customHeight="1">
      <c r="AK213" s="79"/>
      <c r="AN213" s="79"/>
    </row>
    <row r="214" spans="37:40" ht="15" hidden="1" customHeight="1">
      <c r="AK214" s="79"/>
      <c r="AN214" s="79"/>
    </row>
    <row r="215" spans="37:40" ht="15" hidden="1" customHeight="1">
      <c r="AK215" s="79"/>
      <c r="AN215" s="79"/>
    </row>
    <row r="216" spans="37:40" ht="15" hidden="1" customHeight="1">
      <c r="AK216" s="79"/>
      <c r="AN216" s="79"/>
    </row>
    <row r="217" spans="37:40" ht="15" hidden="1" customHeight="1">
      <c r="AK217" s="79"/>
      <c r="AN217" s="79"/>
    </row>
    <row r="218" spans="37:40" ht="15" hidden="1" customHeight="1">
      <c r="AK218" s="79"/>
      <c r="AN218" s="79"/>
    </row>
    <row r="219" spans="37:40" ht="15" hidden="1" customHeight="1">
      <c r="AK219" s="79"/>
      <c r="AN219" s="79"/>
    </row>
    <row r="220" spans="37:40" ht="15" hidden="1" customHeight="1">
      <c r="AK220" s="79"/>
      <c r="AN220" s="79"/>
    </row>
    <row r="221" spans="37:40" ht="15" hidden="1" customHeight="1">
      <c r="AK221" s="79"/>
      <c r="AN221" s="79"/>
    </row>
    <row r="222" spans="37:40" ht="15" hidden="1" customHeight="1">
      <c r="AK222" s="79"/>
      <c r="AN222" s="79"/>
    </row>
    <row r="223" spans="37:40" ht="15" hidden="1" customHeight="1">
      <c r="AK223" s="79"/>
      <c r="AN223" s="79"/>
    </row>
    <row r="224" spans="37:40" ht="15" hidden="1" customHeight="1">
      <c r="AK224" s="79"/>
      <c r="AN224" s="79"/>
    </row>
    <row r="225" spans="37:40" ht="15" hidden="1" customHeight="1">
      <c r="AK225" s="79"/>
      <c r="AN225" s="79"/>
    </row>
    <row r="226" spans="37:40" ht="15" hidden="1" customHeight="1">
      <c r="AK226" s="79"/>
      <c r="AN226" s="79"/>
    </row>
    <row r="227" spans="37:40" ht="15" hidden="1" customHeight="1">
      <c r="AK227" s="79"/>
      <c r="AN227" s="79"/>
    </row>
    <row r="228" spans="37:40" ht="15" hidden="1" customHeight="1">
      <c r="AK228" s="79"/>
      <c r="AN228" s="79"/>
    </row>
    <row r="229" spans="37:40" ht="15" hidden="1" customHeight="1">
      <c r="AK229" s="79"/>
      <c r="AN229" s="79"/>
    </row>
    <row r="230" spans="37:40" ht="15" hidden="1" customHeight="1">
      <c r="AK230" s="79"/>
      <c r="AN230" s="79"/>
    </row>
    <row r="231" spans="37:40" ht="15" hidden="1" customHeight="1">
      <c r="AK231" s="79"/>
      <c r="AN231" s="79"/>
    </row>
    <row r="232" spans="37:40" ht="15" hidden="1" customHeight="1">
      <c r="AK232" s="79"/>
      <c r="AN232" s="79"/>
    </row>
    <row r="233" spans="37:40" ht="15" hidden="1" customHeight="1">
      <c r="AK233" s="79"/>
      <c r="AN233" s="79"/>
    </row>
    <row r="234" spans="37:40" ht="15" hidden="1" customHeight="1">
      <c r="AK234" s="79"/>
      <c r="AN234" s="79"/>
    </row>
    <row r="235" spans="37:40" ht="15" hidden="1" customHeight="1">
      <c r="AK235" s="79"/>
      <c r="AN235" s="79"/>
    </row>
    <row r="236" spans="37:40" ht="15" hidden="1" customHeight="1">
      <c r="AK236" s="79"/>
      <c r="AN236" s="79"/>
    </row>
    <row r="237" spans="37:40" ht="15" hidden="1" customHeight="1">
      <c r="AK237" s="79"/>
      <c r="AN237" s="79"/>
    </row>
    <row r="238" spans="37:40" ht="15" hidden="1" customHeight="1">
      <c r="AK238" s="79"/>
      <c r="AN238" s="79"/>
    </row>
    <row r="239" spans="37:40" ht="15" hidden="1" customHeight="1">
      <c r="AK239" s="79"/>
      <c r="AN239" s="79"/>
    </row>
    <row r="240" spans="37:40" ht="15" hidden="1" customHeight="1">
      <c r="AK240" s="79"/>
      <c r="AN240" s="79"/>
    </row>
    <row r="241" spans="37:40" ht="15" hidden="1" customHeight="1">
      <c r="AK241" s="79"/>
      <c r="AN241" s="79"/>
    </row>
    <row r="242" spans="37:40" ht="15" hidden="1" customHeight="1">
      <c r="AK242" s="79"/>
      <c r="AN242" s="79"/>
    </row>
    <row r="243" spans="37:40" ht="15" hidden="1" customHeight="1">
      <c r="AK243" s="79"/>
      <c r="AN243" s="79"/>
    </row>
    <row r="244" spans="37:40" ht="15" hidden="1" customHeight="1">
      <c r="AK244" s="79"/>
      <c r="AN244" s="79"/>
    </row>
    <row r="245" spans="37:40" ht="15" hidden="1" customHeight="1">
      <c r="AK245" s="79"/>
      <c r="AN245" s="79"/>
    </row>
    <row r="246" spans="37:40" ht="15" hidden="1" customHeight="1">
      <c r="AK246" s="79"/>
      <c r="AN246" s="79"/>
    </row>
    <row r="247" spans="37:40" ht="15" hidden="1" customHeight="1">
      <c r="AK247" s="79"/>
      <c r="AN247" s="79"/>
    </row>
    <row r="248" spans="37:40" ht="15" hidden="1" customHeight="1">
      <c r="AK248" s="79"/>
      <c r="AN248" s="79"/>
    </row>
    <row r="249" spans="37:40" ht="15" hidden="1" customHeight="1">
      <c r="AK249" s="79"/>
      <c r="AN249" s="79"/>
    </row>
    <row r="250" spans="37:40" ht="15" hidden="1" customHeight="1">
      <c r="AK250" s="79"/>
      <c r="AN250" s="79"/>
    </row>
    <row r="251" spans="37:40" ht="15" hidden="1" customHeight="1">
      <c r="AK251" s="79"/>
      <c r="AN251" s="79"/>
    </row>
    <row r="252" spans="37:40" ht="15" hidden="1" customHeight="1">
      <c r="AK252" s="79"/>
      <c r="AN252" s="79"/>
    </row>
    <row r="253" spans="37:40" ht="15" hidden="1" customHeight="1">
      <c r="AK253" s="79"/>
      <c r="AN253" s="79"/>
    </row>
    <row r="254" spans="37:40" ht="15" hidden="1" customHeight="1">
      <c r="AK254" s="79"/>
      <c r="AN254" s="79"/>
    </row>
    <row r="255" spans="37:40" ht="15" hidden="1" customHeight="1">
      <c r="AK255" s="79"/>
      <c r="AN255" s="79"/>
    </row>
    <row r="256" spans="37:40" ht="15" hidden="1" customHeight="1">
      <c r="AK256" s="79"/>
      <c r="AN256" s="79"/>
    </row>
    <row r="257" spans="37:40" ht="15" hidden="1" customHeight="1">
      <c r="AK257" s="79"/>
      <c r="AN257" s="79"/>
    </row>
    <row r="258" spans="37:40" ht="15" hidden="1" customHeight="1">
      <c r="AK258" s="79"/>
      <c r="AN258" s="79"/>
    </row>
    <row r="259" spans="37:40" ht="15" hidden="1" customHeight="1">
      <c r="AK259" s="79"/>
      <c r="AN259" s="79"/>
    </row>
    <row r="260" spans="37:40" ht="15" hidden="1" customHeight="1">
      <c r="AK260" s="79"/>
      <c r="AN260" s="79"/>
    </row>
    <row r="261" spans="37:40" ht="15" hidden="1" customHeight="1">
      <c r="AK261" s="79"/>
      <c r="AN261" s="79"/>
    </row>
    <row r="262" spans="37:40" ht="15" hidden="1" customHeight="1">
      <c r="AK262" s="79"/>
      <c r="AN262" s="79"/>
    </row>
    <row r="263" spans="37:40" ht="15" hidden="1" customHeight="1">
      <c r="AK263" s="79"/>
      <c r="AN263" s="79"/>
    </row>
    <row r="264" spans="37:40" ht="15" hidden="1" customHeight="1">
      <c r="AK264" s="79"/>
      <c r="AN264" s="79"/>
    </row>
    <row r="265" spans="37:40" ht="15" hidden="1" customHeight="1">
      <c r="AK265" s="79"/>
      <c r="AN265" s="79"/>
    </row>
    <row r="266" spans="37:40" ht="15" hidden="1" customHeight="1">
      <c r="AK266" s="79"/>
      <c r="AN266" s="79"/>
    </row>
    <row r="267" spans="37:40" ht="15" hidden="1" customHeight="1">
      <c r="AK267" s="79"/>
      <c r="AN267" s="79"/>
    </row>
    <row r="268" spans="37:40" ht="15" hidden="1" customHeight="1">
      <c r="AK268" s="79"/>
      <c r="AN268" s="79"/>
    </row>
    <row r="269" spans="37:40" ht="15" hidden="1" customHeight="1">
      <c r="AK269" s="79"/>
      <c r="AN269" s="79"/>
    </row>
    <row r="270" spans="37:40" ht="15" hidden="1" customHeight="1">
      <c r="AK270" s="79"/>
      <c r="AN270" s="79"/>
    </row>
    <row r="271" spans="37:40" ht="15" hidden="1" customHeight="1">
      <c r="AK271" s="79"/>
      <c r="AN271" s="79"/>
    </row>
    <row r="272" spans="37:40" ht="15" hidden="1" customHeight="1">
      <c r="AK272" s="79"/>
      <c r="AN272" s="79"/>
    </row>
    <row r="273" spans="37:40" ht="15" hidden="1" customHeight="1">
      <c r="AK273" s="79"/>
      <c r="AN273" s="79"/>
    </row>
    <row r="274" spans="37:40" ht="15" hidden="1" customHeight="1">
      <c r="AK274" s="79"/>
      <c r="AN274" s="79"/>
    </row>
    <row r="275" spans="37:40" ht="15" hidden="1" customHeight="1">
      <c r="AK275" s="79"/>
      <c r="AN275" s="79"/>
    </row>
    <row r="276" spans="37:40" ht="15" hidden="1" customHeight="1">
      <c r="AK276" s="79"/>
      <c r="AN276" s="79"/>
    </row>
    <row r="277" spans="37:40" ht="15" hidden="1" customHeight="1">
      <c r="AK277" s="79"/>
      <c r="AN277" s="79"/>
    </row>
    <row r="278" spans="37:40" ht="15" hidden="1" customHeight="1">
      <c r="AK278" s="79"/>
      <c r="AN278" s="79"/>
    </row>
    <row r="279" spans="37:40" ht="15" hidden="1" customHeight="1">
      <c r="AK279" s="79"/>
      <c r="AN279" s="79"/>
    </row>
    <row r="280" spans="37:40" ht="15" hidden="1" customHeight="1">
      <c r="AK280" s="79"/>
      <c r="AN280" s="79"/>
    </row>
    <row r="281" spans="37:40" ht="15" hidden="1" customHeight="1">
      <c r="AK281" s="79"/>
      <c r="AN281" s="79"/>
    </row>
    <row r="282" spans="37:40" ht="15" hidden="1" customHeight="1">
      <c r="AK282" s="79"/>
      <c r="AN282" s="79"/>
    </row>
    <row r="283" spans="37:40" ht="15" hidden="1" customHeight="1">
      <c r="AK283" s="79"/>
      <c r="AN283" s="79"/>
    </row>
    <row r="284" spans="37:40" ht="15" hidden="1" customHeight="1">
      <c r="AK284" s="79"/>
      <c r="AN284" s="79"/>
    </row>
    <row r="285" spans="37:40" ht="15" hidden="1" customHeight="1">
      <c r="AK285" s="79"/>
      <c r="AN285" s="79"/>
    </row>
    <row r="286" spans="37:40" ht="15" hidden="1" customHeight="1">
      <c r="AK286" s="79"/>
      <c r="AN286" s="79"/>
    </row>
    <row r="287" spans="37:40" ht="15" hidden="1" customHeight="1">
      <c r="AK287" s="79"/>
      <c r="AN287" s="79"/>
    </row>
    <row r="288" spans="37:40" ht="15" hidden="1" customHeight="1">
      <c r="AK288" s="79"/>
      <c r="AN288" s="79"/>
    </row>
    <row r="289" spans="37:40" ht="15" hidden="1" customHeight="1">
      <c r="AK289" s="79"/>
      <c r="AN289" s="79"/>
    </row>
    <row r="290" spans="37:40" ht="15" hidden="1" customHeight="1">
      <c r="AK290" s="79"/>
      <c r="AN290" s="79"/>
    </row>
    <row r="291" spans="37:40" ht="15" hidden="1" customHeight="1">
      <c r="AK291" s="79"/>
      <c r="AN291" s="79"/>
    </row>
    <row r="292" spans="37:40" ht="15" hidden="1" customHeight="1">
      <c r="AK292" s="79"/>
      <c r="AN292" s="79"/>
    </row>
    <row r="293" spans="37:40" ht="15" hidden="1" customHeight="1">
      <c r="AK293" s="79"/>
      <c r="AN293" s="79"/>
    </row>
    <row r="294" spans="37:40" ht="15" hidden="1" customHeight="1">
      <c r="AK294" s="79"/>
      <c r="AN294" s="79"/>
    </row>
    <row r="295" spans="37:40" ht="15" hidden="1" customHeight="1">
      <c r="AK295" s="79"/>
      <c r="AN295" s="79"/>
    </row>
    <row r="296" spans="37:40" ht="15" hidden="1" customHeight="1">
      <c r="AK296" s="79"/>
      <c r="AN296" s="79"/>
    </row>
    <row r="297" spans="37:40" ht="15" hidden="1" customHeight="1">
      <c r="AK297" s="79"/>
      <c r="AN297" s="79"/>
    </row>
    <row r="298" spans="37:40" ht="15" hidden="1" customHeight="1">
      <c r="AK298" s="79"/>
      <c r="AN298" s="79"/>
    </row>
    <row r="299" spans="37:40" ht="15" hidden="1" customHeight="1">
      <c r="AK299" s="79"/>
      <c r="AN299" s="79"/>
    </row>
    <row r="300" spans="37:40" ht="15" hidden="1" customHeight="1">
      <c r="AK300" s="79"/>
      <c r="AN300" s="79"/>
    </row>
    <row r="301" spans="37:40" ht="15" hidden="1" customHeight="1">
      <c r="AK301" s="79"/>
      <c r="AN301" s="79"/>
    </row>
    <row r="302" spans="37:40" ht="15" hidden="1" customHeight="1">
      <c r="AK302" s="79"/>
      <c r="AN302" s="79"/>
    </row>
    <row r="303" spans="37:40" ht="15" hidden="1" customHeight="1">
      <c r="AK303" s="79"/>
      <c r="AN303" s="79"/>
    </row>
    <row r="304" spans="37:40" ht="15" hidden="1" customHeight="1">
      <c r="AK304" s="79"/>
      <c r="AN304" s="79"/>
    </row>
    <row r="305" spans="37:40" ht="15" hidden="1" customHeight="1">
      <c r="AK305" s="79"/>
      <c r="AN305" s="79"/>
    </row>
    <row r="306" spans="37:40" ht="15" hidden="1" customHeight="1">
      <c r="AK306" s="79"/>
      <c r="AN306" s="79"/>
    </row>
    <row r="307" spans="37:40" ht="15" hidden="1" customHeight="1">
      <c r="AK307" s="79"/>
      <c r="AN307" s="79"/>
    </row>
    <row r="308" spans="37:40" ht="15" hidden="1" customHeight="1">
      <c r="AK308" s="79"/>
      <c r="AN308" s="79"/>
    </row>
    <row r="309" spans="37:40" ht="15" hidden="1" customHeight="1">
      <c r="AK309" s="79"/>
      <c r="AN309" s="79"/>
    </row>
    <row r="310" spans="37:40" ht="15" hidden="1" customHeight="1">
      <c r="AK310" s="79"/>
      <c r="AN310" s="79"/>
    </row>
    <row r="311" spans="37:40" ht="15" hidden="1" customHeight="1">
      <c r="AK311" s="79"/>
      <c r="AN311" s="79"/>
    </row>
    <row r="312" spans="37:40" ht="15" hidden="1" customHeight="1">
      <c r="AK312" s="79"/>
      <c r="AN312" s="79"/>
    </row>
    <row r="313" spans="37:40" ht="15" hidden="1" customHeight="1">
      <c r="AK313" s="79"/>
      <c r="AN313" s="79"/>
    </row>
    <row r="314" spans="37:40" ht="15" hidden="1" customHeight="1">
      <c r="AK314" s="79"/>
      <c r="AN314" s="79"/>
    </row>
    <row r="315" spans="37:40" ht="15" hidden="1" customHeight="1">
      <c r="AK315" s="79"/>
      <c r="AN315" s="79"/>
    </row>
    <row r="316" spans="37:40" ht="15" hidden="1" customHeight="1">
      <c r="AK316" s="79"/>
      <c r="AN316" s="79"/>
    </row>
    <row r="317" spans="37:40" ht="15" hidden="1" customHeight="1">
      <c r="AK317" s="79"/>
      <c r="AN317" s="79"/>
    </row>
    <row r="318" spans="37:40" ht="15" hidden="1" customHeight="1">
      <c r="AK318" s="79"/>
      <c r="AN318" s="79"/>
    </row>
    <row r="319" spans="37:40" ht="15" hidden="1" customHeight="1">
      <c r="AK319" s="79"/>
      <c r="AN319" s="79"/>
    </row>
    <row r="320" spans="37:40" ht="15" hidden="1" customHeight="1">
      <c r="AK320" s="79"/>
      <c r="AN320" s="79"/>
    </row>
    <row r="321" spans="37:40" ht="15" hidden="1" customHeight="1">
      <c r="AK321" s="79"/>
      <c r="AN321" s="79"/>
    </row>
    <row r="322" spans="37:40" ht="15" hidden="1" customHeight="1">
      <c r="AK322" s="79"/>
      <c r="AN322" s="79"/>
    </row>
    <row r="323" spans="37:40" ht="15" hidden="1" customHeight="1">
      <c r="AK323" s="79"/>
      <c r="AN323" s="79"/>
    </row>
    <row r="324" spans="37:40" ht="15" hidden="1" customHeight="1">
      <c r="AK324" s="79"/>
      <c r="AN324" s="79"/>
    </row>
    <row r="325" spans="37:40" ht="15" hidden="1" customHeight="1">
      <c r="AK325" s="79"/>
      <c r="AN325" s="79"/>
    </row>
    <row r="326" spans="37:40" ht="15" hidden="1" customHeight="1">
      <c r="AK326" s="79"/>
      <c r="AN326" s="79"/>
    </row>
    <row r="327" spans="37:40" ht="15" hidden="1" customHeight="1">
      <c r="AK327" s="79"/>
      <c r="AN327" s="79"/>
    </row>
    <row r="328" spans="37:40" ht="15" hidden="1" customHeight="1">
      <c r="AK328" s="79"/>
      <c r="AN328" s="79"/>
    </row>
    <row r="329" spans="37:40" ht="15" hidden="1" customHeight="1">
      <c r="AK329" s="79"/>
      <c r="AN329" s="79"/>
    </row>
    <row r="330" spans="37:40" ht="15" hidden="1" customHeight="1">
      <c r="AK330" s="79"/>
      <c r="AN330" s="79"/>
    </row>
    <row r="331" spans="37:40" ht="15" hidden="1" customHeight="1">
      <c r="AK331" s="79"/>
      <c r="AN331" s="79"/>
    </row>
    <row r="332" spans="37:40" ht="15" hidden="1" customHeight="1">
      <c r="AK332" s="79"/>
      <c r="AN332" s="79"/>
    </row>
    <row r="333" spans="37:40" ht="15" hidden="1" customHeight="1">
      <c r="AK333" s="79"/>
      <c r="AN333" s="79"/>
    </row>
    <row r="334" spans="37:40" ht="15" hidden="1" customHeight="1">
      <c r="AK334" s="79"/>
      <c r="AN334" s="79"/>
    </row>
    <row r="335" spans="37:40" ht="15" hidden="1" customHeight="1">
      <c r="AK335" s="79"/>
      <c r="AN335" s="79"/>
    </row>
    <row r="336" spans="37:40" ht="15" hidden="1" customHeight="1">
      <c r="AK336" s="79"/>
      <c r="AN336" s="79"/>
    </row>
    <row r="337" spans="37:40" ht="15" hidden="1" customHeight="1">
      <c r="AK337" s="79"/>
      <c r="AN337" s="79"/>
    </row>
    <row r="338" spans="37:40" ht="15" hidden="1" customHeight="1">
      <c r="AK338" s="79"/>
      <c r="AN338" s="79"/>
    </row>
    <row r="339" spans="37:40" ht="15" hidden="1" customHeight="1">
      <c r="AK339" s="79"/>
      <c r="AN339" s="79"/>
    </row>
    <row r="340" spans="37:40" ht="15" hidden="1" customHeight="1">
      <c r="AK340" s="79"/>
      <c r="AN340" s="79"/>
    </row>
    <row r="341" spans="37:40" ht="15" hidden="1" customHeight="1">
      <c r="AK341" s="79"/>
      <c r="AN341" s="79"/>
    </row>
    <row r="342" spans="37:40" ht="15" hidden="1" customHeight="1">
      <c r="AK342" s="79"/>
      <c r="AN342" s="79"/>
    </row>
    <row r="343" spans="37:40" ht="15" hidden="1" customHeight="1">
      <c r="AK343" s="79"/>
      <c r="AN343" s="79"/>
    </row>
    <row r="344" spans="37:40" ht="15" hidden="1" customHeight="1">
      <c r="AK344" s="79"/>
      <c r="AN344" s="79"/>
    </row>
    <row r="345" spans="37:40" ht="15" hidden="1" customHeight="1">
      <c r="AK345" s="79"/>
      <c r="AN345" s="79"/>
    </row>
    <row r="346" spans="37:40" ht="15" hidden="1" customHeight="1">
      <c r="AK346" s="79"/>
      <c r="AN346" s="79"/>
    </row>
    <row r="347" spans="37:40" ht="15" hidden="1" customHeight="1">
      <c r="AK347" s="79"/>
      <c r="AN347" s="79"/>
    </row>
    <row r="348" spans="37:40" ht="15" hidden="1" customHeight="1">
      <c r="AK348" s="79"/>
      <c r="AN348" s="79"/>
    </row>
    <row r="349" spans="37:40" ht="15" hidden="1" customHeight="1">
      <c r="AK349" s="79"/>
      <c r="AN349" s="79"/>
    </row>
    <row r="350" spans="37:40" ht="15" hidden="1" customHeight="1">
      <c r="AK350" s="79"/>
      <c r="AN350" s="79"/>
    </row>
    <row r="351" spans="37:40" ht="15" hidden="1" customHeight="1">
      <c r="AK351" s="79"/>
      <c r="AN351" s="79"/>
    </row>
    <row r="352" spans="37:40" ht="15" hidden="1" customHeight="1">
      <c r="AK352" s="79"/>
      <c r="AN352" s="79"/>
    </row>
    <row r="353" spans="37:40" ht="15" hidden="1" customHeight="1">
      <c r="AK353" s="79"/>
      <c r="AN353" s="79"/>
    </row>
    <row r="354" spans="37:40" ht="15" hidden="1" customHeight="1">
      <c r="AK354" s="79"/>
      <c r="AN354" s="79"/>
    </row>
    <row r="355" spans="37:40" ht="15" hidden="1" customHeight="1">
      <c r="AK355" s="79"/>
      <c r="AN355" s="79"/>
    </row>
    <row r="356" spans="37:40" ht="15" hidden="1" customHeight="1">
      <c r="AK356" s="79"/>
      <c r="AN356" s="79"/>
    </row>
    <row r="357" spans="37:40" ht="15" hidden="1" customHeight="1">
      <c r="AK357" s="79"/>
      <c r="AN357" s="79"/>
    </row>
    <row r="358" spans="37:40" ht="15" hidden="1" customHeight="1">
      <c r="AK358" s="79"/>
      <c r="AN358" s="79"/>
    </row>
    <row r="359" spans="37:40" ht="15" hidden="1" customHeight="1">
      <c r="AK359" s="79"/>
      <c r="AN359" s="79"/>
    </row>
    <row r="360" spans="37:40" ht="15" hidden="1" customHeight="1">
      <c r="AK360" s="79"/>
      <c r="AN360" s="79"/>
    </row>
    <row r="361" spans="37:40" ht="15" hidden="1" customHeight="1">
      <c r="AK361" s="79"/>
      <c r="AN361" s="79"/>
    </row>
    <row r="362" spans="37:40" ht="15" hidden="1" customHeight="1">
      <c r="AK362" s="79"/>
      <c r="AN362" s="79"/>
    </row>
    <row r="363" spans="37:40" ht="15" hidden="1" customHeight="1">
      <c r="AK363" s="79"/>
      <c r="AN363" s="79"/>
    </row>
    <row r="364" spans="37:40" ht="15" hidden="1" customHeight="1">
      <c r="AK364" s="79"/>
      <c r="AN364" s="79"/>
    </row>
    <row r="365" spans="37:40" ht="15" hidden="1" customHeight="1">
      <c r="AK365" s="79"/>
      <c r="AN365" s="79"/>
    </row>
    <row r="366" spans="37:40" ht="15" hidden="1" customHeight="1">
      <c r="AK366" s="79"/>
      <c r="AN366" s="79"/>
    </row>
    <row r="367" spans="37:40" ht="15" hidden="1" customHeight="1">
      <c r="AK367" s="79"/>
      <c r="AN367" s="79"/>
    </row>
    <row r="368" spans="37:40" ht="15" hidden="1" customHeight="1">
      <c r="AK368" s="79"/>
      <c r="AN368" s="79"/>
    </row>
    <row r="369" spans="37:40" ht="15" hidden="1" customHeight="1">
      <c r="AK369" s="79"/>
      <c r="AN369" s="79"/>
    </row>
    <row r="370" spans="37:40" ht="15" hidden="1" customHeight="1">
      <c r="AK370" s="79"/>
      <c r="AN370" s="79"/>
    </row>
    <row r="371" spans="37:40" ht="15" hidden="1" customHeight="1">
      <c r="AK371" s="79"/>
      <c r="AN371" s="79"/>
    </row>
    <row r="372" spans="37:40" ht="15" hidden="1" customHeight="1">
      <c r="AK372" s="79"/>
      <c r="AN372" s="79"/>
    </row>
    <row r="373" spans="37:40" ht="15" hidden="1" customHeight="1">
      <c r="AK373" s="79"/>
      <c r="AN373" s="79"/>
    </row>
    <row r="374" spans="37:40" ht="15" hidden="1" customHeight="1">
      <c r="AK374" s="79"/>
      <c r="AN374" s="79"/>
    </row>
    <row r="375" spans="37:40" ht="15" hidden="1" customHeight="1">
      <c r="AK375" s="79"/>
      <c r="AN375" s="79"/>
    </row>
    <row r="376" spans="37:40" ht="15" hidden="1" customHeight="1">
      <c r="AK376" s="79"/>
      <c r="AN376" s="79"/>
    </row>
    <row r="377" spans="37:40" ht="15" hidden="1" customHeight="1">
      <c r="AK377" s="79"/>
      <c r="AN377" s="79"/>
    </row>
    <row r="378" spans="37:40" ht="15" hidden="1" customHeight="1">
      <c r="AK378" s="79"/>
      <c r="AN378" s="79"/>
    </row>
    <row r="379" spans="37:40" ht="15" hidden="1" customHeight="1">
      <c r="AK379" s="79"/>
      <c r="AN379" s="79"/>
    </row>
    <row r="380" spans="37:40" ht="15" hidden="1" customHeight="1">
      <c r="AK380" s="79"/>
      <c r="AN380" s="79"/>
    </row>
    <row r="381" spans="37:40" ht="15" hidden="1" customHeight="1">
      <c r="AK381" s="79"/>
      <c r="AN381" s="79"/>
    </row>
    <row r="382" spans="37:40" ht="15" hidden="1" customHeight="1">
      <c r="AK382" s="79"/>
      <c r="AN382" s="79"/>
    </row>
    <row r="383" spans="37:40" ht="15" hidden="1" customHeight="1">
      <c r="AK383" s="79"/>
      <c r="AN383" s="79"/>
    </row>
    <row r="384" spans="37:40" ht="15" hidden="1" customHeight="1">
      <c r="AK384" s="79"/>
      <c r="AN384" s="79"/>
    </row>
    <row r="385" spans="37:40" ht="15" hidden="1" customHeight="1">
      <c r="AK385" s="79"/>
      <c r="AN385" s="79"/>
    </row>
    <row r="386" spans="37:40" ht="15" hidden="1" customHeight="1">
      <c r="AK386" s="79"/>
      <c r="AN386" s="79"/>
    </row>
    <row r="387" spans="37:40" ht="15" hidden="1" customHeight="1">
      <c r="AK387" s="79"/>
      <c r="AN387" s="79"/>
    </row>
    <row r="388" spans="37:40" ht="15" hidden="1" customHeight="1">
      <c r="AK388" s="79"/>
      <c r="AN388" s="79"/>
    </row>
    <row r="389" spans="37:40" ht="15" hidden="1" customHeight="1">
      <c r="AK389" s="79"/>
      <c r="AN389" s="79"/>
    </row>
    <row r="390" spans="37:40" ht="15" hidden="1" customHeight="1">
      <c r="AK390" s="79"/>
      <c r="AN390" s="79"/>
    </row>
    <row r="391" spans="37:40" ht="15" hidden="1" customHeight="1">
      <c r="AK391" s="79"/>
      <c r="AN391" s="79"/>
    </row>
    <row r="392" spans="37:40" ht="15" hidden="1" customHeight="1">
      <c r="AK392" s="79"/>
      <c r="AN392" s="79"/>
    </row>
    <row r="393" spans="37:40" ht="15" hidden="1" customHeight="1">
      <c r="AK393" s="79"/>
      <c r="AN393" s="79"/>
    </row>
    <row r="394" spans="37:40" ht="15" hidden="1" customHeight="1">
      <c r="AK394" s="79"/>
      <c r="AN394" s="79"/>
    </row>
    <row r="395" spans="37:40" ht="15" hidden="1" customHeight="1">
      <c r="AK395" s="79"/>
      <c r="AN395" s="79"/>
    </row>
    <row r="396" spans="37:40" ht="15" hidden="1" customHeight="1">
      <c r="AK396" s="79"/>
      <c r="AN396" s="79"/>
    </row>
    <row r="397" spans="37:40" ht="15" hidden="1" customHeight="1">
      <c r="AK397" s="79"/>
      <c r="AN397" s="79"/>
    </row>
    <row r="398" spans="37:40" ht="15" hidden="1" customHeight="1">
      <c r="AK398" s="79"/>
      <c r="AN398" s="79"/>
    </row>
    <row r="399" spans="37:40" ht="15" hidden="1" customHeight="1">
      <c r="AK399" s="79"/>
      <c r="AN399" s="79"/>
    </row>
    <row r="400" spans="37:40" ht="15" hidden="1" customHeight="1">
      <c r="AK400" s="79"/>
      <c r="AN400" s="79"/>
    </row>
    <row r="401" spans="37:40" ht="15" hidden="1" customHeight="1">
      <c r="AK401" s="79"/>
      <c r="AN401" s="79"/>
    </row>
    <row r="402" spans="37:40" ht="15" hidden="1" customHeight="1">
      <c r="AK402" s="79"/>
      <c r="AN402" s="79"/>
    </row>
    <row r="403" spans="37:40" ht="15" hidden="1" customHeight="1">
      <c r="AK403" s="79"/>
      <c r="AN403" s="79"/>
    </row>
    <row r="404" spans="37:40" ht="15" hidden="1" customHeight="1">
      <c r="AK404" s="79"/>
      <c r="AN404" s="79"/>
    </row>
    <row r="405" spans="37:40" ht="15" hidden="1" customHeight="1">
      <c r="AK405" s="79"/>
      <c r="AN405" s="79"/>
    </row>
    <row r="406" spans="37:40" ht="15" hidden="1" customHeight="1">
      <c r="AK406" s="79"/>
      <c r="AN406" s="79"/>
    </row>
    <row r="407" spans="37:40" ht="15" hidden="1" customHeight="1">
      <c r="AK407" s="79"/>
      <c r="AN407" s="79"/>
    </row>
    <row r="408" spans="37:40" ht="15" hidden="1" customHeight="1">
      <c r="AK408" s="79"/>
      <c r="AN408" s="79"/>
    </row>
    <row r="409" spans="37:40" ht="15" hidden="1" customHeight="1">
      <c r="AK409" s="79"/>
      <c r="AN409" s="79"/>
    </row>
    <row r="410" spans="37:40" ht="15" hidden="1" customHeight="1">
      <c r="AK410" s="79"/>
      <c r="AN410" s="79"/>
    </row>
    <row r="411" spans="37:40" ht="15" hidden="1" customHeight="1">
      <c r="AK411" s="79"/>
      <c r="AN411" s="79"/>
    </row>
    <row r="412" spans="37:40" ht="15" hidden="1" customHeight="1">
      <c r="AK412" s="79"/>
      <c r="AN412" s="79"/>
    </row>
    <row r="413" spans="37:40" ht="15" hidden="1" customHeight="1">
      <c r="AK413" s="79"/>
      <c r="AN413" s="79"/>
    </row>
    <row r="414" spans="37:40" ht="15" hidden="1" customHeight="1">
      <c r="AK414" s="79"/>
      <c r="AN414" s="79"/>
    </row>
    <row r="415" spans="37:40" ht="15" hidden="1" customHeight="1">
      <c r="AK415" s="79"/>
      <c r="AN415" s="79"/>
    </row>
    <row r="416" spans="37:40" ht="15" hidden="1" customHeight="1">
      <c r="AK416" s="79"/>
      <c r="AN416" s="79"/>
    </row>
    <row r="417" spans="37:40" ht="15" hidden="1" customHeight="1">
      <c r="AK417" s="79"/>
      <c r="AN417" s="79"/>
    </row>
    <row r="418" spans="37:40" ht="15" hidden="1" customHeight="1">
      <c r="AK418" s="79"/>
      <c r="AN418" s="79"/>
    </row>
    <row r="419" spans="37:40" ht="15" hidden="1" customHeight="1">
      <c r="AK419" s="79"/>
      <c r="AN419" s="79"/>
    </row>
    <row r="420" spans="37:40" ht="15" hidden="1" customHeight="1">
      <c r="AK420" s="79"/>
      <c r="AN420" s="79"/>
    </row>
    <row r="421" spans="37:40" ht="15" hidden="1" customHeight="1">
      <c r="AK421" s="79"/>
      <c r="AN421" s="79"/>
    </row>
    <row r="422" spans="37:40" ht="15" hidden="1" customHeight="1">
      <c r="AK422" s="79"/>
      <c r="AN422" s="79"/>
    </row>
    <row r="423" spans="37:40" ht="15" hidden="1" customHeight="1">
      <c r="AK423" s="79"/>
      <c r="AN423" s="79"/>
    </row>
    <row r="424" spans="37:40" ht="15" hidden="1" customHeight="1">
      <c r="AK424" s="79"/>
      <c r="AN424" s="79"/>
    </row>
    <row r="425" spans="37:40" ht="15" hidden="1" customHeight="1">
      <c r="AK425" s="79"/>
      <c r="AN425" s="79"/>
    </row>
    <row r="426" spans="37:40" ht="15" hidden="1" customHeight="1">
      <c r="AK426" s="79"/>
      <c r="AN426" s="79"/>
    </row>
    <row r="427" spans="37:40" ht="15" hidden="1" customHeight="1">
      <c r="AK427" s="79"/>
      <c r="AN427" s="79"/>
    </row>
    <row r="428" spans="37:40" ht="15" hidden="1" customHeight="1">
      <c r="AK428" s="79"/>
      <c r="AN428" s="79"/>
    </row>
    <row r="429" spans="37:40" ht="15" hidden="1" customHeight="1">
      <c r="AK429" s="79"/>
      <c r="AN429" s="79"/>
    </row>
    <row r="430" spans="37:40" ht="15" hidden="1" customHeight="1">
      <c r="AK430" s="79"/>
      <c r="AN430" s="79"/>
    </row>
    <row r="431" spans="37:40" ht="15" hidden="1" customHeight="1">
      <c r="AK431" s="79"/>
      <c r="AN431" s="79"/>
    </row>
    <row r="432" spans="37:40" ht="15" hidden="1" customHeight="1">
      <c r="AK432" s="79"/>
      <c r="AN432" s="79"/>
    </row>
    <row r="433" spans="37:40" ht="15" hidden="1" customHeight="1">
      <c r="AK433" s="79"/>
      <c r="AN433" s="79"/>
    </row>
    <row r="434" spans="37:40" ht="15" hidden="1" customHeight="1">
      <c r="AK434" s="79"/>
      <c r="AN434" s="79"/>
    </row>
    <row r="435" spans="37:40" ht="15" hidden="1" customHeight="1">
      <c r="AK435" s="79"/>
      <c r="AN435" s="79"/>
    </row>
    <row r="436" spans="37:40" ht="15" hidden="1" customHeight="1">
      <c r="AK436" s="79"/>
      <c r="AN436" s="79"/>
    </row>
    <row r="437" spans="37:40" ht="15" hidden="1" customHeight="1">
      <c r="AK437" s="79"/>
      <c r="AN437" s="79"/>
    </row>
    <row r="438" spans="37:40" ht="15" hidden="1" customHeight="1">
      <c r="AK438" s="79"/>
      <c r="AN438" s="79"/>
    </row>
    <row r="439" spans="37:40" ht="15" hidden="1" customHeight="1">
      <c r="AK439" s="79"/>
      <c r="AN439" s="79"/>
    </row>
    <row r="440" spans="37:40" ht="15" hidden="1" customHeight="1">
      <c r="AK440" s="79"/>
      <c r="AN440" s="79"/>
    </row>
    <row r="441" spans="37:40" ht="15" hidden="1" customHeight="1">
      <c r="AK441" s="79"/>
      <c r="AN441" s="79"/>
    </row>
    <row r="442" spans="37:40" ht="15" hidden="1" customHeight="1">
      <c r="AK442" s="79"/>
      <c r="AN442" s="79"/>
    </row>
    <row r="443" spans="37:40" ht="15" hidden="1" customHeight="1">
      <c r="AK443" s="79"/>
      <c r="AN443" s="79"/>
    </row>
    <row r="444" spans="37:40" ht="15" hidden="1" customHeight="1">
      <c r="AK444" s="79"/>
      <c r="AN444" s="79"/>
    </row>
    <row r="445" spans="37:40" ht="15" hidden="1" customHeight="1">
      <c r="AK445" s="79"/>
      <c r="AN445" s="79"/>
    </row>
    <row r="446" spans="37:40" ht="15" hidden="1" customHeight="1">
      <c r="AK446" s="79"/>
      <c r="AN446" s="79"/>
    </row>
    <row r="447" spans="37:40" ht="15" hidden="1" customHeight="1">
      <c r="AK447" s="79"/>
      <c r="AN447" s="79"/>
    </row>
    <row r="448" spans="37:40" ht="15" hidden="1" customHeight="1">
      <c r="AK448" s="79"/>
      <c r="AN448" s="79"/>
    </row>
    <row r="449" spans="37:40" ht="15" hidden="1" customHeight="1">
      <c r="AK449" s="79"/>
      <c r="AN449" s="79"/>
    </row>
    <row r="450" spans="37:40" ht="15" hidden="1" customHeight="1">
      <c r="AK450" s="79"/>
      <c r="AN450" s="79"/>
    </row>
    <row r="451" spans="37:40" ht="15" hidden="1" customHeight="1">
      <c r="AK451" s="79"/>
      <c r="AN451" s="79"/>
    </row>
    <row r="452" spans="37:40" ht="15" hidden="1" customHeight="1">
      <c r="AK452" s="79"/>
      <c r="AN452" s="79"/>
    </row>
    <row r="453" spans="37:40" ht="15" hidden="1" customHeight="1">
      <c r="AK453" s="79"/>
      <c r="AN453" s="79"/>
    </row>
    <row r="454" spans="37:40" ht="15" hidden="1" customHeight="1">
      <c r="AK454" s="79"/>
      <c r="AN454" s="79"/>
    </row>
    <row r="455" spans="37:40" ht="15" hidden="1" customHeight="1">
      <c r="AK455" s="79"/>
      <c r="AN455" s="79"/>
    </row>
    <row r="456" spans="37:40" ht="15" hidden="1" customHeight="1">
      <c r="AK456" s="79"/>
      <c r="AN456" s="79"/>
    </row>
    <row r="457" spans="37:40" ht="15" hidden="1" customHeight="1">
      <c r="AK457" s="79"/>
      <c r="AN457" s="79"/>
    </row>
    <row r="458" spans="37:40" ht="15" hidden="1" customHeight="1">
      <c r="AK458" s="79"/>
      <c r="AN458" s="79"/>
    </row>
    <row r="459" spans="37:40" ht="15" hidden="1" customHeight="1">
      <c r="AK459" s="79"/>
      <c r="AN459" s="79"/>
    </row>
    <row r="460" spans="37:40" ht="15" hidden="1" customHeight="1">
      <c r="AK460" s="79"/>
      <c r="AN460" s="79"/>
    </row>
    <row r="461" spans="37:40" ht="15" hidden="1" customHeight="1">
      <c r="AK461" s="79"/>
      <c r="AN461" s="79"/>
    </row>
    <row r="462" spans="37:40" ht="15" hidden="1" customHeight="1">
      <c r="AK462" s="79"/>
      <c r="AN462" s="79"/>
    </row>
    <row r="463" spans="37:40" ht="15" hidden="1" customHeight="1">
      <c r="AK463" s="79"/>
      <c r="AN463" s="79"/>
    </row>
    <row r="464" spans="37:40" ht="15" hidden="1" customHeight="1">
      <c r="AK464" s="79"/>
      <c r="AN464" s="79"/>
    </row>
    <row r="465" spans="37:40" ht="15" hidden="1" customHeight="1">
      <c r="AK465" s="79"/>
      <c r="AN465" s="79"/>
    </row>
    <row r="466" spans="37:40" ht="15" hidden="1" customHeight="1">
      <c r="AK466" s="79"/>
      <c r="AN466" s="79"/>
    </row>
    <row r="467" spans="37:40" ht="15" hidden="1" customHeight="1">
      <c r="AK467" s="79"/>
      <c r="AN467" s="79"/>
    </row>
    <row r="468" spans="37:40" ht="15" hidden="1" customHeight="1">
      <c r="AK468" s="79"/>
      <c r="AN468" s="79"/>
    </row>
    <row r="469" spans="37:40" ht="15" hidden="1" customHeight="1">
      <c r="AK469" s="79"/>
      <c r="AN469" s="79"/>
    </row>
    <row r="470" spans="37:40" ht="15" hidden="1" customHeight="1">
      <c r="AK470" s="79"/>
      <c r="AN470" s="79"/>
    </row>
    <row r="471" spans="37:40" ht="15" hidden="1" customHeight="1">
      <c r="AK471" s="79"/>
      <c r="AN471" s="79"/>
    </row>
    <row r="472" spans="37:40" ht="15" hidden="1" customHeight="1">
      <c r="AK472" s="79"/>
      <c r="AN472" s="79"/>
    </row>
    <row r="473" spans="37:40" ht="15" hidden="1" customHeight="1">
      <c r="AK473" s="79"/>
      <c r="AN473" s="79"/>
    </row>
    <row r="474" spans="37:40" ht="15" hidden="1" customHeight="1">
      <c r="AK474" s="79"/>
      <c r="AN474" s="79"/>
    </row>
    <row r="475" spans="37:40" ht="15" hidden="1" customHeight="1">
      <c r="AK475" s="79"/>
      <c r="AN475" s="79"/>
    </row>
    <row r="476" spans="37:40" ht="15" hidden="1" customHeight="1">
      <c r="AK476" s="79"/>
      <c r="AN476" s="79"/>
    </row>
    <row r="477" spans="37:40" ht="15" hidden="1" customHeight="1">
      <c r="AK477" s="79"/>
      <c r="AN477" s="79"/>
    </row>
    <row r="478" spans="37:40" ht="15" hidden="1" customHeight="1">
      <c r="AK478" s="79"/>
      <c r="AN478" s="79"/>
    </row>
    <row r="479" spans="37:40" ht="15" hidden="1" customHeight="1">
      <c r="AK479" s="79"/>
      <c r="AN479" s="79"/>
    </row>
    <row r="480" spans="37:40" ht="15" hidden="1" customHeight="1">
      <c r="AK480" s="79"/>
      <c r="AN480" s="79"/>
    </row>
    <row r="481" spans="37:40" ht="15" hidden="1" customHeight="1">
      <c r="AK481" s="79"/>
      <c r="AN481" s="79"/>
    </row>
    <row r="482" spans="37:40" ht="15" hidden="1" customHeight="1">
      <c r="AK482" s="79"/>
      <c r="AN482" s="79"/>
    </row>
    <row r="483" spans="37:40" ht="15" hidden="1" customHeight="1">
      <c r="AN483" s="79"/>
    </row>
  </sheetData>
  <mergeCells count="6">
    <mergeCell ref="D54:H55"/>
    <mergeCell ref="K54:O55"/>
    <mergeCell ref="C2:P2"/>
    <mergeCell ref="D42:I42"/>
    <mergeCell ref="K42:P42"/>
    <mergeCell ref="J42:J4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국내시장주요지표</vt:lpstr>
      <vt:lpstr>KOSPI200 선물옵션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2015-05-14T23:42:35Z</dcterms:created>
  <dcterms:modified xsi:type="dcterms:W3CDTF">2023-08-17T23:28:56Z</dcterms:modified>
</cp:coreProperties>
</file>