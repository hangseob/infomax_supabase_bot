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60" windowWidth="24720" windowHeight="12045"/>
  </bookViews>
  <sheets>
    <sheet name="국내 거시경제지표" sheetId="1" r:id="rId1"/>
  </sheets>
  <calcPr calcId="145621"/>
</workbook>
</file>

<file path=xl/calcChain.xml><?xml version="1.0" encoding="utf-8"?>
<calcChain xmlns="http://schemas.openxmlformats.org/spreadsheetml/2006/main">
  <c r="AM2" i="1" l="1"/>
  <c r="AO3" i="1"/>
  <c r="AM3" i="1"/>
  <c r="AZ5" i="1"/>
  <c r="AN5" i="1"/>
  <c r="BO5" i="1"/>
  <c r="AO5" i="1"/>
  <c r="AQ5" i="1"/>
  <c r="AY5" i="1"/>
  <c r="AL5" i="1"/>
  <c r="BM5" i="1"/>
  <c r="BK5" i="1"/>
  <c r="AR5" i="1"/>
  <c r="BJ5" i="1"/>
  <c r="BD5" i="1"/>
  <c r="BQ5" i="1"/>
  <c r="BB5" i="1"/>
  <c r="BI5" i="1"/>
  <c r="AS5" i="1"/>
  <c r="BF5" i="1"/>
  <c r="BP5" i="1"/>
  <c r="BC5" i="1"/>
  <c r="AX5" i="1"/>
  <c r="AU5" i="1"/>
  <c r="BN5" i="1"/>
  <c r="BR5" i="1"/>
  <c r="AV5" i="1"/>
  <c r="BG5" i="1"/>
</calcChain>
</file>

<file path=xl/sharedStrings.xml><?xml version="1.0" encoding="utf-8"?>
<sst xmlns="http://schemas.openxmlformats.org/spreadsheetml/2006/main" count="86" uniqueCount="58">
  <si>
    <t>시작</t>
  </si>
  <si>
    <t>종료</t>
  </si>
  <si>
    <t>Data 개수</t>
  </si>
  <si>
    <t>주기</t>
  </si>
  <si>
    <t>정렬</t>
  </si>
  <si>
    <t>D</t>
  </si>
  <si>
    <t>영업일</t>
  </si>
  <si>
    <t>시세산출</t>
  </si>
  <si>
    <t>종가</t>
  </si>
  <si>
    <t>24</t>
  </si>
  <si>
    <t>일자</t>
  </si>
  <si>
    <t>현재가</t>
  </si>
  <si>
    <t>704508</t>
  </si>
  <si>
    <t>무역수지동향(백만$)</t>
    <phoneticPr fontId="1" type="noConversion"/>
  </si>
  <si>
    <t>한국은행 BSI</t>
    <phoneticPr fontId="1" type="noConversion"/>
  </si>
  <si>
    <t>월</t>
    <phoneticPr fontId="1" type="noConversion"/>
  </si>
  <si>
    <t>주</t>
    <phoneticPr fontId="1" type="noConversion"/>
  </si>
  <si>
    <t>분기</t>
    <phoneticPr fontId="1" type="noConversion"/>
  </si>
  <si>
    <t>566807</t>
    <phoneticPr fontId="1" type="noConversion"/>
  </si>
  <si>
    <t>702454</t>
    <phoneticPr fontId="1" type="noConversion"/>
  </si>
  <si>
    <t>704509</t>
    <phoneticPr fontId="1" type="noConversion"/>
  </si>
  <si>
    <t>001</t>
    <phoneticPr fontId="1" type="noConversion"/>
  </si>
  <si>
    <t>501181</t>
    <phoneticPr fontId="1" type="noConversion"/>
  </si>
  <si>
    <t>5</t>
    <phoneticPr fontId="1" type="noConversion"/>
  </si>
  <si>
    <t>557150</t>
    <phoneticPr fontId="1" type="noConversion"/>
  </si>
  <si>
    <t>557151</t>
    <phoneticPr fontId="1" type="noConversion"/>
  </si>
  <si>
    <t>31</t>
    <phoneticPr fontId="1" type="noConversion"/>
  </si>
  <si>
    <t>27</t>
    <phoneticPr fontId="1" type="noConversion"/>
  </si>
  <si>
    <t>501252</t>
    <phoneticPr fontId="1" type="noConversion"/>
  </si>
  <si>
    <t>701979</t>
    <phoneticPr fontId="1" type="noConversion"/>
  </si>
  <si>
    <t>400009</t>
    <phoneticPr fontId="1" type="noConversion"/>
  </si>
  <si>
    <t>400010</t>
    <phoneticPr fontId="1" type="noConversion"/>
  </si>
  <si>
    <t>400032</t>
    <phoneticPr fontId="1" type="noConversion"/>
  </si>
  <si>
    <t>162103</t>
    <phoneticPr fontId="1" type="noConversion"/>
  </si>
  <si>
    <t>162102</t>
    <phoneticPr fontId="1" type="noConversion"/>
  </si>
  <si>
    <t>163003</t>
    <phoneticPr fontId="1" type="noConversion"/>
  </si>
  <si>
    <t>163004</t>
    <phoneticPr fontId="1" type="noConversion"/>
  </si>
  <si>
    <t>162135</t>
    <phoneticPr fontId="1" type="noConversion"/>
  </si>
  <si>
    <t>162134</t>
    <phoneticPr fontId="1" type="noConversion"/>
  </si>
  <si>
    <t>162138</t>
    <phoneticPr fontId="1" type="noConversion"/>
  </si>
  <si>
    <t>현재가</t>
    <phoneticPr fontId="1" type="noConversion"/>
  </si>
  <si>
    <t>일자</t>
    <phoneticPr fontId="1" type="noConversion"/>
  </si>
  <si>
    <t>현재가</t>
    <phoneticPr fontId="1" type="noConversion"/>
  </si>
  <si>
    <t>전년동기비</t>
    <phoneticPr fontId="1" type="noConversion"/>
  </si>
  <si>
    <t>소비자물가(2015=100)</t>
    <phoneticPr fontId="1" type="noConversion"/>
  </si>
  <si>
    <t>단위: Ths.</t>
    <phoneticPr fontId="1" type="noConversion"/>
  </si>
  <si>
    <t>국내 거시경제지표</t>
    <phoneticPr fontId="1" type="noConversion"/>
  </si>
  <si>
    <t>광공업지수(2015=100)</t>
    <phoneticPr fontId="1" type="noConversion"/>
  </si>
  <si>
    <t>경기동행지수순환변동치(2015'=100)</t>
    <phoneticPr fontId="1" type="noConversion"/>
  </si>
  <si>
    <t>실업률 및 실업자수(천 명)</t>
    <phoneticPr fontId="1" type="noConversion"/>
  </si>
  <si>
    <t>GDP 증가율(십억원, 전분기 대비, 계절조정)</t>
    <phoneticPr fontId="1" type="noConversion"/>
  </si>
  <si>
    <t>금융기관수신고(억원)</t>
    <phoneticPr fontId="1" type="noConversion"/>
  </si>
  <si>
    <t>단위: 2015=100</t>
    <phoneticPr fontId="1" type="noConversion"/>
  </si>
  <si>
    <t>단위: 십억원, 실질, 원계열</t>
    <phoneticPr fontId="1" type="noConversion"/>
  </si>
  <si>
    <t>단위: 100 Mil. Won</t>
    <phoneticPr fontId="1" type="noConversion"/>
  </si>
  <si>
    <t>단위: 2015=100</t>
    <phoneticPr fontId="1" type="noConversion"/>
  </si>
  <si>
    <t>단위: Mil. USD</t>
    <phoneticPr fontId="1" type="noConversion"/>
  </si>
  <si>
    <t>단위: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</si>
</sst>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0_ "/>
  </numFmts>
  <fonts count="11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63C8C"/>
      <name val="맑은 고딕"/>
      <family val="3"/>
      <charset val="129"/>
      <scheme val="minor"/>
    </font>
    <font>
      <b/>
      <sz val="10"/>
      <color rgb="FF063C8C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063C8C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0F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14" fontId="4" fillId="0" borderId="0" xfId="0" applyNumberFormat="1" applyFont="1" applyFill="1">
      <alignment vertical="center"/>
    </xf>
    <xf numFmtId="49" fontId="4" fillId="0" borderId="0" xfId="0" applyNumberFormat="1" applyFont="1" applyFill="1">
      <alignment vertical="center"/>
    </xf>
    <xf numFmtId="0" fontId="4" fillId="0" borderId="0" xfId="0" quotePrefix="1" applyFont="1" applyFill="1">
      <alignment vertical="center"/>
    </xf>
    <xf numFmtId="0" fontId="4" fillId="0" borderId="0" xfId="0" applyNumberFormat="1" applyFont="1" applyFill="1">
      <alignment vertical="center"/>
    </xf>
    <xf numFmtId="176" fontId="4" fillId="0" borderId="0" xfId="0" applyNumberFormat="1" applyFont="1" applyFill="1">
      <alignment vertical="center"/>
    </xf>
    <xf numFmtId="41" fontId="4" fillId="0" borderId="0" xfId="1" applyFont="1" applyFill="1">
      <alignment vertical="center"/>
    </xf>
    <xf numFmtId="0" fontId="7" fillId="3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0" borderId="0" xfId="0" applyFont="1" applyFill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9" fillId="3" borderId="0" xfId="0" applyFont="1" applyFill="1">
      <alignment vertical="center"/>
    </xf>
    <xf numFmtId="14" fontId="9" fillId="3" borderId="0" xfId="0" applyNumberFormat="1" applyFont="1" applyFill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63C8C"/>
      <color rgb="FF3333FF"/>
      <color rgb="FFEAF0F6"/>
      <color rgb="FF225AF6"/>
      <color rgb="FF18A5B8"/>
      <color rgb="FFFF0066"/>
      <color rgb="FF9CD8F6"/>
      <color rgb="FFFF7C80"/>
      <color rgb="FF660033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x25.x6XD1</stp>
        <stp>100</stp>
        <stp>1052532</stp>
        <tr r="BG5" s="1"/>
      </tp>
      <tp>
        <v>0</v>
        <stp/>
        <stp>H</stp>
        <stp>x1.x6XD1</stp>
        <stp>76</stp>
        <stp>1052532</stp>
        <tr r="AZ5" s="1"/>
      </tp>
      <tp>
        <v>0</v>
        <stp/>
        <stp>H</stp>
        <stp>x3.x6XD1</stp>
        <stp>78</stp>
        <stp>1052532</stp>
        <tr r="BO5" s="1"/>
      </tp>
      <tp>
        <v>0</v>
        <stp/>
        <stp>H</stp>
        <stp>x2.x6XD1</stp>
        <stp>77</stp>
        <stp>1052532</stp>
        <tr r="AN5" s="1"/>
      </tp>
      <tp>
        <v>0</v>
        <stp/>
        <stp>H</stp>
        <stp>x4.x6XD1</stp>
        <stp>79</stp>
        <stp>1052532</stp>
        <tr r="AO5" s="1"/>
      </tp>
      <tp>
        <v>0</v>
        <stp/>
        <stp>H</stp>
        <stp>x8.x6XD1</stp>
        <stp>83</stp>
        <stp>1052532</stp>
        <tr r="BM5" s="1"/>
      </tp>
      <tp>
        <v>0</v>
        <stp/>
        <stp>H</stp>
        <stp>x9.x6XD1</stp>
        <stp>84</stp>
        <stp>1052532</stp>
        <tr r="BK5" s="1"/>
      </tp>
      <tp>
        <v>0</v>
        <stp/>
        <stp>H</stp>
        <stp>x6.x6XD1</stp>
        <stp>81</stp>
        <stp>1052532</stp>
        <tr r="AY5" s="1"/>
      </tp>
      <tp>
        <v>0</v>
        <stp/>
        <stp>H</stp>
        <stp>x7.x6XD1</stp>
        <stp>82</stp>
        <stp>1052532</stp>
        <tr r="AL5" s="1"/>
      </tp>
      <tp>
        <v>0</v>
        <stp/>
        <stp>H</stp>
        <stp>x5.x6XD1</stp>
        <stp>80</stp>
        <stp>1052532</stp>
        <tr r="AQ5" s="1"/>
      </tp>
      <tp>
        <v>0</v>
        <stp/>
        <stp>H</stp>
        <stp>x13.x6XD1</stp>
        <stp>88</stp>
        <stp>1052532</stp>
        <tr r="BQ5" s="1"/>
      </tp>
      <tp>
        <v>0</v>
        <stp/>
        <stp>H</stp>
        <stp>x12.x6XD1</stp>
        <stp>87</stp>
        <stp>1052532</stp>
        <tr r="BD5" s="1"/>
      </tp>
      <tp>
        <v>0</v>
        <stp/>
        <stp>H</stp>
        <stp>x11.x6XD1</stp>
        <stp>86</stp>
        <stp>1052532</stp>
        <tr r="BJ5" s="1"/>
      </tp>
      <tp>
        <v>0</v>
        <stp/>
        <stp>H</stp>
        <stp>x10.x6XD1</stp>
        <stp>85</stp>
        <stp>1052532</stp>
        <tr r="AR5" s="1"/>
      </tp>
      <tp>
        <v>0</v>
        <stp/>
        <stp>H</stp>
        <stp>x16.x6XD1</stp>
        <stp>91</stp>
        <stp>1052532</stp>
        <tr r="AS5" s="1"/>
      </tp>
      <tp>
        <v>0</v>
        <stp/>
        <stp>H</stp>
        <stp>x17.x6XD1</stp>
        <stp>92</stp>
        <stp>1052532</stp>
        <tr r="BF5" s="1"/>
      </tp>
      <tp>
        <v>0</v>
        <stp/>
        <stp>H</stp>
        <stp>x14.x6XD1</stp>
        <stp>89</stp>
        <stp>1052532</stp>
        <tr r="BB5" s="1"/>
      </tp>
      <tp>
        <v>0</v>
        <stp/>
        <stp>H</stp>
        <stp>x15.x6XD1</stp>
        <stp>90</stp>
        <stp>1052532</stp>
        <tr r="BI5" s="1"/>
      </tp>
      <tp>
        <v>0</v>
        <stp/>
        <stp>H</stp>
        <stp>x18.x6XD1</stp>
        <stp>93</stp>
        <stp>1052532</stp>
        <tr r="BP5" s="1"/>
      </tp>
      <tp>
        <v>0</v>
        <stp/>
        <stp>H</stp>
        <stp>x19.x6XD1</stp>
        <stp>94</stp>
        <stp>1052532</stp>
        <tr r="BC5" s="1"/>
      </tp>
      <tp>
        <v>0</v>
        <stp/>
        <stp>H</stp>
        <stp>x22.x6XD1</stp>
        <stp>97</stp>
        <stp>1052532</stp>
        <tr r="BN5" s="1"/>
      </tp>
      <tp>
        <v>0</v>
        <stp/>
        <stp>H</stp>
        <stp>x23.x6XD1</stp>
        <stp>98</stp>
        <stp>1052532</stp>
        <tr r="BR5" s="1"/>
      </tp>
      <tp>
        <v>0</v>
        <stp/>
        <stp>H</stp>
        <stp>x20.x6XD1</stp>
        <stp>95</stp>
        <stp>1052532</stp>
        <tr r="AX5" s="1"/>
      </tp>
      <tp>
        <v>0</v>
        <stp/>
        <stp>H</stp>
        <stp>x21.x6XD1</stp>
        <stp>96</stp>
        <stp>1052532</stp>
        <tr r="AU5" s="1"/>
      </tp>
      <tp>
        <v>0</v>
        <stp/>
        <stp>H</stp>
        <stp>x24.x6XD1</stp>
        <stp>99</stp>
        <stp>1052532</stp>
        <tr r="AV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5083787603472"/>
          <c:y val="0.13696903874476504"/>
          <c:w val="0.82025217040177667"/>
          <c:h val="0.674514682529887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'국내 거시경제지표'!$AL$5</c:f>
              <c:strCache>
                <c:ptCount val="1"/>
                <c:pt idx="0">
                  <c:v>GDP(좌)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numRef>
              <c:f>'국내 거시경제지표'!$AL$7:$AL$46</c:f>
              <c:numCache>
                <c:formatCode>m/d/yyyy</c:formatCode>
                <c:ptCount val="40"/>
                <c:pt idx="0">
                  <c:v>43619</c:v>
                </c:pt>
                <c:pt idx="1">
                  <c:v>43555</c:v>
                </c:pt>
                <c:pt idx="2">
                  <c:v>43465</c:v>
                </c:pt>
                <c:pt idx="3">
                  <c:v>43373</c:v>
                </c:pt>
                <c:pt idx="4">
                  <c:v>43281</c:v>
                </c:pt>
                <c:pt idx="5">
                  <c:v>43190</c:v>
                </c:pt>
                <c:pt idx="6">
                  <c:v>43100</c:v>
                </c:pt>
                <c:pt idx="7">
                  <c:v>43008</c:v>
                </c:pt>
                <c:pt idx="8">
                  <c:v>42916</c:v>
                </c:pt>
                <c:pt idx="9">
                  <c:v>42825</c:v>
                </c:pt>
                <c:pt idx="10">
                  <c:v>42735</c:v>
                </c:pt>
                <c:pt idx="11">
                  <c:v>42643</c:v>
                </c:pt>
                <c:pt idx="12">
                  <c:v>42551</c:v>
                </c:pt>
                <c:pt idx="13">
                  <c:v>42460</c:v>
                </c:pt>
                <c:pt idx="14">
                  <c:v>42369</c:v>
                </c:pt>
                <c:pt idx="15">
                  <c:v>42277</c:v>
                </c:pt>
                <c:pt idx="16">
                  <c:v>42185</c:v>
                </c:pt>
                <c:pt idx="17">
                  <c:v>42094</c:v>
                </c:pt>
                <c:pt idx="18">
                  <c:v>42004</c:v>
                </c:pt>
                <c:pt idx="19">
                  <c:v>41912</c:v>
                </c:pt>
                <c:pt idx="20">
                  <c:v>41820</c:v>
                </c:pt>
                <c:pt idx="21">
                  <c:v>41729</c:v>
                </c:pt>
                <c:pt idx="22">
                  <c:v>41639</c:v>
                </c:pt>
                <c:pt idx="23">
                  <c:v>41547</c:v>
                </c:pt>
                <c:pt idx="24">
                  <c:v>41455</c:v>
                </c:pt>
                <c:pt idx="25">
                  <c:v>41364</c:v>
                </c:pt>
                <c:pt idx="26">
                  <c:v>41274</c:v>
                </c:pt>
                <c:pt idx="27">
                  <c:v>41182</c:v>
                </c:pt>
                <c:pt idx="28">
                  <c:v>41090</c:v>
                </c:pt>
                <c:pt idx="29">
                  <c:v>40999</c:v>
                </c:pt>
                <c:pt idx="30">
                  <c:v>40908</c:v>
                </c:pt>
                <c:pt idx="31">
                  <c:v>40816</c:v>
                </c:pt>
                <c:pt idx="32">
                  <c:v>40724</c:v>
                </c:pt>
                <c:pt idx="33">
                  <c:v>40633</c:v>
                </c:pt>
                <c:pt idx="34">
                  <c:v>40543</c:v>
                </c:pt>
                <c:pt idx="35">
                  <c:v>40451</c:v>
                </c:pt>
                <c:pt idx="36">
                  <c:v>40359</c:v>
                </c:pt>
                <c:pt idx="37">
                  <c:v>40268</c:v>
                </c:pt>
                <c:pt idx="38">
                  <c:v>40178</c:v>
                </c:pt>
                <c:pt idx="39">
                  <c:v>40086</c:v>
                </c:pt>
              </c:numCache>
            </c:numRef>
          </c:cat>
          <c:val>
            <c:numRef>
              <c:f>'국내 거시경제지표'!$AM$7:$AM$46</c:f>
              <c:numCache>
                <c:formatCode>General</c:formatCode>
                <c:ptCount val="40"/>
                <c:pt idx="0">
                  <c:v>383321.9</c:v>
                </c:pt>
                <c:pt idx="1">
                  <c:v>383321.9</c:v>
                </c:pt>
                <c:pt idx="2">
                  <c:v>420201.9</c:v>
                </c:pt>
                <c:pt idx="3">
                  <c:v>400308.8</c:v>
                </c:pt>
                <c:pt idx="4">
                  <c:v>400571.4</c:v>
                </c:pt>
                <c:pt idx="5">
                  <c:v>376432</c:v>
                </c:pt>
                <c:pt idx="6">
                  <c:v>407567</c:v>
                </c:pt>
                <c:pt idx="7">
                  <c:v>392611.5</c:v>
                </c:pt>
                <c:pt idx="8">
                  <c:v>389589.4</c:v>
                </c:pt>
                <c:pt idx="9">
                  <c:v>366227.3</c:v>
                </c:pt>
                <c:pt idx="10">
                  <c:v>396504.1</c:v>
                </c:pt>
                <c:pt idx="11">
                  <c:v>378324.3</c:v>
                </c:pt>
                <c:pt idx="12">
                  <c:v>378925.8</c:v>
                </c:pt>
                <c:pt idx="13">
                  <c:v>356000.9</c:v>
                </c:pt>
                <c:pt idx="14">
                  <c:v>386616.1</c:v>
                </c:pt>
                <c:pt idx="15">
                  <c:v>368477.2</c:v>
                </c:pt>
                <c:pt idx="16">
                  <c:v>366027.8</c:v>
                </c:pt>
                <c:pt idx="17">
                  <c:v>345667.1</c:v>
                </c:pt>
                <c:pt idx="18">
                  <c:v>374744.2</c:v>
                </c:pt>
                <c:pt idx="19">
                  <c:v>357743.4</c:v>
                </c:pt>
                <c:pt idx="20">
                  <c:v>357542.5</c:v>
                </c:pt>
                <c:pt idx="21">
                  <c:v>336942.2</c:v>
                </c:pt>
                <c:pt idx="22">
                  <c:v>364748.5</c:v>
                </c:pt>
                <c:pt idx="23">
                  <c:v>346151.6</c:v>
                </c:pt>
                <c:pt idx="24">
                  <c:v>345582.7</c:v>
                </c:pt>
                <c:pt idx="25">
                  <c:v>324349.8</c:v>
                </c:pt>
                <c:pt idx="26">
                  <c:v>352330.3</c:v>
                </c:pt>
                <c:pt idx="27">
                  <c:v>335255.90000000002</c:v>
                </c:pt>
                <c:pt idx="28">
                  <c:v>336557.5</c:v>
                </c:pt>
                <c:pt idx="29">
                  <c:v>317822.7</c:v>
                </c:pt>
                <c:pt idx="30">
                  <c:v>344846.1</c:v>
                </c:pt>
                <c:pt idx="31">
                  <c:v>328362.3</c:v>
                </c:pt>
                <c:pt idx="32">
                  <c:v>328551.59999999998</c:v>
                </c:pt>
                <c:pt idx="33">
                  <c:v>310132.8</c:v>
                </c:pt>
                <c:pt idx="34">
                  <c:v>334752.90000000002</c:v>
                </c:pt>
                <c:pt idx="35">
                  <c:v>317872.8</c:v>
                </c:pt>
                <c:pt idx="36">
                  <c:v>317138.90000000002</c:v>
                </c:pt>
                <c:pt idx="37">
                  <c:v>295543.40000000002</c:v>
                </c:pt>
                <c:pt idx="38">
                  <c:v>315785</c:v>
                </c:pt>
                <c:pt idx="39">
                  <c:v>301558.7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0283520"/>
        <c:axId val="120269440"/>
      </c:barChart>
      <c:lineChart>
        <c:grouping val="standard"/>
        <c:varyColors val="0"/>
        <c:ser>
          <c:idx val="1"/>
          <c:order val="1"/>
          <c:tx>
            <c:strRef>
              <c:f>'국내 거시경제지표'!$AN$5</c:f>
              <c:strCache>
                <c:ptCount val="1"/>
                <c:pt idx="0">
                  <c:v>GDP증가율(우)</c:v>
                </c:pt>
              </c:strCache>
            </c:strRef>
          </c:tx>
          <c:spPr>
            <a:ln w="25400">
              <a:solidFill>
                <a:srgbClr val="FF0066"/>
              </a:solidFill>
            </a:ln>
            <a:effectLst/>
          </c:spPr>
          <c:marker>
            <c:symbol val="none"/>
          </c:marker>
          <c:cat>
            <c:numRef>
              <c:f>'국내 거시경제지표'!$AL$7:$AL$46</c:f>
              <c:numCache>
                <c:formatCode>m/d/yyyy</c:formatCode>
                <c:ptCount val="40"/>
                <c:pt idx="0">
                  <c:v>43619</c:v>
                </c:pt>
                <c:pt idx="1">
                  <c:v>43555</c:v>
                </c:pt>
                <c:pt idx="2">
                  <c:v>43465</c:v>
                </c:pt>
                <c:pt idx="3">
                  <c:v>43373</c:v>
                </c:pt>
                <c:pt idx="4">
                  <c:v>43281</c:v>
                </c:pt>
                <c:pt idx="5">
                  <c:v>43190</c:v>
                </c:pt>
                <c:pt idx="6">
                  <c:v>43100</c:v>
                </c:pt>
                <c:pt idx="7">
                  <c:v>43008</c:v>
                </c:pt>
                <c:pt idx="8">
                  <c:v>42916</c:v>
                </c:pt>
                <c:pt idx="9">
                  <c:v>42825</c:v>
                </c:pt>
                <c:pt idx="10">
                  <c:v>42735</c:v>
                </c:pt>
                <c:pt idx="11">
                  <c:v>42643</c:v>
                </c:pt>
                <c:pt idx="12">
                  <c:v>42551</c:v>
                </c:pt>
                <c:pt idx="13">
                  <c:v>42460</c:v>
                </c:pt>
                <c:pt idx="14">
                  <c:v>42369</c:v>
                </c:pt>
                <c:pt idx="15">
                  <c:v>42277</c:v>
                </c:pt>
                <c:pt idx="16">
                  <c:v>42185</c:v>
                </c:pt>
                <c:pt idx="17">
                  <c:v>42094</c:v>
                </c:pt>
                <c:pt idx="18">
                  <c:v>42004</c:v>
                </c:pt>
                <c:pt idx="19">
                  <c:v>41912</c:v>
                </c:pt>
                <c:pt idx="20">
                  <c:v>41820</c:v>
                </c:pt>
                <c:pt idx="21">
                  <c:v>41729</c:v>
                </c:pt>
                <c:pt idx="22">
                  <c:v>41639</c:v>
                </c:pt>
                <c:pt idx="23">
                  <c:v>41547</c:v>
                </c:pt>
                <c:pt idx="24">
                  <c:v>41455</c:v>
                </c:pt>
                <c:pt idx="25">
                  <c:v>41364</c:v>
                </c:pt>
                <c:pt idx="26">
                  <c:v>41274</c:v>
                </c:pt>
                <c:pt idx="27">
                  <c:v>41182</c:v>
                </c:pt>
                <c:pt idx="28">
                  <c:v>41090</c:v>
                </c:pt>
                <c:pt idx="29">
                  <c:v>40999</c:v>
                </c:pt>
                <c:pt idx="30">
                  <c:v>40908</c:v>
                </c:pt>
                <c:pt idx="31">
                  <c:v>40816</c:v>
                </c:pt>
                <c:pt idx="32">
                  <c:v>40724</c:v>
                </c:pt>
                <c:pt idx="33">
                  <c:v>40633</c:v>
                </c:pt>
                <c:pt idx="34">
                  <c:v>40543</c:v>
                </c:pt>
                <c:pt idx="35">
                  <c:v>40451</c:v>
                </c:pt>
                <c:pt idx="36">
                  <c:v>40359</c:v>
                </c:pt>
                <c:pt idx="37">
                  <c:v>40268</c:v>
                </c:pt>
                <c:pt idx="38">
                  <c:v>40178</c:v>
                </c:pt>
                <c:pt idx="39">
                  <c:v>40086</c:v>
                </c:pt>
              </c:numCache>
            </c:numRef>
          </c:cat>
          <c:val>
            <c:numRef>
              <c:f>'국내 거시경제지표'!$AN$7:$AN$46</c:f>
              <c:numCache>
                <c:formatCode>General</c:formatCode>
                <c:ptCount val="40"/>
                <c:pt idx="0">
                  <c:v>-0.3</c:v>
                </c:pt>
                <c:pt idx="1">
                  <c:v>-0.3</c:v>
                </c:pt>
                <c:pt idx="2">
                  <c:v>1</c:v>
                </c:pt>
                <c:pt idx="3">
                  <c:v>0.6</c:v>
                </c:pt>
                <c:pt idx="4">
                  <c:v>0.6</c:v>
                </c:pt>
                <c:pt idx="5">
                  <c:v>1</c:v>
                </c:pt>
                <c:pt idx="6">
                  <c:v>-0.1</c:v>
                </c:pt>
                <c:pt idx="7">
                  <c:v>1.5</c:v>
                </c:pt>
                <c:pt idx="8">
                  <c:v>0.5</c:v>
                </c:pt>
                <c:pt idx="9">
                  <c:v>0.9</c:v>
                </c:pt>
                <c:pt idx="10">
                  <c:v>0.7</c:v>
                </c:pt>
                <c:pt idx="11">
                  <c:v>0.4</c:v>
                </c:pt>
                <c:pt idx="12">
                  <c:v>0.8</c:v>
                </c:pt>
                <c:pt idx="13">
                  <c:v>0.6</c:v>
                </c:pt>
                <c:pt idx="14">
                  <c:v>0.8</c:v>
                </c:pt>
                <c:pt idx="15">
                  <c:v>1.2</c:v>
                </c:pt>
                <c:pt idx="16">
                  <c:v>0.4</c:v>
                </c:pt>
                <c:pt idx="17">
                  <c:v>0.8</c:v>
                </c:pt>
                <c:pt idx="18">
                  <c:v>0.5</c:v>
                </c:pt>
                <c:pt idx="19">
                  <c:v>0.7</c:v>
                </c:pt>
                <c:pt idx="20">
                  <c:v>0.6</c:v>
                </c:pt>
                <c:pt idx="21">
                  <c:v>1</c:v>
                </c:pt>
                <c:pt idx="22">
                  <c:v>0.9</c:v>
                </c:pt>
                <c:pt idx="23">
                  <c:v>0.8</c:v>
                </c:pt>
                <c:pt idx="24">
                  <c:v>1.1000000000000001</c:v>
                </c:pt>
                <c:pt idx="25">
                  <c:v>0.6</c:v>
                </c:pt>
                <c:pt idx="26">
                  <c:v>0.7</c:v>
                </c:pt>
                <c:pt idx="27">
                  <c:v>0.3</c:v>
                </c:pt>
                <c:pt idx="28">
                  <c:v>0.6</c:v>
                </c:pt>
                <c:pt idx="29">
                  <c:v>0.5</c:v>
                </c:pt>
                <c:pt idx="30">
                  <c:v>0.6</c:v>
                </c:pt>
                <c:pt idx="31">
                  <c:v>0.7</c:v>
                </c:pt>
                <c:pt idx="32">
                  <c:v>0.6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1.7</c:v>
                </c:pt>
                <c:pt idx="37">
                  <c:v>2.2000000000000002</c:v>
                </c:pt>
                <c:pt idx="38">
                  <c:v>0.4</c:v>
                </c:pt>
                <c:pt idx="39">
                  <c:v>2.8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86592"/>
        <c:axId val="120285056"/>
      </c:lineChart>
      <c:valAx>
        <c:axId val="120269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0283520"/>
        <c:crosses val="autoZero"/>
        <c:crossBetween val="between"/>
      </c:valAx>
      <c:dateAx>
        <c:axId val="120283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/>
            </a:pPr>
            <a:endParaRPr lang="ko-KR"/>
          </a:p>
        </c:txPr>
        <c:crossAx val="120269440"/>
        <c:crosses val="autoZero"/>
        <c:auto val="1"/>
        <c:lblOffset val="100"/>
        <c:baseTimeUnit val="months"/>
        <c:majorUnit val="6"/>
        <c:majorTimeUnit val="months"/>
        <c:minorUnit val="1"/>
      </c:dateAx>
      <c:valAx>
        <c:axId val="120285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0286592"/>
        <c:crosses val="max"/>
        <c:crossBetween val="between"/>
      </c:valAx>
      <c:dateAx>
        <c:axId val="1202865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0285056"/>
        <c:crosses val="autoZero"/>
        <c:auto val="1"/>
        <c:lblOffset val="100"/>
        <c:baseTimeUnit val="months"/>
        <c:majorUnit val="1"/>
        <c:minorUnit val="1"/>
      </c:date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'국내 거시경제지표'!$AO$5</c:f>
              <c:strCache>
                <c:ptCount val="1"/>
                <c:pt idx="0">
                  <c:v>광공업지수(좌)</c:v>
                </c:pt>
              </c:strCache>
            </c:strRef>
          </c:tx>
          <c:spPr>
            <a:solidFill>
              <a:srgbClr val="C6D9F1"/>
            </a:solidFill>
          </c:spPr>
          <c:invertIfNegative val="1"/>
          <c:cat>
            <c:numRef>
              <c:f>'국내 거시경제지표'!$AO$7:$AO$125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거시경제지표'!$AP$7:$AP$125</c:f>
              <c:numCache>
                <c:formatCode>General</c:formatCode>
                <c:ptCount val="119"/>
                <c:pt idx="0">
                  <c:v>106.1</c:v>
                </c:pt>
                <c:pt idx="1">
                  <c:v>106.1</c:v>
                </c:pt>
                <c:pt idx="2">
                  <c:v>106.1</c:v>
                </c:pt>
                <c:pt idx="3">
                  <c:v>105.6</c:v>
                </c:pt>
                <c:pt idx="4">
                  <c:v>89.6</c:v>
                </c:pt>
                <c:pt idx="5">
                  <c:v>105.5</c:v>
                </c:pt>
                <c:pt idx="6">
                  <c:v>108.1</c:v>
                </c:pt>
                <c:pt idx="7">
                  <c:v>109.4</c:v>
                </c:pt>
                <c:pt idx="8">
                  <c:v>112.3</c:v>
                </c:pt>
                <c:pt idx="9">
                  <c:v>102.1</c:v>
                </c:pt>
                <c:pt idx="10">
                  <c:v>105.2</c:v>
                </c:pt>
                <c:pt idx="11">
                  <c:v>108.2</c:v>
                </c:pt>
                <c:pt idx="12">
                  <c:v>107.5</c:v>
                </c:pt>
                <c:pt idx="13">
                  <c:v>107.1</c:v>
                </c:pt>
                <c:pt idx="14">
                  <c:v>106.2</c:v>
                </c:pt>
                <c:pt idx="15">
                  <c:v>108.1</c:v>
                </c:pt>
                <c:pt idx="16">
                  <c:v>93.1</c:v>
                </c:pt>
                <c:pt idx="17">
                  <c:v>105.7</c:v>
                </c:pt>
                <c:pt idx="18">
                  <c:v>107.3</c:v>
                </c:pt>
                <c:pt idx="19">
                  <c:v>109.3</c:v>
                </c:pt>
                <c:pt idx="20">
                  <c:v>99.7</c:v>
                </c:pt>
                <c:pt idx="21">
                  <c:v>109.4</c:v>
                </c:pt>
                <c:pt idx="22">
                  <c:v>101.2</c:v>
                </c:pt>
                <c:pt idx="23">
                  <c:v>104.8</c:v>
                </c:pt>
                <c:pt idx="24">
                  <c:v>105.5</c:v>
                </c:pt>
                <c:pt idx="25">
                  <c:v>104.8</c:v>
                </c:pt>
                <c:pt idx="26">
                  <c:v>104.1</c:v>
                </c:pt>
                <c:pt idx="27">
                  <c:v>110.9</c:v>
                </c:pt>
                <c:pt idx="28">
                  <c:v>98.7</c:v>
                </c:pt>
                <c:pt idx="29">
                  <c:v>100.6</c:v>
                </c:pt>
                <c:pt idx="30">
                  <c:v>111.5</c:v>
                </c:pt>
                <c:pt idx="31">
                  <c:v>108.9</c:v>
                </c:pt>
                <c:pt idx="32">
                  <c:v>104.5</c:v>
                </c:pt>
                <c:pt idx="33">
                  <c:v>98.7</c:v>
                </c:pt>
                <c:pt idx="34">
                  <c:v>98</c:v>
                </c:pt>
                <c:pt idx="35">
                  <c:v>102.3</c:v>
                </c:pt>
                <c:pt idx="36">
                  <c:v>104.7</c:v>
                </c:pt>
                <c:pt idx="37">
                  <c:v>102.6</c:v>
                </c:pt>
                <c:pt idx="38">
                  <c:v>99.7</c:v>
                </c:pt>
                <c:pt idx="39">
                  <c:v>105.6</c:v>
                </c:pt>
                <c:pt idx="40">
                  <c:v>90.6</c:v>
                </c:pt>
                <c:pt idx="41">
                  <c:v>98.8</c:v>
                </c:pt>
                <c:pt idx="42">
                  <c:v>105.1</c:v>
                </c:pt>
                <c:pt idx="43">
                  <c:v>102.8</c:v>
                </c:pt>
                <c:pt idx="44">
                  <c:v>105.1</c:v>
                </c:pt>
                <c:pt idx="45">
                  <c:v>100</c:v>
                </c:pt>
                <c:pt idx="46">
                  <c:v>94.7</c:v>
                </c:pt>
                <c:pt idx="47">
                  <c:v>100.4</c:v>
                </c:pt>
                <c:pt idx="48">
                  <c:v>101.5</c:v>
                </c:pt>
                <c:pt idx="49">
                  <c:v>97.3</c:v>
                </c:pt>
                <c:pt idx="50">
                  <c:v>101.4</c:v>
                </c:pt>
                <c:pt idx="51">
                  <c:v>103.2</c:v>
                </c:pt>
                <c:pt idx="52">
                  <c:v>88.8</c:v>
                </c:pt>
                <c:pt idx="53">
                  <c:v>99.6</c:v>
                </c:pt>
                <c:pt idx="54">
                  <c:v>106.383</c:v>
                </c:pt>
                <c:pt idx="55">
                  <c:v>100.55500000000001</c:v>
                </c:pt>
                <c:pt idx="56">
                  <c:v>101.85</c:v>
                </c:pt>
                <c:pt idx="57">
                  <c:v>95.466999999999999</c:v>
                </c:pt>
                <c:pt idx="58">
                  <c:v>93.617000000000004</c:v>
                </c:pt>
                <c:pt idx="59">
                  <c:v>104.07</c:v>
                </c:pt>
                <c:pt idx="60">
                  <c:v>100.46299999999999</c:v>
                </c:pt>
                <c:pt idx="61">
                  <c:v>100.37</c:v>
                </c:pt>
                <c:pt idx="62">
                  <c:v>103.88500000000001</c:v>
                </c:pt>
                <c:pt idx="63">
                  <c:v>104.533</c:v>
                </c:pt>
                <c:pt idx="64">
                  <c:v>93.617000000000004</c:v>
                </c:pt>
                <c:pt idx="65">
                  <c:v>98.52</c:v>
                </c:pt>
                <c:pt idx="66">
                  <c:v>104.90300000000001</c:v>
                </c:pt>
                <c:pt idx="67">
                  <c:v>103.79300000000001</c:v>
                </c:pt>
                <c:pt idx="68">
                  <c:v>104.81</c:v>
                </c:pt>
                <c:pt idx="69">
                  <c:v>93.525000000000006</c:v>
                </c:pt>
                <c:pt idx="70">
                  <c:v>96.114999999999995</c:v>
                </c:pt>
                <c:pt idx="71">
                  <c:v>99.906999999999996</c:v>
                </c:pt>
                <c:pt idx="72">
                  <c:v>99.721999999999994</c:v>
                </c:pt>
                <c:pt idx="73">
                  <c:v>102.313</c:v>
                </c:pt>
                <c:pt idx="74">
                  <c:v>101.295</c:v>
                </c:pt>
                <c:pt idx="75">
                  <c:v>101.38800000000001</c:v>
                </c:pt>
                <c:pt idx="76">
                  <c:v>90.009</c:v>
                </c:pt>
                <c:pt idx="77">
                  <c:v>102.86799999999999</c:v>
                </c:pt>
                <c:pt idx="78">
                  <c:v>102.035</c:v>
                </c:pt>
                <c:pt idx="79">
                  <c:v>104.163</c:v>
                </c:pt>
                <c:pt idx="80">
                  <c:v>100.648</c:v>
                </c:pt>
                <c:pt idx="81">
                  <c:v>96.855000000000004</c:v>
                </c:pt>
                <c:pt idx="82">
                  <c:v>92.784000000000006</c:v>
                </c:pt>
                <c:pt idx="83">
                  <c:v>98.057000000000002</c:v>
                </c:pt>
                <c:pt idx="84">
                  <c:v>101.018</c:v>
                </c:pt>
                <c:pt idx="85">
                  <c:v>102.405</c:v>
                </c:pt>
                <c:pt idx="86">
                  <c:v>98.796999999999997</c:v>
                </c:pt>
                <c:pt idx="87">
                  <c:v>103.238</c:v>
                </c:pt>
                <c:pt idx="88">
                  <c:v>98.15</c:v>
                </c:pt>
                <c:pt idx="89">
                  <c:v>94.356999999999999</c:v>
                </c:pt>
                <c:pt idx="90">
                  <c:v>101.943</c:v>
                </c:pt>
                <c:pt idx="91">
                  <c:v>101.11</c:v>
                </c:pt>
                <c:pt idx="92">
                  <c:v>101.48</c:v>
                </c:pt>
                <c:pt idx="93">
                  <c:v>96.576999999999998</c:v>
                </c:pt>
                <c:pt idx="94">
                  <c:v>93.986999999999995</c:v>
                </c:pt>
                <c:pt idx="95">
                  <c:v>98.057000000000002</c:v>
                </c:pt>
                <c:pt idx="96">
                  <c:v>100.27800000000001</c:v>
                </c:pt>
                <c:pt idx="97">
                  <c:v>99.167000000000002</c:v>
                </c:pt>
                <c:pt idx="98">
                  <c:v>98.796999999999997</c:v>
                </c:pt>
                <c:pt idx="99">
                  <c:v>102.313</c:v>
                </c:pt>
                <c:pt idx="100">
                  <c:v>85.105999999999995</c:v>
                </c:pt>
                <c:pt idx="101">
                  <c:v>97.41</c:v>
                </c:pt>
                <c:pt idx="102">
                  <c:v>99.63</c:v>
                </c:pt>
                <c:pt idx="103">
                  <c:v>97.501999999999995</c:v>
                </c:pt>
                <c:pt idx="104">
                  <c:v>97.316999999999993</c:v>
                </c:pt>
                <c:pt idx="105">
                  <c:v>90.194000000000003</c:v>
                </c:pt>
                <c:pt idx="106">
                  <c:v>89.269000000000005</c:v>
                </c:pt>
                <c:pt idx="107">
                  <c:v>94.542000000000002</c:v>
                </c:pt>
                <c:pt idx="108">
                  <c:v>94.635000000000005</c:v>
                </c:pt>
                <c:pt idx="109">
                  <c:v>92.599000000000004</c:v>
                </c:pt>
                <c:pt idx="110">
                  <c:v>93.617000000000004</c:v>
                </c:pt>
                <c:pt idx="111">
                  <c:v>94.08</c:v>
                </c:pt>
                <c:pt idx="112">
                  <c:v>79.647999999999996</c:v>
                </c:pt>
                <c:pt idx="113">
                  <c:v>87.049000000000007</c:v>
                </c:pt>
                <c:pt idx="114">
                  <c:v>89.603999999999999</c:v>
                </c:pt>
                <c:pt idx="115">
                  <c:v>86.879000000000005</c:v>
                </c:pt>
                <c:pt idx="116">
                  <c:v>85.150999999999996</c:v>
                </c:pt>
                <c:pt idx="117">
                  <c:v>88.673000000000002</c:v>
                </c:pt>
                <c:pt idx="118">
                  <c:v>78.304000000000002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2699136"/>
        <c:axId val="122697600"/>
      </c:barChart>
      <c:lineChart>
        <c:grouping val="standard"/>
        <c:varyColors val="0"/>
        <c:ser>
          <c:idx val="1"/>
          <c:order val="1"/>
          <c:tx>
            <c:strRef>
              <c:f>'국내 거시경제지표'!$AQ$5</c:f>
              <c:strCache>
                <c:ptCount val="1"/>
                <c:pt idx="0">
                  <c:v>광공업지수[전월비](우)</c:v>
                </c:pt>
              </c:strCache>
            </c:strRef>
          </c:tx>
          <c:spPr>
            <a:ln w="25400">
              <a:solidFill>
                <a:srgbClr val="225AF6"/>
              </a:solidFill>
            </a:ln>
            <a:effectLst/>
          </c:spPr>
          <c:marker>
            <c:symbol val="none"/>
          </c:marker>
          <c:cat>
            <c:numRef>
              <c:f>'국내 거시경제지표'!$AO$7:$AO$125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거시경제지표'!$AQ$7:$AQ$125</c:f>
              <c:numCache>
                <c:formatCode>General</c:formatCode>
                <c:ptCount val="119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2.1</c:v>
                </c:pt>
                <c:pt idx="4">
                  <c:v>-3.7</c:v>
                </c:pt>
                <c:pt idx="5">
                  <c:v>0.2</c:v>
                </c:pt>
                <c:pt idx="6">
                  <c:v>-0.8</c:v>
                </c:pt>
                <c:pt idx="7">
                  <c:v>-2.5</c:v>
                </c:pt>
                <c:pt idx="8">
                  <c:v>1.6</c:v>
                </c:pt>
                <c:pt idx="9">
                  <c:v>-1.9</c:v>
                </c:pt>
                <c:pt idx="10">
                  <c:v>0.6</c:v>
                </c:pt>
                <c:pt idx="11">
                  <c:v>0.8</c:v>
                </c:pt>
                <c:pt idx="12">
                  <c:v>0.2</c:v>
                </c:pt>
                <c:pt idx="13">
                  <c:v>0.1</c:v>
                </c:pt>
                <c:pt idx="14">
                  <c:v>2.5</c:v>
                </c:pt>
                <c:pt idx="15">
                  <c:v>-1.1000000000000001</c:v>
                </c:pt>
                <c:pt idx="16">
                  <c:v>0.5</c:v>
                </c:pt>
                <c:pt idx="17">
                  <c:v>1</c:v>
                </c:pt>
                <c:pt idx="18">
                  <c:v>-1.6</c:v>
                </c:pt>
                <c:pt idx="19">
                  <c:v>-0.6</c:v>
                </c:pt>
                <c:pt idx="20">
                  <c:v>0.4</c:v>
                </c:pt>
                <c:pt idx="21">
                  <c:v>1</c:v>
                </c:pt>
                <c:pt idx="22">
                  <c:v>0.1</c:v>
                </c:pt>
                <c:pt idx="23">
                  <c:v>1.2</c:v>
                </c:pt>
                <c:pt idx="24">
                  <c:v>-1.2</c:v>
                </c:pt>
                <c:pt idx="25">
                  <c:v>0.6</c:v>
                </c:pt>
                <c:pt idx="26">
                  <c:v>-1.9</c:v>
                </c:pt>
                <c:pt idx="27">
                  <c:v>2.4</c:v>
                </c:pt>
                <c:pt idx="28">
                  <c:v>-2.8</c:v>
                </c:pt>
                <c:pt idx="29">
                  <c:v>2</c:v>
                </c:pt>
                <c:pt idx="30">
                  <c:v>-0.5</c:v>
                </c:pt>
                <c:pt idx="31">
                  <c:v>4.0999999999999996</c:v>
                </c:pt>
                <c:pt idx="32">
                  <c:v>-1.2</c:v>
                </c:pt>
                <c:pt idx="33">
                  <c:v>0.9</c:v>
                </c:pt>
                <c:pt idx="34">
                  <c:v>-1</c:v>
                </c:pt>
                <c:pt idx="35">
                  <c:v>-0.6</c:v>
                </c:pt>
                <c:pt idx="36">
                  <c:v>0.1</c:v>
                </c:pt>
                <c:pt idx="37">
                  <c:v>3</c:v>
                </c:pt>
                <c:pt idx="38">
                  <c:v>-1.2</c:v>
                </c:pt>
                <c:pt idx="39">
                  <c:v>0.4</c:v>
                </c:pt>
                <c:pt idx="40">
                  <c:v>1.8</c:v>
                </c:pt>
                <c:pt idx="41">
                  <c:v>-1.5</c:v>
                </c:pt>
                <c:pt idx="42">
                  <c:v>-0.4</c:v>
                </c:pt>
                <c:pt idx="43">
                  <c:v>-1</c:v>
                </c:pt>
                <c:pt idx="44">
                  <c:v>-1.6</c:v>
                </c:pt>
                <c:pt idx="45">
                  <c:v>1.9</c:v>
                </c:pt>
                <c:pt idx="46">
                  <c:v>2.6</c:v>
                </c:pt>
                <c:pt idx="47">
                  <c:v>-0.8</c:v>
                </c:pt>
                <c:pt idx="48">
                  <c:v>2.2000000000000002</c:v>
                </c:pt>
                <c:pt idx="49">
                  <c:v>-2.1</c:v>
                </c:pt>
                <c:pt idx="50">
                  <c:v>1.2</c:v>
                </c:pt>
                <c:pt idx="51">
                  <c:v>-1.6</c:v>
                </c:pt>
                <c:pt idx="52">
                  <c:v>2.2000000000000002</c:v>
                </c:pt>
                <c:pt idx="53">
                  <c:v>-3.6</c:v>
                </c:pt>
                <c:pt idx="54">
                  <c:v>2.7</c:v>
                </c:pt>
                <c:pt idx="55">
                  <c:v>0.3</c:v>
                </c:pt>
                <c:pt idx="56">
                  <c:v>-0.4</c:v>
                </c:pt>
                <c:pt idx="57">
                  <c:v>0.2</c:v>
                </c:pt>
                <c:pt idx="58">
                  <c:v>-3.7</c:v>
                </c:pt>
                <c:pt idx="59">
                  <c:v>1.2</c:v>
                </c:pt>
                <c:pt idx="60">
                  <c:v>2.2999999999999998</c:v>
                </c:pt>
                <c:pt idx="61">
                  <c:v>-3.2</c:v>
                </c:pt>
                <c:pt idx="62">
                  <c:v>0.5</c:v>
                </c:pt>
                <c:pt idx="63">
                  <c:v>1</c:v>
                </c:pt>
                <c:pt idx="64">
                  <c:v>-1.7</c:v>
                </c:pt>
                <c:pt idx="65">
                  <c:v>0.7</c:v>
                </c:pt>
                <c:pt idx="66">
                  <c:v>1.2</c:v>
                </c:pt>
                <c:pt idx="67">
                  <c:v>-0.7</c:v>
                </c:pt>
                <c:pt idx="68">
                  <c:v>3</c:v>
                </c:pt>
                <c:pt idx="69">
                  <c:v>-1.6</c:v>
                </c:pt>
                <c:pt idx="70">
                  <c:v>1.6</c:v>
                </c:pt>
                <c:pt idx="71">
                  <c:v>-0.7</c:v>
                </c:pt>
                <c:pt idx="72">
                  <c:v>-0.4</c:v>
                </c:pt>
                <c:pt idx="73">
                  <c:v>-0.2</c:v>
                </c:pt>
                <c:pt idx="74">
                  <c:v>1</c:v>
                </c:pt>
                <c:pt idx="75">
                  <c:v>-1.6</c:v>
                </c:pt>
                <c:pt idx="76">
                  <c:v>-1.6</c:v>
                </c:pt>
                <c:pt idx="77">
                  <c:v>1.2</c:v>
                </c:pt>
                <c:pt idx="78">
                  <c:v>-0.3</c:v>
                </c:pt>
                <c:pt idx="79">
                  <c:v>1.2</c:v>
                </c:pt>
                <c:pt idx="80">
                  <c:v>1.9</c:v>
                </c:pt>
                <c:pt idx="81">
                  <c:v>1.3</c:v>
                </c:pt>
                <c:pt idx="82">
                  <c:v>-1.5</c:v>
                </c:pt>
                <c:pt idx="83">
                  <c:v>-0.8</c:v>
                </c:pt>
                <c:pt idx="84">
                  <c:v>-2.1</c:v>
                </c:pt>
                <c:pt idx="85">
                  <c:v>1.1000000000000001</c:v>
                </c:pt>
                <c:pt idx="86">
                  <c:v>1</c:v>
                </c:pt>
                <c:pt idx="87">
                  <c:v>-2.5</c:v>
                </c:pt>
                <c:pt idx="88">
                  <c:v>2.2999999999999998</c:v>
                </c:pt>
                <c:pt idx="89">
                  <c:v>2.9</c:v>
                </c:pt>
                <c:pt idx="90">
                  <c:v>-1.6</c:v>
                </c:pt>
                <c:pt idx="91">
                  <c:v>-1.3</c:v>
                </c:pt>
                <c:pt idx="92">
                  <c:v>0.5</c:v>
                </c:pt>
                <c:pt idx="93">
                  <c:v>0.8</c:v>
                </c:pt>
                <c:pt idx="94">
                  <c:v>-0.3</c:v>
                </c:pt>
                <c:pt idx="95">
                  <c:v>0</c:v>
                </c:pt>
                <c:pt idx="96">
                  <c:v>0.5</c:v>
                </c:pt>
                <c:pt idx="97">
                  <c:v>1</c:v>
                </c:pt>
                <c:pt idx="98">
                  <c:v>-1.3</c:v>
                </c:pt>
                <c:pt idx="99">
                  <c:v>2.6</c:v>
                </c:pt>
                <c:pt idx="100">
                  <c:v>-3.1</c:v>
                </c:pt>
                <c:pt idx="101">
                  <c:v>3</c:v>
                </c:pt>
                <c:pt idx="102">
                  <c:v>1.6</c:v>
                </c:pt>
                <c:pt idx="103">
                  <c:v>0.9</c:v>
                </c:pt>
                <c:pt idx="104">
                  <c:v>-0.2</c:v>
                </c:pt>
                <c:pt idx="105">
                  <c:v>0.7</c:v>
                </c:pt>
                <c:pt idx="106">
                  <c:v>-0.5</c:v>
                </c:pt>
                <c:pt idx="107">
                  <c:v>0.7</c:v>
                </c:pt>
                <c:pt idx="108">
                  <c:v>0.2</c:v>
                </c:pt>
                <c:pt idx="109">
                  <c:v>1</c:v>
                </c:pt>
                <c:pt idx="110">
                  <c:v>1.6</c:v>
                </c:pt>
                <c:pt idx="111">
                  <c:v>1.3</c:v>
                </c:pt>
                <c:pt idx="112">
                  <c:v>1.9</c:v>
                </c:pt>
                <c:pt idx="113">
                  <c:v>1.3</c:v>
                </c:pt>
                <c:pt idx="114">
                  <c:v>1.4</c:v>
                </c:pt>
                <c:pt idx="115">
                  <c:v>0.6</c:v>
                </c:pt>
                <c:pt idx="116">
                  <c:v>-1.9</c:v>
                </c:pt>
                <c:pt idx="117">
                  <c:v>4.0999999999999996</c:v>
                </c:pt>
                <c:pt idx="118">
                  <c:v>0.8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'국내 거시경제지표'!$AR$5</c:f>
              <c:strCache>
                <c:ptCount val="1"/>
                <c:pt idx="0">
                  <c:v>광공업지수[전년동월비](우)</c:v>
                </c:pt>
              </c:strCache>
            </c:strRef>
          </c:tx>
          <c:spPr>
            <a:ln w="25400">
              <a:solidFill>
                <a:srgbClr val="FF0066"/>
              </a:solidFill>
            </a:ln>
            <a:effectLst/>
          </c:spPr>
          <c:marker>
            <c:symbol val="none"/>
          </c:marker>
          <c:cat>
            <c:numRef>
              <c:f>'국내 거시경제지표'!$AO$7:$AO$125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거시경제지표'!$AR$7:$AR$125</c:f>
              <c:numCache>
                <c:formatCode>General</c:formatCode>
                <c:ptCount val="119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-2.2999999999999998</c:v>
                </c:pt>
                <c:pt idx="4">
                  <c:v>-3.8</c:v>
                </c:pt>
                <c:pt idx="5">
                  <c:v>-0.2</c:v>
                </c:pt>
                <c:pt idx="6">
                  <c:v>0.7</c:v>
                </c:pt>
                <c:pt idx="7">
                  <c:v>0.1</c:v>
                </c:pt>
                <c:pt idx="8">
                  <c:v>12.6</c:v>
                </c:pt>
                <c:pt idx="9">
                  <c:v>-6.7</c:v>
                </c:pt>
                <c:pt idx="10">
                  <c:v>4</c:v>
                </c:pt>
                <c:pt idx="11">
                  <c:v>3.2</c:v>
                </c:pt>
                <c:pt idx="12">
                  <c:v>1.9</c:v>
                </c:pt>
                <c:pt idx="13">
                  <c:v>2.2000000000000002</c:v>
                </c:pt>
                <c:pt idx="14">
                  <c:v>2</c:v>
                </c:pt>
                <c:pt idx="15">
                  <c:v>-2.5</c:v>
                </c:pt>
                <c:pt idx="16">
                  <c:v>-5.7</c:v>
                </c:pt>
                <c:pt idx="17">
                  <c:v>5.0999999999999996</c:v>
                </c:pt>
                <c:pt idx="18">
                  <c:v>-3.8</c:v>
                </c:pt>
                <c:pt idx="19">
                  <c:v>0.4</c:v>
                </c:pt>
                <c:pt idx="20">
                  <c:v>-4.5999999999999996</c:v>
                </c:pt>
                <c:pt idx="21">
                  <c:v>10.8</c:v>
                </c:pt>
                <c:pt idx="22">
                  <c:v>3.3</c:v>
                </c:pt>
                <c:pt idx="23">
                  <c:v>2.4</c:v>
                </c:pt>
                <c:pt idx="24">
                  <c:v>0.8</c:v>
                </c:pt>
                <c:pt idx="25">
                  <c:v>2.1</c:v>
                </c:pt>
                <c:pt idx="26">
                  <c:v>4.4000000000000004</c:v>
                </c:pt>
                <c:pt idx="27">
                  <c:v>5</c:v>
                </c:pt>
                <c:pt idx="28">
                  <c:v>8.9</c:v>
                </c:pt>
                <c:pt idx="29">
                  <c:v>1.8</c:v>
                </c:pt>
                <c:pt idx="30">
                  <c:v>6.1</c:v>
                </c:pt>
                <c:pt idx="31">
                  <c:v>5.9</c:v>
                </c:pt>
                <c:pt idx="32">
                  <c:v>-0.6</c:v>
                </c:pt>
                <c:pt idx="33">
                  <c:v>-1.3</c:v>
                </c:pt>
                <c:pt idx="34">
                  <c:v>3.5</c:v>
                </c:pt>
                <c:pt idx="35">
                  <c:v>1.9</c:v>
                </c:pt>
                <c:pt idx="36">
                  <c:v>3.2</c:v>
                </c:pt>
                <c:pt idx="37">
                  <c:v>5.4</c:v>
                </c:pt>
                <c:pt idx="38">
                  <c:v>-1.7</c:v>
                </c:pt>
                <c:pt idx="39">
                  <c:v>2.2999999999999998</c:v>
                </c:pt>
                <c:pt idx="40">
                  <c:v>2</c:v>
                </c:pt>
                <c:pt idx="41">
                  <c:v>-0.8</c:v>
                </c:pt>
                <c:pt idx="42">
                  <c:v>-1.2</c:v>
                </c:pt>
                <c:pt idx="43">
                  <c:v>2.2000000000000002</c:v>
                </c:pt>
                <c:pt idx="44">
                  <c:v>3.2</c:v>
                </c:pt>
                <c:pt idx="45">
                  <c:v>4.7</c:v>
                </c:pt>
                <c:pt idx="46">
                  <c:v>1.2</c:v>
                </c:pt>
                <c:pt idx="47">
                  <c:v>-3.5</c:v>
                </c:pt>
                <c:pt idx="48">
                  <c:v>1</c:v>
                </c:pt>
                <c:pt idx="49">
                  <c:v>-3.1</c:v>
                </c:pt>
                <c:pt idx="50">
                  <c:v>-2.4</c:v>
                </c:pt>
                <c:pt idx="51">
                  <c:v>-1.3</c:v>
                </c:pt>
                <c:pt idx="52">
                  <c:v>-5.0999999999999996</c:v>
                </c:pt>
                <c:pt idx="53">
                  <c:v>1.1000000000000001</c:v>
                </c:pt>
                <c:pt idx="54">
                  <c:v>1.4</c:v>
                </c:pt>
                <c:pt idx="55">
                  <c:v>-3.1</c:v>
                </c:pt>
                <c:pt idx="56">
                  <c:v>-2.8</c:v>
                </c:pt>
                <c:pt idx="57">
                  <c:v>2.1</c:v>
                </c:pt>
                <c:pt idx="58">
                  <c:v>-2.6</c:v>
                </c:pt>
                <c:pt idx="59">
                  <c:v>4.2</c:v>
                </c:pt>
                <c:pt idx="60">
                  <c:v>0.7</c:v>
                </c:pt>
                <c:pt idx="61">
                  <c:v>-1.9</c:v>
                </c:pt>
                <c:pt idx="62">
                  <c:v>2.6</c:v>
                </c:pt>
                <c:pt idx="63">
                  <c:v>3.1</c:v>
                </c:pt>
                <c:pt idx="64">
                  <c:v>4</c:v>
                </c:pt>
                <c:pt idx="65">
                  <c:v>-4.2</c:v>
                </c:pt>
                <c:pt idx="66">
                  <c:v>2.8</c:v>
                </c:pt>
                <c:pt idx="67">
                  <c:v>-0.4</c:v>
                </c:pt>
                <c:pt idx="68">
                  <c:v>4.0999999999999996</c:v>
                </c:pt>
                <c:pt idx="69">
                  <c:v>-3.4</c:v>
                </c:pt>
                <c:pt idx="70">
                  <c:v>3.6</c:v>
                </c:pt>
                <c:pt idx="71">
                  <c:v>1.9</c:v>
                </c:pt>
                <c:pt idx="72">
                  <c:v>-1.3</c:v>
                </c:pt>
                <c:pt idx="73">
                  <c:v>-0.1</c:v>
                </c:pt>
                <c:pt idx="74">
                  <c:v>2.5</c:v>
                </c:pt>
                <c:pt idx="75">
                  <c:v>-1.8</c:v>
                </c:pt>
                <c:pt idx="76">
                  <c:v>-8.3000000000000007</c:v>
                </c:pt>
                <c:pt idx="77">
                  <c:v>9</c:v>
                </c:pt>
                <c:pt idx="78">
                  <c:v>0.1</c:v>
                </c:pt>
                <c:pt idx="79">
                  <c:v>3</c:v>
                </c:pt>
                <c:pt idx="80">
                  <c:v>-0.8</c:v>
                </c:pt>
                <c:pt idx="81">
                  <c:v>0.3</c:v>
                </c:pt>
                <c:pt idx="82">
                  <c:v>-1.3</c:v>
                </c:pt>
                <c:pt idx="83">
                  <c:v>0</c:v>
                </c:pt>
                <c:pt idx="84">
                  <c:v>0.7</c:v>
                </c:pt>
                <c:pt idx="85">
                  <c:v>3.3</c:v>
                </c:pt>
                <c:pt idx="86">
                  <c:v>0</c:v>
                </c:pt>
                <c:pt idx="87">
                  <c:v>0.9</c:v>
                </c:pt>
                <c:pt idx="88">
                  <c:v>15.3</c:v>
                </c:pt>
                <c:pt idx="89">
                  <c:v>-3.1</c:v>
                </c:pt>
                <c:pt idx="90">
                  <c:v>2.2999999999999998</c:v>
                </c:pt>
                <c:pt idx="91">
                  <c:v>3.7</c:v>
                </c:pt>
                <c:pt idx="92">
                  <c:v>4.3</c:v>
                </c:pt>
                <c:pt idx="93">
                  <c:v>7.1</c:v>
                </c:pt>
                <c:pt idx="94">
                  <c:v>5.3</c:v>
                </c:pt>
                <c:pt idx="95">
                  <c:v>3.7</c:v>
                </c:pt>
                <c:pt idx="96">
                  <c:v>6</c:v>
                </c:pt>
                <c:pt idx="97">
                  <c:v>7.1</c:v>
                </c:pt>
                <c:pt idx="98">
                  <c:v>5.5</c:v>
                </c:pt>
                <c:pt idx="99">
                  <c:v>8.8000000000000007</c:v>
                </c:pt>
                <c:pt idx="100">
                  <c:v>6.9</c:v>
                </c:pt>
                <c:pt idx="101">
                  <c:v>11.9</c:v>
                </c:pt>
                <c:pt idx="102">
                  <c:v>11.2</c:v>
                </c:pt>
                <c:pt idx="103">
                  <c:v>12.2</c:v>
                </c:pt>
                <c:pt idx="104">
                  <c:v>14.3</c:v>
                </c:pt>
                <c:pt idx="105">
                  <c:v>1.7</c:v>
                </c:pt>
                <c:pt idx="106">
                  <c:v>14</c:v>
                </c:pt>
                <c:pt idx="107">
                  <c:v>14.1</c:v>
                </c:pt>
                <c:pt idx="108">
                  <c:v>16</c:v>
                </c:pt>
                <c:pt idx="109">
                  <c:v>20</c:v>
                </c:pt>
                <c:pt idx="110">
                  <c:v>20.2</c:v>
                </c:pt>
                <c:pt idx="111">
                  <c:v>22.8</c:v>
                </c:pt>
                <c:pt idx="112">
                  <c:v>19</c:v>
                </c:pt>
                <c:pt idx="113">
                  <c:v>38.700000000000003</c:v>
                </c:pt>
                <c:pt idx="114">
                  <c:v>34.799999999999997</c:v>
                </c:pt>
                <c:pt idx="115">
                  <c:v>18.5</c:v>
                </c:pt>
                <c:pt idx="116">
                  <c:v>1.2</c:v>
                </c:pt>
                <c:pt idx="117">
                  <c:v>12.1</c:v>
                </c:pt>
                <c:pt idx="118">
                  <c:v>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14752"/>
        <c:axId val="122713216"/>
      </c:lineChart>
      <c:valAx>
        <c:axId val="122697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699136"/>
        <c:crosses val="autoZero"/>
        <c:crossBetween val="between"/>
      </c:valAx>
      <c:dateAx>
        <c:axId val="122699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/>
            </a:pPr>
            <a:endParaRPr lang="ko-KR"/>
          </a:p>
        </c:txPr>
        <c:crossAx val="122697600"/>
        <c:crosses val="autoZero"/>
        <c:auto val="1"/>
        <c:lblOffset val="100"/>
        <c:baseTimeUnit val="months"/>
        <c:majorUnit val="6"/>
        <c:majorTimeUnit val="months"/>
      </c:dateAx>
      <c:valAx>
        <c:axId val="1227132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714752"/>
        <c:crosses val="max"/>
        <c:crossBetween val="between"/>
      </c:valAx>
      <c:dateAx>
        <c:axId val="122714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2713216"/>
        <c:crosses val="autoZero"/>
        <c:auto val="1"/>
        <c:lblOffset val="100"/>
        <c:baseTimeUnit val="days"/>
        <c:majorUnit val="1"/>
        <c:minorUnit val="1"/>
      </c:date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'국내 거시경제지표'!$AX$5</c:f>
              <c:strCache>
                <c:ptCount val="1"/>
                <c:pt idx="0">
                  <c:v>수출(좌)</c:v>
                </c:pt>
              </c:strCache>
            </c:strRef>
          </c:tx>
          <c:spPr>
            <a:solidFill>
              <a:srgbClr val="063C8C"/>
            </a:solidFill>
          </c:spPr>
          <c:cat>
            <c:numRef>
              <c:f>'국내 거시경제지표'!$AV$7:$AV$125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거시경제지표'!$AX$7:$AX$125</c:f>
              <c:numCache>
                <c:formatCode>General</c:formatCode>
                <c:ptCount val="119"/>
                <c:pt idx="0">
                  <c:v>45900000</c:v>
                </c:pt>
                <c:pt idx="1">
                  <c:v>45900000</c:v>
                </c:pt>
                <c:pt idx="2">
                  <c:v>48829340</c:v>
                </c:pt>
                <c:pt idx="3">
                  <c:v>47046160</c:v>
                </c:pt>
                <c:pt idx="4">
                  <c:v>39451925</c:v>
                </c:pt>
                <c:pt idx="5">
                  <c:v>46175681</c:v>
                </c:pt>
                <c:pt idx="6">
                  <c:v>48206793</c:v>
                </c:pt>
                <c:pt idx="7">
                  <c:v>51479530</c:v>
                </c:pt>
                <c:pt idx="8">
                  <c:v>54860310</c:v>
                </c:pt>
                <c:pt idx="9">
                  <c:v>50650208</c:v>
                </c:pt>
                <c:pt idx="10">
                  <c:v>51180449</c:v>
                </c:pt>
                <c:pt idx="11">
                  <c:v>51810255</c:v>
                </c:pt>
                <c:pt idx="12">
                  <c:v>51079375</c:v>
                </c:pt>
                <c:pt idx="13">
                  <c:v>50687750</c:v>
                </c:pt>
                <c:pt idx="14">
                  <c:v>49850235</c:v>
                </c:pt>
                <c:pt idx="15">
                  <c:v>51309932</c:v>
                </c:pt>
                <c:pt idx="16">
                  <c:v>44523530</c:v>
                </c:pt>
                <c:pt idx="17">
                  <c:v>49221291</c:v>
                </c:pt>
                <c:pt idx="18">
                  <c:v>49040139</c:v>
                </c:pt>
                <c:pt idx="19">
                  <c:v>49707197</c:v>
                </c:pt>
                <c:pt idx="20">
                  <c:v>44791239</c:v>
                </c:pt>
                <c:pt idx="21">
                  <c:v>55115240</c:v>
                </c:pt>
                <c:pt idx="22">
                  <c:v>47105569</c:v>
                </c:pt>
                <c:pt idx="23">
                  <c:v>48830440</c:v>
                </c:pt>
                <c:pt idx="24">
                  <c:v>51272452</c:v>
                </c:pt>
                <c:pt idx="25">
                  <c:v>44926979</c:v>
                </c:pt>
                <c:pt idx="26">
                  <c:v>50843799</c:v>
                </c:pt>
                <c:pt idx="27">
                  <c:v>48637832</c:v>
                </c:pt>
                <c:pt idx="28">
                  <c:v>43166536</c:v>
                </c:pt>
                <c:pt idx="29">
                  <c:v>40257000</c:v>
                </c:pt>
                <c:pt idx="30">
                  <c:v>45068880</c:v>
                </c:pt>
                <c:pt idx="31">
                  <c:v>45309141</c:v>
                </c:pt>
                <c:pt idx="32">
                  <c:v>41983329</c:v>
                </c:pt>
                <c:pt idx="33">
                  <c:v>40846252</c:v>
                </c:pt>
                <c:pt idx="34">
                  <c:v>40124791</c:v>
                </c:pt>
                <c:pt idx="35">
                  <c:v>40881700</c:v>
                </c:pt>
                <c:pt idx="36">
                  <c:v>45209071</c:v>
                </c:pt>
                <c:pt idx="37">
                  <c:v>39733794</c:v>
                </c:pt>
                <c:pt idx="38">
                  <c:v>41081553</c:v>
                </c:pt>
                <c:pt idx="39">
                  <c:v>43002468</c:v>
                </c:pt>
                <c:pt idx="40">
                  <c:v>35924541</c:v>
                </c:pt>
                <c:pt idx="41">
                  <c:v>36260420</c:v>
                </c:pt>
                <c:pt idx="42">
                  <c:v>42379843</c:v>
                </c:pt>
                <c:pt idx="43">
                  <c:v>44285052</c:v>
                </c:pt>
                <c:pt idx="44">
                  <c:v>43352046</c:v>
                </c:pt>
                <c:pt idx="45">
                  <c:v>43432312</c:v>
                </c:pt>
                <c:pt idx="46">
                  <c:v>39107399</c:v>
                </c:pt>
                <c:pt idx="47">
                  <c:v>45695747</c:v>
                </c:pt>
                <c:pt idx="48">
                  <c:v>46554512</c:v>
                </c:pt>
                <c:pt idx="49">
                  <c:v>42327311</c:v>
                </c:pt>
                <c:pt idx="50">
                  <c:v>46221931</c:v>
                </c:pt>
                <c:pt idx="51">
                  <c:v>46822771</c:v>
                </c:pt>
                <c:pt idx="52">
                  <c:v>41472191</c:v>
                </c:pt>
                <c:pt idx="53">
                  <c:v>45105389</c:v>
                </c:pt>
                <c:pt idx="54">
                  <c:v>49461377</c:v>
                </c:pt>
                <c:pt idx="55">
                  <c:v>46605342</c:v>
                </c:pt>
                <c:pt idx="56">
                  <c:v>51630657</c:v>
                </c:pt>
                <c:pt idx="57">
                  <c:v>47446217</c:v>
                </c:pt>
                <c:pt idx="58">
                  <c:v>46108370</c:v>
                </c:pt>
                <c:pt idx="59">
                  <c:v>48204545</c:v>
                </c:pt>
                <c:pt idx="60">
                  <c:v>47827709</c:v>
                </c:pt>
                <c:pt idx="61">
                  <c:v>47577183</c:v>
                </c:pt>
                <c:pt idx="62">
                  <c:v>50267448</c:v>
                </c:pt>
                <c:pt idx="63">
                  <c:v>49064392</c:v>
                </c:pt>
                <c:pt idx="64">
                  <c:v>42911735</c:v>
                </c:pt>
                <c:pt idx="65">
                  <c:v>45559632</c:v>
                </c:pt>
                <c:pt idx="66">
                  <c:v>47981456</c:v>
                </c:pt>
                <c:pt idx="67">
                  <c:v>47905028</c:v>
                </c:pt>
                <c:pt idx="68">
                  <c:v>50480484</c:v>
                </c:pt>
                <c:pt idx="69">
                  <c:v>44650486</c:v>
                </c:pt>
                <c:pt idx="70">
                  <c:v>46311341</c:v>
                </c:pt>
                <c:pt idx="71">
                  <c:v>45829521</c:v>
                </c:pt>
                <c:pt idx="72">
                  <c:v>46690983</c:v>
                </c:pt>
                <c:pt idx="73">
                  <c:v>48307560</c:v>
                </c:pt>
                <c:pt idx="74">
                  <c:v>46157925</c:v>
                </c:pt>
                <c:pt idx="75">
                  <c:v>47312704</c:v>
                </c:pt>
                <c:pt idx="76">
                  <c:v>42331837</c:v>
                </c:pt>
                <c:pt idx="77">
                  <c:v>45673109</c:v>
                </c:pt>
                <c:pt idx="78">
                  <c:v>44875311</c:v>
                </c:pt>
                <c:pt idx="79">
                  <c:v>47805246</c:v>
                </c:pt>
                <c:pt idx="80">
                  <c:v>47087760</c:v>
                </c:pt>
                <c:pt idx="81">
                  <c:v>45412538</c:v>
                </c:pt>
                <c:pt idx="82">
                  <c:v>43045181</c:v>
                </c:pt>
                <c:pt idx="83">
                  <c:v>44667681</c:v>
                </c:pt>
                <c:pt idx="84">
                  <c:v>47162605</c:v>
                </c:pt>
                <c:pt idx="85">
                  <c:v>46872357</c:v>
                </c:pt>
                <c:pt idx="86">
                  <c:v>46094754</c:v>
                </c:pt>
                <c:pt idx="87">
                  <c:v>47329817</c:v>
                </c:pt>
                <c:pt idx="88">
                  <c:v>46316184</c:v>
                </c:pt>
                <c:pt idx="89">
                  <c:v>41200358</c:v>
                </c:pt>
                <c:pt idx="90">
                  <c:v>47743725</c:v>
                </c:pt>
                <c:pt idx="91">
                  <c:v>46012595</c:v>
                </c:pt>
                <c:pt idx="92">
                  <c:v>46613480</c:v>
                </c:pt>
                <c:pt idx="93">
                  <c:v>46510965</c:v>
                </c:pt>
                <c:pt idx="94">
                  <c:v>45792061</c:v>
                </c:pt>
                <c:pt idx="95">
                  <c:v>48950113</c:v>
                </c:pt>
                <c:pt idx="96">
                  <c:v>46736893</c:v>
                </c:pt>
                <c:pt idx="97">
                  <c:v>47331329</c:v>
                </c:pt>
                <c:pt idx="98">
                  <c:v>48536725</c:v>
                </c:pt>
                <c:pt idx="99">
                  <c:v>48052991</c:v>
                </c:pt>
                <c:pt idx="100">
                  <c:v>38467412</c:v>
                </c:pt>
                <c:pt idx="101">
                  <c:v>44465366</c:v>
                </c:pt>
                <c:pt idx="102">
                  <c:v>44145320</c:v>
                </c:pt>
                <c:pt idx="103">
                  <c:v>41260912</c:v>
                </c:pt>
                <c:pt idx="104">
                  <c:v>43340335</c:v>
                </c:pt>
                <c:pt idx="105">
                  <c:v>39410882</c:v>
                </c:pt>
                <c:pt idx="106">
                  <c:v>36480955</c:v>
                </c:pt>
                <c:pt idx="107">
                  <c:v>40423611</c:v>
                </c:pt>
                <c:pt idx="108">
                  <c:v>42049045</c:v>
                </c:pt>
                <c:pt idx="109">
                  <c:v>38887930</c:v>
                </c:pt>
                <c:pt idx="110">
                  <c:v>39301014</c:v>
                </c:pt>
                <c:pt idx="111">
                  <c:v>37308940</c:v>
                </c:pt>
                <c:pt idx="112">
                  <c:v>33039402</c:v>
                </c:pt>
                <c:pt idx="113">
                  <c:v>30735415</c:v>
                </c:pt>
                <c:pt idx="114">
                  <c:v>36009623</c:v>
                </c:pt>
                <c:pt idx="115">
                  <c:v>33991607</c:v>
                </c:pt>
                <c:pt idx="116">
                  <c:v>33970032</c:v>
                </c:pt>
                <c:pt idx="117">
                  <c:v>33922429</c:v>
                </c:pt>
                <c:pt idx="118">
                  <c:v>28949627</c:v>
                </c:pt>
              </c:numCache>
            </c:numRef>
          </c:val>
        </c:ser>
        <c:ser>
          <c:idx val="2"/>
          <c:order val="2"/>
          <c:tx>
            <c:strRef>
              <c:f>'국내 거시경제지표'!$AY$5</c:f>
              <c:strCache>
                <c:ptCount val="1"/>
                <c:pt idx="0">
                  <c:v>수입(좌)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cat>
            <c:numRef>
              <c:f>'국내 거시경제지표'!$AV$7:$AV$125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거시경제지표'!$AY$7:$AY$125</c:f>
              <c:numCache>
                <c:formatCode>General</c:formatCode>
                <c:ptCount val="119"/>
                <c:pt idx="0">
                  <c:v>43600000</c:v>
                </c:pt>
                <c:pt idx="1">
                  <c:v>43600000</c:v>
                </c:pt>
                <c:pt idx="2">
                  <c:v>44826006</c:v>
                </c:pt>
                <c:pt idx="3">
                  <c:v>41915645</c:v>
                </c:pt>
                <c:pt idx="4">
                  <c:v>36490147</c:v>
                </c:pt>
                <c:pt idx="5">
                  <c:v>45039998</c:v>
                </c:pt>
                <c:pt idx="6">
                  <c:v>44024694</c:v>
                </c:pt>
                <c:pt idx="7">
                  <c:v>46808199</c:v>
                </c:pt>
                <c:pt idx="8">
                  <c:v>48480618</c:v>
                </c:pt>
                <c:pt idx="9">
                  <c:v>41032928</c:v>
                </c:pt>
                <c:pt idx="10">
                  <c:v>44360778</c:v>
                </c:pt>
                <c:pt idx="11">
                  <c:v>44917044</c:v>
                </c:pt>
                <c:pt idx="12">
                  <c:v>45000164</c:v>
                </c:pt>
                <c:pt idx="13">
                  <c:v>44458729</c:v>
                </c:pt>
                <c:pt idx="14">
                  <c:v>43693963</c:v>
                </c:pt>
                <c:pt idx="15">
                  <c:v>44897838</c:v>
                </c:pt>
                <c:pt idx="16">
                  <c:v>41722154</c:v>
                </c:pt>
                <c:pt idx="17">
                  <c:v>45805322</c:v>
                </c:pt>
                <c:pt idx="18">
                  <c:v>43529066</c:v>
                </c:pt>
                <c:pt idx="19">
                  <c:v>42013512</c:v>
                </c:pt>
                <c:pt idx="20">
                  <c:v>37856562</c:v>
                </c:pt>
                <c:pt idx="21">
                  <c:v>41695884</c:v>
                </c:pt>
                <c:pt idx="22">
                  <c:v>40549772</c:v>
                </c:pt>
                <c:pt idx="23">
                  <c:v>38607157</c:v>
                </c:pt>
                <c:pt idx="24">
                  <c:v>40551012</c:v>
                </c:pt>
                <c:pt idx="25">
                  <c:v>39287764</c:v>
                </c:pt>
                <c:pt idx="26">
                  <c:v>37959391</c:v>
                </c:pt>
                <c:pt idx="27">
                  <c:v>42579492</c:v>
                </c:pt>
                <c:pt idx="28">
                  <c:v>36203282</c:v>
                </c:pt>
                <c:pt idx="29">
                  <c:v>37645403</c:v>
                </c:pt>
                <c:pt idx="30">
                  <c:v>38303957</c:v>
                </c:pt>
                <c:pt idx="31">
                  <c:v>37240858</c:v>
                </c:pt>
                <c:pt idx="32">
                  <c:v>35050112</c:v>
                </c:pt>
                <c:pt idx="33">
                  <c:v>33988443</c:v>
                </c:pt>
                <c:pt idx="34">
                  <c:v>35103611</c:v>
                </c:pt>
                <c:pt idx="35">
                  <c:v>33371802</c:v>
                </c:pt>
                <c:pt idx="36">
                  <c:v>33890231</c:v>
                </c:pt>
                <c:pt idx="37">
                  <c:v>33025444</c:v>
                </c:pt>
                <c:pt idx="38">
                  <c:v>32388783</c:v>
                </c:pt>
                <c:pt idx="39">
                  <c:v>33344423</c:v>
                </c:pt>
                <c:pt idx="40">
                  <c:v>29163323</c:v>
                </c:pt>
                <c:pt idx="41">
                  <c:v>31321901</c:v>
                </c:pt>
                <c:pt idx="42">
                  <c:v>35462311</c:v>
                </c:pt>
                <c:pt idx="43">
                  <c:v>34049682</c:v>
                </c:pt>
                <c:pt idx="44">
                  <c:v>36762975</c:v>
                </c:pt>
                <c:pt idx="45">
                  <c:v>34540504</c:v>
                </c:pt>
                <c:pt idx="46">
                  <c:v>34772163</c:v>
                </c:pt>
                <c:pt idx="47">
                  <c:v>38647067</c:v>
                </c:pt>
                <c:pt idx="48">
                  <c:v>36598398</c:v>
                </c:pt>
                <c:pt idx="49">
                  <c:v>36039800</c:v>
                </c:pt>
                <c:pt idx="50">
                  <c:v>37858798</c:v>
                </c:pt>
                <c:pt idx="51">
                  <c:v>38485935</c:v>
                </c:pt>
                <c:pt idx="52">
                  <c:v>33998316</c:v>
                </c:pt>
                <c:pt idx="53">
                  <c:v>39283025</c:v>
                </c:pt>
                <c:pt idx="54">
                  <c:v>43909896</c:v>
                </c:pt>
                <c:pt idx="55">
                  <c:v>41343254</c:v>
                </c:pt>
                <c:pt idx="56">
                  <c:v>44097421</c:v>
                </c:pt>
                <c:pt idx="57">
                  <c:v>44184712</c:v>
                </c:pt>
                <c:pt idx="58">
                  <c:v>42791869</c:v>
                </c:pt>
                <c:pt idx="59">
                  <c:v>45863916</c:v>
                </c:pt>
                <c:pt idx="60">
                  <c:v>42476381</c:v>
                </c:pt>
                <c:pt idx="61">
                  <c:v>42607483</c:v>
                </c:pt>
                <c:pt idx="62">
                  <c:v>45873333</c:v>
                </c:pt>
                <c:pt idx="63">
                  <c:v>45558675</c:v>
                </c:pt>
                <c:pt idx="64">
                  <c:v>42061554</c:v>
                </c:pt>
                <c:pt idx="65">
                  <c:v>44746013</c:v>
                </c:pt>
                <c:pt idx="66">
                  <c:v>44351186</c:v>
                </c:pt>
                <c:pt idx="67">
                  <c:v>43106074</c:v>
                </c:pt>
                <c:pt idx="68">
                  <c:v>45604963</c:v>
                </c:pt>
                <c:pt idx="69">
                  <c:v>41055405</c:v>
                </c:pt>
                <c:pt idx="70">
                  <c:v>41593821</c:v>
                </c:pt>
                <c:pt idx="71">
                  <c:v>43384403</c:v>
                </c:pt>
                <c:pt idx="72">
                  <c:v>40719394</c:v>
                </c:pt>
                <c:pt idx="73">
                  <c:v>42389874</c:v>
                </c:pt>
                <c:pt idx="74">
                  <c:v>43648241</c:v>
                </c:pt>
                <c:pt idx="75">
                  <c:v>43976739</c:v>
                </c:pt>
                <c:pt idx="76">
                  <c:v>40458472</c:v>
                </c:pt>
                <c:pt idx="77">
                  <c:v>45296942</c:v>
                </c:pt>
                <c:pt idx="78">
                  <c:v>43069109</c:v>
                </c:pt>
                <c:pt idx="79">
                  <c:v>43381537</c:v>
                </c:pt>
                <c:pt idx="80">
                  <c:v>43379893</c:v>
                </c:pt>
                <c:pt idx="81">
                  <c:v>42559535</c:v>
                </c:pt>
                <c:pt idx="82">
                  <c:v>41115675</c:v>
                </c:pt>
                <c:pt idx="83">
                  <c:v>41976900</c:v>
                </c:pt>
                <c:pt idx="84">
                  <c:v>41993629</c:v>
                </c:pt>
                <c:pt idx="85">
                  <c:v>44480339</c:v>
                </c:pt>
                <c:pt idx="86">
                  <c:v>43957176</c:v>
                </c:pt>
                <c:pt idx="87">
                  <c:v>45053406</c:v>
                </c:pt>
                <c:pt idx="88">
                  <c:v>45099984</c:v>
                </c:pt>
                <c:pt idx="89">
                  <c:v>43517291</c:v>
                </c:pt>
                <c:pt idx="90">
                  <c:v>45488471</c:v>
                </c:pt>
                <c:pt idx="91">
                  <c:v>43010481</c:v>
                </c:pt>
                <c:pt idx="92">
                  <c:v>42709770</c:v>
                </c:pt>
                <c:pt idx="93">
                  <c:v>45279469</c:v>
                </c:pt>
                <c:pt idx="94">
                  <c:v>45381680</c:v>
                </c:pt>
                <c:pt idx="95">
                  <c:v>44296129</c:v>
                </c:pt>
                <c:pt idx="96">
                  <c:v>44824772</c:v>
                </c:pt>
                <c:pt idx="97">
                  <c:v>45284932</c:v>
                </c:pt>
                <c:pt idx="98">
                  <c:v>44188522</c:v>
                </c:pt>
                <c:pt idx="99">
                  <c:v>45565952</c:v>
                </c:pt>
                <c:pt idx="100">
                  <c:v>36401588</c:v>
                </c:pt>
                <c:pt idx="101">
                  <c:v>41981323</c:v>
                </c:pt>
                <c:pt idx="102">
                  <c:v>40056714</c:v>
                </c:pt>
                <c:pt idx="103">
                  <c:v>38669304</c:v>
                </c:pt>
                <c:pt idx="104">
                  <c:v>37001095</c:v>
                </c:pt>
                <c:pt idx="105">
                  <c:v>35001780</c:v>
                </c:pt>
                <c:pt idx="106">
                  <c:v>35274964</c:v>
                </c:pt>
                <c:pt idx="107">
                  <c:v>35421718</c:v>
                </c:pt>
                <c:pt idx="108">
                  <c:v>35254773</c:v>
                </c:pt>
                <c:pt idx="109">
                  <c:v>34853570</c:v>
                </c:pt>
                <c:pt idx="110">
                  <c:v>35522367</c:v>
                </c:pt>
                <c:pt idx="111">
                  <c:v>35575754</c:v>
                </c:pt>
                <c:pt idx="112">
                  <c:v>31044126</c:v>
                </c:pt>
                <c:pt idx="113">
                  <c:v>31535995</c:v>
                </c:pt>
                <c:pt idx="114">
                  <c:v>32920497</c:v>
                </c:pt>
                <c:pt idx="115">
                  <c:v>29534690</c:v>
                </c:pt>
                <c:pt idx="116">
                  <c:v>30396532</c:v>
                </c:pt>
                <c:pt idx="117">
                  <c:v>29757140</c:v>
                </c:pt>
                <c:pt idx="118">
                  <c:v>27408191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23936"/>
        <c:axId val="122438016"/>
      </c:areaChart>
      <c:lineChart>
        <c:grouping val="standard"/>
        <c:varyColors val="0"/>
        <c:ser>
          <c:idx val="0"/>
          <c:order val="0"/>
          <c:tx>
            <c:strRef>
              <c:f>'국내 거시경제지표'!$AV$5</c:f>
              <c:strCache>
                <c:ptCount val="1"/>
                <c:pt idx="0">
                  <c:v>무역수지(우)</c:v>
                </c:pt>
              </c:strCache>
            </c:strRef>
          </c:tx>
          <c:spPr>
            <a:ln w="25400">
              <a:solidFill>
                <a:srgbClr val="FF0066"/>
              </a:solidFill>
            </a:ln>
            <a:effectLst/>
          </c:spPr>
          <c:marker>
            <c:symbol val="none"/>
          </c:marker>
          <c:cat>
            <c:numRef>
              <c:f>'국내 거시경제지표'!$AV$7:$AV$125</c:f>
              <c:numCache>
                <c:formatCode>m/d/yyyy</c:formatCode>
                <c:ptCount val="119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</c:numCache>
            </c:numRef>
          </c:cat>
          <c:val>
            <c:numRef>
              <c:f>'국내 거시경제지표'!$AW$7:$AW$125</c:f>
              <c:numCache>
                <c:formatCode>General</c:formatCode>
                <c:ptCount val="119"/>
                <c:pt idx="0">
                  <c:v>2300</c:v>
                </c:pt>
                <c:pt idx="1">
                  <c:v>2300</c:v>
                </c:pt>
                <c:pt idx="2">
                  <c:v>4003.3339999999998</c:v>
                </c:pt>
                <c:pt idx="3">
                  <c:v>5130.5140000000001</c:v>
                </c:pt>
                <c:pt idx="4">
                  <c:v>2961.7779999999998</c:v>
                </c:pt>
                <c:pt idx="5">
                  <c:v>1135.7</c:v>
                </c:pt>
                <c:pt idx="6">
                  <c:v>4182.1000000000004</c:v>
                </c:pt>
                <c:pt idx="7">
                  <c:v>4671.3</c:v>
                </c:pt>
                <c:pt idx="8">
                  <c:v>6379.7</c:v>
                </c:pt>
                <c:pt idx="9">
                  <c:v>9617.2999999999993</c:v>
                </c:pt>
                <c:pt idx="10">
                  <c:v>6819.7</c:v>
                </c:pt>
                <c:pt idx="11">
                  <c:v>6893.2</c:v>
                </c:pt>
                <c:pt idx="12">
                  <c:v>6079.2</c:v>
                </c:pt>
                <c:pt idx="13">
                  <c:v>6229</c:v>
                </c:pt>
                <c:pt idx="14">
                  <c:v>6156.3</c:v>
                </c:pt>
                <c:pt idx="15">
                  <c:v>6412.1</c:v>
                </c:pt>
                <c:pt idx="16">
                  <c:v>2801.4</c:v>
                </c:pt>
                <c:pt idx="17">
                  <c:v>3416</c:v>
                </c:pt>
                <c:pt idx="18">
                  <c:v>5511.1</c:v>
                </c:pt>
                <c:pt idx="19">
                  <c:v>7693.7</c:v>
                </c:pt>
                <c:pt idx="20">
                  <c:v>6934.7</c:v>
                </c:pt>
                <c:pt idx="21">
                  <c:v>13419.4</c:v>
                </c:pt>
                <c:pt idx="22">
                  <c:v>6555.8</c:v>
                </c:pt>
                <c:pt idx="23">
                  <c:v>10223.299999999999</c:v>
                </c:pt>
                <c:pt idx="24">
                  <c:v>10721.4</c:v>
                </c:pt>
                <c:pt idx="25">
                  <c:v>5639.2</c:v>
                </c:pt>
                <c:pt idx="26">
                  <c:v>12884.4</c:v>
                </c:pt>
                <c:pt idx="27">
                  <c:v>6058.3</c:v>
                </c:pt>
                <c:pt idx="28">
                  <c:v>6963.3</c:v>
                </c:pt>
                <c:pt idx="29">
                  <c:v>2611.6</c:v>
                </c:pt>
                <c:pt idx="30">
                  <c:v>6764.9</c:v>
                </c:pt>
                <c:pt idx="31">
                  <c:v>8068.3</c:v>
                </c:pt>
                <c:pt idx="32">
                  <c:v>6933.2</c:v>
                </c:pt>
                <c:pt idx="33">
                  <c:v>6857.8</c:v>
                </c:pt>
                <c:pt idx="34">
                  <c:v>5021.2</c:v>
                </c:pt>
                <c:pt idx="35">
                  <c:v>7509.9</c:v>
                </c:pt>
                <c:pt idx="36">
                  <c:v>11318.8</c:v>
                </c:pt>
                <c:pt idx="37">
                  <c:v>6708.4</c:v>
                </c:pt>
                <c:pt idx="38">
                  <c:v>8692.7999999999993</c:v>
                </c:pt>
                <c:pt idx="39">
                  <c:v>9658</c:v>
                </c:pt>
                <c:pt idx="40">
                  <c:v>6761.2</c:v>
                </c:pt>
                <c:pt idx="41">
                  <c:v>4938.5</c:v>
                </c:pt>
                <c:pt idx="42">
                  <c:v>6917.5</c:v>
                </c:pt>
                <c:pt idx="43">
                  <c:v>10235.4</c:v>
                </c:pt>
                <c:pt idx="44">
                  <c:v>6589.1</c:v>
                </c:pt>
                <c:pt idx="45">
                  <c:v>8891.7999999999993</c:v>
                </c:pt>
                <c:pt idx="46">
                  <c:v>4335.2</c:v>
                </c:pt>
                <c:pt idx="47">
                  <c:v>7048.7</c:v>
                </c:pt>
                <c:pt idx="48">
                  <c:v>9956.1</c:v>
                </c:pt>
                <c:pt idx="49">
                  <c:v>6287.5</c:v>
                </c:pt>
                <c:pt idx="50">
                  <c:v>8363.1</c:v>
                </c:pt>
                <c:pt idx="51">
                  <c:v>8336.7999999999993</c:v>
                </c:pt>
                <c:pt idx="52">
                  <c:v>7473.9</c:v>
                </c:pt>
                <c:pt idx="53">
                  <c:v>5822.4</c:v>
                </c:pt>
                <c:pt idx="54">
                  <c:v>5551.5</c:v>
                </c:pt>
                <c:pt idx="55">
                  <c:v>5262.1</c:v>
                </c:pt>
                <c:pt idx="56">
                  <c:v>7533.2</c:v>
                </c:pt>
                <c:pt idx="57">
                  <c:v>3261.5</c:v>
                </c:pt>
                <c:pt idx="58">
                  <c:v>3316.5</c:v>
                </c:pt>
                <c:pt idx="59">
                  <c:v>2340.6</c:v>
                </c:pt>
                <c:pt idx="60">
                  <c:v>5351.3</c:v>
                </c:pt>
                <c:pt idx="61">
                  <c:v>4969.7</c:v>
                </c:pt>
                <c:pt idx="62">
                  <c:v>4394.1000000000004</c:v>
                </c:pt>
                <c:pt idx="63">
                  <c:v>3505.7</c:v>
                </c:pt>
                <c:pt idx="64">
                  <c:v>850.2</c:v>
                </c:pt>
                <c:pt idx="65">
                  <c:v>813.6</c:v>
                </c:pt>
                <c:pt idx="66">
                  <c:v>3630.3</c:v>
                </c:pt>
                <c:pt idx="67">
                  <c:v>4799</c:v>
                </c:pt>
                <c:pt idx="68">
                  <c:v>4875.5</c:v>
                </c:pt>
                <c:pt idx="69">
                  <c:v>3595.1</c:v>
                </c:pt>
                <c:pt idx="70">
                  <c:v>4717.5</c:v>
                </c:pt>
                <c:pt idx="71">
                  <c:v>2445.1</c:v>
                </c:pt>
                <c:pt idx="72">
                  <c:v>5971.6</c:v>
                </c:pt>
                <c:pt idx="73">
                  <c:v>5917.7</c:v>
                </c:pt>
                <c:pt idx="74">
                  <c:v>2509.6999999999998</c:v>
                </c:pt>
                <c:pt idx="75">
                  <c:v>3336</c:v>
                </c:pt>
                <c:pt idx="76">
                  <c:v>1873.4</c:v>
                </c:pt>
                <c:pt idx="77">
                  <c:v>376.2</c:v>
                </c:pt>
                <c:pt idx="78">
                  <c:v>1806.2</c:v>
                </c:pt>
                <c:pt idx="79">
                  <c:v>4423.7</c:v>
                </c:pt>
                <c:pt idx="80">
                  <c:v>3707.9</c:v>
                </c:pt>
                <c:pt idx="81">
                  <c:v>2853</c:v>
                </c:pt>
                <c:pt idx="82">
                  <c:v>1929.5</c:v>
                </c:pt>
                <c:pt idx="83">
                  <c:v>2690.8</c:v>
                </c:pt>
                <c:pt idx="84">
                  <c:v>5169</c:v>
                </c:pt>
                <c:pt idx="85">
                  <c:v>2392</c:v>
                </c:pt>
                <c:pt idx="86">
                  <c:v>2137.6</c:v>
                </c:pt>
                <c:pt idx="87">
                  <c:v>2276.4</c:v>
                </c:pt>
                <c:pt idx="88">
                  <c:v>1216.2</c:v>
                </c:pt>
                <c:pt idx="89">
                  <c:v>-2316.9</c:v>
                </c:pt>
                <c:pt idx="90">
                  <c:v>2255.3000000000002</c:v>
                </c:pt>
                <c:pt idx="91">
                  <c:v>3002.1</c:v>
                </c:pt>
                <c:pt idx="92">
                  <c:v>3903.7</c:v>
                </c:pt>
                <c:pt idx="93">
                  <c:v>1231.5</c:v>
                </c:pt>
                <c:pt idx="94">
                  <c:v>410.4</c:v>
                </c:pt>
                <c:pt idx="95">
                  <c:v>4654</c:v>
                </c:pt>
                <c:pt idx="96">
                  <c:v>1912.1</c:v>
                </c:pt>
                <c:pt idx="97">
                  <c:v>2046.4</c:v>
                </c:pt>
                <c:pt idx="98">
                  <c:v>4348.2</c:v>
                </c:pt>
                <c:pt idx="99">
                  <c:v>2487</c:v>
                </c:pt>
                <c:pt idx="100">
                  <c:v>2065.8000000000002</c:v>
                </c:pt>
                <c:pt idx="101">
                  <c:v>2484</c:v>
                </c:pt>
                <c:pt idx="102">
                  <c:v>4088.6</c:v>
                </c:pt>
                <c:pt idx="103">
                  <c:v>2591.6</c:v>
                </c:pt>
                <c:pt idx="104">
                  <c:v>6339.2</c:v>
                </c:pt>
                <c:pt idx="105">
                  <c:v>4409.1000000000004</c:v>
                </c:pt>
                <c:pt idx="106">
                  <c:v>1206</c:v>
                </c:pt>
                <c:pt idx="107">
                  <c:v>5001.8999999999996</c:v>
                </c:pt>
                <c:pt idx="108">
                  <c:v>6794.3</c:v>
                </c:pt>
                <c:pt idx="109">
                  <c:v>4034.4</c:v>
                </c:pt>
                <c:pt idx="110">
                  <c:v>3778.6</c:v>
                </c:pt>
                <c:pt idx="111">
                  <c:v>1733.2</c:v>
                </c:pt>
                <c:pt idx="112">
                  <c:v>1995.3</c:v>
                </c:pt>
                <c:pt idx="113">
                  <c:v>-800.6</c:v>
                </c:pt>
                <c:pt idx="114">
                  <c:v>3089.1</c:v>
                </c:pt>
                <c:pt idx="115">
                  <c:v>4456.8999999999996</c:v>
                </c:pt>
                <c:pt idx="116">
                  <c:v>3573.5</c:v>
                </c:pt>
                <c:pt idx="117">
                  <c:v>4165.3</c:v>
                </c:pt>
                <c:pt idx="118">
                  <c:v>1541.4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41088"/>
        <c:axId val="122439552"/>
      </c:lineChart>
      <c:dateAx>
        <c:axId val="122423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>
                <a:solidFill>
                  <a:sysClr val="windowText" lastClr="000000"/>
                </a:solidFill>
              </a:defRPr>
            </a:pPr>
            <a:endParaRPr lang="ko-KR"/>
          </a:p>
        </c:txPr>
        <c:crossAx val="122438016"/>
        <c:crosses val="autoZero"/>
        <c:auto val="1"/>
        <c:lblOffset val="100"/>
        <c:baseTimeUnit val="months"/>
        <c:majorUnit val="6"/>
        <c:majorTimeUnit val="months"/>
      </c:dateAx>
      <c:valAx>
        <c:axId val="122438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423936"/>
        <c:crosses val="autoZero"/>
        <c:crossBetween val="between"/>
      </c:valAx>
      <c:valAx>
        <c:axId val="122439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441088"/>
        <c:crosses val="max"/>
        <c:crossBetween val="between"/>
      </c:valAx>
      <c:dateAx>
        <c:axId val="122441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2439552"/>
        <c:crosses val="autoZero"/>
        <c:auto val="1"/>
        <c:lblOffset val="100"/>
        <c:baseTimeUnit val="days"/>
      </c:dateAx>
      <c:spPr>
        <a:noFill/>
        <a:ln>
          <a:noFill/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'국내 거시경제지표'!$AS$5</c:f>
              <c:strCache>
                <c:ptCount val="1"/>
                <c:pt idx="0">
                  <c:v>KOSPI(좌)</c:v>
                </c:pt>
              </c:strCache>
            </c:strRef>
          </c:tx>
          <c:spPr>
            <a:ln w="25400">
              <a:solidFill>
                <a:srgbClr val="225AF6"/>
              </a:solidFill>
            </a:ln>
          </c:spPr>
          <c:marker>
            <c:symbol val="none"/>
          </c:marker>
          <c:cat>
            <c:numRef>
              <c:f>'국내 거시경제지표'!$AS$7:$AS$126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43553</c:v>
                </c:pt>
                <c:pt idx="4">
                  <c:v>43524</c:v>
                </c:pt>
                <c:pt idx="5">
                  <c:v>43496</c:v>
                </c:pt>
                <c:pt idx="6">
                  <c:v>43462</c:v>
                </c:pt>
                <c:pt idx="7">
                  <c:v>43434</c:v>
                </c:pt>
                <c:pt idx="8">
                  <c:v>43404</c:v>
                </c:pt>
                <c:pt idx="9">
                  <c:v>43371</c:v>
                </c:pt>
                <c:pt idx="10">
                  <c:v>43343</c:v>
                </c:pt>
                <c:pt idx="11">
                  <c:v>43312</c:v>
                </c:pt>
                <c:pt idx="12">
                  <c:v>43280</c:v>
                </c:pt>
                <c:pt idx="13">
                  <c:v>43251</c:v>
                </c:pt>
                <c:pt idx="14">
                  <c:v>43220</c:v>
                </c:pt>
                <c:pt idx="15">
                  <c:v>43189</c:v>
                </c:pt>
                <c:pt idx="16">
                  <c:v>43159</c:v>
                </c:pt>
                <c:pt idx="17">
                  <c:v>43131</c:v>
                </c:pt>
                <c:pt idx="18">
                  <c:v>43097</c:v>
                </c:pt>
                <c:pt idx="19">
                  <c:v>43069</c:v>
                </c:pt>
                <c:pt idx="20">
                  <c:v>43039</c:v>
                </c:pt>
                <c:pt idx="21">
                  <c:v>43007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42853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42733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42580</c:v>
                </c:pt>
                <c:pt idx="36">
                  <c:v>42551</c:v>
                </c:pt>
                <c:pt idx="37">
                  <c:v>42521</c:v>
                </c:pt>
                <c:pt idx="38">
                  <c:v>42489</c:v>
                </c:pt>
                <c:pt idx="39">
                  <c:v>42460</c:v>
                </c:pt>
                <c:pt idx="40">
                  <c:v>42429</c:v>
                </c:pt>
                <c:pt idx="41">
                  <c:v>42398</c:v>
                </c:pt>
                <c:pt idx="42">
                  <c:v>42368</c:v>
                </c:pt>
                <c:pt idx="43">
                  <c:v>42338</c:v>
                </c:pt>
                <c:pt idx="44">
                  <c:v>42307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42153</c:v>
                </c:pt>
                <c:pt idx="50">
                  <c:v>42124</c:v>
                </c:pt>
                <c:pt idx="51">
                  <c:v>42094</c:v>
                </c:pt>
                <c:pt idx="52">
                  <c:v>42062</c:v>
                </c:pt>
                <c:pt idx="53">
                  <c:v>42034</c:v>
                </c:pt>
                <c:pt idx="54">
                  <c:v>42003</c:v>
                </c:pt>
                <c:pt idx="55">
                  <c:v>41971</c:v>
                </c:pt>
                <c:pt idx="56">
                  <c:v>41943</c:v>
                </c:pt>
                <c:pt idx="57">
                  <c:v>41912</c:v>
                </c:pt>
                <c:pt idx="58">
                  <c:v>41880</c:v>
                </c:pt>
                <c:pt idx="59">
                  <c:v>41851</c:v>
                </c:pt>
                <c:pt idx="60">
                  <c:v>41820</c:v>
                </c:pt>
                <c:pt idx="61">
                  <c:v>41789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41668</c:v>
                </c:pt>
                <c:pt idx="66">
                  <c:v>41638</c:v>
                </c:pt>
                <c:pt idx="67">
                  <c:v>41607</c:v>
                </c:pt>
                <c:pt idx="68">
                  <c:v>41578</c:v>
                </c:pt>
                <c:pt idx="69">
                  <c:v>41547</c:v>
                </c:pt>
                <c:pt idx="70">
                  <c:v>41516</c:v>
                </c:pt>
                <c:pt idx="71">
                  <c:v>41486</c:v>
                </c:pt>
                <c:pt idx="72">
                  <c:v>41453</c:v>
                </c:pt>
                <c:pt idx="73">
                  <c:v>41425</c:v>
                </c:pt>
                <c:pt idx="74">
                  <c:v>41394</c:v>
                </c:pt>
                <c:pt idx="75">
                  <c:v>41362</c:v>
                </c:pt>
                <c:pt idx="76">
                  <c:v>41333</c:v>
                </c:pt>
                <c:pt idx="77">
                  <c:v>41305</c:v>
                </c:pt>
                <c:pt idx="78">
                  <c:v>41271</c:v>
                </c:pt>
                <c:pt idx="79">
                  <c:v>41243</c:v>
                </c:pt>
                <c:pt idx="80">
                  <c:v>41213</c:v>
                </c:pt>
                <c:pt idx="81">
                  <c:v>41180</c:v>
                </c:pt>
                <c:pt idx="82">
                  <c:v>41152</c:v>
                </c:pt>
                <c:pt idx="83">
                  <c:v>41121</c:v>
                </c:pt>
                <c:pt idx="84">
                  <c:v>41089</c:v>
                </c:pt>
                <c:pt idx="85">
                  <c:v>41060</c:v>
                </c:pt>
                <c:pt idx="86">
                  <c:v>41029</c:v>
                </c:pt>
                <c:pt idx="87">
                  <c:v>40998</c:v>
                </c:pt>
                <c:pt idx="88">
                  <c:v>40968</c:v>
                </c:pt>
                <c:pt idx="89">
                  <c:v>40939</c:v>
                </c:pt>
                <c:pt idx="90">
                  <c:v>40906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40753</c:v>
                </c:pt>
                <c:pt idx="96">
                  <c:v>40724</c:v>
                </c:pt>
                <c:pt idx="97">
                  <c:v>40694</c:v>
                </c:pt>
                <c:pt idx="98">
                  <c:v>40662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40542</c:v>
                </c:pt>
                <c:pt idx="103">
                  <c:v>40512</c:v>
                </c:pt>
                <c:pt idx="104">
                  <c:v>40480</c:v>
                </c:pt>
                <c:pt idx="105">
                  <c:v>40451</c:v>
                </c:pt>
                <c:pt idx="106">
                  <c:v>40421</c:v>
                </c:pt>
                <c:pt idx="107">
                  <c:v>40389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40235</c:v>
                </c:pt>
                <c:pt idx="113">
                  <c:v>40207</c:v>
                </c:pt>
                <c:pt idx="114">
                  <c:v>40177</c:v>
                </c:pt>
                <c:pt idx="115">
                  <c:v>40147</c:v>
                </c:pt>
                <c:pt idx="116">
                  <c:v>40116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거시경제지표'!$AT$7:$AT$126</c:f>
              <c:numCache>
                <c:formatCode>General</c:formatCode>
                <c:ptCount val="120"/>
                <c:pt idx="0">
                  <c:v>2067.85</c:v>
                </c:pt>
                <c:pt idx="1">
                  <c:v>2041.74</c:v>
                </c:pt>
                <c:pt idx="2">
                  <c:v>2203.59</c:v>
                </c:pt>
                <c:pt idx="3">
                  <c:v>2140.67</c:v>
                </c:pt>
                <c:pt idx="4">
                  <c:v>2195.44</c:v>
                </c:pt>
                <c:pt idx="5">
                  <c:v>2204.85</c:v>
                </c:pt>
                <c:pt idx="6">
                  <c:v>2041.04</c:v>
                </c:pt>
                <c:pt idx="7">
                  <c:v>2096.86</c:v>
                </c:pt>
                <c:pt idx="8">
                  <c:v>2029.69</c:v>
                </c:pt>
                <c:pt idx="9">
                  <c:v>2343.0700000000002</c:v>
                </c:pt>
                <c:pt idx="10">
                  <c:v>2322.88</c:v>
                </c:pt>
                <c:pt idx="11">
                  <c:v>2295.2600000000002</c:v>
                </c:pt>
                <c:pt idx="12">
                  <c:v>2326.13</c:v>
                </c:pt>
                <c:pt idx="13">
                  <c:v>2423.0100000000002</c:v>
                </c:pt>
                <c:pt idx="14">
                  <c:v>2515.38</c:v>
                </c:pt>
                <c:pt idx="15">
                  <c:v>2445.85</c:v>
                </c:pt>
                <c:pt idx="16">
                  <c:v>2427.36</c:v>
                </c:pt>
                <c:pt idx="17">
                  <c:v>2566.46</c:v>
                </c:pt>
                <c:pt idx="18">
                  <c:v>2467.4899999999998</c:v>
                </c:pt>
                <c:pt idx="19">
                  <c:v>2476.37</c:v>
                </c:pt>
                <c:pt idx="20">
                  <c:v>2523.4299999999998</c:v>
                </c:pt>
                <c:pt idx="21">
                  <c:v>2394.4699999999998</c:v>
                </c:pt>
                <c:pt idx="22">
                  <c:v>2363.19</c:v>
                </c:pt>
                <c:pt idx="23">
                  <c:v>2402.71</c:v>
                </c:pt>
                <c:pt idx="24">
                  <c:v>2391.79</c:v>
                </c:pt>
                <c:pt idx="25">
                  <c:v>2347.38</c:v>
                </c:pt>
                <c:pt idx="26">
                  <c:v>2205.44</c:v>
                </c:pt>
                <c:pt idx="27">
                  <c:v>2160.23</c:v>
                </c:pt>
                <c:pt idx="28">
                  <c:v>2091.64</c:v>
                </c:pt>
                <c:pt idx="29">
                  <c:v>2067.5700000000002</c:v>
                </c:pt>
                <c:pt idx="30">
                  <c:v>2026.46</c:v>
                </c:pt>
                <c:pt idx="31">
                  <c:v>1983.48</c:v>
                </c:pt>
                <c:pt idx="32">
                  <c:v>2008.19</c:v>
                </c:pt>
                <c:pt idx="33">
                  <c:v>2043.63</c:v>
                </c:pt>
                <c:pt idx="34">
                  <c:v>2034.65</c:v>
                </c:pt>
                <c:pt idx="35">
                  <c:v>2016.19</c:v>
                </c:pt>
                <c:pt idx="36">
                  <c:v>1970.35</c:v>
                </c:pt>
                <c:pt idx="37">
                  <c:v>1983.4</c:v>
                </c:pt>
                <c:pt idx="38">
                  <c:v>1994.15</c:v>
                </c:pt>
                <c:pt idx="39">
                  <c:v>1995.85</c:v>
                </c:pt>
                <c:pt idx="40">
                  <c:v>1916.66</c:v>
                </c:pt>
                <c:pt idx="41">
                  <c:v>1912.06</c:v>
                </c:pt>
                <c:pt idx="42">
                  <c:v>1961.31</c:v>
                </c:pt>
                <c:pt idx="43">
                  <c:v>1991.97</c:v>
                </c:pt>
                <c:pt idx="44">
                  <c:v>2029.47</c:v>
                </c:pt>
                <c:pt idx="45">
                  <c:v>1962.81</c:v>
                </c:pt>
                <c:pt idx="46">
                  <c:v>1941.49</c:v>
                </c:pt>
                <c:pt idx="47">
                  <c:v>2030.16</c:v>
                </c:pt>
                <c:pt idx="48">
                  <c:v>2074.1999999999998</c:v>
                </c:pt>
                <c:pt idx="49">
                  <c:v>2114.8000000000002</c:v>
                </c:pt>
                <c:pt idx="50">
                  <c:v>2127.17</c:v>
                </c:pt>
                <c:pt idx="51">
                  <c:v>2041.03</c:v>
                </c:pt>
                <c:pt idx="52">
                  <c:v>1985.8</c:v>
                </c:pt>
                <c:pt idx="53">
                  <c:v>1949.26</c:v>
                </c:pt>
                <c:pt idx="54">
                  <c:v>1915.59</c:v>
                </c:pt>
                <c:pt idx="55">
                  <c:v>1980.78</c:v>
                </c:pt>
                <c:pt idx="56">
                  <c:v>1964.43</c:v>
                </c:pt>
                <c:pt idx="57">
                  <c:v>2020.09</c:v>
                </c:pt>
                <c:pt idx="58">
                  <c:v>2068.54</c:v>
                </c:pt>
                <c:pt idx="59">
                  <c:v>2076.12</c:v>
                </c:pt>
                <c:pt idx="60">
                  <c:v>2002.21</c:v>
                </c:pt>
                <c:pt idx="61">
                  <c:v>1994.96</c:v>
                </c:pt>
                <c:pt idx="62">
                  <c:v>1961.79</c:v>
                </c:pt>
                <c:pt idx="63">
                  <c:v>1985.61</c:v>
                </c:pt>
                <c:pt idx="64">
                  <c:v>1979.99</c:v>
                </c:pt>
                <c:pt idx="65">
                  <c:v>1941.15</c:v>
                </c:pt>
                <c:pt idx="66">
                  <c:v>2011.34</c:v>
                </c:pt>
                <c:pt idx="67">
                  <c:v>2044.87</c:v>
                </c:pt>
                <c:pt idx="68">
                  <c:v>2030.09</c:v>
                </c:pt>
                <c:pt idx="69">
                  <c:v>1996.96</c:v>
                </c:pt>
                <c:pt idx="70">
                  <c:v>1926.36</c:v>
                </c:pt>
                <c:pt idx="71">
                  <c:v>1914.03</c:v>
                </c:pt>
                <c:pt idx="72">
                  <c:v>1863.32</c:v>
                </c:pt>
                <c:pt idx="73">
                  <c:v>2001.05</c:v>
                </c:pt>
                <c:pt idx="74">
                  <c:v>1963.95</c:v>
                </c:pt>
                <c:pt idx="75">
                  <c:v>2004.89</c:v>
                </c:pt>
                <c:pt idx="76">
                  <c:v>2026.49</c:v>
                </c:pt>
                <c:pt idx="77">
                  <c:v>1961.94</c:v>
                </c:pt>
                <c:pt idx="78">
                  <c:v>1997.05</c:v>
                </c:pt>
                <c:pt idx="79">
                  <c:v>1932.9</c:v>
                </c:pt>
                <c:pt idx="80">
                  <c:v>1912.06</c:v>
                </c:pt>
                <c:pt idx="81">
                  <c:v>1996.21</c:v>
                </c:pt>
                <c:pt idx="82">
                  <c:v>1905.12</c:v>
                </c:pt>
                <c:pt idx="83">
                  <c:v>1881.99</c:v>
                </c:pt>
                <c:pt idx="84">
                  <c:v>1854.01</c:v>
                </c:pt>
                <c:pt idx="85">
                  <c:v>1843.47</c:v>
                </c:pt>
                <c:pt idx="86">
                  <c:v>1981.99</c:v>
                </c:pt>
                <c:pt idx="87">
                  <c:v>2014.04</c:v>
                </c:pt>
                <c:pt idx="88">
                  <c:v>2030.25</c:v>
                </c:pt>
                <c:pt idx="89">
                  <c:v>1955.79</c:v>
                </c:pt>
                <c:pt idx="90">
                  <c:v>1825.74</c:v>
                </c:pt>
                <c:pt idx="91">
                  <c:v>1847.51</c:v>
                </c:pt>
                <c:pt idx="92">
                  <c:v>1909.03</c:v>
                </c:pt>
                <c:pt idx="93">
                  <c:v>1769.65</c:v>
                </c:pt>
                <c:pt idx="94">
                  <c:v>1880.11</c:v>
                </c:pt>
                <c:pt idx="95">
                  <c:v>2133.21</c:v>
                </c:pt>
                <c:pt idx="96">
                  <c:v>2100.69</c:v>
                </c:pt>
                <c:pt idx="97">
                  <c:v>2142.4699999999998</c:v>
                </c:pt>
                <c:pt idx="98">
                  <c:v>2192.36</c:v>
                </c:pt>
                <c:pt idx="99">
                  <c:v>2106.6999999999998</c:v>
                </c:pt>
                <c:pt idx="100">
                  <c:v>1939.3</c:v>
                </c:pt>
                <c:pt idx="101">
                  <c:v>2069.73</c:v>
                </c:pt>
                <c:pt idx="102">
                  <c:v>2051</c:v>
                </c:pt>
                <c:pt idx="103">
                  <c:v>1904.63</c:v>
                </c:pt>
                <c:pt idx="104">
                  <c:v>1882.95</c:v>
                </c:pt>
                <c:pt idx="105">
                  <c:v>1872.81</c:v>
                </c:pt>
                <c:pt idx="106">
                  <c:v>1742.75</c:v>
                </c:pt>
                <c:pt idx="107">
                  <c:v>1759.33</c:v>
                </c:pt>
                <c:pt idx="108">
                  <c:v>1698.29</c:v>
                </c:pt>
                <c:pt idx="109">
                  <c:v>1641.25</c:v>
                </c:pt>
                <c:pt idx="110">
                  <c:v>1741.56</c:v>
                </c:pt>
                <c:pt idx="111">
                  <c:v>1692.85</c:v>
                </c:pt>
                <c:pt idx="112">
                  <c:v>1594.58</c:v>
                </c:pt>
                <c:pt idx="113">
                  <c:v>1602.43</c:v>
                </c:pt>
                <c:pt idx="114">
                  <c:v>1682.77</c:v>
                </c:pt>
                <c:pt idx="115">
                  <c:v>1555.6</c:v>
                </c:pt>
                <c:pt idx="116">
                  <c:v>1580.69</c:v>
                </c:pt>
                <c:pt idx="117">
                  <c:v>1673.14</c:v>
                </c:pt>
                <c:pt idx="118">
                  <c:v>1591.85</c:v>
                </c:pt>
                <c:pt idx="119">
                  <c:v>1557.29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79744"/>
        <c:axId val="122481280"/>
      </c:lineChart>
      <c:lineChart>
        <c:grouping val="standard"/>
        <c:varyColors val="0"/>
        <c:ser>
          <c:idx val="1"/>
          <c:order val="1"/>
          <c:tx>
            <c:strRef>
              <c:f>'국내 거시경제지표'!$AU$5</c:f>
              <c:strCache>
                <c:ptCount val="1"/>
                <c:pt idx="0">
                  <c:v>경기동행지수순환변동치(우)</c:v>
                </c:pt>
              </c:strCache>
            </c:strRef>
          </c:tx>
          <c:spPr>
            <a:ln w="25400">
              <a:solidFill>
                <a:srgbClr val="FF0066"/>
              </a:solidFill>
            </a:ln>
          </c:spPr>
          <c:marker>
            <c:symbol val="none"/>
          </c:marker>
          <c:cat>
            <c:numRef>
              <c:f>'국내 거시경제지표'!$AS$7:$AS$126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43553</c:v>
                </c:pt>
                <c:pt idx="4">
                  <c:v>43524</c:v>
                </c:pt>
                <c:pt idx="5">
                  <c:v>43496</c:v>
                </c:pt>
                <c:pt idx="6">
                  <c:v>43462</c:v>
                </c:pt>
                <c:pt idx="7">
                  <c:v>43434</c:v>
                </c:pt>
                <c:pt idx="8">
                  <c:v>43404</c:v>
                </c:pt>
                <c:pt idx="9">
                  <c:v>43371</c:v>
                </c:pt>
                <c:pt idx="10">
                  <c:v>43343</c:v>
                </c:pt>
                <c:pt idx="11">
                  <c:v>43312</c:v>
                </c:pt>
                <c:pt idx="12">
                  <c:v>43280</c:v>
                </c:pt>
                <c:pt idx="13">
                  <c:v>43251</c:v>
                </c:pt>
                <c:pt idx="14">
                  <c:v>43220</c:v>
                </c:pt>
                <c:pt idx="15">
                  <c:v>43189</c:v>
                </c:pt>
                <c:pt idx="16">
                  <c:v>43159</c:v>
                </c:pt>
                <c:pt idx="17">
                  <c:v>43131</c:v>
                </c:pt>
                <c:pt idx="18">
                  <c:v>43097</c:v>
                </c:pt>
                <c:pt idx="19">
                  <c:v>43069</c:v>
                </c:pt>
                <c:pt idx="20">
                  <c:v>43039</c:v>
                </c:pt>
                <c:pt idx="21">
                  <c:v>43007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42853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42733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42580</c:v>
                </c:pt>
                <c:pt idx="36">
                  <c:v>42551</c:v>
                </c:pt>
                <c:pt idx="37">
                  <c:v>42521</c:v>
                </c:pt>
                <c:pt idx="38">
                  <c:v>42489</c:v>
                </c:pt>
                <c:pt idx="39">
                  <c:v>42460</c:v>
                </c:pt>
                <c:pt idx="40">
                  <c:v>42429</c:v>
                </c:pt>
                <c:pt idx="41">
                  <c:v>42398</c:v>
                </c:pt>
                <c:pt idx="42">
                  <c:v>42368</c:v>
                </c:pt>
                <c:pt idx="43">
                  <c:v>42338</c:v>
                </c:pt>
                <c:pt idx="44">
                  <c:v>42307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42153</c:v>
                </c:pt>
                <c:pt idx="50">
                  <c:v>42124</c:v>
                </c:pt>
                <c:pt idx="51">
                  <c:v>42094</c:v>
                </c:pt>
                <c:pt idx="52">
                  <c:v>42062</c:v>
                </c:pt>
                <c:pt idx="53">
                  <c:v>42034</c:v>
                </c:pt>
                <c:pt idx="54">
                  <c:v>42003</c:v>
                </c:pt>
                <c:pt idx="55">
                  <c:v>41971</c:v>
                </c:pt>
                <c:pt idx="56">
                  <c:v>41943</c:v>
                </c:pt>
                <c:pt idx="57">
                  <c:v>41912</c:v>
                </c:pt>
                <c:pt idx="58">
                  <c:v>41880</c:v>
                </c:pt>
                <c:pt idx="59">
                  <c:v>41851</c:v>
                </c:pt>
                <c:pt idx="60">
                  <c:v>41820</c:v>
                </c:pt>
                <c:pt idx="61">
                  <c:v>41789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41668</c:v>
                </c:pt>
                <c:pt idx="66">
                  <c:v>41638</c:v>
                </c:pt>
                <c:pt idx="67">
                  <c:v>41607</c:v>
                </c:pt>
                <c:pt idx="68">
                  <c:v>41578</c:v>
                </c:pt>
                <c:pt idx="69">
                  <c:v>41547</c:v>
                </c:pt>
                <c:pt idx="70">
                  <c:v>41516</c:v>
                </c:pt>
                <c:pt idx="71">
                  <c:v>41486</c:v>
                </c:pt>
                <c:pt idx="72">
                  <c:v>41453</c:v>
                </c:pt>
                <c:pt idx="73">
                  <c:v>41425</c:v>
                </c:pt>
                <c:pt idx="74">
                  <c:v>41394</c:v>
                </c:pt>
                <c:pt idx="75">
                  <c:v>41362</c:v>
                </c:pt>
                <c:pt idx="76">
                  <c:v>41333</c:v>
                </c:pt>
                <c:pt idx="77">
                  <c:v>41305</c:v>
                </c:pt>
                <c:pt idx="78">
                  <c:v>41271</c:v>
                </c:pt>
                <c:pt idx="79">
                  <c:v>41243</c:v>
                </c:pt>
                <c:pt idx="80">
                  <c:v>41213</c:v>
                </c:pt>
                <c:pt idx="81">
                  <c:v>41180</c:v>
                </c:pt>
                <c:pt idx="82">
                  <c:v>41152</c:v>
                </c:pt>
                <c:pt idx="83">
                  <c:v>41121</c:v>
                </c:pt>
                <c:pt idx="84">
                  <c:v>41089</c:v>
                </c:pt>
                <c:pt idx="85">
                  <c:v>41060</c:v>
                </c:pt>
                <c:pt idx="86">
                  <c:v>41029</c:v>
                </c:pt>
                <c:pt idx="87">
                  <c:v>40998</c:v>
                </c:pt>
                <c:pt idx="88">
                  <c:v>40968</c:v>
                </c:pt>
                <c:pt idx="89">
                  <c:v>40939</c:v>
                </c:pt>
                <c:pt idx="90">
                  <c:v>40906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40753</c:v>
                </c:pt>
                <c:pt idx="96">
                  <c:v>40724</c:v>
                </c:pt>
                <c:pt idx="97">
                  <c:v>40694</c:v>
                </c:pt>
                <c:pt idx="98">
                  <c:v>40662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40542</c:v>
                </c:pt>
                <c:pt idx="103">
                  <c:v>40512</c:v>
                </c:pt>
                <c:pt idx="104">
                  <c:v>40480</c:v>
                </c:pt>
                <c:pt idx="105">
                  <c:v>40451</c:v>
                </c:pt>
                <c:pt idx="106">
                  <c:v>40421</c:v>
                </c:pt>
                <c:pt idx="107">
                  <c:v>40389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40235</c:v>
                </c:pt>
                <c:pt idx="113">
                  <c:v>40207</c:v>
                </c:pt>
                <c:pt idx="114">
                  <c:v>40177</c:v>
                </c:pt>
                <c:pt idx="115">
                  <c:v>40147</c:v>
                </c:pt>
                <c:pt idx="116">
                  <c:v>40116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거시경제지표'!$AU$7:$AU$126</c:f>
              <c:numCache>
                <c:formatCode>General</c:formatCode>
                <c:ptCount val="120"/>
                <c:pt idx="0">
                  <c:v>98.5</c:v>
                </c:pt>
                <c:pt idx="1">
                  <c:v>98.5</c:v>
                </c:pt>
                <c:pt idx="2">
                  <c:v>98.5</c:v>
                </c:pt>
                <c:pt idx="3">
                  <c:v>98.5</c:v>
                </c:pt>
                <c:pt idx="4">
                  <c:v>98.6</c:v>
                </c:pt>
                <c:pt idx="5">
                  <c:v>99.1</c:v>
                </c:pt>
                <c:pt idx="6">
                  <c:v>99.2</c:v>
                </c:pt>
                <c:pt idx="7">
                  <c:v>99.3</c:v>
                </c:pt>
                <c:pt idx="8">
                  <c:v>99.6</c:v>
                </c:pt>
                <c:pt idx="9">
                  <c:v>99.7</c:v>
                </c:pt>
                <c:pt idx="10">
                  <c:v>99.9</c:v>
                </c:pt>
                <c:pt idx="11">
                  <c:v>100.1</c:v>
                </c:pt>
                <c:pt idx="12">
                  <c:v>100.3</c:v>
                </c:pt>
                <c:pt idx="13">
                  <c:v>100.4</c:v>
                </c:pt>
                <c:pt idx="14">
                  <c:v>100.5</c:v>
                </c:pt>
                <c:pt idx="15">
                  <c:v>100.6</c:v>
                </c:pt>
                <c:pt idx="16">
                  <c:v>100.4</c:v>
                </c:pt>
                <c:pt idx="17">
                  <c:v>100.4</c:v>
                </c:pt>
                <c:pt idx="18">
                  <c:v>100.3</c:v>
                </c:pt>
                <c:pt idx="19">
                  <c:v>100.8</c:v>
                </c:pt>
                <c:pt idx="20">
                  <c:v>100.8</c:v>
                </c:pt>
                <c:pt idx="21">
                  <c:v>101</c:v>
                </c:pt>
                <c:pt idx="22">
                  <c:v>100.9</c:v>
                </c:pt>
                <c:pt idx="23">
                  <c:v>100.9</c:v>
                </c:pt>
                <c:pt idx="24">
                  <c:v>100.9</c:v>
                </c:pt>
                <c:pt idx="25">
                  <c:v>101</c:v>
                </c:pt>
                <c:pt idx="26">
                  <c:v>101</c:v>
                </c:pt>
                <c:pt idx="27">
                  <c:v>101</c:v>
                </c:pt>
                <c:pt idx="28">
                  <c:v>100.8</c:v>
                </c:pt>
                <c:pt idx="29">
                  <c:v>100.8</c:v>
                </c:pt>
                <c:pt idx="30">
                  <c:v>100.5</c:v>
                </c:pt>
                <c:pt idx="31">
                  <c:v>100.3</c:v>
                </c:pt>
                <c:pt idx="32">
                  <c:v>100.2</c:v>
                </c:pt>
                <c:pt idx="33">
                  <c:v>100.4</c:v>
                </c:pt>
                <c:pt idx="34">
                  <c:v>100.5</c:v>
                </c:pt>
                <c:pt idx="35">
                  <c:v>100.4</c:v>
                </c:pt>
                <c:pt idx="36">
                  <c:v>100.2</c:v>
                </c:pt>
                <c:pt idx="37">
                  <c:v>100</c:v>
                </c:pt>
                <c:pt idx="38">
                  <c:v>99.8</c:v>
                </c:pt>
                <c:pt idx="39">
                  <c:v>99.9</c:v>
                </c:pt>
                <c:pt idx="40">
                  <c:v>100</c:v>
                </c:pt>
                <c:pt idx="41">
                  <c:v>100.2</c:v>
                </c:pt>
                <c:pt idx="42">
                  <c:v>100.5</c:v>
                </c:pt>
                <c:pt idx="43">
                  <c:v>100.6</c:v>
                </c:pt>
                <c:pt idx="44">
                  <c:v>100.8</c:v>
                </c:pt>
                <c:pt idx="45">
                  <c:v>100.4</c:v>
                </c:pt>
                <c:pt idx="46">
                  <c:v>99.9</c:v>
                </c:pt>
                <c:pt idx="47">
                  <c:v>99.5</c:v>
                </c:pt>
                <c:pt idx="48">
                  <c:v>99.5</c:v>
                </c:pt>
                <c:pt idx="49">
                  <c:v>99.7</c:v>
                </c:pt>
                <c:pt idx="50">
                  <c:v>100.1</c:v>
                </c:pt>
                <c:pt idx="51">
                  <c:v>100.1</c:v>
                </c:pt>
                <c:pt idx="52">
                  <c:v>100.2</c:v>
                </c:pt>
                <c:pt idx="53">
                  <c:v>99.9</c:v>
                </c:pt>
                <c:pt idx="54">
                  <c:v>99.9</c:v>
                </c:pt>
                <c:pt idx="55">
                  <c:v>99.7</c:v>
                </c:pt>
                <c:pt idx="56">
                  <c:v>99.8</c:v>
                </c:pt>
                <c:pt idx="57">
                  <c:v>100.1</c:v>
                </c:pt>
                <c:pt idx="58">
                  <c:v>100.2</c:v>
                </c:pt>
                <c:pt idx="59">
                  <c:v>100.1</c:v>
                </c:pt>
                <c:pt idx="60">
                  <c:v>100.1</c:v>
                </c:pt>
                <c:pt idx="61">
                  <c:v>100.2</c:v>
                </c:pt>
                <c:pt idx="62">
                  <c:v>100.5</c:v>
                </c:pt>
                <c:pt idx="63">
                  <c:v>100.6</c:v>
                </c:pt>
                <c:pt idx="64">
                  <c:v>100.4</c:v>
                </c:pt>
                <c:pt idx="65">
                  <c:v>100.4</c:v>
                </c:pt>
                <c:pt idx="66">
                  <c:v>100.1</c:v>
                </c:pt>
                <c:pt idx="67">
                  <c:v>100</c:v>
                </c:pt>
                <c:pt idx="68">
                  <c:v>100</c:v>
                </c:pt>
                <c:pt idx="69">
                  <c:v>99.8</c:v>
                </c:pt>
                <c:pt idx="70">
                  <c:v>99.9</c:v>
                </c:pt>
                <c:pt idx="71">
                  <c:v>99.8</c:v>
                </c:pt>
                <c:pt idx="72">
                  <c:v>99.9</c:v>
                </c:pt>
                <c:pt idx="73">
                  <c:v>99.7</c:v>
                </c:pt>
                <c:pt idx="74">
                  <c:v>99.8</c:v>
                </c:pt>
                <c:pt idx="75">
                  <c:v>99.7</c:v>
                </c:pt>
                <c:pt idx="76">
                  <c:v>99.9</c:v>
                </c:pt>
                <c:pt idx="77">
                  <c:v>99.9</c:v>
                </c:pt>
                <c:pt idx="78">
                  <c:v>100</c:v>
                </c:pt>
                <c:pt idx="79">
                  <c:v>100</c:v>
                </c:pt>
                <c:pt idx="80">
                  <c:v>99.8</c:v>
                </c:pt>
                <c:pt idx="81">
                  <c:v>100.1</c:v>
                </c:pt>
                <c:pt idx="82">
                  <c:v>100.2</c:v>
                </c:pt>
                <c:pt idx="83">
                  <c:v>100.7</c:v>
                </c:pt>
                <c:pt idx="84">
                  <c:v>100.5</c:v>
                </c:pt>
                <c:pt idx="85">
                  <c:v>100.5</c:v>
                </c:pt>
                <c:pt idx="86">
                  <c:v>100.6</c:v>
                </c:pt>
                <c:pt idx="87">
                  <c:v>100.7</c:v>
                </c:pt>
                <c:pt idx="88">
                  <c:v>100.7</c:v>
                </c:pt>
                <c:pt idx="89">
                  <c:v>100.3</c:v>
                </c:pt>
                <c:pt idx="90">
                  <c:v>100.5</c:v>
                </c:pt>
                <c:pt idx="91">
                  <c:v>100.6</c:v>
                </c:pt>
                <c:pt idx="92">
                  <c:v>100.9</c:v>
                </c:pt>
                <c:pt idx="93">
                  <c:v>100.8</c:v>
                </c:pt>
                <c:pt idx="94">
                  <c:v>101.2</c:v>
                </c:pt>
                <c:pt idx="95">
                  <c:v>101</c:v>
                </c:pt>
                <c:pt idx="96">
                  <c:v>101</c:v>
                </c:pt>
                <c:pt idx="97">
                  <c:v>100.7</c:v>
                </c:pt>
                <c:pt idx="98">
                  <c:v>100.4</c:v>
                </c:pt>
                <c:pt idx="99">
                  <c:v>100.7</c:v>
                </c:pt>
                <c:pt idx="100">
                  <c:v>100.6</c:v>
                </c:pt>
                <c:pt idx="101">
                  <c:v>100.7</c:v>
                </c:pt>
                <c:pt idx="102">
                  <c:v>100</c:v>
                </c:pt>
                <c:pt idx="103">
                  <c:v>99.8</c:v>
                </c:pt>
                <c:pt idx="104">
                  <c:v>99.8</c:v>
                </c:pt>
                <c:pt idx="105">
                  <c:v>100.2</c:v>
                </c:pt>
                <c:pt idx="106">
                  <c:v>100.6</c:v>
                </c:pt>
                <c:pt idx="107">
                  <c:v>101</c:v>
                </c:pt>
                <c:pt idx="108">
                  <c:v>100.8</c:v>
                </c:pt>
                <c:pt idx="109">
                  <c:v>100.7</c:v>
                </c:pt>
                <c:pt idx="110">
                  <c:v>100.4</c:v>
                </c:pt>
                <c:pt idx="111">
                  <c:v>100.1</c:v>
                </c:pt>
                <c:pt idx="112">
                  <c:v>99.6</c:v>
                </c:pt>
                <c:pt idx="113">
                  <c:v>99.3</c:v>
                </c:pt>
                <c:pt idx="114">
                  <c:v>99.2</c:v>
                </c:pt>
                <c:pt idx="115">
                  <c:v>99.3</c:v>
                </c:pt>
                <c:pt idx="116">
                  <c:v>99.2</c:v>
                </c:pt>
                <c:pt idx="117">
                  <c:v>98.9</c:v>
                </c:pt>
                <c:pt idx="118">
                  <c:v>98.7</c:v>
                </c:pt>
                <c:pt idx="119">
                  <c:v>98.6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05088"/>
        <c:axId val="122503552"/>
      </c:lineChart>
      <c:dateAx>
        <c:axId val="122479744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>
                <a:solidFill>
                  <a:sysClr val="windowText" lastClr="000000"/>
                </a:solidFill>
              </a:defRPr>
            </a:pPr>
            <a:endParaRPr lang="ko-KR"/>
          </a:p>
        </c:txPr>
        <c:crossAx val="122481280"/>
        <c:crosses val="autoZero"/>
        <c:auto val="1"/>
        <c:lblOffset val="100"/>
        <c:baseTimeUnit val="days"/>
        <c:majorUnit val="6"/>
        <c:majorTimeUnit val="months"/>
      </c:dateAx>
      <c:valAx>
        <c:axId val="12248128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479744"/>
        <c:crosses val="autoZero"/>
        <c:crossBetween val="between"/>
      </c:valAx>
      <c:valAx>
        <c:axId val="122503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505088"/>
        <c:crosses val="max"/>
        <c:crossBetween val="between"/>
      </c:valAx>
      <c:dateAx>
        <c:axId val="122505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2503552"/>
        <c:crosses val="autoZero"/>
        <c:auto val="1"/>
        <c:lblOffset val="100"/>
        <c:baseTimeUnit val="days"/>
      </c:dateAx>
      <c:spPr>
        <a:ln>
          <a:noFill/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88322984242225"/>
          <c:y val="0.14005283101670168"/>
          <c:w val="0.81923050524061081"/>
          <c:h val="0.64698989796693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'국내 거시경제지표'!$BD$5</c:f>
              <c:strCache>
                <c:ptCount val="1"/>
                <c:pt idx="0">
                  <c:v>소비자물가(좌)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numRef>
              <c:f>'국내 거시경제지표'!$BD$7:$BD$126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거시경제지표'!$BE$7:$BE$126</c:f>
              <c:numCache>
                <c:formatCode>General</c:formatCode>
                <c:ptCount val="120"/>
                <c:pt idx="0" formatCode="0.00_ ">
                  <c:v>105.05</c:v>
                </c:pt>
                <c:pt idx="1">
                  <c:v>105.05</c:v>
                </c:pt>
                <c:pt idx="2">
                  <c:v>104.87</c:v>
                </c:pt>
                <c:pt idx="3">
                  <c:v>104.49</c:v>
                </c:pt>
                <c:pt idx="4">
                  <c:v>104.69</c:v>
                </c:pt>
                <c:pt idx="5">
                  <c:v>104.24</c:v>
                </c:pt>
                <c:pt idx="6">
                  <c:v>104.35</c:v>
                </c:pt>
                <c:pt idx="7">
                  <c:v>104.71</c:v>
                </c:pt>
                <c:pt idx="8">
                  <c:v>105.46</c:v>
                </c:pt>
                <c:pt idx="9">
                  <c:v>105.65</c:v>
                </c:pt>
                <c:pt idx="10">
                  <c:v>104.85</c:v>
                </c:pt>
                <c:pt idx="11">
                  <c:v>103.93</c:v>
                </c:pt>
                <c:pt idx="12">
                  <c:v>104.13</c:v>
                </c:pt>
                <c:pt idx="13">
                  <c:v>104.34</c:v>
                </c:pt>
                <c:pt idx="14">
                  <c:v>104.29</c:v>
                </c:pt>
                <c:pt idx="15">
                  <c:v>104.1</c:v>
                </c:pt>
                <c:pt idx="16">
                  <c:v>104.21</c:v>
                </c:pt>
                <c:pt idx="17">
                  <c:v>103.42</c:v>
                </c:pt>
                <c:pt idx="18">
                  <c:v>102.99</c:v>
                </c:pt>
                <c:pt idx="19">
                  <c:v>102.62</c:v>
                </c:pt>
                <c:pt idx="20">
                  <c:v>103.39</c:v>
                </c:pt>
                <c:pt idx="21">
                  <c:v>103.49</c:v>
                </c:pt>
                <c:pt idx="22">
                  <c:v>103.37</c:v>
                </c:pt>
                <c:pt idx="23">
                  <c:v>102.78</c:v>
                </c:pt>
                <c:pt idx="24">
                  <c:v>102.61</c:v>
                </c:pt>
                <c:pt idx="25">
                  <c:v>102.83</c:v>
                </c:pt>
                <c:pt idx="26">
                  <c:v>102.72</c:v>
                </c:pt>
                <c:pt idx="27">
                  <c:v>102.85</c:v>
                </c:pt>
                <c:pt idx="28">
                  <c:v>102.92</c:v>
                </c:pt>
                <c:pt idx="29">
                  <c:v>102.64</c:v>
                </c:pt>
                <c:pt idx="30">
                  <c:v>101.56</c:v>
                </c:pt>
                <c:pt idx="31">
                  <c:v>101.45</c:v>
                </c:pt>
                <c:pt idx="32">
                  <c:v>101.6</c:v>
                </c:pt>
                <c:pt idx="33">
                  <c:v>101.46</c:v>
                </c:pt>
                <c:pt idx="34">
                  <c:v>100.86</c:v>
                </c:pt>
                <c:pt idx="35">
                  <c:v>100.6</c:v>
                </c:pt>
                <c:pt idx="36">
                  <c:v>100.79</c:v>
                </c:pt>
                <c:pt idx="37">
                  <c:v>100.81</c:v>
                </c:pt>
                <c:pt idx="38">
                  <c:v>100.75</c:v>
                </c:pt>
                <c:pt idx="39">
                  <c:v>100.56</c:v>
                </c:pt>
                <c:pt idx="40">
                  <c:v>100.82</c:v>
                </c:pt>
                <c:pt idx="41">
                  <c:v>100.39</c:v>
                </c:pt>
                <c:pt idx="42">
                  <c:v>100.22</c:v>
                </c:pt>
                <c:pt idx="43">
                  <c:v>99.92</c:v>
                </c:pt>
                <c:pt idx="44">
                  <c:v>100.11</c:v>
                </c:pt>
                <c:pt idx="45">
                  <c:v>100.11</c:v>
                </c:pt>
                <c:pt idx="46">
                  <c:v>100.37</c:v>
                </c:pt>
                <c:pt idx="47">
                  <c:v>100.23</c:v>
                </c:pt>
                <c:pt idx="48">
                  <c:v>100.05</c:v>
                </c:pt>
                <c:pt idx="49">
                  <c:v>100.03</c:v>
                </c:pt>
                <c:pt idx="50">
                  <c:v>99.75</c:v>
                </c:pt>
                <c:pt idx="51">
                  <c:v>99.72</c:v>
                </c:pt>
                <c:pt idx="52">
                  <c:v>99.71</c:v>
                </c:pt>
                <c:pt idx="53">
                  <c:v>99.77</c:v>
                </c:pt>
                <c:pt idx="54">
                  <c:v>99.097999999999999</c:v>
                </c:pt>
                <c:pt idx="55">
                  <c:v>99.108000000000004</c:v>
                </c:pt>
                <c:pt idx="56">
                  <c:v>99.308000000000007</c:v>
                </c:pt>
                <c:pt idx="57">
                  <c:v>99.608000000000004</c:v>
                </c:pt>
                <c:pt idx="58">
                  <c:v>99.671999999999997</c:v>
                </c:pt>
                <c:pt idx="59">
                  <c:v>99.498999999999995</c:v>
                </c:pt>
                <c:pt idx="60">
                  <c:v>99.352999999999994</c:v>
                </c:pt>
                <c:pt idx="61">
                  <c:v>99.480999999999995</c:v>
                </c:pt>
                <c:pt idx="62">
                  <c:v>99.316999999999993</c:v>
                </c:pt>
                <c:pt idx="63">
                  <c:v>99.253</c:v>
                </c:pt>
                <c:pt idx="64">
                  <c:v>99.070999999999998</c:v>
                </c:pt>
                <c:pt idx="65">
                  <c:v>98.807000000000002</c:v>
                </c:pt>
                <c:pt idx="66">
                  <c:v>98.278999999999996</c:v>
                </c:pt>
                <c:pt idx="67">
                  <c:v>98.16</c:v>
                </c:pt>
                <c:pt idx="68">
                  <c:v>98.179000000000002</c:v>
                </c:pt>
                <c:pt idx="69">
                  <c:v>98.478999999999999</c:v>
                </c:pt>
                <c:pt idx="70">
                  <c:v>98.287999999999997</c:v>
                </c:pt>
                <c:pt idx="71">
                  <c:v>97.941999999999993</c:v>
                </c:pt>
                <c:pt idx="72">
                  <c:v>97.731999999999999</c:v>
                </c:pt>
                <c:pt idx="73">
                  <c:v>97.850999999999999</c:v>
                </c:pt>
                <c:pt idx="74">
                  <c:v>97.850999999999999</c:v>
                </c:pt>
                <c:pt idx="75">
                  <c:v>97.986999999999995</c:v>
                </c:pt>
                <c:pt idx="76">
                  <c:v>98.078000000000003</c:v>
                </c:pt>
                <c:pt idx="77">
                  <c:v>97.751000000000005</c:v>
                </c:pt>
                <c:pt idx="78">
                  <c:v>97.168000000000006</c:v>
                </c:pt>
                <c:pt idx="79">
                  <c:v>96.995000000000005</c:v>
                </c:pt>
                <c:pt idx="80">
                  <c:v>97.340999999999994</c:v>
                </c:pt>
                <c:pt idx="81">
                  <c:v>97.522999999999996</c:v>
                </c:pt>
                <c:pt idx="82">
                  <c:v>96.831000000000003</c:v>
                </c:pt>
                <c:pt idx="83">
                  <c:v>96.385000000000005</c:v>
                </c:pt>
                <c:pt idx="84">
                  <c:v>96.602999999999994</c:v>
                </c:pt>
                <c:pt idx="85">
                  <c:v>96.74</c:v>
                </c:pt>
                <c:pt idx="86">
                  <c:v>96.566999999999993</c:v>
                </c:pt>
                <c:pt idx="87">
                  <c:v>96.575999999999993</c:v>
                </c:pt>
                <c:pt idx="88">
                  <c:v>96.549000000000007</c:v>
                </c:pt>
                <c:pt idx="89">
                  <c:v>96.183999999999997</c:v>
                </c:pt>
                <c:pt idx="90">
                  <c:v>95.802000000000007</c:v>
                </c:pt>
                <c:pt idx="91">
                  <c:v>95.438000000000002</c:v>
                </c:pt>
                <c:pt idx="92">
                  <c:v>95.346999999999994</c:v>
                </c:pt>
                <c:pt idx="93">
                  <c:v>95.528999999999996</c:v>
                </c:pt>
                <c:pt idx="94">
                  <c:v>95.62</c:v>
                </c:pt>
                <c:pt idx="95">
                  <c:v>94.981999999999999</c:v>
                </c:pt>
                <c:pt idx="96">
                  <c:v>94.527000000000001</c:v>
                </c:pt>
                <c:pt idx="97">
                  <c:v>94.344999999999999</c:v>
                </c:pt>
                <c:pt idx="98">
                  <c:v>94.162999999999997</c:v>
                </c:pt>
                <c:pt idx="99">
                  <c:v>94.072000000000003</c:v>
                </c:pt>
                <c:pt idx="100">
                  <c:v>93.706999999999994</c:v>
                </c:pt>
                <c:pt idx="101">
                  <c:v>93.07</c:v>
                </c:pt>
                <c:pt idx="102">
                  <c:v>91.977000000000004</c:v>
                </c:pt>
                <c:pt idx="103">
                  <c:v>91.613</c:v>
                </c:pt>
                <c:pt idx="104">
                  <c:v>92.067999999999998</c:v>
                </c:pt>
                <c:pt idx="105">
                  <c:v>92.067999999999998</c:v>
                </c:pt>
                <c:pt idx="106">
                  <c:v>91.34</c:v>
                </c:pt>
                <c:pt idx="107">
                  <c:v>90.884</c:v>
                </c:pt>
                <c:pt idx="108">
                  <c:v>90.701999999999998</c:v>
                </c:pt>
                <c:pt idx="109">
                  <c:v>90.793000000000006</c:v>
                </c:pt>
                <c:pt idx="110">
                  <c:v>90.701999999999998</c:v>
                </c:pt>
                <c:pt idx="111">
                  <c:v>90.337999999999994</c:v>
                </c:pt>
                <c:pt idx="112">
                  <c:v>90.156000000000006</c:v>
                </c:pt>
                <c:pt idx="113">
                  <c:v>89.974000000000004</c:v>
                </c:pt>
                <c:pt idx="114">
                  <c:v>89.269000000000005</c:v>
                </c:pt>
                <c:pt idx="115">
                  <c:v>88.954999999999998</c:v>
                </c:pt>
                <c:pt idx="116">
                  <c:v>88.798000000000002</c:v>
                </c:pt>
                <c:pt idx="117">
                  <c:v>89.034000000000006</c:v>
                </c:pt>
                <c:pt idx="118">
                  <c:v>88.954999999999998</c:v>
                </c:pt>
                <c:pt idx="119">
                  <c:v>88.641000000000005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122519552"/>
        <c:axId val="122521088"/>
      </c:barChart>
      <c:lineChart>
        <c:grouping val="standard"/>
        <c:varyColors val="0"/>
        <c:ser>
          <c:idx val="1"/>
          <c:order val="1"/>
          <c:tx>
            <c:strRef>
              <c:f>'국내 거시경제지표'!$BF$5</c:f>
              <c:strCache>
                <c:ptCount val="1"/>
                <c:pt idx="0">
                  <c:v>전년동월비(우)</c:v>
                </c:pt>
              </c:strCache>
            </c:strRef>
          </c:tx>
          <c:spPr>
            <a:ln w="25400">
              <a:solidFill>
                <a:srgbClr val="FF0066"/>
              </a:solidFill>
            </a:ln>
            <a:effectLst/>
          </c:spPr>
          <c:marker>
            <c:symbol val="none"/>
          </c:marker>
          <c:cat>
            <c:numRef>
              <c:f>'국내 거시경제지표'!$BD$7:$BD$126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거시경제지표'!$BF$7:$BF$126</c:f>
              <c:numCache>
                <c:formatCode>General</c:formatCode>
                <c:ptCount val="120"/>
                <c:pt idx="0">
                  <c:v>0.6804677017442915</c:v>
                </c:pt>
                <c:pt idx="1">
                  <c:v>0.6804677017442915</c:v>
                </c:pt>
                <c:pt idx="2">
                  <c:v>0.55614152843033682</c:v>
                </c:pt>
                <c:pt idx="3">
                  <c:v>0.37463976945245014</c:v>
                </c:pt>
                <c:pt idx="4">
                  <c:v>0.46060838691104888</c:v>
                </c:pt>
                <c:pt idx="5">
                  <c:v>0.79288338812608128</c:v>
                </c:pt>
                <c:pt idx="6">
                  <c:v>1.3205165550053399</c:v>
                </c:pt>
                <c:pt idx="7">
                  <c:v>2.0366400311829946</c:v>
                </c:pt>
                <c:pt idx="8">
                  <c:v>2.0021278653641486</c:v>
                </c:pt>
                <c:pt idx="9">
                  <c:v>2.0871581795342649</c:v>
                </c:pt>
                <c:pt idx="10">
                  <c:v>1.4317500241849568</c:v>
                </c:pt>
                <c:pt idx="11">
                  <c:v>1.1188947266005116</c:v>
                </c:pt>
                <c:pt idx="12">
                  <c:v>1.4813371016470092</c:v>
                </c:pt>
                <c:pt idx="13">
                  <c:v>1.4684430613634205</c:v>
                </c:pt>
                <c:pt idx="14">
                  <c:v>1.5284267912772658</c:v>
                </c:pt>
                <c:pt idx="15">
                  <c:v>1.2153621779290229</c:v>
                </c:pt>
                <c:pt idx="16">
                  <c:v>1.2534006995724756</c:v>
                </c:pt>
                <c:pt idx="17">
                  <c:v>0.7599376461418561</c:v>
                </c:pt>
                <c:pt idx="18">
                  <c:v>1.4080346593146835</c:v>
                </c:pt>
                <c:pt idx="19">
                  <c:v>1.1532774765894547</c:v>
                </c:pt>
                <c:pt idx="20">
                  <c:v>1.7618110236220534</c:v>
                </c:pt>
                <c:pt idx="21">
                  <c:v>2.0007884880741194</c:v>
                </c:pt>
                <c:pt idx="22">
                  <c:v>2.4885980567122794</c:v>
                </c:pt>
                <c:pt idx="23">
                  <c:v>2.166998011928436</c:v>
                </c:pt>
                <c:pt idx="24">
                  <c:v>1.8057346959023644</c:v>
                </c:pt>
                <c:pt idx="25">
                  <c:v>2.0037694673147466</c:v>
                </c:pt>
                <c:pt idx="26">
                  <c:v>1.955334987593051</c:v>
                </c:pt>
                <c:pt idx="27">
                  <c:v>2.2772474144789103</c:v>
                </c:pt>
                <c:pt idx="28">
                  <c:v>2.0829200555445437</c:v>
                </c:pt>
                <c:pt idx="29">
                  <c:v>2.241259089550752</c:v>
                </c:pt>
                <c:pt idx="30">
                  <c:v>1.3370584713630049</c:v>
                </c:pt>
                <c:pt idx="31">
                  <c:v>1.5312249799839883</c:v>
                </c:pt>
                <c:pt idx="32">
                  <c:v>1.488362800918984</c:v>
                </c:pt>
                <c:pt idx="33">
                  <c:v>1.3485166317051187</c:v>
                </c:pt>
                <c:pt idx="34">
                  <c:v>0.48819368337152025</c:v>
                </c:pt>
                <c:pt idx="35">
                  <c:v>0.36915095280853072</c:v>
                </c:pt>
                <c:pt idx="36">
                  <c:v>0.73963018490755528</c:v>
                </c:pt>
                <c:pt idx="37">
                  <c:v>0.77976607017894739</c:v>
                </c:pt>
                <c:pt idx="38">
                  <c:v>1.0025062656641603</c:v>
                </c:pt>
                <c:pt idx="39">
                  <c:v>0.84235860409145946</c:v>
                </c:pt>
                <c:pt idx="40">
                  <c:v>1.1132283622505261</c:v>
                </c:pt>
                <c:pt idx="41">
                  <c:v>0.62142928736093472</c:v>
                </c:pt>
                <c:pt idx="42">
                  <c:v>1.1322125572665442</c:v>
                </c:pt>
                <c:pt idx="43">
                  <c:v>0.81930822940630177</c:v>
                </c:pt>
                <c:pt idx="44">
                  <c:v>0.80758851250653763</c:v>
                </c:pt>
                <c:pt idx="45">
                  <c:v>0.50397558429041367</c:v>
                </c:pt>
                <c:pt idx="46">
                  <c:v>0.70029697407497349</c:v>
                </c:pt>
                <c:pt idx="47">
                  <c:v>0.7346807505603159</c:v>
                </c:pt>
                <c:pt idx="48">
                  <c:v>0.7015389570521301</c:v>
                </c:pt>
                <c:pt idx="49">
                  <c:v>0.55186417506861274</c:v>
                </c:pt>
                <c:pt idx="50">
                  <c:v>0.43597772788143724</c:v>
                </c:pt>
                <c:pt idx="51">
                  <c:v>0.47051474514624114</c:v>
                </c:pt>
                <c:pt idx="52">
                  <c:v>0.64499197545194431</c:v>
                </c:pt>
                <c:pt idx="53">
                  <c:v>0.97462730373353501</c:v>
                </c:pt>
                <c:pt idx="54">
                  <c:v>0.83334181259475848</c:v>
                </c:pt>
                <c:pt idx="55">
                  <c:v>0.96577017114915198</c:v>
                </c:pt>
                <c:pt idx="56">
                  <c:v>1.1499404149563603</c:v>
                </c:pt>
                <c:pt idx="57">
                  <c:v>1.1464373115080422</c:v>
                </c:pt>
                <c:pt idx="58">
                  <c:v>1.408106788214228</c:v>
                </c:pt>
                <c:pt idx="59">
                  <c:v>1.5897163627453006</c:v>
                </c:pt>
                <c:pt idx="60">
                  <c:v>1.6586174436213268</c:v>
                </c:pt>
                <c:pt idx="61">
                  <c:v>1.6657979989984726</c:v>
                </c:pt>
                <c:pt idx="62">
                  <c:v>1.4981962371360478</c:v>
                </c:pt>
                <c:pt idx="63">
                  <c:v>1.2920081235265957</c:v>
                </c:pt>
                <c:pt idx="64">
                  <c:v>1.0124594710332542</c:v>
                </c:pt>
                <c:pt idx="65">
                  <c:v>1.080295853750854</c:v>
                </c:pt>
                <c:pt idx="66">
                  <c:v>1.143380536802229</c:v>
                </c:pt>
                <c:pt idx="67">
                  <c:v>1.2010928398370968</c:v>
                </c:pt>
                <c:pt idx="68">
                  <c:v>0.86089109419464371</c:v>
                </c:pt>
                <c:pt idx="69">
                  <c:v>0.98028157460291732</c:v>
                </c:pt>
                <c:pt idx="70">
                  <c:v>1.5046834175005872</c:v>
                </c:pt>
                <c:pt idx="71">
                  <c:v>1.6153965866057871</c:v>
                </c:pt>
                <c:pt idx="72">
                  <c:v>1.1687007649865997</c:v>
                </c:pt>
                <c:pt idx="73">
                  <c:v>1.1484391151540254</c:v>
                </c:pt>
                <c:pt idx="74">
                  <c:v>1.3296467737425892</c:v>
                </c:pt>
                <c:pt idx="75">
                  <c:v>1.4610255135851573</c:v>
                </c:pt>
                <c:pt idx="76">
                  <c:v>1.5836518244621862</c:v>
                </c:pt>
                <c:pt idx="77">
                  <c:v>1.6291690925725768</c:v>
                </c:pt>
                <c:pt idx="78">
                  <c:v>1.4258574977557874</c:v>
                </c:pt>
                <c:pt idx="79">
                  <c:v>1.6314256375867076</c:v>
                </c:pt>
                <c:pt idx="80">
                  <c:v>2.0913085886289027</c:v>
                </c:pt>
                <c:pt idx="81">
                  <c:v>2.0873242680233228</c:v>
                </c:pt>
                <c:pt idx="82">
                  <c:v>1.2664714494875533</c:v>
                </c:pt>
                <c:pt idx="83">
                  <c:v>1.4771219810069336</c:v>
                </c:pt>
                <c:pt idx="84">
                  <c:v>2.1961979117077588</c:v>
                </c:pt>
                <c:pt idx="85">
                  <c:v>2.5385553023477621</c:v>
                </c:pt>
                <c:pt idx="86">
                  <c:v>2.5530197636014105</c:v>
                </c:pt>
                <c:pt idx="87">
                  <c:v>2.6617909686197705</c:v>
                </c:pt>
                <c:pt idx="88">
                  <c:v>3.0328577374155752</c:v>
                </c:pt>
                <c:pt idx="89">
                  <c:v>3.3458687009777637</c:v>
                </c:pt>
                <c:pt idx="90">
                  <c:v>4.1586483577416118</c:v>
                </c:pt>
                <c:pt idx="91">
                  <c:v>4.175171645945448</c:v>
                </c:pt>
                <c:pt idx="92">
                  <c:v>3.5614980232002393</c:v>
                </c:pt>
                <c:pt idx="93">
                  <c:v>3.7591779988703986</c:v>
                </c:pt>
                <c:pt idx="94">
                  <c:v>4.6857893584409904</c:v>
                </c:pt>
                <c:pt idx="95">
                  <c:v>4.5090444962809721</c:v>
                </c:pt>
                <c:pt idx="96">
                  <c:v>4.2171065687636471</c:v>
                </c:pt>
                <c:pt idx="97">
                  <c:v>3.9121958741312572</c:v>
                </c:pt>
                <c:pt idx="98">
                  <c:v>3.8157923750303175</c:v>
                </c:pt>
                <c:pt idx="99">
                  <c:v>4.1333658039806158</c:v>
                </c:pt>
                <c:pt idx="100">
                  <c:v>3.9387284262833173</c:v>
                </c:pt>
                <c:pt idx="101">
                  <c:v>3.4409940649520854</c:v>
                </c:pt>
                <c:pt idx="102">
                  <c:v>3.0335278764184634</c:v>
                </c:pt>
                <c:pt idx="103">
                  <c:v>2.9880276544320177</c:v>
                </c:pt>
                <c:pt idx="104">
                  <c:v>3.6825153719678325</c:v>
                </c:pt>
                <c:pt idx="105">
                  <c:v>3.4076869510523973</c:v>
                </c:pt>
                <c:pt idx="106">
                  <c:v>2.6811309088865216</c:v>
                </c:pt>
                <c:pt idx="107">
                  <c:v>2.530431741519156</c:v>
                </c:pt>
                <c:pt idx="108">
                  <c:v>2.6888720323343938</c:v>
                </c:pt>
                <c:pt idx="109">
                  <c:v>2.7012046829930494</c:v>
                </c:pt>
                <c:pt idx="110">
                  <c:v>2.598269328657878</c:v>
                </c:pt>
                <c:pt idx="111">
                  <c:v>2.4588862424860976</c:v>
                </c:pt>
                <c:pt idx="112">
                  <c:v>2.984818889003118</c:v>
                </c:pt>
                <c:pt idx="113">
                  <c:v>3.5183395462285509</c:v>
                </c:pt>
                <c:pt idx="114">
                  <c:v>2.8006494927277568</c:v>
                </c:pt>
                <c:pt idx="115">
                  <c:v>2.4390524776304972</c:v>
                </c:pt>
                <c:pt idx="116">
                  <c:v>1.9822675486953316</c:v>
                </c:pt>
                <c:pt idx="117">
                  <c:v>2.1606177783387568</c:v>
                </c:pt>
                <c:pt idx="118">
                  <c:v>2.162578096288124</c:v>
                </c:pt>
                <c:pt idx="119">
                  <c:v>1.6187277166997285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40800"/>
        <c:axId val="122522624"/>
      </c:lineChart>
      <c:dateAx>
        <c:axId val="122519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>
                <a:solidFill>
                  <a:sysClr val="windowText" lastClr="000000"/>
                </a:solidFill>
              </a:defRPr>
            </a:pPr>
            <a:endParaRPr lang="ko-KR"/>
          </a:p>
        </c:txPr>
        <c:crossAx val="122521088"/>
        <c:crosses val="autoZero"/>
        <c:auto val="1"/>
        <c:lblOffset val="100"/>
        <c:baseTimeUnit val="months"/>
        <c:majorUnit val="6"/>
        <c:majorTimeUnit val="months"/>
      </c:dateAx>
      <c:valAx>
        <c:axId val="122521088"/>
        <c:scaling>
          <c:orientation val="minMax"/>
        </c:scaling>
        <c:delete val="0"/>
        <c:axPos val="l"/>
        <c:numFmt formatCode="0.00_ 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519552"/>
        <c:crosses val="autoZero"/>
        <c:crossBetween val="between"/>
      </c:valAx>
      <c:valAx>
        <c:axId val="122522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540800"/>
        <c:crosses val="max"/>
        <c:crossBetween val="between"/>
      </c:valAx>
      <c:dateAx>
        <c:axId val="12254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2522624"/>
        <c:crosses val="autoZero"/>
        <c:auto val="1"/>
        <c:lblOffset val="100"/>
        <c:baseTimeUnit val="days"/>
      </c:dateAx>
      <c:spPr>
        <a:ln>
          <a:noFill/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170088678674205E-2"/>
          <c:y val="0.1348496298643784"/>
          <c:w val="0.85348715131538788"/>
          <c:h val="0.66087247132693627"/>
        </c:manualLayout>
      </c:layout>
      <c:lineChart>
        <c:grouping val="standard"/>
        <c:varyColors val="0"/>
        <c:ser>
          <c:idx val="0"/>
          <c:order val="0"/>
          <c:tx>
            <c:strRef>
              <c:f>'국내 거시경제지표'!$AZ$5</c:f>
              <c:strCache>
                <c:ptCount val="1"/>
                <c:pt idx="0">
                  <c:v>실업자(좌)</c:v>
                </c:pt>
              </c:strCache>
            </c:strRef>
          </c:tx>
          <c:spPr>
            <a:ln w="25400">
              <a:solidFill>
                <a:srgbClr val="225AF6"/>
              </a:solidFill>
            </a:ln>
          </c:spPr>
          <c:marker>
            <c:symbol val="none"/>
          </c:marker>
          <c:cat>
            <c:numRef>
              <c:f>'국내 거시경제지표'!$AZ$7:$AZ$126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거시경제지표'!$BA$7:$BA$126</c:f>
              <c:numCache>
                <c:formatCode>General</c:formatCode>
                <c:ptCount val="120"/>
                <c:pt idx="0">
                  <c:v>1245.0999999999999</c:v>
                </c:pt>
                <c:pt idx="1">
                  <c:v>1245.0999999999999</c:v>
                </c:pt>
                <c:pt idx="2">
                  <c:v>1245.0999999999999</c:v>
                </c:pt>
                <c:pt idx="3">
                  <c:v>1196.9000000000001</c:v>
                </c:pt>
                <c:pt idx="4">
                  <c:v>1303</c:v>
                </c:pt>
                <c:pt idx="5">
                  <c:v>1223.7</c:v>
                </c:pt>
                <c:pt idx="6">
                  <c:v>944.1</c:v>
                </c:pt>
                <c:pt idx="7">
                  <c:v>908.5</c:v>
                </c:pt>
                <c:pt idx="8">
                  <c:v>972.6</c:v>
                </c:pt>
                <c:pt idx="9">
                  <c:v>1024.0999999999999</c:v>
                </c:pt>
                <c:pt idx="10">
                  <c:v>1132.5</c:v>
                </c:pt>
                <c:pt idx="11">
                  <c:v>1039.0999999999999</c:v>
                </c:pt>
                <c:pt idx="12">
                  <c:v>1034.2</c:v>
                </c:pt>
                <c:pt idx="13">
                  <c:v>1120.7</c:v>
                </c:pt>
                <c:pt idx="14">
                  <c:v>1161.0999999999999</c:v>
                </c:pt>
                <c:pt idx="15">
                  <c:v>1256.9000000000001</c:v>
                </c:pt>
                <c:pt idx="16">
                  <c:v>1265.4000000000001</c:v>
                </c:pt>
                <c:pt idx="17">
                  <c:v>1019.8</c:v>
                </c:pt>
                <c:pt idx="18">
                  <c:v>912.7</c:v>
                </c:pt>
                <c:pt idx="19">
                  <c:v>870.5</c:v>
                </c:pt>
                <c:pt idx="20">
                  <c:v>893.5</c:v>
                </c:pt>
                <c:pt idx="21">
                  <c:v>932</c:v>
                </c:pt>
                <c:pt idx="22">
                  <c:v>999</c:v>
                </c:pt>
                <c:pt idx="23">
                  <c:v>958.2</c:v>
                </c:pt>
                <c:pt idx="24">
                  <c:v>1060.5</c:v>
                </c:pt>
                <c:pt idx="25">
                  <c:v>994.8</c:v>
                </c:pt>
                <c:pt idx="26">
                  <c:v>1167.0999999999999</c:v>
                </c:pt>
                <c:pt idx="27">
                  <c:v>1136.8</c:v>
                </c:pt>
                <c:pt idx="28">
                  <c:v>1341.7</c:v>
                </c:pt>
                <c:pt idx="29">
                  <c:v>1007.7</c:v>
                </c:pt>
                <c:pt idx="30">
                  <c:v>864</c:v>
                </c:pt>
                <c:pt idx="31">
                  <c:v>851.1</c:v>
                </c:pt>
                <c:pt idx="32">
                  <c:v>920.2</c:v>
                </c:pt>
                <c:pt idx="33">
                  <c:v>982.6</c:v>
                </c:pt>
                <c:pt idx="34">
                  <c:v>993.7</c:v>
                </c:pt>
                <c:pt idx="35">
                  <c:v>972.8</c:v>
                </c:pt>
                <c:pt idx="36">
                  <c:v>1002.2</c:v>
                </c:pt>
                <c:pt idx="37">
                  <c:v>1003.6</c:v>
                </c:pt>
                <c:pt idx="38">
                  <c:v>1073.5999999999999</c:v>
                </c:pt>
                <c:pt idx="39">
                  <c:v>1153</c:v>
                </c:pt>
                <c:pt idx="40">
                  <c:v>1309.4000000000001</c:v>
                </c:pt>
                <c:pt idx="41">
                  <c:v>984.6</c:v>
                </c:pt>
                <c:pt idx="42">
                  <c:v>867.4</c:v>
                </c:pt>
                <c:pt idx="43">
                  <c:v>828.8</c:v>
                </c:pt>
                <c:pt idx="44">
                  <c:v>839.7</c:v>
                </c:pt>
                <c:pt idx="45">
                  <c:v>867.3</c:v>
                </c:pt>
                <c:pt idx="46">
                  <c:v>924.8</c:v>
                </c:pt>
                <c:pt idx="47">
                  <c:v>998</c:v>
                </c:pt>
                <c:pt idx="48">
                  <c:v>1047.7</c:v>
                </c:pt>
                <c:pt idx="49">
                  <c:v>1022.1</c:v>
                </c:pt>
                <c:pt idx="50">
                  <c:v>1050.5999999999999</c:v>
                </c:pt>
                <c:pt idx="51">
                  <c:v>1074.0999999999999</c:v>
                </c:pt>
                <c:pt idx="52">
                  <c:v>1200.2</c:v>
                </c:pt>
                <c:pt idx="53">
                  <c:v>988.1</c:v>
                </c:pt>
                <c:pt idx="54">
                  <c:v>888.4</c:v>
                </c:pt>
                <c:pt idx="55">
                  <c:v>821.6</c:v>
                </c:pt>
                <c:pt idx="56">
                  <c:v>861.1</c:v>
                </c:pt>
                <c:pt idx="57">
                  <c:v>851.1</c:v>
                </c:pt>
                <c:pt idx="58">
                  <c:v>893.5</c:v>
                </c:pt>
                <c:pt idx="59">
                  <c:v>913.5</c:v>
                </c:pt>
                <c:pt idx="60">
                  <c:v>952.5</c:v>
                </c:pt>
                <c:pt idx="61">
                  <c:v>954.7</c:v>
                </c:pt>
                <c:pt idx="62">
                  <c:v>1033.0999999999999</c:v>
                </c:pt>
                <c:pt idx="63">
                  <c:v>1025.7</c:v>
                </c:pt>
                <c:pt idx="64">
                  <c:v>1175.5999999999999</c:v>
                </c:pt>
                <c:pt idx="65">
                  <c:v>890.9</c:v>
                </c:pt>
                <c:pt idx="66">
                  <c:v>775.3</c:v>
                </c:pt>
                <c:pt idx="67">
                  <c:v>701.7</c:v>
                </c:pt>
                <c:pt idx="68">
                  <c:v>724.3</c:v>
                </c:pt>
                <c:pt idx="69">
                  <c:v>720.8</c:v>
                </c:pt>
                <c:pt idx="70">
                  <c:v>783.3</c:v>
                </c:pt>
                <c:pt idx="71">
                  <c:v>827.4</c:v>
                </c:pt>
                <c:pt idx="72">
                  <c:v>813.7</c:v>
                </c:pt>
                <c:pt idx="73">
                  <c:v>798.5</c:v>
                </c:pt>
                <c:pt idx="74">
                  <c:v>826.6</c:v>
                </c:pt>
                <c:pt idx="75">
                  <c:v>884.3</c:v>
                </c:pt>
                <c:pt idx="76">
                  <c:v>991.3</c:v>
                </c:pt>
                <c:pt idx="77">
                  <c:v>851.3</c:v>
                </c:pt>
                <c:pt idx="78">
                  <c:v>741</c:v>
                </c:pt>
                <c:pt idx="79">
                  <c:v>713.9</c:v>
                </c:pt>
                <c:pt idx="80">
                  <c:v>722.1</c:v>
                </c:pt>
                <c:pt idx="81">
                  <c:v>757.3</c:v>
                </c:pt>
                <c:pt idx="82">
                  <c:v>770.2</c:v>
                </c:pt>
                <c:pt idx="83">
                  <c:v>803</c:v>
                </c:pt>
                <c:pt idx="84">
                  <c:v>829.7</c:v>
                </c:pt>
                <c:pt idx="85">
                  <c:v>812.1</c:v>
                </c:pt>
                <c:pt idx="86">
                  <c:v>901.2</c:v>
                </c:pt>
                <c:pt idx="87">
                  <c:v>952.6</c:v>
                </c:pt>
                <c:pt idx="88">
                  <c:v>1049.5999999999999</c:v>
                </c:pt>
                <c:pt idx="89">
                  <c:v>860.1</c:v>
                </c:pt>
                <c:pt idx="90">
                  <c:v>760.5</c:v>
                </c:pt>
                <c:pt idx="91">
                  <c:v>735.1</c:v>
                </c:pt>
                <c:pt idx="92">
                  <c:v>744.8</c:v>
                </c:pt>
                <c:pt idx="93">
                  <c:v>768</c:v>
                </c:pt>
                <c:pt idx="94">
                  <c:v>772.3</c:v>
                </c:pt>
                <c:pt idx="95">
                  <c:v>847</c:v>
                </c:pt>
                <c:pt idx="96">
                  <c:v>847.9</c:v>
                </c:pt>
                <c:pt idx="97">
                  <c:v>824.5</c:v>
                </c:pt>
                <c:pt idx="98">
                  <c:v>943.9</c:v>
                </c:pt>
                <c:pt idx="99">
                  <c:v>1078.7</c:v>
                </c:pt>
                <c:pt idx="100">
                  <c:v>1104.3</c:v>
                </c:pt>
                <c:pt idx="101">
                  <c:v>923.5</c:v>
                </c:pt>
                <c:pt idx="102">
                  <c:v>858.9</c:v>
                </c:pt>
                <c:pt idx="103">
                  <c:v>744.9</c:v>
                </c:pt>
                <c:pt idx="104">
                  <c:v>838</c:v>
                </c:pt>
                <c:pt idx="105">
                  <c:v>863.8</c:v>
                </c:pt>
                <c:pt idx="106">
                  <c:v>836.2</c:v>
                </c:pt>
                <c:pt idx="107">
                  <c:v>935.6</c:v>
                </c:pt>
                <c:pt idx="108">
                  <c:v>878.1</c:v>
                </c:pt>
                <c:pt idx="109">
                  <c:v>797.6</c:v>
                </c:pt>
                <c:pt idx="110">
                  <c:v>936.1</c:v>
                </c:pt>
                <c:pt idx="111">
                  <c:v>1007.2</c:v>
                </c:pt>
                <c:pt idx="112">
                  <c:v>1169.5999999999999</c:v>
                </c:pt>
                <c:pt idx="113">
                  <c:v>1217.5999999999999</c:v>
                </c:pt>
                <c:pt idx="114">
                  <c:v>838.2</c:v>
                </c:pt>
                <c:pt idx="115">
                  <c:v>824.2</c:v>
                </c:pt>
                <c:pt idx="116">
                  <c:v>803.7</c:v>
                </c:pt>
                <c:pt idx="117">
                  <c:v>828.6</c:v>
                </c:pt>
                <c:pt idx="118">
                  <c:v>906.6</c:v>
                </c:pt>
                <c:pt idx="119">
                  <c:v>932.1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85856"/>
        <c:axId val="122571776"/>
      </c:lineChart>
      <c:lineChart>
        <c:grouping val="standard"/>
        <c:varyColors val="0"/>
        <c:ser>
          <c:idx val="1"/>
          <c:order val="1"/>
          <c:tx>
            <c:v>실업률 변동(YoY)</c:v>
          </c:tx>
          <c:spPr>
            <a:ln w="25400">
              <a:solidFill>
                <a:srgbClr val="FF0066"/>
              </a:solidFill>
            </a:ln>
          </c:spPr>
          <c:marker>
            <c:symbol val="none"/>
          </c:marker>
          <c:cat>
            <c:numRef>
              <c:f>'국내 거시경제지표'!$AZ$7:$AZ$126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거시경제지표'!$BB$7:$BB$126</c:f>
              <c:numCache>
                <c:formatCode>General</c:formatCode>
                <c:ptCount val="120"/>
                <c:pt idx="0">
                  <c:v>7.3170731707317245</c:v>
                </c:pt>
                <c:pt idx="1">
                  <c:v>7.3170731707317245</c:v>
                </c:pt>
                <c:pt idx="2">
                  <c:v>7.3170731707317245</c:v>
                </c:pt>
                <c:pt idx="3">
                  <c:v>-4.4444444444444482</c:v>
                </c:pt>
                <c:pt idx="4">
                  <c:v>2.1739130434782727</c:v>
                </c:pt>
                <c:pt idx="5">
                  <c:v>21.621621621621614</c:v>
                </c:pt>
                <c:pt idx="6">
                  <c:v>3.0303030303030329</c:v>
                </c:pt>
                <c:pt idx="7">
                  <c:v>3.2258064516129057</c:v>
                </c:pt>
                <c:pt idx="8">
                  <c:v>9.3749999999999947</c:v>
                </c:pt>
                <c:pt idx="9">
                  <c:v>9.0909090909090988</c:v>
                </c:pt>
                <c:pt idx="10">
                  <c:v>11.111111111111107</c:v>
                </c:pt>
                <c:pt idx="11">
                  <c:v>8.8235294117647136</c:v>
                </c:pt>
                <c:pt idx="12">
                  <c:v>-2.6315789473684119</c:v>
                </c:pt>
                <c:pt idx="13">
                  <c:v>11.111111111111107</c:v>
                </c:pt>
                <c:pt idx="14">
                  <c:v>-2.3809523809523938</c:v>
                </c:pt>
                <c:pt idx="15">
                  <c:v>9.7560975609756202</c:v>
                </c:pt>
                <c:pt idx="16">
                  <c:v>-6.1224489795918506</c:v>
                </c:pt>
                <c:pt idx="17">
                  <c:v>0</c:v>
                </c:pt>
                <c:pt idx="18">
                  <c:v>3.1249999999999889</c:v>
                </c:pt>
                <c:pt idx="19">
                  <c:v>0</c:v>
                </c:pt>
                <c:pt idx="20">
                  <c:v>-3.0303030303030196</c:v>
                </c:pt>
                <c:pt idx="21">
                  <c:v>-5.7142857142857197</c:v>
                </c:pt>
                <c:pt idx="22">
                  <c:v>0</c:v>
                </c:pt>
                <c:pt idx="23">
                  <c:v>-2.8571428571428599</c:v>
                </c:pt>
                <c:pt idx="24">
                  <c:v>5.5555555555555483</c:v>
                </c:pt>
                <c:pt idx="25">
                  <c:v>0</c:v>
                </c:pt>
                <c:pt idx="26">
                  <c:v>7.6923076923076996</c:v>
                </c:pt>
                <c:pt idx="27">
                  <c:v>-2.3809523809523938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3.3333333333333361</c:v>
                </c:pt>
                <c:pt idx="32">
                  <c:v>6.4516129032257981</c:v>
                </c:pt>
                <c:pt idx="33">
                  <c:v>9.3749999999999947</c:v>
                </c:pt>
                <c:pt idx="34">
                  <c:v>5.8823529411764763</c:v>
                </c:pt>
                <c:pt idx="35">
                  <c:v>-2.7777777777777799</c:v>
                </c:pt>
                <c:pt idx="36">
                  <c:v>-5.2631578947368354</c:v>
                </c:pt>
                <c:pt idx="37">
                  <c:v>-2.7027027027027049</c:v>
                </c:pt>
                <c:pt idx="38">
                  <c:v>0</c:v>
                </c:pt>
                <c:pt idx="39">
                  <c:v>5.0000000000000044</c:v>
                </c:pt>
                <c:pt idx="40">
                  <c:v>8.8888888888888964</c:v>
                </c:pt>
                <c:pt idx="41">
                  <c:v>0</c:v>
                </c:pt>
                <c:pt idx="42">
                  <c:v>-3.0303030303030196</c:v>
                </c:pt>
                <c:pt idx="43">
                  <c:v>0</c:v>
                </c:pt>
                <c:pt idx="44">
                  <c:v>-3.1250000000000027</c:v>
                </c:pt>
                <c:pt idx="45">
                  <c:v>3.2258064516129057</c:v>
                </c:pt>
                <c:pt idx="46">
                  <c:v>3.0303030303030329</c:v>
                </c:pt>
                <c:pt idx="47">
                  <c:v>5.8823529411764763</c:v>
                </c:pt>
                <c:pt idx="48">
                  <c:v>8.5714285714285658</c:v>
                </c:pt>
                <c:pt idx="49">
                  <c:v>5.7142857142857197</c:v>
                </c:pt>
                <c:pt idx="50">
                  <c:v>2.6315789473684239</c:v>
                </c:pt>
                <c:pt idx="51">
                  <c:v>2.5641025641025665</c:v>
                </c:pt>
                <c:pt idx="52">
                  <c:v>0</c:v>
                </c:pt>
                <c:pt idx="53">
                  <c:v>8.8235294117647136</c:v>
                </c:pt>
                <c:pt idx="54">
                  <c:v>9.9999999999999929</c:v>
                </c:pt>
                <c:pt idx="55">
                  <c:v>15.38461538461538</c:v>
                </c:pt>
                <c:pt idx="56">
                  <c:v>18.518518518518519</c:v>
                </c:pt>
                <c:pt idx="57">
                  <c:v>14.814814814814811</c:v>
                </c:pt>
                <c:pt idx="58">
                  <c:v>9.9999999999999929</c:v>
                </c:pt>
                <c:pt idx="59">
                  <c:v>9.6774193548387046</c:v>
                </c:pt>
                <c:pt idx="60">
                  <c:v>12.90322580645161</c:v>
                </c:pt>
                <c:pt idx="61">
                  <c:v>16.666666666666664</c:v>
                </c:pt>
                <c:pt idx="62">
                  <c:v>18.749999999999989</c:v>
                </c:pt>
                <c:pt idx="63">
                  <c:v>11.428571428571425</c:v>
                </c:pt>
                <c:pt idx="64">
                  <c:v>15.384615384615389</c:v>
                </c:pt>
                <c:pt idx="65">
                  <c:v>0</c:v>
                </c:pt>
                <c:pt idx="66">
                  <c:v>3.4482758620689689</c:v>
                </c:pt>
                <c:pt idx="67">
                  <c:v>-7.1428571428571344</c:v>
                </c:pt>
                <c:pt idx="68">
                  <c:v>-3.5714285714285587</c:v>
                </c:pt>
                <c:pt idx="69">
                  <c:v>-6.8965517241379226</c:v>
                </c:pt>
                <c:pt idx="70">
                  <c:v>0</c:v>
                </c:pt>
                <c:pt idx="71">
                  <c:v>0</c:v>
                </c:pt>
                <c:pt idx="72">
                  <c:v>-3.1250000000000027</c:v>
                </c:pt>
                <c:pt idx="73">
                  <c:v>-3.2258064516129057</c:v>
                </c:pt>
                <c:pt idx="74">
                  <c:v>-8.5714285714285658</c:v>
                </c:pt>
                <c:pt idx="75">
                  <c:v>-5.4054054054054097</c:v>
                </c:pt>
                <c:pt idx="76">
                  <c:v>-7.1428571428571495</c:v>
                </c:pt>
                <c:pt idx="77">
                  <c:v>-2.8571428571428599</c:v>
                </c:pt>
                <c:pt idx="78">
                  <c:v>-3.3333333333333361</c:v>
                </c:pt>
                <c:pt idx="79">
                  <c:v>-3.4482758620689689</c:v>
                </c:pt>
                <c:pt idx="80">
                  <c:v>-3.4482758620689689</c:v>
                </c:pt>
                <c:pt idx="81">
                  <c:v>-3.3333333333333361</c:v>
                </c:pt>
                <c:pt idx="82">
                  <c:v>0</c:v>
                </c:pt>
                <c:pt idx="83">
                  <c:v>-6.0606060606060534</c:v>
                </c:pt>
                <c:pt idx="84">
                  <c:v>-3.0303030303030196</c:v>
                </c:pt>
                <c:pt idx="85">
                  <c:v>-3.1250000000000027</c:v>
                </c:pt>
                <c:pt idx="86">
                  <c:v>-5.4054054054054097</c:v>
                </c:pt>
                <c:pt idx="87">
                  <c:v>-13.953488372093014</c:v>
                </c:pt>
                <c:pt idx="88">
                  <c:v>-6.6666666666666625</c:v>
                </c:pt>
                <c:pt idx="89">
                  <c:v>-7.8947368421052584</c:v>
                </c:pt>
                <c:pt idx="90">
                  <c:v>-14.285714285714285</c:v>
                </c:pt>
                <c:pt idx="91">
                  <c:v>-3.3333333333333361</c:v>
                </c:pt>
                <c:pt idx="92">
                  <c:v>-12.121212121212119</c:v>
                </c:pt>
                <c:pt idx="93">
                  <c:v>-11.764705882352938</c:v>
                </c:pt>
                <c:pt idx="94">
                  <c:v>-9.0909090909090864</c:v>
                </c:pt>
                <c:pt idx="95">
                  <c:v>-10.810810810810819</c:v>
                </c:pt>
                <c:pt idx="96">
                  <c:v>-5.7142857142857197</c:v>
                </c:pt>
                <c:pt idx="97">
                  <c:v>0</c:v>
                </c:pt>
                <c:pt idx="98">
                  <c:v>0</c:v>
                </c:pt>
                <c:pt idx="99">
                  <c:v>4.8780487804878101</c:v>
                </c:pt>
                <c:pt idx="100">
                  <c:v>-6.2499999999999964</c:v>
                </c:pt>
                <c:pt idx="101">
                  <c:v>-24.000000000000004</c:v>
                </c:pt>
                <c:pt idx="102">
                  <c:v>0</c:v>
                </c:pt>
                <c:pt idx="103">
                  <c:v>-9.0909090909090864</c:v>
                </c:pt>
                <c:pt idx="104">
                  <c:v>3.1249999999999889</c:v>
                </c:pt>
                <c:pt idx="105">
                  <c:v>3.0303030303030329</c:v>
                </c:pt>
                <c:pt idx="106">
                  <c:v>-10.810810810810819</c:v>
                </c:pt>
                <c:pt idx="107">
                  <c:v>0</c:v>
                </c:pt>
                <c:pt idx="108">
                  <c:v>-7.8947368421052584</c:v>
                </c:pt>
                <c:pt idx="109">
                  <c:v>-15.789473684210517</c:v>
                </c:pt>
                <c:pt idx="110">
                  <c:v>-2.6315789473684119</c:v>
                </c:pt>
                <c:pt idx="111">
                  <c:v>2.4999999999999911</c:v>
                </c:pt>
                <c:pt idx="112">
                  <c:v>23.076923076923077</c:v>
                </c:pt>
                <c:pt idx="113">
                  <c:v>38.888888888888886</c:v>
                </c:pt>
                <c:pt idx="114">
                  <c:v>6.0606060606060659</c:v>
                </c:pt>
                <c:pt idx="115">
                  <c:v>9.9999999999999929</c:v>
                </c:pt>
                <c:pt idx="116">
                  <c:v>6.6666666666666723</c:v>
                </c:pt>
                <c:pt idx="117">
                  <c:v>9.9999999999999929</c:v>
                </c:pt>
                <c:pt idx="118">
                  <c:v>19.35483870967742</c:v>
                </c:pt>
                <c:pt idx="119">
                  <c:v>19.35483870967742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'국내 거시경제지표'!$BC$5</c:f>
              <c:strCache>
                <c:ptCount val="1"/>
                <c:pt idx="0">
                  <c:v>실업률[계절조정](우)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'국내 거시경제지표'!$AZ$7:$AZ$126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거시경제지표'!$BC$7:$BC$126</c:f>
              <c:numCache>
                <c:formatCode>General</c:formatCode>
                <c:ptCount val="120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3.8</c:v>
                </c:pt>
                <c:pt idx="4">
                  <c:v>3.7</c:v>
                </c:pt>
                <c:pt idx="5">
                  <c:v>4.4000000000000004</c:v>
                </c:pt>
                <c:pt idx="6">
                  <c:v>3.8</c:v>
                </c:pt>
                <c:pt idx="7">
                  <c:v>3.8</c:v>
                </c:pt>
                <c:pt idx="8">
                  <c:v>3.9</c:v>
                </c:pt>
                <c:pt idx="9">
                  <c:v>4</c:v>
                </c:pt>
                <c:pt idx="10">
                  <c:v>4.0999999999999996</c:v>
                </c:pt>
                <c:pt idx="11">
                  <c:v>3.8</c:v>
                </c:pt>
                <c:pt idx="12">
                  <c:v>3.7</c:v>
                </c:pt>
                <c:pt idx="13">
                  <c:v>4</c:v>
                </c:pt>
                <c:pt idx="14">
                  <c:v>3.8</c:v>
                </c:pt>
                <c:pt idx="15">
                  <c:v>4</c:v>
                </c:pt>
                <c:pt idx="16">
                  <c:v>3.6</c:v>
                </c:pt>
                <c:pt idx="17">
                  <c:v>3.6</c:v>
                </c:pt>
                <c:pt idx="18">
                  <c:v>3.7</c:v>
                </c:pt>
                <c:pt idx="19">
                  <c:v>3.7</c:v>
                </c:pt>
                <c:pt idx="20">
                  <c:v>3.6</c:v>
                </c:pt>
                <c:pt idx="21">
                  <c:v>3.6</c:v>
                </c:pt>
                <c:pt idx="22">
                  <c:v>3.7</c:v>
                </c:pt>
                <c:pt idx="23">
                  <c:v>3.5</c:v>
                </c:pt>
                <c:pt idx="24">
                  <c:v>3.8</c:v>
                </c:pt>
                <c:pt idx="25">
                  <c:v>3.6</c:v>
                </c:pt>
                <c:pt idx="26">
                  <c:v>3.9</c:v>
                </c:pt>
                <c:pt idx="27">
                  <c:v>3.6</c:v>
                </c:pt>
                <c:pt idx="28">
                  <c:v>3.9</c:v>
                </c:pt>
                <c:pt idx="29">
                  <c:v>3.6</c:v>
                </c:pt>
                <c:pt idx="30">
                  <c:v>3.5</c:v>
                </c:pt>
                <c:pt idx="31">
                  <c:v>3.6</c:v>
                </c:pt>
                <c:pt idx="32">
                  <c:v>3.8</c:v>
                </c:pt>
                <c:pt idx="33">
                  <c:v>3.9</c:v>
                </c:pt>
                <c:pt idx="34">
                  <c:v>3.7</c:v>
                </c:pt>
                <c:pt idx="35">
                  <c:v>3.6</c:v>
                </c:pt>
                <c:pt idx="36">
                  <c:v>3.6</c:v>
                </c:pt>
                <c:pt idx="37">
                  <c:v>3.7</c:v>
                </c:pt>
                <c:pt idx="38">
                  <c:v>3.6</c:v>
                </c:pt>
                <c:pt idx="39">
                  <c:v>3.7</c:v>
                </c:pt>
                <c:pt idx="40">
                  <c:v>3.8</c:v>
                </c:pt>
                <c:pt idx="41">
                  <c:v>3.6</c:v>
                </c:pt>
                <c:pt idx="42">
                  <c:v>3.5</c:v>
                </c:pt>
                <c:pt idx="43">
                  <c:v>3.6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3.7</c:v>
                </c:pt>
                <c:pt idx="48">
                  <c:v>3.8</c:v>
                </c:pt>
                <c:pt idx="49">
                  <c:v>3.8</c:v>
                </c:pt>
                <c:pt idx="50">
                  <c:v>3.6</c:v>
                </c:pt>
                <c:pt idx="51">
                  <c:v>3.5</c:v>
                </c:pt>
                <c:pt idx="52">
                  <c:v>3.6</c:v>
                </c:pt>
                <c:pt idx="53">
                  <c:v>3.6</c:v>
                </c:pt>
                <c:pt idx="54">
                  <c:v>3.7</c:v>
                </c:pt>
                <c:pt idx="55">
                  <c:v>3.5</c:v>
                </c:pt>
                <c:pt idx="56">
                  <c:v>3.6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3.5</c:v>
                </c:pt>
                <c:pt idx="61">
                  <c:v>3.6</c:v>
                </c:pt>
                <c:pt idx="62">
                  <c:v>3.6</c:v>
                </c:pt>
                <c:pt idx="63">
                  <c:v>3.4</c:v>
                </c:pt>
                <c:pt idx="64">
                  <c:v>3.6</c:v>
                </c:pt>
                <c:pt idx="65">
                  <c:v>3.3</c:v>
                </c:pt>
                <c:pt idx="66">
                  <c:v>3.2</c:v>
                </c:pt>
                <c:pt idx="67">
                  <c:v>3</c:v>
                </c:pt>
                <c:pt idx="68">
                  <c:v>3.1</c:v>
                </c:pt>
                <c:pt idx="69">
                  <c:v>3</c:v>
                </c:pt>
                <c:pt idx="70">
                  <c:v>3.1</c:v>
                </c:pt>
                <c:pt idx="71">
                  <c:v>3.2</c:v>
                </c:pt>
                <c:pt idx="72">
                  <c:v>3.1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3.2</c:v>
                </c:pt>
                <c:pt idx="77">
                  <c:v>3.2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3.2</c:v>
                </c:pt>
                <c:pt idx="82">
                  <c:v>3.1</c:v>
                </c:pt>
                <c:pt idx="83">
                  <c:v>3.1</c:v>
                </c:pt>
                <c:pt idx="84">
                  <c:v>3.2</c:v>
                </c:pt>
                <c:pt idx="85">
                  <c:v>3.2</c:v>
                </c:pt>
                <c:pt idx="86">
                  <c:v>3.3</c:v>
                </c:pt>
                <c:pt idx="87">
                  <c:v>3.3</c:v>
                </c:pt>
                <c:pt idx="88">
                  <c:v>3.4</c:v>
                </c:pt>
                <c:pt idx="89">
                  <c:v>3.3</c:v>
                </c:pt>
                <c:pt idx="90">
                  <c:v>3.2</c:v>
                </c:pt>
                <c:pt idx="91">
                  <c:v>3.2</c:v>
                </c:pt>
                <c:pt idx="92">
                  <c:v>3.2</c:v>
                </c:pt>
                <c:pt idx="93">
                  <c:v>3.3</c:v>
                </c:pt>
                <c:pt idx="94">
                  <c:v>3.2</c:v>
                </c:pt>
                <c:pt idx="95">
                  <c:v>3.3</c:v>
                </c:pt>
                <c:pt idx="96">
                  <c:v>3.3</c:v>
                </c:pt>
                <c:pt idx="97">
                  <c:v>3.3</c:v>
                </c:pt>
                <c:pt idx="98">
                  <c:v>3.5</c:v>
                </c:pt>
                <c:pt idx="99">
                  <c:v>3.8</c:v>
                </c:pt>
                <c:pt idx="100">
                  <c:v>3.7</c:v>
                </c:pt>
                <c:pt idx="101">
                  <c:v>3.6</c:v>
                </c:pt>
                <c:pt idx="102">
                  <c:v>3.7</c:v>
                </c:pt>
                <c:pt idx="103">
                  <c:v>3.3</c:v>
                </c:pt>
                <c:pt idx="104">
                  <c:v>3.6</c:v>
                </c:pt>
                <c:pt idx="105">
                  <c:v>3.7</c:v>
                </c:pt>
                <c:pt idx="106">
                  <c:v>3.5</c:v>
                </c:pt>
                <c:pt idx="107">
                  <c:v>3.7</c:v>
                </c:pt>
                <c:pt idx="108">
                  <c:v>3.5</c:v>
                </c:pt>
                <c:pt idx="109">
                  <c:v>3.2</c:v>
                </c:pt>
                <c:pt idx="110">
                  <c:v>3.6</c:v>
                </c:pt>
                <c:pt idx="111">
                  <c:v>3.7</c:v>
                </c:pt>
                <c:pt idx="112">
                  <c:v>4.0999999999999996</c:v>
                </c:pt>
                <c:pt idx="113">
                  <c:v>4.7</c:v>
                </c:pt>
                <c:pt idx="114">
                  <c:v>3.6</c:v>
                </c:pt>
                <c:pt idx="115">
                  <c:v>3.7</c:v>
                </c:pt>
                <c:pt idx="116">
                  <c:v>3.5</c:v>
                </c:pt>
                <c:pt idx="117">
                  <c:v>3.6</c:v>
                </c:pt>
                <c:pt idx="118">
                  <c:v>3.8</c:v>
                </c:pt>
                <c:pt idx="119">
                  <c:v>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05568"/>
        <c:axId val="122587392"/>
      </c:lineChart>
      <c:valAx>
        <c:axId val="12257177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585856"/>
        <c:crosses val="autoZero"/>
        <c:crossBetween val="between"/>
      </c:valAx>
      <c:dateAx>
        <c:axId val="122585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>
                <a:solidFill>
                  <a:sysClr val="windowText" lastClr="000000"/>
                </a:solidFill>
              </a:defRPr>
            </a:pPr>
            <a:endParaRPr lang="ko-KR"/>
          </a:p>
        </c:txPr>
        <c:crossAx val="122571776"/>
        <c:crosses val="autoZero"/>
        <c:auto val="1"/>
        <c:lblOffset val="100"/>
        <c:baseTimeUnit val="months"/>
        <c:majorUnit val="6"/>
        <c:majorTimeUnit val="months"/>
      </c:dateAx>
      <c:valAx>
        <c:axId val="122587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605568"/>
        <c:crosses val="max"/>
        <c:crossBetween val="between"/>
      </c:valAx>
      <c:dateAx>
        <c:axId val="1226055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22587392"/>
        <c:crosses val="autoZero"/>
        <c:auto val="1"/>
        <c:lblOffset val="100"/>
        <c:baseTimeUnit val="days"/>
        <c:majorUnit val="1"/>
        <c:minorUnit val="1"/>
      </c:dateAx>
      <c:spPr>
        <a:ln>
          <a:noFill/>
        </a:ln>
      </c:spPr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'국내 거시경제지표'!$BG$5</c:f>
              <c:strCache>
                <c:ptCount val="1"/>
                <c:pt idx="0">
                  <c:v>한국은행BSI(전산업)</c:v>
                </c:pt>
              </c:strCache>
            </c:strRef>
          </c:tx>
          <c:spPr>
            <a:ln w="25400">
              <a:solidFill>
                <a:srgbClr val="225AF6"/>
              </a:solidFill>
            </a:ln>
          </c:spPr>
          <c:marker>
            <c:symbol val="none"/>
          </c:marker>
          <c:cat>
            <c:numRef>
              <c:f>'국내 거시경제지표'!$BG$7:$BG$126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거시경제지표'!$BH$7:$BH$126</c:f>
              <c:numCache>
                <c:formatCode>0.00_ </c:formatCode>
                <c:ptCount val="120"/>
                <c:pt idx="0">
                  <c:v>73</c:v>
                </c:pt>
                <c:pt idx="1">
                  <c:v>73</c:v>
                </c:pt>
                <c:pt idx="2">
                  <c:v>74</c:v>
                </c:pt>
                <c:pt idx="3">
                  <c:v>73</c:v>
                </c:pt>
                <c:pt idx="4">
                  <c:v>69</c:v>
                </c:pt>
                <c:pt idx="5">
                  <c:v>69</c:v>
                </c:pt>
                <c:pt idx="6">
                  <c:v>72</c:v>
                </c:pt>
                <c:pt idx="7">
                  <c:v>74</c:v>
                </c:pt>
                <c:pt idx="8">
                  <c:v>73</c:v>
                </c:pt>
                <c:pt idx="9">
                  <c:v>75</c:v>
                </c:pt>
                <c:pt idx="10">
                  <c:v>74</c:v>
                </c:pt>
                <c:pt idx="11">
                  <c:v>75</c:v>
                </c:pt>
                <c:pt idx="12">
                  <c:v>80</c:v>
                </c:pt>
                <c:pt idx="13">
                  <c:v>81</c:v>
                </c:pt>
                <c:pt idx="14">
                  <c:v>79</c:v>
                </c:pt>
                <c:pt idx="15">
                  <c:v>77</c:v>
                </c:pt>
                <c:pt idx="16">
                  <c:v>77</c:v>
                </c:pt>
                <c:pt idx="17">
                  <c:v>78</c:v>
                </c:pt>
                <c:pt idx="18">
                  <c:v>81</c:v>
                </c:pt>
                <c:pt idx="19">
                  <c:v>80</c:v>
                </c:pt>
                <c:pt idx="20">
                  <c:v>78</c:v>
                </c:pt>
                <c:pt idx="21">
                  <c:v>81</c:v>
                </c:pt>
                <c:pt idx="22">
                  <c:v>77</c:v>
                </c:pt>
                <c:pt idx="23">
                  <c:v>78</c:v>
                </c:pt>
                <c:pt idx="24">
                  <c:v>77</c:v>
                </c:pt>
                <c:pt idx="25">
                  <c:v>80</c:v>
                </c:pt>
                <c:pt idx="26">
                  <c:v>80</c:v>
                </c:pt>
                <c:pt idx="27">
                  <c:v>78</c:v>
                </c:pt>
                <c:pt idx="28">
                  <c:v>74</c:v>
                </c:pt>
                <c:pt idx="29">
                  <c:v>74</c:v>
                </c:pt>
                <c:pt idx="30">
                  <c:v>73</c:v>
                </c:pt>
                <c:pt idx="31">
                  <c:v>73</c:v>
                </c:pt>
                <c:pt idx="32">
                  <c:v>71</c:v>
                </c:pt>
                <c:pt idx="33">
                  <c:v>72</c:v>
                </c:pt>
                <c:pt idx="34">
                  <c:v>72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70</c:v>
                </c:pt>
                <c:pt idx="39">
                  <c:v>68</c:v>
                </c:pt>
                <c:pt idx="40">
                  <c:v>63</c:v>
                </c:pt>
                <c:pt idx="41">
                  <c:v>67</c:v>
                </c:pt>
                <c:pt idx="42">
                  <c:v>69</c:v>
                </c:pt>
                <c:pt idx="43">
                  <c:v>69</c:v>
                </c:pt>
                <c:pt idx="44">
                  <c:v>73</c:v>
                </c:pt>
                <c:pt idx="45">
                  <c:v>69</c:v>
                </c:pt>
                <c:pt idx="46">
                  <c:v>69</c:v>
                </c:pt>
                <c:pt idx="47">
                  <c:v>70</c:v>
                </c:pt>
                <c:pt idx="48">
                  <c:v>66</c:v>
                </c:pt>
                <c:pt idx="49">
                  <c:v>75</c:v>
                </c:pt>
                <c:pt idx="50">
                  <c:v>78</c:v>
                </c:pt>
                <c:pt idx="51">
                  <c:v>74</c:v>
                </c:pt>
                <c:pt idx="52">
                  <c:v>71</c:v>
                </c:pt>
                <c:pt idx="53">
                  <c:v>71</c:v>
                </c:pt>
                <c:pt idx="54">
                  <c:v>71</c:v>
                </c:pt>
                <c:pt idx="55">
                  <c:v>71</c:v>
                </c:pt>
                <c:pt idx="56">
                  <c:v>69</c:v>
                </c:pt>
                <c:pt idx="57">
                  <c:v>72</c:v>
                </c:pt>
                <c:pt idx="58">
                  <c:v>70</c:v>
                </c:pt>
                <c:pt idx="59">
                  <c:v>70</c:v>
                </c:pt>
                <c:pt idx="60">
                  <c:v>71</c:v>
                </c:pt>
                <c:pt idx="61">
                  <c:v>74</c:v>
                </c:pt>
                <c:pt idx="62">
                  <c:v>77</c:v>
                </c:pt>
                <c:pt idx="63">
                  <c:v>75</c:v>
                </c:pt>
                <c:pt idx="64">
                  <c:v>74</c:v>
                </c:pt>
                <c:pt idx="65">
                  <c:v>72</c:v>
                </c:pt>
                <c:pt idx="66">
                  <c:v>73</c:v>
                </c:pt>
                <c:pt idx="67">
                  <c:v>74</c:v>
                </c:pt>
                <c:pt idx="68">
                  <c:v>75</c:v>
                </c:pt>
                <c:pt idx="69">
                  <c:v>72</c:v>
                </c:pt>
                <c:pt idx="70">
                  <c:v>70</c:v>
                </c:pt>
                <c:pt idx="71">
                  <c:v>70</c:v>
                </c:pt>
                <c:pt idx="72">
                  <c:v>74</c:v>
                </c:pt>
                <c:pt idx="73">
                  <c:v>73</c:v>
                </c:pt>
                <c:pt idx="74">
                  <c:v>73</c:v>
                </c:pt>
                <c:pt idx="75">
                  <c:v>71</c:v>
                </c:pt>
                <c:pt idx="76">
                  <c:v>68</c:v>
                </c:pt>
                <c:pt idx="77">
                  <c:v>69</c:v>
                </c:pt>
                <c:pt idx="78">
                  <c:v>68</c:v>
                </c:pt>
                <c:pt idx="79">
                  <c:v>66</c:v>
                </c:pt>
                <c:pt idx="80">
                  <c:v>68</c:v>
                </c:pt>
                <c:pt idx="81">
                  <c:v>68</c:v>
                </c:pt>
                <c:pt idx="82">
                  <c:v>69</c:v>
                </c:pt>
                <c:pt idx="83">
                  <c:v>69</c:v>
                </c:pt>
                <c:pt idx="84">
                  <c:v>78</c:v>
                </c:pt>
                <c:pt idx="85">
                  <c:v>82</c:v>
                </c:pt>
                <c:pt idx="86">
                  <c:v>82</c:v>
                </c:pt>
                <c:pt idx="87">
                  <c:v>81</c:v>
                </c:pt>
                <c:pt idx="88">
                  <c:v>79</c:v>
                </c:pt>
                <c:pt idx="89">
                  <c:v>78</c:v>
                </c:pt>
                <c:pt idx="90">
                  <c:v>81</c:v>
                </c:pt>
                <c:pt idx="91">
                  <c:v>80</c:v>
                </c:pt>
                <c:pt idx="92">
                  <c:v>82</c:v>
                </c:pt>
                <c:pt idx="93">
                  <c:v>82</c:v>
                </c:pt>
                <c:pt idx="94">
                  <c:v>81</c:v>
                </c:pt>
                <c:pt idx="95">
                  <c:v>87</c:v>
                </c:pt>
                <c:pt idx="96">
                  <c:v>88</c:v>
                </c:pt>
                <c:pt idx="97">
                  <c:v>90</c:v>
                </c:pt>
                <c:pt idx="98">
                  <c:v>92</c:v>
                </c:pt>
                <c:pt idx="99">
                  <c:v>87</c:v>
                </c:pt>
                <c:pt idx="100">
                  <c:v>84</c:v>
                </c:pt>
                <c:pt idx="101">
                  <c:v>87</c:v>
                </c:pt>
                <c:pt idx="102">
                  <c:v>90</c:v>
                </c:pt>
                <c:pt idx="103">
                  <c:v>90</c:v>
                </c:pt>
                <c:pt idx="104">
                  <c:v>89</c:v>
                </c:pt>
                <c:pt idx="105">
                  <c:v>88</c:v>
                </c:pt>
                <c:pt idx="106">
                  <c:v>88</c:v>
                </c:pt>
                <c:pt idx="107">
                  <c:v>93</c:v>
                </c:pt>
                <c:pt idx="108">
                  <c:v>94</c:v>
                </c:pt>
                <c:pt idx="109">
                  <c:v>95</c:v>
                </c:pt>
                <c:pt idx="110">
                  <c:v>94</c:v>
                </c:pt>
                <c:pt idx="111">
                  <c:v>89</c:v>
                </c:pt>
                <c:pt idx="112">
                  <c:v>89</c:v>
                </c:pt>
                <c:pt idx="113">
                  <c:v>89</c:v>
                </c:pt>
                <c:pt idx="114">
                  <c:v>89</c:v>
                </c:pt>
                <c:pt idx="115">
                  <c:v>85</c:v>
                </c:pt>
                <c:pt idx="116">
                  <c:v>88</c:v>
                </c:pt>
                <c:pt idx="117">
                  <c:v>84</c:v>
                </c:pt>
                <c:pt idx="118">
                  <c:v>81</c:v>
                </c:pt>
                <c:pt idx="119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'국내 거시경제지표'!$BI$5</c:f>
              <c:strCache>
                <c:ptCount val="1"/>
                <c:pt idx="0">
                  <c:v>한국은행BSI(제조업)</c:v>
                </c:pt>
              </c:strCache>
            </c:strRef>
          </c:tx>
          <c:spPr>
            <a:ln w="25400">
              <a:solidFill>
                <a:srgbClr val="FF0066"/>
              </a:solidFill>
            </a:ln>
          </c:spPr>
          <c:marker>
            <c:symbol val="none"/>
          </c:marker>
          <c:cat>
            <c:numRef>
              <c:f>'국내 거시경제지표'!$BG$7:$BG$126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거시경제지표'!$BI$7:$BI$126</c:f>
              <c:numCache>
                <c:formatCode>General</c:formatCode>
                <c:ptCount val="120"/>
                <c:pt idx="0">
                  <c:v>76</c:v>
                </c:pt>
                <c:pt idx="1">
                  <c:v>76</c:v>
                </c:pt>
                <c:pt idx="2">
                  <c:v>75</c:v>
                </c:pt>
                <c:pt idx="3">
                  <c:v>73</c:v>
                </c:pt>
                <c:pt idx="4">
                  <c:v>69</c:v>
                </c:pt>
                <c:pt idx="5">
                  <c:v>67</c:v>
                </c:pt>
                <c:pt idx="6">
                  <c:v>71</c:v>
                </c:pt>
                <c:pt idx="7">
                  <c:v>73</c:v>
                </c:pt>
                <c:pt idx="8">
                  <c:v>71</c:v>
                </c:pt>
                <c:pt idx="9">
                  <c:v>73</c:v>
                </c:pt>
                <c:pt idx="10">
                  <c:v>73</c:v>
                </c:pt>
                <c:pt idx="11">
                  <c:v>74</c:v>
                </c:pt>
                <c:pt idx="12">
                  <c:v>80</c:v>
                </c:pt>
                <c:pt idx="13">
                  <c:v>78</c:v>
                </c:pt>
                <c:pt idx="14">
                  <c:v>77</c:v>
                </c:pt>
                <c:pt idx="15">
                  <c:v>74</c:v>
                </c:pt>
                <c:pt idx="16">
                  <c:v>75</c:v>
                </c:pt>
                <c:pt idx="17">
                  <c:v>77</c:v>
                </c:pt>
                <c:pt idx="18">
                  <c:v>81</c:v>
                </c:pt>
                <c:pt idx="19">
                  <c:v>83</c:v>
                </c:pt>
                <c:pt idx="20">
                  <c:v>81</c:v>
                </c:pt>
                <c:pt idx="21">
                  <c:v>83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82</c:v>
                </c:pt>
                <c:pt idx="26">
                  <c:v>83</c:v>
                </c:pt>
                <c:pt idx="27">
                  <c:v>79</c:v>
                </c:pt>
                <c:pt idx="28">
                  <c:v>76</c:v>
                </c:pt>
                <c:pt idx="29">
                  <c:v>75</c:v>
                </c:pt>
                <c:pt idx="30">
                  <c:v>72</c:v>
                </c:pt>
                <c:pt idx="31">
                  <c:v>72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72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68</c:v>
                </c:pt>
                <c:pt idx="40">
                  <c:v>63</c:v>
                </c:pt>
                <c:pt idx="41">
                  <c:v>65</c:v>
                </c:pt>
                <c:pt idx="42">
                  <c:v>67</c:v>
                </c:pt>
                <c:pt idx="43">
                  <c:v>68</c:v>
                </c:pt>
                <c:pt idx="44">
                  <c:v>71</c:v>
                </c:pt>
                <c:pt idx="45">
                  <c:v>68</c:v>
                </c:pt>
                <c:pt idx="46">
                  <c:v>68</c:v>
                </c:pt>
                <c:pt idx="47">
                  <c:v>70</c:v>
                </c:pt>
                <c:pt idx="48">
                  <c:v>66</c:v>
                </c:pt>
                <c:pt idx="49">
                  <c:v>73</c:v>
                </c:pt>
                <c:pt idx="50">
                  <c:v>80</c:v>
                </c:pt>
                <c:pt idx="51">
                  <c:v>77</c:v>
                </c:pt>
                <c:pt idx="52">
                  <c:v>74</c:v>
                </c:pt>
                <c:pt idx="53">
                  <c:v>73</c:v>
                </c:pt>
                <c:pt idx="54">
                  <c:v>73</c:v>
                </c:pt>
                <c:pt idx="55">
                  <c:v>75</c:v>
                </c:pt>
                <c:pt idx="56">
                  <c:v>72</c:v>
                </c:pt>
                <c:pt idx="57">
                  <c:v>74</c:v>
                </c:pt>
                <c:pt idx="58">
                  <c:v>72</c:v>
                </c:pt>
                <c:pt idx="59">
                  <c:v>74</c:v>
                </c:pt>
                <c:pt idx="60">
                  <c:v>77</c:v>
                </c:pt>
                <c:pt idx="61">
                  <c:v>79</c:v>
                </c:pt>
                <c:pt idx="62">
                  <c:v>82</c:v>
                </c:pt>
                <c:pt idx="63">
                  <c:v>81</c:v>
                </c:pt>
                <c:pt idx="64">
                  <c:v>78</c:v>
                </c:pt>
                <c:pt idx="65">
                  <c:v>76</c:v>
                </c:pt>
                <c:pt idx="66">
                  <c:v>76</c:v>
                </c:pt>
                <c:pt idx="67">
                  <c:v>78</c:v>
                </c:pt>
                <c:pt idx="68">
                  <c:v>81</c:v>
                </c:pt>
                <c:pt idx="69">
                  <c:v>75</c:v>
                </c:pt>
                <c:pt idx="70">
                  <c:v>73</c:v>
                </c:pt>
                <c:pt idx="71">
                  <c:v>72</c:v>
                </c:pt>
                <c:pt idx="72">
                  <c:v>79</c:v>
                </c:pt>
                <c:pt idx="73">
                  <c:v>80</c:v>
                </c:pt>
                <c:pt idx="74">
                  <c:v>79</c:v>
                </c:pt>
                <c:pt idx="75">
                  <c:v>75</c:v>
                </c:pt>
                <c:pt idx="76">
                  <c:v>71</c:v>
                </c:pt>
                <c:pt idx="77">
                  <c:v>70</c:v>
                </c:pt>
                <c:pt idx="78">
                  <c:v>68</c:v>
                </c:pt>
                <c:pt idx="79">
                  <c:v>67</c:v>
                </c:pt>
                <c:pt idx="80">
                  <c:v>68</c:v>
                </c:pt>
                <c:pt idx="81">
                  <c:v>69</c:v>
                </c:pt>
                <c:pt idx="82">
                  <c:v>72</c:v>
                </c:pt>
                <c:pt idx="83">
                  <c:v>71</c:v>
                </c:pt>
                <c:pt idx="84">
                  <c:v>82</c:v>
                </c:pt>
                <c:pt idx="85">
                  <c:v>83</c:v>
                </c:pt>
                <c:pt idx="86">
                  <c:v>86</c:v>
                </c:pt>
                <c:pt idx="87">
                  <c:v>84</c:v>
                </c:pt>
                <c:pt idx="88">
                  <c:v>82</c:v>
                </c:pt>
                <c:pt idx="89">
                  <c:v>80</c:v>
                </c:pt>
                <c:pt idx="90">
                  <c:v>82</c:v>
                </c:pt>
                <c:pt idx="91">
                  <c:v>85</c:v>
                </c:pt>
                <c:pt idx="92">
                  <c:v>85</c:v>
                </c:pt>
                <c:pt idx="93">
                  <c:v>84</c:v>
                </c:pt>
                <c:pt idx="94">
                  <c:v>84</c:v>
                </c:pt>
                <c:pt idx="95">
                  <c:v>92</c:v>
                </c:pt>
                <c:pt idx="96">
                  <c:v>93</c:v>
                </c:pt>
                <c:pt idx="97">
                  <c:v>96</c:v>
                </c:pt>
                <c:pt idx="98">
                  <c:v>99</c:v>
                </c:pt>
                <c:pt idx="99">
                  <c:v>95</c:v>
                </c:pt>
                <c:pt idx="100">
                  <c:v>89</c:v>
                </c:pt>
                <c:pt idx="101">
                  <c:v>93</c:v>
                </c:pt>
                <c:pt idx="102">
                  <c:v>95</c:v>
                </c:pt>
                <c:pt idx="103">
                  <c:v>94</c:v>
                </c:pt>
                <c:pt idx="104">
                  <c:v>95</c:v>
                </c:pt>
                <c:pt idx="105">
                  <c:v>93</c:v>
                </c:pt>
                <c:pt idx="106">
                  <c:v>96</c:v>
                </c:pt>
                <c:pt idx="107">
                  <c:v>100</c:v>
                </c:pt>
                <c:pt idx="108">
                  <c:v>102</c:v>
                </c:pt>
                <c:pt idx="109">
                  <c:v>102</c:v>
                </c:pt>
                <c:pt idx="110">
                  <c:v>101</c:v>
                </c:pt>
                <c:pt idx="111">
                  <c:v>96</c:v>
                </c:pt>
                <c:pt idx="112">
                  <c:v>92</c:v>
                </c:pt>
                <c:pt idx="113">
                  <c:v>93</c:v>
                </c:pt>
                <c:pt idx="114">
                  <c:v>89</c:v>
                </c:pt>
                <c:pt idx="115">
                  <c:v>88</c:v>
                </c:pt>
                <c:pt idx="116">
                  <c:v>90</c:v>
                </c:pt>
                <c:pt idx="117">
                  <c:v>90</c:v>
                </c:pt>
                <c:pt idx="118">
                  <c:v>84</c:v>
                </c:pt>
                <c:pt idx="119">
                  <c:v>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'국내 거시경제지표'!$BJ$5</c:f>
              <c:strCache>
                <c:ptCount val="1"/>
                <c:pt idx="0">
                  <c:v>한국은행BSI(건설업)</c:v>
                </c:pt>
              </c:strCache>
            </c:strRef>
          </c:tx>
          <c:spPr>
            <a:ln w="25400">
              <a:solidFill>
                <a:srgbClr val="18A5B8"/>
              </a:solidFill>
            </a:ln>
          </c:spPr>
          <c:marker>
            <c:symbol val="none"/>
          </c:marker>
          <c:cat>
            <c:numRef>
              <c:f>'국내 거시경제지표'!$BG$7:$BG$126</c:f>
              <c:numCache>
                <c:formatCode>m/d/yyyy</c:formatCode>
                <c:ptCount val="120"/>
                <c:pt idx="0">
                  <c:v>43619</c:v>
                </c:pt>
                <c:pt idx="1">
                  <c:v>43616</c:v>
                </c:pt>
                <c:pt idx="2">
                  <c:v>43585</c:v>
                </c:pt>
                <c:pt idx="3">
                  <c:v>43555</c:v>
                </c:pt>
                <c:pt idx="4">
                  <c:v>43524</c:v>
                </c:pt>
                <c:pt idx="5">
                  <c:v>43496</c:v>
                </c:pt>
                <c:pt idx="6">
                  <c:v>43465</c:v>
                </c:pt>
                <c:pt idx="7">
                  <c:v>43434</c:v>
                </c:pt>
                <c:pt idx="8">
                  <c:v>43404</c:v>
                </c:pt>
                <c:pt idx="9">
                  <c:v>43373</c:v>
                </c:pt>
                <c:pt idx="10">
                  <c:v>43343</c:v>
                </c:pt>
                <c:pt idx="11">
                  <c:v>43312</c:v>
                </c:pt>
                <c:pt idx="12">
                  <c:v>43281</c:v>
                </c:pt>
                <c:pt idx="13">
                  <c:v>43251</c:v>
                </c:pt>
                <c:pt idx="14">
                  <c:v>43220</c:v>
                </c:pt>
                <c:pt idx="15">
                  <c:v>43190</c:v>
                </c:pt>
                <c:pt idx="16">
                  <c:v>43159</c:v>
                </c:pt>
                <c:pt idx="17">
                  <c:v>43131</c:v>
                </c:pt>
                <c:pt idx="18">
                  <c:v>43100</c:v>
                </c:pt>
                <c:pt idx="19">
                  <c:v>43069</c:v>
                </c:pt>
                <c:pt idx="20">
                  <c:v>43039</c:v>
                </c:pt>
                <c:pt idx="21">
                  <c:v>43008</c:v>
                </c:pt>
                <c:pt idx="22">
                  <c:v>42978</c:v>
                </c:pt>
                <c:pt idx="23">
                  <c:v>42947</c:v>
                </c:pt>
                <c:pt idx="24">
                  <c:v>42916</c:v>
                </c:pt>
                <c:pt idx="25">
                  <c:v>42886</c:v>
                </c:pt>
                <c:pt idx="26">
                  <c:v>42855</c:v>
                </c:pt>
                <c:pt idx="27">
                  <c:v>42825</c:v>
                </c:pt>
                <c:pt idx="28">
                  <c:v>42794</c:v>
                </c:pt>
                <c:pt idx="29">
                  <c:v>42766</c:v>
                </c:pt>
                <c:pt idx="30">
                  <c:v>42735</c:v>
                </c:pt>
                <c:pt idx="31">
                  <c:v>42704</c:v>
                </c:pt>
                <c:pt idx="32">
                  <c:v>42674</c:v>
                </c:pt>
                <c:pt idx="33">
                  <c:v>42643</c:v>
                </c:pt>
                <c:pt idx="34">
                  <c:v>42613</c:v>
                </c:pt>
                <c:pt idx="35">
                  <c:v>42582</c:v>
                </c:pt>
                <c:pt idx="36">
                  <c:v>42551</c:v>
                </c:pt>
                <c:pt idx="37">
                  <c:v>42521</c:v>
                </c:pt>
                <c:pt idx="38">
                  <c:v>42490</c:v>
                </c:pt>
                <c:pt idx="39">
                  <c:v>42460</c:v>
                </c:pt>
                <c:pt idx="40">
                  <c:v>42429</c:v>
                </c:pt>
                <c:pt idx="41">
                  <c:v>42400</c:v>
                </c:pt>
                <c:pt idx="42">
                  <c:v>42369</c:v>
                </c:pt>
                <c:pt idx="43">
                  <c:v>42338</c:v>
                </c:pt>
                <c:pt idx="44">
                  <c:v>42308</c:v>
                </c:pt>
                <c:pt idx="45">
                  <c:v>42277</c:v>
                </c:pt>
                <c:pt idx="46">
                  <c:v>42247</c:v>
                </c:pt>
                <c:pt idx="47">
                  <c:v>42216</c:v>
                </c:pt>
                <c:pt idx="48">
                  <c:v>42185</c:v>
                </c:pt>
                <c:pt idx="49">
                  <c:v>42155</c:v>
                </c:pt>
                <c:pt idx="50">
                  <c:v>42124</c:v>
                </c:pt>
                <c:pt idx="51">
                  <c:v>42094</c:v>
                </c:pt>
                <c:pt idx="52">
                  <c:v>42063</c:v>
                </c:pt>
                <c:pt idx="53">
                  <c:v>42035</c:v>
                </c:pt>
                <c:pt idx="54">
                  <c:v>42004</c:v>
                </c:pt>
                <c:pt idx="55">
                  <c:v>41973</c:v>
                </c:pt>
                <c:pt idx="56">
                  <c:v>41943</c:v>
                </c:pt>
                <c:pt idx="57">
                  <c:v>41912</c:v>
                </c:pt>
                <c:pt idx="58">
                  <c:v>41882</c:v>
                </c:pt>
                <c:pt idx="59">
                  <c:v>41851</c:v>
                </c:pt>
                <c:pt idx="60">
                  <c:v>41820</c:v>
                </c:pt>
                <c:pt idx="61">
                  <c:v>41790</c:v>
                </c:pt>
                <c:pt idx="62">
                  <c:v>41759</c:v>
                </c:pt>
                <c:pt idx="63">
                  <c:v>41729</c:v>
                </c:pt>
                <c:pt idx="64">
                  <c:v>41698</c:v>
                </c:pt>
                <c:pt idx="65">
                  <c:v>41670</c:v>
                </c:pt>
                <c:pt idx="66">
                  <c:v>41639</c:v>
                </c:pt>
                <c:pt idx="67">
                  <c:v>41608</c:v>
                </c:pt>
                <c:pt idx="68">
                  <c:v>41578</c:v>
                </c:pt>
                <c:pt idx="69">
                  <c:v>41547</c:v>
                </c:pt>
                <c:pt idx="70">
                  <c:v>41517</c:v>
                </c:pt>
                <c:pt idx="71">
                  <c:v>41486</c:v>
                </c:pt>
                <c:pt idx="72">
                  <c:v>41455</c:v>
                </c:pt>
                <c:pt idx="73">
                  <c:v>41425</c:v>
                </c:pt>
                <c:pt idx="74">
                  <c:v>41394</c:v>
                </c:pt>
                <c:pt idx="75">
                  <c:v>41364</c:v>
                </c:pt>
                <c:pt idx="76">
                  <c:v>41333</c:v>
                </c:pt>
                <c:pt idx="77">
                  <c:v>41305</c:v>
                </c:pt>
                <c:pt idx="78">
                  <c:v>41274</c:v>
                </c:pt>
                <c:pt idx="79">
                  <c:v>41243</c:v>
                </c:pt>
                <c:pt idx="80">
                  <c:v>41213</c:v>
                </c:pt>
                <c:pt idx="81">
                  <c:v>41182</c:v>
                </c:pt>
                <c:pt idx="82">
                  <c:v>41152</c:v>
                </c:pt>
                <c:pt idx="83">
                  <c:v>41121</c:v>
                </c:pt>
                <c:pt idx="84">
                  <c:v>41090</c:v>
                </c:pt>
                <c:pt idx="85">
                  <c:v>41060</c:v>
                </c:pt>
                <c:pt idx="86">
                  <c:v>41029</c:v>
                </c:pt>
                <c:pt idx="87">
                  <c:v>40999</c:v>
                </c:pt>
                <c:pt idx="88">
                  <c:v>40968</c:v>
                </c:pt>
                <c:pt idx="89">
                  <c:v>40939</c:v>
                </c:pt>
                <c:pt idx="90">
                  <c:v>40908</c:v>
                </c:pt>
                <c:pt idx="91">
                  <c:v>40877</c:v>
                </c:pt>
                <c:pt idx="92">
                  <c:v>40847</c:v>
                </c:pt>
                <c:pt idx="93">
                  <c:v>40816</c:v>
                </c:pt>
                <c:pt idx="94">
                  <c:v>40786</c:v>
                </c:pt>
                <c:pt idx="95">
                  <c:v>40755</c:v>
                </c:pt>
                <c:pt idx="96">
                  <c:v>40724</c:v>
                </c:pt>
                <c:pt idx="97">
                  <c:v>40694</c:v>
                </c:pt>
                <c:pt idx="98">
                  <c:v>40663</c:v>
                </c:pt>
                <c:pt idx="99">
                  <c:v>40633</c:v>
                </c:pt>
                <c:pt idx="100">
                  <c:v>40602</c:v>
                </c:pt>
                <c:pt idx="101">
                  <c:v>40574</c:v>
                </c:pt>
                <c:pt idx="102">
                  <c:v>40543</c:v>
                </c:pt>
                <c:pt idx="103">
                  <c:v>40512</c:v>
                </c:pt>
                <c:pt idx="104">
                  <c:v>40482</c:v>
                </c:pt>
                <c:pt idx="105">
                  <c:v>40451</c:v>
                </c:pt>
                <c:pt idx="106">
                  <c:v>40421</c:v>
                </c:pt>
                <c:pt idx="107">
                  <c:v>40390</c:v>
                </c:pt>
                <c:pt idx="108">
                  <c:v>40359</c:v>
                </c:pt>
                <c:pt idx="109">
                  <c:v>40329</c:v>
                </c:pt>
                <c:pt idx="110">
                  <c:v>40298</c:v>
                </c:pt>
                <c:pt idx="111">
                  <c:v>40268</c:v>
                </c:pt>
                <c:pt idx="112">
                  <c:v>40237</c:v>
                </c:pt>
                <c:pt idx="113">
                  <c:v>40209</c:v>
                </c:pt>
                <c:pt idx="114">
                  <c:v>40178</c:v>
                </c:pt>
                <c:pt idx="115">
                  <c:v>40147</c:v>
                </c:pt>
                <c:pt idx="116">
                  <c:v>40117</c:v>
                </c:pt>
                <c:pt idx="117">
                  <c:v>40086</c:v>
                </c:pt>
                <c:pt idx="118">
                  <c:v>40056</c:v>
                </c:pt>
                <c:pt idx="119">
                  <c:v>40025</c:v>
                </c:pt>
              </c:numCache>
            </c:numRef>
          </c:cat>
          <c:val>
            <c:numRef>
              <c:f>'국내 거시경제지표'!$BJ$7:$BJ$126</c:f>
              <c:numCache>
                <c:formatCode>General</c:formatCode>
                <c:ptCount val="120"/>
                <c:pt idx="0">
                  <c:v>64</c:v>
                </c:pt>
                <c:pt idx="1">
                  <c:v>64</c:v>
                </c:pt>
                <c:pt idx="2">
                  <c:v>67</c:v>
                </c:pt>
                <c:pt idx="3">
                  <c:v>63</c:v>
                </c:pt>
                <c:pt idx="4">
                  <c:v>68</c:v>
                </c:pt>
                <c:pt idx="5">
                  <c:v>64</c:v>
                </c:pt>
                <c:pt idx="6">
                  <c:v>68</c:v>
                </c:pt>
                <c:pt idx="7">
                  <c:v>73</c:v>
                </c:pt>
                <c:pt idx="8">
                  <c:v>72</c:v>
                </c:pt>
                <c:pt idx="9">
                  <c:v>72</c:v>
                </c:pt>
                <c:pt idx="10">
                  <c:v>76</c:v>
                </c:pt>
                <c:pt idx="11">
                  <c:v>73</c:v>
                </c:pt>
                <c:pt idx="12">
                  <c:v>76</c:v>
                </c:pt>
                <c:pt idx="13">
                  <c:v>77</c:v>
                </c:pt>
                <c:pt idx="14">
                  <c:v>71</c:v>
                </c:pt>
                <c:pt idx="15">
                  <c:v>68</c:v>
                </c:pt>
                <c:pt idx="16">
                  <c:v>69</c:v>
                </c:pt>
                <c:pt idx="17">
                  <c:v>74</c:v>
                </c:pt>
                <c:pt idx="18">
                  <c:v>73</c:v>
                </c:pt>
                <c:pt idx="19">
                  <c:v>72</c:v>
                </c:pt>
                <c:pt idx="20">
                  <c:v>72</c:v>
                </c:pt>
                <c:pt idx="21">
                  <c:v>72</c:v>
                </c:pt>
                <c:pt idx="22">
                  <c:v>73</c:v>
                </c:pt>
                <c:pt idx="23">
                  <c:v>72</c:v>
                </c:pt>
                <c:pt idx="24">
                  <c:v>68</c:v>
                </c:pt>
                <c:pt idx="25">
                  <c:v>74</c:v>
                </c:pt>
                <c:pt idx="26">
                  <c:v>72</c:v>
                </c:pt>
                <c:pt idx="27">
                  <c:v>70</c:v>
                </c:pt>
                <c:pt idx="28">
                  <c:v>65</c:v>
                </c:pt>
                <c:pt idx="29">
                  <c:v>64</c:v>
                </c:pt>
                <c:pt idx="30">
                  <c:v>68</c:v>
                </c:pt>
                <c:pt idx="31">
                  <c:v>63</c:v>
                </c:pt>
                <c:pt idx="32">
                  <c:v>73</c:v>
                </c:pt>
                <c:pt idx="33">
                  <c:v>75</c:v>
                </c:pt>
                <c:pt idx="34">
                  <c:v>75</c:v>
                </c:pt>
                <c:pt idx="35">
                  <c:v>68</c:v>
                </c:pt>
                <c:pt idx="36">
                  <c:v>64</c:v>
                </c:pt>
                <c:pt idx="37">
                  <c:v>69</c:v>
                </c:pt>
                <c:pt idx="38">
                  <c:v>62</c:v>
                </c:pt>
                <c:pt idx="39">
                  <c:v>62</c:v>
                </c:pt>
                <c:pt idx="40">
                  <c:v>59</c:v>
                </c:pt>
                <c:pt idx="41">
                  <c:v>72</c:v>
                </c:pt>
                <c:pt idx="42">
                  <c:v>65</c:v>
                </c:pt>
                <c:pt idx="43">
                  <c:v>69</c:v>
                </c:pt>
                <c:pt idx="44">
                  <c:v>75</c:v>
                </c:pt>
                <c:pt idx="45">
                  <c:v>74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64</c:v>
                </c:pt>
                <c:pt idx="50">
                  <c:v>70</c:v>
                </c:pt>
                <c:pt idx="51">
                  <c:v>70</c:v>
                </c:pt>
                <c:pt idx="52">
                  <c:v>59</c:v>
                </c:pt>
                <c:pt idx="53">
                  <c:v>64</c:v>
                </c:pt>
                <c:pt idx="54">
                  <c:v>60</c:v>
                </c:pt>
                <c:pt idx="55">
                  <c:v>60</c:v>
                </c:pt>
                <c:pt idx="56">
                  <c:v>56</c:v>
                </c:pt>
                <c:pt idx="57">
                  <c:v>55</c:v>
                </c:pt>
                <c:pt idx="58">
                  <c:v>60</c:v>
                </c:pt>
                <c:pt idx="59">
                  <c:v>54</c:v>
                </c:pt>
                <c:pt idx="60">
                  <c:v>59</c:v>
                </c:pt>
                <c:pt idx="61">
                  <c:v>59</c:v>
                </c:pt>
                <c:pt idx="62">
                  <c:v>58</c:v>
                </c:pt>
                <c:pt idx="63">
                  <c:v>58</c:v>
                </c:pt>
                <c:pt idx="64">
                  <c:v>57</c:v>
                </c:pt>
                <c:pt idx="65">
                  <c:v>59</c:v>
                </c:pt>
                <c:pt idx="66">
                  <c:v>60</c:v>
                </c:pt>
                <c:pt idx="67">
                  <c:v>64</c:v>
                </c:pt>
                <c:pt idx="68">
                  <c:v>60</c:v>
                </c:pt>
                <c:pt idx="69">
                  <c:v>52</c:v>
                </c:pt>
                <c:pt idx="70">
                  <c:v>57</c:v>
                </c:pt>
                <c:pt idx="71">
                  <c:v>59</c:v>
                </c:pt>
                <c:pt idx="72">
                  <c:v>64</c:v>
                </c:pt>
                <c:pt idx="73">
                  <c:v>56</c:v>
                </c:pt>
                <c:pt idx="74">
                  <c:v>56</c:v>
                </c:pt>
                <c:pt idx="75">
                  <c:v>60</c:v>
                </c:pt>
                <c:pt idx="76">
                  <c:v>55</c:v>
                </c:pt>
                <c:pt idx="77">
                  <c:v>49</c:v>
                </c:pt>
                <c:pt idx="78">
                  <c:v>57</c:v>
                </c:pt>
                <c:pt idx="79">
                  <c:v>49</c:v>
                </c:pt>
                <c:pt idx="80">
                  <c:v>55</c:v>
                </c:pt>
                <c:pt idx="81">
                  <c:v>56</c:v>
                </c:pt>
                <c:pt idx="82">
                  <c:v>52</c:v>
                </c:pt>
                <c:pt idx="83">
                  <c:v>55</c:v>
                </c:pt>
                <c:pt idx="84">
                  <c:v>62</c:v>
                </c:pt>
                <c:pt idx="85">
                  <c:v>67</c:v>
                </c:pt>
                <c:pt idx="86">
                  <c:v>73</c:v>
                </c:pt>
                <c:pt idx="87">
                  <c:v>70</c:v>
                </c:pt>
                <c:pt idx="88">
                  <c:v>72</c:v>
                </c:pt>
                <c:pt idx="89">
                  <c:v>67</c:v>
                </c:pt>
                <c:pt idx="90">
                  <c:v>68</c:v>
                </c:pt>
                <c:pt idx="91">
                  <c:v>64</c:v>
                </c:pt>
                <c:pt idx="92">
                  <c:v>61</c:v>
                </c:pt>
                <c:pt idx="93">
                  <c:v>64</c:v>
                </c:pt>
                <c:pt idx="94">
                  <c:v>65</c:v>
                </c:pt>
                <c:pt idx="95">
                  <c:v>64</c:v>
                </c:pt>
                <c:pt idx="96">
                  <c:v>58</c:v>
                </c:pt>
                <c:pt idx="97">
                  <c:v>55</c:v>
                </c:pt>
                <c:pt idx="98">
                  <c:v>64</c:v>
                </c:pt>
                <c:pt idx="99">
                  <c:v>67</c:v>
                </c:pt>
                <c:pt idx="100">
                  <c:v>61</c:v>
                </c:pt>
                <c:pt idx="101">
                  <c:v>64</c:v>
                </c:pt>
                <c:pt idx="102">
                  <c:v>67</c:v>
                </c:pt>
                <c:pt idx="103">
                  <c:v>65</c:v>
                </c:pt>
                <c:pt idx="104">
                  <c:v>69</c:v>
                </c:pt>
                <c:pt idx="105">
                  <c:v>62</c:v>
                </c:pt>
                <c:pt idx="106">
                  <c:v>54</c:v>
                </c:pt>
                <c:pt idx="107">
                  <c:v>70</c:v>
                </c:pt>
                <c:pt idx="108">
                  <c:v>65</c:v>
                </c:pt>
                <c:pt idx="109">
                  <c:v>72</c:v>
                </c:pt>
                <c:pt idx="110">
                  <c:v>68</c:v>
                </c:pt>
                <c:pt idx="111">
                  <c:v>69</c:v>
                </c:pt>
                <c:pt idx="112">
                  <c:v>73</c:v>
                </c:pt>
                <c:pt idx="113">
                  <c:v>76</c:v>
                </c:pt>
                <c:pt idx="114">
                  <c:v>81</c:v>
                </c:pt>
                <c:pt idx="115">
                  <c:v>77</c:v>
                </c:pt>
                <c:pt idx="116">
                  <c:v>84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82560"/>
        <c:axId val="123284096"/>
      </c:lineChart>
      <c:dateAx>
        <c:axId val="123282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 rot="-2700000"/>
          <a:lstStyle/>
          <a:p>
            <a:pPr>
              <a:defRPr sz="8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ko-KR"/>
          </a:p>
        </c:txPr>
        <c:crossAx val="123284096"/>
        <c:crosses val="autoZero"/>
        <c:auto val="1"/>
        <c:lblOffset val="100"/>
        <c:baseTimeUnit val="months"/>
        <c:majorUnit val="6"/>
        <c:majorTimeUnit val="months"/>
      </c:dateAx>
      <c:valAx>
        <c:axId val="123284096"/>
        <c:scaling>
          <c:orientation val="minMax"/>
        </c:scaling>
        <c:delete val="0"/>
        <c:axPos val="l"/>
        <c:numFmt formatCode="0.00_ 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3282560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71101712992589"/>
          <c:y val="0.14232282872166382"/>
          <c:w val="0.81359969579774261"/>
          <c:h val="0.662736100699821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'국내 거시경제지표'!$BK$5</c:f>
              <c:strCache>
                <c:ptCount val="1"/>
                <c:pt idx="0">
                  <c:v>은행-저축성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0" cmpd="sng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거시경제지표'!$BL$7:$BL$267</c:f>
              <c:numCache>
                <c:formatCode>General</c:formatCode>
                <c:ptCount val="261"/>
                <c:pt idx="0" formatCode="_(* #,##0_);_(* \(#,##0\);_(* &quot;-&quot;_);_(@_)">
                  <c:v>11889771</c:v>
                </c:pt>
                <c:pt idx="1">
                  <c:v>11889771</c:v>
                </c:pt>
                <c:pt idx="2">
                  <c:v>11906470</c:v>
                </c:pt>
                <c:pt idx="3">
                  <c:v>11839308</c:v>
                </c:pt>
                <c:pt idx="4">
                  <c:v>11822835</c:v>
                </c:pt>
                <c:pt idx="5">
                  <c:v>11837665</c:v>
                </c:pt>
                <c:pt idx="6">
                  <c:v>11822871</c:v>
                </c:pt>
                <c:pt idx="7">
                  <c:v>11857047</c:v>
                </c:pt>
                <c:pt idx="8">
                  <c:v>11800778</c:v>
                </c:pt>
                <c:pt idx="9">
                  <c:v>11745290</c:v>
                </c:pt>
                <c:pt idx="10">
                  <c:v>11856566</c:v>
                </c:pt>
                <c:pt idx="11">
                  <c:v>11751389</c:v>
                </c:pt>
                <c:pt idx="12">
                  <c:v>11702976</c:v>
                </c:pt>
                <c:pt idx="13">
                  <c:v>11739277</c:v>
                </c:pt>
                <c:pt idx="14">
                  <c:v>11687587</c:v>
                </c:pt>
                <c:pt idx="15">
                  <c:v>11626095</c:v>
                </c:pt>
                <c:pt idx="16">
                  <c:v>11565303</c:v>
                </c:pt>
                <c:pt idx="17">
                  <c:v>11537365</c:v>
                </c:pt>
                <c:pt idx="18">
                  <c:v>11539798</c:v>
                </c:pt>
                <c:pt idx="19">
                  <c:v>11456937</c:v>
                </c:pt>
                <c:pt idx="20">
                  <c:v>11539014</c:v>
                </c:pt>
                <c:pt idx="21">
                  <c:v>11470005</c:v>
                </c:pt>
                <c:pt idx="22">
                  <c:v>11585994</c:v>
                </c:pt>
                <c:pt idx="23">
                  <c:v>11626994</c:v>
                </c:pt>
                <c:pt idx="24">
                  <c:v>11613120</c:v>
                </c:pt>
                <c:pt idx="25">
                  <c:v>11544748</c:v>
                </c:pt>
                <c:pt idx="26">
                  <c:v>11519968</c:v>
                </c:pt>
                <c:pt idx="27">
                  <c:v>11530634</c:v>
                </c:pt>
                <c:pt idx="28">
                  <c:v>11606090</c:v>
                </c:pt>
                <c:pt idx="29">
                  <c:v>11546615</c:v>
                </c:pt>
                <c:pt idx="30">
                  <c:v>11589872</c:v>
                </c:pt>
                <c:pt idx="31">
                  <c:v>11587221</c:v>
                </c:pt>
                <c:pt idx="32">
                  <c:v>11516435</c:v>
                </c:pt>
                <c:pt idx="33">
                  <c:v>11548608</c:v>
                </c:pt>
                <c:pt idx="34">
                  <c:v>11454791</c:v>
                </c:pt>
                <c:pt idx="35">
                  <c:v>11395313</c:v>
                </c:pt>
                <c:pt idx="36">
                  <c:v>11451821</c:v>
                </c:pt>
                <c:pt idx="37">
                  <c:v>11467770</c:v>
                </c:pt>
                <c:pt idx="38">
                  <c:v>11339402</c:v>
                </c:pt>
                <c:pt idx="39">
                  <c:v>11227350</c:v>
                </c:pt>
                <c:pt idx="40">
                  <c:v>11285344</c:v>
                </c:pt>
                <c:pt idx="41">
                  <c:v>11286326</c:v>
                </c:pt>
                <c:pt idx="42">
                  <c:v>11234321</c:v>
                </c:pt>
                <c:pt idx="43">
                  <c:v>11193493</c:v>
                </c:pt>
                <c:pt idx="44">
                  <c:v>11216036</c:v>
                </c:pt>
                <c:pt idx="45">
                  <c:v>11156676</c:v>
                </c:pt>
                <c:pt idx="46">
                  <c:v>11260070</c:v>
                </c:pt>
                <c:pt idx="47">
                  <c:v>11198313</c:v>
                </c:pt>
                <c:pt idx="48">
                  <c:v>11188936</c:v>
                </c:pt>
                <c:pt idx="49">
                  <c:v>11260748</c:v>
                </c:pt>
                <c:pt idx="50">
                  <c:v>11214915</c:v>
                </c:pt>
                <c:pt idx="51">
                  <c:v>11157153</c:v>
                </c:pt>
                <c:pt idx="52">
                  <c:v>11104550</c:v>
                </c:pt>
                <c:pt idx="53">
                  <c:v>11113165</c:v>
                </c:pt>
                <c:pt idx="54">
                  <c:v>11110536</c:v>
                </c:pt>
                <c:pt idx="55">
                  <c:v>11077951</c:v>
                </c:pt>
                <c:pt idx="56">
                  <c:v>10989160</c:v>
                </c:pt>
                <c:pt idx="57">
                  <c:v>10991703</c:v>
                </c:pt>
                <c:pt idx="58">
                  <c:v>10982926</c:v>
                </c:pt>
                <c:pt idx="59">
                  <c:v>11025080</c:v>
                </c:pt>
                <c:pt idx="60">
                  <c:v>10999379</c:v>
                </c:pt>
                <c:pt idx="61">
                  <c:v>10965634</c:v>
                </c:pt>
                <c:pt idx="62">
                  <c:v>11019342</c:v>
                </c:pt>
                <c:pt idx="63">
                  <c:v>10996859</c:v>
                </c:pt>
                <c:pt idx="64">
                  <c:v>10905872</c:v>
                </c:pt>
                <c:pt idx="65">
                  <c:v>10931644</c:v>
                </c:pt>
                <c:pt idx="66">
                  <c:v>10897347</c:v>
                </c:pt>
                <c:pt idx="67">
                  <c:v>10951117</c:v>
                </c:pt>
                <c:pt idx="68">
                  <c:v>10875062</c:v>
                </c:pt>
                <c:pt idx="69">
                  <c:v>10873344</c:v>
                </c:pt>
                <c:pt idx="70">
                  <c:v>10802346</c:v>
                </c:pt>
                <c:pt idx="71">
                  <c:v>10744272</c:v>
                </c:pt>
                <c:pt idx="72">
                  <c:v>10832720</c:v>
                </c:pt>
                <c:pt idx="73">
                  <c:v>10755631</c:v>
                </c:pt>
                <c:pt idx="74">
                  <c:v>10793015</c:v>
                </c:pt>
                <c:pt idx="75">
                  <c:v>10793015</c:v>
                </c:pt>
                <c:pt idx="76">
                  <c:v>10847994</c:v>
                </c:pt>
                <c:pt idx="77">
                  <c:v>10766472</c:v>
                </c:pt>
                <c:pt idx="78">
                  <c:v>10753213</c:v>
                </c:pt>
                <c:pt idx="79">
                  <c:v>10754434</c:v>
                </c:pt>
                <c:pt idx="80">
                  <c:v>10796532</c:v>
                </c:pt>
                <c:pt idx="81">
                  <c:v>10739284</c:v>
                </c:pt>
                <c:pt idx="82">
                  <c:v>10701585</c:v>
                </c:pt>
                <c:pt idx="83">
                  <c:v>10685833</c:v>
                </c:pt>
                <c:pt idx="84">
                  <c:v>10673971</c:v>
                </c:pt>
                <c:pt idx="85">
                  <c:v>10680560</c:v>
                </c:pt>
                <c:pt idx="86">
                  <c:v>10618906</c:v>
                </c:pt>
                <c:pt idx="87">
                  <c:v>10757740</c:v>
                </c:pt>
                <c:pt idx="88">
                  <c:v>10757740</c:v>
                </c:pt>
                <c:pt idx="89">
                  <c:v>10666673</c:v>
                </c:pt>
                <c:pt idx="90">
                  <c:v>10595040</c:v>
                </c:pt>
                <c:pt idx="91">
                  <c:v>10545917</c:v>
                </c:pt>
                <c:pt idx="92">
                  <c:v>10524278</c:v>
                </c:pt>
                <c:pt idx="93">
                  <c:v>10544358</c:v>
                </c:pt>
                <c:pt idx="94">
                  <c:v>10552826</c:v>
                </c:pt>
                <c:pt idx="95">
                  <c:v>10511744</c:v>
                </c:pt>
                <c:pt idx="96">
                  <c:v>10470798</c:v>
                </c:pt>
                <c:pt idx="97">
                  <c:v>10438327</c:v>
                </c:pt>
                <c:pt idx="98">
                  <c:v>10527686</c:v>
                </c:pt>
                <c:pt idx="99">
                  <c:v>10464282</c:v>
                </c:pt>
                <c:pt idx="100">
                  <c:v>10467483</c:v>
                </c:pt>
                <c:pt idx="101">
                  <c:v>10504424</c:v>
                </c:pt>
                <c:pt idx="102">
                  <c:v>10458114</c:v>
                </c:pt>
                <c:pt idx="103">
                  <c:v>10394842</c:v>
                </c:pt>
                <c:pt idx="104">
                  <c:v>10368347</c:v>
                </c:pt>
                <c:pt idx="105">
                  <c:v>10338739</c:v>
                </c:pt>
                <c:pt idx="106">
                  <c:v>10358872</c:v>
                </c:pt>
                <c:pt idx="107">
                  <c:v>10357325</c:v>
                </c:pt>
                <c:pt idx="108">
                  <c:v>10270545</c:v>
                </c:pt>
                <c:pt idx="109">
                  <c:v>10245975</c:v>
                </c:pt>
                <c:pt idx="110">
                  <c:v>10292770</c:v>
                </c:pt>
                <c:pt idx="111">
                  <c:v>10377497</c:v>
                </c:pt>
                <c:pt idx="112">
                  <c:v>10339570</c:v>
                </c:pt>
                <c:pt idx="113">
                  <c:v>10314324</c:v>
                </c:pt>
                <c:pt idx="114">
                  <c:v>10343903</c:v>
                </c:pt>
                <c:pt idx="115">
                  <c:v>10379360</c:v>
                </c:pt>
                <c:pt idx="116">
                  <c:v>10289827</c:v>
                </c:pt>
                <c:pt idx="117">
                  <c:v>10279843</c:v>
                </c:pt>
                <c:pt idx="118">
                  <c:v>10277887</c:v>
                </c:pt>
                <c:pt idx="119">
                  <c:v>10325130</c:v>
                </c:pt>
                <c:pt idx="120">
                  <c:v>10190225</c:v>
                </c:pt>
                <c:pt idx="121">
                  <c:v>10168903</c:v>
                </c:pt>
                <c:pt idx="122">
                  <c:v>10165834</c:v>
                </c:pt>
                <c:pt idx="123">
                  <c:v>10178003</c:v>
                </c:pt>
                <c:pt idx="124">
                  <c:v>10252940</c:v>
                </c:pt>
                <c:pt idx="125">
                  <c:v>10250573</c:v>
                </c:pt>
                <c:pt idx="126">
                  <c:v>10268604</c:v>
                </c:pt>
                <c:pt idx="127">
                  <c:v>10359199</c:v>
                </c:pt>
                <c:pt idx="128">
                  <c:v>10379155</c:v>
                </c:pt>
                <c:pt idx="129">
                  <c:v>10339963</c:v>
                </c:pt>
                <c:pt idx="130">
                  <c:v>10334248</c:v>
                </c:pt>
                <c:pt idx="131">
                  <c:v>10380903</c:v>
                </c:pt>
                <c:pt idx="132">
                  <c:v>10301681</c:v>
                </c:pt>
                <c:pt idx="133">
                  <c:v>10334491</c:v>
                </c:pt>
                <c:pt idx="134">
                  <c:v>10288020</c:v>
                </c:pt>
                <c:pt idx="135">
                  <c:v>10298148</c:v>
                </c:pt>
                <c:pt idx="136">
                  <c:v>10214433</c:v>
                </c:pt>
                <c:pt idx="137">
                  <c:v>10238212</c:v>
                </c:pt>
                <c:pt idx="138">
                  <c:v>10220333</c:v>
                </c:pt>
                <c:pt idx="139">
                  <c:v>10143318</c:v>
                </c:pt>
                <c:pt idx="140">
                  <c:v>10168802</c:v>
                </c:pt>
                <c:pt idx="141">
                  <c:v>10147570</c:v>
                </c:pt>
                <c:pt idx="142">
                  <c:v>10124132</c:v>
                </c:pt>
                <c:pt idx="143">
                  <c:v>10158769</c:v>
                </c:pt>
                <c:pt idx="144">
                  <c:v>10129475</c:v>
                </c:pt>
                <c:pt idx="145">
                  <c:v>10087618</c:v>
                </c:pt>
                <c:pt idx="146">
                  <c:v>10116900</c:v>
                </c:pt>
                <c:pt idx="147">
                  <c:v>10036215</c:v>
                </c:pt>
                <c:pt idx="148">
                  <c:v>10011138</c:v>
                </c:pt>
                <c:pt idx="149">
                  <c:v>10040357</c:v>
                </c:pt>
                <c:pt idx="150">
                  <c:v>10084448</c:v>
                </c:pt>
                <c:pt idx="151">
                  <c:v>10030700</c:v>
                </c:pt>
                <c:pt idx="152">
                  <c:v>10023025</c:v>
                </c:pt>
                <c:pt idx="153">
                  <c:v>10101721</c:v>
                </c:pt>
                <c:pt idx="154">
                  <c:v>10059182</c:v>
                </c:pt>
                <c:pt idx="155">
                  <c:v>10006338</c:v>
                </c:pt>
                <c:pt idx="156">
                  <c:v>10033311</c:v>
                </c:pt>
                <c:pt idx="157">
                  <c:v>10020063</c:v>
                </c:pt>
                <c:pt idx="158">
                  <c:v>9928450</c:v>
                </c:pt>
                <c:pt idx="159">
                  <c:v>9946326</c:v>
                </c:pt>
                <c:pt idx="160">
                  <c:v>9912742</c:v>
                </c:pt>
                <c:pt idx="161">
                  <c:v>9895458</c:v>
                </c:pt>
                <c:pt idx="162">
                  <c:v>9863726</c:v>
                </c:pt>
                <c:pt idx="163">
                  <c:v>9864490</c:v>
                </c:pt>
                <c:pt idx="164">
                  <c:v>9832708</c:v>
                </c:pt>
                <c:pt idx="165">
                  <c:v>9874124</c:v>
                </c:pt>
                <c:pt idx="166">
                  <c:v>9904763</c:v>
                </c:pt>
                <c:pt idx="167">
                  <c:v>9847454</c:v>
                </c:pt>
                <c:pt idx="168">
                  <c:v>9816393</c:v>
                </c:pt>
                <c:pt idx="169">
                  <c:v>9798002</c:v>
                </c:pt>
                <c:pt idx="170">
                  <c:v>9827655</c:v>
                </c:pt>
                <c:pt idx="171">
                  <c:v>9853619</c:v>
                </c:pt>
                <c:pt idx="172">
                  <c:v>9823374</c:v>
                </c:pt>
                <c:pt idx="173">
                  <c:v>9754372</c:v>
                </c:pt>
                <c:pt idx="174">
                  <c:v>9821180</c:v>
                </c:pt>
                <c:pt idx="175">
                  <c:v>9732090</c:v>
                </c:pt>
                <c:pt idx="176">
                  <c:v>9779217</c:v>
                </c:pt>
                <c:pt idx="177">
                  <c:v>9816964</c:v>
                </c:pt>
                <c:pt idx="178">
                  <c:v>9810632</c:v>
                </c:pt>
                <c:pt idx="179">
                  <c:v>9827283</c:v>
                </c:pt>
                <c:pt idx="180">
                  <c:v>9785588</c:v>
                </c:pt>
                <c:pt idx="181">
                  <c:v>9698802</c:v>
                </c:pt>
                <c:pt idx="182">
                  <c:v>9663466</c:v>
                </c:pt>
                <c:pt idx="183">
                  <c:v>9760611</c:v>
                </c:pt>
                <c:pt idx="184">
                  <c:v>9639399</c:v>
                </c:pt>
                <c:pt idx="185">
                  <c:v>9652362</c:v>
                </c:pt>
                <c:pt idx="186">
                  <c:v>9621323</c:v>
                </c:pt>
                <c:pt idx="187">
                  <c:v>9622789</c:v>
                </c:pt>
                <c:pt idx="188">
                  <c:v>9644228</c:v>
                </c:pt>
                <c:pt idx="189">
                  <c:v>9599570</c:v>
                </c:pt>
                <c:pt idx="190">
                  <c:v>9562331</c:v>
                </c:pt>
                <c:pt idx="191">
                  <c:v>9527273</c:v>
                </c:pt>
                <c:pt idx="192">
                  <c:v>9510631</c:v>
                </c:pt>
                <c:pt idx="193">
                  <c:v>9612162</c:v>
                </c:pt>
                <c:pt idx="194">
                  <c:v>9512419</c:v>
                </c:pt>
                <c:pt idx="195">
                  <c:v>9519581</c:v>
                </c:pt>
                <c:pt idx="196">
                  <c:v>9555370</c:v>
                </c:pt>
                <c:pt idx="197">
                  <c:v>9572782</c:v>
                </c:pt>
                <c:pt idx="198">
                  <c:v>9514821</c:v>
                </c:pt>
                <c:pt idx="199">
                  <c:v>9477948</c:v>
                </c:pt>
                <c:pt idx="200">
                  <c:v>9445147</c:v>
                </c:pt>
                <c:pt idx="201">
                  <c:v>9429610</c:v>
                </c:pt>
                <c:pt idx="202">
                  <c:v>9518072</c:v>
                </c:pt>
                <c:pt idx="203">
                  <c:v>9466202</c:v>
                </c:pt>
                <c:pt idx="204">
                  <c:v>9403599</c:v>
                </c:pt>
                <c:pt idx="205">
                  <c:v>9423957</c:v>
                </c:pt>
                <c:pt idx="206">
                  <c:v>9416425</c:v>
                </c:pt>
                <c:pt idx="207">
                  <c:v>9359560</c:v>
                </c:pt>
                <c:pt idx="208">
                  <c:v>9355216</c:v>
                </c:pt>
                <c:pt idx="209">
                  <c:v>9349056</c:v>
                </c:pt>
                <c:pt idx="210">
                  <c:v>9330796</c:v>
                </c:pt>
                <c:pt idx="211">
                  <c:v>9370211</c:v>
                </c:pt>
                <c:pt idx="212">
                  <c:v>9310686</c:v>
                </c:pt>
                <c:pt idx="213">
                  <c:v>9302742</c:v>
                </c:pt>
                <c:pt idx="214">
                  <c:v>9250527</c:v>
                </c:pt>
                <c:pt idx="215">
                  <c:v>9329400</c:v>
                </c:pt>
                <c:pt idx="216">
                  <c:v>9291005</c:v>
                </c:pt>
                <c:pt idx="217">
                  <c:v>9278323</c:v>
                </c:pt>
                <c:pt idx="218">
                  <c:v>9280450</c:v>
                </c:pt>
                <c:pt idx="219">
                  <c:v>9274124</c:v>
                </c:pt>
                <c:pt idx="220">
                  <c:v>9272140</c:v>
                </c:pt>
                <c:pt idx="221">
                  <c:v>9265153</c:v>
                </c:pt>
                <c:pt idx="222">
                  <c:v>9251427</c:v>
                </c:pt>
                <c:pt idx="223">
                  <c:v>9223877</c:v>
                </c:pt>
                <c:pt idx="224">
                  <c:v>9224059</c:v>
                </c:pt>
                <c:pt idx="225">
                  <c:v>9243713</c:v>
                </c:pt>
                <c:pt idx="226">
                  <c:v>9191854</c:v>
                </c:pt>
                <c:pt idx="227">
                  <c:v>9186513</c:v>
                </c:pt>
                <c:pt idx="228">
                  <c:v>9235677</c:v>
                </c:pt>
                <c:pt idx="229">
                  <c:v>9241412</c:v>
                </c:pt>
                <c:pt idx="230">
                  <c:v>9241550</c:v>
                </c:pt>
                <c:pt idx="231">
                  <c:v>9308784</c:v>
                </c:pt>
                <c:pt idx="232">
                  <c:v>9301966</c:v>
                </c:pt>
                <c:pt idx="233">
                  <c:v>9330840</c:v>
                </c:pt>
                <c:pt idx="234">
                  <c:v>9315844</c:v>
                </c:pt>
                <c:pt idx="235">
                  <c:v>9294231</c:v>
                </c:pt>
                <c:pt idx="236">
                  <c:v>9307482</c:v>
                </c:pt>
                <c:pt idx="237">
                  <c:v>9277329</c:v>
                </c:pt>
                <c:pt idx="238">
                  <c:v>9256276</c:v>
                </c:pt>
                <c:pt idx="239">
                  <c:v>9192520</c:v>
                </c:pt>
                <c:pt idx="240">
                  <c:v>9197198</c:v>
                </c:pt>
                <c:pt idx="241">
                  <c:v>9195545</c:v>
                </c:pt>
                <c:pt idx="242">
                  <c:v>9171695</c:v>
                </c:pt>
                <c:pt idx="243">
                  <c:v>9107977</c:v>
                </c:pt>
                <c:pt idx="244">
                  <c:v>9110211</c:v>
                </c:pt>
                <c:pt idx="245">
                  <c:v>9125308</c:v>
                </c:pt>
                <c:pt idx="246">
                  <c:v>9154880</c:v>
                </c:pt>
                <c:pt idx="247">
                  <c:v>9093759</c:v>
                </c:pt>
                <c:pt idx="248">
                  <c:v>9072399</c:v>
                </c:pt>
                <c:pt idx="249">
                  <c:v>9097360</c:v>
                </c:pt>
                <c:pt idx="250">
                  <c:v>9091908</c:v>
                </c:pt>
                <c:pt idx="251">
                  <c:v>9094934</c:v>
                </c:pt>
                <c:pt idx="252">
                  <c:v>9093561</c:v>
                </c:pt>
                <c:pt idx="253">
                  <c:v>9073834</c:v>
                </c:pt>
                <c:pt idx="254">
                  <c:v>9027276</c:v>
                </c:pt>
                <c:pt idx="255">
                  <c:v>9106943</c:v>
                </c:pt>
                <c:pt idx="256">
                  <c:v>9067828</c:v>
                </c:pt>
                <c:pt idx="257">
                  <c:v>9068772</c:v>
                </c:pt>
                <c:pt idx="258">
                  <c:v>9056087</c:v>
                </c:pt>
                <c:pt idx="259">
                  <c:v>9015081</c:v>
                </c:pt>
                <c:pt idx="260">
                  <c:v>9011437</c:v>
                </c:pt>
              </c:numCache>
            </c:numRef>
          </c:val>
        </c:ser>
        <c:ser>
          <c:idx val="1"/>
          <c:order val="1"/>
          <c:tx>
            <c:strRef>
              <c:f>'국내 거시경제지표'!$BM$5</c:f>
              <c:strCache>
                <c:ptCount val="1"/>
                <c:pt idx="0">
                  <c:v>은행-요구불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거시경제지표'!$BM$7:$BM$267</c:f>
              <c:numCache>
                <c:formatCode>General</c:formatCode>
                <c:ptCount val="261"/>
                <c:pt idx="0" formatCode="_(* #,##0_);_(* \(#,##0\);_(* &quot;-&quot;_);_(@_)">
                  <c:v>1849478</c:v>
                </c:pt>
                <c:pt idx="1">
                  <c:v>1849478</c:v>
                </c:pt>
                <c:pt idx="2">
                  <c:v>1878249</c:v>
                </c:pt>
                <c:pt idx="3">
                  <c:v>1869679</c:v>
                </c:pt>
                <c:pt idx="4">
                  <c:v>1823714</c:v>
                </c:pt>
                <c:pt idx="5">
                  <c:v>1886949</c:v>
                </c:pt>
                <c:pt idx="6">
                  <c:v>1836325</c:v>
                </c:pt>
                <c:pt idx="7">
                  <c:v>1883686</c:v>
                </c:pt>
                <c:pt idx="8">
                  <c:v>1856418</c:v>
                </c:pt>
                <c:pt idx="9">
                  <c:v>1870703</c:v>
                </c:pt>
                <c:pt idx="10">
                  <c:v>1862351</c:v>
                </c:pt>
                <c:pt idx="11">
                  <c:v>1837211</c:v>
                </c:pt>
                <c:pt idx="12">
                  <c:v>1853543</c:v>
                </c:pt>
                <c:pt idx="13">
                  <c:v>1794797</c:v>
                </c:pt>
                <c:pt idx="14">
                  <c:v>1814663</c:v>
                </c:pt>
                <c:pt idx="15">
                  <c:v>1921445</c:v>
                </c:pt>
                <c:pt idx="16">
                  <c:v>1789263</c:v>
                </c:pt>
                <c:pt idx="17">
                  <c:v>1746162</c:v>
                </c:pt>
                <c:pt idx="18">
                  <c:v>1809975</c:v>
                </c:pt>
                <c:pt idx="19">
                  <c:v>1758944</c:v>
                </c:pt>
                <c:pt idx="20">
                  <c:v>1803941</c:v>
                </c:pt>
                <c:pt idx="21">
                  <c:v>1767468</c:v>
                </c:pt>
                <c:pt idx="22">
                  <c:v>1776268</c:v>
                </c:pt>
                <c:pt idx="23">
                  <c:v>1857815</c:v>
                </c:pt>
                <c:pt idx="24">
                  <c:v>1831371</c:v>
                </c:pt>
                <c:pt idx="25">
                  <c:v>1778578</c:v>
                </c:pt>
                <c:pt idx="26">
                  <c:v>1748196</c:v>
                </c:pt>
                <c:pt idx="27">
                  <c:v>1734775</c:v>
                </c:pt>
                <c:pt idx="28">
                  <c:v>1785436</c:v>
                </c:pt>
                <c:pt idx="29">
                  <c:v>1744103</c:v>
                </c:pt>
                <c:pt idx="30">
                  <c:v>1743030</c:v>
                </c:pt>
                <c:pt idx="31">
                  <c:v>1725623</c:v>
                </c:pt>
                <c:pt idx="32">
                  <c:v>1740149</c:v>
                </c:pt>
                <c:pt idx="33">
                  <c:v>1781074</c:v>
                </c:pt>
                <c:pt idx="34">
                  <c:v>1824116</c:v>
                </c:pt>
                <c:pt idx="35">
                  <c:v>1760515</c:v>
                </c:pt>
                <c:pt idx="36">
                  <c:v>1780321</c:v>
                </c:pt>
                <c:pt idx="37">
                  <c:v>1810114</c:v>
                </c:pt>
                <c:pt idx="38">
                  <c:v>1799060</c:v>
                </c:pt>
                <c:pt idx="39">
                  <c:v>1734646</c:v>
                </c:pt>
                <c:pt idx="40">
                  <c:v>1703739</c:v>
                </c:pt>
                <c:pt idx="41">
                  <c:v>1770316</c:v>
                </c:pt>
                <c:pt idx="42">
                  <c:v>1743121</c:v>
                </c:pt>
                <c:pt idx="43">
                  <c:v>1736567</c:v>
                </c:pt>
                <c:pt idx="44">
                  <c:v>1702394</c:v>
                </c:pt>
                <c:pt idx="45">
                  <c:v>1739125</c:v>
                </c:pt>
                <c:pt idx="46">
                  <c:v>1774153</c:v>
                </c:pt>
                <c:pt idx="47">
                  <c:v>1794154</c:v>
                </c:pt>
                <c:pt idx="48">
                  <c:v>1751607</c:v>
                </c:pt>
                <c:pt idx="49">
                  <c:v>1818272</c:v>
                </c:pt>
                <c:pt idx="50">
                  <c:v>1839318</c:v>
                </c:pt>
                <c:pt idx="51">
                  <c:v>1791130</c:v>
                </c:pt>
                <c:pt idx="52">
                  <c:v>1728431</c:v>
                </c:pt>
                <c:pt idx="53">
                  <c:v>1762023</c:v>
                </c:pt>
                <c:pt idx="54">
                  <c:v>1820431</c:v>
                </c:pt>
                <c:pt idx="55">
                  <c:v>1776008</c:v>
                </c:pt>
                <c:pt idx="56">
                  <c:v>1717620</c:v>
                </c:pt>
                <c:pt idx="57">
                  <c:v>1685967</c:v>
                </c:pt>
                <c:pt idx="58">
                  <c:v>1751695</c:v>
                </c:pt>
                <c:pt idx="59">
                  <c:v>1741048</c:v>
                </c:pt>
                <c:pt idx="60">
                  <c:v>1776224</c:v>
                </c:pt>
                <c:pt idx="61">
                  <c:v>1722708</c:v>
                </c:pt>
                <c:pt idx="62">
                  <c:v>1743272</c:v>
                </c:pt>
                <c:pt idx="63">
                  <c:v>1748569</c:v>
                </c:pt>
                <c:pt idx="64">
                  <c:v>1744673</c:v>
                </c:pt>
                <c:pt idx="65">
                  <c:v>1706203</c:v>
                </c:pt>
                <c:pt idx="66">
                  <c:v>1729765</c:v>
                </c:pt>
                <c:pt idx="67">
                  <c:v>1785370</c:v>
                </c:pt>
                <c:pt idx="68">
                  <c:v>1755298</c:v>
                </c:pt>
                <c:pt idx="69">
                  <c:v>1714495</c:v>
                </c:pt>
                <c:pt idx="70">
                  <c:v>1694577</c:v>
                </c:pt>
                <c:pt idx="71">
                  <c:v>1677488</c:v>
                </c:pt>
                <c:pt idx="72">
                  <c:v>1733350</c:v>
                </c:pt>
                <c:pt idx="73">
                  <c:v>1761235</c:v>
                </c:pt>
                <c:pt idx="74">
                  <c:v>1753643</c:v>
                </c:pt>
                <c:pt idx="75">
                  <c:v>1753643</c:v>
                </c:pt>
                <c:pt idx="76">
                  <c:v>1730720</c:v>
                </c:pt>
                <c:pt idx="77">
                  <c:v>1731471</c:v>
                </c:pt>
                <c:pt idx="78">
                  <c:v>1717556</c:v>
                </c:pt>
                <c:pt idx="79">
                  <c:v>1714917</c:v>
                </c:pt>
                <c:pt idx="80">
                  <c:v>1724781</c:v>
                </c:pt>
                <c:pt idx="81">
                  <c:v>1710215</c:v>
                </c:pt>
                <c:pt idx="82">
                  <c:v>1708977</c:v>
                </c:pt>
                <c:pt idx="83">
                  <c:v>1679881</c:v>
                </c:pt>
                <c:pt idx="84">
                  <c:v>1730128</c:v>
                </c:pt>
                <c:pt idx="85">
                  <c:v>1757848</c:v>
                </c:pt>
                <c:pt idx="86">
                  <c:v>1747959</c:v>
                </c:pt>
                <c:pt idx="87">
                  <c:v>1743471</c:v>
                </c:pt>
                <c:pt idx="88">
                  <c:v>1743471</c:v>
                </c:pt>
                <c:pt idx="89">
                  <c:v>1689058</c:v>
                </c:pt>
                <c:pt idx="90">
                  <c:v>1698778</c:v>
                </c:pt>
                <c:pt idx="91">
                  <c:v>1653059</c:v>
                </c:pt>
                <c:pt idx="92">
                  <c:v>1658672</c:v>
                </c:pt>
                <c:pt idx="93">
                  <c:v>1717492</c:v>
                </c:pt>
                <c:pt idx="94">
                  <c:v>1661899</c:v>
                </c:pt>
                <c:pt idx="95">
                  <c:v>1651801</c:v>
                </c:pt>
                <c:pt idx="96">
                  <c:v>1606519</c:v>
                </c:pt>
                <c:pt idx="97">
                  <c:v>1618396</c:v>
                </c:pt>
                <c:pt idx="98">
                  <c:v>1649122</c:v>
                </c:pt>
                <c:pt idx="99">
                  <c:v>1682092</c:v>
                </c:pt>
                <c:pt idx="100">
                  <c:v>1663685</c:v>
                </c:pt>
                <c:pt idx="101">
                  <c:v>1696735</c:v>
                </c:pt>
                <c:pt idx="102">
                  <c:v>1708876</c:v>
                </c:pt>
                <c:pt idx="103">
                  <c:v>1661616</c:v>
                </c:pt>
                <c:pt idx="104">
                  <c:v>1652025</c:v>
                </c:pt>
                <c:pt idx="105">
                  <c:v>1623678</c:v>
                </c:pt>
                <c:pt idx="106">
                  <c:v>1642361</c:v>
                </c:pt>
                <c:pt idx="107">
                  <c:v>1639665</c:v>
                </c:pt>
                <c:pt idx="108">
                  <c:v>1612822</c:v>
                </c:pt>
                <c:pt idx="109">
                  <c:v>1580531</c:v>
                </c:pt>
                <c:pt idx="110">
                  <c:v>1618802</c:v>
                </c:pt>
                <c:pt idx="111">
                  <c:v>1622541</c:v>
                </c:pt>
                <c:pt idx="112">
                  <c:v>1622539</c:v>
                </c:pt>
                <c:pt idx="113">
                  <c:v>1570812</c:v>
                </c:pt>
                <c:pt idx="114">
                  <c:v>1614321</c:v>
                </c:pt>
                <c:pt idx="115">
                  <c:v>1644489</c:v>
                </c:pt>
                <c:pt idx="116">
                  <c:v>1652373</c:v>
                </c:pt>
                <c:pt idx="117">
                  <c:v>1661356</c:v>
                </c:pt>
                <c:pt idx="118">
                  <c:v>1607885</c:v>
                </c:pt>
                <c:pt idx="119">
                  <c:v>1642075</c:v>
                </c:pt>
                <c:pt idx="120">
                  <c:v>1604559</c:v>
                </c:pt>
                <c:pt idx="121">
                  <c:v>1573218</c:v>
                </c:pt>
                <c:pt idx="122">
                  <c:v>1537602</c:v>
                </c:pt>
                <c:pt idx="123">
                  <c:v>1600647</c:v>
                </c:pt>
                <c:pt idx="124">
                  <c:v>1653363</c:v>
                </c:pt>
                <c:pt idx="125">
                  <c:v>1625675</c:v>
                </c:pt>
                <c:pt idx="126">
                  <c:v>1585288</c:v>
                </c:pt>
                <c:pt idx="127">
                  <c:v>1651795</c:v>
                </c:pt>
                <c:pt idx="128">
                  <c:v>1605095</c:v>
                </c:pt>
                <c:pt idx="129">
                  <c:v>1597532</c:v>
                </c:pt>
                <c:pt idx="130">
                  <c:v>1620251</c:v>
                </c:pt>
                <c:pt idx="131">
                  <c:v>1583925</c:v>
                </c:pt>
                <c:pt idx="132">
                  <c:v>1619809</c:v>
                </c:pt>
                <c:pt idx="133">
                  <c:v>1586204</c:v>
                </c:pt>
                <c:pt idx="134">
                  <c:v>1569652</c:v>
                </c:pt>
                <c:pt idx="135">
                  <c:v>1548234</c:v>
                </c:pt>
                <c:pt idx="136">
                  <c:v>1587401</c:v>
                </c:pt>
                <c:pt idx="137">
                  <c:v>1590302</c:v>
                </c:pt>
                <c:pt idx="138">
                  <c:v>1608786</c:v>
                </c:pt>
                <c:pt idx="139">
                  <c:v>1555019</c:v>
                </c:pt>
                <c:pt idx="140">
                  <c:v>1518579</c:v>
                </c:pt>
                <c:pt idx="141">
                  <c:v>1530401</c:v>
                </c:pt>
                <c:pt idx="142">
                  <c:v>1557484</c:v>
                </c:pt>
                <c:pt idx="143">
                  <c:v>1619902</c:v>
                </c:pt>
                <c:pt idx="144">
                  <c:v>1501624</c:v>
                </c:pt>
                <c:pt idx="145">
                  <c:v>1520974</c:v>
                </c:pt>
                <c:pt idx="146">
                  <c:v>1523376</c:v>
                </c:pt>
                <c:pt idx="147">
                  <c:v>1494471</c:v>
                </c:pt>
                <c:pt idx="148">
                  <c:v>1453303</c:v>
                </c:pt>
                <c:pt idx="149">
                  <c:v>1475212</c:v>
                </c:pt>
                <c:pt idx="150">
                  <c:v>1487403</c:v>
                </c:pt>
                <c:pt idx="151">
                  <c:v>1488651</c:v>
                </c:pt>
                <c:pt idx="152">
                  <c:v>1471918</c:v>
                </c:pt>
                <c:pt idx="153">
                  <c:v>1486919</c:v>
                </c:pt>
                <c:pt idx="154">
                  <c:v>1528587</c:v>
                </c:pt>
                <c:pt idx="155">
                  <c:v>1508276</c:v>
                </c:pt>
                <c:pt idx="156">
                  <c:v>1509799</c:v>
                </c:pt>
                <c:pt idx="157">
                  <c:v>1441497</c:v>
                </c:pt>
                <c:pt idx="158">
                  <c:v>1469407</c:v>
                </c:pt>
                <c:pt idx="159">
                  <c:v>1513753</c:v>
                </c:pt>
                <c:pt idx="160">
                  <c:v>1481411</c:v>
                </c:pt>
                <c:pt idx="161">
                  <c:v>1409265</c:v>
                </c:pt>
                <c:pt idx="162">
                  <c:v>1423842</c:v>
                </c:pt>
                <c:pt idx="163">
                  <c:v>1486972</c:v>
                </c:pt>
                <c:pt idx="164">
                  <c:v>1490955</c:v>
                </c:pt>
                <c:pt idx="165">
                  <c:v>1439831</c:v>
                </c:pt>
                <c:pt idx="166">
                  <c:v>1461013</c:v>
                </c:pt>
                <c:pt idx="167">
                  <c:v>1496172</c:v>
                </c:pt>
                <c:pt idx="168">
                  <c:v>1482346</c:v>
                </c:pt>
                <c:pt idx="169">
                  <c:v>1435513</c:v>
                </c:pt>
                <c:pt idx="170">
                  <c:v>1420509</c:v>
                </c:pt>
                <c:pt idx="171">
                  <c:v>1478793</c:v>
                </c:pt>
                <c:pt idx="172">
                  <c:v>1418736</c:v>
                </c:pt>
                <c:pt idx="173">
                  <c:v>1397130</c:v>
                </c:pt>
                <c:pt idx="174">
                  <c:v>1416289</c:v>
                </c:pt>
                <c:pt idx="175">
                  <c:v>1422208</c:v>
                </c:pt>
                <c:pt idx="176">
                  <c:v>1421160</c:v>
                </c:pt>
                <c:pt idx="177">
                  <c:v>1432006</c:v>
                </c:pt>
                <c:pt idx="178">
                  <c:v>1378417</c:v>
                </c:pt>
                <c:pt idx="179">
                  <c:v>1415290</c:v>
                </c:pt>
                <c:pt idx="180">
                  <c:v>1377359</c:v>
                </c:pt>
                <c:pt idx="181">
                  <c:v>1387871</c:v>
                </c:pt>
                <c:pt idx="182">
                  <c:v>1380079</c:v>
                </c:pt>
                <c:pt idx="183">
                  <c:v>1356351</c:v>
                </c:pt>
                <c:pt idx="184">
                  <c:v>1369782</c:v>
                </c:pt>
                <c:pt idx="185">
                  <c:v>1396884</c:v>
                </c:pt>
                <c:pt idx="186">
                  <c:v>1355785</c:v>
                </c:pt>
                <c:pt idx="187">
                  <c:v>1346595</c:v>
                </c:pt>
                <c:pt idx="188">
                  <c:v>1361089</c:v>
                </c:pt>
                <c:pt idx="189">
                  <c:v>1343948</c:v>
                </c:pt>
                <c:pt idx="190">
                  <c:v>1365708</c:v>
                </c:pt>
                <c:pt idx="191">
                  <c:v>1368429</c:v>
                </c:pt>
                <c:pt idx="192">
                  <c:v>1337468</c:v>
                </c:pt>
                <c:pt idx="193">
                  <c:v>1411288</c:v>
                </c:pt>
                <c:pt idx="194">
                  <c:v>1344628</c:v>
                </c:pt>
                <c:pt idx="195">
                  <c:v>1315884</c:v>
                </c:pt>
                <c:pt idx="196">
                  <c:v>1288253</c:v>
                </c:pt>
                <c:pt idx="197">
                  <c:v>1334759</c:v>
                </c:pt>
                <c:pt idx="198">
                  <c:v>1313557</c:v>
                </c:pt>
                <c:pt idx="199">
                  <c:v>1307238</c:v>
                </c:pt>
                <c:pt idx="200">
                  <c:v>1253729</c:v>
                </c:pt>
                <c:pt idx="201">
                  <c:v>1252870</c:v>
                </c:pt>
                <c:pt idx="202">
                  <c:v>1258627</c:v>
                </c:pt>
                <c:pt idx="203">
                  <c:v>1281794</c:v>
                </c:pt>
                <c:pt idx="204">
                  <c:v>1272947</c:v>
                </c:pt>
                <c:pt idx="205">
                  <c:v>1238553</c:v>
                </c:pt>
                <c:pt idx="206">
                  <c:v>1268997</c:v>
                </c:pt>
                <c:pt idx="207">
                  <c:v>1220893</c:v>
                </c:pt>
                <c:pt idx="208">
                  <c:v>1206331</c:v>
                </c:pt>
                <c:pt idx="209">
                  <c:v>1237129</c:v>
                </c:pt>
                <c:pt idx="210">
                  <c:v>1223064</c:v>
                </c:pt>
                <c:pt idx="211">
                  <c:v>1214072</c:v>
                </c:pt>
                <c:pt idx="212">
                  <c:v>1197562</c:v>
                </c:pt>
                <c:pt idx="213">
                  <c:v>1153209</c:v>
                </c:pt>
                <c:pt idx="214">
                  <c:v>1159459</c:v>
                </c:pt>
                <c:pt idx="215">
                  <c:v>1151404</c:v>
                </c:pt>
                <c:pt idx="216">
                  <c:v>1172692</c:v>
                </c:pt>
                <c:pt idx="217">
                  <c:v>1191644</c:v>
                </c:pt>
                <c:pt idx="218">
                  <c:v>1145507</c:v>
                </c:pt>
                <c:pt idx="219">
                  <c:v>1124125</c:v>
                </c:pt>
                <c:pt idx="220">
                  <c:v>1134743</c:v>
                </c:pt>
                <c:pt idx="221">
                  <c:v>1131091</c:v>
                </c:pt>
                <c:pt idx="222">
                  <c:v>1095479</c:v>
                </c:pt>
                <c:pt idx="223">
                  <c:v>1142678</c:v>
                </c:pt>
                <c:pt idx="224">
                  <c:v>1132761</c:v>
                </c:pt>
                <c:pt idx="225">
                  <c:v>1139644</c:v>
                </c:pt>
                <c:pt idx="226">
                  <c:v>1080303</c:v>
                </c:pt>
                <c:pt idx="227">
                  <c:v>1082608</c:v>
                </c:pt>
                <c:pt idx="228">
                  <c:v>1063704</c:v>
                </c:pt>
                <c:pt idx="229">
                  <c:v>1078418</c:v>
                </c:pt>
                <c:pt idx="230">
                  <c:v>1055543</c:v>
                </c:pt>
                <c:pt idx="231">
                  <c:v>1082246</c:v>
                </c:pt>
                <c:pt idx="232">
                  <c:v>1106510</c:v>
                </c:pt>
                <c:pt idx="233">
                  <c:v>1054003</c:v>
                </c:pt>
                <c:pt idx="234">
                  <c:v>1063063</c:v>
                </c:pt>
                <c:pt idx="235">
                  <c:v>1049391</c:v>
                </c:pt>
                <c:pt idx="236">
                  <c:v>1042832</c:v>
                </c:pt>
                <c:pt idx="237">
                  <c:v>1039101</c:v>
                </c:pt>
                <c:pt idx="238">
                  <c:v>1022030</c:v>
                </c:pt>
                <c:pt idx="239">
                  <c:v>998050</c:v>
                </c:pt>
                <c:pt idx="240">
                  <c:v>1002160</c:v>
                </c:pt>
                <c:pt idx="241">
                  <c:v>996306</c:v>
                </c:pt>
                <c:pt idx="242">
                  <c:v>1003508</c:v>
                </c:pt>
                <c:pt idx="243">
                  <c:v>1026107</c:v>
                </c:pt>
                <c:pt idx="244">
                  <c:v>1016177</c:v>
                </c:pt>
                <c:pt idx="245">
                  <c:v>996271</c:v>
                </c:pt>
                <c:pt idx="246">
                  <c:v>994757</c:v>
                </c:pt>
                <c:pt idx="247">
                  <c:v>979705</c:v>
                </c:pt>
                <c:pt idx="248">
                  <c:v>1007999</c:v>
                </c:pt>
                <c:pt idx="249">
                  <c:v>1011446</c:v>
                </c:pt>
                <c:pt idx="250">
                  <c:v>1030907</c:v>
                </c:pt>
                <c:pt idx="251">
                  <c:v>977885</c:v>
                </c:pt>
                <c:pt idx="252">
                  <c:v>972375</c:v>
                </c:pt>
                <c:pt idx="253">
                  <c:v>966550</c:v>
                </c:pt>
                <c:pt idx="254">
                  <c:v>954194</c:v>
                </c:pt>
                <c:pt idx="255">
                  <c:v>971008</c:v>
                </c:pt>
                <c:pt idx="256">
                  <c:v>956695</c:v>
                </c:pt>
                <c:pt idx="257">
                  <c:v>963543</c:v>
                </c:pt>
                <c:pt idx="258">
                  <c:v>1017529</c:v>
                </c:pt>
                <c:pt idx="259">
                  <c:v>981300</c:v>
                </c:pt>
                <c:pt idx="260">
                  <c:v>968866</c:v>
                </c:pt>
              </c:numCache>
            </c:numRef>
          </c:val>
        </c:ser>
        <c:ser>
          <c:idx val="2"/>
          <c:order val="2"/>
          <c:tx>
            <c:strRef>
              <c:f>'국내 거시경제지표'!$BN$5</c:f>
              <c:strCache>
                <c:ptCount val="1"/>
                <c:pt idx="0">
                  <c:v>증권(계)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거시경제지표'!$BN$7:$BN$267</c:f>
              <c:numCache>
                <c:formatCode>General</c:formatCode>
                <c:ptCount val="261"/>
                <c:pt idx="0" formatCode="_(* #,##0_);_(* \(#,##0\);_(* &quot;-&quot;_);_(@_)">
                  <c:v>1424448</c:v>
                </c:pt>
                <c:pt idx="1">
                  <c:v>1424448</c:v>
                </c:pt>
                <c:pt idx="2">
                  <c:v>1415433</c:v>
                </c:pt>
                <c:pt idx="3">
                  <c:v>1430314</c:v>
                </c:pt>
                <c:pt idx="4">
                  <c:v>1450605</c:v>
                </c:pt>
                <c:pt idx="5">
                  <c:v>1451413</c:v>
                </c:pt>
                <c:pt idx="6">
                  <c:v>1421572</c:v>
                </c:pt>
                <c:pt idx="7">
                  <c:v>1450909</c:v>
                </c:pt>
                <c:pt idx="8">
                  <c:v>1430382</c:v>
                </c:pt>
                <c:pt idx="9">
                  <c:v>1411892</c:v>
                </c:pt>
                <c:pt idx="10">
                  <c:v>1362983</c:v>
                </c:pt>
                <c:pt idx="11">
                  <c:v>1393794</c:v>
                </c:pt>
                <c:pt idx="12">
                  <c:v>1391777</c:v>
                </c:pt>
                <c:pt idx="13">
                  <c:v>1382149</c:v>
                </c:pt>
                <c:pt idx="14">
                  <c:v>1399868</c:v>
                </c:pt>
                <c:pt idx="15">
                  <c:v>1370942</c:v>
                </c:pt>
                <c:pt idx="16">
                  <c:v>1399387</c:v>
                </c:pt>
                <c:pt idx="17">
                  <c:v>1405035</c:v>
                </c:pt>
                <c:pt idx="18">
                  <c:v>1393983</c:v>
                </c:pt>
                <c:pt idx="19">
                  <c:v>1368750</c:v>
                </c:pt>
                <c:pt idx="20">
                  <c:v>1387464</c:v>
                </c:pt>
                <c:pt idx="21">
                  <c:v>1380446</c:v>
                </c:pt>
                <c:pt idx="22">
                  <c:v>1382826</c:v>
                </c:pt>
                <c:pt idx="23">
                  <c:v>1341815</c:v>
                </c:pt>
                <c:pt idx="24">
                  <c:v>1344005</c:v>
                </c:pt>
                <c:pt idx="25">
                  <c:v>1323205</c:v>
                </c:pt>
                <c:pt idx="26">
                  <c:v>1338363</c:v>
                </c:pt>
                <c:pt idx="27">
                  <c:v>1349050</c:v>
                </c:pt>
                <c:pt idx="28">
                  <c:v>1367954</c:v>
                </c:pt>
                <c:pt idx="29">
                  <c:v>1348022</c:v>
                </c:pt>
                <c:pt idx="30">
                  <c:v>1359038</c:v>
                </c:pt>
                <c:pt idx="31">
                  <c:v>1382121</c:v>
                </c:pt>
                <c:pt idx="32">
                  <c:v>1359330</c:v>
                </c:pt>
                <c:pt idx="33">
                  <c:v>1364981</c:v>
                </c:pt>
                <c:pt idx="34">
                  <c:v>1416200</c:v>
                </c:pt>
                <c:pt idx="35">
                  <c:v>1416313</c:v>
                </c:pt>
                <c:pt idx="36">
                  <c:v>1403228</c:v>
                </c:pt>
                <c:pt idx="37">
                  <c:v>1400383</c:v>
                </c:pt>
                <c:pt idx="38">
                  <c:v>1409586</c:v>
                </c:pt>
                <c:pt idx="39">
                  <c:v>1423292</c:v>
                </c:pt>
                <c:pt idx="40">
                  <c:v>1426077</c:v>
                </c:pt>
                <c:pt idx="41">
                  <c:v>1432279</c:v>
                </c:pt>
                <c:pt idx="42">
                  <c:v>1421395</c:v>
                </c:pt>
                <c:pt idx="43">
                  <c:v>1418771</c:v>
                </c:pt>
                <c:pt idx="44">
                  <c:v>1436410</c:v>
                </c:pt>
                <c:pt idx="45">
                  <c:v>1443260</c:v>
                </c:pt>
                <c:pt idx="46">
                  <c:v>1458318</c:v>
                </c:pt>
                <c:pt idx="47">
                  <c:v>1460918</c:v>
                </c:pt>
                <c:pt idx="48">
                  <c:v>1445414</c:v>
                </c:pt>
                <c:pt idx="49">
                  <c:v>1414468</c:v>
                </c:pt>
                <c:pt idx="50">
                  <c:v>1481205</c:v>
                </c:pt>
                <c:pt idx="51">
                  <c:v>1495907</c:v>
                </c:pt>
                <c:pt idx="52">
                  <c:v>1475627</c:v>
                </c:pt>
                <c:pt idx="53">
                  <c:v>1481349</c:v>
                </c:pt>
                <c:pt idx="54">
                  <c:v>1470644</c:v>
                </c:pt>
                <c:pt idx="55">
                  <c:v>1475651</c:v>
                </c:pt>
                <c:pt idx="56">
                  <c:v>1481569</c:v>
                </c:pt>
                <c:pt idx="57">
                  <c:v>1487508</c:v>
                </c:pt>
                <c:pt idx="58">
                  <c:v>1505046</c:v>
                </c:pt>
                <c:pt idx="59">
                  <c:v>1514121</c:v>
                </c:pt>
                <c:pt idx="60">
                  <c:v>1503853</c:v>
                </c:pt>
                <c:pt idx="61">
                  <c:v>1495121</c:v>
                </c:pt>
                <c:pt idx="62">
                  <c:v>1464043</c:v>
                </c:pt>
                <c:pt idx="63">
                  <c:v>1487063</c:v>
                </c:pt>
                <c:pt idx="64">
                  <c:v>1492955</c:v>
                </c:pt>
                <c:pt idx="65">
                  <c:v>1486555</c:v>
                </c:pt>
                <c:pt idx="66">
                  <c:v>1484416</c:v>
                </c:pt>
                <c:pt idx="67">
                  <c:v>1489135</c:v>
                </c:pt>
                <c:pt idx="68">
                  <c:v>1484433</c:v>
                </c:pt>
                <c:pt idx="69">
                  <c:v>1500617</c:v>
                </c:pt>
                <c:pt idx="70">
                  <c:v>1516737</c:v>
                </c:pt>
                <c:pt idx="71">
                  <c:v>1529203</c:v>
                </c:pt>
                <c:pt idx="72">
                  <c:v>1522815</c:v>
                </c:pt>
                <c:pt idx="73">
                  <c:v>1506316</c:v>
                </c:pt>
                <c:pt idx="74">
                  <c:v>1507837</c:v>
                </c:pt>
                <c:pt idx="75">
                  <c:v>1472570</c:v>
                </c:pt>
                <c:pt idx="76">
                  <c:v>1480466</c:v>
                </c:pt>
                <c:pt idx="77">
                  <c:v>1468481</c:v>
                </c:pt>
                <c:pt idx="78">
                  <c:v>1498293</c:v>
                </c:pt>
                <c:pt idx="79">
                  <c:v>1464306</c:v>
                </c:pt>
                <c:pt idx="80">
                  <c:v>1477629</c:v>
                </c:pt>
                <c:pt idx="81">
                  <c:v>1465574</c:v>
                </c:pt>
                <c:pt idx="82">
                  <c:v>1480918</c:v>
                </c:pt>
                <c:pt idx="83">
                  <c:v>1491585</c:v>
                </c:pt>
                <c:pt idx="84">
                  <c:v>1497716</c:v>
                </c:pt>
                <c:pt idx="85">
                  <c:v>1498308</c:v>
                </c:pt>
                <c:pt idx="86">
                  <c:v>1494943</c:v>
                </c:pt>
                <c:pt idx="87">
                  <c:v>1469927</c:v>
                </c:pt>
                <c:pt idx="88">
                  <c:v>1469927</c:v>
                </c:pt>
                <c:pt idx="89">
                  <c:v>1483217</c:v>
                </c:pt>
                <c:pt idx="90">
                  <c:v>1501808</c:v>
                </c:pt>
                <c:pt idx="91">
                  <c:v>1483942</c:v>
                </c:pt>
                <c:pt idx="92">
                  <c:v>1500609</c:v>
                </c:pt>
                <c:pt idx="93">
                  <c:v>1492006</c:v>
                </c:pt>
                <c:pt idx="94">
                  <c:v>1478653</c:v>
                </c:pt>
                <c:pt idx="95">
                  <c:v>1489030</c:v>
                </c:pt>
                <c:pt idx="96">
                  <c:v>1501947</c:v>
                </c:pt>
                <c:pt idx="97">
                  <c:v>1475385</c:v>
                </c:pt>
                <c:pt idx="98">
                  <c:v>1511065</c:v>
                </c:pt>
                <c:pt idx="99">
                  <c:v>1499874</c:v>
                </c:pt>
                <c:pt idx="100">
                  <c:v>1496256</c:v>
                </c:pt>
                <c:pt idx="101">
                  <c:v>1483697</c:v>
                </c:pt>
                <c:pt idx="102">
                  <c:v>1473063</c:v>
                </c:pt>
                <c:pt idx="103">
                  <c:v>1525060</c:v>
                </c:pt>
                <c:pt idx="104">
                  <c:v>1511458</c:v>
                </c:pt>
                <c:pt idx="105">
                  <c:v>1513636</c:v>
                </c:pt>
                <c:pt idx="106">
                  <c:v>1501757</c:v>
                </c:pt>
                <c:pt idx="107">
                  <c:v>1508215</c:v>
                </c:pt>
                <c:pt idx="108">
                  <c:v>1495727</c:v>
                </c:pt>
                <c:pt idx="109">
                  <c:v>1494679</c:v>
                </c:pt>
                <c:pt idx="110">
                  <c:v>1491439</c:v>
                </c:pt>
                <c:pt idx="111">
                  <c:v>1505133</c:v>
                </c:pt>
                <c:pt idx="112">
                  <c:v>1493247</c:v>
                </c:pt>
                <c:pt idx="113">
                  <c:v>1490138</c:v>
                </c:pt>
                <c:pt idx="114">
                  <c:v>1466093</c:v>
                </c:pt>
                <c:pt idx="115">
                  <c:v>1484206</c:v>
                </c:pt>
                <c:pt idx="116">
                  <c:v>1455861</c:v>
                </c:pt>
                <c:pt idx="117">
                  <c:v>1443130</c:v>
                </c:pt>
                <c:pt idx="118">
                  <c:v>1476187</c:v>
                </c:pt>
                <c:pt idx="119">
                  <c:v>1464797</c:v>
                </c:pt>
                <c:pt idx="120">
                  <c:v>1445696</c:v>
                </c:pt>
                <c:pt idx="121">
                  <c:v>1468478</c:v>
                </c:pt>
                <c:pt idx="122">
                  <c:v>1480516</c:v>
                </c:pt>
                <c:pt idx="123">
                  <c:v>1475095</c:v>
                </c:pt>
                <c:pt idx="124">
                  <c:v>1464683</c:v>
                </c:pt>
                <c:pt idx="125">
                  <c:v>1509352</c:v>
                </c:pt>
                <c:pt idx="126">
                  <c:v>1502557</c:v>
                </c:pt>
                <c:pt idx="127">
                  <c:v>1468207</c:v>
                </c:pt>
                <c:pt idx="128">
                  <c:v>1469047</c:v>
                </c:pt>
                <c:pt idx="129">
                  <c:v>1490614</c:v>
                </c:pt>
                <c:pt idx="130">
                  <c:v>1486575</c:v>
                </c:pt>
                <c:pt idx="131">
                  <c:v>1505110</c:v>
                </c:pt>
                <c:pt idx="132">
                  <c:v>1475526</c:v>
                </c:pt>
                <c:pt idx="133">
                  <c:v>1483609</c:v>
                </c:pt>
                <c:pt idx="134">
                  <c:v>1480263</c:v>
                </c:pt>
                <c:pt idx="135">
                  <c:v>1408360</c:v>
                </c:pt>
                <c:pt idx="136">
                  <c:v>1458082</c:v>
                </c:pt>
                <c:pt idx="137">
                  <c:v>1448380</c:v>
                </c:pt>
                <c:pt idx="138">
                  <c:v>1477943</c:v>
                </c:pt>
                <c:pt idx="139">
                  <c:v>1445798</c:v>
                </c:pt>
                <c:pt idx="140">
                  <c:v>1466268</c:v>
                </c:pt>
                <c:pt idx="141">
                  <c:v>1480819</c:v>
                </c:pt>
                <c:pt idx="142">
                  <c:v>1488943</c:v>
                </c:pt>
                <c:pt idx="143">
                  <c:v>1493200</c:v>
                </c:pt>
                <c:pt idx="144">
                  <c:v>1483808</c:v>
                </c:pt>
                <c:pt idx="145">
                  <c:v>1472282</c:v>
                </c:pt>
                <c:pt idx="146">
                  <c:v>1506312</c:v>
                </c:pt>
                <c:pt idx="147">
                  <c:v>1499279</c:v>
                </c:pt>
                <c:pt idx="148">
                  <c:v>1490508</c:v>
                </c:pt>
                <c:pt idx="149">
                  <c:v>1495351</c:v>
                </c:pt>
                <c:pt idx="150">
                  <c:v>1509119</c:v>
                </c:pt>
                <c:pt idx="151">
                  <c:v>1510967</c:v>
                </c:pt>
                <c:pt idx="152">
                  <c:v>1480030</c:v>
                </c:pt>
                <c:pt idx="153">
                  <c:v>1523152</c:v>
                </c:pt>
                <c:pt idx="154">
                  <c:v>1481766</c:v>
                </c:pt>
                <c:pt idx="155">
                  <c:v>1488345</c:v>
                </c:pt>
                <c:pt idx="156">
                  <c:v>1519714</c:v>
                </c:pt>
                <c:pt idx="157">
                  <c:v>1490450</c:v>
                </c:pt>
                <c:pt idx="158">
                  <c:v>1503597</c:v>
                </c:pt>
                <c:pt idx="159">
                  <c:v>1493694</c:v>
                </c:pt>
                <c:pt idx="160">
                  <c:v>1492959</c:v>
                </c:pt>
                <c:pt idx="161">
                  <c:v>1506704</c:v>
                </c:pt>
                <c:pt idx="162">
                  <c:v>1479178</c:v>
                </c:pt>
                <c:pt idx="163">
                  <c:v>1492431</c:v>
                </c:pt>
                <c:pt idx="164">
                  <c:v>1493741</c:v>
                </c:pt>
                <c:pt idx="165">
                  <c:v>1486007</c:v>
                </c:pt>
                <c:pt idx="166">
                  <c:v>1445946</c:v>
                </c:pt>
                <c:pt idx="167">
                  <c:v>1467978</c:v>
                </c:pt>
                <c:pt idx="168">
                  <c:v>1475995</c:v>
                </c:pt>
                <c:pt idx="169">
                  <c:v>1484624</c:v>
                </c:pt>
                <c:pt idx="170">
                  <c:v>1445298</c:v>
                </c:pt>
                <c:pt idx="171">
                  <c:v>1466920</c:v>
                </c:pt>
                <c:pt idx="172">
                  <c:v>1434111</c:v>
                </c:pt>
                <c:pt idx="173">
                  <c:v>1474074</c:v>
                </c:pt>
                <c:pt idx="174">
                  <c:v>1462779</c:v>
                </c:pt>
                <c:pt idx="175">
                  <c:v>1441325</c:v>
                </c:pt>
                <c:pt idx="176">
                  <c:v>1431455</c:v>
                </c:pt>
                <c:pt idx="177">
                  <c:v>1466556</c:v>
                </c:pt>
                <c:pt idx="178">
                  <c:v>1468752</c:v>
                </c:pt>
                <c:pt idx="179">
                  <c:v>1447553</c:v>
                </c:pt>
                <c:pt idx="180">
                  <c:v>1453218</c:v>
                </c:pt>
                <c:pt idx="181">
                  <c:v>1417520</c:v>
                </c:pt>
                <c:pt idx="182">
                  <c:v>1445018</c:v>
                </c:pt>
                <c:pt idx="183">
                  <c:v>1464899</c:v>
                </c:pt>
                <c:pt idx="184">
                  <c:v>1455239</c:v>
                </c:pt>
                <c:pt idx="185">
                  <c:v>1441874</c:v>
                </c:pt>
                <c:pt idx="186">
                  <c:v>1440865</c:v>
                </c:pt>
                <c:pt idx="187">
                  <c:v>1406891</c:v>
                </c:pt>
                <c:pt idx="188">
                  <c:v>1385495</c:v>
                </c:pt>
                <c:pt idx="189">
                  <c:v>1408447</c:v>
                </c:pt>
                <c:pt idx="190">
                  <c:v>1433186</c:v>
                </c:pt>
                <c:pt idx="191">
                  <c:v>1446794</c:v>
                </c:pt>
                <c:pt idx="192">
                  <c:v>1433477</c:v>
                </c:pt>
                <c:pt idx="193">
                  <c:v>1448548</c:v>
                </c:pt>
                <c:pt idx="194">
                  <c:v>1441178</c:v>
                </c:pt>
                <c:pt idx="195">
                  <c:v>1431563</c:v>
                </c:pt>
                <c:pt idx="196">
                  <c:v>1444890</c:v>
                </c:pt>
                <c:pt idx="197">
                  <c:v>1456172</c:v>
                </c:pt>
                <c:pt idx="198">
                  <c:v>1458053</c:v>
                </c:pt>
                <c:pt idx="199">
                  <c:v>1448906</c:v>
                </c:pt>
                <c:pt idx="200">
                  <c:v>1456173</c:v>
                </c:pt>
                <c:pt idx="201">
                  <c:v>1412658</c:v>
                </c:pt>
                <c:pt idx="202">
                  <c:v>1468137</c:v>
                </c:pt>
                <c:pt idx="203">
                  <c:v>1439961</c:v>
                </c:pt>
                <c:pt idx="204">
                  <c:v>1416905</c:v>
                </c:pt>
                <c:pt idx="205">
                  <c:v>1417793</c:v>
                </c:pt>
                <c:pt idx="206">
                  <c:v>1465027</c:v>
                </c:pt>
                <c:pt idx="207">
                  <c:v>1414175</c:v>
                </c:pt>
                <c:pt idx="208">
                  <c:v>1445012</c:v>
                </c:pt>
                <c:pt idx="209">
                  <c:v>1456865</c:v>
                </c:pt>
                <c:pt idx="210">
                  <c:v>1466825</c:v>
                </c:pt>
                <c:pt idx="211">
                  <c:v>1467362</c:v>
                </c:pt>
                <c:pt idx="212">
                  <c:v>1446151</c:v>
                </c:pt>
                <c:pt idx="213">
                  <c:v>1444949</c:v>
                </c:pt>
                <c:pt idx="214">
                  <c:v>1454792</c:v>
                </c:pt>
                <c:pt idx="215">
                  <c:v>1459459</c:v>
                </c:pt>
                <c:pt idx="216">
                  <c:v>1433752</c:v>
                </c:pt>
                <c:pt idx="217">
                  <c:v>1407720</c:v>
                </c:pt>
                <c:pt idx="218">
                  <c:v>1392742</c:v>
                </c:pt>
                <c:pt idx="219">
                  <c:v>1418186</c:v>
                </c:pt>
                <c:pt idx="220">
                  <c:v>1389275</c:v>
                </c:pt>
                <c:pt idx="221">
                  <c:v>1405009</c:v>
                </c:pt>
                <c:pt idx="222">
                  <c:v>1395540</c:v>
                </c:pt>
                <c:pt idx="223">
                  <c:v>1369095</c:v>
                </c:pt>
                <c:pt idx="224">
                  <c:v>1371217</c:v>
                </c:pt>
                <c:pt idx="225">
                  <c:v>1382531</c:v>
                </c:pt>
                <c:pt idx="226">
                  <c:v>1363750</c:v>
                </c:pt>
                <c:pt idx="227">
                  <c:v>1358799</c:v>
                </c:pt>
                <c:pt idx="228">
                  <c:v>1356323</c:v>
                </c:pt>
                <c:pt idx="229">
                  <c:v>1367809</c:v>
                </c:pt>
                <c:pt idx="230">
                  <c:v>1364475</c:v>
                </c:pt>
                <c:pt idx="231">
                  <c:v>1353279</c:v>
                </c:pt>
                <c:pt idx="232">
                  <c:v>1363388</c:v>
                </c:pt>
                <c:pt idx="233">
                  <c:v>1370159</c:v>
                </c:pt>
                <c:pt idx="234">
                  <c:v>1207307</c:v>
                </c:pt>
                <c:pt idx="235">
                  <c:v>1348953</c:v>
                </c:pt>
                <c:pt idx="236">
                  <c:v>1359276</c:v>
                </c:pt>
                <c:pt idx="237">
                  <c:v>1337200</c:v>
                </c:pt>
                <c:pt idx="238">
                  <c:v>1333470</c:v>
                </c:pt>
                <c:pt idx="239">
                  <c:v>1225404</c:v>
                </c:pt>
                <c:pt idx="240">
                  <c:v>1319662</c:v>
                </c:pt>
                <c:pt idx="241">
                  <c:v>1324259</c:v>
                </c:pt>
                <c:pt idx="242">
                  <c:v>1326226</c:v>
                </c:pt>
                <c:pt idx="243">
                  <c:v>1313695</c:v>
                </c:pt>
                <c:pt idx="244">
                  <c:v>1325588</c:v>
                </c:pt>
                <c:pt idx="245">
                  <c:v>1296235</c:v>
                </c:pt>
                <c:pt idx="246">
                  <c:v>1334710</c:v>
                </c:pt>
                <c:pt idx="247">
                  <c:v>1341817</c:v>
                </c:pt>
                <c:pt idx="248">
                  <c:v>1321952</c:v>
                </c:pt>
                <c:pt idx="249">
                  <c:v>1328987</c:v>
                </c:pt>
                <c:pt idx="250">
                  <c:v>1346227</c:v>
                </c:pt>
                <c:pt idx="251">
                  <c:v>1359509</c:v>
                </c:pt>
                <c:pt idx="252">
                  <c:v>1344647</c:v>
                </c:pt>
                <c:pt idx="253">
                  <c:v>1335744</c:v>
                </c:pt>
                <c:pt idx="254">
                  <c:v>1288669</c:v>
                </c:pt>
                <c:pt idx="255">
                  <c:v>1311028</c:v>
                </c:pt>
                <c:pt idx="256">
                  <c:v>1304306</c:v>
                </c:pt>
                <c:pt idx="257">
                  <c:v>1299072</c:v>
                </c:pt>
                <c:pt idx="258">
                  <c:v>1294970</c:v>
                </c:pt>
                <c:pt idx="259">
                  <c:v>1287206</c:v>
                </c:pt>
                <c:pt idx="260">
                  <c:v>1332852</c:v>
                </c:pt>
              </c:numCache>
            </c:numRef>
          </c:val>
        </c:ser>
        <c:ser>
          <c:idx val="3"/>
          <c:order val="3"/>
          <c:tx>
            <c:strRef>
              <c:f>'국내 거시경제지표'!$BO$5:$BO$6</c:f>
              <c:strCache>
                <c:ptCount val="1"/>
                <c:pt idx="0">
                  <c:v>종금(계) 현재가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거시경제지표'!$BO$7:$BO$267</c:f>
              <c:numCache>
                <c:formatCode>General</c:formatCode>
                <c:ptCount val="261"/>
                <c:pt idx="0">
                  <c:v>154400</c:v>
                </c:pt>
                <c:pt idx="1">
                  <c:v>154400</c:v>
                </c:pt>
                <c:pt idx="2">
                  <c:v>149803</c:v>
                </c:pt>
                <c:pt idx="3">
                  <c:v>154828</c:v>
                </c:pt>
                <c:pt idx="4">
                  <c:v>150013</c:v>
                </c:pt>
                <c:pt idx="5">
                  <c:v>160354</c:v>
                </c:pt>
                <c:pt idx="6">
                  <c:v>154355</c:v>
                </c:pt>
                <c:pt idx="7">
                  <c:v>151215</c:v>
                </c:pt>
                <c:pt idx="8">
                  <c:v>155191</c:v>
                </c:pt>
                <c:pt idx="9">
                  <c:v>158920</c:v>
                </c:pt>
                <c:pt idx="10">
                  <c:v>161392</c:v>
                </c:pt>
                <c:pt idx="11">
                  <c:v>155772</c:v>
                </c:pt>
                <c:pt idx="12">
                  <c:v>153486</c:v>
                </c:pt>
                <c:pt idx="13">
                  <c:v>152519</c:v>
                </c:pt>
                <c:pt idx="14">
                  <c:v>152715</c:v>
                </c:pt>
                <c:pt idx="15">
                  <c:v>148861</c:v>
                </c:pt>
                <c:pt idx="16">
                  <c:v>148124</c:v>
                </c:pt>
                <c:pt idx="17">
                  <c:v>154417</c:v>
                </c:pt>
                <c:pt idx="18">
                  <c:v>159598</c:v>
                </c:pt>
                <c:pt idx="19">
                  <c:v>154685</c:v>
                </c:pt>
                <c:pt idx="20">
                  <c:v>145754</c:v>
                </c:pt>
                <c:pt idx="21">
                  <c:v>149294</c:v>
                </c:pt>
                <c:pt idx="22">
                  <c:v>160368</c:v>
                </c:pt>
                <c:pt idx="23">
                  <c:v>152926</c:v>
                </c:pt>
                <c:pt idx="24">
                  <c:v>142978</c:v>
                </c:pt>
                <c:pt idx="25">
                  <c:v>146679</c:v>
                </c:pt>
                <c:pt idx="26">
                  <c:v>146870</c:v>
                </c:pt>
                <c:pt idx="27">
                  <c:v>145661</c:v>
                </c:pt>
                <c:pt idx="28">
                  <c:v>137352</c:v>
                </c:pt>
                <c:pt idx="29">
                  <c:v>137682</c:v>
                </c:pt>
                <c:pt idx="30">
                  <c:v>144681</c:v>
                </c:pt>
                <c:pt idx="31">
                  <c:v>149287</c:v>
                </c:pt>
                <c:pt idx="32">
                  <c:v>144698</c:v>
                </c:pt>
                <c:pt idx="33">
                  <c:v>143717</c:v>
                </c:pt>
                <c:pt idx="34">
                  <c:v>146017</c:v>
                </c:pt>
                <c:pt idx="35">
                  <c:v>148061</c:v>
                </c:pt>
                <c:pt idx="36">
                  <c:v>150432</c:v>
                </c:pt>
                <c:pt idx="37">
                  <c:v>143003</c:v>
                </c:pt>
                <c:pt idx="38">
                  <c:v>152451</c:v>
                </c:pt>
                <c:pt idx="39">
                  <c:v>151068</c:v>
                </c:pt>
                <c:pt idx="40">
                  <c:v>154902</c:v>
                </c:pt>
                <c:pt idx="41">
                  <c:v>145662</c:v>
                </c:pt>
                <c:pt idx="42">
                  <c:v>148884</c:v>
                </c:pt>
                <c:pt idx="43">
                  <c:v>152476</c:v>
                </c:pt>
                <c:pt idx="44">
                  <c:v>153863</c:v>
                </c:pt>
                <c:pt idx="45">
                  <c:v>153869</c:v>
                </c:pt>
                <c:pt idx="46">
                  <c:v>147722</c:v>
                </c:pt>
                <c:pt idx="47">
                  <c:v>149038</c:v>
                </c:pt>
                <c:pt idx="48">
                  <c:v>153693</c:v>
                </c:pt>
                <c:pt idx="49">
                  <c:v>148661</c:v>
                </c:pt>
                <c:pt idx="50">
                  <c:v>150718</c:v>
                </c:pt>
                <c:pt idx="51">
                  <c:v>150029</c:v>
                </c:pt>
                <c:pt idx="52">
                  <c:v>149749</c:v>
                </c:pt>
                <c:pt idx="53">
                  <c:v>151509</c:v>
                </c:pt>
                <c:pt idx="54">
                  <c:v>148623</c:v>
                </c:pt>
                <c:pt idx="55">
                  <c:v>146393</c:v>
                </c:pt>
                <c:pt idx="56">
                  <c:v>148394</c:v>
                </c:pt>
                <c:pt idx="57">
                  <c:v>151041</c:v>
                </c:pt>
                <c:pt idx="58">
                  <c:v>150351</c:v>
                </c:pt>
                <c:pt idx="59">
                  <c:v>147887</c:v>
                </c:pt>
                <c:pt idx="60">
                  <c:v>150583</c:v>
                </c:pt>
                <c:pt idx="61">
                  <c:v>156387</c:v>
                </c:pt>
                <c:pt idx="62">
                  <c:v>147678</c:v>
                </c:pt>
                <c:pt idx="63">
                  <c:v>152162</c:v>
                </c:pt>
                <c:pt idx="64">
                  <c:v>151586</c:v>
                </c:pt>
                <c:pt idx="65">
                  <c:v>148669</c:v>
                </c:pt>
                <c:pt idx="66">
                  <c:v>150685</c:v>
                </c:pt>
                <c:pt idx="67">
                  <c:v>147985</c:v>
                </c:pt>
                <c:pt idx="68">
                  <c:v>144954</c:v>
                </c:pt>
                <c:pt idx="69">
                  <c:v>148773</c:v>
                </c:pt>
                <c:pt idx="70">
                  <c:v>149759</c:v>
                </c:pt>
                <c:pt idx="71">
                  <c:v>149080</c:v>
                </c:pt>
                <c:pt idx="72">
                  <c:v>141142</c:v>
                </c:pt>
                <c:pt idx="73">
                  <c:v>137934</c:v>
                </c:pt>
                <c:pt idx="74">
                  <c:v>146292</c:v>
                </c:pt>
                <c:pt idx="75">
                  <c:v>147658</c:v>
                </c:pt>
                <c:pt idx="76">
                  <c:v>139514</c:v>
                </c:pt>
                <c:pt idx="77">
                  <c:v>140632</c:v>
                </c:pt>
                <c:pt idx="78">
                  <c:v>145409</c:v>
                </c:pt>
                <c:pt idx="79">
                  <c:v>145676</c:v>
                </c:pt>
                <c:pt idx="80">
                  <c:v>137907</c:v>
                </c:pt>
                <c:pt idx="81">
                  <c:v>139460</c:v>
                </c:pt>
                <c:pt idx="82">
                  <c:v>134917</c:v>
                </c:pt>
                <c:pt idx="83">
                  <c:v>141179</c:v>
                </c:pt>
                <c:pt idx="84">
                  <c:v>144509</c:v>
                </c:pt>
                <c:pt idx="85">
                  <c:v>135408</c:v>
                </c:pt>
                <c:pt idx="86">
                  <c:v>143832</c:v>
                </c:pt>
                <c:pt idx="87">
                  <c:v>137935</c:v>
                </c:pt>
                <c:pt idx="88">
                  <c:v>137935</c:v>
                </c:pt>
                <c:pt idx="89">
                  <c:v>139372</c:v>
                </c:pt>
                <c:pt idx="90">
                  <c:v>138879</c:v>
                </c:pt>
                <c:pt idx="91">
                  <c:v>142589</c:v>
                </c:pt>
                <c:pt idx="92">
                  <c:v>142398</c:v>
                </c:pt>
                <c:pt idx="93">
                  <c:v>137367</c:v>
                </c:pt>
                <c:pt idx="94">
                  <c:v>139545</c:v>
                </c:pt>
                <c:pt idx="95">
                  <c:v>141393</c:v>
                </c:pt>
                <c:pt idx="96">
                  <c:v>142563</c:v>
                </c:pt>
                <c:pt idx="97">
                  <c:v>144580</c:v>
                </c:pt>
                <c:pt idx="98">
                  <c:v>141243</c:v>
                </c:pt>
                <c:pt idx="99">
                  <c:v>137402</c:v>
                </c:pt>
                <c:pt idx="100">
                  <c:v>141216</c:v>
                </c:pt>
                <c:pt idx="101">
                  <c:v>135189</c:v>
                </c:pt>
                <c:pt idx="102">
                  <c:v>137034</c:v>
                </c:pt>
                <c:pt idx="103">
                  <c:v>140842</c:v>
                </c:pt>
                <c:pt idx="104">
                  <c:v>142137</c:v>
                </c:pt>
                <c:pt idx="105">
                  <c:v>139479</c:v>
                </c:pt>
                <c:pt idx="106">
                  <c:v>142815</c:v>
                </c:pt>
                <c:pt idx="107">
                  <c:v>136667</c:v>
                </c:pt>
                <c:pt idx="108">
                  <c:v>135602</c:v>
                </c:pt>
                <c:pt idx="109">
                  <c:v>138816</c:v>
                </c:pt>
                <c:pt idx="110">
                  <c:v>138073</c:v>
                </c:pt>
                <c:pt idx="111">
                  <c:v>136419</c:v>
                </c:pt>
                <c:pt idx="112">
                  <c:v>134443</c:v>
                </c:pt>
                <c:pt idx="113">
                  <c:v>132974</c:v>
                </c:pt>
                <c:pt idx="114">
                  <c:v>138042</c:v>
                </c:pt>
                <c:pt idx="115">
                  <c:v>134579</c:v>
                </c:pt>
                <c:pt idx="116">
                  <c:v>137621</c:v>
                </c:pt>
                <c:pt idx="117">
                  <c:v>138225</c:v>
                </c:pt>
                <c:pt idx="118">
                  <c:v>138720</c:v>
                </c:pt>
                <c:pt idx="119">
                  <c:v>137337</c:v>
                </c:pt>
                <c:pt idx="120">
                  <c:v>132417</c:v>
                </c:pt>
                <c:pt idx="121">
                  <c:v>134260</c:v>
                </c:pt>
                <c:pt idx="122">
                  <c:v>138306</c:v>
                </c:pt>
                <c:pt idx="123">
                  <c:v>134780</c:v>
                </c:pt>
                <c:pt idx="124">
                  <c:v>133116</c:v>
                </c:pt>
                <c:pt idx="125">
                  <c:v>129747</c:v>
                </c:pt>
                <c:pt idx="126">
                  <c:v>133223</c:v>
                </c:pt>
                <c:pt idx="127">
                  <c:v>134052</c:v>
                </c:pt>
                <c:pt idx="128">
                  <c:v>132538</c:v>
                </c:pt>
                <c:pt idx="129">
                  <c:v>132072</c:v>
                </c:pt>
                <c:pt idx="130">
                  <c:v>132720</c:v>
                </c:pt>
                <c:pt idx="131">
                  <c:v>133748</c:v>
                </c:pt>
                <c:pt idx="132">
                  <c:v>136450</c:v>
                </c:pt>
                <c:pt idx="133">
                  <c:v>126736</c:v>
                </c:pt>
                <c:pt idx="134">
                  <c:v>137935</c:v>
                </c:pt>
                <c:pt idx="135">
                  <c:v>136705</c:v>
                </c:pt>
                <c:pt idx="136">
                  <c:v>135984</c:v>
                </c:pt>
                <c:pt idx="137">
                  <c:v>129073</c:v>
                </c:pt>
                <c:pt idx="138">
                  <c:v>128308</c:v>
                </c:pt>
                <c:pt idx="139">
                  <c:v>135487</c:v>
                </c:pt>
                <c:pt idx="140">
                  <c:v>131703</c:v>
                </c:pt>
                <c:pt idx="141">
                  <c:v>129796</c:v>
                </c:pt>
                <c:pt idx="142">
                  <c:v>128167</c:v>
                </c:pt>
                <c:pt idx="143">
                  <c:v>127847</c:v>
                </c:pt>
                <c:pt idx="144">
                  <c:v>127318</c:v>
                </c:pt>
                <c:pt idx="145">
                  <c:v>127465</c:v>
                </c:pt>
                <c:pt idx="146">
                  <c:v>125970</c:v>
                </c:pt>
                <c:pt idx="147">
                  <c:v>127463</c:v>
                </c:pt>
                <c:pt idx="148">
                  <c:v>124336</c:v>
                </c:pt>
                <c:pt idx="149">
                  <c:v>127758</c:v>
                </c:pt>
                <c:pt idx="150">
                  <c:v>122277</c:v>
                </c:pt>
                <c:pt idx="151">
                  <c:v>121321</c:v>
                </c:pt>
                <c:pt idx="152">
                  <c:v>126945</c:v>
                </c:pt>
                <c:pt idx="153">
                  <c:v>132538</c:v>
                </c:pt>
                <c:pt idx="154">
                  <c:v>128887</c:v>
                </c:pt>
                <c:pt idx="155">
                  <c:v>125564</c:v>
                </c:pt>
                <c:pt idx="156">
                  <c:v>125606</c:v>
                </c:pt>
                <c:pt idx="157">
                  <c:v>130439</c:v>
                </c:pt>
                <c:pt idx="158">
                  <c:v>131108</c:v>
                </c:pt>
                <c:pt idx="159">
                  <c:v>125467</c:v>
                </c:pt>
                <c:pt idx="160">
                  <c:v>128937</c:v>
                </c:pt>
                <c:pt idx="161">
                  <c:v>129587</c:v>
                </c:pt>
                <c:pt idx="162">
                  <c:v>128019</c:v>
                </c:pt>
                <c:pt idx="163">
                  <c:v>123506</c:v>
                </c:pt>
                <c:pt idx="164">
                  <c:v>123111</c:v>
                </c:pt>
                <c:pt idx="165">
                  <c:v>128518</c:v>
                </c:pt>
                <c:pt idx="166">
                  <c:v>127767</c:v>
                </c:pt>
                <c:pt idx="167">
                  <c:v>124899</c:v>
                </c:pt>
                <c:pt idx="168">
                  <c:v>118398</c:v>
                </c:pt>
                <c:pt idx="169">
                  <c:v>122041</c:v>
                </c:pt>
                <c:pt idx="170">
                  <c:v>121808</c:v>
                </c:pt>
                <c:pt idx="171">
                  <c:v>122153</c:v>
                </c:pt>
                <c:pt idx="172">
                  <c:v>118566</c:v>
                </c:pt>
                <c:pt idx="173">
                  <c:v>121299</c:v>
                </c:pt>
                <c:pt idx="174">
                  <c:v>117730</c:v>
                </c:pt>
                <c:pt idx="175">
                  <c:v>108465</c:v>
                </c:pt>
                <c:pt idx="176">
                  <c:v>115179</c:v>
                </c:pt>
                <c:pt idx="177">
                  <c:v>116496</c:v>
                </c:pt>
                <c:pt idx="178">
                  <c:v>116390</c:v>
                </c:pt>
                <c:pt idx="179">
                  <c:v>115996</c:v>
                </c:pt>
                <c:pt idx="180">
                  <c:v>118390</c:v>
                </c:pt>
                <c:pt idx="181">
                  <c:v>113529</c:v>
                </c:pt>
                <c:pt idx="182">
                  <c:v>115415</c:v>
                </c:pt>
                <c:pt idx="183">
                  <c:v>116461</c:v>
                </c:pt>
                <c:pt idx="184">
                  <c:v>116665</c:v>
                </c:pt>
                <c:pt idx="185">
                  <c:v>113504</c:v>
                </c:pt>
                <c:pt idx="186">
                  <c:v>115834</c:v>
                </c:pt>
                <c:pt idx="187">
                  <c:v>114238</c:v>
                </c:pt>
                <c:pt idx="188">
                  <c:v>115767</c:v>
                </c:pt>
                <c:pt idx="189">
                  <c:v>107700</c:v>
                </c:pt>
                <c:pt idx="190">
                  <c:v>108500</c:v>
                </c:pt>
                <c:pt idx="191">
                  <c:v>108336</c:v>
                </c:pt>
                <c:pt idx="192">
                  <c:v>112033</c:v>
                </c:pt>
                <c:pt idx="193">
                  <c:v>117385</c:v>
                </c:pt>
                <c:pt idx="194">
                  <c:v>109126</c:v>
                </c:pt>
                <c:pt idx="195">
                  <c:v>112892</c:v>
                </c:pt>
                <c:pt idx="196">
                  <c:v>114741</c:v>
                </c:pt>
                <c:pt idx="197">
                  <c:v>115071</c:v>
                </c:pt>
                <c:pt idx="198">
                  <c:v>109413</c:v>
                </c:pt>
                <c:pt idx="199">
                  <c:v>109898</c:v>
                </c:pt>
                <c:pt idx="200">
                  <c:v>105519</c:v>
                </c:pt>
                <c:pt idx="201">
                  <c:v>110122</c:v>
                </c:pt>
                <c:pt idx="202">
                  <c:v>106411</c:v>
                </c:pt>
                <c:pt idx="203">
                  <c:v>106872</c:v>
                </c:pt>
                <c:pt idx="204">
                  <c:v>106155</c:v>
                </c:pt>
                <c:pt idx="205">
                  <c:v>109390</c:v>
                </c:pt>
                <c:pt idx="206">
                  <c:v>116873</c:v>
                </c:pt>
                <c:pt idx="207">
                  <c:v>100782</c:v>
                </c:pt>
                <c:pt idx="208">
                  <c:v>107633</c:v>
                </c:pt>
                <c:pt idx="209">
                  <c:v>109891</c:v>
                </c:pt>
                <c:pt idx="210">
                  <c:v>112514</c:v>
                </c:pt>
                <c:pt idx="211">
                  <c:v>117172</c:v>
                </c:pt>
                <c:pt idx="212">
                  <c:v>110540</c:v>
                </c:pt>
                <c:pt idx="213">
                  <c:v>112637</c:v>
                </c:pt>
                <c:pt idx="214">
                  <c:v>110735</c:v>
                </c:pt>
                <c:pt idx="215">
                  <c:v>110382</c:v>
                </c:pt>
                <c:pt idx="216">
                  <c:v>108343</c:v>
                </c:pt>
                <c:pt idx="217">
                  <c:v>108687</c:v>
                </c:pt>
                <c:pt idx="218">
                  <c:v>106346</c:v>
                </c:pt>
                <c:pt idx="219">
                  <c:v>105392</c:v>
                </c:pt>
                <c:pt idx="220">
                  <c:v>103746</c:v>
                </c:pt>
                <c:pt idx="221">
                  <c:v>107859</c:v>
                </c:pt>
                <c:pt idx="222">
                  <c:v>109812</c:v>
                </c:pt>
                <c:pt idx="223">
                  <c:v>111210</c:v>
                </c:pt>
                <c:pt idx="224">
                  <c:v>114172</c:v>
                </c:pt>
                <c:pt idx="225">
                  <c:v>110468</c:v>
                </c:pt>
                <c:pt idx="226">
                  <c:v>113882</c:v>
                </c:pt>
                <c:pt idx="227">
                  <c:v>111475</c:v>
                </c:pt>
                <c:pt idx="228">
                  <c:v>104425</c:v>
                </c:pt>
                <c:pt idx="229">
                  <c:v>107760</c:v>
                </c:pt>
                <c:pt idx="230">
                  <c:v>106136</c:v>
                </c:pt>
                <c:pt idx="231">
                  <c:v>110137</c:v>
                </c:pt>
                <c:pt idx="232">
                  <c:v>111071</c:v>
                </c:pt>
                <c:pt idx="233">
                  <c:v>107564</c:v>
                </c:pt>
                <c:pt idx="234">
                  <c:v>114790</c:v>
                </c:pt>
                <c:pt idx="235">
                  <c:v>108882</c:v>
                </c:pt>
                <c:pt idx="236">
                  <c:v>109327</c:v>
                </c:pt>
                <c:pt idx="237">
                  <c:v>106682</c:v>
                </c:pt>
                <c:pt idx="238">
                  <c:v>105730</c:v>
                </c:pt>
                <c:pt idx="239">
                  <c:v>111282</c:v>
                </c:pt>
                <c:pt idx="240">
                  <c:v>106622</c:v>
                </c:pt>
                <c:pt idx="241">
                  <c:v>103711</c:v>
                </c:pt>
                <c:pt idx="242">
                  <c:v>103901</c:v>
                </c:pt>
                <c:pt idx="243">
                  <c:v>107708</c:v>
                </c:pt>
                <c:pt idx="244">
                  <c:v>110544</c:v>
                </c:pt>
                <c:pt idx="245">
                  <c:v>109931</c:v>
                </c:pt>
                <c:pt idx="246">
                  <c:v>103705</c:v>
                </c:pt>
                <c:pt idx="247">
                  <c:v>105757</c:v>
                </c:pt>
                <c:pt idx="248">
                  <c:v>100473</c:v>
                </c:pt>
                <c:pt idx="249">
                  <c:v>104246</c:v>
                </c:pt>
                <c:pt idx="250">
                  <c:v>102486</c:v>
                </c:pt>
                <c:pt idx="251">
                  <c:v>104658</c:v>
                </c:pt>
                <c:pt idx="252">
                  <c:v>108702</c:v>
                </c:pt>
                <c:pt idx="253">
                  <c:v>107786</c:v>
                </c:pt>
                <c:pt idx="254">
                  <c:v>104986</c:v>
                </c:pt>
                <c:pt idx="255">
                  <c:v>102885</c:v>
                </c:pt>
                <c:pt idx="256">
                  <c:v>106637</c:v>
                </c:pt>
                <c:pt idx="257">
                  <c:v>108143</c:v>
                </c:pt>
                <c:pt idx="258">
                  <c:v>104391</c:v>
                </c:pt>
                <c:pt idx="259">
                  <c:v>105259</c:v>
                </c:pt>
                <c:pt idx="260">
                  <c:v>105019</c:v>
                </c:pt>
              </c:numCache>
            </c:numRef>
          </c:val>
        </c:ser>
        <c:ser>
          <c:idx val="4"/>
          <c:order val="4"/>
          <c:tx>
            <c:strRef>
              <c:f>'국내 거시경제지표'!$BP$5:$BP$6</c:f>
              <c:strCache>
                <c:ptCount val="1"/>
                <c:pt idx="0">
                  <c:v>투신-혼합 현재가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거시경제지표'!$BP$7:$BP$267</c:f>
              <c:numCache>
                <c:formatCode>General</c:formatCode>
                <c:ptCount val="261"/>
                <c:pt idx="0">
                  <c:v>270023</c:v>
                </c:pt>
                <c:pt idx="1">
                  <c:v>270023</c:v>
                </c:pt>
                <c:pt idx="2">
                  <c:v>269871</c:v>
                </c:pt>
                <c:pt idx="3">
                  <c:v>270226</c:v>
                </c:pt>
                <c:pt idx="4">
                  <c:v>270955</c:v>
                </c:pt>
                <c:pt idx="5">
                  <c:v>271107</c:v>
                </c:pt>
                <c:pt idx="6">
                  <c:v>272317</c:v>
                </c:pt>
                <c:pt idx="7">
                  <c:v>272952</c:v>
                </c:pt>
                <c:pt idx="8">
                  <c:v>275166</c:v>
                </c:pt>
                <c:pt idx="9">
                  <c:v>275748</c:v>
                </c:pt>
                <c:pt idx="10">
                  <c:v>276290</c:v>
                </c:pt>
                <c:pt idx="11">
                  <c:v>275370</c:v>
                </c:pt>
                <c:pt idx="12">
                  <c:v>275606</c:v>
                </c:pt>
                <c:pt idx="13">
                  <c:v>275408</c:v>
                </c:pt>
                <c:pt idx="14">
                  <c:v>275068</c:v>
                </c:pt>
                <c:pt idx="15">
                  <c:v>274801</c:v>
                </c:pt>
                <c:pt idx="16">
                  <c:v>275423</c:v>
                </c:pt>
                <c:pt idx="17">
                  <c:v>275405</c:v>
                </c:pt>
                <c:pt idx="18">
                  <c:v>275367</c:v>
                </c:pt>
                <c:pt idx="19">
                  <c:v>277687</c:v>
                </c:pt>
                <c:pt idx="20">
                  <c:v>279590</c:v>
                </c:pt>
                <c:pt idx="21">
                  <c:v>279878</c:v>
                </c:pt>
                <c:pt idx="22">
                  <c:v>281727</c:v>
                </c:pt>
                <c:pt idx="23">
                  <c:v>281089</c:v>
                </c:pt>
                <c:pt idx="24">
                  <c:v>281276</c:v>
                </c:pt>
                <c:pt idx="25">
                  <c:v>281521</c:v>
                </c:pt>
                <c:pt idx="26">
                  <c:v>281540</c:v>
                </c:pt>
                <c:pt idx="27">
                  <c:v>281574</c:v>
                </c:pt>
                <c:pt idx="28">
                  <c:v>281264</c:v>
                </c:pt>
                <c:pt idx="29">
                  <c:v>281478</c:v>
                </c:pt>
                <c:pt idx="30">
                  <c:v>281671</c:v>
                </c:pt>
                <c:pt idx="31">
                  <c:v>281817</c:v>
                </c:pt>
                <c:pt idx="32">
                  <c:v>284921</c:v>
                </c:pt>
                <c:pt idx="33">
                  <c:v>286318</c:v>
                </c:pt>
                <c:pt idx="34">
                  <c:v>286858</c:v>
                </c:pt>
                <c:pt idx="35">
                  <c:v>286949</c:v>
                </c:pt>
                <c:pt idx="36">
                  <c:v>286682</c:v>
                </c:pt>
                <c:pt idx="37">
                  <c:v>286756</c:v>
                </c:pt>
                <c:pt idx="38">
                  <c:v>287595</c:v>
                </c:pt>
                <c:pt idx="39">
                  <c:v>288032</c:v>
                </c:pt>
                <c:pt idx="40">
                  <c:v>288061</c:v>
                </c:pt>
                <c:pt idx="41">
                  <c:v>287904</c:v>
                </c:pt>
                <c:pt idx="42">
                  <c:v>288379</c:v>
                </c:pt>
                <c:pt idx="43">
                  <c:v>288489</c:v>
                </c:pt>
                <c:pt idx="44">
                  <c:v>289758</c:v>
                </c:pt>
                <c:pt idx="45">
                  <c:v>290005</c:v>
                </c:pt>
                <c:pt idx="46">
                  <c:v>289826</c:v>
                </c:pt>
                <c:pt idx="47">
                  <c:v>290215</c:v>
                </c:pt>
                <c:pt idx="48">
                  <c:v>290795</c:v>
                </c:pt>
                <c:pt idx="49">
                  <c:v>290634</c:v>
                </c:pt>
                <c:pt idx="50">
                  <c:v>292896</c:v>
                </c:pt>
                <c:pt idx="51">
                  <c:v>291389</c:v>
                </c:pt>
                <c:pt idx="52">
                  <c:v>291403</c:v>
                </c:pt>
                <c:pt idx="53">
                  <c:v>291490</c:v>
                </c:pt>
                <c:pt idx="54">
                  <c:v>291052</c:v>
                </c:pt>
                <c:pt idx="55">
                  <c:v>290259</c:v>
                </c:pt>
                <c:pt idx="56">
                  <c:v>292260</c:v>
                </c:pt>
                <c:pt idx="57">
                  <c:v>292330</c:v>
                </c:pt>
                <c:pt idx="58">
                  <c:v>294521</c:v>
                </c:pt>
                <c:pt idx="59">
                  <c:v>293832</c:v>
                </c:pt>
                <c:pt idx="60">
                  <c:v>291356</c:v>
                </c:pt>
                <c:pt idx="61">
                  <c:v>289568</c:v>
                </c:pt>
                <c:pt idx="62">
                  <c:v>289522</c:v>
                </c:pt>
                <c:pt idx="63">
                  <c:v>289371</c:v>
                </c:pt>
                <c:pt idx="64">
                  <c:v>286074</c:v>
                </c:pt>
                <c:pt idx="65">
                  <c:v>287434</c:v>
                </c:pt>
                <c:pt idx="66">
                  <c:v>287382</c:v>
                </c:pt>
                <c:pt idx="67">
                  <c:v>286391</c:v>
                </c:pt>
                <c:pt idx="68">
                  <c:v>286087</c:v>
                </c:pt>
                <c:pt idx="69">
                  <c:v>285630</c:v>
                </c:pt>
                <c:pt idx="70">
                  <c:v>283986</c:v>
                </c:pt>
                <c:pt idx="71">
                  <c:v>285123</c:v>
                </c:pt>
                <c:pt idx="72">
                  <c:v>284378</c:v>
                </c:pt>
                <c:pt idx="73">
                  <c:v>285777</c:v>
                </c:pt>
                <c:pt idx="74">
                  <c:v>287201</c:v>
                </c:pt>
                <c:pt idx="75">
                  <c:v>286070</c:v>
                </c:pt>
                <c:pt idx="76">
                  <c:v>284974</c:v>
                </c:pt>
                <c:pt idx="77">
                  <c:v>287800</c:v>
                </c:pt>
                <c:pt idx="78">
                  <c:v>288885</c:v>
                </c:pt>
                <c:pt idx="79">
                  <c:v>289052</c:v>
                </c:pt>
                <c:pt idx="80">
                  <c:v>288610</c:v>
                </c:pt>
                <c:pt idx="81">
                  <c:v>290182</c:v>
                </c:pt>
                <c:pt idx="82">
                  <c:v>289903</c:v>
                </c:pt>
                <c:pt idx="83">
                  <c:v>290606</c:v>
                </c:pt>
                <c:pt idx="84">
                  <c:v>292601</c:v>
                </c:pt>
                <c:pt idx="85">
                  <c:v>293719</c:v>
                </c:pt>
                <c:pt idx="86">
                  <c:v>295115</c:v>
                </c:pt>
                <c:pt idx="87">
                  <c:v>295253</c:v>
                </c:pt>
                <c:pt idx="88">
                  <c:v>295253</c:v>
                </c:pt>
                <c:pt idx="89">
                  <c:v>293349</c:v>
                </c:pt>
                <c:pt idx="90">
                  <c:v>297045</c:v>
                </c:pt>
                <c:pt idx="91">
                  <c:v>298796</c:v>
                </c:pt>
                <c:pt idx="92">
                  <c:v>298873</c:v>
                </c:pt>
                <c:pt idx="93">
                  <c:v>298243</c:v>
                </c:pt>
                <c:pt idx="94">
                  <c:v>295393</c:v>
                </c:pt>
                <c:pt idx="95">
                  <c:v>296047</c:v>
                </c:pt>
                <c:pt idx="96">
                  <c:v>295581</c:v>
                </c:pt>
                <c:pt idx="97">
                  <c:v>296508</c:v>
                </c:pt>
                <c:pt idx="98">
                  <c:v>297699</c:v>
                </c:pt>
                <c:pt idx="99">
                  <c:v>300735</c:v>
                </c:pt>
                <c:pt idx="100">
                  <c:v>301275</c:v>
                </c:pt>
                <c:pt idx="101">
                  <c:v>301877</c:v>
                </c:pt>
                <c:pt idx="102">
                  <c:v>302502</c:v>
                </c:pt>
                <c:pt idx="103">
                  <c:v>303337</c:v>
                </c:pt>
                <c:pt idx="104">
                  <c:v>304972</c:v>
                </c:pt>
                <c:pt idx="105">
                  <c:v>306546</c:v>
                </c:pt>
                <c:pt idx="106">
                  <c:v>316538</c:v>
                </c:pt>
                <c:pt idx="107">
                  <c:v>310058</c:v>
                </c:pt>
                <c:pt idx="108">
                  <c:v>312136</c:v>
                </c:pt>
                <c:pt idx="109">
                  <c:v>314045</c:v>
                </c:pt>
                <c:pt idx="110">
                  <c:v>315942</c:v>
                </c:pt>
                <c:pt idx="111">
                  <c:v>322538</c:v>
                </c:pt>
                <c:pt idx="112">
                  <c:v>318672</c:v>
                </c:pt>
                <c:pt idx="113">
                  <c:v>320009</c:v>
                </c:pt>
                <c:pt idx="114">
                  <c:v>320468</c:v>
                </c:pt>
                <c:pt idx="115">
                  <c:v>321534</c:v>
                </c:pt>
                <c:pt idx="116">
                  <c:v>324870</c:v>
                </c:pt>
                <c:pt idx="117">
                  <c:v>326243</c:v>
                </c:pt>
                <c:pt idx="118">
                  <c:v>327712</c:v>
                </c:pt>
                <c:pt idx="119">
                  <c:v>331396</c:v>
                </c:pt>
                <c:pt idx="120">
                  <c:v>335112</c:v>
                </c:pt>
                <c:pt idx="121">
                  <c:v>336684</c:v>
                </c:pt>
                <c:pt idx="122">
                  <c:v>337338</c:v>
                </c:pt>
                <c:pt idx="123">
                  <c:v>339518</c:v>
                </c:pt>
                <c:pt idx="124">
                  <c:v>340103</c:v>
                </c:pt>
                <c:pt idx="125">
                  <c:v>343905</c:v>
                </c:pt>
                <c:pt idx="126">
                  <c:v>345384</c:v>
                </c:pt>
                <c:pt idx="127">
                  <c:v>345627</c:v>
                </c:pt>
                <c:pt idx="128">
                  <c:v>349361</c:v>
                </c:pt>
                <c:pt idx="129">
                  <c:v>352305</c:v>
                </c:pt>
                <c:pt idx="130">
                  <c:v>355283</c:v>
                </c:pt>
                <c:pt idx="131">
                  <c:v>357459</c:v>
                </c:pt>
                <c:pt idx="132">
                  <c:v>359174</c:v>
                </c:pt>
                <c:pt idx="133">
                  <c:v>362069</c:v>
                </c:pt>
                <c:pt idx="134">
                  <c:v>364309</c:v>
                </c:pt>
                <c:pt idx="135">
                  <c:v>362953</c:v>
                </c:pt>
                <c:pt idx="136">
                  <c:v>361592</c:v>
                </c:pt>
                <c:pt idx="137">
                  <c:v>362462</c:v>
                </c:pt>
                <c:pt idx="138">
                  <c:v>362755</c:v>
                </c:pt>
                <c:pt idx="139">
                  <c:v>364666</c:v>
                </c:pt>
                <c:pt idx="140">
                  <c:v>368291</c:v>
                </c:pt>
                <c:pt idx="141">
                  <c:v>369819</c:v>
                </c:pt>
                <c:pt idx="142">
                  <c:v>370395</c:v>
                </c:pt>
                <c:pt idx="143">
                  <c:v>370267</c:v>
                </c:pt>
                <c:pt idx="144">
                  <c:v>373512</c:v>
                </c:pt>
                <c:pt idx="145">
                  <c:v>375148</c:v>
                </c:pt>
                <c:pt idx="146">
                  <c:v>374208</c:v>
                </c:pt>
                <c:pt idx="147">
                  <c:v>375017</c:v>
                </c:pt>
                <c:pt idx="148">
                  <c:v>378184</c:v>
                </c:pt>
                <c:pt idx="149">
                  <c:v>379884</c:v>
                </c:pt>
                <c:pt idx="150">
                  <c:v>380394</c:v>
                </c:pt>
                <c:pt idx="151">
                  <c:v>385020</c:v>
                </c:pt>
                <c:pt idx="152">
                  <c:v>386753</c:v>
                </c:pt>
                <c:pt idx="153">
                  <c:v>387814</c:v>
                </c:pt>
                <c:pt idx="154">
                  <c:v>387181</c:v>
                </c:pt>
                <c:pt idx="155">
                  <c:v>383614</c:v>
                </c:pt>
                <c:pt idx="156">
                  <c:v>386288</c:v>
                </c:pt>
                <c:pt idx="157">
                  <c:v>386532</c:v>
                </c:pt>
                <c:pt idx="158">
                  <c:v>385747</c:v>
                </c:pt>
                <c:pt idx="159">
                  <c:v>384998</c:v>
                </c:pt>
                <c:pt idx="160">
                  <c:v>387120</c:v>
                </c:pt>
                <c:pt idx="161">
                  <c:v>385540</c:v>
                </c:pt>
                <c:pt idx="162">
                  <c:v>387501</c:v>
                </c:pt>
                <c:pt idx="163">
                  <c:v>389218</c:v>
                </c:pt>
                <c:pt idx="164">
                  <c:v>387968</c:v>
                </c:pt>
                <c:pt idx="165">
                  <c:v>387694</c:v>
                </c:pt>
                <c:pt idx="166">
                  <c:v>388329</c:v>
                </c:pt>
                <c:pt idx="167">
                  <c:v>388570</c:v>
                </c:pt>
                <c:pt idx="168">
                  <c:v>387786</c:v>
                </c:pt>
                <c:pt idx="169">
                  <c:v>387937</c:v>
                </c:pt>
                <c:pt idx="170">
                  <c:v>388946</c:v>
                </c:pt>
                <c:pt idx="171">
                  <c:v>388400</c:v>
                </c:pt>
                <c:pt idx="172">
                  <c:v>388264</c:v>
                </c:pt>
                <c:pt idx="173">
                  <c:v>388920</c:v>
                </c:pt>
                <c:pt idx="174">
                  <c:v>389103</c:v>
                </c:pt>
                <c:pt idx="175">
                  <c:v>388105</c:v>
                </c:pt>
                <c:pt idx="176">
                  <c:v>387850</c:v>
                </c:pt>
                <c:pt idx="177">
                  <c:v>387355</c:v>
                </c:pt>
                <c:pt idx="178">
                  <c:v>387899</c:v>
                </c:pt>
                <c:pt idx="179">
                  <c:v>385962</c:v>
                </c:pt>
                <c:pt idx="180">
                  <c:v>386011</c:v>
                </c:pt>
                <c:pt idx="181">
                  <c:v>388629</c:v>
                </c:pt>
                <c:pt idx="182">
                  <c:v>389095</c:v>
                </c:pt>
                <c:pt idx="183">
                  <c:v>389474</c:v>
                </c:pt>
                <c:pt idx="184">
                  <c:v>390556</c:v>
                </c:pt>
                <c:pt idx="185">
                  <c:v>391672</c:v>
                </c:pt>
                <c:pt idx="186">
                  <c:v>390883</c:v>
                </c:pt>
                <c:pt idx="187">
                  <c:v>392640</c:v>
                </c:pt>
                <c:pt idx="188">
                  <c:v>392025</c:v>
                </c:pt>
                <c:pt idx="189">
                  <c:v>406791</c:v>
                </c:pt>
                <c:pt idx="190">
                  <c:v>406901</c:v>
                </c:pt>
                <c:pt idx="191">
                  <c:v>403649</c:v>
                </c:pt>
                <c:pt idx="192">
                  <c:v>403524</c:v>
                </c:pt>
                <c:pt idx="193">
                  <c:v>403810</c:v>
                </c:pt>
                <c:pt idx="194">
                  <c:v>406991</c:v>
                </c:pt>
                <c:pt idx="195">
                  <c:v>404703</c:v>
                </c:pt>
                <c:pt idx="196">
                  <c:v>402312</c:v>
                </c:pt>
                <c:pt idx="197">
                  <c:v>400250</c:v>
                </c:pt>
                <c:pt idx="198">
                  <c:v>399522</c:v>
                </c:pt>
                <c:pt idx="199">
                  <c:v>397470</c:v>
                </c:pt>
                <c:pt idx="200">
                  <c:v>398565</c:v>
                </c:pt>
                <c:pt idx="201">
                  <c:v>394313</c:v>
                </c:pt>
                <c:pt idx="202">
                  <c:v>390282</c:v>
                </c:pt>
                <c:pt idx="203">
                  <c:v>390211</c:v>
                </c:pt>
                <c:pt idx="204">
                  <c:v>387758</c:v>
                </c:pt>
                <c:pt idx="205">
                  <c:v>384133</c:v>
                </c:pt>
                <c:pt idx="206">
                  <c:v>378321</c:v>
                </c:pt>
                <c:pt idx="207">
                  <c:v>379701</c:v>
                </c:pt>
                <c:pt idx="208">
                  <c:v>378636</c:v>
                </c:pt>
                <c:pt idx="209">
                  <c:v>374403</c:v>
                </c:pt>
                <c:pt idx="210">
                  <c:v>371927</c:v>
                </c:pt>
                <c:pt idx="211">
                  <c:v>370898</c:v>
                </c:pt>
                <c:pt idx="212">
                  <c:v>366753</c:v>
                </c:pt>
                <c:pt idx="213">
                  <c:v>364417</c:v>
                </c:pt>
                <c:pt idx="214">
                  <c:v>362522</c:v>
                </c:pt>
                <c:pt idx="215">
                  <c:v>357801</c:v>
                </c:pt>
                <c:pt idx="216">
                  <c:v>352693</c:v>
                </c:pt>
                <c:pt idx="217">
                  <c:v>354739</c:v>
                </c:pt>
                <c:pt idx="218">
                  <c:v>354453</c:v>
                </c:pt>
                <c:pt idx="219">
                  <c:v>352309</c:v>
                </c:pt>
                <c:pt idx="220">
                  <c:v>352926</c:v>
                </c:pt>
                <c:pt idx="221">
                  <c:v>354306</c:v>
                </c:pt>
                <c:pt idx="222">
                  <c:v>351875</c:v>
                </c:pt>
                <c:pt idx="223">
                  <c:v>348581</c:v>
                </c:pt>
                <c:pt idx="224">
                  <c:v>347363</c:v>
                </c:pt>
                <c:pt idx="225">
                  <c:v>347711</c:v>
                </c:pt>
                <c:pt idx="226">
                  <c:v>348395</c:v>
                </c:pt>
                <c:pt idx="227">
                  <c:v>376959</c:v>
                </c:pt>
                <c:pt idx="228">
                  <c:v>382828</c:v>
                </c:pt>
                <c:pt idx="229">
                  <c:v>381129</c:v>
                </c:pt>
                <c:pt idx="230">
                  <c:v>379175</c:v>
                </c:pt>
                <c:pt idx="231">
                  <c:v>380463</c:v>
                </c:pt>
                <c:pt idx="232">
                  <c:v>377877</c:v>
                </c:pt>
                <c:pt idx="233">
                  <c:v>379645</c:v>
                </c:pt>
                <c:pt idx="234">
                  <c:v>382628</c:v>
                </c:pt>
                <c:pt idx="235">
                  <c:v>377548</c:v>
                </c:pt>
                <c:pt idx="236">
                  <c:v>373733</c:v>
                </c:pt>
                <c:pt idx="237">
                  <c:v>372801</c:v>
                </c:pt>
                <c:pt idx="238">
                  <c:v>374050</c:v>
                </c:pt>
                <c:pt idx="239">
                  <c:v>383076</c:v>
                </c:pt>
                <c:pt idx="240">
                  <c:v>381081</c:v>
                </c:pt>
                <c:pt idx="241">
                  <c:v>374953</c:v>
                </c:pt>
                <c:pt idx="242">
                  <c:v>358911</c:v>
                </c:pt>
                <c:pt idx="243">
                  <c:v>356816</c:v>
                </c:pt>
                <c:pt idx="244">
                  <c:v>354096</c:v>
                </c:pt>
                <c:pt idx="245">
                  <c:v>353911</c:v>
                </c:pt>
                <c:pt idx="246">
                  <c:v>350946</c:v>
                </c:pt>
                <c:pt idx="247">
                  <c:v>350919</c:v>
                </c:pt>
                <c:pt idx="248">
                  <c:v>349218</c:v>
                </c:pt>
                <c:pt idx="249">
                  <c:v>346567</c:v>
                </c:pt>
                <c:pt idx="250">
                  <c:v>343395</c:v>
                </c:pt>
                <c:pt idx="251">
                  <c:v>341176</c:v>
                </c:pt>
                <c:pt idx="252">
                  <c:v>340776</c:v>
                </c:pt>
                <c:pt idx="253">
                  <c:v>341036</c:v>
                </c:pt>
                <c:pt idx="254">
                  <c:v>341681</c:v>
                </c:pt>
                <c:pt idx="255">
                  <c:v>340484</c:v>
                </c:pt>
                <c:pt idx="256">
                  <c:v>342167</c:v>
                </c:pt>
                <c:pt idx="257">
                  <c:v>345098</c:v>
                </c:pt>
                <c:pt idx="258">
                  <c:v>344106</c:v>
                </c:pt>
                <c:pt idx="259">
                  <c:v>341190</c:v>
                </c:pt>
                <c:pt idx="260">
                  <c:v>340301</c:v>
                </c:pt>
              </c:numCache>
            </c:numRef>
          </c:val>
        </c:ser>
        <c:ser>
          <c:idx val="5"/>
          <c:order val="5"/>
          <c:tx>
            <c:strRef>
              <c:f>'국내 거시경제지표'!$BQ$5</c:f>
              <c:strCache>
                <c:ptCount val="1"/>
                <c:pt idx="0">
                  <c:v>투신-MMF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거시경제지표'!$BQ$7:$BQ$267</c:f>
              <c:numCache>
                <c:formatCode>General</c:formatCode>
                <c:ptCount val="261"/>
                <c:pt idx="0">
                  <c:v>1139204</c:v>
                </c:pt>
                <c:pt idx="1">
                  <c:v>1139204</c:v>
                </c:pt>
                <c:pt idx="2">
                  <c:v>1165218</c:v>
                </c:pt>
                <c:pt idx="3">
                  <c:v>1189669</c:v>
                </c:pt>
                <c:pt idx="4">
                  <c:v>1182943</c:v>
                </c:pt>
                <c:pt idx="5">
                  <c:v>1156191</c:v>
                </c:pt>
                <c:pt idx="6">
                  <c:v>1145305</c:v>
                </c:pt>
                <c:pt idx="7">
                  <c:v>1177084</c:v>
                </c:pt>
                <c:pt idx="8">
                  <c:v>1161960</c:v>
                </c:pt>
                <c:pt idx="9">
                  <c:v>1144360</c:v>
                </c:pt>
                <c:pt idx="10">
                  <c:v>991519</c:v>
                </c:pt>
                <c:pt idx="11">
                  <c:v>1103848</c:v>
                </c:pt>
                <c:pt idx="12">
                  <c:v>1156728</c:v>
                </c:pt>
                <c:pt idx="13">
                  <c:v>1110962</c:v>
                </c:pt>
                <c:pt idx="14">
                  <c:v>1052012</c:v>
                </c:pt>
                <c:pt idx="15">
                  <c:v>1152444</c:v>
                </c:pt>
                <c:pt idx="16">
                  <c:v>1173499</c:v>
                </c:pt>
                <c:pt idx="17">
                  <c:v>1144974</c:v>
                </c:pt>
                <c:pt idx="18">
                  <c:v>1063674</c:v>
                </c:pt>
                <c:pt idx="19">
                  <c:v>1128841</c:v>
                </c:pt>
                <c:pt idx="20">
                  <c:v>1178321</c:v>
                </c:pt>
                <c:pt idx="21">
                  <c:v>1175228</c:v>
                </c:pt>
                <c:pt idx="22">
                  <c:v>1072623</c:v>
                </c:pt>
                <c:pt idx="23">
                  <c:v>925535</c:v>
                </c:pt>
                <c:pt idx="24">
                  <c:v>1001258</c:v>
                </c:pt>
                <c:pt idx="25">
                  <c:v>1079755</c:v>
                </c:pt>
                <c:pt idx="26">
                  <c:v>1050514</c:v>
                </c:pt>
                <c:pt idx="27">
                  <c:v>1039298</c:v>
                </c:pt>
                <c:pt idx="28">
                  <c:v>1159043</c:v>
                </c:pt>
                <c:pt idx="29">
                  <c:v>1192282</c:v>
                </c:pt>
                <c:pt idx="30">
                  <c:v>1168926</c:v>
                </c:pt>
                <c:pt idx="31">
                  <c:v>1141803</c:v>
                </c:pt>
                <c:pt idx="32">
                  <c:v>1081762</c:v>
                </c:pt>
                <c:pt idx="33">
                  <c:v>1103737</c:v>
                </c:pt>
                <c:pt idx="34">
                  <c:v>1103075</c:v>
                </c:pt>
                <c:pt idx="35">
                  <c:v>1085224</c:v>
                </c:pt>
                <c:pt idx="36">
                  <c:v>912779</c:v>
                </c:pt>
                <c:pt idx="37">
                  <c:v>973094</c:v>
                </c:pt>
                <c:pt idx="38">
                  <c:v>1080550</c:v>
                </c:pt>
                <c:pt idx="39">
                  <c:v>1067828</c:v>
                </c:pt>
                <c:pt idx="40">
                  <c:v>1086299</c:v>
                </c:pt>
                <c:pt idx="41">
                  <c:v>1242356</c:v>
                </c:pt>
                <c:pt idx="42">
                  <c:v>1283191</c:v>
                </c:pt>
                <c:pt idx="43">
                  <c:v>1288845</c:v>
                </c:pt>
                <c:pt idx="44">
                  <c:v>1316844</c:v>
                </c:pt>
                <c:pt idx="45">
                  <c:v>1271522</c:v>
                </c:pt>
                <c:pt idx="46">
                  <c:v>1294948</c:v>
                </c:pt>
                <c:pt idx="47">
                  <c:v>1276294</c:v>
                </c:pt>
                <c:pt idx="48">
                  <c:v>1252721</c:v>
                </c:pt>
                <c:pt idx="49">
                  <c:v>1052665</c:v>
                </c:pt>
                <c:pt idx="50">
                  <c:v>1162193</c:v>
                </c:pt>
                <c:pt idx="51">
                  <c:v>1226671</c:v>
                </c:pt>
                <c:pt idx="52">
                  <c:v>1222443</c:v>
                </c:pt>
                <c:pt idx="53">
                  <c:v>1152464</c:v>
                </c:pt>
                <c:pt idx="54">
                  <c:v>1191108</c:v>
                </c:pt>
                <c:pt idx="55">
                  <c:v>1260877</c:v>
                </c:pt>
                <c:pt idx="56">
                  <c:v>1236657</c:v>
                </c:pt>
                <c:pt idx="57">
                  <c:v>1225452</c:v>
                </c:pt>
                <c:pt idx="58">
                  <c:v>1205409</c:v>
                </c:pt>
                <c:pt idx="59">
                  <c:v>1198603</c:v>
                </c:pt>
                <c:pt idx="60">
                  <c:v>1174275</c:v>
                </c:pt>
                <c:pt idx="61">
                  <c:v>1162471</c:v>
                </c:pt>
                <c:pt idx="62">
                  <c:v>1052209</c:v>
                </c:pt>
                <c:pt idx="63">
                  <c:v>1141523</c:v>
                </c:pt>
                <c:pt idx="64">
                  <c:v>1168339</c:v>
                </c:pt>
                <c:pt idx="65">
                  <c:v>1179298</c:v>
                </c:pt>
                <c:pt idx="66">
                  <c:v>1155432</c:v>
                </c:pt>
                <c:pt idx="67">
                  <c:v>1186233</c:v>
                </c:pt>
                <c:pt idx="68">
                  <c:v>1197506</c:v>
                </c:pt>
                <c:pt idx="69">
                  <c:v>1238113</c:v>
                </c:pt>
                <c:pt idx="70">
                  <c:v>1247878</c:v>
                </c:pt>
                <c:pt idx="71">
                  <c:v>1171972</c:v>
                </c:pt>
                <c:pt idx="72">
                  <c:v>1159573</c:v>
                </c:pt>
                <c:pt idx="73">
                  <c:v>1134589</c:v>
                </c:pt>
                <c:pt idx="74">
                  <c:v>1114125</c:v>
                </c:pt>
                <c:pt idx="75">
                  <c:v>973418</c:v>
                </c:pt>
                <c:pt idx="76">
                  <c:v>1052220</c:v>
                </c:pt>
                <c:pt idx="77">
                  <c:v>1124389</c:v>
                </c:pt>
                <c:pt idx="78">
                  <c:v>1146483</c:v>
                </c:pt>
                <c:pt idx="79">
                  <c:v>1148082</c:v>
                </c:pt>
                <c:pt idx="80">
                  <c:v>1189434</c:v>
                </c:pt>
                <c:pt idx="81">
                  <c:v>1203920</c:v>
                </c:pt>
                <c:pt idx="82">
                  <c:v>1201015</c:v>
                </c:pt>
                <c:pt idx="83">
                  <c:v>1213364</c:v>
                </c:pt>
                <c:pt idx="84">
                  <c:v>1170942</c:v>
                </c:pt>
                <c:pt idx="85">
                  <c:v>1204053</c:v>
                </c:pt>
                <c:pt idx="86">
                  <c:v>1161926</c:v>
                </c:pt>
                <c:pt idx="87">
                  <c:v>1070185</c:v>
                </c:pt>
                <c:pt idx="88">
                  <c:v>1070185</c:v>
                </c:pt>
                <c:pt idx="89">
                  <c:v>1156927</c:v>
                </c:pt>
                <c:pt idx="90">
                  <c:v>1230502</c:v>
                </c:pt>
                <c:pt idx="91">
                  <c:v>1213363</c:v>
                </c:pt>
                <c:pt idx="92">
                  <c:v>1222394</c:v>
                </c:pt>
                <c:pt idx="93">
                  <c:v>1271199</c:v>
                </c:pt>
                <c:pt idx="94">
                  <c:v>1292714</c:v>
                </c:pt>
                <c:pt idx="95">
                  <c:v>1293829</c:v>
                </c:pt>
                <c:pt idx="96">
                  <c:v>1342129</c:v>
                </c:pt>
                <c:pt idx="97">
                  <c:v>1330558</c:v>
                </c:pt>
                <c:pt idx="98">
                  <c:v>1233657</c:v>
                </c:pt>
                <c:pt idx="99">
                  <c:v>1256451</c:v>
                </c:pt>
                <c:pt idx="100">
                  <c:v>1219125</c:v>
                </c:pt>
                <c:pt idx="101">
                  <c:v>1102843</c:v>
                </c:pt>
                <c:pt idx="102">
                  <c:v>1244808</c:v>
                </c:pt>
                <c:pt idx="103">
                  <c:v>1293651</c:v>
                </c:pt>
                <c:pt idx="104">
                  <c:v>1270675</c:v>
                </c:pt>
                <c:pt idx="105">
                  <c:v>1269960</c:v>
                </c:pt>
                <c:pt idx="106">
                  <c:v>1312784</c:v>
                </c:pt>
                <c:pt idx="107">
                  <c:v>1366929</c:v>
                </c:pt>
                <c:pt idx="108">
                  <c:v>1348552</c:v>
                </c:pt>
                <c:pt idx="109">
                  <c:v>1302296</c:v>
                </c:pt>
                <c:pt idx="110">
                  <c:v>1287692</c:v>
                </c:pt>
                <c:pt idx="111">
                  <c:v>1343861</c:v>
                </c:pt>
                <c:pt idx="112">
                  <c:v>1348619</c:v>
                </c:pt>
                <c:pt idx="113">
                  <c:v>1314788</c:v>
                </c:pt>
                <c:pt idx="114">
                  <c:v>1182815</c:v>
                </c:pt>
                <c:pt idx="115">
                  <c:v>1256750</c:v>
                </c:pt>
                <c:pt idx="116">
                  <c:v>1263075</c:v>
                </c:pt>
                <c:pt idx="117">
                  <c:v>1234060</c:v>
                </c:pt>
                <c:pt idx="118">
                  <c:v>1260917</c:v>
                </c:pt>
                <c:pt idx="119">
                  <c:v>1255734</c:v>
                </c:pt>
                <c:pt idx="120">
                  <c:v>1312891</c:v>
                </c:pt>
                <c:pt idx="121">
                  <c:v>1285898</c:v>
                </c:pt>
                <c:pt idx="122">
                  <c:v>1270593</c:v>
                </c:pt>
                <c:pt idx="123">
                  <c:v>1177247</c:v>
                </c:pt>
                <c:pt idx="124">
                  <c:v>1228325</c:v>
                </c:pt>
                <c:pt idx="125">
                  <c:v>1200471</c:v>
                </c:pt>
                <c:pt idx="126">
                  <c:v>1155535</c:v>
                </c:pt>
                <c:pt idx="127">
                  <c:v>1043523</c:v>
                </c:pt>
                <c:pt idx="128">
                  <c:v>1171421</c:v>
                </c:pt>
                <c:pt idx="129">
                  <c:v>1219776</c:v>
                </c:pt>
                <c:pt idx="130">
                  <c:v>1183272</c:v>
                </c:pt>
                <c:pt idx="131">
                  <c:v>1207305</c:v>
                </c:pt>
                <c:pt idx="132">
                  <c:v>1168372</c:v>
                </c:pt>
                <c:pt idx="133">
                  <c:v>1208280</c:v>
                </c:pt>
                <c:pt idx="134">
                  <c:v>1207571</c:v>
                </c:pt>
                <c:pt idx="135">
                  <c:v>1227110</c:v>
                </c:pt>
                <c:pt idx="136">
                  <c:v>1190671</c:v>
                </c:pt>
                <c:pt idx="137">
                  <c:v>1187694</c:v>
                </c:pt>
                <c:pt idx="138">
                  <c:v>1203268</c:v>
                </c:pt>
                <c:pt idx="139">
                  <c:v>1174633</c:v>
                </c:pt>
                <c:pt idx="140">
                  <c:v>1079791</c:v>
                </c:pt>
                <c:pt idx="141">
                  <c:v>1196742</c:v>
                </c:pt>
                <c:pt idx="142">
                  <c:v>1171128</c:v>
                </c:pt>
                <c:pt idx="143">
                  <c:v>1162592</c:v>
                </c:pt>
                <c:pt idx="144">
                  <c:v>1211261</c:v>
                </c:pt>
                <c:pt idx="145">
                  <c:v>1265122</c:v>
                </c:pt>
                <c:pt idx="146">
                  <c:v>1291014</c:v>
                </c:pt>
                <c:pt idx="147">
                  <c:v>1263403</c:v>
                </c:pt>
                <c:pt idx="148">
                  <c:v>1291944</c:v>
                </c:pt>
                <c:pt idx="149">
                  <c:v>1253037</c:v>
                </c:pt>
                <c:pt idx="150">
                  <c:v>1242757</c:v>
                </c:pt>
                <c:pt idx="151">
                  <c:v>1261441</c:v>
                </c:pt>
                <c:pt idx="152">
                  <c:v>1219596</c:v>
                </c:pt>
                <c:pt idx="153">
                  <c:v>1067878</c:v>
                </c:pt>
                <c:pt idx="154">
                  <c:v>1148495</c:v>
                </c:pt>
                <c:pt idx="155">
                  <c:v>1196094</c:v>
                </c:pt>
                <c:pt idx="156">
                  <c:v>1151694</c:v>
                </c:pt>
                <c:pt idx="157">
                  <c:v>1189016</c:v>
                </c:pt>
                <c:pt idx="158">
                  <c:v>1173374</c:v>
                </c:pt>
                <c:pt idx="159">
                  <c:v>1187705</c:v>
                </c:pt>
                <c:pt idx="160">
                  <c:v>1152310</c:v>
                </c:pt>
                <c:pt idx="161">
                  <c:v>1109659</c:v>
                </c:pt>
                <c:pt idx="162">
                  <c:v>1076918</c:v>
                </c:pt>
                <c:pt idx="163">
                  <c:v>1122863</c:v>
                </c:pt>
                <c:pt idx="164">
                  <c:v>1121198</c:v>
                </c:pt>
                <c:pt idx="165">
                  <c:v>1118822</c:v>
                </c:pt>
                <c:pt idx="166">
                  <c:v>1028608</c:v>
                </c:pt>
                <c:pt idx="167">
                  <c:v>1109964</c:v>
                </c:pt>
                <c:pt idx="168">
                  <c:v>1108480</c:v>
                </c:pt>
                <c:pt idx="169">
                  <c:v>1107316</c:v>
                </c:pt>
                <c:pt idx="170">
                  <c:v>1194791</c:v>
                </c:pt>
                <c:pt idx="171">
                  <c:v>1177407</c:v>
                </c:pt>
                <c:pt idx="172">
                  <c:v>1186419</c:v>
                </c:pt>
                <c:pt idx="173">
                  <c:v>1166753</c:v>
                </c:pt>
                <c:pt idx="174">
                  <c:v>1160019</c:v>
                </c:pt>
                <c:pt idx="175">
                  <c:v>1102176</c:v>
                </c:pt>
                <c:pt idx="176">
                  <c:v>1097943</c:v>
                </c:pt>
                <c:pt idx="177">
                  <c:v>1056854</c:v>
                </c:pt>
                <c:pt idx="178">
                  <c:v>1021114</c:v>
                </c:pt>
                <c:pt idx="179">
                  <c:v>934063</c:v>
                </c:pt>
                <c:pt idx="180">
                  <c:v>981158</c:v>
                </c:pt>
                <c:pt idx="181">
                  <c:v>1016653</c:v>
                </c:pt>
                <c:pt idx="182">
                  <c:v>1006584</c:v>
                </c:pt>
                <c:pt idx="183">
                  <c:v>1054684</c:v>
                </c:pt>
                <c:pt idx="184">
                  <c:v>1005003</c:v>
                </c:pt>
                <c:pt idx="185">
                  <c:v>1031393</c:v>
                </c:pt>
                <c:pt idx="186">
                  <c:v>1046034</c:v>
                </c:pt>
                <c:pt idx="187">
                  <c:v>1053552</c:v>
                </c:pt>
                <c:pt idx="188">
                  <c:v>1037844</c:v>
                </c:pt>
                <c:pt idx="189">
                  <c:v>1030356</c:v>
                </c:pt>
                <c:pt idx="190">
                  <c:v>1075334</c:v>
                </c:pt>
                <c:pt idx="191">
                  <c:v>1080523</c:v>
                </c:pt>
                <c:pt idx="192">
                  <c:v>1083100</c:v>
                </c:pt>
                <c:pt idx="193">
                  <c:v>1039926</c:v>
                </c:pt>
                <c:pt idx="194">
                  <c:v>1124612</c:v>
                </c:pt>
                <c:pt idx="195">
                  <c:v>1123712</c:v>
                </c:pt>
                <c:pt idx="196">
                  <c:v>1149982</c:v>
                </c:pt>
                <c:pt idx="197">
                  <c:v>1161278</c:v>
                </c:pt>
                <c:pt idx="198">
                  <c:v>1214820</c:v>
                </c:pt>
                <c:pt idx="199">
                  <c:v>1184824</c:v>
                </c:pt>
                <c:pt idx="200">
                  <c:v>1221111</c:v>
                </c:pt>
                <c:pt idx="201">
                  <c:v>1155731</c:v>
                </c:pt>
                <c:pt idx="202">
                  <c:v>1169252</c:v>
                </c:pt>
                <c:pt idx="203">
                  <c:v>1192525</c:v>
                </c:pt>
                <c:pt idx="204">
                  <c:v>1165440</c:v>
                </c:pt>
                <c:pt idx="205">
                  <c:v>1138170</c:v>
                </c:pt>
                <c:pt idx="206">
                  <c:v>1089170</c:v>
                </c:pt>
                <c:pt idx="207">
                  <c:v>1147307</c:v>
                </c:pt>
                <c:pt idx="208">
                  <c:v>1128291</c:v>
                </c:pt>
                <c:pt idx="209">
                  <c:v>1144950</c:v>
                </c:pt>
                <c:pt idx="210">
                  <c:v>1093237</c:v>
                </c:pt>
                <c:pt idx="211">
                  <c:v>1121402</c:v>
                </c:pt>
                <c:pt idx="212">
                  <c:v>1157017</c:v>
                </c:pt>
                <c:pt idx="213">
                  <c:v>1148990</c:v>
                </c:pt>
                <c:pt idx="214">
                  <c:v>1126102</c:v>
                </c:pt>
                <c:pt idx="215">
                  <c:v>1168103</c:v>
                </c:pt>
                <c:pt idx="216">
                  <c:v>1185646</c:v>
                </c:pt>
                <c:pt idx="217">
                  <c:v>1109257</c:v>
                </c:pt>
                <c:pt idx="218">
                  <c:v>1087093</c:v>
                </c:pt>
                <c:pt idx="219">
                  <c:v>1061940</c:v>
                </c:pt>
                <c:pt idx="220">
                  <c:v>1091286</c:v>
                </c:pt>
                <c:pt idx="221">
                  <c:v>1056358</c:v>
                </c:pt>
                <c:pt idx="222">
                  <c:v>1029054</c:v>
                </c:pt>
                <c:pt idx="223">
                  <c:v>997190</c:v>
                </c:pt>
                <c:pt idx="224">
                  <c:v>1010701</c:v>
                </c:pt>
                <c:pt idx="225">
                  <c:v>1002882</c:v>
                </c:pt>
                <c:pt idx="226">
                  <c:v>1020517</c:v>
                </c:pt>
                <c:pt idx="227">
                  <c:v>947025</c:v>
                </c:pt>
                <c:pt idx="228">
                  <c:v>978271</c:v>
                </c:pt>
                <c:pt idx="229">
                  <c:v>995434</c:v>
                </c:pt>
                <c:pt idx="230">
                  <c:v>950178</c:v>
                </c:pt>
                <c:pt idx="231">
                  <c:v>835147</c:v>
                </c:pt>
                <c:pt idx="232">
                  <c:v>832569</c:v>
                </c:pt>
                <c:pt idx="233">
                  <c:v>882773</c:v>
                </c:pt>
                <c:pt idx="234">
                  <c:v>837288</c:v>
                </c:pt>
                <c:pt idx="235">
                  <c:v>954281</c:v>
                </c:pt>
                <c:pt idx="236">
                  <c:v>938414</c:v>
                </c:pt>
                <c:pt idx="237">
                  <c:v>975062</c:v>
                </c:pt>
                <c:pt idx="238">
                  <c:v>1017872</c:v>
                </c:pt>
                <c:pt idx="239">
                  <c:v>1015564</c:v>
                </c:pt>
                <c:pt idx="240">
                  <c:v>950087</c:v>
                </c:pt>
                <c:pt idx="241">
                  <c:v>909745</c:v>
                </c:pt>
                <c:pt idx="242">
                  <c:v>937015</c:v>
                </c:pt>
                <c:pt idx="243">
                  <c:v>882559</c:v>
                </c:pt>
                <c:pt idx="244">
                  <c:v>873883</c:v>
                </c:pt>
                <c:pt idx="245">
                  <c:v>864315</c:v>
                </c:pt>
                <c:pt idx="246">
                  <c:v>931475</c:v>
                </c:pt>
                <c:pt idx="247">
                  <c:v>896910</c:v>
                </c:pt>
                <c:pt idx="248">
                  <c:v>855366</c:v>
                </c:pt>
                <c:pt idx="249">
                  <c:v>855280</c:v>
                </c:pt>
                <c:pt idx="250">
                  <c:v>913980</c:v>
                </c:pt>
                <c:pt idx="251">
                  <c:v>900218</c:v>
                </c:pt>
                <c:pt idx="252">
                  <c:v>858389</c:v>
                </c:pt>
                <c:pt idx="253">
                  <c:v>806926</c:v>
                </c:pt>
                <c:pt idx="254">
                  <c:v>784422</c:v>
                </c:pt>
                <c:pt idx="255">
                  <c:v>801356</c:v>
                </c:pt>
                <c:pt idx="256">
                  <c:v>773020</c:v>
                </c:pt>
                <c:pt idx="257">
                  <c:v>770971</c:v>
                </c:pt>
                <c:pt idx="258">
                  <c:v>751204</c:v>
                </c:pt>
                <c:pt idx="259">
                  <c:v>781748</c:v>
                </c:pt>
                <c:pt idx="260">
                  <c:v>777059</c:v>
                </c:pt>
              </c:numCache>
            </c:numRef>
          </c:val>
        </c:ser>
        <c:ser>
          <c:idx val="6"/>
          <c:order val="6"/>
          <c:tx>
            <c:strRef>
              <c:f>'국내 거시경제지표'!$BR$5</c:f>
              <c:strCache>
                <c:ptCount val="1"/>
                <c:pt idx="0">
                  <c:v>투신-주식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numRef>
              <c:f>'국내 거시경제지표'!$BK$7:$BK$267</c:f>
              <c:numCache>
                <c:formatCode>m/d/yyyy</c:formatCode>
                <c:ptCount val="261"/>
                <c:pt idx="0">
                  <c:v>43619</c:v>
                </c:pt>
                <c:pt idx="1">
                  <c:v>43616</c:v>
                </c:pt>
                <c:pt idx="2">
                  <c:v>43609</c:v>
                </c:pt>
                <c:pt idx="3">
                  <c:v>43602</c:v>
                </c:pt>
                <c:pt idx="4">
                  <c:v>43595</c:v>
                </c:pt>
                <c:pt idx="5">
                  <c:v>43588</c:v>
                </c:pt>
                <c:pt idx="6">
                  <c:v>43581</c:v>
                </c:pt>
                <c:pt idx="7">
                  <c:v>43574</c:v>
                </c:pt>
                <c:pt idx="8">
                  <c:v>43567</c:v>
                </c:pt>
                <c:pt idx="9">
                  <c:v>43560</c:v>
                </c:pt>
                <c:pt idx="10">
                  <c:v>43553</c:v>
                </c:pt>
                <c:pt idx="11">
                  <c:v>43546</c:v>
                </c:pt>
                <c:pt idx="12">
                  <c:v>43539</c:v>
                </c:pt>
                <c:pt idx="13">
                  <c:v>43532</c:v>
                </c:pt>
                <c:pt idx="14">
                  <c:v>43525</c:v>
                </c:pt>
                <c:pt idx="15">
                  <c:v>43518</c:v>
                </c:pt>
                <c:pt idx="16">
                  <c:v>43511</c:v>
                </c:pt>
                <c:pt idx="17">
                  <c:v>43504</c:v>
                </c:pt>
                <c:pt idx="18">
                  <c:v>43497</c:v>
                </c:pt>
                <c:pt idx="19">
                  <c:v>43490</c:v>
                </c:pt>
                <c:pt idx="20">
                  <c:v>43483</c:v>
                </c:pt>
                <c:pt idx="21">
                  <c:v>43476</c:v>
                </c:pt>
                <c:pt idx="22">
                  <c:v>43469</c:v>
                </c:pt>
                <c:pt idx="23">
                  <c:v>43462</c:v>
                </c:pt>
                <c:pt idx="24">
                  <c:v>43455</c:v>
                </c:pt>
                <c:pt idx="25">
                  <c:v>43448</c:v>
                </c:pt>
                <c:pt idx="26">
                  <c:v>43441</c:v>
                </c:pt>
                <c:pt idx="27">
                  <c:v>43434</c:v>
                </c:pt>
                <c:pt idx="28">
                  <c:v>43427</c:v>
                </c:pt>
                <c:pt idx="29">
                  <c:v>43420</c:v>
                </c:pt>
                <c:pt idx="30">
                  <c:v>43413</c:v>
                </c:pt>
                <c:pt idx="31">
                  <c:v>43406</c:v>
                </c:pt>
                <c:pt idx="32">
                  <c:v>43399</c:v>
                </c:pt>
                <c:pt idx="33">
                  <c:v>43392</c:v>
                </c:pt>
                <c:pt idx="34">
                  <c:v>43385</c:v>
                </c:pt>
                <c:pt idx="35">
                  <c:v>43378</c:v>
                </c:pt>
                <c:pt idx="36">
                  <c:v>43371</c:v>
                </c:pt>
                <c:pt idx="37">
                  <c:v>43364</c:v>
                </c:pt>
                <c:pt idx="38">
                  <c:v>43357</c:v>
                </c:pt>
                <c:pt idx="39">
                  <c:v>43350</c:v>
                </c:pt>
                <c:pt idx="40">
                  <c:v>43343</c:v>
                </c:pt>
                <c:pt idx="41">
                  <c:v>43336</c:v>
                </c:pt>
                <c:pt idx="42">
                  <c:v>43329</c:v>
                </c:pt>
                <c:pt idx="43">
                  <c:v>43322</c:v>
                </c:pt>
                <c:pt idx="44">
                  <c:v>43315</c:v>
                </c:pt>
                <c:pt idx="45">
                  <c:v>43308</c:v>
                </c:pt>
                <c:pt idx="46">
                  <c:v>43301</c:v>
                </c:pt>
                <c:pt idx="47">
                  <c:v>43294</c:v>
                </c:pt>
                <c:pt idx="48">
                  <c:v>43287</c:v>
                </c:pt>
                <c:pt idx="49">
                  <c:v>43280</c:v>
                </c:pt>
                <c:pt idx="50">
                  <c:v>43273</c:v>
                </c:pt>
                <c:pt idx="51">
                  <c:v>43266</c:v>
                </c:pt>
                <c:pt idx="52">
                  <c:v>43259</c:v>
                </c:pt>
                <c:pt idx="53">
                  <c:v>43252</c:v>
                </c:pt>
                <c:pt idx="54">
                  <c:v>43245</c:v>
                </c:pt>
                <c:pt idx="55">
                  <c:v>43238</c:v>
                </c:pt>
                <c:pt idx="56">
                  <c:v>43231</c:v>
                </c:pt>
                <c:pt idx="57">
                  <c:v>43224</c:v>
                </c:pt>
                <c:pt idx="58">
                  <c:v>43217</c:v>
                </c:pt>
                <c:pt idx="59">
                  <c:v>43210</c:v>
                </c:pt>
                <c:pt idx="60">
                  <c:v>43203</c:v>
                </c:pt>
                <c:pt idx="61">
                  <c:v>43196</c:v>
                </c:pt>
                <c:pt idx="62">
                  <c:v>43189</c:v>
                </c:pt>
                <c:pt idx="63">
                  <c:v>43182</c:v>
                </c:pt>
                <c:pt idx="64">
                  <c:v>43175</c:v>
                </c:pt>
                <c:pt idx="65">
                  <c:v>43168</c:v>
                </c:pt>
                <c:pt idx="66">
                  <c:v>43161</c:v>
                </c:pt>
                <c:pt idx="67">
                  <c:v>43154</c:v>
                </c:pt>
                <c:pt idx="68">
                  <c:v>43147</c:v>
                </c:pt>
                <c:pt idx="69">
                  <c:v>43140</c:v>
                </c:pt>
                <c:pt idx="70">
                  <c:v>43133</c:v>
                </c:pt>
                <c:pt idx="71">
                  <c:v>43126</c:v>
                </c:pt>
                <c:pt idx="72">
                  <c:v>43119</c:v>
                </c:pt>
                <c:pt idx="73">
                  <c:v>43112</c:v>
                </c:pt>
                <c:pt idx="74">
                  <c:v>43105</c:v>
                </c:pt>
                <c:pt idx="75">
                  <c:v>43098</c:v>
                </c:pt>
                <c:pt idx="76">
                  <c:v>43091</c:v>
                </c:pt>
                <c:pt idx="77">
                  <c:v>43084</c:v>
                </c:pt>
                <c:pt idx="78">
                  <c:v>43077</c:v>
                </c:pt>
                <c:pt idx="79">
                  <c:v>43070</c:v>
                </c:pt>
                <c:pt idx="80">
                  <c:v>43063</c:v>
                </c:pt>
                <c:pt idx="81">
                  <c:v>43056</c:v>
                </c:pt>
                <c:pt idx="82">
                  <c:v>43049</c:v>
                </c:pt>
                <c:pt idx="83">
                  <c:v>43042</c:v>
                </c:pt>
                <c:pt idx="84">
                  <c:v>43035</c:v>
                </c:pt>
                <c:pt idx="85">
                  <c:v>43028</c:v>
                </c:pt>
                <c:pt idx="86">
                  <c:v>43021</c:v>
                </c:pt>
                <c:pt idx="87">
                  <c:v>43014</c:v>
                </c:pt>
                <c:pt idx="88">
                  <c:v>43007</c:v>
                </c:pt>
                <c:pt idx="89">
                  <c:v>43000</c:v>
                </c:pt>
                <c:pt idx="90">
                  <c:v>42993</c:v>
                </c:pt>
                <c:pt idx="91">
                  <c:v>42986</c:v>
                </c:pt>
                <c:pt idx="92">
                  <c:v>42979</c:v>
                </c:pt>
                <c:pt idx="93">
                  <c:v>42972</c:v>
                </c:pt>
                <c:pt idx="94">
                  <c:v>42965</c:v>
                </c:pt>
                <c:pt idx="95">
                  <c:v>42958</c:v>
                </c:pt>
                <c:pt idx="96">
                  <c:v>42951</c:v>
                </c:pt>
                <c:pt idx="97">
                  <c:v>42944</c:v>
                </c:pt>
                <c:pt idx="98">
                  <c:v>42937</c:v>
                </c:pt>
                <c:pt idx="99">
                  <c:v>42930</c:v>
                </c:pt>
                <c:pt idx="100">
                  <c:v>42923</c:v>
                </c:pt>
                <c:pt idx="101">
                  <c:v>42916</c:v>
                </c:pt>
                <c:pt idx="102">
                  <c:v>42909</c:v>
                </c:pt>
                <c:pt idx="103">
                  <c:v>42902</c:v>
                </c:pt>
                <c:pt idx="104">
                  <c:v>42895</c:v>
                </c:pt>
                <c:pt idx="105">
                  <c:v>42888</c:v>
                </c:pt>
                <c:pt idx="106">
                  <c:v>42881</c:v>
                </c:pt>
                <c:pt idx="107">
                  <c:v>42874</c:v>
                </c:pt>
                <c:pt idx="108">
                  <c:v>42867</c:v>
                </c:pt>
                <c:pt idx="109">
                  <c:v>42860</c:v>
                </c:pt>
                <c:pt idx="110">
                  <c:v>42853</c:v>
                </c:pt>
                <c:pt idx="111">
                  <c:v>42846</c:v>
                </c:pt>
                <c:pt idx="112">
                  <c:v>42839</c:v>
                </c:pt>
                <c:pt idx="113">
                  <c:v>42832</c:v>
                </c:pt>
                <c:pt idx="114">
                  <c:v>42825</c:v>
                </c:pt>
                <c:pt idx="115">
                  <c:v>42818</c:v>
                </c:pt>
                <c:pt idx="116">
                  <c:v>42811</c:v>
                </c:pt>
                <c:pt idx="117">
                  <c:v>42804</c:v>
                </c:pt>
                <c:pt idx="118">
                  <c:v>42797</c:v>
                </c:pt>
                <c:pt idx="119">
                  <c:v>42790</c:v>
                </c:pt>
                <c:pt idx="120">
                  <c:v>42783</c:v>
                </c:pt>
                <c:pt idx="121">
                  <c:v>42776</c:v>
                </c:pt>
                <c:pt idx="122">
                  <c:v>42769</c:v>
                </c:pt>
                <c:pt idx="123">
                  <c:v>42762</c:v>
                </c:pt>
                <c:pt idx="124">
                  <c:v>42755</c:v>
                </c:pt>
                <c:pt idx="125">
                  <c:v>42748</c:v>
                </c:pt>
                <c:pt idx="126">
                  <c:v>42741</c:v>
                </c:pt>
                <c:pt idx="127">
                  <c:v>42734</c:v>
                </c:pt>
                <c:pt idx="128">
                  <c:v>42727</c:v>
                </c:pt>
                <c:pt idx="129">
                  <c:v>42720</c:v>
                </c:pt>
                <c:pt idx="130">
                  <c:v>42713</c:v>
                </c:pt>
                <c:pt idx="131">
                  <c:v>42706</c:v>
                </c:pt>
                <c:pt idx="132">
                  <c:v>42699</c:v>
                </c:pt>
                <c:pt idx="133">
                  <c:v>42692</c:v>
                </c:pt>
                <c:pt idx="134">
                  <c:v>42685</c:v>
                </c:pt>
                <c:pt idx="135">
                  <c:v>42678</c:v>
                </c:pt>
                <c:pt idx="136">
                  <c:v>42671</c:v>
                </c:pt>
                <c:pt idx="137">
                  <c:v>42664</c:v>
                </c:pt>
                <c:pt idx="138">
                  <c:v>42657</c:v>
                </c:pt>
                <c:pt idx="139">
                  <c:v>42650</c:v>
                </c:pt>
                <c:pt idx="140">
                  <c:v>42643</c:v>
                </c:pt>
                <c:pt idx="141">
                  <c:v>42636</c:v>
                </c:pt>
                <c:pt idx="142">
                  <c:v>42629</c:v>
                </c:pt>
                <c:pt idx="143">
                  <c:v>42622</c:v>
                </c:pt>
                <c:pt idx="144">
                  <c:v>42615</c:v>
                </c:pt>
                <c:pt idx="145">
                  <c:v>42608</c:v>
                </c:pt>
                <c:pt idx="146">
                  <c:v>42601</c:v>
                </c:pt>
                <c:pt idx="147">
                  <c:v>42594</c:v>
                </c:pt>
                <c:pt idx="148">
                  <c:v>42587</c:v>
                </c:pt>
                <c:pt idx="149">
                  <c:v>42580</c:v>
                </c:pt>
                <c:pt idx="150">
                  <c:v>42573</c:v>
                </c:pt>
                <c:pt idx="151">
                  <c:v>42566</c:v>
                </c:pt>
                <c:pt idx="152">
                  <c:v>42559</c:v>
                </c:pt>
                <c:pt idx="153">
                  <c:v>42552</c:v>
                </c:pt>
                <c:pt idx="154">
                  <c:v>42545</c:v>
                </c:pt>
                <c:pt idx="155">
                  <c:v>42538</c:v>
                </c:pt>
                <c:pt idx="156">
                  <c:v>42531</c:v>
                </c:pt>
                <c:pt idx="157">
                  <c:v>42524</c:v>
                </c:pt>
                <c:pt idx="158">
                  <c:v>42517</c:v>
                </c:pt>
                <c:pt idx="159">
                  <c:v>42510</c:v>
                </c:pt>
                <c:pt idx="160">
                  <c:v>42503</c:v>
                </c:pt>
                <c:pt idx="161">
                  <c:v>42496</c:v>
                </c:pt>
                <c:pt idx="162">
                  <c:v>42489</c:v>
                </c:pt>
                <c:pt idx="163">
                  <c:v>42482</c:v>
                </c:pt>
                <c:pt idx="164">
                  <c:v>42475</c:v>
                </c:pt>
                <c:pt idx="165">
                  <c:v>42468</c:v>
                </c:pt>
                <c:pt idx="166">
                  <c:v>42461</c:v>
                </c:pt>
                <c:pt idx="167">
                  <c:v>42454</c:v>
                </c:pt>
                <c:pt idx="168">
                  <c:v>42447</c:v>
                </c:pt>
                <c:pt idx="169">
                  <c:v>42440</c:v>
                </c:pt>
                <c:pt idx="170">
                  <c:v>42433</c:v>
                </c:pt>
                <c:pt idx="171">
                  <c:v>42426</c:v>
                </c:pt>
                <c:pt idx="172">
                  <c:v>42419</c:v>
                </c:pt>
                <c:pt idx="173">
                  <c:v>42412</c:v>
                </c:pt>
                <c:pt idx="174">
                  <c:v>42405</c:v>
                </c:pt>
                <c:pt idx="175">
                  <c:v>42398</c:v>
                </c:pt>
                <c:pt idx="176">
                  <c:v>42391</c:v>
                </c:pt>
                <c:pt idx="177">
                  <c:v>42384</c:v>
                </c:pt>
                <c:pt idx="178">
                  <c:v>42377</c:v>
                </c:pt>
                <c:pt idx="179">
                  <c:v>42370</c:v>
                </c:pt>
                <c:pt idx="180">
                  <c:v>42363</c:v>
                </c:pt>
                <c:pt idx="181">
                  <c:v>42356</c:v>
                </c:pt>
                <c:pt idx="182">
                  <c:v>42349</c:v>
                </c:pt>
                <c:pt idx="183">
                  <c:v>42342</c:v>
                </c:pt>
                <c:pt idx="184">
                  <c:v>42335</c:v>
                </c:pt>
                <c:pt idx="185">
                  <c:v>42328</c:v>
                </c:pt>
                <c:pt idx="186">
                  <c:v>42321</c:v>
                </c:pt>
                <c:pt idx="187">
                  <c:v>42314</c:v>
                </c:pt>
                <c:pt idx="188">
                  <c:v>42307</c:v>
                </c:pt>
                <c:pt idx="189">
                  <c:v>42300</c:v>
                </c:pt>
                <c:pt idx="190">
                  <c:v>42293</c:v>
                </c:pt>
                <c:pt idx="191">
                  <c:v>42286</c:v>
                </c:pt>
                <c:pt idx="192">
                  <c:v>42279</c:v>
                </c:pt>
                <c:pt idx="193">
                  <c:v>42272</c:v>
                </c:pt>
                <c:pt idx="194">
                  <c:v>42265</c:v>
                </c:pt>
                <c:pt idx="195">
                  <c:v>42258</c:v>
                </c:pt>
                <c:pt idx="196">
                  <c:v>42251</c:v>
                </c:pt>
                <c:pt idx="197">
                  <c:v>42244</c:v>
                </c:pt>
                <c:pt idx="198">
                  <c:v>42237</c:v>
                </c:pt>
                <c:pt idx="199">
                  <c:v>42230</c:v>
                </c:pt>
                <c:pt idx="200">
                  <c:v>42223</c:v>
                </c:pt>
                <c:pt idx="201">
                  <c:v>42216</c:v>
                </c:pt>
                <c:pt idx="202">
                  <c:v>42209</c:v>
                </c:pt>
                <c:pt idx="203">
                  <c:v>42202</c:v>
                </c:pt>
                <c:pt idx="204">
                  <c:v>42195</c:v>
                </c:pt>
                <c:pt idx="205">
                  <c:v>42188</c:v>
                </c:pt>
                <c:pt idx="206">
                  <c:v>42181</c:v>
                </c:pt>
                <c:pt idx="207">
                  <c:v>42174</c:v>
                </c:pt>
                <c:pt idx="208">
                  <c:v>42167</c:v>
                </c:pt>
                <c:pt idx="209">
                  <c:v>42160</c:v>
                </c:pt>
                <c:pt idx="210">
                  <c:v>42153</c:v>
                </c:pt>
                <c:pt idx="211">
                  <c:v>42146</c:v>
                </c:pt>
                <c:pt idx="212">
                  <c:v>42139</c:v>
                </c:pt>
                <c:pt idx="213">
                  <c:v>42132</c:v>
                </c:pt>
                <c:pt idx="214">
                  <c:v>42125</c:v>
                </c:pt>
                <c:pt idx="215">
                  <c:v>42118</c:v>
                </c:pt>
                <c:pt idx="216">
                  <c:v>42111</c:v>
                </c:pt>
                <c:pt idx="217">
                  <c:v>42104</c:v>
                </c:pt>
                <c:pt idx="218">
                  <c:v>42097</c:v>
                </c:pt>
                <c:pt idx="219">
                  <c:v>42090</c:v>
                </c:pt>
                <c:pt idx="220">
                  <c:v>42083</c:v>
                </c:pt>
                <c:pt idx="221">
                  <c:v>42076</c:v>
                </c:pt>
                <c:pt idx="222">
                  <c:v>42069</c:v>
                </c:pt>
                <c:pt idx="223">
                  <c:v>42062</c:v>
                </c:pt>
                <c:pt idx="224">
                  <c:v>42055</c:v>
                </c:pt>
                <c:pt idx="225">
                  <c:v>42048</c:v>
                </c:pt>
                <c:pt idx="226">
                  <c:v>42041</c:v>
                </c:pt>
                <c:pt idx="227">
                  <c:v>42034</c:v>
                </c:pt>
                <c:pt idx="228">
                  <c:v>42027</c:v>
                </c:pt>
                <c:pt idx="229">
                  <c:v>42020</c:v>
                </c:pt>
                <c:pt idx="230">
                  <c:v>42013</c:v>
                </c:pt>
                <c:pt idx="231">
                  <c:v>42006</c:v>
                </c:pt>
                <c:pt idx="232">
                  <c:v>41999</c:v>
                </c:pt>
                <c:pt idx="233">
                  <c:v>41992</c:v>
                </c:pt>
                <c:pt idx="234">
                  <c:v>41985</c:v>
                </c:pt>
                <c:pt idx="235">
                  <c:v>41978</c:v>
                </c:pt>
                <c:pt idx="236">
                  <c:v>41971</c:v>
                </c:pt>
                <c:pt idx="237">
                  <c:v>41964</c:v>
                </c:pt>
                <c:pt idx="238">
                  <c:v>41957</c:v>
                </c:pt>
                <c:pt idx="239">
                  <c:v>41950</c:v>
                </c:pt>
                <c:pt idx="240">
                  <c:v>41943</c:v>
                </c:pt>
                <c:pt idx="241">
                  <c:v>41936</c:v>
                </c:pt>
                <c:pt idx="242">
                  <c:v>41929</c:v>
                </c:pt>
                <c:pt idx="243">
                  <c:v>41922</c:v>
                </c:pt>
                <c:pt idx="244">
                  <c:v>41915</c:v>
                </c:pt>
                <c:pt idx="245">
                  <c:v>41908</c:v>
                </c:pt>
                <c:pt idx="246">
                  <c:v>41901</c:v>
                </c:pt>
                <c:pt idx="247">
                  <c:v>41894</c:v>
                </c:pt>
                <c:pt idx="248">
                  <c:v>41887</c:v>
                </c:pt>
                <c:pt idx="249">
                  <c:v>41880</c:v>
                </c:pt>
                <c:pt idx="250">
                  <c:v>41873</c:v>
                </c:pt>
                <c:pt idx="251">
                  <c:v>41866</c:v>
                </c:pt>
                <c:pt idx="252">
                  <c:v>41859</c:v>
                </c:pt>
                <c:pt idx="253">
                  <c:v>41852</c:v>
                </c:pt>
                <c:pt idx="254">
                  <c:v>41845</c:v>
                </c:pt>
                <c:pt idx="255">
                  <c:v>41838</c:v>
                </c:pt>
                <c:pt idx="256">
                  <c:v>41831</c:v>
                </c:pt>
                <c:pt idx="257">
                  <c:v>41824</c:v>
                </c:pt>
                <c:pt idx="258">
                  <c:v>41817</c:v>
                </c:pt>
                <c:pt idx="259">
                  <c:v>41810</c:v>
                </c:pt>
                <c:pt idx="260">
                  <c:v>41803</c:v>
                </c:pt>
              </c:numCache>
            </c:numRef>
          </c:cat>
          <c:val>
            <c:numRef>
              <c:f>'국내 거시경제지표'!$BR$7:$BR$267</c:f>
              <c:numCache>
                <c:formatCode>General</c:formatCode>
                <c:ptCount val="261"/>
                <c:pt idx="0">
                  <c:v>803768</c:v>
                </c:pt>
                <c:pt idx="1">
                  <c:v>803768</c:v>
                </c:pt>
                <c:pt idx="2">
                  <c:v>807248</c:v>
                </c:pt>
                <c:pt idx="3">
                  <c:v>807872</c:v>
                </c:pt>
                <c:pt idx="4">
                  <c:v>814075</c:v>
                </c:pt>
                <c:pt idx="5">
                  <c:v>827651</c:v>
                </c:pt>
                <c:pt idx="6">
                  <c:v>825447</c:v>
                </c:pt>
                <c:pt idx="7">
                  <c:v>841012</c:v>
                </c:pt>
                <c:pt idx="8">
                  <c:v>850860</c:v>
                </c:pt>
                <c:pt idx="9">
                  <c:v>857942</c:v>
                </c:pt>
                <c:pt idx="10">
                  <c:v>853840</c:v>
                </c:pt>
                <c:pt idx="11">
                  <c:v>863283</c:v>
                </c:pt>
                <c:pt idx="12">
                  <c:v>862096</c:v>
                </c:pt>
                <c:pt idx="13">
                  <c:v>861405</c:v>
                </c:pt>
                <c:pt idx="14">
                  <c:v>876637</c:v>
                </c:pt>
                <c:pt idx="15">
                  <c:v>884864</c:v>
                </c:pt>
                <c:pt idx="16">
                  <c:v>882385</c:v>
                </c:pt>
                <c:pt idx="17">
                  <c:v>880588</c:v>
                </c:pt>
                <c:pt idx="18">
                  <c:v>885919</c:v>
                </c:pt>
                <c:pt idx="19">
                  <c:v>877572</c:v>
                </c:pt>
                <c:pt idx="20">
                  <c:v>871124</c:v>
                </c:pt>
                <c:pt idx="21">
                  <c:v>866046</c:v>
                </c:pt>
                <c:pt idx="22">
                  <c:v>849490</c:v>
                </c:pt>
                <c:pt idx="23">
                  <c:v>851377</c:v>
                </c:pt>
                <c:pt idx="24">
                  <c:v>843771</c:v>
                </c:pt>
                <c:pt idx="25">
                  <c:v>826538</c:v>
                </c:pt>
                <c:pt idx="26">
                  <c:v>828475</c:v>
                </c:pt>
                <c:pt idx="27">
                  <c:v>836413</c:v>
                </c:pt>
                <c:pt idx="28">
                  <c:v>821424</c:v>
                </c:pt>
                <c:pt idx="29">
                  <c:v>816983</c:v>
                </c:pt>
                <c:pt idx="30">
                  <c:v>817010</c:v>
                </c:pt>
                <c:pt idx="31">
                  <c:v>818379</c:v>
                </c:pt>
                <c:pt idx="32">
                  <c:v>808610</c:v>
                </c:pt>
                <c:pt idx="33">
                  <c:v>819396</c:v>
                </c:pt>
                <c:pt idx="34">
                  <c:v>813062</c:v>
                </c:pt>
                <c:pt idx="35">
                  <c:v>820444</c:v>
                </c:pt>
                <c:pt idx="36">
                  <c:v>827956</c:v>
                </c:pt>
                <c:pt idx="37">
                  <c:v>826116</c:v>
                </c:pt>
                <c:pt idx="38">
                  <c:v>821943</c:v>
                </c:pt>
                <c:pt idx="39">
                  <c:v>817788</c:v>
                </c:pt>
                <c:pt idx="40">
                  <c:v>822899</c:v>
                </c:pt>
                <c:pt idx="41">
                  <c:v>819996</c:v>
                </c:pt>
                <c:pt idx="42">
                  <c:v>809928</c:v>
                </c:pt>
                <c:pt idx="43">
                  <c:v>810436</c:v>
                </c:pt>
                <c:pt idx="44">
                  <c:v>810975</c:v>
                </c:pt>
                <c:pt idx="45">
                  <c:v>813038</c:v>
                </c:pt>
                <c:pt idx="46">
                  <c:v>815797</c:v>
                </c:pt>
                <c:pt idx="47">
                  <c:v>817651</c:v>
                </c:pt>
                <c:pt idx="48">
                  <c:v>808830</c:v>
                </c:pt>
                <c:pt idx="49">
                  <c:v>813849</c:v>
                </c:pt>
                <c:pt idx="50">
                  <c:v>803329</c:v>
                </c:pt>
                <c:pt idx="51">
                  <c:v>808650</c:v>
                </c:pt>
                <c:pt idx="52">
                  <c:v>810866</c:v>
                </c:pt>
                <c:pt idx="53">
                  <c:v>803692</c:v>
                </c:pt>
                <c:pt idx="54">
                  <c:v>809225</c:v>
                </c:pt>
                <c:pt idx="55">
                  <c:v>803378</c:v>
                </c:pt>
                <c:pt idx="56">
                  <c:v>809979</c:v>
                </c:pt>
                <c:pt idx="57">
                  <c:v>810668</c:v>
                </c:pt>
                <c:pt idx="58">
                  <c:v>817360</c:v>
                </c:pt>
                <c:pt idx="59">
                  <c:v>818247</c:v>
                </c:pt>
                <c:pt idx="60">
                  <c:v>818607</c:v>
                </c:pt>
                <c:pt idx="61">
                  <c:v>813178</c:v>
                </c:pt>
                <c:pt idx="62">
                  <c:v>812902</c:v>
                </c:pt>
                <c:pt idx="63">
                  <c:v>808050</c:v>
                </c:pt>
                <c:pt idx="64">
                  <c:v>809973</c:v>
                </c:pt>
                <c:pt idx="65">
                  <c:v>802809</c:v>
                </c:pt>
                <c:pt idx="66">
                  <c:v>803008</c:v>
                </c:pt>
                <c:pt idx="67">
                  <c:v>805966</c:v>
                </c:pt>
                <c:pt idx="68">
                  <c:v>802417</c:v>
                </c:pt>
                <c:pt idx="69">
                  <c:v>800210</c:v>
                </c:pt>
                <c:pt idx="70">
                  <c:v>818967</c:v>
                </c:pt>
                <c:pt idx="71">
                  <c:v>808873</c:v>
                </c:pt>
                <c:pt idx="72">
                  <c:v>798553</c:v>
                </c:pt>
                <c:pt idx="73">
                  <c:v>789907</c:v>
                </c:pt>
                <c:pt idx="74">
                  <c:v>791768</c:v>
                </c:pt>
                <c:pt idx="75">
                  <c:v>778762</c:v>
                </c:pt>
                <c:pt idx="76">
                  <c:v>766879</c:v>
                </c:pt>
                <c:pt idx="77">
                  <c:v>749660</c:v>
                </c:pt>
                <c:pt idx="78">
                  <c:v>739210</c:v>
                </c:pt>
                <c:pt idx="79">
                  <c:v>733681</c:v>
                </c:pt>
                <c:pt idx="80">
                  <c:v>731627</c:v>
                </c:pt>
                <c:pt idx="81">
                  <c:v>731364</c:v>
                </c:pt>
                <c:pt idx="82">
                  <c:v>722503</c:v>
                </c:pt>
                <c:pt idx="83">
                  <c:v>723667</c:v>
                </c:pt>
                <c:pt idx="84">
                  <c:v>721328</c:v>
                </c:pt>
                <c:pt idx="85">
                  <c:v>718050</c:v>
                </c:pt>
                <c:pt idx="86">
                  <c:v>717887</c:v>
                </c:pt>
                <c:pt idx="87">
                  <c:v>715570</c:v>
                </c:pt>
                <c:pt idx="88">
                  <c:v>715570</c:v>
                </c:pt>
                <c:pt idx="89">
                  <c:v>708852</c:v>
                </c:pt>
                <c:pt idx="90">
                  <c:v>701882</c:v>
                </c:pt>
                <c:pt idx="91">
                  <c:v>701909</c:v>
                </c:pt>
                <c:pt idx="92">
                  <c:v>698658</c:v>
                </c:pt>
                <c:pt idx="93">
                  <c:v>698681</c:v>
                </c:pt>
                <c:pt idx="94">
                  <c:v>698465</c:v>
                </c:pt>
                <c:pt idx="95">
                  <c:v>691170</c:v>
                </c:pt>
                <c:pt idx="96">
                  <c:v>697285</c:v>
                </c:pt>
                <c:pt idx="97">
                  <c:v>697249</c:v>
                </c:pt>
                <c:pt idx="98">
                  <c:v>694545</c:v>
                </c:pt>
                <c:pt idx="99">
                  <c:v>688973</c:v>
                </c:pt>
                <c:pt idx="100">
                  <c:v>688341</c:v>
                </c:pt>
                <c:pt idx="101">
                  <c:v>690361</c:v>
                </c:pt>
                <c:pt idx="102">
                  <c:v>680610</c:v>
                </c:pt>
                <c:pt idx="103">
                  <c:v>681219</c:v>
                </c:pt>
                <c:pt idx="104">
                  <c:v>680539</c:v>
                </c:pt>
                <c:pt idx="105">
                  <c:v>685571</c:v>
                </c:pt>
                <c:pt idx="106">
                  <c:v>692813</c:v>
                </c:pt>
                <c:pt idx="107">
                  <c:v>684348</c:v>
                </c:pt>
                <c:pt idx="108">
                  <c:v>692854</c:v>
                </c:pt>
                <c:pt idx="109">
                  <c:v>686815</c:v>
                </c:pt>
                <c:pt idx="110">
                  <c:v>685520</c:v>
                </c:pt>
                <c:pt idx="111">
                  <c:v>687130</c:v>
                </c:pt>
                <c:pt idx="112">
                  <c:v>688725</c:v>
                </c:pt>
                <c:pt idx="113">
                  <c:v>692686</c:v>
                </c:pt>
                <c:pt idx="114">
                  <c:v>691864</c:v>
                </c:pt>
                <c:pt idx="115">
                  <c:v>697506</c:v>
                </c:pt>
                <c:pt idx="116">
                  <c:v>702780</c:v>
                </c:pt>
                <c:pt idx="117">
                  <c:v>707908</c:v>
                </c:pt>
                <c:pt idx="118">
                  <c:v>710866</c:v>
                </c:pt>
                <c:pt idx="119">
                  <c:v>714386</c:v>
                </c:pt>
                <c:pt idx="120">
                  <c:v>716239</c:v>
                </c:pt>
                <c:pt idx="121">
                  <c:v>717851</c:v>
                </c:pt>
                <c:pt idx="122">
                  <c:v>720945</c:v>
                </c:pt>
                <c:pt idx="123">
                  <c:v>724749</c:v>
                </c:pt>
                <c:pt idx="124">
                  <c:v>724431</c:v>
                </c:pt>
                <c:pt idx="125">
                  <c:v>733473</c:v>
                </c:pt>
                <c:pt idx="126">
                  <c:v>735373</c:v>
                </c:pt>
                <c:pt idx="127">
                  <c:v>736891</c:v>
                </c:pt>
                <c:pt idx="128">
                  <c:v>737111</c:v>
                </c:pt>
                <c:pt idx="129">
                  <c:v>743097</c:v>
                </c:pt>
                <c:pt idx="130">
                  <c:v>742101</c:v>
                </c:pt>
                <c:pt idx="131">
                  <c:v>738923</c:v>
                </c:pt>
                <c:pt idx="132">
                  <c:v>733391</c:v>
                </c:pt>
                <c:pt idx="133">
                  <c:v>730699</c:v>
                </c:pt>
                <c:pt idx="134">
                  <c:v>729234</c:v>
                </c:pt>
                <c:pt idx="135">
                  <c:v>722232</c:v>
                </c:pt>
                <c:pt idx="136">
                  <c:v>728861</c:v>
                </c:pt>
                <c:pt idx="137">
                  <c:v>728212</c:v>
                </c:pt>
                <c:pt idx="138">
                  <c:v>726496</c:v>
                </c:pt>
                <c:pt idx="139">
                  <c:v>732167</c:v>
                </c:pt>
                <c:pt idx="140">
                  <c:v>732581</c:v>
                </c:pt>
                <c:pt idx="141">
                  <c:v>734537</c:v>
                </c:pt>
                <c:pt idx="142">
                  <c:v>734326</c:v>
                </c:pt>
                <c:pt idx="143">
                  <c:v>740382</c:v>
                </c:pt>
                <c:pt idx="144">
                  <c:v>742795</c:v>
                </c:pt>
                <c:pt idx="145">
                  <c:v>747332</c:v>
                </c:pt>
                <c:pt idx="146">
                  <c:v>755476</c:v>
                </c:pt>
                <c:pt idx="147">
                  <c:v>760128</c:v>
                </c:pt>
                <c:pt idx="148">
                  <c:v>764019</c:v>
                </c:pt>
                <c:pt idx="149">
                  <c:v>768318</c:v>
                </c:pt>
                <c:pt idx="150">
                  <c:v>769265</c:v>
                </c:pt>
                <c:pt idx="151">
                  <c:v>777517</c:v>
                </c:pt>
                <c:pt idx="152">
                  <c:v>778292</c:v>
                </c:pt>
                <c:pt idx="153">
                  <c:v>781737</c:v>
                </c:pt>
                <c:pt idx="154">
                  <c:v>774030</c:v>
                </c:pt>
                <c:pt idx="155">
                  <c:v>775159</c:v>
                </c:pt>
                <c:pt idx="156">
                  <c:v>781055</c:v>
                </c:pt>
                <c:pt idx="157">
                  <c:v>787830</c:v>
                </c:pt>
                <c:pt idx="158">
                  <c:v>787681</c:v>
                </c:pt>
                <c:pt idx="159">
                  <c:v>786624</c:v>
                </c:pt>
                <c:pt idx="160">
                  <c:v>790849</c:v>
                </c:pt>
                <c:pt idx="161">
                  <c:v>795473</c:v>
                </c:pt>
                <c:pt idx="162">
                  <c:v>798121</c:v>
                </c:pt>
                <c:pt idx="163">
                  <c:v>803986</c:v>
                </c:pt>
                <c:pt idx="164">
                  <c:v>810305</c:v>
                </c:pt>
                <c:pt idx="165">
                  <c:v>813699</c:v>
                </c:pt>
                <c:pt idx="166">
                  <c:v>817322</c:v>
                </c:pt>
                <c:pt idx="167">
                  <c:v>822244</c:v>
                </c:pt>
                <c:pt idx="168">
                  <c:v>828731</c:v>
                </c:pt>
                <c:pt idx="169">
                  <c:v>830439</c:v>
                </c:pt>
                <c:pt idx="170">
                  <c:v>832936</c:v>
                </c:pt>
                <c:pt idx="171">
                  <c:v>834716</c:v>
                </c:pt>
                <c:pt idx="172">
                  <c:v>833707</c:v>
                </c:pt>
                <c:pt idx="173">
                  <c:v>824016</c:v>
                </c:pt>
                <c:pt idx="174">
                  <c:v>827600</c:v>
                </c:pt>
                <c:pt idx="175">
                  <c:v>823276</c:v>
                </c:pt>
                <c:pt idx="176">
                  <c:v>816365</c:v>
                </c:pt>
                <c:pt idx="177">
                  <c:v>807053</c:v>
                </c:pt>
                <c:pt idx="178">
                  <c:v>808230</c:v>
                </c:pt>
                <c:pt idx="179">
                  <c:v>813885</c:v>
                </c:pt>
                <c:pt idx="180">
                  <c:v>812342</c:v>
                </c:pt>
                <c:pt idx="181">
                  <c:v>806663</c:v>
                </c:pt>
                <c:pt idx="182">
                  <c:v>797680</c:v>
                </c:pt>
                <c:pt idx="183">
                  <c:v>800479</c:v>
                </c:pt>
                <c:pt idx="184">
                  <c:v>805149</c:v>
                </c:pt>
                <c:pt idx="185">
                  <c:v>802625</c:v>
                </c:pt>
                <c:pt idx="186">
                  <c:v>803561</c:v>
                </c:pt>
                <c:pt idx="187">
                  <c:v>809250</c:v>
                </c:pt>
                <c:pt idx="188">
                  <c:v>811186</c:v>
                </c:pt>
                <c:pt idx="189">
                  <c:v>815896</c:v>
                </c:pt>
                <c:pt idx="190">
                  <c:v>813028</c:v>
                </c:pt>
                <c:pt idx="191">
                  <c:v>811717</c:v>
                </c:pt>
                <c:pt idx="192">
                  <c:v>807754</c:v>
                </c:pt>
                <c:pt idx="193">
                  <c:v>803597</c:v>
                </c:pt>
                <c:pt idx="194">
                  <c:v>808019</c:v>
                </c:pt>
                <c:pt idx="195">
                  <c:v>803504</c:v>
                </c:pt>
                <c:pt idx="196">
                  <c:v>797373</c:v>
                </c:pt>
                <c:pt idx="197">
                  <c:v>797037</c:v>
                </c:pt>
                <c:pt idx="198">
                  <c:v>783578</c:v>
                </c:pt>
                <c:pt idx="199">
                  <c:v>780837</c:v>
                </c:pt>
                <c:pt idx="200">
                  <c:v>778313</c:v>
                </c:pt>
                <c:pt idx="201">
                  <c:v>777302</c:v>
                </c:pt>
                <c:pt idx="202">
                  <c:v>774300</c:v>
                </c:pt>
                <c:pt idx="203">
                  <c:v>773872</c:v>
                </c:pt>
                <c:pt idx="204">
                  <c:v>767392</c:v>
                </c:pt>
                <c:pt idx="205">
                  <c:v>765459</c:v>
                </c:pt>
                <c:pt idx="206">
                  <c:v>762280</c:v>
                </c:pt>
                <c:pt idx="207">
                  <c:v>751733</c:v>
                </c:pt>
                <c:pt idx="208">
                  <c:v>746097</c:v>
                </c:pt>
                <c:pt idx="209">
                  <c:v>751417</c:v>
                </c:pt>
                <c:pt idx="210">
                  <c:v>757576</c:v>
                </c:pt>
                <c:pt idx="211">
                  <c:v>759267</c:v>
                </c:pt>
                <c:pt idx="212">
                  <c:v>763584</c:v>
                </c:pt>
                <c:pt idx="213">
                  <c:v>766770</c:v>
                </c:pt>
                <c:pt idx="214">
                  <c:v>769448</c:v>
                </c:pt>
                <c:pt idx="215">
                  <c:v>772903</c:v>
                </c:pt>
                <c:pt idx="216">
                  <c:v>779200</c:v>
                </c:pt>
                <c:pt idx="217">
                  <c:v>784262</c:v>
                </c:pt>
                <c:pt idx="218">
                  <c:v>787186</c:v>
                </c:pt>
                <c:pt idx="219">
                  <c:v>784823</c:v>
                </c:pt>
                <c:pt idx="220">
                  <c:v>786095</c:v>
                </c:pt>
                <c:pt idx="221">
                  <c:v>785997</c:v>
                </c:pt>
                <c:pt idx="222">
                  <c:v>798345</c:v>
                </c:pt>
                <c:pt idx="223">
                  <c:v>805328</c:v>
                </c:pt>
                <c:pt idx="224">
                  <c:v>803447</c:v>
                </c:pt>
                <c:pt idx="225">
                  <c:v>803232</c:v>
                </c:pt>
                <c:pt idx="226">
                  <c:v>803643</c:v>
                </c:pt>
                <c:pt idx="227">
                  <c:v>802635</c:v>
                </c:pt>
                <c:pt idx="228">
                  <c:v>799369</c:v>
                </c:pt>
                <c:pt idx="229">
                  <c:v>791762</c:v>
                </c:pt>
                <c:pt idx="230">
                  <c:v>793655</c:v>
                </c:pt>
                <c:pt idx="231">
                  <c:v>794523</c:v>
                </c:pt>
                <c:pt idx="232">
                  <c:v>792914</c:v>
                </c:pt>
                <c:pt idx="233">
                  <c:v>793846</c:v>
                </c:pt>
                <c:pt idx="234">
                  <c:v>782373</c:v>
                </c:pt>
                <c:pt idx="235">
                  <c:v>786748</c:v>
                </c:pt>
                <c:pt idx="236">
                  <c:v>792938</c:v>
                </c:pt>
                <c:pt idx="237">
                  <c:v>791602</c:v>
                </c:pt>
                <c:pt idx="238">
                  <c:v>789439</c:v>
                </c:pt>
                <c:pt idx="239">
                  <c:v>786659</c:v>
                </c:pt>
                <c:pt idx="240">
                  <c:v>788257</c:v>
                </c:pt>
                <c:pt idx="241">
                  <c:v>778583</c:v>
                </c:pt>
                <c:pt idx="242">
                  <c:v>772773</c:v>
                </c:pt>
                <c:pt idx="243">
                  <c:v>768413</c:v>
                </c:pt>
                <c:pt idx="244">
                  <c:v>767060</c:v>
                </c:pt>
                <c:pt idx="245">
                  <c:v>767965</c:v>
                </c:pt>
                <c:pt idx="246">
                  <c:v>765181</c:v>
                </c:pt>
                <c:pt idx="247">
                  <c:v>764466</c:v>
                </c:pt>
                <c:pt idx="248">
                  <c:v>764514</c:v>
                </c:pt>
                <c:pt idx="249">
                  <c:v>771301</c:v>
                </c:pt>
                <c:pt idx="250">
                  <c:v>776412</c:v>
                </c:pt>
                <c:pt idx="251">
                  <c:v>783749</c:v>
                </c:pt>
                <c:pt idx="252">
                  <c:v>783429</c:v>
                </c:pt>
                <c:pt idx="253">
                  <c:v>781577</c:v>
                </c:pt>
                <c:pt idx="254">
                  <c:v>784752</c:v>
                </c:pt>
                <c:pt idx="255">
                  <c:v>787694</c:v>
                </c:pt>
                <c:pt idx="256">
                  <c:v>791487</c:v>
                </c:pt>
                <c:pt idx="257">
                  <c:v>799064</c:v>
                </c:pt>
                <c:pt idx="258">
                  <c:v>799782</c:v>
                </c:pt>
                <c:pt idx="259">
                  <c:v>795313</c:v>
                </c:pt>
                <c:pt idx="260">
                  <c:v>798103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50080"/>
        <c:axId val="122751616"/>
      </c:barChart>
      <c:dateAx>
        <c:axId val="12275008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ln w="9525"/>
        </c:spPr>
        <c:txPr>
          <a:bodyPr rot="-2700000"/>
          <a:lstStyle/>
          <a:p>
            <a:pPr>
              <a:defRPr sz="800">
                <a:solidFill>
                  <a:sysClr val="windowText" lastClr="000000"/>
                </a:solidFill>
              </a:defRPr>
            </a:pPr>
            <a:endParaRPr lang="ko-KR"/>
          </a:p>
        </c:txPr>
        <c:crossAx val="122751616"/>
        <c:crosses val="autoZero"/>
        <c:auto val="1"/>
        <c:lblOffset val="100"/>
        <c:baseTimeUnit val="days"/>
        <c:majorUnit val="6"/>
        <c:majorTimeUnit val="months"/>
      </c:dateAx>
      <c:valAx>
        <c:axId val="122751616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22750080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800"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9525</xdr:rowOff>
    </xdr:from>
    <xdr:to>
      <xdr:col>9</xdr:col>
      <xdr:colOff>523876</xdr:colOff>
      <xdr:row>23</xdr:row>
      <xdr:rowOff>133350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19052</xdr:colOff>
      <xdr:row>6</xdr:row>
      <xdr:rowOff>9525</xdr:rowOff>
    </xdr:from>
    <xdr:to>
      <xdr:col>19</xdr:col>
      <xdr:colOff>466726</xdr:colOff>
      <xdr:row>23</xdr:row>
      <xdr:rowOff>152401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47626</xdr:colOff>
      <xdr:row>26</xdr:row>
      <xdr:rowOff>57150</xdr:rowOff>
    </xdr:from>
    <xdr:to>
      <xdr:col>9</xdr:col>
      <xdr:colOff>514351</xdr:colOff>
      <xdr:row>45</xdr:row>
      <xdr:rowOff>123825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19049</xdr:colOff>
      <xdr:row>26</xdr:row>
      <xdr:rowOff>47624</xdr:rowOff>
    </xdr:from>
    <xdr:to>
      <xdr:col>19</xdr:col>
      <xdr:colOff>466724</xdr:colOff>
      <xdr:row>45</xdr:row>
      <xdr:rowOff>123825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47</xdr:row>
      <xdr:rowOff>57149</xdr:rowOff>
    </xdr:from>
    <xdr:to>
      <xdr:col>9</xdr:col>
      <xdr:colOff>533401</xdr:colOff>
      <xdr:row>64</xdr:row>
      <xdr:rowOff>104774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38100</xdr:colOff>
      <xdr:row>47</xdr:row>
      <xdr:rowOff>57150</xdr:rowOff>
    </xdr:from>
    <xdr:to>
      <xdr:col>19</xdr:col>
      <xdr:colOff>485775</xdr:colOff>
      <xdr:row>64</xdr:row>
      <xdr:rowOff>104775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47624</xdr:colOff>
      <xdr:row>66</xdr:row>
      <xdr:rowOff>28574</xdr:rowOff>
    </xdr:from>
    <xdr:to>
      <xdr:col>9</xdr:col>
      <xdr:colOff>523874</xdr:colOff>
      <xdr:row>82</xdr:row>
      <xdr:rowOff>171449</xdr:rowOff>
    </xdr:to>
    <xdr:graphicFrame macro="">
      <xdr:nvGraphicFramePr>
        <xdr:cNvPr id="13" name="차트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38100</xdr:colOff>
      <xdr:row>66</xdr:row>
      <xdr:rowOff>19049</xdr:rowOff>
    </xdr:from>
    <xdr:to>
      <xdr:col>19</xdr:col>
      <xdr:colOff>552450</xdr:colOff>
      <xdr:row>83</xdr:row>
      <xdr:rowOff>28575</xdr:rowOff>
    </xdr:to>
    <xdr:graphicFrame macro="">
      <xdr:nvGraphicFramePr>
        <xdr:cNvPr id="11" name="차트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06"/>
  <sheetViews>
    <sheetView showGridLines="0" tabSelected="1" zoomScaleNormal="100" workbookViewId="0">
      <pane activePane="bottomRight" state="frozen"/>
    </sheetView>
  </sheetViews>
  <sheetFormatPr defaultRowHeight="13.5" x14ac:dyDescent="0.25"/>
  <cols>
    <col min="1" max="1" width="2.42578125" style="1" customWidth="1"/>
    <col min="2" max="2" width="2.42578125" customWidth="1"/>
    <col min="9" max="10" width="9.140625" style="1"/>
    <col min="11" max="11" width="2.42578125" style="1" customWidth="1"/>
    <col min="12" max="16" width="9.140625" style="1"/>
    <col min="20" max="21" width="9.140625" style="1"/>
    <col min="22" max="24" width="9.140625" style="14"/>
    <col min="25" max="25" width="17.42578125" style="14" customWidth="1"/>
    <col min="26" max="26" width="16.7109375" style="14" customWidth="1"/>
    <col min="27" max="27" width="12.28515625" style="14" customWidth="1"/>
    <col min="28" max="37" width="9.140625" style="14"/>
    <col min="38" max="38" width="10.85546875" style="15" customWidth="1"/>
    <col min="39" max="39" width="12.7109375" style="15" bestFit="1" customWidth="1"/>
    <col min="40" max="40" width="11.42578125" style="15" bestFit="1" customWidth="1"/>
    <col min="41" max="41" width="12.5703125" style="15" bestFit="1" customWidth="1"/>
    <col min="42" max="42" width="9.85546875" style="15" bestFit="1" customWidth="1"/>
    <col min="43" max="43" width="16.5703125" style="15" customWidth="1"/>
    <col min="44" max="44" width="20.42578125" style="15" customWidth="1"/>
    <col min="45" max="45" width="12.5703125" style="15" bestFit="1" customWidth="1"/>
    <col min="46" max="47" width="9.28515625" style="15" bestFit="1" customWidth="1"/>
    <col min="48" max="49" width="12.140625" style="15" customWidth="1"/>
    <col min="50" max="50" width="9.7109375" style="15" bestFit="1" customWidth="1"/>
    <col min="51" max="51" width="11.42578125" style="15" customWidth="1"/>
    <col min="52" max="53" width="11.42578125" style="15" bestFit="1" customWidth="1"/>
    <col min="54" max="54" width="11.85546875" style="15" customWidth="1"/>
    <col min="55" max="55" width="10.7109375" style="15" customWidth="1"/>
    <col min="56" max="56" width="13.7109375" style="15" customWidth="1"/>
    <col min="57" max="57" width="9.7109375" style="15" customWidth="1"/>
    <col min="58" max="58" width="12.7109375" style="15" customWidth="1"/>
    <col min="59" max="60" width="11.42578125" style="15" bestFit="1" customWidth="1"/>
    <col min="61" max="61" width="9.28515625" style="15" bestFit="1" customWidth="1"/>
    <col min="62" max="62" width="12" style="15" bestFit="1" customWidth="1"/>
    <col min="63" max="63" width="11.42578125" style="15" bestFit="1" customWidth="1"/>
    <col min="64" max="64" width="12.28515625" style="15" bestFit="1" customWidth="1"/>
    <col min="65" max="65" width="11.28515625" style="15" bestFit="1" customWidth="1"/>
    <col min="66" max="67" width="10" style="15" customWidth="1"/>
    <col min="68" max="68" width="9.7109375" style="15" bestFit="1" customWidth="1"/>
    <col min="69" max="69" width="11.28515625" style="15" bestFit="1" customWidth="1"/>
    <col min="70" max="70" width="9.7109375" style="15" bestFit="1" customWidth="1"/>
    <col min="71" max="71" width="9.140625" style="15"/>
    <col min="72" max="73" width="9.140625" style="14"/>
    <col min="74" max="16384" width="9.140625" style="19"/>
  </cols>
  <sheetData>
    <row r="1" spans="1:73" s="14" customForma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</row>
    <row r="2" spans="1:73" s="17" customFormat="1" ht="26.25" x14ac:dyDescent="0.25">
      <c r="A2" s="10"/>
      <c r="B2" s="3" t="s">
        <v>46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6"/>
      <c r="W2" s="16"/>
      <c r="X2" s="16"/>
      <c r="Y2" s="16"/>
      <c r="Z2" s="16"/>
      <c r="AA2" s="16"/>
      <c r="AB2" s="16"/>
      <c r="AM2" s="18">
        <f ca="1">TODAY()-1825</f>
        <v>41795</v>
      </c>
      <c r="AS2" s="17" t="s">
        <v>15</v>
      </c>
      <c r="AT2" s="17" t="s">
        <v>16</v>
      </c>
    </row>
    <row r="3" spans="1:73" ht="6.75" customHeight="1" x14ac:dyDescent="0.25">
      <c r="A3" s="13"/>
      <c r="B3" s="20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5" t="s">
        <v>0</v>
      </c>
      <c r="AM3" s="4">
        <f ca="1">TODAY()-3650</f>
        <v>39970</v>
      </c>
      <c r="AN3" s="15" t="s">
        <v>1</v>
      </c>
      <c r="AO3" s="4">
        <f ca="1">TODAY()-1</f>
        <v>43619</v>
      </c>
      <c r="AP3" s="15" t="s">
        <v>2</v>
      </c>
      <c r="AQ3" s="15">
        <v>1000</v>
      </c>
      <c r="AR3" s="15" t="s">
        <v>3</v>
      </c>
      <c r="AS3" s="15" t="s">
        <v>17</v>
      </c>
      <c r="AT3" s="15" t="s">
        <v>4</v>
      </c>
      <c r="AU3" s="15" t="s">
        <v>5</v>
      </c>
      <c r="AV3" s="15" t="s">
        <v>6</v>
      </c>
      <c r="AW3" s="15">
        <v>2</v>
      </c>
      <c r="AX3" s="15" t="s">
        <v>7</v>
      </c>
      <c r="AY3" s="15" t="s">
        <v>8</v>
      </c>
      <c r="BT3" s="19"/>
      <c r="BU3" s="19"/>
    </row>
    <row r="4" spans="1:73" ht="4.5" customHeight="1" x14ac:dyDescent="0.25">
      <c r="A4" s="13"/>
      <c r="B4" s="20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5" t="s">
        <v>18</v>
      </c>
      <c r="AN4" s="5" t="s">
        <v>9</v>
      </c>
      <c r="AO4" s="6" t="s">
        <v>19</v>
      </c>
      <c r="AQ4" s="5" t="s">
        <v>12</v>
      </c>
      <c r="AR4" s="5" t="s">
        <v>20</v>
      </c>
      <c r="AS4" s="5" t="s">
        <v>21</v>
      </c>
      <c r="AT4" s="5"/>
      <c r="AU4" s="5" t="s">
        <v>22</v>
      </c>
      <c r="AV4" s="5" t="s">
        <v>23</v>
      </c>
      <c r="AX4" s="5" t="s">
        <v>24</v>
      </c>
      <c r="AY4" s="5" t="s">
        <v>25</v>
      </c>
      <c r="AZ4" s="5" t="s">
        <v>26</v>
      </c>
      <c r="BB4" s="5" t="s">
        <v>27</v>
      </c>
      <c r="BC4" s="5" t="s">
        <v>28</v>
      </c>
      <c r="BD4" s="5" t="s">
        <v>29</v>
      </c>
      <c r="BF4" s="5" t="s">
        <v>29</v>
      </c>
      <c r="BG4" s="5" t="s">
        <v>30</v>
      </c>
      <c r="BI4" s="5" t="s">
        <v>31</v>
      </c>
      <c r="BJ4" s="5" t="s">
        <v>32</v>
      </c>
      <c r="BK4" s="5" t="s">
        <v>33</v>
      </c>
      <c r="BM4" s="5" t="s">
        <v>34</v>
      </c>
      <c r="BN4" s="5" t="s">
        <v>35</v>
      </c>
      <c r="BO4" s="5" t="s">
        <v>36</v>
      </c>
      <c r="BP4" s="5" t="s">
        <v>37</v>
      </c>
      <c r="BQ4" s="5" t="s">
        <v>38</v>
      </c>
      <c r="BR4" s="5" t="s">
        <v>39</v>
      </c>
      <c r="BT4" s="19"/>
      <c r="BU4" s="19"/>
    </row>
    <row r="5" spans="1:73" hidden="1" x14ac:dyDescent="0.25">
      <c r="A5" s="13"/>
      <c r="B5" s="20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5" t="str">
        <f ca="1">_xll.IMDH("ECO",$AL$4,AL6:AM6,$AM$3,$AO$3,$AQ$3,"Per="&amp;$AS$3&amp;",sort="&amp;$AU$3&amp;",real=true,Bizday="&amp;$AW$3&amp;",Quote="&amp;$AY$3&amp;",Pos=20,Orient=V,Title=GDP(좌),DtFmt=1,TmFmt=1,unit=true")</f>
        <v>GDP(좌)</v>
      </c>
      <c r="AM5" s="15" t="s">
        <v>53</v>
      </c>
      <c r="AN5" s="15" t="str">
        <f ca="1">_xll.IMDH("ECO",$AN$4,AN6,$AM$3,$AO$3,$AQ$3,"Per="&amp;$AS$3&amp;",sort="&amp;$AU$3&amp;",real=true,Bizday="&amp;$AW$3&amp;",Quote="&amp;$AY$3&amp;",Pos=20,Orient=V,Title=GDP증가율(우),DtFmt=1,TmFmt=1,unit=true")</f>
        <v>GDP증가율(우)</v>
      </c>
      <c r="AO5" s="15" t="str">
        <f ca="1">_xll.IMDH("ECO",$AO$4,AO6:AP6,$AM$3,$AO$3,$AQ$3,"Per="&amp;AS2&amp;",sort="&amp;$AU$3&amp;",real=true,Bizday="&amp;$AW$3&amp;",Quote="&amp;$AY$3&amp;",Pos=20,Orient=V,Title=광공업지수(좌),DtFmt=1,TmFmt=1,unit=true")</f>
        <v>광공업지수(좌)</v>
      </c>
      <c r="AP5" s="15" t="s">
        <v>52</v>
      </c>
      <c r="AQ5" s="15" t="str">
        <f ca="1">_xll.IMDH("ECO",$AQ$4,AQ6,$AM$3,$AO$3,$AQ$3,"Per="&amp;$AS$2&amp;",sort="&amp;$AU$3&amp;",real=true,Bizday="&amp;$AW$3&amp;",Quote="&amp;$AY$3&amp;",Pos=20,Orient=V,Title=광공업지수[전월비](우),DtFmt=1,TmFmt=1,unit=true")</f>
        <v>광공업지수[전월비](우)</v>
      </c>
      <c r="AR5" s="15" t="str">
        <f ca="1">_xll.IMDH("ECO",$AR$4,AR6,$AM$3,$AO$3,$AQ$3,"Per="&amp;$AS$2&amp;",sort="&amp;$AU$3&amp;",real=true,Bizday="&amp;$AW$3&amp;",Quote="&amp;$AY$3&amp;",Pos=20,Orient=V,Title=광공업지수[전년동월비](우),DtFmt=1,TmFmt=1,unit=true")</f>
        <v>광공업지수[전년동월비](우)</v>
      </c>
      <c r="AS5" s="15" t="str">
        <f ca="1">_xll.IMDH("IDX",$AS$4,AS6:AT6,$AM$3,$AO$3,$AQ$3,"Per="&amp;AS2&amp;",sort="&amp;$AU$3&amp;",real=true,Bizday="&amp;$AW$3&amp;",Quote="&amp;$AY$3&amp;",Pos=20,Orient=V,Title=KOSPI(좌),DtFmt=1,TmFmt=1,unit=true")</f>
        <v>KOSPI(좌)</v>
      </c>
      <c r="AU5" s="15" t="str">
        <f ca="1">_xll.IMDH("ECO",$AU$4,AU6,$AM$3,$AO$3,$AQ$3,"Per="&amp;$AS$2&amp;",sort="&amp;$AU$3&amp;",real=true,Bizday="&amp;$AW$3&amp;",Quote="&amp;$AY$3&amp;",Pos=20,Orient=V,Title=경기동행지수순환변동치(우),DtFmt=1,TmFmt=1,unit=true")</f>
        <v>경기동행지수순환변동치(우)</v>
      </c>
      <c r="AV5" s="15" t="str">
        <f ca="1">_xll.IMDH("ECO",$AV$4,AV6:AW6,$AM$3,$AO$3,$AQ$3,"Per="&amp;$AS$2&amp;",sort="&amp;$AU$3&amp;",real=true,Bizday="&amp;$AW$3&amp;",Quote="&amp;$AY$3&amp;",Pos=20,Orient=V,Title=무역수지(우),DtFmt=1,TmFmt=1,unit=true")</f>
        <v>무역수지(우)</v>
      </c>
      <c r="AW5" s="15" t="s">
        <v>56</v>
      </c>
      <c r="AX5" s="15" t="str">
        <f ca="1">_xll.IMDH("ECO",$AX$4,BB6,$AM$3,$AO$3,$AQ$3,"Per="&amp;$AS$2&amp;",sort="&amp;$AU$3&amp;",real=true,Bizday="&amp;$AW$3&amp;",Quote="&amp;$AY$3&amp;",Pos=20,Orient=V,Title=수출(좌),DtFmt=1,TmFmt=1,unit=true")</f>
        <v>수출(좌)</v>
      </c>
      <c r="AY5" s="15" t="str">
        <f ca="1">_xll.IMDH("ECO",$AY$4,AY6,$AM$3,$AO$3,$AQ$3,"Per="&amp;$AS$2&amp;",sort="&amp;$AU$3&amp;",real=true,Bizday="&amp;$AW$3&amp;",Quote="&amp;$AY$3&amp;",Pos=20,Orient=V,Title=수입(좌),DtFmt=1,TmFmt=1,unit=true")</f>
        <v>수입(좌)</v>
      </c>
      <c r="AZ5" s="15" t="str">
        <f ca="1">_xll.IMDH("ECO",$AZ$4,AZ6:BA6,$AM$3,$AO$3,$AQ$3,"Per="&amp;$AS$2&amp;",sort="&amp;$AU$3&amp;",real=true,Bizday="&amp;$AW$3&amp;",Quote="&amp;$AY$3&amp;",Pos=20,Orient=V,Title=실업자(좌),DtFmt=1,TmFmt=1,unit=true")</f>
        <v>실업자(좌)</v>
      </c>
      <c r="BA5" s="15" t="s">
        <v>45</v>
      </c>
      <c r="BB5" s="15" t="str">
        <f ca="1">_xll.IMDH("ECO",$BB$4,BF6,$AM$3,$AO$3,$AQ$3,"Per="&amp;$AS$2&amp;",sort="&amp;$AU$3&amp;",real=true,Bizday="&amp;$AW$3&amp;",Quote="&amp;$AY$3&amp;",Pos=20,Orient=V,Title=실업률(우),DtFmt=1,TmFmt=1,unit=true")</f>
        <v>실업률(우)</v>
      </c>
      <c r="BC5" s="15" t="str">
        <f ca="1">_xll.IMDH("ECO",$BC$4,BH6,$AM$3,$AO$3,$AQ$3,"Per="&amp;$AS$2&amp;",sort="&amp;$AU$3&amp;",real=true,Bizday="&amp;$AW$3&amp;",Quote="&amp;$AY$3&amp;",Pos=20,Orient=V,Title=실업률[계절조정](우),DtFmt=1,TmFmt=1,unit=true")</f>
        <v>실업률[계절조정](우)</v>
      </c>
      <c r="BD5" s="15" t="str">
        <f ca="1">_xll.IMDH("ECO",$BD$4,BD6:BE6,$AM$3,$AO$3,$AQ$3,"Per="&amp;$AS$2&amp;",sort="&amp;$AU$3&amp;",real=true,Bizday="&amp;$AW$3&amp;",Quote="&amp;$AY$3&amp;",Pos=20,Orient=V,Title=소비자물가(좌),DtFmt=1,TmFmt=1,unit=true")</f>
        <v>소비자물가(좌)</v>
      </c>
      <c r="BE5" s="15" t="s">
        <v>55</v>
      </c>
      <c r="BF5" s="15" t="str">
        <f ca="1">_xll.IMDH("ECO",$BF$4,BF6,$AM$3,$AO$3,$AQ$3,"Per="&amp;$AS$2&amp;",sort="&amp;$AU$3&amp;",real=true,Bizday="&amp;$AW$3&amp;",Quote="&amp;$AY$3&amp;",Pos=20,Orient=V,Title=전년동월비(우),DtFmt=1,TmFmt=1,unit=true")</f>
        <v>전년동월비(우)</v>
      </c>
      <c r="BG5" s="15" t="str">
        <f ca="1">_xll.IMDH("ECO",$BG$4,BG6:BH6,$AM$3,$AO$3,$AQ$3,"Per="&amp;$AS$2&amp;",sort="&amp;$AU$3&amp;",real=true,Bizday="&amp;$AW$3&amp;",Quote="&amp;$AY$3&amp;",Pos=20,Orient=V,Title=한국은행BSI(전산업),DtFmt=1,TmFmt=1,unit=true")</f>
        <v>한국은행BSI(전산업)</v>
      </c>
      <c r="BH5" s="15" t="s">
        <v>57</v>
      </c>
      <c r="BI5" s="15" t="str">
        <f ca="1">_xll.IMDH("ECO",$BI$4,BI6,$AM$3,$AO$3,$AQ$3,"Per="&amp;$AS$2&amp;",sort="&amp;$AU$3&amp;",real=true,Bizday="&amp;$AW$3&amp;",Quote="&amp;$AY$3&amp;",Pos=20,Orient=V,Title=한국은행BSI(제조업),DtFmt=1,TmFmt=1,unit=true")</f>
        <v>한국은행BSI(제조업)</v>
      </c>
      <c r="BJ5" s="15" t="str">
        <f ca="1">_xll.IMDH("ECO",$BJ$4,BJ6,$AM$3,$AO$3,$AQ$3,"Per="&amp;$AS$2&amp;",sort="&amp;$AU$3&amp;",real=true,Bizday="&amp;$AW$3&amp;",Quote="&amp;$AY$3&amp;",Pos=20,Orient=V,Title=한국은행BSI(건설업),DtFmt=1,TmFmt=1,unit=true")</f>
        <v>한국은행BSI(건설업)</v>
      </c>
      <c r="BK5" s="15" t="str">
        <f ca="1">_xll.IMDH("ECO",$BK$4,BK6:BL6,$AM$2,$AO$3,$AQ$3,"Per="&amp;$AT$2&amp;",sort="&amp;$AU$3&amp;",real=true,Bizday="&amp;$AW$3&amp;",Quote="&amp;$AY$3&amp;",Pos=20,Orient=V,Title=은행-저축성,DtFmt=1,TmFmt=1,unit=true")</f>
        <v>은행-저축성</v>
      </c>
      <c r="BL5" s="15" t="s">
        <v>54</v>
      </c>
      <c r="BM5" s="15" t="str">
        <f ca="1">_xll.IMDH("ECO",$BM$4,BM6,$AM$2,$AO$3,$AQ$3,"Per="&amp;$AT$2&amp;",sort="&amp;$AU$3&amp;",real=true,Bizday="&amp;$AW$3&amp;",Quote="&amp;$AY$3&amp;",Pos=20,Orient=V,Title=은행-요구불,DtFmt=1,TmFmt=1,unit=true")</f>
        <v>은행-요구불</v>
      </c>
      <c r="BN5" s="15" t="str">
        <f ca="1">_xll.IMDH("ECO",$BN$4,BN6,$AM$2,$AO$3,$AQ$3,"Per="&amp;$AT$2&amp;",sort="&amp;$AU$3&amp;",real=true,Bizday="&amp;$AW$3&amp;",Quote="&amp;$AY$3&amp;",Pos=20,Orient=V,Title=증권(계),DtFmt=1,TmFmt=1,unit=true")</f>
        <v>증권(계)</v>
      </c>
      <c r="BO5" s="15" t="str">
        <f ca="1">_xll.IMDH("ECO",$BO$4,BO6,$AM$2,$AO$3,$AQ$3,"Per="&amp;$AT$2&amp;",sort="&amp;$AU$3&amp;",real=true,Bizday="&amp;$AW$3&amp;",Quote="&amp;$AY$3&amp;",Pos=20,Orient=V,Title=종금(계),DtFmt=1,TmFmt=1,unit=true")</f>
        <v>종금(계)</v>
      </c>
      <c r="BP5" s="15" t="str">
        <f ca="1">_xll.IMDH("ECO",$BP$4,BP6,$AM$2,$AO$3,$AQ$3,"Per="&amp;$AT$2&amp;",sort="&amp;$AU$3&amp;",real=true,Bizday="&amp;$AW$3&amp;",Quote="&amp;$AY$3&amp;",Pos=20,Orient=V,Title=투신-혼합,DtFmt=1,TmFmt=1,unit=true")</f>
        <v>투신-혼합</v>
      </c>
      <c r="BQ5" s="15" t="str">
        <f ca="1">_xll.IMDH("ECO",$BQ$4,BQ6,$AM$2,$AO$3,$AQ$3,"Per="&amp;$AT$2&amp;",sort="&amp;$AU$3&amp;",real=true,Bizday="&amp;$AW$3&amp;",Quote="&amp;$AY$3&amp;",Pos=20,Orient=V,Title=투신-MMF,DtFmt=1,TmFmt=1,unit=true")</f>
        <v>투신-MMF</v>
      </c>
      <c r="BR5" s="15" t="str">
        <f ca="1">_xll.IMDH("ECO",$BR$4,BR6,$AM$2,$AO$3,$AQ$3,"Per="&amp;$AT$2&amp;",sort="&amp;$AU$3&amp;",real=true,Bizday="&amp;$AW$3&amp;",Quote="&amp;$AY$3&amp;",Pos=20,Orient=V,Title=투신-주식,DtFmt=1,TmFmt=1,unit=true")</f>
        <v>투신-주식</v>
      </c>
      <c r="BT5" s="19"/>
      <c r="BU5" s="19"/>
    </row>
    <row r="6" spans="1:73" x14ac:dyDescent="0.25">
      <c r="A6" s="13"/>
      <c r="B6" s="2" t="s">
        <v>50</v>
      </c>
      <c r="C6" s="13"/>
      <c r="D6" s="13"/>
      <c r="E6" s="13"/>
      <c r="F6" s="13"/>
      <c r="G6" s="13"/>
      <c r="H6" s="13"/>
      <c r="I6" s="13"/>
      <c r="J6" s="13"/>
      <c r="K6" s="13"/>
      <c r="L6" s="2" t="s">
        <v>47</v>
      </c>
      <c r="M6" s="13"/>
      <c r="N6" s="13"/>
      <c r="O6" s="13"/>
      <c r="P6" s="13"/>
      <c r="Q6" s="13"/>
      <c r="R6" s="13"/>
      <c r="S6" s="13"/>
      <c r="T6" s="13"/>
      <c r="U6" s="13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5" t="s">
        <v>10</v>
      </c>
      <c r="AM6" s="5" t="s">
        <v>11</v>
      </c>
      <c r="AN6" s="15" t="s">
        <v>40</v>
      </c>
      <c r="AO6" s="15" t="s">
        <v>41</v>
      </c>
      <c r="AP6" s="15" t="s">
        <v>42</v>
      </c>
      <c r="AQ6" s="15" t="s">
        <v>42</v>
      </c>
      <c r="AR6" s="15" t="s">
        <v>42</v>
      </c>
      <c r="AS6" s="15" t="s">
        <v>41</v>
      </c>
      <c r="AT6" s="15" t="s">
        <v>42</v>
      </c>
      <c r="AU6" s="15" t="s">
        <v>42</v>
      </c>
      <c r="AV6" s="15" t="s">
        <v>41</v>
      </c>
      <c r="AW6" s="15" t="s">
        <v>42</v>
      </c>
      <c r="AX6" s="15" t="s">
        <v>42</v>
      </c>
      <c r="AY6" s="15" t="s">
        <v>42</v>
      </c>
      <c r="AZ6" s="15" t="s">
        <v>41</v>
      </c>
      <c r="BA6" s="15" t="s">
        <v>42</v>
      </c>
      <c r="BB6" s="15" t="s">
        <v>42</v>
      </c>
      <c r="BC6" s="15" t="s">
        <v>42</v>
      </c>
      <c r="BD6" s="15" t="s">
        <v>41</v>
      </c>
      <c r="BE6" s="15" t="s">
        <v>42</v>
      </c>
      <c r="BF6" s="15" t="s">
        <v>43</v>
      </c>
      <c r="BG6" s="15" t="s">
        <v>41</v>
      </c>
      <c r="BH6" s="15" t="s">
        <v>42</v>
      </c>
      <c r="BI6" s="15" t="s">
        <v>42</v>
      </c>
      <c r="BJ6" s="15" t="s">
        <v>42</v>
      </c>
      <c r="BK6" s="15" t="s">
        <v>41</v>
      </c>
      <c r="BL6" s="15" t="s">
        <v>42</v>
      </c>
      <c r="BM6" s="15" t="s">
        <v>42</v>
      </c>
      <c r="BN6" s="15" t="s">
        <v>42</v>
      </c>
      <c r="BO6" s="15" t="s">
        <v>42</v>
      </c>
      <c r="BP6" s="15" t="s">
        <v>42</v>
      </c>
      <c r="BQ6" s="15" t="s">
        <v>42</v>
      </c>
      <c r="BR6" s="15" t="s">
        <v>42</v>
      </c>
      <c r="BT6" s="19"/>
      <c r="BU6" s="19"/>
    </row>
    <row r="7" spans="1:73" x14ac:dyDescent="0.25">
      <c r="AL7" s="4">
        <v>43619</v>
      </c>
      <c r="AM7" s="15">
        <v>383321.9</v>
      </c>
      <c r="AN7" s="7">
        <v>-0.3</v>
      </c>
      <c r="AO7" s="4">
        <v>43619</v>
      </c>
      <c r="AP7" s="15">
        <v>106.1</v>
      </c>
      <c r="AQ7" s="15">
        <v>1.6</v>
      </c>
      <c r="AR7" s="15">
        <v>-0.1</v>
      </c>
      <c r="AS7" s="4">
        <v>43619</v>
      </c>
      <c r="AT7" s="15">
        <v>2067.85</v>
      </c>
      <c r="AU7" s="15">
        <v>98.5</v>
      </c>
      <c r="AV7" s="4">
        <v>43619</v>
      </c>
      <c r="AW7" s="15">
        <v>2300</v>
      </c>
      <c r="AX7" s="15">
        <v>45900000</v>
      </c>
      <c r="AY7" s="15">
        <v>43600000</v>
      </c>
      <c r="AZ7" s="4">
        <v>43619</v>
      </c>
      <c r="BA7" s="15">
        <v>1245.0999999999999</v>
      </c>
      <c r="BB7" s="15">
        <v>7.3170731707317245</v>
      </c>
      <c r="BC7" s="15">
        <v>4.0999999999999996</v>
      </c>
      <c r="BD7" s="4">
        <v>43619</v>
      </c>
      <c r="BE7" s="8">
        <v>105.05</v>
      </c>
      <c r="BF7" s="15">
        <v>0.6804677017442915</v>
      </c>
      <c r="BG7" s="4">
        <v>43619</v>
      </c>
      <c r="BH7" s="8">
        <v>73</v>
      </c>
      <c r="BI7" s="15">
        <v>76</v>
      </c>
      <c r="BJ7" s="15">
        <v>64</v>
      </c>
      <c r="BK7" s="4">
        <v>43619</v>
      </c>
      <c r="BL7" s="9">
        <v>11889771</v>
      </c>
      <c r="BM7" s="9">
        <v>1849478</v>
      </c>
      <c r="BN7" s="9">
        <v>1424448</v>
      </c>
      <c r="BO7" s="15">
        <v>154400</v>
      </c>
      <c r="BP7" s="15">
        <v>270023</v>
      </c>
      <c r="BQ7" s="15">
        <v>1139204</v>
      </c>
      <c r="BR7" s="15">
        <v>803768</v>
      </c>
    </row>
    <row r="8" spans="1:73" x14ac:dyDescent="0.25">
      <c r="AL8" s="4">
        <v>43555</v>
      </c>
      <c r="AM8" s="15">
        <v>383321.9</v>
      </c>
      <c r="AN8" s="7">
        <v>-0.3</v>
      </c>
      <c r="AO8" s="4">
        <v>43616</v>
      </c>
      <c r="AP8" s="15">
        <v>106.1</v>
      </c>
      <c r="AQ8" s="15">
        <v>1.6</v>
      </c>
      <c r="AR8" s="15">
        <v>-0.1</v>
      </c>
      <c r="AS8" s="4">
        <v>43616</v>
      </c>
      <c r="AT8" s="15">
        <v>2041.74</v>
      </c>
      <c r="AU8" s="15">
        <v>98.5</v>
      </c>
      <c r="AV8" s="4">
        <v>43616</v>
      </c>
      <c r="AW8" s="15">
        <v>2300</v>
      </c>
      <c r="AX8" s="15">
        <v>45900000</v>
      </c>
      <c r="AY8" s="15">
        <v>43600000</v>
      </c>
      <c r="AZ8" s="4">
        <v>43616</v>
      </c>
      <c r="BA8" s="15">
        <v>1245.0999999999999</v>
      </c>
      <c r="BB8" s="15">
        <v>7.3170731707317245</v>
      </c>
      <c r="BC8" s="15">
        <v>4.0999999999999996</v>
      </c>
      <c r="BD8" s="4">
        <v>43616</v>
      </c>
      <c r="BE8" s="15">
        <v>105.05</v>
      </c>
      <c r="BF8" s="15">
        <v>0.6804677017442915</v>
      </c>
      <c r="BG8" s="4">
        <v>43616</v>
      </c>
      <c r="BH8" s="8">
        <v>73</v>
      </c>
      <c r="BI8" s="15">
        <v>76</v>
      </c>
      <c r="BJ8" s="15">
        <v>64</v>
      </c>
      <c r="BK8" s="4">
        <v>43616</v>
      </c>
      <c r="BL8" s="15">
        <v>11889771</v>
      </c>
      <c r="BM8" s="15">
        <v>1849478</v>
      </c>
      <c r="BN8" s="15">
        <v>1424448</v>
      </c>
      <c r="BO8" s="15">
        <v>154400</v>
      </c>
      <c r="BP8" s="15">
        <v>270023</v>
      </c>
      <c r="BQ8" s="15">
        <v>1139204</v>
      </c>
      <c r="BR8" s="15">
        <v>803768</v>
      </c>
    </row>
    <row r="9" spans="1:73" x14ac:dyDescent="0.25">
      <c r="AL9" s="4">
        <v>43465</v>
      </c>
      <c r="AM9" s="15">
        <v>420201.9</v>
      </c>
      <c r="AN9" s="7">
        <v>1</v>
      </c>
      <c r="AO9" s="4">
        <v>43585</v>
      </c>
      <c r="AP9" s="15">
        <v>106.1</v>
      </c>
      <c r="AQ9" s="15">
        <v>1.6</v>
      </c>
      <c r="AR9" s="15">
        <v>-0.1</v>
      </c>
      <c r="AS9" s="4">
        <v>43585</v>
      </c>
      <c r="AT9" s="15">
        <v>2203.59</v>
      </c>
      <c r="AU9" s="15">
        <v>98.5</v>
      </c>
      <c r="AV9" s="4">
        <v>43585</v>
      </c>
      <c r="AW9" s="15">
        <v>4003.3339999999998</v>
      </c>
      <c r="AX9" s="15">
        <v>48829340</v>
      </c>
      <c r="AY9" s="15">
        <v>44826006</v>
      </c>
      <c r="AZ9" s="4">
        <v>43585</v>
      </c>
      <c r="BA9" s="15">
        <v>1245.0999999999999</v>
      </c>
      <c r="BB9" s="15">
        <v>7.3170731707317245</v>
      </c>
      <c r="BC9" s="15">
        <v>4.0999999999999996</v>
      </c>
      <c r="BD9" s="4">
        <v>43585</v>
      </c>
      <c r="BE9" s="15">
        <v>104.87</v>
      </c>
      <c r="BF9" s="15">
        <v>0.55614152843033682</v>
      </c>
      <c r="BG9" s="4">
        <v>43585</v>
      </c>
      <c r="BH9" s="8">
        <v>74</v>
      </c>
      <c r="BI9" s="15">
        <v>75</v>
      </c>
      <c r="BJ9" s="15">
        <v>67</v>
      </c>
      <c r="BK9" s="4">
        <v>43609</v>
      </c>
      <c r="BL9" s="15">
        <v>11906470</v>
      </c>
      <c r="BM9" s="15">
        <v>1878249</v>
      </c>
      <c r="BN9" s="15">
        <v>1415433</v>
      </c>
      <c r="BO9" s="15">
        <v>149803</v>
      </c>
      <c r="BP9" s="15">
        <v>269871</v>
      </c>
      <c r="BQ9" s="15">
        <v>1165218</v>
      </c>
      <c r="BR9" s="15">
        <v>807248</v>
      </c>
    </row>
    <row r="10" spans="1:73" x14ac:dyDescent="0.25">
      <c r="AL10" s="4">
        <v>43373</v>
      </c>
      <c r="AM10" s="15">
        <v>400308.8</v>
      </c>
      <c r="AN10" s="7">
        <v>0.6</v>
      </c>
      <c r="AO10" s="4">
        <v>43555</v>
      </c>
      <c r="AP10" s="15">
        <v>105.6</v>
      </c>
      <c r="AQ10" s="15">
        <v>2.1</v>
      </c>
      <c r="AR10" s="15">
        <v>-2.2999999999999998</v>
      </c>
      <c r="AS10" s="4">
        <v>43553</v>
      </c>
      <c r="AT10" s="15">
        <v>2140.67</v>
      </c>
      <c r="AU10" s="15">
        <v>98.5</v>
      </c>
      <c r="AV10" s="4">
        <v>43555</v>
      </c>
      <c r="AW10" s="15">
        <v>5130.5140000000001</v>
      </c>
      <c r="AX10" s="15">
        <v>47046160</v>
      </c>
      <c r="AY10" s="15">
        <v>41915645</v>
      </c>
      <c r="AZ10" s="4">
        <v>43555</v>
      </c>
      <c r="BA10" s="15">
        <v>1196.9000000000001</v>
      </c>
      <c r="BB10" s="15">
        <v>-4.4444444444444482</v>
      </c>
      <c r="BC10" s="15">
        <v>3.8</v>
      </c>
      <c r="BD10" s="4">
        <v>43555</v>
      </c>
      <c r="BE10" s="15">
        <v>104.49</v>
      </c>
      <c r="BF10" s="15">
        <v>0.37463976945245014</v>
      </c>
      <c r="BG10" s="4">
        <v>43555</v>
      </c>
      <c r="BH10" s="8">
        <v>73</v>
      </c>
      <c r="BI10" s="15">
        <v>73</v>
      </c>
      <c r="BJ10" s="15">
        <v>63</v>
      </c>
      <c r="BK10" s="4">
        <v>43602</v>
      </c>
      <c r="BL10" s="15">
        <v>11839308</v>
      </c>
      <c r="BM10" s="15">
        <v>1869679</v>
      </c>
      <c r="BN10" s="15">
        <v>1430314</v>
      </c>
      <c r="BO10" s="15">
        <v>154828</v>
      </c>
      <c r="BP10" s="15">
        <v>270226</v>
      </c>
      <c r="BQ10" s="15">
        <v>1189669</v>
      </c>
      <c r="BR10" s="15">
        <v>807872</v>
      </c>
    </row>
    <row r="11" spans="1:73" x14ac:dyDescent="0.25">
      <c r="AL11" s="4">
        <v>43281</v>
      </c>
      <c r="AM11" s="15">
        <v>400571.4</v>
      </c>
      <c r="AN11" s="7">
        <v>0.6</v>
      </c>
      <c r="AO11" s="4">
        <v>43524</v>
      </c>
      <c r="AP11" s="15">
        <v>89.6</v>
      </c>
      <c r="AQ11" s="15">
        <v>-3.7</v>
      </c>
      <c r="AR11" s="15">
        <v>-3.8</v>
      </c>
      <c r="AS11" s="4">
        <v>43524</v>
      </c>
      <c r="AT11" s="15">
        <v>2195.44</v>
      </c>
      <c r="AU11" s="15">
        <v>98.6</v>
      </c>
      <c r="AV11" s="4">
        <v>43524</v>
      </c>
      <c r="AW11" s="15">
        <v>2961.7779999999998</v>
      </c>
      <c r="AX11" s="15">
        <v>39451925</v>
      </c>
      <c r="AY11" s="15">
        <v>36490147</v>
      </c>
      <c r="AZ11" s="4">
        <v>43524</v>
      </c>
      <c r="BA11" s="15">
        <v>1303</v>
      </c>
      <c r="BB11" s="15">
        <v>2.1739130434782727</v>
      </c>
      <c r="BC11" s="15">
        <v>3.7</v>
      </c>
      <c r="BD11" s="4">
        <v>43524</v>
      </c>
      <c r="BE11" s="15">
        <v>104.69</v>
      </c>
      <c r="BF11" s="15">
        <v>0.46060838691104888</v>
      </c>
      <c r="BG11" s="4">
        <v>43524</v>
      </c>
      <c r="BH11" s="8">
        <v>69</v>
      </c>
      <c r="BI11" s="15">
        <v>69</v>
      </c>
      <c r="BJ11" s="15">
        <v>68</v>
      </c>
      <c r="BK11" s="4">
        <v>43595</v>
      </c>
      <c r="BL11" s="15">
        <v>11822835</v>
      </c>
      <c r="BM11" s="15">
        <v>1823714</v>
      </c>
      <c r="BN11" s="15">
        <v>1450605</v>
      </c>
      <c r="BO11" s="15">
        <v>150013</v>
      </c>
      <c r="BP11" s="15">
        <v>270955</v>
      </c>
      <c r="BQ11" s="15">
        <v>1182943</v>
      </c>
      <c r="BR11" s="15">
        <v>814075</v>
      </c>
    </row>
    <row r="12" spans="1:73" x14ac:dyDescent="0.25">
      <c r="AL12" s="4">
        <v>43190</v>
      </c>
      <c r="AM12" s="15">
        <v>376432</v>
      </c>
      <c r="AN12" s="7">
        <v>1</v>
      </c>
      <c r="AO12" s="4">
        <v>43496</v>
      </c>
      <c r="AP12" s="15">
        <v>105.5</v>
      </c>
      <c r="AQ12" s="15">
        <v>0.2</v>
      </c>
      <c r="AR12" s="15">
        <v>-0.2</v>
      </c>
      <c r="AS12" s="4">
        <v>43496</v>
      </c>
      <c r="AT12" s="15">
        <v>2204.85</v>
      </c>
      <c r="AU12" s="15">
        <v>99.1</v>
      </c>
      <c r="AV12" s="4">
        <v>43496</v>
      </c>
      <c r="AW12" s="15">
        <v>1135.7</v>
      </c>
      <c r="AX12" s="15">
        <v>46175681</v>
      </c>
      <c r="AY12" s="15">
        <v>45039998</v>
      </c>
      <c r="AZ12" s="4">
        <v>43496</v>
      </c>
      <c r="BA12" s="15">
        <v>1223.7</v>
      </c>
      <c r="BB12" s="15">
        <v>21.621621621621614</v>
      </c>
      <c r="BC12" s="15">
        <v>4.4000000000000004</v>
      </c>
      <c r="BD12" s="4">
        <v>43496</v>
      </c>
      <c r="BE12" s="15">
        <v>104.24</v>
      </c>
      <c r="BF12" s="15">
        <v>0.79288338812608128</v>
      </c>
      <c r="BG12" s="4">
        <v>43496</v>
      </c>
      <c r="BH12" s="8">
        <v>69</v>
      </c>
      <c r="BI12" s="15">
        <v>67</v>
      </c>
      <c r="BJ12" s="15">
        <v>64</v>
      </c>
      <c r="BK12" s="4">
        <v>43588</v>
      </c>
      <c r="BL12" s="15">
        <v>11837665</v>
      </c>
      <c r="BM12" s="15">
        <v>1886949</v>
      </c>
      <c r="BN12" s="15">
        <v>1451413</v>
      </c>
      <c r="BO12" s="15">
        <v>160354</v>
      </c>
      <c r="BP12" s="15">
        <v>271107</v>
      </c>
      <c r="BQ12" s="15">
        <v>1156191</v>
      </c>
      <c r="BR12" s="15">
        <v>827651</v>
      </c>
    </row>
    <row r="13" spans="1:73" x14ac:dyDescent="0.25">
      <c r="AL13" s="4">
        <v>43100</v>
      </c>
      <c r="AM13" s="15">
        <v>407567</v>
      </c>
      <c r="AN13" s="7">
        <v>-0.1</v>
      </c>
      <c r="AO13" s="4">
        <v>43465</v>
      </c>
      <c r="AP13" s="15">
        <v>108.1</v>
      </c>
      <c r="AQ13" s="15">
        <v>-0.8</v>
      </c>
      <c r="AR13" s="15">
        <v>0.7</v>
      </c>
      <c r="AS13" s="4">
        <v>43462</v>
      </c>
      <c r="AT13" s="15">
        <v>2041.04</v>
      </c>
      <c r="AU13" s="15">
        <v>99.2</v>
      </c>
      <c r="AV13" s="4">
        <v>43465</v>
      </c>
      <c r="AW13" s="15">
        <v>4182.1000000000004</v>
      </c>
      <c r="AX13" s="15">
        <v>48206793</v>
      </c>
      <c r="AY13" s="15">
        <v>44024694</v>
      </c>
      <c r="AZ13" s="4">
        <v>43465</v>
      </c>
      <c r="BA13" s="15">
        <v>944.1</v>
      </c>
      <c r="BB13" s="15">
        <v>3.0303030303030329</v>
      </c>
      <c r="BC13" s="15">
        <v>3.8</v>
      </c>
      <c r="BD13" s="4">
        <v>43465</v>
      </c>
      <c r="BE13" s="15">
        <v>104.35</v>
      </c>
      <c r="BF13" s="15">
        <v>1.3205165550053399</v>
      </c>
      <c r="BG13" s="4">
        <v>43465</v>
      </c>
      <c r="BH13" s="8">
        <v>72</v>
      </c>
      <c r="BI13" s="15">
        <v>71</v>
      </c>
      <c r="BJ13" s="15">
        <v>68</v>
      </c>
      <c r="BK13" s="4">
        <v>43581</v>
      </c>
      <c r="BL13" s="15">
        <v>11822871</v>
      </c>
      <c r="BM13" s="15">
        <v>1836325</v>
      </c>
      <c r="BN13" s="15">
        <v>1421572</v>
      </c>
      <c r="BO13" s="15">
        <v>154355</v>
      </c>
      <c r="BP13" s="15">
        <v>272317</v>
      </c>
      <c r="BQ13" s="15">
        <v>1145305</v>
      </c>
      <c r="BR13" s="15">
        <v>825447</v>
      </c>
    </row>
    <row r="14" spans="1:73" x14ac:dyDescent="0.25">
      <c r="AL14" s="4">
        <v>43008</v>
      </c>
      <c r="AM14" s="15">
        <v>392611.5</v>
      </c>
      <c r="AN14" s="7">
        <v>1.5</v>
      </c>
      <c r="AO14" s="4">
        <v>43434</v>
      </c>
      <c r="AP14" s="15">
        <v>109.4</v>
      </c>
      <c r="AQ14" s="15">
        <v>-2.5</v>
      </c>
      <c r="AR14" s="15">
        <v>0.1</v>
      </c>
      <c r="AS14" s="4">
        <v>43434</v>
      </c>
      <c r="AT14" s="15">
        <v>2096.86</v>
      </c>
      <c r="AU14" s="15">
        <v>99.3</v>
      </c>
      <c r="AV14" s="4">
        <v>43434</v>
      </c>
      <c r="AW14" s="15">
        <v>4671.3</v>
      </c>
      <c r="AX14" s="15">
        <v>51479530</v>
      </c>
      <c r="AY14" s="15">
        <v>46808199</v>
      </c>
      <c r="AZ14" s="4">
        <v>43434</v>
      </c>
      <c r="BA14" s="15">
        <v>908.5</v>
      </c>
      <c r="BB14" s="15">
        <v>3.2258064516129057</v>
      </c>
      <c r="BC14" s="15">
        <v>3.8</v>
      </c>
      <c r="BD14" s="4">
        <v>43434</v>
      </c>
      <c r="BE14" s="15">
        <v>104.71</v>
      </c>
      <c r="BF14" s="15">
        <v>2.0366400311829946</v>
      </c>
      <c r="BG14" s="4">
        <v>43434</v>
      </c>
      <c r="BH14" s="8">
        <v>74</v>
      </c>
      <c r="BI14" s="15">
        <v>73</v>
      </c>
      <c r="BJ14" s="15">
        <v>73</v>
      </c>
      <c r="BK14" s="4">
        <v>43574</v>
      </c>
      <c r="BL14" s="15">
        <v>11857047</v>
      </c>
      <c r="BM14" s="15">
        <v>1883686</v>
      </c>
      <c r="BN14" s="15">
        <v>1450909</v>
      </c>
      <c r="BO14" s="15">
        <v>151215</v>
      </c>
      <c r="BP14" s="15">
        <v>272952</v>
      </c>
      <c r="BQ14" s="15">
        <v>1177084</v>
      </c>
      <c r="BR14" s="15">
        <v>841012</v>
      </c>
    </row>
    <row r="15" spans="1:73" x14ac:dyDescent="0.25">
      <c r="AL15" s="4">
        <v>42916</v>
      </c>
      <c r="AM15" s="15">
        <v>389589.4</v>
      </c>
      <c r="AN15" s="7">
        <v>0.5</v>
      </c>
      <c r="AO15" s="4">
        <v>43404</v>
      </c>
      <c r="AP15" s="15">
        <v>112.3</v>
      </c>
      <c r="AQ15" s="15">
        <v>1.6</v>
      </c>
      <c r="AR15" s="15">
        <v>12.6</v>
      </c>
      <c r="AS15" s="4">
        <v>43404</v>
      </c>
      <c r="AT15" s="15">
        <v>2029.69</v>
      </c>
      <c r="AU15" s="15">
        <v>99.6</v>
      </c>
      <c r="AV15" s="4">
        <v>43404</v>
      </c>
      <c r="AW15" s="15">
        <v>6379.7</v>
      </c>
      <c r="AX15" s="15">
        <v>54860310</v>
      </c>
      <c r="AY15" s="15">
        <v>48480618</v>
      </c>
      <c r="AZ15" s="4">
        <v>43404</v>
      </c>
      <c r="BA15" s="15">
        <v>972.6</v>
      </c>
      <c r="BB15" s="15">
        <v>9.3749999999999947</v>
      </c>
      <c r="BC15" s="15">
        <v>3.9</v>
      </c>
      <c r="BD15" s="4">
        <v>43404</v>
      </c>
      <c r="BE15" s="15">
        <v>105.46</v>
      </c>
      <c r="BF15" s="15">
        <v>2.0021278653641486</v>
      </c>
      <c r="BG15" s="4">
        <v>43404</v>
      </c>
      <c r="BH15" s="8">
        <v>73</v>
      </c>
      <c r="BI15" s="15">
        <v>71</v>
      </c>
      <c r="BJ15" s="15">
        <v>72</v>
      </c>
      <c r="BK15" s="4">
        <v>43567</v>
      </c>
      <c r="BL15" s="15">
        <v>11800778</v>
      </c>
      <c r="BM15" s="15">
        <v>1856418</v>
      </c>
      <c r="BN15" s="15">
        <v>1430382</v>
      </c>
      <c r="BO15" s="15">
        <v>155191</v>
      </c>
      <c r="BP15" s="15">
        <v>275166</v>
      </c>
      <c r="BQ15" s="15">
        <v>1161960</v>
      </c>
      <c r="BR15" s="15">
        <v>850860</v>
      </c>
    </row>
    <row r="16" spans="1:73" x14ac:dyDescent="0.25">
      <c r="AL16" s="4">
        <v>42825</v>
      </c>
      <c r="AM16" s="15">
        <v>366227.3</v>
      </c>
      <c r="AN16" s="7">
        <v>0.9</v>
      </c>
      <c r="AO16" s="4">
        <v>43373</v>
      </c>
      <c r="AP16" s="15">
        <v>102.1</v>
      </c>
      <c r="AQ16" s="15">
        <v>-1.9</v>
      </c>
      <c r="AR16" s="15">
        <v>-6.7</v>
      </c>
      <c r="AS16" s="4">
        <v>43371</v>
      </c>
      <c r="AT16" s="15">
        <v>2343.0700000000002</v>
      </c>
      <c r="AU16" s="15">
        <v>99.7</v>
      </c>
      <c r="AV16" s="4">
        <v>43373</v>
      </c>
      <c r="AW16" s="15">
        <v>9617.2999999999993</v>
      </c>
      <c r="AX16" s="15">
        <v>50650208</v>
      </c>
      <c r="AY16" s="15">
        <v>41032928</v>
      </c>
      <c r="AZ16" s="4">
        <v>43373</v>
      </c>
      <c r="BA16" s="15">
        <v>1024.0999999999999</v>
      </c>
      <c r="BB16" s="15">
        <v>9.0909090909090988</v>
      </c>
      <c r="BC16" s="15">
        <v>4</v>
      </c>
      <c r="BD16" s="4">
        <v>43373</v>
      </c>
      <c r="BE16" s="15">
        <v>105.65</v>
      </c>
      <c r="BF16" s="15">
        <v>2.0871581795342649</v>
      </c>
      <c r="BG16" s="4">
        <v>43373</v>
      </c>
      <c r="BH16" s="8">
        <v>75</v>
      </c>
      <c r="BI16" s="15">
        <v>73</v>
      </c>
      <c r="BJ16" s="15">
        <v>72</v>
      </c>
      <c r="BK16" s="4">
        <v>43560</v>
      </c>
      <c r="BL16" s="15">
        <v>11745290</v>
      </c>
      <c r="BM16" s="15">
        <v>1870703</v>
      </c>
      <c r="BN16" s="15">
        <v>1411892</v>
      </c>
      <c r="BO16" s="15">
        <v>158920</v>
      </c>
      <c r="BP16" s="15">
        <v>275748</v>
      </c>
      <c r="BQ16" s="15">
        <v>1144360</v>
      </c>
      <c r="BR16" s="15">
        <v>857942</v>
      </c>
    </row>
    <row r="17" spans="2:70" x14ac:dyDescent="0.25">
      <c r="AL17" s="4">
        <v>42735</v>
      </c>
      <c r="AM17" s="15">
        <v>396504.1</v>
      </c>
      <c r="AN17" s="7">
        <v>0.7</v>
      </c>
      <c r="AO17" s="4">
        <v>43343</v>
      </c>
      <c r="AP17" s="15">
        <v>105.2</v>
      </c>
      <c r="AQ17" s="15">
        <v>0.6</v>
      </c>
      <c r="AR17" s="15">
        <v>4</v>
      </c>
      <c r="AS17" s="4">
        <v>43343</v>
      </c>
      <c r="AT17" s="15">
        <v>2322.88</v>
      </c>
      <c r="AU17" s="15">
        <v>99.9</v>
      </c>
      <c r="AV17" s="4">
        <v>43343</v>
      </c>
      <c r="AW17" s="15">
        <v>6819.7</v>
      </c>
      <c r="AX17" s="15">
        <v>51180449</v>
      </c>
      <c r="AY17" s="15">
        <v>44360778</v>
      </c>
      <c r="AZ17" s="4">
        <v>43343</v>
      </c>
      <c r="BA17" s="15">
        <v>1132.5</v>
      </c>
      <c r="BB17" s="15">
        <v>11.111111111111107</v>
      </c>
      <c r="BC17" s="15">
        <v>4.0999999999999996</v>
      </c>
      <c r="BD17" s="4">
        <v>43343</v>
      </c>
      <c r="BE17" s="15">
        <v>104.85</v>
      </c>
      <c r="BF17" s="15">
        <v>1.4317500241849568</v>
      </c>
      <c r="BG17" s="4">
        <v>43343</v>
      </c>
      <c r="BH17" s="8">
        <v>74</v>
      </c>
      <c r="BI17" s="15">
        <v>73</v>
      </c>
      <c r="BJ17" s="15">
        <v>76</v>
      </c>
      <c r="BK17" s="4">
        <v>43553</v>
      </c>
      <c r="BL17" s="15">
        <v>11856566</v>
      </c>
      <c r="BM17" s="15">
        <v>1862351</v>
      </c>
      <c r="BN17" s="15">
        <v>1362983</v>
      </c>
      <c r="BO17" s="15">
        <v>161392</v>
      </c>
      <c r="BP17" s="15">
        <v>276290</v>
      </c>
      <c r="BQ17" s="15">
        <v>991519</v>
      </c>
      <c r="BR17" s="15">
        <v>853840</v>
      </c>
    </row>
    <row r="18" spans="2:70" x14ac:dyDescent="0.25">
      <c r="AL18" s="4">
        <v>42643</v>
      </c>
      <c r="AM18" s="15">
        <v>378324.3</v>
      </c>
      <c r="AN18" s="7">
        <v>0.4</v>
      </c>
      <c r="AO18" s="4">
        <v>43312</v>
      </c>
      <c r="AP18" s="15">
        <v>108.2</v>
      </c>
      <c r="AQ18" s="15">
        <v>0.8</v>
      </c>
      <c r="AR18" s="15">
        <v>3.2</v>
      </c>
      <c r="AS18" s="4">
        <v>43312</v>
      </c>
      <c r="AT18" s="15">
        <v>2295.2600000000002</v>
      </c>
      <c r="AU18" s="15">
        <v>100.1</v>
      </c>
      <c r="AV18" s="4">
        <v>43312</v>
      </c>
      <c r="AW18" s="15">
        <v>6893.2</v>
      </c>
      <c r="AX18" s="15">
        <v>51810255</v>
      </c>
      <c r="AY18" s="15">
        <v>44917044</v>
      </c>
      <c r="AZ18" s="4">
        <v>43312</v>
      </c>
      <c r="BA18" s="15">
        <v>1039.0999999999999</v>
      </c>
      <c r="BB18" s="15">
        <v>8.8235294117647136</v>
      </c>
      <c r="BC18" s="15">
        <v>3.8</v>
      </c>
      <c r="BD18" s="4">
        <v>43312</v>
      </c>
      <c r="BE18" s="15">
        <v>103.93</v>
      </c>
      <c r="BF18" s="15">
        <v>1.1188947266005116</v>
      </c>
      <c r="BG18" s="4">
        <v>43312</v>
      </c>
      <c r="BH18" s="8">
        <v>75</v>
      </c>
      <c r="BI18" s="15">
        <v>74</v>
      </c>
      <c r="BJ18" s="15">
        <v>73</v>
      </c>
      <c r="BK18" s="4">
        <v>43546</v>
      </c>
      <c r="BL18" s="15">
        <v>11751389</v>
      </c>
      <c r="BM18" s="15">
        <v>1837211</v>
      </c>
      <c r="BN18" s="15">
        <v>1393794</v>
      </c>
      <c r="BO18" s="15">
        <v>155772</v>
      </c>
      <c r="BP18" s="15">
        <v>275370</v>
      </c>
      <c r="BQ18" s="15">
        <v>1103848</v>
      </c>
      <c r="BR18" s="15">
        <v>863283</v>
      </c>
    </row>
    <row r="19" spans="2:70" x14ac:dyDescent="0.25">
      <c r="AL19" s="4">
        <v>42551</v>
      </c>
      <c r="AM19" s="15">
        <v>378925.8</v>
      </c>
      <c r="AN19" s="7">
        <v>0.8</v>
      </c>
      <c r="AO19" s="4">
        <v>43281</v>
      </c>
      <c r="AP19" s="15">
        <v>107.5</v>
      </c>
      <c r="AQ19" s="15">
        <v>0.2</v>
      </c>
      <c r="AR19" s="15">
        <v>1.9</v>
      </c>
      <c r="AS19" s="4">
        <v>43280</v>
      </c>
      <c r="AT19" s="15">
        <v>2326.13</v>
      </c>
      <c r="AU19" s="15">
        <v>100.3</v>
      </c>
      <c r="AV19" s="4">
        <v>43281</v>
      </c>
      <c r="AW19" s="15">
        <v>6079.2</v>
      </c>
      <c r="AX19" s="15">
        <v>51079375</v>
      </c>
      <c r="AY19" s="15">
        <v>45000164</v>
      </c>
      <c r="AZ19" s="4">
        <v>43281</v>
      </c>
      <c r="BA19" s="15">
        <v>1034.2</v>
      </c>
      <c r="BB19" s="15">
        <v>-2.6315789473684119</v>
      </c>
      <c r="BC19" s="15">
        <v>3.7</v>
      </c>
      <c r="BD19" s="4">
        <v>43281</v>
      </c>
      <c r="BE19" s="15">
        <v>104.13</v>
      </c>
      <c r="BF19" s="15">
        <v>1.4813371016470092</v>
      </c>
      <c r="BG19" s="4">
        <v>43281</v>
      </c>
      <c r="BH19" s="8">
        <v>80</v>
      </c>
      <c r="BI19" s="15">
        <v>80</v>
      </c>
      <c r="BJ19" s="15">
        <v>76</v>
      </c>
      <c r="BK19" s="4">
        <v>43539</v>
      </c>
      <c r="BL19" s="15">
        <v>11702976</v>
      </c>
      <c r="BM19" s="15">
        <v>1853543</v>
      </c>
      <c r="BN19" s="15">
        <v>1391777</v>
      </c>
      <c r="BO19" s="15">
        <v>153486</v>
      </c>
      <c r="BP19" s="15">
        <v>275606</v>
      </c>
      <c r="BQ19" s="15">
        <v>1156728</v>
      </c>
      <c r="BR19" s="15">
        <v>862096</v>
      </c>
    </row>
    <row r="20" spans="2:70" x14ac:dyDescent="0.25">
      <c r="AL20" s="4">
        <v>42460</v>
      </c>
      <c r="AM20" s="15">
        <v>356000.9</v>
      </c>
      <c r="AN20" s="7">
        <v>0.6</v>
      </c>
      <c r="AO20" s="4">
        <v>43251</v>
      </c>
      <c r="AP20" s="15">
        <v>107.1</v>
      </c>
      <c r="AQ20" s="15">
        <v>0.1</v>
      </c>
      <c r="AR20" s="15">
        <v>2.2000000000000002</v>
      </c>
      <c r="AS20" s="4">
        <v>43251</v>
      </c>
      <c r="AT20" s="15">
        <v>2423.0100000000002</v>
      </c>
      <c r="AU20" s="15">
        <v>100.4</v>
      </c>
      <c r="AV20" s="4">
        <v>43251</v>
      </c>
      <c r="AW20" s="15">
        <v>6229</v>
      </c>
      <c r="AX20" s="15">
        <v>50687750</v>
      </c>
      <c r="AY20" s="15">
        <v>44458729</v>
      </c>
      <c r="AZ20" s="4">
        <v>43251</v>
      </c>
      <c r="BA20" s="15">
        <v>1120.7</v>
      </c>
      <c r="BB20" s="15">
        <v>11.111111111111107</v>
      </c>
      <c r="BC20" s="15">
        <v>4</v>
      </c>
      <c r="BD20" s="4">
        <v>43251</v>
      </c>
      <c r="BE20" s="15">
        <v>104.34</v>
      </c>
      <c r="BF20" s="15">
        <v>1.4684430613634205</v>
      </c>
      <c r="BG20" s="4">
        <v>43251</v>
      </c>
      <c r="BH20" s="8">
        <v>81</v>
      </c>
      <c r="BI20" s="15">
        <v>78</v>
      </c>
      <c r="BJ20" s="15">
        <v>77</v>
      </c>
      <c r="BK20" s="4">
        <v>43532</v>
      </c>
      <c r="BL20" s="15">
        <v>11739277</v>
      </c>
      <c r="BM20" s="15">
        <v>1794797</v>
      </c>
      <c r="BN20" s="15">
        <v>1382149</v>
      </c>
      <c r="BO20" s="15">
        <v>152519</v>
      </c>
      <c r="BP20" s="15">
        <v>275408</v>
      </c>
      <c r="BQ20" s="15">
        <v>1110962</v>
      </c>
      <c r="BR20" s="15">
        <v>861405</v>
      </c>
    </row>
    <row r="21" spans="2:70" x14ac:dyDescent="0.25">
      <c r="AL21" s="4">
        <v>42369</v>
      </c>
      <c r="AM21" s="15">
        <v>386616.1</v>
      </c>
      <c r="AN21" s="7">
        <v>0.8</v>
      </c>
      <c r="AO21" s="4">
        <v>43220</v>
      </c>
      <c r="AP21" s="15">
        <v>106.2</v>
      </c>
      <c r="AQ21" s="15">
        <v>2.5</v>
      </c>
      <c r="AR21" s="15">
        <v>2</v>
      </c>
      <c r="AS21" s="4">
        <v>43220</v>
      </c>
      <c r="AT21" s="15">
        <v>2515.38</v>
      </c>
      <c r="AU21" s="15">
        <v>100.5</v>
      </c>
      <c r="AV21" s="4">
        <v>43220</v>
      </c>
      <c r="AW21" s="15">
        <v>6156.3</v>
      </c>
      <c r="AX21" s="15">
        <v>49850235</v>
      </c>
      <c r="AY21" s="15">
        <v>43693963</v>
      </c>
      <c r="AZ21" s="4">
        <v>43220</v>
      </c>
      <c r="BA21" s="15">
        <v>1161.0999999999999</v>
      </c>
      <c r="BB21" s="15">
        <v>-2.3809523809523938</v>
      </c>
      <c r="BC21" s="15">
        <v>3.8</v>
      </c>
      <c r="BD21" s="4">
        <v>43220</v>
      </c>
      <c r="BE21" s="15">
        <v>104.29</v>
      </c>
      <c r="BF21" s="15">
        <v>1.5284267912772658</v>
      </c>
      <c r="BG21" s="4">
        <v>43220</v>
      </c>
      <c r="BH21" s="8">
        <v>79</v>
      </c>
      <c r="BI21" s="15">
        <v>77</v>
      </c>
      <c r="BJ21" s="15">
        <v>71</v>
      </c>
      <c r="BK21" s="4">
        <v>43525</v>
      </c>
      <c r="BL21" s="15">
        <v>11687587</v>
      </c>
      <c r="BM21" s="15">
        <v>1814663</v>
      </c>
      <c r="BN21" s="15">
        <v>1399868</v>
      </c>
      <c r="BO21" s="15">
        <v>152715</v>
      </c>
      <c r="BP21" s="15">
        <v>275068</v>
      </c>
      <c r="BQ21" s="15">
        <v>1052012</v>
      </c>
      <c r="BR21" s="15">
        <v>876637</v>
      </c>
    </row>
    <row r="22" spans="2:70" x14ac:dyDescent="0.25">
      <c r="AL22" s="4">
        <v>42277</v>
      </c>
      <c r="AM22" s="15">
        <v>368477.2</v>
      </c>
      <c r="AN22" s="7">
        <v>1.2</v>
      </c>
      <c r="AO22" s="4">
        <v>43190</v>
      </c>
      <c r="AP22" s="15">
        <v>108.1</v>
      </c>
      <c r="AQ22" s="15">
        <v>-1.1000000000000001</v>
      </c>
      <c r="AR22" s="15">
        <v>-2.5</v>
      </c>
      <c r="AS22" s="4">
        <v>43189</v>
      </c>
      <c r="AT22" s="15">
        <v>2445.85</v>
      </c>
      <c r="AU22" s="15">
        <v>100.6</v>
      </c>
      <c r="AV22" s="4">
        <v>43190</v>
      </c>
      <c r="AW22" s="15">
        <v>6412.1</v>
      </c>
      <c r="AX22" s="15">
        <v>51309932</v>
      </c>
      <c r="AY22" s="15">
        <v>44897838</v>
      </c>
      <c r="AZ22" s="4">
        <v>43190</v>
      </c>
      <c r="BA22" s="15">
        <v>1256.9000000000001</v>
      </c>
      <c r="BB22" s="15">
        <v>9.7560975609756202</v>
      </c>
      <c r="BC22" s="15">
        <v>4</v>
      </c>
      <c r="BD22" s="4">
        <v>43190</v>
      </c>
      <c r="BE22" s="15">
        <v>104.1</v>
      </c>
      <c r="BF22" s="15">
        <v>1.2153621779290229</v>
      </c>
      <c r="BG22" s="4">
        <v>43190</v>
      </c>
      <c r="BH22" s="8">
        <v>77</v>
      </c>
      <c r="BI22" s="15">
        <v>74</v>
      </c>
      <c r="BJ22" s="15">
        <v>68</v>
      </c>
      <c r="BK22" s="4">
        <v>43518</v>
      </c>
      <c r="BL22" s="15">
        <v>11626095</v>
      </c>
      <c r="BM22" s="15">
        <v>1921445</v>
      </c>
      <c r="BN22" s="15">
        <v>1370942</v>
      </c>
      <c r="BO22" s="15">
        <v>148861</v>
      </c>
      <c r="BP22" s="15">
        <v>274801</v>
      </c>
      <c r="BQ22" s="15">
        <v>1152444</v>
      </c>
      <c r="BR22" s="15">
        <v>884864</v>
      </c>
    </row>
    <row r="23" spans="2:70" x14ac:dyDescent="0.25">
      <c r="AL23" s="4">
        <v>42185</v>
      </c>
      <c r="AM23" s="15">
        <v>366027.8</v>
      </c>
      <c r="AN23" s="7">
        <v>0.4</v>
      </c>
      <c r="AO23" s="4">
        <v>43159</v>
      </c>
      <c r="AP23" s="15">
        <v>93.1</v>
      </c>
      <c r="AQ23" s="15">
        <v>0.5</v>
      </c>
      <c r="AR23" s="15">
        <v>-5.7</v>
      </c>
      <c r="AS23" s="4">
        <v>43159</v>
      </c>
      <c r="AT23" s="15">
        <v>2427.36</v>
      </c>
      <c r="AU23" s="15">
        <v>100.4</v>
      </c>
      <c r="AV23" s="4">
        <v>43159</v>
      </c>
      <c r="AW23" s="15">
        <v>2801.4</v>
      </c>
      <c r="AX23" s="15">
        <v>44523530</v>
      </c>
      <c r="AY23" s="15">
        <v>41722154</v>
      </c>
      <c r="AZ23" s="4">
        <v>43159</v>
      </c>
      <c r="BA23" s="15">
        <v>1265.4000000000001</v>
      </c>
      <c r="BB23" s="15">
        <v>-6.1224489795918506</v>
      </c>
      <c r="BC23" s="15">
        <v>3.6</v>
      </c>
      <c r="BD23" s="4">
        <v>43159</v>
      </c>
      <c r="BE23" s="15">
        <v>104.21</v>
      </c>
      <c r="BF23" s="15">
        <v>1.2534006995724756</v>
      </c>
      <c r="BG23" s="4">
        <v>43159</v>
      </c>
      <c r="BH23" s="8">
        <v>77</v>
      </c>
      <c r="BI23" s="15">
        <v>75</v>
      </c>
      <c r="BJ23" s="15">
        <v>69</v>
      </c>
      <c r="BK23" s="4">
        <v>43511</v>
      </c>
      <c r="BL23" s="15">
        <v>11565303</v>
      </c>
      <c r="BM23" s="15">
        <v>1789263</v>
      </c>
      <c r="BN23" s="15">
        <v>1399387</v>
      </c>
      <c r="BO23" s="15">
        <v>148124</v>
      </c>
      <c r="BP23" s="15">
        <v>275423</v>
      </c>
      <c r="BQ23" s="15">
        <v>1173499</v>
      </c>
      <c r="BR23" s="15">
        <v>882385</v>
      </c>
    </row>
    <row r="24" spans="2:70" x14ac:dyDescent="0.25">
      <c r="AL24" s="4">
        <v>42094</v>
      </c>
      <c r="AM24" s="15">
        <v>345667.1</v>
      </c>
      <c r="AN24" s="7">
        <v>0.8</v>
      </c>
      <c r="AO24" s="4">
        <v>43131</v>
      </c>
      <c r="AP24" s="15">
        <v>105.7</v>
      </c>
      <c r="AQ24" s="15">
        <v>1</v>
      </c>
      <c r="AR24" s="15">
        <v>5.0999999999999996</v>
      </c>
      <c r="AS24" s="4">
        <v>43131</v>
      </c>
      <c r="AT24" s="15">
        <v>2566.46</v>
      </c>
      <c r="AU24" s="15">
        <v>100.4</v>
      </c>
      <c r="AV24" s="4">
        <v>43131</v>
      </c>
      <c r="AW24" s="15">
        <v>3416</v>
      </c>
      <c r="AX24" s="15">
        <v>49221291</v>
      </c>
      <c r="AY24" s="15">
        <v>45805322</v>
      </c>
      <c r="AZ24" s="4">
        <v>43131</v>
      </c>
      <c r="BA24" s="15">
        <v>1019.8</v>
      </c>
      <c r="BB24" s="15">
        <v>0</v>
      </c>
      <c r="BC24" s="15">
        <v>3.6</v>
      </c>
      <c r="BD24" s="4">
        <v>43131</v>
      </c>
      <c r="BE24" s="15">
        <v>103.42</v>
      </c>
      <c r="BF24" s="15">
        <v>0.7599376461418561</v>
      </c>
      <c r="BG24" s="4">
        <v>43131</v>
      </c>
      <c r="BH24" s="8">
        <v>78</v>
      </c>
      <c r="BI24" s="15">
        <v>77</v>
      </c>
      <c r="BJ24" s="15">
        <v>74</v>
      </c>
      <c r="BK24" s="4">
        <v>43504</v>
      </c>
      <c r="BL24" s="15">
        <v>11537365</v>
      </c>
      <c r="BM24" s="15">
        <v>1746162</v>
      </c>
      <c r="BN24" s="15">
        <v>1405035</v>
      </c>
      <c r="BO24" s="15">
        <v>154417</v>
      </c>
      <c r="BP24" s="15">
        <v>275405</v>
      </c>
      <c r="BQ24" s="15">
        <v>1144974</v>
      </c>
      <c r="BR24" s="15">
        <v>880588</v>
      </c>
    </row>
    <row r="25" spans="2:70" ht="4.5" customHeight="1" x14ac:dyDescent="0.25">
      <c r="B25" s="1"/>
      <c r="C25" s="1"/>
      <c r="D25" s="1"/>
      <c r="E25" s="1"/>
      <c r="F25" s="1"/>
      <c r="G25" s="1"/>
      <c r="H25" s="1"/>
      <c r="Q25" s="1"/>
      <c r="R25" s="1"/>
      <c r="S25" s="1"/>
      <c r="AL25" s="4">
        <v>42004</v>
      </c>
      <c r="AM25" s="15">
        <v>374744.2</v>
      </c>
      <c r="AN25" s="7">
        <v>0.5</v>
      </c>
      <c r="AO25" s="4">
        <v>43100</v>
      </c>
      <c r="AP25" s="15">
        <v>107.3</v>
      </c>
      <c r="AQ25" s="15">
        <v>-1.6</v>
      </c>
      <c r="AR25" s="15">
        <v>-3.8</v>
      </c>
      <c r="AS25" s="4">
        <v>43097</v>
      </c>
      <c r="AT25" s="15">
        <v>2467.4899999999998</v>
      </c>
      <c r="AU25" s="15">
        <v>100.3</v>
      </c>
      <c r="AV25" s="4">
        <v>43100</v>
      </c>
      <c r="AW25" s="15">
        <v>5511.1</v>
      </c>
      <c r="AX25" s="15">
        <v>49040139</v>
      </c>
      <c r="AY25" s="15">
        <v>43529066</v>
      </c>
      <c r="AZ25" s="4">
        <v>43100</v>
      </c>
      <c r="BA25" s="15">
        <v>912.7</v>
      </c>
      <c r="BB25" s="15">
        <v>3.1249999999999889</v>
      </c>
      <c r="BC25" s="15">
        <v>3.7</v>
      </c>
      <c r="BD25" s="4">
        <v>43100</v>
      </c>
      <c r="BE25" s="15">
        <v>102.99</v>
      </c>
      <c r="BF25" s="15">
        <v>1.4080346593146835</v>
      </c>
      <c r="BG25" s="4">
        <v>43100</v>
      </c>
      <c r="BH25" s="8">
        <v>81</v>
      </c>
      <c r="BI25" s="15">
        <v>81</v>
      </c>
      <c r="BJ25" s="15">
        <v>73</v>
      </c>
      <c r="BK25" s="4">
        <v>43497</v>
      </c>
      <c r="BL25" s="15">
        <v>11539798</v>
      </c>
      <c r="BM25" s="15">
        <v>1809975</v>
      </c>
      <c r="BN25" s="15">
        <v>1393983</v>
      </c>
      <c r="BO25" s="15">
        <v>159598</v>
      </c>
      <c r="BP25" s="15">
        <v>275367</v>
      </c>
      <c r="BQ25" s="15">
        <v>1063674</v>
      </c>
      <c r="BR25" s="15">
        <v>885919</v>
      </c>
    </row>
    <row r="26" spans="2:70" ht="18" customHeight="1" x14ac:dyDescent="0.25">
      <c r="B26" s="2" t="s">
        <v>13</v>
      </c>
      <c r="L26" s="2" t="s">
        <v>48</v>
      </c>
      <c r="AL26" s="4">
        <v>41912</v>
      </c>
      <c r="AM26" s="15">
        <v>357743.4</v>
      </c>
      <c r="AN26" s="7">
        <v>0.7</v>
      </c>
      <c r="AO26" s="4">
        <v>43069</v>
      </c>
      <c r="AP26" s="15">
        <v>109.3</v>
      </c>
      <c r="AQ26" s="15">
        <v>-0.6</v>
      </c>
      <c r="AR26" s="15">
        <v>0.4</v>
      </c>
      <c r="AS26" s="4">
        <v>43069</v>
      </c>
      <c r="AT26" s="15">
        <v>2476.37</v>
      </c>
      <c r="AU26" s="15">
        <v>100.8</v>
      </c>
      <c r="AV26" s="4">
        <v>43069</v>
      </c>
      <c r="AW26" s="15">
        <v>7693.7</v>
      </c>
      <c r="AX26" s="15">
        <v>49707197</v>
      </c>
      <c r="AY26" s="15">
        <v>42013512</v>
      </c>
      <c r="AZ26" s="4">
        <v>43069</v>
      </c>
      <c r="BA26" s="15">
        <v>870.5</v>
      </c>
      <c r="BB26" s="15">
        <v>0</v>
      </c>
      <c r="BC26" s="15">
        <v>3.7</v>
      </c>
      <c r="BD26" s="4">
        <v>43069</v>
      </c>
      <c r="BE26" s="15">
        <v>102.62</v>
      </c>
      <c r="BF26" s="15">
        <v>1.1532774765894547</v>
      </c>
      <c r="BG26" s="4">
        <v>43069</v>
      </c>
      <c r="BH26" s="8">
        <v>80</v>
      </c>
      <c r="BI26" s="15">
        <v>83</v>
      </c>
      <c r="BJ26" s="15">
        <v>72</v>
      </c>
      <c r="BK26" s="4">
        <v>43490</v>
      </c>
      <c r="BL26" s="15">
        <v>11456937</v>
      </c>
      <c r="BM26" s="15">
        <v>1758944</v>
      </c>
      <c r="BN26" s="15">
        <v>1368750</v>
      </c>
      <c r="BO26" s="15">
        <v>154685</v>
      </c>
      <c r="BP26" s="15">
        <v>277687</v>
      </c>
      <c r="BQ26" s="15">
        <v>1128841</v>
      </c>
      <c r="BR26" s="15">
        <v>877572</v>
      </c>
    </row>
    <row r="27" spans="2:70" x14ac:dyDescent="0.25">
      <c r="AL27" s="4">
        <v>41820</v>
      </c>
      <c r="AM27" s="15">
        <v>357542.5</v>
      </c>
      <c r="AN27" s="7">
        <v>0.6</v>
      </c>
      <c r="AO27" s="4">
        <v>43039</v>
      </c>
      <c r="AP27" s="15">
        <v>99.7</v>
      </c>
      <c r="AQ27" s="15">
        <v>0.4</v>
      </c>
      <c r="AR27" s="15">
        <v>-4.5999999999999996</v>
      </c>
      <c r="AS27" s="4">
        <v>43039</v>
      </c>
      <c r="AT27" s="15">
        <v>2523.4299999999998</v>
      </c>
      <c r="AU27" s="15">
        <v>100.8</v>
      </c>
      <c r="AV27" s="4">
        <v>43039</v>
      </c>
      <c r="AW27" s="15">
        <v>6934.7</v>
      </c>
      <c r="AX27" s="15">
        <v>44791239</v>
      </c>
      <c r="AY27" s="15">
        <v>37856562</v>
      </c>
      <c r="AZ27" s="4">
        <v>43039</v>
      </c>
      <c r="BA27" s="15">
        <v>893.5</v>
      </c>
      <c r="BB27" s="15">
        <v>-3.0303030303030196</v>
      </c>
      <c r="BC27" s="15">
        <v>3.6</v>
      </c>
      <c r="BD27" s="4">
        <v>43039</v>
      </c>
      <c r="BE27" s="15">
        <v>103.39</v>
      </c>
      <c r="BF27" s="15">
        <v>1.7618110236220534</v>
      </c>
      <c r="BG27" s="4">
        <v>43039</v>
      </c>
      <c r="BH27" s="8">
        <v>78</v>
      </c>
      <c r="BI27" s="15">
        <v>81</v>
      </c>
      <c r="BJ27" s="15">
        <v>72</v>
      </c>
      <c r="BK27" s="4">
        <v>43483</v>
      </c>
      <c r="BL27" s="15">
        <v>11539014</v>
      </c>
      <c r="BM27" s="15">
        <v>1803941</v>
      </c>
      <c r="BN27" s="15">
        <v>1387464</v>
      </c>
      <c r="BO27" s="15">
        <v>145754</v>
      </c>
      <c r="BP27" s="15">
        <v>279590</v>
      </c>
      <c r="BQ27" s="15">
        <v>1178321</v>
      </c>
      <c r="BR27" s="15">
        <v>871124</v>
      </c>
    </row>
    <row r="28" spans="2:70" x14ac:dyDescent="0.25">
      <c r="AL28" s="4">
        <v>41729</v>
      </c>
      <c r="AM28" s="15">
        <v>336942.2</v>
      </c>
      <c r="AN28" s="7">
        <v>1</v>
      </c>
      <c r="AO28" s="4">
        <v>43008</v>
      </c>
      <c r="AP28" s="15">
        <v>109.4</v>
      </c>
      <c r="AQ28" s="15">
        <v>1</v>
      </c>
      <c r="AR28" s="15">
        <v>10.8</v>
      </c>
      <c r="AS28" s="4">
        <v>43007</v>
      </c>
      <c r="AT28" s="15">
        <v>2394.4699999999998</v>
      </c>
      <c r="AU28" s="15">
        <v>101</v>
      </c>
      <c r="AV28" s="4">
        <v>43008</v>
      </c>
      <c r="AW28" s="15">
        <v>13419.4</v>
      </c>
      <c r="AX28" s="15">
        <v>55115240</v>
      </c>
      <c r="AY28" s="15">
        <v>41695884</v>
      </c>
      <c r="AZ28" s="4">
        <v>43008</v>
      </c>
      <c r="BA28" s="15">
        <v>932</v>
      </c>
      <c r="BB28" s="15">
        <v>-5.7142857142857197</v>
      </c>
      <c r="BC28" s="15">
        <v>3.6</v>
      </c>
      <c r="BD28" s="4">
        <v>43008</v>
      </c>
      <c r="BE28" s="15">
        <v>103.49</v>
      </c>
      <c r="BF28" s="15">
        <v>2.0007884880741194</v>
      </c>
      <c r="BG28" s="4">
        <v>43008</v>
      </c>
      <c r="BH28" s="8">
        <v>81</v>
      </c>
      <c r="BI28" s="15">
        <v>83</v>
      </c>
      <c r="BJ28" s="15">
        <v>72</v>
      </c>
      <c r="BK28" s="4">
        <v>43476</v>
      </c>
      <c r="BL28" s="15">
        <v>11470005</v>
      </c>
      <c r="BM28" s="15">
        <v>1767468</v>
      </c>
      <c r="BN28" s="15">
        <v>1380446</v>
      </c>
      <c r="BO28" s="15">
        <v>149294</v>
      </c>
      <c r="BP28" s="15">
        <v>279878</v>
      </c>
      <c r="BQ28" s="15">
        <v>1175228</v>
      </c>
      <c r="BR28" s="15">
        <v>866046</v>
      </c>
    </row>
    <row r="29" spans="2:70" x14ac:dyDescent="0.25">
      <c r="AL29" s="4">
        <v>41639</v>
      </c>
      <c r="AM29" s="15">
        <v>364748.5</v>
      </c>
      <c r="AN29" s="7">
        <v>0.9</v>
      </c>
      <c r="AO29" s="4">
        <v>42978</v>
      </c>
      <c r="AP29" s="15">
        <v>101.2</v>
      </c>
      <c r="AQ29" s="15">
        <v>0.1</v>
      </c>
      <c r="AR29" s="15">
        <v>3.3</v>
      </c>
      <c r="AS29" s="4">
        <v>42978</v>
      </c>
      <c r="AT29" s="15">
        <v>2363.19</v>
      </c>
      <c r="AU29" s="15">
        <v>100.9</v>
      </c>
      <c r="AV29" s="4">
        <v>42978</v>
      </c>
      <c r="AW29" s="15">
        <v>6555.8</v>
      </c>
      <c r="AX29" s="15">
        <v>47105569</v>
      </c>
      <c r="AY29" s="15">
        <v>40549772</v>
      </c>
      <c r="AZ29" s="4">
        <v>42978</v>
      </c>
      <c r="BA29" s="15">
        <v>999</v>
      </c>
      <c r="BB29" s="15">
        <v>0</v>
      </c>
      <c r="BC29" s="15">
        <v>3.7</v>
      </c>
      <c r="BD29" s="4">
        <v>42978</v>
      </c>
      <c r="BE29" s="15">
        <v>103.37</v>
      </c>
      <c r="BF29" s="15">
        <v>2.4885980567122794</v>
      </c>
      <c r="BG29" s="4">
        <v>42978</v>
      </c>
      <c r="BH29" s="8">
        <v>77</v>
      </c>
      <c r="BI29" s="15">
        <v>78</v>
      </c>
      <c r="BJ29" s="15">
        <v>73</v>
      </c>
      <c r="BK29" s="4">
        <v>43469</v>
      </c>
      <c r="BL29" s="15">
        <v>11585994</v>
      </c>
      <c r="BM29" s="15">
        <v>1776268</v>
      </c>
      <c r="BN29" s="15">
        <v>1382826</v>
      </c>
      <c r="BO29" s="15">
        <v>160368</v>
      </c>
      <c r="BP29" s="15">
        <v>281727</v>
      </c>
      <c r="BQ29" s="15">
        <v>1072623</v>
      </c>
      <c r="BR29" s="15">
        <v>849490</v>
      </c>
    </row>
    <row r="30" spans="2:70" x14ac:dyDescent="0.25">
      <c r="AL30" s="4">
        <v>41547</v>
      </c>
      <c r="AM30" s="15">
        <v>346151.6</v>
      </c>
      <c r="AN30" s="7">
        <v>0.8</v>
      </c>
      <c r="AO30" s="4">
        <v>42947</v>
      </c>
      <c r="AP30" s="15">
        <v>104.8</v>
      </c>
      <c r="AQ30" s="15">
        <v>1.2</v>
      </c>
      <c r="AR30" s="15">
        <v>2.4</v>
      </c>
      <c r="AS30" s="4">
        <v>42947</v>
      </c>
      <c r="AT30" s="15">
        <v>2402.71</v>
      </c>
      <c r="AU30" s="15">
        <v>100.9</v>
      </c>
      <c r="AV30" s="4">
        <v>42947</v>
      </c>
      <c r="AW30" s="15">
        <v>10223.299999999999</v>
      </c>
      <c r="AX30" s="15">
        <v>48830440</v>
      </c>
      <c r="AY30" s="15">
        <v>38607157</v>
      </c>
      <c r="AZ30" s="4">
        <v>42947</v>
      </c>
      <c r="BA30" s="15">
        <v>958.2</v>
      </c>
      <c r="BB30" s="15">
        <v>-2.8571428571428599</v>
      </c>
      <c r="BC30" s="15">
        <v>3.5</v>
      </c>
      <c r="BD30" s="4">
        <v>42947</v>
      </c>
      <c r="BE30" s="15">
        <v>102.78</v>
      </c>
      <c r="BF30" s="15">
        <v>2.166998011928436</v>
      </c>
      <c r="BG30" s="4">
        <v>42947</v>
      </c>
      <c r="BH30" s="8">
        <v>78</v>
      </c>
      <c r="BI30" s="15">
        <v>78</v>
      </c>
      <c r="BJ30" s="15">
        <v>72</v>
      </c>
      <c r="BK30" s="4">
        <v>43462</v>
      </c>
      <c r="BL30" s="15">
        <v>11626994</v>
      </c>
      <c r="BM30" s="15">
        <v>1857815</v>
      </c>
      <c r="BN30" s="15">
        <v>1341815</v>
      </c>
      <c r="BO30" s="15">
        <v>152926</v>
      </c>
      <c r="BP30" s="15">
        <v>281089</v>
      </c>
      <c r="BQ30" s="15">
        <v>925535</v>
      </c>
      <c r="BR30" s="15">
        <v>851377</v>
      </c>
    </row>
    <row r="31" spans="2:70" x14ac:dyDescent="0.25">
      <c r="AL31" s="4">
        <v>41455</v>
      </c>
      <c r="AM31" s="15">
        <v>345582.7</v>
      </c>
      <c r="AN31" s="7">
        <v>1.1000000000000001</v>
      </c>
      <c r="AO31" s="4">
        <v>42916</v>
      </c>
      <c r="AP31" s="15">
        <v>105.5</v>
      </c>
      <c r="AQ31" s="15">
        <v>-1.2</v>
      </c>
      <c r="AR31" s="15">
        <v>0.8</v>
      </c>
      <c r="AS31" s="4">
        <v>42916</v>
      </c>
      <c r="AT31" s="15">
        <v>2391.79</v>
      </c>
      <c r="AU31" s="15">
        <v>100.9</v>
      </c>
      <c r="AV31" s="4">
        <v>42916</v>
      </c>
      <c r="AW31" s="15">
        <v>10721.4</v>
      </c>
      <c r="AX31" s="15">
        <v>51272452</v>
      </c>
      <c r="AY31" s="15">
        <v>40551012</v>
      </c>
      <c r="AZ31" s="4">
        <v>42916</v>
      </c>
      <c r="BA31" s="15">
        <v>1060.5</v>
      </c>
      <c r="BB31" s="15">
        <v>5.5555555555555483</v>
      </c>
      <c r="BC31" s="15">
        <v>3.8</v>
      </c>
      <c r="BD31" s="4">
        <v>42916</v>
      </c>
      <c r="BE31" s="15">
        <v>102.61</v>
      </c>
      <c r="BF31" s="15">
        <v>1.8057346959023644</v>
      </c>
      <c r="BG31" s="4">
        <v>42916</v>
      </c>
      <c r="BH31" s="8">
        <v>77</v>
      </c>
      <c r="BI31" s="15">
        <v>78</v>
      </c>
      <c r="BJ31" s="15">
        <v>68</v>
      </c>
      <c r="BK31" s="4">
        <v>43455</v>
      </c>
      <c r="BL31" s="15">
        <v>11613120</v>
      </c>
      <c r="BM31" s="15">
        <v>1831371</v>
      </c>
      <c r="BN31" s="15">
        <v>1344005</v>
      </c>
      <c r="BO31" s="15">
        <v>142978</v>
      </c>
      <c r="BP31" s="15">
        <v>281276</v>
      </c>
      <c r="BQ31" s="15">
        <v>1001258</v>
      </c>
      <c r="BR31" s="15">
        <v>843771</v>
      </c>
    </row>
    <row r="32" spans="2:70" x14ac:dyDescent="0.25">
      <c r="AL32" s="4">
        <v>41364</v>
      </c>
      <c r="AM32" s="15">
        <v>324349.8</v>
      </c>
      <c r="AN32" s="7">
        <v>0.6</v>
      </c>
      <c r="AO32" s="4">
        <v>42886</v>
      </c>
      <c r="AP32" s="15">
        <v>104.8</v>
      </c>
      <c r="AQ32" s="15">
        <v>0.6</v>
      </c>
      <c r="AR32" s="15">
        <v>2.1</v>
      </c>
      <c r="AS32" s="4">
        <v>42886</v>
      </c>
      <c r="AT32" s="15">
        <v>2347.38</v>
      </c>
      <c r="AU32" s="15">
        <v>101</v>
      </c>
      <c r="AV32" s="4">
        <v>42886</v>
      </c>
      <c r="AW32" s="15">
        <v>5639.2</v>
      </c>
      <c r="AX32" s="15">
        <v>44926979</v>
      </c>
      <c r="AY32" s="15">
        <v>39287764</v>
      </c>
      <c r="AZ32" s="4">
        <v>42886</v>
      </c>
      <c r="BA32" s="15">
        <v>994.8</v>
      </c>
      <c r="BB32" s="15">
        <v>0</v>
      </c>
      <c r="BC32" s="15">
        <v>3.6</v>
      </c>
      <c r="BD32" s="4">
        <v>42886</v>
      </c>
      <c r="BE32" s="15">
        <v>102.83</v>
      </c>
      <c r="BF32" s="15">
        <v>2.0037694673147466</v>
      </c>
      <c r="BG32" s="4">
        <v>42886</v>
      </c>
      <c r="BH32" s="8">
        <v>80</v>
      </c>
      <c r="BI32" s="15">
        <v>82</v>
      </c>
      <c r="BJ32" s="15">
        <v>74</v>
      </c>
      <c r="BK32" s="4">
        <v>43448</v>
      </c>
      <c r="BL32" s="15">
        <v>11544748</v>
      </c>
      <c r="BM32" s="15">
        <v>1778578</v>
      </c>
      <c r="BN32" s="15">
        <v>1323205</v>
      </c>
      <c r="BO32" s="15">
        <v>146679</v>
      </c>
      <c r="BP32" s="15">
        <v>281521</v>
      </c>
      <c r="BQ32" s="15">
        <v>1079755</v>
      </c>
      <c r="BR32" s="15">
        <v>826538</v>
      </c>
    </row>
    <row r="33" spans="2:70" x14ac:dyDescent="0.25">
      <c r="AL33" s="4">
        <v>41274</v>
      </c>
      <c r="AM33" s="15">
        <v>352330.3</v>
      </c>
      <c r="AN33" s="7">
        <v>0.7</v>
      </c>
      <c r="AO33" s="4">
        <v>42855</v>
      </c>
      <c r="AP33" s="15">
        <v>104.1</v>
      </c>
      <c r="AQ33" s="15">
        <v>-1.9</v>
      </c>
      <c r="AR33" s="15">
        <v>4.4000000000000004</v>
      </c>
      <c r="AS33" s="4">
        <v>42853</v>
      </c>
      <c r="AT33" s="15">
        <v>2205.44</v>
      </c>
      <c r="AU33" s="15">
        <v>101</v>
      </c>
      <c r="AV33" s="4">
        <v>42855</v>
      </c>
      <c r="AW33" s="15">
        <v>12884.4</v>
      </c>
      <c r="AX33" s="15">
        <v>50843799</v>
      </c>
      <c r="AY33" s="15">
        <v>37959391</v>
      </c>
      <c r="AZ33" s="4">
        <v>42855</v>
      </c>
      <c r="BA33" s="15">
        <v>1167.0999999999999</v>
      </c>
      <c r="BB33" s="15">
        <v>7.6923076923076996</v>
      </c>
      <c r="BC33" s="15">
        <v>3.9</v>
      </c>
      <c r="BD33" s="4">
        <v>42855</v>
      </c>
      <c r="BE33" s="15">
        <v>102.72</v>
      </c>
      <c r="BF33" s="15">
        <v>1.955334987593051</v>
      </c>
      <c r="BG33" s="4">
        <v>42855</v>
      </c>
      <c r="BH33" s="8">
        <v>80</v>
      </c>
      <c r="BI33" s="15">
        <v>83</v>
      </c>
      <c r="BJ33" s="15">
        <v>72</v>
      </c>
      <c r="BK33" s="4">
        <v>43441</v>
      </c>
      <c r="BL33" s="15">
        <v>11519968</v>
      </c>
      <c r="BM33" s="15">
        <v>1748196</v>
      </c>
      <c r="BN33" s="15">
        <v>1338363</v>
      </c>
      <c r="BO33" s="15">
        <v>146870</v>
      </c>
      <c r="BP33" s="15">
        <v>281540</v>
      </c>
      <c r="BQ33" s="15">
        <v>1050514</v>
      </c>
      <c r="BR33" s="15">
        <v>828475</v>
      </c>
    </row>
    <row r="34" spans="2:70" x14ac:dyDescent="0.25">
      <c r="AL34" s="4">
        <v>41182</v>
      </c>
      <c r="AM34" s="15">
        <v>335255.90000000002</v>
      </c>
      <c r="AN34" s="7">
        <v>0.3</v>
      </c>
      <c r="AO34" s="4">
        <v>42825</v>
      </c>
      <c r="AP34" s="15">
        <v>110.9</v>
      </c>
      <c r="AQ34" s="15">
        <v>2.4</v>
      </c>
      <c r="AR34" s="15">
        <v>5</v>
      </c>
      <c r="AS34" s="4">
        <v>42825</v>
      </c>
      <c r="AT34" s="15">
        <v>2160.23</v>
      </c>
      <c r="AU34" s="15">
        <v>101</v>
      </c>
      <c r="AV34" s="4">
        <v>42825</v>
      </c>
      <c r="AW34" s="15">
        <v>6058.3</v>
      </c>
      <c r="AX34" s="15">
        <v>48637832</v>
      </c>
      <c r="AY34" s="15">
        <v>42579492</v>
      </c>
      <c r="AZ34" s="4">
        <v>42825</v>
      </c>
      <c r="BA34" s="15">
        <v>1136.8</v>
      </c>
      <c r="BB34" s="15">
        <v>-2.3809523809523938</v>
      </c>
      <c r="BC34" s="15">
        <v>3.6</v>
      </c>
      <c r="BD34" s="4">
        <v>42825</v>
      </c>
      <c r="BE34" s="15">
        <v>102.85</v>
      </c>
      <c r="BF34" s="15">
        <v>2.2772474144789103</v>
      </c>
      <c r="BG34" s="4">
        <v>42825</v>
      </c>
      <c r="BH34" s="8">
        <v>78</v>
      </c>
      <c r="BI34" s="15">
        <v>79</v>
      </c>
      <c r="BJ34" s="15">
        <v>70</v>
      </c>
      <c r="BK34" s="4">
        <v>43434</v>
      </c>
      <c r="BL34" s="15">
        <v>11530634</v>
      </c>
      <c r="BM34" s="15">
        <v>1734775</v>
      </c>
      <c r="BN34" s="15">
        <v>1349050</v>
      </c>
      <c r="BO34" s="15">
        <v>145661</v>
      </c>
      <c r="BP34" s="15">
        <v>281574</v>
      </c>
      <c r="BQ34" s="15">
        <v>1039298</v>
      </c>
      <c r="BR34" s="15">
        <v>836413</v>
      </c>
    </row>
    <row r="35" spans="2:70" x14ac:dyDescent="0.25">
      <c r="AL35" s="4">
        <v>41090</v>
      </c>
      <c r="AM35" s="15">
        <v>336557.5</v>
      </c>
      <c r="AN35" s="7">
        <v>0.6</v>
      </c>
      <c r="AO35" s="4">
        <v>42794</v>
      </c>
      <c r="AP35" s="15">
        <v>98.7</v>
      </c>
      <c r="AQ35" s="15">
        <v>-2.8</v>
      </c>
      <c r="AR35" s="15">
        <v>8.9</v>
      </c>
      <c r="AS35" s="4">
        <v>42794</v>
      </c>
      <c r="AT35" s="15">
        <v>2091.64</v>
      </c>
      <c r="AU35" s="15">
        <v>100.8</v>
      </c>
      <c r="AV35" s="4">
        <v>42794</v>
      </c>
      <c r="AW35" s="15">
        <v>6963.3</v>
      </c>
      <c r="AX35" s="15">
        <v>43166536</v>
      </c>
      <c r="AY35" s="15">
        <v>36203282</v>
      </c>
      <c r="AZ35" s="4">
        <v>42794</v>
      </c>
      <c r="BA35" s="15">
        <v>1341.7</v>
      </c>
      <c r="BB35" s="15">
        <v>0</v>
      </c>
      <c r="BC35" s="15">
        <v>3.9</v>
      </c>
      <c r="BD35" s="4">
        <v>42794</v>
      </c>
      <c r="BE35" s="15">
        <v>102.92</v>
      </c>
      <c r="BF35" s="15">
        <v>2.0829200555445437</v>
      </c>
      <c r="BG35" s="4">
        <v>42794</v>
      </c>
      <c r="BH35" s="8">
        <v>74</v>
      </c>
      <c r="BI35" s="15">
        <v>76</v>
      </c>
      <c r="BJ35" s="15">
        <v>65</v>
      </c>
      <c r="BK35" s="4">
        <v>43427</v>
      </c>
      <c r="BL35" s="15">
        <v>11606090</v>
      </c>
      <c r="BM35" s="15">
        <v>1785436</v>
      </c>
      <c r="BN35" s="15">
        <v>1367954</v>
      </c>
      <c r="BO35" s="15">
        <v>137352</v>
      </c>
      <c r="BP35" s="15">
        <v>281264</v>
      </c>
      <c r="BQ35" s="15">
        <v>1159043</v>
      </c>
      <c r="BR35" s="15">
        <v>821424</v>
      </c>
    </row>
    <row r="36" spans="2:70" x14ac:dyDescent="0.25">
      <c r="AL36" s="4">
        <v>40999</v>
      </c>
      <c r="AM36" s="15">
        <v>317822.7</v>
      </c>
      <c r="AN36" s="7">
        <v>0.5</v>
      </c>
      <c r="AO36" s="4">
        <v>42766</v>
      </c>
      <c r="AP36" s="15">
        <v>100.6</v>
      </c>
      <c r="AQ36" s="15">
        <v>2</v>
      </c>
      <c r="AR36" s="15">
        <v>1.8</v>
      </c>
      <c r="AS36" s="4">
        <v>42766</v>
      </c>
      <c r="AT36" s="15">
        <v>2067.5700000000002</v>
      </c>
      <c r="AU36" s="15">
        <v>100.8</v>
      </c>
      <c r="AV36" s="4">
        <v>42766</v>
      </c>
      <c r="AW36" s="15">
        <v>2611.6</v>
      </c>
      <c r="AX36" s="15">
        <v>40257000</v>
      </c>
      <c r="AY36" s="15">
        <v>37645403</v>
      </c>
      <c r="AZ36" s="4">
        <v>42766</v>
      </c>
      <c r="BA36" s="15">
        <v>1007.7</v>
      </c>
      <c r="BB36" s="15">
        <v>0</v>
      </c>
      <c r="BC36" s="15">
        <v>3.6</v>
      </c>
      <c r="BD36" s="4">
        <v>42766</v>
      </c>
      <c r="BE36" s="15">
        <v>102.64</v>
      </c>
      <c r="BF36" s="15">
        <v>2.241259089550752</v>
      </c>
      <c r="BG36" s="4">
        <v>42766</v>
      </c>
      <c r="BH36" s="8">
        <v>74</v>
      </c>
      <c r="BI36" s="15">
        <v>75</v>
      </c>
      <c r="BJ36" s="15">
        <v>64</v>
      </c>
      <c r="BK36" s="4">
        <v>43420</v>
      </c>
      <c r="BL36" s="15">
        <v>11546615</v>
      </c>
      <c r="BM36" s="15">
        <v>1744103</v>
      </c>
      <c r="BN36" s="15">
        <v>1348022</v>
      </c>
      <c r="BO36" s="15">
        <v>137682</v>
      </c>
      <c r="BP36" s="15">
        <v>281478</v>
      </c>
      <c r="BQ36" s="15">
        <v>1192282</v>
      </c>
      <c r="BR36" s="15">
        <v>816983</v>
      </c>
    </row>
    <row r="37" spans="2:70" x14ac:dyDescent="0.25">
      <c r="AL37" s="4">
        <v>40908</v>
      </c>
      <c r="AM37" s="15">
        <v>344846.1</v>
      </c>
      <c r="AN37" s="7">
        <v>0.6</v>
      </c>
      <c r="AO37" s="4">
        <v>42735</v>
      </c>
      <c r="AP37" s="15">
        <v>111.5</v>
      </c>
      <c r="AQ37" s="15">
        <v>-0.5</v>
      </c>
      <c r="AR37" s="15">
        <v>6.1</v>
      </c>
      <c r="AS37" s="4">
        <v>42733</v>
      </c>
      <c r="AT37" s="15">
        <v>2026.46</v>
      </c>
      <c r="AU37" s="15">
        <v>100.5</v>
      </c>
      <c r="AV37" s="4">
        <v>42735</v>
      </c>
      <c r="AW37" s="15">
        <v>6764.9</v>
      </c>
      <c r="AX37" s="15">
        <v>45068880</v>
      </c>
      <c r="AY37" s="15">
        <v>38303957</v>
      </c>
      <c r="AZ37" s="4">
        <v>42735</v>
      </c>
      <c r="BA37" s="15">
        <v>864</v>
      </c>
      <c r="BB37" s="15">
        <v>0</v>
      </c>
      <c r="BC37" s="15">
        <v>3.5</v>
      </c>
      <c r="BD37" s="4">
        <v>42735</v>
      </c>
      <c r="BE37" s="15">
        <v>101.56</v>
      </c>
      <c r="BF37" s="15">
        <v>1.3370584713630049</v>
      </c>
      <c r="BG37" s="4">
        <v>42735</v>
      </c>
      <c r="BH37" s="8">
        <v>73</v>
      </c>
      <c r="BI37" s="15">
        <v>72</v>
      </c>
      <c r="BJ37" s="15">
        <v>68</v>
      </c>
      <c r="BK37" s="4">
        <v>43413</v>
      </c>
      <c r="BL37" s="15">
        <v>11589872</v>
      </c>
      <c r="BM37" s="15">
        <v>1743030</v>
      </c>
      <c r="BN37" s="15">
        <v>1359038</v>
      </c>
      <c r="BO37" s="15">
        <v>144681</v>
      </c>
      <c r="BP37" s="15">
        <v>281671</v>
      </c>
      <c r="BQ37" s="15">
        <v>1168926</v>
      </c>
      <c r="BR37" s="15">
        <v>817010</v>
      </c>
    </row>
    <row r="38" spans="2:70" x14ac:dyDescent="0.25">
      <c r="AL38" s="4">
        <v>40816</v>
      </c>
      <c r="AM38" s="15">
        <v>328362.3</v>
      </c>
      <c r="AN38" s="7">
        <v>0.7</v>
      </c>
      <c r="AO38" s="4">
        <v>42704</v>
      </c>
      <c r="AP38" s="15">
        <v>108.9</v>
      </c>
      <c r="AQ38" s="15">
        <v>4.0999999999999996</v>
      </c>
      <c r="AR38" s="15">
        <v>5.9</v>
      </c>
      <c r="AS38" s="4">
        <v>42704</v>
      </c>
      <c r="AT38" s="15">
        <v>1983.48</v>
      </c>
      <c r="AU38" s="15">
        <v>100.3</v>
      </c>
      <c r="AV38" s="4">
        <v>42704</v>
      </c>
      <c r="AW38" s="15">
        <v>8068.3</v>
      </c>
      <c r="AX38" s="15">
        <v>45309141</v>
      </c>
      <c r="AY38" s="15">
        <v>37240858</v>
      </c>
      <c r="AZ38" s="4">
        <v>42704</v>
      </c>
      <c r="BA38" s="15">
        <v>851.1</v>
      </c>
      <c r="BB38" s="15">
        <v>3.3333333333333361</v>
      </c>
      <c r="BC38" s="15">
        <v>3.6</v>
      </c>
      <c r="BD38" s="4">
        <v>42704</v>
      </c>
      <c r="BE38" s="15">
        <v>101.45</v>
      </c>
      <c r="BF38" s="15">
        <v>1.5312249799839883</v>
      </c>
      <c r="BG38" s="4">
        <v>42704</v>
      </c>
      <c r="BH38" s="8">
        <v>73</v>
      </c>
      <c r="BI38" s="15">
        <v>72</v>
      </c>
      <c r="BJ38" s="15">
        <v>63</v>
      </c>
      <c r="BK38" s="4">
        <v>43406</v>
      </c>
      <c r="BL38" s="15">
        <v>11587221</v>
      </c>
      <c r="BM38" s="15">
        <v>1725623</v>
      </c>
      <c r="BN38" s="15">
        <v>1382121</v>
      </c>
      <c r="BO38" s="15">
        <v>149287</v>
      </c>
      <c r="BP38" s="15">
        <v>281817</v>
      </c>
      <c r="BQ38" s="15">
        <v>1141803</v>
      </c>
      <c r="BR38" s="15">
        <v>818379</v>
      </c>
    </row>
    <row r="39" spans="2:70" x14ac:dyDescent="0.25">
      <c r="AL39" s="4">
        <v>40724</v>
      </c>
      <c r="AM39" s="15">
        <v>328551.59999999998</v>
      </c>
      <c r="AN39" s="7">
        <v>0.6</v>
      </c>
      <c r="AO39" s="4">
        <v>42674</v>
      </c>
      <c r="AP39" s="15">
        <v>104.5</v>
      </c>
      <c r="AQ39" s="15">
        <v>-1.2</v>
      </c>
      <c r="AR39" s="15">
        <v>-0.6</v>
      </c>
      <c r="AS39" s="4">
        <v>42674</v>
      </c>
      <c r="AT39" s="15">
        <v>2008.19</v>
      </c>
      <c r="AU39" s="15">
        <v>100.2</v>
      </c>
      <c r="AV39" s="4">
        <v>42674</v>
      </c>
      <c r="AW39" s="15">
        <v>6933.2</v>
      </c>
      <c r="AX39" s="15">
        <v>41983329</v>
      </c>
      <c r="AY39" s="15">
        <v>35050112</v>
      </c>
      <c r="AZ39" s="4">
        <v>42674</v>
      </c>
      <c r="BA39" s="15">
        <v>920.2</v>
      </c>
      <c r="BB39" s="15">
        <v>6.4516129032257981</v>
      </c>
      <c r="BC39" s="15">
        <v>3.8</v>
      </c>
      <c r="BD39" s="4">
        <v>42674</v>
      </c>
      <c r="BE39" s="15">
        <v>101.6</v>
      </c>
      <c r="BF39" s="15">
        <v>1.488362800918984</v>
      </c>
      <c r="BG39" s="4">
        <v>42674</v>
      </c>
      <c r="BH39" s="8">
        <v>71</v>
      </c>
      <c r="BI39" s="15">
        <v>71</v>
      </c>
      <c r="BJ39" s="15">
        <v>73</v>
      </c>
      <c r="BK39" s="4">
        <v>43399</v>
      </c>
      <c r="BL39" s="15">
        <v>11516435</v>
      </c>
      <c r="BM39" s="15">
        <v>1740149</v>
      </c>
      <c r="BN39" s="15">
        <v>1359330</v>
      </c>
      <c r="BO39" s="15">
        <v>144698</v>
      </c>
      <c r="BP39" s="15">
        <v>284921</v>
      </c>
      <c r="BQ39" s="15">
        <v>1081762</v>
      </c>
      <c r="BR39" s="15">
        <v>808610</v>
      </c>
    </row>
    <row r="40" spans="2:70" x14ac:dyDescent="0.25">
      <c r="AL40" s="4">
        <v>40633</v>
      </c>
      <c r="AM40" s="15">
        <v>310132.8</v>
      </c>
      <c r="AN40" s="7">
        <v>1</v>
      </c>
      <c r="AO40" s="4">
        <v>42643</v>
      </c>
      <c r="AP40" s="15">
        <v>98.7</v>
      </c>
      <c r="AQ40" s="15">
        <v>0.9</v>
      </c>
      <c r="AR40" s="15">
        <v>-1.3</v>
      </c>
      <c r="AS40" s="4">
        <v>42643</v>
      </c>
      <c r="AT40" s="15">
        <v>2043.63</v>
      </c>
      <c r="AU40" s="15">
        <v>100.4</v>
      </c>
      <c r="AV40" s="4">
        <v>42643</v>
      </c>
      <c r="AW40" s="15">
        <v>6857.8</v>
      </c>
      <c r="AX40" s="15">
        <v>40846252</v>
      </c>
      <c r="AY40" s="15">
        <v>33988443</v>
      </c>
      <c r="AZ40" s="4">
        <v>42643</v>
      </c>
      <c r="BA40" s="15">
        <v>982.6</v>
      </c>
      <c r="BB40" s="15">
        <v>9.3749999999999947</v>
      </c>
      <c r="BC40" s="15">
        <v>3.9</v>
      </c>
      <c r="BD40" s="4">
        <v>42643</v>
      </c>
      <c r="BE40" s="15">
        <v>101.46</v>
      </c>
      <c r="BF40" s="15">
        <v>1.3485166317051187</v>
      </c>
      <c r="BG40" s="4">
        <v>42643</v>
      </c>
      <c r="BH40" s="8">
        <v>72</v>
      </c>
      <c r="BI40" s="15">
        <v>71</v>
      </c>
      <c r="BJ40" s="15">
        <v>75</v>
      </c>
      <c r="BK40" s="4">
        <v>43392</v>
      </c>
      <c r="BL40" s="15">
        <v>11548608</v>
      </c>
      <c r="BM40" s="15">
        <v>1781074</v>
      </c>
      <c r="BN40" s="15">
        <v>1364981</v>
      </c>
      <c r="BO40" s="15">
        <v>143717</v>
      </c>
      <c r="BP40" s="15">
        <v>286318</v>
      </c>
      <c r="BQ40" s="15">
        <v>1103737</v>
      </c>
      <c r="BR40" s="15">
        <v>819396</v>
      </c>
    </row>
    <row r="41" spans="2:70" x14ac:dyDescent="0.25">
      <c r="AL41" s="4">
        <v>40543</v>
      </c>
      <c r="AM41" s="15">
        <v>334752.90000000002</v>
      </c>
      <c r="AN41" s="7">
        <v>1</v>
      </c>
      <c r="AO41" s="4">
        <v>42613</v>
      </c>
      <c r="AP41" s="15">
        <v>98</v>
      </c>
      <c r="AQ41" s="15">
        <v>-1</v>
      </c>
      <c r="AR41" s="15">
        <v>3.5</v>
      </c>
      <c r="AS41" s="4">
        <v>42613</v>
      </c>
      <c r="AT41" s="15">
        <v>2034.65</v>
      </c>
      <c r="AU41" s="15">
        <v>100.5</v>
      </c>
      <c r="AV41" s="4">
        <v>42613</v>
      </c>
      <c r="AW41" s="15">
        <v>5021.2</v>
      </c>
      <c r="AX41" s="15">
        <v>40124791</v>
      </c>
      <c r="AY41" s="15">
        <v>35103611</v>
      </c>
      <c r="AZ41" s="4">
        <v>42613</v>
      </c>
      <c r="BA41" s="15">
        <v>993.7</v>
      </c>
      <c r="BB41" s="15">
        <v>5.8823529411764763</v>
      </c>
      <c r="BC41" s="15">
        <v>3.7</v>
      </c>
      <c r="BD41" s="4">
        <v>42613</v>
      </c>
      <c r="BE41" s="15">
        <v>100.86</v>
      </c>
      <c r="BF41" s="15">
        <v>0.48819368337152025</v>
      </c>
      <c r="BG41" s="4">
        <v>42613</v>
      </c>
      <c r="BH41" s="8">
        <v>72</v>
      </c>
      <c r="BI41" s="15">
        <v>71</v>
      </c>
      <c r="BJ41" s="15">
        <v>75</v>
      </c>
      <c r="BK41" s="4">
        <v>43385</v>
      </c>
      <c r="BL41" s="15">
        <v>11454791</v>
      </c>
      <c r="BM41" s="15">
        <v>1824116</v>
      </c>
      <c r="BN41" s="15">
        <v>1416200</v>
      </c>
      <c r="BO41" s="15">
        <v>146017</v>
      </c>
      <c r="BP41" s="15">
        <v>286858</v>
      </c>
      <c r="BQ41" s="15">
        <v>1103075</v>
      </c>
      <c r="BR41" s="15">
        <v>813062</v>
      </c>
    </row>
    <row r="42" spans="2:70" x14ac:dyDescent="0.25">
      <c r="AL42" s="4">
        <v>40451</v>
      </c>
      <c r="AM42" s="15">
        <v>317872.8</v>
      </c>
      <c r="AN42" s="7">
        <v>1</v>
      </c>
      <c r="AO42" s="4">
        <v>42582</v>
      </c>
      <c r="AP42" s="15">
        <v>102.3</v>
      </c>
      <c r="AQ42" s="15">
        <v>-0.6</v>
      </c>
      <c r="AR42" s="15">
        <v>1.9</v>
      </c>
      <c r="AS42" s="4">
        <v>42580</v>
      </c>
      <c r="AT42" s="15">
        <v>2016.19</v>
      </c>
      <c r="AU42" s="15">
        <v>100.4</v>
      </c>
      <c r="AV42" s="4">
        <v>42582</v>
      </c>
      <c r="AW42" s="15">
        <v>7509.9</v>
      </c>
      <c r="AX42" s="15">
        <v>40881700</v>
      </c>
      <c r="AY42" s="15">
        <v>33371802</v>
      </c>
      <c r="AZ42" s="4">
        <v>42582</v>
      </c>
      <c r="BA42" s="15">
        <v>972.8</v>
      </c>
      <c r="BB42" s="15">
        <v>-2.7777777777777799</v>
      </c>
      <c r="BC42" s="15">
        <v>3.6</v>
      </c>
      <c r="BD42" s="4">
        <v>42582</v>
      </c>
      <c r="BE42" s="15">
        <v>100.6</v>
      </c>
      <c r="BF42" s="15">
        <v>0.36915095280853072</v>
      </c>
      <c r="BG42" s="4">
        <v>42582</v>
      </c>
      <c r="BH42" s="8">
        <v>71</v>
      </c>
      <c r="BI42" s="15">
        <v>72</v>
      </c>
      <c r="BJ42" s="15">
        <v>68</v>
      </c>
      <c r="BK42" s="4">
        <v>43378</v>
      </c>
      <c r="BL42" s="15">
        <v>11395313</v>
      </c>
      <c r="BM42" s="15">
        <v>1760515</v>
      </c>
      <c r="BN42" s="15">
        <v>1416313</v>
      </c>
      <c r="BO42" s="15">
        <v>148061</v>
      </c>
      <c r="BP42" s="15">
        <v>286949</v>
      </c>
      <c r="BQ42" s="15">
        <v>1085224</v>
      </c>
      <c r="BR42" s="15">
        <v>820444</v>
      </c>
    </row>
    <row r="43" spans="2:70" x14ac:dyDescent="0.25">
      <c r="AL43" s="4">
        <v>40359</v>
      </c>
      <c r="AM43" s="15">
        <v>317138.90000000002</v>
      </c>
      <c r="AN43" s="7">
        <v>1.7</v>
      </c>
      <c r="AO43" s="4">
        <v>42551</v>
      </c>
      <c r="AP43" s="15">
        <v>104.7</v>
      </c>
      <c r="AQ43" s="15">
        <v>0.1</v>
      </c>
      <c r="AR43" s="15">
        <v>3.2</v>
      </c>
      <c r="AS43" s="4">
        <v>42551</v>
      </c>
      <c r="AT43" s="15">
        <v>1970.35</v>
      </c>
      <c r="AU43" s="15">
        <v>100.2</v>
      </c>
      <c r="AV43" s="4">
        <v>42551</v>
      </c>
      <c r="AW43" s="15">
        <v>11318.8</v>
      </c>
      <c r="AX43" s="15">
        <v>45209071</v>
      </c>
      <c r="AY43" s="15">
        <v>33890231</v>
      </c>
      <c r="AZ43" s="4">
        <v>42551</v>
      </c>
      <c r="BA43" s="15">
        <v>1002.2</v>
      </c>
      <c r="BB43" s="15">
        <v>-5.2631578947368354</v>
      </c>
      <c r="BC43" s="15">
        <v>3.6</v>
      </c>
      <c r="BD43" s="4">
        <v>42551</v>
      </c>
      <c r="BE43" s="15">
        <v>100.79</v>
      </c>
      <c r="BF43" s="15">
        <v>0.73963018490755528</v>
      </c>
      <c r="BG43" s="4">
        <v>42551</v>
      </c>
      <c r="BH43" s="8">
        <v>71</v>
      </c>
      <c r="BI43" s="15">
        <v>71</v>
      </c>
      <c r="BJ43" s="15">
        <v>64</v>
      </c>
      <c r="BK43" s="4">
        <v>43371</v>
      </c>
      <c r="BL43" s="15">
        <v>11451821</v>
      </c>
      <c r="BM43" s="15">
        <v>1780321</v>
      </c>
      <c r="BN43" s="15">
        <v>1403228</v>
      </c>
      <c r="BO43" s="15">
        <v>150432</v>
      </c>
      <c r="BP43" s="15">
        <v>286682</v>
      </c>
      <c r="BQ43" s="15">
        <v>912779</v>
      </c>
      <c r="BR43" s="15">
        <v>827956</v>
      </c>
    </row>
    <row r="44" spans="2:70" x14ac:dyDescent="0.25">
      <c r="AL44" s="4">
        <v>40268</v>
      </c>
      <c r="AM44" s="15">
        <v>295543.40000000002</v>
      </c>
      <c r="AN44" s="7">
        <v>2.2000000000000002</v>
      </c>
      <c r="AO44" s="4">
        <v>42521</v>
      </c>
      <c r="AP44" s="15">
        <v>102.6</v>
      </c>
      <c r="AQ44" s="15">
        <v>3</v>
      </c>
      <c r="AR44" s="15">
        <v>5.4</v>
      </c>
      <c r="AS44" s="4">
        <v>42521</v>
      </c>
      <c r="AT44" s="15">
        <v>1983.4</v>
      </c>
      <c r="AU44" s="15">
        <v>100</v>
      </c>
      <c r="AV44" s="4">
        <v>42521</v>
      </c>
      <c r="AW44" s="15">
        <v>6708.4</v>
      </c>
      <c r="AX44" s="15">
        <v>39733794</v>
      </c>
      <c r="AY44" s="15">
        <v>33025444</v>
      </c>
      <c r="AZ44" s="4">
        <v>42521</v>
      </c>
      <c r="BA44" s="15">
        <v>1003.6</v>
      </c>
      <c r="BB44" s="15">
        <v>-2.7027027027027049</v>
      </c>
      <c r="BC44" s="15">
        <v>3.7</v>
      </c>
      <c r="BD44" s="4">
        <v>42521</v>
      </c>
      <c r="BE44" s="15">
        <v>100.81</v>
      </c>
      <c r="BF44" s="15">
        <v>0.77976607017894739</v>
      </c>
      <c r="BG44" s="4">
        <v>42521</v>
      </c>
      <c r="BH44" s="8">
        <v>71</v>
      </c>
      <c r="BI44" s="15">
        <v>71</v>
      </c>
      <c r="BJ44" s="15">
        <v>69</v>
      </c>
      <c r="BK44" s="4">
        <v>43364</v>
      </c>
      <c r="BL44" s="15">
        <v>11467770</v>
      </c>
      <c r="BM44" s="15">
        <v>1810114</v>
      </c>
      <c r="BN44" s="15">
        <v>1400383</v>
      </c>
      <c r="BO44" s="15">
        <v>143003</v>
      </c>
      <c r="BP44" s="15">
        <v>286756</v>
      </c>
      <c r="BQ44" s="15">
        <v>973094</v>
      </c>
      <c r="BR44" s="15">
        <v>826116</v>
      </c>
    </row>
    <row r="45" spans="2:70" x14ac:dyDescent="0.25">
      <c r="AL45" s="4">
        <v>40178</v>
      </c>
      <c r="AM45" s="15">
        <v>315785</v>
      </c>
      <c r="AN45" s="7">
        <v>0.4</v>
      </c>
      <c r="AO45" s="4">
        <v>42490</v>
      </c>
      <c r="AP45" s="15">
        <v>99.7</v>
      </c>
      <c r="AQ45" s="15">
        <v>-1.2</v>
      </c>
      <c r="AR45" s="15">
        <v>-1.7</v>
      </c>
      <c r="AS45" s="4">
        <v>42489</v>
      </c>
      <c r="AT45" s="15">
        <v>1994.15</v>
      </c>
      <c r="AU45" s="15">
        <v>99.8</v>
      </c>
      <c r="AV45" s="4">
        <v>42490</v>
      </c>
      <c r="AW45" s="15">
        <v>8692.7999999999993</v>
      </c>
      <c r="AX45" s="15">
        <v>41081553</v>
      </c>
      <c r="AY45" s="15">
        <v>32388783</v>
      </c>
      <c r="AZ45" s="4">
        <v>42490</v>
      </c>
      <c r="BA45" s="15">
        <v>1073.5999999999999</v>
      </c>
      <c r="BB45" s="15">
        <v>0</v>
      </c>
      <c r="BC45" s="15">
        <v>3.6</v>
      </c>
      <c r="BD45" s="4">
        <v>42490</v>
      </c>
      <c r="BE45" s="15">
        <v>100.75</v>
      </c>
      <c r="BF45" s="15">
        <v>1.0025062656641603</v>
      </c>
      <c r="BG45" s="4">
        <v>42490</v>
      </c>
      <c r="BH45" s="8">
        <v>70</v>
      </c>
      <c r="BI45" s="15">
        <v>71</v>
      </c>
      <c r="BJ45" s="15">
        <v>62</v>
      </c>
      <c r="BK45" s="4">
        <v>43357</v>
      </c>
      <c r="BL45" s="15">
        <v>11339402</v>
      </c>
      <c r="BM45" s="15">
        <v>1799060</v>
      </c>
      <c r="BN45" s="15">
        <v>1409586</v>
      </c>
      <c r="BO45" s="15">
        <v>152451</v>
      </c>
      <c r="BP45" s="15">
        <v>287595</v>
      </c>
      <c r="BQ45" s="15">
        <v>1080550</v>
      </c>
      <c r="BR45" s="15">
        <v>821943</v>
      </c>
    </row>
    <row r="46" spans="2:70" ht="16.5" customHeight="1" x14ac:dyDescent="0.25">
      <c r="B46" s="1"/>
      <c r="C46" s="1"/>
      <c r="D46" s="1"/>
      <c r="E46" s="1"/>
      <c r="F46" s="1"/>
      <c r="G46" s="1"/>
      <c r="H46" s="1"/>
      <c r="Q46" s="1"/>
      <c r="R46" s="1"/>
      <c r="S46" s="1"/>
      <c r="AL46" s="4">
        <v>40086</v>
      </c>
      <c r="AM46" s="15">
        <v>301558.7</v>
      </c>
      <c r="AN46" s="7">
        <v>2.8</v>
      </c>
      <c r="AO46" s="4">
        <v>42460</v>
      </c>
      <c r="AP46" s="15">
        <v>105.6</v>
      </c>
      <c r="AQ46" s="15">
        <v>0.4</v>
      </c>
      <c r="AR46" s="15">
        <v>2.2999999999999998</v>
      </c>
      <c r="AS46" s="4">
        <v>42460</v>
      </c>
      <c r="AT46" s="15">
        <v>1995.85</v>
      </c>
      <c r="AU46" s="15">
        <v>99.9</v>
      </c>
      <c r="AV46" s="4">
        <v>42460</v>
      </c>
      <c r="AW46" s="15">
        <v>9658</v>
      </c>
      <c r="AX46" s="15">
        <v>43002468</v>
      </c>
      <c r="AY46" s="15">
        <v>33344423</v>
      </c>
      <c r="AZ46" s="4">
        <v>42460</v>
      </c>
      <c r="BA46" s="15">
        <v>1153</v>
      </c>
      <c r="BB46" s="15">
        <v>5.0000000000000044</v>
      </c>
      <c r="BC46" s="15">
        <v>3.7</v>
      </c>
      <c r="BD46" s="4">
        <v>42460</v>
      </c>
      <c r="BE46" s="15">
        <v>100.56</v>
      </c>
      <c r="BF46" s="15">
        <v>0.84235860409145946</v>
      </c>
      <c r="BG46" s="4">
        <v>42460</v>
      </c>
      <c r="BH46" s="8">
        <v>68</v>
      </c>
      <c r="BI46" s="15">
        <v>68</v>
      </c>
      <c r="BJ46" s="15">
        <v>62</v>
      </c>
      <c r="BK46" s="4">
        <v>43350</v>
      </c>
      <c r="BL46" s="15">
        <v>11227350</v>
      </c>
      <c r="BM46" s="15">
        <v>1734646</v>
      </c>
      <c r="BN46" s="15">
        <v>1423292</v>
      </c>
      <c r="BO46" s="15">
        <v>151068</v>
      </c>
      <c r="BP46" s="15">
        <v>288032</v>
      </c>
      <c r="BQ46" s="15">
        <v>1067828</v>
      </c>
      <c r="BR46" s="15">
        <v>817788</v>
      </c>
    </row>
    <row r="47" spans="2:70" ht="18" customHeight="1" x14ac:dyDescent="0.25">
      <c r="B47" s="2" t="s">
        <v>44</v>
      </c>
      <c r="L47" s="2" t="s">
        <v>49</v>
      </c>
      <c r="AL47" s="4">
        <v>39994</v>
      </c>
      <c r="AM47" s="15">
        <v>295256</v>
      </c>
      <c r="AN47" s="4">
        <v>1.5</v>
      </c>
      <c r="AO47" s="4">
        <v>42429</v>
      </c>
      <c r="AP47" s="15">
        <v>90.6</v>
      </c>
      <c r="AQ47" s="15">
        <v>1.8</v>
      </c>
      <c r="AR47" s="15">
        <v>2</v>
      </c>
      <c r="AS47" s="4">
        <v>42429</v>
      </c>
      <c r="AT47" s="15">
        <v>1916.66</v>
      </c>
      <c r="AU47" s="15">
        <v>100</v>
      </c>
      <c r="AV47" s="4">
        <v>42429</v>
      </c>
      <c r="AW47" s="15">
        <v>6761.2</v>
      </c>
      <c r="AX47" s="15">
        <v>35924541</v>
      </c>
      <c r="AY47" s="15">
        <v>29163323</v>
      </c>
      <c r="AZ47" s="4">
        <v>42429</v>
      </c>
      <c r="BA47" s="15">
        <v>1309.4000000000001</v>
      </c>
      <c r="BB47" s="15">
        <v>8.8888888888888964</v>
      </c>
      <c r="BC47" s="15">
        <v>3.8</v>
      </c>
      <c r="BD47" s="4">
        <v>42429</v>
      </c>
      <c r="BE47" s="15">
        <v>100.82</v>
      </c>
      <c r="BF47" s="15">
        <v>1.1132283622505261</v>
      </c>
      <c r="BG47" s="4">
        <v>42429</v>
      </c>
      <c r="BH47" s="8">
        <v>63</v>
      </c>
      <c r="BI47" s="15">
        <v>63</v>
      </c>
      <c r="BJ47" s="15">
        <v>59</v>
      </c>
      <c r="BK47" s="4">
        <v>43343</v>
      </c>
      <c r="BL47" s="15">
        <v>11285344</v>
      </c>
      <c r="BM47" s="15">
        <v>1703739</v>
      </c>
      <c r="BN47" s="15">
        <v>1426077</v>
      </c>
      <c r="BO47" s="15">
        <v>154902</v>
      </c>
      <c r="BP47" s="15">
        <v>288061</v>
      </c>
      <c r="BQ47" s="15">
        <v>1086299</v>
      </c>
      <c r="BR47" s="15">
        <v>822899</v>
      </c>
    </row>
    <row r="48" spans="2:70" x14ac:dyDescent="0.25">
      <c r="AL48" s="4"/>
      <c r="AN48" s="4"/>
      <c r="AO48" s="4">
        <v>42400</v>
      </c>
      <c r="AP48" s="15">
        <v>98.8</v>
      </c>
      <c r="AQ48" s="15">
        <v>-1.5</v>
      </c>
      <c r="AR48" s="15">
        <v>-0.8</v>
      </c>
      <c r="AS48" s="4">
        <v>42398</v>
      </c>
      <c r="AT48" s="15">
        <v>1912.06</v>
      </c>
      <c r="AU48" s="15">
        <v>100.2</v>
      </c>
      <c r="AV48" s="4">
        <v>42400</v>
      </c>
      <c r="AW48" s="15">
        <v>4938.5</v>
      </c>
      <c r="AX48" s="15">
        <v>36260420</v>
      </c>
      <c r="AY48" s="15">
        <v>31321901</v>
      </c>
      <c r="AZ48" s="4">
        <v>42400</v>
      </c>
      <c r="BA48" s="15">
        <v>984.6</v>
      </c>
      <c r="BB48" s="15">
        <v>0</v>
      </c>
      <c r="BC48" s="15">
        <v>3.6</v>
      </c>
      <c r="BD48" s="4">
        <v>42400</v>
      </c>
      <c r="BE48" s="15">
        <v>100.39</v>
      </c>
      <c r="BF48" s="15">
        <v>0.62142928736093472</v>
      </c>
      <c r="BG48" s="4">
        <v>42400</v>
      </c>
      <c r="BH48" s="8">
        <v>67</v>
      </c>
      <c r="BI48" s="15">
        <v>65</v>
      </c>
      <c r="BJ48" s="15">
        <v>72</v>
      </c>
      <c r="BK48" s="4">
        <v>43336</v>
      </c>
      <c r="BL48" s="15">
        <v>11286326</v>
      </c>
      <c r="BM48" s="15">
        <v>1770316</v>
      </c>
      <c r="BN48" s="15">
        <v>1432279</v>
      </c>
      <c r="BO48" s="15">
        <v>145662</v>
      </c>
      <c r="BP48" s="15">
        <v>287904</v>
      </c>
      <c r="BQ48" s="15">
        <v>1242356</v>
      </c>
      <c r="BR48" s="15">
        <v>819996</v>
      </c>
    </row>
    <row r="49" spans="38:70" x14ac:dyDescent="0.25">
      <c r="AL49" s="4"/>
      <c r="AN49" s="4"/>
      <c r="AO49" s="4">
        <v>42369</v>
      </c>
      <c r="AP49" s="15">
        <v>105.1</v>
      </c>
      <c r="AQ49" s="15">
        <v>-0.4</v>
      </c>
      <c r="AR49" s="15">
        <v>-1.2</v>
      </c>
      <c r="AS49" s="4">
        <v>42368</v>
      </c>
      <c r="AT49" s="15">
        <v>1961.31</v>
      </c>
      <c r="AU49" s="15">
        <v>100.5</v>
      </c>
      <c r="AV49" s="4">
        <v>42369</v>
      </c>
      <c r="AW49" s="15">
        <v>6917.5</v>
      </c>
      <c r="AX49" s="15">
        <v>42379843</v>
      </c>
      <c r="AY49" s="15">
        <v>35462311</v>
      </c>
      <c r="AZ49" s="4">
        <v>42369</v>
      </c>
      <c r="BA49" s="15">
        <v>867.4</v>
      </c>
      <c r="BB49" s="15">
        <v>-3.0303030303030196</v>
      </c>
      <c r="BC49" s="15">
        <v>3.5</v>
      </c>
      <c r="BD49" s="4">
        <v>42369</v>
      </c>
      <c r="BE49" s="15">
        <v>100.22</v>
      </c>
      <c r="BF49" s="15">
        <v>1.1322125572665442</v>
      </c>
      <c r="BG49" s="4">
        <v>42369</v>
      </c>
      <c r="BH49" s="8">
        <v>69</v>
      </c>
      <c r="BI49" s="15">
        <v>67</v>
      </c>
      <c r="BJ49" s="15">
        <v>65</v>
      </c>
      <c r="BK49" s="4">
        <v>43329</v>
      </c>
      <c r="BL49" s="15">
        <v>11234321</v>
      </c>
      <c r="BM49" s="15">
        <v>1743121</v>
      </c>
      <c r="BN49" s="15">
        <v>1421395</v>
      </c>
      <c r="BO49" s="15">
        <v>148884</v>
      </c>
      <c r="BP49" s="15">
        <v>288379</v>
      </c>
      <c r="BQ49" s="15">
        <v>1283191</v>
      </c>
      <c r="BR49" s="15">
        <v>809928</v>
      </c>
    </row>
    <row r="50" spans="38:70" x14ac:dyDescent="0.25">
      <c r="AL50" s="4"/>
      <c r="AN50" s="4"/>
      <c r="AO50" s="4">
        <v>42338</v>
      </c>
      <c r="AP50" s="15">
        <v>102.8</v>
      </c>
      <c r="AQ50" s="15">
        <v>-1</v>
      </c>
      <c r="AR50" s="15">
        <v>2.2000000000000002</v>
      </c>
      <c r="AS50" s="4">
        <v>42338</v>
      </c>
      <c r="AT50" s="15">
        <v>1991.97</v>
      </c>
      <c r="AU50" s="15">
        <v>100.6</v>
      </c>
      <c r="AV50" s="4">
        <v>42338</v>
      </c>
      <c r="AW50" s="15">
        <v>10235.4</v>
      </c>
      <c r="AX50" s="15">
        <v>44285052</v>
      </c>
      <c r="AY50" s="15">
        <v>34049682</v>
      </c>
      <c r="AZ50" s="4">
        <v>42338</v>
      </c>
      <c r="BA50" s="15">
        <v>828.8</v>
      </c>
      <c r="BB50" s="15">
        <v>0</v>
      </c>
      <c r="BC50" s="15">
        <v>3.6</v>
      </c>
      <c r="BD50" s="4">
        <v>42338</v>
      </c>
      <c r="BE50" s="15">
        <v>99.92</v>
      </c>
      <c r="BF50" s="15">
        <v>0.81930822940630177</v>
      </c>
      <c r="BG50" s="4">
        <v>42338</v>
      </c>
      <c r="BH50" s="8">
        <v>69</v>
      </c>
      <c r="BI50" s="15">
        <v>68</v>
      </c>
      <c r="BJ50" s="15">
        <v>69</v>
      </c>
      <c r="BK50" s="4">
        <v>43322</v>
      </c>
      <c r="BL50" s="15">
        <v>11193493</v>
      </c>
      <c r="BM50" s="15">
        <v>1736567</v>
      </c>
      <c r="BN50" s="15">
        <v>1418771</v>
      </c>
      <c r="BO50" s="15">
        <v>152476</v>
      </c>
      <c r="BP50" s="15">
        <v>288489</v>
      </c>
      <c r="BQ50" s="15">
        <v>1288845</v>
      </c>
      <c r="BR50" s="15">
        <v>810436</v>
      </c>
    </row>
    <row r="51" spans="38:70" x14ac:dyDescent="0.25">
      <c r="AL51" s="4"/>
      <c r="AN51" s="4"/>
      <c r="AO51" s="4">
        <v>42308</v>
      </c>
      <c r="AP51" s="15">
        <v>105.1</v>
      </c>
      <c r="AQ51" s="15">
        <v>-1.6</v>
      </c>
      <c r="AR51" s="15">
        <v>3.2</v>
      </c>
      <c r="AS51" s="4">
        <v>42307</v>
      </c>
      <c r="AT51" s="15">
        <v>2029.47</v>
      </c>
      <c r="AU51" s="15">
        <v>100.8</v>
      </c>
      <c r="AV51" s="4">
        <v>42308</v>
      </c>
      <c r="AW51" s="15">
        <v>6589.1</v>
      </c>
      <c r="AX51" s="15">
        <v>43352046</v>
      </c>
      <c r="AY51" s="15">
        <v>36762975</v>
      </c>
      <c r="AZ51" s="4">
        <v>42308</v>
      </c>
      <c r="BA51" s="15">
        <v>839.7</v>
      </c>
      <c r="BB51" s="15">
        <v>-3.1250000000000027</v>
      </c>
      <c r="BC51" s="15">
        <v>3.5</v>
      </c>
      <c r="BD51" s="4">
        <v>42308</v>
      </c>
      <c r="BE51" s="15">
        <v>100.11</v>
      </c>
      <c r="BF51" s="15">
        <v>0.80758851250653763</v>
      </c>
      <c r="BG51" s="4">
        <v>42308</v>
      </c>
      <c r="BH51" s="8">
        <v>73</v>
      </c>
      <c r="BI51" s="15">
        <v>71</v>
      </c>
      <c r="BJ51" s="15">
        <v>75</v>
      </c>
      <c r="BK51" s="4">
        <v>43315</v>
      </c>
      <c r="BL51" s="15">
        <v>11216036</v>
      </c>
      <c r="BM51" s="15">
        <v>1702394</v>
      </c>
      <c r="BN51" s="15">
        <v>1436410</v>
      </c>
      <c r="BO51" s="15">
        <v>153863</v>
      </c>
      <c r="BP51" s="15">
        <v>289758</v>
      </c>
      <c r="BQ51" s="15">
        <v>1316844</v>
      </c>
      <c r="BR51" s="15">
        <v>810975</v>
      </c>
    </row>
    <row r="52" spans="38:70" x14ac:dyDescent="0.25">
      <c r="AL52" s="4"/>
      <c r="AN52" s="4"/>
      <c r="AO52" s="4">
        <v>42277</v>
      </c>
      <c r="AP52" s="15">
        <v>100</v>
      </c>
      <c r="AQ52" s="15">
        <v>1.9</v>
      </c>
      <c r="AR52" s="15">
        <v>4.7</v>
      </c>
      <c r="AS52" s="4">
        <v>42277</v>
      </c>
      <c r="AT52" s="15">
        <v>1962.81</v>
      </c>
      <c r="AU52" s="15">
        <v>100.4</v>
      </c>
      <c r="AV52" s="4">
        <v>42277</v>
      </c>
      <c r="AW52" s="15">
        <v>8891.7999999999993</v>
      </c>
      <c r="AX52" s="15">
        <v>43432312</v>
      </c>
      <c r="AY52" s="15">
        <v>34540504</v>
      </c>
      <c r="AZ52" s="4">
        <v>42277</v>
      </c>
      <c r="BA52" s="15">
        <v>867.3</v>
      </c>
      <c r="BB52" s="15">
        <v>3.2258064516129057</v>
      </c>
      <c r="BC52" s="15">
        <v>3.5</v>
      </c>
      <c r="BD52" s="4">
        <v>42277</v>
      </c>
      <c r="BE52" s="15">
        <v>100.11</v>
      </c>
      <c r="BF52" s="15">
        <v>0.50397558429041367</v>
      </c>
      <c r="BG52" s="4">
        <v>42277</v>
      </c>
      <c r="BH52" s="8">
        <v>69</v>
      </c>
      <c r="BI52" s="15">
        <v>68</v>
      </c>
      <c r="BJ52" s="15">
        <v>74</v>
      </c>
      <c r="BK52" s="4">
        <v>43308</v>
      </c>
      <c r="BL52" s="15">
        <v>11156676</v>
      </c>
      <c r="BM52" s="15">
        <v>1739125</v>
      </c>
      <c r="BN52" s="15">
        <v>1443260</v>
      </c>
      <c r="BO52" s="15">
        <v>153869</v>
      </c>
      <c r="BP52" s="15">
        <v>290005</v>
      </c>
      <c r="BQ52" s="15">
        <v>1271522</v>
      </c>
      <c r="BR52" s="15">
        <v>813038</v>
      </c>
    </row>
    <row r="53" spans="38:70" x14ac:dyDescent="0.25">
      <c r="AL53" s="4"/>
      <c r="AN53" s="4"/>
      <c r="AO53" s="4">
        <v>42247</v>
      </c>
      <c r="AP53" s="15">
        <v>94.7</v>
      </c>
      <c r="AQ53" s="15">
        <v>2.6</v>
      </c>
      <c r="AR53" s="15">
        <v>1.2</v>
      </c>
      <c r="AS53" s="4">
        <v>42247</v>
      </c>
      <c r="AT53" s="15">
        <v>1941.49</v>
      </c>
      <c r="AU53" s="15">
        <v>99.9</v>
      </c>
      <c r="AV53" s="4">
        <v>42247</v>
      </c>
      <c r="AW53" s="15">
        <v>4335.2</v>
      </c>
      <c r="AX53" s="15">
        <v>39107399</v>
      </c>
      <c r="AY53" s="15">
        <v>34772163</v>
      </c>
      <c r="AZ53" s="4">
        <v>42247</v>
      </c>
      <c r="BA53" s="15">
        <v>924.8</v>
      </c>
      <c r="BB53" s="15">
        <v>3.0303030303030329</v>
      </c>
      <c r="BC53" s="15">
        <v>3.5</v>
      </c>
      <c r="BD53" s="4">
        <v>42247</v>
      </c>
      <c r="BE53" s="15">
        <v>100.37</v>
      </c>
      <c r="BF53" s="15">
        <v>0.70029697407497349</v>
      </c>
      <c r="BG53" s="4">
        <v>42247</v>
      </c>
      <c r="BH53" s="8">
        <v>69</v>
      </c>
      <c r="BI53" s="15">
        <v>68</v>
      </c>
      <c r="BJ53" s="15">
        <v>68</v>
      </c>
      <c r="BK53" s="4">
        <v>43301</v>
      </c>
      <c r="BL53" s="15">
        <v>11260070</v>
      </c>
      <c r="BM53" s="15">
        <v>1774153</v>
      </c>
      <c r="BN53" s="15">
        <v>1458318</v>
      </c>
      <c r="BO53" s="15">
        <v>147722</v>
      </c>
      <c r="BP53" s="15">
        <v>289826</v>
      </c>
      <c r="BQ53" s="15">
        <v>1294948</v>
      </c>
      <c r="BR53" s="15">
        <v>815797</v>
      </c>
    </row>
    <row r="54" spans="38:70" x14ac:dyDescent="0.25">
      <c r="AL54" s="4"/>
      <c r="AN54" s="4"/>
      <c r="AO54" s="4">
        <v>42216</v>
      </c>
      <c r="AP54" s="15">
        <v>100.4</v>
      </c>
      <c r="AQ54" s="15">
        <v>-0.8</v>
      </c>
      <c r="AR54" s="15">
        <v>-3.5</v>
      </c>
      <c r="AS54" s="4">
        <v>42216</v>
      </c>
      <c r="AT54" s="15">
        <v>2030.16</v>
      </c>
      <c r="AU54" s="15">
        <v>99.5</v>
      </c>
      <c r="AV54" s="4">
        <v>42216</v>
      </c>
      <c r="AW54" s="15">
        <v>7048.7</v>
      </c>
      <c r="AX54" s="15">
        <v>45695747</v>
      </c>
      <c r="AY54" s="15">
        <v>38647067</v>
      </c>
      <c r="AZ54" s="4">
        <v>42216</v>
      </c>
      <c r="BA54" s="15">
        <v>998</v>
      </c>
      <c r="BB54" s="15">
        <v>5.8823529411764763</v>
      </c>
      <c r="BC54" s="15">
        <v>3.7</v>
      </c>
      <c r="BD54" s="4">
        <v>42216</v>
      </c>
      <c r="BE54" s="15">
        <v>100.23</v>
      </c>
      <c r="BF54" s="15">
        <v>0.7346807505603159</v>
      </c>
      <c r="BG54" s="4">
        <v>42216</v>
      </c>
      <c r="BH54" s="8">
        <v>70</v>
      </c>
      <c r="BI54" s="15">
        <v>70</v>
      </c>
      <c r="BJ54" s="15">
        <v>68</v>
      </c>
      <c r="BK54" s="4">
        <v>43294</v>
      </c>
      <c r="BL54" s="15">
        <v>11198313</v>
      </c>
      <c r="BM54" s="15">
        <v>1794154</v>
      </c>
      <c r="BN54" s="15">
        <v>1460918</v>
      </c>
      <c r="BO54" s="15">
        <v>149038</v>
      </c>
      <c r="BP54" s="15">
        <v>290215</v>
      </c>
      <c r="BQ54" s="15">
        <v>1276294</v>
      </c>
      <c r="BR54" s="15">
        <v>817651</v>
      </c>
    </row>
    <row r="55" spans="38:70" x14ac:dyDescent="0.25">
      <c r="AL55" s="4"/>
      <c r="AN55" s="4"/>
      <c r="AO55" s="4">
        <v>42185</v>
      </c>
      <c r="AP55" s="15">
        <v>101.5</v>
      </c>
      <c r="AQ55" s="15">
        <v>2.2000000000000002</v>
      </c>
      <c r="AR55" s="15">
        <v>1</v>
      </c>
      <c r="AS55" s="4">
        <v>42185</v>
      </c>
      <c r="AT55" s="15">
        <v>2074.1999999999998</v>
      </c>
      <c r="AU55" s="15">
        <v>99.5</v>
      </c>
      <c r="AV55" s="4">
        <v>42185</v>
      </c>
      <c r="AW55" s="15">
        <v>9956.1</v>
      </c>
      <c r="AX55" s="15">
        <v>46554512</v>
      </c>
      <c r="AY55" s="15">
        <v>36598398</v>
      </c>
      <c r="AZ55" s="4">
        <v>42185</v>
      </c>
      <c r="BA55" s="15">
        <v>1047.7</v>
      </c>
      <c r="BB55" s="15">
        <v>8.5714285714285658</v>
      </c>
      <c r="BC55" s="15">
        <v>3.8</v>
      </c>
      <c r="BD55" s="4">
        <v>42185</v>
      </c>
      <c r="BE55" s="15">
        <v>100.05</v>
      </c>
      <c r="BF55" s="15">
        <v>0.7015389570521301</v>
      </c>
      <c r="BG55" s="4">
        <v>42185</v>
      </c>
      <c r="BH55" s="8">
        <v>66</v>
      </c>
      <c r="BI55" s="15">
        <v>66</v>
      </c>
      <c r="BJ55" s="15">
        <v>68</v>
      </c>
      <c r="BK55" s="4">
        <v>43287</v>
      </c>
      <c r="BL55" s="15">
        <v>11188936</v>
      </c>
      <c r="BM55" s="15">
        <v>1751607</v>
      </c>
      <c r="BN55" s="15">
        <v>1445414</v>
      </c>
      <c r="BO55" s="15">
        <v>153693</v>
      </c>
      <c r="BP55" s="15">
        <v>290795</v>
      </c>
      <c r="BQ55" s="15">
        <v>1252721</v>
      </c>
      <c r="BR55" s="15">
        <v>808830</v>
      </c>
    </row>
    <row r="56" spans="38:70" x14ac:dyDescent="0.25">
      <c r="AL56" s="4"/>
      <c r="AN56" s="4"/>
      <c r="AO56" s="4">
        <v>42155</v>
      </c>
      <c r="AP56" s="15">
        <v>97.3</v>
      </c>
      <c r="AQ56" s="15">
        <v>-2.1</v>
      </c>
      <c r="AR56" s="15">
        <v>-3.1</v>
      </c>
      <c r="AS56" s="4">
        <v>42153</v>
      </c>
      <c r="AT56" s="15">
        <v>2114.8000000000002</v>
      </c>
      <c r="AU56" s="15">
        <v>99.7</v>
      </c>
      <c r="AV56" s="4">
        <v>42155</v>
      </c>
      <c r="AW56" s="15">
        <v>6287.5</v>
      </c>
      <c r="AX56" s="15">
        <v>42327311</v>
      </c>
      <c r="AY56" s="15">
        <v>36039800</v>
      </c>
      <c r="AZ56" s="4">
        <v>42155</v>
      </c>
      <c r="BA56" s="15">
        <v>1022.1</v>
      </c>
      <c r="BB56" s="15">
        <v>5.7142857142857197</v>
      </c>
      <c r="BC56" s="15">
        <v>3.8</v>
      </c>
      <c r="BD56" s="4">
        <v>42155</v>
      </c>
      <c r="BE56" s="15">
        <v>100.03</v>
      </c>
      <c r="BF56" s="15">
        <v>0.55186417506861274</v>
      </c>
      <c r="BG56" s="4">
        <v>42155</v>
      </c>
      <c r="BH56" s="8">
        <v>75</v>
      </c>
      <c r="BI56" s="15">
        <v>73</v>
      </c>
      <c r="BJ56" s="15">
        <v>64</v>
      </c>
      <c r="BK56" s="4">
        <v>43280</v>
      </c>
      <c r="BL56" s="15">
        <v>11260748</v>
      </c>
      <c r="BM56" s="15">
        <v>1818272</v>
      </c>
      <c r="BN56" s="15">
        <v>1414468</v>
      </c>
      <c r="BO56" s="15">
        <v>148661</v>
      </c>
      <c r="BP56" s="15">
        <v>290634</v>
      </c>
      <c r="BQ56" s="15">
        <v>1052665</v>
      </c>
      <c r="BR56" s="15">
        <v>813849</v>
      </c>
    </row>
    <row r="57" spans="38:70" x14ac:dyDescent="0.25">
      <c r="AL57" s="4"/>
      <c r="AN57" s="4"/>
      <c r="AO57" s="4">
        <v>42124</v>
      </c>
      <c r="AP57" s="15">
        <v>101.4</v>
      </c>
      <c r="AQ57" s="15">
        <v>1.2</v>
      </c>
      <c r="AR57" s="15">
        <v>-2.4</v>
      </c>
      <c r="AS57" s="4">
        <v>42124</v>
      </c>
      <c r="AT57" s="15">
        <v>2127.17</v>
      </c>
      <c r="AU57" s="15">
        <v>100.1</v>
      </c>
      <c r="AV57" s="4">
        <v>42124</v>
      </c>
      <c r="AW57" s="15">
        <v>8363.1</v>
      </c>
      <c r="AX57" s="15">
        <v>46221931</v>
      </c>
      <c r="AY57" s="15">
        <v>37858798</v>
      </c>
      <c r="AZ57" s="4">
        <v>42124</v>
      </c>
      <c r="BA57" s="15">
        <v>1050.5999999999999</v>
      </c>
      <c r="BB57" s="15">
        <v>2.6315789473684239</v>
      </c>
      <c r="BC57" s="15">
        <v>3.6</v>
      </c>
      <c r="BD57" s="4">
        <v>42124</v>
      </c>
      <c r="BE57" s="15">
        <v>99.75</v>
      </c>
      <c r="BF57" s="15">
        <v>0.43597772788143724</v>
      </c>
      <c r="BG57" s="4">
        <v>42124</v>
      </c>
      <c r="BH57" s="8">
        <v>78</v>
      </c>
      <c r="BI57" s="15">
        <v>80</v>
      </c>
      <c r="BJ57" s="15">
        <v>70</v>
      </c>
      <c r="BK57" s="4">
        <v>43273</v>
      </c>
      <c r="BL57" s="15">
        <v>11214915</v>
      </c>
      <c r="BM57" s="15">
        <v>1839318</v>
      </c>
      <c r="BN57" s="15">
        <v>1481205</v>
      </c>
      <c r="BO57" s="15">
        <v>150718</v>
      </c>
      <c r="BP57" s="15">
        <v>292896</v>
      </c>
      <c r="BQ57" s="15">
        <v>1162193</v>
      </c>
      <c r="BR57" s="15">
        <v>803329</v>
      </c>
    </row>
    <row r="58" spans="38:70" x14ac:dyDescent="0.25">
      <c r="AL58" s="4"/>
      <c r="AN58" s="4"/>
      <c r="AO58" s="4">
        <v>42094</v>
      </c>
      <c r="AP58" s="15">
        <v>103.2</v>
      </c>
      <c r="AQ58" s="15">
        <v>-1.6</v>
      </c>
      <c r="AR58" s="15">
        <v>-1.3</v>
      </c>
      <c r="AS58" s="4">
        <v>42094</v>
      </c>
      <c r="AT58" s="15">
        <v>2041.03</v>
      </c>
      <c r="AU58" s="15">
        <v>100.1</v>
      </c>
      <c r="AV58" s="4">
        <v>42094</v>
      </c>
      <c r="AW58" s="15">
        <v>8336.7999999999993</v>
      </c>
      <c r="AX58" s="15">
        <v>46822771</v>
      </c>
      <c r="AY58" s="15">
        <v>38485935</v>
      </c>
      <c r="AZ58" s="4">
        <v>42094</v>
      </c>
      <c r="BA58" s="15">
        <v>1074.0999999999999</v>
      </c>
      <c r="BB58" s="15">
        <v>2.5641025641025665</v>
      </c>
      <c r="BC58" s="15">
        <v>3.5</v>
      </c>
      <c r="BD58" s="4">
        <v>42094</v>
      </c>
      <c r="BE58" s="15">
        <v>99.72</v>
      </c>
      <c r="BF58" s="15">
        <v>0.47051474514624114</v>
      </c>
      <c r="BG58" s="4">
        <v>42094</v>
      </c>
      <c r="BH58" s="8">
        <v>74</v>
      </c>
      <c r="BI58" s="15">
        <v>77</v>
      </c>
      <c r="BJ58" s="15">
        <v>70</v>
      </c>
      <c r="BK58" s="4">
        <v>43266</v>
      </c>
      <c r="BL58" s="15">
        <v>11157153</v>
      </c>
      <c r="BM58" s="15">
        <v>1791130</v>
      </c>
      <c r="BN58" s="15">
        <v>1495907</v>
      </c>
      <c r="BO58" s="15">
        <v>150029</v>
      </c>
      <c r="BP58" s="15">
        <v>291389</v>
      </c>
      <c r="BQ58" s="15">
        <v>1226671</v>
      </c>
      <c r="BR58" s="15">
        <v>808650</v>
      </c>
    </row>
    <row r="59" spans="38:70" x14ac:dyDescent="0.25">
      <c r="AL59" s="4"/>
      <c r="AN59" s="4"/>
      <c r="AO59" s="4">
        <v>42063</v>
      </c>
      <c r="AP59" s="15">
        <v>88.8</v>
      </c>
      <c r="AQ59" s="15">
        <v>2.2000000000000002</v>
      </c>
      <c r="AR59" s="15">
        <v>-5.0999999999999996</v>
      </c>
      <c r="AS59" s="4">
        <v>42062</v>
      </c>
      <c r="AT59" s="15">
        <v>1985.8</v>
      </c>
      <c r="AU59" s="15">
        <v>100.2</v>
      </c>
      <c r="AV59" s="4">
        <v>42063</v>
      </c>
      <c r="AW59" s="15">
        <v>7473.9</v>
      </c>
      <c r="AX59" s="15">
        <v>41472191</v>
      </c>
      <c r="AY59" s="15">
        <v>33998316</v>
      </c>
      <c r="AZ59" s="4">
        <v>42063</v>
      </c>
      <c r="BA59" s="15">
        <v>1200.2</v>
      </c>
      <c r="BB59" s="15">
        <v>0</v>
      </c>
      <c r="BC59" s="15">
        <v>3.6</v>
      </c>
      <c r="BD59" s="4">
        <v>42063</v>
      </c>
      <c r="BE59" s="15">
        <v>99.71</v>
      </c>
      <c r="BF59" s="15">
        <v>0.64499197545194431</v>
      </c>
      <c r="BG59" s="4">
        <v>42063</v>
      </c>
      <c r="BH59" s="8">
        <v>71</v>
      </c>
      <c r="BI59" s="15">
        <v>74</v>
      </c>
      <c r="BJ59" s="15">
        <v>59</v>
      </c>
      <c r="BK59" s="4">
        <v>43259</v>
      </c>
      <c r="BL59" s="15">
        <v>11104550</v>
      </c>
      <c r="BM59" s="15">
        <v>1728431</v>
      </c>
      <c r="BN59" s="15">
        <v>1475627</v>
      </c>
      <c r="BO59" s="15">
        <v>149749</v>
      </c>
      <c r="BP59" s="15">
        <v>291403</v>
      </c>
      <c r="BQ59" s="15">
        <v>1222443</v>
      </c>
      <c r="BR59" s="15">
        <v>810866</v>
      </c>
    </row>
    <row r="60" spans="38:70" x14ac:dyDescent="0.25">
      <c r="AL60" s="4"/>
      <c r="AN60" s="4"/>
      <c r="AO60" s="4">
        <v>42035</v>
      </c>
      <c r="AP60" s="15">
        <v>99.6</v>
      </c>
      <c r="AQ60" s="15">
        <v>-3.6</v>
      </c>
      <c r="AR60" s="15">
        <v>1.1000000000000001</v>
      </c>
      <c r="AS60" s="4">
        <v>42034</v>
      </c>
      <c r="AT60" s="15">
        <v>1949.26</v>
      </c>
      <c r="AU60" s="15">
        <v>99.9</v>
      </c>
      <c r="AV60" s="4">
        <v>42035</v>
      </c>
      <c r="AW60" s="15">
        <v>5822.4</v>
      </c>
      <c r="AX60" s="15">
        <v>45105389</v>
      </c>
      <c r="AY60" s="15">
        <v>39283025</v>
      </c>
      <c r="AZ60" s="4">
        <v>42035</v>
      </c>
      <c r="BA60" s="15">
        <v>988.1</v>
      </c>
      <c r="BB60" s="15">
        <v>8.8235294117647136</v>
      </c>
      <c r="BC60" s="15">
        <v>3.6</v>
      </c>
      <c r="BD60" s="4">
        <v>42035</v>
      </c>
      <c r="BE60" s="15">
        <v>99.77</v>
      </c>
      <c r="BF60" s="15">
        <v>0.97462730373353501</v>
      </c>
      <c r="BG60" s="4">
        <v>42035</v>
      </c>
      <c r="BH60" s="8">
        <v>71</v>
      </c>
      <c r="BI60" s="15">
        <v>73</v>
      </c>
      <c r="BJ60" s="15">
        <v>64</v>
      </c>
      <c r="BK60" s="4">
        <v>43252</v>
      </c>
      <c r="BL60" s="15">
        <v>11113165</v>
      </c>
      <c r="BM60" s="15">
        <v>1762023</v>
      </c>
      <c r="BN60" s="15">
        <v>1481349</v>
      </c>
      <c r="BO60" s="15">
        <v>151509</v>
      </c>
      <c r="BP60" s="15">
        <v>291490</v>
      </c>
      <c r="BQ60" s="15">
        <v>1152464</v>
      </c>
      <c r="BR60" s="15">
        <v>803692</v>
      </c>
    </row>
    <row r="61" spans="38:70" x14ac:dyDescent="0.25">
      <c r="AL61" s="4"/>
      <c r="AN61" s="4"/>
      <c r="AO61" s="4">
        <v>42004</v>
      </c>
      <c r="AP61" s="15">
        <v>106.383</v>
      </c>
      <c r="AQ61" s="15">
        <v>2.7</v>
      </c>
      <c r="AR61" s="15">
        <v>1.4</v>
      </c>
      <c r="AS61" s="4">
        <v>42003</v>
      </c>
      <c r="AT61" s="15">
        <v>1915.59</v>
      </c>
      <c r="AU61" s="15">
        <v>99.9</v>
      </c>
      <c r="AV61" s="4">
        <v>42004</v>
      </c>
      <c r="AW61" s="15">
        <v>5551.5</v>
      </c>
      <c r="AX61" s="15">
        <v>49461377</v>
      </c>
      <c r="AY61" s="15">
        <v>43909896</v>
      </c>
      <c r="AZ61" s="4">
        <v>42004</v>
      </c>
      <c r="BA61" s="15">
        <v>888.4</v>
      </c>
      <c r="BB61" s="15">
        <v>9.9999999999999929</v>
      </c>
      <c r="BC61" s="15">
        <v>3.7</v>
      </c>
      <c r="BD61" s="4">
        <v>42004</v>
      </c>
      <c r="BE61" s="15">
        <v>99.097999999999999</v>
      </c>
      <c r="BF61" s="15">
        <v>0.83334181259475848</v>
      </c>
      <c r="BG61" s="4">
        <v>42004</v>
      </c>
      <c r="BH61" s="8">
        <v>71</v>
      </c>
      <c r="BI61" s="15">
        <v>73</v>
      </c>
      <c r="BJ61" s="15">
        <v>60</v>
      </c>
      <c r="BK61" s="4">
        <v>43245</v>
      </c>
      <c r="BL61" s="15">
        <v>11110536</v>
      </c>
      <c r="BM61" s="15">
        <v>1820431</v>
      </c>
      <c r="BN61" s="15">
        <v>1470644</v>
      </c>
      <c r="BO61" s="15">
        <v>148623</v>
      </c>
      <c r="BP61" s="15">
        <v>291052</v>
      </c>
      <c r="BQ61" s="15">
        <v>1191108</v>
      </c>
      <c r="BR61" s="15">
        <v>809225</v>
      </c>
    </row>
    <row r="62" spans="38:70" x14ac:dyDescent="0.25">
      <c r="AL62" s="4"/>
      <c r="AN62" s="4"/>
      <c r="AO62" s="4">
        <v>41973</v>
      </c>
      <c r="AP62" s="15">
        <v>100.55500000000001</v>
      </c>
      <c r="AQ62" s="15">
        <v>0.3</v>
      </c>
      <c r="AR62" s="15">
        <v>-3.1</v>
      </c>
      <c r="AS62" s="4">
        <v>41971</v>
      </c>
      <c r="AT62" s="15">
        <v>1980.78</v>
      </c>
      <c r="AU62" s="15">
        <v>99.7</v>
      </c>
      <c r="AV62" s="4">
        <v>41973</v>
      </c>
      <c r="AW62" s="15">
        <v>5262.1</v>
      </c>
      <c r="AX62" s="15">
        <v>46605342</v>
      </c>
      <c r="AY62" s="15">
        <v>41343254</v>
      </c>
      <c r="AZ62" s="4">
        <v>41973</v>
      </c>
      <c r="BA62" s="15">
        <v>821.6</v>
      </c>
      <c r="BB62" s="15">
        <v>15.38461538461538</v>
      </c>
      <c r="BC62" s="15">
        <v>3.5</v>
      </c>
      <c r="BD62" s="4">
        <v>41973</v>
      </c>
      <c r="BE62" s="15">
        <v>99.108000000000004</v>
      </c>
      <c r="BF62" s="15">
        <v>0.96577017114915198</v>
      </c>
      <c r="BG62" s="4">
        <v>41973</v>
      </c>
      <c r="BH62" s="8">
        <v>71</v>
      </c>
      <c r="BI62" s="15">
        <v>75</v>
      </c>
      <c r="BJ62" s="15">
        <v>60</v>
      </c>
      <c r="BK62" s="4">
        <v>43238</v>
      </c>
      <c r="BL62" s="15">
        <v>11077951</v>
      </c>
      <c r="BM62" s="15">
        <v>1776008</v>
      </c>
      <c r="BN62" s="15">
        <v>1475651</v>
      </c>
      <c r="BO62" s="15">
        <v>146393</v>
      </c>
      <c r="BP62" s="15">
        <v>290259</v>
      </c>
      <c r="BQ62" s="15">
        <v>1260877</v>
      </c>
      <c r="BR62" s="15">
        <v>803378</v>
      </c>
    </row>
    <row r="63" spans="38:70" x14ac:dyDescent="0.25">
      <c r="AL63" s="4"/>
      <c r="AN63" s="4"/>
      <c r="AO63" s="4">
        <v>41943</v>
      </c>
      <c r="AP63" s="15">
        <v>101.85</v>
      </c>
      <c r="AQ63" s="15">
        <v>-0.4</v>
      </c>
      <c r="AR63" s="15">
        <v>-2.8</v>
      </c>
      <c r="AS63" s="4">
        <v>41943</v>
      </c>
      <c r="AT63" s="15">
        <v>1964.43</v>
      </c>
      <c r="AU63" s="15">
        <v>99.8</v>
      </c>
      <c r="AV63" s="4">
        <v>41943</v>
      </c>
      <c r="AW63" s="15">
        <v>7533.2</v>
      </c>
      <c r="AX63" s="15">
        <v>51630657</v>
      </c>
      <c r="AY63" s="15">
        <v>44097421</v>
      </c>
      <c r="AZ63" s="4">
        <v>41943</v>
      </c>
      <c r="BA63" s="15">
        <v>861.1</v>
      </c>
      <c r="BB63" s="15">
        <v>18.518518518518519</v>
      </c>
      <c r="BC63" s="15">
        <v>3.6</v>
      </c>
      <c r="BD63" s="4">
        <v>41943</v>
      </c>
      <c r="BE63" s="15">
        <v>99.308000000000007</v>
      </c>
      <c r="BF63" s="15">
        <v>1.1499404149563603</v>
      </c>
      <c r="BG63" s="4">
        <v>41943</v>
      </c>
      <c r="BH63" s="8">
        <v>69</v>
      </c>
      <c r="BI63" s="15">
        <v>72</v>
      </c>
      <c r="BJ63" s="15">
        <v>56</v>
      </c>
      <c r="BK63" s="4">
        <v>43231</v>
      </c>
      <c r="BL63" s="15">
        <v>10989160</v>
      </c>
      <c r="BM63" s="15">
        <v>1717620</v>
      </c>
      <c r="BN63" s="15">
        <v>1481569</v>
      </c>
      <c r="BO63" s="15">
        <v>148394</v>
      </c>
      <c r="BP63" s="15">
        <v>292260</v>
      </c>
      <c r="BQ63" s="15">
        <v>1236657</v>
      </c>
      <c r="BR63" s="15">
        <v>809979</v>
      </c>
    </row>
    <row r="64" spans="38:70" x14ac:dyDescent="0.25">
      <c r="AL64" s="4"/>
      <c r="AN64" s="4"/>
      <c r="AO64" s="4">
        <v>41912</v>
      </c>
      <c r="AP64" s="15">
        <v>95.466999999999999</v>
      </c>
      <c r="AQ64" s="15">
        <v>0.2</v>
      </c>
      <c r="AR64" s="15">
        <v>2.1</v>
      </c>
      <c r="AS64" s="4">
        <v>41912</v>
      </c>
      <c r="AT64" s="15">
        <v>2020.09</v>
      </c>
      <c r="AU64" s="15">
        <v>100.1</v>
      </c>
      <c r="AV64" s="4">
        <v>41912</v>
      </c>
      <c r="AW64" s="15">
        <v>3261.5</v>
      </c>
      <c r="AX64" s="15">
        <v>47446217</v>
      </c>
      <c r="AY64" s="15">
        <v>44184712</v>
      </c>
      <c r="AZ64" s="4">
        <v>41912</v>
      </c>
      <c r="BA64" s="15">
        <v>851.1</v>
      </c>
      <c r="BB64" s="15">
        <v>14.814814814814811</v>
      </c>
      <c r="BC64" s="15">
        <v>3.4</v>
      </c>
      <c r="BD64" s="4">
        <v>41912</v>
      </c>
      <c r="BE64" s="15">
        <v>99.608000000000004</v>
      </c>
      <c r="BF64" s="15">
        <v>1.1464373115080422</v>
      </c>
      <c r="BG64" s="4">
        <v>41912</v>
      </c>
      <c r="BH64" s="8">
        <v>72</v>
      </c>
      <c r="BI64" s="15">
        <v>74</v>
      </c>
      <c r="BJ64" s="15">
        <v>55</v>
      </c>
      <c r="BK64" s="4">
        <v>43224</v>
      </c>
      <c r="BL64" s="15">
        <v>10991703</v>
      </c>
      <c r="BM64" s="15">
        <v>1685967</v>
      </c>
      <c r="BN64" s="15">
        <v>1487508</v>
      </c>
      <c r="BO64" s="15">
        <v>151041</v>
      </c>
      <c r="BP64" s="15">
        <v>292330</v>
      </c>
      <c r="BQ64" s="15">
        <v>1225452</v>
      </c>
      <c r="BR64" s="15">
        <v>810668</v>
      </c>
    </row>
    <row r="65" spans="2:70" x14ac:dyDescent="0.25">
      <c r="AL65" s="4"/>
      <c r="AN65" s="4"/>
      <c r="AO65" s="4">
        <v>41882</v>
      </c>
      <c r="AP65" s="15">
        <v>93.617000000000004</v>
      </c>
      <c r="AQ65" s="15">
        <v>-3.7</v>
      </c>
      <c r="AR65" s="15">
        <v>-2.6</v>
      </c>
      <c r="AS65" s="4">
        <v>41880</v>
      </c>
      <c r="AT65" s="15">
        <v>2068.54</v>
      </c>
      <c r="AU65" s="15">
        <v>100.2</v>
      </c>
      <c r="AV65" s="4">
        <v>41882</v>
      </c>
      <c r="AW65" s="15">
        <v>3316.5</v>
      </c>
      <c r="AX65" s="15">
        <v>46108370</v>
      </c>
      <c r="AY65" s="15">
        <v>42791869</v>
      </c>
      <c r="AZ65" s="4">
        <v>41882</v>
      </c>
      <c r="BA65" s="15">
        <v>893.5</v>
      </c>
      <c r="BB65" s="15">
        <v>9.9999999999999929</v>
      </c>
      <c r="BC65" s="15">
        <v>3.4</v>
      </c>
      <c r="BD65" s="4">
        <v>41882</v>
      </c>
      <c r="BE65" s="15">
        <v>99.671999999999997</v>
      </c>
      <c r="BF65" s="15">
        <v>1.408106788214228</v>
      </c>
      <c r="BG65" s="4">
        <v>41882</v>
      </c>
      <c r="BH65" s="8">
        <v>70</v>
      </c>
      <c r="BI65" s="15">
        <v>72</v>
      </c>
      <c r="BJ65" s="15">
        <v>60</v>
      </c>
      <c r="BK65" s="4">
        <v>43217</v>
      </c>
      <c r="BL65" s="15">
        <v>10982926</v>
      </c>
      <c r="BM65" s="15">
        <v>1751695</v>
      </c>
      <c r="BN65" s="15">
        <v>1505046</v>
      </c>
      <c r="BO65" s="15">
        <v>150351</v>
      </c>
      <c r="BP65" s="15">
        <v>294521</v>
      </c>
      <c r="BQ65" s="15">
        <v>1205409</v>
      </c>
      <c r="BR65" s="15">
        <v>817360</v>
      </c>
    </row>
    <row r="66" spans="2:70" ht="20.25" customHeight="1" x14ac:dyDescent="0.25">
      <c r="B66" s="2" t="s">
        <v>14</v>
      </c>
      <c r="L66" s="2" t="s">
        <v>51</v>
      </c>
      <c r="AL66" s="4"/>
      <c r="AN66" s="4"/>
      <c r="AO66" s="4">
        <v>41851</v>
      </c>
      <c r="AP66" s="15">
        <v>104.07</v>
      </c>
      <c r="AQ66" s="15">
        <v>1.2</v>
      </c>
      <c r="AR66" s="15">
        <v>4.2</v>
      </c>
      <c r="AS66" s="4">
        <v>41851</v>
      </c>
      <c r="AT66" s="15">
        <v>2076.12</v>
      </c>
      <c r="AU66" s="15">
        <v>100.1</v>
      </c>
      <c r="AV66" s="4">
        <v>41851</v>
      </c>
      <c r="AW66" s="15">
        <v>2340.6</v>
      </c>
      <c r="AX66" s="15">
        <v>48204545</v>
      </c>
      <c r="AY66" s="15">
        <v>45863916</v>
      </c>
      <c r="AZ66" s="4">
        <v>41851</v>
      </c>
      <c r="BA66" s="15">
        <v>913.5</v>
      </c>
      <c r="BB66" s="15">
        <v>9.6774193548387046</v>
      </c>
      <c r="BC66" s="15">
        <v>3.4</v>
      </c>
      <c r="BD66" s="4">
        <v>41851</v>
      </c>
      <c r="BE66" s="15">
        <v>99.498999999999995</v>
      </c>
      <c r="BF66" s="15">
        <v>1.5897163627453006</v>
      </c>
      <c r="BG66" s="4">
        <v>41851</v>
      </c>
      <c r="BH66" s="8">
        <v>70</v>
      </c>
      <c r="BI66" s="15">
        <v>74</v>
      </c>
      <c r="BJ66" s="15">
        <v>54</v>
      </c>
      <c r="BK66" s="4">
        <v>43210</v>
      </c>
      <c r="BL66" s="15">
        <v>11025080</v>
      </c>
      <c r="BM66" s="15">
        <v>1741048</v>
      </c>
      <c r="BN66" s="15">
        <v>1514121</v>
      </c>
      <c r="BO66" s="15">
        <v>147887</v>
      </c>
      <c r="BP66" s="15">
        <v>293832</v>
      </c>
      <c r="BQ66" s="15">
        <v>1198603</v>
      </c>
      <c r="BR66" s="15">
        <v>818247</v>
      </c>
    </row>
    <row r="67" spans="2:70" x14ac:dyDescent="0.25">
      <c r="AL67" s="4"/>
      <c r="AN67" s="4"/>
      <c r="AO67" s="4">
        <v>41820</v>
      </c>
      <c r="AP67" s="15">
        <v>100.46299999999999</v>
      </c>
      <c r="AQ67" s="15">
        <v>2.2999999999999998</v>
      </c>
      <c r="AR67" s="15">
        <v>0.7</v>
      </c>
      <c r="AS67" s="4">
        <v>41820</v>
      </c>
      <c r="AT67" s="15">
        <v>2002.21</v>
      </c>
      <c r="AU67" s="15">
        <v>100.1</v>
      </c>
      <c r="AV67" s="4">
        <v>41820</v>
      </c>
      <c r="AW67" s="15">
        <v>5351.3</v>
      </c>
      <c r="AX67" s="15">
        <v>47827709</v>
      </c>
      <c r="AY67" s="15">
        <v>42476381</v>
      </c>
      <c r="AZ67" s="4">
        <v>41820</v>
      </c>
      <c r="BA67" s="15">
        <v>952.5</v>
      </c>
      <c r="BB67" s="15">
        <v>12.90322580645161</v>
      </c>
      <c r="BC67" s="15">
        <v>3.5</v>
      </c>
      <c r="BD67" s="4">
        <v>41820</v>
      </c>
      <c r="BE67" s="15">
        <v>99.352999999999994</v>
      </c>
      <c r="BF67" s="15">
        <v>1.6586174436213268</v>
      </c>
      <c r="BG67" s="4">
        <v>41820</v>
      </c>
      <c r="BH67" s="8">
        <v>71</v>
      </c>
      <c r="BI67" s="15">
        <v>77</v>
      </c>
      <c r="BJ67" s="15">
        <v>59</v>
      </c>
      <c r="BK67" s="4">
        <v>43203</v>
      </c>
      <c r="BL67" s="15">
        <v>10999379</v>
      </c>
      <c r="BM67" s="15">
        <v>1776224</v>
      </c>
      <c r="BN67" s="15">
        <v>1503853</v>
      </c>
      <c r="BO67" s="15">
        <v>150583</v>
      </c>
      <c r="BP67" s="15">
        <v>291356</v>
      </c>
      <c r="BQ67" s="15">
        <v>1174275</v>
      </c>
      <c r="BR67" s="15">
        <v>818607</v>
      </c>
    </row>
    <row r="68" spans="2:70" x14ac:dyDescent="0.25">
      <c r="AL68" s="4"/>
      <c r="AN68" s="4"/>
      <c r="AO68" s="4">
        <v>41790</v>
      </c>
      <c r="AP68" s="15">
        <v>100.37</v>
      </c>
      <c r="AQ68" s="15">
        <v>-3.2</v>
      </c>
      <c r="AR68" s="15">
        <v>-1.9</v>
      </c>
      <c r="AS68" s="4">
        <v>41789</v>
      </c>
      <c r="AT68" s="15">
        <v>1994.96</v>
      </c>
      <c r="AU68" s="15">
        <v>100.2</v>
      </c>
      <c r="AV68" s="4">
        <v>41790</v>
      </c>
      <c r="AW68" s="15">
        <v>4969.7</v>
      </c>
      <c r="AX68" s="15">
        <v>47577183</v>
      </c>
      <c r="AY68" s="15">
        <v>42607483</v>
      </c>
      <c r="AZ68" s="4">
        <v>41790</v>
      </c>
      <c r="BA68" s="15">
        <v>954.7</v>
      </c>
      <c r="BB68" s="15">
        <v>16.666666666666664</v>
      </c>
      <c r="BC68" s="15">
        <v>3.6</v>
      </c>
      <c r="BD68" s="4">
        <v>41790</v>
      </c>
      <c r="BE68" s="15">
        <v>99.480999999999995</v>
      </c>
      <c r="BF68" s="15">
        <v>1.6657979989984726</v>
      </c>
      <c r="BG68" s="4">
        <v>41790</v>
      </c>
      <c r="BH68" s="8">
        <v>74</v>
      </c>
      <c r="BI68" s="15">
        <v>79</v>
      </c>
      <c r="BJ68" s="15">
        <v>59</v>
      </c>
      <c r="BK68" s="4">
        <v>43196</v>
      </c>
      <c r="BL68" s="15">
        <v>10965634</v>
      </c>
      <c r="BM68" s="15">
        <v>1722708</v>
      </c>
      <c r="BN68" s="15">
        <v>1495121</v>
      </c>
      <c r="BO68" s="15">
        <v>156387</v>
      </c>
      <c r="BP68" s="15">
        <v>289568</v>
      </c>
      <c r="BQ68" s="15">
        <v>1162471</v>
      </c>
      <c r="BR68" s="15">
        <v>813178</v>
      </c>
    </row>
    <row r="69" spans="2:70" x14ac:dyDescent="0.25">
      <c r="AL69" s="4"/>
      <c r="AN69" s="4"/>
      <c r="AO69" s="4">
        <v>41759</v>
      </c>
      <c r="AP69" s="15">
        <v>103.88500000000001</v>
      </c>
      <c r="AQ69" s="15">
        <v>0.5</v>
      </c>
      <c r="AR69" s="15">
        <v>2.6</v>
      </c>
      <c r="AS69" s="4">
        <v>41759</v>
      </c>
      <c r="AT69" s="15">
        <v>1961.79</v>
      </c>
      <c r="AU69" s="15">
        <v>100.5</v>
      </c>
      <c r="AV69" s="4">
        <v>41759</v>
      </c>
      <c r="AW69" s="15">
        <v>4394.1000000000004</v>
      </c>
      <c r="AX69" s="15">
        <v>50267448</v>
      </c>
      <c r="AY69" s="15">
        <v>45873333</v>
      </c>
      <c r="AZ69" s="4">
        <v>41759</v>
      </c>
      <c r="BA69" s="15">
        <v>1033.0999999999999</v>
      </c>
      <c r="BB69" s="15">
        <v>18.749999999999989</v>
      </c>
      <c r="BC69" s="15">
        <v>3.6</v>
      </c>
      <c r="BD69" s="4">
        <v>41759</v>
      </c>
      <c r="BE69" s="15">
        <v>99.316999999999993</v>
      </c>
      <c r="BF69" s="15">
        <v>1.4981962371360478</v>
      </c>
      <c r="BG69" s="4">
        <v>41759</v>
      </c>
      <c r="BH69" s="8">
        <v>77</v>
      </c>
      <c r="BI69" s="15">
        <v>82</v>
      </c>
      <c r="BJ69" s="15">
        <v>58</v>
      </c>
      <c r="BK69" s="4">
        <v>43189</v>
      </c>
      <c r="BL69" s="15">
        <v>11019342</v>
      </c>
      <c r="BM69" s="15">
        <v>1743272</v>
      </c>
      <c r="BN69" s="15">
        <v>1464043</v>
      </c>
      <c r="BO69" s="15">
        <v>147678</v>
      </c>
      <c r="BP69" s="15">
        <v>289522</v>
      </c>
      <c r="BQ69" s="15">
        <v>1052209</v>
      </c>
      <c r="BR69" s="15">
        <v>812902</v>
      </c>
    </row>
    <row r="70" spans="2:70" x14ac:dyDescent="0.25">
      <c r="AL70" s="4"/>
      <c r="AN70" s="4"/>
      <c r="AO70" s="4">
        <v>41729</v>
      </c>
      <c r="AP70" s="15">
        <v>104.533</v>
      </c>
      <c r="AQ70" s="15">
        <v>1</v>
      </c>
      <c r="AR70" s="15">
        <v>3.1</v>
      </c>
      <c r="AS70" s="4">
        <v>41729</v>
      </c>
      <c r="AT70" s="15">
        <v>1985.61</v>
      </c>
      <c r="AU70" s="15">
        <v>100.6</v>
      </c>
      <c r="AV70" s="4">
        <v>41729</v>
      </c>
      <c r="AW70" s="15">
        <v>3505.7</v>
      </c>
      <c r="AX70" s="15">
        <v>49064392</v>
      </c>
      <c r="AY70" s="15">
        <v>45558675</v>
      </c>
      <c r="AZ70" s="4">
        <v>41729</v>
      </c>
      <c r="BA70" s="15">
        <v>1025.7</v>
      </c>
      <c r="BB70" s="15">
        <v>11.428571428571425</v>
      </c>
      <c r="BC70" s="15">
        <v>3.4</v>
      </c>
      <c r="BD70" s="4">
        <v>41729</v>
      </c>
      <c r="BE70" s="15">
        <v>99.253</v>
      </c>
      <c r="BF70" s="15">
        <v>1.2920081235265957</v>
      </c>
      <c r="BG70" s="4">
        <v>41729</v>
      </c>
      <c r="BH70" s="8">
        <v>75</v>
      </c>
      <c r="BI70" s="15">
        <v>81</v>
      </c>
      <c r="BJ70" s="15">
        <v>58</v>
      </c>
      <c r="BK70" s="4">
        <v>43182</v>
      </c>
      <c r="BL70" s="15">
        <v>10996859</v>
      </c>
      <c r="BM70" s="15">
        <v>1748569</v>
      </c>
      <c r="BN70" s="15">
        <v>1487063</v>
      </c>
      <c r="BO70" s="15">
        <v>152162</v>
      </c>
      <c r="BP70" s="15">
        <v>289371</v>
      </c>
      <c r="BQ70" s="15">
        <v>1141523</v>
      </c>
      <c r="BR70" s="15">
        <v>808050</v>
      </c>
    </row>
    <row r="71" spans="2:70" x14ac:dyDescent="0.25">
      <c r="AL71" s="4"/>
      <c r="AN71" s="4"/>
      <c r="AO71" s="4">
        <v>41698</v>
      </c>
      <c r="AP71" s="15">
        <v>93.617000000000004</v>
      </c>
      <c r="AQ71" s="15">
        <v>-1.7</v>
      </c>
      <c r="AR71" s="15">
        <v>4</v>
      </c>
      <c r="AS71" s="4">
        <v>41698</v>
      </c>
      <c r="AT71" s="15">
        <v>1979.99</v>
      </c>
      <c r="AU71" s="15">
        <v>100.4</v>
      </c>
      <c r="AV71" s="4">
        <v>41698</v>
      </c>
      <c r="AW71" s="15">
        <v>850.2</v>
      </c>
      <c r="AX71" s="15">
        <v>42911735</v>
      </c>
      <c r="AY71" s="15">
        <v>42061554</v>
      </c>
      <c r="AZ71" s="4">
        <v>41698</v>
      </c>
      <c r="BA71" s="15">
        <v>1175.5999999999999</v>
      </c>
      <c r="BB71" s="15">
        <v>15.384615384615389</v>
      </c>
      <c r="BC71" s="15">
        <v>3.6</v>
      </c>
      <c r="BD71" s="4">
        <v>41698</v>
      </c>
      <c r="BE71" s="15">
        <v>99.070999999999998</v>
      </c>
      <c r="BF71" s="15">
        <v>1.0124594710332542</v>
      </c>
      <c r="BG71" s="4">
        <v>41698</v>
      </c>
      <c r="BH71" s="8">
        <v>74</v>
      </c>
      <c r="BI71" s="15">
        <v>78</v>
      </c>
      <c r="BJ71" s="15">
        <v>57</v>
      </c>
      <c r="BK71" s="4">
        <v>43175</v>
      </c>
      <c r="BL71" s="15">
        <v>10905872</v>
      </c>
      <c r="BM71" s="15">
        <v>1744673</v>
      </c>
      <c r="BN71" s="15">
        <v>1492955</v>
      </c>
      <c r="BO71" s="15">
        <v>151586</v>
      </c>
      <c r="BP71" s="15">
        <v>286074</v>
      </c>
      <c r="BQ71" s="15">
        <v>1168339</v>
      </c>
      <c r="BR71" s="15">
        <v>809973</v>
      </c>
    </row>
    <row r="72" spans="2:70" x14ac:dyDescent="0.25">
      <c r="AL72" s="4"/>
      <c r="AN72" s="4"/>
      <c r="AO72" s="4">
        <v>41670</v>
      </c>
      <c r="AP72" s="15">
        <v>98.52</v>
      </c>
      <c r="AQ72" s="15">
        <v>0.7</v>
      </c>
      <c r="AR72" s="15">
        <v>-4.2</v>
      </c>
      <c r="AS72" s="4">
        <v>41668</v>
      </c>
      <c r="AT72" s="15">
        <v>1941.15</v>
      </c>
      <c r="AU72" s="15">
        <v>100.4</v>
      </c>
      <c r="AV72" s="4">
        <v>41670</v>
      </c>
      <c r="AW72" s="15">
        <v>813.6</v>
      </c>
      <c r="AX72" s="15">
        <v>45559632</v>
      </c>
      <c r="AY72" s="15">
        <v>44746013</v>
      </c>
      <c r="AZ72" s="4">
        <v>41670</v>
      </c>
      <c r="BA72" s="15">
        <v>890.9</v>
      </c>
      <c r="BB72" s="15">
        <v>0</v>
      </c>
      <c r="BC72" s="15">
        <v>3.3</v>
      </c>
      <c r="BD72" s="4">
        <v>41670</v>
      </c>
      <c r="BE72" s="15">
        <v>98.807000000000002</v>
      </c>
      <c r="BF72" s="15">
        <v>1.080295853750854</v>
      </c>
      <c r="BG72" s="4">
        <v>41670</v>
      </c>
      <c r="BH72" s="8">
        <v>72</v>
      </c>
      <c r="BI72" s="15">
        <v>76</v>
      </c>
      <c r="BJ72" s="15">
        <v>59</v>
      </c>
      <c r="BK72" s="4">
        <v>43168</v>
      </c>
      <c r="BL72" s="15">
        <v>10931644</v>
      </c>
      <c r="BM72" s="15">
        <v>1706203</v>
      </c>
      <c r="BN72" s="15">
        <v>1486555</v>
      </c>
      <c r="BO72" s="15">
        <v>148669</v>
      </c>
      <c r="BP72" s="15">
        <v>287434</v>
      </c>
      <c r="BQ72" s="15">
        <v>1179298</v>
      </c>
      <c r="BR72" s="15">
        <v>802809</v>
      </c>
    </row>
    <row r="73" spans="2:70" x14ac:dyDescent="0.25">
      <c r="AL73" s="4"/>
      <c r="AN73" s="4"/>
      <c r="AO73" s="4">
        <v>41639</v>
      </c>
      <c r="AP73" s="15">
        <v>104.90300000000001</v>
      </c>
      <c r="AQ73" s="15">
        <v>1.2</v>
      </c>
      <c r="AR73" s="15">
        <v>2.8</v>
      </c>
      <c r="AS73" s="4">
        <v>41638</v>
      </c>
      <c r="AT73" s="15">
        <v>2011.34</v>
      </c>
      <c r="AU73" s="15">
        <v>100.1</v>
      </c>
      <c r="AV73" s="4">
        <v>41639</v>
      </c>
      <c r="AW73" s="15">
        <v>3630.3</v>
      </c>
      <c r="AX73" s="15">
        <v>47981456</v>
      </c>
      <c r="AY73" s="15">
        <v>44351186</v>
      </c>
      <c r="AZ73" s="4">
        <v>41639</v>
      </c>
      <c r="BA73" s="15">
        <v>775.3</v>
      </c>
      <c r="BB73" s="15">
        <v>3.4482758620689689</v>
      </c>
      <c r="BC73" s="15">
        <v>3.2</v>
      </c>
      <c r="BD73" s="4">
        <v>41639</v>
      </c>
      <c r="BE73" s="15">
        <v>98.278999999999996</v>
      </c>
      <c r="BF73" s="15">
        <v>1.143380536802229</v>
      </c>
      <c r="BG73" s="4">
        <v>41639</v>
      </c>
      <c r="BH73" s="8">
        <v>73</v>
      </c>
      <c r="BI73" s="15">
        <v>76</v>
      </c>
      <c r="BJ73" s="15">
        <v>60</v>
      </c>
      <c r="BK73" s="4">
        <v>43161</v>
      </c>
      <c r="BL73" s="15">
        <v>10897347</v>
      </c>
      <c r="BM73" s="15">
        <v>1729765</v>
      </c>
      <c r="BN73" s="15">
        <v>1484416</v>
      </c>
      <c r="BO73" s="15">
        <v>150685</v>
      </c>
      <c r="BP73" s="15">
        <v>287382</v>
      </c>
      <c r="BQ73" s="15">
        <v>1155432</v>
      </c>
      <c r="BR73" s="15">
        <v>803008</v>
      </c>
    </row>
    <row r="74" spans="2:70" x14ac:dyDescent="0.25">
      <c r="AL74" s="4"/>
      <c r="AN74" s="4"/>
      <c r="AO74" s="4">
        <v>41608</v>
      </c>
      <c r="AP74" s="15">
        <v>103.79300000000001</v>
      </c>
      <c r="AQ74" s="15">
        <v>-0.7</v>
      </c>
      <c r="AR74" s="15">
        <v>-0.4</v>
      </c>
      <c r="AS74" s="4">
        <v>41607</v>
      </c>
      <c r="AT74" s="15">
        <v>2044.87</v>
      </c>
      <c r="AU74" s="15">
        <v>100</v>
      </c>
      <c r="AV74" s="4">
        <v>41608</v>
      </c>
      <c r="AW74" s="15">
        <v>4799</v>
      </c>
      <c r="AX74" s="15">
        <v>47905028</v>
      </c>
      <c r="AY74" s="15">
        <v>43106074</v>
      </c>
      <c r="AZ74" s="4">
        <v>41608</v>
      </c>
      <c r="BA74" s="15">
        <v>701.7</v>
      </c>
      <c r="BB74" s="15">
        <v>-7.1428571428571344</v>
      </c>
      <c r="BC74" s="15">
        <v>3</v>
      </c>
      <c r="BD74" s="4">
        <v>41608</v>
      </c>
      <c r="BE74" s="15">
        <v>98.16</v>
      </c>
      <c r="BF74" s="15">
        <v>1.2010928398370968</v>
      </c>
      <c r="BG74" s="4">
        <v>41608</v>
      </c>
      <c r="BH74" s="8">
        <v>74</v>
      </c>
      <c r="BI74" s="15">
        <v>78</v>
      </c>
      <c r="BJ74" s="15">
        <v>64</v>
      </c>
      <c r="BK74" s="4">
        <v>43154</v>
      </c>
      <c r="BL74" s="15">
        <v>10951117</v>
      </c>
      <c r="BM74" s="15">
        <v>1785370</v>
      </c>
      <c r="BN74" s="15">
        <v>1489135</v>
      </c>
      <c r="BO74" s="15">
        <v>147985</v>
      </c>
      <c r="BP74" s="15">
        <v>286391</v>
      </c>
      <c r="BQ74" s="15">
        <v>1186233</v>
      </c>
      <c r="BR74" s="15">
        <v>805966</v>
      </c>
    </row>
    <row r="75" spans="2:70" x14ac:dyDescent="0.25">
      <c r="AL75" s="4"/>
      <c r="AN75" s="4"/>
      <c r="AO75" s="4">
        <v>41578</v>
      </c>
      <c r="AP75" s="15">
        <v>104.81</v>
      </c>
      <c r="AQ75" s="15">
        <v>3</v>
      </c>
      <c r="AR75" s="15">
        <v>4.0999999999999996</v>
      </c>
      <c r="AS75" s="4">
        <v>41578</v>
      </c>
      <c r="AT75" s="15">
        <v>2030.09</v>
      </c>
      <c r="AU75" s="15">
        <v>100</v>
      </c>
      <c r="AV75" s="4">
        <v>41578</v>
      </c>
      <c r="AW75" s="15">
        <v>4875.5</v>
      </c>
      <c r="AX75" s="15">
        <v>50480484</v>
      </c>
      <c r="AY75" s="15">
        <v>45604963</v>
      </c>
      <c r="AZ75" s="4">
        <v>41578</v>
      </c>
      <c r="BA75" s="15">
        <v>724.3</v>
      </c>
      <c r="BB75" s="15">
        <v>-3.5714285714285587</v>
      </c>
      <c r="BC75" s="15">
        <v>3.1</v>
      </c>
      <c r="BD75" s="4">
        <v>41578</v>
      </c>
      <c r="BE75" s="15">
        <v>98.179000000000002</v>
      </c>
      <c r="BF75" s="15">
        <v>0.86089109419464371</v>
      </c>
      <c r="BG75" s="4">
        <v>41578</v>
      </c>
      <c r="BH75" s="8">
        <v>75</v>
      </c>
      <c r="BI75" s="15">
        <v>81</v>
      </c>
      <c r="BJ75" s="15">
        <v>60</v>
      </c>
      <c r="BK75" s="4">
        <v>43147</v>
      </c>
      <c r="BL75" s="15">
        <v>10875062</v>
      </c>
      <c r="BM75" s="15">
        <v>1755298</v>
      </c>
      <c r="BN75" s="15">
        <v>1484433</v>
      </c>
      <c r="BO75" s="15">
        <v>144954</v>
      </c>
      <c r="BP75" s="15">
        <v>286087</v>
      </c>
      <c r="BQ75" s="15">
        <v>1197506</v>
      </c>
      <c r="BR75" s="15">
        <v>802417</v>
      </c>
    </row>
    <row r="76" spans="2:70" x14ac:dyDescent="0.25">
      <c r="AL76" s="4"/>
      <c r="AN76" s="4"/>
      <c r="AO76" s="4">
        <v>41547</v>
      </c>
      <c r="AP76" s="15">
        <v>93.525000000000006</v>
      </c>
      <c r="AQ76" s="15">
        <v>-1.6</v>
      </c>
      <c r="AR76" s="15">
        <v>-3.4</v>
      </c>
      <c r="AS76" s="4">
        <v>41547</v>
      </c>
      <c r="AT76" s="15">
        <v>1996.96</v>
      </c>
      <c r="AU76" s="15">
        <v>99.8</v>
      </c>
      <c r="AV76" s="4">
        <v>41547</v>
      </c>
      <c r="AW76" s="15">
        <v>3595.1</v>
      </c>
      <c r="AX76" s="15">
        <v>44650486</v>
      </c>
      <c r="AY76" s="15">
        <v>41055405</v>
      </c>
      <c r="AZ76" s="4">
        <v>41547</v>
      </c>
      <c r="BA76" s="15">
        <v>720.8</v>
      </c>
      <c r="BB76" s="15">
        <v>-6.8965517241379226</v>
      </c>
      <c r="BC76" s="15">
        <v>3</v>
      </c>
      <c r="BD76" s="4">
        <v>41547</v>
      </c>
      <c r="BE76" s="15">
        <v>98.478999999999999</v>
      </c>
      <c r="BF76" s="15">
        <v>0.98028157460291732</v>
      </c>
      <c r="BG76" s="4">
        <v>41547</v>
      </c>
      <c r="BH76" s="8">
        <v>72</v>
      </c>
      <c r="BI76" s="15">
        <v>75</v>
      </c>
      <c r="BJ76" s="15">
        <v>52</v>
      </c>
      <c r="BK76" s="4">
        <v>43140</v>
      </c>
      <c r="BL76" s="15">
        <v>10873344</v>
      </c>
      <c r="BM76" s="15">
        <v>1714495</v>
      </c>
      <c r="BN76" s="15">
        <v>1500617</v>
      </c>
      <c r="BO76" s="15">
        <v>148773</v>
      </c>
      <c r="BP76" s="15">
        <v>285630</v>
      </c>
      <c r="BQ76" s="15">
        <v>1238113</v>
      </c>
      <c r="BR76" s="15">
        <v>800210</v>
      </c>
    </row>
    <row r="77" spans="2:70" x14ac:dyDescent="0.25">
      <c r="AL77" s="4"/>
      <c r="AN77" s="4"/>
      <c r="AO77" s="4">
        <v>41517</v>
      </c>
      <c r="AP77" s="15">
        <v>96.114999999999995</v>
      </c>
      <c r="AQ77" s="15">
        <v>1.6</v>
      </c>
      <c r="AR77" s="15">
        <v>3.6</v>
      </c>
      <c r="AS77" s="4">
        <v>41516</v>
      </c>
      <c r="AT77" s="15">
        <v>1926.36</v>
      </c>
      <c r="AU77" s="15">
        <v>99.9</v>
      </c>
      <c r="AV77" s="4">
        <v>41517</v>
      </c>
      <c r="AW77" s="15">
        <v>4717.5</v>
      </c>
      <c r="AX77" s="15">
        <v>46311341</v>
      </c>
      <c r="AY77" s="15">
        <v>41593821</v>
      </c>
      <c r="AZ77" s="4">
        <v>41517</v>
      </c>
      <c r="BA77" s="15">
        <v>783.3</v>
      </c>
      <c r="BB77" s="15">
        <v>0</v>
      </c>
      <c r="BC77" s="15">
        <v>3.1</v>
      </c>
      <c r="BD77" s="4">
        <v>41517</v>
      </c>
      <c r="BE77" s="15">
        <v>98.287999999999997</v>
      </c>
      <c r="BF77" s="15">
        <v>1.5046834175005872</v>
      </c>
      <c r="BG77" s="4">
        <v>41517</v>
      </c>
      <c r="BH77" s="8">
        <v>70</v>
      </c>
      <c r="BI77" s="15">
        <v>73</v>
      </c>
      <c r="BJ77" s="15">
        <v>57</v>
      </c>
      <c r="BK77" s="4">
        <v>43133</v>
      </c>
      <c r="BL77" s="15">
        <v>10802346</v>
      </c>
      <c r="BM77" s="15">
        <v>1694577</v>
      </c>
      <c r="BN77" s="15">
        <v>1516737</v>
      </c>
      <c r="BO77" s="15">
        <v>149759</v>
      </c>
      <c r="BP77" s="15">
        <v>283986</v>
      </c>
      <c r="BQ77" s="15">
        <v>1247878</v>
      </c>
      <c r="BR77" s="15">
        <v>818967</v>
      </c>
    </row>
    <row r="78" spans="2:70" x14ac:dyDescent="0.25">
      <c r="AL78" s="4"/>
      <c r="AN78" s="4"/>
      <c r="AO78" s="4">
        <v>41486</v>
      </c>
      <c r="AP78" s="15">
        <v>99.906999999999996</v>
      </c>
      <c r="AQ78" s="15">
        <v>-0.7</v>
      </c>
      <c r="AR78" s="15">
        <v>1.9</v>
      </c>
      <c r="AS78" s="4">
        <v>41486</v>
      </c>
      <c r="AT78" s="15">
        <v>1914.03</v>
      </c>
      <c r="AU78" s="15">
        <v>99.8</v>
      </c>
      <c r="AV78" s="4">
        <v>41486</v>
      </c>
      <c r="AW78" s="15">
        <v>2445.1</v>
      </c>
      <c r="AX78" s="15">
        <v>45829521</v>
      </c>
      <c r="AY78" s="15">
        <v>43384403</v>
      </c>
      <c r="AZ78" s="4">
        <v>41486</v>
      </c>
      <c r="BA78" s="15">
        <v>827.4</v>
      </c>
      <c r="BB78" s="15">
        <v>0</v>
      </c>
      <c r="BC78" s="15">
        <v>3.2</v>
      </c>
      <c r="BD78" s="4">
        <v>41486</v>
      </c>
      <c r="BE78" s="15">
        <v>97.941999999999993</v>
      </c>
      <c r="BF78" s="15">
        <v>1.6153965866057871</v>
      </c>
      <c r="BG78" s="4">
        <v>41486</v>
      </c>
      <c r="BH78" s="8">
        <v>70</v>
      </c>
      <c r="BI78" s="15">
        <v>72</v>
      </c>
      <c r="BJ78" s="15">
        <v>59</v>
      </c>
      <c r="BK78" s="4">
        <v>43126</v>
      </c>
      <c r="BL78" s="15">
        <v>10744272</v>
      </c>
      <c r="BM78" s="15">
        <v>1677488</v>
      </c>
      <c r="BN78" s="15">
        <v>1529203</v>
      </c>
      <c r="BO78" s="15">
        <v>149080</v>
      </c>
      <c r="BP78" s="15">
        <v>285123</v>
      </c>
      <c r="BQ78" s="15">
        <v>1171972</v>
      </c>
      <c r="BR78" s="15">
        <v>808873</v>
      </c>
    </row>
    <row r="79" spans="2:70" x14ac:dyDescent="0.25">
      <c r="AL79" s="4"/>
      <c r="AN79" s="4"/>
      <c r="AO79" s="4">
        <v>41455</v>
      </c>
      <c r="AP79" s="15">
        <v>99.721999999999994</v>
      </c>
      <c r="AQ79" s="15">
        <v>-0.4</v>
      </c>
      <c r="AR79" s="15">
        <v>-1.3</v>
      </c>
      <c r="AS79" s="4">
        <v>41453</v>
      </c>
      <c r="AT79" s="15">
        <v>1863.32</v>
      </c>
      <c r="AU79" s="15">
        <v>99.9</v>
      </c>
      <c r="AV79" s="4">
        <v>41455</v>
      </c>
      <c r="AW79" s="15">
        <v>5971.6</v>
      </c>
      <c r="AX79" s="15">
        <v>46690983</v>
      </c>
      <c r="AY79" s="15">
        <v>40719394</v>
      </c>
      <c r="AZ79" s="4">
        <v>41455</v>
      </c>
      <c r="BA79" s="15">
        <v>813.7</v>
      </c>
      <c r="BB79" s="15">
        <v>-3.1250000000000027</v>
      </c>
      <c r="BC79" s="15">
        <v>3.1</v>
      </c>
      <c r="BD79" s="4">
        <v>41455</v>
      </c>
      <c r="BE79" s="15">
        <v>97.731999999999999</v>
      </c>
      <c r="BF79" s="15">
        <v>1.1687007649865997</v>
      </c>
      <c r="BG79" s="4">
        <v>41455</v>
      </c>
      <c r="BH79" s="8">
        <v>74</v>
      </c>
      <c r="BI79" s="15">
        <v>79</v>
      </c>
      <c r="BJ79" s="15">
        <v>64</v>
      </c>
      <c r="BK79" s="4">
        <v>43119</v>
      </c>
      <c r="BL79" s="15">
        <v>10832720</v>
      </c>
      <c r="BM79" s="15">
        <v>1733350</v>
      </c>
      <c r="BN79" s="15">
        <v>1522815</v>
      </c>
      <c r="BO79" s="15">
        <v>141142</v>
      </c>
      <c r="BP79" s="15">
        <v>284378</v>
      </c>
      <c r="BQ79" s="15">
        <v>1159573</v>
      </c>
      <c r="BR79" s="15">
        <v>798553</v>
      </c>
    </row>
    <row r="80" spans="2:70" x14ac:dyDescent="0.25">
      <c r="AL80" s="4"/>
      <c r="AN80" s="4"/>
      <c r="AO80" s="4">
        <v>41425</v>
      </c>
      <c r="AP80" s="15">
        <v>102.313</v>
      </c>
      <c r="AQ80" s="15">
        <v>-0.2</v>
      </c>
      <c r="AR80" s="15">
        <v>-0.1</v>
      </c>
      <c r="AS80" s="4">
        <v>41425</v>
      </c>
      <c r="AT80" s="15">
        <v>2001.05</v>
      </c>
      <c r="AU80" s="15">
        <v>99.7</v>
      </c>
      <c r="AV80" s="4">
        <v>41425</v>
      </c>
      <c r="AW80" s="15">
        <v>5917.7</v>
      </c>
      <c r="AX80" s="15">
        <v>48307560</v>
      </c>
      <c r="AY80" s="15">
        <v>42389874</v>
      </c>
      <c r="AZ80" s="4">
        <v>41425</v>
      </c>
      <c r="BA80" s="15">
        <v>798.5</v>
      </c>
      <c r="BB80" s="15">
        <v>-3.2258064516129057</v>
      </c>
      <c r="BC80" s="15">
        <v>3.1</v>
      </c>
      <c r="BD80" s="4">
        <v>41425</v>
      </c>
      <c r="BE80" s="15">
        <v>97.850999999999999</v>
      </c>
      <c r="BF80" s="15">
        <v>1.1484391151540254</v>
      </c>
      <c r="BG80" s="4">
        <v>41425</v>
      </c>
      <c r="BH80" s="8">
        <v>73</v>
      </c>
      <c r="BI80" s="15">
        <v>80</v>
      </c>
      <c r="BJ80" s="15">
        <v>56</v>
      </c>
      <c r="BK80" s="4">
        <v>43112</v>
      </c>
      <c r="BL80" s="15">
        <v>10755631</v>
      </c>
      <c r="BM80" s="15">
        <v>1761235</v>
      </c>
      <c r="BN80" s="15">
        <v>1506316</v>
      </c>
      <c r="BO80" s="15">
        <v>137934</v>
      </c>
      <c r="BP80" s="15">
        <v>285777</v>
      </c>
      <c r="BQ80" s="15">
        <v>1134589</v>
      </c>
      <c r="BR80" s="15">
        <v>789907</v>
      </c>
    </row>
    <row r="81" spans="38:70" x14ac:dyDescent="0.25">
      <c r="AL81" s="4"/>
      <c r="AN81" s="4"/>
      <c r="AO81" s="4">
        <v>41394</v>
      </c>
      <c r="AP81" s="15">
        <v>101.295</v>
      </c>
      <c r="AQ81" s="15">
        <v>1</v>
      </c>
      <c r="AR81" s="15">
        <v>2.5</v>
      </c>
      <c r="AS81" s="4">
        <v>41394</v>
      </c>
      <c r="AT81" s="15">
        <v>1963.95</v>
      </c>
      <c r="AU81" s="15">
        <v>99.8</v>
      </c>
      <c r="AV81" s="4">
        <v>41394</v>
      </c>
      <c r="AW81" s="15">
        <v>2509.6999999999998</v>
      </c>
      <c r="AX81" s="15">
        <v>46157925</v>
      </c>
      <c r="AY81" s="15">
        <v>43648241</v>
      </c>
      <c r="AZ81" s="4">
        <v>41394</v>
      </c>
      <c r="BA81" s="15">
        <v>826.6</v>
      </c>
      <c r="BB81" s="15">
        <v>-8.5714285714285658</v>
      </c>
      <c r="BC81" s="15">
        <v>3</v>
      </c>
      <c r="BD81" s="4">
        <v>41394</v>
      </c>
      <c r="BE81" s="15">
        <v>97.850999999999999</v>
      </c>
      <c r="BF81" s="15">
        <v>1.3296467737425892</v>
      </c>
      <c r="BG81" s="4">
        <v>41394</v>
      </c>
      <c r="BH81" s="8">
        <v>73</v>
      </c>
      <c r="BI81" s="15">
        <v>79</v>
      </c>
      <c r="BJ81" s="15">
        <v>56</v>
      </c>
      <c r="BK81" s="4">
        <v>43105</v>
      </c>
      <c r="BL81" s="15">
        <v>10793015</v>
      </c>
      <c r="BM81" s="15">
        <v>1753643</v>
      </c>
      <c r="BN81" s="15">
        <v>1507837</v>
      </c>
      <c r="BO81" s="15">
        <v>146292</v>
      </c>
      <c r="BP81" s="15">
        <v>287201</v>
      </c>
      <c r="BQ81" s="15">
        <v>1114125</v>
      </c>
      <c r="BR81" s="15">
        <v>791768</v>
      </c>
    </row>
    <row r="82" spans="38:70" x14ac:dyDescent="0.25">
      <c r="AL82" s="4"/>
      <c r="AN82" s="4"/>
      <c r="AO82" s="4">
        <v>41364</v>
      </c>
      <c r="AP82" s="15">
        <v>101.38800000000001</v>
      </c>
      <c r="AQ82" s="15">
        <v>-1.6</v>
      </c>
      <c r="AR82" s="15">
        <v>-1.8</v>
      </c>
      <c r="AS82" s="4">
        <v>41362</v>
      </c>
      <c r="AT82" s="15">
        <v>2004.89</v>
      </c>
      <c r="AU82" s="15">
        <v>99.7</v>
      </c>
      <c r="AV82" s="4">
        <v>41364</v>
      </c>
      <c r="AW82" s="15">
        <v>3336</v>
      </c>
      <c r="AX82" s="15">
        <v>47312704</v>
      </c>
      <c r="AY82" s="15">
        <v>43976739</v>
      </c>
      <c r="AZ82" s="4">
        <v>41364</v>
      </c>
      <c r="BA82" s="15">
        <v>884.3</v>
      </c>
      <c r="BB82" s="15">
        <v>-5.4054054054054097</v>
      </c>
      <c r="BC82" s="15">
        <v>3.1</v>
      </c>
      <c r="BD82" s="4">
        <v>41364</v>
      </c>
      <c r="BE82" s="15">
        <v>97.986999999999995</v>
      </c>
      <c r="BF82" s="15">
        <v>1.4610255135851573</v>
      </c>
      <c r="BG82" s="4">
        <v>41364</v>
      </c>
      <c r="BH82" s="8">
        <v>71</v>
      </c>
      <c r="BI82" s="15">
        <v>75</v>
      </c>
      <c r="BJ82" s="15">
        <v>60</v>
      </c>
      <c r="BK82" s="4">
        <v>43098</v>
      </c>
      <c r="BL82" s="15">
        <v>10793015</v>
      </c>
      <c r="BM82" s="15">
        <v>1753643</v>
      </c>
      <c r="BN82" s="15">
        <v>1472570</v>
      </c>
      <c r="BO82" s="15">
        <v>147658</v>
      </c>
      <c r="BP82" s="15">
        <v>286070</v>
      </c>
      <c r="BQ82" s="15">
        <v>973418</v>
      </c>
      <c r="BR82" s="15">
        <v>778762</v>
      </c>
    </row>
    <row r="83" spans="38:70" x14ac:dyDescent="0.25">
      <c r="AL83" s="4"/>
      <c r="AN83" s="4"/>
      <c r="AO83" s="4">
        <v>41333</v>
      </c>
      <c r="AP83" s="15">
        <v>90.009</v>
      </c>
      <c r="AQ83" s="15">
        <v>-1.6</v>
      </c>
      <c r="AR83" s="15">
        <v>-8.3000000000000007</v>
      </c>
      <c r="AS83" s="4">
        <v>41333</v>
      </c>
      <c r="AT83" s="15">
        <v>2026.49</v>
      </c>
      <c r="AU83" s="15">
        <v>99.9</v>
      </c>
      <c r="AV83" s="4">
        <v>41333</v>
      </c>
      <c r="AW83" s="15">
        <v>1873.4</v>
      </c>
      <c r="AX83" s="15">
        <v>42331837</v>
      </c>
      <c r="AY83" s="15">
        <v>40458472</v>
      </c>
      <c r="AZ83" s="4">
        <v>41333</v>
      </c>
      <c r="BA83" s="15">
        <v>991.3</v>
      </c>
      <c r="BB83" s="15">
        <v>-7.1428571428571495</v>
      </c>
      <c r="BC83" s="15">
        <v>3.2</v>
      </c>
      <c r="BD83" s="4">
        <v>41333</v>
      </c>
      <c r="BE83" s="15">
        <v>98.078000000000003</v>
      </c>
      <c r="BF83" s="15">
        <v>1.5836518244621862</v>
      </c>
      <c r="BG83" s="4">
        <v>41333</v>
      </c>
      <c r="BH83" s="8">
        <v>68</v>
      </c>
      <c r="BI83" s="15">
        <v>71</v>
      </c>
      <c r="BJ83" s="15">
        <v>55</v>
      </c>
      <c r="BK83" s="4">
        <v>43091</v>
      </c>
      <c r="BL83" s="15">
        <v>10847994</v>
      </c>
      <c r="BM83" s="15">
        <v>1730720</v>
      </c>
      <c r="BN83" s="15">
        <v>1480466</v>
      </c>
      <c r="BO83" s="15">
        <v>139514</v>
      </c>
      <c r="BP83" s="15">
        <v>284974</v>
      </c>
      <c r="BQ83" s="15">
        <v>1052220</v>
      </c>
      <c r="BR83" s="15">
        <v>766879</v>
      </c>
    </row>
    <row r="84" spans="38:70" x14ac:dyDescent="0.25">
      <c r="AL84" s="4"/>
      <c r="AN84" s="4"/>
      <c r="AO84" s="4">
        <v>41305</v>
      </c>
      <c r="AP84" s="15">
        <v>102.86799999999999</v>
      </c>
      <c r="AQ84" s="15">
        <v>1.2</v>
      </c>
      <c r="AR84" s="15">
        <v>9</v>
      </c>
      <c r="AS84" s="4">
        <v>41305</v>
      </c>
      <c r="AT84" s="15">
        <v>1961.94</v>
      </c>
      <c r="AU84" s="15">
        <v>99.9</v>
      </c>
      <c r="AV84" s="4">
        <v>41305</v>
      </c>
      <c r="AW84" s="15">
        <v>376.2</v>
      </c>
      <c r="AX84" s="15">
        <v>45673109</v>
      </c>
      <c r="AY84" s="15">
        <v>45296942</v>
      </c>
      <c r="AZ84" s="4">
        <v>41305</v>
      </c>
      <c r="BA84" s="15">
        <v>851.3</v>
      </c>
      <c r="BB84" s="15">
        <v>-2.8571428571428599</v>
      </c>
      <c r="BC84" s="15">
        <v>3.2</v>
      </c>
      <c r="BD84" s="4">
        <v>41305</v>
      </c>
      <c r="BE84" s="15">
        <v>97.751000000000005</v>
      </c>
      <c r="BF84" s="15">
        <v>1.6291690925725768</v>
      </c>
      <c r="BG84" s="4">
        <v>41305</v>
      </c>
      <c r="BH84" s="8">
        <v>69</v>
      </c>
      <c r="BI84" s="15">
        <v>70</v>
      </c>
      <c r="BJ84" s="15">
        <v>49</v>
      </c>
      <c r="BK84" s="4">
        <v>43084</v>
      </c>
      <c r="BL84" s="15">
        <v>10766472</v>
      </c>
      <c r="BM84" s="15">
        <v>1731471</v>
      </c>
      <c r="BN84" s="15">
        <v>1468481</v>
      </c>
      <c r="BO84" s="15">
        <v>140632</v>
      </c>
      <c r="BP84" s="15">
        <v>287800</v>
      </c>
      <c r="BQ84" s="15">
        <v>1124389</v>
      </c>
      <c r="BR84" s="15">
        <v>749660</v>
      </c>
    </row>
    <row r="85" spans="38:70" x14ac:dyDescent="0.25">
      <c r="AL85" s="4"/>
      <c r="AN85" s="4"/>
      <c r="AO85" s="4">
        <v>41274</v>
      </c>
      <c r="AP85" s="15">
        <v>102.035</v>
      </c>
      <c r="AQ85" s="15">
        <v>-0.3</v>
      </c>
      <c r="AR85" s="15">
        <v>0.1</v>
      </c>
      <c r="AS85" s="4">
        <v>41271</v>
      </c>
      <c r="AT85" s="15">
        <v>1997.05</v>
      </c>
      <c r="AU85" s="15">
        <v>100</v>
      </c>
      <c r="AV85" s="4">
        <v>41274</v>
      </c>
      <c r="AW85" s="15">
        <v>1806.2</v>
      </c>
      <c r="AX85" s="15">
        <v>44875311</v>
      </c>
      <c r="AY85" s="15">
        <v>43069109</v>
      </c>
      <c r="AZ85" s="4">
        <v>41274</v>
      </c>
      <c r="BA85" s="15">
        <v>741</v>
      </c>
      <c r="BB85" s="15">
        <v>-3.3333333333333361</v>
      </c>
      <c r="BC85" s="15">
        <v>3.1</v>
      </c>
      <c r="BD85" s="4">
        <v>41274</v>
      </c>
      <c r="BE85" s="15">
        <v>97.168000000000006</v>
      </c>
      <c r="BF85" s="15">
        <v>1.4258574977557874</v>
      </c>
      <c r="BG85" s="4">
        <v>41274</v>
      </c>
      <c r="BH85" s="8">
        <v>68</v>
      </c>
      <c r="BI85" s="15">
        <v>68</v>
      </c>
      <c r="BJ85" s="15">
        <v>57</v>
      </c>
      <c r="BK85" s="4">
        <v>43077</v>
      </c>
      <c r="BL85" s="15">
        <v>10753213</v>
      </c>
      <c r="BM85" s="15">
        <v>1717556</v>
      </c>
      <c r="BN85" s="15">
        <v>1498293</v>
      </c>
      <c r="BO85" s="15">
        <v>145409</v>
      </c>
      <c r="BP85" s="15">
        <v>288885</v>
      </c>
      <c r="BQ85" s="15">
        <v>1146483</v>
      </c>
      <c r="BR85" s="15">
        <v>739210</v>
      </c>
    </row>
    <row r="86" spans="38:70" x14ac:dyDescent="0.25">
      <c r="AL86" s="4"/>
      <c r="AN86" s="4"/>
      <c r="AO86" s="4">
        <v>41243</v>
      </c>
      <c r="AP86" s="15">
        <v>104.163</v>
      </c>
      <c r="AQ86" s="15">
        <v>1.2</v>
      </c>
      <c r="AR86" s="15">
        <v>3</v>
      </c>
      <c r="AS86" s="4">
        <v>41243</v>
      </c>
      <c r="AT86" s="15">
        <v>1932.9</v>
      </c>
      <c r="AU86" s="15">
        <v>100</v>
      </c>
      <c r="AV86" s="4">
        <v>41243</v>
      </c>
      <c r="AW86" s="15">
        <v>4423.7</v>
      </c>
      <c r="AX86" s="15">
        <v>47805246</v>
      </c>
      <c r="AY86" s="15">
        <v>43381537</v>
      </c>
      <c r="AZ86" s="4">
        <v>41243</v>
      </c>
      <c r="BA86" s="15">
        <v>713.9</v>
      </c>
      <c r="BB86" s="15">
        <v>-3.4482758620689689</v>
      </c>
      <c r="BC86" s="15">
        <v>3.1</v>
      </c>
      <c r="BD86" s="4">
        <v>41243</v>
      </c>
      <c r="BE86" s="15">
        <v>96.995000000000005</v>
      </c>
      <c r="BF86" s="15">
        <v>1.6314256375867076</v>
      </c>
      <c r="BG86" s="4">
        <v>41243</v>
      </c>
      <c r="BH86" s="8">
        <v>66</v>
      </c>
      <c r="BI86" s="15">
        <v>67</v>
      </c>
      <c r="BJ86" s="15">
        <v>49</v>
      </c>
      <c r="BK86" s="4">
        <v>43070</v>
      </c>
      <c r="BL86" s="15">
        <v>10754434</v>
      </c>
      <c r="BM86" s="15">
        <v>1714917</v>
      </c>
      <c r="BN86" s="15">
        <v>1464306</v>
      </c>
      <c r="BO86" s="15">
        <v>145676</v>
      </c>
      <c r="BP86" s="15">
        <v>289052</v>
      </c>
      <c r="BQ86" s="15">
        <v>1148082</v>
      </c>
      <c r="BR86" s="15">
        <v>733681</v>
      </c>
    </row>
    <row r="87" spans="38:70" x14ac:dyDescent="0.25">
      <c r="AL87" s="4"/>
      <c r="AN87" s="4"/>
      <c r="AO87" s="4">
        <v>41213</v>
      </c>
      <c r="AP87" s="15">
        <v>100.648</v>
      </c>
      <c r="AQ87" s="15">
        <v>1.9</v>
      </c>
      <c r="AR87" s="15">
        <v>-0.8</v>
      </c>
      <c r="AS87" s="4">
        <v>41213</v>
      </c>
      <c r="AT87" s="15">
        <v>1912.06</v>
      </c>
      <c r="AU87" s="15">
        <v>99.8</v>
      </c>
      <c r="AV87" s="4">
        <v>41213</v>
      </c>
      <c r="AW87" s="15">
        <v>3707.9</v>
      </c>
      <c r="AX87" s="15">
        <v>47087760</v>
      </c>
      <c r="AY87" s="15">
        <v>43379893</v>
      </c>
      <c r="AZ87" s="4">
        <v>41213</v>
      </c>
      <c r="BA87" s="15">
        <v>722.1</v>
      </c>
      <c r="BB87" s="15">
        <v>-3.4482758620689689</v>
      </c>
      <c r="BC87" s="15">
        <v>3.1</v>
      </c>
      <c r="BD87" s="4">
        <v>41213</v>
      </c>
      <c r="BE87" s="15">
        <v>97.340999999999994</v>
      </c>
      <c r="BF87" s="15">
        <v>2.0913085886289027</v>
      </c>
      <c r="BG87" s="4">
        <v>41213</v>
      </c>
      <c r="BH87" s="8">
        <v>68</v>
      </c>
      <c r="BI87" s="15">
        <v>68</v>
      </c>
      <c r="BJ87" s="15">
        <v>55</v>
      </c>
      <c r="BK87" s="4">
        <v>43063</v>
      </c>
      <c r="BL87" s="15">
        <v>10796532</v>
      </c>
      <c r="BM87" s="15">
        <v>1724781</v>
      </c>
      <c r="BN87" s="15">
        <v>1477629</v>
      </c>
      <c r="BO87" s="15">
        <v>137907</v>
      </c>
      <c r="BP87" s="15">
        <v>288610</v>
      </c>
      <c r="BQ87" s="15">
        <v>1189434</v>
      </c>
      <c r="BR87" s="15">
        <v>731627</v>
      </c>
    </row>
    <row r="88" spans="38:70" x14ac:dyDescent="0.25">
      <c r="AL88" s="4"/>
      <c r="AN88" s="4"/>
      <c r="AO88" s="4">
        <v>41182</v>
      </c>
      <c r="AP88" s="15">
        <v>96.855000000000004</v>
      </c>
      <c r="AQ88" s="15">
        <v>1.3</v>
      </c>
      <c r="AR88" s="15">
        <v>0.3</v>
      </c>
      <c r="AS88" s="4">
        <v>41180</v>
      </c>
      <c r="AT88" s="15">
        <v>1996.21</v>
      </c>
      <c r="AU88" s="15">
        <v>100.1</v>
      </c>
      <c r="AV88" s="4">
        <v>41182</v>
      </c>
      <c r="AW88" s="15">
        <v>2853</v>
      </c>
      <c r="AX88" s="15">
        <v>45412538</v>
      </c>
      <c r="AY88" s="15">
        <v>42559535</v>
      </c>
      <c r="AZ88" s="4">
        <v>41182</v>
      </c>
      <c r="BA88" s="15">
        <v>757.3</v>
      </c>
      <c r="BB88" s="15">
        <v>-3.3333333333333361</v>
      </c>
      <c r="BC88" s="15">
        <v>3.2</v>
      </c>
      <c r="BD88" s="4">
        <v>41182</v>
      </c>
      <c r="BE88" s="15">
        <v>97.522999999999996</v>
      </c>
      <c r="BF88" s="15">
        <v>2.0873242680233228</v>
      </c>
      <c r="BG88" s="4">
        <v>41182</v>
      </c>
      <c r="BH88" s="8">
        <v>68</v>
      </c>
      <c r="BI88" s="15">
        <v>69</v>
      </c>
      <c r="BJ88" s="15">
        <v>56</v>
      </c>
      <c r="BK88" s="4">
        <v>43056</v>
      </c>
      <c r="BL88" s="15">
        <v>10739284</v>
      </c>
      <c r="BM88" s="15">
        <v>1710215</v>
      </c>
      <c r="BN88" s="15">
        <v>1465574</v>
      </c>
      <c r="BO88" s="15">
        <v>139460</v>
      </c>
      <c r="BP88" s="15">
        <v>290182</v>
      </c>
      <c r="BQ88" s="15">
        <v>1203920</v>
      </c>
      <c r="BR88" s="15">
        <v>731364</v>
      </c>
    </row>
    <row r="89" spans="38:70" x14ac:dyDescent="0.25">
      <c r="AL89" s="4"/>
      <c r="AN89" s="4"/>
      <c r="AO89" s="4">
        <v>41152</v>
      </c>
      <c r="AP89" s="15">
        <v>92.784000000000006</v>
      </c>
      <c r="AQ89" s="15">
        <v>-1.5</v>
      </c>
      <c r="AR89" s="15">
        <v>-1.3</v>
      </c>
      <c r="AS89" s="4">
        <v>41152</v>
      </c>
      <c r="AT89" s="15">
        <v>1905.12</v>
      </c>
      <c r="AU89" s="15">
        <v>100.2</v>
      </c>
      <c r="AV89" s="4">
        <v>41152</v>
      </c>
      <c r="AW89" s="15">
        <v>1929.5</v>
      </c>
      <c r="AX89" s="15">
        <v>43045181</v>
      </c>
      <c r="AY89" s="15">
        <v>41115675</v>
      </c>
      <c r="AZ89" s="4">
        <v>41152</v>
      </c>
      <c r="BA89" s="15">
        <v>770.2</v>
      </c>
      <c r="BB89" s="15">
        <v>0</v>
      </c>
      <c r="BC89" s="15">
        <v>3.1</v>
      </c>
      <c r="BD89" s="4">
        <v>41152</v>
      </c>
      <c r="BE89" s="15">
        <v>96.831000000000003</v>
      </c>
      <c r="BF89" s="15">
        <v>1.2664714494875533</v>
      </c>
      <c r="BG89" s="4">
        <v>41152</v>
      </c>
      <c r="BH89" s="8">
        <v>69</v>
      </c>
      <c r="BI89" s="15">
        <v>72</v>
      </c>
      <c r="BJ89" s="15">
        <v>52</v>
      </c>
      <c r="BK89" s="4">
        <v>43049</v>
      </c>
      <c r="BL89" s="15">
        <v>10701585</v>
      </c>
      <c r="BM89" s="15">
        <v>1708977</v>
      </c>
      <c r="BN89" s="15">
        <v>1480918</v>
      </c>
      <c r="BO89" s="15">
        <v>134917</v>
      </c>
      <c r="BP89" s="15">
        <v>289903</v>
      </c>
      <c r="BQ89" s="15">
        <v>1201015</v>
      </c>
      <c r="BR89" s="15">
        <v>722503</v>
      </c>
    </row>
    <row r="90" spans="38:70" x14ac:dyDescent="0.25">
      <c r="AL90" s="4"/>
      <c r="AN90" s="4"/>
      <c r="AO90" s="4">
        <v>41121</v>
      </c>
      <c r="AP90" s="15">
        <v>98.057000000000002</v>
      </c>
      <c r="AQ90" s="15">
        <v>-0.8</v>
      </c>
      <c r="AR90" s="15">
        <v>0</v>
      </c>
      <c r="AS90" s="4">
        <v>41121</v>
      </c>
      <c r="AT90" s="15">
        <v>1881.99</v>
      </c>
      <c r="AU90" s="15">
        <v>100.7</v>
      </c>
      <c r="AV90" s="4">
        <v>41121</v>
      </c>
      <c r="AW90" s="15">
        <v>2690.8</v>
      </c>
      <c r="AX90" s="15">
        <v>44667681</v>
      </c>
      <c r="AY90" s="15">
        <v>41976900</v>
      </c>
      <c r="AZ90" s="4">
        <v>41121</v>
      </c>
      <c r="BA90" s="15">
        <v>803</v>
      </c>
      <c r="BB90" s="15">
        <v>-6.0606060606060534</v>
      </c>
      <c r="BC90" s="15">
        <v>3.1</v>
      </c>
      <c r="BD90" s="4">
        <v>41121</v>
      </c>
      <c r="BE90" s="15">
        <v>96.385000000000005</v>
      </c>
      <c r="BF90" s="15">
        <v>1.4771219810069336</v>
      </c>
      <c r="BG90" s="4">
        <v>41121</v>
      </c>
      <c r="BH90" s="8">
        <v>69</v>
      </c>
      <c r="BI90" s="15">
        <v>71</v>
      </c>
      <c r="BJ90" s="15">
        <v>55</v>
      </c>
      <c r="BK90" s="4">
        <v>43042</v>
      </c>
      <c r="BL90" s="15">
        <v>10685833</v>
      </c>
      <c r="BM90" s="15">
        <v>1679881</v>
      </c>
      <c r="BN90" s="15">
        <v>1491585</v>
      </c>
      <c r="BO90" s="15">
        <v>141179</v>
      </c>
      <c r="BP90" s="15">
        <v>290606</v>
      </c>
      <c r="BQ90" s="15">
        <v>1213364</v>
      </c>
      <c r="BR90" s="15">
        <v>723667</v>
      </c>
    </row>
    <row r="91" spans="38:70" x14ac:dyDescent="0.25">
      <c r="AL91" s="4"/>
      <c r="AN91" s="4"/>
      <c r="AO91" s="4">
        <v>41090</v>
      </c>
      <c r="AP91" s="15">
        <v>101.018</v>
      </c>
      <c r="AQ91" s="15">
        <v>-2.1</v>
      </c>
      <c r="AR91" s="15">
        <v>0.7</v>
      </c>
      <c r="AS91" s="4">
        <v>41089</v>
      </c>
      <c r="AT91" s="15">
        <v>1854.01</v>
      </c>
      <c r="AU91" s="15">
        <v>100.5</v>
      </c>
      <c r="AV91" s="4">
        <v>41090</v>
      </c>
      <c r="AW91" s="15">
        <v>5169</v>
      </c>
      <c r="AX91" s="15">
        <v>47162605</v>
      </c>
      <c r="AY91" s="15">
        <v>41993629</v>
      </c>
      <c r="AZ91" s="4">
        <v>41090</v>
      </c>
      <c r="BA91" s="15">
        <v>829.7</v>
      </c>
      <c r="BB91" s="15">
        <v>-3.0303030303030196</v>
      </c>
      <c r="BC91" s="15">
        <v>3.2</v>
      </c>
      <c r="BD91" s="4">
        <v>41090</v>
      </c>
      <c r="BE91" s="15">
        <v>96.602999999999994</v>
      </c>
      <c r="BF91" s="15">
        <v>2.1961979117077588</v>
      </c>
      <c r="BG91" s="4">
        <v>41090</v>
      </c>
      <c r="BH91" s="8">
        <v>78</v>
      </c>
      <c r="BI91" s="15">
        <v>82</v>
      </c>
      <c r="BJ91" s="15">
        <v>62</v>
      </c>
      <c r="BK91" s="4">
        <v>43035</v>
      </c>
      <c r="BL91" s="15">
        <v>10673971</v>
      </c>
      <c r="BM91" s="15">
        <v>1730128</v>
      </c>
      <c r="BN91" s="15">
        <v>1497716</v>
      </c>
      <c r="BO91" s="15">
        <v>144509</v>
      </c>
      <c r="BP91" s="15">
        <v>292601</v>
      </c>
      <c r="BQ91" s="15">
        <v>1170942</v>
      </c>
      <c r="BR91" s="15">
        <v>721328</v>
      </c>
    </row>
    <row r="92" spans="38:70" x14ac:dyDescent="0.25">
      <c r="AL92" s="4"/>
      <c r="AN92" s="4"/>
      <c r="AO92" s="4">
        <v>41060</v>
      </c>
      <c r="AP92" s="15">
        <v>102.405</v>
      </c>
      <c r="AQ92" s="15">
        <v>1.1000000000000001</v>
      </c>
      <c r="AR92" s="15">
        <v>3.3</v>
      </c>
      <c r="AS92" s="4">
        <v>41060</v>
      </c>
      <c r="AT92" s="15">
        <v>1843.47</v>
      </c>
      <c r="AU92" s="15">
        <v>100.5</v>
      </c>
      <c r="AV92" s="4">
        <v>41060</v>
      </c>
      <c r="AW92" s="15">
        <v>2392</v>
      </c>
      <c r="AX92" s="15">
        <v>46872357</v>
      </c>
      <c r="AY92" s="15">
        <v>44480339</v>
      </c>
      <c r="AZ92" s="4">
        <v>41060</v>
      </c>
      <c r="BA92" s="15">
        <v>812.1</v>
      </c>
      <c r="BB92" s="15">
        <v>-3.1250000000000027</v>
      </c>
      <c r="BC92" s="15">
        <v>3.2</v>
      </c>
      <c r="BD92" s="4">
        <v>41060</v>
      </c>
      <c r="BE92" s="15">
        <v>96.74</v>
      </c>
      <c r="BF92" s="15">
        <v>2.5385553023477621</v>
      </c>
      <c r="BG92" s="4">
        <v>41060</v>
      </c>
      <c r="BH92" s="8">
        <v>82</v>
      </c>
      <c r="BI92" s="15">
        <v>83</v>
      </c>
      <c r="BJ92" s="15">
        <v>67</v>
      </c>
      <c r="BK92" s="4">
        <v>43028</v>
      </c>
      <c r="BL92" s="15">
        <v>10680560</v>
      </c>
      <c r="BM92" s="15">
        <v>1757848</v>
      </c>
      <c r="BN92" s="15">
        <v>1498308</v>
      </c>
      <c r="BO92" s="15">
        <v>135408</v>
      </c>
      <c r="BP92" s="15">
        <v>293719</v>
      </c>
      <c r="BQ92" s="15">
        <v>1204053</v>
      </c>
      <c r="BR92" s="15">
        <v>718050</v>
      </c>
    </row>
    <row r="93" spans="38:70" x14ac:dyDescent="0.25">
      <c r="AL93" s="4"/>
      <c r="AN93" s="4"/>
      <c r="AO93" s="4">
        <v>41029</v>
      </c>
      <c r="AP93" s="15">
        <v>98.796999999999997</v>
      </c>
      <c r="AQ93" s="15">
        <v>1</v>
      </c>
      <c r="AR93" s="15">
        <v>0</v>
      </c>
      <c r="AS93" s="4">
        <v>41029</v>
      </c>
      <c r="AT93" s="15">
        <v>1981.99</v>
      </c>
      <c r="AU93" s="15">
        <v>100.6</v>
      </c>
      <c r="AV93" s="4">
        <v>41029</v>
      </c>
      <c r="AW93" s="15">
        <v>2137.6</v>
      </c>
      <c r="AX93" s="15">
        <v>46094754</v>
      </c>
      <c r="AY93" s="15">
        <v>43957176</v>
      </c>
      <c r="AZ93" s="4">
        <v>41029</v>
      </c>
      <c r="BA93" s="15">
        <v>901.2</v>
      </c>
      <c r="BB93" s="15">
        <v>-5.4054054054054097</v>
      </c>
      <c r="BC93" s="15">
        <v>3.3</v>
      </c>
      <c r="BD93" s="4">
        <v>41029</v>
      </c>
      <c r="BE93" s="15">
        <v>96.566999999999993</v>
      </c>
      <c r="BF93" s="15">
        <v>2.5530197636014105</v>
      </c>
      <c r="BG93" s="4">
        <v>41029</v>
      </c>
      <c r="BH93" s="8">
        <v>82</v>
      </c>
      <c r="BI93" s="15">
        <v>86</v>
      </c>
      <c r="BJ93" s="15">
        <v>73</v>
      </c>
      <c r="BK93" s="4">
        <v>43021</v>
      </c>
      <c r="BL93" s="15">
        <v>10618906</v>
      </c>
      <c r="BM93" s="15">
        <v>1747959</v>
      </c>
      <c r="BN93" s="15">
        <v>1494943</v>
      </c>
      <c r="BO93" s="15">
        <v>143832</v>
      </c>
      <c r="BP93" s="15">
        <v>295115</v>
      </c>
      <c r="BQ93" s="15">
        <v>1161926</v>
      </c>
      <c r="BR93" s="15">
        <v>717887</v>
      </c>
    </row>
    <row r="94" spans="38:70" x14ac:dyDescent="0.25">
      <c r="AL94" s="4"/>
      <c r="AN94" s="4"/>
      <c r="AO94" s="4">
        <v>40999</v>
      </c>
      <c r="AP94" s="15">
        <v>103.238</v>
      </c>
      <c r="AQ94" s="15">
        <v>-2.5</v>
      </c>
      <c r="AR94" s="15">
        <v>0.9</v>
      </c>
      <c r="AS94" s="4">
        <v>40998</v>
      </c>
      <c r="AT94" s="15">
        <v>2014.04</v>
      </c>
      <c r="AU94" s="15">
        <v>100.7</v>
      </c>
      <c r="AV94" s="4">
        <v>40999</v>
      </c>
      <c r="AW94" s="15">
        <v>2276.4</v>
      </c>
      <c r="AX94" s="15">
        <v>47329817</v>
      </c>
      <c r="AY94" s="15">
        <v>45053406</v>
      </c>
      <c r="AZ94" s="4">
        <v>40999</v>
      </c>
      <c r="BA94" s="15">
        <v>952.6</v>
      </c>
      <c r="BB94" s="15">
        <v>-13.953488372093014</v>
      </c>
      <c r="BC94" s="15">
        <v>3.3</v>
      </c>
      <c r="BD94" s="4">
        <v>40999</v>
      </c>
      <c r="BE94" s="15">
        <v>96.575999999999993</v>
      </c>
      <c r="BF94" s="15">
        <v>2.6617909686197705</v>
      </c>
      <c r="BG94" s="4">
        <v>40999</v>
      </c>
      <c r="BH94" s="8">
        <v>81</v>
      </c>
      <c r="BI94" s="15">
        <v>84</v>
      </c>
      <c r="BJ94" s="15">
        <v>70</v>
      </c>
      <c r="BK94" s="4">
        <v>43014</v>
      </c>
      <c r="BL94" s="15">
        <v>10757740</v>
      </c>
      <c r="BM94" s="15">
        <v>1743471</v>
      </c>
      <c r="BN94" s="15">
        <v>1469927</v>
      </c>
      <c r="BO94" s="15">
        <v>137935</v>
      </c>
      <c r="BP94" s="15">
        <v>295253</v>
      </c>
      <c r="BQ94" s="15">
        <v>1070185</v>
      </c>
      <c r="BR94" s="15">
        <v>715570</v>
      </c>
    </row>
    <row r="95" spans="38:70" x14ac:dyDescent="0.25">
      <c r="AL95" s="4"/>
      <c r="AN95" s="4"/>
      <c r="AO95" s="4">
        <v>40968</v>
      </c>
      <c r="AP95" s="15">
        <v>98.15</v>
      </c>
      <c r="AQ95" s="15">
        <v>2.2999999999999998</v>
      </c>
      <c r="AR95" s="15">
        <v>15.3</v>
      </c>
      <c r="AS95" s="4">
        <v>40968</v>
      </c>
      <c r="AT95" s="15">
        <v>2030.25</v>
      </c>
      <c r="AU95" s="15">
        <v>100.7</v>
      </c>
      <c r="AV95" s="4">
        <v>40968</v>
      </c>
      <c r="AW95" s="15">
        <v>1216.2</v>
      </c>
      <c r="AX95" s="15">
        <v>46316184</v>
      </c>
      <c r="AY95" s="15">
        <v>45099984</v>
      </c>
      <c r="AZ95" s="4">
        <v>40968</v>
      </c>
      <c r="BA95" s="15">
        <v>1049.5999999999999</v>
      </c>
      <c r="BB95" s="15">
        <v>-6.6666666666666625</v>
      </c>
      <c r="BC95" s="15">
        <v>3.4</v>
      </c>
      <c r="BD95" s="4">
        <v>40968</v>
      </c>
      <c r="BE95" s="15">
        <v>96.549000000000007</v>
      </c>
      <c r="BF95" s="15">
        <v>3.0328577374155752</v>
      </c>
      <c r="BG95" s="4">
        <v>40968</v>
      </c>
      <c r="BH95" s="8">
        <v>79</v>
      </c>
      <c r="BI95" s="15">
        <v>82</v>
      </c>
      <c r="BJ95" s="15">
        <v>72</v>
      </c>
      <c r="BK95" s="4">
        <v>43007</v>
      </c>
      <c r="BL95" s="15">
        <v>10757740</v>
      </c>
      <c r="BM95" s="15">
        <v>1743471</v>
      </c>
      <c r="BN95" s="15">
        <v>1469927</v>
      </c>
      <c r="BO95" s="15">
        <v>137935</v>
      </c>
      <c r="BP95" s="15">
        <v>295253</v>
      </c>
      <c r="BQ95" s="15">
        <v>1070185</v>
      </c>
      <c r="BR95" s="15">
        <v>715570</v>
      </c>
    </row>
    <row r="96" spans="38:70" x14ac:dyDescent="0.25">
      <c r="AL96" s="4"/>
      <c r="AN96" s="4"/>
      <c r="AO96" s="4">
        <v>40939</v>
      </c>
      <c r="AP96" s="15">
        <v>94.356999999999999</v>
      </c>
      <c r="AQ96" s="15">
        <v>2.9</v>
      </c>
      <c r="AR96" s="15">
        <v>-3.1</v>
      </c>
      <c r="AS96" s="4">
        <v>40939</v>
      </c>
      <c r="AT96" s="15">
        <v>1955.79</v>
      </c>
      <c r="AU96" s="15">
        <v>100.3</v>
      </c>
      <c r="AV96" s="4">
        <v>40939</v>
      </c>
      <c r="AW96" s="15">
        <v>-2316.9</v>
      </c>
      <c r="AX96" s="15">
        <v>41200358</v>
      </c>
      <c r="AY96" s="15">
        <v>43517291</v>
      </c>
      <c r="AZ96" s="4">
        <v>40939</v>
      </c>
      <c r="BA96" s="15">
        <v>860.1</v>
      </c>
      <c r="BB96" s="15">
        <v>-7.8947368421052584</v>
      </c>
      <c r="BC96" s="15">
        <v>3.3</v>
      </c>
      <c r="BD96" s="4">
        <v>40939</v>
      </c>
      <c r="BE96" s="15">
        <v>96.183999999999997</v>
      </c>
      <c r="BF96" s="15">
        <v>3.3458687009777637</v>
      </c>
      <c r="BG96" s="4">
        <v>40939</v>
      </c>
      <c r="BH96" s="8">
        <v>78</v>
      </c>
      <c r="BI96" s="15">
        <v>80</v>
      </c>
      <c r="BJ96" s="15">
        <v>67</v>
      </c>
      <c r="BK96" s="4">
        <v>43000</v>
      </c>
      <c r="BL96" s="15">
        <v>10666673</v>
      </c>
      <c r="BM96" s="15">
        <v>1689058</v>
      </c>
      <c r="BN96" s="15">
        <v>1483217</v>
      </c>
      <c r="BO96" s="15">
        <v>139372</v>
      </c>
      <c r="BP96" s="15">
        <v>293349</v>
      </c>
      <c r="BQ96" s="15">
        <v>1156927</v>
      </c>
      <c r="BR96" s="15">
        <v>708852</v>
      </c>
    </row>
    <row r="97" spans="38:70" x14ac:dyDescent="0.25">
      <c r="AL97" s="4"/>
      <c r="AN97" s="4"/>
      <c r="AO97" s="4">
        <v>40908</v>
      </c>
      <c r="AP97" s="15">
        <v>101.943</v>
      </c>
      <c r="AQ97" s="15">
        <v>-1.6</v>
      </c>
      <c r="AR97" s="15">
        <v>2.2999999999999998</v>
      </c>
      <c r="AS97" s="4">
        <v>40906</v>
      </c>
      <c r="AT97" s="15">
        <v>1825.74</v>
      </c>
      <c r="AU97" s="15">
        <v>100.5</v>
      </c>
      <c r="AV97" s="4">
        <v>40908</v>
      </c>
      <c r="AW97" s="15">
        <v>2255.3000000000002</v>
      </c>
      <c r="AX97" s="15">
        <v>47743725</v>
      </c>
      <c r="AY97" s="15">
        <v>45488471</v>
      </c>
      <c r="AZ97" s="4">
        <v>40908</v>
      </c>
      <c r="BA97" s="15">
        <v>760.5</v>
      </c>
      <c r="BB97" s="15">
        <v>-14.285714285714285</v>
      </c>
      <c r="BC97" s="15">
        <v>3.2</v>
      </c>
      <c r="BD97" s="4">
        <v>40908</v>
      </c>
      <c r="BE97" s="15">
        <v>95.802000000000007</v>
      </c>
      <c r="BF97" s="15">
        <v>4.1586483577416118</v>
      </c>
      <c r="BG97" s="4">
        <v>40908</v>
      </c>
      <c r="BH97" s="8">
        <v>81</v>
      </c>
      <c r="BI97" s="15">
        <v>82</v>
      </c>
      <c r="BJ97" s="15">
        <v>68</v>
      </c>
      <c r="BK97" s="4">
        <v>42993</v>
      </c>
      <c r="BL97" s="15">
        <v>10595040</v>
      </c>
      <c r="BM97" s="15">
        <v>1698778</v>
      </c>
      <c r="BN97" s="15">
        <v>1501808</v>
      </c>
      <c r="BO97" s="15">
        <v>138879</v>
      </c>
      <c r="BP97" s="15">
        <v>297045</v>
      </c>
      <c r="BQ97" s="15">
        <v>1230502</v>
      </c>
      <c r="BR97" s="15">
        <v>701882</v>
      </c>
    </row>
    <row r="98" spans="38:70" x14ac:dyDescent="0.25">
      <c r="AL98" s="4"/>
      <c r="AN98" s="4"/>
      <c r="AO98" s="4">
        <v>40877</v>
      </c>
      <c r="AP98" s="15">
        <v>101.11</v>
      </c>
      <c r="AQ98" s="15">
        <v>-1.3</v>
      </c>
      <c r="AR98" s="15">
        <v>3.7</v>
      </c>
      <c r="AS98" s="4">
        <v>40877</v>
      </c>
      <c r="AT98" s="15">
        <v>1847.51</v>
      </c>
      <c r="AU98" s="15">
        <v>100.6</v>
      </c>
      <c r="AV98" s="4">
        <v>40877</v>
      </c>
      <c r="AW98" s="15">
        <v>3002.1</v>
      </c>
      <c r="AX98" s="15">
        <v>46012595</v>
      </c>
      <c r="AY98" s="15">
        <v>43010481</v>
      </c>
      <c r="AZ98" s="4">
        <v>40877</v>
      </c>
      <c r="BA98" s="15">
        <v>735.1</v>
      </c>
      <c r="BB98" s="15">
        <v>-3.3333333333333361</v>
      </c>
      <c r="BC98" s="15">
        <v>3.2</v>
      </c>
      <c r="BD98" s="4">
        <v>40877</v>
      </c>
      <c r="BE98" s="15">
        <v>95.438000000000002</v>
      </c>
      <c r="BF98" s="15">
        <v>4.175171645945448</v>
      </c>
      <c r="BG98" s="4">
        <v>40877</v>
      </c>
      <c r="BH98" s="8">
        <v>80</v>
      </c>
      <c r="BI98" s="15">
        <v>85</v>
      </c>
      <c r="BJ98" s="15">
        <v>64</v>
      </c>
      <c r="BK98" s="4">
        <v>42986</v>
      </c>
      <c r="BL98" s="15">
        <v>10545917</v>
      </c>
      <c r="BM98" s="15">
        <v>1653059</v>
      </c>
      <c r="BN98" s="15">
        <v>1483942</v>
      </c>
      <c r="BO98" s="15">
        <v>142589</v>
      </c>
      <c r="BP98" s="15">
        <v>298796</v>
      </c>
      <c r="BQ98" s="15">
        <v>1213363</v>
      </c>
      <c r="BR98" s="15">
        <v>701909</v>
      </c>
    </row>
    <row r="99" spans="38:70" x14ac:dyDescent="0.25">
      <c r="AL99" s="4"/>
      <c r="AN99" s="4"/>
      <c r="AO99" s="4">
        <v>40847</v>
      </c>
      <c r="AP99" s="15">
        <v>101.48</v>
      </c>
      <c r="AQ99" s="15">
        <v>0.5</v>
      </c>
      <c r="AR99" s="15">
        <v>4.3</v>
      </c>
      <c r="AS99" s="4">
        <v>40847</v>
      </c>
      <c r="AT99" s="15">
        <v>1909.03</v>
      </c>
      <c r="AU99" s="15">
        <v>100.9</v>
      </c>
      <c r="AV99" s="4">
        <v>40847</v>
      </c>
      <c r="AW99" s="15">
        <v>3903.7</v>
      </c>
      <c r="AX99" s="15">
        <v>46613480</v>
      </c>
      <c r="AY99" s="15">
        <v>42709770</v>
      </c>
      <c r="AZ99" s="4">
        <v>40847</v>
      </c>
      <c r="BA99" s="15">
        <v>744.8</v>
      </c>
      <c r="BB99" s="15">
        <v>-12.121212121212119</v>
      </c>
      <c r="BC99" s="15">
        <v>3.2</v>
      </c>
      <c r="BD99" s="4">
        <v>40847</v>
      </c>
      <c r="BE99" s="15">
        <v>95.346999999999994</v>
      </c>
      <c r="BF99" s="15">
        <v>3.5614980232002393</v>
      </c>
      <c r="BG99" s="4">
        <v>40847</v>
      </c>
      <c r="BH99" s="8">
        <v>82</v>
      </c>
      <c r="BI99" s="15">
        <v>85</v>
      </c>
      <c r="BJ99" s="15">
        <v>61</v>
      </c>
      <c r="BK99" s="4">
        <v>42979</v>
      </c>
      <c r="BL99" s="15">
        <v>10524278</v>
      </c>
      <c r="BM99" s="15">
        <v>1658672</v>
      </c>
      <c r="BN99" s="15">
        <v>1500609</v>
      </c>
      <c r="BO99" s="15">
        <v>142398</v>
      </c>
      <c r="BP99" s="15">
        <v>298873</v>
      </c>
      <c r="BQ99" s="15">
        <v>1222394</v>
      </c>
      <c r="BR99" s="15">
        <v>698658</v>
      </c>
    </row>
    <row r="100" spans="38:70" x14ac:dyDescent="0.25">
      <c r="AL100" s="4"/>
      <c r="AN100" s="4"/>
      <c r="AO100" s="4">
        <v>40816</v>
      </c>
      <c r="AP100" s="15">
        <v>96.576999999999998</v>
      </c>
      <c r="AQ100" s="15">
        <v>0.8</v>
      </c>
      <c r="AR100" s="15">
        <v>7.1</v>
      </c>
      <c r="AS100" s="4">
        <v>40816</v>
      </c>
      <c r="AT100" s="15">
        <v>1769.65</v>
      </c>
      <c r="AU100" s="15">
        <v>100.8</v>
      </c>
      <c r="AV100" s="4">
        <v>40816</v>
      </c>
      <c r="AW100" s="15">
        <v>1231.5</v>
      </c>
      <c r="AX100" s="15">
        <v>46510965</v>
      </c>
      <c r="AY100" s="15">
        <v>45279469</v>
      </c>
      <c r="AZ100" s="4">
        <v>40816</v>
      </c>
      <c r="BA100" s="15">
        <v>768</v>
      </c>
      <c r="BB100" s="15">
        <v>-11.764705882352938</v>
      </c>
      <c r="BC100" s="15">
        <v>3.3</v>
      </c>
      <c r="BD100" s="4">
        <v>40816</v>
      </c>
      <c r="BE100" s="15">
        <v>95.528999999999996</v>
      </c>
      <c r="BF100" s="15">
        <v>3.7591779988703986</v>
      </c>
      <c r="BG100" s="4">
        <v>40816</v>
      </c>
      <c r="BH100" s="8">
        <v>82</v>
      </c>
      <c r="BI100" s="15">
        <v>84</v>
      </c>
      <c r="BJ100" s="15">
        <v>64</v>
      </c>
      <c r="BK100" s="4">
        <v>42972</v>
      </c>
      <c r="BL100" s="15">
        <v>10544358</v>
      </c>
      <c r="BM100" s="15">
        <v>1717492</v>
      </c>
      <c r="BN100" s="15">
        <v>1492006</v>
      </c>
      <c r="BO100" s="15">
        <v>137367</v>
      </c>
      <c r="BP100" s="15">
        <v>298243</v>
      </c>
      <c r="BQ100" s="15">
        <v>1271199</v>
      </c>
      <c r="BR100" s="15">
        <v>698681</v>
      </c>
    </row>
    <row r="101" spans="38:70" x14ac:dyDescent="0.25">
      <c r="AL101" s="4"/>
      <c r="AN101" s="4"/>
      <c r="AO101" s="4">
        <v>40786</v>
      </c>
      <c r="AP101" s="15">
        <v>93.986999999999995</v>
      </c>
      <c r="AQ101" s="15">
        <v>-0.3</v>
      </c>
      <c r="AR101" s="15">
        <v>5.3</v>
      </c>
      <c r="AS101" s="4">
        <v>40786</v>
      </c>
      <c r="AT101" s="15">
        <v>1880.11</v>
      </c>
      <c r="AU101" s="15">
        <v>101.2</v>
      </c>
      <c r="AV101" s="4">
        <v>40786</v>
      </c>
      <c r="AW101" s="15">
        <v>410.4</v>
      </c>
      <c r="AX101" s="15">
        <v>45792061</v>
      </c>
      <c r="AY101" s="15">
        <v>45381680</v>
      </c>
      <c r="AZ101" s="4">
        <v>40786</v>
      </c>
      <c r="BA101" s="15">
        <v>772.3</v>
      </c>
      <c r="BB101" s="15">
        <v>-9.0909090909090864</v>
      </c>
      <c r="BC101" s="15">
        <v>3.2</v>
      </c>
      <c r="BD101" s="4">
        <v>40786</v>
      </c>
      <c r="BE101" s="15">
        <v>95.62</v>
      </c>
      <c r="BF101" s="15">
        <v>4.6857893584409904</v>
      </c>
      <c r="BG101" s="4">
        <v>40786</v>
      </c>
      <c r="BH101" s="8">
        <v>81</v>
      </c>
      <c r="BI101" s="15">
        <v>84</v>
      </c>
      <c r="BJ101" s="15">
        <v>65</v>
      </c>
      <c r="BK101" s="4">
        <v>42965</v>
      </c>
      <c r="BL101" s="15">
        <v>10552826</v>
      </c>
      <c r="BM101" s="15">
        <v>1661899</v>
      </c>
      <c r="BN101" s="15">
        <v>1478653</v>
      </c>
      <c r="BO101" s="15">
        <v>139545</v>
      </c>
      <c r="BP101" s="15">
        <v>295393</v>
      </c>
      <c r="BQ101" s="15">
        <v>1292714</v>
      </c>
      <c r="BR101" s="15">
        <v>698465</v>
      </c>
    </row>
    <row r="102" spans="38:70" x14ac:dyDescent="0.25">
      <c r="AL102" s="4"/>
      <c r="AN102" s="4"/>
      <c r="AO102" s="4">
        <v>40755</v>
      </c>
      <c r="AP102" s="15">
        <v>98.057000000000002</v>
      </c>
      <c r="AQ102" s="15">
        <v>0</v>
      </c>
      <c r="AR102" s="15">
        <v>3.7</v>
      </c>
      <c r="AS102" s="4">
        <v>40753</v>
      </c>
      <c r="AT102" s="15">
        <v>2133.21</v>
      </c>
      <c r="AU102" s="15">
        <v>101</v>
      </c>
      <c r="AV102" s="4">
        <v>40755</v>
      </c>
      <c r="AW102" s="15">
        <v>4654</v>
      </c>
      <c r="AX102" s="15">
        <v>48950113</v>
      </c>
      <c r="AY102" s="15">
        <v>44296129</v>
      </c>
      <c r="AZ102" s="4">
        <v>40755</v>
      </c>
      <c r="BA102" s="15">
        <v>847</v>
      </c>
      <c r="BB102" s="15">
        <v>-10.810810810810819</v>
      </c>
      <c r="BC102" s="15">
        <v>3.3</v>
      </c>
      <c r="BD102" s="4">
        <v>40755</v>
      </c>
      <c r="BE102" s="15">
        <v>94.981999999999999</v>
      </c>
      <c r="BF102" s="15">
        <v>4.5090444962809721</v>
      </c>
      <c r="BG102" s="4">
        <v>40755</v>
      </c>
      <c r="BH102" s="8">
        <v>87</v>
      </c>
      <c r="BI102" s="15">
        <v>92</v>
      </c>
      <c r="BJ102" s="15">
        <v>64</v>
      </c>
      <c r="BK102" s="4">
        <v>42958</v>
      </c>
      <c r="BL102" s="15">
        <v>10511744</v>
      </c>
      <c r="BM102" s="15">
        <v>1651801</v>
      </c>
      <c r="BN102" s="15">
        <v>1489030</v>
      </c>
      <c r="BO102" s="15">
        <v>141393</v>
      </c>
      <c r="BP102" s="15">
        <v>296047</v>
      </c>
      <c r="BQ102" s="15">
        <v>1293829</v>
      </c>
      <c r="BR102" s="15">
        <v>691170</v>
      </c>
    </row>
    <row r="103" spans="38:70" x14ac:dyDescent="0.25">
      <c r="AL103" s="4"/>
      <c r="AN103" s="4"/>
      <c r="AO103" s="4">
        <v>40724</v>
      </c>
      <c r="AP103" s="15">
        <v>100.27800000000001</v>
      </c>
      <c r="AQ103" s="15">
        <v>0.5</v>
      </c>
      <c r="AR103" s="15">
        <v>6</v>
      </c>
      <c r="AS103" s="4">
        <v>40724</v>
      </c>
      <c r="AT103" s="15">
        <v>2100.69</v>
      </c>
      <c r="AU103" s="15">
        <v>101</v>
      </c>
      <c r="AV103" s="4">
        <v>40724</v>
      </c>
      <c r="AW103" s="15">
        <v>1912.1</v>
      </c>
      <c r="AX103" s="15">
        <v>46736893</v>
      </c>
      <c r="AY103" s="15">
        <v>44824772</v>
      </c>
      <c r="AZ103" s="4">
        <v>40724</v>
      </c>
      <c r="BA103" s="15">
        <v>847.9</v>
      </c>
      <c r="BB103" s="15">
        <v>-5.7142857142857197</v>
      </c>
      <c r="BC103" s="15">
        <v>3.3</v>
      </c>
      <c r="BD103" s="4">
        <v>40724</v>
      </c>
      <c r="BE103" s="15">
        <v>94.527000000000001</v>
      </c>
      <c r="BF103" s="15">
        <v>4.2171065687636471</v>
      </c>
      <c r="BG103" s="4">
        <v>40724</v>
      </c>
      <c r="BH103" s="8">
        <v>88</v>
      </c>
      <c r="BI103" s="15">
        <v>93</v>
      </c>
      <c r="BJ103" s="15">
        <v>58</v>
      </c>
      <c r="BK103" s="4">
        <v>42951</v>
      </c>
      <c r="BL103" s="15">
        <v>10470798</v>
      </c>
      <c r="BM103" s="15">
        <v>1606519</v>
      </c>
      <c r="BN103" s="15">
        <v>1501947</v>
      </c>
      <c r="BO103" s="15">
        <v>142563</v>
      </c>
      <c r="BP103" s="15">
        <v>295581</v>
      </c>
      <c r="BQ103" s="15">
        <v>1342129</v>
      </c>
      <c r="BR103" s="15">
        <v>697285</v>
      </c>
    </row>
    <row r="104" spans="38:70" x14ac:dyDescent="0.25">
      <c r="AL104" s="4"/>
      <c r="AN104" s="4"/>
      <c r="AO104" s="4">
        <v>40694</v>
      </c>
      <c r="AP104" s="15">
        <v>99.167000000000002</v>
      </c>
      <c r="AQ104" s="15">
        <v>1</v>
      </c>
      <c r="AR104" s="15">
        <v>7.1</v>
      </c>
      <c r="AS104" s="4">
        <v>40694</v>
      </c>
      <c r="AT104" s="15">
        <v>2142.4699999999998</v>
      </c>
      <c r="AU104" s="15">
        <v>100.7</v>
      </c>
      <c r="AV104" s="4">
        <v>40694</v>
      </c>
      <c r="AW104" s="15">
        <v>2046.4</v>
      </c>
      <c r="AX104" s="15">
        <v>47331329</v>
      </c>
      <c r="AY104" s="15">
        <v>45284932</v>
      </c>
      <c r="AZ104" s="4">
        <v>40694</v>
      </c>
      <c r="BA104" s="15">
        <v>824.5</v>
      </c>
      <c r="BB104" s="15">
        <v>0</v>
      </c>
      <c r="BC104" s="15">
        <v>3.3</v>
      </c>
      <c r="BD104" s="4">
        <v>40694</v>
      </c>
      <c r="BE104" s="15">
        <v>94.344999999999999</v>
      </c>
      <c r="BF104" s="15">
        <v>3.9121958741312572</v>
      </c>
      <c r="BG104" s="4">
        <v>40694</v>
      </c>
      <c r="BH104" s="8">
        <v>90</v>
      </c>
      <c r="BI104" s="15">
        <v>96</v>
      </c>
      <c r="BJ104" s="15">
        <v>55</v>
      </c>
      <c r="BK104" s="4">
        <v>42944</v>
      </c>
      <c r="BL104" s="15">
        <v>10438327</v>
      </c>
      <c r="BM104" s="15">
        <v>1618396</v>
      </c>
      <c r="BN104" s="15">
        <v>1475385</v>
      </c>
      <c r="BO104" s="15">
        <v>144580</v>
      </c>
      <c r="BP104" s="15">
        <v>296508</v>
      </c>
      <c r="BQ104" s="15">
        <v>1330558</v>
      </c>
      <c r="BR104" s="15">
        <v>697249</v>
      </c>
    </row>
    <row r="105" spans="38:70" x14ac:dyDescent="0.25">
      <c r="AL105" s="4"/>
      <c r="AN105" s="4"/>
      <c r="AO105" s="4">
        <v>40663</v>
      </c>
      <c r="AP105" s="15">
        <v>98.796999999999997</v>
      </c>
      <c r="AQ105" s="15">
        <v>-1.3</v>
      </c>
      <c r="AR105" s="15">
        <v>5.5</v>
      </c>
      <c r="AS105" s="4">
        <v>40662</v>
      </c>
      <c r="AT105" s="15">
        <v>2192.36</v>
      </c>
      <c r="AU105" s="15">
        <v>100.4</v>
      </c>
      <c r="AV105" s="4">
        <v>40663</v>
      </c>
      <c r="AW105" s="15">
        <v>4348.2</v>
      </c>
      <c r="AX105" s="15">
        <v>48536725</v>
      </c>
      <c r="AY105" s="15">
        <v>44188522</v>
      </c>
      <c r="AZ105" s="4">
        <v>40663</v>
      </c>
      <c r="BA105" s="15">
        <v>943.9</v>
      </c>
      <c r="BB105" s="15">
        <v>0</v>
      </c>
      <c r="BC105" s="15">
        <v>3.5</v>
      </c>
      <c r="BD105" s="4">
        <v>40663</v>
      </c>
      <c r="BE105" s="15">
        <v>94.162999999999997</v>
      </c>
      <c r="BF105" s="15">
        <v>3.8157923750303175</v>
      </c>
      <c r="BG105" s="4">
        <v>40663</v>
      </c>
      <c r="BH105" s="8">
        <v>92</v>
      </c>
      <c r="BI105" s="15">
        <v>99</v>
      </c>
      <c r="BJ105" s="15">
        <v>64</v>
      </c>
      <c r="BK105" s="4">
        <v>42937</v>
      </c>
      <c r="BL105" s="15">
        <v>10527686</v>
      </c>
      <c r="BM105" s="15">
        <v>1649122</v>
      </c>
      <c r="BN105" s="15">
        <v>1511065</v>
      </c>
      <c r="BO105" s="15">
        <v>141243</v>
      </c>
      <c r="BP105" s="15">
        <v>297699</v>
      </c>
      <c r="BQ105" s="15">
        <v>1233657</v>
      </c>
      <c r="BR105" s="15">
        <v>694545</v>
      </c>
    </row>
    <row r="106" spans="38:70" x14ac:dyDescent="0.25">
      <c r="AL106" s="4"/>
      <c r="AN106" s="4"/>
      <c r="AO106" s="4">
        <v>40633</v>
      </c>
      <c r="AP106" s="15">
        <v>102.313</v>
      </c>
      <c r="AQ106" s="15">
        <v>2.6</v>
      </c>
      <c r="AR106" s="15">
        <v>8.8000000000000007</v>
      </c>
      <c r="AS106" s="4">
        <v>40633</v>
      </c>
      <c r="AT106" s="15">
        <v>2106.6999999999998</v>
      </c>
      <c r="AU106" s="15">
        <v>100.7</v>
      </c>
      <c r="AV106" s="4">
        <v>40633</v>
      </c>
      <c r="AW106" s="15">
        <v>2487</v>
      </c>
      <c r="AX106" s="15">
        <v>48052991</v>
      </c>
      <c r="AY106" s="15">
        <v>45565952</v>
      </c>
      <c r="AZ106" s="4">
        <v>40633</v>
      </c>
      <c r="BA106" s="15">
        <v>1078.7</v>
      </c>
      <c r="BB106" s="15">
        <v>4.8780487804878101</v>
      </c>
      <c r="BC106" s="15">
        <v>3.8</v>
      </c>
      <c r="BD106" s="4">
        <v>40633</v>
      </c>
      <c r="BE106" s="15">
        <v>94.072000000000003</v>
      </c>
      <c r="BF106" s="15">
        <v>4.1333658039806158</v>
      </c>
      <c r="BG106" s="4">
        <v>40633</v>
      </c>
      <c r="BH106" s="8">
        <v>87</v>
      </c>
      <c r="BI106" s="15">
        <v>95</v>
      </c>
      <c r="BJ106" s="15">
        <v>67</v>
      </c>
      <c r="BK106" s="4">
        <v>42930</v>
      </c>
      <c r="BL106" s="15">
        <v>10464282</v>
      </c>
      <c r="BM106" s="15">
        <v>1682092</v>
      </c>
      <c r="BN106" s="15">
        <v>1499874</v>
      </c>
      <c r="BO106" s="15">
        <v>137402</v>
      </c>
      <c r="BP106" s="15">
        <v>300735</v>
      </c>
      <c r="BQ106" s="15">
        <v>1256451</v>
      </c>
      <c r="BR106" s="15">
        <v>688973</v>
      </c>
    </row>
    <row r="107" spans="38:70" x14ac:dyDescent="0.25">
      <c r="AL107" s="4"/>
      <c r="AO107" s="4">
        <v>40602</v>
      </c>
      <c r="AP107" s="15">
        <v>85.105999999999995</v>
      </c>
      <c r="AQ107" s="15">
        <v>-3.1</v>
      </c>
      <c r="AR107" s="15">
        <v>6.9</v>
      </c>
      <c r="AS107" s="4">
        <v>40602</v>
      </c>
      <c r="AT107" s="15">
        <v>1939.3</v>
      </c>
      <c r="AU107" s="15">
        <v>100.6</v>
      </c>
      <c r="AV107" s="4">
        <v>40602</v>
      </c>
      <c r="AW107" s="15">
        <v>2065.8000000000002</v>
      </c>
      <c r="AX107" s="15">
        <v>38467412</v>
      </c>
      <c r="AY107" s="15">
        <v>36401588</v>
      </c>
      <c r="AZ107" s="4">
        <v>40602</v>
      </c>
      <c r="BA107" s="15">
        <v>1104.3</v>
      </c>
      <c r="BB107" s="15">
        <v>-6.2499999999999964</v>
      </c>
      <c r="BC107" s="15">
        <v>3.7</v>
      </c>
      <c r="BD107" s="4">
        <v>40602</v>
      </c>
      <c r="BE107" s="15">
        <v>93.706999999999994</v>
      </c>
      <c r="BF107" s="15">
        <v>3.9387284262833173</v>
      </c>
      <c r="BG107" s="4">
        <v>40602</v>
      </c>
      <c r="BH107" s="8">
        <v>84</v>
      </c>
      <c r="BI107" s="15">
        <v>89</v>
      </c>
      <c r="BJ107" s="15">
        <v>61</v>
      </c>
      <c r="BK107" s="4">
        <v>42923</v>
      </c>
      <c r="BL107" s="15">
        <v>10467483</v>
      </c>
      <c r="BM107" s="15">
        <v>1663685</v>
      </c>
      <c r="BN107" s="15">
        <v>1496256</v>
      </c>
      <c r="BO107" s="15">
        <v>141216</v>
      </c>
      <c r="BP107" s="15">
        <v>301275</v>
      </c>
      <c r="BQ107" s="15">
        <v>1219125</v>
      </c>
      <c r="BR107" s="15">
        <v>688341</v>
      </c>
    </row>
    <row r="108" spans="38:70" x14ac:dyDescent="0.25">
      <c r="AL108" s="4"/>
      <c r="AO108" s="4">
        <v>40574</v>
      </c>
      <c r="AP108" s="15">
        <v>97.41</v>
      </c>
      <c r="AQ108" s="15">
        <v>3</v>
      </c>
      <c r="AR108" s="15">
        <v>11.9</v>
      </c>
      <c r="AS108" s="4">
        <v>40574</v>
      </c>
      <c r="AT108" s="15">
        <v>2069.73</v>
      </c>
      <c r="AU108" s="15">
        <v>100.7</v>
      </c>
      <c r="AV108" s="4">
        <v>40574</v>
      </c>
      <c r="AW108" s="15">
        <v>2484</v>
      </c>
      <c r="AX108" s="15">
        <v>44465366</v>
      </c>
      <c r="AY108" s="15">
        <v>41981323</v>
      </c>
      <c r="AZ108" s="4">
        <v>40574</v>
      </c>
      <c r="BA108" s="15">
        <v>923.5</v>
      </c>
      <c r="BB108" s="15">
        <v>-24.000000000000004</v>
      </c>
      <c r="BC108" s="15">
        <v>3.6</v>
      </c>
      <c r="BD108" s="4">
        <v>40574</v>
      </c>
      <c r="BE108" s="15">
        <v>93.07</v>
      </c>
      <c r="BF108" s="15">
        <v>3.4409940649520854</v>
      </c>
      <c r="BG108" s="4">
        <v>40574</v>
      </c>
      <c r="BH108" s="8">
        <v>87</v>
      </c>
      <c r="BI108" s="15">
        <v>93</v>
      </c>
      <c r="BJ108" s="15">
        <v>64</v>
      </c>
      <c r="BK108" s="4">
        <v>42916</v>
      </c>
      <c r="BL108" s="15">
        <v>10504424</v>
      </c>
      <c r="BM108" s="15">
        <v>1696735</v>
      </c>
      <c r="BN108" s="15">
        <v>1483697</v>
      </c>
      <c r="BO108" s="15">
        <v>135189</v>
      </c>
      <c r="BP108" s="15">
        <v>301877</v>
      </c>
      <c r="BQ108" s="15">
        <v>1102843</v>
      </c>
      <c r="BR108" s="15">
        <v>690361</v>
      </c>
    </row>
    <row r="109" spans="38:70" x14ac:dyDescent="0.25">
      <c r="AL109" s="4"/>
      <c r="AO109" s="4">
        <v>40543</v>
      </c>
      <c r="AP109" s="15">
        <v>99.63</v>
      </c>
      <c r="AQ109" s="15">
        <v>1.6</v>
      </c>
      <c r="AR109" s="15">
        <v>11.2</v>
      </c>
      <c r="AS109" s="4">
        <v>40542</v>
      </c>
      <c r="AT109" s="15">
        <v>2051</v>
      </c>
      <c r="AU109" s="15">
        <v>100</v>
      </c>
      <c r="AV109" s="4">
        <v>40543</v>
      </c>
      <c r="AW109" s="15">
        <v>4088.6</v>
      </c>
      <c r="AX109" s="15">
        <v>44145320</v>
      </c>
      <c r="AY109" s="15">
        <v>40056714</v>
      </c>
      <c r="AZ109" s="4">
        <v>40543</v>
      </c>
      <c r="BA109" s="15">
        <v>858.9</v>
      </c>
      <c r="BB109" s="15">
        <v>0</v>
      </c>
      <c r="BC109" s="15">
        <v>3.7</v>
      </c>
      <c r="BD109" s="4">
        <v>40543</v>
      </c>
      <c r="BE109" s="15">
        <v>91.977000000000004</v>
      </c>
      <c r="BF109" s="15">
        <v>3.0335278764184634</v>
      </c>
      <c r="BG109" s="4">
        <v>40543</v>
      </c>
      <c r="BH109" s="8">
        <v>90</v>
      </c>
      <c r="BI109" s="15">
        <v>95</v>
      </c>
      <c r="BJ109" s="15">
        <v>67</v>
      </c>
      <c r="BK109" s="4">
        <v>42909</v>
      </c>
      <c r="BL109" s="15">
        <v>10458114</v>
      </c>
      <c r="BM109" s="15">
        <v>1708876</v>
      </c>
      <c r="BN109" s="15">
        <v>1473063</v>
      </c>
      <c r="BO109" s="15">
        <v>137034</v>
      </c>
      <c r="BP109" s="15">
        <v>302502</v>
      </c>
      <c r="BQ109" s="15">
        <v>1244808</v>
      </c>
      <c r="BR109" s="15">
        <v>680610</v>
      </c>
    </row>
    <row r="110" spans="38:70" x14ac:dyDescent="0.25">
      <c r="AL110" s="4"/>
      <c r="AO110" s="4">
        <v>40512</v>
      </c>
      <c r="AP110" s="15">
        <v>97.501999999999995</v>
      </c>
      <c r="AQ110" s="15">
        <v>0.9</v>
      </c>
      <c r="AR110" s="15">
        <v>12.2</v>
      </c>
      <c r="AS110" s="4">
        <v>40512</v>
      </c>
      <c r="AT110" s="15">
        <v>1904.63</v>
      </c>
      <c r="AU110" s="15">
        <v>99.8</v>
      </c>
      <c r="AV110" s="4">
        <v>40512</v>
      </c>
      <c r="AW110" s="15">
        <v>2591.6</v>
      </c>
      <c r="AX110" s="15">
        <v>41260912</v>
      </c>
      <c r="AY110" s="15">
        <v>38669304</v>
      </c>
      <c r="AZ110" s="4">
        <v>40512</v>
      </c>
      <c r="BA110" s="15">
        <v>744.9</v>
      </c>
      <c r="BB110" s="15">
        <v>-9.0909090909090864</v>
      </c>
      <c r="BC110" s="15">
        <v>3.3</v>
      </c>
      <c r="BD110" s="4">
        <v>40512</v>
      </c>
      <c r="BE110" s="15">
        <v>91.613</v>
      </c>
      <c r="BF110" s="15">
        <v>2.9880276544320177</v>
      </c>
      <c r="BG110" s="4">
        <v>40512</v>
      </c>
      <c r="BH110" s="8">
        <v>90</v>
      </c>
      <c r="BI110" s="15">
        <v>94</v>
      </c>
      <c r="BJ110" s="15">
        <v>65</v>
      </c>
      <c r="BK110" s="4">
        <v>42902</v>
      </c>
      <c r="BL110" s="15">
        <v>10394842</v>
      </c>
      <c r="BM110" s="15">
        <v>1661616</v>
      </c>
      <c r="BN110" s="15">
        <v>1525060</v>
      </c>
      <c r="BO110" s="15">
        <v>140842</v>
      </c>
      <c r="BP110" s="15">
        <v>303337</v>
      </c>
      <c r="BQ110" s="15">
        <v>1293651</v>
      </c>
      <c r="BR110" s="15">
        <v>681219</v>
      </c>
    </row>
    <row r="111" spans="38:70" x14ac:dyDescent="0.25">
      <c r="AL111" s="4"/>
      <c r="AO111" s="4">
        <v>40482</v>
      </c>
      <c r="AP111" s="15">
        <v>97.316999999999993</v>
      </c>
      <c r="AQ111" s="15">
        <v>-0.2</v>
      </c>
      <c r="AR111" s="15">
        <v>14.3</v>
      </c>
      <c r="AS111" s="4">
        <v>40480</v>
      </c>
      <c r="AT111" s="15">
        <v>1882.95</v>
      </c>
      <c r="AU111" s="15">
        <v>99.8</v>
      </c>
      <c r="AV111" s="4">
        <v>40482</v>
      </c>
      <c r="AW111" s="15">
        <v>6339.2</v>
      </c>
      <c r="AX111" s="15">
        <v>43340335</v>
      </c>
      <c r="AY111" s="15">
        <v>37001095</v>
      </c>
      <c r="AZ111" s="4">
        <v>40482</v>
      </c>
      <c r="BA111" s="15">
        <v>838</v>
      </c>
      <c r="BB111" s="15">
        <v>3.1249999999999889</v>
      </c>
      <c r="BC111" s="15">
        <v>3.6</v>
      </c>
      <c r="BD111" s="4">
        <v>40482</v>
      </c>
      <c r="BE111" s="15">
        <v>92.067999999999998</v>
      </c>
      <c r="BF111" s="15">
        <v>3.6825153719678325</v>
      </c>
      <c r="BG111" s="4">
        <v>40482</v>
      </c>
      <c r="BH111" s="8">
        <v>89</v>
      </c>
      <c r="BI111" s="15">
        <v>95</v>
      </c>
      <c r="BJ111" s="15">
        <v>69</v>
      </c>
      <c r="BK111" s="4">
        <v>42895</v>
      </c>
      <c r="BL111" s="15">
        <v>10368347</v>
      </c>
      <c r="BM111" s="15">
        <v>1652025</v>
      </c>
      <c r="BN111" s="15">
        <v>1511458</v>
      </c>
      <c r="BO111" s="15">
        <v>142137</v>
      </c>
      <c r="BP111" s="15">
        <v>304972</v>
      </c>
      <c r="BQ111" s="15">
        <v>1270675</v>
      </c>
      <c r="BR111" s="15">
        <v>680539</v>
      </c>
    </row>
    <row r="112" spans="38:70" x14ac:dyDescent="0.25">
      <c r="AL112" s="4"/>
      <c r="AO112" s="4">
        <v>40451</v>
      </c>
      <c r="AP112" s="15">
        <v>90.194000000000003</v>
      </c>
      <c r="AQ112" s="15">
        <v>0.7</v>
      </c>
      <c r="AR112" s="15">
        <v>1.7</v>
      </c>
      <c r="AS112" s="4">
        <v>40451</v>
      </c>
      <c r="AT112" s="15">
        <v>1872.81</v>
      </c>
      <c r="AU112" s="15">
        <v>100.2</v>
      </c>
      <c r="AV112" s="4">
        <v>40451</v>
      </c>
      <c r="AW112" s="15">
        <v>4409.1000000000004</v>
      </c>
      <c r="AX112" s="15">
        <v>39410882</v>
      </c>
      <c r="AY112" s="15">
        <v>35001780</v>
      </c>
      <c r="AZ112" s="4">
        <v>40451</v>
      </c>
      <c r="BA112" s="15">
        <v>863.8</v>
      </c>
      <c r="BB112" s="15">
        <v>3.0303030303030329</v>
      </c>
      <c r="BC112" s="15">
        <v>3.7</v>
      </c>
      <c r="BD112" s="4">
        <v>40451</v>
      </c>
      <c r="BE112" s="15">
        <v>92.067999999999998</v>
      </c>
      <c r="BF112" s="15">
        <v>3.4076869510523973</v>
      </c>
      <c r="BG112" s="4">
        <v>40451</v>
      </c>
      <c r="BH112" s="8">
        <v>88</v>
      </c>
      <c r="BI112" s="15">
        <v>93</v>
      </c>
      <c r="BJ112" s="15">
        <v>62</v>
      </c>
      <c r="BK112" s="4">
        <v>42888</v>
      </c>
      <c r="BL112" s="15">
        <v>10338739</v>
      </c>
      <c r="BM112" s="15">
        <v>1623678</v>
      </c>
      <c r="BN112" s="15">
        <v>1513636</v>
      </c>
      <c r="BO112" s="15">
        <v>139479</v>
      </c>
      <c r="BP112" s="15">
        <v>306546</v>
      </c>
      <c r="BQ112" s="15">
        <v>1269960</v>
      </c>
      <c r="BR112" s="15">
        <v>685571</v>
      </c>
    </row>
    <row r="113" spans="38:70" x14ac:dyDescent="0.25">
      <c r="AL113" s="4"/>
      <c r="AO113" s="4">
        <v>40421</v>
      </c>
      <c r="AP113" s="15">
        <v>89.269000000000005</v>
      </c>
      <c r="AQ113" s="15">
        <v>-0.5</v>
      </c>
      <c r="AR113" s="15">
        <v>14</v>
      </c>
      <c r="AS113" s="4">
        <v>40421</v>
      </c>
      <c r="AT113" s="15">
        <v>1742.75</v>
      </c>
      <c r="AU113" s="15">
        <v>100.6</v>
      </c>
      <c r="AV113" s="4">
        <v>40421</v>
      </c>
      <c r="AW113" s="15">
        <v>1206</v>
      </c>
      <c r="AX113" s="15">
        <v>36480955</v>
      </c>
      <c r="AY113" s="15">
        <v>35274964</v>
      </c>
      <c r="AZ113" s="4">
        <v>40421</v>
      </c>
      <c r="BA113" s="15">
        <v>836.2</v>
      </c>
      <c r="BB113" s="15">
        <v>-10.810810810810819</v>
      </c>
      <c r="BC113" s="15">
        <v>3.5</v>
      </c>
      <c r="BD113" s="4">
        <v>40421</v>
      </c>
      <c r="BE113" s="15">
        <v>91.34</v>
      </c>
      <c r="BF113" s="15">
        <v>2.6811309088865216</v>
      </c>
      <c r="BG113" s="4">
        <v>40421</v>
      </c>
      <c r="BH113" s="8">
        <v>88</v>
      </c>
      <c r="BI113" s="15">
        <v>96</v>
      </c>
      <c r="BJ113" s="15">
        <v>54</v>
      </c>
      <c r="BK113" s="4">
        <v>42881</v>
      </c>
      <c r="BL113" s="15">
        <v>10358872</v>
      </c>
      <c r="BM113" s="15">
        <v>1642361</v>
      </c>
      <c r="BN113" s="15">
        <v>1501757</v>
      </c>
      <c r="BO113" s="15">
        <v>142815</v>
      </c>
      <c r="BP113" s="15">
        <v>316538</v>
      </c>
      <c r="BQ113" s="15">
        <v>1312784</v>
      </c>
      <c r="BR113" s="15">
        <v>692813</v>
      </c>
    </row>
    <row r="114" spans="38:70" x14ac:dyDescent="0.25">
      <c r="AL114" s="4"/>
      <c r="AO114" s="4">
        <v>40390</v>
      </c>
      <c r="AP114" s="15">
        <v>94.542000000000002</v>
      </c>
      <c r="AQ114" s="15">
        <v>0.7</v>
      </c>
      <c r="AR114" s="15">
        <v>14.1</v>
      </c>
      <c r="AS114" s="4">
        <v>40389</v>
      </c>
      <c r="AT114" s="15">
        <v>1759.33</v>
      </c>
      <c r="AU114" s="15">
        <v>101</v>
      </c>
      <c r="AV114" s="4">
        <v>40390</v>
      </c>
      <c r="AW114" s="15">
        <v>5001.8999999999996</v>
      </c>
      <c r="AX114" s="15">
        <v>40423611</v>
      </c>
      <c r="AY114" s="15">
        <v>35421718</v>
      </c>
      <c r="AZ114" s="4">
        <v>40390</v>
      </c>
      <c r="BA114" s="15">
        <v>935.6</v>
      </c>
      <c r="BB114" s="15">
        <v>0</v>
      </c>
      <c r="BC114" s="15">
        <v>3.7</v>
      </c>
      <c r="BD114" s="4">
        <v>40390</v>
      </c>
      <c r="BE114" s="15">
        <v>90.884</v>
      </c>
      <c r="BF114" s="15">
        <v>2.530431741519156</v>
      </c>
      <c r="BG114" s="4">
        <v>40390</v>
      </c>
      <c r="BH114" s="8">
        <v>93</v>
      </c>
      <c r="BI114" s="15">
        <v>100</v>
      </c>
      <c r="BJ114" s="15">
        <v>70</v>
      </c>
      <c r="BK114" s="4">
        <v>42874</v>
      </c>
      <c r="BL114" s="15">
        <v>10357325</v>
      </c>
      <c r="BM114" s="15">
        <v>1639665</v>
      </c>
      <c r="BN114" s="15">
        <v>1508215</v>
      </c>
      <c r="BO114" s="15">
        <v>136667</v>
      </c>
      <c r="BP114" s="15">
        <v>310058</v>
      </c>
      <c r="BQ114" s="15">
        <v>1366929</v>
      </c>
      <c r="BR114" s="15">
        <v>684348</v>
      </c>
    </row>
    <row r="115" spans="38:70" x14ac:dyDescent="0.25">
      <c r="AL115" s="4"/>
      <c r="AO115" s="4">
        <v>40359</v>
      </c>
      <c r="AP115" s="15">
        <v>94.635000000000005</v>
      </c>
      <c r="AQ115" s="15">
        <v>0.2</v>
      </c>
      <c r="AR115" s="15">
        <v>16</v>
      </c>
      <c r="AS115" s="4">
        <v>40359</v>
      </c>
      <c r="AT115" s="15">
        <v>1698.29</v>
      </c>
      <c r="AU115" s="15">
        <v>100.8</v>
      </c>
      <c r="AV115" s="4">
        <v>40359</v>
      </c>
      <c r="AW115" s="15">
        <v>6794.3</v>
      </c>
      <c r="AX115" s="15">
        <v>42049045</v>
      </c>
      <c r="AY115" s="15">
        <v>35254773</v>
      </c>
      <c r="AZ115" s="4">
        <v>40359</v>
      </c>
      <c r="BA115" s="15">
        <v>878.1</v>
      </c>
      <c r="BB115" s="15">
        <v>-7.8947368421052584</v>
      </c>
      <c r="BC115" s="15">
        <v>3.5</v>
      </c>
      <c r="BD115" s="4">
        <v>40359</v>
      </c>
      <c r="BE115" s="15">
        <v>90.701999999999998</v>
      </c>
      <c r="BF115" s="15">
        <v>2.6888720323343938</v>
      </c>
      <c r="BG115" s="4">
        <v>40359</v>
      </c>
      <c r="BH115" s="8">
        <v>94</v>
      </c>
      <c r="BI115" s="15">
        <v>102</v>
      </c>
      <c r="BJ115" s="15">
        <v>65</v>
      </c>
      <c r="BK115" s="4">
        <v>42867</v>
      </c>
      <c r="BL115" s="15">
        <v>10270545</v>
      </c>
      <c r="BM115" s="15">
        <v>1612822</v>
      </c>
      <c r="BN115" s="15">
        <v>1495727</v>
      </c>
      <c r="BO115" s="15">
        <v>135602</v>
      </c>
      <c r="BP115" s="15">
        <v>312136</v>
      </c>
      <c r="BQ115" s="15">
        <v>1348552</v>
      </c>
      <c r="BR115" s="15">
        <v>692854</v>
      </c>
    </row>
    <row r="116" spans="38:70" x14ac:dyDescent="0.25">
      <c r="AL116" s="4"/>
      <c r="AO116" s="4">
        <v>40329</v>
      </c>
      <c r="AP116" s="15">
        <v>92.599000000000004</v>
      </c>
      <c r="AQ116" s="15">
        <v>1</v>
      </c>
      <c r="AR116" s="15">
        <v>20</v>
      </c>
      <c r="AS116" s="4">
        <v>40329</v>
      </c>
      <c r="AT116" s="15">
        <v>1641.25</v>
      </c>
      <c r="AU116" s="15">
        <v>100.7</v>
      </c>
      <c r="AV116" s="4">
        <v>40329</v>
      </c>
      <c r="AW116" s="15">
        <v>4034.4</v>
      </c>
      <c r="AX116" s="15">
        <v>38887930</v>
      </c>
      <c r="AY116" s="15">
        <v>34853570</v>
      </c>
      <c r="AZ116" s="4">
        <v>40329</v>
      </c>
      <c r="BA116" s="15">
        <v>797.6</v>
      </c>
      <c r="BB116" s="15">
        <v>-15.789473684210517</v>
      </c>
      <c r="BC116" s="15">
        <v>3.2</v>
      </c>
      <c r="BD116" s="4">
        <v>40329</v>
      </c>
      <c r="BE116" s="15">
        <v>90.793000000000006</v>
      </c>
      <c r="BF116" s="15">
        <v>2.7012046829930494</v>
      </c>
      <c r="BG116" s="4">
        <v>40329</v>
      </c>
      <c r="BH116" s="8">
        <v>95</v>
      </c>
      <c r="BI116" s="15">
        <v>102</v>
      </c>
      <c r="BJ116" s="15">
        <v>72</v>
      </c>
      <c r="BK116" s="4">
        <v>42860</v>
      </c>
      <c r="BL116" s="15">
        <v>10245975</v>
      </c>
      <c r="BM116" s="15">
        <v>1580531</v>
      </c>
      <c r="BN116" s="15">
        <v>1494679</v>
      </c>
      <c r="BO116" s="15">
        <v>138816</v>
      </c>
      <c r="BP116" s="15">
        <v>314045</v>
      </c>
      <c r="BQ116" s="15">
        <v>1302296</v>
      </c>
      <c r="BR116" s="15">
        <v>686815</v>
      </c>
    </row>
    <row r="117" spans="38:70" x14ac:dyDescent="0.25">
      <c r="AL117" s="4"/>
      <c r="AO117" s="4">
        <v>40298</v>
      </c>
      <c r="AP117" s="15">
        <v>93.617000000000004</v>
      </c>
      <c r="AQ117" s="15">
        <v>1.6</v>
      </c>
      <c r="AR117" s="15">
        <v>20.2</v>
      </c>
      <c r="AS117" s="4">
        <v>40298</v>
      </c>
      <c r="AT117" s="15">
        <v>1741.56</v>
      </c>
      <c r="AU117" s="15">
        <v>100.4</v>
      </c>
      <c r="AV117" s="4">
        <v>40298</v>
      </c>
      <c r="AW117" s="15">
        <v>3778.6</v>
      </c>
      <c r="AX117" s="15">
        <v>39301014</v>
      </c>
      <c r="AY117" s="15">
        <v>35522367</v>
      </c>
      <c r="AZ117" s="4">
        <v>40298</v>
      </c>
      <c r="BA117" s="15">
        <v>936.1</v>
      </c>
      <c r="BB117" s="15">
        <v>-2.6315789473684119</v>
      </c>
      <c r="BC117" s="15">
        <v>3.6</v>
      </c>
      <c r="BD117" s="4">
        <v>40298</v>
      </c>
      <c r="BE117" s="15">
        <v>90.701999999999998</v>
      </c>
      <c r="BF117" s="15">
        <v>2.598269328657878</v>
      </c>
      <c r="BG117" s="4">
        <v>40298</v>
      </c>
      <c r="BH117" s="8">
        <v>94</v>
      </c>
      <c r="BI117" s="15">
        <v>101</v>
      </c>
      <c r="BJ117" s="15">
        <v>68</v>
      </c>
      <c r="BK117" s="4">
        <v>42853</v>
      </c>
      <c r="BL117" s="15">
        <v>10292770</v>
      </c>
      <c r="BM117" s="15">
        <v>1618802</v>
      </c>
      <c r="BN117" s="15">
        <v>1491439</v>
      </c>
      <c r="BO117" s="15">
        <v>138073</v>
      </c>
      <c r="BP117" s="15">
        <v>315942</v>
      </c>
      <c r="BQ117" s="15">
        <v>1287692</v>
      </c>
      <c r="BR117" s="15">
        <v>685520</v>
      </c>
    </row>
    <row r="118" spans="38:70" x14ac:dyDescent="0.25">
      <c r="AL118" s="4"/>
      <c r="AO118" s="4">
        <v>40268</v>
      </c>
      <c r="AP118" s="15">
        <v>94.08</v>
      </c>
      <c r="AQ118" s="15">
        <v>1.3</v>
      </c>
      <c r="AR118" s="15">
        <v>22.8</v>
      </c>
      <c r="AS118" s="4">
        <v>40268</v>
      </c>
      <c r="AT118" s="15">
        <v>1692.85</v>
      </c>
      <c r="AU118" s="15">
        <v>100.1</v>
      </c>
      <c r="AV118" s="4">
        <v>40268</v>
      </c>
      <c r="AW118" s="15">
        <v>1733.2</v>
      </c>
      <c r="AX118" s="15">
        <v>37308940</v>
      </c>
      <c r="AY118" s="15">
        <v>35575754</v>
      </c>
      <c r="AZ118" s="4">
        <v>40268</v>
      </c>
      <c r="BA118" s="15">
        <v>1007.2</v>
      </c>
      <c r="BB118" s="15">
        <v>2.4999999999999911</v>
      </c>
      <c r="BC118" s="15">
        <v>3.7</v>
      </c>
      <c r="BD118" s="4">
        <v>40268</v>
      </c>
      <c r="BE118" s="15">
        <v>90.337999999999994</v>
      </c>
      <c r="BF118" s="15">
        <v>2.4588862424860976</v>
      </c>
      <c r="BG118" s="4">
        <v>40268</v>
      </c>
      <c r="BH118" s="8">
        <v>89</v>
      </c>
      <c r="BI118" s="15">
        <v>96</v>
      </c>
      <c r="BJ118" s="15">
        <v>69</v>
      </c>
      <c r="BK118" s="4">
        <v>42846</v>
      </c>
      <c r="BL118" s="15">
        <v>10377497</v>
      </c>
      <c r="BM118" s="15">
        <v>1622541</v>
      </c>
      <c r="BN118" s="15">
        <v>1505133</v>
      </c>
      <c r="BO118" s="15">
        <v>136419</v>
      </c>
      <c r="BP118" s="15">
        <v>322538</v>
      </c>
      <c r="BQ118" s="15">
        <v>1343861</v>
      </c>
      <c r="BR118" s="15">
        <v>687130</v>
      </c>
    </row>
    <row r="119" spans="38:70" x14ac:dyDescent="0.25">
      <c r="AL119" s="4"/>
      <c r="AO119" s="4">
        <v>40237</v>
      </c>
      <c r="AP119" s="15">
        <v>79.647999999999996</v>
      </c>
      <c r="AQ119" s="15">
        <v>1.9</v>
      </c>
      <c r="AR119" s="15">
        <v>19</v>
      </c>
      <c r="AS119" s="4">
        <v>40235</v>
      </c>
      <c r="AT119" s="15">
        <v>1594.58</v>
      </c>
      <c r="AU119" s="15">
        <v>99.6</v>
      </c>
      <c r="AV119" s="4">
        <v>40237</v>
      </c>
      <c r="AW119" s="15">
        <v>1995.3</v>
      </c>
      <c r="AX119" s="15">
        <v>33039402</v>
      </c>
      <c r="AY119" s="15">
        <v>31044126</v>
      </c>
      <c r="AZ119" s="4">
        <v>40237</v>
      </c>
      <c r="BA119" s="15">
        <v>1169.5999999999999</v>
      </c>
      <c r="BB119" s="15">
        <v>23.076923076923077</v>
      </c>
      <c r="BC119" s="15">
        <v>4.0999999999999996</v>
      </c>
      <c r="BD119" s="4">
        <v>40237</v>
      </c>
      <c r="BE119" s="15">
        <v>90.156000000000006</v>
      </c>
      <c r="BF119" s="15">
        <v>2.984818889003118</v>
      </c>
      <c r="BG119" s="4">
        <v>40237</v>
      </c>
      <c r="BH119" s="8">
        <v>89</v>
      </c>
      <c r="BI119" s="15">
        <v>92</v>
      </c>
      <c r="BJ119" s="15">
        <v>73</v>
      </c>
      <c r="BK119" s="4">
        <v>42839</v>
      </c>
      <c r="BL119" s="15">
        <v>10339570</v>
      </c>
      <c r="BM119" s="15">
        <v>1622539</v>
      </c>
      <c r="BN119" s="15">
        <v>1493247</v>
      </c>
      <c r="BO119" s="15">
        <v>134443</v>
      </c>
      <c r="BP119" s="15">
        <v>318672</v>
      </c>
      <c r="BQ119" s="15">
        <v>1348619</v>
      </c>
      <c r="BR119" s="15">
        <v>688725</v>
      </c>
    </row>
    <row r="120" spans="38:70" x14ac:dyDescent="0.25">
      <c r="AL120" s="4"/>
      <c r="AO120" s="4">
        <v>40209</v>
      </c>
      <c r="AP120" s="15">
        <v>87.049000000000007</v>
      </c>
      <c r="AQ120" s="15">
        <v>1.3</v>
      </c>
      <c r="AR120" s="15">
        <v>38.700000000000003</v>
      </c>
      <c r="AS120" s="4">
        <v>40207</v>
      </c>
      <c r="AT120" s="15">
        <v>1602.43</v>
      </c>
      <c r="AU120" s="15">
        <v>99.3</v>
      </c>
      <c r="AV120" s="4">
        <v>40209</v>
      </c>
      <c r="AW120" s="15">
        <v>-800.6</v>
      </c>
      <c r="AX120" s="15">
        <v>30735415</v>
      </c>
      <c r="AY120" s="15">
        <v>31535995</v>
      </c>
      <c r="AZ120" s="4">
        <v>40209</v>
      </c>
      <c r="BA120" s="15">
        <v>1217.5999999999999</v>
      </c>
      <c r="BB120" s="15">
        <v>38.888888888888886</v>
      </c>
      <c r="BC120" s="15">
        <v>4.7</v>
      </c>
      <c r="BD120" s="4">
        <v>40209</v>
      </c>
      <c r="BE120" s="15">
        <v>89.974000000000004</v>
      </c>
      <c r="BF120" s="15">
        <v>3.5183395462285509</v>
      </c>
      <c r="BG120" s="4">
        <v>40209</v>
      </c>
      <c r="BH120" s="8">
        <v>89</v>
      </c>
      <c r="BI120" s="15">
        <v>93</v>
      </c>
      <c r="BJ120" s="15">
        <v>76</v>
      </c>
      <c r="BK120" s="4">
        <v>42832</v>
      </c>
      <c r="BL120" s="15">
        <v>10314324</v>
      </c>
      <c r="BM120" s="15">
        <v>1570812</v>
      </c>
      <c r="BN120" s="15">
        <v>1490138</v>
      </c>
      <c r="BO120" s="15">
        <v>132974</v>
      </c>
      <c r="BP120" s="15">
        <v>320009</v>
      </c>
      <c r="BQ120" s="15">
        <v>1314788</v>
      </c>
      <c r="BR120" s="15">
        <v>692686</v>
      </c>
    </row>
    <row r="121" spans="38:70" x14ac:dyDescent="0.25">
      <c r="AL121" s="4"/>
      <c r="AO121" s="4">
        <v>40178</v>
      </c>
      <c r="AP121" s="15">
        <v>89.603999999999999</v>
      </c>
      <c r="AQ121" s="15">
        <v>1.4</v>
      </c>
      <c r="AR121" s="15">
        <v>34.799999999999997</v>
      </c>
      <c r="AS121" s="4">
        <v>40177</v>
      </c>
      <c r="AT121" s="15">
        <v>1682.77</v>
      </c>
      <c r="AU121" s="15">
        <v>99.2</v>
      </c>
      <c r="AV121" s="4">
        <v>40178</v>
      </c>
      <c r="AW121" s="15">
        <v>3089.1</v>
      </c>
      <c r="AX121" s="15">
        <v>36009623</v>
      </c>
      <c r="AY121" s="15">
        <v>32920497</v>
      </c>
      <c r="AZ121" s="4">
        <v>40178</v>
      </c>
      <c r="BA121" s="15">
        <v>838.2</v>
      </c>
      <c r="BB121" s="15">
        <v>6.0606060606060659</v>
      </c>
      <c r="BC121" s="15">
        <v>3.6</v>
      </c>
      <c r="BD121" s="4">
        <v>40178</v>
      </c>
      <c r="BE121" s="15">
        <v>89.269000000000005</v>
      </c>
      <c r="BF121" s="15">
        <v>2.8006494927277568</v>
      </c>
      <c r="BG121" s="4">
        <v>40178</v>
      </c>
      <c r="BH121" s="8">
        <v>89</v>
      </c>
      <c r="BI121" s="15">
        <v>89</v>
      </c>
      <c r="BJ121" s="15">
        <v>81</v>
      </c>
      <c r="BK121" s="4">
        <v>42825</v>
      </c>
      <c r="BL121" s="15">
        <v>10343903</v>
      </c>
      <c r="BM121" s="15">
        <v>1614321</v>
      </c>
      <c r="BN121" s="15">
        <v>1466093</v>
      </c>
      <c r="BO121" s="15">
        <v>138042</v>
      </c>
      <c r="BP121" s="15">
        <v>320468</v>
      </c>
      <c r="BQ121" s="15">
        <v>1182815</v>
      </c>
      <c r="BR121" s="15">
        <v>691864</v>
      </c>
    </row>
    <row r="122" spans="38:70" x14ac:dyDescent="0.25">
      <c r="AL122" s="4"/>
      <c r="AO122" s="4">
        <v>40147</v>
      </c>
      <c r="AP122" s="15">
        <v>86.879000000000005</v>
      </c>
      <c r="AQ122" s="15">
        <v>0.6</v>
      </c>
      <c r="AR122" s="15">
        <v>18.5</v>
      </c>
      <c r="AS122" s="4">
        <v>40147</v>
      </c>
      <c r="AT122" s="15">
        <v>1555.6</v>
      </c>
      <c r="AU122" s="15">
        <v>99.3</v>
      </c>
      <c r="AV122" s="4">
        <v>40147</v>
      </c>
      <c r="AW122" s="15">
        <v>4456.8999999999996</v>
      </c>
      <c r="AX122" s="15">
        <v>33991607</v>
      </c>
      <c r="AY122" s="15">
        <v>29534690</v>
      </c>
      <c r="AZ122" s="4">
        <v>40147</v>
      </c>
      <c r="BA122" s="15">
        <v>824.2</v>
      </c>
      <c r="BB122" s="15">
        <v>9.9999999999999929</v>
      </c>
      <c r="BC122" s="15">
        <v>3.7</v>
      </c>
      <c r="BD122" s="4">
        <v>40147</v>
      </c>
      <c r="BE122" s="15">
        <v>88.954999999999998</v>
      </c>
      <c r="BF122" s="15">
        <v>2.4390524776304972</v>
      </c>
      <c r="BG122" s="4">
        <v>40147</v>
      </c>
      <c r="BH122" s="8">
        <v>85</v>
      </c>
      <c r="BI122" s="15">
        <v>88</v>
      </c>
      <c r="BJ122" s="15">
        <v>77</v>
      </c>
      <c r="BK122" s="4">
        <v>42818</v>
      </c>
      <c r="BL122" s="15">
        <v>10379360</v>
      </c>
      <c r="BM122" s="15">
        <v>1644489</v>
      </c>
      <c r="BN122" s="15">
        <v>1484206</v>
      </c>
      <c r="BO122" s="15">
        <v>134579</v>
      </c>
      <c r="BP122" s="15">
        <v>321534</v>
      </c>
      <c r="BQ122" s="15">
        <v>1256750</v>
      </c>
      <c r="BR122" s="15">
        <v>697506</v>
      </c>
    </row>
    <row r="123" spans="38:70" x14ac:dyDescent="0.25">
      <c r="AL123" s="4"/>
      <c r="AO123" s="4">
        <v>40117</v>
      </c>
      <c r="AP123" s="15">
        <v>85.150999999999996</v>
      </c>
      <c r="AQ123" s="15">
        <v>-1.9</v>
      </c>
      <c r="AR123" s="15">
        <v>1.2</v>
      </c>
      <c r="AS123" s="4">
        <v>40116</v>
      </c>
      <c r="AT123" s="15">
        <v>1580.69</v>
      </c>
      <c r="AU123" s="15">
        <v>99.2</v>
      </c>
      <c r="AV123" s="4">
        <v>40117</v>
      </c>
      <c r="AW123" s="15">
        <v>3573.5</v>
      </c>
      <c r="AX123" s="15">
        <v>33970032</v>
      </c>
      <c r="AY123" s="15">
        <v>30396532</v>
      </c>
      <c r="AZ123" s="4">
        <v>40117</v>
      </c>
      <c r="BA123" s="15">
        <v>803.7</v>
      </c>
      <c r="BB123" s="15">
        <v>6.6666666666666723</v>
      </c>
      <c r="BC123" s="15">
        <v>3.5</v>
      </c>
      <c r="BD123" s="4">
        <v>40117</v>
      </c>
      <c r="BE123" s="15">
        <v>88.798000000000002</v>
      </c>
      <c r="BF123" s="15">
        <v>1.9822675486953316</v>
      </c>
      <c r="BG123" s="4">
        <v>40117</v>
      </c>
      <c r="BH123" s="8">
        <v>88</v>
      </c>
      <c r="BI123" s="15">
        <v>90</v>
      </c>
      <c r="BJ123" s="15">
        <v>84</v>
      </c>
      <c r="BK123" s="4">
        <v>42811</v>
      </c>
      <c r="BL123" s="15">
        <v>10289827</v>
      </c>
      <c r="BM123" s="15">
        <v>1652373</v>
      </c>
      <c r="BN123" s="15">
        <v>1455861</v>
      </c>
      <c r="BO123" s="15">
        <v>137621</v>
      </c>
      <c r="BP123" s="15">
        <v>324870</v>
      </c>
      <c r="BQ123" s="15">
        <v>1263075</v>
      </c>
      <c r="BR123" s="15">
        <v>702780</v>
      </c>
    </row>
    <row r="124" spans="38:70" x14ac:dyDescent="0.25">
      <c r="AL124" s="4"/>
      <c r="AO124" s="4">
        <v>40086</v>
      </c>
      <c r="AP124" s="15">
        <v>88.673000000000002</v>
      </c>
      <c r="AQ124" s="15">
        <v>4.0999999999999996</v>
      </c>
      <c r="AR124" s="15">
        <v>12.1</v>
      </c>
      <c r="AS124" s="4">
        <v>40086</v>
      </c>
      <c r="AT124" s="15">
        <v>1673.14</v>
      </c>
      <c r="AU124" s="15">
        <v>98.9</v>
      </c>
      <c r="AV124" s="4">
        <v>40086</v>
      </c>
      <c r="AW124" s="15">
        <v>4165.3</v>
      </c>
      <c r="AX124" s="15">
        <v>33922429</v>
      </c>
      <c r="AY124" s="15">
        <v>29757140</v>
      </c>
      <c r="AZ124" s="4">
        <v>40086</v>
      </c>
      <c r="BA124" s="15">
        <v>828.6</v>
      </c>
      <c r="BB124" s="15">
        <v>9.9999999999999929</v>
      </c>
      <c r="BC124" s="15">
        <v>3.6</v>
      </c>
      <c r="BD124" s="4">
        <v>40086</v>
      </c>
      <c r="BE124" s="15">
        <v>89.034000000000006</v>
      </c>
      <c r="BF124" s="15">
        <v>2.1606177783387568</v>
      </c>
      <c r="BG124" s="4">
        <v>40086</v>
      </c>
      <c r="BH124" s="8">
        <v>84</v>
      </c>
      <c r="BI124" s="15">
        <v>90</v>
      </c>
      <c r="BJ124" s="15">
        <v>71</v>
      </c>
      <c r="BK124" s="4">
        <v>42804</v>
      </c>
      <c r="BL124" s="15">
        <v>10279843</v>
      </c>
      <c r="BM124" s="15">
        <v>1661356</v>
      </c>
      <c r="BN124" s="15">
        <v>1443130</v>
      </c>
      <c r="BO124" s="15">
        <v>138225</v>
      </c>
      <c r="BP124" s="15">
        <v>326243</v>
      </c>
      <c r="BQ124" s="15">
        <v>1234060</v>
      </c>
      <c r="BR124" s="15">
        <v>707908</v>
      </c>
    </row>
    <row r="125" spans="38:70" x14ac:dyDescent="0.25">
      <c r="AL125" s="4"/>
      <c r="AO125" s="4">
        <v>40056</v>
      </c>
      <c r="AP125" s="15">
        <v>78.304000000000002</v>
      </c>
      <c r="AQ125" s="15">
        <v>0.8</v>
      </c>
      <c r="AR125" s="15">
        <v>1.4</v>
      </c>
      <c r="AS125" s="4">
        <v>40056</v>
      </c>
      <c r="AT125" s="15">
        <v>1591.85</v>
      </c>
      <c r="AU125" s="15">
        <v>98.7</v>
      </c>
      <c r="AV125" s="4">
        <v>40056</v>
      </c>
      <c r="AW125" s="15">
        <v>1541.4</v>
      </c>
      <c r="AX125" s="15">
        <v>28949627</v>
      </c>
      <c r="AY125" s="15">
        <v>27408191</v>
      </c>
      <c r="AZ125" s="4">
        <v>40056</v>
      </c>
      <c r="BA125" s="15">
        <v>906.6</v>
      </c>
      <c r="BB125" s="15">
        <v>19.35483870967742</v>
      </c>
      <c r="BC125" s="15">
        <v>3.8</v>
      </c>
      <c r="BD125" s="4">
        <v>40056</v>
      </c>
      <c r="BE125" s="15">
        <v>88.954999999999998</v>
      </c>
      <c r="BF125" s="15">
        <v>2.162578096288124</v>
      </c>
      <c r="BG125" s="4">
        <v>40056</v>
      </c>
      <c r="BH125" s="8">
        <v>81</v>
      </c>
      <c r="BI125" s="15">
        <v>84</v>
      </c>
      <c r="BJ125" s="15">
        <v>71</v>
      </c>
      <c r="BK125" s="4">
        <v>42797</v>
      </c>
      <c r="BL125" s="15">
        <v>10277887</v>
      </c>
      <c r="BM125" s="15">
        <v>1607885</v>
      </c>
      <c r="BN125" s="15">
        <v>1476187</v>
      </c>
      <c r="BO125" s="15">
        <v>138720</v>
      </c>
      <c r="BP125" s="15">
        <v>327712</v>
      </c>
      <c r="BQ125" s="15">
        <v>1260917</v>
      </c>
      <c r="BR125" s="15">
        <v>710866</v>
      </c>
    </row>
    <row r="126" spans="38:70" x14ac:dyDescent="0.25">
      <c r="AL126" s="4"/>
      <c r="AO126" s="4">
        <v>40025</v>
      </c>
      <c r="AP126" s="15">
        <v>82.823999999999998</v>
      </c>
      <c r="AQ126" s="15">
        <v>2.4</v>
      </c>
      <c r="AR126" s="15">
        <v>1</v>
      </c>
      <c r="AS126" s="4">
        <v>40025</v>
      </c>
      <c r="AT126" s="15">
        <v>1557.29</v>
      </c>
      <c r="AU126" s="15">
        <v>98.6</v>
      </c>
      <c r="AV126" s="4">
        <v>40025</v>
      </c>
      <c r="AW126" s="15">
        <v>4228.7</v>
      </c>
      <c r="AX126" s="15">
        <v>31908462</v>
      </c>
      <c r="AY126" s="4">
        <v>27679764</v>
      </c>
      <c r="AZ126" s="4">
        <v>40025</v>
      </c>
      <c r="BA126" s="15">
        <v>932.1</v>
      </c>
      <c r="BB126" s="15">
        <v>19.35483870967742</v>
      </c>
      <c r="BC126" s="15">
        <v>3.8</v>
      </c>
      <c r="BD126" s="4">
        <v>40025</v>
      </c>
      <c r="BE126" s="15">
        <v>88.641000000000005</v>
      </c>
      <c r="BF126" s="15">
        <v>1.6187277166997285</v>
      </c>
      <c r="BG126" s="4">
        <v>40025</v>
      </c>
      <c r="BH126" s="8">
        <v>78</v>
      </c>
      <c r="BI126" s="15">
        <v>81</v>
      </c>
      <c r="BJ126" s="15">
        <v>71</v>
      </c>
      <c r="BK126" s="4">
        <v>42790</v>
      </c>
      <c r="BL126" s="15">
        <v>10325130</v>
      </c>
      <c r="BM126" s="15">
        <v>1642075</v>
      </c>
      <c r="BN126" s="15">
        <v>1464797</v>
      </c>
      <c r="BO126" s="15">
        <v>137337</v>
      </c>
      <c r="BP126" s="15">
        <v>331396</v>
      </c>
      <c r="BQ126" s="15">
        <v>1255734</v>
      </c>
      <c r="BR126" s="15">
        <v>714386</v>
      </c>
    </row>
    <row r="127" spans="38:70" x14ac:dyDescent="0.25">
      <c r="AL127" s="4"/>
      <c r="AO127" s="4">
        <v>39994</v>
      </c>
      <c r="AP127" s="15">
        <v>81.561999999999998</v>
      </c>
      <c r="AQ127" s="15">
        <v>3.9</v>
      </c>
      <c r="AR127" s="15">
        <v>-0.6</v>
      </c>
      <c r="AS127" s="4">
        <v>39994</v>
      </c>
      <c r="AT127" s="15">
        <v>1390.07</v>
      </c>
      <c r="AU127" s="15">
        <v>98.5</v>
      </c>
      <c r="AV127" s="4">
        <v>39994</v>
      </c>
      <c r="AW127" s="4">
        <v>6520.8</v>
      </c>
      <c r="AX127" s="15">
        <v>32210048</v>
      </c>
      <c r="AY127" s="4">
        <v>25689293</v>
      </c>
      <c r="AZ127" s="4">
        <v>39994</v>
      </c>
      <c r="BA127" s="4">
        <v>965.8</v>
      </c>
      <c r="BB127" s="15">
        <v>22.580645161290313</v>
      </c>
      <c r="BC127" s="4">
        <v>3.9</v>
      </c>
      <c r="BD127" s="4">
        <v>39994</v>
      </c>
      <c r="BE127" s="15">
        <v>88.326999999999998</v>
      </c>
      <c r="BF127" s="15">
        <v>1.9930485791157133</v>
      </c>
      <c r="BG127" s="4">
        <v>39994</v>
      </c>
      <c r="BH127" s="4">
        <v>77</v>
      </c>
      <c r="BI127" s="15">
        <v>77</v>
      </c>
      <c r="BJ127" s="15">
        <v>75</v>
      </c>
      <c r="BK127" s="4">
        <v>42783</v>
      </c>
      <c r="BL127" s="15">
        <v>10190225</v>
      </c>
      <c r="BM127" s="15">
        <v>1604559</v>
      </c>
      <c r="BN127" s="15">
        <v>1445696</v>
      </c>
      <c r="BO127" s="15">
        <v>132417</v>
      </c>
      <c r="BP127" s="15">
        <v>335112</v>
      </c>
      <c r="BQ127" s="15">
        <v>1312891</v>
      </c>
      <c r="BR127" s="15">
        <v>716239</v>
      </c>
    </row>
    <row r="128" spans="38:70" x14ac:dyDescent="0.25">
      <c r="AL128" s="4"/>
      <c r="AO128" s="4"/>
      <c r="AS128" s="4"/>
      <c r="AV128" s="4"/>
      <c r="AW128" s="4"/>
      <c r="AY128" s="4"/>
      <c r="AZ128" s="4"/>
      <c r="BA128" s="4"/>
      <c r="BC128" s="4"/>
      <c r="BD128" s="4"/>
      <c r="BG128" s="4"/>
      <c r="BH128" s="4"/>
      <c r="BK128" s="4">
        <v>42776</v>
      </c>
      <c r="BL128" s="15">
        <v>10168903</v>
      </c>
      <c r="BM128" s="15">
        <v>1573218</v>
      </c>
      <c r="BN128" s="15">
        <v>1468478</v>
      </c>
      <c r="BO128" s="15">
        <v>134260</v>
      </c>
      <c r="BP128" s="15">
        <v>336684</v>
      </c>
      <c r="BQ128" s="15">
        <v>1285898</v>
      </c>
      <c r="BR128" s="15">
        <v>717851</v>
      </c>
    </row>
    <row r="129" spans="38:70" x14ac:dyDescent="0.25">
      <c r="AL129" s="4"/>
      <c r="AO129" s="4"/>
      <c r="AS129" s="4"/>
      <c r="AV129" s="4"/>
      <c r="AW129" s="4"/>
      <c r="AY129" s="4"/>
      <c r="AZ129" s="4"/>
      <c r="BA129" s="4"/>
      <c r="BC129" s="4"/>
      <c r="BD129" s="4"/>
      <c r="BG129" s="4"/>
      <c r="BH129" s="4"/>
      <c r="BK129" s="4">
        <v>42769</v>
      </c>
      <c r="BL129" s="15">
        <v>10165834</v>
      </c>
      <c r="BM129" s="15">
        <v>1537602</v>
      </c>
      <c r="BN129" s="15">
        <v>1480516</v>
      </c>
      <c r="BO129" s="15">
        <v>138306</v>
      </c>
      <c r="BP129" s="15">
        <v>337338</v>
      </c>
      <c r="BQ129" s="15">
        <v>1270593</v>
      </c>
      <c r="BR129" s="15">
        <v>720945</v>
      </c>
    </row>
    <row r="130" spans="38:70" x14ac:dyDescent="0.25">
      <c r="AL130" s="4"/>
      <c r="AO130" s="4"/>
      <c r="AS130" s="4"/>
      <c r="AV130" s="4"/>
      <c r="AW130" s="4"/>
      <c r="AY130" s="4"/>
      <c r="AZ130" s="4"/>
      <c r="BA130" s="4"/>
      <c r="BC130" s="4"/>
      <c r="BD130" s="4"/>
      <c r="BG130" s="4"/>
      <c r="BH130" s="4"/>
      <c r="BK130" s="4">
        <v>42762</v>
      </c>
      <c r="BL130" s="15">
        <v>10178003</v>
      </c>
      <c r="BM130" s="15">
        <v>1600647</v>
      </c>
      <c r="BN130" s="15">
        <v>1475095</v>
      </c>
      <c r="BO130" s="15">
        <v>134780</v>
      </c>
      <c r="BP130" s="15">
        <v>339518</v>
      </c>
      <c r="BQ130" s="15">
        <v>1177247</v>
      </c>
      <c r="BR130" s="15">
        <v>724749</v>
      </c>
    </row>
    <row r="131" spans="38:70" x14ac:dyDescent="0.25">
      <c r="AL131" s="4"/>
      <c r="AO131" s="4"/>
      <c r="AS131" s="4"/>
      <c r="AV131" s="4"/>
      <c r="AW131" s="4"/>
      <c r="AY131" s="4"/>
      <c r="AZ131" s="4"/>
      <c r="BA131" s="4"/>
      <c r="BC131" s="4"/>
      <c r="BD131" s="4"/>
      <c r="BG131" s="4"/>
      <c r="BH131" s="4"/>
      <c r="BK131" s="4">
        <v>42755</v>
      </c>
      <c r="BL131" s="15">
        <v>10252940</v>
      </c>
      <c r="BM131" s="15">
        <v>1653363</v>
      </c>
      <c r="BN131" s="15">
        <v>1464683</v>
      </c>
      <c r="BO131" s="15">
        <v>133116</v>
      </c>
      <c r="BP131" s="15">
        <v>340103</v>
      </c>
      <c r="BQ131" s="15">
        <v>1228325</v>
      </c>
      <c r="BR131" s="15">
        <v>724431</v>
      </c>
    </row>
    <row r="132" spans="38:70" x14ac:dyDescent="0.25">
      <c r="AL132" s="4"/>
      <c r="AO132" s="4"/>
      <c r="AS132" s="4"/>
      <c r="AV132" s="4"/>
      <c r="AW132" s="4"/>
      <c r="AY132" s="4"/>
      <c r="AZ132" s="4"/>
      <c r="BA132" s="4"/>
      <c r="BC132" s="4"/>
      <c r="BD132" s="4"/>
      <c r="BG132" s="4"/>
      <c r="BH132" s="4"/>
      <c r="BK132" s="4">
        <v>42748</v>
      </c>
      <c r="BL132" s="15">
        <v>10250573</v>
      </c>
      <c r="BM132" s="15">
        <v>1625675</v>
      </c>
      <c r="BN132" s="15">
        <v>1509352</v>
      </c>
      <c r="BO132" s="15">
        <v>129747</v>
      </c>
      <c r="BP132" s="15">
        <v>343905</v>
      </c>
      <c r="BQ132" s="15">
        <v>1200471</v>
      </c>
      <c r="BR132" s="15">
        <v>733473</v>
      </c>
    </row>
    <row r="133" spans="38:70" x14ac:dyDescent="0.25">
      <c r="AL133" s="4"/>
      <c r="AO133" s="4"/>
      <c r="AS133" s="4"/>
      <c r="AV133" s="4"/>
      <c r="AW133" s="4"/>
      <c r="AY133" s="4"/>
      <c r="AZ133" s="4"/>
      <c r="BA133" s="4"/>
      <c r="BC133" s="4"/>
      <c r="BD133" s="4"/>
      <c r="BG133" s="4"/>
      <c r="BH133" s="4"/>
      <c r="BK133" s="4">
        <v>42741</v>
      </c>
      <c r="BL133" s="15">
        <v>10268604</v>
      </c>
      <c r="BM133" s="15">
        <v>1585288</v>
      </c>
      <c r="BN133" s="15">
        <v>1502557</v>
      </c>
      <c r="BO133" s="15">
        <v>133223</v>
      </c>
      <c r="BP133" s="15">
        <v>345384</v>
      </c>
      <c r="BQ133" s="15">
        <v>1155535</v>
      </c>
      <c r="BR133" s="15">
        <v>735373</v>
      </c>
    </row>
    <row r="134" spans="38:70" x14ac:dyDescent="0.25">
      <c r="AL134" s="4"/>
      <c r="AO134" s="4"/>
      <c r="AS134" s="4"/>
      <c r="AV134" s="4"/>
      <c r="AW134" s="4"/>
      <c r="AY134" s="4"/>
      <c r="AZ134" s="4"/>
      <c r="BA134" s="4"/>
      <c r="BC134" s="4"/>
      <c r="BD134" s="4"/>
      <c r="BG134" s="4"/>
      <c r="BH134" s="4"/>
      <c r="BK134" s="4">
        <v>42734</v>
      </c>
      <c r="BL134" s="15">
        <v>10359199</v>
      </c>
      <c r="BM134" s="15">
        <v>1651795</v>
      </c>
      <c r="BN134" s="15">
        <v>1468207</v>
      </c>
      <c r="BO134" s="15">
        <v>134052</v>
      </c>
      <c r="BP134" s="15">
        <v>345627</v>
      </c>
      <c r="BQ134" s="15">
        <v>1043523</v>
      </c>
      <c r="BR134" s="15">
        <v>736891</v>
      </c>
    </row>
    <row r="135" spans="38:70" x14ac:dyDescent="0.25">
      <c r="AL135" s="4"/>
      <c r="AO135" s="4"/>
      <c r="AS135" s="4"/>
      <c r="AV135" s="4"/>
      <c r="AW135" s="4"/>
      <c r="AY135" s="4"/>
      <c r="AZ135" s="4"/>
      <c r="BA135" s="4"/>
      <c r="BC135" s="4"/>
      <c r="BD135" s="4"/>
      <c r="BG135" s="4"/>
      <c r="BH135" s="4"/>
      <c r="BK135" s="4">
        <v>42727</v>
      </c>
      <c r="BL135" s="15">
        <v>10379155</v>
      </c>
      <c r="BM135" s="15">
        <v>1605095</v>
      </c>
      <c r="BN135" s="15">
        <v>1469047</v>
      </c>
      <c r="BO135" s="15">
        <v>132538</v>
      </c>
      <c r="BP135" s="15">
        <v>349361</v>
      </c>
      <c r="BQ135" s="15">
        <v>1171421</v>
      </c>
      <c r="BR135" s="15">
        <v>737111</v>
      </c>
    </row>
    <row r="136" spans="38:70" x14ac:dyDescent="0.25">
      <c r="AL136" s="4"/>
      <c r="AO136" s="4"/>
      <c r="AS136" s="4"/>
      <c r="AV136" s="4"/>
      <c r="AW136" s="4"/>
      <c r="AY136" s="4"/>
      <c r="AZ136" s="4"/>
      <c r="BA136" s="4"/>
      <c r="BC136" s="4"/>
      <c r="BD136" s="4"/>
      <c r="BG136" s="4"/>
      <c r="BH136" s="4"/>
      <c r="BK136" s="4">
        <v>42720</v>
      </c>
      <c r="BL136" s="15">
        <v>10339963</v>
      </c>
      <c r="BM136" s="15">
        <v>1597532</v>
      </c>
      <c r="BN136" s="15">
        <v>1490614</v>
      </c>
      <c r="BO136" s="15">
        <v>132072</v>
      </c>
      <c r="BP136" s="15">
        <v>352305</v>
      </c>
      <c r="BQ136" s="15">
        <v>1219776</v>
      </c>
      <c r="BR136" s="15">
        <v>743097</v>
      </c>
    </row>
    <row r="137" spans="38:70" x14ac:dyDescent="0.25">
      <c r="AL137" s="4"/>
      <c r="AO137" s="4"/>
      <c r="AS137" s="4"/>
      <c r="AV137" s="4"/>
      <c r="AW137" s="4"/>
      <c r="AY137" s="4"/>
      <c r="AZ137" s="4"/>
      <c r="BA137" s="4"/>
      <c r="BC137" s="4"/>
      <c r="BD137" s="4"/>
      <c r="BG137" s="4"/>
      <c r="BH137" s="4"/>
      <c r="BK137" s="4">
        <v>42713</v>
      </c>
      <c r="BL137" s="15">
        <v>10334248</v>
      </c>
      <c r="BM137" s="15">
        <v>1620251</v>
      </c>
      <c r="BN137" s="15">
        <v>1486575</v>
      </c>
      <c r="BO137" s="15">
        <v>132720</v>
      </c>
      <c r="BP137" s="15">
        <v>355283</v>
      </c>
      <c r="BQ137" s="15">
        <v>1183272</v>
      </c>
      <c r="BR137" s="15">
        <v>742101</v>
      </c>
    </row>
    <row r="138" spans="38:70" x14ac:dyDescent="0.25">
      <c r="AL138" s="4"/>
      <c r="AO138" s="4"/>
      <c r="AS138" s="4"/>
      <c r="AV138" s="4"/>
      <c r="AW138" s="4"/>
      <c r="AY138" s="4"/>
      <c r="AZ138" s="4"/>
      <c r="BA138" s="4"/>
      <c r="BC138" s="4"/>
      <c r="BD138" s="4"/>
      <c r="BG138" s="4"/>
      <c r="BH138" s="4"/>
      <c r="BK138" s="4">
        <v>42706</v>
      </c>
      <c r="BL138" s="15">
        <v>10380903</v>
      </c>
      <c r="BM138" s="15">
        <v>1583925</v>
      </c>
      <c r="BN138" s="15">
        <v>1505110</v>
      </c>
      <c r="BO138" s="15">
        <v>133748</v>
      </c>
      <c r="BP138" s="15">
        <v>357459</v>
      </c>
      <c r="BQ138" s="15">
        <v>1207305</v>
      </c>
      <c r="BR138" s="15">
        <v>738923</v>
      </c>
    </row>
    <row r="139" spans="38:70" x14ac:dyDescent="0.25">
      <c r="AL139" s="4"/>
      <c r="AO139" s="4"/>
      <c r="AS139" s="4"/>
      <c r="AV139" s="4"/>
      <c r="AW139" s="4"/>
      <c r="AY139" s="4"/>
      <c r="AZ139" s="4"/>
      <c r="BA139" s="4"/>
      <c r="BC139" s="4"/>
      <c r="BD139" s="4"/>
      <c r="BG139" s="4"/>
      <c r="BH139" s="4"/>
      <c r="BK139" s="4">
        <v>42699</v>
      </c>
      <c r="BL139" s="15">
        <v>10301681</v>
      </c>
      <c r="BM139" s="15">
        <v>1619809</v>
      </c>
      <c r="BN139" s="15">
        <v>1475526</v>
      </c>
      <c r="BO139" s="15">
        <v>136450</v>
      </c>
      <c r="BP139" s="15">
        <v>359174</v>
      </c>
      <c r="BQ139" s="15">
        <v>1168372</v>
      </c>
      <c r="BR139" s="15">
        <v>733391</v>
      </c>
    </row>
    <row r="140" spans="38:70" x14ac:dyDescent="0.25">
      <c r="AL140" s="4"/>
      <c r="AO140" s="4"/>
      <c r="AS140" s="4"/>
      <c r="AV140" s="4"/>
      <c r="AW140" s="4"/>
      <c r="AY140" s="4"/>
      <c r="AZ140" s="4"/>
      <c r="BA140" s="4"/>
      <c r="BC140" s="4"/>
      <c r="BD140" s="4"/>
      <c r="BG140" s="4"/>
      <c r="BH140" s="4"/>
      <c r="BK140" s="4">
        <v>42692</v>
      </c>
      <c r="BL140" s="15">
        <v>10334491</v>
      </c>
      <c r="BM140" s="15">
        <v>1586204</v>
      </c>
      <c r="BN140" s="15">
        <v>1483609</v>
      </c>
      <c r="BO140" s="15">
        <v>126736</v>
      </c>
      <c r="BP140" s="15">
        <v>362069</v>
      </c>
      <c r="BQ140" s="15">
        <v>1208280</v>
      </c>
      <c r="BR140" s="15">
        <v>730699</v>
      </c>
    </row>
    <row r="141" spans="38:70" x14ac:dyDescent="0.25">
      <c r="AL141" s="4"/>
      <c r="AO141" s="4"/>
      <c r="AS141" s="4"/>
      <c r="AV141" s="4"/>
      <c r="AW141" s="4"/>
      <c r="AY141" s="4"/>
      <c r="AZ141" s="4"/>
      <c r="BA141" s="4"/>
      <c r="BC141" s="4"/>
      <c r="BD141" s="4"/>
      <c r="BG141" s="4"/>
      <c r="BH141" s="4"/>
      <c r="BK141" s="4">
        <v>42685</v>
      </c>
      <c r="BL141" s="15">
        <v>10288020</v>
      </c>
      <c r="BM141" s="15">
        <v>1569652</v>
      </c>
      <c r="BN141" s="15">
        <v>1480263</v>
      </c>
      <c r="BO141" s="15">
        <v>137935</v>
      </c>
      <c r="BP141" s="15">
        <v>364309</v>
      </c>
      <c r="BQ141" s="15">
        <v>1207571</v>
      </c>
      <c r="BR141" s="15">
        <v>729234</v>
      </c>
    </row>
    <row r="142" spans="38:70" x14ac:dyDescent="0.25">
      <c r="AL142" s="4"/>
      <c r="AO142" s="4"/>
      <c r="AS142" s="4"/>
      <c r="AV142" s="4"/>
      <c r="AW142" s="4"/>
      <c r="AY142" s="4"/>
      <c r="AZ142" s="4"/>
      <c r="BA142" s="4"/>
      <c r="BC142" s="4"/>
      <c r="BD142" s="4"/>
      <c r="BG142" s="4"/>
      <c r="BH142" s="4"/>
      <c r="BK142" s="4">
        <v>42678</v>
      </c>
      <c r="BL142" s="15">
        <v>10298148</v>
      </c>
      <c r="BM142" s="15">
        <v>1548234</v>
      </c>
      <c r="BN142" s="15">
        <v>1408360</v>
      </c>
      <c r="BO142" s="15">
        <v>136705</v>
      </c>
      <c r="BP142" s="15">
        <v>362953</v>
      </c>
      <c r="BQ142" s="15">
        <v>1227110</v>
      </c>
      <c r="BR142" s="15">
        <v>722232</v>
      </c>
    </row>
    <row r="143" spans="38:70" x14ac:dyDescent="0.25">
      <c r="AL143" s="4"/>
      <c r="AO143" s="4"/>
      <c r="AS143" s="4"/>
      <c r="AV143" s="4"/>
      <c r="AW143" s="4"/>
      <c r="AY143" s="4"/>
      <c r="AZ143" s="4"/>
      <c r="BA143" s="4"/>
      <c r="BC143" s="4"/>
      <c r="BD143" s="4"/>
      <c r="BG143" s="4"/>
      <c r="BH143" s="4"/>
      <c r="BK143" s="4">
        <v>42671</v>
      </c>
      <c r="BL143" s="15">
        <v>10214433</v>
      </c>
      <c r="BM143" s="15">
        <v>1587401</v>
      </c>
      <c r="BN143" s="15">
        <v>1458082</v>
      </c>
      <c r="BO143" s="15">
        <v>135984</v>
      </c>
      <c r="BP143" s="15">
        <v>361592</v>
      </c>
      <c r="BQ143" s="15">
        <v>1190671</v>
      </c>
      <c r="BR143" s="15">
        <v>728861</v>
      </c>
    </row>
    <row r="144" spans="38:70" x14ac:dyDescent="0.25">
      <c r="AL144" s="4"/>
      <c r="AO144" s="4"/>
      <c r="AS144" s="4"/>
      <c r="AV144" s="4"/>
      <c r="AW144" s="4"/>
      <c r="AY144" s="4"/>
      <c r="AZ144" s="4"/>
      <c r="BA144" s="4"/>
      <c r="BC144" s="4"/>
      <c r="BD144" s="4"/>
      <c r="BG144" s="4"/>
      <c r="BH144" s="4"/>
      <c r="BK144" s="4">
        <v>42664</v>
      </c>
      <c r="BL144" s="15">
        <v>10238212</v>
      </c>
      <c r="BM144" s="15">
        <v>1590302</v>
      </c>
      <c r="BN144" s="15">
        <v>1448380</v>
      </c>
      <c r="BO144" s="15">
        <v>129073</v>
      </c>
      <c r="BP144" s="15">
        <v>362462</v>
      </c>
      <c r="BQ144" s="15">
        <v>1187694</v>
      </c>
      <c r="BR144" s="15">
        <v>728212</v>
      </c>
    </row>
    <row r="145" spans="38:70" x14ac:dyDescent="0.25">
      <c r="AL145" s="4"/>
      <c r="AO145" s="4"/>
      <c r="AS145" s="4"/>
      <c r="AV145" s="4"/>
      <c r="AW145" s="4"/>
      <c r="AY145" s="4"/>
      <c r="AZ145" s="4"/>
      <c r="BA145" s="4"/>
      <c r="BC145" s="4"/>
      <c r="BD145" s="4"/>
      <c r="BG145" s="4"/>
      <c r="BH145" s="4"/>
      <c r="BK145" s="4">
        <v>42657</v>
      </c>
      <c r="BL145" s="15">
        <v>10220333</v>
      </c>
      <c r="BM145" s="15">
        <v>1608786</v>
      </c>
      <c r="BN145" s="15">
        <v>1477943</v>
      </c>
      <c r="BO145" s="15">
        <v>128308</v>
      </c>
      <c r="BP145" s="15">
        <v>362755</v>
      </c>
      <c r="BQ145" s="15">
        <v>1203268</v>
      </c>
      <c r="BR145" s="15">
        <v>726496</v>
      </c>
    </row>
    <row r="146" spans="38:70" x14ac:dyDescent="0.25">
      <c r="AL146" s="4"/>
      <c r="AO146" s="4"/>
      <c r="AS146" s="4"/>
      <c r="AV146" s="4"/>
      <c r="AW146" s="4"/>
      <c r="AY146" s="4"/>
      <c r="AZ146" s="4"/>
      <c r="BA146" s="4"/>
      <c r="BC146" s="4"/>
      <c r="BD146" s="4"/>
      <c r="BG146" s="4"/>
      <c r="BH146" s="4"/>
      <c r="BK146" s="4">
        <v>42650</v>
      </c>
      <c r="BL146" s="15">
        <v>10143318</v>
      </c>
      <c r="BM146" s="15">
        <v>1555019</v>
      </c>
      <c r="BN146" s="15">
        <v>1445798</v>
      </c>
      <c r="BO146" s="15">
        <v>135487</v>
      </c>
      <c r="BP146" s="15">
        <v>364666</v>
      </c>
      <c r="BQ146" s="15">
        <v>1174633</v>
      </c>
      <c r="BR146" s="15">
        <v>732167</v>
      </c>
    </row>
    <row r="147" spans="38:70" x14ac:dyDescent="0.25">
      <c r="AL147" s="4"/>
      <c r="AO147" s="4"/>
      <c r="AS147" s="4"/>
      <c r="AV147" s="4"/>
      <c r="AW147" s="4"/>
      <c r="AY147" s="4"/>
      <c r="AZ147" s="4"/>
      <c r="BA147" s="4"/>
      <c r="BC147" s="4"/>
      <c r="BD147" s="4"/>
      <c r="BG147" s="4"/>
      <c r="BH147" s="4"/>
      <c r="BK147" s="4">
        <v>42643</v>
      </c>
      <c r="BL147" s="15">
        <v>10168802</v>
      </c>
      <c r="BM147" s="15">
        <v>1518579</v>
      </c>
      <c r="BN147" s="15">
        <v>1466268</v>
      </c>
      <c r="BO147" s="15">
        <v>131703</v>
      </c>
      <c r="BP147" s="15">
        <v>368291</v>
      </c>
      <c r="BQ147" s="15">
        <v>1079791</v>
      </c>
      <c r="BR147" s="15">
        <v>732581</v>
      </c>
    </row>
    <row r="148" spans="38:70" x14ac:dyDescent="0.25">
      <c r="AL148" s="4"/>
      <c r="AO148" s="4"/>
      <c r="AS148" s="4"/>
      <c r="AV148" s="4"/>
      <c r="AW148" s="4"/>
      <c r="AY148" s="4"/>
      <c r="AZ148" s="4"/>
      <c r="BA148" s="4"/>
      <c r="BC148" s="4"/>
      <c r="BD148" s="4"/>
      <c r="BG148" s="4"/>
      <c r="BH148" s="4"/>
      <c r="BK148" s="4">
        <v>42636</v>
      </c>
      <c r="BL148" s="15">
        <v>10147570</v>
      </c>
      <c r="BM148" s="15">
        <v>1530401</v>
      </c>
      <c r="BN148" s="15">
        <v>1480819</v>
      </c>
      <c r="BO148" s="15">
        <v>129796</v>
      </c>
      <c r="BP148" s="15">
        <v>369819</v>
      </c>
      <c r="BQ148" s="15">
        <v>1196742</v>
      </c>
      <c r="BR148" s="15">
        <v>734537</v>
      </c>
    </row>
    <row r="149" spans="38:70" x14ac:dyDescent="0.25">
      <c r="AL149" s="4"/>
      <c r="AO149" s="4"/>
      <c r="AS149" s="4"/>
      <c r="AV149" s="4"/>
      <c r="AW149" s="4"/>
      <c r="AY149" s="4"/>
      <c r="AZ149" s="4"/>
      <c r="BA149" s="4"/>
      <c r="BC149" s="4"/>
      <c r="BD149" s="4"/>
      <c r="BG149" s="4"/>
      <c r="BH149" s="4"/>
      <c r="BK149" s="4">
        <v>42629</v>
      </c>
      <c r="BL149" s="15">
        <v>10124132</v>
      </c>
      <c r="BM149" s="15">
        <v>1557484</v>
      </c>
      <c r="BN149" s="15">
        <v>1488943</v>
      </c>
      <c r="BO149" s="15">
        <v>128167</v>
      </c>
      <c r="BP149" s="15">
        <v>370395</v>
      </c>
      <c r="BQ149" s="15">
        <v>1171128</v>
      </c>
      <c r="BR149" s="15">
        <v>734326</v>
      </c>
    </row>
    <row r="150" spans="38:70" x14ac:dyDescent="0.25">
      <c r="AL150" s="4"/>
      <c r="AO150" s="4"/>
      <c r="AS150" s="4"/>
      <c r="AV150" s="4"/>
      <c r="AW150" s="4"/>
      <c r="AY150" s="4"/>
      <c r="AZ150" s="4"/>
      <c r="BA150" s="4"/>
      <c r="BC150" s="4"/>
      <c r="BD150" s="4"/>
      <c r="BG150" s="4"/>
      <c r="BH150" s="4"/>
      <c r="BK150" s="4">
        <v>42622</v>
      </c>
      <c r="BL150" s="15">
        <v>10158769</v>
      </c>
      <c r="BM150" s="15">
        <v>1619902</v>
      </c>
      <c r="BN150" s="15">
        <v>1493200</v>
      </c>
      <c r="BO150" s="15">
        <v>127847</v>
      </c>
      <c r="BP150" s="15">
        <v>370267</v>
      </c>
      <c r="BQ150" s="15">
        <v>1162592</v>
      </c>
      <c r="BR150" s="15">
        <v>740382</v>
      </c>
    </row>
    <row r="151" spans="38:70" x14ac:dyDescent="0.25">
      <c r="AL151" s="4"/>
      <c r="AO151" s="4"/>
      <c r="AS151" s="4"/>
      <c r="AV151" s="4"/>
      <c r="AW151" s="4"/>
      <c r="AY151" s="4"/>
      <c r="AZ151" s="4"/>
      <c r="BA151" s="4"/>
      <c r="BC151" s="4"/>
      <c r="BD151" s="4"/>
      <c r="BG151" s="4"/>
      <c r="BH151" s="4"/>
      <c r="BK151" s="4">
        <v>42615</v>
      </c>
      <c r="BL151" s="15">
        <v>10129475</v>
      </c>
      <c r="BM151" s="15">
        <v>1501624</v>
      </c>
      <c r="BN151" s="15">
        <v>1483808</v>
      </c>
      <c r="BO151" s="15">
        <v>127318</v>
      </c>
      <c r="BP151" s="15">
        <v>373512</v>
      </c>
      <c r="BQ151" s="15">
        <v>1211261</v>
      </c>
      <c r="BR151" s="15">
        <v>742795</v>
      </c>
    </row>
    <row r="152" spans="38:70" x14ac:dyDescent="0.25">
      <c r="AL152" s="4"/>
      <c r="AO152" s="4"/>
      <c r="AS152" s="4"/>
      <c r="AV152" s="4"/>
      <c r="AW152" s="4"/>
      <c r="AY152" s="4"/>
      <c r="AZ152" s="4"/>
      <c r="BA152" s="4"/>
      <c r="BC152" s="4"/>
      <c r="BD152" s="4"/>
      <c r="BG152" s="4"/>
      <c r="BH152" s="4"/>
      <c r="BK152" s="4">
        <v>42608</v>
      </c>
      <c r="BL152" s="15">
        <v>10087618</v>
      </c>
      <c r="BM152" s="15">
        <v>1520974</v>
      </c>
      <c r="BN152" s="15">
        <v>1472282</v>
      </c>
      <c r="BO152" s="15">
        <v>127465</v>
      </c>
      <c r="BP152" s="15">
        <v>375148</v>
      </c>
      <c r="BQ152" s="15">
        <v>1265122</v>
      </c>
      <c r="BR152" s="15">
        <v>747332</v>
      </c>
    </row>
    <row r="153" spans="38:70" x14ac:dyDescent="0.25">
      <c r="AL153" s="4"/>
      <c r="AO153" s="4"/>
      <c r="AS153" s="4"/>
      <c r="AV153" s="4"/>
      <c r="AW153" s="4"/>
      <c r="AY153" s="4"/>
      <c r="AZ153" s="4"/>
      <c r="BA153" s="4"/>
      <c r="BC153" s="4"/>
      <c r="BD153" s="4"/>
      <c r="BG153" s="4"/>
      <c r="BH153" s="4"/>
      <c r="BK153" s="4">
        <v>42601</v>
      </c>
      <c r="BL153" s="15">
        <v>10116900</v>
      </c>
      <c r="BM153" s="15">
        <v>1523376</v>
      </c>
      <c r="BN153" s="15">
        <v>1506312</v>
      </c>
      <c r="BO153" s="15">
        <v>125970</v>
      </c>
      <c r="BP153" s="15">
        <v>374208</v>
      </c>
      <c r="BQ153" s="15">
        <v>1291014</v>
      </c>
      <c r="BR153" s="15">
        <v>755476</v>
      </c>
    </row>
    <row r="154" spans="38:70" x14ac:dyDescent="0.25">
      <c r="AL154" s="4"/>
      <c r="AO154" s="4"/>
      <c r="AS154" s="4"/>
      <c r="AV154" s="4"/>
      <c r="AW154" s="4"/>
      <c r="AY154" s="4"/>
      <c r="AZ154" s="4"/>
      <c r="BA154" s="4"/>
      <c r="BC154" s="4"/>
      <c r="BD154" s="4"/>
      <c r="BG154" s="4"/>
      <c r="BH154" s="4"/>
      <c r="BK154" s="4">
        <v>42594</v>
      </c>
      <c r="BL154" s="15">
        <v>10036215</v>
      </c>
      <c r="BM154" s="15">
        <v>1494471</v>
      </c>
      <c r="BN154" s="15">
        <v>1499279</v>
      </c>
      <c r="BO154" s="15">
        <v>127463</v>
      </c>
      <c r="BP154" s="15">
        <v>375017</v>
      </c>
      <c r="BQ154" s="15">
        <v>1263403</v>
      </c>
      <c r="BR154" s="15">
        <v>760128</v>
      </c>
    </row>
    <row r="155" spans="38:70" x14ac:dyDescent="0.25">
      <c r="AL155" s="4"/>
      <c r="AO155" s="4"/>
      <c r="AS155" s="4"/>
      <c r="AV155" s="4"/>
      <c r="AW155" s="4"/>
      <c r="AY155" s="4"/>
      <c r="AZ155" s="4"/>
      <c r="BA155" s="4"/>
      <c r="BC155" s="4"/>
      <c r="BD155" s="4"/>
      <c r="BG155" s="4"/>
      <c r="BH155" s="4"/>
      <c r="BK155" s="4">
        <v>42587</v>
      </c>
      <c r="BL155" s="15">
        <v>10011138</v>
      </c>
      <c r="BM155" s="15">
        <v>1453303</v>
      </c>
      <c r="BN155" s="15">
        <v>1490508</v>
      </c>
      <c r="BO155" s="15">
        <v>124336</v>
      </c>
      <c r="BP155" s="15">
        <v>378184</v>
      </c>
      <c r="BQ155" s="15">
        <v>1291944</v>
      </c>
      <c r="BR155" s="15">
        <v>764019</v>
      </c>
    </row>
    <row r="156" spans="38:70" x14ac:dyDescent="0.25">
      <c r="AL156" s="4"/>
      <c r="AO156" s="4"/>
      <c r="AS156" s="4"/>
      <c r="AV156" s="4"/>
      <c r="AW156" s="4"/>
      <c r="AY156" s="4"/>
      <c r="AZ156" s="4"/>
      <c r="BA156" s="4"/>
      <c r="BC156" s="4"/>
      <c r="BD156" s="4"/>
      <c r="BG156" s="4"/>
      <c r="BH156" s="4"/>
      <c r="BK156" s="4">
        <v>42580</v>
      </c>
      <c r="BL156" s="15">
        <v>10040357</v>
      </c>
      <c r="BM156" s="15">
        <v>1475212</v>
      </c>
      <c r="BN156" s="15">
        <v>1495351</v>
      </c>
      <c r="BO156" s="15">
        <v>127758</v>
      </c>
      <c r="BP156" s="15">
        <v>379884</v>
      </c>
      <c r="BQ156" s="15">
        <v>1253037</v>
      </c>
      <c r="BR156" s="15">
        <v>768318</v>
      </c>
    </row>
    <row r="157" spans="38:70" x14ac:dyDescent="0.25">
      <c r="AL157" s="4"/>
      <c r="AO157" s="4"/>
      <c r="AS157" s="4"/>
      <c r="AV157" s="4"/>
      <c r="AW157" s="4"/>
      <c r="AY157" s="4"/>
      <c r="AZ157" s="4"/>
      <c r="BA157" s="4"/>
      <c r="BC157" s="4"/>
      <c r="BD157" s="4"/>
      <c r="BG157" s="4"/>
      <c r="BH157" s="4"/>
      <c r="BK157" s="4">
        <v>42573</v>
      </c>
      <c r="BL157" s="15">
        <v>10084448</v>
      </c>
      <c r="BM157" s="15">
        <v>1487403</v>
      </c>
      <c r="BN157" s="15">
        <v>1509119</v>
      </c>
      <c r="BO157" s="15">
        <v>122277</v>
      </c>
      <c r="BP157" s="15">
        <v>380394</v>
      </c>
      <c r="BQ157" s="15">
        <v>1242757</v>
      </c>
      <c r="BR157" s="15">
        <v>769265</v>
      </c>
    </row>
    <row r="158" spans="38:70" x14ac:dyDescent="0.25">
      <c r="AL158" s="4"/>
      <c r="AO158" s="4"/>
      <c r="AS158" s="4"/>
      <c r="AV158" s="4"/>
      <c r="AW158" s="4"/>
      <c r="AY158" s="4"/>
      <c r="AZ158" s="4"/>
      <c r="BA158" s="4"/>
      <c r="BC158" s="4"/>
      <c r="BD158" s="4"/>
      <c r="BG158" s="4"/>
      <c r="BH158" s="4"/>
      <c r="BK158" s="4">
        <v>42566</v>
      </c>
      <c r="BL158" s="15">
        <v>10030700</v>
      </c>
      <c r="BM158" s="15">
        <v>1488651</v>
      </c>
      <c r="BN158" s="15">
        <v>1510967</v>
      </c>
      <c r="BO158" s="15">
        <v>121321</v>
      </c>
      <c r="BP158" s="15">
        <v>385020</v>
      </c>
      <c r="BQ158" s="15">
        <v>1261441</v>
      </c>
      <c r="BR158" s="15">
        <v>777517</v>
      </c>
    </row>
    <row r="159" spans="38:70" x14ac:dyDescent="0.25">
      <c r="AL159" s="4"/>
      <c r="AO159" s="4"/>
      <c r="AS159" s="4"/>
      <c r="AV159" s="4"/>
      <c r="AW159" s="4"/>
      <c r="AY159" s="4"/>
      <c r="AZ159" s="4"/>
      <c r="BA159" s="4"/>
      <c r="BC159" s="4"/>
      <c r="BD159" s="4"/>
      <c r="BG159" s="4"/>
      <c r="BH159" s="4"/>
      <c r="BK159" s="4">
        <v>42559</v>
      </c>
      <c r="BL159" s="15">
        <v>10023025</v>
      </c>
      <c r="BM159" s="15">
        <v>1471918</v>
      </c>
      <c r="BN159" s="15">
        <v>1480030</v>
      </c>
      <c r="BO159" s="15">
        <v>126945</v>
      </c>
      <c r="BP159" s="15">
        <v>386753</v>
      </c>
      <c r="BQ159" s="15">
        <v>1219596</v>
      </c>
      <c r="BR159" s="15">
        <v>778292</v>
      </c>
    </row>
    <row r="160" spans="38:70" x14ac:dyDescent="0.25">
      <c r="AL160" s="4"/>
      <c r="AO160" s="4"/>
      <c r="AS160" s="4"/>
      <c r="AV160" s="4"/>
      <c r="AW160" s="4"/>
      <c r="AY160" s="4"/>
      <c r="AZ160" s="4"/>
      <c r="BA160" s="4"/>
      <c r="BC160" s="4"/>
      <c r="BD160" s="4"/>
      <c r="BG160" s="4"/>
      <c r="BH160" s="4"/>
      <c r="BK160" s="4">
        <v>42552</v>
      </c>
      <c r="BL160" s="15">
        <v>10101721</v>
      </c>
      <c r="BM160" s="15">
        <v>1486919</v>
      </c>
      <c r="BN160" s="15">
        <v>1523152</v>
      </c>
      <c r="BO160" s="15">
        <v>132538</v>
      </c>
      <c r="BP160" s="15">
        <v>387814</v>
      </c>
      <c r="BQ160" s="15">
        <v>1067878</v>
      </c>
      <c r="BR160" s="15">
        <v>781737</v>
      </c>
    </row>
    <row r="161" spans="38:70" x14ac:dyDescent="0.25">
      <c r="AL161" s="4"/>
      <c r="AO161" s="4"/>
      <c r="AS161" s="4"/>
      <c r="AV161" s="4"/>
      <c r="AW161" s="4"/>
      <c r="AY161" s="4"/>
      <c r="AZ161" s="4"/>
      <c r="BA161" s="4"/>
      <c r="BC161" s="4"/>
      <c r="BD161" s="4"/>
      <c r="BG161" s="4"/>
      <c r="BH161" s="4"/>
      <c r="BK161" s="4">
        <v>42545</v>
      </c>
      <c r="BL161" s="15">
        <v>10059182</v>
      </c>
      <c r="BM161" s="15">
        <v>1528587</v>
      </c>
      <c r="BN161" s="15">
        <v>1481766</v>
      </c>
      <c r="BO161" s="15">
        <v>128887</v>
      </c>
      <c r="BP161" s="15">
        <v>387181</v>
      </c>
      <c r="BQ161" s="15">
        <v>1148495</v>
      </c>
      <c r="BR161" s="15">
        <v>774030</v>
      </c>
    </row>
    <row r="162" spans="38:70" x14ac:dyDescent="0.25">
      <c r="AL162" s="4"/>
      <c r="AO162" s="4"/>
      <c r="AS162" s="4"/>
      <c r="AV162" s="4"/>
      <c r="AW162" s="4"/>
      <c r="AY162" s="4"/>
      <c r="AZ162" s="4"/>
      <c r="BA162" s="4"/>
      <c r="BC162" s="4"/>
      <c r="BD162" s="4"/>
      <c r="BG162" s="4"/>
      <c r="BH162" s="4"/>
      <c r="BK162" s="4">
        <v>42538</v>
      </c>
      <c r="BL162" s="15">
        <v>10006338</v>
      </c>
      <c r="BM162" s="15">
        <v>1508276</v>
      </c>
      <c r="BN162" s="15">
        <v>1488345</v>
      </c>
      <c r="BO162" s="15">
        <v>125564</v>
      </c>
      <c r="BP162" s="15">
        <v>383614</v>
      </c>
      <c r="BQ162" s="15">
        <v>1196094</v>
      </c>
      <c r="BR162" s="15">
        <v>775159</v>
      </c>
    </row>
    <row r="163" spans="38:70" x14ac:dyDescent="0.25">
      <c r="AL163" s="4"/>
      <c r="AO163" s="4"/>
      <c r="AS163" s="4"/>
      <c r="AV163" s="4"/>
      <c r="AW163" s="4"/>
      <c r="AY163" s="4"/>
      <c r="AZ163" s="4"/>
      <c r="BA163" s="4"/>
      <c r="BC163" s="4"/>
      <c r="BD163" s="4"/>
      <c r="BG163" s="4"/>
      <c r="BH163" s="4"/>
      <c r="BK163" s="4">
        <v>42531</v>
      </c>
      <c r="BL163" s="15">
        <v>10033311</v>
      </c>
      <c r="BM163" s="15">
        <v>1509799</v>
      </c>
      <c r="BN163" s="15">
        <v>1519714</v>
      </c>
      <c r="BO163" s="15">
        <v>125606</v>
      </c>
      <c r="BP163" s="15">
        <v>386288</v>
      </c>
      <c r="BQ163" s="15">
        <v>1151694</v>
      </c>
      <c r="BR163" s="15">
        <v>781055</v>
      </c>
    </row>
    <row r="164" spans="38:70" x14ac:dyDescent="0.25">
      <c r="AL164" s="4"/>
      <c r="AO164" s="4"/>
      <c r="AS164" s="4"/>
      <c r="AV164" s="4"/>
      <c r="AW164" s="4"/>
      <c r="AY164" s="4"/>
      <c r="AZ164" s="4"/>
      <c r="BA164" s="4"/>
      <c r="BC164" s="4"/>
      <c r="BD164" s="4"/>
      <c r="BG164" s="4"/>
      <c r="BH164" s="4"/>
      <c r="BK164" s="4">
        <v>42524</v>
      </c>
      <c r="BL164" s="15">
        <v>10020063</v>
      </c>
      <c r="BM164" s="15">
        <v>1441497</v>
      </c>
      <c r="BN164" s="15">
        <v>1490450</v>
      </c>
      <c r="BO164" s="15">
        <v>130439</v>
      </c>
      <c r="BP164" s="15">
        <v>386532</v>
      </c>
      <c r="BQ164" s="15">
        <v>1189016</v>
      </c>
      <c r="BR164" s="15">
        <v>787830</v>
      </c>
    </row>
    <row r="165" spans="38:70" x14ac:dyDescent="0.25">
      <c r="AL165" s="4"/>
      <c r="AO165" s="4"/>
      <c r="AS165" s="4"/>
      <c r="AV165" s="4"/>
      <c r="AW165" s="4"/>
      <c r="AY165" s="4"/>
      <c r="AZ165" s="4"/>
      <c r="BA165" s="4"/>
      <c r="BC165" s="4"/>
      <c r="BD165" s="4"/>
      <c r="BG165" s="4"/>
      <c r="BH165" s="4"/>
      <c r="BK165" s="4">
        <v>42517</v>
      </c>
      <c r="BL165" s="15">
        <v>9928450</v>
      </c>
      <c r="BM165" s="15">
        <v>1469407</v>
      </c>
      <c r="BN165" s="15">
        <v>1503597</v>
      </c>
      <c r="BO165" s="15">
        <v>131108</v>
      </c>
      <c r="BP165" s="15">
        <v>385747</v>
      </c>
      <c r="BQ165" s="15">
        <v>1173374</v>
      </c>
      <c r="BR165" s="15">
        <v>787681</v>
      </c>
    </row>
    <row r="166" spans="38:70" x14ac:dyDescent="0.25">
      <c r="AL166" s="4"/>
      <c r="AO166" s="4"/>
      <c r="AS166" s="4"/>
      <c r="AV166" s="4"/>
      <c r="AW166" s="4"/>
      <c r="AY166" s="4"/>
      <c r="AZ166" s="4"/>
      <c r="BA166" s="4"/>
      <c r="BC166" s="4"/>
      <c r="BD166" s="4"/>
      <c r="BG166" s="4"/>
      <c r="BH166" s="4"/>
      <c r="BK166" s="4">
        <v>42510</v>
      </c>
      <c r="BL166" s="15">
        <v>9946326</v>
      </c>
      <c r="BM166" s="15">
        <v>1513753</v>
      </c>
      <c r="BN166" s="15">
        <v>1493694</v>
      </c>
      <c r="BO166" s="15">
        <v>125467</v>
      </c>
      <c r="BP166" s="15">
        <v>384998</v>
      </c>
      <c r="BQ166" s="15">
        <v>1187705</v>
      </c>
      <c r="BR166" s="15">
        <v>786624</v>
      </c>
    </row>
    <row r="167" spans="38:70" x14ac:dyDescent="0.25">
      <c r="AL167" s="4"/>
      <c r="AO167" s="4"/>
      <c r="AS167" s="4"/>
      <c r="AV167" s="4"/>
      <c r="AW167" s="4"/>
      <c r="AY167" s="4"/>
      <c r="AZ167" s="4"/>
      <c r="BA167" s="4"/>
      <c r="BC167" s="4"/>
      <c r="BD167" s="4"/>
      <c r="BG167" s="4"/>
      <c r="BH167" s="4"/>
      <c r="BK167" s="4">
        <v>42503</v>
      </c>
      <c r="BL167" s="15">
        <v>9912742</v>
      </c>
      <c r="BM167" s="15">
        <v>1481411</v>
      </c>
      <c r="BN167" s="15">
        <v>1492959</v>
      </c>
      <c r="BO167" s="15">
        <v>128937</v>
      </c>
      <c r="BP167" s="15">
        <v>387120</v>
      </c>
      <c r="BQ167" s="15">
        <v>1152310</v>
      </c>
      <c r="BR167" s="15">
        <v>790849</v>
      </c>
    </row>
    <row r="168" spans="38:70" x14ac:dyDescent="0.25">
      <c r="AL168" s="4"/>
      <c r="AO168" s="4"/>
      <c r="AS168" s="4"/>
      <c r="AV168" s="4"/>
      <c r="AW168" s="4"/>
      <c r="AY168" s="4"/>
      <c r="AZ168" s="4"/>
      <c r="BA168" s="4"/>
      <c r="BC168" s="4"/>
      <c r="BD168" s="4"/>
      <c r="BG168" s="4"/>
      <c r="BH168" s="4"/>
      <c r="BK168" s="4">
        <v>42496</v>
      </c>
      <c r="BL168" s="15">
        <v>9895458</v>
      </c>
      <c r="BM168" s="15">
        <v>1409265</v>
      </c>
      <c r="BN168" s="15">
        <v>1506704</v>
      </c>
      <c r="BO168" s="15">
        <v>129587</v>
      </c>
      <c r="BP168" s="15">
        <v>385540</v>
      </c>
      <c r="BQ168" s="15">
        <v>1109659</v>
      </c>
      <c r="BR168" s="15">
        <v>795473</v>
      </c>
    </row>
    <row r="169" spans="38:70" x14ac:dyDescent="0.25">
      <c r="AL169" s="4"/>
      <c r="AO169" s="4"/>
      <c r="AS169" s="4"/>
      <c r="AV169" s="4"/>
      <c r="AW169" s="4"/>
      <c r="AY169" s="4"/>
      <c r="AZ169" s="4"/>
      <c r="BA169" s="4"/>
      <c r="BC169" s="4"/>
      <c r="BD169" s="4"/>
      <c r="BG169" s="4"/>
      <c r="BH169" s="4"/>
      <c r="BK169" s="4">
        <v>42489</v>
      </c>
      <c r="BL169" s="15">
        <v>9863726</v>
      </c>
      <c r="BM169" s="15">
        <v>1423842</v>
      </c>
      <c r="BN169" s="15">
        <v>1479178</v>
      </c>
      <c r="BO169" s="15">
        <v>128019</v>
      </c>
      <c r="BP169" s="15">
        <v>387501</v>
      </c>
      <c r="BQ169" s="15">
        <v>1076918</v>
      </c>
      <c r="BR169" s="15">
        <v>798121</v>
      </c>
    </row>
    <row r="170" spans="38:70" x14ac:dyDescent="0.25">
      <c r="AL170" s="4"/>
      <c r="AO170" s="4"/>
      <c r="AS170" s="4"/>
      <c r="AV170" s="4"/>
      <c r="AW170" s="4"/>
      <c r="AY170" s="4"/>
      <c r="AZ170" s="4"/>
      <c r="BA170" s="4"/>
      <c r="BC170" s="4"/>
      <c r="BD170" s="4"/>
      <c r="BG170" s="4"/>
      <c r="BH170" s="4"/>
      <c r="BK170" s="4">
        <v>42482</v>
      </c>
      <c r="BL170" s="15">
        <v>9864490</v>
      </c>
      <c r="BM170" s="15">
        <v>1486972</v>
      </c>
      <c r="BN170" s="15">
        <v>1492431</v>
      </c>
      <c r="BO170" s="15">
        <v>123506</v>
      </c>
      <c r="BP170" s="15">
        <v>389218</v>
      </c>
      <c r="BQ170" s="15">
        <v>1122863</v>
      </c>
      <c r="BR170" s="15">
        <v>803986</v>
      </c>
    </row>
    <row r="171" spans="38:70" x14ac:dyDescent="0.25">
      <c r="AL171" s="4"/>
      <c r="AO171" s="4"/>
      <c r="AS171" s="4"/>
      <c r="AV171" s="4"/>
      <c r="AW171" s="4"/>
      <c r="AY171" s="4"/>
      <c r="AZ171" s="4"/>
      <c r="BA171" s="4"/>
      <c r="BC171" s="4"/>
      <c r="BD171" s="4"/>
      <c r="BG171" s="4"/>
      <c r="BH171" s="4"/>
      <c r="BK171" s="4">
        <v>42475</v>
      </c>
      <c r="BL171" s="15">
        <v>9832708</v>
      </c>
      <c r="BM171" s="15">
        <v>1490955</v>
      </c>
      <c r="BN171" s="15">
        <v>1493741</v>
      </c>
      <c r="BO171" s="15">
        <v>123111</v>
      </c>
      <c r="BP171" s="15">
        <v>387968</v>
      </c>
      <c r="BQ171" s="15">
        <v>1121198</v>
      </c>
      <c r="BR171" s="15">
        <v>810305</v>
      </c>
    </row>
    <row r="172" spans="38:70" x14ac:dyDescent="0.25">
      <c r="AL172" s="4"/>
      <c r="AO172" s="4"/>
      <c r="AS172" s="4"/>
      <c r="AV172" s="4"/>
      <c r="AW172" s="4"/>
      <c r="AY172" s="4"/>
      <c r="AZ172" s="4"/>
      <c r="BA172" s="4"/>
      <c r="BC172" s="4"/>
      <c r="BD172" s="4"/>
      <c r="BG172" s="4"/>
      <c r="BH172" s="4"/>
      <c r="BK172" s="4">
        <v>42468</v>
      </c>
      <c r="BL172" s="15">
        <v>9874124</v>
      </c>
      <c r="BM172" s="15">
        <v>1439831</v>
      </c>
      <c r="BN172" s="15">
        <v>1486007</v>
      </c>
      <c r="BO172" s="15">
        <v>128518</v>
      </c>
      <c r="BP172" s="15">
        <v>387694</v>
      </c>
      <c r="BQ172" s="15">
        <v>1118822</v>
      </c>
      <c r="BR172" s="15">
        <v>813699</v>
      </c>
    </row>
    <row r="173" spans="38:70" x14ac:dyDescent="0.25">
      <c r="AL173" s="4"/>
      <c r="AO173" s="4"/>
      <c r="AS173" s="4"/>
      <c r="AV173" s="4"/>
      <c r="AW173" s="4"/>
      <c r="AY173" s="4"/>
      <c r="AZ173" s="4"/>
      <c r="BA173" s="4"/>
      <c r="BC173" s="4"/>
      <c r="BD173" s="4"/>
      <c r="BG173" s="4"/>
      <c r="BH173" s="4"/>
      <c r="BK173" s="4">
        <v>42461</v>
      </c>
      <c r="BL173" s="15">
        <v>9904763</v>
      </c>
      <c r="BM173" s="15">
        <v>1461013</v>
      </c>
      <c r="BN173" s="15">
        <v>1445946</v>
      </c>
      <c r="BO173" s="15">
        <v>127767</v>
      </c>
      <c r="BP173" s="15">
        <v>388329</v>
      </c>
      <c r="BQ173" s="15">
        <v>1028608</v>
      </c>
      <c r="BR173" s="15">
        <v>817322</v>
      </c>
    </row>
    <row r="174" spans="38:70" x14ac:dyDescent="0.25">
      <c r="AL174" s="4"/>
      <c r="AO174" s="4"/>
      <c r="AS174" s="4"/>
      <c r="AV174" s="4"/>
      <c r="AW174" s="4"/>
      <c r="AY174" s="4"/>
      <c r="AZ174" s="4"/>
      <c r="BA174" s="4"/>
      <c r="BC174" s="4"/>
      <c r="BD174" s="4"/>
      <c r="BG174" s="4"/>
      <c r="BH174" s="4"/>
      <c r="BK174" s="4">
        <v>42454</v>
      </c>
      <c r="BL174" s="15">
        <v>9847454</v>
      </c>
      <c r="BM174" s="15">
        <v>1496172</v>
      </c>
      <c r="BN174" s="15">
        <v>1467978</v>
      </c>
      <c r="BO174" s="15">
        <v>124899</v>
      </c>
      <c r="BP174" s="15">
        <v>388570</v>
      </c>
      <c r="BQ174" s="15">
        <v>1109964</v>
      </c>
      <c r="BR174" s="15">
        <v>822244</v>
      </c>
    </row>
    <row r="175" spans="38:70" x14ac:dyDescent="0.25">
      <c r="AL175" s="4"/>
      <c r="AO175" s="4"/>
      <c r="AS175" s="4"/>
      <c r="AV175" s="4"/>
      <c r="AW175" s="4"/>
      <c r="AY175" s="4"/>
      <c r="AZ175" s="4"/>
      <c r="BA175" s="4"/>
      <c r="BC175" s="4"/>
      <c r="BD175" s="4"/>
      <c r="BG175" s="4"/>
      <c r="BH175" s="4"/>
      <c r="BK175" s="4">
        <v>42447</v>
      </c>
      <c r="BL175" s="15">
        <v>9816393</v>
      </c>
      <c r="BM175" s="15">
        <v>1482346</v>
      </c>
      <c r="BN175" s="15">
        <v>1475995</v>
      </c>
      <c r="BO175" s="15">
        <v>118398</v>
      </c>
      <c r="BP175" s="15">
        <v>387786</v>
      </c>
      <c r="BQ175" s="15">
        <v>1108480</v>
      </c>
      <c r="BR175" s="15">
        <v>828731</v>
      </c>
    </row>
    <row r="176" spans="38:70" x14ac:dyDescent="0.25">
      <c r="AL176" s="4"/>
      <c r="AO176" s="4"/>
      <c r="AS176" s="4"/>
      <c r="AV176" s="4"/>
      <c r="AW176" s="4"/>
      <c r="AY176" s="4"/>
      <c r="AZ176" s="4"/>
      <c r="BA176" s="4"/>
      <c r="BC176" s="4"/>
      <c r="BD176" s="4"/>
      <c r="BG176" s="4"/>
      <c r="BH176" s="4"/>
      <c r="BK176" s="4">
        <v>42440</v>
      </c>
      <c r="BL176" s="15">
        <v>9798002</v>
      </c>
      <c r="BM176" s="15">
        <v>1435513</v>
      </c>
      <c r="BN176" s="15">
        <v>1484624</v>
      </c>
      <c r="BO176" s="15">
        <v>122041</v>
      </c>
      <c r="BP176" s="15">
        <v>387937</v>
      </c>
      <c r="BQ176" s="15">
        <v>1107316</v>
      </c>
      <c r="BR176" s="15">
        <v>830439</v>
      </c>
    </row>
    <row r="177" spans="38:70" x14ac:dyDescent="0.25">
      <c r="AL177" s="4"/>
      <c r="AO177" s="4"/>
      <c r="AS177" s="4"/>
      <c r="AV177" s="4"/>
      <c r="AW177" s="4"/>
      <c r="AY177" s="4"/>
      <c r="AZ177" s="4"/>
      <c r="BA177" s="4"/>
      <c r="BC177" s="4"/>
      <c r="BD177" s="4"/>
      <c r="BG177" s="4"/>
      <c r="BH177" s="4"/>
      <c r="BK177" s="4">
        <v>42433</v>
      </c>
      <c r="BL177" s="15">
        <v>9827655</v>
      </c>
      <c r="BM177" s="15">
        <v>1420509</v>
      </c>
      <c r="BN177" s="15">
        <v>1445298</v>
      </c>
      <c r="BO177" s="15">
        <v>121808</v>
      </c>
      <c r="BP177" s="15">
        <v>388946</v>
      </c>
      <c r="BQ177" s="15">
        <v>1194791</v>
      </c>
      <c r="BR177" s="15">
        <v>832936</v>
      </c>
    </row>
    <row r="178" spans="38:70" x14ac:dyDescent="0.25">
      <c r="AL178" s="4"/>
      <c r="AO178" s="4"/>
      <c r="AS178" s="4"/>
      <c r="AV178" s="4"/>
      <c r="AW178" s="4"/>
      <c r="AY178" s="4"/>
      <c r="AZ178" s="4"/>
      <c r="BA178" s="4"/>
      <c r="BC178" s="4"/>
      <c r="BD178" s="4"/>
      <c r="BG178" s="4"/>
      <c r="BH178" s="4"/>
      <c r="BK178" s="4">
        <v>42426</v>
      </c>
      <c r="BL178" s="15">
        <v>9853619</v>
      </c>
      <c r="BM178" s="15">
        <v>1478793</v>
      </c>
      <c r="BN178" s="15">
        <v>1466920</v>
      </c>
      <c r="BO178" s="15">
        <v>122153</v>
      </c>
      <c r="BP178" s="15">
        <v>388400</v>
      </c>
      <c r="BQ178" s="15">
        <v>1177407</v>
      </c>
      <c r="BR178" s="15">
        <v>834716</v>
      </c>
    </row>
    <row r="179" spans="38:70" x14ac:dyDescent="0.25">
      <c r="AL179" s="4"/>
      <c r="AO179" s="4"/>
      <c r="AS179" s="4"/>
      <c r="AV179" s="4"/>
      <c r="AW179" s="4"/>
      <c r="AY179" s="4"/>
      <c r="AZ179" s="4"/>
      <c r="BA179" s="4"/>
      <c r="BC179" s="4"/>
      <c r="BD179" s="4"/>
      <c r="BG179" s="4"/>
      <c r="BH179" s="4"/>
      <c r="BK179" s="4">
        <v>42419</v>
      </c>
      <c r="BL179" s="15">
        <v>9823374</v>
      </c>
      <c r="BM179" s="15">
        <v>1418736</v>
      </c>
      <c r="BN179" s="15">
        <v>1434111</v>
      </c>
      <c r="BO179" s="15">
        <v>118566</v>
      </c>
      <c r="BP179" s="15">
        <v>388264</v>
      </c>
      <c r="BQ179" s="15">
        <v>1186419</v>
      </c>
      <c r="BR179" s="15">
        <v>833707</v>
      </c>
    </row>
    <row r="180" spans="38:70" x14ac:dyDescent="0.25">
      <c r="AL180" s="4"/>
      <c r="AO180" s="4"/>
      <c r="AS180" s="4"/>
      <c r="AV180" s="4"/>
      <c r="AW180" s="4"/>
      <c r="AY180" s="4"/>
      <c r="AZ180" s="4"/>
      <c r="BA180" s="4"/>
      <c r="BC180" s="4"/>
      <c r="BD180" s="4"/>
      <c r="BG180" s="4"/>
      <c r="BH180" s="4"/>
      <c r="BK180" s="4">
        <v>42412</v>
      </c>
      <c r="BL180" s="15">
        <v>9754372</v>
      </c>
      <c r="BM180" s="15">
        <v>1397130</v>
      </c>
      <c r="BN180" s="15">
        <v>1474074</v>
      </c>
      <c r="BO180" s="15">
        <v>121299</v>
      </c>
      <c r="BP180" s="15">
        <v>388920</v>
      </c>
      <c r="BQ180" s="15">
        <v>1166753</v>
      </c>
      <c r="BR180" s="15">
        <v>824016</v>
      </c>
    </row>
    <row r="181" spans="38:70" x14ac:dyDescent="0.25">
      <c r="AL181" s="4"/>
      <c r="AO181" s="4"/>
      <c r="AS181" s="4"/>
      <c r="AV181" s="4"/>
      <c r="AW181" s="4"/>
      <c r="AY181" s="4"/>
      <c r="AZ181" s="4"/>
      <c r="BA181" s="4"/>
      <c r="BC181" s="4"/>
      <c r="BD181" s="4"/>
      <c r="BG181" s="4"/>
      <c r="BH181" s="4"/>
      <c r="BK181" s="4">
        <v>42405</v>
      </c>
      <c r="BL181" s="15">
        <v>9821180</v>
      </c>
      <c r="BM181" s="15">
        <v>1416289</v>
      </c>
      <c r="BN181" s="15">
        <v>1462779</v>
      </c>
      <c r="BO181" s="15">
        <v>117730</v>
      </c>
      <c r="BP181" s="15">
        <v>389103</v>
      </c>
      <c r="BQ181" s="15">
        <v>1160019</v>
      </c>
      <c r="BR181" s="15">
        <v>827600</v>
      </c>
    </row>
    <row r="182" spans="38:70" x14ac:dyDescent="0.25">
      <c r="AL182" s="4"/>
      <c r="AO182" s="4"/>
      <c r="AS182" s="4"/>
      <c r="AV182" s="4"/>
      <c r="AW182" s="4"/>
      <c r="AY182" s="4"/>
      <c r="AZ182" s="4"/>
      <c r="BA182" s="4"/>
      <c r="BC182" s="4"/>
      <c r="BD182" s="4"/>
      <c r="BG182" s="4"/>
      <c r="BH182" s="4"/>
      <c r="BK182" s="4">
        <v>42398</v>
      </c>
      <c r="BL182" s="15">
        <v>9732090</v>
      </c>
      <c r="BM182" s="15">
        <v>1422208</v>
      </c>
      <c r="BN182" s="15">
        <v>1441325</v>
      </c>
      <c r="BO182" s="15">
        <v>108465</v>
      </c>
      <c r="BP182" s="15">
        <v>388105</v>
      </c>
      <c r="BQ182" s="15">
        <v>1102176</v>
      </c>
      <c r="BR182" s="15">
        <v>823276</v>
      </c>
    </row>
    <row r="183" spans="38:70" x14ac:dyDescent="0.25">
      <c r="AL183" s="4"/>
      <c r="AO183" s="4"/>
      <c r="AS183" s="4"/>
      <c r="AV183" s="4"/>
      <c r="AW183" s="4"/>
      <c r="AY183" s="4"/>
      <c r="AZ183" s="4"/>
      <c r="BA183" s="4"/>
      <c r="BC183" s="4"/>
      <c r="BD183" s="4"/>
      <c r="BG183" s="4"/>
      <c r="BH183" s="4"/>
      <c r="BK183" s="4">
        <v>42391</v>
      </c>
      <c r="BL183" s="15">
        <v>9779217</v>
      </c>
      <c r="BM183" s="15">
        <v>1421160</v>
      </c>
      <c r="BN183" s="15">
        <v>1431455</v>
      </c>
      <c r="BO183" s="15">
        <v>115179</v>
      </c>
      <c r="BP183" s="15">
        <v>387850</v>
      </c>
      <c r="BQ183" s="15">
        <v>1097943</v>
      </c>
      <c r="BR183" s="15">
        <v>816365</v>
      </c>
    </row>
    <row r="184" spans="38:70" x14ac:dyDescent="0.25">
      <c r="AL184" s="4"/>
      <c r="AO184" s="4"/>
      <c r="AS184" s="4"/>
      <c r="AV184" s="4"/>
      <c r="AW184" s="4"/>
      <c r="AY184" s="4"/>
      <c r="AZ184" s="4"/>
      <c r="BA184" s="4"/>
      <c r="BC184" s="4"/>
      <c r="BD184" s="4"/>
      <c r="BG184" s="4"/>
      <c r="BH184" s="4"/>
      <c r="BK184" s="4">
        <v>42384</v>
      </c>
      <c r="BL184" s="15">
        <v>9816964</v>
      </c>
      <c r="BM184" s="15">
        <v>1432006</v>
      </c>
      <c r="BN184" s="15">
        <v>1466556</v>
      </c>
      <c r="BO184" s="15">
        <v>116496</v>
      </c>
      <c r="BP184" s="15">
        <v>387355</v>
      </c>
      <c r="BQ184" s="15">
        <v>1056854</v>
      </c>
      <c r="BR184" s="15">
        <v>807053</v>
      </c>
    </row>
    <row r="185" spans="38:70" x14ac:dyDescent="0.25">
      <c r="AL185" s="4"/>
      <c r="AO185" s="4"/>
      <c r="AS185" s="4"/>
      <c r="AV185" s="4"/>
      <c r="AW185" s="4"/>
      <c r="AY185" s="4"/>
      <c r="AZ185" s="4"/>
      <c r="BA185" s="4"/>
      <c r="BC185" s="4"/>
      <c r="BD185" s="4"/>
      <c r="BG185" s="4"/>
      <c r="BH185" s="4"/>
      <c r="BK185" s="4">
        <v>42377</v>
      </c>
      <c r="BL185" s="15">
        <v>9810632</v>
      </c>
      <c r="BM185" s="15">
        <v>1378417</v>
      </c>
      <c r="BN185" s="15">
        <v>1468752</v>
      </c>
      <c r="BO185" s="15">
        <v>116390</v>
      </c>
      <c r="BP185" s="15">
        <v>387899</v>
      </c>
      <c r="BQ185" s="15">
        <v>1021114</v>
      </c>
      <c r="BR185" s="15">
        <v>808230</v>
      </c>
    </row>
    <row r="186" spans="38:70" x14ac:dyDescent="0.25">
      <c r="AL186" s="4"/>
      <c r="AO186" s="4"/>
      <c r="AS186" s="4"/>
      <c r="AV186" s="4"/>
      <c r="AW186" s="4"/>
      <c r="AY186" s="4"/>
      <c r="AZ186" s="4"/>
      <c r="BA186" s="4"/>
      <c r="BC186" s="4"/>
      <c r="BD186" s="4"/>
      <c r="BG186" s="4"/>
      <c r="BH186" s="4"/>
      <c r="BK186" s="4">
        <v>42370</v>
      </c>
      <c r="BL186" s="15">
        <v>9827283</v>
      </c>
      <c r="BM186" s="15">
        <v>1415290</v>
      </c>
      <c r="BN186" s="15">
        <v>1447553</v>
      </c>
      <c r="BO186" s="15">
        <v>115996</v>
      </c>
      <c r="BP186" s="15">
        <v>385962</v>
      </c>
      <c r="BQ186" s="15">
        <v>934063</v>
      </c>
      <c r="BR186" s="15">
        <v>813885</v>
      </c>
    </row>
    <row r="187" spans="38:70" x14ac:dyDescent="0.25">
      <c r="AL187" s="4"/>
      <c r="AO187" s="4"/>
      <c r="AS187" s="4"/>
      <c r="AV187" s="4"/>
      <c r="AW187" s="4"/>
      <c r="AY187" s="4"/>
      <c r="AZ187" s="4"/>
      <c r="BA187" s="4"/>
      <c r="BC187" s="4"/>
      <c r="BD187" s="4"/>
      <c r="BG187" s="4"/>
      <c r="BH187" s="4"/>
      <c r="BK187" s="4">
        <v>42363</v>
      </c>
      <c r="BL187" s="15">
        <v>9785588</v>
      </c>
      <c r="BM187" s="15">
        <v>1377359</v>
      </c>
      <c r="BN187" s="15">
        <v>1453218</v>
      </c>
      <c r="BO187" s="15">
        <v>118390</v>
      </c>
      <c r="BP187" s="15">
        <v>386011</v>
      </c>
      <c r="BQ187" s="15">
        <v>981158</v>
      </c>
      <c r="BR187" s="15">
        <v>812342</v>
      </c>
    </row>
    <row r="188" spans="38:70" x14ac:dyDescent="0.25">
      <c r="AL188" s="4"/>
      <c r="AO188" s="4"/>
      <c r="AS188" s="4"/>
      <c r="AV188" s="4"/>
      <c r="AW188" s="4"/>
      <c r="AY188" s="4"/>
      <c r="AZ188" s="4"/>
      <c r="BA188" s="4"/>
      <c r="BC188" s="4"/>
      <c r="BD188" s="4"/>
      <c r="BG188" s="4"/>
      <c r="BH188" s="4"/>
      <c r="BK188" s="4">
        <v>42356</v>
      </c>
      <c r="BL188" s="15">
        <v>9698802</v>
      </c>
      <c r="BM188" s="15">
        <v>1387871</v>
      </c>
      <c r="BN188" s="15">
        <v>1417520</v>
      </c>
      <c r="BO188" s="15">
        <v>113529</v>
      </c>
      <c r="BP188" s="15">
        <v>388629</v>
      </c>
      <c r="BQ188" s="15">
        <v>1016653</v>
      </c>
      <c r="BR188" s="15">
        <v>806663</v>
      </c>
    </row>
    <row r="189" spans="38:70" x14ac:dyDescent="0.25">
      <c r="AL189" s="4"/>
      <c r="AO189" s="4"/>
      <c r="AS189" s="4"/>
      <c r="AV189" s="4"/>
      <c r="AW189" s="4"/>
      <c r="AY189" s="4"/>
      <c r="AZ189" s="4"/>
      <c r="BA189" s="4"/>
      <c r="BC189" s="4"/>
      <c r="BD189" s="4"/>
      <c r="BG189" s="4"/>
      <c r="BH189" s="4"/>
      <c r="BK189" s="4">
        <v>42349</v>
      </c>
      <c r="BL189" s="15">
        <v>9663466</v>
      </c>
      <c r="BM189" s="15">
        <v>1380079</v>
      </c>
      <c r="BN189" s="15">
        <v>1445018</v>
      </c>
      <c r="BO189" s="15">
        <v>115415</v>
      </c>
      <c r="BP189" s="15">
        <v>389095</v>
      </c>
      <c r="BQ189" s="15">
        <v>1006584</v>
      </c>
      <c r="BR189" s="15">
        <v>797680</v>
      </c>
    </row>
    <row r="190" spans="38:70" x14ac:dyDescent="0.25">
      <c r="AL190" s="4"/>
      <c r="AO190" s="4"/>
      <c r="AS190" s="4"/>
      <c r="AV190" s="4"/>
      <c r="AW190" s="4"/>
      <c r="AY190" s="4"/>
      <c r="AZ190" s="4"/>
      <c r="BA190" s="4"/>
      <c r="BC190" s="4"/>
      <c r="BD190" s="4"/>
      <c r="BG190" s="4"/>
      <c r="BH190" s="4"/>
      <c r="BK190" s="4">
        <v>42342</v>
      </c>
      <c r="BL190" s="15">
        <v>9760611</v>
      </c>
      <c r="BM190" s="15">
        <v>1356351</v>
      </c>
      <c r="BN190" s="15">
        <v>1464899</v>
      </c>
      <c r="BO190" s="15">
        <v>116461</v>
      </c>
      <c r="BP190" s="15">
        <v>389474</v>
      </c>
      <c r="BQ190" s="15">
        <v>1054684</v>
      </c>
      <c r="BR190" s="15">
        <v>800479</v>
      </c>
    </row>
    <row r="191" spans="38:70" x14ac:dyDescent="0.25">
      <c r="AL191" s="4"/>
      <c r="AO191" s="4"/>
      <c r="AS191" s="4"/>
      <c r="AV191" s="4"/>
      <c r="AW191" s="4"/>
      <c r="AY191" s="4"/>
      <c r="AZ191" s="4"/>
      <c r="BA191" s="4"/>
      <c r="BC191" s="4"/>
      <c r="BD191" s="4"/>
      <c r="BG191" s="4"/>
      <c r="BH191" s="4"/>
      <c r="BK191" s="4">
        <v>42335</v>
      </c>
      <c r="BL191" s="15">
        <v>9639399</v>
      </c>
      <c r="BM191" s="15">
        <v>1369782</v>
      </c>
      <c r="BN191" s="15">
        <v>1455239</v>
      </c>
      <c r="BO191" s="15">
        <v>116665</v>
      </c>
      <c r="BP191" s="15">
        <v>390556</v>
      </c>
      <c r="BQ191" s="15">
        <v>1005003</v>
      </c>
      <c r="BR191" s="15">
        <v>805149</v>
      </c>
    </row>
    <row r="192" spans="38:70" x14ac:dyDescent="0.25">
      <c r="AL192" s="4"/>
      <c r="AO192" s="4"/>
      <c r="AS192" s="4"/>
      <c r="AV192" s="4"/>
      <c r="AW192" s="4"/>
      <c r="AY192" s="4"/>
      <c r="AZ192" s="4"/>
      <c r="BA192" s="4"/>
      <c r="BC192" s="4"/>
      <c r="BD192" s="4"/>
      <c r="BG192" s="4"/>
      <c r="BH192" s="4"/>
      <c r="BK192" s="4">
        <v>42328</v>
      </c>
      <c r="BL192" s="15">
        <v>9652362</v>
      </c>
      <c r="BM192" s="15">
        <v>1396884</v>
      </c>
      <c r="BN192" s="15">
        <v>1441874</v>
      </c>
      <c r="BO192" s="15">
        <v>113504</v>
      </c>
      <c r="BP192" s="15">
        <v>391672</v>
      </c>
      <c r="BQ192" s="15">
        <v>1031393</v>
      </c>
      <c r="BR192" s="15">
        <v>802625</v>
      </c>
    </row>
    <row r="193" spans="38:70" x14ac:dyDescent="0.25">
      <c r="AL193" s="4"/>
      <c r="AO193" s="4"/>
      <c r="AS193" s="4"/>
      <c r="AV193" s="4"/>
      <c r="AW193" s="4"/>
      <c r="AY193" s="4"/>
      <c r="AZ193" s="4"/>
      <c r="BA193" s="4"/>
      <c r="BC193" s="4"/>
      <c r="BD193" s="4"/>
      <c r="BG193" s="4"/>
      <c r="BH193" s="4"/>
      <c r="BK193" s="4">
        <v>42321</v>
      </c>
      <c r="BL193" s="15">
        <v>9621323</v>
      </c>
      <c r="BM193" s="15">
        <v>1355785</v>
      </c>
      <c r="BN193" s="15">
        <v>1440865</v>
      </c>
      <c r="BO193" s="15">
        <v>115834</v>
      </c>
      <c r="BP193" s="15">
        <v>390883</v>
      </c>
      <c r="BQ193" s="15">
        <v>1046034</v>
      </c>
      <c r="BR193" s="15">
        <v>803561</v>
      </c>
    </row>
    <row r="194" spans="38:70" x14ac:dyDescent="0.25">
      <c r="AL194" s="4"/>
      <c r="AO194" s="4"/>
      <c r="AS194" s="4"/>
      <c r="AV194" s="4"/>
      <c r="AW194" s="4"/>
      <c r="AY194" s="4"/>
      <c r="AZ194" s="4"/>
      <c r="BA194" s="4"/>
      <c r="BC194" s="4"/>
      <c r="BD194" s="4"/>
      <c r="BG194" s="4"/>
      <c r="BH194" s="4"/>
      <c r="BK194" s="4">
        <v>42314</v>
      </c>
      <c r="BL194" s="15">
        <v>9622789</v>
      </c>
      <c r="BM194" s="15">
        <v>1346595</v>
      </c>
      <c r="BN194" s="15">
        <v>1406891</v>
      </c>
      <c r="BO194" s="15">
        <v>114238</v>
      </c>
      <c r="BP194" s="15">
        <v>392640</v>
      </c>
      <c r="BQ194" s="15">
        <v>1053552</v>
      </c>
      <c r="BR194" s="15">
        <v>809250</v>
      </c>
    </row>
    <row r="195" spans="38:70" x14ac:dyDescent="0.25">
      <c r="AL195" s="4"/>
      <c r="AO195" s="4"/>
      <c r="AS195" s="4"/>
      <c r="AV195" s="4"/>
      <c r="AW195" s="4"/>
      <c r="AY195" s="4"/>
      <c r="AZ195" s="4"/>
      <c r="BA195" s="4"/>
      <c r="BC195" s="4"/>
      <c r="BD195" s="4"/>
      <c r="BG195" s="4"/>
      <c r="BH195" s="4"/>
      <c r="BK195" s="4">
        <v>42307</v>
      </c>
      <c r="BL195" s="15">
        <v>9644228</v>
      </c>
      <c r="BM195" s="15">
        <v>1361089</v>
      </c>
      <c r="BN195" s="15">
        <v>1385495</v>
      </c>
      <c r="BO195" s="15">
        <v>115767</v>
      </c>
      <c r="BP195" s="15">
        <v>392025</v>
      </c>
      <c r="BQ195" s="15">
        <v>1037844</v>
      </c>
      <c r="BR195" s="15">
        <v>811186</v>
      </c>
    </row>
    <row r="196" spans="38:70" x14ac:dyDescent="0.25">
      <c r="AL196" s="4"/>
      <c r="AO196" s="4"/>
      <c r="AS196" s="4"/>
      <c r="AV196" s="4"/>
      <c r="AW196" s="4"/>
      <c r="AY196" s="4"/>
      <c r="AZ196" s="4"/>
      <c r="BA196" s="4"/>
      <c r="BC196" s="4"/>
      <c r="BD196" s="4"/>
      <c r="BG196" s="4"/>
      <c r="BH196" s="4"/>
      <c r="BK196" s="4">
        <v>42300</v>
      </c>
      <c r="BL196" s="15">
        <v>9599570</v>
      </c>
      <c r="BM196" s="15">
        <v>1343948</v>
      </c>
      <c r="BN196" s="15">
        <v>1408447</v>
      </c>
      <c r="BO196" s="15">
        <v>107700</v>
      </c>
      <c r="BP196" s="15">
        <v>406791</v>
      </c>
      <c r="BQ196" s="15">
        <v>1030356</v>
      </c>
      <c r="BR196" s="15">
        <v>815896</v>
      </c>
    </row>
    <row r="197" spans="38:70" x14ac:dyDescent="0.25">
      <c r="AL197" s="4"/>
      <c r="AO197" s="4"/>
      <c r="AS197" s="4"/>
      <c r="AV197" s="4"/>
      <c r="AW197" s="4"/>
      <c r="AY197" s="4"/>
      <c r="AZ197" s="4"/>
      <c r="BA197" s="4"/>
      <c r="BC197" s="4"/>
      <c r="BD197" s="4"/>
      <c r="BG197" s="4"/>
      <c r="BH197" s="4"/>
      <c r="BK197" s="4">
        <v>42293</v>
      </c>
      <c r="BL197" s="15">
        <v>9562331</v>
      </c>
      <c r="BM197" s="15">
        <v>1365708</v>
      </c>
      <c r="BN197" s="15">
        <v>1433186</v>
      </c>
      <c r="BO197" s="15">
        <v>108500</v>
      </c>
      <c r="BP197" s="15">
        <v>406901</v>
      </c>
      <c r="BQ197" s="15">
        <v>1075334</v>
      </c>
      <c r="BR197" s="15">
        <v>813028</v>
      </c>
    </row>
    <row r="198" spans="38:70" x14ac:dyDescent="0.25">
      <c r="AL198" s="4"/>
      <c r="AO198" s="4"/>
      <c r="AS198" s="4"/>
      <c r="AV198" s="4"/>
      <c r="AW198" s="4"/>
      <c r="AY198" s="4"/>
      <c r="AZ198" s="4"/>
      <c r="BA198" s="4"/>
      <c r="BC198" s="4"/>
      <c r="BD198" s="4"/>
      <c r="BG198" s="4"/>
      <c r="BH198" s="4"/>
      <c r="BK198" s="4">
        <v>42286</v>
      </c>
      <c r="BL198" s="15">
        <v>9527273</v>
      </c>
      <c r="BM198" s="15">
        <v>1368429</v>
      </c>
      <c r="BN198" s="15">
        <v>1446794</v>
      </c>
      <c r="BO198" s="15">
        <v>108336</v>
      </c>
      <c r="BP198" s="15">
        <v>403649</v>
      </c>
      <c r="BQ198" s="15">
        <v>1080523</v>
      </c>
      <c r="BR198" s="15">
        <v>811717</v>
      </c>
    </row>
    <row r="199" spans="38:70" x14ac:dyDescent="0.25">
      <c r="AL199" s="4"/>
      <c r="AO199" s="4"/>
      <c r="AS199" s="4"/>
      <c r="AV199" s="4"/>
      <c r="AW199" s="4"/>
      <c r="AY199" s="4"/>
      <c r="AZ199" s="4"/>
      <c r="BA199" s="4"/>
      <c r="BC199" s="4"/>
      <c r="BD199" s="4"/>
      <c r="BG199" s="4"/>
      <c r="BH199" s="4"/>
      <c r="BK199" s="4">
        <v>42279</v>
      </c>
      <c r="BL199" s="15">
        <v>9510631</v>
      </c>
      <c r="BM199" s="15">
        <v>1337468</v>
      </c>
      <c r="BN199" s="15">
        <v>1433477</v>
      </c>
      <c r="BO199" s="15">
        <v>112033</v>
      </c>
      <c r="BP199" s="15">
        <v>403524</v>
      </c>
      <c r="BQ199" s="15">
        <v>1083100</v>
      </c>
      <c r="BR199" s="15">
        <v>807754</v>
      </c>
    </row>
    <row r="200" spans="38:70" x14ac:dyDescent="0.25">
      <c r="AL200" s="4"/>
      <c r="AO200" s="4"/>
      <c r="AS200" s="4"/>
      <c r="AV200" s="4"/>
      <c r="AW200" s="4"/>
      <c r="AY200" s="4"/>
      <c r="AZ200" s="4"/>
      <c r="BA200" s="4"/>
      <c r="BC200" s="4"/>
      <c r="BD200" s="4"/>
      <c r="BG200" s="4"/>
      <c r="BH200" s="4"/>
      <c r="BK200" s="4">
        <v>42272</v>
      </c>
      <c r="BL200" s="15">
        <v>9612162</v>
      </c>
      <c r="BM200" s="15">
        <v>1411288</v>
      </c>
      <c r="BN200" s="15">
        <v>1448548</v>
      </c>
      <c r="BO200" s="15">
        <v>117385</v>
      </c>
      <c r="BP200" s="15">
        <v>403810</v>
      </c>
      <c r="BQ200" s="15">
        <v>1039926</v>
      </c>
      <c r="BR200" s="15">
        <v>803597</v>
      </c>
    </row>
    <row r="201" spans="38:70" x14ac:dyDescent="0.25">
      <c r="AL201" s="4"/>
      <c r="AO201" s="4"/>
      <c r="AS201" s="4"/>
      <c r="AV201" s="4"/>
      <c r="AW201" s="4"/>
      <c r="AY201" s="4"/>
      <c r="AZ201" s="4"/>
      <c r="BA201" s="4"/>
      <c r="BC201" s="4"/>
      <c r="BD201" s="4"/>
      <c r="BG201" s="4"/>
      <c r="BH201" s="4"/>
      <c r="BK201" s="4">
        <v>42265</v>
      </c>
      <c r="BL201" s="15">
        <v>9512419</v>
      </c>
      <c r="BM201" s="15">
        <v>1344628</v>
      </c>
      <c r="BN201" s="15">
        <v>1441178</v>
      </c>
      <c r="BO201" s="15">
        <v>109126</v>
      </c>
      <c r="BP201" s="15">
        <v>406991</v>
      </c>
      <c r="BQ201" s="15">
        <v>1124612</v>
      </c>
      <c r="BR201" s="15">
        <v>808019</v>
      </c>
    </row>
    <row r="202" spans="38:70" x14ac:dyDescent="0.25">
      <c r="AL202" s="4"/>
      <c r="AO202" s="4"/>
      <c r="AS202" s="4"/>
      <c r="AV202" s="4"/>
      <c r="AW202" s="4"/>
      <c r="AY202" s="4"/>
      <c r="AZ202" s="4"/>
      <c r="BA202" s="4"/>
      <c r="BC202" s="4"/>
      <c r="BD202" s="4"/>
      <c r="BG202" s="4"/>
      <c r="BH202" s="4"/>
      <c r="BK202" s="4">
        <v>42258</v>
      </c>
      <c r="BL202" s="15">
        <v>9519581</v>
      </c>
      <c r="BM202" s="15">
        <v>1315884</v>
      </c>
      <c r="BN202" s="15">
        <v>1431563</v>
      </c>
      <c r="BO202" s="15">
        <v>112892</v>
      </c>
      <c r="BP202" s="15">
        <v>404703</v>
      </c>
      <c r="BQ202" s="15">
        <v>1123712</v>
      </c>
      <c r="BR202" s="15">
        <v>803504</v>
      </c>
    </row>
    <row r="203" spans="38:70" x14ac:dyDescent="0.25">
      <c r="AL203" s="4"/>
      <c r="AO203" s="4"/>
      <c r="AS203" s="4"/>
      <c r="AV203" s="4"/>
      <c r="AW203" s="4"/>
      <c r="AY203" s="4"/>
      <c r="AZ203" s="4"/>
      <c r="BA203" s="4"/>
      <c r="BC203" s="4"/>
      <c r="BD203" s="4"/>
      <c r="BG203" s="4"/>
      <c r="BH203" s="4"/>
      <c r="BK203" s="4">
        <v>42251</v>
      </c>
      <c r="BL203" s="15">
        <v>9555370</v>
      </c>
      <c r="BM203" s="15">
        <v>1288253</v>
      </c>
      <c r="BN203" s="15">
        <v>1444890</v>
      </c>
      <c r="BO203" s="15">
        <v>114741</v>
      </c>
      <c r="BP203" s="15">
        <v>402312</v>
      </c>
      <c r="BQ203" s="15">
        <v>1149982</v>
      </c>
      <c r="BR203" s="15">
        <v>797373</v>
      </c>
    </row>
    <row r="204" spans="38:70" x14ac:dyDescent="0.25">
      <c r="AL204" s="4"/>
      <c r="AO204" s="4"/>
      <c r="AS204" s="4"/>
      <c r="AV204" s="4"/>
      <c r="AW204" s="4"/>
      <c r="AY204" s="4"/>
      <c r="AZ204" s="4"/>
      <c r="BA204" s="4"/>
      <c r="BC204" s="4"/>
      <c r="BD204" s="4"/>
      <c r="BG204" s="4"/>
      <c r="BH204" s="4"/>
      <c r="BK204" s="4">
        <v>42244</v>
      </c>
      <c r="BL204" s="15">
        <v>9572782</v>
      </c>
      <c r="BM204" s="15">
        <v>1334759</v>
      </c>
      <c r="BN204" s="15">
        <v>1456172</v>
      </c>
      <c r="BO204" s="15">
        <v>115071</v>
      </c>
      <c r="BP204" s="15">
        <v>400250</v>
      </c>
      <c r="BQ204" s="15">
        <v>1161278</v>
      </c>
      <c r="BR204" s="15">
        <v>797037</v>
      </c>
    </row>
    <row r="205" spans="38:70" x14ac:dyDescent="0.25">
      <c r="AL205" s="4"/>
      <c r="AO205" s="4"/>
      <c r="AS205" s="4"/>
      <c r="AV205" s="4"/>
      <c r="AW205" s="4"/>
      <c r="AY205" s="4"/>
      <c r="AZ205" s="4"/>
      <c r="BA205" s="4"/>
      <c r="BC205" s="4"/>
      <c r="BD205" s="4"/>
      <c r="BG205" s="4"/>
      <c r="BH205" s="4"/>
      <c r="BK205" s="4">
        <v>42237</v>
      </c>
      <c r="BL205" s="15">
        <v>9514821</v>
      </c>
      <c r="BM205" s="15">
        <v>1313557</v>
      </c>
      <c r="BN205" s="15">
        <v>1458053</v>
      </c>
      <c r="BO205" s="15">
        <v>109413</v>
      </c>
      <c r="BP205" s="15">
        <v>399522</v>
      </c>
      <c r="BQ205" s="15">
        <v>1214820</v>
      </c>
      <c r="BR205" s="15">
        <v>783578</v>
      </c>
    </row>
    <row r="206" spans="38:70" x14ac:dyDescent="0.25">
      <c r="AL206" s="4"/>
      <c r="AO206" s="4"/>
      <c r="AS206" s="4"/>
      <c r="AV206" s="4"/>
      <c r="AW206" s="4"/>
      <c r="AY206" s="4"/>
      <c r="AZ206" s="4"/>
      <c r="BA206" s="4"/>
      <c r="BC206" s="4"/>
      <c r="BD206" s="4"/>
      <c r="BG206" s="4"/>
      <c r="BH206" s="4"/>
      <c r="BK206" s="4">
        <v>42230</v>
      </c>
      <c r="BL206" s="15">
        <v>9477948</v>
      </c>
      <c r="BM206" s="15">
        <v>1307238</v>
      </c>
      <c r="BN206" s="15">
        <v>1448906</v>
      </c>
      <c r="BO206" s="15">
        <v>109898</v>
      </c>
      <c r="BP206" s="15">
        <v>397470</v>
      </c>
      <c r="BQ206" s="15">
        <v>1184824</v>
      </c>
      <c r="BR206" s="15">
        <v>780837</v>
      </c>
    </row>
    <row r="207" spans="38:70" x14ac:dyDescent="0.25">
      <c r="AL207" s="4"/>
      <c r="AO207" s="4"/>
      <c r="AS207" s="4"/>
      <c r="AV207" s="4"/>
      <c r="AW207" s="4"/>
      <c r="AY207" s="4"/>
      <c r="AZ207" s="4"/>
      <c r="BA207" s="4"/>
      <c r="BC207" s="4"/>
      <c r="BD207" s="4"/>
      <c r="BG207" s="4"/>
      <c r="BH207" s="4"/>
      <c r="BK207" s="4">
        <v>42223</v>
      </c>
      <c r="BL207" s="15">
        <v>9445147</v>
      </c>
      <c r="BM207" s="15">
        <v>1253729</v>
      </c>
      <c r="BN207" s="15">
        <v>1456173</v>
      </c>
      <c r="BO207" s="15">
        <v>105519</v>
      </c>
      <c r="BP207" s="15">
        <v>398565</v>
      </c>
      <c r="BQ207" s="15">
        <v>1221111</v>
      </c>
      <c r="BR207" s="15">
        <v>778313</v>
      </c>
    </row>
    <row r="208" spans="38:70" x14ac:dyDescent="0.25">
      <c r="AL208" s="4"/>
      <c r="AO208" s="4"/>
      <c r="AS208" s="4"/>
      <c r="AV208" s="4"/>
      <c r="AW208" s="4"/>
      <c r="AY208" s="4"/>
      <c r="AZ208" s="4"/>
      <c r="BA208" s="4"/>
      <c r="BC208" s="4"/>
      <c r="BD208" s="4"/>
      <c r="BG208" s="4"/>
      <c r="BH208" s="4"/>
      <c r="BK208" s="4">
        <v>42216</v>
      </c>
      <c r="BL208" s="15">
        <v>9429610</v>
      </c>
      <c r="BM208" s="15">
        <v>1252870</v>
      </c>
      <c r="BN208" s="15">
        <v>1412658</v>
      </c>
      <c r="BO208" s="15">
        <v>110122</v>
      </c>
      <c r="BP208" s="15">
        <v>394313</v>
      </c>
      <c r="BQ208" s="15">
        <v>1155731</v>
      </c>
      <c r="BR208" s="15">
        <v>777302</v>
      </c>
    </row>
    <row r="209" spans="38:70" x14ac:dyDescent="0.25">
      <c r="AL209" s="4"/>
      <c r="AO209" s="4"/>
      <c r="AS209" s="4"/>
      <c r="AV209" s="4"/>
      <c r="AW209" s="4"/>
      <c r="AY209" s="4"/>
      <c r="AZ209" s="4"/>
      <c r="BA209" s="4"/>
      <c r="BC209" s="4"/>
      <c r="BD209" s="4"/>
      <c r="BG209" s="4"/>
      <c r="BH209" s="4"/>
      <c r="BK209" s="4">
        <v>42209</v>
      </c>
      <c r="BL209" s="15">
        <v>9518072</v>
      </c>
      <c r="BM209" s="15">
        <v>1258627</v>
      </c>
      <c r="BN209" s="15">
        <v>1468137</v>
      </c>
      <c r="BO209" s="15">
        <v>106411</v>
      </c>
      <c r="BP209" s="15">
        <v>390282</v>
      </c>
      <c r="BQ209" s="15">
        <v>1169252</v>
      </c>
      <c r="BR209" s="15">
        <v>774300</v>
      </c>
    </row>
    <row r="210" spans="38:70" x14ac:dyDescent="0.25">
      <c r="AL210" s="4"/>
      <c r="AO210" s="4"/>
      <c r="AS210" s="4"/>
      <c r="AV210" s="4"/>
      <c r="AW210" s="4"/>
      <c r="AY210" s="4"/>
      <c r="AZ210" s="4"/>
      <c r="BA210" s="4"/>
      <c r="BC210" s="4"/>
      <c r="BD210" s="4"/>
      <c r="BG210" s="4"/>
      <c r="BH210" s="4"/>
      <c r="BK210" s="4">
        <v>42202</v>
      </c>
      <c r="BL210" s="15">
        <v>9466202</v>
      </c>
      <c r="BM210" s="15">
        <v>1281794</v>
      </c>
      <c r="BN210" s="15">
        <v>1439961</v>
      </c>
      <c r="BO210" s="15">
        <v>106872</v>
      </c>
      <c r="BP210" s="15">
        <v>390211</v>
      </c>
      <c r="BQ210" s="15">
        <v>1192525</v>
      </c>
      <c r="BR210" s="15">
        <v>773872</v>
      </c>
    </row>
    <row r="211" spans="38:70" x14ac:dyDescent="0.25">
      <c r="AL211" s="4"/>
      <c r="AO211" s="4"/>
      <c r="AS211" s="4"/>
      <c r="AV211" s="4"/>
      <c r="AW211" s="4"/>
      <c r="AY211" s="4"/>
      <c r="AZ211" s="4"/>
      <c r="BA211" s="4"/>
      <c r="BC211" s="4"/>
      <c r="BD211" s="4"/>
      <c r="BG211" s="4"/>
      <c r="BH211" s="4"/>
      <c r="BK211" s="4">
        <v>42195</v>
      </c>
      <c r="BL211" s="15">
        <v>9403599</v>
      </c>
      <c r="BM211" s="15">
        <v>1272947</v>
      </c>
      <c r="BN211" s="15">
        <v>1416905</v>
      </c>
      <c r="BO211" s="15">
        <v>106155</v>
      </c>
      <c r="BP211" s="15">
        <v>387758</v>
      </c>
      <c r="BQ211" s="15">
        <v>1165440</v>
      </c>
      <c r="BR211" s="15">
        <v>767392</v>
      </c>
    </row>
    <row r="212" spans="38:70" x14ac:dyDescent="0.25">
      <c r="AL212" s="4"/>
      <c r="AO212" s="4"/>
      <c r="AS212" s="4"/>
      <c r="AV212" s="4"/>
      <c r="AW212" s="4"/>
      <c r="AY212" s="4"/>
      <c r="AZ212" s="4"/>
      <c r="BA212" s="4"/>
      <c r="BC212" s="4"/>
      <c r="BD212" s="4"/>
      <c r="BG212" s="4"/>
      <c r="BH212" s="4"/>
      <c r="BK212" s="4">
        <v>42188</v>
      </c>
      <c r="BL212" s="15">
        <v>9423957</v>
      </c>
      <c r="BM212" s="15">
        <v>1238553</v>
      </c>
      <c r="BN212" s="15">
        <v>1417793</v>
      </c>
      <c r="BO212" s="15">
        <v>109390</v>
      </c>
      <c r="BP212" s="15">
        <v>384133</v>
      </c>
      <c r="BQ212" s="15">
        <v>1138170</v>
      </c>
      <c r="BR212" s="15">
        <v>765459</v>
      </c>
    </row>
    <row r="213" spans="38:70" x14ac:dyDescent="0.25">
      <c r="AL213" s="4"/>
      <c r="AO213" s="4"/>
      <c r="AS213" s="4"/>
      <c r="AV213" s="4"/>
      <c r="AW213" s="4"/>
      <c r="AY213" s="4"/>
      <c r="AZ213" s="4"/>
      <c r="BA213" s="4"/>
      <c r="BC213" s="4"/>
      <c r="BD213" s="4"/>
      <c r="BG213" s="4"/>
      <c r="BH213" s="4"/>
      <c r="BK213" s="4">
        <v>42181</v>
      </c>
      <c r="BL213" s="15">
        <v>9416425</v>
      </c>
      <c r="BM213" s="15">
        <v>1268997</v>
      </c>
      <c r="BN213" s="15">
        <v>1465027</v>
      </c>
      <c r="BO213" s="15">
        <v>116873</v>
      </c>
      <c r="BP213" s="15">
        <v>378321</v>
      </c>
      <c r="BQ213" s="15">
        <v>1089170</v>
      </c>
      <c r="BR213" s="15">
        <v>762280</v>
      </c>
    </row>
    <row r="214" spans="38:70" x14ac:dyDescent="0.25">
      <c r="AL214" s="4"/>
      <c r="AO214" s="4"/>
      <c r="AS214" s="4"/>
      <c r="AV214" s="4"/>
      <c r="AW214" s="4"/>
      <c r="AY214" s="4"/>
      <c r="AZ214" s="4"/>
      <c r="BA214" s="4"/>
      <c r="BC214" s="4"/>
      <c r="BD214" s="4"/>
      <c r="BG214" s="4"/>
      <c r="BH214" s="4"/>
      <c r="BK214" s="4">
        <v>42174</v>
      </c>
      <c r="BL214" s="15">
        <v>9359560</v>
      </c>
      <c r="BM214" s="15">
        <v>1220893</v>
      </c>
      <c r="BN214" s="15">
        <v>1414175</v>
      </c>
      <c r="BO214" s="15">
        <v>100782</v>
      </c>
      <c r="BP214" s="15">
        <v>379701</v>
      </c>
      <c r="BQ214" s="15">
        <v>1147307</v>
      </c>
      <c r="BR214" s="15">
        <v>751733</v>
      </c>
    </row>
    <row r="215" spans="38:70" x14ac:dyDescent="0.25">
      <c r="AL215" s="4"/>
      <c r="AO215" s="4"/>
      <c r="AS215" s="4"/>
      <c r="AV215" s="4"/>
      <c r="AW215" s="4"/>
      <c r="AY215" s="4"/>
      <c r="AZ215" s="4"/>
      <c r="BA215" s="4"/>
      <c r="BC215" s="4"/>
      <c r="BD215" s="4"/>
      <c r="BG215" s="4"/>
      <c r="BH215" s="4"/>
      <c r="BK215" s="4">
        <v>42167</v>
      </c>
      <c r="BL215" s="15">
        <v>9355216</v>
      </c>
      <c r="BM215" s="15">
        <v>1206331</v>
      </c>
      <c r="BN215" s="15">
        <v>1445012</v>
      </c>
      <c r="BO215" s="15">
        <v>107633</v>
      </c>
      <c r="BP215" s="15">
        <v>378636</v>
      </c>
      <c r="BQ215" s="15">
        <v>1128291</v>
      </c>
      <c r="BR215" s="15">
        <v>746097</v>
      </c>
    </row>
    <row r="216" spans="38:70" x14ac:dyDescent="0.25">
      <c r="AL216" s="4"/>
      <c r="AO216" s="4"/>
      <c r="AS216" s="4"/>
      <c r="AV216" s="4"/>
      <c r="AW216" s="4"/>
      <c r="AY216" s="4"/>
      <c r="AZ216" s="4"/>
      <c r="BA216" s="4"/>
      <c r="BC216" s="4"/>
      <c r="BD216" s="4"/>
      <c r="BG216" s="4"/>
      <c r="BH216" s="4"/>
      <c r="BK216" s="4">
        <v>42160</v>
      </c>
      <c r="BL216" s="15">
        <v>9349056</v>
      </c>
      <c r="BM216" s="15">
        <v>1237129</v>
      </c>
      <c r="BN216" s="15">
        <v>1456865</v>
      </c>
      <c r="BO216" s="15">
        <v>109891</v>
      </c>
      <c r="BP216" s="15">
        <v>374403</v>
      </c>
      <c r="BQ216" s="15">
        <v>1144950</v>
      </c>
      <c r="BR216" s="15">
        <v>751417</v>
      </c>
    </row>
    <row r="217" spans="38:70" x14ac:dyDescent="0.25">
      <c r="AL217" s="4"/>
      <c r="AO217" s="4"/>
      <c r="AS217" s="4"/>
      <c r="AV217" s="4"/>
      <c r="AW217" s="4"/>
      <c r="AY217" s="4"/>
      <c r="AZ217" s="4"/>
      <c r="BA217" s="4"/>
      <c r="BC217" s="4"/>
      <c r="BD217" s="4"/>
      <c r="BG217" s="4"/>
      <c r="BH217" s="4"/>
      <c r="BK217" s="4">
        <v>42153</v>
      </c>
      <c r="BL217" s="15">
        <v>9330796</v>
      </c>
      <c r="BM217" s="15">
        <v>1223064</v>
      </c>
      <c r="BN217" s="15">
        <v>1466825</v>
      </c>
      <c r="BO217" s="15">
        <v>112514</v>
      </c>
      <c r="BP217" s="15">
        <v>371927</v>
      </c>
      <c r="BQ217" s="15">
        <v>1093237</v>
      </c>
      <c r="BR217" s="15">
        <v>757576</v>
      </c>
    </row>
    <row r="218" spans="38:70" x14ac:dyDescent="0.25">
      <c r="AL218" s="4"/>
      <c r="AO218" s="4"/>
      <c r="AS218" s="4"/>
      <c r="AV218" s="4"/>
      <c r="AW218" s="4"/>
      <c r="AY218" s="4"/>
      <c r="AZ218" s="4"/>
      <c r="BA218" s="4"/>
      <c r="BC218" s="4"/>
      <c r="BD218" s="4"/>
      <c r="BG218" s="4"/>
      <c r="BH218" s="4"/>
      <c r="BK218" s="4">
        <v>42146</v>
      </c>
      <c r="BL218" s="15">
        <v>9370211</v>
      </c>
      <c r="BM218" s="15">
        <v>1214072</v>
      </c>
      <c r="BN218" s="15">
        <v>1467362</v>
      </c>
      <c r="BO218" s="15">
        <v>117172</v>
      </c>
      <c r="BP218" s="15">
        <v>370898</v>
      </c>
      <c r="BQ218" s="15">
        <v>1121402</v>
      </c>
      <c r="BR218" s="15">
        <v>759267</v>
      </c>
    </row>
    <row r="219" spans="38:70" x14ac:dyDescent="0.25">
      <c r="AL219" s="4"/>
      <c r="AO219" s="4"/>
      <c r="AS219" s="4"/>
      <c r="AV219" s="4"/>
      <c r="AW219" s="4"/>
      <c r="AY219" s="4"/>
      <c r="AZ219" s="4"/>
      <c r="BA219" s="4"/>
      <c r="BC219" s="4"/>
      <c r="BD219" s="4"/>
      <c r="BG219" s="4"/>
      <c r="BH219" s="4"/>
      <c r="BK219" s="4">
        <v>42139</v>
      </c>
      <c r="BL219" s="15">
        <v>9310686</v>
      </c>
      <c r="BM219" s="15">
        <v>1197562</v>
      </c>
      <c r="BN219" s="15">
        <v>1446151</v>
      </c>
      <c r="BO219" s="15">
        <v>110540</v>
      </c>
      <c r="BP219" s="15">
        <v>366753</v>
      </c>
      <c r="BQ219" s="15">
        <v>1157017</v>
      </c>
      <c r="BR219" s="15">
        <v>763584</v>
      </c>
    </row>
    <row r="220" spans="38:70" x14ac:dyDescent="0.25">
      <c r="AL220" s="4"/>
      <c r="AO220" s="4"/>
      <c r="AS220" s="4"/>
      <c r="AV220" s="4"/>
      <c r="AW220" s="4"/>
      <c r="AY220" s="4"/>
      <c r="AZ220" s="4"/>
      <c r="BA220" s="4"/>
      <c r="BC220" s="4"/>
      <c r="BD220" s="4"/>
      <c r="BG220" s="4"/>
      <c r="BH220" s="4"/>
      <c r="BK220" s="4">
        <v>42132</v>
      </c>
      <c r="BL220" s="15">
        <v>9302742</v>
      </c>
      <c r="BM220" s="15">
        <v>1153209</v>
      </c>
      <c r="BN220" s="15">
        <v>1444949</v>
      </c>
      <c r="BO220" s="15">
        <v>112637</v>
      </c>
      <c r="BP220" s="15">
        <v>364417</v>
      </c>
      <c r="BQ220" s="15">
        <v>1148990</v>
      </c>
      <c r="BR220" s="15">
        <v>766770</v>
      </c>
    </row>
    <row r="221" spans="38:70" x14ac:dyDescent="0.25">
      <c r="AL221" s="4"/>
      <c r="AO221" s="4"/>
      <c r="AS221" s="4"/>
      <c r="AV221" s="4"/>
      <c r="AW221" s="4"/>
      <c r="AY221" s="4"/>
      <c r="AZ221" s="4"/>
      <c r="BA221" s="4"/>
      <c r="BC221" s="4"/>
      <c r="BD221" s="4"/>
      <c r="BG221" s="4"/>
      <c r="BH221" s="4"/>
      <c r="BK221" s="4">
        <v>42125</v>
      </c>
      <c r="BL221" s="15">
        <v>9250527</v>
      </c>
      <c r="BM221" s="15">
        <v>1159459</v>
      </c>
      <c r="BN221" s="15">
        <v>1454792</v>
      </c>
      <c r="BO221" s="15">
        <v>110735</v>
      </c>
      <c r="BP221" s="15">
        <v>362522</v>
      </c>
      <c r="BQ221" s="15">
        <v>1126102</v>
      </c>
      <c r="BR221" s="15">
        <v>769448</v>
      </c>
    </row>
    <row r="222" spans="38:70" x14ac:dyDescent="0.25">
      <c r="AL222" s="4"/>
      <c r="AO222" s="4"/>
      <c r="AS222" s="4"/>
      <c r="AV222" s="4"/>
      <c r="AW222" s="4"/>
      <c r="AY222" s="4"/>
      <c r="AZ222" s="4"/>
      <c r="BA222" s="4"/>
      <c r="BC222" s="4"/>
      <c r="BD222" s="4"/>
      <c r="BG222" s="4"/>
      <c r="BH222" s="4"/>
      <c r="BK222" s="4">
        <v>42118</v>
      </c>
      <c r="BL222" s="15">
        <v>9329400</v>
      </c>
      <c r="BM222" s="15">
        <v>1151404</v>
      </c>
      <c r="BN222" s="15">
        <v>1459459</v>
      </c>
      <c r="BO222" s="15">
        <v>110382</v>
      </c>
      <c r="BP222" s="15">
        <v>357801</v>
      </c>
      <c r="BQ222" s="15">
        <v>1168103</v>
      </c>
      <c r="BR222" s="15">
        <v>772903</v>
      </c>
    </row>
    <row r="223" spans="38:70" x14ac:dyDescent="0.25">
      <c r="AL223" s="4"/>
      <c r="AO223" s="4"/>
      <c r="AS223" s="4"/>
      <c r="AV223" s="4"/>
      <c r="AW223" s="4"/>
      <c r="AY223" s="4"/>
      <c r="AZ223" s="4"/>
      <c r="BA223" s="4"/>
      <c r="BC223" s="4"/>
      <c r="BD223" s="4"/>
      <c r="BG223" s="4"/>
      <c r="BH223" s="4"/>
      <c r="BK223" s="4">
        <v>42111</v>
      </c>
      <c r="BL223" s="15">
        <v>9291005</v>
      </c>
      <c r="BM223" s="15">
        <v>1172692</v>
      </c>
      <c r="BN223" s="15">
        <v>1433752</v>
      </c>
      <c r="BO223" s="15">
        <v>108343</v>
      </c>
      <c r="BP223" s="15">
        <v>352693</v>
      </c>
      <c r="BQ223" s="15">
        <v>1185646</v>
      </c>
      <c r="BR223" s="15">
        <v>779200</v>
      </c>
    </row>
    <row r="224" spans="38:70" x14ac:dyDescent="0.25">
      <c r="AL224" s="4"/>
      <c r="AO224" s="4"/>
      <c r="AS224" s="4"/>
      <c r="AV224" s="4"/>
      <c r="AW224" s="4"/>
      <c r="AY224" s="4"/>
      <c r="AZ224" s="4"/>
      <c r="BA224" s="4"/>
      <c r="BC224" s="4"/>
      <c r="BD224" s="4"/>
      <c r="BG224" s="4"/>
      <c r="BH224" s="4"/>
      <c r="BK224" s="4">
        <v>42104</v>
      </c>
      <c r="BL224" s="15">
        <v>9278323</v>
      </c>
      <c r="BM224" s="15">
        <v>1191644</v>
      </c>
      <c r="BN224" s="15">
        <v>1407720</v>
      </c>
      <c r="BO224" s="15">
        <v>108687</v>
      </c>
      <c r="BP224" s="15">
        <v>354739</v>
      </c>
      <c r="BQ224" s="15">
        <v>1109257</v>
      </c>
      <c r="BR224" s="15">
        <v>784262</v>
      </c>
    </row>
    <row r="225" spans="38:70" x14ac:dyDescent="0.25">
      <c r="AL225" s="4"/>
      <c r="AO225" s="4"/>
      <c r="AS225" s="4"/>
      <c r="AV225" s="4"/>
      <c r="AW225" s="4"/>
      <c r="AY225" s="4"/>
      <c r="AZ225" s="4"/>
      <c r="BA225" s="4"/>
      <c r="BC225" s="4"/>
      <c r="BD225" s="4"/>
      <c r="BG225" s="4"/>
      <c r="BH225" s="4"/>
      <c r="BK225" s="4">
        <v>42097</v>
      </c>
      <c r="BL225" s="15">
        <v>9280450</v>
      </c>
      <c r="BM225" s="15">
        <v>1145507</v>
      </c>
      <c r="BN225" s="15">
        <v>1392742</v>
      </c>
      <c r="BO225" s="15">
        <v>106346</v>
      </c>
      <c r="BP225" s="15">
        <v>354453</v>
      </c>
      <c r="BQ225" s="15">
        <v>1087093</v>
      </c>
      <c r="BR225" s="15">
        <v>787186</v>
      </c>
    </row>
    <row r="226" spans="38:70" x14ac:dyDescent="0.25">
      <c r="AL226" s="4"/>
      <c r="AO226" s="4"/>
      <c r="AS226" s="4"/>
      <c r="AV226" s="4"/>
      <c r="AW226" s="4"/>
      <c r="AY226" s="4"/>
      <c r="AZ226" s="4"/>
      <c r="BA226" s="4"/>
      <c r="BC226" s="4"/>
      <c r="BD226" s="4"/>
      <c r="BG226" s="4"/>
      <c r="BH226" s="4"/>
      <c r="BK226" s="4">
        <v>42090</v>
      </c>
      <c r="BL226" s="15">
        <v>9274124</v>
      </c>
      <c r="BM226" s="15">
        <v>1124125</v>
      </c>
      <c r="BN226" s="15">
        <v>1418186</v>
      </c>
      <c r="BO226" s="15">
        <v>105392</v>
      </c>
      <c r="BP226" s="15">
        <v>352309</v>
      </c>
      <c r="BQ226" s="15">
        <v>1061940</v>
      </c>
      <c r="BR226" s="15">
        <v>784823</v>
      </c>
    </row>
    <row r="227" spans="38:70" x14ac:dyDescent="0.25">
      <c r="AL227" s="4"/>
      <c r="AO227" s="4"/>
      <c r="AS227" s="4"/>
      <c r="AV227" s="4"/>
      <c r="AW227" s="4"/>
      <c r="AY227" s="4"/>
      <c r="AZ227" s="4"/>
      <c r="BA227" s="4"/>
      <c r="BC227" s="4"/>
      <c r="BD227" s="4"/>
      <c r="BG227" s="4"/>
      <c r="BH227" s="4"/>
      <c r="BK227" s="4">
        <v>42083</v>
      </c>
      <c r="BL227" s="15">
        <v>9272140</v>
      </c>
      <c r="BM227" s="15">
        <v>1134743</v>
      </c>
      <c r="BN227" s="15">
        <v>1389275</v>
      </c>
      <c r="BO227" s="15">
        <v>103746</v>
      </c>
      <c r="BP227" s="15">
        <v>352926</v>
      </c>
      <c r="BQ227" s="15">
        <v>1091286</v>
      </c>
      <c r="BR227" s="15">
        <v>786095</v>
      </c>
    </row>
    <row r="228" spans="38:70" x14ac:dyDescent="0.25">
      <c r="AL228" s="4"/>
      <c r="AO228" s="4"/>
      <c r="AS228" s="4"/>
      <c r="AV228" s="4"/>
      <c r="AW228" s="4"/>
      <c r="AY228" s="4"/>
      <c r="AZ228" s="4"/>
      <c r="BA228" s="4"/>
      <c r="BC228" s="4"/>
      <c r="BD228" s="4"/>
      <c r="BG228" s="4"/>
      <c r="BH228" s="4"/>
      <c r="BK228" s="4">
        <v>42076</v>
      </c>
      <c r="BL228" s="15">
        <v>9265153</v>
      </c>
      <c r="BM228" s="15">
        <v>1131091</v>
      </c>
      <c r="BN228" s="15">
        <v>1405009</v>
      </c>
      <c r="BO228" s="15">
        <v>107859</v>
      </c>
      <c r="BP228" s="15">
        <v>354306</v>
      </c>
      <c r="BQ228" s="15">
        <v>1056358</v>
      </c>
      <c r="BR228" s="15">
        <v>785997</v>
      </c>
    </row>
    <row r="229" spans="38:70" x14ac:dyDescent="0.25">
      <c r="AL229" s="4"/>
      <c r="AO229" s="4"/>
      <c r="AS229" s="4"/>
      <c r="AV229" s="4"/>
      <c r="AW229" s="4"/>
      <c r="AY229" s="4"/>
      <c r="AZ229" s="4"/>
      <c r="BA229" s="4"/>
      <c r="BC229" s="4"/>
      <c r="BD229" s="4"/>
      <c r="BG229" s="4"/>
      <c r="BH229" s="4"/>
      <c r="BK229" s="4">
        <v>42069</v>
      </c>
      <c r="BL229" s="15">
        <v>9251427</v>
      </c>
      <c r="BM229" s="15">
        <v>1095479</v>
      </c>
      <c r="BN229" s="15">
        <v>1395540</v>
      </c>
      <c r="BO229" s="15">
        <v>109812</v>
      </c>
      <c r="BP229" s="15">
        <v>351875</v>
      </c>
      <c r="BQ229" s="15">
        <v>1029054</v>
      </c>
      <c r="BR229" s="15">
        <v>798345</v>
      </c>
    </row>
    <row r="230" spans="38:70" x14ac:dyDescent="0.25">
      <c r="AL230" s="4"/>
      <c r="AO230" s="4"/>
      <c r="AS230" s="4"/>
      <c r="AV230" s="4"/>
      <c r="AW230" s="4"/>
      <c r="AY230" s="4"/>
      <c r="AZ230" s="4"/>
      <c r="BA230" s="4"/>
      <c r="BC230" s="4"/>
      <c r="BD230" s="4"/>
      <c r="BG230" s="4"/>
      <c r="BH230" s="4"/>
      <c r="BK230" s="4">
        <v>42062</v>
      </c>
      <c r="BL230" s="15">
        <v>9223877</v>
      </c>
      <c r="BM230" s="15">
        <v>1142678</v>
      </c>
      <c r="BN230" s="15">
        <v>1369095</v>
      </c>
      <c r="BO230" s="15">
        <v>111210</v>
      </c>
      <c r="BP230" s="15">
        <v>348581</v>
      </c>
      <c r="BQ230" s="15">
        <v>997190</v>
      </c>
      <c r="BR230" s="15">
        <v>805328</v>
      </c>
    </row>
    <row r="231" spans="38:70" x14ac:dyDescent="0.25">
      <c r="AL231" s="4"/>
      <c r="AO231" s="4"/>
      <c r="AS231" s="4"/>
      <c r="AV231" s="4"/>
      <c r="AW231" s="4"/>
      <c r="AY231" s="4"/>
      <c r="AZ231" s="4"/>
      <c r="BA231" s="4"/>
      <c r="BC231" s="4"/>
      <c r="BD231" s="4"/>
      <c r="BG231" s="4"/>
      <c r="BH231" s="4"/>
      <c r="BK231" s="4">
        <v>42055</v>
      </c>
      <c r="BL231" s="15">
        <v>9224059</v>
      </c>
      <c r="BM231" s="15">
        <v>1132761</v>
      </c>
      <c r="BN231" s="15">
        <v>1371217</v>
      </c>
      <c r="BO231" s="15">
        <v>114172</v>
      </c>
      <c r="BP231" s="15">
        <v>347363</v>
      </c>
      <c r="BQ231" s="15">
        <v>1010701</v>
      </c>
      <c r="BR231" s="15">
        <v>803447</v>
      </c>
    </row>
    <row r="232" spans="38:70" x14ac:dyDescent="0.25">
      <c r="AL232" s="4"/>
      <c r="AO232" s="4"/>
      <c r="AS232" s="4"/>
      <c r="AV232" s="4"/>
      <c r="AW232" s="4"/>
      <c r="AY232" s="4"/>
      <c r="AZ232" s="4"/>
      <c r="BA232" s="4"/>
      <c r="BC232" s="4"/>
      <c r="BD232" s="4"/>
      <c r="BG232" s="4"/>
      <c r="BH232" s="4"/>
      <c r="BK232" s="4">
        <v>42048</v>
      </c>
      <c r="BL232" s="15">
        <v>9243713</v>
      </c>
      <c r="BM232" s="15">
        <v>1139644</v>
      </c>
      <c r="BN232" s="15">
        <v>1382531</v>
      </c>
      <c r="BO232" s="15">
        <v>110468</v>
      </c>
      <c r="BP232" s="15">
        <v>347711</v>
      </c>
      <c r="BQ232" s="15">
        <v>1002882</v>
      </c>
      <c r="BR232" s="15">
        <v>803232</v>
      </c>
    </row>
    <row r="233" spans="38:70" x14ac:dyDescent="0.25">
      <c r="AL233" s="4"/>
      <c r="AO233" s="4"/>
      <c r="AS233" s="4"/>
      <c r="AV233" s="4"/>
      <c r="AW233" s="4"/>
      <c r="AY233" s="4"/>
      <c r="AZ233" s="4"/>
      <c r="BA233" s="4"/>
      <c r="BC233" s="4"/>
      <c r="BD233" s="4"/>
      <c r="BG233" s="4"/>
      <c r="BH233" s="4"/>
      <c r="BK233" s="4">
        <v>42041</v>
      </c>
      <c r="BL233" s="15">
        <v>9191854</v>
      </c>
      <c r="BM233" s="15">
        <v>1080303</v>
      </c>
      <c r="BN233" s="15">
        <v>1363750</v>
      </c>
      <c r="BO233" s="15">
        <v>113882</v>
      </c>
      <c r="BP233" s="15">
        <v>348395</v>
      </c>
      <c r="BQ233" s="15">
        <v>1020517</v>
      </c>
      <c r="BR233" s="15">
        <v>803643</v>
      </c>
    </row>
    <row r="234" spans="38:70" x14ac:dyDescent="0.25">
      <c r="AL234" s="4"/>
      <c r="AO234" s="4"/>
      <c r="AS234" s="4"/>
      <c r="AV234" s="4"/>
      <c r="AW234" s="4"/>
      <c r="AY234" s="4"/>
      <c r="AZ234" s="4"/>
      <c r="BA234" s="4"/>
      <c r="BC234" s="4"/>
      <c r="BD234" s="4"/>
      <c r="BG234" s="4"/>
      <c r="BH234" s="4"/>
      <c r="BK234" s="4">
        <v>42034</v>
      </c>
      <c r="BL234" s="15">
        <v>9186513</v>
      </c>
      <c r="BM234" s="15">
        <v>1082608</v>
      </c>
      <c r="BN234" s="15">
        <v>1358799</v>
      </c>
      <c r="BO234" s="15">
        <v>111475</v>
      </c>
      <c r="BP234" s="15">
        <v>376959</v>
      </c>
      <c r="BQ234" s="15">
        <v>947025</v>
      </c>
      <c r="BR234" s="15">
        <v>802635</v>
      </c>
    </row>
    <row r="235" spans="38:70" x14ac:dyDescent="0.25">
      <c r="AL235" s="4"/>
      <c r="AO235" s="4"/>
      <c r="AS235" s="4"/>
      <c r="AV235" s="4"/>
      <c r="AW235" s="4"/>
      <c r="AY235" s="4"/>
      <c r="AZ235" s="4"/>
      <c r="BA235" s="4"/>
      <c r="BC235" s="4"/>
      <c r="BD235" s="4"/>
      <c r="BG235" s="4"/>
      <c r="BH235" s="4"/>
      <c r="BK235" s="4">
        <v>42027</v>
      </c>
      <c r="BL235" s="15">
        <v>9235677</v>
      </c>
      <c r="BM235" s="15">
        <v>1063704</v>
      </c>
      <c r="BN235" s="15">
        <v>1356323</v>
      </c>
      <c r="BO235" s="15">
        <v>104425</v>
      </c>
      <c r="BP235" s="15">
        <v>382828</v>
      </c>
      <c r="BQ235" s="15">
        <v>978271</v>
      </c>
      <c r="BR235" s="15">
        <v>799369</v>
      </c>
    </row>
    <row r="236" spans="38:70" x14ac:dyDescent="0.25">
      <c r="AL236" s="4"/>
      <c r="AO236" s="4"/>
      <c r="AS236" s="4"/>
      <c r="AV236" s="4"/>
      <c r="AW236" s="4"/>
      <c r="AY236" s="4"/>
      <c r="AZ236" s="4"/>
      <c r="BA236" s="4"/>
      <c r="BC236" s="4"/>
      <c r="BD236" s="4"/>
      <c r="BG236" s="4"/>
      <c r="BH236" s="4"/>
      <c r="BK236" s="4">
        <v>42020</v>
      </c>
      <c r="BL236" s="15">
        <v>9241412</v>
      </c>
      <c r="BM236" s="15">
        <v>1078418</v>
      </c>
      <c r="BN236" s="15">
        <v>1367809</v>
      </c>
      <c r="BO236" s="15">
        <v>107760</v>
      </c>
      <c r="BP236" s="15">
        <v>381129</v>
      </c>
      <c r="BQ236" s="15">
        <v>995434</v>
      </c>
      <c r="BR236" s="15">
        <v>791762</v>
      </c>
    </row>
    <row r="237" spans="38:70" x14ac:dyDescent="0.25">
      <c r="AL237" s="4"/>
      <c r="AO237" s="4"/>
      <c r="AS237" s="4"/>
      <c r="AV237" s="4"/>
      <c r="AW237" s="4"/>
      <c r="AY237" s="4"/>
      <c r="AZ237" s="4"/>
      <c r="BA237" s="4"/>
      <c r="BC237" s="4"/>
      <c r="BD237" s="4"/>
      <c r="BG237" s="4"/>
      <c r="BH237" s="4"/>
      <c r="BK237" s="4">
        <v>42013</v>
      </c>
      <c r="BL237" s="15">
        <v>9241550</v>
      </c>
      <c r="BM237" s="15">
        <v>1055543</v>
      </c>
      <c r="BN237" s="15">
        <v>1364475</v>
      </c>
      <c r="BO237" s="15">
        <v>106136</v>
      </c>
      <c r="BP237" s="15">
        <v>379175</v>
      </c>
      <c r="BQ237" s="15">
        <v>950178</v>
      </c>
      <c r="BR237" s="15">
        <v>793655</v>
      </c>
    </row>
    <row r="238" spans="38:70" x14ac:dyDescent="0.25">
      <c r="AL238" s="4"/>
      <c r="AO238" s="4"/>
      <c r="AS238" s="4"/>
      <c r="AV238" s="4"/>
      <c r="AW238" s="4"/>
      <c r="AY238" s="4"/>
      <c r="AZ238" s="4"/>
      <c r="BA238" s="4"/>
      <c r="BC238" s="4"/>
      <c r="BD238" s="4"/>
      <c r="BG238" s="4"/>
      <c r="BH238" s="4"/>
      <c r="BK238" s="4">
        <v>42006</v>
      </c>
      <c r="BL238" s="15">
        <v>9308784</v>
      </c>
      <c r="BM238" s="15">
        <v>1082246</v>
      </c>
      <c r="BN238" s="15">
        <v>1353279</v>
      </c>
      <c r="BO238" s="15">
        <v>110137</v>
      </c>
      <c r="BP238" s="15">
        <v>380463</v>
      </c>
      <c r="BQ238" s="15">
        <v>835147</v>
      </c>
      <c r="BR238" s="15">
        <v>794523</v>
      </c>
    </row>
    <row r="239" spans="38:70" x14ac:dyDescent="0.25">
      <c r="AL239" s="4"/>
      <c r="AO239" s="4"/>
      <c r="AS239" s="4"/>
      <c r="AV239" s="4"/>
      <c r="AW239" s="4"/>
      <c r="AY239" s="4"/>
      <c r="AZ239" s="4"/>
      <c r="BA239" s="4"/>
      <c r="BC239" s="4"/>
      <c r="BD239" s="4"/>
      <c r="BG239" s="4"/>
      <c r="BH239" s="4"/>
      <c r="BK239" s="4">
        <v>41999</v>
      </c>
      <c r="BL239" s="15">
        <v>9301966</v>
      </c>
      <c r="BM239" s="15">
        <v>1106510</v>
      </c>
      <c r="BN239" s="15">
        <v>1363388</v>
      </c>
      <c r="BO239" s="15">
        <v>111071</v>
      </c>
      <c r="BP239" s="15">
        <v>377877</v>
      </c>
      <c r="BQ239" s="15">
        <v>832569</v>
      </c>
      <c r="BR239" s="15">
        <v>792914</v>
      </c>
    </row>
    <row r="240" spans="38:70" x14ac:dyDescent="0.25">
      <c r="AL240" s="4"/>
      <c r="AO240" s="4"/>
      <c r="AS240" s="4"/>
      <c r="AV240" s="4"/>
      <c r="AW240" s="4"/>
      <c r="AY240" s="4"/>
      <c r="AZ240" s="4"/>
      <c r="BA240" s="4"/>
      <c r="BC240" s="4"/>
      <c r="BD240" s="4"/>
      <c r="BG240" s="4"/>
      <c r="BH240" s="4"/>
      <c r="BK240" s="4">
        <v>41992</v>
      </c>
      <c r="BL240" s="15">
        <v>9330840</v>
      </c>
      <c r="BM240" s="15">
        <v>1054003</v>
      </c>
      <c r="BN240" s="15">
        <v>1370159</v>
      </c>
      <c r="BO240" s="15">
        <v>107564</v>
      </c>
      <c r="BP240" s="15">
        <v>379645</v>
      </c>
      <c r="BQ240" s="15">
        <v>882773</v>
      </c>
      <c r="BR240" s="15">
        <v>793846</v>
      </c>
    </row>
    <row r="241" spans="38:70" x14ac:dyDescent="0.25">
      <c r="AL241" s="4"/>
      <c r="AO241" s="4"/>
      <c r="AS241" s="4"/>
      <c r="AV241" s="4"/>
      <c r="AW241" s="4"/>
      <c r="AY241" s="4"/>
      <c r="AZ241" s="4"/>
      <c r="BA241" s="4"/>
      <c r="BC241" s="4"/>
      <c r="BD241" s="4"/>
      <c r="BG241" s="4"/>
      <c r="BH241" s="4"/>
      <c r="BK241" s="4">
        <v>41985</v>
      </c>
      <c r="BL241" s="15">
        <v>9315844</v>
      </c>
      <c r="BM241" s="15">
        <v>1063063</v>
      </c>
      <c r="BN241" s="15">
        <v>1207307</v>
      </c>
      <c r="BO241" s="15">
        <v>114790</v>
      </c>
      <c r="BP241" s="15">
        <v>382628</v>
      </c>
      <c r="BQ241" s="15">
        <v>837288</v>
      </c>
      <c r="BR241" s="15">
        <v>782373</v>
      </c>
    </row>
    <row r="242" spans="38:70" x14ac:dyDescent="0.25">
      <c r="AL242" s="4"/>
      <c r="AO242" s="4"/>
      <c r="AS242" s="4"/>
      <c r="AV242" s="4"/>
      <c r="AW242" s="4"/>
      <c r="AY242" s="4"/>
      <c r="AZ242" s="4"/>
      <c r="BA242" s="4"/>
      <c r="BC242" s="4"/>
      <c r="BD242" s="4"/>
      <c r="BG242" s="4"/>
      <c r="BH242" s="4"/>
      <c r="BK242" s="4">
        <v>41978</v>
      </c>
      <c r="BL242" s="15">
        <v>9294231</v>
      </c>
      <c r="BM242" s="15">
        <v>1049391</v>
      </c>
      <c r="BN242" s="15">
        <v>1348953</v>
      </c>
      <c r="BO242" s="15">
        <v>108882</v>
      </c>
      <c r="BP242" s="15">
        <v>377548</v>
      </c>
      <c r="BQ242" s="15">
        <v>954281</v>
      </c>
      <c r="BR242" s="15">
        <v>786748</v>
      </c>
    </row>
    <row r="243" spans="38:70" x14ac:dyDescent="0.25">
      <c r="AL243" s="4"/>
      <c r="AO243" s="4"/>
      <c r="AS243" s="4"/>
      <c r="AV243" s="4"/>
      <c r="AW243" s="4"/>
      <c r="AY243" s="4"/>
      <c r="AZ243" s="4"/>
      <c r="BA243" s="4"/>
      <c r="BC243" s="4"/>
      <c r="BD243" s="4"/>
      <c r="BG243" s="4"/>
      <c r="BH243" s="4"/>
      <c r="BK243" s="4">
        <v>41971</v>
      </c>
      <c r="BL243" s="15">
        <v>9307482</v>
      </c>
      <c r="BM243" s="15">
        <v>1042832</v>
      </c>
      <c r="BN243" s="15">
        <v>1359276</v>
      </c>
      <c r="BO243" s="15">
        <v>109327</v>
      </c>
      <c r="BP243" s="15">
        <v>373733</v>
      </c>
      <c r="BQ243" s="15">
        <v>938414</v>
      </c>
      <c r="BR243" s="15">
        <v>792938</v>
      </c>
    </row>
    <row r="244" spans="38:70" x14ac:dyDescent="0.25">
      <c r="AL244" s="4"/>
      <c r="AO244" s="4"/>
      <c r="AS244" s="4"/>
      <c r="AV244" s="4"/>
      <c r="AW244" s="4"/>
      <c r="AY244" s="4"/>
      <c r="AZ244" s="4"/>
      <c r="BA244" s="4"/>
      <c r="BC244" s="4"/>
      <c r="BD244" s="4"/>
      <c r="BG244" s="4"/>
      <c r="BH244" s="4"/>
      <c r="BK244" s="4">
        <v>41964</v>
      </c>
      <c r="BL244" s="15">
        <v>9277329</v>
      </c>
      <c r="BM244" s="15">
        <v>1039101</v>
      </c>
      <c r="BN244" s="15">
        <v>1337200</v>
      </c>
      <c r="BO244" s="15">
        <v>106682</v>
      </c>
      <c r="BP244" s="15">
        <v>372801</v>
      </c>
      <c r="BQ244" s="15">
        <v>975062</v>
      </c>
      <c r="BR244" s="15">
        <v>791602</v>
      </c>
    </row>
    <row r="245" spans="38:70" x14ac:dyDescent="0.25">
      <c r="AL245" s="4"/>
      <c r="AO245" s="4"/>
      <c r="AS245" s="4"/>
      <c r="AV245" s="4"/>
      <c r="AW245" s="4"/>
      <c r="AY245" s="4"/>
      <c r="AZ245" s="4"/>
      <c r="BA245" s="4"/>
      <c r="BC245" s="4"/>
      <c r="BD245" s="4"/>
      <c r="BG245" s="4"/>
      <c r="BH245" s="4"/>
      <c r="BK245" s="4">
        <v>41957</v>
      </c>
      <c r="BL245" s="15">
        <v>9256276</v>
      </c>
      <c r="BM245" s="15">
        <v>1022030</v>
      </c>
      <c r="BN245" s="15">
        <v>1333470</v>
      </c>
      <c r="BO245" s="15">
        <v>105730</v>
      </c>
      <c r="BP245" s="15">
        <v>374050</v>
      </c>
      <c r="BQ245" s="15">
        <v>1017872</v>
      </c>
      <c r="BR245" s="15">
        <v>789439</v>
      </c>
    </row>
    <row r="246" spans="38:70" x14ac:dyDescent="0.25">
      <c r="AL246" s="4"/>
      <c r="AO246" s="4"/>
      <c r="AS246" s="4"/>
      <c r="AV246" s="4"/>
      <c r="AW246" s="4"/>
      <c r="AY246" s="4"/>
      <c r="AZ246" s="4"/>
      <c r="BA246" s="4"/>
      <c r="BC246" s="4"/>
      <c r="BD246" s="4"/>
      <c r="BG246" s="4"/>
      <c r="BH246" s="4"/>
      <c r="BK246" s="4">
        <v>41950</v>
      </c>
      <c r="BL246" s="15">
        <v>9192520</v>
      </c>
      <c r="BM246" s="15">
        <v>998050</v>
      </c>
      <c r="BN246" s="15">
        <v>1225404</v>
      </c>
      <c r="BO246" s="15">
        <v>111282</v>
      </c>
      <c r="BP246" s="15">
        <v>383076</v>
      </c>
      <c r="BQ246" s="15">
        <v>1015564</v>
      </c>
      <c r="BR246" s="15">
        <v>786659</v>
      </c>
    </row>
    <row r="247" spans="38:70" x14ac:dyDescent="0.25">
      <c r="AL247" s="4"/>
      <c r="AO247" s="4"/>
      <c r="AS247" s="4"/>
      <c r="AV247" s="4"/>
      <c r="AW247" s="4"/>
      <c r="AY247" s="4"/>
      <c r="AZ247" s="4"/>
      <c r="BA247" s="4"/>
      <c r="BC247" s="4"/>
      <c r="BD247" s="4"/>
      <c r="BG247" s="4"/>
      <c r="BH247" s="4"/>
      <c r="BK247" s="4">
        <v>41943</v>
      </c>
      <c r="BL247" s="15">
        <v>9197198</v>
      </c>
      <c r="BM247" s="15">
        <v>1002160</v>
      </c>
      <c r="BN247" s="15">
        <v>1319662</v>
      </c>
      <c r="BO247" s="15">
        <v>106622</v>
      </c>
      <c r="BP247" s="15">
        <v>381081</v>
      </c>
      <c r="BQ247" s="15">
        <v>950087</v>
      </c>
      <c r="BR247" s="15">
        <v>788257</v>
      </c>
    </row>
    <row r="248" spans="38:70" x14ac:dyDescent="0.25">
      <c r="AL248" s="4"/>
      <c r="AO248" s="4"/>
      <c r="AS248" s="4"/>
      <c r="AV248" s="4"/>
      <c r="AW248" s="4"/>
      <c r="AY248" s="4"/>
      <c r="AZ248" s="4"/>
      <c r="BA248" s="4"/>
      <c r="BC248" s="4"/>
      <c r="BD248" s="4"/>
      <c r="BG248" s="4"/>
      <c r="BH248" s="4"/>
      <c r="BK248" s="4">
        <v>41936</v>
      </c>
      <c r="BL248" s="15">
        <v>9195545</v>
      </c>
      <c r="BM248" s="15">
        <v>996306</v>
      </c>
      <c r="BN248" s="15">
        <v>1324259</v>
      </c>
      <c r="BO248" s="15">
        <v>103711</v>
      </c>
      <c r="BP248" s="15">
        <v>374953</v>
      </c>
      <c r="BQ248" s="15">
        <v>909745</v>
      </c>
      <c r="BR248" s="15">
        <v>778583</v>
      </c>
    </row>
    <row r="249" spans="38:70" x14ac:dyDescent="0.25">
      <c r="AL249" s="4"/>
      <c r="AO249" s="4"/>
      <c r="AS249" s="4"/>
      <c r="AV249" s="4"/>
      <c r="AW249" s="4"/>
      <c r="AY249" s="4"/>
      <c r="AZ249" s="4"/>
      <c r="BA249" s="4"/>
      <c r="BC249" s="4"/>
      <c r="BD249" s="4"/>
      <c r="BG249" s="4"/>
      <c r="BH249" s="4"/>
      <c r="BK249" s="4">
        <v>41929</v>
      </c>
      <c r="BL249" s="15">
        <v>9171695</v>
      </c>
      <c r="BM249" s="15">
        <v>1003508</v>
      </c>
      <c r="BN249" s="15">
        <v>1326226</v>
      </c>
      <c r="BO249" s="15">
        <v>103901</v>
      </c>
      <c r="BP249" s="15">
        <v>358911</v>
      </c>
      <c r="BQ249" s="15">
        <v>937015</v>
      </c>
      <c r="BR249" s="15">
        <v>772773</v>
      </c>
    </row>
    <row r="250" spans="38:70" x14ac:dyDescent="0.25">
      <c r="AL250" s="4"/>
      <c r="AO250" s="4"/>
      <c r="AS250" s="4"/>
      <c r="AV250" s="4"/>
      <c r="AW250" s="4"/>
      <c r="AY250" s="4"/>
      <c r="AZ250" s="4"/>
      <c r="BA250" s="4"/>
      <c r="BC250" s="4"/>
      <c r="BD250" s="4"/>
      <c r="BG250" s="4"/>
      <c r="BH250" s="4"/>
      <c r="BK250" s="4">
        <v>41922</v>
      </c>
      <c r="BL250" s="15">
        <v>9107977</v>
      </c>
      <c r="BM250" s="15">
        <v>1026107</v>
      </c>
      <c r="BN250" s="15">
        <v>1313695</v>
      </c>
      <c r="BO250" s="15">
        <v>107708</v>
      </c>
      <c r="BP250" s="15">
        <v>356816</v>
      </c>
      <c r="BQ250" s="15">
        <v>882559</v>
      </c>
      <c r="BR250" s="15">
        <v>768413</v>
      </c>
    </row>
    <row r="251" spans="38:70" x14ac:dyDescent="0.25">
      <c r="AL251" s="4"/>
      <c r="AO251" s="4"/>
      <c r="AS251" s="4"/>
      <c r="AV251" s="4"/>
      <c r="AW251" s="4"/>
      <c r="AY251" s="4"/>
      <c r="AZ251" s="4"/>
      <c r="BA251" s="4"/>
      <c r="BC251" s="4"/>
      <c r="BD251" s="4"/>
      <c r="BG251" s="4"/>
      <c r="BH251" s="4"/>
      <c r="BK251" s="4">
        <v>41915</v>
      </c>
      <c r="BL251" s="15">
        <v>9110211</v>
      </c>
      <c r="BM251" s="15">
        <v>1016177</v>
      </c>
      <c r="BN251" s="15">
        <v>1325588</v>
      </c>
      <c r="BO251" s="15">
        <v>110544</v>
      </c>
      <c r="BP251" s="15">
        <v>354096</v>
      </c>
      <c r="BQ251" s="15">
        <v>873883</v>
      </c>
      <c r="BR251" s="15">
        <v>767060</v>
      </c>
    </row>
    <row r="252" spans="38:70" x14ac:dyDescent="0.25">
      <c r="AL252" s="4"/>
      <c r="AO252" s="4"/>
      <c r="AS252" s="4"/>
      <c r="AV252" s="4"/>
      <c r="AW252" s="4"/>
      <c r="AY252" s="4"/>
      <c r="AZ252" s="4"/>
      <c r="BA252" s="4"/>
      <c r="BC252" s="4"/>
      <c r="BD252" s="4"/>
      <c r="BG252" s="4"/>
      <c r="BH252" s="4"/>
      <c r="BK252" s="4">
        <v>41908</v>
      </c>
      <c r="BL252" s="15">
        <v>9125308</v>
      </c>
      <c r="BM252" s="15">
        <v>996271</v>
      </c>
      <c r="BN252" s="15">
        <v>1296235</v>
      </c>
      <c r="BO252" s="15">
        <v>109931</v>
      </c>
      <c r="BP252" s="15">
        <v>353911</v>
      </c>
      <c r="BQ252" s="15">
        <v>864315</v>
      </c>
      <c r="BR252" s="15">
        <v>767965</v>
      </c>
    </row>
    <row r="253" spans="38:70" x14ac:dyDescent="0.25">
      <c r="AL253" s="4"/>
      <c r="AO253" s="4"/>
      <c r="AS253" s="4"/>
      <c r="AV253" s="4"/>
      <c r="AW253" s="4"/>
      <c r="AY253" s="4"/>
      <c r="AZ253" s="4"/>
      <c r="BA253" s="4"/>
      <c r="BC253" s="4"/>
      <c r="BD253" s="4"/>
      <c r="BG253" s="4"/>
      <c r="BH253" s="4"/>
      <c r="BK253" s="4">
        <v>41901</v>
      </c>
      <c r="BL253" s="15">
        <v>9154880</v>
      </c>
      <c r="BM253" s="15">
        <v>994757</v>
      </c>
      <c r="BN253" s="15">
        <v>1334710</v>
      </c>
      <c r="BO253" s="15">
        <v>103705</v>
      </c>
      <c r="BP253" s="15">
        <v>350946</v>
      </c>
      <c r="BQ253" s="15">
        <v>931475</v>
      </c>
      <c r="BR253" s="15">
        <v>765181</v>
      </c>
    </row>
    <row r="254" spans="38:70" x14ac:dyDescent="0.25">
      <c r="AL254" s="4"/>
      <c r="AO254" s="4"/>
      <c r="AS254" s="4"/>
      <c r="AV254" s="4"/>
      <c r="AW254" s="4"/>
      <c r="AY254" s="4"/>
      <c r="AZ254" s="4"/>
      <c r="BA254" s="4"/>
      <c r="BC254" s="4"/>
      <c r="BD254" s="4"/>
      <c r="BG254" s="4"/>
      <c r="BH254" s="4"/>
      <c r="BK254" s="4">
        <v>41894</v>
      </c>
      <c r="BL254" s="15">
        <v>9093759</v>
      </c>
      <c r="BM254" s="15">
        <v>979705</v>
      </c>
      <c r="BN254" s="15">
        <v>1341817</v>
      </c>
      <c r="BO254" s="15">
        <v>105757</v>
      </c>
      <c r="BP254" s="15">
        <v>350919</v>
      </c>
      <c r="BQ254" s="15">
        <v>896910</v>
      </c>
      <c r="BR254" s="15">
        <v>764466</v>
      </c>
    </row>
    <row r="255" spans="38:70" x14ac:dyDescent="0.25">
      <c r="AL255" s="4"/>
      <c r="AO255" s="4"/>
      <c r="AS255" s="4"/>
      <c r="AV255" s="4"/>
      <c r="AW255" s="4"/>
      <c r="AY255" s="4"/>
      <c r="AZ255" s="4"/>
      <c r="BA255" s="4"/>
      <c r="BC255" s="4"/>
      <c r="BD255" s="4"/>
      <c r="BG255" s="4"/>
      <c r="BH255" s="4"/>
      <c r="BK255" s="4">
        <v>41887</v>
      </c>
      <c r="BL255" s="15">
        <v>9072399</v>
      </c>
      <c r="BM255" s="15">
        <v>1007999</v>
      </c>
      <c r="BN255" s="15">
        <v>1321952</v>
      </c>
      <c r="BO255" s="15">
        <v>100473</v>
      </c>
      <c r="BP255" s="15">
        <v>349218</v>
      </c>
      <c r="BQ255" s="15">
        <v>855366</v>
      </c>
      <c r="BR255" s="15">
        <v>764514</v>
      </c>
    </row>
    <row r="256" spans="38:70" x14ac:dyDescent="0.25">
      <c r="AL256" s="4"/>
      <c r="AO256" s="4"/>
      <c r="AS256" s="4"/>
      <c r="AV256" s="4"/>
      <c r="AW256" s="4"/>
      <c r="AY256" s="4"/>
      <c r="AZ256" s="4"/>
      <c r="BA256" s="4"/>
      <c r="BC256" s="4"/>
      <c r="BD256" s="4"/>
      <c r="BG256" s="4"/>
      <c r="BH256" s="4"/>
      <c r="BK256" s="4">
        <v>41880</v>
      </c>
      <c r="BL256" s="15">
        <v>9097360</v>
      </c>
      <c r="BM256" s="15">
        <v>1011446</v>
      </c>
      <c r="BN256" s="15">
        <v>1328987</v>
      </c>
      <c r="BO256" s="15">
        <v>104246</v>
      </c>
      <c r="BP256" s="15">
        <v>346567</v>
      </c>
      <c r="BQ256" s="15">
        <v>855280</v>
      </c>
      <c r="BR256" s="15">
        <v>771301</v>
      </c>
    </row>
    <row r="257" spans="38:70" x14ac:dyDescent="0.25">
      <c r="AL257" s="4"/>
      <c r="AO257" s="4"/>
      <c r="AS257" s="4"/>
      <c r="AV257" s="4"/>
      <c r="AW257" s="4"/>
      <c r="AY257" s="4"/>
      <c r="AZ257" s="4"/>
      <c r="BA257" s="4"/>
      <c r="BC257" s="4"/>
      <c r="BD257" s="4"/>
      <c r="BG257" s="4"/>
      <c r="BH257" s="4"/>
      <c r="BK257" s="4">
        <v>41873</v>
      </c>
      <c r="BL257" s="15">
        <v>9091908</v>
      </c>
      <c r="BM257" s="15">
        <v>1030907</v>
      </c>
      <c r="BN257" s="15">
        <v>1346227</v>
      </c>
      <c r="BO257" s="15">
        <v>102486</v>
      </c>
      <c r="BP257" s="15">
        <v>343395</v>
      </c>
      <c r="BQ257" s="15">
        <v>913980</v>
      </c>
      <c r="BR257" s="15">
        <v>776412</v>
      </c>
    </row>
    <row r="258" spans="38:70" x14ac:dyDescent="0.25">
      <c r="AL258" s="4"/>
      <c r="AO258" s="4"/>
      <c r="AS258" s="4"/>
      <c r="AV258" s="4"/>
      <c r="AW258" s="4"/>
      <c r="AY258" s="4"/>
      <c r="AZ258" s="4"/>
      <c r="BA258" s="4"/>
      <c r="BC258" s="4"/>
      <c r="BD258" s="4"/>
      <c r="BG258" s="4"/>
      <c r="BH258" s="4"/>
      <c r="BK258" s="4">
        <v>41866</v>
      </c>
      <c r="BL258" s="15">
        <v>9094934</v>
      </c>
      <c r="BM258" s="15">
        <v>977885</v>
      </c>
      <c r="BN258" s="15">
        <v>1359509</v>
      </c>
      <c r="BO258" s="15">
        <v>104658</v>
      </c>
      <c r="BP258" s="15">
        <v>341176</v>
      </c>
      <c r="BQ258" s="15">
        <v>900218</v>
      </c>
      <c r="BR258" s="15">
        <v>783749</v>
      </c>
    </row>
    <row r="259" spans="38:70" x14ac:dyDescent="0.25">
      <c r="AL259" s="4"/>
      <c r="AO259" s="4"/>
      <c r="AS259" s="4"/>
      <c r="AV259" s="4"/>
      <c r="AW259" s="4"/>
      <c r="AY259" s="4"/>
      <c r="AZ259" s="4"/>
      <c r="BA259" s="4"/>
      <c r="BC259" s="4"/>
      <c r="BD259" s="4"/>
      <c r="BG259" s="4"/>
      <c r="BH259" s="4"/>
      <c r="BK259" s="4">
        <v>41859</v>
      </c>
      <c r="BL259" s="15">
        <v>9093561</v>
      </c>
      <c r="BM259" s="15">
        <v>972375</v>
      </c>
      <c r="BN259" s="15">
        <v>1344647</v>
      </c>
      <c r="BO259" s="15">
        <v>108702</v>
      </c>
      <c r="BP259" s="15">
        <v>340776</v>
      </c>
      <c r="BQ259" s="15">
        <v>858389</v>
      </c>
      <c r="BR259" s="15">
        <v>783429</v>
      </c>
    </row>
    <row r="260" spans="38:70" x14ac:dyDescent="0.25">
      <c r="AL260" s="4"/>
      <c r="AO260" s="4"/>
      <c r="AS260" s="4"/>
      <c r="AV260" s="4"/>
      <c r="AW260" s="4"/>
      <c r="AY260" s="4"/>
      <c r="AZ260" s="4"/>
      <c r="BA260" s="4"/>
      <c r="BC260" s="4"/>
      <c r="BD260" s="4"/>
      <c r="BG260" s="4"/>
      <c r="BH260" s="4"/>
      <c r="BK260" s="4">
        <v>41852</v>
      </c>
      <c r="BL260" s="15">
        <v>9073834</v>
      </c>
      <c r="BM260" s="15">
        <v>966550</v>
      </c>
      <c r="BN260" s="15">
        <v>1335744</v>
      </c>
      <c r="BO260" s="15">
        <v>107786</v>
      </c>
      <c r="BP260" s="15">
        <v>341036</v>
      </c>
      <c r="BQ260" s="15">
        <v>806926</v>
      </c>
      <c r="BR260" s="15">
        <v>781577</v>
      </c>
    </row>
    <row r="261" spans="38:70" x14ac:dyDescent="0.25">
      <c r="AL261" s="4"/>
      <c r="AO261" s="4"/>
      <c r="AS261" s="4"/>
      <c r="AV261" s="4"/>
      <c r="AW261" s="4"/>
      <c r="AY261" s="4"/>
      <c r="AZ261" s="4"/>
      <c r="BA261" s="4"/>
      <c r="BC261" s="4"/>
      <c r="BD261" s="4"/>
      <c r="BG261" s="4"/>
      <c r="BH261" s="4"/>
      <c r="BK261" s="4">
        <v>41845</v>
      </c>
      <c r="BL261" s="15">
        <v>9027276</v>
      </c>
      <c r="BM261" s="15">
        <v>954194</v>
      </c>
      <c r="BN261" s="15">
        <v>1288669</v>
      </c>
      <c r="BO261" s="15">
        <v>104986</v>
      </c>
      <c r="BP261" s="15">
        <v>341681</v>
      </c>
      <c r="BQ261" s="15">
        <v>784422</v>
      </c>
      <c r="BR261" s="15">
        <v>784752</v>
      </c>
    </row>
    <row r="262" spans="38:70" x14ac:dyDescent="0.25">
      <c r="AL262" s="4"/>
      <c r="AO262" s="4"/>
      <c r="AS262" s="4"/>
      <c r="AV262" s="4"/>
      <c r="AW262" s="4"/>
      <c r="AY262" s="4"/>
      <c r="AZ262" s="4"/>
      <c r="BA262" s="4"/>
      <c r="BC262" s="4"/>
      <c r="BD262" s="4"/>
      <c r="BG262" s="4"/>
      <c r="BH262" s="4"/>
      <c r="BK262" s="4">
        <v>41838</v>
      </c>
      <c r="BL262" s="15">
        <v>9106943</v>
      </c>
      <c r="BM262" s="15">
        <v>971008</v>
      </c>
      <c r="BN262" s="15">
        <v>1311028</v>
      </c>
      <c r="BO262" s="15">
        <v>102885</v>
      </c>
      <c r="BP262" s="15">
        <v>340484</v>
      </c>
      <c r="BQ262" s="15">
        <v>801356</v>
      </c>
      <c r="BR262" s="15">
        <v>787694</v>
      </c>
    </row>
    <row r="263" spans="38:70" x14ac:dyDescent="0.25">
      <c r="AL263" s="4"/>
      <c r="AO263" s="4"/>
      <c r="AS263" s="4"/>
      <c r="AV263" s="4"/>
      <c r="AW263" s="4"/>
      <c r="AY263" s="4"/>
      <c r="AZ263" s="4"/>
      <c r="BA263" s="4"/>
      <c r="BC263" s="4"/>
      <c r="BD263" s="4"/>
      <c r="BG263" s="4"/>
      <c r="BH263" s="4"/>
      <c r="BK263" s="4">
        <v>41831</v>
      </c>
      <c r="BL263" s="15">
        <v>9067828</v>
      </c>
      <c r="BM263" s="15">
        <v>956695</v>
      </c>
      <c r="BN263" s="15">
        <v>1304306</v>
      </c>
      <c r="BO263" s="15">
        <v>106637</v>
      </c>
      <c r="BP263" s="15">
        <v>342167</v>
      </c>
      <c r="BQ263" s="15">
        <v>773020</v>
      </c>
      <c r="BR263" s="15">
        <v>791487</v>
      </c>
    </row>
    <row r="264" spans="38:70" x14ac:dyDescent="0.25">
      <c r="AL264" s="4"/>
      <c r="AO264" s="4"/>
      <c r="AS264" s="4"/>
      <c r="AV264" s="4"/>
      <c r="AW264" s="4"/>
      <c r="AY264" s="4"/>
      <c r="AZ264" s="4"/>
      <c r="BA264" s="4"/>
      <c r="BC264" s="4"/>
      <c r="BD264" s="4"/>
      <c r="BG264" s="4"/>
      <c r="BH264" s="4"/>
      <c r="BK264" s="4">
        <v>41824</v>
      </c>
      <c r="BL264" s="15">
        <v>9068772</v>
      </c>
      <c r="BM264" s="15">
        <v>963543</v>
      </c>
      <c r="BN264" s="15">
        <v>1299072</v>
      </c>
      <c r="BO264" s="15">
        <v>108143</v>
      </c>
      <c r="BP264" s="15">
        <v>345098</v>
      </c>
      <c r="BQ264" s="15">
        <v>770971</v>
      </c>
      <c r="BR264" s="15">
        <v>799064</v>
      </c>
    </row>
    <row r="265" spans="38:70" x14ac:dyDescent="0.25">
      <c r="AL265" s="4"/>
      <c r="AO265" s="4"/>
      <c r="AS265" s="4"/>
      <c r="AV265" s="4"/>
      <c r="AW265" s="4"/>
      <c r="AY265" s="4"/>
      <c r="AZ265" s="4"/>
      <c r="BA265" s="4"/>
      <c r="BC265" s="4"/>
      <c r="BD265" s="4"/>
      <c r="BG265" s="4"/>
      <c r="BH265" s="4"/>
      <c r="BK265" s="4">
        <v>41817</v>
      </c>
      <c r="BL265" s="15">
        <v>9056087</v>
      </c>
      <c r="BM265" s="15">
        <v>1017529</v>
      </c>
      <c r="BN265" s="15">
        <v>1294970</v>
      </c>
      <c r="BO265" s="15">
        <v>104391</v>
      </c>
      <c r="BP265" s="15">
        <v>344106</v>
      </c>
      <c r="BQ265" s="15">
        <v>751204</v>
      </c>
      <c r="BR265" s="15">
        <v>799782</v>
      </c>
    </row>
    <row r="266" spans="38:70" x14ac:dyDescent="0.25">
      <c r="AL266" s="4"/>
      <c r="AO266" s="4"/>
      <c r="AS266" s="4"/>
      <c r="AV266" s="4"/>
      <c r="AW266" s="4"/>
      <c r="AY266" s="4"/>
      <c r="AZ266" s="4"/>
      <c r="BA266" s="4"/>
      <c r="BC266" s="4"/>
      <c r="BD266" s="4"/>
      <c r="BG266" s="4"/>
      <c r="BH266" s="4"/>
      <c r="BK266" s="4">
        <v>41810</v>
      </c>
      <c r="BL266" s="15">
        <v>9015081</v>
      </c>
      <c r="BM266" s="15">
        <v>981300</v>
      </c>
      <c r="BN266" s="15">
        <v>1287206</v>
      </c>
      <c r="BO266" s="15">
        <v>105259</v>
      </c>
      <c r="BP266" s="15">
        <v>341190</v>
      </c>
      <c r="BQ266" s="15">
        <v>781748</v>
      </c>
      <c r="BR266" s="15">
        <v>795313</v>
      </c>
    </row>
    <row r="267" spans="38:70" x14ac:dyDescent="0.25">
      <c r="AL267" s="4"/>
      <c r="AO267" s="4"/>
      <c r="AS267" s="4"/>
      <c r="AV267" s="4"/>
      <c r="AW267" s="4"/>
      <c r="AY267" s="4"/>
      <c r="AZ267" s="4"/>
      <c r="BA267" s="4"/>
      <c r="BC267" s="4"/>
      <c r="BD267" s="4"/>
      <c r="BG267" s="4"/>
      <c r="BH267" s="4"/>
      <c r="BK267" s="4">
        <v>41803</v>
      </c>
      <c r="BL267" s="15">
        <v>9011437</v>
      </c>
      <c r="BM267" s="15">
        <v>968866</v>
      </c>
      <c r="BN267" s="15">
        <v>1332852</v>
      </c>
      <c r="BO267" s="15">
        <v>105019</v>
      </c>
      <c r="BP267" s="15">
        <v>340301</v>
      </c>
      <c r="BQ267" s="15">
        <v>777059</v>
      </c>
      <c r="BR267" s="15">
        <v>798103</v>
      </c>
    </row>
    <row r="268" spans="38:70" x14ac:dyDescent="0.25">
      <c r="AL268" s="4"/>
      <c r="AO268" s="4"/>
      <c r="AS268" s="4"/>
      <c r="AV268" s="4"/>
      <c r="AW268" s="4"/>
      <c r="AY268" s="4"/>
      <c r="AZ268" s="4"/>
      <c r="BA268" s="4"/>
      <c r="BC268" s="4"/>
      <c r="BD268" s="4"/>
      <c r="BG268" s="4"/>
      <c r="BH268" s="4"/>
      <c r="BK268" s="4">
        <v>41796</v>
      </c>
      <c r="BL268" s="15">
        <v>9013787</v>
      </c>
      <c r="BM268" s="15">
        <v>951780</v>
      </c>
      <c r="BN268" s="15">
        <v>1307543</v>
      </c>
      <c r="BO268" s="15">
        <v>108062</v>
      </c>
      <c r="BP268" s="15">
        <v>345067</v>
      </c>
      <c r="BQ268" s="15">
        <v>788760</v>
      </c>
      <c r="BR268" s="15">
        <v>804305</v>
      </c>
    </row>
    <row r="269" spans="38:70" x14ac:dyDescent="0.25">
      <c r="AL269" s="4"/>
      <c r="AO269" s="4"/>
      <c r="AS269" s="4"/>
      <c r="AV269" s="4"/>
      <c r="AW269" s="4"/>
      <c r="AY269" s="4"/>
      <c r="AZ269" s="4"/>
      <c r="BA269" s="4"/>
      <c r="BC269" s="4"/>
      <c r="BD269" s="4"/>
      <c r="BG269" s="4"/>
      <c r="BH269" s="4"/>
      <c r="BK269" s="4"/>
    </row>
    <row r="270" spans="38:70" x14ac:dyDescent="0.25">
      <c r="AL270" s="4"/>
      <c r="AO270" s="4"/>
      <c r="AS270" s="4"/>
      <c r="AV270" s="4"/>
      <c r="AW270" s="4"/>
      <c r="AY270" s="4"/>
      <c r="AZ270" s="4"/>
      <c r="BA270" s="4"/>
      <c r="BC270" s="4"/>
      <c r="BD270" s="4"/>
      <c r="BG270" s="4"/>
      <c r="BH270" s="4"/>
      <c r="BK270" s="4"/>
    </row>
    <row r="271" spans="38:70" x14ac:dyDescent="0.25">
      <c r="AL271" s="4"/>
      <c r="AO271" s="4"/>
      <c r="AS271" s="4"/>
      <c r="AV271" s="4"/>
      <c r="AW271" s="4"/>
      <c r="AY271" s="4"/>
      <c r="AZ271" s="4"/>
      <c r="BA271" s="4"/>
      <c r="BC271" s="4"/>
      <c r="BD271" s="4"/>
      <c r="BG271" s="4"/>
      <c r="BH271" s="4"/>
      <c r="BK271" s="4"/>
    </row>
    <row r="272" spans="38:70" x14ac:dyDescent="0.25">
      <c r="AL272" s="4"/>
      <c r="AO272" s="4"/>
      <c r="AS272" s="4"/>
      <c r="AV272" s="4"/>
      <c r="AW272" s="4"/>
      <c r="AY272" s="4"/>
      <c r="AZ272" s="4"/>
      <c r="BA272" s="4"/>
      <c r="BC272" s="4"/>
      <c r="BD272" s="4"/>
      <c r="BG272" s="4"/>
      <c r="BH272" s="4"/>
      <c r="BK272" s="4"/>
    </row>
    <row r="273" spans="38:63" x14ac:dyDescent="0.25">
      <c r="AL273" s="4"/>
      <c r="AO273" s="4"/>
      <c r="AS273" s="4"/>
      <c r="AV273" s="4"/>
      <c r="AW273" s="4"/>
      <c r="AY273" s="4"/>
      <c r="AZ273" s="4"/>
      <c r="BA273" s="4"/>
      <c r="BC273" s="4"/>
      <c r="BD273" s="4"/>
      <c r="BG273" s="4"/>
      <c r="BH273" s="4"/>
      <c r="BK273" s="4"/>
    </row>
    <row r="274" spans="38:63" x14ac:dyDescent="0.25">
      <c r="AL274" s="4"/>
      <c r="AO274" s="4"/>
      <c r="AS274" s="4"/>
      <c r="AV274" s="4"/>
      <c r="AW274" s="4"/>
      <c r="AY274" s="4"/>
      <c r="AZ274" s="4"/>
      <c r="BA274" s="4"/>
      <c r="BC274" s="4"/>
      <c r="BD274" s="4"/>
      <c r="BG274" s="4"/>
      <c r="BH274" s="4"/>
      <c r="BK274" s="4"/>
    </row>
    <row r="275" spans="38:63" x14ac:dyDescent="0.25">
      <c r="AL275" s="4"/>
      <c r="AO275" s="4"/>
      <c r="AS275" s="4"/>
      <c r="AV275" s="4"/>
      <c r="AW275" s="4"/>
      <c r="AY275" s="4"/>
      <c r="AZ275" s="4"/>
      <c r="BA275" s="4"/>
      <c r="BC275" s="4"/>
      <c r="BD275" s="4"/>
      <c r="BG275" s="4"/>
      <c r="BH275" s="4"/>
      <c r="BK275" s="4"/>
    </row>
    <row r="276" spans="38:63" x14ac:dyDescent="0.25">
      <c r="AL276" s="4"/>
      <c r="AO276" s="4"/>
      <c r="AS276" s="4"/>
      <c r="AV276" s="4"/>
      <c r="AW276" s="4"/>
      <c r="AY276" s="4"/>
      <c r="AZ276" s="4"/>
      <c r="BA276" s="4"/>
      <c r="BC276" s="4"/>
      <c r="BD276" s="4"/>
      <c r="BG276" s="4"/>
      <c r="BH276" s="4"/>
      <c r="BK276" s="4"/>
    </row>
    <row r="277" spans="38:63" x14ac:dyDescent="0.25">
      <c r="AL277" s="4"/>
      <c r="AO277" s="4"/>
      <c r="AS277" s="4"/>
      <c r="AV277" s="4"/>
      <c r="AW277" s="4"/>
      <c r="AY277" s="4"/>
      <c r="AZ277" s="4"/>
      <c r="BA277" s="4"/>
      <c r="BC277" s="4"/>
      <c r="BD277" s="4"/>
      <c r="BG277" s="4"/>
      <c r="BH277" s="4"/>
      <c r="BK277" s="4"/>
    </row>
    <row r="278" spans="38:63" x14ac:dyDescent="0.25">
      <c r="AL278" s="4"/>
      <c r="AO278" s="4"/>
      <c r="AS278" s="4"/>
      <c r="AV278" s="4"/>
      <c r="AW278" s="4"/>
      <c r="AY278" s="4"/>
      <c r="AZ278" s="4"/>
      <c r="BA278" s="4"/>
      <c r="BC278" s="4"/>
      <c r="BD278" s="4"/>
      <c r="BG278" s="4"/>
      <c r="BH278" s="4"/>
      <c r="BK278" s="4"/>
    </row>
    <row r="279" spans="38:63" x14ac:dyDescent="0.25">
      <c r="AL279" s="4"/>
      <c r="AO279" s="4"/>
      <c r="AS279" s="4"/>
      <c r="AV279" s="4"/>
      <c r="AW279" s="4"/>
      <c r="AY279" s="4"/>
      <c r="AZ279" s="4"/>
      <c r="BA279" s="4"/>
      <c r="BC279" s="4"/>
      <c r="BD279" s="4"/>
      <c r="BG279" s="4"/>
      <c r="BH279" s="4"/>
      <c r="BK279" s="4"/>
    </row>
    <row r="280" spans="38:63" x14ac:dyDescent="0.25">
      <c r="AL280" s="4"/>
      <c r="AO280" s="4"/>
      <c r="AS280" s="4"/>
      <c r="AV280" s="4"/>
      <c r="AW280" s="4"/>
      <c r="AY280" s="4"/>
      <c r="AZ280" s="4"/>
      <c r="BA280" s="4"/>
      <c r="BC280" s="4"/>
      <c r="BD280" s="4"/>
      <c r="BG280" s="4"/>
      <c r="BH280" s="4"/>
      <c r="BK280" s="4"/>
    </row>
    <row r="281" spans="38:63" x14ac:dyDescent="0.25">
      <c r="AL281" s="4"/>
      <c r="AO281" s="4"/>
      <c r="AS281" s="4"/>
      <c r="AV281" s="4"/>
      <c r="AW281" s="4"/>
      <c r="AY281" s="4"/>
      <c r="AZ281" s="4"/>
      <c r="BA281" s="4"/>
      <c r="BC281" s="4"/>
      <c r="BD281" s="4"/>
      <c r="BG281" s="4"/>
      <c r="BH281" s="4"/>
      <c r="BK281" s="4"/>
    </row>
    <row r="282" spans="38:63" x14ac:dyDescent="0.25">
      <c r="AL282" s="4"/>
      <c r="AO282" s="4"/>
      <c r="AS282" s="4"/>
      <c r="AV282" s="4"/>
      <c r="AW282" s="4"/>
      <c r="AY282" s="4"/>
      <c r="AZ282" s="4"/>
      <c r="BA282" s="4"/>
      <c r="BC282" s="4"/>
      <c r="BD282" s="4"/>
      <c r="BG282" s="4"/>
      <c r="BH282" s="4"/>
      <c r="BK282" s="4"/>
    </row>
    <row r="283" spans="38:63" x14ac:dyDescent="0.25">
      <c r="AL283" s="4"/>
      <c r="AO283" s="4"/>
      <c r="AS283" s="4"/>
      <c r="AV283" s="4"/>
      <c r="AW283" s="4"/>
      <c r="AY283" s="4"/>
      <c r="AZ283" s="4"/>
      <c r="BA283" s="4"/>
      <c r="BC283" s="4"/>
      <c r="BD283" s="4"/>
      <c r="BG283" s="4"/>
      <c r="BH283" s="4"/>
      <c r="BK283" s="4"/>
    </row>
    <row r="284" spans="38:63" x14ac:dyDescent="0.25">
      <c r="AL284" s="4"/>
      <c r="AO284" s="4"/>
      <c r="AS284" s="4"/>
      <c r="AV284" s="4"/>
      <c r="AW284" s="4"/>
      <c r="AY284" s="4"/>
      <c r="AZ284" s="4"/>
      <c r="BA284" s="4"/>
      <c r="BC284" s="4"/>
      <c r="BD284" s="4"/>
      <c r="BG284" s="4"/>
      <c r="BH284" s="4"/>
      <c r="BK284" s="4"/>
    </row>
    <row r="285" spans="38:63" x14ac:dyDescent="0.25">
      <c r="AL285" s="4"/>
      <c r="AO285" s="4"/>
      <c r="AS285" s="4"/>
      <c r="AV285" s="4"/>
      <c r="AW285" s="4"/>
      <c r="AY285" s="4"/>
      <c r="AZ285" s="4"/>
      <c r="BA285" s="4"/>
      <c r="BC285" s="4"/>
      <c r="BD285" s="4"/>
      <c r="BG285" s="4"/>
      <c r="BH285" s="4"/>
      <c r="BK285" s="4"/>
    </row>
    <row r="286" spans="38:63" x14ac:dyDescent="0.25">
      <c r="AL286" s="4"/>
      <c r="AO286" s="4"/>
      <c r="AS286" s="4"/>
      <c r="AV286" s="4"/>
      <c r="AW286" s="4"/>
      <c r="AY286" s="4"/>
      <c r="AZ286" s="4"/>
      <c r="BA286" s="4"/>
      <c r="BC286" s="4"/>
      <c r="BD286" s="4"/>
      <c r="BG286" s="4"/>
      <c r="BH286" s="4"/>
      <c r="BK286" s="4"/>
    </row>
    <row r="287" spans="38:63" x14ac:dyDescent="0.25">
      <c r="AL287" s="4"/>
      <c r="AO287" s="4"/>
      <c r="AS287" s="4"/>
      <c r="AV287" s="4"/>
      <c r="AW287" s="4"/>
      <c r="AY287" s="4"/>
      <c r="AZ287" s="4"/>
      <c r="BA287" s="4"/>
      <c r="BC287" s="4"/>
      <c r="BD287" s="4"/>
      <c r="BG287" s="4"/>
      <c r="BH287" s="4"/>
      <c r="BK287" s="4"/>
    </row>
    <row r="288" spans="38:63" x14ac:dyDescent="0.25">
      <c r="AL288" s="4"/>
      <c r="AO288" s="4"/>
      <c r="AS288" s="4"/>
      <c r="AV288" s="4"/>
      <c r="AW288" s="4"/>
      <c r="AY288" s="4"/>
      <c r="AZ288" s="4"/>
      <c r="BA288" s="4"/>
      <c r="BC288" s="4"/>
      <c r="BD288" s="4"/>
      <c r="BG288" s="4"/>
      <c r="BH288" s="4"/>
      <c r="BK288" s="4"/>
    </row>
    <row r="289" spans="38:63" x14ac:dyDescent="0.25">
      <c r="AL289" s="4"/>
      <c r="AO289" s="4"/>
      <c r="AS289" s="4"/>
      <c r="AV289" s="4"/>
      <c r="AW289" s="4"/>
      <c r="AY289" s="4"/>
      <c r="AZ289" s="4"/>
      <c r="BA289" s="4"/>
      <c r="BC289" s="4"/>
      <c r="BD289" s="4"/>
      <c r="BG289" s="4"/>
      <c r="BH289" s="4"/>
      <c r="BK289" s="4"/>
    </row>
    <row r="290" spans="38:63" x14ac:dyDescent="0.25">
      <c r="AL290" s="4"/>
      <c r="AO290" s="4"/>
      <c r="AS290" s="4"/>
      <c r="AV290" s="4"/>
      <c r="AW290" s="4"/>
      <c r="AY290" s="4"/>
      <c r="AZ290" s="4"/>
      <c r="BA290" s="4"/>
      <c r="BC290" s="4"/>
      <c r="BD290" s="4"/>
      <c r="BG290" s="4"/>
      <c r="BH290" s="4"/>
      <c r="BK290" s="4"/>
    </row>
    <row r="291" spans="38:63" x14ac:dyDescent="0.25">
      <c r="AL291" s="4"/>
      <c r="AO291" s="4"/>
      <c r="AS291" s="4"/>
      <c r="AV291" s="4"/>
      <c r="AW291" s="4"/>
      <c r="AY291" s="4"/>
      <c r="AZ291" s="4"/>
      <c r="BA291" s="4"/>
      <c r="BC291" s="4"/>
      <c r="BD291" s="4"/>
      <c r="BG291" s="4"/>
      <c r="BH291" s="4"/>
      <c r="BK291" s="4"/>
    </row>
    <row r="292" spans="38:63" x14ac:dyDescent="0.25">
      <c r="AL292" s="4"/>
      <c r="AO292" s="4"/>
      <c r="AS292" s="4"/>
      <c r="AV292" s="4"/>
      <c r="AW292" s="4"/>
      <c r="AY292" s="4"/>
      <c r="AZ292" s="4"/>
      <c r="BA292" s="4"/>
      <c r="BC292" s="4"/>
      <c r="BD292" s="4"/>
      <c r="BG292" s="4"/>
      <c r="BH292" s="4"/>
      <c r="BK292" s="4"/>
    </row>
    <row r="293" spans="38:63" x14ac:dyDescent="0.25">
      <c r="AL293" s="4"/>
      <c r="AO293" s="4"/>
      <c r="AS293" s="4"/>
      <c r="AV293" s="4"/>
      <c r="AW293" s="4"/>
      <c r="AY293" s="4"/>
      <c r="AZ293" s="4"/>
      <c r="BA293" s="4"/>
      <c r="BC293" s="4"/>
      <c r="BD293" s="4"/>
      <c r="BG293" s="4"/>
      <c r="BH293" s="4"/>
      <c r="BK293" s="4"/>
    </row>
    <row r="294" spans="38:63" x14ac:dyDescent="0.25">
      <c r="AL294" s="4"/>
      <c r="AO294" s="4"/>
      <c r="AS294" s="4"/>
      <c r="AV294" s="4"/>
      <c r="AW294" s="4"/>
      <c r="AY294" s="4"/>
      <c r="AZ294" s="4"/>
      <c r="BA294" s="4"/>
      <c r="BC294" s="4"/>
      <c r="BD294" s="4"/>
      <c r="BG294" s="4"/>
      <c r="BH294" s="4"/>
      <c r="BK294" s="4"/>
    </row>
    <row r="295" spans="38:63" x14ac:dyDescent="0.25">
      <c r="AL295" s="4"/>
      <c r="AO295" s="4"/>
      <c r="AS295" s="4"/>
      <c r="AV295" s="4"/>
      <c r="AW295" s="4"/>
      <c r="AY295" s="4"/>
      <c r="AZ295" s="4"/>
      <c r="BA295" s="4"/>
      <c r="BC295" s="4"/>
      <c r="BD295" s="4"/>
      <c r="BG295" s="4"/>
      <c r="BH295" s="4"/>
      <c r="BK295" s="4"/>
    </row>
    <row r="296" spans="38:63" x14ac:dyDescent="0.25">
      <c r="AL296" s="4"/>
      <c r="AO296" s="4"/>
      <c r="AS296" s="4"/>
      <c r="AV296" s="4"/>
      <c r="AW296" s="4"/>
      <c r="AY296" s="4"/>
      <c r="AZ296" s="4"/>
      <c r="BA296" s="4"/>
      <c r="BC296" s="4"/>
      <c r="BD296" s="4"/>
      <c r="BG296" s="4"/>
      <c r="BH296" s="4"/>
      <c r="BK296" s="4"/>
    </row>
    <row r="297" spans="38:63" x14ac:dyDescent="0.25">
      <c r="AL297" s="4"/>
      <c r="AO297" s="4"/>
      <c r="AS297" s="4"/>
      <c r="AV297" s="4"/>
      <c r="AW297" s="4"/>
      <c r="AY297" s="4"/>
      <c r="AZ297" s="4"/>
      <c r="BA297" s="4"/>
      <c r="BC297" s="4"/>
      <c r="BD297" s="4"/>
      <c r="BG297" s="4"/>
      <c r="BH297" s="4"/>
      <c r="BK297" s="4"/>
    </row>
    <row r="298" spans="38:63" x14ac:dyDescent="0.25">
      <c r="AL298" s="4"/>
      <c r="AO298" s="4"/>
      <c r="AS298" s="4"/>
      <c r="AV298" s="4"/>
      <c r="AW298" s="4"/>
      <c r="AY298" s="4"/>
      <c r="AZ298" s="4"/>
      <c r="BA298" s="4"/>
      <c r="BC298" s="4"/>
      <c r="BD298" s="4"/>
      <c r="BG298" s="4"/>
      <c r="BH298" s="4"/>
      <c r="BK298" s="4"/>
    </row>
    <row r="299" spans="38:63" x14ac:dyDescent="0.25">
      <c r="AL299" s="4"/>
      <c r="AO299" s="4"/>
      <c r="AS299" s="4"/>
      <c r="AV299" s="4"/>
      <c r="AW299" s="4"/>
      <c r="AY299" s="4"/>
      <c r="AZ299" s="4"/>
      <c r="BA299" s="4"/>
      <c r="BC299" s="4"/>
      <c r="BD299" s="4"/>
      <c r="BG299" s="4"/>
      <c r="BH299" s="4"/>
      <c r="BK299" s="4"/>
    </row>
    <row r="300" spans="38:63" x14ac:dyDescent="0.25">
      <c r="AL300" s="4"/>
      <c r="AO300" s="4"/>
      <c r="AS300" s="4"/>
      <c r="AV300" s="4"/>
      <c r="AW300" s="4"/>
      <c r="AY300" s="4"/>
      <c r="AZ300" s="4"/>
      <c r="BA300" s="4"/>
      <c r="BC300" s="4"/>
      <c r="BD300" s="4"/>
      <c r="BG300" s="4"/>
      <c r="BH300" s="4"/>
      <c r="BK300" s="4"/>
    </row>
    <row r="301" spans="38:63" x14ac:dyDescent="0.25">
      <c r="AL301" s="4"/>
      <c r="AO301" s="4"/>
      <c r="AS301" s="4"/>
      <c r="AV301" s="4"/>
      <c r="AW301" s="4"/>
      <c r="AY301" s="4"/>
      <c r="AZ301" s="4"/>
      <c r="BA301" s="4"/>
      <c r="BC301" s="4"/>
      <c r="BD301" s="4"/>
      <c r="BG301" s="4"/>
      <c r="BH301" s="4"/>
      <c r="BK301" s="4"/>
    </row>
    <row r="302" spans="38:63" x14ac:dyDescent="0.25">
      <c r="AL302" s="4"/>
      <c r="AO302" s="4"/>
      <c r="AS302" s="4"/>
      <c r="AV302" s="4"/>
      <c r="AW302" s="4"/>
      <c r="AY302" s="4"/>
      <c r="AZ302" s="4"/>
      <c r="BA302" s="4"/>
      <c r="BC302" s="4"/>
      <c r="BD302" s="4"/>
      <c r="BG302" s="4"/>
      <c r="BH302" s="4"/>
      <c r="BK302" s="4"/>
    </row>
    <row r="303" spans="38:63" x14ac:dyDescent="0.25">
      <c r="AL303" s="4"/>
      <c r="AO303" s="4"/>
      <c r="AS303" s="4"/>
      <c r="AV303" s="4"/>
      <c r="AW303" s="4"/>
      <c r="AY303" s="4"/>
      <c r="AZ303" s="4"/>
      <c r="BA303" s="4"/>
      <c r="BC303" s="4"/>
      <c r="BD303" s="4"/>
      <c r="BG303" s="4"/>
      <c r="BH303" s="4"/>
      <c r="BK303" s="4"/>
    </row>
    <row r="304" spans="38:63" x14ac:dyDescent="0.25">
      <c r="AL304" s="4"/>
      <c r="AO304" s="4"/>
      <c r="AS304" s="4"/>
      <c r="AV304" s="4"/>
      <c r="AW304" s="4"/>
      <c r="AY304" s="4"/>
      <c r="AZ304" s="4"/>
      <c r="BA304" s="4"/>
      <c r="BC304" s="4"/>
      <c r="BD304" s="4"/>
      <c r="BG304" s="4"/>
      <c r="BH304" s="4"/>
      <c r="BK304" s="4"/>
    </row>
    <row r="305" spans="38:63" x14ac:dyDescent="0.25">
      <c r="AL305" s="4"/>
      <c r="AO305" s="4"/>
      <c r="AS305" s="4"/>
      <c r="AV305" s="4"/>
      <c r="AW305" s="4"/>
      <c r="AY305" s="4"/>
      <c r="AZ305" s="4"/>
      <c r="BA305" s="4"/>
      <c r="BC305" s="4"/>
      <c r="BD305" s="4"/>
      <c r="BG305" s="4"/>
      <c r="BH305" s="4"/>
      <c r="BK305" s="4"/>
    </row>
    <row r="306" spans="38:63" x14ac:dyDescent="0.25">
      <c r="AL306" s="4"/>
      <c r="AO306" s="4"/>
      <c r="AS306" s="4"/>
      <c r="AV306" s="4"/>
      <c r="AW306" s="4"/>
      <c r="AY306" s="4"/>
      <c r="AZ306" s="4"/>
      <c r="BA306" s="4"/>
      <c r="BC306" s="4"/>
      <c r="BD306" s="4"/>
      <c r="BG306" s="4"/>
      <c r="BH306" s="4"/>
      <c r="BK306" s="4"/>
    </row>
    <row r="307" spans="38:63" x14ac:dyDescent="0.25">
      <c r="AL307" s="4"/>
      <c r="AO307" s="4"/>
      <c r="AS307" s="4"/>
      <c r="AV307" s="4"/>
      <c r="AW307" s="4"/>
      <c r="AY307" s="4"/>
      <c r="AZ307" s="4"/>
      <c r="BA307" s="4"/>
      <c r="BC307" s="4"/>
      <c r="BD307" s="4"/>
      <c r="BG307" s="4"/>
      <c r="BH307" s="4"/>
      <c r="BK307" s="4"/>
    </row>
    <row r="308" spans="38:63" x14ac:dyDescent="0.25">
      <c r="AL308" s="4"/>
      <c r="AO308" s="4"/>
      <c r="AS308" s="4"/>
      <c r="AV308" s="4"/>
      <c r="AW308" s="4"/>
      <c r="AY308" s="4"/>
      <c r="AZ308" s="4"/>
      <c r="BA308" s="4"/>
      <c r="BC308" s="4"/>
      <c r="BD308" s="4"/>
      <c r="BG308" s="4"/>
      <c r="BH308" s="4"/>
      <c r="BK308" s="4"/>
    </row>
    <row r="309" spans="38:63" x14ac:dyDescent="0.25">
      <c r="AL309" s="4"/>
      <c r="AO309" s="4"/>
      <c r="AS309" s="4"/>
      <c r="AV309" s="4"/>
      <c r="AW309" s="4"/>
      <c r="AY309" s="4"/>
      <c r="AZ309" s="4"/>
      <c r="BA309" s="4"/>
      <c r="BC309" s="4"/>
      <c r="BD309" s="4"/>
      <c r="BG309" s="4"/>
      <c r="BH309" s="4"/>
      <c r="BK309" s="4"/>
    </row>
    <row r="310" spans="38:63" x14ac:dyDescent="0.25">
      <c r="AL310" s="4"/>
      <c r="AO310" s="4"/>
      <c r="AS310" s="4"/>
      <c r="AV310" s="4"/>
      <c r="AW310" s="4"/>
      <c r="AY310" s="4"/>
      <c r="AZ310" s="4"/>
      <c r="BA310" s="4"/>
      <c r="BC310" s="4"/>
      <c r="BD310" s="4"/>
      <c r="BG310" s="4"/>
      <c r="BH310" s="4"/>
      <c r="BK310" s="4"/>
    </row>
    <row r="311" spans="38:63" x14ac:dyDescent="0.25">
      <c r="AL311" s="4"/>
      <c r="AO311" s="4"/>
      <c r="AS311" s="4"/>
      <c r="AV311" s="4"/>
      <c r="AW311" s="4"/>
      <c r="AY311" s="4"/>
      <c r="AZ311" s="4"/>
      <c r="BA311" s="4"/>
      <c r="BC311" s="4"/>
      <c r="BD311" s="4"/>
      <c r="BG311" s="4"/>
      <c r="BH311" s="4"/>
      <c r="BK311" s="4"/>
    </row>
    <row r="312" spans="38:63" x14ac:dyDescent="0.25">
      <c r="AL312" s="4"/>
      <c r="AO312" s="4"/>
      <c r="AS312" s="4"/>
      <c r="AV312" s="4"/>
      <c r="AW312" s="4"/>
      <c r="AY312" s="4"/>
      <c r="AZ312" s="4"/>
      <c r="BA312" s="4"/>
      <c r="BC312" s="4"/>
      <c r="BD312" s="4"/>
      <c r="BG312" s="4"/>
      <c r="BH312" s="4"/>
      <c r="BK312" s="4"/>
    </row>
    <row r="313" spans="38:63" x14ac:dyDescent="0.25">
      <c r="AL313" s="4"/>
      <c r="AO313" s="4"/>
      <c r="AS313" s="4"/>
      <c r="AV313" s="4"/>
      <c r="AW313" s="4"/>
      <c r="AY313" s="4"/>
      <c r="AZ313" s="4"/>
      <c r="BA313" s="4"/>
      <c r="BC313" s="4"/>
      <c r="BD313" s="4"/>
      <c r="BG313" s="4"/>
      <c r="BH313" s="4"/>
      <c r="BK313" s="4"/>
    </row>
    <row r="314" spans="38:63" x14ac:dyDescent="0.25">
      <c r="AL314" s="4"/>
      <c r="AO314" s="4"/>
      <c r="AS314" s="4"/>
      <c r="AV314" s="4"/>
      <c r="AW314" s="4"/>
      <c r="AY314" s="4"/>
      <c r="AZ314" s="4"/>
      <c r="BA314" s="4"/>
      <c r="BC314" s="4"/>
      <c r="BD314" s="4"/>
      <c r="BG314" s="4"/>
      <c r="BH314" s="4"/>
      <c r="BK314" s="4"/>
    </row>
    <row r="315" spans="38:63" x14ac:dyDescent="0.25">
      <c r="AL315" s="4"/>
      <c r="AO315" s="4"/>
      <c r="AS315" s="4"/>
      <c r="AV315" s="4"/>
      <c r="AW315" s="4"/>
      <c r="AY315" s="4"/>
      <c r="AZ315" s="4"/>
      <c r="BA315" s="4"/>
      <c r="BC315" s="4"/>
      <c r="BD315" s="4"/>
      <c r="BG315" s="4"/>
      <c r="BH315" s="4"/>
      <c r="BK315" s="4"/>
    </row>
    <row r="316" spans="38:63" x14ac:dyDescent="0.25">
      <c r="AL316" s="4"/>
      <c r="AO316" s="4"/>
      <c r="AS316" s="4"/>
      <c r="AV316" s="4"/>
      <c r="AW316" s="4"/>
      <c r="AY316" s="4"/>
      <c r="AZ316" s="4"/>
      <c r="BA316" s="4"/>
      <c r="BC316" s="4"/>
      <c r="BD316" s="4"/>
      <c r="BG316" s="4"/>
      <c r="BH316" s="4"/>
      <c r="BK316" s="4"/>
    </row>
    <row r="317" spans="38:63" x14ac:dyDescent="0.25">
      <c r="AL317" s="4"/>
      <c r="AO317" s="4"/>
      <c r="AS317" s="4"/>
      <c r="AV317" s="4"/>
      <c r="AW317" s="4"/>
      <c r="AY317" s="4"/>
      <c r="AZ317" s="4"/>
      <c r="BA317" s="4"/>
      <c r="BC317" s="4"/>
      <c r="BD317" s="4"/>
      <c r="BG317" s="4"/>
      <c r="BH317" s="4"/>
      <c r="BK317" s="4"/>
    </row>
    <row r="318" spans="38:63" x14ac:dyDescent="0.25">
      <c r="AL318" s="4"/>
      <c r="AO318" s="4"/>
      <c r="AS318" s="4"/>
      <c r="AV318" s="4"/>
      <c r="AW318" s="4"/>
      <c r="AY318" s="4"/>
      <c r="AZ318" s="4"/>
      <c r="BA318" s="4"/>
      <c r="BC318" s="4"/>
      <c r="BD318" s="4"/>
      <c r="BG318" s="4"/>
      <c r="BH318" s="4"/>
      <c r="BK318" s="4"/>
    </row>
    <row r="319" spans="38:63" x14ac:dyDescent="0.25">
      <c r="AL319" s="4"/>
      <c r="AO319" s="4"/>
      <c r="AS319" s="4"/>
      <c r="AV319" s="4"/>
      <c r="AW319" s="4"/>
      <c r="AY319" s="4"/>
      <c r="AZ319" s="4"/>
      <c r="BA319" s="4"/>
      <c r="BC319" s="4"/>
      <c r="BD319" s="4"/>
      <c r="BG319" s="4"/>
      <c r="BH319" s="4"/>
      <c r="BK319" s="4"/>
    </row>
    <row r="320" spans="38:63" x14ac:dyDescent="0.25">
      <c r="AL320" s="4"/>
      <c r="AO320" s="4"/>
      <c r="AS320" s="4"/>
      <c r="AV320" s="4"/>
      <c r="AW320" s="4"/>
      <c r="AY320" s="4"/>
      <c r="AZ320" s="4"/>
      <c r="BA320" s="4"/>
      <c r="BC320" s="4"/>
      <c r="BD320" s="4"/>
      <c r="BG320" s="4"/>
      <c r="BH320" s="4"/>
      <c r="BK320" s="4"/>
    </row>
    <row r="321" spans="38:63" x14ac:dyDescent="0.25">
      <c r="AL321" s="4"/>
      <c r="AO321" s="4"/>
      <c r="AS321" s="4"/>
      <c r="AV321" s="4"/>
      <c r="AW321" s="4"/>
      <c r="AY321" s="4"/>
      <c r="AZ321" s="4"/>
      <c r="BA321" s="4"/>
      <c r="BC321" s="4"/>
      <c r="BD321" s="4"/>
      <c r="BG321" s="4"/>
      <c r="BH321" s="4"/>
      <c r="BK321" s="4"/>
    </row>
    <row r="322" spans="38:63" x14ac:dyDescent="0.25">
      <c r="AL322" s="4"/>
      <c r="AO322" s="4"/>
      <c r="AS322" s="4"/>
      <c r="AV322" s="4"/>
      <c r="AW322" s="4"/>
      <c r="AY322" s="4"/>
      <c r="AZ322" s="4"/>
      <c r="BA322" s="4"/>
      <c r="BC322" s="4"/>
      <c r="BD322" s="4"/>
      <c r="BG322" s="4"/>
      <c r="BH322" s="4"/>
      <c r="BK322" s="4"/>
    </row>
    <row r="323" spans="38:63" x14ac:dyDescent="0.25">
      <c r="AL323" s="4"/>
      <c r="AO323" s="4"/>
      <c r="AS323" s="4"/>
      <c r="AV323" s="4"/>
      <c r="AW323" s="4"/>
      <c r="AY323" s="4"/>
      <c r="AZ323" s="4"/>
      <c r="BA323" s="4"/>
      <c r="BC323" s="4"/>
      <c r="BD323" s="4"/>
      <c r="BG323" s="4"/>
      <c r="BH323" s="4"/>
      <c r="BK323" s="4"/>
    </row>
    <row r="324" spans="38:63" x14ac:dyDescent="0.25">
      <c r="AL324" s="4"/>
      <c r="AO324" s="4"/>
      <c r="AS324" s="4"/>
      <c r="AV324" s="4"/>
      <c r="AW324" s="4"/>
      <c r="AY324" s="4"/>
      <c r="AZ324" s="4"/>
      <c r="BA324" s="4"/>
      <c r="BC324" s="4"/>
      <c r="BD324" s="4"/>
      <c r="BG324" s="4"/>
      <c r="BH324" s="4"/>
      <c r="BK324" s="4"/>
    </row>
    <row r="325" spans="38:63" x14ac:dyDescent="0.25">
      <c r="AL325" s="4"/>
      <c r="AO325" s="4"/>
      <c r="AS325" s="4"/>
      <c r="AV325" s="4"/>
      <c r="AW325" s="4"/>
      <c r="AY325" s="4"/>
      <c r="AZ325" s="4"/>
      <c r="BA325" s="4"/>
      <c r="BC325" s="4"/>
      <c r="BD325" s="4"/>
      <c r="BG325" s="4"/>
      <c r="BH325" s="4"/>
      <c r="BK325" s="4"/>
    </row>
    <row r="326" spans="38:63" x14ac:dyDescent="0.25">
      <c r="AL326" s="4"/>
      <c r="AO326" s="4"/>
      <c r="AS326" s="4"/>
      <c r="AV326" s="4"/>
      <c r="AW326" s="4"/>
      <c r="AY326" s="4"/>
      <c r="AZ326" s="4"/>
      <c r="BA326" s="4"/>
      <c r="BC326" s="4"/>
      <c r="BD326" s="4"/>
      <c r="BG326" s="4"/>
      <c r="BH326" s="4"/>
      <c r="BK326" s="4"/>
    </row>
    <row r="327" spans="38:63" x14ac:dyDescent="0.25">
      <c r="AL327" s="4"/>
      <c r="AO327" s="4"/>
      <c r="AS327" s="4"/>
      <c r="AV327" s="4"/>
      <c r="AW327" s="4"/>
      <c r="AY327" s="4"/>
      <c r="AZ327" s="4"/>
      <c r="BA327" s="4"/>
      <c r="BC327" s="4"/>
      <c r="BD327" s="4"/>
      <c r="BG327" s="4"/>
      <c r="BH327" s="4"/>
      <c r="BK327" s="4"/>
    </row>
    <row r="328" spans="38:63" x14ac:dyDescent="0.25">
      <c r="AL328" s="4"/>
      <c r="AO328" s="4"/>
      <c r="AS328" s="4"/>
      <c r="AV328" s="4"/>
      <c r="AW328" s="4"/>
      <c r="AY328" s="4"/>
      <c r="AZ328" s="4"/>
      <c r="BA328" s="4"/>
      <c r="BC328" s="4"/>
      <c r="BD328" s="4"/>
      <c r="BG328" s="4"/>
      <c r="BH328" s="4"/>
      <c r="BK328" s="4"/>
    </row>
    <row r="329" spans="38:63" x14ac:dyDescent="0.25">
      <c r="AL329" s="4"/>
      <c r="AO329" s="4"/>
      <c r="AS329" s="4"/>
      <c r="AV329" s="4"/>
      <c r="AW329" s="4"/>
      <c r="AY329" s="4"/>
      <c r="AZ329" s="4"/>
      <c r="BA329" s="4"/>
      <c r="BC329" s="4"/>
      <c r="BD329" s="4"/>
      <c r="BG329" s="4"/>
      <c r="BH329" s="4"/>
      <c r="BK329" s="4"/>
    </row>
    <row r="330" spans="38:63" x14ac:dyDescent="0.25">
      <c r="AL330" s="4"/>
      <c r="AO330" s="4"/>
      <c r="AS330" s="4"/>
      <c r="AV330" s="4"/>
      <c r="AW330" s="4"/>
      <c r="AY330" s="4"/>
      <c r="AZ330" s="4"/>
      <c r="BA330" s="4"/>
      <c r="BC330" s="4"/>
      <c r="BD330" s="4"/>
      <c r="BG330" s="4"/>
      <c r="BH330" s="4"/>
      <c r="BK330" s="4"/>
    </row>
    <row r="331" spans="38:63" x14ac:dyDescent="0.25">
      <c r="AL331" s="4"/>
      <c r="AO331" s="4"/>
      <c r="AS331" s="4"/>
      <c r="AV331" s="4"/>
      <c r="AW331" s="4"/>
      <c r="AY331" s="4"/>
      <c r="AZ331" s="4"/>
      <c r="BA331" s="4"/>
      <c r="BC331" s="4"/>
      <c r="BD331" s="4"/>
      <c r="BG331" s="4"/>
      <c r="BH331" s="4"/>
      <c r="BK331" s="4"/>
    </row>
    <row r="332" spans="38:63" x14ac:dyDescent="0.25">
      <c r="AL332" s="4"/>
      <c r="AO332" s="4"/>
      <c r="AS332" s="4"/>
      <c r="AV332" s="4"/>
      <c r="AW332" s="4"/>
      <c r="AY332" s="4"/>
      <c r="AZ332" s="4"/>
      <c r="BA332" s="4"/>
      <c r="BC332" s="4"/>
      <c r="BD332" s="4"/>
      <c r="BG332" s="4"/>
      <c r="BH332" s="4"/>
      <c r="BK332" s="4"/>
    </row>
    <row r="333" spans="38:63" x14ac:dyDescent="0.25">
      <c r="AL333" s="4"/>
      <c r="AO333" s="4"/>
      <c r="AS333" s="4"/>
      <c r="AV333" s="4"/>
      <c r="AW333" s="4"/>
      <c r="AY333" s="4"/>
      <c r="AZ333" s="4"/>
      <c r="BA333" s="4"/>
      <c r="BC333" s="4"/>
      <c r="BD333" s="4"/>
      <c r="BG333" s="4"/>
      <c r="BH333" s="4"/>
      <c r="BK333" s="4"/>
    </row>
    <row r="334" spans="38:63" x14ac:dyDescent="0.25">
      <c r="AL334" s="4"/>
      <c r="AO334" s="4"/>
      <c r="AS334" s="4"/>
      <c r="AV334" s="4"/>
      <c r="AW334" s="4"/>
      <c r="AY334" s="4"/>
      <c r="AZ334" s="4"/>
      <c r="BA334" s="4"/>
      <c r="BC334" s="4"/>
      <c r="BD334" s="4"/>
      <c r="BG334" s="4"/>
      <c r="BH334" s="4"/>
      <c r="BK334" s="4"/>
    </row>
    <row r="335" spans="38:63" x14ac:dyDescent="0.25">
      <c r="AL335" s="4"/>
      <c r="AO335" s="4"/>
      <c r="AS335" s="4"/>
      <c r="AV335" s="4"/>
      <c r="AW335" s="4"/>
      <c r="AY335" s="4"/>
      <c r="AZ335" s="4"/>
      <c r="BA335" s="4"/>
      <c r="BC335" s="4"/>
      <c r="BD335" s="4"/>
      <c r="BG335" s="4"/>
      <c r="BH335" s="4"/>
      <c r="BK335" s="4"/>
    </row>
    <row r="336" spans="38:63" x14ac:dyDescent="0.25">
      <c r="AL336" s="4"/>
      <c r="AO336" s="4"/>
      <c r="AS336" s="4"/>
      <c r="AV336" s="4"/>
      <c r="AW336" s="4"/>
      <c r="AY336" s="4"/>
      <c r="AZ336" s="4"/>
      <c r="BA336" s="4"/>
      <c r="BC336" s="4"/>
      <c r="BD336" s="4"/>
      <c r="BG336" s="4"/>
      <c r="BH336" s="4"/>
      <c r="BK336" s="4"/>
    </row>
    <row r="337" spans="38:63" x14ac:dyDescent="0.25">
      <c r="AL337" s="4"/>
      <c r="AO337" s="4"/>
      <c r="AS337" s="4"/>
      <c r="AV337" s="4"/>
      <c r="AW337" s="4"/>
      <c r="AY337" s="4"/>
      <c r="AZ337" s="4"/>
      <c r="BA337" s="4"/>
      <c r="BC337" s="4"/>
      <c r="BD337" s="4"/>
      <c r="BG337" s="4"/>
      <c r="BH337" s="4"/>
      <c r="BK337" s="4"/>
    </row>
    <row r="338" spans="38:63" x14ac:dyDescent="0.25">
      <c r="AL338" s="4"/>
      <c r="AO338" s="4"/>
      <c r="AS338" s="4"/>
      <c r="AV338" s="4"/>
      <c r="AW338" s="4"/>
      <c r="AY338" s="4"/>
      <c r="AZ338" s="4"/>
      <c r="BA338" s="4"/>
      <c r="BC338" s="4"/>
      <c r="BD338" s="4"/>
      <c r="BG338" s="4"/>
      <c r="BH338" s="4"/>
      <c r="BK338" s="4"/>
    </row>
    <row r="339" spans="38:63" x14ac:dyDescent="0.25">
      <c r="AL339" s="4"/>
      <c r="AO339" s="4"/>
      <c r="AS339" s="4"/>
      <c r="AV339" s="4"/>
      <c r="AW339" s="4"/>
      <c r="AY339" s="4"/>
      <c r="AZ339" s="4"/>
      <c r="BA339" s="4"/>
      <c r="BC339" s="4"/>
      <c r="BD339" s="4"/>
      <c r="BG339" s="4"/>
      <c r="BH339" s="4"/>
      <c r="BK339" s="4"/>
    </row>
    <row r="340" spans="38:63" x14ac:dyDescent="0.25">
      <c r="AL340" s="4"/>
      <c r="AO340" s="4"/>
      <c r="AS340" s="4"/>
      <c r="AV340" s="4"/>
      <c r="AW340" s="4"/>
      <c r="AY340" s="4"/>
      <c r="AZ340" s="4"/>
      <c r="BA340" s="4"/>
      <c r="BC340" s="4"/>
      <c r="BD340" s="4"/>
      <c r="BG340" s="4"/>
      <c r="BH340" s="4"/>
      <c r="BK340" s="4"/>
    </row>
    <row r="341" spans="38:63" x14ac:dyDescent="0.25">
      <c r="AL341" s="4"/>
      <c r="AO341" s="4"/>
      <c r="AS341" s="4"/>
      <c r="AV341" s="4"/>
      <c r="AW341" s="4"/>
      <c r="AY341" s="4"/>
      <c r="AZ341" s="4"/>
      <c r="BA341" s="4"/>
      <c r="BC341" s="4"/>
      <c r="BD341" s="4"/>
      <c r="BG341" s="4"/>
      <c r="BH341" s="4"/>
      <c r="BK341" s="4"/>
    </row>
    <row r="342" spans="38:63" x14ac:dyDescent="0.25">
      <c r="AL342" s="4"/>
      <c r="AO342" s="4"/>
      <c r="AS342" s="4"/>
      <c r="AV342" s="4"/>
      <c r="AW342" s="4"/>
      <c r="AY342" s="4"/>
      <c r="AZ342" s="4"/>
      <c r="BA342" s="4"/>
      <c r="BC342" s="4"/>
      <c r="BD342" s="4"/>
      <c r="BG342" s="4"/>
      <c r="BH342" s="4"/>
      <c r="BK342" s="4"/>
    </row>
    <row r="343" spans="38:63" x14ac:dyDescent="0.25">
      <c r="AL343" s="4"/>
      <c r="AO343" s="4"/>
      <c r="AS343" s="4"/>
      <c r="AV343" s="4"/>
      <c r="AW343" s="4"/>
      <c r="AY343" s="4"/>
      <c r="AZ343" s="4"/>
      <c r="BA343" s="4"/>
      <c r="BC343" s="4"/>
      <c r="BD343" s="4"/>
      <c r="BG343" s="4"/>
      <c r="BH343" s="4"/>
      <c r="BK343" s="4"/>
    </row>
    <row r="344" spans="38:63" x14ac:dyDescent="0.25">
      <c r="AL344" s="4"/>
      <c r="AO344" s="4"/>
      <c r="AS344" s="4"/>
      <c r="AV344" s="4"/>
      <c r="AW344" s="4"/>
      <c r="AY344" s="4"/>
      <c r="AZ344" s="4"/>
      <c r="BA344" s="4"/>
      <c r="BC344" s="4"/>
      <c r="BD344" s="4"/>
      <c r="BG344" s="4"/>
      <c r="BH344" s="4"/>
      <c r="BK344" s="4"/>
    </row>
    <row r="345" spans="38:63" x14ac:dyDescent="0.25">
      <c r="AL345" s="4"/>
      <c r="AO345" s="4"/>
      <c r="AS345" s="4"/>
      <c r="AV345" s="4"/>
      <c r="AW345" s="4"/>
      <c r="AY345" s="4"/>
      <c r="AZ345" s="4"/>
      <c r="BA345" s="4"/>
      <c r="BC345" s="4"/>
      <c r="BD345" s="4"/>
      <c r="BG345" s="4"/>
      <c r="BH345" s="4"/>
      <c r="BK345" s="4"/>
    </row>
    <row r="346" spans="38:63" x14ac:dyDescent="0.25">
      <c r="AL346" s="4"/>
      <c r="AO346" s="4"/>
      <c r="AS346" s="4"/>
      <c r="AV346" s="4"/>
      <c r="AW346" s="4"/>
      <c r="AY346" s="4"/>
      <c r="AZ346" s="4"/>
      <c r="BA346" s="4"/>
      <c r="BC346" s="4"/>
      <c r="BD346" s="4"/>
      <c r="BG346" s="4"/>
      <c r="BH346" s="4"/>
      <c r="BK346" s="4"/>
    </row>
    <row r="347" spans="38:63" x14ac:dyDescent="0.25">
      <c r="AL347" s="4"/>
      <c r="AO347" s="4"/>
      <c r="AS347" s="4"/>
      <c r="AV347" s="4"/>
      <c r="AW347" s="4"/>
      <c r="AY347" s="4"/>
      <c r="AZ347" s="4"/>
      <c r="BA347" s="4"/>
      <c r="BC347" s="4"/>
      <c r="BD347" s="4"/>
      <c r="BG347" s="4"/>
      <c r="BH347" s="4"/>
      <c r="BK347" s="4"/>
    </row>
    <row r="348" spans="38:63" x14ac:dyDescent="0.25">
      <c r="AL348" s="4"/>
      <c r="AO348" s="4"/>
      <c r="AS348" s="4"/>
      <c r="AV348" s="4"/>
      <c r="AW348" s="4"/>
      <c r="AY348" s="4"/>
      <c r="AZ348" s="4"/>
      <c r="BA348" s="4"/>
      <c r="BC348" s="4"/>
      <c r="BD348" s="4"/>
      <c r="BG348" s="4"/>
      <c r="BH348" s="4"/>
      <c r="BK348" s="4"/>
    </row>
    <row r="349" spans="38:63" x14ac:dyDescent="0.25">
      <c r="AL349" s="4"/>
      <c r="AO349" s="4"/>
      <c r="AS349" s="4"/>
      <c r="AV349" s="4"/>
      <c r="AW349" s="4"/>
      <c r="AY349" s="4"/>
      <c r="AZ349" s="4"/>
      <c r="BA349" s="4"/>
      <c r="BC349" s="4"/>
      <c r="BD349" s="4"/>
      <c r="BG349" s="4"/>
      <c r="BH349" s="4"/>
      <c r="BK349" s="4"/>
    </row>
    <row r="350" spans="38:63" x14ac:dyDescent="0.25">
      <c r="AL350" s="4"/>
      <c r="AO350" s="4"/>
      <c r="AS350" s="4"/>
      <c r="AV350" s="4"/>
      <c r="AW350" s="4"/>
      <c r="AY350" s="4"/>
      <c r="AZ350" s="4"/>
      <c r="BA350" s="4"/>
      <c r="BC350" s="4"/>
      <c r="BD350" s="4"/>
      <c r="BG350" s="4"/>
      <c r="BH350" s="4"/>
      <c r="BK350" s="4"/>
    </row>
    <row r="351" spans="38:63" x14ac:dyDescent="0.25">
      <c r="AL351" s="4"/>
      <c r="AO351" s="4"/>
      <c r="AS351" s="4"/>
      <c r="AV351" s="4"/>
      <c r="AW351" s="4"/>
      <c r="AY351" s="4"/>
      <c r="AZ351" s="4"/>
      <c r="BA351" s="4"/>
      <c r="BC351" s="4"/>
      <c r="BD351" s="4"/>
      <c r="BG351" s="4"/>
      <c r="BH351" s="4"/>
      <c r="BK351" s="4"/>
    </row>
    <row r="352" spans="38:63" x14ac:dyDescent="0.25">
      <c r="AL352" s="4"/>
      <c r="AO352" s="4"/>
      <c r="AS352" s="4"/>
      <c r="AV352" s="4"/>
      <c r="AW352" s="4"/>
      <c r="AY352" s="4"/>
      <c r="AZ352" s="4"/>
      <c r="BA352" s="4"/>
      <c r="BC352" s="4"/>
      <c r="BD352" s="4"/>
      <c r="BG352" s="4"/>
      <c r="BH352" s="4"/>
      <c r="BK352" s="4"/>
    </row>
    <row r="353" spans="38:63" x14ac:dyDescent="0.25">
      <c r="AL353" s="4"/>
      <c r="AO353" s="4"/>
      <c r="AS353" s="4"/>
      <c r="AV353" s="4"/>
      <c r="AW353" s="4"/>
      <c r="AY353" s="4"/>
      <c r="AZ353" s="4"/>
      <c r="BA353" s="4"/>
      <c r="BC353" s="4"/>
      <c r="BD353" s="4"/>
      <c r="BG353" s="4"/>
      <c r="BH353" s="4"/>
      <c r="BK353" s="4"/>
    </row>
    <row r="354" spans="38:63" x14ac:dyDescent="0.25">
      <c r="AL354" s="4"/>
      <c r="AO354" s="4"/>
      <c r="AS354" s="4"/>
      <c r="AV354" s="4"/>
      <c r="AW354" s="4"/>
      <c r="AY354" s="4"/>
      <c r="AZ354" s="4"/>
      <c r="BA354" s="4"/>
      <c r="BC354" s="4"/>
      <c r="BD354" s="4"/>
      <c r="BG354" s="4"/>
      <c r="BH354" s="4"/>
      <c r="BK354" s="4"/>
    </row>
    <row r="355" spans="38:63" x14ac:dyDescent="0.25">
      <c r="AL355" s="4"/>
      <c r="AO355" s="4"/>
      <c r="AS355" s="4"/>
      <c r="AV355" s="4"/>
      <c r="AW355" s="4"/>
      <c r="AY355" s="4"/>
      <c r="AZ355" s="4"/>
      <c r="BA355" s="4"/>
      <c r="BC355" s="4"/>
      <c r="BD355" s="4"/>
      <c r="BG355" s="4"/>
      <c r="BH355" s="4"/>
      <c r="BK355" s="4"/>
    </row>
    <row r="356" spans="38:63" x14ac:dyDescent="0.25">
      <c r="AL356" s="4"/>
      <c r="AO356" s="4"/>
      <c r="AS356" s="4"/>
      <c r="AV356" s="4"/>
      <c r="AW356" s="4"/>
      <c r="AY356" s="4"/>
      <c r="AZ356" s="4"/>
      <c r="BA356" s="4"/>
      <c r="BC356" s="4"/>
      <c r="BD356" s="4"/>
      <c r="BG356" s="4"/>
      <c r="BH356" s="4"/>
      <c r="BK356" s="4"/>
    </row>
    <row r="357" spans="38:63" x14ac:dyDescent="0.25">
      <c r="AL357" s="4"/>
      <c r="AO357" s="4"/>
      <c r="AS357" s="4"/>
      <c r="AV357" s="4"/>
      <c r="AW357" s="4"/>
      <c r="AY357" s="4"/>
      <c r="AZ357" s="4"/>
      <c r="BA357" s="4"/>
      <c r="BC357" s="4"/>
      <c r="BD357" s="4"/>
      <c r="BG357" s="4"/>
      <c r="BH357" s="4"/>
      <c r="BK357" s="4"/>
    </row>
    <row r="358" spans="38:63" x14ac:dyDescent="0.25">
      <c r="AL358" s="4"/>
      <c r="AO358" s="4"/>
      <c r="AS358" s="4"/>
      <c r="AV358" s="4"/>
      <c r="AW358" s="4"/>
      <c r="AY358" s="4"/>
      <c r="AZ358" s="4"/>
      <c r="BA358" s="4"/>
      <c r="BC358" s="4"/>
      <c r="BD358" s="4"/>
      <c r="BG358" s="4"/>
      <c r="BH358" s="4"/>
      <c r="BK358" s="4"/>
    </row>
    <row r="359" spans="38:63" x14ac:dyDescent="0.25">
      <c r="AL359" s="4"/>
      <c r="AO359" s="4"/>
      <c r="AS359" s="4"/>
      <c r="AV359" s="4"/>
      <c r="AW359" s="4"/>
      <c r="AY359" s="4"/>
      <c r="AZ359" s="4"/>
      <c r="BA359" s="4"/>
      <c r="BC359" s="4"/>
      <c r="BD359" s="4"/>
      <c r="BG359" s="4"/>
      <c r="BH359" s="4"/>
      <c r="BK359" s="4"/>
    </row>
    <row r="360" spans="38:63" x14ac:dyDescent="0.25">
      <c r="AL360" s="4"/>
      <c r="AO360" s="4"/>
      <c r="AS360" s="4"/>
      <c r="AV360" s="4"/>
      <c r="AW360" s="4"/>
      <c r="AY360" s="4"/>
      <c r="AZ360" s="4"/>
      <c r="BA360" s="4"/>
      <c r="BC360" s="4"/>
      <c r="BD360" s="4"/>
      <c r="BG360" s="4"/>
      <c r="BH360" s="4"/>
      <c r="BK360" s="4"/>
    </row>
    <row r="361" spans="38:63" x14ac:dyDescent="0.25">
      <c r="AL361" s="4"/>
      <c r="AO361" s="4"/>
      <c r="AS361" s="4"/>
      <c r="AV361" s="4"/>
      <c r="AW361" s="4"/>
      <c r="AY361" s="4"/>
      <c r="AZ361" s="4"/>
      <c r="BA361" s="4"/>
      <c r="BC361" s="4"/>
      <c r="BD361" s="4"/>
      <c r="BG361" s="4"/>
      <c r="BH361" s="4"/>
      <c r="BK361" s="4"/>
    </row>
    <row r="362" spans="38:63" x14ac:dyDescent="0.25">
      <c r="AL362" s="4"/>
      <c r="AO362" s="4"/>
      <c r="AS362" s="4"/>
      <c r="AV362" s="4"/>
      <c r="AW362" s="4"/>
      <c r="AY362" s="4"/>
      <c r="AZ362" s="4"/>
      <c r="BA362" s="4"/>
      <c r="BC362" s="4"/>
      <c r="BD362" s="4"/>
      <c r="BG362" s="4"/>
      <c r="BH362" s="4"/>
      <c r="BK362" s="4"/>
    </row>
    <row r="363" spans="38:63" x14ac:dyDescent="0.25">
      <c r="AL363" s="4"/>
      <c r="AO363" s="4"/>
      <c r="AS363" s="4"/>
      <c r="AV363" s="4"/>
      <c r="AW363" s="4"/>
      <c r="AY363" s="4"/>
      <c r="AZ363" s="4"/>
      <c r="BA363" s="4"/>
      <c r="BC363" s="4"/>
      <c r="BD363" s="4"/>
      <c r="BG363" s="4"/>
      <c r="BH363" s="4"/>
      <c r="BK363" s="4"/>
    </row>
    <row r="364" spans="38:63" x14ac:dyDescent="0.25">
      <c r="AL364" s="4"/>
      <c r="AO364" s="4"/>
      <c r="AS364" s="4"/>
      <c r="AV364" s="4"/>
      <c r="AW364" s="4"/>
      <c r="AY364" s="4"/>
      <c r="AZ364" s="4"/>
      <c r="BA364" s="4"/>
      <c r="BC364" s="4"/>
      <c r="BD364" s="4"/>
      <c r="BG364" s="4"/>
      <c r="BH364" s="4"/>
      <c r="BK364" s="4"/>
    </row>
    <row r="365" spans="38:63" x14ac:dyDescent="0.25">
      <c r="AL365" s="4"/>
      <c r="AO365" s="4"/>
      <c r="AS365" s="4"/>
      <c r="AV365" s="4"/>
      <c r="AW365" s="4"/>
      <c r="AY365" s="4"/>
      <c r="AZ365" s="4"/>
      <c r="BA365" s="4"/>
      <c r="BC365" s="4"/>
      <c r="BD365" s="4"/>
      <c r="BG365" s="4"/>
      <c r="BH365" s="4"/>
      <c r="BK365" s="4"/>
    </row>
    <row r="366" spans="38:63" x14ac:dyDescent="0.25">
      <c r="AL366" s="4"/>
      <c r="AO366" s="4"/>
      <c r="AS366" s="4"/>
      <c r="AV366" s="4"/>
      <c r="AW366" s="4"/>
      <c r="AY366" s="4"/>
      <c r="AZ366" s="4"/>
      <c r="BA366" s="4"/>
      <c r="BC366" s="4"/>
      <c r="BD366" s="4"/>
      <c r="BG366" s="4"/>
      <c r="BH366" s="4"/>
      <c r="BK366" s="4"/>
    </row>
    <row r="367" spans="38:63" x14ac:dyDescent="0.25">
      <c r="AL367" s="4"/>
      <c r="AO367" s="4"/>
      <c r="AS367" s="4"/>
      <c r="AV367" s="4"/>
      <c r="AW367" s="4"/>
      <c r="AY367" s="4"/>
      <c r="AZ367" s="4"/>
      <c r="BA367" s="4"/>
      <c r="BC367" s="4"/>
      <c r="BD367" s="4"/>
      <c r="BG367" s="4"/>
      <c r="BH367" s="4"/>
      <c r="BK367" s="4"/>
    </row>
    <row r="368" spans="38:63" x14ac:dyDescent="0.25">
      <c r="AL368" s="4"/>
      <c r="AO368" s="4"/>
      <c r="AS368" s="4"/>
      <c r="AV368" s="4"/>
      <c r="AW368" s="4"/>
      <c r="AY368" s="4"/>
      <c r="AZ368" s="4"/>
      <c r="BA368" s="4"/>
      <c r="BC368" s="4"/>
      <c r="BD368" s="4"/>
      <c r="BG368" s="4"/>
      <c r="BH368" s="4"/>
      <c r="BK368" s="4"/>
    </row>
    <row r="369" spans="38:63" x14ac:dyDescent="0.25">
      <c r="AL369" s="4"/>
      <c r="AO369" s="4"/>
      <c r="AS369" s="4"/>
      <c r="AV369" s="4"/>
      <c r="AW369" s="4"/>
      <c r="AY369" s="4"/>
      <c r="AZ369" s="4"/>
      <c r="BA369" s="4"/>
      <c r="BC369" s="4"/>
      <c r="BD369" s="4"/>
      <c r="BG369" s="4"/>
      <c r="BH369" s="4"/>
      <c r="BK369" s="4"/>
    </row>
    <row r="370" spans="38:63" x14ac:dyDescent="0.25">
      <c r="AL370" s="4"/>
      <c r="AO370" s="4"/>
      <c r="AS370" s="4"/>
      <c r="AV370" s="4"/>
      <c r="AW370" s="4"/>
      <c r="AY370" s="4"/>
      <c r="AZ370" s="4"/>
      <c r="BA370" s="4"/>
      <c r="BC370" s="4"/>
      <c r="BD370" s="4"/>
      <c r="BG370" s="4"/>
      <c r="BH370" s="4"/>
      <c r="BK370" s="4"/>
    </row>
    <row r="371" spans="38:63" x14ac:dyDescent="0.25">
      <c r="AL371" s="4"/>
      <c r="AO371" s="4"/>
      <c r="AS371" s="4"/>
      <c r="AV371" s="4"/>
      <c r="AW371" s="4"/>
      <c r="AY371" s="4"/>
      <c r="AZ371" s="4"/>
      <c r="BA371" s="4"/>
      <c r="BC371" s="4"/>
      <c r="BD371" s="4"/>
      <c r="BG371" s="4"/>
      <c r="BH371" s="4"/>
      <c r="BK371" s="4"/>
    </row>
    <row r="372" spans="38:63" x14ac:dyDescent="0.25">
      <c r="AL372" s="4"/>
      <c r="AO372" s="4"/>
      <c r="AS372" s="4"/>
      <c r="AV372" s="4"/>
      <c r="AW372" s="4"/>
      <c r="AY372" s="4"/>
      <c r="AZ372" s="4"/>
      <c r="BA372" s="4"/>
      <c r="BC372" s="4"/>
      <c r="BD372" s="4"/>
      <c r="BG372" s="4"/>
      <c r="BH372" s="4"/>
      <c r="BK372" s="4"/>
    </row>
    <row r="373" spans="38:63" x14ac:dyDescent="0.25">
      <c r="AL373" s="4"/>
      <c r="AO373" s="4"/>
      <c r="AS373" s="4"/>
      <c r="AV373" s="4"/>
      <c r="AW373" s="4"/>
      <c r="AY373" s="4"/>
      <c r="AZ373" s="4"/>
      <c r="BA373" s="4"/>
      <c r="BC373" s="4"/>
      <c r="BD373" s="4"/>
      <c r="BG373" s="4"/>
      <c r="BH373" s="4"/>
      <c r="BK373" s="4"/>
    </row>
    <row r="374" spans="38:63" x14ac:dyDescent="0.25">
      <c r="AL374" s="4"/>
      <c r="AO374" s="4"/>
      <c r="AS374" s="4"/>
      <c r="AV374" s="4"/>
      <c r="AW374" s="4"/>
      <c r="AY374" s="4"/>
      <c r="AZ374" s="4"/>
      <c r="BA374" s="4"/>
      <c r="BC374" s="4"/>
      <c r="BD374" s="4"/>
      <c r="BG374" s="4"/>
      <c r="BH374" s="4"/>
      <c r="BK374" s="4"/>
    </row>
    <row r="375" spans="38:63" x14ac:dyDescent="0.25">
      <c r="AL375" s="4"/>
      <c r="AO375" s="4"/>
      <c r="AS375" s="4"/>
      <c r="AV375" s="4"/>
      <c r="AW375" s="4"/>
      <c r="AY375" s="4"/>
      <c r="AZ375" s="4"/>
      <c r="BA375" s="4"/>
      <c r="BC375" s="4"/>
      <c r="BD375" s="4"/>
      <c r="BG375" s="4"/>
      <c r="BH375" s="4"/>
      <c r="BK375" s="4"/>
    </row>
    <row r="376" spans="38:63" x14ac:dyDescent="0.25">
      <c r="AL376" s="4"/>
      <c r="AO376" s="4"/>
      <c r="AS376" s="4"/>
      <c r="AV376" s="4"/>
      <c r="AW376" s="4"/>
      <c r="AY376" s="4"/>
      <c r="AZ376" s="4"/>
      <c r="BA376" s="4"/>
      <c r="BC376" s="4"/>
      <c r="BD376" s="4"/>
      <c r="BG376" s="4"/>
      <c r="BH376" s="4"/>
      <c r="BK376" s="4"/>
    </row>
    <row r="377" spans="38:63" x14ac:dyDescent="0.25">
      <c r="AL377" s="4"/>
      <c r="AO377" s="4"/>
      <c r="AS377" s="4"/>
      <c r="AV377" s="4"/>
      <c r="AW377" s="4"/>
      <c r="AY377" s="4"/>
      <c r="AZ377" s="4"/>
      <c r="BA377" s="4"/>
      <c r="BC377" s="4"/>
      <c r="BD377" s="4"/>
      <c r="BG377" s="4"/>
      <c r="BH377" s="4"/>
      <c r="BK377" s="4"/>
    </row>
    <row r="378" spans="38:63" x14ac:dyDescent="0.25">
      <c r="AL378" s="4"/>
      <c r="AO378" s="4"/>
      <c r="AS378" s="4"/>
      <c r="AV378" s="4"/>
      <c r="AW378" s="4"/>
      <c r="AY378" s="4"/>
      <c r="AZ378" s="4"/>
      <c r="BA378" s="4"/>
      <c r="BC378" s="4"/>
      <c r="BD378" s="4"/>
      <c r="BG378" s="4"/>
      <c r="BH378" s="4"/>
      <c r="BK378" s="4"/>
    </row>
    <row r="379" spans="38:63" x14ac:dyDescent="0.25">
      <c r="AL379" s="4"/>
      <c r="AO379" s="4"/>
      <c r="AS379" s="4"/>
      <c r="AV379" s="4"/>
      <c r="AW379" s="4"/>
      <c r="AY379" s="4"/>
      <c r="AZ379" s="4"/>
      <c r="BA379" s="4"/>
      <c r="BC379" s="4"/>
      <c r="BD379" s="4"/>
      <c r="BG379" s="4"/>
      <c r="BH379" s="4"/>
      <c r="BK379" s="4"/>
    </row>
    <row r="380" spans="38:63" x14ac:dyDescent="0.25">
      <c r="AL380" s="4"/>
      <c r="AO380" s="4"/>
      <c r="AS380" s="4"/>
      <c r="AV380" s="4"/>
      <c r="AW380" s="4"/>
      <c r="AY380" s="4"/>
      <c r="AZ380" s="4"/>
      <c r="BA380" s="4"/>
      <c r="BC380" s="4"/>
      <c r="BD380" s="4"/>
      <c r="BG380" s="4"/>
      <c r="BH380" s="4"/>
      <c r="BK380" s="4"/>
    </row>
    <row r="381" spans="38:63" x14ac:dyDescent="0.25">
      <c r="AL381" s="4"/>
      <c r="AO381" s="4"/>
      <c r="AS381" s="4"/>
      <c r="AV381" s="4"/>
      <c r="AW381" s="4"/>
      <c r="AY381" s="4"/>
      <c r="AZ381" s="4"/>
      <c r="BA381" s="4"/>
      <c r="BC381" s="4"/>
      <c r="BD381" s="4"/>
      <c r="BG381" s="4"/>
      <c r="BH381" s="4"/>
      <c r="BK381" s="4"/>
    </row>
    <row r="382" spans="38:63" x14ac:dyDescent="0.25">
      <c r="AL382" s="4"/>
      <c r="AO382" s="4"/>
      <c r="AS382" s="4"/>
      <c r="AV382" s="4"/>
      <c r="AW382" s="4"/>
      <c r="AY382" s="4"/>
      <c r="AZ382" s="4"/>
      <c r="BA382" s="4"/>
      <c r="BC382" s="4"/>
      <c r="BD382" s="4"/>
      <c r="BG382" s="4"/>
      <c r="BH382" s="4"/>
      <c r="BK382" s="4"/>
    </row>
    <row r="383" spans="38:63" x14ac:dyDescent="0.25">
      <c r="AL383" s="4"/>
      <c r="AO383" s="4"/>
      <c r="AS383" s="4"/>
      <c r="AV383" s="4"/>
      <c r="AW383" s="4"/>
      <c r="AY383" s="4"/>
      <c r="AZ383" s="4"/>
      <c r="BA383" s="4"/>
      <c r="BC383" s="4"/>
      <c r="BD383" s="4"/>
      <c r="BG383" s="4"/>
      <c r="BH383" s="4"/>
      <c r="BK383" s="4"/>
    </row>
    <row r="384" spans="38:63" x14ac:dyDescent="0.25">
      <c r="AL384" s="4"/>
      <c r="AO384" s="4"/>
      <c r="AS384" s="4"/>
      <c r="AV384" s="4"/>
      <c r="AW384" s="4"/>
      <c r="AY384" s="4"/>
      <c r="AZ384" s="4"/>
      <c r="BA384" s="4"/>
      <c r="BC384" s="4"/>
      <c r="BD384" s="4"/>
      <c r="BG384" s="4"/>
      <c r="BH384" s="4"/>
      <c r="BK384" s="4"/>
    </row>
    <row r="385" spans="38:63" x14ac:dyDescent="0.25">
      <c r="AL385" s="4"/>
      <c r="AO385" s="4"/>
      <c r="AS385" s="4"/>
      <c r="AV385" s="4"/>
      <c r="AW385" s="4"/>
      <c r="AY385" s="4"/>
      <c r="AZ385" s="4"/>
      <c r="BA385" s="4"/>
      <c r="BC385" s="4"/>
      <c r="BD385" s="4"/>
      <c r="BG385" s="4"/>
      <c r="BH385" s="4"/>
      <c r="BK385" s="4"/>
    </row>
    <row r="386" spans="38:63" x14ac:dyDescent="0.25">
      <c r="AL386" s="4"/>
      <c r="AO386" s="4"/>
      <c r="AS386" s="4"/>
      <c r="AV386" s="4"/>
      <c r="AW386" s="4"/>
      <c r="AY386" s="4"/>
      <c r="AZ386" s="4"/>
      <c r="BA386" s="4"/>
      <c r="BC386" s="4"/>
      <c r="BD386" s="4"/>
      <c r="BG386" s="4"/>
      <c r="BH386" s="4"/>
      <c r="BK386" s="4"/>
    </row>
    <row r="387" spans="38:63" x14ac:dyDescent="0.25">
      <c r="AL387" s="4"/>
      <c r="AO387" s="4"/>
      <c r="AS387" s="4"/>
      <c r="AV387" s="4"/>
      <c r="AW387" s="4"/>
      <c r="AY387" s="4"/>
      <c r="AZ387" s="4"/>
      <c r="BA387" s="4"/>
      <c r="BC387" s="4"/>
      <c r="BD387" s="4"/>
      <c r="BG387" s="4"/>
      <c r="BH387" s="4"/>
      <c r="BK387" s="4"/>
    </row>
    <row r="388" spans="38:63" x14ac:dyDescent="0.25">
      <c r="AL388" s="4"/>
      <c r="AO388" s="4"/>
      <c r="AS388" s="4"/>
      <c r="AV388" s="4"/>
      <c r="AW388" s="4"/>
      <c r="AY388" s="4"/>
      <c r="AZ388" s="4"/>
      <c r="BA388" s="4"/>
      <c r="BC388" s="4"/>
      <c r="BD388" s="4"/>
      <c r="BG388" s="4"/>
      <c r="BH388" s="4"/>
      <c r="BK388" s="4"/>
    </row>
    <row r="389" spans="38:63" x14ac:dyDescent="0.25">
      <c r="AL389" s="4"/>
      <c r="AO389" s="4"/>
      <c r="AS389" s="4"/>
      <c r="AV389" s="4"/>
      <c r="AW389" s="4"/>
      <c r="AY389" s="4"/>
      <c r="AZ389" s="4"/>
      <c r="BA389" s="4"/>
      <c r="BC389" s="4"/>
      <c r="BD389" s="4"/>
      <c r="BG389" s="4"/>
      <c r="BH389" s="4"/>
      <c r="BK389" s="4"/>
    </row>
    <row r="390" spans="38:63" x14ac:dyDescent="0.25">
      <c r="AL390" s="4"/>
      <c r="AO390" s="4"/>
      <c r="AS390" s="4"/>
      <c r="AV390" s="4"/>
      <c r="AW390" s="4"/>
      <c r="AY390" s="4"/>
      <c r="AZ390" s="4"/>
      <c r="BA390" s="4"/>
      <c r="BC390" s="4"/>
      <c r="BD390" s="4"/>
      <c r="BG390" s="4"/>
      <c r="BH390" s="4"/>
      <c r="BK390" s="4"/>
    </row>
    <row r="391" spans="38:63" x14ac:dyDescent="0.25">
      <c r="AL391" s="4"/>
      <c r="AO391" s="4"/>
      <c r="AS391" s="4"/>
      <c r="AV391" s="4"/>
      <c r="AW391" s="4"/>
      <c r="AY391" s="4"/>
      <c r="AZ391" s="4"/>
      <c r="BA391" s="4"/>
      <c r="BC391" s="4"/>
      <c r="BD391" s="4"/>
      <c r="BG391" s="4"/>
      <c r="BH391" s="4"/>
      <c r="BK391" s="4"/>
    </row>
    <row r="392" spans="38:63" x14ac:dyDescent="0.25">
      <c r="AL392" s="4"/>
      <c r="AO392" s="4"/>
      <c r="AS392" s="4"/>
      <c r="AV392" s="4"/>
      <c r="AW392" s="4"/>
      <c r="AY392" s="4"/>
      <c r="AZ392" s="4"/>
      <c r="BA392" s="4"/>
      <c r="BC392" s="4"/>
      <c r="BD392" s="4"/>
      <c r="BG392" s="4"/>
      <c r="BH392" s="4"/>
      <c r="BK392" s="4"/>
    </row>
    <row r="393" spans="38:63" x14ac:dyDescent="0.25">
      <c r="AL393" s="4"/>
      <c r="AO393" s="4"/>
      <c r="AS393" s="4"/>
      <c r="AV393" s="4"/>
      <c r="AW393" s="4"/>
      <c r="AY393" s="4"/>
      <c r="AZ393" s="4"/>
      <c r="BA393" s="4"/>
      <c r="BC393" s="4"/>
      <c r="BD393" s="4"/>
      <c r="BG393" s="4"/>
      <c r="BH393" s="4"/>
      <c r="BK393" s="4"/>
    </row>
    <row r="394" spans="38:63" x14ac:dyDescent="0.25">
      <c r="AL394" s="4"/>
      <c r="AO394" s="4"/>
      <c r="AS394" s="4"/>
      <c r="AV394" s="4"/>
      <c r="AW394" s="4"/>
      <c r="AY394" s="4"/>
      <c r="AZ394" s="4"/>
      <c r="BA394" s="4"/>
      <c r="BC394" s="4"/>
      <c r="BD394" s="4"/>
      <c r="BG394" s="4"/>
      <c r="BH394" s="4"/>
      <c r="BK394" s="4"/>
    </row>
    <row r="395" spans="38:63" x14ac:dyDescent="0.25">
      <c r="AL395" s="4"/>
      <c r="AO395" s="4"/>
      <c r="AS395" s="4"/>
      <c r="AV395" s="4"/>
      <c r="AW395" s="4"/>
      <c r="AY395" s="4"/>
      <c r="AZ395" s="4"/>
      <c r="BA395" s="4"/>
      <c r="BC395" s="4"/>
      <c r="BD395" s="4"/>
      <c r="BG395" s="4"/>
      <c r="BH395" s="4"/>
      <c r="BK395" s="4"/>
    </row>
    <row r="396" spans="38:63" x14ac:dyDescent="0.25">
      <c r="AL396" s="4"/>
      <c r="AO396" s="4"/>
      <c r="AS396" s="4"/>
      <c r="AV396" s="4"/>
      <c r="AW396" s="4"/>
      <c r="AY396" s="4"/>
      <c r="AZ396" s="4"/>
      <c r="BA396" s="4"/>
      <c r="BC396" s="4"/>
      <c r="BD396" s="4"/>
      <c r="BG396" s="4"/>
      <c r="BH396" s="4"/>
      <c r="BK396" s="4"/>
    </row>
    <row r="397" spans="38:63" x14ac:dyDescent="0.25">
      <c r="AL397" s="4"/>
      <c r="AO397" s="4"/>
      <c r="AS397" s="4"/>
      <c r="AV397" s="4"/>
      <c r="AW397" s="4"/>
      <c r="AY397" s="4"/>
      <c r="AZ397" s="4"/>
      <c r="BA397" s="4"/>
      <c r="BC397" s="4"/>
      <c r="BD397" s="4"/>
      <c r="BG397" s="4"/>
      <c r="BH397" s="4"/>
      <c r="BK397" s="4"/>
    </row>
    <row r="398" spans="38:63" x14ac:dyDescent="0.25">
      <c r="AL398" s="4"/>
      <c r="AO398" s="4"/>
      <c r="AS398" s="4"/>
      <c r="AV398" s="4"/>
      <c r="AW398" s="4"/>
      <c r="AY398" s="4"/>
      <c r="AZ398" s="4"/>
      <c r="BA398" s="4"/>
      <c r="BC398" s="4"/>
      <c r="BD398" s="4"/>
      <c r="BG398" s="4"/>
      <c r="BH398" s="4"/>
      <c r="BK398" s="4"/>
    </row>
    <row r="399" spans="38:63" x14ac:dyDescent="0.25">
      <c r="AL399" s="4"/>
      <c r="AO399" s="4"/>
      <c r="AS399" s="4"/>
      <c r="AV399" s="4"/>
      <c r="AW399" s="4"/>
      <c r="AY399" s="4"/>
      <c r="AZ399" s="4"/>
      <c r="BA399" s="4"/>
      <c r="BC399" s="4"/>
      <c r="BD399" s="4"/>
      <c r="BG399" s="4"/>
      <c r="BH399" s="4"/>
      <c r="BK399" s="4"/>
    </row>
    <row r="400" spans="38:63" x14ac:dyDescent="0.25">
      <c r="AL400" s="4"/>
      <c r="AO400" s="4"/>
      <c r="AS400" s="4"/>
      <c r="AV400" s="4"/>
      <c r="AW400" s="4"/>
      <c r="AY400" s="4"/>
      <c r="AZ400" s="4"/>
      <c r="BA400" s="4"/>
      <c r="BC400" s="4"/>
      <c r="BD400" s="4"/>
      <c r="BG400" s="4"/>
      <c r="BH400" s="4"/>
      <c r="BK400" s="4"/>
    </row>
    <row r="401" spans="38:63" x14ac:dyDescent="0.25">
      <c r="AL401" s="4"/>
      <c r="AO401" s="4"/>
      <c r="AS401" s="4"/>
      <c r="AV401" s="4"/>
      <c r="AW401" s="4"/>
      <c r="AY401" s="4"/>
      <c r="AZ401" s="4"/>
      <c r="BA401" s="4"/>
      <c r="BC401" s="4"/>
      <c r="BD401" s="4"/>
      <c r="BG401" s="4"/>
      <c r="BH401" s="4"/>
      <c r="BK401" s="4"/>
    </row>
    <row r="402" spans="38:63" x14ac:dyDescent="0.25">
      <c r="AL402" s="4"/>
      <c r="AO402" s="4"/>
      <c r="AS402" s="4"/>
      <c r="AV402" s="4"/>
      <c r="AW402" s="4"/>
      <c r="AY402" s="4"/>
      <c r="AZ402" s="4"/>
      <c r="BA402" s="4"/>
      <c r="BC402" s="4"/>
      <c r="BD402" s="4"/>
      <c r="BG402" s="4"/>
      <c r="BH402" s="4"/>
      <c r="BK402" s="4"/>
    </row>
    <row r="403" spans="38:63" x14ac:dyDescent="0.25">
      <c r="AL403" s="4"/>
      <c r="AO403" s="4"/>
      <c r="AS403" s="4"/>
      <c r="AV403" s="4"/>
      <c r="AW403" s="4"/>
      <c r="AY403" s="4"/>
      <c r="AZ403" s="4"/>
      <c r="BA403" s="4"/>
      <c r="BC403" s="4"/>
      <c r="BD403" s="4"/>
      <c r="BG403" s="4"/>
      <c r="BH403" s="4"/>
      <c r="BK403" s="4"/>
    </row>
    <row r="404" spans="38:63" x14ac:dyDescent="0.25">
      <c r="AL404" s="4"/>
      <c r="AO404" s="4"/>
      <c r="AS404" s="4"/>
      <c r="AV404" s="4"/>
      <c r="AW404" s="4"/>
      <c r="AY404" s="4"/>
      <c r="AZ404" s="4"/>
      <c r="BA404" s="4"/>
      <c r="BC404" s="4"/>
      <c r="BD404" s="4"/>
      <c r="BG404" s="4"/>
      <c r="BH404" s="4"/>
      <c r="BK404" s="4"/>
    </row>
    <row r="405" spans="38:63" x14ac:dyDescent="0.25">
      <c r="AL405" s="4"/>
      <c r="AO405" s="4"/>
      <c r="AS405" s="4"/>
      <c r="AV405" s="4"/>
      <c r="AW405" s="4"/>
      <c r="AY405" s="4"/>
      <c r="AZ405" s="4"/>
      <c r="BA405" s="4"/>
      <c r="BC405" s="4"/>
      <c r="BD405" s="4"/>
      <c r="BG405" s="4"/>
      <c r="BH405" s="4"/>
      <c r="BK405" s="4"/>
    </row>
    <row r="406" spans="38:63" x14ac:dyDescent="0.25">
      <c r="AL406" s="4"/>
      <c r="AO406" s="4"/>
      <c r="AS406" s="4"/>
      <c r="AV406" s="4"/>
      <c r="AW406" s="4"/>
      <c r="AY406" s="4"/>
      <c r="AZ406" s="4"/>
      <c r="BA406" s="4"/>
      <c r="BC406" s="4"/>
      <c r="BD406" s="4"/>
      <c r="BG406" s="4"/>
      <c r="BH406" s="4"/>
      <c r="BK406" s="4"/>
    </row>
    <row r="407" spans="38:63" x14ac:dyDescent="0.25">
      <c r="AL407" s="4"/>
      <c r="AO407" s="4"/>
      <c r="AS407" s="4"/>
      <c r="AV407" s="4"/>
      <c r="AW407" s="4"/>
      <c r="AY407" s="4"/>
      <c r="AZ407" s="4"/>
      <c r="BA407" s="4"/>
      <c r="BC407" s="4"/>
      <c r="BD407" s="4"/>
      <c r="BG407" s="4"/>
      <c r="BH407" s="4"/>
      <c r="BK407" s="4"/>
    </row>
    <row r="408" spans="38:63" x14ac:dyDescent="0.25">
      <c r="AL408" s="4"/>
      <c r="AO408" s="4"/>
      <c r="AS408" s="4"/>
      <c r="AV408" s="4"/>
      <c r="AW408" s="4"/>
      <c r="AY408" s="4"/>
      <c r="AZ408" s="4"/>
      <c r="BA408" s="4"/>
      <c r="BC408" s="4"/>
      <c r="BD408" s="4"/>
      <c r="BG408" s="4"/>
      <c r="BH408" s="4"/>
      <c r="BK408" s="4"/>
    </row>
    <row r="409" spans="38:63" x14ac:dyDescent="0.25">
      <c r="AL409" s="4"/>
      <c r="AO409" s="4"/>
      <c r="AS409" s="4"/>
      <c r="AV409" s="4"/>
      <c r="AW409" s="4"/>
      <c r="AY409" s="4"/>
      <c r="AZ409" s="4"/>
      <c r="BA409" s="4"/>
      <c r="BC409" s="4"/>
      <c r="BD409" s="4"/>
      <c r="BG409" s="4"/>
      <c r="BH409" s="4"/>
      <c r="BK409" s="4"/>
    </row>
    <row r="410" spans="38:63" x14ac:dyDescent="0.25">
      <c r="AL410" s="4"/>
      <c r="AO410" s="4"/>
      <c r="AS410" s="4"/>
      <c r="AV410" s="4"/>
      <c r="AW410" s="4"/>
      <c r="AY410" s="4"/>
      <c r="AZ410" s="4"/>
      <c r="BA410" s="4"/>
      <c r="BC410" s="4"/>
      <c r="BD410" s="4"/>
      <c r="BG410" s="4"/>
      <c r="BH410" s="4"/>
      <c r="BK410" s="4"/>
    </row>
    <row r="411" spans="38:63" x14ac:dyDescent="0.25">
      <c r="AL411" s="4"/>
      <c r="AO411" s="4"/>
      <c r="AS411" s="4"/>
      <c r="AV411" s="4"/>
      <c r="AW411" s="4"/>
      <c r="AY411" s="4"/>
      <c r="AZ411" s="4"/>
      <c r="BA411" s="4"/>
      <c r="BC411" s="4"/>
      <c r="BD411" s="4"/>
      <c r="BG411" s="4"/>
      <c r="BH411" s="4"/>
      <c r="BK411" s="4"/>
    </row>
    <row r="412" spans="38:63" x14ac:dyDescent="0.25">
      <c r="AL412" s="4"/>
      <c r="AO412" s="4"/>
      <c r="AS412" s="4"/>
      <c r="AV412" s="4"/>
      <c r="AW412" s="4"/>
      <c r="AY412" s="4"/>
      <c r="AZ412" s="4"/>
      <c r="BA412" s="4"/>
      <c r="BC412" s="4"/>
      <c r="BD412" s="4"/>
      <c r="BG412" s="4"/>
      <c r="BH412" s="4"/>
      <c r="BK412" s="4"/>
    </row>
    <row r="413" spans="38:63" x14ac:dyDescent="0.25">
      <c r="AL413" s="4"/>
      <c r="AO413" s="4"/>
      <c r="AS413" s="4"/>
      <c r="AV413" s="4"/>
      <c r="AW413" s="4"/>
      <c r="AY413" s="4"/>
      <c r="AZ413" s="4"/>
      <c r="BA413" s="4"/>
      <c r="BC413" s="4"/>
      <c r="BD413" s="4"/>
      <c r="BG413" s="4"/>
      <c r="BH413" s="4"/>
      <c r="BK413" s="4"/>
    </row>
    <row r="414" spans="38:63" x14ac:dyDescent="0.25">
      <c r="AL414" s="4"/>
      <c r="AO414" s="4"/>
      <c r="AS414" s="4"/>
      <c r="AV414" s="4"/>
      <c r="AW414" s="4"/>
      <c r="AY414" s="4"/>
      <c r="AZ414" s="4"/>
      <c r="BA414" s="4"/>
      <c r="BC414" s="4"/>
      <c r="BD414" s="4"/>
      <c r="BG414" s="4"/>
      <c r="BH414" s="4"/>
      <c r="BK414" s="4"/>
    </row>
    <row r="415" spans="38:63" x14ac:dyDescent="0.25">
      <c r="AL415" s="4"/>
      <c r="AO415" s="4"/>
      <c r="AS415" s="4"/>
      <c r="AV415" s="4"/>
      <c r="AW415" s="4"/>
      <c r="AY415" s="4"/>
      <c r="AZ415" s="4"/>
      <c r="BA415" s="4"/>
      <c r="BC415" s="4"/>
      <c r="BD415" s="4"/>
      <c r="BG415" s="4"/>
      <c r="BH415" s="4"/>
      <c r="BK415" s="4"/>
    </row>
    <row r="416" spans="38:63" x14ac:dyDescent="0.25">
      <c r="AL416" s="4"/>
      <c r="AO416" s="4"/>
      <c r="AS416" s="4"/>
      <c r="AV416" s="4"/>
      <c r="AW416" s="4"/>
      <c r="AY416" s="4"/>
      <c r="AZ416" s="4"/>
      <c r="BA416" s="4"/>
      <c r="BC416" s="4"/>
      <c r="BD416" s="4"/>
      <c r="BG416" s="4"/>
      <c r="BH416" s="4"/>
      <c r="BK416" s="4"/>
    </row>
    <row r="417" spans="38:63" x14ac:dyDescent="0.25">
      <c r="AL417" s="4"/>
      <c r="AO417" s="4"/>
      <c r="AS417" s="4"/>
      <c r="AV417" s="4"/>
      <c r="AW417" s="4"/>
      <c r="AY417" s="4"/>
      <c r="AZ417" s="4"/>
      <c r="BA417" s="4"/>
      <c r="BC417" s="4"/>
      <c r="BD417" s="4"/>
      <c r="BG417" s="4"/>
      <c r="BH417" s="4"/>
      <c r="BK417" s="4"/>
    </row>
    <row r="418" spans="38:63" x14ac:dyDescent="0.25">
      <c r="AL418" s="4"/>
      <c r="AO418" s="4"/>
      <c r="AS418" s="4"/>
      <c r="AV418" s="4"/>
      <c r="AW418" s="4"/>
      <c r="AY418" s="4"/>
      <c r="AZ418" s="4"/>
      <c r="BA418" s="4"/>
      <c r="BC418" s="4"/>
      <c r="BD418" s="4"/>
      <c r="BG418" s="4"/>
      <c r="BH418" s="4"/>
      <c r="BK418" s="4"/>
    </row>
    <row r="419" spans="38:63" x14ac:dyDescent="0.25">
      <c r="AL419" s="4"/>
      <c r="AO419" s="4"/>
      <c r="AS419" s="4"/>
      <c r="AV419" s="4"/>
      <c r="AW419" s="4"/>
      <c r="AY419" s="4"/>
      <c r="AZ419" s="4"/>
      <c r="BA419" s="4"/>
      <c r="BC419" s="4"/>
      <c r="BD419" s="4"/>
      <c r="BG419" s="4"/>
      <c r="BH419" s="4"/>
      <c r="BK419" s="4"/>
    </row>
    <row r="420" spans="38:63" x14ac:dyDescent="0.25">
      <c r="AL420" s="4"/>
      <c r="AO420" s="4"/>
      <c r="AS420" s="4"/>
      <c r="AV420" s="4"/>
      <c r="AW420" s="4"/>
      <c r="AY420" s="4"/>
      <c r="AZ420" s="4"/>
      <c r="BA420" s="4"/>
      <c r="BC420" s="4"/>
      <c r="BD420" s="4"/>
      <c r="BG420" s="4"/>
      <c r="BH420" s="4"/>
      <c r="BK420" s="4"/>
    </row>
    <row r="421" spans="38:63" x14ac:dyDescent="0.25">
      <c r="AL421" s="4"/>
      <c r="AO421" s="4"/>
      <c r="AS421" s="4"/>
      <c r="AV421" s="4"/>
      <c r="AW421" s="4"/>
      <c r="AY421" s="4"/>
      <c r="AZ421" s="4"/>
      <c r="BA421" s="4"/>
      <c r="BC421" s="4"/>
      <c r="BD421" s="4"/>
      <c r="BG421" s="4"/>
      <c r="BH421" s="4"/>
      <c r="BK421" s="4"/>
    </row>
    <row r="422" spans="38:63" x14ac:dyDescent="0.25">
      <c r="AL422" s="4"/>
      <c r="AO422" s="4"/>
      <c r="AS422" s="4"/>
      <c r="AV422" s="4"/>
      <c r="AW422" s="4"/>
      <c r="AY422" s="4"/>
      <c r="AZ422" s="4"/>
      <c r="BA422" s="4"/>
      <c r="BC422" s="4"/>
      <c r="BD422" s="4"/>
      <c r="BG422" s="4"/>
      <c r="BH422" s="4"/>
      <c r="BK422" s="4"/>
    </row>
    <row r="423" spans="38:63" x14ac:dyDescent="0.25">
      <c r="AL423" s="4"/>
      <c r="AO423" s="4"/>
      <c r="AS423" s="4"/>
      <c r="AV423" s="4"/>
      <c r="AW423" s="4"/>
      <c r="AY423" s="4"/>
      <c r="AZ423" s="4"/>
      <c r="BA423" s="4"/>
      <c r="BC423" s="4"/>
      <c r="BD423" s="4"/>
      <c r="BG423" s="4"/>
      <c r="BH423" s="4"/>
      <c r="BK423" s="4"/>
    </row>
    <row r="424" spans="38:63" x14ac:dyDescent="0.25">
      <c r="AL424" s="4"/>
      <c r="AO424" s="4"/>
      <c r="AS424" s="4"/>
      <c r="AV424" s="4"/>
      <c r="AW424" s="4"/>
      <c r="AY424" s="4"/>
      <c r="AZ424" s="4"/>
      <c r="BA424" s="4"/>
      <c r="BC424" s="4"/>
      <c r="BD424" s="4"/>
      <c r="BG424" s="4"/>
      <c r="BH424" s="4"/>
      <c r="BK424" s="4"/>
    </row>
    <row r="425" spans="38:63" x14ac:dyDescent="0.25">
      <c r="AL425" s="4"/>
      <c r="AO425" s="4"/>
      <c r="AS425" s="4"/>
      <c r="AV425" s="4"/>
      <c r="AW425" s="4"/>
      <c r="AY425" s="4"/>
      <c r="AZ425" s="4"/>
      <c r="BA425" s="4"/>
      <c r="BC425" s="4"/>
      <c r="BD425" s="4"/>
      <c r="BG425" s="4"/>
      <c r="BH425" s="4"/>
      <c r="BK425" s="4"/>
    </row>
    <row r="426" spans="38:63" x14ac:dyDescent="0.25">
      <c r="AL426" s="4"/>
      <c r="AO426" s="4"/>
      <c r="AS426" s="4"/>
      <c r="AV426" s="4"/>
      <c r="AW426" s="4"/>
      <c r="AY426" s="4"/>
      <c r="AZ426" s="4"/>
      <c r="BA426" s="4"/>
      <c r="BC426" s="4"/>
      <c r="BD426" s="4"/>
      <c r="BG426" s="4"/>
      <c r="BH426" s="4"/>
      <c r="BK426" s="4"/>
    </row>
    <row r="427" spans="38:63" x14ac:dyDescent="0.25">
      <c r="AL427" s="4"/>
      <c r="AO427" s="4"/>
      <c r="AS427" s="4"/>
      <c r="AV427" s="4"/>
      <c r="AW427" s="4"/>
      <c r="AY427" s="4"/>
      <c r="AZ427" s="4"/>
      <c r="BA427" s="4"/>
      <c r="BC427" s="4"/>
      <c r="BD427" s="4"/>
      <c r="BG427" s="4"/>
      <c r="BH427" s="4"/>
      <c r="BK427" s="4"/>
    </row>
    <row r="428" spans="38:63" x14ac:dyDescent="0.25">
      <c r="AL428" s="4"/>
      <c r="AO428" s="4"/>
      <c r="AS428" s="4"/>
      <c r="AV428" s="4"/>
      <c r="AW428" s="4"/>
      <c r="AY428" s="4"/>
      <c r="AZ428" s="4"/>
      <c r="BA428" s="4"/>
      <c r="BC428" s="4"/>
      <c r="BD428" s="4"/>
      <c r="BG428" s="4"/>
      <c r="BH428" s="4"/>
      <c r="BK428" s="4"/>
    </row>
    <row r="429" spans="38:63" x14ac:dyDescent="0.25">
      <c r="AL429" s="4"/>
      <c r="AO429" s="4"/>
      <c r="AS429" s="4"/>
      <c r="AV429" s="4"/>
      <c r="AW429" s="4"/>
      <c r="AY429" s="4"/>
      <c r="AZ429" s="4"/>
      <c r="BA429" s="4"/>
      <c r="BC429" s="4"/>
      <c r="BD429" s="4"/>
      <c r="BG429" s="4"/>
      <c r="BH429" s="4"/>
      <c r="BK429" s="4"/>
    </row>
    <row r="430" spans="38:63" x14ac:dyDescent="0.25">
      <c r="AL430" s="4"/>
      <c r="AO430" s="4"/>
      <c r="AS430" s="4"/>
      <c r="AV430" s="4"/>
      <c r="AW430" s="4"/>
      <c r="AY430" s="4"/>
      <c r="AZ430" s="4"/>
      <c r="BA430" s="4"/>
      <c r="BC430" s="4"/>
      <c r="BD430" s="4"/>
      <c r="BG430" s="4"/>
      <c r="BH430" s="4"/>
      <c r="BK430" s="4"/>
    </row>
    <row r="431" spans="38:63" x14ac:dyDescent="0.25">
      <c r="AL431" s="4"/>
      <c r="AO431" s="4"/>
      <c r="AS431" s="4"/>
      <c r="AV431" s="4"/>
      <c r="AW431" s="4"/>
      <c r="AY431" s="4"/>
      <c r="AZ431" s="4"/>
      <c r="BA431" s="4"/>
      <c r="BC431" s="4"/>
      <c r="BD431" s="4"/>
      <c r="BG431" s="4"/>
      <c r="BH431" s="4"/>
      <c r="BK431" s="4"/>
    </row>
    <row r="432" spans="38:63" x14ac:dyDescent="0.25">
      <c r="AL432" s="4"/>
      <c r="AO432" s="4"/>
      <c r="AS432" s="4"/>
      <c r="AV432" s="4"/>
      <c r="AW432" s="4"/>
      <c r="AY432" s="4"/>
      <c r="AZ432" s="4"/>
      <c r="BA432" s="4"/>
      <c r="BC432" s="4"/>
      <c r="BD432" s="4"/>
      <c r="BG432" s="4"/>
      <c r="BH432" s="4"/>
      <c r="BK432" s="4"/>
    </row>
    <row r="433" spans="38:63" x14ac:dyDescent="0.25">
      <c r="AL433" s="4"/>
      <c r="AO433" s="4"/>
      <c r="AS433" s="4"/>
      <c r="AV433" s="4"/>
      <c r="AW433" s="4"/>
      <c r="AY433" s="4"/>
      <c r="AZ433" s="4"/>
      <c r="BA433" s="4"/>
      <c r="BC433" s="4"/>
      <c r="BD433" s="4"/>
      <c r="BG433" s="4"/>
      <c r="BH433" s="4"/>
      <c r="BK433" s="4"/>
    </row>
    <row r="434" spans="38:63" x14ac:dyDescent="0.25">
      <c r="AL434" s="4"/>
      <c r="AO434" s="4"/>
      <c r="AS434" s="4"/>
      <c r="AV434" s="4"/>
      <c r="AW434" s="4"/>
      <c r="AY434" s="4"/>
      <c r="AZ434" s="4"/>
      <c r="BA434" s="4"/>
      <c r="BC434" s="4"/>
      <c r="BD434" s="4"/>
      <c r="BG434" s="4"/>
      <c r="BH434" s="4"/>
      <c r="BK434" s="4"/>
    </row>
    <row r="435" spans="38:63" x14ac:dyDescent="0.25">
      <c r="AL435" s="4"/>
      <c r="AO435" s="4"/>
      <c r="AS435" s="4"/>
      <c r="AV435" s="4"/>
      <c r="AW435" s="4"/>
      <c r="AY435" s="4"/>
      <c r="AZ435" s="4"/>
      <c r="BA435" s="4"/>
      <c r="BC435" s="4"/>
      <c r="BD435" s="4"/>
      <c r="BG435" s="4"/>
      <c r="BH435" s="4"/>
      <c r="BK435" s="4"/>
    </row>
    <row r="436" spans="38:63" x14ac:dyDescent="0.25">
      <c r="AL436" s="4"/>
      <c r="AO436" s="4"/>
      <c r="AS436" s="4"/>
      <c r="AV436" s="4"/>
      <c r="AW436" s="4"/>
      <c r="AY436" s="4"/>
      <c r="AZ436" s="4"/>
      <c r="BA436" s="4"/>
      <c r="BC436" s="4"/>
      <c r="BD436" s="4"/>
      <c r="BG436" s="4"/>
      <c r="BH436" s="4"/>
      <c r="BK436" s="4"/>
    </row>
    <row r="437" spans="38:63" x14ac:dyDescent="0.25">
      <c r="AL437" s="4"/>
      <c r="AO437" s="4"/>
      <c r="AS437" s="4"/>
      <c r="AV437" s="4"/>
      <c r="AW437" s="4"/>
      <c r="AY437" s="4"/>
      <c r="AZ437" s="4"/>
      <c r="BA437" s="4"/>
      <c r="BC437" s="4"/>
      <c r="BD437" s="4"/>
      <c r="BG437" s="4"/>
      <c r="BH437" s="4"/>
      <c r="BK437" s="4"/>
    </row>
    <row r="438" spans="38:63" x14ac:dyDescent="0.25">
      <c r="AL438" s="4"/>
      <c r="AO438" s="4"/>
      <c r="AS438" s="4"/>
      <c r="AV438" s="4"/>
      <c r="AW438" s="4"/>
      <c r="AY438" s="4"/>
      <c r="AZ438" s="4"/>
      <c r="BA438" s="4"/>
      <c r="BC438" s="4"/>
      <c r="BD438" s="4"/>
      <c r="BG438" s="4"/>
      <c r="BH438" s="4"/>
      <c r="BK438" s="4"/>
    </row>
    <row r="439" spans="38:63" x14ac:dyDescent="0.25">
      <c r="AL439" s="4"/>
      <c r="AO439" s="4"/>
      <c r="AS439" s="4"/>
      <c r="AV439" s="4"/>
      <c r="AW439" s="4"/>
      <c r="AY439" s="4"/>
      <c r="AZ439" s="4"/>
      <c r="BA439" s="4"/>
      <c r="BC439" s="4"/>
      <c r="BD439" s="4"/>
      <c r="BG439" s="4"/>
      <c r="BH439" s="4"/>
      <c r="BK439" s="4"/>
    </row>
    <row r="440" spans="38:63" x14ac:dyDescent="0.25">
      <c r="AL440" s="4"/>
      <c r="AO440" s="4"/>
      <c r="AS440" s="4"/>
      <c r="AV440" s="4"/>
      <c r="AW440" s="4"/>
      <c r="AY440" s="4"/>
      <c r="AZ440" s="4"/>
      <c r="BA440" s="4"/>
      <c r="BC440" s="4"/>
      <c r="BD440" s="4"/>
      <c r="BG440" s="4"/>
      <c r="BH440" s="4"/>
      <c r="BK440" s="4"/>
    </row>
    <row r="441" spans="38:63" x14ac:dyDescent="0.25">
      <c r="AL441" s="4"/>
      <c r="AO441" s="4"/>
      <c r="AS441" s="4"/>
      <c r="AV441" s="4"/>
      <c r="AW441" s="4"/>
      <c r="AY441" s="4"/>
      <c r="AZ441" s="4"/>
      <c r="BA441" s="4"/>
      <c r="BC441" s="4"/>
      <c r="BD441" s="4"/>
      <c r="BG441" s="4"/>
      <c r="BH441" s="4"/>
      <c r="BK441" s="4"/>
    </row>
    <row r="442" spans="38:63" x14ac:dyDescent="0.25">
      <c r="AL442" s="4"/>
      <c r="AO442" s="4"/>
      <c r="AS442" s="4"/>
      <c r="AV442" s="4"/>
      <c r="AW442" s="4"/>
      <c r="AY442" s="4"/>
      <c r="AZ442" s="4"/>
      <c r="BA442" s="4"/>
      <c r="BC442" s="4"/>
      <c r="BD442" s="4"/>
      <c r="BG442" s="4"/>
      <c r="BH442" s="4"/>
      <c r="BK442" s="4"/>
    </row>
    <row r="443" spans="38:63" x14ac:dyDescent="0.25">
      <c r="AL443" s="4"/>
      <c r="AO443" s="4"/>
      <c r="AS443" s="4"/>
      <c r="AV443" s="4"/>
      <c r="AW443" s="4"/>
      <c r="AY443" s="4"/>
      <c r="AZ443" s="4"/>
      <c r="BA443" s="4"/>
      <c r="BC443" s="4"/>
      <c r="BD443" s="4"/>
      <c r="BG443" s="4"/>
      <c r="BH443" s="4"/>
      <c r="BK443" s="4"/>
    </row>
    <row r="444" spans="38:63" x14ac:dyDescent="0.25">
      <c r="AL444" s="4"/>
      <c r="AO444" s="4"/>
      <c r="AS444" s="4"/>
      <c r="AV444" s="4"/>
      <c r="AW444" s="4"/>
      <c r="AY444" s="4"/>
      <c r="AZ444" s="4"/>
      <c r="BA444" s="4"/>
      <c r="BC444" s="4"/>
      <c r="BD444" s="4"/>
      <c r="BG444" s="4"/>
      <c r="BH444" s="4"/>
      <c r="BK444" s="4"/>
    </row>
    <row r="445" spans="38:63" x14ac:dyDescent="0.25">
      <c r="AL445" s="4"/>
      <c r="AO445" s="4"/>
      <c r="AS445" s="4"/>
      <c r="AV445" s="4"/>
      <c r="AW445" s="4"/>
      <c r="AY445" s="4"/>
      <c r="AZ445" s="4"/>
      <c r="BA445" s="4"/>
      <c r="BC445" s="4"/>
      <c r="BD445" s="4"/>
      <c r="BG445" s="4"/>
      <c r="BH445" s="4"/>
      <c r="BK445" s="4"/>
    </row>
    <row r="446" spans="38:63" x14ac:dyDescent="0.25">
      <c r="AL446" s="4"/>
      <c r="AO446" s="4"/>
      <c r="AS446" s="4"/>
      <c r="AV446" s="4"/>
      <c r="AW446" s="4"/>
      <c r="AY446" s="4"/>
      <c r="AZ446" s="4"/>
      <c r="BA446" s="4"/>
      <c r="BC446" s="4"/>
      <c r="BD446" s="4"/>
      <c r="BG446" s="4"/>
      <c r="BH446" s="4"/>
      <c r="BK446" s="4"/>
    </row>
    <row r="447" spans="38:63" x14ac:dyDescent="0.25">
      <c r="AL447" s="4"/>
      <c r="AO447" s="4"/>
      <c r="AS447" s="4"/>
      <c r="AV447" s="4"/>
      <c r="AW447" s="4"/>
      <c r="AY447" s="4"/>
      <c r="AZ447" s="4"/>
      <c r="BA447" s="4"/>
      <c r="BC447" s="4"/>
      <c r="BD447" s="4"/>
      <c r="BG447" s="4"/>
      <c r="BH447" s="4"/>
      <c r="BK447" s="4"/>
    </row>
    <row r="448" spans="38:63" x14ac:dyDescent="0.25">
      <c r="AL448" s="4"/>
      <c r="AO448" s="4"/>
      <c r="AS448" s="4"/>
      <c r="AV448" s="4"/>
      <c r="AW448" s="4"/>
      <c r="AY448" s="4"/>
      <c r="AZ448" s="4"/>
      <c r="BA448" s="4"/>
      <c r="BC448" s="4"/>
      <c r="BD448" s="4"/>
      <c r="BG448" s="4"/>
      <c r="BH448" s="4"/>
      <c r="BK448" s="4"/>
    </row>
    <row r="449" spans="38:63" x14ac:dyDescent="0.25">
      <c r="AL449" s="4"/>
      <c r="AO449" s="4"/>
      <c r="AS449" s="4"/>
      <c r="AV449" s="4"/>
      <c r="AW449" s="4"/>
      <c r="AY449" s="4"/>
      <c r="AZ449" s="4"/>
      <c r="BA449" s="4"/>
      <c r="BC449" s="4"/>
      <c r="BD449" s="4"/>
      <c r="BG449" s="4"/>
      <c r="BH449" s="4"/>
      <c r="BK449" s="4"/>
    </row>
    <row r="450" spans="38:63" x14ac:dyDescent="0.25">
      <c r="AL450" s="4"/>
      <c r="AO450" s="4"/>
      <c r="AS450" s="4"/>
      <c r="AV450" s="4"/>
      <c r="AW450" s="4"/>
      <c r="AY450" s="4"/>
      <c r="AZ450" s="4"/>
      <c r="BA450" s="4"/>
      <c r="BC450" s="4"/>
      <c r="BD450" s="4"/>
      <c r="BG450" s="4"/>
      <c r="BH450" s="4"/>
      <c r="BK450" s="4"/>
    </row>
    <row r="451" spans="38:63" x14ac:dyDescent="0.25">
      <c r="AL451" s="4"/>
      <c r="AO451" s="4"/>
      <c r="AS451" s="4"/>
      <c r="AV451" s="4"/>
      <c r="AW451" s="4"/>
      <c r="AY451" s="4"/>
      <c r="AZ451" s="4"/>
      <c r="BA451" s="4"/>
      <c r="BC451" s="4"/>
      <c r="BD451" s="4"/>
      <c r="BG451" s="4"/>
      <c r="BH451" s="4"/>
      <c r="BK451" s="4"/>
    </row>
    <row r="452" spans="38:63" x14ac:dyDescent="0.25">
      <c r="AL452" s="4"/>
      <c r="AO452" s="4"/>
      <c r="AS452" s="4"/>
      <c r="AV452" s="4"/>
      <c r="AW452" s="4"/>
      <c r="AY452" s="4"/>
      <c r="AZ452" s="4"/>
      <c r="BA452" s="4"/>
      <c r="BC452" s="4"/>
      <c r="BD452" s="4"/>
      <c r="BG452" s="4"/>
      <c r="BH452" s="4"/>
      <c r="BK452" s="4"/>
    </row>
    <row r="453" spans="38:63" x14ac:dyDescent="0.25">
      <c r="AL453" s="4"/>
      <c r="AO453" s="4"/>
      <c r="AS453" s="4"/>
      <c r="AV453" s="4"/>
      <c r="AW453" s="4"/>
      <c r="AY453" s="4"/>
      <c r="AZ453" s="4"/>
      <c r="BA453" s="4"/>
      <c r="BC453" s="4"/>
      <c r="BD453" s="4"/>
      <c r="BG453" s="4"/>
      <c r="BH453" s="4"/>
      <c r="BK453" s="4"/>
    </row>
    <row r="454" spans="38:63" x14ac:dyDescent="0.25">
      <c r="AL454" s="4"/>
      <c r="AO454" s="4"/>
      <c r="AS454" s="4"/>
      <c r="AV454" s="4"/>
      <c r="AW454" s="4"/>
      <c r="AY454" s="4"/>
      <c r="AZ454" s="4"/>
      <c r="BA454" s="4"/>
      <c r="BC454" s="4"/>
      <c r="BD454" s="4"/>
      <c r="BG454" s="4"/>
      <c r="BH454" s="4"/>
      <c r="BK454" s="4"/>
    </row>
    <row r="455" spans="38:63" x14ac:dyDescent="0.25">
      <c r="AL455" s="4"/>
      <c r="AO455" s="4"/>
      <c r="AS455" s="4"/>
      <c r="AV455" s="4"/>
      <c r="AW455" s="4"/>
      <c r="AY455" s="4"/>
      <c r="AZ455" s="4"/>
      <c r="BA455" s="4"/>
      <c r="BC455" s="4"/>
      <c r="BD455" s="4"/>
      <c r="BG455" s="4"/>
      <c r="BH455" s="4"/>
      <c r="BK455" s="4"/>
    </row>
    <row r="456" spans="38:63" x14ac:dyDescent="0.25">
      <c r="AL456" s="4"/>
      <c r="AO456" s="4"/>
      <c r="AS456" s="4"/>
      <c r="AV456" s="4"/>
      <c r="AW456" s="4"/>
      <c r="AY456" s="4"/>
      <c r="AZ456" s="4"/>
      <c r="BA456" s="4"/>
      <c r="BC456" s="4"/>
      <c r="BD456" s="4"/>
      <c r="BG456" s="4"/>
      <c r="BH456" s="4"/>
      <c r="BK456" s="4"/>
    </row>
    <row r="457" spans="38:63" x14ac:dyDescent="0.25">
      <c r="AL457" s="4"/>
      <c r="AO457" s="4"/>
      <c r="AS457" s="4"/>
      <c r="AV457" s="4"/>
      <c r="AW457" s="4"/>
      <c r="AY457" s="4"/>
      <c r="AZ457" s="4"/>
      <c r="BA457" s="4"/>
      <c r="BC457" s="4"/>
      <c r="BD457" s="4"/>
      <c r="BG457" s="4"/>
      <c r="BH457" s="4"/>
      <c r="BK457" s="4"/>
    </row>
    <row r="458" spans="38:63" x14ac:dyDescent="0.25">
      <c r="AL458" s="4"/>
      <c r="AO458" s="4"/>
      <c r="AS458" s="4"/>
      <c r="AV458" s="4"/>
      <c r="AW458" s="4"/>
      <c r="AY458" s="4"/>
      <c r="AZ458" s="4"/>
      <c r="BA458" s="4"/>
      <c r="BC458" s="4"/>
      <c r="BD458" s="4"/>
      <c r="BG458" s="4"/>
      <c r="BH458" s="4"/>
      <c r="BK458" s="4"/>
    </row>
    <row r="459" spans="38:63" x14ac:dyDescent="0.25">
      <c r="AL459" s="4"/>
      <c r="AO459" s="4"/>
      <c r="AS459" s="4"/>
      <c r="AV459" s="4"/>
      <c r="AW459" s="4"/>
      <c r="AY459" s="4"/>
      <c r="AZ459" s="4"/>
      <c r="BA459" s="4"/>
      <c r="BC459" s="4"/>
      <c r="BD459" s="4"/>
      <c r="BG459" s="4"/>
      <c r="BH459" s="4"/>
      <c r="BK459" s="4"/>
    </row>
    <row r="460" spans="38:63" x14ac:dyDescent="0.25">
      <c r="AL460" s="4"/>
      <c r="AO460" s="4"/>
      <c r="AS460" s="4"/>
      <c r="AV460" s="4"/>
      <c r="AW460" s="4"/>
      <c r="AY460" s="4"/>
      <c r="AZ460" s="4"/>
      <c r="BA460" s="4"/>
      <c r="BC460" s="4"/>
      <c r="BD460" s="4"/>
      <c r="BG460" s="4"/>
      <c r="BH460" s="4"/>
      <c r="BK460" s="4"/>
    </row>
    <row r="461" spans="38:63" x14ac:dyDescent="0.25">
      <c r="AL461" s="4"/>
      <c r="AO461" s="4"/>
      <c r="AS461" s="4"/>
      <c r="AV461" s="4"/>
      <c r="AW461" s="4"/>
      <c r="AY461" s="4"/>
      <c r="AZ461" s="4"/>
      <c r="BA461" s="4"/>
      <c r="BC461" s="4"/>
      <c r="BD461" s="4"/>
      <c r="BG461" s="4"/>
      <c r="BH461" s="4"/>
      <c r="BK461" s="4"/>
    </row>
    <row r="462" spans="38:63" x14ac:dyDescent="0.25">
      <c r="AL462" s="4"/>
      <c r="AO462" s="4"/>
      <c r="AS462" s="4"/>
      <c r="AV462" s="4"/>
      <c r="AW462" s="4"/>
      <c r="AY462" s="4"/>
      <c r="AZ462" s="4"/>
      <c r="BA462" s="4"/>
      <c r="BC462" s="4"/>
      <c r="BD462" s="4"/>
      <c r="BG462" s="4"/>
      <c r="BH462" s="4"/>
      <c r="BK462" s="4"/>
    </row>
    <row r="463" spans="38:63" x14ac:dyDescent="0.25">
      <c r="AL463" s="4"/>
      <c r="AO463" s="4"/>
      <c r="AS463" s="4"/>
      <c r="AV463" s="4"/>
      <c r="AW463" s="4"/>
      <c r="AY463" s="4"/>
      <c r="AZ463" s="4"/>
      <c r="BA463" s="4"/>
      <c r="BC463" s="4"/>
      <c r="BD463" s="4"/>
      <c r="BG463" s="4"/>
      <c r="BH463" s="4"/>
      <c r="BK463" s="4"/>
    </row>
    <row r="464" spans="38:63" x14ac:dyDescent="0.25">
      <c r="AL464" s="4"/>
      <c r="AO464" s="4"/>
      <c r="AS464" s="4"/>
      <c r="AV464" s="4"/>
      <c r="AW464" s="4"/>
      <c r="AY464" s="4"/>
      <c r="AZ464" s="4"/>
      <c r="BA464" s="4"/>
      <c r="BC464" s="4"/>
      <c r="BD464" s="4"/>
      <c r="BG464" s="4"/>
      <c r="BH464" s="4"/>
      <c r="BK464" s="4"/>
    </row>
    <row r="465" spans="38:63" x14ac:dyDescent="0.25">
      <c r="AL465" s="4"/>
      <c r="AO465" s="4"/>
      <c r="AS465" s="4"/>
      <c r="AV465" s="4"/>
      <c r="AW465" s="4"/>
      <c r="AY465" s="4"/>
      <c r="AZ465" s="4"/>
      <c r="BA465" s="4"/>
      <c r="BC465" s="4"/>
      <c r="BD465" s="4"/>
      <c r="BG465" s="4"/>
      <c r="BH465" s="4"/>
      <c r="BK465" s="4"/>
    </row>
    <row r="466" spans="38:63" x14ac:dyDescent="0.25">
      <c r="AL466" s="4"/>
      <c r="AO466" s="4"/>
      <c r="AS466" s="4"/>
      <c r="AV466" s="4"/>
      <c r="AW466" s="4"/>
      <c r="AY466" s="4"/>
      <c r="AZ466" s="4"/>
      <c r="BA466" s="4"/>
      <c r="BC466" s="4"/>
      <c r="BD466" s="4"/>
      <c r="BG466" s="4"/>
      <c r="BH466" s="4"/>
      <c r="BK466" s="4"/>
    </row>
    <row r="467" spans="38:63" x14ac:dyDescent="0.25">
      <c r="AL467" s="4"/>
      <c r="AO467" s="4"/>
      <c r="AS467" s="4"/>
      <c r="AV467" s="4"/>
      <c r="AW467" s="4"/>
      <c r="AY467" s="4"/>
      <c r="AZ467" s="4"/>
      <c r="BA467" s="4"/>
      <c r="BC467" s="4"/>
      <c r="BD467" s="4"/>
      <c r="BG467" s="4"/>
      <c r="BH467" s="4"/>
      <c r="BK467" s="4"/>
    </row>
    <row r="468" spans="38:63" x14ac:dyDescent="0.25">
      <c r="AL468" s="4"/>
      <c r="AO468" s="4"/>
      <c r="AS468" s="4"/>
      <c r="AV468" s="4"/>
      <c r="AW468" s="4"/>
      <c r="AY468" s="4"/>
      <c r="AZ468" s="4"/>
      <c r="BA468" s="4"/>
      <c r="BC468" s="4"/>
      <c r="BD468" s="4"/>
      <c r="BG468" s="4"/>
      <c r="BH468" s="4"/>
      <c r="BK468" s="4"/>
    </row>
    <row r="469" spans="38:63" x14ac:dyDescent="0.25">
      <c r="AL469" s="4"/>
      <c r="AO469" s="4"/>
      <c r="AS469" s="4"/>
      <c r="AV469" s="4"/>
      <c r="AW469" s="4"/>
      <c r="AY469" s="4"/>
      <c r="AZ469" s="4"/>
      <c r="BA469" s="4"/>
      <c r="BC469" s="4"/>
      <c r="BD469" s="4"/>
      <c r="BG469" s="4"/>
      <c r="BH469" s="4"/>
      <c r="BK469" s="4"/>
    </row>
    <row r="470" spans="38:63" x14ac:dyDescent="0.25">
      <c r="AL470" s="4"/>
      <c r="AO470" s="4"/>
      <c r="AS470" s="4"/>
      <c r="AV470" s="4"/>
      <c r="AW470" s="4"/>
      <c r="AY470" s="4"/>
      <c r="AZ470" s="4"/>
      <c r="BA470" s="4"/>
      <c r="BC470" s="4"/>
      <c r="BD470" s="4"/>
      <c r="BG470" s="4"/>
      <c r="BH470" s="4"/>
      <c r="BK470" s="4"/>
    </row>
    <row r="471" spans="38:63" x14ac:dyDescent="0.25">
      <c r="AL471" s="4"/>
      <c r="AO471" s="4"/>
      <c r="AS471" s="4"/>
      <c r="AV471" s="4"/>
      <c r="AW471" s="4"/>
      <c r="AY471" s="4"/>
      <c r="AZ471" s="4"/>
      <c r="BA471" s="4"/>
      <c r="BC471" s="4"/>
      <c r="BD471" s="4"/>
      <c r="BG471" s="4"/>
      <c r="BH471" s="4"/>
      <c r="BK471" s="4"/>
    </row>
    <row r="472" spans="38:63" x14ac:dyDescent="0.25">
      <c r="AL472" s="4"/>
      <c r="AO472" s="4"/>
      <c r="AS472" s="4"/>
      <c r="AV472" s="4"/>
      <c r="AW472" s="4"/>
      <c r="AY472" s="4"/>
      <c r="AZ472" s="4"/>
      <c r="BA472" s="4"/>
      <c r="BC472" s="4"/>
      <c r="BD472" s="4"/>
      <c r="BG472" s="4"/>
      <c r="BH472" s="4"/>
      <c r="BK472" s="4"/>
    </row>
    <row r="473" spans="38:63" x14ac:dyDescent="0.25">
      <c r="AL473" s="4"/>
      <c r="AO473" s="4"/>
      <c r="AS473" s="4"/>
      <c r="AV473" s="4"/>
      <c r="AW473" s="4"/>
      <c r="AY473" s="4"/>
      <c r="AZ473" s="4"/>
      <c r="BA473" s="4"/>
      <c r="BC473" s="4"/>
      <c r="BD473" s="4"/>
      <c r="BG473" s="4"/>
      <c r="BH473" s="4"/>
      <c r="BK473" s="4"/>
    </row>
    <row r="474" spans="38:63" x14ac:dyDescent="0.25">
      <c r="AL474" s="4"/>
      <c r="AO474" s="4"/>
      <c r="AS474" s="4"/>
      <c r="AV474" s="4"/>
      <c r="AW474" s="4"/>
      <c r="AY474" s="4"/>
      <c r="AZ474" s="4"/>
      <c r="BA474" s="4"/>
      <c r="BC474" s="4"/>
      <c r="BD474" s="4"/>
      <c r="BG474" s="4"/>
      <c r="BH474" s="4"/>
      <c r="BK474" s="4"/>
    </row>
    <row r="475" spans="38:63" x14ac:dyDescent="0.25">
      <c r="AL475" s="4"/>
      <c r="AO475" s="4"/>
      <c r="AS475" s="4"/>
      <c r="AV475" s="4"/>
      <c r="AW475" s="4"/>
      <c r="AY475" s="4"/>
      <c r="AZ475" s="4"/>
      <c r="BA475" s="4"/>
      <c r="BC475" s="4"/>
      <c r="BD475" s="4"/>
      <c r="BG475" s="4"/>
      <c r="BH475" s="4"/>
      <c r="BK475" s="4"/>
    </row>
    <row r="476" spans="38:63" x14ac:dyDescent="0.25">
      <c r="AL476" s="4"/>
      <c r="AO476" s="4"/>
      <c r="AS476" s="4"/>
      <c r="AV476" s="4"/>
      <c r="AW476" s="4"/>
      <c r="AY476" s="4"/>
      <c r="AZ476" s="4"/>
      <c r="BA476" s="4"/>
      <c r="BC476" s="4"/>
      <c r="BD476" s="4"/>
      <c r="BG476" s="4"/>
      <c r="BH476" s="4"/>
      <c r="BK476" s="4"/>
    </row>
    <row r="477" spans="38:63" x14ac:dyDescent="0.25">
      <c r="AL477" s="4"/>
      <c r="AO477" s="4"/>
      <c r="AS477" s="4"/>
      <c r="AV477" s="4"/>
      <c r="AW477" s="4"/>
      <c r="AY477" s="4"/>
      <c r="AZ477" s="4"/>
      <c r="BA477" s="4"/>
      <c r="BC477" s="4"/>
      <c r="BD477" s="4"/>
      <c r="BG477" s="4"/>
      <c r="BH477" s="4"/>
      <c r="BK477" s="4"/>
    </row>
    <row r="478" spans="38:63" x14ac:dyDescent="0.25">
      <c r="AL478" s="4"/>
      <c r="AO478" s="4"/>
      <c r="AS478" s="4"/>
      <c r="AV478" s="4"/>
      <c r="AW478" s="4"/>
      <c r="AY478" s="4"/>
      <c r="AZ478" s="4"/>
      <c r="BA478" s="4"/>
      <c r="BC478" s="4"/>
      <c r="BD478" s="4"/>
      <c r="BG478" s="4"/>
      <c r="BH478" s="4"/>
      <c r="BK478" s="4"/>
    </row>
    <row r="479" spans="38:63" x14ac:dyDescent="0.25">
      <c r="AL479" s="4"/>
      <c r="AO479" s="4"/>
      <c r="AS479" s="4"/>
      <c r="AV479" s="4"/>
      <c r="AW479" s="4"/>
      <c r="AY479" s="4"/>
      <c r="AZ479" s="4"/>
      <c r="BA479" s="4"/>
      <c r="BC479" s="4"/>
      <c r="BD479" s="4"/>
      <c r="BG479" s="4"/>
      <c r="BH479" s="4"/>
      <c r="BK479" s="4"/>
    </row>
    <row r="480" spans="38:63" x14ac:dyDescent="0.25">
      <c r="AL480" s="4"/>
      <c r="AO480" s="4"/>
      <c r="AS480" s="4"/>
      <c r="AV480" s="4"/>
      <c r="AW480" s="4"/>
      <c r="AY480" s="4"/>
      <c r="AZ480" s="4"/>
      <c r="BA480" s="4"/>
      <c r="BC480" s="4"/>
      <c r="BD480" s="4"/>
      <c r="BG480" s="4"/>
      <c r="BH480" s="4"/>
      <c r="BK480" s="4"/>
    </row>
    <row r="481" spans="38:63" x14ac:dyDescent="0.25">
      <c r="AL481" s="4"/>
      <c r="AO481" s="4"/>
      <c r="AS481" s="4"/>
      <c r="AV481" s="4"/>
      <c r="AW481" s="4"/>
      <c r="AY481" s="4"/>
      <c r="AZ481" s="4"/>
      <c r="BA481" s="4"/>
      <c r="BC481" s="4"/>
      <c r="BD481" s="4"/>
      <c r="BG481" s="4"/>
      <c r="BH481" s="4"/>
      <c r="BK481" s="4"/>
    </row>
    <row r="482" spans="38:63" x14ac:dyDescent="0.25">
      <c r="AL482" s="4"/>
      <c r="AO482" s="4"/>
      <c r="AS482" s="4"/>
      <c r="AV482" s="4"/>
      <c r="AW482" s="4"/>
      <c r="AY482" s="4"/>
      <c r="AZ482" s="4"/>
      <c r="BA482" s="4"/>
      <c r="BC482" s="4"/>
      <c r="BD482" s="4"/>
      <c r="BG482" s="4"/>
      <c r="BH482" s="4"/>
      <c r="BK482" s="4"/>
    </row>
    <row r="483" spans="38:63" x14ac:dyDescent="0.25">
      <c r="AL483" s="4"/>
      <c r="AO483" s="4"/>
      <c r="AS483" s="4"/>
      <c r="AV483" s="4"/>
      <c r="AW483" s="4"/>
      <c r="AY483" s="4"/>
      <c r="AZ483" s="4"/>
      <c r="BA483" s="4"/>
      <c r="BC483" s="4"/>
      <c r="BD483" s="4"/>
      <c r="BG483" s="4"/>
      <c r="BH483" s="4"/>
      <c r="BK483" s="4"/>
    </row>
    <row r="484" spans="38:63" x14ac:dyDescent="0.25">
      <c r="AL484" s="4"/>
      <c r="AO484" s="4"/>
      <c r="AS484" s="4"/>
      <c r="AV484" s="4"/>
      <c r="AW484" s="4"/>
      <c r="AY484" s="4"/>
      <c r="AZ484" s="4"/>
      <c r="BA484" s="4"/>
      <c r="BC484" s="4"/>
      <c r="BD484" s="4"/>
      <c r="BG484" s="4"/>
      <c r="BH484" s="4"/>
      <c r="BK484" s="4"/>
    </row>
    <row r="485" spans="38:63" x14ac:dyDescent="0.25">
      <c r="AL485" s="4"/>
      <c r="AO485" s="4"/>
      <c r="AS485" s="4"/>
      <c r="AV485" s="4"/>
      <c r="AW485" s="4"/>
      <c r="AY485" s="4"/>
      <c r="AZ485" s="4"/>
      <c r="BA485" s="4"/>
      <c r="BC485" s="4"/>
      <c r="BD485" s="4"/>
      <c r="BG485" s="4"/>
      <c r="BH485" s="4"/>
      <c r="BK485" s="4"/>
    </row>
    <row r="486" spans="38:63" x14ac:dyDescent="0.25">
      <c r="AL486" s="4"/>
      <c r="AO486" s="4"/>
      <c r="AS486" s="4"/>
      <c r="AV486" s="4"/>
      <c r="AW486" s="4"/>
      <c r="AY486" s="4"/>
      <c r="AZ486" s="4"/>
      <c r="BA486" s="4"/>
      <c r="BC486" s="4"/>
      <c r="BD486" s="4"/>
      <c r="BG486" s="4"/>
      <c r="BH486" s="4"/>
      <c r="BK486" s="4"/>
    </row>
    <row r="487" spans="38:63" x14ac:dyDescent="0.25">
      <c r="AL487" s="4"/>
      <c r="AO487" s="4"/>
      <c r="AS487" s="4"/>
      <c r="AV487" s="4"/>
      <c r="AW487" s="4"/>
      <c r="AY487" s="4"/>
      <c r="AZ487" s="4"/>
      <c r="BA487" s="4"/>
      <c r="BC487" s="4"/>
      <c r="BD487" s="4"/>
      <c r="BG487" s="4"/>
      <c r="BH487" s="4"/>
      <c r="BK487" s="4"/>
    </row>
    <row r="488" spans="38:63" x14ac:dyDescent="0.25">
      <c r="AL488" s="4"/>
      <c r="AO488" s="4"/>
      <c r="AS488" s="4"/>
      <c r="AV488" s="4"/>
      <c r="AW488" s="4"/>
      <c r="AY488" s="4"/>
      <c r="AZ488" s="4"/>
      <c r="BA488" s="4"/>
      <c r="BC488" s="4"/>
      <c r="BD488" s="4"/>
      <c r="BG488" s="4"/>
      <c r="BH488" s="4"/>
      <c r="BK488" s="4"/>
    </row>
    <row r="489" spans="38:63" x14ac:dyDescent="0.25">
      <c r="AL489" s="4"/>
      <c r="AO489" s="4"/>
      <c r="AS489" s="4"/>
      <c r="AV489" s="4"/>
      <c r="AW489" s="4"/>
      <c r="AY489" s="4"/>
      <c r="AZ489" s="4"/>
      <c r="BA489" s="4"/>
      <c r="BC489" s="4"/>
      <c r="BD489" s="4"/>
      <c r="BG489" s="4"/>
      <c r="BH489" s="4"/>
      <c r="BK489" s="4"/>
    </row>
    <row r="490" spans="38:63" x14ac:dyDescent="0.25">
      <c r="AL490" s="4"/>
      <c r="AO490" s="4"/>
      <c r="AS490" s="4"/>
      <c r="AV490" s="4"/>
      <c r="AW490" s="4"/>
      <c r="AY490" s="4"/>
      <c r="AZ490" s="4"/>
      <c r="BA490" s="4"/>
      <c r="BC490" s="4"/>
      <c r="BD490" s="4"/>
      <c r="BG490" s="4"/>
      <c r="BH490" s="4"/>
      <c r="BK490" s="4"/>
    </row>
    <row r="491" spans="38:63" x14ac:dyDescent="0.25">
      <c r="AL491" s="4"/>
      <c r="AO491" s="4"/>
      <c r="AS491" s="4"/>
      <c r="AV491" s="4"/>
      <c r="AW491" s="4"/>
      <c r="AY491" s="4"/>
      <c r="AZ491" s="4"/>
      <c r="BA491" s="4"/>
      <c r="BC491" s="4"/>
      <c r="BD491" s="4"/>
      <c r="BG491" s="4"/>
      <c r="BH491" s="4"/>
      <c r="BK491" s="4"/>
    </row>
    <row r="492" spans="38:63" x14ac:dyDescent="0.25">
      <c r="AL492" s="4"/>
      <c r="AO492" s="4"/>
      <c r="AS492" s="4"/>
      <c r="AV492" s="4"/>
      <c r="AW492" s="4"/>
      <c r="AY492" s="4"/>
      <c r="AZ492" s="4"/>
      <c r="BA492" s="4"/>
      <c r="BC492" s="4"/>
      <c r="BD492" s="4"/>
      <c r="BG492" s="4"/>
      <c r="BH492" s="4"/>
      <c r="BK492" s="4"/>
    </row>
    <row r="493" spans="38:63" x14ac:dyDescent="0.25">
      <c r="AL493" s="4"/>
      <c r="AO493" s="4"/>
      <c r="AS493" s="4"/>
      <c r="AV493" s="4"/>
      <c r="AW493" s="4"/>
      <c r="AY493" s="4"/>
      <c r="AZ493" s="4"/>
      <c r="BA493" s="4"/>
      <c r="BC493" s="4"/>
      <c r="BD493" s="4"/>
      <c r="BG493" s="4"/>
      <c r="BH493" s="4"/>
      <c r="BK493" s="4"/>
    </row>
    <row r="494" spans="38:63" x14ac:dyDescent="0.25">
      <c r="AL494" s="4"/>
      <c r="AO494" s="4"/>
      <c r="AS494" s="4"/>
      <c r="AV494" s="4"/>
      <c r="AW494" s="4"/>
      <c r="AY494" s="4"/>
      <c r="AZ494" s="4"/>
      <c r="BA494" s="4"/>
      <c r="BC494" s="4"/>
      <c r="BD494" s="4"/>
      <c r="BG494" s="4"/>
      <c r="BH494" s="4"/>
      <c r="BK494" s="4"/>
    </row>
    <row r="495" spans="38:63" x14ac:dyDescent="0.25">
      <c r="AL495" s="4"/>
      <c r="AO495" s="4"/>
      <c r="AS495" s="4"/>
      <c r="AV495" s="4"/>
      <c r="AW495" s="4"/>
      <c r="AY495" s="4"/>
      <c r="AZ495" s="4"/>
      <c r="BA495" s="4"/>
      <c r="BC495" s="4"/>
      <c r="BD495" s="4"/>
      <c r="BG495" s="4"/>
      <c r="BH495" s="4"/>
      <c r="BK495" s="4"/>
    </row>
    <row r="496" spans="38:63" x14ac:dyDescent="0.25">
      <c r="AL496" s="4"/>
      <c r="AO496" s="4"/>
      <c r="AS496" s="4"/>
      <c r="AV496" s="4"/>
      <c r="AW496" s="4"/>
      <c r="AY496" s="4"/>
      <c r="AZ496" s="4"/>
      <c r="BA496" s="4"/>
      <c r="BC496" s="4"/>
      <c r="BD496" s="4"/>
      <c r="BG496" s="4"/>
      <c r="BH496" s="4"/>
      <c r="BK496" s="4"/>
    </row>
    <row r="497" spans="38:63" x14ac:dyDescent="0.25">
      <c r="AL497" s="4"/>
      <c r="AO497" s="4"/>
      <c r="AS497" s="4"/>
      <c r="AV497" s="4"/>
      <c r="AW497" s="4"/>
      <c r="AY497" s="4"/>
      <c r="AZ497" s="4"/>
      <c r="BA497" s="4"/>
      <c r="BC497" s="4"/>
      <c r="BD497" s="4"/>
      <c r="BG497" s="4"/>
      <c r="BH497" s="4"/>
      <c r="BK497" s="4"/>
    </row>
    <row r="498" spans="38:63" x14ac:dyDescent="0.25">
      <c r="AL498" s="4"/>
      <c r="AO498" s="4"/>
      <c r="AS498" s="4"/>
      <c r="AV498" s="4"/>
      <c r="AW498" s="4"/>
      <c r="AY498" s="4"/>
      <c r="AZ498" s="4"/>
      <c r="BA498" s="4"/>
      <c r="BC498" s="4"/>
      <c r="BD498" s="4"/>
      <c r="BG498" s="4"/>
      <c r="BH498" s="4"/>
      <c r="BK498" s="4"/>
    </row>
    <row r="499" spans="38:63" x14ac:dyDescent="0.25">
      <c r="AL499" s="4"/>
      <c r="AO499" s="4"/>
      <c r="AS499" s="4"/>
      <c r="AV499" s="4"/>
      <c r="AW499" s="4"/>
      <c r="AY499" s="4"/>
      <c r="AZ499" s="4"/>
      <c r="BA499" s="4"/>
      <c r="BC499" s="4"/>
      <c r="BD499" s="4"/>
      <c r="BG499" s="4"/>
      <c r="BH499" s="4"/>
      <c r="BK499" s="4"/>
    </row>
    <row r="500" spans="38:63" x14ac:dyDescent="0.25">
      <c r="AL500" s="4"/>
      <c r="AO500" s="4"/>
      <c r="AS500" s="4"/>
      <c r="AV500" s="4"/>
      <c r="AW500" s="4"/>
      <c r="AY500" s="4"/>
      <c r="AZ500" s="4"/>
      <c r="BA500" s="4"/>
      <c r="BC500" s="4"/>
      <c r="BD500" s="4"/>
      <c r="BG500" s="4"/>
      <c r="BH500" s="4"/>
      <c r="BK500" s="4"/>
    </row>
    <row r="501" spans="38:63" x14ac:dyDescent="0.25">
      <c r="AL501" s="4"/>
      <c r="AO501" s="4"/>
      <c r="AS501" s="4"/>
      <c r="AV501" s="4"/>
      <c r="AW501" s="4"/>
      <c r="AY501" s="4"/>
      <c r="AZ501" s="4"/>
      <c r="BA501" s="4"/>
      <c r="BC501" s="4"/>
      <c r="BD501" s="4"/>
      <c r="BG501" s="4"/>
      <c r="BH501" s="4"/>
      <c r="BK501" s="4"/>
    </row>
    <row r="502" spans="38:63" x14ac:dyDescent="0.25">
      <c r="AL502" s="4"/>
      <c r="AO502" s="4"/>
      <c r="AS502" s="4"/>
      <c r="AV502" s="4"/>
      <c r="AW502" s="4"/>
      <c r="AY502" s="4"/>
      <c r="AZ502" s="4"/>
      <c r="BA502" s="4"/>
      <c r="BC502" s="4"/>
      <c r="BD502" s="4"/>
      <c r="BG502" s="4"/>
      <c r="BH502" s="4"/>
      <c r="BK502" s="4"/>
    </row>
    <row r="503" spans="38:63" x14ac:dyDescent="0.25">
      <c r="AL503" s="4"/>
      <c r="AO503" s="4"/>
      <c r="AS503" s="4"/>
      <c r="AV503" s="4"/>
      <c r="AW503" s="4"/>
      <c r="AY503" s="4"/>
      <c r="AZ503" s="4"/>
      <c r="BA503" s="4"/>
      <c r="BC503" s="4"/>
      <c r="BD503" s="4"/>
      <c r="BG503" s="4"/>
      <c r="BH503" s="4"/>
      <c r="BK503" s="4"/>
    </row>
    <row r="504" spans="38:63" x14ac:dyDescent="0.25">
      <c r="AL504" s="4"/>
      <c r="AO504" s="4"/>
      <c r="AS504" s="4"/>
      <c r="AV504" s="4"/>
      <c r="AW504" s="4"/>
      <c r="AY504" s="4"/>
      <c r="AZ504" s="4"/>
      <c r="BA504" s="4"/>
      <c r="BC504" s="4"/>
      <c r="BD504" s="4"/>
      <c r="BG504" s="4"/>
      <c r="BH504" s="4"/>
      <c r="BK504" s="4"/>
    </row>
    <row r="505" spans="38:63" x14ac:dyDescent="0.25">
      <c r="AL505" s="4"/>
      <c r="AO505" s="4"/>
      <c r="AS505" s="4"/>
      <c r="AV505" s="4"/>
      <c r="AW505" s="4"/>
      <c r="AY505" s="4"/>
      <c r="AZ505" s="4"/>
      <c r="BA505" s="4"/>
      <c r="BC505" s="4"/>
      <c r="BD505" s="4"/>
      <c r="BG505" s="4"/>
      <c r="BH505" s="4"/>
      <c r="BK505" s="4"/>
    </row>
    <row r="506" spans="38:63" x14ac:dyDescent="0.25">
      <c r="AL506" s="4"/>
      <c r="AO506" s="4"/>
      <c r="AS506" s="4"/>
      <c r="AV506" s="4"/>
      <c r="AW506" s="4"/>
      <c r="AY506" s="4"/>
      <c r="AZ506" s="4"/>
      <c r="BA506" s="4"/>
      <c r="BC506" s="4"/>
      <c r="BD506" s="4"/>
      <c r="BG506" s="4"/>
      <c r="BH506" s="4"/>
      <c r="BK506" s="4"/>
    </row>
    <row r="507" spans="38:63" x14ac:dyDescent="0.25">
      <c r="AL507" s="4"/>
      <c r="AO507" s="4"/>
      <c r="AS507" s="4"/>
      <c r="AV507" s="4"/>
      <c r="AW507" s="4"/>
      <c r="AY507" s="4"/>
      <c r="AZ507" s="4"/>
      <c r="BA507" s="4"/>
      <c r="BC507" s="4"/>
      <c r="BD507" s="4"/>
      <c r="BG507" s="4"/>
      <c r="BH507" s="4"/>
      <c r="BK507" s="4"/>
    </row>
    <row r="508" spans="38:63" x14ac:dyDescent="0.25">
      <c r="AL508" s="4"/>
      <c r="AO508" s="4"/>
      <c r="AS508" s="4"/>
      <c r="AV508" s="4"/>
      <c r="AW508" s="4"/>
      <c r="AY508" s="4"/>
      <c r="AZ508" s="4"/>
      <c r="BA508" s="4"/>
      <c r="BC508" s="4"/>
      <c r="BD508" s="4"/>
      <c r="BG508" s="4"/>
      <c r="BH508" s="4"/>
      <c r="BK508" s="4"/>
    </row>
    <row r="509" spans="38:63" x14ac:dyDescent="0.25">
      <c r="AL509" s="4"/>
      <c r="AO509" s="4"/>
      <c r="AS509" s="4"/>
      <c r="AV509" s="4"/>
      <c r="AW509" s="4"/>
      <c r="AY509" s="4"/>
      <c r="AZ509" s="4"/>
      <c r="BA509" s="4"/>
      <c r="BC509" s="4"/>
      <c r="BD509" s="4"/>
      <c r="BG509" s="4"/>
      <c r="BH509" s="4"/>
      <c r="BK509" s="4"/>
    </row>
    <row r="510" spans="38:63" x14ac:dyDescent="0.25">
      <c r="AL510" s="4"/>
      <c r="AO510" s="4"/>
      <c r="AS510" s="4"/>
      <c r="AV510" s="4"/>
      <c r="AW510" s="4"/>
      <c r="AY510" s="4"/>
      <c r="AZ510" s="4"/>
      <c r="BA510" s="4"/>
      <c r="BC510" s="4"/>
      <c r="BD510" s="4"/>
      <c r="BG510" s="4"/>
      <c r="BH510" s="4"/>
      <c r="BK510" s="4"/>
    </row>
    <row r="511" spans="38:63" x14ac:dyDescent="0.25">
      <c r="AL511" s="4"/>
      <c r="AO511" s="4"/>
      <c r="AS511" s="4"/>
      <c r="AV511" s="4"/>
      <c r="AW511" s="4"/>
      <c r="AY511" s="4"/>
      <c r="AZ511" s="4"/>
      <c r="BA511" s="4"/>
      <c r="BC511" s="4"/>
      <c r="BD511" s="4"/>
      <c r="BG511" s="4"/>
      <c r="BH511" s="4"/>
      <c r="BK511" s="4"/>
    </row>
    <row r="512" spans="38:63" x14ac:dyDescent="0.25">
      <c r="AL512" s="4"/>
      <c r="AO512" s="4"/>
      <c r="AS512" s="4"/>
      <c r="AV512" s="4"/>
      <c r="AW512" s="4"/>
      <c r="AY512" s="4"/>
      <c r="AZ512" s="4"/>
      <c r="BA512" s="4"/>
      <c r="BC512" s="4"/>
      <c r="BD512" s="4"/>
      <c r="BG512" s="4"/>
      <c r="BH512" s="4"/>
      <c r="BK512" s="4"/>
    </row>
    <row r="513" spans="38:63" x14ac:dyDescent="0.25">
      <c r="AL513" s="4"/>
      <c r="AO513" s="4"/>
      <c r="AS513" s="4"/>
      <c r="AV513" s="4"/>
      <c r="AW513" s="4"/>
      <c r="AY513" s="4"/>
      <c r="AZ513" s="4"/>
      <c r="BA513" s="4"/>
      <c r="BC513" s="4"/>
      <c r="BD513" s="4"/>
      <c r="BG513" s="4"/>
      <c r="BH513" s="4"/>
      <c r="BK513" s="4"/>
    </row>
    <row r="514" spans="38:63" x14ac:dyDescent="0.25">
      <c r="AL514" s="4"/>
      <c r="AO514" s="4"/>
      <c r="AS514" s="4"/>
      <c r="AV514" s="4"/>
      <c r="AW514" s="4"/>
      <c r="AY514" s="4"/>
      <c r="AZ514" s="4"/>
      <c r="BA514" s="4"/>
      <c r="BC514" s="4"/>
      <c r="BD514" s="4"/>
      <c r="BG514" s="4"/>
      <c r="BH514" s="4"/>
      <c r="BK514" s="4"/>
    </row>
    <row r="515" spans="38:63" x14ac:dyDescent="0.25">
      <c r="AL515" s="4"/>
      <c r="AO515" s="4"/>
      <c r="AS515" s="4"/>
      <c r="AV515" s="4"/>
      <c r="AW515" s="4"/>
      <c r="AY515" s="4"/>
      <c r="AZ515" s="4"/>
      <c r="BA515" s="4"/>
      <c r="BC515" s="4"/>
      <c r="BD515" s="4"/>
      <c r="BG515" s="4"/>
      <c r="BH515" s="4"/>
      <c r="BK515" s="4"/>
    </row>
    <row r="516" spans="38:63" x14ac:dyDescent="0.25">
      <c r="AL516" s="4"/>
      <c r="AO516" s="4"/>
      <c r="AS516" s="4"/>
      <c r="AV516" s="4"/>
      <c r="AW516" s="4"/>
      <c r="AY516" s="4"/>
      <c r="AZ516" s="4"/>
      <c r="BA516" s="4"/>
      <c r="BC516" s="4"/>
      <c r="BD516" s="4"/>
      <c r="BG516" s="4"/>
      <c r="BH516" s="4"/>
      <c r="BK516" s="4"/>
    </row>
    <row r="517" spans="38:63" x14ac:dyDescent="0.25">
      <c r="AL517" s="4"/>
      <c r="AO517" s="4"/>
      <c r="AS517" s="4"/>
      <c r="AV517" s="4"/>
      <c r="AW517" s="4"/>
      <c r="AY517" s="4"/>
      <c r="AZ517" s="4"/>
      <c r="BA517" s="4"/>
      <c r="BC517" s="4"/>
      <c r="BD517" s="4"/>
      <c r="BG517" s="4"/>
      <c r="BH517" s="4"/>
      <c r="BK517" s="4"/>
    </row>
    <row r="518" spans="38:63" x14ac:dyDescent="0.25">
      <c r="AL518" s="4"/>
      <c r="AO518" s="4"/>
      <c r="AS518" s="4"/>
      <c r="AV518" s="4"/>
      <c r="AW518" s="4"/>
      <c r="AY518" s="4"/>
      <c r="AZ518" s="4"/>
      <c r="BA518" s="4"/>
      <c r="BC518" s="4"/>
      <c r="BD518" s="4"/>
      <c r="BG518" s="4"/>
      <c r="BH518" s="4"/>
      <c r="BK518" s="4"/>
    </row>
    <row r="519" spans="38:63" x14ac:dyDescent="0.25">
      <c r="AL519" s="4"/>
      <c r="AO519" s="4"/>
      <c r="AS519" s="4"/>
      <c r="AV519" s="4"/>
      <c r="AW519" s="4"/>
      <c r="AY519" s="4"/>
      <c r="AZ519" s="4"/>
      <c r="BA519" s="4"/>
      <c r="BC519" s="4"/>
      <c r="BD519" s="4"/>
      <c r="BG519" s="4"/>
      <c r="BH519" s="4"/>
      <c r="BK519" s="4"/>
    </row>
    <row r="520" spans="38:63" x14ac:dyDescent="0.25">
      <c r="AL520" s="4"/>
      <c r="AO520" s="4"/>
      <c r="AS520" s="4"/>
      <c r="AV520" s="4"/>
      <c r="AW520" s="4"/>
      <c r="AY520" s="4"/>
      <c r="AZ520" s="4"/>
      <c r="BA520" s="4"/>
      <c r="BC520" s="4"/>
      <c r="BD520" s="4"/>
      <c r="BG520" s="4"/>
      <c r="BH520" s="4"/>
      <c r="BK520" s="4"/>
    </row>
    <row r="521" spans="38:63" x14ac:dyDescent="0.25">
      <c r="AL521" s="4"/>
      <c r="AO521" s="4"/>
      <c r="AS521" s="4"/>
      <c r="AV521" s="4"/>
      <c r="AW521" s="4"/>
      <c r="AY521" s="4"/>
      <c r="AZ521" s="4"/>
      <c r="BA521" s="4"/>
      <c r="BC521" s="4"/>
      <c r="BD521" s="4"/>
      <c r="BG521" s="4"/>
      <c r="BH521" s="4"/>
      <c r="BK521" s="4"/>
    </row>
    <row r="522" spans="38:63" x14ac:dyDescent="0.25">
      <c r="AL522" s="4"/>
      <c r="AO522" s="4"/>
      <c r="AS522" s="4"/>
      <c r="AV522" s="4"/>
      <c r="AW522" s="4"/>
      <c r="AY522" s="4"/>
      <c r="AZ522" s="4"/>
      <c r="BA522" s="4"/>
      <c r="BC522" s="4"/>
      <c r="BD522" s="4"/>
      <c r="BG522" s="4"/>
      <c r="BH522" s="4"/>
      <c r="BK522" s="4"/>
    </row>
    <row r="523" spans="38:63" x14ac:dyDescent="0.25">
      <c r="AL523" s="4"/>
      <c r="AO523" s="4"/>
      <c r="AS523" s="4"/>
      <c r="AV523" s="4"/>
      <c r="AW523" s="4"/>
      <c r="AY523" s="4"/>
      <c r="AZ523" s="4"/>
      <c r="BA523" s="4"/>
      <c r="BC523" s="4"/>
      <c r="BD523" s="4"/>
      <c r="BG523" s="4"/>
      <c r="BH523" s="4"/>
      <c r="BK523" s="4"/>
    </row>
    <row r="524" spans="38:63" x14ac:dyDescent="0.25">
      <c r="AL524" s="4"/>
      <c r="AO524" s="4"/>
      <c r="AS524" s="4"/>
      <c r="AV524" s="4"/>
      <c r="AW524" s="4"/>
      <c r="AY524" s="4"/>
      <c r="AZ524" s="4"/>
      <c r="BA524" s="4"/>
      <c r="BC524" s="4"/>
      <c r="BD524" s="4"/>
      <c r="BG524" s="4"/>
      <c r="BH524" s="4"/>
      <c r="BK524" s="4"/>
    </row>
    <row r="525" spans="38:63" x14ac:dyDescent="0.25">
      <c r="AL525" s="4"/>
      <c r="AO525" s="4"/>
      <c r="AS525" s="4"/>
      <c r="AV525" s="4"/>
      <c r="AW525" s="4"/>
      <c r="AY525" s="4"/>
      <c r="AZ525" s="4"/>
      <c r="BA525" s="4"/>
      <c r="BC525" s="4"/>
      <c r="BD525" s="4"/>
      <c r="BG525" s="4"/>
      <c r="BH525" s="4"/>
      <c r="BK525" s="4"/>
    </row>
    <row r="526" spans="38:63" x14ac:dyDescent="0.25">
      <c r="AL526" s="4"/>
      <c r="AO526" s="4"/>
      <c r="AS526" s="4"/>
      <c r="AV526" s="4"/>
      <c r="AW526" s="4"/>
      <c r="AY526" s="4"/>
      <c r="AZ526" s="4"/>
      <c r="BA526" s="4"/>
      <c r="BC526" s="4"/>
      <c r="BD526" s="4"/>
      <c r="BG526" s="4"/>
      <c r="BH526" s="4"/>
      <c r="BK526" s="4"/>
    </row>
    <row r="527" spans="38:63" x14ac:dyDescent="0.25">
      <c r="AL527" s="4"/>
      <c r="AO527" s="4"/>
      <c r="AS527" s="4"/>
      <c r="AV527" s="4"/>
      <c r="AW527" s="4"/>
      <c r="AY527" s="4"/>
      <c r="AZ527" s="4"/>
      <c r="BA527" s="4"/>
      <c r="BC527" s="4"/>
      <c r="BD527" s="4"/>
      <c r="BG527" s="4"/>
      <c r="BH527" s="4"/>
      <c r="BK527" s="4"/>
    </row>
    <row r="528" spans="38:63" x14ac:dyDescent="0.25">
      <c r="AL528" s="4"/>
      <c r="AO528" s="4"/>
      <c r="AS528" s="4"/>
      <c r="AV528" s="4"/>
      <c r="AW528" s="4"/>
      <c r="AY528" s="4"/>
      <c r="AZ528" s="4"/>
      <c r="BA528" s="4"/>
      <c r="BC528" s="4"/>
      <c r="BD528" s="4"/>
      <c r="BG528" s="4"/>
      <c r="BH528" s="4"/>
      <c r="BK528" s="4"/>
    </row>
    <row r="529" spans="38:63" x14ac:dyDescent="0.25">
      <c r="AL529" s="4"/>
      <c r="AO529" s="4"/>
      <c r="AS529" s="4"/>
      <c r="AV529" s="4"/>
      <c r="AW529" s="4"/>
      <c r="AY529" s="4"/>
      <c r="AZ529" s="4"/>
      <c r="BA529" s="4"/>
      <c r="BC529" s="4"/>
      <c r="BD529" s="4"/>
      <c r="BG529" s="4"/>
      <c r="BH529" s="4"/>
      <c r="BK529" s="4"/>
    </row>
    <row r="530" spans="38:63" x14ac:dyDescent="0.25">
      <c r="AL530" s="4"/>
      <c r="AO530" s="4"/>
      <c r="AS530" s="4"/>
      <c r="AV530" s="4"/>
      <c r="AW530" s="4"/>
      <c r="AY530" s="4"/>
      <c r="AZ530" s="4"/>
      <c r="BA530" s="4"/>
      <c r="BC530" s="4"/>
      <c r="BD530" s="4"/>
      <c r="BG530" s="4"/>
      <c r="BH530" s="4"/>
      <c r="BK530" s="4"/>
    </row>
    <row r="531" spans="38:63" x14ac:dyDescent="0.25">
      <c r="AL531" s="4"/>
      <c r="AO531" s="4"/>
      <c r="AS531" s="4"/>
      <c r="AV531" s="4"/>
      <c r="AW531" s="4"/>
      <c r="AY531" s="4"/>
      <c r="AZ531" s="4"/>
      <c r="BA531" s="4"/>
      <c r="BC531" s="4"/>
      <c r="BD531" s="4"/>
      <c r="BG531" s="4"/>
      <c r="BH531" s="4"/>
      <c r="BK531" s="4"/>
    </row>
    <row r="532" spans="38:63" x14ac:dyDescent="0.25">
      <c r="AL532" s="4"/>
      <c r="AO532" s="4"/>
      <c r="AS532" s="4"/>
      <c r="AV532" s="4"/>
      <c r="AW532" s="4"/>
      <c r="AY532" s="4"/>
      <c r="AZ532" s="4"/>
      <c r="BA532" s="4"/>
      <c r="BC532" s="4"/>
      <c r="BD532" s="4"/>
      <c r="BG532" s="4"/>
      <c r="BH532" s="4"/>
      <c r="BK532" s="4"/>
    </row>
    <row r="533" spans="38:63" x14ac:dyDescent="0.25">
      <c r="AL533" s="4"/>
      <c r="AO533" s="4"/>
      <c r="AS533" s="4"/>
      <c r="AV533" s="4"/>
      <c r="AW533" s="4"/>
      <c r="AY533" s="4"/>
      <c r="AZ533" s="4"/>
      <c r="BA533" s="4"/>
      <c r="BC533" s="4"/>
      <c r="BD533" s="4"/>
      <c r="BG533" s="4"/>
      <c r="BH533" s="4"/>
      <c r="BK533" s="4"/>
    </row>
    <row r="534" spans="38:63" x14ac:dyDescent="0.25">
      <c r="AL534" s="4"/>
      <c r="AO534" s="4"/>
      <c r="AS534" s="4"/>
      <c r="AV534" s="4"/>
      <c r="AW534" s="4"/>
      <c r="AY534" s="4"/>
      <c r="AZ534" s="4"/>
      <c r="BA534" s="4"/>
      <c r="BC534" s="4"/>
      <c r="BD534" s="4"/>
      <c r="BG534" s="4"/>
      <c r="BH534" s="4"/>
      <c r="BK534" s="4"/>
    </row>
    <row r="535" spans="38:63" x14ac:dyDescent="0.25">
      <c r="AL535" s="4"/>
      <c r="AO535" s="4"/>
      <c r="AS535" s="4"/>
      <c r="AV535" s="4"/>
      <c r="AW535" s="4"/>
      <c r="AY535" s="4"/>
      <c r="AZ535" s="4"/>
      <c r="BA535" s="4"/>
      <c r="BC535" s="4"/>
      <c r="BD535" s="4"/>
      <c r="BG535" s="4"/>
      <c r="BH535" s="4"/>
      <c r="BK535" s="4"/>
    </row>
    <row r="536" spans="38:63" x14ac:dyDescent="0.25">
      <c r="AL536" s="4"/>
      <c r="AO536" s="4"/>
      <c r="AS536" s="4"/>
      <c r="AV536" s="4"/>
      <c r="AW536" s="4"/>
      <c r="AY536" s="4"/>
      <c r="AZ536" s="4"/>
      <c r="BA536" s="4"/>
      <c r="BC536" s="4"/>
      <c r="BD536" s="4"/>
      <c r="BG536" s="4"/>
      <c r="BH536" s="4"/>
      <c r="BK536" s="4"/>
    </row>
    <row r="537" spans="38:63" x14ac:dyDescent="0.25">
      <c r="AL537" s="4"/>
      <c r="AO537" s="4"/>
      <c r="AS537" s="4"/>
      <c r="AV537" s="4"/>
      <c r="AW537" s="4"/>
      <c r="AY537" s="4"/>
      <c r="AZ537" s="4"/>
      <c r="BA537" s="4"/>
      <c r="BC537" s="4"/>
      <c r="BD537" s="4"/>
      <c r="BG537" s="4"/>
      <c r="BH537" s="4"/>
      <c r="BK537" s="4"/>
    </row>
    <row r="538" spans="38:63" x14ac:dyDescent="0.25">
      <c r="AL538" s="4"/>
      <c r="AO538" s="4"/>
      <c r="AS538" s="4"/>
      <c r="AV538" s="4"/>
      <c r="AW538" s="4"/>
      <c r="AY538" s="4"/>
      <c r="AZ538" s="4"/>
      <c r="BA538" s="4"/>
      <c r="BC538" s="4"/>
      <c r="BD538" s="4"/>
      <c r="BG538" s="4"/>
      <c r="BH538" s="4"/>
      <c r="BK538" s="4"/>
    </row>
    <row r="539" spans="38:63" x14ac:dyDescent="0.25">
      <c r="AL539" s="4"/>
      <c r="AO539" s="4"/>
      <c r="AS539" s="4"/>
      <c r="AV539" s="4"/>
      <c r="AW539" s="4"/>
      <c r="AY539" s="4"/>
      <c r="AZ539" s="4"/>
      <c r="BA539" s="4"/>
      <c r="BC539" s="4"/>
      <c r="BD539" s="4"/>
      <c r="BG539" s="4"/>
      <c r="BH539" s="4"/>
      <c r="BK539" s="4"/>
    </row>
    <row r="540" spans="38:63" x14ac:dyDescent="0.25">
      <c r="AL540" s="4"/>
      <c r="AO540" s="4"/>
      <c r="AS540" s="4"/>
      <c r="AV540" s="4"/>
      <c r="AW540" s="4"/>
      <c r="AY540" s="4"/>
      <c r="AZ540" s="4"/>
      <c r="BA540" s="4"/>
      <c r="BC540" s="4"/>
      <c r="BD540" s="4"/>
      <c r="BG540" s="4"/>
      <c r="BH540" s="4"/>
      <c r="BK540" s="4"/>
    </row>
    <row r="541" spans="38:63" x14ac:dyDescent="0.25">
      <c r="AL541" s="4"/>
      <c r="AO541" s="4"/>
      <c r="AS541" s="4"/>
      <c r="AV541" s="4"/>
      <c r="AW541" s="4"/>
      <c r="AY541" s="4"/>
      <c r="AZ541" s="4"/>
      <c r="BA541" s="4"/>
      <c r="BC541" s="4"/>
      <c r="BD541" s="4"/>
      <c r="BG541" s="4"/>
      <c r="BH541" s="4"/>
      <c r="BK541" s="4"/>
    </row>
    <row r="542" spans="38:63" x14ac:dyDescent="0.25">
      <c r="AL542" s="4"/>
      <c r="AO542" s="4"/>
      <c r="AS542" s="4"/>
      <c r="AV542" s="4"/>
      <c r="AW542" s="4"/>
      <c r="AY542" s="4"/>
      <c r="AZ542" s="4"/>
      <c r="BA542" s="4"/>
      <c r="BC542" s="4"/>
      <c r="BD542" s="4"/>
      <c r="BG542" s="4"/>
      <c r="BH542" s="4"/>
      <c r="BK542" s="4"/>
    </row>
    <row r="543" spans="38:63" x14ac:dyDescent="0.25">
      <c r="AL543" s="4"/>
      <c r="AO543" s="4"/>
      <c r="AS543" s="4"/>
      <c r="AV543" s="4"/>
      <c r="AW543" s="4"/>
      <c r="AY543" s="4"/>
      <c r="AZ543" s="4"/>
      <c r="BA543" s="4"/>
      <c r="BC543" s="4"/>
      <c r="BD543" s="4"/>
      <c r="BG543" s="4"/>
      <c r="BH543" s="4"/>
      <c r="BK543" s="4"/>
    </row>
    <row r="544" spans="38:63" x14ac:dyDescent="0.25">
      <c r="AL544" s="4"/>
      <c r="AO544" s="4"/>
      <c r="AS544" s="4"/>
      <c r="AV544" s="4"/>
      <c r="AW544" s="4"/>
      <c r="AY544" s="4"/>
      <c r="AZ544" s="4"/>
      <c r="BA544" s="4"/>
      <c r="BC544" s="4"/>
      <c r="BD544" s="4"/>
      <c r="BG544" s="4"/>
      <c r="BH544" s="4"/>
      <c r="BK544" s="4"/>
    </row>
    <row r="545" spans="38:63" x14ac:dyDescent="0.25">
      <c r="AL545" s="4"/>
      <c r="AO545" s="4"/>
      <c r="AS545" s="4"/>
      <c r="AV545" s="4"/>
      <c r="AW545" s="4"/>
      <c r="AY545" s="4"/>
      <c r="AZ545" s="4"/>
      <c r="BA545" s="4"/>
      <c r="BC545" s="4"/>
      <c r="BD545" s="4"/>
      <c r="BG545" s="4"/>
      <c r="BH545" s="4"/>
      <c r="BK545" s="4"/>
    </row>
    <row r="546" spans="38:63" x14ac:dyDescent="0.25">
      <c r="AL546" s="4"/>
      <c r="AO546" s="4"/>
      <c r="AS546" s="4"/>
      <c r="AV546" s="4"/>
      <c r="AW546" s="4"/>
      <c r="AY546" s="4"/>
      <c r="AZ546" s="4"/>
      <c r="BA546" s="4"/>
      <c r="BC546" s="4"/>
      <c r="BD546" s="4"/>
      <c r="BG546" s="4"/>
      <c r="BH546" s="4"/>
      <c r="BK546" s="4"/>
    </row>
    <row r="547" spans="38:63" x14ac:dyDescent="0.25">
      <c r="AL547" s="4"/>
      <c r="AO547" s="4"/>
      <c r="AS547" s="4"/>
      <c r="AV547" s="4"/>
      <c r="AW547" s="4"/>
      <c r="AY547" s="4"/>
      <c r="AZ547" s="4"/>
      <c r="BA547" s="4"/>
      <c r="BC547" s="4"/>
      <c r="BD547" s="4"/>
      <c r="BG547" s="4"/>
      <c r="BH547" s="4"/>
      <c r="BK547" s="4"/>
    </row>
    <row r="548" spans="38:63" x14ac:dyDescent="0.25">
      <c r="AL548" s="4"/>
      <c r="AO548" s="4"/>
      <c r="AS548" s="4"/>
      <c r="AV548" s="4"/>
      <c r="AW548" s="4"/>
      <c r="AY548" s="4"/>
      <c r="AZ548" s="4"/>
      <c r="BA548" s="4"/>
      <c r="BC548" s="4"/>
      <c r="BD548" s="4"/>
      <c r="BG548" s="4"/>
      <c r="BH548" s="4"/>
      <c r="BK548" s="4"/>
    </row>
    <row r="549" spans="38:63" x14ac:dyDescent="0.25">
      <c r="AL549" s="4"/>
      <c r="AO549" s="4"/>
      <c r="AS549" s="4"/>
      <c r="AV549" s="4"/>
      <c r="AW549" s="4"/>
      <c r="AY549" s="4"/>
      <c r="AZ549" s="4"/>
      <c r="BA549" s="4"/>
      <c r="BC549" s="4"/>
      <c r="BD549" s="4"/>
      <c r="BG549" s="4"/>
      <c r="BH549" s="4"/>
      <c r="BK549" s="4"/>
    </row>
    <row r="550" spans="38:63" x14ac:dyDescent="0.25">
      <c r="AL550" s="4"/>
      <c r="AO550" s="4"/>
      <c r="AS550" s="4"/>
      <c r="AV550" s="4"/>
      <c r="AW550" s="4"/>
      <c r="AY550" s="4"/>
      <c r="AZ550" s="4"/>
      <c r="BA550" s="4"/>
      <c r="BC550" s="4"/>
      <c r="BD550" s="4"/>
      <c r="BG550" s="4"/>
      <c r="BH550" s="4"/>
      <c r="BK550" s="4"/>
    </row>
    <row r="551" spans="38:63" x14ac:dyDescent="0.25">
      <c r="AL551" s="4"/>
      <c r="AO551" s="4"/>
      <c r="AS551" s="4"/>
      <c r="AV551" s="4"/>
      <c r="AW551" s="4"/>
      <c r="AY551" s="4"/>
      <c r="AZ551" s="4"/>
      <c r="BA551" s="4"/>
      <c r="BC551" s="4"/>
      <c r="BD551" s="4"/>
      <c r="BG551" s="4"/>
      <c r="BH551" s="4"/>
      <c r="BK551" s="4"/>
    </row>
    <row r="552" spans="38:63" x14ac:dyDescent="0.25">
      <c r="AL552" s="4"/>
      <c r="AO552" s="4"/>
      <c r="AS552" s="4"/>
      <c r="AV552" s="4"/>
      <c r="AW552" s="4"/>
      <c r="AY552" s="4"/>
      <c r="AZ552" s="4"/>
      <c r="BA552" s="4"/>
      <c r="BC552" s="4"/>
      <c r="BD552" s="4"/>
      <c r="BG552" s="4"/>
      <c r="BH552" s="4"/>
      <c r="BK552" s="4"/>
    </row>
    <row r="553" spans="38:63" x14ac:dyDescent="0.25">
      <c r="AL553" s="4"/>
      <c r="AO553" s="4"/>
      <c r="AS553" s="4"/>
      <c r="AV553" s="4"/>
      <c r="AW553" s="4"/>
      <c r="AY553" s="4"/>
      <c r="AZ553" s="4"/>
      <c r="BA553" s="4"/>
      <c r="BC553" s="4"/>
      <c r="BD553" s="4"/>
      <c r="BG553" s="4"/>
      <c r="BH553" s="4"/>
      <c r="BK553" s="4"/>
    </row>
    <row r="554" spans="38:63" x14ac:dyDescent="0.25">
      <c r="AL554" s="4"/>
      <c r="AO554" s="4"/>
      <c r="AS554" s="4"/>
      <c r="AV554" s="4"/>
      <c r="AW554" s="4"/>
      <c r="AY554" s="4"/>
      <c r="AZ554" s="4"/>
      <c r="BA554" s="4"/>
      <c r="BC554" s="4"/>
      <c r="BD554" s="4"/>
      <c r="BG554" s="4"/>
      <c r="BH554" s="4"/>
      <c r="BK554" s="4"/>
    </row>
    <row r="555" spans="38:63" x14ac:dyDescent="0.25">
      <c r="AL555" s="4"/>
      <c r="AO555" s="4"/>
      <c r="AS555" s="4"/>
      <c r="AV555" s="4"/>
      <c r="AW555" s="4"/>
      <c r="AY555" s="4"/>
      <c r="AZ555" s="4"/>
      <c r="BA555" s="4"/>
      <c r="BC555" s="4"/>
      <c r="BD555" s="4"/>
      <c r="BG555" s="4"/>
      <c r="BH555" s="4"/>
      <c r="BK555" s="4"/>
    </row>
    <row r="556" spans="38:63" x14ac:dyDescent="0.25">
      <c r="AL556" s="4"/>
      <c r="AO556" s="4"/>
      <c r="AS556" s="4"/>
      <c r="AV556" s="4"/>
      <c r="AW556" s="4"/>
      <c r="AY556" s="4"/>
      <c r="AZ556" s="4"/>
      <c r="BA556" s="4"/>
      <c r="BC556" s="4"/>
      <c r="BD556" s="4"/>
      <c r="BG556" s="4"/>
      <c r="BH556" s="4"/>
      <c r="BK556" s="4"/>
    </row>
    <row r="557" spans="38:63" x14ac:dyDescent="0.25">
      <c r="AL557" s="4"/>
      <c r="AO557" s="4"/>
      <c r="AS557" s="4"/>
      <c r="AV557" s="4"/>
      <c r="AW557" s="4"/>
      <c r="AY557" s="4"/>
      <c r="AZ557" s="4"/>
      <c r="BA557" s="4"/>
      <c r="BC557" s="4"/>
      <c r="BD557" s="4"/>
      <c r="BG557" s="4"/>
      <c r="BH557" s="4"/>
      <c r="BK557" s="4"/>
    </row>
    <row r="558" spans="38:63" x14ac:dyDescent="0.25">
      <c r="AL558" s="4"/>
      <c r="AO558" s="4"/>
      <c r="AS558" s="4"/>
      <c r="AV558" s="4"/>
      <c r="AW558" s="4"/>
      <c r="AY558" s="4"/>
      <c r="AZ558" s="4"/>
      <c r="BA558" s="4"/>
      <c r="BC558" s="4"/>
      <c r="BD558" s="4"/>
      <c r="BG558" s="4"/>
      <c r="BH558" s="4"/>
      <c r="BK558" s="4"/>
    </row>
    <row r="559" spans="38:63" x14ac:dyDescent="0.25">
      <c r="AL559" s="4"/>
      <c r="AO559" s="4"/>
      <c r="AS559" s="4"/>
      <c r="AV559" s="4"/>
      <c r="AW559" s="4"/>
      <c r="AY559" s="4"/>
      <c r="AZ559" s="4"/>
      <c r="BA559" s="4"/>
      <c r="BC559" s="4"/>
      <c r="BD559" s="4"/>
      <c r="BG559" s="4"/>
      <c r="BH559" s="4"/>
      <c r="BK559" s="4"/>
    </row>
    <row r="560" spans="38:63" x14ac:dyDescent="0.25">
      <c r="AL560" s="4"/>
      <c r="AO560" s="4"/>
      <c r="AS560" s="4"/>
      <c r="AV560" s="4"/>
      <c r="AW560" s="4"/>
      <c r="AY560" s="4"/>
      <c r="AZ560" s="4"/>
      <c r="BA560" s="4"/>
      <c r="BC560" s="4"/>
      <c r="BD560" s="4"/>
      <c r="BG560" s="4"/>
      <c r="BH560" s="4"/>
      <c r="BK560" s="4"/>
    </row>
    <row r="561" spans="38:63" x14ac:dyDescent="0.25">
      <c r="AL561" s="4"/>
      <c r="AO561" s="4"/>
      <c r="AS561" s="4"/>
      <c r="AV561" s="4"/>
      <c r="AW561" s="4"/>
      <c r="AY561" s="4"/>
      <c r="AZ561" s="4"/>
      <c r="BA561" s="4"/>
      <c r="BC561" s="4"/>
      <c r="BD561" s="4"/>
      <c r="BG561" s="4"/>
      <c r="BH561" s="4"/>
      <c r="BK561" s="4"/>
    </row>
    <row r="562" spans="38:63" x14ac:dyDescent="0.25">
      <c r="AL562" s="4"/>
      <c r="AO562" s="4"/>
      <c r="AS562" s="4"/>
      <c r="AV562" s="4"/>
      <c r="AW562" s="4"/>
      <c r="AY562" s="4"/>
      <c r="AZ562" s="4"/>
      <c r="BA562" s="4"/>
      <c r="BC562" s="4"/>
      <c r="BD562" s="4"/>
      <c r="BG562" s="4"/>
      <c r="BH562" s="4"/>
      <c r="BK562" s="4"/>
    </row>
    <row r="563" spans="38:63" x14ac:dyDescent="0.25">
      <c r="AL563" s="4"/>
      <c r="AO563" s="4"/>
      <c r="AS563" s="4"/>
      <c r="AV563" s="4"/>
      <c r="AW563" s="4"/>
      <c r="AY563" s="4"/>
      <c r="AZ563" s="4"/>
      <c r="BA563" s="4"/>
      <c r="BC563" s="4"/>
      <c r="BD563" s="4"/>
      <c r="BG563" s="4"/>
      <c r="BH563" s="4"/>
      <c r="BK563" s="4"/>
    </row>
    <row r="564" spans="38:63" x14ac:dyDescent="0.25">
      <c r="AL564" s="4"/>
      <c r="AO564" s="4"/>
      <c r="AS564" s="4"/>
      <c r="AV564" s="4"/>
      <c r="AW564" s="4"/>
      <c r="AY564" s="4"/>
      <c r="AZ564" s="4"/>
      <c r="BA564" s="4"/>
      <c r="BC564" s="4"/>
      <c r="BD564" s="4"/>
      <c r="BG564" s="4"/>
      <c r="BH564" s="4"/>
      <c r="BK564" s="4"/>
    </row>
    <row r="565" spans="38:63" x14ac:dyDescent="0.25">
      <c r="AL565" s="4"/>
      <c r="AO565" s="4"/>
      <c r="AS565" s="4"/>
      <c r="AV565" s="4"/>
      <c r="AW565" s="4"/>
      <c r="AY565" s="4"/>
      <c r="AZ565" s="4"/>
      <c r="BA565" s="4"/>
      <c r="BC565" s="4"/>
      <c r="BD565" s="4"/>
      <c r="BG565" s="4"/>
      <c r="BH565" s="4"/>
      <c r="BK565" s="4"/>
    </row>
    <row r="566" spans="38:63" x14ac:dyDescent="0.25">
      <c r="AL566" s="4"/>
      <c r="AO566" s="4"/>
      <c r="AS566" s="4"/>
      <c r="AV566" s="4"/>
      <c r="AW566" s="4"/>
      <c r="AY566" s="4"/>
      <c r="AZ566" s="4"/>
      <c r="BA566" s="4"/>
      <c r="BC566" s="4"/>
      <c r="BD566" s="4"/>
      <c r="BG566" s="4"/>
      <c r="BH566" s="4"/>
      <c r="BK566" s="4"/>
    </row>
    <row r="567" spans="38:63" x14ac:dyDescent="0.25">
      <c r="AL567" s="4"/>
      <c r="AO567" s="4"/>
      <c r="AS567" s="4"/>
      <c r="AV567" s="4"/>
      <c r="AW567" s="4"/>
      <c r="AY567" s="4"/>
      <c r="AZ567" s="4"/>
      <c r="BA567" s="4"/>
      <c r="BC567" s="4"/>
      <c r="BD567" s="4"/>
      <c r="BG567" s="4"/>
      <c r="BH567" s="4"/>
      <c r="BK567" s="4"/>
    </row>
    <row r="568" spans="38:63" x14ac:dyDescent="0.25">
      <c r="AL568" s="4"/>
      <c r="AO568" s="4"/>
      <c r="AS568" s="4"/>
      <c r="AV568" s="4"/>
      <c r="AW568" s="4"/>
      <c r="AY568" s="4"/>
      <c r="AZ568" s="4"/>
      <c r="BA568" s="4"/>
      <c r="BC568" s="4"/>
      <c r="BD568" s="4"/>
      <c r="BG568" s="4"/>
      <c r="BH568" s="4"/>
      <c r="BK568" s="4"/>
    </row>
    <row r="569" spans="38:63" x14ac:dyDescent="0.25">
      <c r="AL569" s="4"/>
      <c r="AO569" s="4"/>
      <c r="AS569" s="4"/>
      <c r="AV569" s="4"/>
      <c r="AW569" s="4"/>
      <c r="AY569" s="4"/>
      <c r="AZ569" s="4"/>
      <c r="BA569" s="4"/>
      <c r="BC569" s="4"/>
      <c r="BD569" s="4"/>
      <c r="BG569" s="4"/>
      <c r="BH569" s="4"/>
      <c r="BK569" s="4"/>
    </row>
    <row r="570" spans="38:63" x14ac:dyDescent="0.25">
      <c r="AL570" s="4"/>
      <c r="AO570" s="4"/>
      <c r="AS570" s="4"/>
      <c r="AV570" s="4"/>
      <c r="AW570" s="4"/>
      <c r="AY570" s="4"/>
      <c r="AZ570" s="4"/>
      <c r="BA570" s="4"/>
      <c r="BC570" s="4"/>
      <c r="BD570" s="4"/>
      <c r="BG570" s="4"/>
      <c r="BH570" s="4"/>
      <c r="BK570" s="4"/>
    </row>
    <row r="571" spans="38:63" x14ac:dyDescent="0.25">
      <c r="AL571" s="4"/>
      <c r="AO571" s="4"/>
      <c r="AS571" s="4"/>
      <c r="AV571" s="4"/>
      <c r="AW571" s="4"/>
      <c r="AY571" s="4"/>
      <c r="AZ571" s="4"/>
      <c r="BA571" s="4"/>
      <c r="BC571" s="4"/>
      <c r="BD571" s="4"/>
      <c r="BG571" s="4"/>
      <c r="BH571" s="4"/>
      <c r="BK571" s="4"/>
    </row>
    <row r="572" spans="38:63" x14ac:dyDescent="0.25">
      <c r="AL572" s="4"/>
      <c r="AO572" s="4"/>
      <c r="AS572" s="4"/>
      <c r="AV572" s="4"/>
      <c r="AW572" s="4"/>
      <c r="AY572" s="4"/>
      <c r="AZ572" s="4"/>
      <c r="BA572" s="4"/>
      <c r="BC572" s="4"/>
      <c r="BD572" s="4"/>
      <c r="BG572" s="4"/>
      <c r="BH572" s="4"/>
      <c r="BK572" s="4"/>
    </row>
    <row r="573" spans="38:63" x14ac:dyDescent="0.25">
      <c r="AL573" s="4"/>
      <c r="AO573" s="4"/>
      <c r="AS573" s="4"/>
      <c r="AV573" s="4"/>
      <c r="AW573" s="4"/>
      <c r="AY573" s="4"/>
      <c r="AZ573" s="4"/>
      <c r="BA573" s="4"/>
      <c r="BC573" s="4"/>
      <c r="BD573" s="4"/>
      <c r="BG573" s="4"/>
      <c r="BH573" s="4"/>
      <c r="BK573" s="4"/>
    </row>
    <row r="574" spans="38:63" x14ac:dyDescent="0.25">
      <c r="AL574" s="4"/>
      <c r="AO574" s="4"/>
      <c r="AS574" s="4"/>
      <c r="AV574" s="4"/>
      <c r="AW574" s="4"/>
      <c r="AY574" s="4"/>
      <c r="AZ574" s="4"/>
      <c r="BA574" s="4"/>
      <c r="BC574" s="4"/>
      <c r="BD574" s="4"/>
      <c r="BG574" s="4"/>
      <c r="BH574" s="4"/>
      <c r="BK574" s="4"/>
    </row>
    <row r="575" spans="38:63" x14ac:dyDescent="0.25">
      <c r="AL575" s="4"/>
      <c r="AO575" s="4"/>
      <c r="AS575" s="4"/>
      <c r="AV575" s="4"/>
      <c r="AW575" s="4"/>
      <c r="AY575" s="4"/>
      <c r="AZ575" s="4"/>
      <c r="BA575" s="4"/>
      <c r="BC575" s="4"/>
      <c r="BD575" s="4"/>
      <c r="BG575" s="4"/>
      <c r="BH575" s="4"/>
      <c r="BK575" s="4"/>
    </row>
    <row r="576" spans="38:63" x14ac:dyDescent="0.25">
      <c r="AL576" s="4"/>
      <c r="AO576" s="4"/>
      <c r="AS576" s="4"/>
      <c r="AV576" s="4"/>
      <c r="AW576" s="4"/>
      <c r="AY576" s="4"/>
      <c r="AZ576" s="4"/>
      <c r="BA576" s="4"/>
      <c r="BC576" s="4"/>
      <c r="BD576" s="4"/>
      <c r="BG576" s="4"/>
      <c r="BH576" s="4"/>
      <c r="BK576" s="4"/>
    </row>
    <row r="577" spans="38:63" x14ac:dyDescent="0.25">
      <c r="AL577" s="4"/>
      <c r="AO577" s="4"/>
      <c r="AS577" s="4"/>
      <c r="AV577" s="4"/>
      <c r="AW577" s="4"/>
      <c r="AY577" s="4"/>
      <c r="AZ577" s="4"/>
      <c r="BA577" s="4"/>
      <c r="BC577" s="4"/>
      <c r="BD577" s="4"/>
      <c r="BG577" s="4"/>
      <c r="BH577" s="4"/>
      <c r="BK577" s="4"/>
    </row>
    <row r="578" spans="38:63" x14ac:dyDescent="0.25">
      <c r="AL578" s="4"/>
      <c r="AO578" s="4"/>
      <c r="AS578" s="4"/>
      <c r="AV578" s="4"/>
      <c r="AW578" s="4"/>
      <c r="AY578" s="4"/>
      <c r="AZ578" s="4"/>
      <c r="BA578" s="4"/>
      <c r="BC578" s="4"/>
      <c r="BD578" s="4"/>
      <c r="BG578" s="4"/>
      <c r="BH578" s="4"/>
      <c r="BK578" s="4"/>
    </row>
    <row r="579" spans="38:63" x14ac:dyDescent="0.25">
      <c r="AL579" s="4"/>
      <c r="AO579" s="4"/>
      <c r="AS579" s="4"/>
      <c r="AV579" s="4"/>
      <c r="AW579" s="4"/>
      <c r="AY579" s="4"/>
      <c r="AZ579" s="4"/>
      <c r="BA579" s="4"/>
      <c r="BC579" s="4"/>
      <c r="BD579" s="4"/>
      <c r="BG579" s="4"/>
      <c r="BH579" s="4"/>
      <c r="BK579" s="4"/>
    </row>
    <row r="580" spans="38:63" x14ac:dyDescent="0.25">
      <c r="AL580" s="4"/>
      <c r="AO580" s="4"/>
      <c r="AS580" s="4"/>
      <c r="AV580" s="4"/>
      <c r="AW580" s="4"/>
      <c r="AY580" s="4"/>
      <c r="AZ580" s="4"/>
      <c r="BA580" s="4"/>
      <c r="BC580" s="4"/>
      <c r="BD580" s="4"/>
      <c r="BG580" s="4"/>
      <c r="BH580" s="4"/>
      <c r="BK580" s="4"/>
    </row>
    <row r="581" spans="38:63" x14ac:dyDescent="0.25">
      <c r="AL581" s="4"/>
      <c r="AO581" s="4"/>
      <c r="AS581" s="4"/>
      <c r="AV581" s="4"/>
      <c r="AW581" s="4"/>
      <c r="AY581" s="4"/>
      <c r="AZ581" s="4"/>
      <c r="BA581" s="4"/>
      <c r="BC581" s="4"/>
      <c r="BD581" s="4"/>
      <c r="BG581" s="4"/>
      <c r="BH581" s="4"/>
      <c r="BK581" s="4"/>
    </row>
    <row r="582" spans="38:63" x14ac:dyDescent="0.25">
      <c r="AL582" s="4"/>
      <c r="AO582" s="4"/>
      <c r="AS582" s="4"/>
      <c r="AV582" s="4"/>
      <c r="AW582" s="4"/>
      <c r="AY582" s="4"/>
      <c r="AZ582" s="4"/>
      <c r="BA582" s="4"/>
      <c r="BC582" s="4"/>
      <c r="BD582" s="4"/>
      <c r="BG582" s="4"/>
      <c r="BH582" s="4"/>
      <c r="BK582" s="4"/>
    </row>
    <row r="583" spans="38:63" x14ac:dyDescent="0.25">
      <c r="AL583" s="4"/>
      <c r="AO583" s="4"/>
      <c r="AS583" s="4"/>
      <c r="AV583" s="4"/>
      <c r="AW583" s="4"/>
      <c r="AY583" s="4"/>
      <c r="AZ583" s="4"/>
      <c r="BA583" s="4"/>
      <c r="BC583" s="4"/>
      <c r="BD583" s="4"/>
      <c r="BG583" s="4"/>
      <c r="BH583" s="4"/>
      <c r="BK583" s="4"/>
    </row>
    <row r="584" spans="38:63" x14ac:dyDescent="0.25">
      <c r="AL584" s="4"/>
      <c r="AO584" s="4"/>
      <c r="AS584" s="4"/>
      <c r="AV584" s="4"/>
      <c r="AW584" s="4"/>
      <c r="AY584" s="4"/>
      <c r="AZ584" s="4"/>
      <c r="BA584" s="4"/>
      <c r="BC584" s="4"/>
      <c r="BD584" s="4"/>
      <c r="BG584" s="4"/>
      <c r="BH584" s="4"/>
      <c r="BK584" s="4"/>
    </row>
    <row r="585" spans="38:63" x14ac:dyDescent="0.25">
      <c r="AL585" s="4"/>
      <c r="AO585" s="4"/>
      <c r="AS585" s="4"/>
      <c r="AV585" s="4"/>
      <c r="AW585" s="4"/>
      <c r="AY585" s="4"/>
      <c r="AZ585" s="4"/>
      <c r="BA585" s="4"/>
      <c r="BC585" s="4"/>
      <c r="BD585" s="4"/>
      <c r="BG585" s="4"/>
      <c r="BH585" s="4"/>
      <c r="BK585" s="4"/>
    </row>
    <row r="586" spans="38:63" x14ac:dyDescent="0.25">
      <c r="AL586" s="4"/>
      <c r="AO586" s="4"/>
      <c r="AS586" s="4"/>
      <c r="AV586" s="4"/>
      <c r="AW586" s="4"/>
      <c r="AY586" s="4"/>
      <c r="AZ586" s="4"/>
      <c r="BA586" s="4"/>
      <c r="BC586" s="4"/>
      <c r="BD586" s="4"/>
      <c r="BG586" s="4"/>
      <c r="BH586" s="4"/>
      <c r="BK586" s="4"/>
    </row>
    <row r="587" spans="38:63" x14ac:dyDescent="0.25">
      <c r="AL587" s="4"/>
      <c r="AO587" s="4"/>
      <c r="AS587" s="4"/>
      <c r="AV587" s="4"/>
      <c r="AW587" s="4"/>
      <c r="AY587" s="4"/>
      <c r="AZ587" s="4"/>
      <c r="BA587" s="4"/>
      <c r="BC587" s="4"/>
      <c r="BD587" s="4"/>
      <c r="BG587" s="4"/>
      <c r="BH587" s="4"/>
      <c r="BK587" s="4"/>
    </row>
    <row r="588" spans="38:63" x14ac:dyDescent="0.25">
      <c r="AL588" s="4"/>
      <c r="AO588" s="4"/>
      <c r="AS588" s="4"/>
      <c r="AV588" s="4"/>
      <c r="AW588" s="4"/>
      <c r="AY588" s="4"/>
      <c r="AZ588" s="4"/>
      <c r="BA588" s="4"/>
      <c r="BC588" s="4"/>
      <c r="BD588" s="4"/>
      <c r="BG588" s="4"/>
      <c r="BH588" s="4"/>
      <c r="BK588" s="4"/>
    </row>
    <row r="589" spans="38:63" x14ac:dyDescent="0.25">
      <c r="AL589" s="4"/>
      <c r="AO589" s="4"/>
      <c r="AS589" s="4"/>
      <c r="AV589" s="4"/>
      <c r="AW589" s="4"/>
      <c r="AY589" s="4"/>
      <c r="AZ589" s="4"/>
      <c r="BA589" s="4"/>
      <c r="BC589" s="4"/>
      <c r="BD589" s="4"/>
      <c r="BG589" s="4"/>
      <c r="BH589" s="4"/>
      <c r="BK589" s="4"/>
    </row>
    <row r="590" spans="38:63" x14ac:dyDescent="0.25">
      <c r="AL590" s="4"/>
      <c r="AO590" s="4"/>
      <c r="AS590" s="4"/>
      <c r="AV590" s="4"/>
      <c r="AW590" s="4"/>
      <c r="AY590" s="4"/>
      <c r="AZ590" s="4"/>
      <c r="BA590" s="4"/>
      <c r="BC590" s="4"/>
      <c r="BD590" s="4"/>
      <c r="BG590" s="4"/>
      <c r="BH590" s="4"/>
      <c r="BK590" s="4"/>
    </row>
    <row r="591" spans="38:63" x14ac:dyDescent="0.25">
      <c r="AL591" s="4"/>
      <c r="AO591" s="4"/>
      <c r="AS591" s="4"/>
      <c r="AV591" s="4"/>
      <c r="AW591" s="4"/>
      <c r="AY591" s="4"/>
      <c r="AZ591" s="4"/>
      <c r="BA591" s="4"/>
      <c r="BC591" s="4"/>
      <c r="BD591" s="4"/>
      <c r="BG591" s="4"/>
      <c r="BH591" s="4"/>
      <c r="BK591" s="4"/>
    </row>
    <row r="592" spans="38:63" x14ac:dyDescent="0.25">
      <c r="AL592" s="4"/>
      <c r="AO592" s="4"/>
      <c r="AS592" s="4"/>
      <c r="AV592" s="4"/>
      <c r="AW592" s="4"/>
      <c r="AY592" s="4"/>
      <c r="AZ592" s="4"/>
      <c r="BA592" s="4"/>
      <c r="BC592" s="4"/>
      <c r="BD592" s="4"/>
      <c r="BG592" s="4"/>
      <c r="BH592" s="4"/>
      <c r="BK592" s="4"/>
    </row>
    <row r="593" spans="38:63" x14ac:dyDescent="0.25">
      <c r="AL593" s="4"/>
      <c r="AO593" s="4"/>
      <c r="AS593" s="4"/>
      <c r="AV593" s="4"/>
      <c r="AW593" s="4"/>
      <c r="AY593" s="4"/>
      <c r="AZ593" s="4"/>
      <c r="BA593" s="4"/>
      <c r="BC593" s="4"/>
      <c r="BD593" s="4"/>
      <c r="BG593" s="4"/>
      <c r="BH593" s="4"/>
      <c r="BK593" s="4"/>
    </row>
    <row r="594" spans="38:63" x14ac:dyDescent="0.25">
      <c r="AL594" s="4"/>
      <c r="AO594" s="4"/>
      <c r="AS594" s="4"/>
      <c r="AV594" s="4"/>
      <c r="AW594" s="4"/>
      <c r="AY594" s="4"/>
      <c r="AZ594" s="4"/>
      <c r="BA594" s="4"/>
      <c r="BC594" s="4"/>
      <c r="BD594" s="4"/>
      <c r="BG594" s="4"/>
      <c r="BH594" s="4"/>
      <c r="BK594" s="4"/>
    </row>
    <row r="595" spans="38:63" x14ac:dyDescent="0.25">
      <c r="AL595" s="4"/>
      <c r="AO595" s="4"/>
      <c r="AS595" s="4"/>
      <c r="AV595" s="4"/>
      <c r="AW595" s="4"/>
      <c r="AY595" s="4"/>
      <c r="AZ595" s="4"/>
      <c r="BA595" s="4"/>
      <c r="BC595" s="4"/>
      <c r="BD595" s="4"/>
      <c r="BG595" s="4"/>
      <c r="BH595" s="4"/>
      <c r="BK595" s="4"/>
    </row>
    <row r="596" spans="38:63" x14ac:dyDescent="0.25">
      <c r="AL596" s="4"/>
      <c r="AO596" s="4"/>
      <c r="AS596" s="4"/>
      <c r="AV596" s="4"/>
      <c r="AW596" s="4"/>
      <c r="AY596" s="4"/>
      <c r="AZ596" s="4"/>
      <c r="BA596" s="4"/>
      <c r="BC596" s="4"/>
      <c r="BD596" s="4"/>
      <c r="BG596" s="4"/>
      <c r="BH596" s="4"/>
      <c r="BK596" s="4"/>
    </row>
    <row r="597" spans="38:63" x14ac:dyDescent="0.25">
      <c r="AL597" s="4"/>
      <c r="AO597" s="4"/>
      <c r="AS597" s="4"/>
      <c r="AV597" s="4"/>
      <c r="AW597" s="4"/>
      <c r="AY597" s="4"/>
      <c r="AZ597" s="4"/>
      <c r="BA597" s="4"/>
      <c r="BC597" s="4"/>
      <c r="BD597" s="4"/>
      <c r="BG597" s="4"/>
      <c r="BH597" s="4"/>
      <c r="BK597" s="4"/>
    </row>
    <row r="598" spans="38:63" x14ac:dyDescent="0.25">
      <c r="AL598" s="4"/>
      <c r="AO598" s="4"/>
      <c r="AS598" s="4"/>
      <c r="AV598" s="4"/>
      <c r="AW598" s="4"/>
      <c r="AY598" s="4"/>
      <c r="AZ598" s="4"/>
      <c r="BA598" s="4"/>
      <c r="BC598" s="4"/>
      <c r="BD598" s="4"/>
      <c r="BG598" s="4"/>
      <c r="BH598" s="4"/>
      <c r="BK598" s="4"/>
    </row>
    <row r="599" spans="38:63" x14ac:dyDescent="0.25">
      <c r="AL599" s="4"/>
      <c r="AO599" s="4"/>
      <c r="AS599" s="4"/>
      <c r="AV599" s="4"/>
      <c r="AW599" s="4"/>
      <c r="AY599" s="4"/>
      <c r="AZ599" s="4"/>
      <c r="BA599" s="4"/>
      <c r="BC599" s="4"/>
      <c r="BD599" s="4"/>
      <c r="BG599" s="4"/>
      <c r="BH599" s="4"/>
      <c r="BK599" s="4"/>
    </row>
    <row r="600" spans="38:63" x14ac:dyDescent="0.25">
      <c r="AL600" s="4"/>
      <c r="AO600" s="4"/>
      <c r="AS600" s="4"/>
      <c r="AV600" s="4"/>
      <c r="AW600" s="4"/>
      <c r="AY600" s="4"/>
      <c r="AZ600" s="4"/>
      <c r="BA600" s="4"/>
      <c r="BC600" s="4"/>
      <c r="BD600" s="4"/>
      <c r="BG600" s="4"/>
      <c r="BH600" s="4"/>
      <c r="BK600" s="4"/>
    </row>
    <row r="601" spans="38:63" x14ac:dyDescent="0.25">
      <c r="AL601" s="4"/>
      <c r="AO601" s="4"/>
      <c r="AS601" s="4"/>
      <c r="AV601" s="4"/>
      <c r="AW601" s="4"/>
      <c r="AY601" s="4"/>
      <c r="AZ601" s="4"/>
      <c r="BA601" s="4"/>
      <c r="BC601" s="4"/>
      <c r="BD601" s="4"/>
      <c r="BG601" s="4"/>
      <c r="BH601" s="4"/>
      <c r="BK601" s="4"/>
    </row>
    <row r="602" spans="38:63" x14ac:dyDescent="0.25">
      <c r="AL602" s="4"/>
      <c r="AO602" s="4"/>
      <c r="AS602" s="4"/>
      <c r="AV602" s="4"/>
      <c r="AW602" s="4"/>
      <c r="AY602" s="4"/>
      <c r="AZ602" s="4"/>
      <c r="BA602" s="4"/>
      <c r="BC602" s="4"/>
      <c r="BD602" s="4"/>
      <c r="BG602" s="4"/>
      <c r="BH602" s="4"/>
      <c r="BK602" s="4"/>
    </row>
    <row r="603" spans="38:63" x14ac:dyDescent="0.25">
      <c r="AL603" s="4"/>
      <c r="AO603" s="4"/>
      <c r="AS603" s="4"/>
      <c r="AV603" s="4"/>
      <c r="AW603" s="4"/>
      <c r="AY603" s="4"/>
      <c r="AZ603" s="4"/>
      <c r="BA603" s="4"/>
      <c r="BC603" s="4"/>
      <c r="BD603" s="4"/>
      <c r="BG603" s="4"/>
      <c r="BH603" s="4"/>
      <c r="BK603" s="4"/>
    </row>
    <row r="604" spans="38:63" x14ac:dyDescent="0.25">
      <c r="AL604" s="4"/>
      <c r="AO604" s="4"/>
      <c r="AS604" s="4"/>
      <c r="AV604" s="4"/>
      <c r="AW604" s="4"/>
      <c r="AY604" s="4"/>
      <c r="AZ604" s="4"/>
      <c r="BA604" s="4"/>
      <c r="BC604" s="4"/>
      <c r="BD604" s="4"/>
      <c r="BG604" s="4"/>
      <c r="BH604" s="4"/>
      <c r="BK604" s="4"/>
    </row>
    <row r="605" spans="38:63" x14ac:dyDescent="0.25">
      <c r="AL605" s="4"/>
      <c r="AO605" s="4"/>
      <c r="AS605" s="4"/>
      <c r="AV605" s="4"/>
      <c r="AW605" s="4"/>
      <c r="AY605" s="4"/>
      <c r="AZ605" s="4"/>
      <c r="BA605" s="4"/>
      <c r="BC605" s="4"/>
      <c r="BD605" s="4"/>
      <c r="BG605" s="4"/>
      <c r="BH605" s="4"/>
      <c r="BK605" s="4"/>
    </row>
    <row r="606" spans="38:63" x14ac:dyDescent="0.25">
      <c r="AL606" s="4"/>
      <c r="AO606" s="4"/>
      <c r="AS606" s="4"/>
      <c r="AV606" s="4"/>
      <c r="AW606" s="4"/>
      <c r="AY606" s="4"/>
      <c r="AZ606" s="4"/>
      <c r="BA606" s="4"/>
      <c r="BC606" s="4"/>
      <c r="BD606" s="4"/>
      <c r="BG606" s="4"/>
      <c r="BH606" s="4"/>
      <c r="BK606" s="4"/>
    </row>
    <row r="607" spans="38:63" x14ac:dyDescent="0.25">
      <c r="AL607" s="4"/>
      <c r="AO607" s="4"/>
      <c r="AS607" s="4"/>
      <c r="AV607" s="4"/>
      <c r="AW607" s="4"/>
      <c r="AY607" s="4"/>
      <c r="AZ607" s="4"/>
      <c r="BA607" s="4"/>
      <c r="BC607" s="4"/>
      <c r="BD607" s="4"/>
      <c r="BG607" s="4"/>
      <c r="BH607" s="4"/>
      <c r="BK607" s="4"/>
    </row>
    <row r="608" spans="38:63" x14ac:dyDescent="0.25">
      <c r="AL608" s="4"/>
      <c r="AO608" s="4"/>
      <c r="AS608" s="4"/>
      <c r="AV608" s="4"/>
      <c r="AW608" s="4"/>
      <c r="AY608" s="4"/>
      <c r="AZ608" s="4"/>
      <c r="BA608" s="4"/>
      <c r="BC608" s="4"/>
      <c r="BD608" s="4"/>
      <c r="BG608" s="4"/>
      <c r="BH608" s="4"/>
      <c r="BK608" s="4"/>
    </row>
    <row r="609" spans="38:63" x14ac:dyDescent="0.25">
      <c r="AL609" s="4"/>
      <c r="AO609" s="4"/>
      <c r="AS609" s="4"/>
      <c r="AV609" s="4"/>
      <c r="AW609" s="4"/>
      <c r="AY609" s="4"/>
      <c r="AZ609" s="4"/>
      <c r="BA609" s="4"/>
      <c r="BC609" s="4"/>
      <c r="BD609" s="4"/>
      <c r="BG609" s="4"/>
      <c r="BH609" s="4"/>
      <c r="BK609" s="4"/>
    </row>
    <row r="610" spans="38:63" x14ac:dyDescent="0.25">
      <c r="AL610" s="4"/>
      <c r="AO610" s="4"/>
      <c r="AS610" s="4"/>
      <c r="AV610" s="4"/>
      <c r="AW610" s="4"/>
      <c r="AY610" s="4"/>
      <c r="AZ610" s="4"/>
      <c r="BA610" s="4"/>
      <c r="BC610" s="4"/>
      <c r="BD610" s="4"/>
      <c r="BG610" s="4"/>
      <c r="BH610" s="4"/>
      <c r="BK610" s="4"/>
    </row>
    <row r="611" spans="38:63" x14ac:dyDescent="0.25">
      <c r="AL611" s="4"/>
      <c r="AO611" s="4"/>
      <c r="AS611" s="4"/>
      <c r="AV611" s="4"/>
      <c r="AW611" s="4"/>
      <c r="AY611" s="4"/>
      <c r="AZ611" s="4"/>
      <c r="BA611" s="4"/>
      <c r="BC611" s="4"/>
      <c r="BD611" s="4"/>
      <c r="BG611" s="4"/>
      <c r="BH611" s="4"/>
      <c r="BK611" s="4"/>
    </row>
    <row r="612" spans="38:63" x14ac:dyDescent="0.25">
      <c r="AL612" s="4"/>
      <c r="AO612" s="4"/>
      <c r="AS612" s="4"/>
      <c r="AV612" s="4"/>
      <c r="AW612" s="4"/>
      <c r="AY612" s="4"/>
      <c r="AZ612" s="4"/>
      <c r="BA612" s="4"/>
      <c r="BC612" s="4"/>
      <c r="BD612" s="4"/>
      <c r="BG612" s="4"/>
      <c r="BH612" s="4"/>
      <c r="BK612" s="4"/>
    </row>
    <row r="613" spans="38:63" x14ac:dyDescent="0.25">
      <c r="AL613" s="4"/>
      <c r="AO613" s="4"/>
      <c r="AS613" s="4"/>
      <c r="AV613" s="4"/>
      <c r="AW613" s="4"/>
      <c r="AY613" s="4"/>
      <c r="AZ613" s="4"/>
      <c r="BA613" s="4"/>
      <c r="BC613" s="4"/>
      <c r="BD613" s="4"/>
      <c r="BG613" s="4"/>
      <c r="BH613" s="4"/>
      <c r="BK613" s="4"/>
    </row>
    <row r="614" spans="38:63" x14ac:dyDescent="0.25">
      <c r="AL614" s="4"/>
      <c r="AO614" s="4"/>
      <c r="AS614" s="4"/>
      <c r="AV614" s="4"/>
      <c r="AW614" s="4"/>
      <c r="AY614" s="4"/>
      <c r="AZ614" s="4"/>
      <c r="BA614" s="4"/>
      <c r="BC614" s="4"/>
      <c r="BD614" s="4"/>
      <c r="BG614" s="4"/>
      <c r="BH614" s="4"/>
      <c r="BK614" s="4"/>
    </row>
    <row r="615" spans="38:63" x14ac:dyDescent="0.25">
      <c r="AL615" s="4"/>
      <c r="AO615" s="4"/>
      <c r="AS615" s="4"/>
      <c r="AV615" s="4"/>
      <c r="AW615" s="4"/>
      <c r="AY615" s="4"/>
      <c r="AZ615" s="4"/>
      <c r="BA615" s="4"/>
      <c r="BC615" s="4"/>
      <c r="BD615" s="4"/>
      <c r="BG615" s="4"/>
      <c r="BH615" s="4"/>
      <c r="BK615" s="4"/>
    </row>
    <row r="616" spans="38:63" x14ac:dyDescent="0.25">
      <c r="AL616" s="4"/>
      <c r="AO616" s="4"/>
      <c r="AS616" s="4"/>
      <c r="AV616" s="4"/>
      <c r="AW616" s="4"/>
      <c r="AY616" s="4"/>
      <c r="AZ616" s="4"/>
      <c r="BA616" s="4"/>
      <c r="BC616" s="4"/>
      <c r="BD616" s="4"/>
      <c r="BG616" s="4"/>
      <c r="BH616" s="4"/>
      <c r="BK616" s="4"/>
    </row>
    <row r="617" spans="38:63" x14ac:dyDescent="0.25">
      <c r="AL617" s="4"/>
      <c r="AO617" s="4"/>
      <c r="AS617" s="4"/>
      <c r="AV617" s="4"/>
      <c r="AW617" s="4"/>
      <c r="AY617" s="4"/>
      <c r="AZ617" s="4"/>
      <c r="BA617" s="4"/>
      <c r="BC617" s="4"/>
      <c r="BD617" s="4"/>
      <c r="BG617" s="4"/>
      <c r="BH617" s="4"/>
      <c r="BK617" s="4"/>
    </row>
    <row r="618" spans="38:63" x14ac:dyDescent="0.25">
      <c r="AL618" s="4"/>
      <c r="AO618" s="4"/>
      <c r="AS618" s="4"/>
      <c r="AV618" s="4"/>
      <c r="AW618" s="4"/>
      <c r="AY618" s="4"/>
      <c r="AZ618" s="4"/>
      <c r="BA618" s="4"/>
      <c r="BC618" s="4"/>
      <c r="BD618" s="4"/>
      <c r="BG618" s="4"/>
      <c r="BH618" s="4"/>
      <c r="BK618" s="4"/>
    </row>
    <row r="619" spans="38:63" x14ac:dyDescent="0.25">
      <c r="AL619" s="4"/>
      <c r="AO619" s="4"/>
      <c r="AS619" s="4"/>
      <c r="AV619" s="4"/>
      <c r="AW619" s="4"/>
      <c r="AY619" s="4"/>
      <c r="AZ619" s="4"/>
      <c r="BA619" s="4"/>
      <c r="BC619" s="4"/>
      <c r="BD619" s="4"/>
      <c r="BG619" s="4"/>
      <c r="BH619" s="4"/>
      <c r="BK619" s="4"/>
    </row>
    <row r="620" spans="38:63" x14ac:dyDescent="0.25">
      <c r="AL620" s="4"/>
      <c r="AO620" s="4"/>
      <c r="AS620" s="4"/>
      <c r="AV620" s="4"/>
      <c r="AW620" s="4"/>
      <c r="AY620" s="4"/>
      <c r="AZ620" s="4"/>
      <c r="BA620" s="4"/>
      <c r="BC620" s="4"/>
      <c r="BD620" s="4"/>
      <c r="BG620" s="4"/>
      <c r="BH620" s="4"/>
      <c r="BK620" s="4"/>
    </row>
    <row r="621" spans="38:63" x14ac:dyDescent="0.25">
      <c r="AL621" s="4"/>
      <c r="AO621" s="4"/>
      <c r="AS621" s="4"/>
      <c r="AV621" s="4"/>
      <c r="AW621" s="4"/>
      <c r="AY621" s="4"/>
      <c r="AZ621" s="4"/>
      <c r="BA621" s="4"/>
      <c r="BC621" s="4"/>
      <c r="BD621" s="4"/>
      <c r="BG621" s="4"/>
      <c r="BH621" s="4"/>
      <c r="BK621" s="4"/>
    </row>
    <row r="622" spans="38:63" x14ac:dyDescent="0.25">
      <c r="AL622" s="4"/>
      <c r="AO622" s="4"/>
      <c r="AS622" s="4"/>
      <c r="AV622" s="4"/>
      <c r="AW622" s="4"/>
      <c r="AY622" s="4"/>
      <c r="AZ622" s="4"/>
      <c r="BA622" s="4"/>
      <c r="BC622" s="4"/>
      <c r="BD622" s="4"/>
      <c r="BG622" s="4"/>
      <c r="BH622" s="4"/>
      <c r="BK622" s="4"/>
    </row>
    <row r="623" spans="38:63" x14ac:dyDescent="0.25">
      <c r="AL623" s="4"/>
      <c r="AO623" s="4"/>
      <c r="AS623" s="4"/>
      <c r="AV623" s="4"/>
      <c r="AW623" s="4"/>
      <c r="AY623" s="4"/>
      <c r="AZ623" s="4"/>
      <c r="BA623" s="4"/>
      <c r="BC623" s="4"/>
      <c r="BD623" s="4"/>
      <c r="BG623" s="4"/>
      <c r="BH623" s="4"/>
      <c r="BK623" s="4"/>
    </row>
    <row r="624" spans="38:63" x14ac:dyDescent="0.25">
      <c r="AL624" s="4"/>
      <c r="AO624" s="4"/>
      <c r="AS624" s="4"/>
      <c r="AV624" s="4"/>
      <c r="AW624" s="4"/>
      <c r="AY624" s="4"/>
      <c r="AZ624" s="4"/>
      <c r="BA624" s="4"/>
      <c r="BC624" s="4"/>
      <c r="BD624" s="4"/>
      <c r="BG624" s="4"/>
      <c r="BH624" s="4"/>
      <c r="BK624" s="4"/>
    </row>
    <row r="625" spans="38:63" x14ac:dyDescent="0.25">
      <c r="AL625" s="4"/>
      <c r="AO625" s="4"/>
      <c r="AS625" s="4"/>
      <c r="AV625" s="4"/>
      <c r="AW625" s="4"/>
      <c r="AY625" s="4"/>
      <c r="AZ625" s="4"/>
      <c r="BA625" s="4"/>
      <c r="BC625" s="4"/>
      <c r="BD625" s="4"/>
      <c r="BG625" s="4"/>
      <c r="BH625" s="4"/>
      <c r="BK625" s="4"/>
    </row>
    <row r="626" spans="38:63" x14ac:dyDescent="0.25">
      <c r="AL626" s="4"/>
      <c r="AO626" s="4"/>
      <c r="AS626" s="4"/>
      <c r="AV626" s="4"/>
      <c r="AW626" s="4"/>
      <c r="AY626" s="4"/>
      <c r="AZ626" s="4"/>
      <c r="BA626" s="4"/>
      <c r="BC626" s="4"/>
      <c r="BD626" s="4"/>
      <c r="BG626" s="4"/>
      <c r="BH626" s="4"/>
      <c r="BK626" s="4"/>
    </row>
    <row r="627" spans="38:63" x14ac:dyDescent="0.25">
      <c r="AL627" s="4"/>
      <c r="AO627" s="4"/>
      <c r="AS627" s="4"/>
      <c r="AV627" s="4"/>
      <c r="AW627" s="4"/>
      <c r="AY627" s="4"/>
      <c r="AZ627" s="4"/>
      <c r="BA627" s="4"/>
      <c r="BC627" s="4"/>
      <c r="BD627" s="4"/>
      <c r="BG627" s="4"/>
      <c r="BH627" s="4"/>
      <c r="BK627" s="4"/>
    </row>
    <row r="628" spans="38:63" x14ac:dyDescent="0.25">
      <c r="AL628" s="4"/>
      <c r="AO628" s="4"/>
      <c r="AS628" s="4"/>
      <c r="AV628" s="4"/>
      <c r="AW628" s="4"/>
      <c r="AY628" s="4"/>
      <c r="AZ628" s="4"/>
      <c r="BA628" s="4"/>
      <c r="BC628" s="4"/>
      <c r="BD628" s="4"/>
      <c r="BG628" s="4"/>
      <c r="BH628" s="4"/>
      <c r="BK628" s="4"/>
    </row>
    <row r="629" spans="38:63" x14ac:dyDescent="0.25">
      <c r="AL629" s="4"/>
      <c r="AO629" s="4"/>
      <c r="AS629" s="4"/>
      <c r="AV629" s="4"/>
      <c r="AW629" s="4"/>
      <c r="AY629" s="4"/>
      <c r="AZ629" s="4"/>
      <c r="BA629" s="4"/>
      <c r="BC629" s="4"/>
      <c r="BD629" s="4"/>
      <c r="BG629" s="4"/>
      <c r="BH629" s="4"/>
      <c r="BK629" s="4"/>
    </row>
    <row r="630" spans="38:63" x14ac:dyDescent="0.25">
      <c r="AL630" s="4"/>
      <c r="AO630" s="4"/>
      <c r="AS630" s="4"/>
      <c r="AV630" s="4"/>
      <c r="AW630" s="4"/>
      <c r="AY630" s="4"/>
      <c r="AZ630" s="4"/>
      <c r="BA630" s="4"/>
      <c r="BC630" s="4"/>
      <c r="BD630" s="4"/>
      <c r="BG630" s="4"/>
      <c r="BH630" s="4"/>
      <c r="BK630" s="4"/>
    </row>
    <row r="631" spans="38:63" x14ac:dyDescent="0.25">
      <c r="AL631" s="4"/>
      <c r="AO631" s="4"/>
      <c r="AS631" s="4"/>
      <c r="AV631" s="4"/>
      <c r="AW631" s="4"/>
      <c r="AY631" s="4"/>
      <c r="AZ631" s="4"/>
      <c r="BA631" s="4"/>
      <c r="BC631" s="4"/>
      <c r="BD631" s="4"/>
      <c r="BG631" s="4"/>
      <c r="BH631" s="4"/>
      <c r="BK631" s="4"/>
    </row>
    <row r="632" spans="38:63" x14ac:dyDescent="0.25">
      <c r="AL632" s="4"/>
      <c r="AO632" s="4"/>
      <c r="AS632" s="4"/>
      <c r="AV632" s="4"/>
      <c r="AW632" s="4"/>
      <c r="AY632" s="4"/>
      <c r="AZ632" s="4"/>
      <c r="BA632" s="4"/>
      <c r="BC632" s="4"/>
      <c r="BD632" s="4"/>
      <c r="BG632" s="4"/>
      <c r="BH632" s="4"/>
      <c r="BK632" s="4"/>
    </row>
    <row r="633" spans="38:63" x14ac:dyDescent="0.25">
      <c r="AL633" s="4"/>
      <c r="AO633" s="4"/>
      <c r="AS633" s="4"/>
      <c r="AV633" s="4"/>
      <c r="AW633" s="4"/>
      <c r="AY633" s="4"/>
      <c r="AZ633" s="4"/>
      <c r="BA633" s="4"/>
      <c r="BC633" s="4"/>
      <c r="BD633" s="4"/>
      <c r="BG633" s="4"/>
      <c r="BH633" s="4"/>
      <c r="BK633" s="4"/>
    </row>
    <row r="634" spans="38:63" x14ac:dyDescent="0.25">
      <c r="AL634" s="4"/>
      <c r="AO634" s="4"/>
      <c r="AS634" s="4"/>
      <c r="AV634" s="4"/>
      <c r="AW634" s="4"/>
      <c r="AY634" s="4"/>
      <c r="AZ634" s="4"/>
      <c r="BA634" s="4"/>
      <c r="BC634" s="4"/>
      <c r="BD634" s="4"/>
      <c r="BG634" s="4"/>
      <c r="BH634" s="4"/>
      <c r="BK634" s="4"/>
    </row>
    <row r="635" spans="38:63" x14ac:dyDescent="0.25">
      <c r="AL635" s="4"/>
      <c r="AO635" s="4"/>
      <c r="AS635" s="4"/>
      <c r="AV635" s="4"/>
      <c r="AW635" s="4"/>
      <c r="AY635" s="4"/>
      <c r="AZ635" s="4"/>
      <c r="BA635" s="4"/>
      <c r="BC635" s="4"/>
      <c r="BD635" s="4"/>
      <c r="BG635" s="4"/>
      <c r="BH635" s="4"/>
      <c r="BK635" s="4"/>
    </row>
    <row r="636" spans="38:63" x14ac:dyDescent="0.25">
      <c r="AL636" s="4"/>
      <c r="AO636" s="4"/>
      <c r="AS636" s="4"/>
      <c r="AV636" s="4"/>
      <c r="AW636" s="4"/>
      <c r="AY636" s="4"/>
      <c r="AZ636" s="4"/>
      <c r="BA636" s="4"/>
      <c r="BC636" s="4"/>
      <c r="BD636" s="4"/>
      <c r="BG636" s="4"/>
      <c r="BH636" s="4"/>
      <c r="BK636" s="4"/>
    </row>
    <row r="637" spans="38:63" x14ac:dyDescent="0.25">
      <c r="AL637" s="4"/>
      <c r="AO637" s="4"/>
      <c r="AS637" s="4"/>
      <c r="AV637" s="4"/>
      <c r="AW637" s="4"/>
      <c r="AY637" s="4"/>
      <c r="AZ637" s="4"/>
      <c r="BA637" s="4"/>
      <c r="BC637" s="4"/>
      <c r="BD637" s="4"/>
      <c r="BG637" s="4"/>
      <c r="BH637" s="4"/>
      <c r="BK637" s="4"/>
    </row>
    <row r="638" spans="38:63" x14ac:dyDescent="0.25">
      <c r="AL638" s="4"/>
      <c r="AO638" s="4"/>
      <c r="AS638" s="4"/>
      <c r="AV638" s="4"/>
      <c r="AW638" s="4"/>
      <c r="AY638" s="4"/>
      <c r="AZ638" s="4"/>
      <c r="BA638" s="4"/>
      <c r="BC638" s="4"/>
      <c r="BD638" s="4"/>
      <c r="BG638" s="4"/>
      <c r="BH638" s="4"/>
      <c r="BK638" s="4"/>
    </row>
    <row r="639" spans="38:63" x14ac:dyDescent="0.25">
      <c r="AL639" s="4"/>
      <c r="AO639" s="4"/>
      <c r="AS639" s="4"/>
      <c r="AV639" s="4"/>
      <c r="AW639" s="4"/>
      <c r="AY639" s="4"/>
      <c r="AZ639" s="4"/>
      <c r="BA639" s="4"/>
      <c r="BC639" s="4"/>
      <c r="BD639" s="4"/>
      <c r="BG639" s="4"/>
      <c r="BH639" s="4"/>
      <c r="BK639" s="4"/>
    </row>
    <row r="640" spans="38:63" x14ac:dyDescent="0.25">
      <c r="AL640" s="4"/>
      <c r="AO640" s="4"/>
      <c r="AS640" s="4"/>
      <c r="AV640" s="4"/>
      <c r="AW640" s="4"/>
      <c r="AY640" s="4"/>
      <c r="AZ640" s="4"/>
      <c r="BA640" s="4"/>
      <c r="BC640" s="4"/>
      <c r="BD640" s="4"/>
      <c r="BG640" s="4"/>
      <c r="BH640" s="4"/>
      <c r="BK640" s="4"/>
    </row>
    <row r="641" spans="38:63" x14ac:dyDescent="0.25">
      <c r="AL641" s="4"/>
      <c r="AO641" s="4"/>
      <c r="AS641" s="4"/>
      <c r="AV641" s="4"/>
      <c r="AW641" s="4"/>
      <c r="AY641" s="4"/>
      <c r="AZ641" s="4"/>
      <c r="BA641" s="4"/>
      <c r="BC641" s="4"/>
      <c r="BD641" s="4"/>
      <c r="BG641" s="4"/>
      <c r="BH641" s="4"/>
      <c r="BK641" s="4"/>
    </row>
    <row r="642" spans="38:63" x14ac:dyDescent="0.25">
      <c r="AL642" s="4"/>
      <c r="AO642" s="4"/>
      <c r="AS642" s="4"/>
      <c r="AV642" s="4"/>
      <c r="AW642" s="4"/>
      <c r="AY642" s="4"/>
      <c r="AZ642" s="4"/>
      <c r="BA642" s="4"/>
      <c r="BC642" s="4"/>
      <c r="BD642" s="4"/>
      <c r="BG642" s="4"/>
      <c r="BH642" s="4"/>
      <c r="BK642" s="4"/>
    </row>
    <row r="643" spans="38:63" x14ac:dyDescent="0.25">
      <c r="AL643" s="4"/>
      <c r="AO643" s="4"/>
      <c r="AS643" s="4"/>
      <c r="AV643" s="4"/>
      <c r="AW643" s="4"/>
      <c r="AY643" s="4"/>
      <c r="AZ643" s="4"/>
      <c r="BA643" s="4"/>
      <c r="BC643" s="4"/>
      <c r="BD643" s="4"/>
      <c r="BG643" s="4"/>
      <c r="BH643" s="4"/>
      <c r="BK643" s="4"/>
    </row>
    <row r="644" spans="38:63" x14ac:dyDescent="0.25">
      <c r="AL644" s="4"/>
      <c r="AO644" s="4"/>
      <c r="AS644" s="4"/>
      <c r="AV644" s="4"/>
      <c r="AW644" s="4"/>
      <c r="AY644" s="4"/>
      <c r="AZ644" s="4"/>
      <c r="BA644" s="4"/>
      <c r="BC644" s="4"/>
      <c r="BD644" s="4"/>
      <c r="BG644" s="4"/>
      <c r="BH644" s="4"/>
      <c r="BK644" s="4"/>
    </row>
    <row r="645" spans="38:63" x14ac:dyDescent="0.25">
      <c r="AL645" s="4"/>
      <c r="AO645" s="4"/>
      <c r="AS645" s="4"/>
      <c r="AV645" s="4"/>
      <c r="AW645" s="4"/>
      <c r="AY645" s="4"/>
      <c r="AZ645" s="4"/>
      <c r="BA645" s="4"/>
      <c r="BC645" s="4"/>
      <c r="BD645" s="4"/>
      <c r="BG645" s="4"/>
      <c r="BH645" s="4"/>
      <c r="BK645" s="4"/>
    </row>
    <row r="646" spans="38:63" x14ac:dyDescent="0.25">
      <c r="AL646" s="4"/>
      <c r="AO646" s="4"/>
      <c r="AS646" s="4"/>
      <c r="AV646" s="4"/>
      <c r="AW646" s="4"/>
      <c r="AY646" s="4"/>
      <c r="AZ646" s="4"/>
      <c r="BA646" s="4"/>
      <c r="BC646" s="4"/>
      <c r="BD646" s="4"/>
      <c r="BG646" s="4"/>
      <c r="BH646" s="4"/>
      <c r="BK646" s="4"/>
    </row>
    <row r="647" spans="38:63" x14ac:dyDescent="0.25">
      <c r="AL647" s="4"/>
      <c r="AO647" s="4"/>
      <c r="AS647" s="4"/>
      <c r="AV647" s="4"/>
      <c r="AW647" s="4"/>
      <c r="AY647" s="4"/>
      <c r="AZ647" s="4"/>
      <c r="BA647" s="4"/>
      <c r="BC647" s="4"/>
      <c r="BD647" s="4"/>
      <c r="BG647" s="4"/>
      <c r="BH647" s="4"/>
      <c r="BK647" s="4"/>
    </row>
    <row r="648" spans="38:63" x14ac:dyDescent="0.25">
      <c r="AL648" s="4"/>
      <c r="AO648" s="4"/>
      <c r="AS648" s="4"/>
      <c r="AV648" s="4"/>
      <c r="AW648" s="4"/>
      <c r="AY648" s="4"/>
      <c r="AZ648" s="4"/>
      <c r="BA648" s="4"/>
      <c r="BC648" s="4"/>
      <c r="BD648" s="4"/>
      <c r="BG648" s="4"/>
      <c r="BH648" s="4"/>
      <c r="BK648" s="4"/>
    </row>
    <row r="649" spans="38:63" x14ac:dyDescent="0.25">
      <c r="AL649" s="4"/>
      <c r="AO649" s="4"/>
      <c r="AS649" s="4"/>
      <c r="AV649" s="4"/>
      <c r="AW649" s="4"/>
      <c r="AY649" s="4"/>
      <c r="AZ649" s="4"/>
      <c r="BA649" s="4"/>
      <c r="BC649" s="4"/>
      <c r="BD649" s="4"/>
      <c r="BG649" s="4"/>
      <c r="BH649" s="4"/>
      <c r="BK649" s="4"/>
    </row>
    <row r="650" spans="38:63" x14ac:dyDescent="0.25">
      <c r="AL650" s="4"/>
      <c r="AO650" s="4"/>
      <c r="AS650" s="4"/>
      <c r="AV650" s="4"/>
      <c r="AW650" s="4"/>
      <c r="AY650" s="4"/>
      <c r="AZ650" s="4"/>
      <c r="BA650" s="4"/>
      <c r="BC650" s="4"/>
      <c r="BD650" s="4"/>
      <c r="BG650" s="4"/>
      <c r="BH650" s="4"/>
      <c r="BK650" s="4"/>
    </row>
    <row r="651" spans="38:63" x14ac:dyDescent="0.25">
      <c r="AL651" s="4"/>
      <c r="AO651" s="4"/>
      <c r="AS651" s="4"/>
      <c r="AV651" s="4"/>
      <c r="AW651" s="4"/>
      <c r="AY651" s="4"/>
      <c r="AZ651" s="4"/>
      <c r="BA651" s="4"/>
      <c r="BC651" s="4"/>
      <c r="BD651" s="4"/>
      <c r="BG651" s="4"/>
      <c r="BH651" s="4"/>
      <c r="BK651" s="4"/>
    </row>
    <row r="652" spans="38:63" x14ac:dyDescent="0.25">
      <c r="AL652" s="4"/>
      <c r="AO652" s="4"/>
      <c r="AS652" s="4"/>
      <c r="AV652" s="4"/>
      <c r="AW652" s="4"/>
      <c r="AY652" s="4"/>
      <c r="AZ652" s="4"/>
      <c r="BA652" s="4"/>
      <c r="BC652" s="4"/>
      <c r="BD652" s="4"/>
      <c r="BG652" s="4"/>
      <c r="BH652" s="4"/>
      <c r="BK652" s="4"/>
    </row>
    <row r="653" spans="38:63" x14ac:dyDescent="0.25">
      <c r="AL653" s="4"/>
      <c r="AO653" s="4"/>
      <c r="AS653" s="4"/>
      <c r="AV653" s="4"/>
      <c r="AW653" s="4"/>
      <c r="AY653" s="4"/>
      <c r="AZ653" s="4"/>
      <c r="BA653" s="4"/>
      <c r="BC653" s="4"/>
      <c r="BD653" s="4"/>
      <c r="BG653" s="4"/>
      <c r="BH653" s="4"/>
      <c r="BK653" s="4"/>
    </row>
    <row r="654" spans="38:63" x14ac:dyDescent="0.25">
      <c r="AL654" s="4"/>
      <c r="AO654" s="4"/>
      <c r="AS654" s="4"/>
      <c r="AV654" s="4"/>
      <c r="AW654" s="4"/>
      <c r="AY654" s="4"/>
      <c r="AZ654" s="4"/>
      <c r="BA654" s="4"/>
      <c r="BC654" s="4"/>
      <c r="BD654" s="4"/>
      <c r="BG654" s="4"/>
      <c r="BH654" s="4"/>
      <c r="BK654" s="4"/>
    </row>
    <row r="655" spans="38:63" x14ac:dyDescent="0.25">
      <c r="AL655" s="4"/>
      <c r="AO655" s="4"/>
      <c r="AS655" s="4"/>
      <c r="AV655" s="4"/>
      <c r="AW655" s="4"/>
      <c r="AY655" s="4"/>
      <c r="AZ655" s="4"/>
      <c r="BA655" s="4"/>
      <c r="BC655" s="4"/>
      <c r="BD655" s="4"/>
      <c r="BG655" s="4"/>
      <c r="BH655" s="4"/>
      <c r="BK655" s="4"/>
    </row>
    <row r="656" spans="38:63" x14ac:dyDescent="0.25">
      <c r="AL656" s="4"/>
      <c r="AO656" s="4"/>
      <c r="AS656" s="4"/>
      <c r="AV656" s="4"/>
      <c r="AW656" s="4"/>
      <c r="AY656" s="4"/>
      <c r="AZ656" s="4"/>
      <c r="BA656" s="4"/>
      <c r="BC656" s="4"/>
      <c r="BD656" s="4"/>
      <c r="BG656" s="4"/>
      <c r="BH656" s="4"/>
      <c r="BK656" s="4"/>
    </row>
    <row r="657" spans="38:63" x14ac:dyDescent="0.25">
      <c r="AL657" s="4"/>
      <c r="AO657" s="4"/>
      <c r="AS657" s="4"/>
      <c r="AV657" s="4"/>
      <c r="AW657" s="4"/>
      <c r="AY657" s="4"/>
      <c r="AZ657" s="4"/>
      <c r="BA657" s="4"/>
      <c r="BC657" s="4"/>
      <c r="BD657" s="4"/>
      <c r="BG657" s="4"/>
      <c r="BH657" s="4"/>
      <c r="BK657" s="4"/>
    </row>
    <row r="658" spans="38:63" x14ac:dyDescent="0.25">
      <c r="AL658" s="4"/>
      <c r="AO658" s="4"/>
      <c r="AS658" s="4"/>
      <c r="AV658" s="4"/>
      <c r="AW658" s="4"/>
      <c r="AY658" s="4"/>
      <c r="AZ658" s="4"/>
      <c r="BA658" s="4"/>
      <c r="BC658" s="4"/>
      <c r="BD658" s="4"/>
      <c r="BG658" s="4"/>
      <c r="BH658" s="4"/>
      <c r="BK658" s="4"/>
    </row>
    <row r="659" spans="38:63" x14ac:dyDescent="0.25">
      <c r="AL659" s="4"/>
      <c r="AO659" s="4"/>
      <c r="AS659" s="4"/>
      <c r="AV659" s="4"/>
      <c r="AW659" s="4"/>
      <c r="AY659" s="4"/>
      <c r="AZ659" s="4"/>
      <c r="BA659" s="4"/>
      <c r="BC659" s="4"/>
      <c r="BD659" s="4"/>
      <c r="BG659" s="4"/>
      <c r="BH659" s="4"/>
      <c r="BK659" s="4"/>
    </row>
    <row r="660" spans="38:63" x14ac:dyDescent="0.25">
      <c r="AL660" s="4"/>
      <c r="AO660" s="4"/>
      <c r="AS660" s="4"/>
      <c r="AV660" s="4"/>
      <c r="AW660" s="4"/>
      <c r="AY660" s="4"/>
      <c r="AZ660" s="4"/>
      <c r="BA660" s="4"/>
      <c r="BC660" s="4"/>
      <c r="BD660" s="4"/>
      <c r="BG660" s="4"/>
      <c r="BH660" s="4"/>
      <c r="BK660" s="4"/>
    </row>
    <row r="661" spans="38:63" x14ac:dyDescent="0.25">
      <c r="AL661" s="4"/>
      <c r="AO661" s="4"/>
      <c r="AS661" s="4"/>
      <c r="AV661" s="4"/>
      <c r="AW661" s="4"/>
      <c r="AY661" s="4"/>
      <c r="AZ661" s="4"/>
      <c r="BA661" s="4"/>
      <c r="BC661" s="4"/>
      <c r="BD661" s="4"/>
      <c r="BG661" s="4"/>
      <c r="BH661" s="4"/>
      <c r="BK661" s="4"/>
    </row>
    <row r="662" spans="38:63" x14ac:dyDescent="0.25">
      <c r="AL662" s="4"/>
      <c r="AO662" s="4"/>
      <c r="AS662" s="4"/>
      <c r="AV662" s="4"/>
      <c r="AW662" s="4"/>
      <c r="AY662" s="4"/>
      <c r="AZ662" s="4"/>
      <c r="BA662" s="4"/>
      <c r="BC662" s="4"/>
      <c r="BD662" s="4"/>
      <c r="BG662" s="4"/>
      <c r="BH662" s="4"/>
      <c r="BK662" s="4"/>
    </row>
    <row r="663" spans="38:63" x14ac:dyDescent="0.25">
      <c r="AL663" s="4"/>
      <c r="AO663" s="4"/>
      <c r="AS663" s="4"/>
      <c r="AV663" s="4"/>
      <c r="AW663" s="4"/>
      <c r="AY663" s="4"/>
      <c r="AZ663" s="4"/>
      <c r="BA663" s="4"/>
      <c r="BC663" s="4"/>
      <c r="BD663" s="4"/>
      <c r="BG663" s="4"/>
      <c r="BH663" s="4"/>
      <c r="BK663" s="4"/>
    </row>
    <row r="664" spans="38:63" x14ac:dyDescent="0.25">
      <c r="AL664" s="4"/>
      <c r="AO664" s="4"/>
      <c r="AS664" s="4"/>
      <c r="AV664" s="4"/>
      <c r="AW664" s="4"/>
      <c r="AY664" s="4"/>
      <c r="AZ664" s="4"/>
      <c r="BA664" s="4"/>
      <c r="BC664" s="4"/>
      <c r="BD664" s="4"/>
      <c r="BG664" s="4"/>
      <c r="BH664" s="4"/>
      <c r="BK664" s="4"/>
    </row>
    <row r="665" spans="38:63" x14ac:dyDescent="0.25">
      <c r="AL665" s="4"/>
      <c r="AO665" s="4"/>
      <c r="AS665" s="4"/>
      <c r="AV665" s="4"/>
      <c r="AW665" s="4"/>
      <c r="AY665" s="4"/>
      <c r="AZ665" s="4"/>
      <c r="BA665" s="4"/>
      <c r="BC665" s="4"/>
      <c r="BD665" s="4"/>
      <c r="BG665" s="4"/>
      <c r="BH665" s="4"/>
      <c r="BK665" s="4"/>
    </row>
    <row r="666" spans="38:63" x14ac:dyDescent="0.25">
      <c r="AL666" s="4"/>
      <c r="AO666" s="4"/>
      <c r="AS666" s="4"/>
      <c r="AV666" s="4"/>
      <c r="AW666" s="4"/>
      <c r="AY666" s="4"/>
      <c r="AZ666" s="4"/>
      <c r="BA666" s="4"/>
      <c r="BC666" s="4"/>
      <c r="BD666" s="4"/>
      <c r="BG666" s="4"/>
      <c r="BH666" s="4"/>
      <c r="BK666" s="4"/>
    </row>
    <row r="667" spans="38:63" x14ac:dyDescent="0.25">
      <c r="AL667" s="4"/>
      <c r="AO667" s="4"/>
      <c r="AS667" s="4"/>
      <c r="AV667" s="4"/>
      <c r="AW667" s="4"/>
      <c r="AY667" s="4"/>
      <c r="AZ667" s="4"/>
      <c r="BA667" s="4"/>
      <c r="BC667" s="4"/>
      <c r="BD667" s="4"/>
      <c r="BG667" s="4"/>
      <c r="BH667" s="4"/>
      <c r="BK667" s="4"/>
    </row>
    <row r="668" spans="38:63" x14ac:dyDescent="0.25">
      <c r="AL668" s="4"/>
      <c r="AO668" s="4"/>
      <c r="AS668" s="4"/>
      <c r="AV668" s="4"/>
      <c r="AW668" s="4"/>
      <c r="AY668" s="4"/>
      <c r="AZ668" s="4"/>
      <c r="BA668" s="4"/>
      <c r="BC668" s="4"/>
      <c r="BD668" s="4"/>
      <c r="BG668" s="4"/>
      <c r="BH668" s="4"/>
      <c r="BK668" s="4"/>
    </row>
    <row r="669" spans="38:63" x14ac:dyDescent="0.25">
      <c r="AL669" s="4"/>
      <c r="AO669" s="4"/>
      <c r="AS669" s="4"/>
      <c r="AV669" s="4"/>
      <c r="AW669" s="4"/>
      <c r="AY669" s="4"/>
      <c r="AZ669" s="4"/>
      <c r="BA669" s="4"/>
      <c r="BC669" s="4"/>
      <c r="BD669" s="4"/>
      <c r="BG669" s="4"/>
      <c r="BH669" s="4"/>
      <c r="BK669" s="4"/>
    </row>
    <row r="670" spans="38:63" x14ac:dyDescent="0.25">
      <c r="AL670" s="4"/>
      <c r="AO670" s="4"/>
      <c r="AS670" s="4"/>
      <c r="AV670" s="4"/>
      <c r="AW670" s="4"/>
      <c r="AY670" s="4"/>
      <c r="AZ670" s="4"/>
      <c r="BA670" s="4"/>
      <c r="BC670" s="4"/>
      <c r="BD670" s="4"/>
      <c r="BG670" s="4"/>
      <c r="BH670" s="4"/>
      <c r="BK670" s="4"/>
    </row>
    <row r="671" spans="38:63" x14ac:dyDescent="0.25">
      <c r="AL671" s="4"/>
      <c r="AO671" s="4"/>
      <c r="AS671" s="4"/>
      <c r="AV671" s="4"/>
      <c r="AW671" s="4"/>
      <c r="AY671" s="4"/>
      <c r="AZ671" s="4"/>
      <c r="BA671" s="4"/>
      <c r="BC671" s="4"/>
      <c r="BD671" s="4"/>
      <c r="BG671" s="4"/>
      <c r="BH671" s="4"/>
      <c r="BK671" s="4"/>
    </row>
    <row r="672" spans="38:63" x14ac:dyDescent="0.25">
      <c r="AL672" s="4"/>
      <c r="AO672" s="4"/>
      <c r="AS672" s="4"/>
      <c r="AV672" s="4"/>
      <c r="AW672" s="4"/>
      <c r="AY672" s="4"/>
      <c r="AZ672" s="4"/>
      <c r="BA672" s="4"/>
      <c r="BC672" s="4"/>
      <c r="BD672" s="4"/>
      <c r="BG672" s="4"/>
      <c r="BH672" s="4"/>
      <c r="BK672" s="4"/>
    </row>
    <row r="673" spans="38:63" x14ac:dyDescent="0.25">
      <c r="AL673" s="4"/>
      <c r="AO673" s="4"/>
      <c r="AS673" s="4"/>
      <c r="AV673" s="4"/>
      <c r="AW673" s="4"/>
      <c r="AY673" s="4"/>
      <c r="AZ673" s="4"/>
      <c r="BA673" s="4"/>
      <c r="BC673" s="4"/>
      <c r="BD673" s="4"/>
      <c r="BG673" s="4"/>
      <c r="BH673" s="4"/>
      <c r="BK673" s="4"/>
    </row>
    <row r="674" spans="38:63" x14ac:dyDescent="0.25">
      <c r="AL674" s="4"/>
      <c r="AO674" s="4"/>
      <c r="AS674" s="4"/>
      <c r="AV674" s="4"/>
      <c r="AW674" s="4"/>
      <c r="AY674" s="4"/>
      <c r="AZ674" s="4"/>
      <c r="BA674" s="4"/>
      <c r="BC674" s="4"/>
      <c r="BD674" s="4"/>
      <c r="BG674" s="4"/>
      <c r="BH674" s="4"/>
      <c r="BK674" s="4"/>
    </row>
    <row r="675" spans="38:63" x14ac:dyDescent="0.25">
      <c r="AL675" s="4"/>
      <c r="AO675" s="4"/>
      <c r="AS675" s="4"/>
      <c r="AV675" s="4"/>
      <c r="AW675" s="4"/>
      <c r="AY675" s="4"/>
      <c r="AZ675" s="4"/>
      <c r="BA675" s="4"/>
      <c r="BC675" s="4"/>
      <c r="BD675" s="4"/>
      <c r="BG675" s="4"/>
      <c r="BH675" s="4"/>
      <c r="BK675" s="4"/>
    </row>
    <row r="676" spans="38:63" x14ac:dyDescent="0.25">
      <c r="AL676" s="4"/>
      <c r="AO676" s="4"/>
      <c r="AS676" s="4"/>
      <c r="AV676" s="4"/>
      <c r="AW676" s="4"/>
      <c r="AY676" s="4"/>
      <c r="AZ676" s="4"/>
      <c r="BA676" s="4"/>
      <c r="BC676" s="4"/>
      <c r="BD676" s="4"/>
      <c r="BG676" s="4"/>
      <c r="BH676" s="4"/>
      <c r="BK676" s="4"/>
    </row>
    <row r="677" spans="38:63" x14ac:dyDescent="0.25">
      <c r="AL677" s="4"/>
      <c r="AO677" s="4"/>
      <c r="AS677" s="4"/>
      <c r="AV677" s="4"/>
      <c r="AW677" s="4"/>
      <c r="AY677" s="4"/>
      <c r="AZ677" s="4"/>
      <c r="BA677" s="4"/>
      <c r="BC677" s="4"/>
      <c r="BD677" s="4"/>
      <c r="BG677" s="4"/>
      <c r="BH677" s="4"/>
      <c r="BK677" s="4"/>
    </row>
    <row r="678" spans="38:63" x14ac:dyDescent="0.25">
      <c r="AL678" s="4"/>
      <c r="AO678" s="4"/>
      <c r="AS678" s="4"/>
      <c r="AV678" s="4"/>
      <c r="AW678" s="4"/>
      <c r="AY678" s="4"/>
      <c r="AZ678" s="4"/>
      <c r="BA678" s="4"/>
      <c r="BC678" s="4"/>
      <c r="BD678" s="4"/>
      <c r="BG678" s="4"/>
      <c r="BH678" s="4"/>
      <c r="BK678" s="4"/>
    </row>
    <row r="679" spans="38:63" x14ac:dyDescent="0.25">
      <c r="AL679" s="4"/>
      <c r="AO679" s="4"/>
      <c r="AS679" s="4"/>
      <c r="AV679" s="4"/>
      <c r="AW679" s="4"/>
      <c r="AY679" s="4"/>
      <c r="AZ679" s="4"/>
      <c r="BA679" s="4"/>
      <c r="BC679" s="4"/>
      <c r="BD679" s="4"/>
      <c r="BG679" s="4"/>
      <c r="BH679" s="4"/>
      <c r="BK679" s="4"/>
    </row>
    <row r="680" spans="38:63" x14ac:dyDescent="0.25">
      <c r="AL680" s="4"/>
      <c r="AO680" s="4"/>
      <c r="AS680" s="4"/>
      <c r="AV680" s="4"/>
      <c r="AW680" s="4"/>
      <c r="AY680" s="4"/>
      <c r="AZ680" s="4"/>
      <c r="BA680" s="4"/>
      <c r="BC680" s="4"/>
      <c r="BD680" s="4"/>
      <c r="BG680" s="4"/>
      <c r="BH680" s="4"/>
      <c r="BK680" s="4"/>
    </row>
    <row r="681" spans="38:63" x14ac:dyDescent="0.25">
      <c r="AL681" s="4"/>
      <c r="AO681" s="4"/>
      <c r="AS681" s="4"/>
      <c r="AV681" s="4"/>
      <c r="AW681" s="4"/>
      <c r="AY681" s="4"/>
      <c r="AZ681" s="4"/>
      <c r="BA681" s="4"/>
      <c r="BC681" s="4"/>
      <c r="BD681" s="4"/>
      <c r="BG681" s="4"/>
      <c r="BH681" s="4"/>
      <c r="BK681" s="4"/>
    </row>
    <row r="682" spans="38:63" x14ac:dyDescent="0.25">
      <c r="AL682" s="4"/>
      <c r="AO682" s="4"/>
      <c r="AS682" s="4"/>
      <c r="AV682" s="4"/>
      <c r="AW682" s="4"/>
      <c r="AY682" s="4"/>
      <c r="AZ682" s="4"/>
      <c r="BA682" s="4"/>
      <c r="BC682" s="4"/>
      <c r="BD682" s="4"/>
      <c r="BG682" s="4"/>
      <c r="BH682" s="4"/>
      <c r="BK682" s="4"/>
    </row>
    <row r="683" spans="38:63" x14ac:dyDescent="0.25">
      <c r="AL683" s="4"/>
      <c r="AO683" s="4"/>
      <c r="AS683" s="4"/>
      <c r="AV683" s="4"/>
      <c r="AW683" s="4"/>
      <c r="AY683" s="4"/>
      <c r="AZ683" s="4"/>
      <c r="BA683" s="4"/>
      <c r="BC683" s="4"/>
      <c r="BD683" s="4"/>
      <c r="BG683" s="4"/>
      <c r="BH683" s="4"/>
      <c r="BK683" s="4"/>
    </row>
    <row r="684" spans="38:63" x14ac:dyDescent="0.25">
      <c r="AL684" s="4"/>
      <c r="AO684" s="4"/>
      <c r="AS684" s="4"/>
      <c r="AV684" s="4"/>
      <c r="AW684" s="4"/>
      <c r="AY684" s="4"/>
      <c r="AZ684" s="4"/>
      <c r="BA684" s="4"/>
      <c r="BC684" s="4"/>
      <c r="BD684" s="4"/>
      <c r="BG684" s="4"/>
      <c r="BH684" s="4"/>
      <c r="BK684" s="4"/>
    </row>
    <row r="685" spans="38:63" x14ac:dyDescent="0.25">
      <c r="AL685" s="4"/>
      <c r="AO685" s="4"/>
      <c r="AS685" s="4"/>
      <c r="AV685" s="4"/>
      <c r="AW685" s="4"/>
      <c r="AY685" s="4"/>
      <c r="AZ685" s="4"/>
      <c r="BA685" s="4"/>
      <c r="BC685" s="4"/>
      <c r="BD685" s="4"/>
      <c r="BG685" s="4"/>
      <c r="BH685" s="4"/>
      <c r="BK685" s="4"/>
    </row>
    <row r="686" spans="38:63" x14ac:dyDescent="0.25">
      <c r="AL686" s="4"/>
      <c r="AO686" s="4"/>
      <c r="AS686" s="4"/>
      <c r="AV686" s="4"/>
      <c r="AW686" s="4"/>
      <c r="AY686" s="4"/>
      <c r="AZ686" s="4"/>
      <c r="BA686" s="4"/>
      <c r="BC686" s="4"/>
      <c r="BD686" s="4"/>
      <c r="BG686" s="4"/>
      <c r="BH686" s="4"/>
      <c r="BK686" s="4"/>
    </row>
    <row r="687" spans="38:63" x14ac:dyDescent="0.25">
      <c r="AL687" s="4"/>
      <c r="AO687" s="4"/>
      <c r="AS687" s="4"/>
      <c r="AV687" s="4"/>
      <c r="AW687" s="4"/>
      <c r="AY687" s="4"/>
      <c r="AZ687" s="4"/>
      <c r="BA687" s="4"/>
      <c r="BC687" s="4"/>
      <c r="BD687" s="4"/>
      <c r="BG687" s="4"/>
      <c r="BH687" s="4"/>
      <c r="BK687" s="4"/>
    </row>
    <row r="688" spans="38:63" x14ac:dyDescent="0.25">
      <c r="AL688" s="4"/>
      <c r="AO688" s="4"/>
      <c r="AS688" s="4"/>
      <c r="AV688" s="4"/>
      <c r="AW688" s="4"/>
      <c r="AY688" s="4"/>
      <c r="AZ688" s="4"/>
      <c r="BA688" s="4"/>
      <c r="BC688" s="4"/>
      <c r="BD688" s="4"/>
      <c r="BG688" s="4"/>
      <c r="BH688" s="4"/>
      <c r="BK688" s="4"/>
    </row>
    <row r="689" spans="38:63" x14ac:dyDescent="0.25">
      <c r="AL689" s="4"/>
      <c r="AO689" s="4"/>
      <c r="AS689" s="4"/>
      <c r="AV689" s="4"/>
      <c r="AW689" s="4"/>
      <c r="AY689" s="4"/>
      <c r="AZ689" s="4"/>
      <c r="BA689" s="4"/>
      <c r="BC689" s="4"/>
      <c r="BD689" s="4"/>
      <c r="BG689" s="4"/>
      <c r="BH689" s="4"/>
      <c r="BK689" s="4"/>
    </row>
    <row r="690" spans="38:63" x14ac:dyDescent="0.25">
      <c r="AL690" s="4"/>
      <c r="AO690" s="4"/>
      <c r="AS690" s="4"/>
      <c r="AV690" s="4"/>
      <c r="AW690" s="4"/>
      <c r="AY690" s="4"/>
      <c r="AZ690" s="4"/>
      <c r="BA690" s="4"/>
      <c r="BC690" s="4"/>
      <c r="BD690" s="4"/>
      <c r="BG690" s="4"/>
      <c r="BH690" s="4"/>
      <c r="BK690" s="4"/>
    </row>
    <row r="691" spans="38:63" x14ac:dyDescent="0.25">
      <c r="AL691" s="4"/>
      <c r="AO691" s="4"/>
      <c r="AS691" s="4"/>
      <c r="AV691" s="4"/>
      <c r="AW691" s="4"/>
      <c r="AY691" s="4"/>
      <c r="AZ691" s="4"/>
      <c r="BA691" s="4"/>
      <c r="BC691" s="4"/>
      <c r="BD691" s="4"/>
      <c r="BG691" s="4"/>
      <c r="BH691" s="4"/>
      <c r="BK691" s="4"/>
    </row>
    <row r="692" spans="38:63" x14ac:dyDescent="0.25">
      <c r="AL692" s="4"/>
      <c r="AO692" s="4"/>
      <c r="AS692" s="4"/>
      <c r="AV692" s="4"/>
      <c r="AW692" s="4"/>
      <c r="AY692" s="4"/>
      <c r="AZ692" s="4"/>
      <c r="BA692" s="4"/>
      <c r="BC692" s="4"/>
      <c r="BD692" s="4"/>
      <c r="BG692" s="4"/>
      <c r="BH692" s="4"/>
      <c r="BK692" s="4"/>
    </row>
    <row r="693" spans="38:63" x14ac:dyDescent="0.25">
      <c r="AL693" s="4"/>
      <c r="AO693" s="4"/>
      <c r="AS693" s="4"/>
      <c r="AV693" s="4"/>
      <c r="AW693" s="4"/>
      <c r="AY693" s="4"/>
      <c r="AZ693" s="4"/>
      <c r="BA693" s="4"/>
      <c r="BC693" s="4"/>
      <c r="BD693" s="4"/>
      <c r="BG693" s="4"/>
      <c r="BH693" s="4"/>
      <c r="BK693" s="4"/>
    </row>
    <row r="694" spans="38:63" x14ac:dyDescent="0.25">
      <c r="AL694" s="4"/>
      <c r="AO694" s="4"/>
      <c r="AS694" s="4"/>
      <c r="AV694" s="4"/>
      <c r="AW694" s="4"/>
      <c r="AY694" s="4"/>
      <c r="AZ694" s="4"/>
      <c r="BA694" s="4"/>
      <c r="BC694" s="4"/>
      <c r="BD694" s="4"/>
      <c r="BG694" s="4"/>
      <c r="BH694" s="4"/>
      <c r="BK694" s="4"/>
    </row>
    <row r="695" spans="38:63" x14ac:dyDescent="0.25">
      <c r="AL695" s="4"/>
      <c r="AO695" s="4"/>
      <c r="AS695" s="4"/>
      <c r="AV695" s="4"/>
      <c r="AW695" s="4"/>
      <c r="AY695" s="4"/>
      <c r="AZ695" s="4"/>
      <c r="BA695" s="4"/>
      <c r="BC695" s="4"/>
      <c r="BD695" s="4"/>
      <c r="BG695" s="4"/>
      <c r="BH695" s="4"/>
      <c r="BK695" s="4"/>
    </row>
    <row r="696" spans="38:63" x14ac:dyDescent="0.25">
      <c r="AL696" s="4"/>
      <c r="AO696" s="4"/>
      <c r="AS696" s="4"/>
      <c r="AV696" s="4"/>
      <c r="AW696" s="4"/>
      <c r="AY696" s="4"/>
      <c r="AZ696" s="4"/>
      <c r="BA696" s="4"/>
      <c r="BC696" s="4"/>
      <c r="BD696" s="4"/>
      <c r="BG696" s="4"/>
      <c r="BH696" s="4"/>
      <c r="BK696" s="4"/>
    </row>
    <row r="697" spans="38:63" x14ac:dyDescent="0.25">
      <c r="AL697" s="4"/>
      <c r="AO697" s="4"/>
      <c r="AS697" s="4"/>
      <c r="AV697" s="4"/>
      <c r="AW697" s="4"/>
      <c r="AY697" s="4"/>
      <c r="AZ697" s="4"/>
      <c r="BA697" s="4"/>
      <c r="BC697" s="4"/>
      <c r="BD697" s="4"/>
      <c r="BG697" s="4"/>
      <c r="BH697" s="4"/>
      <c r="BK697" s="4"/>
    </row>
    <row r="698" spans="38:63" x14ac:dyDescent="0.25">
      <c r="AL698" s="4"/>
      <c r="AO698" s="4"/>
      <c r="AS698" s="4"/>
      <c r="AV698" s="4"/>
      <c r="AW698" s="4"/>
      <c r="AY698" s="4"/>
      <c r="AZ698" s="4"/>
      <c r="BA698" s="4"/>
      <c r="BC698" s="4"/>
      <c r="BD698" s="4"/>
      <c r="BG698" s="4"/>
      <c r="BH698" s="4"/>
      <c r="BK698" s="4"/>
    </row>
    <row r="699" spans="38:63" x14ac:dyDescent="0.25">
      <c r="AL699" s="4"/>
      <c r="AO699" s="4"/>
      <c r="AS699" s="4"/>
      <c r="AV699" s="4"/>
      <c r="AW699" s="4"/>
      <c r="AY699" s="4"/>
      <c r="AZ699" s="4"/>
      <c r="BA699" s="4"/>
      <c r="BC699" s="4"/>
      <c r="BD699" s="4"/>
      <c r="BG699" s="4"/>
      <c r="BH699" s="4"/>
      <c r="BK699" s="4"/>
    </row>
    <row r="700" spans="38:63" x14ac:dyDescent="0.25">
      <c r="AL700" s="4"/>
      <c r="AO700" s="4"/>
      <c r="AS700" s="4"/>
      <c r="AV700" s="4"/>
      <c r="AW700" s="4"/>
      <c r="AY700" s="4"/>
      <c r="AZ700" s="4"/>
      <c r="BA700" s="4"/>
      <c r="BC700" s="4"/>
      <c r="BD700" s="4"/>
      <c r="BG700" s="4"/>
      <c r="BH700" s="4"/>
      <c r="BK700" s="4"/>
    </row>
    <row r="701" spans="38:63" x14ac:dyDescent="0.25">
      <c r="AL701" s="4"/>
      <c r="AO701" s="4"/>
      <c r="AS701" s="4"/>
      <c r="AV701" s="4"/>
      <c r="AW701" s="4"/>
      <c r="AY701" s="4"/>
      <c r="AZ701" s="4"/>
      <c r="BA701" s="4"/>
      <c r="BC701" s="4"/>
      <c r="BD701" s="4"/>
      <c r="BG701" s="4"/>
      <c r="BH701" s="4"/>
      <c r="BK701" s="4"/>
    </row>
    <row r="702" spans="38:63" x14ac:dyDescent="0.25">
      <c r="AL702" s="4"/>
      <c r="AO702" s="4"/>
      <c r="AS702" s="4"/>
      <c r="AV702" s="4"/>
      <c r="AW702" s="4"/>
      <c r="AY702" s="4"/>
      <c r="AZ702" s="4"/>
      <c r="BA702" s="4"/>
      <c r="BC702" s="4"/>
      <c r="BD702" s="4"/>
      <c r="BG702" s="4"/>
      <c r="BH702" s="4"/>
      <c r="BK702" s="4"/>
    </row>
    <row r="703" spans="38:63" x14ac:dyDescent="0.25">
      <c r="AL703" s="4"/>
      <c r="AO703" s="4"/>
      <c r="AS703" s="4"/>
      <c r="AV703" s="4"/>
      <c r="AW703" s="4"/>
      <c r="AY703" s="4"/>
      <c r="AZ703" s="4"/>
      <c r="BA703" s="4"/>
      <c r="BC703" s="4"/>
      <c r="BD703" s="4"/>
      <c r="BG703" s="4"/>
      <c r="BH703" s="4"/>
      <c r="BK703" s="4"/>
    </row>
    <row r="704" spans="38:63" x14ac:dyDescent="0.25">
      <c r="AL704" s="4"/>
      <c r="AO704" s="4"/>
      <c r="AS704" s="4"/>
      <c r="AV704" s="4"/>
      <c r="AW704" s="4"/>
      <c r="AY704" s="4"/>
      <c r="AZ704" s="4"/>
      <c r="BA704" s="4"/>
      <c r="BC704" s="4"/>
      <c r="BD704" s="4"/>
      <c r="BG704" s="4"/>
      <c r="BH704" s="4"/>
      <c r="BK704" s="4"/>
    </row>
    <row r="705" spans="38:63" x14ac:dyDescent="0.25">
      <c r="AL705" s="4"/>
      <c r="AO705" s="4"/>
      <c r="AS705" s="4"/>
      <c r="AV705" s="4"/>
      <c r="AW705" s="4"/>
      <c r="AY705" s="4"/>
      <c r="AZ705" s="4"/>
      <c r="BA705" s="4"/>
      <c r="BC705" s="4"/>
      <c r="BD705" s="4"/>
      <c r="BG705" s="4"/>
      <c r="BH705" s="4"/>
      <c r="BK705" s="4"/>
    </row>
    <row r="706" spans="38:63" x14ac:dyDescent="0.25">
      <c r="AL706" s="4"/>
      <c r="AO706" s="4"/>
      <c r="AS706" s="4"/>
      <c r="AV706" s="4"/>
      <c r="AW706" s="4"/>
      <c r="AY706" s="4"/>
      <c r="AZ706" s="4"/>
      <c r="BA706" s="4"/>
      <c r="BC706" s="4"/>
      <c r="BD706" s="4"/>
      <c r="BG706" s="4"/>
      <c r="BH706" s="4"/>
      <c r="BK706" s="4"/>
    </row>
    <row r="707" spans="38:63" x14ac:dyDescent="0.25">
      <c r="AL707" s="4"/>
      <c r="AO707" s="4"/>
      <c r="AS707" s="4"/>
      <c r="AV707" s="4"/>
      <c r="AW707" s="4"/>
      <c r="AY707" s="4"/>
      <c r="AZ707" s="4"/>
      <c r="BA707" s="4"/>
      <c r="BC707" s="4"/>
      <c r="BD707" s="4"/>
      <c r="BG707" s="4"/>
      <c r="BH707" s="4"/>
      <c r="BK707" s="4"/>
    </row>
    <row r="708" spans="38:63" x14ac:dyDescent="0.25">
      <c r="AL708" s="4"/>
      <c r="AO708" s="4"/>
      <c r="AS708" s="4"/>
      <c r="AV708" s="4"/>
      <c r="AW708" s="4"/>
      <c r="AY708" s="4"/>
      <c r="AZ708" s="4"/>
      <c r="BA708" s="4"/>
      <c r="BC708" s="4"/>
      <c r="BD708" s="4"/>
      <c r="BG708" s="4"/>
      <c r="BH708" s="4"/>
      <c r="BK708" s="4"/>
    </row>
    <row r="709" spans="38:63" x14ac:dyDescent="0.25">
      <c r="AL709" s="4"/>
      <c r="AO709" s="4"/>
      <c r="AS709" s="4"/>
      <c r="AV709" s="4"/>
      <c r="AW709" s="4"/>
      <c r="AY709" s="4"/>
      <c r="AZ709" s="4"/>
      <c r="BA709" s="4"/>
      <c r="BC709" s="4"/>
      <c r="BD709" s="4"/>
      <c r="BG709" s="4"/>
      <c r="BH709" s="4"/>
      <c r="BK709" s="4"/>
    </row>
    <row r="710" spans="38:63" x14ac:dyDescent="0.25">
      <c r="AL710" s="4"/>
      <c r="AO710" s="4"/>
      <c r="AS710" s="4"/>
      <c r="AV710" s="4"/>
      <c r="AW710" s="4"/>
      <c r="AY710" s="4"/>
      <c r="AZ710" s="4"/>
      <c r="BA710" s="4"/>
      <c r="BC710" s="4"/>
      <c r="BD710" s="4"/>
      <c r="BG710" s="4"/>
      <c r="BH710" s="4"/>
      <c r="BK710" s="4"/>
    </row>
    <row r="711" spans="38:63" x14ac:dyDescent="0.25">
      <c r="AL711" s="4"/>
      <c r="AO711" s="4"/>
      <c r="AS711" s="4"/>
      <c r="AV711" s="4"/>
      <c r="AW711" s="4"/>
      <c r="AY711" s="4"/>
      <c r="AZ711" s="4"/>
      <c r="BA711" s="4"/>
      <c r="BC711" s="4"/>
      <c r="BD711" s="4"/>
      <c r="BG711" s="4"/>
      <c r="BH711" s="4"/>
      <c r="BK711" s="4"/>
    </row>
    <row r="712" spans="38:63" x14ac:dyDescent="0.25">
      <c r="AL712" s="4"/>
      <c r="AO712" s="4"/>
      <c r="AS712" s="4"/>
      <c r="AV712" s="4"/>
      <c r="AW712" s="4"/>
      <c r="AY712" s="4"/>
      <c r="AZ712" s="4"/>
      <c r="BA712" s="4"/>
      <c r="BC712" s="4"/>
      <c r="BD712" s="4"/>
      <c r="BG712" s="4"/>
      <c r="BH712" s="4"/>
      <c r="BK712" s="4"/>
    </row>
    <row r="713" spans="38:63" x14ac:dyDescent="0.25">
      <c r="AL713" s="4"/>
      <c r="AO713" s="4"/>
      <c r="AS713" s="4"/>
      <c r="AV713" s="4"/>
      <c r="AW713" s="4"/>
      <c r="AY713" s="4"/>
      <c r="AZ713" s="4"/>
      <c r="BA713" s="4"/>
      <c r="BC713" s="4"/>
      <c r="BD713" s="4"/>
      <c r="BG713" s="4"/>
      <c r="BH713" s="4"/>
      <c r="BK713" s="4"/>
    </row>
    <row r="714" spans="38:63" x14ac:dyDescent="0.25">
      <c r="AL714" s="4"/>
      <c r="AO714" s="4"/>
      <c r="AS714" s="4"/>
      <c r="AV714" s="4"/>
      <c r="AW714" s="4"/>
      <c r="AY714" s="4"/>
      <c r="AZ714" s="4"/>
      <c r="BA714" s="4"/>
      <c r="BC714" s="4"/>
      <c r="BD714" s="4"/>
      <c r="BG714" s="4"/>
      <c r="BH714" s="4"/>
      <c r="BK714" s="4"/>
    </row>
    <row r="715" spans="38:63" x14ac:dyDescent="0.25">
      <c r="AL715" s="4"/>
      <c r="AO715" s="4"/>
      <c r="AS715" s="4"/>
      <c r="AV715" s="4"/>
      <c r="AW715" s="4"/>
      <c r="AY715" s="4"/>
      <c r="AZ715" s="4"/>
      <c r="BA715" s="4"/>
      <c r="BC715" s="4"/>
      <c r="BD715" s="4"/>
      <c r="BG715" s="4"/>
      <c r="BH715" s="4"/>
      <c r="BK715" s="4"/>
    </row>
    <row r="716" spans="38:63" x14ac:dyDescent="0.25">
      <c r="AL716" s="4"/>
      <c r="AO716" s="4"/>
      <c r="AS716" s="4"/>
      <c r="AV716" s="4"/>
      <c r="AW716" s="4"/>
      <c r="AY716" s="4"/>
      <c r="AZ716" s="4"/>
      <c r="BA716" s="4"/>
      <c r="BC716" s="4"/>
      <c r="BD716" s="4"/>
      <c r="BG716" s="4"/>
      <c r="BH716" s="4"/>
      <c r="BK716" s="4"/>
    </row>
    <row r="717" spans="38:63" x14ac:dyDescent="0.25">
      <c r="AL717" s="4"/>
      <c r="AO717" s="4"/>
      <c r="AS717" s="4"/>
      <c r="AV717" s="4"/>
      <c r="AW717" s="4"/>
      <c r="AY717" s="4"/>
      <c r="AZ717" s="4"/>
      <c r="BA717" s="4"/>
      <c r="BC717" s="4"/>
      <c r="BD717" s="4"/>
      <c r="BG717" s="4"/>
      <c r="BH717" s="4"/>
      <c r="BK717" s="4"/>
    </row>
    <row r="718" spans="38:63" x14ac:dyDescent="0.25">
      <c r="AL718" s="4"/>
      <c r="AO718" s="4"/>
      <c r="AS718" s="4"/>
      <c r="AV718" s="4"/>
      <c r="AW718" s="4"/>
      <c r="AY718" s="4"/>
      <c r="AZ718" s="4"/>
      <c r="BA718" s="4"/>
      <c r="BC718" s="4"/>
      <c r="BD718" s="4"/>
      <c r="BG718" s="4"/>
      <c r="BH718" s="4"/>
      <c r="BK718" s="4"/>
    </row>
    <row r="719" spans="38:63" x14ac:dyDescent="0.25">
      <c r="AL719" s="4"/>
      <c r="AO719" s="4"/>
      <c r="AS719" s="4"/>
      <c r="AV719" s="4"/>
      <c r="AW719" s="4"/>
      <c r="AY719" s="4"/>
      <c r="AZ719" s="4"/>
      <c r="BA719" s="4"/>
      <c r="BC719" s="4"/>
      <c r="BD719" s="4"/>
      <c r="BG719" s="4"/>
      <c r="BH719" s="4"/>
      <c r="BK719" s="4"/>
    </row>
    <row r="720" spans="38:63" x14ac:dyDescent="0.25">
      <c r="AL720" s="4"/>
      <c r="AO720" s="4"/>
      <c r="AS720" s="4"/>
      <c r="AV720" s="4"/>
      <c r="AW720" s="4"/>
      <c r="AY720" s="4"/>
      <c r="AZ720" s="4"/>
      <c r="BA720" s="4"/>
      <c r="BC720" s="4"/>
      <c r="BD720" s="4"/>
      <c r="BG720" s="4"/>
      <c r="BH720" s="4"/>
      <c r="BK720" s="4"/>
    </row>
    <row r="721" spans="38:63" x14ac:dyDescent="0.25">
      <c r="AL721" s="4"/>
      <c r="AO721" s="4"/>
      <c r="AS721" s="4"/>
      <c r="AV721" s="4"/>
      <c r="AW721" s="4"/>
      <c r="AY721" s="4"/>
      <c r="AZ721" s="4"/>
      <c r="BA721" s="4"/>
      <c r="BC721" s="4"/>
      <c r="BD721" s="4"/>
      <c r="BG721" s="4"/>
      <c r="BH721" s="4"/>
      <c r="BK721" s="4"/>
    </row>
    <row r="722" spans="38:63" x14ac:dyDescent="0.25">
      <c r="AL722" s="4"/>
      <c r="AO722" s="4"/>
      <c r="AS722" s="4"/>
      <c r="AV722" s="4"/>
      <c r="AW722" s="4"/>
      <c r="AY722" s="4"/>
      <c r="AZ722" s="4"/>
      <c r="BA722" s="4"/>
      <c r="BC722" s="4"/>
      <c r="BD722" s="4"/>
      <c r="BG722" s="4"/>
      <c r="BH722" s="4"/>
      <c r="BK722" s="4"/>
    </row>
    <row r="723" spans="38:63" x14ac:dyDescent="0.25">
      <c r="AL723" s="4"/>
      <c r="AO723" s="4"/>
      <c r="AS723" s="4"/>
      <c r="AV723" s="4"/>
      <c r="AW723" s="4"/>
      <c r="AY723" s="4"/>
      <c r="AZ723" s="4"/>
      <c r="BA723" s="4"/>
      <c r="BC723" s="4"/>
      <c r="BD723" s="4"/>
      <c r="BG723" s="4"/>
      <c r="BH723" s="4"/>
      <c r="BK723" s="4"/>
    </row>
    <row r="724" spans="38:63" x14ac:dyDescent="0.25">
      <c r="AL724" s="4"/>
      <c r="AO724" s="4"/>
      <c r="AS724" s="4"/>
      <c r="AV724" s="4"/>
      <c r="AW724" s="4"/>
      <c r="AY724" s="4"/>
      <c r="AZ724" s="4"/>
      <c r="BA724" s="4"/>
      <c r="BC724" s="4"/>
      <c r="BD724" s="4"/>
      <c r="BG724" s="4"/>
      <c r="BH724" s="4"/>
      <c r="BK724" s="4"/>
    </row>
    <row r="725" spans="38:63" x14ac:dyDescent="0.25">
      <c r="AL725" s="4"/>
      <c r="AO725" s="4"/>
      <c r="AS725" s="4"/>
      <c r="AV725" s="4"/>
      <c r="AW725" s="4"/>
      <c r="AY725" s="4"/>
      <c r="AZ725" s="4"/>
      <c r="BA725" s="4"/>
      <c r="BC725" s="4"/>
      <c r="BD725" s="4"/>
      <c r="BG725" s="4"/>
      <c r="BH725" s="4"/>
      <c r="BK725" s="4"/>
    </row>
    <row r="726" spans="38:63" x14ac:dyDescent="0.25">
      <c r="AL726" s="4"/>
      <c r="AO726" s="4"/>
      <c r="AS726" s="4"/>
      <c r="AV726" s="4"/>
      <c r="AW726" s="4"/>
      <c r="AY726" s="4"/>
      <c r="AZ726" s="4"/>
      <c r="BA726" s="4"/>
      <c r="BC726" s="4"/>
      <c r="BD726" s="4"/>
      <c r="BG726" s="4"/>
      <c r="BH726" s="4"/>
      <c r="BK726" s="4"/>
    </row>
    <row r="727" spans="38:63" x14ac:dyDescent="0.25">
      <c r="AL727" s="4"/>
      <c r="AO727" s="4"/>
      <c r="AS727" s="4"/>
      <c r="AV727" s="4"/>
      <c r="AW727" s="4"/>
      <c r="AY727" s="4"/>
      <c r="AZ727" s="4"/>
      <c r="BA727" s="4"/>
      <c r="BC727" s="4"/>
      <c r="BD727" s="4"/>
      <c r="BG727" s="4"/>
      <c r="BH727" s="4"/>
      <c r="BK727" s="4"/>
    </row>
    <row r="728" spans="38:63" x14ac:dyDescent="0.25">
      <c r="AL728" s="4"/>
      <c r="AO728" s="4"/>
      <c r="AS728" s="4"/>
      <c r="AV728" s="4"/>
      <c r="AW728" s="4"/>
      <c r="AY728" s="4"/>
      <c r="AZ728" s="4"/>
      <c r="BA728" s="4"/>
      <c r="BC728" s="4"/>
      <c r="BD728" s="4"/>
      <c r="BG728" s="4"/>
      <c r="BH728" s="4"/>
      <c r="BK728" s="4"/>
    </row>
    <row r="729" spans="38:63" x14ac:dyDescent="0.25">
      <c r="AL729" s="4"/>
      <c r="AO729" s="4"/>
      <c r="AS729" s="4"/>
      <c r="AV729" s="4"/>
      <c r="AW729" s="4"/>
      <c r="AY729" s="4"/>
      <c r="AZ729" s="4"/>
      <c r="BA729" s="4"/>
      <c r="BC729" s="4"/>
      <c r="BD729" s="4"/>
      <c r="BG729" s="4"/>
      <c r="BH729" s="4"/>
      <c r="BK729" s="4"/>
    </row>
    <row r="730" spans="38:63" x14ac:dyDescent="0.25">
      <c r="AL730" s="4"/>
      <c r="AO730" s="4"/>
      <c r="AS730" s="4"/>
      <c r="AV730" s="4"/>
      <c r="AW730" s="4"/>
      <c r="AY730" s="4"/>
      <c r="AZ730" s="4"/>
      <c r="BA730" s="4"/>
      <c r="BC730" s="4"/>
      <c r="BD730" s="4"/>
      <c r="BG730" s="4"/>
      <c r="BH730" s="4"/>
      <c r="BK730" s="4"/>
    </row>
    <row r="731" spans="38:63" x14ac:dyDescent="0.25">
      <c r="AL731" s="4"/>
      <c r="AO731" s="4"/>
      <c r="AS731" s="4"/>
      <c r="AV731" s="4"/>
      <c r="AW731" s="4"/>
      <c r="AY731" s="4"/>
      <c r="AZ731" s="4"/>
      <c r="BA731" s="4"/>
      <c r="BC731" s="4"/>
      <c r="BD731" s="4"/>
      <c r="BG731" s="4"/>
      <c r="BH731" s="4"/>
      <c r="BK731" s="4"/>
    </row>
    <row r="732" spans="38:63" x14ac:dyDescent="0.25">
      <c r="AL732" s="4"/>
      <c r="AO732" s="4"/>
      <c r="AS732" s="4"/>
      <c r="AV732" s="4"/>
      <c r="AW732" s="4"/>
      <c r="AY732" s="4"/>
      <c r="AZ732" s="4"/>
      <c r="BA732" s="4"/>
      <c r="BC732" s="4"/>
      <c r="BD732" s="4"/>
      <c r="BG732" s="4"/>
      <c r="BH732" s="4"/>
      <c r="BK732" s="4"/>
    </row>
    <row r="733" spans="38:63" x14ac:dyDescent="0.25">
      <c r="AL733" s="4"/>
      <c r="AO733" s="4"/>
      <c r="AS733" s="4"/>
      <c r="AV733" s="4"/>
      <c r="AW733" s="4"/>
      <c r="AY733" s="4"/>
      <c r="AZ733" s="4"/>
      <c r="BA733" s="4"/>
      <c r="BC733" s="4"/>
      <c r="BD733" s="4"/>
      <c r="BG733" s="4"/>
      <c r="BH733" s="4"/>
      <c r="BK733" s="4"/>
    </row>
    <row r="734" spans="38:63" x14ac:dyDescent="0.25">
      <c r="AL734" s="4"/>
      <c r="AO734" s="4"/>
      <c r="AS734" s="4"/>
      <c r="AV734" s="4"/>
      <c r="AW734" s="4"/>
      <c r="AY734" s="4"/>
      <c r="AZ734" s="4"/>
      <c r="BA734" s="4"/>
      <c r="BC734" s="4"/>
      <c r="BD734" s="4"/>
      <c r="BG734" s="4"/>
      <c r="BH734" s="4"/>
      <c r="BK734" s="4"/>
    </row>
    <row r="735" spans="38:63" x14ac:dyDescent="0.25">
      <c r="AL735" s="4"/>
      <c r="AO735" s="4"/>
      <c r="AS735" s="4"/>
      <c r="AV735" s="4"/>
      <c r="AW735" s="4"/>
      <c r="AY735" s="4"/>
      <c r="AZ735" s="4"/>
      <c r="BA735" s="4"/>
      <c r="BC735" s="4"/>
      <c r="BD735" s="4"/>
      <c r="BG735" s="4"/>
      <c r="BH735" s="4"/>
      <c r="BK735" s="4"/>
    </row>
    <row r="736" spans="38:63" x14ac:dyDescent="0.25">
      <c r="AL736" s="4"/>
      <c r="AO736" s="4"/>
      <c r="AS736" s="4"/>
      <c r="AV736" s="4"/>
      <c r="AW736" s="4"/>
      <c r="AY736" s="4"/>
      <c r="AZ736" s="4"/>
      <c r="BA736" s="4"/>
      <c r="BC736" s="4"/>
      <c r="BD736" s="4"/>
      <c r="BG736" s="4"/>
      <c r="BH736" s="4"/>
      <c r="BK736" s="4"/>
    </row>
    <row r="737" spans="38:63" x14ac:dyDescent="0.25">
      <c r="AL737" s="4"/>
      <c r="AO737" s="4"/>
      <c r="AS737" s="4"/>
      <c r="AV737" s="4"/>
      <c r="AW737" s="4"/>
      <c r="AY737" s="4"/>
      <c r="AZ737" s="4"/>
      <c r="BA737" s="4"/>
      <c r="BC737" s="4"/>
      <c r="BD737" s="4"/>
      <c r="BG737" s="4"/>
      <c r="BH737" s="4"/>
      <c r="BK737" s="4"/>
    </row>
    <row r="738" spans="38:63" x14ac:dyDescent="0.25">
      <c r="AL738" s="4"/>
      <c r="AO738" s="4"/>
      <c r="AS738" s="4"/>
      <c r="AV738" s="4"/>
      <c r="AW738" s="4"/>
      <c r="AY738" s="4"/>
      <c r="AZ738" s="4"/>
      <c r="BA738" s="4"/>
      <c r="BC738" s="4"/>
      <c r="BD738" s="4"/>
      <c r="BG738" s="4"/>
      <c r="BH738" s="4"/>
      <c r="BK738" s="4"/>
    </row>
    <row r="739" spans="38:63" x14ac:dyDescent="0.25">
      <c r="AL739" s="4"/>
      <c r="AO739" s="4"/>
      <c r="AS739" s="4"/>
      <c r="AV739" s="4"/>
      <c r="AW739" s="4"/>
      <c r="AY739" s="4"/>
      <c r="AZ739" s="4"/>
      <c r="BA739" s="4"/>
      <c r="BC739" s="4"/>
      <c r="BD739" s="4"/>
      <c r="BG739" s="4"/>
      <c r="BH739" s="4"/>
      <c r="BK739" s="4"/>
    </row>
    <row r="740" spans="38:63" x14ac:dyDescent="0.25">
      <c r="AL740" s="4"/>
      <c r="AO740" s="4"/>
      <c r="AS740" s="4"/>
      <c r="AV740" s="4"/>
      <c r="AW740" s="4"/>
      <c r="AY740" s="4"/>
      <c r="AZ740" s="4"/>
      <c r="BA740" s="4"/>
      <c r="BC740" s="4"/>
      <c r="BD740" s="4"/>
      <c r="BG740" s="4"/>
      <c r="BH740" s="4"/>
      <c r="BK740" s="4"/>
    </row>
    <row r="741" spans="38:63" x14ac:dyDescent="0.25">
      <c r="AL741" s="4"/>
      <c r="AO741" s="4"/>
      <c r="AS741" s="4"/>
      <c r="AV741" s="4"/>
      <c r="AW741" s="4"/>
      <c r="AY741" s="4"/>
      <c r="AZ741" s="4"/>
      <c r="BA741" s="4"/>
      <c r="BC741" s="4"/>
      <c r="BD741" s="4"/>
      <c r="BG741" s="4"/>
      <c r="BH741" s="4"/>
      <c r="BK741" s="4"/>
    </row>
    <row r="742" spans="38:63" x14ac:dyDescent="0.25">
      <c r="AL742" s="4"/>
      <c r="AO742" s="4"/>
      <c r="AS742" s="4"/>
      <c r="AV742" s="4"/>
      <c r="AW742" s="4"/>
      <c r="AY742" s="4"/>
      <c r="AZ742" s="4"/>
      <c r="BA742" s="4"/>
      <c r="BC742" s="4"/>
      <c r="BD742" s="4"/>
      <c r="BG742" s="4"/>
      <c r="BH742" s="4"/>
      <c r="BK742" s="4"/>
    </row>
    <row r="743" spans="38:63" x14ac:dyDescent="0.25">
      <c r="AL743" s="4"/>
      <c r="AO743" s="4"/>
      <c r="AS743" s="4"/>
      <c r="AV743" s="4"/>
      <c r="AW743" s="4"/>
      <c r="AY743" s="4"/>
      <c r="AZ743" s="4"/>
      <c r="BA743" s="4"/>
      <c r="BC743" s="4"/>
      <c r="BD743" s="4"/>
      <c r="BG743" s="4"/>
      <c r="BH743" s="4"/>
      <c r="BK743" s="4"/>
    </row>
    <row r="744" spans="38:63" x14ac:dyDescent="0.25">
      <c r="AL744" s="4"/>
      <c r="AO744" s="4"/>
      <c r="AS744" s="4"/>
      <c r="AV744" s="4"/>
      <c r="AW744" s="4"/>
      <c r="AY744" s="4"/>
      <c r="AZ744" s="4"/>
      <c r="BA744" s="4"/>
      <c r="BC744" s="4"/>
      <c r="BD744" s="4"/>
      <c r="BG744" s="4"/>
      <c r="BH744" s="4"/>
      <c r="BK744" s="4"/>
    </row>
    <row r="745" spans="38:63" x14ac:dyDescent="0.25">
      <c r="AL745" s="4"/>
      <c r="AO745" s="4"/>
      <c r="AS745" s="4"/>
      <c r="AV745" s="4"/>
      <c r="AW745" s="4"/>
      <c r="AY745" s="4"/>
      <c r="AZ745" s="4"/>
      <c r="BA745" s="4"/>
      <c r="BC745" s="4"/>
      <c r="BD745" s="4"/>
      <c r="BG745" s="4"/>
      <c r="BH745" s="4"/>
      <c r="BK745" s="4"/>
    </row>
    <row r="746" spans="38:63" x14ac:dyDescent="0.25">
      <c r="AL746" s="4"/>
      <c r="AO746" s="4"/>
      <c r="AS746" s="4"/>
      <c r="AV746" s="4"/>
      <c r="AW746" s="4"/>
      <c r="AY746" s="4"/>
      <c r="AZ746" s="4"/>
      <c r="BA746" s="4"/>
      <c r="BC746" s="4"/>
      <c r="BD746" s="4"/>
      <c r="BG746" s="4"/>
      <c r="BH746" s="4"/>
      <c r="BK746" s="4"/>
    </row>
    <row r="747" spans="38:63" x14ac:dyDescent="0.25">
      <c r="AL747" s="4"/>
      <c r="AO747" s="4"/>
      <c r="AS747" s="4"/>
      <c r="AV747" s="4"/>
      <c r="AW747" s="4"/>
      <c r="AY747" s="4"/>
      <c r="AZ747" s="4"/>
      <c r="BA747" s="4"/>
      <c r="BC747" s="4"/>
      <c r="BD747" s="4"/>
      <c r="BG747" s="4"/>
      <c r="BH747" s="4"/>
      <c r="BK747" s="4"/>
    </row>
    <row r="748" spans="38:63" x14ac:dyDescent="0.25">
      <c r="AL748" s="4"/>
      <c r="AO748" s="4"/>
      <c r="AS748" s="4"/>
      <c r="AV748" s="4"/>
      <c r="AW748" s="4"/>
      <c r="AY748" s="4"/>
      <c r="AZ748" s="4"/>
      <c r="BA748" s="4"/>
      <c r="BC748" s="4"/>
      <c r="BD748" s="4"/>
      <c r="BG748" s="4"/>
      <c r="BH748" s="4"/>
      <c r="BK748" s="4"/>
    </row>
    <row r="749" spans="38:63" x14ac:dyDescent="0.25">
      <c r="AL749" s="4"/>
      <c r="AO749" s="4"/>
      <c r="AS749" s="4"/>
      <c r="AV749" s="4"/>
      <c r="AW749" s="4"/>
      <c r="AY749" s="4"/>
      <c r="AZ749" s="4"/>
      <c r="BA749" s="4"/>
      <c r="BC749" s="4"/>
      <c r="BD749" s="4"/>
      <c r="BG749" s="4"/>
      <c r="BH749" s="4"/>
      <c r="BK749" s="4"/>
    </row>
    <row r="750" spans="38:63" x14ac:dyDescent="0.25">
      <c r="AL750" s="4"/>
      <c r="AO750" s="4"/>
      <c r="AS750" s="4"/>
      <c r="AV750" s="4"/>
      <c r="AW750" s="4"/>
      <c r="AY750" s="4"/>
      <c r="AZ750" s="4"/>
      <c r="BA750" s="4"/>
      <c r="BC750" s="4"/>
      <c r="BD750" s="4"/>
      <c r="BG750" s="4"/>
      <c r="BH750" s="4"/>
      <c r="BK750" s="4"/>
    </row>
    <row r="751" spans="38:63" x14ac:dyDescent="0.25">
      <c r="AL751" s="4"/>
      <c r="AO751" s="4"/>
      <c r="AS751" s="4"/>
      <c r="AV751" s="4"/>
      <c r="AW751" s="4"/>
      <c r="AY751" s="4"/>
      <c r="AZ751" s="4"/>
      <c r="BA751" s="4"/>
      <c r="BC751" s="4"/>
      <c r="BD751" s="4"/>
      <c r="BG751" s="4"/>
      <c r="BH751" s="4"/>
      <c r="BK751" s="4"/>
    </row>
    <row r="752" spans="38:63" x14ac:dyDescent="0.25">
      <c r="AL752" s="4"/>
      <c r="AO752" s="4"/>
      <c r="AS752" s="4"/>
      <c r="AV752" s="4"/>
      <c r="AW752" s="4"/>
      <c r="AY752" s="4"/>
      <c r="AZ752" s="4"/>
      <c r="BA752" s="4"/>
      <c r="BC752" s="4"/>
      <c r="BD752" s="4"/>
      <c r="BG752" s="4"/>
      <c r="BH752" s="4"/>
      <c r="BK752" s="4"/>
    </row>
    <row r="753" spans="38:63" x14ac:dyDescent="0.25">
      <c r="AL753" s="4"/>
      <c r="AO753" s="4"/>
      <c r="AS753" s="4"/>
      <c r="AV753" s="4"/>
      <c r="AW753" s="4"/>
      <c r="AY753" s="4"/>
      <c r="AZ753" s="4"/>
      <c r="BA753" s="4"/>
      <c r="BC753" s="4"/>
      <c r="BD753" s="4"/>
      <c r="BG753" s="4"/>
      <c r="BH753" s="4"/>
      <c r="BK753" s="4"/>
    </row>
    <row r="754" spans="38:63" x14ac:dyDescent="0.25">
      <c r="AL754" s="4"/>
      <c r="AO754" s="4"/>
      <c r="AS754" s="4"/>
      <c r="AV754" s="4"/>
      <c r="AW754" s="4"/>
      <c r="AY754" s="4"/>
      <c r="AZ754" s="4"/>
      <c r="BA754" s="4"/>
      <c r="BC754" s="4"/>
      <c r="BD754" s="4"/>
      <c r="BG754" s="4"/>
      <c r="BH754" s="4"/>
      <c r="BK754" s="4"/>
    </row>
    <row r="755" spans="38:63" x14ac:dyDescent="0.25">
      <c r="AL755" s="4"/>
      <c r="AO755" s="4"/>
      <c r="AS755" s="4"/>
      <c r="AV755" s="4"/>
      <c r="AW755" s="4"/>
      <c r="AY755" s="4"/>
      <c r="AZ755" s="4"/>
      <c r="BA755" s="4"/>
      <c r="BC755" s="4"/>
      <c r="BD755" s="4"/>
      <c r="BG755" s="4"/>
      <c r="BH755" s="4"/>
      <c r="BK755" s="4"/>
    </row>
    <row r="756" spans="38:63" x14ac:dyDescent="0.25">
      <c r="AL756" s="4"/>
      <c r="AO756" s="4"/>
      <c r="AS756" s="4"/>
      <c r="AV756" s="4"/>
      <c r="AW756" s="4"/>
      <c r="AY756" s="4"/>
      <c r="AZ756" s="4"/>
      <c r="BA756" s="4"/>
      <c r="BC756" s="4"/>
      <c r="BD756" s="4"/>
      <c r="BG756" s="4"/>
      <c r="BH756" s="4"/>
      <c r="BK756" s="4"/>
    </row>
    <row r="757" spans="38:63" x14ac:dyDescent="0.25">
      <c r="AL757" s="4"/>
      <c r="AO757" s="4"/>
      <c r="AS757" s="4"/>
      <c r="AV757" s="4"/>
      <c r="AW757" s="4"/>
      <c r="AY757" s="4"/>
      <c r="AZ757" s="4"/>
      <c r="BA757" s="4"/>
      <c r="BC757" s="4"/>
      <c r="BD757" s="4"/>
      <c r="BG757" s="4"/>
      <c r="BH757" s="4"/>
      <c r="BK757" s="4"/>
    </row>
    <row r="758" spans="38:63" x14ac:dyDescent="0.25">
      <c r="AL758" s="4"/>
      <c r="AO758" s="4"/>
      <c r="AS758" s="4"/>
      <c r="AV758" s="4"/>
      <c r="AW758" s="4"/>
      <c r="AY758" s="4"/>
      <c r="AZ758" s="4"/>
      <c r="BA758" s="4"/>
      <c r="BC758" s="4"/>
      <c r="BD758" s="4"/>
      <c r="BG758" s="4"/>
      <c r="BH758" s="4"/>
      <c r="BK758" s="4"/>
    </row>
    <row r="759" spans="38:63" x14ac:dyDescent="0.25">
      <c r="AL759" s="4"/>
      <c r="AO759" s="4"/>
      <c r="AS759" s="4"/>
      <c r="AV759" s="4"/>
      <c r="AW759" s="4"/>
      <c r="AY759" s="4"/>
      <c r="AZ759" s="4"/>
      <c r="BA759" s="4"/>
      <c r="BC759" s="4"/>
      <c r="BD759" s="4"/>
      <c r="BG759" s="4"/>
      <c r="BH759" s="4"/>
      <c r="BK759" s="4"/>
    </row>
    <row r="760" spans="38:63" x14ac:dyDescent="0.25">
      <c r="AL760" s="4"/>
      <c r="AO760" s="4"/>
      <c r="AS760" s="4"/>
      <c r="AV760" s="4"/>
      <c r="AW760" s="4"/>
      <c r="AY760" s="4"/>
      <c r="AZ760" s="4"/>
      <c r="BA760" s="4"/>
      <c r="BC760" s="4"/>
      <c r="BD760" s="4"/>
      <c r="BG760" s="4"/>
      <c r="BH760" s="4"/>
      <c r="BK760" s="4"/>
    </row>
    <row r="761" spans="38:63" x14ac:dyDescent="0.25">
      <c r="AL761" s="4"/>
      <c r="AO761" s="4"/>
      <c r="AS761" s="4"/>
      <c r="AV761" s="4"/>
      <c r="AW761" s="4"/>
      <c r="AY761" s="4"/>
      <c r="AZ761" s="4"/>
      <c r="BA761" s="4"/>
      <c r="BC761" s="4"/>
      <c r="BD761" s="4"/>
      <c r="BG761" s="4"/>
      <c r="BH761" s="4"/>
      <c r="BK761" s="4"/>
    </row>
    <row r="762" spans="38:63" x14ac:dyDescent="0.25">
      <c r="AL762" s="4"/>
      <c r="AO762" s="4"/>
      <c r="AS762" s="4"/>
      <c r="AV762" s="4"/>
      <c r="AW762" s="4"/>
      <c r="AY762" s="4"/>
      <c r="AZ762" s="4"/>
      <c r="BA762" s="4"/>
      <c r="BC762" s="4"/>
      <c r="BD762" s="4"/>
      <c r="BG762" s="4"/>
      <c r="BH762" s="4"/>
      <c r="BK762" s="4"/>
    </row>
    <row r="763" spans="38:63" x14ac:dyDescent="0.25">
      <c r="AL763" s="4"/>
      <c r="AO763" s="4"/>
      <c r="AS763" s="4"/>
      <c r="AV763" s="4"/>
      <c r="AW763" s="4"/>
      <c r="AY763" s="4"/>
      <c r="AZ763" s="4"/>
      <c r="BA763" s="4"/>
      <c r="BC763" s="4"/>
      <c r="BD763" s="4"/>
      <c r="BG763" s="4"/>
      <c r="BH763" s="4"/>
      <c r="BK763" s="4"/>
    </row>
    <row r="764" spans="38:63" x14ac:dyDescent="0.25">
      <c r="AL764" s="4"/>
      <c r="AO764" s="4"/>
      <c r="AS764" s="4"/>
      <c r="AV764" s="4"/>
      <c r="AW764" s="4"/>
      <c r="AY764" s="4"/>
      <c r="AZ764" s="4"/>
      <c r="BA764" s="4"/>
      <c r="BC764" s="4"/>
      <c r="BD764" s="4"/>
      <c r="BG764" s="4"/>
      <c r="BH764" s="4"/>
      <c r="BK764" s="4"/>
    </row>
    <row r="765" spans="38:63" x14ac:dyDescent="0.25">
      <c r="AL765" s="4"/>
      <c r="AO765" s="4"/>
      <c r="AS765" s="4"/>
      <c r="AV765" s="4"/>
      <c r="AW765" s="4"/>
      <c r="AY765" s="4"/>
      <c r="AZ765" s="4"/>
      <c r="BA765" s="4"/>
      <c r="BC765" s="4"/>
      <c r="BD765" s="4"/>
      <c r="BG765" s="4"/>
      <c r="BH765" s="4"/>
      <c r="BK765" s="4"/>
    </row>
    <row r="766" spans="38:63" x14ac:dyDescent="0.25">
      <c r="AL766" s="4"/>
      <c r="AO766" s="4"/>
      <c r="AS766" s="4"/>
      <c r="AV766" s="4"/>
      <c r="AW766" s="4"/>
      <c r="AY766" s="4"/>
      <c r="AZ766" s="4"/>
      <c r="BA766" s="4"/>
      <c r="BC766" s="4"/>
      <c r="BD766" s="4"/>
      <c r="BG766" s="4"/>
      <c r="BH766" s="4"/>
      <c r="BK766" s="4"/>
    </row>
    <row r="767" spans="38:63" x14ac:dyDescent="0.25">
      <c r="AL767" s="4"/>
      <c r="AO767" s="4"/>
      <c r="AS767" s="4"/>
      <c r="AV767" s="4"/>
      <c r="AW767" s="4"/>
      <c r="AY767" s="4"/>
      <c r="AZ767" s="4"/>
      <c r="BA767" s="4"/>
      <c r="BC767" s="4"/>
      <c r="BD767" s="4"/>
      <c r="BG767" s="4"/>
      <c r="BH767" s="4"/>
      <c r="BK767" s="4"/>
    </row>
    <row r="768" spans="38:63" x14ac:dyDescent="0.25">
      <c r="AL768" s="4"/>
      <c r="AO768" s="4"/>
      <c r="AS768" s="4"/>
      <c r="AV768" s="4"/>
      <c r="AW768" s="4"/>
      <c r="AY768" s="4"/>
      <c r="AZ768" s="4"/>
      <c r="BA768" s="4"/>
      <c r="BC768" s="4"/>
      <c r="BD768" s="4"/>
      <c r="BG768" s="4"/>
      <c r="BH768" s="4"/>
      <c r="BK768" s="4"/>
    </row>
    <row r="769" spans="38:63" x14ac:dyDescent="0.25">
      <c r="AL769" s="4"/>
      <c r="AO769" s="4"/>
      <c r="AS769" s="4"/>
      <c r="AV769" s="4"/>
      <c r="AW769" s="4"/>
      <c r="AY769" s="4"/>
      <c r="AZ769" s="4"/>
      <c r="BA769" s="4"/>
      <c r="BC769" s="4"/>
      <c r="BD769" s="4"/>
      <c r="BG769" s="4"/>
      <c r="BH769" s="4"/>
      <c r="BK769" s="4"/>
    </row>
    <row r="770" spans="38:63" x14ac:dyDescent="0.25">
      <c r="AL770" s="4"/>
      <c r="AO770" s="4"/>
      <c r="AS770" s="4"/>
      <c r="AV770" s="4"/>
      <c r="AW770" s="4"/>
      <c r="AY770" s="4"/>
      <c r="AZ770" s="4"/>
      <c r="BA770" s="4"/>
      <c r="BC770" s="4"/>
      <c r="BD770" s="4"/>
      <c r="BG770" s="4"/>
      <c r="BH770" s="4"/>
      <c r="BK770" s="4"/>
    </row>
    <row r="771" spans="38:63" x14ac:dyDescent="0.25">
      <c r="AL771" s="4"/>
      <c r="AO771" s="4"/>
      <c r="AS771" s="4"/>
      <c r="AV771" s="4"/>
      <c r="AW771" s="4"/>
      <c r="AY771" s="4"/>
      <c r="AZ771" s="4"/>
      <c r="BA771" s="4"/>
      <c r="BC771" s="4"/>
      <c r="BD771" s="4"/>
      <c r="BG771" s="4"/>
      <c r="BH771" s="4"/>
      <c r="BK771" s="4"/>
    </row>
    <row r="772" spans="38:63" x14ac:dyDescent="0.25">
      <c r="AL772" s="4"/>
      <c r="AO772" s="4"/>
      <c r="AS772" s="4"/>
      <c r="AV772" s="4"/>
      <c r="AW772" s="4"/>
      <c r="AY772" s="4"/>
      <c r="AZ772" s="4"/>
      <c r="BA772" s="4"/>
      <c r="BC772" s="4"/>
      <c r="BD772" s="4"/>
      <c r="BG772" s="4"/>
      <c r="BH772" s="4"/>
      <c r="BK772" s="4"/>
    </row>
    <row r="773" spans="38:63" x14ac:dyDescent="0.25">
      <c r="AL773" s="4"/>
      <c r="AO773" s="4"/>
      <c r="AS773" s="4"/>
      <c r="AV773" s="4"/>
      <c r="AW773" s="4"/>
      <c r="AY773" s="4"/>
      <c r="AZ773" s="4"/>
      <c r="BA773" s="4"/>
      <c r="BC773" s="4"/>
      <c r="BD773" s="4"/>
      <c r="BG773" s="4"/>
      <c r="BH773" s="4"/>
      <c r="BK773" s="4"/>
    </row>
    <row r="774" spans="38:63" x14ac:dyDescent="0.25">
      <c r="AL774" s="4"/>
      <c r="AO774" s="4"/>
      <c r="AS774" s="4"/>
      <c r="AV774" s="4"/>
      <c r="AW774" s="4"/>
      <c r="AY774" s="4"/>
      <c r="AZ774" s="4"/>
      <c r="BA774" s="4"/>
      <c r="BC774" s="4"/>
      <c r="BD774" s="4"/>
      <c r="BG774" s="4"/>
      <c r="BH774" s="4"/>
      <c r="BK774" s="4"/>
    </row>
    <row r="775" spans="38:63" x14ac:dyDescent="0.25">
      <c r="AL775" s="4"/>
      <c r="AO775" s="4"/>
      <c r="AS775" s="4"/>
      <c r="AV775" s="4"/>
      <c r="AW775" s="4"/>
      <c r="AY775" s="4"/>
      <c r="AZ775" s="4"/>
      <c r="BA775" s="4"/>
      <c r="BC775" s="4"/>
      <c r="BD775" s="4"/>
      <c r="BG775" s="4"/>
      <c r="BH775" s="4"/>
      <c r="BK775" s="4"/>
    </row>
    <row r="776" spans="38:63" x14ac:dyDescent="0.25">
      <c r="AL776" s="4"/>
      <c r="AO776" s="4"/>
      <c r="AS776" s="4"/>
      <c r="AV776" s="4"/>
      <c r="AW776" s="4"/>
      <c r="AY776" s="4"/>
      <c r="AZ776" s="4"/>
      <c r="BA776" s="4"/>
      <c r="BC776" s="4"/>
      <c r="BD776" s="4"/>
      <c r="BG776" s="4"/>
      <c r="BH776" s="4"/>
      <c r="BK776" s="4"/>
    </row>
    <row r="777" spans="38:63" x14ac:dyDescent="0.25">
      <c r="AL777" s="4"/>
      <c r="AO777" s="4"/>
      <c r="AS777" s="4"/>
      <c r="AV777" s="4"/>
      <c r="AW777" s="4"/>
      <c r="AY777" s="4"/>
      <c r="AZ777" s="4"/>
      <c r="BA777" s="4"/>
      <c r="BC777" s="4"/>
      <c r="BD777" s="4"/>
      <c r="BG777" s="4"/>
      <c r="BH777" s="4"/>
      <c r="BK777" s="4"/>
    </row>
    <row r="778" spans="38:63" x14ac:dyDescent="0.25">
      <c r="AL778" s="4"/>
      <c r="AO778" s="4"/>
      <c r="AS778" s="4"/>
      <c r="AV778" s="4"/>
      <c r="AW778" s="4"/>
      <c r="AY778" s="4"/>
      <c r="AZ778" s="4"/>
      <c r="BA778" s="4"/>
      <c r="BC778" s="4"/>
      <c r="BD778" s="4"/>
      <c r="BG778" s="4"/>
      <c r="BH778" s="4"/>
      <c r="BK778" s="4"/>
    </row>
    <row r="779" spans="38:63" x14ac:dyDescent="0.25">
      <c r="AL779" s="4"/>
      <c r="AO779" s="4"/>
      <c r="AS779" s="4"/>
      <c r="AV779" s="4"/>
      <c r="AW779" s="4"/>
      <c r="AY779" s="4"/>
      <c r="AZ779" s="4"/>
      <c r="BA779" s="4"/>
      <c r="BC779" s="4"/>
      <c r="BD779" s="4"/>
      <c r="BG779" s="4"/>
      <c r="BH779" s="4"/>
      <c r="BK779" s="4"/>
    </row>
    <row r="780" spans="38:63" x14ac:dyDescent="0.25">
      <c r="AL780" s="4"/>
      <c r="AO780" s="4"/>
      <c r="AS780" s="4"/>
      <c r="AV780" s="4"/>
      <c r="AW780" s="4"/>
      <c r="AY780" s="4"/>
      <c r="AZ780" s="4"/>
      <c r="BA780" s="4"/>
      <c r="BC780" s="4"/>
      <c r="BD780" s="4"/>
      <c r="BG780" s="4"/>
      <c r="BH780" s="4"/>
      <c r="BK780" s="4"/>
    </row>
    <row r="781" spans="38:63" x14ac:dyDescent="0.25">
      <c r="AL781" s="4"/>
      <c r="AO781" s="4"/>
      <c r="AS781" s="4"/>
      <c r="AV781" s="4"/>
      <c r="AW781" s="4"/>
      <c r="AY781" s="4"/>
      <c r="AZ781" s="4"/>
      <c r="BA781" s="4"/>
      <c r="BC781" s="4"/>
      <c r="BD781" s="4"/>
      <c r="BG781" s="4"/>
      <c r="BH781" s="4"/>
      <c r="BK781" s="4"/>
    </row>
    <row r="782" spans="38:63" x14ac:dyDescent="0.25">
      <c r="AL782" s="4"/>
      <c r="AO782" s="4"/>
      <c r="AS782" s="4"/>
      <c r="AV782" s="4"/>
      <c r="AW782" s="4"/>
      <c r="AY782" s="4"/>
      <c r="AZ782" s="4"/>
      <c r="BA782" s="4"/>
      <c r="BC782" s="4"/>
      <c r="BD782" s="4"/>
      <c r="BG782" s="4"/>
      <c r="BH782" s="4"/>
      <c r="BK782" s="4"/>
    </row>
    <row r="783" spans="38:63" x14ac:dyDescent="0.25">
      <c r="AL783" s="4"/>
      <c r="AO783" s="4"/>
      <c r="AS783" s="4"/>
      <c r="AV783" s="4"/>
      <c r="AW783" s="4"/>
      <c r="AY783" s="4"/>
      <c r="AZ783" s="4"/>
      <c r="BA783" s="4"/>
      <c r="BC783" s="4"/>
      <c r="BD783" s="4"/>
      <c r="BG783" s="4"/>
      <c r="BH783" s="4"/>
      <c r="BK783" s="4"/>
    </row>
    <row r="784" spans="38:63" x14ac:dyDescent="0.25">
      <c r="AL784" s="4"/>
      <c r="AO784" s="4"/>
      <c r="AS784" s="4"/>
      <c r="AV784" s="4"/>
      <c r="AW784" s="4"/>
      <c r="AY784" s="4"/>
      <c r="AZ784" s="4"/>
      <c r="BA784" s="4"/>
      <c r="BC784" s="4"/>
      <c r="BD784" s="4"/>
      <c r="BG784" s="4"/>
      <c r="BH784" s="4"/>
      <c r="BK784" s="4"/>
    </row>
    <row r="785" spans="38:63" x14ac:dyDescent="0.25">
      <c r="AL785" s="4"/>
      <c r="AO785" s="4"/>
      <c r="AS785" s="4"/>
      <c r="AV785" s="4"/>
      <c r="AW785" s="4"/>
      <c r="AY785" s="4"/>
      <c r="AZ785" s="4"/>
      <c r="BA785" s="4"/>
      <c r="BC785" s="4"/>
      <c r="BD785" s="4"/>
      <c r="BG785" s="4"/>
      <c r="BH785" s="4"/>
      <c r="BK785" s="4"/>
    </row>
    <row r="786" spans="38:63" x14ac:dyDescent="0.25">
      <c r="AL786" s="4"/>
      <c r="AO786" s="4"/>
      <c r="AS786" s="4"/>
      <c r="AV786" s="4"/>
      <c r="AW786" s="4"/>
      <c r="AY786" s="4"/>
      <c r="AZ786" s="4"/>
      <c r="BA786" s="4"/>
      <c r="BC786" s="4"/>
      <c r="BD786" s="4"/>
      <c r="BG786" s="4"/>
      <c r="BH786" s="4"/>
      <c r="BK786" s="4"/>
    </row>
    <row r="787" spans="38:63" x14ac:dyDescent="0.25">
      <c r="AL787" s="4"/>
      <c r="AO787" s="4"/>
      <c r="AS787" s="4"/>
      <c r="AV787" s="4"/>
      <c r="AW787" s="4"/>
      <c r="AY787" s="4"/>
      <c r="AZ787" s="4"/>
      <c r="BA787" s="4"/>
      <c r="BC787" s="4"/>
      <c r="BD787" s="4"/>
      <c r="BG787" s="4"/>
      <c r="BH787" s="4"/>
      <c r="BK787" s="4"/>
    </row>
    <row r="788" spans="38:63" x14ac:dyDescent="0.25">
      <c r="AL788" s="4"/>
      <c r="AO788" s="4"/>
      <c r="AS788" s="4"/>
      <c r="AV788" s="4"/>
      <c r="AW788" s="4"/>
      <c r="AY788" s="4"/>
      <c r="AZ788" s="4"/>
      <c r="BA788" s="4"/>
      <c r="BC788" s="4"/>
      <c r="BD788" s="4"/>
      <c r="BG788" s="4"/>
      <c r="BH788" s="4"/>
      <c r="BK788" s="4"/>
    </row>
    <row r="789" spans="38:63" x14ac:dyDescent="0.25">
      <c r="AL789" s="4"/>
      <c r="AO789" s="4"/>
      <c r="AS789" s="4"/>
      <c r="AV789" s="4"/>
      <c r="AW789" s="4"/>
      <c r="AY789" s="4"/>
      <c r="AZ789" s="4"/>
      <c r="BA789" s="4"/>
      <c r="BC789" s="4"/>
      <c r="BD789" s="4"/>
      <c r="BG789" s="4"/>
      <c r="BH789" s="4"/>
      <c r="BK789" s="4"/>
    </row>
    <row r="790" spans="38:63" x14ac:dyDescent="0.25">
      <c r="AL790" s="4"/>
      <c r="AO790" s="4"/>
      <c r="AS790" s="4"/>
      <c r="AV790" s="4"/>
      <c r="AW790" s="4"/>
      <c r="AY790" s="4"/>
      <c r="AZ790" s="4"/>
      <c r="BA790" s="4"/>
      <c r="BC790" s="4"/>
      <c r="BD790" s="4"/>
      <c r="BG790" s="4"/>
      <c r="BH790" s="4"/>
      <c r="BK790" s="4"/>
    </row>
    <row r="791" spans="38:63" x14ac:dyDescent="0.25">
      <c r="AL791" s="4"/>
      <c r="AO791" s="4"/>
      <c r="AS791" s="4"/>
      <c r="AV791" s="4"/>
      <c r="AW791" s="4"/>
      <c r="AY791" s="4"/>
      <c r="AZ791" s="4"/>
      <c r="BA791" s="4"/>
      <c r="BC791" s="4"/>
      <c r="BD791" s="4"/>
      <c r="BG791" s="4"/>
      <c r="BH791" s="4"/>
      <c r="BK791" s="4"/>
    </row>
    <row r="792" spans="38:63" x14ac:dyDescent="0.25">
      <c r="AL792" s="4"/>
      <c r="AO792" s="4"/>
      <c r="AS792" s="4"/>
      <c r="AV792" s="4"/>
      <c r="AW792" s="4"/>
      <c r="AY792" s="4"/>
      <c r="AZ792" s="4"/>
      <c r="BA792" s="4"/>
      <c r="BC792" s="4"/>
      <c r="BD792" s="4"/>
      <c r="BG792" s="4"/>
      <c r="BH792" s="4"/>
      <c r="BK792" s="4"/>
    </row>
    <row r="793" spans="38:63" x14ac:dyDescent="0.25">
      <c r="AL793" s="4"/>
      <c r="AO793" s="4"/>
      <c r="AS793" s="4"/>
      <c r="AV793" s="4"/>
      <c r="AW793" s="4"/>
      <c r="AY793" s="4"/>
      <c r="AZ793" s="4"/>
      <c r="BA793" s="4"/>
      <c r="BC793" s="4"/>
      <c r="BD793" s="4"/>
      <c r="BG793" s="4"/>
      <c r="BH793" s="4"/>
      <c r="BK793" s="4"/>
    </row>
    <row r="794" spans="38:63" x14ac:dyDescent="0.25">
      <c r="AL794" s="4"/>
      <c r="AO794" s="4"/>
      <c r="AS794" s="4"/>
      <c r="AV794" s="4"/>
      <c r="AW794" s="4"/>
      <c r="AY794" s="4"/>
      <c r="AZ794" s="4"/>
      <c r="BA794" s="4"/>
      <c r="BC794" s="4"/>
      <c r="BD794" s="4"/>
      <c r="BG794" s="4"/>
      <c r="BH794" s="4"/>
      <c r="BK794" s="4"/>
    </row>
    <row r="795" spans="38:63" x14ac:dyDescent="0.25">
      <c r="AL795" s="4"/>
      <c r="AO795" s="4"/>
      <c r="AS795" s="4"/>
      <c r="AV795" s="4"/>
      <c r="AW795" s="4"/>
      <c r="AY795" s="4"/>
      <c r="AZ795" s="4"/>
      <c r="BA795" s="4"/>
      <c r="BC795" s="4"/>
      <c r="BD795" s="4"/>
      <c r="BG795" s="4"/>
      <c r="BH795" s="4"/>
      <c r="BK795" s="4"/>
    </row>
    <row r="796" spans="38:63" x14ac:dyDescent="0.25">
      <c r="AL796" s="4"/>
      <c r="AO796" s="4"/>
      <c r="AS796" s="4"/>
      <c r="AV796" s="4"/>
      <c r="AW796" s="4"/>
      <c r="AY796" s="4"/>
      <c r="AZ796" s="4"/>
      <c r="BA796" s="4"/>
      <c r="BC796" s="4"/>
      <c r="BD796" s="4"/>
      <c r="BG796" s="4"/>
      <c r="BH796" s="4"/>
      <c r="BK796" s="4"/>
    </row>
    <row r="797" spans="38:63" x14ac:dyDescent="0.25">
      <c r="AL797" s="4"/>
      <c r="AO797" s="4"/>
      <c r="AS797" s="4"/>
      <c r="AV797" s="4"/>
      <c r="AW797" s="4"/>
      <c r="AY797" s="4"/>
      <c r="AZ797" s="4"/>
      <c r="BA797" s="4"/>
      <c r="BC797" s="4"/>
      <c r="BD797" s="4"/>
      <c r="BG797" s="4"/>
      <c r="BH797" s="4"/>
      <c r="BK797" s="4"/>
    </row>
    <row r="798" spans="38:63" x14ac:dyDescent="0.25">
      <c r="AL798" s="4"/>
      <c r="AO798" s="4"/>
      <c r="AS798" s="4"/>
      <c r="AV798" s="4"/>
      <c r="AW798" s="4"/>
      <c r="AY798" s="4"/>
      <c r="AZ798" s="4"/>
      <c r="BA798" s="4"/>
      <c r="BC798" s="4"/>
      <c r="BD798" s="4"/>
      <c r="BG798" s="4"/>
      <c r="BH798" s="4"/>
      <c r="BK798" s="4"/>
    </row>
    <row r="799" spans="38:63" x14ac:dyDescent="0.25">
      <c r="AL799" s="4"/>
      <c r="AO799" s="4"/>
      <c r="AS799" s="4"/>
      <c r="AV799" s="4"/>
      <c r="AW799" s="4"/>
      <c r="AY799" s="4"/>
      <c r="AZ799" s="4"/>
      <c r="BA799" s="4"/>
      <c r="BC799" s="4"/>
      <c r="BD799" s="4"/>
      <c r="BG799" s="4"/>
      <c r="BH799" s="4"/>
      <c r="BK799" s="4"/>
    </row>
    <row r="800" spans="38:63" x14ac:dyDescent="0.25">
      <c r="AL800" s="4"/>
      <c r="AO800" s="4"/>
      <c r="AS800" s="4"/>
      <c r="AV800" s="4"/>
      <c r="AW800" s="4"/>
      <c r="AY800" s="4"/>
      <c r="AZ800" s="4"/>
      <c r="BA800" s="4"/>
      <c r="BC800" s="4"/>
      <c r="BD800" s="4"/>
      <c r="BG800" s="4"/>
      <c r="BH800" s="4"/>
      <c r="BK800" s="4"/>
    </row>
    <row r="801" spans="38:63" x14ac:dyDescent="0.25">
      <c r="AL801" s="4"/>
      <c r="AO801" s="4"/>
      <c r="AS801" s="4"/>
      <c r="AV801" s="4"/>
      <c r="AW801" s="4"/>
      <c r="AY801" s="4"/>
      <c r="AZ801" s="4"/>
      <c r="BA801" s="4"/>
      <c r="BC801" s="4"/>
      <c r="BD801" s="4"/>
      <c r="BG801" s="4"/>
      <c r="BH801" s="4"/>
      <c r="BK801" s="4"/>
    </row>
    <row r="802" spans="38:63" x14ac:dyDescent="0.25">
      <c r="AL802" s="4"/>
      <c r="AO802" s="4"/>
      <c r="AS802" s="4"/>
      <c r="AV802" s="4"/>
      <c r="AW802" s="4"/>
      <c r="AY802" s="4"/>
      <c r="AZ802" s="4"/>
      <c r="BA802" s="4"/>
      <c r="BC802" s="4"/>
      <c r="BD802" s="4"/>
      <c r="BG802" s="4"/>
      <c r="BH802" s="4"/>
      <c r="BK802" s="4"/>
    </row>
    <row r="803" spans="38:63" x14ac:dyDescent="0.25">
      <c r="AL803" s="4"/>
      <c r="AO803" s="4"/>
      <c r="AS803" s="4"/>
      <c r="AV803" s="4"/>
      <c r="AW803" s="4"/>
      <c r="AY803" s="4"/>
      <c r="AZ803" s="4"/>
      <c r="BA803" s="4"/>
      <c r="BC803" s="4"/>
      <c r="BD803" s="4"/>
      <c r="BG803" s="4"/>
      <c r="BH803" s="4"/>
      <c r="BK803" s="4"/>
    </row>
    <row r="804" spans="38:63" x14ac:dyDescent="0.25">
      <c r="AL804" s="4"/>
      <c r="AO804" s="4"/>
      <c r="AS804" s="4"/>
      <c r="AV804" s="4"/>
      <c r="AW804" s="4"/>
      <c r="AY804" s="4"/>
      <c r="AZ804" s="4"/>
      <c r="BA804" s="4"/>
      <c r="BC804" s="4"/>
      <c r="BD804" s="4"/>
      <c r="BG804" s="4"/>
      <c r="BH804" s="4"/>
      <c r="BK804" s="4"/>
    </row>
    <row r="805" spans="38:63" x14ac:dyDescent="0.25">
      <c r="AL805" s="4"/>
      <c r="AO805" s="4"/>
      <c r="AS805" s="4"/>
      <c r="AV805" s="4"/>
      <c r="AW805" s="4"/>
      <c r="AY805" s="4"/>
      <c r="AZ805" s="4"/>
      <c r="BA805" s="4"/>
      <c r="BC805" s="4"/>
      <c r="BD805" s="4"/>
      <c r="BG805" s="4"/>
      <c r="BH805" s="4"/>
      <c r="BK805" s="4"/>
    </row>
    <row r="806" spans="38:63" x14ac:dyDescent="0.25">
      <c r="AL806" s="4"/>
      <c r="AO806" s="4"/>
      <c r="AS806" s="4"/>
      <c r="AV806" s="4"/>
      <c r="AW806" s="4"/>
      <c r="AY806" s="4"/>
      <c r="AZ806" s="4"/>
      <c r="BA806" s="4"/>
      <c r="BC806" s="4"/>
      <c r="BD806" s="4"/>
      <c r="BG806" s="4"/>
      <c r="BH806" s="4"/>
      <c r="BK806" s="4"/>
    </row>
    <row r="807" spans="38:63" x14ac:dyDescent="0.25">
      <c r="AL807" s="4"/>
      <c r="AO807" s="4"/>
      <c r="AS807" s="4"/>
      <c r="AV807" s="4"/>
      <c r="AW807" s="4"/>
      <c r="AY807" s="4"/>
      <c r="AZ807" s="4"/>
      <c r="BA807" s="4"/>
      <c r="BC807" s="4"/>
      <c r="BD807" s="4"/>
      <c r="BG807" s="4"/>
      <c r="BH807" s="4"/>
      <c r="BK807" s="4"/>
    </row>
    <row r="808" spans="38:63" x14ac:dyDescent="0.25">
      <c r="AL808" s="4"/>
      <c r="AO808" s="4"/>
      <c r="AS808" s="4"/>
      <c r="AV808" s="4"/>
      <c r="AW808" s="4"/>
      <c r="AY808" s="4"/>
      <c r="AZ808" s="4"/>
      <c r="BA808" s="4"/>
      <c r="BC808" s="4"/>
      <c r="BD808" s="4"/>
      <c r="BG808" s="4"/>
      <c r="BH808" s="4"/>
      <c r="BK808" s="4"/>
    </row>
    <row r="809" spans="38:63" x14ac:dyDescent="0.25">
      <c r="AL809" s="4"/>
      <c r="AO809" s="4"/>
      <c r="AS809" s="4"/>
      <c r="AV809" s="4"/>
      <c r="AW809" s="4"/>
      <c r="AY809" s="4"/>
      <c r="AZ809" s="4"/>
      <c r="BA809" s="4"/>
      <c r="BC809" s="4"/>
      <c r="BD809" s="4"/>
      <c r="BG809" s="4"/>
      <c r="BH809" s="4"/>
      <c r="BK809" s="4"/>
    </row>
    <row r="810" spans="38:63" x14ac:dyDescent="0.25">
      <c r="AL810" s="4"/>
      <c r="AO810" s="4"/>
      <c r="AS810" s="4"/>
      <c r="AV810" s="4"/>
      <c r="AW810" s="4"/>
      <c r="AY810" s="4"/>
      <c r="AZ810" s="4"/>
      <c r="BA810" s="4"/>
      <c r="BC810" s="4"/>
      <c r="BD810" s="4"/>
      <c r="BG810" s="4"/>
      <c r="BH810" s="4"/>
      <c r="BK810" s="4"/>
    </row>
    <row r="811" spans="38:63" x14ac:dyDescent="0.25">
      <c r="AL811" s="4"/>
      <c r="AO811" s="4"/>
      <c r="AS811" s="4"/>
      <c r="AV811" s="4"/>
      <c r="AW811" s="4"/>
      <c r="AY811" s="4"/>
      <c r="AZ811" s="4"/>
      <c r="BA811" s="4"/>
      <c r="BC811" s="4"/>
      <c r="BD811" s="4"/>
      <c r="BG811" s="4"/>
      <c r="BH811" s="4"/>
      <c r="BK811" s="4"/>
    </row>
    <row r="812" spans="38:63" x14ac:dyDescent="0.25">
      <c r="AL812" s="4"/>
      <c r="AO812" s="4"/>
      <c r="AS812" s="4"/>
      <c r="AV812" s="4"/>
      <c r="AW812" s="4"/>
      <c r="AY812" s="4"/>
      <c r="AZ812" s="4"/>
      <c r="BA812" s="4"/>
      <c r="BC812" s="4"/>
      <c r="BD812" s="4"/>
      <c r="BG812" s="4"/>
      <c r="BH812" s="4"/>
      <c r="BK812" s="4"/>
    </row>
    <row r="813" spans="38:63" x14ac:dyDescent="0.25">
      <c r="AL813" s="4"/>
      <c r="AO813" s="4"/>
      <c r="AS813" s="4"/>
      <c r="AV813" s="4"/>
      <c r="AW813" s="4"/>
      <c r="AY813" s="4"/>
      <c r="AZ813" s="4"/>
      <c r="BA813" s="4"/>
      <c r="BC813" s="4"/>
      <c r="BD813" s="4"/>
      <c r="BG813" s="4"/>
      <c r="BH813" s="4"/>
      <c r="BK813" s="4"/>
    </row>
    <row r="814" spans="38:63" x14ac:dyDescent="0.25">
      <c r="AL814" s="4"/>
      <c r="AO814" s="4"/>
      <c r="AS814" s="4"/>
      <c r="AV814" s="4"/>
      <c r="AW814" s="4"/>
      <c r="AY814" s="4"/>
      <c r="AZ814" s="4"/>
      <c r="BA814" s="4"/>
      <c r="BC814" s="4"/>
      <c r="BD814" s="4"/>
      <c r="BG814" s="4"/>
      <c r="BH814" s="4"/>
      <c r="BK814" s="4"/>
    </row>
    <row r="815" spans="38:63" x14ac:dyDescent="0.25">
      <c r="AL815" s="4"/>
      <c r="AO815" s="4"/>
      <c r="AS815" s="4"/>
      <c r="AV815" s="4"/>
      <c r="AW815" s="4"/>
      <c r="AY815" s="4"/>
      <c r="AZ815" s="4"/>
      <c r="BA815" s="4"/>
      <c r="BC815" s="4"/>
      <c r="BD815" s="4"/>
      <c r="BG815" s="4"/>
      <c r="BH815" s="4"/>
      <c r="BK815" s="4"/>
    </row>
    <row r="816" spans="38:63" x14ac:dyDescent="0.25">
      <c r="AL816" s="4"/>
      <c r="AO816" s="4"/>
      <c r="AS816" s="4"/>
      <c r="AV816" s="4"/>
      <c r="AW816" s="4"/>
      <c r="AY816" s="4"/>
      <c r="AZ816" s="4"/>
      <c r="BA816" s="4"/>
      <c r="BC816" s="4"/>
      <c r="BD816" s="4"/>
      <c r="BG816" s="4"/>
      <c r="BH816" s="4"/>
      <c r="BK816" s="4"/>
    </row>
    <row r="817" spans="38:63" x14ac:dyDescent="0.25">
      <c r="AL817" s="4"/>
      <c r="AO817" s="4"/>
      <c r="AS817" s="4"/>
      <c r="AV817" s="4"/>
      <c r="AW817" s="4"/>
      <c r="AY817" s="4"/>
      <c r="AZ817" s="4"/>
      <c r="BA817" s="4"/>
      <c r="BC817" s="4"/>
      <c r="BD817" s="4"/>
      <c r="BG817" s="4"/>
      <c r="BH817" s="4"/>
      <c r="BK817" s="4"/>
    </row>
    <row r="818" spans="38:63" x14ac:dyDescent="0.25">
      <c r="AL818" s="4"/>
      <c r="AO818" s="4"/>
      <c r="AS818" s="4"/>
      <c r="AV818" s="4"/>
      <c r="AW818" s="4"/>
      <c r="AY818" s="4"/>
      <c r="AZ818" s="4"/>
      <c r="BA818" s="4"/>
      <c r="BC818" s="4"/>
      <c r="BD818" s="4"/>
      <c r="BG818" s="4"/>
      <c r="BH818" s="4"/>
      <c r="BK818" s="4"/>
    </row>
    <row r="819" spans="38:63" x14ac:dyDescent="0.25">
      <c r="AL819" s="4"/>
      <c r="AO819" s="4"/>
      <c r="AS819" s="4"/>
      <c r="AV819" s="4"/>
      <c r="AW819" s="4"/>
      <c r="AY819" s="4"/>
      <c r="AZ819" s="4"/>
      <c r="BA819" s="4"/>
      <c r="BC819" s="4"/>
      <c r="BD819" s="4"/>
      <c r="BG819" s="4"/>
      <c r="BH819" s="4"/>
      <c r="BK819" s="4"/>
    </row>
    <row r="820" spans="38:63" x14ac:dyDescent="0.25">
      <c r="AL820" s="4"/>
      <c r="AO820" s="4"/>
      <c r="AS820" s="4"/>
      <c r="AV820" s="4"/>
      <c r="AW820" s="4"/>
      <c r="AY820" s="4"/>
      <c r="AZ820" s="4"/>
      <c r="BA820" s="4"/>
      <c r="BC820" s="4"/>
      <c r="BD820" s="4"/>
      <c r="BG820" s="4"/>
      <c r="BH820" s="4"/>
      <c r="BK820" s="4"/>
    </row>
    <row r="821" spans="38:63" x14ac:dyDescent="0.25">
      <c r="AL821" s="4"/>
      <c r="AO821" s="4"/>
      <c r="AS821" s="4"/>
      <c r="AV821" s="4"/>
      <c r="AW821" s="4"/>
      <c r="AY821" s="4"/>
      <c r="AZ821" s="4"/>
      <c r="BA821" s="4"/>
      <c r="BC821" s="4"/>
      <c r="BD821" s="4"/>
      <c r="BG821" s="4"/>
      <c r="BH821" s="4"/>
      <c r="BK821" s="4"/>
    </row>
    <row r="822" spans="38:63" x14ac:dyDescent="0.25">
      <c r="AL822" s="4"/>
      <c r="AO822" s="4"/>
      <c r="AS822" s="4"/>
      <c r="AV822" s="4"/>
      <c r="AW822" s="4"/>
      <c r="AY822" s="4"/>
      <c r="AZ822" s="4"/>
      <c r="BA822" s="4"/>
      <c r="BC822" s="4"/>
      <c r="BD822" s="4"/>
      <c r="BG822" s="4"/>
      <c r="BH822" s="4"/>
      <c r="BK822" s="4"/>
    </row>
    <row r="823" spans="38:63" x14ac:dyDescent="0.25">
      <c r="AL823" s="4"/>
      <c r="AO823" s="4"/>
      <c r="AS823" s="4"/>
      <c r="AV823" s="4"/>
      <c r="AW823" s="4"/>
      <c r="AY823" s="4"/>
      <c r="AZ823" s="4"/>
      <c r="BA823" s="4"/>
      <c r="BC823" s="4"/>
      <c r="BD823" s="4"/>
      <c r="BG823" s="4"/>
      <c r="BH823" s="4"/>
      <c r="BK823" s="4"/>
    </row>
    <row r="824" spans="38:63" x14ac:dyDescent="0.25">
      <c r="AL824" s="4"/>
      <c r="AO824" s="4"/>
      <c r="AS824" s="4"/>
      <c r="AV824" s="4"/>
      <c r="AW824" s="4"/>
      <c r="AY824" s="4"/>
      <c r="AZ824" s="4"/>
      <c r="BA824" s="4"/>
      <c r="BC824" s="4"/>
      <c r="BD824" s="4"/>
      <c r="BG824" s="4"/>
      <c r="BH824" s="4"/>
      <c r="BK824" s="4"/>
    </row>
    <row r="825" spans="38:63" x14ac:dyDescent="0.25">
      <c r="AL825" s="4"/>
      <c r="AO825" s="4"/>
      <c r="AS825" s="4"/>
      <c r="AV825" s="4"/>
      <c r="AW825" s="4"/>
      <c r="AY825" s="4"/>
      <c r="AZ825" s="4"/>
      <c r="BA825" s="4"/>
      <c r="BC825" s="4"/>
      <c r="BD825" s="4"/>
      <c r="BG825" s="4"/>
      <c r="BH825" s="4"/>
      <c r="BK825" s="4"/>
    </row>
    <row r="826" spans="38:63" x14ac:dyDescent="0.25">
      <c r="AL826" s="4"/>
      <c r="AO826" s="4"/>
      <c r="AS826" s="4"/>
      <c r="AV826" s="4"/>
      <c r="AW826" s="4"/>
      <c r="AY826" s="4"/>
      <c r="AZ826" s="4"/>
      <c r="BA826" s="4"/>
      <c r="BC826" s="4"/>
      <c r="BD826" s="4"/>
      <c r="BG826" s="4"/>
      <c r="BH826" s="4"/>
      <c r="BK826" s="4"/>
    </row>
    <row r="827" spans="38:63" x14ac:dyDescent="0.25">
      <c r="AL827" s="4"/>
      <c r="AO827" s="4"/>
      <c r="AS827" s="4"/>
      <c r="AV827" s="4"/>
      <c r="AW827" s="4"/>
      <c r="AY827" s="4"/>
      <c r="AZ827" s="4"/>
      <c r="BA827" s="4"/>
      <c r="BC827" s="4"/>
      <c r="BD827" s="4"/>
      <c r="BG827" s="4"/>
      <c r="BH827" s="4"/>
      <c r="BK827" s="4"/>
    </row>
    <row r="828" spans="38:63" x14ac:dyDescent="0.25">
      <c r="AL828" s="4"/>
      <c r="AO828" s="4"/>
      <c r="AS828" s="4"/>
      <c r="AV828" s="4"/>
      <c r="AW828" s="4"/>
      <c r="AY828" s="4"/>
      <c r="AZ828" s="4"/>
      <c r="BA828" s="4"/>
      <c r="BC828" s="4"/>
      <c r="BD828" s="4"/>
      <c r="BG828" s="4"/>
      <c r="BH828" s="4"/>
      <c r="BK828" s="4"/>
    </row>
    <row r="829" spans="38:63" x14ac:dyDescent="0.25">
      <c r="AL829" s="4"/>
      <c r="AO829" s="4"/>
      <c r="AS829" s="4"/>
      <c r="AV829" s="4"/>
      <c r="AW829" s="4"/>
      <c r="AY829" s="4"/>
      <c r="AZ829" s="4"/>
      <c r="BA829" s="4"/>
      <c r="BC829" s="4"/>
      <c r="BD829" s="4"/>
      <c r="BG829" s="4"/>
      <c r="BH829" s="4"/>
      <c r="BK829" s="4"/>
    </row>
    <row r="830" spans="38:63" x14ac:dyDescent="0.25">
      <c r="AL830" s="4"/>
      <c r="AO830" s="4"/>
      <c r="AS830" s="4"/>
      <c r="AV830" s="4"/>
      <c r="AW830" s="4"/>
      <c r="AY830" s="4"/>
      <c r="AZ830" s="4"/>
      <c r="BA830" s="4"/>
      <c r="BC830" s="4"/>
      <c r="BD830" s="4"/>
      <c r="BG830" s="4"/>
      <c r="BH830" s="4"/>
      <c r="BK830" s="4"/>
    </row>
    <row r="831" spans="38:63" x14ac:dyDescent="0.25">
      <c r="AL831" s="4"/>
      <c r="AO831" s="4"/>
      <c r="AS831" s="4"/>
      <c r="AV831" s="4"/>
      <c r="AW831" s="4"/>
      <c r="AY831" s="4"/>
      <c r="AZ831" s="4"/>
      <c r="BA831" s="4"/>
      <c r="BC831" s="4"/>
      <c r="BD831" s="4"/>
      <c r="BG831" s="4"/>
      <c r="BH831" s="4"/>
      <c r="BK831" s="4"/>
    </row>
    <row r="832" spans="38:63" x14ac:dyDescent="0.25">
      <c r="AL832" s="4"/>
      <c r="AO832" s="4"/>
      <c r="AS832" s="4"/>
      <c r="AV832" s="4"/>
      <c r="AW832" s="4"/>
      <c r="AY832" s="4"/>
      <c r="AZ832" s="4"/>
      <c r="BA832" s="4"/>
      <c r="BC832" s="4"/>
      <c r="BD832" s="4"/>
      <c r="BG832" s="4"/>
      <c r="BH832" s="4"/>
      <c r="BK832" s="4"/>
    </row>
    <row r="833" spans="38:63" x14ac:dyDescent="0.25">
      <c r="AL833" s="4"/>
      <c r="AO833" s="4"/>
      <c r="AS833" s="4"/>
      <c r="AV833" s="4"/>
      <c r="AW833" s="4"/>
      <c r="AY833" s="4"/>
      <c r="AZ833" s="4"/>
      <c r="BA833" s="4"/>
      <c r="BC833" s="4"/>
      <c r="BD833" s="4"/>
      <c r="BG833" s="4"/>
      <c r="BH833" s="4"/>
      <c r="BK833" s="4"/>
    </row>
    <row r="834" spans="38:63" x14ac:dyDescent="0.25">
      <c r="AL834" s="4"/>
      <c r="AO834" s="4"/>
      <c r="AS834" s="4"/>
      <c r="AV834" s="4"/>
      <c r="AW834" s="4"/>
      <c r="AY834" s="4"/>
      <c r="AZ834" s="4"/>
      <c r="BA834" s="4"/>
      <c r="BC834" s="4"/>
      <c r="BD834" s="4"/>
      <c r="BG834" s="4"/>
      <c r="BH834" s="4"/>
      <c r="BK834" s="4"/>
    </row>
    <row r="835" spans="38:63" x14ac:dyDescent="0.25">
      <c r="AL835" s="4"/>
      <c r="AO835" s="4"/>
      <c r="AS835" s="4"/>
      <c r="AV835" s="4"/>
      <c r="AW835" s="4"/>
      <c r="AY835" s="4"/>
      <c r="AZ835" s="4"/>
      <c r="BA835" s="4"/>
      <c r="BC835" s="4"/>
      <c r="BD835" s="4"/>
      <c r="BG835" s="4"/>
      <c r="BH835" s="4"/>
      <c r="BK835" s="4"/>
    </row>
    <row r="836" spans="38:63" x14ac:dyDescent="0.25">
      <c r="AL836" s="4"/>
      <c r="AO836" s="4"/>
      <c r="AS836" s="4"/>
      <c r="AV836" s="4"/>
      <c r="AW836" s="4"/>
      <c r="AY836" s="4"/>
      <c r="AZ836" s="4"/>
      <c r="BA836" s="4"/>
      <c r="BC836" s="4"/>
      <c r="BD836" s="4"/>
      <c r="BG836" s="4"/>
      <c r="BH836" s="4"/>
      <c r="BK836" s="4"/>
    </row>
    <row r="837" spans="38:63" x14ac:dyDescent="0.25">
      <c r="AL837" s="4"/>
      <c r="AO837" s="4"/>
      <c r="AS837" s="4"/>
      <c r="AV837" s="4"/>
      <c r="AW837" s="4"/>
      <c r="AY837" s="4"/>
      <c r="AZ837" s="4"/>
      <c r="BA837" s="4"/>
      <c r="BC837" s="4"/>
      <c r="BD837" s="4"/>
      <c r="BG837" s="4"/>
      <c r="BH837" s="4"/>
      <c r="BK837" s="4"/>
    </row>
    <row r="838" spans="38:63" x14ac:dyDescent="0.25">
      <c r="AL838" s="4"/>
      <c r="AO838" s="4"/>
      <c r="AS838" s="4"/>
      <c r="AV838" s="4"/>
      <c r="AW838" s="4"/>
      <c r="AY838" s="4"/>
      <c r="AZ838" s="4"/>
      <c r="BA838" s="4"/>
      <c r="BC838" s="4"/>
      <c r="BD838" s="4"/>
      <c r="BG838" s="4"/>
      <c r="BH838" s="4"/>
      <c r="BK838" s="4"/>
    </row>
    <row r="839" spans="38:63" x14ac:dyDescent="0.25">
      <c r="AL839" s="4"/>
      <c r="AO839" s="4"/>
      <c r="AS839" s="4"/>
      <c r="AV839" s="4"/>
      <c r="AW839" s="4"/>
      <c r="AY839" s="4"/>
      <c r="AZ839" s="4"/>
      <c r="BA839" s="4"/>
      <c r="BC839" s="4"/>
      <c r="BD839" s="4"/>
      <c r="BG839" s="4"/>
      <c r="BH839" s="4"/>
      <c r="BK839" s="4"/>
    </row>
    <row r="840" spans="38:63" x14ac:dyDescent="0.25">
      <c r="AL840" s="4"/>
      <c r="AO840" s="4"/>
      <c r="AS840" s="4"/>
      <c r="AV840" s="4"/>
      <c r="AW840" s="4"/>
      <c r="AY840" s="4"/>
      <c r="AZ840" s="4"/>
      <c r="BA840" s="4"/>
      <c r="BC840" s="4"/>
      <c r="BD840" s="4"/>
      <c r="BG840" s="4"/>
      <c r="BH840" s="4"/>
      <c r="BK840" s="4"/>
    </row>
    <row r="841" spans="38:63" x14ac:dyDescent="0.25">
      <c r="AL841" s="4"/>
      <c r="AO841" s="4"/>
      <c r="AS841" s="4"/>
      <c r="AV841" s="4"/>
      <c r="AW841" s="4"/>
      <c r="AY841" s="4"/>
      <c r="AZ841" s="4"/>
      <c r="BA841" s="4"/>
      <c r="BC841" s="4"/>
      <c r="BD841" s="4"/>
      <c r="BG841" s="4"/>
      <c r="BH841" s="4"/>
      <c r="BK841" s="4"/>
    </row>
    <row r="842" spans="38:63" x14ac:dyDescent="0.25">
      <c r="AL842" s="4"/>
      <c r="AO842" s="4"/>
      <c r="AS842" s="4"/>
      <c r="AV842" s="4"/>
      <c r="AW842" s="4"/>
      <c r="AY842" s="4"/>
      <c r="AZ842" s="4"/>
      <c r="BA842" s="4"/>
      <c r="BC842" s="4"/>
      <c r="BD842" s="4"/>
      <c r="BG842" s="4"/>
      <c r="BH842" s="4"/>
      <c r="BK842" s="4"/>
    </row>
    <row r="843" spans="38:63" x14ac:dyDescent="0.25">
      <c r="AL843" s="4"/>
      <c r="AO843" s="4"/>
      <c r="AS843" s="4"/>
      <c r="AV843" s="4"/>
      <c r="AW843" s="4"/>
      <c r="AY843" s="4"/>
      <c r="AZ843" s="4"/>
      <c r="BA843" s="4"/>
      <c r="BC843" s="4"/>
      <c r="BD843" s="4"/>
      <c r="BG843" s="4"/>
      <c r="BH843" s="4"/>
      <c r="BK843" s="4"/>
    </row>
    <row r="844" spans="38:63" x14ac:dyDescent="0.25">
      <c r="AL844" s="4"/>
      <c r="AO844" s="4"/>
      <c r="AS844" s="4"/>
      <c r="AV844" s="4"/>
      <c r="AW844" s="4"/>
      <c r="AY844" s="4"/>
      <c r="AZ844" s="4"/>
      <c r="BA844" s="4"/>
      <c r="BC844" s="4"/>
      <c r="BD844" s="4"/>
      <c r="BG844" s="4"/>
      <c r="BH844" s="4"/>
      <c r="BK844" s="4"/>
    </row>
    <row r="845" spans="38:63" x14ac:dyDescent="0.25">
      <c r="AL845" s="4"/>
      <c r="AO845" s="4"/>
      <c r="AS845" s="4"/>
      <c r="AV845" s="4"/>
      <c r="AW845" s="4"/>
      <c r="AY845" s="4"/>
      <c r="AZ845" s="4"/>
      <c r="BA845" s="4"/>
      <c r="BC845" s="4"/>
      <c r="BD845" s="4"/>
      <c r="BG845" s="4"/>
      <c r="BH845" s="4"/>
      <c r="BK845" s="4"/>
    </row>
    <row r="846" spans="38:63" x14ac:dyDescent="0.25">
      <c r="AL846" s="4"/>
      <c r="AO846" s="4"/>
      <c r="AS846" s="4"/>
      <c r="AV846" s="4"/>
      <c r="AW846" s="4"/>
      <c r="AY846" s="4"/>
      <c r="AZ846" s="4"/>
      <c r="BA846" s="4"/>
      <c r="BC846" s="4"/>
      <c r="BD846" s="4"/>
      <c r="BG846" s="4"/>
      <c r="BH846" s="4"/>
      <c r="BK846" s="4"/>
    </row>
    <row r="847" spans="38:63" x14ac:dyDescent="0.25">
      <c r="AL847" s="4"/>
      <c r="AO847" s="4"/>
      <c r="AS847" s="4"/>
      <c r="AV847" s="4"/>
      <c r="AW847" s="4"/>
      <c r="AY847" s="4"/>
      <c r="AZ847" s="4"/>
      <c r="BA847" s="4"/>
      <c r="BC847" s="4"/>
      <c r="BD847" s="4"/>
      <c r="BG847" s="4"/>
      <c r="BH847" s="4"/>
      <c r="BK847" s="4"/>
    </row>
    <row r="848" spans="38:63" x14ac:dyDescent="0.25">
      <c r="AL848" s="4"/>
      <c r="AO848" s="4"/>
      <c r="AS848" s="4"/>
      <c r="AV848" s="4"/>
      <c r="AW848" s="4"/>
      <c r="AY848" s="4"/>
      <c r="AZ848" s="4"/>
      <c r="BA848" s="4"/>
      <c r="BC848" s="4"/>
      <c r="BD848" s="4"/>
      <c r="BG848" s="4"/>
      <c r="BH848" s="4"/>
      <c r="BK848" s="4"/>
    </row>
    <row r="849" spans="38:63" x14ac:dyDescent="0.25">
      <c r="AL849" s="4"/>
      <c r="AO849" s="4"/>
      <c r="AS849" s="4"/>
      <c r="AV849" s="4"/>
      <c r="AW849" s="4"/>
      <c r="AY849" s="4"/>
      <c r="AZ849" s="4"/>
      <c r="BA849" s="4"/>
      <c r="BC849" s="4"/>
      <c r="BD849" s="4"/>
      <c r="BG849" s="4"/>
      <c r="BH849" s="4"/>
      <c r="BK849" s="4"/>
    </row>
    <row r="850" spans="38:63" x14ac:dyDescent="0.25">
      <c r="AL850" s="4"/>
      <c r="AO850" s="4"/>
      <c r="AS850" s="4"/>
      <c r="AV850" s="4"/>
      <c r="AW850" s="4"/>
      <c r="AY850" s="4"/>
      <c r="AZ850" s="4"/>
      <c r="BA850" s="4"/>
      <c r="BC850" s="4"/>
      <c r="BD850" s="4"/>
      <c r="BG850" s="4"/>
      <c r="BH850" s="4"/>
      <c r="BK850" s="4"/>
    </row>
    <row r="851" spans="38:63" x14ac:dyDescent="0.25">
      <c r="AL851" s="4"/>
      <c r="AO851" s="4"/>
      <c r="AS851" s="4"/>
      <c r="AV851" s="4"/>
      <c r="AW851" s="4"/>
      <c r="AY851" s="4"/>
      <c r="AZ851" s="4"/>
      <c r="BA851" s="4"/>
      <c r="BC851" s="4"/>
      <c r="BD851" s="4"/>
      <c r="BG851" s="4"/>
      <c r="BH851" s="4"/>
      <c r="BK851" s="4"/>
    </row>
    <row r="852" spans="38:63" x14ac:dyDescent="0.25">
      <c r="AL852" s="4"/>
      <c r="AO852" s="4"/>
      <c r="AS852" s="4"/>
      <c r="AV852" s="4"/>
      <c r="AW852" s="4"/>
      <c r="AY852" s="4"/>
      <c r="AZ852" s="4"/>
      <c r="BA852" s="4"/>
      <c r="BC852" s="4"/>
      <c r="BD852" s="4"/>
      <c r="BG852" s="4"/>
      <c r="BH852" s="4"/>
      <c r="BK852" s="4"/>
    </row>
    <row r="853" spans="38:63" x14ac:dyDescent="0.25">
      <c r="AL853" s="4"/>
      <c r="AO853" s="4"/>
      <c r="AS853" s="4"/>
      <c r="AV853" s="4"/>
      <c r="AW853" s="4"/>
      <c r="AY853" s="4"/>
      <c r="AZ853" s="4"/>
      <c r="BA853" s="4"/>
      <c r="BC853" s="4"/>
      <c r="BD853" s="4"/>
      <c r="BG853" s="4"/>
      <c r="BH853" s="4"/>
      <c r="BK853" s="4"/>
    </row>
    <row r="854" spans="38:63" x14ac:dyDescent="0.25">
      <c r="AL854" s="4"/>
      <c r="AO854" s="4"/>
      <c r="AS854" s="4"/>
      <c r="AV854" s="4"/>
      <c r="AW854" s="4"/>
      <c r="AY854" s="4"/>
      <c r="AZ854" s="4"/>
      <c r="BA854" s="4"/>
      <c r="BC854" s="4"/>
      <c r="BD854" s="4"/>
      <c r="BG854" s="4"/>
      <c r="BH854" s="4"/>
      <c r="BK854" s="4"/>
    </row>
    <row r="855" spans="38:63" x14ac:dyDescent="0.25">
      <c r="AL855" s="4"/>
      <c r="AO855" s="4"/>
      <c r="AS855" s="4"/>
      <c r="AV855" s="4"/>
      <c r="AW855" s="4"/>
      <c r="AY855" s="4"/>
      <c r="AZ855" s="4"/>
      <c r="BA855" s="4"/>
      <c r="BC855" s="4"/>
      <c r="BD855" s="4"/>
      <c r="BG855" s="4"/>
      <c r="BH855" s="4"/>
      <c r="BK855" s="4"/>
    </row>
    <row r="856" spans="38:63" x14ac:dyDescent="0.25">
      <c r="AL856" s="4"/>
      <c r="AO856" s="4"/>
      <c r="AS856" s="4"/>
      <c r="AV856" s="4"/>
      <c r="AW856" s="4"/>
      <c r="AY856" s="4"/>
      <c r="AZ856" s="4"/>
      <c r="BA856" s="4"/>
      <c r="BC856" s="4"/>
      <c r="BD856" s="4"/>
      <c r="BG856" s="4"/>
      <c r="BH856" s="4"/>
      <c r="BK856" s="4"/>
    </row>
    <row r="857" spans="38:63" x14ac:dyDescent="0.25">
      <c r="AL857" s="4"/>
      <c r="AO857" s="4"/>
      <c r="AS857" s="4"/>
      <c r="AV857" s="4"/>
      <c r="AW857" s="4"/>
      <c r="AY857" s="4"/>
      <c r="AZ857" s="4"/>
      <c r="BA857" s="4"/>
      <c r="BC857" s="4"/>
      <c r="BD857" s="4"/>
      <c r="BG857" s="4"/>
      <c r="BH857" s="4"/>
      <c r="BK857" s="4"/>
    </row>
    <row r="858" spans="38:63" x14ac:dyDescent="0.25">
      <c r="AL858" s="4"/>
      <c r="AO858" s="4"/>
      <c r="AS858" s="4"/>
      <c r="AV858" s="4"/>
      <c r="AW858" s="4"/>
      <c r="AY858" s="4"/>
      <c r="AZ858" s="4"/>
      <c r="BA858" s="4"/>
      <c r="BC858" s="4"/>
      <c r="BD858" s="4"/>
      <c r="BG858" s="4"/>
      <c r="BH858" s="4"/>
      <c r="BK858" s="4"/>
    </row>
    <row r="859" spans="38:63" x14ac:dyDescent="0.25">
      <c r="AL859" s="4"/>
      <c r="AO859" s="4"/>
      <c r="AS859" s="4"/>
      <c r="AV859" s="4"/>
      <c r="AW859" s="4"/>
      <c r="AY859" s="4"/>
      <c r="AZ859" s="4"/>
      <c r="BA859" s="4"/>
      <c r="BC859" s="4"/>
      <c r="BD859" s="4"/>
      <c r="BG859" s="4"/>
      <c r="BH859" s="4"/>
      <c r="BK859" s="4"/>
    </row>
    <row r="860" spans="38:63" x14ac:dyDescent="0.25">
      <c r="AL860" s="4"/>
      <c r="AO860" s="4"/>
      <c r="AS860" s="4"/>
      <c r="AV860" s="4"/>
      <c r="AW860" s="4"/>
      <c r="AY860" s="4"/>
      <c r="AZ860" s="4"/>
      <c r="BA860" s="4"/>
      <c r="BC860" s="4"/>
      <c r="BD860" s="4"/>
      <c r="BG860" s="4"/>
      <c r="BH860" s="4"/>
      <c r="BK860" s="4"/>
    </row>
    <row r="861" spans="38:63" x14ac:dyDescent="0.25">
      <c r="AL861" s="4"/>
      <c r="AO861" s="4"/>
      <c r="AS861" s="4"/>
      <c r="AV861" s="4"/>
      <c r="AW861" s="4"/>
      <c r="AY861" s="4"/>
      <c r="AZ861" s="4"/>
      <c r="BA861" s="4"/>
      <c r="BC861" s="4"/>
      <c r="BD861" s="4"/>
      <c r="BG861" s="4"/>
      <c r="BH861" s="4"/>
      <c r="BK861" s="4"/>
    </row>
    <row r="862" spans="38:63" x14ac:dyDescent="0.25">
      <c r="AL862" s="4"/>
      <c r="AO862" s="4"/>
      <c r="AS862" s="4"/>
      <c r="AV862" s="4"/>
      <c r="AW862" s="4"/>
      <c r="AY862" s="4"/>
      <c r="AZ862" s="4"/>
      <c r="BA862" s="4"/>
      <c r="BC862" s="4"/>
      <c r="BD862" s="4"/>
      <c r="BG862" s="4"/>
      <c r="BH862" s="4"/>
      <c r="BK862" s="4"/>
    </row>
    <row r="863" spans="38:63" x14ac:dyDescent="0.25">
      <c r="AL863" s="4"/>
      <c r="AO863" s="4"/>
      <c r="AS863" s="4"/>
      <c r="AV863" s="4"/>
      <c r="AW863" s="4"/>
      <c r="AY863" s="4"/>
      <c r="AZ863" s="4"/>
      <c r="BA863" s="4"/>
      <c r="BC863" s="4"/>
      <c r="BD863" s="4"/>
      <c r="BG863" s="4"/>
      <c r="BH863" s="4"/>
      <c r="BK863" s="4"/>
    </row>
    <row r="864" spans="38:63" x14ac:dyDescent="0.25">
      <c r="AL864" s="4"/>
      <c r="AO864" s="4"/>
      <c r="AS864" s="4"/>
      <c r="AV864" s="4"/>
      <c r="AW864" s="4"/>
      <c r="AY864" s="4"/>
      <c r="AZ864" s="4"/>
      <c r="BA864" s="4"/>
      <c r="BC864" s="4"/>
      <c r="BD864" s="4"/>
      <c r="BG864" s="4"/>
      <c r="BH864" s="4"/>
      <c r="BK864" s="4"/>
    </row>
    <row r="865" spans="38:63" x14ac:dyDescent="0.25">
      <c r="AL865" s="4"/>
      <c r="AO865" s="4"/>
      <c r="AS865" s="4"/>
      <c r="AV865" s="4"/>
      <c r="AW865" s="4"/>
      <c r="AY865" s="4"/>
      <c r="AZ865" s="4"/>
      <c r="BA865" s="4"/>
      <c r="BC865" s="4"/>
      <c r="BD865" s="4"/>
      <c r="BG865" s="4"/>
      <c r="BH865" s="4"/>
      <c r="BK865" s="4"/>
    </row>
    <row r="866" spans="38:63" x14ac:dyDescent="0.25">
      <c r="AL866" s="4"/>
      <c r="AO866" s="4"/>
      <c r="AS866" s="4"/>
      <c r="AV866" s="4"/>
      <c r="AW866" s="4"/>
      <c r="AY866" s="4"/>
      <c r="AZ866" s="4"/>
      <c r="BA866" s="4"/>
      <c r="BC866" s="4"/>
      <c r="BD866" s="4"/>
      <c r="BG866" s="4"/>
      <c r="BH866" s="4"/>
      <c r="BK866" s="4"/>
    </row>
    <row r="867" spans="38:63" x14ac:dyDescent="0.25">
      <c r="AL867" s="4"/>
      <c r="AO867" s="4"/>
      <c r="AS867" s="4"/>
      <c r="AV867" s="4"/>
      <c r="AW867" s="4"/>
      <c r="AY867" s="4"/>
      <c r="AZ867" s="4"/>
      <c r="BA867" s="4"/>
      <c r="BC867" s="4"/>
      <c r="BD867" s="4"/>
      <c r="BG867" s="4"/>
      <c r="BH867" s="4"/>
      <c r="BK867" s="4"/>
    </row>
    <row r="868" spans="38:63" x14ac:dyDescent="0.25">
      <c r="AL868" s="4"/>
      <c r="AO868" s="4"/>
      <c r="AS868" s="4"/>
      <c r="AV868" s="4"/>
      <c r="AW868" s="4"/>
      <c r="AY868" s="4"/>
      <c r="AZ868" s="4"/>
      <c r="BA868" s="4"/>
      <c r="BC868" s="4"/>
      <c r="BD868" s="4"/>
      <c r="BG868" s="4"/>
      <c r="BH868" s="4"/>
      <c r="BK868" s="4"/>
    </row>
    <row r="869" spans="38:63" x14ac:dyDescent="0.25">
      <c r="AL869" s="4"/>
      <c r="AO869" s="4"/>
      <c r="AS869" s="4"/>
      <c r="AV869" s="4"/>
      <c r="AW869" s="4"/>
      <c r="AY869" s="4"/>
      <c r="AZ869" s="4"/>
      <c r="BA869" s="4"/>
      <c r="BC869" s="4"/>
      <c r="BD869" s="4"/>
      <c r="BG869" s="4"/>
      <c r="BH869" s="4"/>
      <c r="BK869" s="4"/>
    </row>
    <row r="870" spans="38:63" x14ac:dyDescent="0.25">
      <c r="AL870" s="4"/>
      <c r="AO870" s="4"/>
      <c r="AS870" s="4"/>
      <c r="AV870" s="4"/>
      <c r="AW870" s="4"/>
      <c r="AY870" s="4"/>
      <c r="AZ870" s="4"/>
      <c r="BA870" s="4"/>
      <c r="BC870" s="4"/>
      <c r="BD870" s="4"/>
      <c r="BG870" s="4"/>
      <c r="BH870" s="4"/>
      <c r="BK870" s="4"/>
    </row>
    <row r="871" spans="38:63" x14ac:dyDescent="0.25">
      <c r="AL871" s="4"/>
      <c r="AO871" s="4"/>
      <c r="AS871" s="4"/>
      <c r="AV871" s="4"/>
      <c r="AW871" s="4"/>
      <c r="AY871" s="4"/>
      <c r="AZ871" s="4"/>
      <c r="BA871" s="4"/>
      <c r="BC871" s="4"/>
      <c r="BD871" s="4"/>
      <c r="BG871" s="4"/>
      <c r="BH871" s="4"/>
      <c r="BK871" s="4"/>
    </row>
    <row r="872" spans="38:63" x14ac:dyDescent="0.25">
      <c r="AL872" s="4"/>
      <c r="AO872" s="4"/>
      <c r="AS872" s="4"/>
      <c r="AV872" s="4"/>
      <c r="AW872" s="4"/>
      <c r="AY872" s="4"/>
      <c r="AZ872" s="4"/>
      <c r="BA872" s="4"/>
      <c r="BC872" s="4"/>
      <c r="BD872" s="4"/>
      <c r="BG872" s="4"/>
      <c r="BH872" s="4"/>
      <c r="BK872" s="4"/>
    </row>
    <row r="873" spans="38:63" x14ac:dyDescent="0.25">
      <c r="AL873" s="4"/>
      <c r="AO873" s="4"/>
      <c r="AS873" s="4"/>
      <c r="AV873" s="4"/>
      <c r="AW873" s="4"/>
      <c r="AY873" s="4"/>
      <c r="AZ873" s="4"/>
      <c r="BA873" s="4"/>
      <c r="BC873" s="4"/>
      <c r="BD873" s="4"/>
      <c r="BG873" s="4"/>
      <c r="BH873" s="4"/>
      <c r="BK873" s="4"/>
    </row>
    <row r="874" spans="38:63" x14ac:dyDescent="0.25">
      <c r="AL874" s="4"/>
      <c r="AO874" s="4"/>
      <c r="AS874" s="4"/>
      <c r="AV874" s="4"/>
      <c r="AW874" s="4"/>
      <c r="AY874" s="4"/>
      <c r="AZ874" s="4"/>
      <c r="BA874" s="4"/>
      <c r="BC874" s="4"/>
      <c r="BD874" s="4"/>
      <c r="BG874" s="4"/>
      <c r="BH874" s="4"/>
      <c r="BK874" s="4"/>
    </row>
    <row r="875" spans="38:63" x14ac:dyDescent="0.25">
      <c r="AL875" s="4"/>
      <c r="AO875" s="4"/>
      <c r="AS875" s="4"/>
      <c r="AV875" s="4"/>
      <c r="AW875" s="4"/>
      <c r="AY875" s="4"/>
      <c r="AZ875" s="4"/>
      <c r="BA875" s="4"/>
      <c r="BC875" s="4"/>
      <c r="BD875" s="4"/>
      <c r="BG875" s="4"/>
      <c r="BH875" s="4"/>
      <c r="BK875" s="4"/>
    </row>
    <row r="876" spans="38:63" x14ac:dyDescent="0.25">
      <c r="AL876" s="4"/>
      <c r="AO876" s="4"/>
      <c r="AS876" s="4"/>
      <c r="AV876" s="4"/>
      <c r="AW876" s="4"/>
      <c r="AY876" s="4"/>
      <c r="AZ876" s="4"/>
      <c r="BA876" s="4"/>
      <c r="BC876" s="4"/>
      <c r="BD876" s="4"/>
      <c r="BG876" s="4"/>
      <c r="BH876" s="4"/>
      <c r="BK876" s="4"/>
    </row>
    <row r="877" spans="38:63" x14ac:dyDescent="0.25">
      <c r="AL877" s="4"/>
      <c r="AO877" s="4"/>
      <c r="AS877" s="4"/>
      <c r="AV877" s="4"/>
      <c r="AW877" s="4"/>
      <c r="AY877" s="4"/>
      <c r="AZ877" s="4"/>
      <c r="BA877" s="4"/>
      <c r="BC877" s="4"/>
      <c r="BD877" s="4"/>
      <c r="BG877" s="4"/>
      <c r="BH877" s="4"/>
      <c r="BK877" s="4"/>
    </row>
    <row r="878" spans="38:63" x14ac:dyDescent="0.25">
      <c r="AL878" s="4"/>
      <c r="AO878" s="4"/>
      <c r="AS878" s="4"/>
      <c r="AV878" s="4"/>
      <c r="AW878" s="4"/>
      <c r="AY878" s="4"/>
      <c r="AZ878" s="4"/>
      <c r="BA878" s="4"/>
      <c r="BC878" s="4"/>
      <c r="BD878" s="4"/>
      <c r="BG878" s="4"/>
      <c r="BH878" s="4"/>
      <c r="BK878" s="4"/>
    </row>
    <row r="879" spans="38:63" x14ac:dyDescent="0.25">
      <c r="AL879" s="4"/>
      <c r="AO879" s="4"/>
      <c r="AS879" s="4"/>
      <c r="AV879" s="4"/>
      <c r="AW879" s="4"/>
      <c r="AY879" s="4"/>
      <c r="AZ879" s="4"/>
      <c r="BA879" s="4"/>
      <c r="BC879" s="4"/>
      <c r="BD879" s="4"/>
      <c r="BG879" s="4"/>
      <c r="BH879" s="4"/>
      <c r="BK879" s="4"/>
    </row>
    <row r="880" spans="38:63" x14ac:dyDescent="0.25">
      <c r="AL880" s="4"/>
      <c r="AO880" s="4"/>
      <c r="AS880" s="4"/>
      <c r="AV880" s="4"/>
      <c r="AW880" s="4"/>
      <c r="AY880" s="4"/>
      <c r="AZ880" s="4"/>
      <c r="BA880" s="4"/>
      <c r="BC880" s="4"/>
      <c r="BD880" s="4"/>
      <c r="BG880" s="4"/>
      <c r="BH880" s="4"/>
      <c r="BK880" s="4"/>
    </row>
    <row r="881" spans="38:63" x14ac:dyDescent="0.25">
      <c r="AL881" s="4"/>
      <c r="AO881" s="4"/>
      <c r="AS881" s="4"/>
      <c r="AV881" s="4"/>
      <c r="AW881" s="4"/>
      <c r="AY881" s="4"/>
      <c r="AZ881" s="4"/>
      <c r="BA881" s="4"/>
      <c r="BC881" s="4"/>
      <c r="BD881" s="4"/>
      <c r="BG881" s="4"/>
      <c r="BH881" s="4"/>
      <c r="BK881" s="4"/>
    </row>
    <row r="882" spans="38:63" x14ac:dyDescent="0.25">
      <c r="AL882" s="4"/>
      <c r="AO882" s="4"/>
      <c r="AS882" s="4"/>
      <c r="AV882" s="4"/>
      <c r="AW882" s="4"/>
      <c r="AY882" s="4"/>
      <c r="AZ882" s="4"/>
      <c r="BA882" s="4"/>
      <c r="BC882" s="4"/>
      <c r="BD882" s="4"/>
      <c r="BG882" s="4"/>
      <c r="BH882" s="4"/>
      <c r="BK882" s="4"/>
    </row>
    <row r="883" spans="38:63" x14ac:dyDescent="0.25">
      <c r="AL883" s="4"/>
      <c r="AO883" s="4"/>
      <c r="AS883" s="4"/>
      <c r="AV883" s="4"/>
      <c r="AW883" s="4"/>
      <c r="AY883" s="4"/>
      <c r="AZ883" s="4"/>
      <c r="BA883" s="4"/>
      <c r="BC883" s="4"/>
      <c r="BD883" s="4"/>
      <c r="BG883" s="4"/>
      <c r="BH883" s="4"/>
      <c r="BK883" s="4"/>
    </row>
    <row r="884" spans="38:63" x14ac:dyDescent="0.25">
      <c r="AL884" s="4"/>
      <c r="AO884" s="4"/>
      <c r="AS884" s="4"/>
      <c r="AV884" s="4"/>
      <c r="AW884" s="4"/>
      <c r="AY884" s="4"/>
      <c r="AZ884" s="4"/>
      <c r="BA884" s="4"/>
      <c r="BC884" s="4"/>
      <c r="BD884" s="4"/>
      <c r="BG884" s="4"/>
      <c r="BH884" s="4"/>
      <c r="BK884" s="4"/>
    </row>
    <row r="885" spans="38:63" x14ac:dyDescent="0.25">
      <c r="AL885" s="4"/>
      <c r="AO885" s="4"/>
      <c r="AS885" s="4"/>
      <c r="AV885" s="4"/>
      <c r="AW885" s="4"/>
      <c r="AY885" s="4"/>
      <c r="AZ885" s="4"/>
      <c r="BA885" s="4"/>
      <c r="BC885" s="4"/>
      <c r="BD885" s="4"/>
      <c r="BG885" s="4"/>
      <c r="BH885" s="4"/>
      <c r="BK885" s="4"/>
    </row>
    <row r="886" spans="38:63" x14ac:dyDescent="0.25">
      <c r="AL886" s="4"/>
      <c r="AO886" s="4"/>
      <c r="AS886" s="4"/>
      <c r="AV886" s="4"/>
      <c r="AW886" s="4"/>
      <c r="AY886" s="4"/>
      <c r="AZ886" s="4"/>
      <c r="BA886" s="4"/>
      <c r="BC886" s="4"/>
      <c r="BD886" s="4"/>
      <c r="BG886" s="4"/>
      <c r="BH886" s="4"/>
      <c r="BK886" s="4"/>
    </row>
    <row r="887" spans="38:63" x14ac:dyDescent="0.25">
      <c r="AL887" s="4"/>
      <c r="AO887" s="4"/>
      <c r="AS887" s="4"/>
      <c r="AV887" s="4"/>
      <c r="AW887" s="4"/>
      <c r="AY887" s="4"/>
      <c r="AZ887" s="4"/>
      <c r="BA887" s="4"/>
      <c r="BC887" s="4"/>
      <c r="BD887" s="4"/>
      <c r="BG887" s="4"/>
      <c r="BH887" s="4"/>
      <c r="BK887" s="4"/>
    </row>
    <row r="888" spans="38:63" x14ac:dyDescent="0.25">
      <c r="AL888" s="4"/>
      <c r="AO888" s="4"/>
      <c r="AS888" s="4"/>
      <c r="AV888" s="4"/>
      <c r="AW888" s="4"/>
      <c r="AY888" s="4"/>
      <c r="AZ888" s="4"/>
      <c r="BA888" s="4"/>
      <c r="BC888" s="4"/>
      <c r="BD888" s="4"/>
      <c r="BG888" s="4"/>
      <c r="BH888" s="4"/>
      <c r="BK888" s="4"/>
    </row>
    <row r="889" spans="38:63" x14ac:dyDescent="0.25">
      <c r="AL889" s="4"/>
      <c r="AO889" s="4"/>
      <c r="AS889" s="4"/>
      <c r="AV889" s="4"/>
      <c r="AW889" s="4"/>
      <c r="AY889" s="4"/>
      <c r="AZ889" s="4"/>
      <c r="BA889" s="4"/>
      <c r="BC889" s="4"/>
      <c r="BD889" s="4"/>
      <c r="BG889" s="4"/>
      <c r="BH889" s="4"/>
      <c r="BK889" s="4"/>
    </row>
    <row r="890" spans="38:63" x14ac:dyDescent="0.25">
      <c r="AL890" s="4"/>
      <c r="AO890" s="4"/>
      <c r="AS890" s="4"/>
      <c r="AV890" s="4"/>
      <c r="AW890" s="4"/>
      <c r="AY890" s="4"/>
      <c r="AZ890" s="4"/>
      <c r="BA890" s="4"/>
      <c r="BC890" s="4"/>
      <c r="BD890" s="4"/>
      <c r="BG890" s="4"/>
      <c r="BH890" s="4"/>
      <c r="BK890" s="4"/>
    </row>
    <row r="891" spans="38:63" x14ac:dyDescent="0.25">
      <c r="AL891" s="4"/>
      <c r="AO891" s="4"/>
      <c r="AS891" s="4"/>
      <c r="AV891" s="4"/>
      <c r="AW891" s="4"/>
      <c r="AY891" s="4"/>
      <c r="AZ891" s="4"/>
      <c r="BA891" s="4"/>
      <c r="BC891" s="4"/>
      <c r="BD891" s="4"/>
      <c r="BG891" s="4"/>
      <c r="BH891" s="4"/>
      <c r="BK891" s="4"/>
    </row>
    <row r="892" spans="38:63" x14ac:dyDescent="0.25">
      <c r="AL892" s="4"/>
      <c r="AO892" s="4"/>
      <c r="AS892" s="4"/>
      <c r="AV892" s="4"/>
      <c r="AW892" s="4"/>
      <c r="AY892" s="4"/>
      <c r="AZ892" s="4"/>
      <c r="BA892" s="4"/>
      <c r="BC892" s="4"/>
      <c r="BD892" s="4"/>
      <c r="BG892" s="4"/>
      <c r="BH892" s="4"/>
      <c r="BK892" s="4"/>
    </row>
    <row r="893" spans="38:63" x14ac:dyDescent="0.25">
      <c r="AL893" s="4"/>
      <c r="AO893" s="4"/>
      <c r="AS893" s="4"/>
      <c r="AV893" s="4"/>
      <c r="AW893" s="4"/>
      <c r="AY893" s="4"/>
      <c r="AZ893" s="4"/>
      <c r="BA893" s="4"/>
      <c r="BC893" s="4"/>
      <c r="BD893" s="4"/>
      <c r="BG893" s="4"/>
      <c r="BH893" s="4"/>
      <c r="BK893" s="4"/>
    </row>
    <row r="894" spans="38:63" x14ac:dyDescent="0.25">
      <c r="AL894" s="4"/>
      <c r="AO894" s="4"/>
      <c r="AS894" s="4"/>
      <c r="AV894" s="4"/>
      <c r="AW894" s="4"/>
      <c r="AY894" s="4"/>
      <c r="AZ894" s="4"/>
      <c r="BA894" s="4"/>
      <c r="BC894" s="4"/>
      <c r="BD894" s="4"/>
      <c r="BG894" s="4"/>
      <c r="BH894" s="4"/>
      <c r="BK894" s="4"/>
    </row>
    <row r="895" spans="38:63" x14ac:dyDescent="0.25">
      <c r="AL895" s="4"/>
      <c r="AO895" s="4"/>
      <c r="AS895" s="4"/>
      <c r="AV895" s="4"/>
      <c r="AW895" s="4"/>
      <c r="AY895" s="4"/>
      <c r="AZ895" s="4"/>
      <c r="BA895" s="4"/>
      <c r="BC895" s="4"/>
      <c r="BD895" s="4"/>
      <c r="BG895" s="4"/>
      <c r="BH895" s="4"/>
      <c r="BK895" s="4"/>
    </row>
    <row r="896" spans="38:63" x14ac:dyDescent="0.25">
      <c r="AL896" s="4"/>
      <c r="AO896" s="4"/>
      <c r="AS896" s="4"/>
      <c r="AV896" s="4"/>
      <c r="AW896" s="4"/>
      <c r="AY896" s="4"/>
      <c r="AZ896" s="4"/>
      <c r="BA896" s="4"/>
      <c r="BC896" s="4"/>
      <c r="BD896" s="4"/>
      <c r="BG896" s="4"/>
      <c r="BH896" s="4"/>
      <c r="BK896" s="4"/>
    </row>
    <row r="897" spans="38:63" x14ac:dyDescent="0.25">
      <c r="AL897" s="4"/>
      <c r="AO897" s="4"/>
      <c r="AS897" s="4"/>
      <c r="AV897" s="4"/>
      <c r="AW897" s="4"/>
      <c r="AY897" s="4"/>
      <c r="AZ897" s="4"/>
      <c r="BA897" s="4"/>
      <c r="BC897" s="4"/>
      <c r="BD897" s="4"/>
      <c r="BG897" s="4"/>
      <c r="BH897" s="4"/>
      <c r="BK897" s="4"/>
    </row>
    <row r="898" spans="38:63" x14ac:dyDescent="0.25">
      <c r="AL898" s="4"/>
      <c r="AO898" s="4"/>
      <c r="AS898" s="4"/>
      <c r="AV898" s="4"/>
      <c r="AW898" s="4"/>
      <c r="AY898" s="4"/>
      <c r="AZ898" s="4"/>
      <c r="BA898" s="4"/>
      <c r="BC898" s="4"/>
      <c r="BD898" s="4"/>
      <c r="BG898" s="4"/>
      <c r="BH898" s="4"/>
      <c r="BK898" s="4"/>
    </row>
    <row r="899" spans="38:63" x14ac:dyDescent="0.25">
      <c r="AL899" s="4"/>
      <c r="AO899" s="4"/>
      <c r="AS899" s="4"/>
      <c r="AV899" s="4"/>
      <c r="AW899" s="4"/>
      <c r="AY899" s="4"/>
      <c r="AZ899" s="4"/>
      <c r="BA899" s="4"/>
      <c r="BC899" s="4"/>
      <c r="BD899" s="4"/>
      <c r="BG899" s="4"/>
      <c r="BH899" s="4"/>
      <c r="BK899" s="4"/>
    </row>
    <row r="900" spans="38:63" x14ac:dyDescent="0.25">
      <c r="AL900" s="4"/>
      <c r="AO900" s="4"/>
      <c r="AS900" s="4"/>
      <c r="AV900" s="4"/>
      <c r="AW900" s="4"/>
      <c r="AY900" s="4"/>
      <c r="AZ900" s="4"/>
      <c r="BA900" s="4"/>
      <c r="BC900" s="4"/>
      <c r="BD900" s="4"/>
      <c r="BG900" s="4"/>
      <c r="BH900" s="4"/>
      <c r="BK900" s="4"/>
    </row>
    <row r="901" spans="38:63" x14ac:dyDescent="0.25">
      <c r="AL901" s="4"/>
      <c r="AO901" s="4"/>
      <c r="AS901" s="4"/>
      <c r="AV901" s="4"/>
      <c r="AW901" s="4"/>
      <c r="AY901" s="4"/>
      <c r="AZ901" s="4"/>
      <c r="BA901" s="4"/>
      <c r="BC901" s="4"/>
      <c r="BD901" s="4"/>
      <c r="BG901" s="4"/>
      <c r="BH901" s="4"/>
      <c r="BK901" s="4"/>
    </row>
    <row r="902" spans="38:63" x14ac:dyDescent="0.25">
      <c r="AL902" s="4"/>
      <c r="AO902" s="4"/>
      <c r="AS902" s="4"/>
      <c r="AV902" s="4"/>
      <c r="AW902" s="4"/>
      <c r="AY902" s="4"/>
      <c r="AZ902" s="4"/>
      <c r="BA902" s="4"/>
      <c r="BC902" s="4"/>
      <c r="BD902" s="4"/>
      <c r="BG902" s="4"/>
      <c r="BH902" s="4"/>
      <c r="BK902" s="4"/>
    </row>
    <row r="903" spans="38:63" x14ac:dyDescent="0.25">
      <c r="AL903" s="4"/>
      <c r="AO903" s="4"/>
      <c r="AS903" s="4"/>
      <c r="AV903" s="4"/>
      <c r="AW903" s="4"/>
      <c r="AY903" s="4"/>
      <c r="AZ903" s="4"/>
      <c r="BA903" s="4"/>
      <c r="BC903" s="4"/>
      <c r="BD903" s="4"/>
      <c r="BG903" s="4"/>
      <c r="BH903" s="4"/>
      <c r="BK903" s="4"/>
    </row>
    <row r="904" spans="38:63" x14ac:dyDescent="0.25">
      <c r="AL904" s="4"/>
      <c r="AO904" s="4"/>
      <c r="AS904" s="4"/>
      <c r="AV904" s="4"/>
      <c r="AW904" s="4"/>
      <c r="AY904" s="4"/>
      <c r="AZ904" s="4"/>
      <c r="BA904" s="4"/>
      <c r="BC904" s="4"/>
      <c r="BD904" s="4"/>
      <c r="BG904" s="4"/>
      <c r="BH904" s="4"/>
      <c r="BK904" s="4"/>
    </row>
    <row r="905" spans="38:63" x14ac:dyDescent="0.25">
      <c r="AL905" s="4"/>
      <c r="AO905" s="4"/>
      <c r="AS905" s="4"/>
      <c r="AV905" s="4"/>
      <c r="AW905" s="4"/>
      <c r="AY905" s="4"/>
      <c r="AZ905" s="4"/>
      <c r="BA905" s="4"/>
      <c r="BC905" s="4"/>
      <c r="BD905" s="4"/>
      <c r="BG905" s="4"/>
      <c r="BH905" s="4"/>
      <c r="BK905" s="4"/>
    </row>
    <row r="906" spans="38:63" x14ac:dyDescent="0.25">
      <c r="AL906" s="4"/>
      <c r="AO906" s="4"/>
      <c r="AS906" s="4"/>
      <c r="AV906" s="4"/>
      <c r="AW906" s="4"/>
      <c r="AY906" s="4"/>
      <c r="AZ906" s="4"/>
      <c r="BA906" s="4"/>
      <c r="BC906" s="4"/>
      <c r="BD906" s="4"/>
      <c r="BG906" s="4"/>
      <c r="BH906" s="4"/>
      <c r="BK906" s="4"/>
    </row>
    <row r="907" spans="38:63" x14ac:dyDescent="0.25">
      <c r="AL907" s="4"/>
      <c r="AO907" s="4"/>
      <c r="AS907" s="4"/>
      <c r="AV907" s="4"/>
      <c r="AW907" s="4"/>
      <c r="AY907" s="4"/>
      <c r="AZ907" s="4"/>
      <c r="BA907" s="4"/>
      <c r="BC907" s="4"/>
      <c r="BD907" s="4"/>
      <c r="BG907" s="4"/>
      <c r="BH907" s="4"/>
      <c r="BK907" s="4"/>
    </row>
    <row r="908" spans="38:63" x14ac:dyDescent="0.25">
      <c r="AL908" s="4"/>
      <c r="AO908" s="4"/>
      <c r="AS908" s="4"/>
      <c r="AV908" s="4"/>
      <c r="AW908" s="4"/>
      <c r="AY908" s="4"/>
      <c r="AZ908" s="4"/>
      <c r="BA908" s="4"/>
      <c r="BC908" s="4"/>
      <c r="BD908" s="4"/>
      <c r="BG908" s="4"/>
      <c r="BH908" s="4"/>
      <c r="BK908" s="4"/>
    </row>
    <row r="909" spans="38:63" x14ac:dyDescent="0.25">
      <c r="AL909" s="4"/>
      <c r="AO909" s="4"/>
      <c r="AS909" s="4"/>
      <c r="AV909" s="4"/>
      <c r="AW909" s="4"/>
      <c r="AY909" s="4"/>
      <c r="AZ909" s="4"/>
      <c r="BA909" s="4"/>
      <c r="BC909" s="4"/>
      <c r="BD909" s="4"/>
      <c r="BG909" s="4"/>
      <c r="BH909" s="4"/>
      <c r="BK909" s="4"/>
    </row>
    <row r="910" spans="38:63" x14ac:dyDescent="0.25">
      <c r="AL910" s="4"/>
      <c r="AO910" s="4"/>
      <c r="AS910" s="4"/>
      <c r="AV910" s="4"/>
      <c r="AW910" s="4"/>
      <c r="AY910" s="4"/>
      <c r="AZ910" s="4"/>
      <c r="BA910" s="4"/>
      <c r="BC910" s="4"/>
      <c r="BD910" s="4"/>
      <c r="BG910" s="4"/>
      <c r="BH910" s="4"/>
      <c r="BK910" s="4"/>
    </row>
    <row r="911" spans="38:63" x14ac:dyDescent="0.25">
      <c r="AL911" s="4"/>
      <c r="AO911" s="4"/>
      <c r="AS911" s="4"/>
      <c r="AV911" s="4"/>
      <c r="AW911" s="4"/>
      <c r="AY911" s="4"/>
      <c r="AZ911" s="4"/>
      <c r="BA911" s="4"/>
      <c r="BC911" s="4"/>
      <c r="BD911" s="4"/>
      <c r="BG911" s="4"/>
      <c r="BH911" s="4"/>
      <c r="BK911" s="4"/>
    </row>
    <row r="912" spans="38:63" x14ac:dyDescent="0.25">
      <c r="AL912" s="4"/>
      <c r="AO912" s="4"/>
      <c r="AS912" s="4"/>
      <c r="AV912" s="4"/>
      <c r="AW912" s="4"/>
      <c r="AY912" s="4"/>
      <c r="AZ912" s="4"/>
      <c r="BA912" s="4"/>
      <c r="BC912" s="4"/>
      <c r="BD912" s="4"/>
      <c r="BG912" s="4"/>
      <c r="BH912" s="4"/>
      <c r="BK912" s="4"/>
    </row>
    <row r="913" spans="38:63" x14ac:dyDescent="0.25">
      <c r="AL913" s="4"/>
      <c r="AO913" s="4"/>
      <c r="AS913" s="4"/>
      <c r="AV913" s="4"/>
      <c r="AW913" s="4"/>
      <c r="AY913" s="4"/>
      <c r="AZ913" s="4"/>
      <c r="BA913" s="4"/>
      <c r="BC913" s="4"/>
      <c r="BD913" s="4"/>
      <c r="BG913" s="4"/>
      <c r="BH913" s="4"/>
      <c r="BK913" s="4"/>
    </row>
    <row r="914" spans="38:63" x14ac:dyDescent="0.25">
      <c r="AL914" s="4"/>
      <c r="AO914" s="4"/>
      <c r="AS914" s="4"/>
      <c r="AV914" s="4"/>
      <c r="AW914" s="4"/>
      <c r="AY914" s="4"/>
      <c r="AZ914" s="4"/>
      <c r="BA914" s="4"/>
      <c r="BC914" s="4"/>
      <c r="BD914" s="4"/>
      <c r="BG914" s="4"/>
      <c r="BH914" s="4"/>
      <c r="BK914" s="4"/>
    </row>
    <row r="915" spans="38:63" x14ac:dyDescent="0.25">
      <c r="AL915" s="4"/>
      <c r="AO915" s="4"/>
      <c r="AS915" s="4"/>
      <c r="AV915" s="4"/>
      <c r="AW915" s="4"/>
      <c r="AY915" s="4"/>
      <c r="AZ915" s="4"/>
      <c r="BA915" s="4"/>
      <c r="BC915" s="4"/>
      <c r="BD915" s="4"/>
      <c r="BG915" s="4"/>
      <c r="BH915" s="4"/>
      <c r="BK915" s="4"/>
    </row>
    <row r="916" spans="38:63" x14ac:dyDescent="0.25">
      <c r="AL916" s="4"/>
      <c r="AO916" s="4"/>
      <c r="AS916" s="4"/>
      <c r="AV916" s="4"/>
      <c r="AW916" s="4"/>
      <c r="AY916" s="4"/>
      <c r="AZ916" s="4"/>
      <c r="BA916" s="4"/>
      <c r="BC916" s="4"/>
      <c r="BD916" s="4"/>
      <c r="BG916" s="4"/>
      <c r="BH916" s="4"/>
      <c r="BK916" s="4"/>
    </row>
    <row r="917" spans="38:63" x14ac:dyDescent="0.25">
      <c r="AL917" s="4"/>
      <c r="AO917" s="4"/>
      <c r="AS917" s="4"/>
      <c r="AV917" s="4"/>
      <c r="AW917" s="4"/>
      <c r="AY917" s="4"/>
      <c r="AZ917" s="4"/>
      <c r="BA917" s="4"/>
      <c r="BC917" s="4"/>
      <c r="BD917" s="4"/>
      <c r="BG917" s="4"/>
      <c r="BH917" s="4"/>
      <c r="BK917" s="4"/>
    </row>
    <row r="918" spans="38:63" x14ac:dyDescent="0.25">
      <c r="AL918" s="4"/>
      <c r="AO918" s="4"/>
      <c r="AS918" s="4"/>
      <c r="AV918" s="4"/>
      <c r="AW918" s="4"/>
      <c r="AY918" s="4"/>
      <c r="AZ918" s="4"/>
      <c r="BA918" s="4"/>
      <c r="BC918" s="4"/>
      <c r="BD918" s="4"/>
      <c r="BG918" s="4"/>
      <c r="BH918" s="4"/>
      <c r="BK918" s="4"/>
    </row>
    <row r="919" spans="38:63" x14ac:dyDescent="0.25">
      <c r="AL919" s="4"/>
      <c r="AO919" s="4"/>
      <c r="AS919" s="4"/>
      <c r="AV919" s="4"/>
      <c r="AW919" s="4"/>
      <c r="AY919" s="4"/>
      <c r="AZ919" s="4"/>
      <c r="BA919" s="4"/>
      <c r="BC919" s="4"/>
      <c r="BD919" s="4"/>
      <c r="BG919" s="4"/>
      <c r="BH919" s="4"/>
      <c r="BK919" s="4"/>
    </row>
    <row r="920" spans="38:63" x14ac:dyDescent="0.25">
      <c r="AL920" s="4"/>
      <c r="AO920" s="4"/>
      <c r="AS920" s="4"/>
      <c r="AV920" s="4"/>
      <c r="AW920" s="4"/>
      <c r="AY920" s="4"/>
      <c r="AZ920" s="4"/>
      <c r="BA920" s="4"/>
      <c r="BC920" s="4"/>
      <c r="BD920" s="4"/>
      <c r="BG920" s="4"/>
      <c r="BH920" s="4"/>
      <c r="BK920" s="4"/>
    </row>
    <row r="921" spans="38:63" x14ac:dyDescent="0.25">
      <c r="AL921" s="4"/>
      <c r="AO921" s="4"/>
      <c r="AS921" s="4"/>
      <c r="AV921" s="4"/>
      <c r="AW921" s="4"/>
      <c r="AY921" s="4"/>
      <c r="AZ921" s="4"/>
      <c r="BA921" s="4"/>
      <c r="BC921" s="4"/>
      <c r="BD921" s="4"/>
      <c r="BG921" s="4"/>
      <c r="BH921" s="4"/>
      <c r="BK921" s="4"/>
    </row>
    <row r="922" spans="38:63" x14ac:dyDescent="0.25">
      <c r="AL922" s="4"/>
      <c r="AO922" s="4"/>
      <c r="AS922" s="4"/>
      <c r="AV922" s="4"/>
      <c r="AW922" s="4"/>
      <c r="AY922" s="4"/>
      <c r="AZ922" s="4"/>
      <c r="BA922" s="4"/>
      <c r="BC922" s="4"/>
      <c r="BD922" s="4"/>
      <c r="BG922" s="4"/>
      <c r="BH922" s="4"/>
      <c r="BK922" s="4"/>
    </row>
    <row r="923" spans="38:63" x14ac:dyDescent="0.25">
      <c r="AL923" s="4"/>
      <c r="AO923" s="4"/>
      <c r="AS923" s="4"/>
      <c r="AV923" s="4"/>
      <c r="AW923" s="4"/>
      <c r="AY923" s="4"/>
      <c r="AZ923" s="4"/>
      <c r="BA923" s="4"/>
      <c r="BC923" s="4"/>
      <c r="BD923" s="4"/>
      <c r="BG923" s="4"/>
      <c r="BH923" s="4"/>
      <c r="BK923" s="4"/>
    </row>
    <row r="924" spans="38:63" x14ac:dyDescent="0.25">
      <c r="AL924" s="4"/>
      <c r="AO924" s="4"/>
      <c r="AS924" s="4"/>
      <c r="AV924" s="4"/>
      <c r="AW924" s="4"/>
      <c r="AY924" s="4"/>
      <c r="AZ924" s="4"/>
      <c r="BA924" s="4"/>
      <c r="BC924" s="4"/>
      <c r="BD924" s="4"/>
      <c r="BG924" s="4"/>
      <c r="BH924" s="4"/>
      <c r="BK924" s="4"/>
    </row>
    <row r="925" spans="38:63" x14ac:dyDescent="0.25">
      <c r="AL925" s="4"/>
      <c r="AO925" s="4"/>
      <c r="AS925" s="4"/>
      <c r="AV925" s="4"/>
      <c r="AW925" s="4"/>
      <c r="AY925" s="4"/>
      <c r="AZ925" s="4"/>
      <c r="BA925" s="4"/>
      <c r="BC925" s="4"/>
      <c r="BD925" s="4"/>
      <c r="BG925" s="4"/>
      <c r="BH925" s="4"/>
      <c r="BK925" s="4"/>
    </row>
    <row r="926" spans="38:63" x14ac:dyDescent="0.25">
      <c r="AL926" s="4"/>
      <c r="AO926" s="4"/>
      <c r="AS926" s="4"/>
      <c r="AV926" s="4"/>
      <c r="AW926" s="4"/>
      <c r="AY926" s="4"/>
      <c r="AZ926" s="4"/>
      <c r="BA926" s="4"/>
      <c r="BC926" s="4"/>
      <c r="BD926" s="4"/>
      <c r="BG926" s="4"/>
      <c r="BH926" s="4"/>
      <c r="BK926" s="4"/>
    </row>
    <row r="927" spans="38:63" x14ac:dyDescent="0.25">
      <c r="AL927" s="4"/>
      <c r="AO927" s="4"/>
      <c r="AS927" s="4"/>
      <c r="AV927" s="4"/>
      <c r="AW927" s="4"/>
      <c r="AY927" s="4"/>
      <c r="AZ927" s="4"/>
      <c r="BA927" s="4"/>
      <c r="BC927" s="4"/>
      <c r="BD927" s="4"/>
      <c r="BG927" s="4"/>
      <c r="BH927" s="4"/>
      <c r="BK927" s="4"/>
    </row>
    <row r="928" spans="38:63" x14ac:dyDescent="0.25">
      <c r="AL928" s="4"/>
      <c r="AO928" s="4"/>
      <c r="AS928" s="4"/>
      <c r="AV928" s="4"/>
      <c r="AW928" s="4"/>
      <c r="AY928" s="4"/>
      <c r="AZ928" s="4"/>
      <c r="BA928" s="4"/>
      <c r="BC928" s="4"/>
      <c r="BD928" s="4"/>
      <c r="BG928" s="4"/>
      <c r="BH928" s="4"/>
      <c r="BK928" s="4"/>
    </row>
    <row r="929" spans="38:63" x14ac:dyDescent="0.25">
      <c r="AL929" s="4"/>
      <c r="AO929" s="4"/>
      <c r="AS929" s="4"/>
      <c r="AV929" s="4"/>
      <c r="AW929" s="4"/>
      <c r="AY929" s="4"/>
      <c r="AZ929" s="4"/>
      <c r="BA929" s="4"/>
      <c r="BC929" s="4"/>
      <c r="BD929" s="4"/>
      <c r="BG929" s="4"/>
      <c r="BH929" s="4"/>
      <c r="BK929" s="4"/>
    </row>
    <row r="930" spans="38:63" x14ac:dyDescent="0.25">
      <c r="AL930" s="4"/>
      <c r="AO930" s="4"/>
      <c r="AS930" s="4"/>
      <c r="AV930" s="4"/>
      <c r="AW930" s="4"/>
      <c r="AY930" s="4"/>
      <c r="AZ930" s="4"/>
      <c r="BA930" s="4"/>
      <c r="BC930" s="4"/>
      <c r="BD930" s="4"/>
      <c r="BG930" s="4"/>
      <c r="BH930" s="4"/>
      <c r="BK930" s="4"/>
    </row>
    <row r="931" spans="38:63" x14ac:dyDescent="0.25">
      <c r="AL931" s="4"/>
      <c r="AO931" s="4"/>
      <c r="AS931" s="4"/>
      <c r="AV931" s="4"/>
      <c r="AW931" s="4"/>
      <c r="AY931" s="4"/>
      <c r="AZ931" s="4"/>
      <c r="BA931" s="4"/>
      <c r="BC931" s="4"/>
      <c r="BD931" s="4"/>
      <c r="BG931" s="4"/>
      <c r="BH931" s="4"/>
      <c r="BK931" s="4"/>
    </row>
    <row r="932" spans="38:63" x14ac:dyDescent="0.25">
      <c r="AL932" s="4"/>
      <c r="AO932" s="4"/>
      <c r="AS932" s="4"/>
      <c r="AV932" s="4"/>
      <c r="AW932" s="4"/>
      <c r="AY932" s="4"/>
      <c r="AZ932" s="4"/>
      <c r="BA932" s="4"/>
      <c r="BC932" s="4"/>
      <c r="BD932" s="4"/>
      <c r="BG932" s="4"/>
      <c r="BH932" s="4"/>
      <c r="BK932" s="4"/>
    </row>
    <row r="933" spans="38:63" x14ac:dyDescent="0.25">
      <c r="AL933" s="4"/>
      <c r="AO933" s="4"/>
      <c r="AS933" s="4"/>
      <c r="AV933" s="4"/>
      <c r="AW933" s="4"/>
      <c r="AY933" s="4"/>
      <c r="AZ933" s="4"/>
      <c r="BA933" s="4"/>
      <c r="BC933" s="4"/>
      <c r="BD933" s="4"/>
      <c r="BG933" s="4"/>
      <c r="BH933" s="4"/>
      <c r="BK933" s="4"/>
    </row>
    <row r="934" spans="38:63" x14ac:dyDescent="0.25">
      <c r="AL934" s="4"/>
      <c r="AO934" s="4"/>
      <c r="AS934" s="4"/>
      <c r="AV934" s="4"/>
      <c r="AW934" s="4"/>
      <c r="AY934" s="4"/>
      <c r="AZ934" s="4"/>
      <c r="BA934" s="4"/>
      <c r="BC934" s="4"/>
      <c r="BD934" s="4"/>
      <c r="BG934" s="4"/>
      <c r="BH934" s="4"/>
      <c r="BK934" s="4"/>
    </row>
    <row r="935" spans="38:63" x14ac:dyDescent="0.25">
      <c r="AL935" s="4"/>
      <c r="AO935" s="4"/>
      <c r="AS935" s="4"/>
      <c r="AV935" s="4"/>
      <c r="AW935" s="4"/>
      <c r="AY935" s="4"/>
      <c r="AZ935" s="4"/>
      <c r="BA935" s="4"/>
      <c r="BC935" s="4"/>
      <c r="BD935" s="4"/>
      <c r="BG935" s="4"/>
      <c r="BH935" s="4"/>
      <c r="BK935" s="4"/>
    </row>
    <row r="936" spans="38:63" x14ac:dyDescent="0.25">
      <c r="AL936" s="4"/>
      <c r="AO936" s="4"/>
      <c r="AS936" s="4"/>
      <c r="AV936" s="4"/>
      <c r="AW936" s="4"/>
      <c r="AY936" s="4"/>
      <c r="AZ936" s="4"/>
      <c r="BA936" s="4"/>
      <c r="BC936" s="4"/>
      <c r="BD936" s="4"/>
      <c r="BG936" s="4"/>
      <c r="BH936" s="4"/>
      <c r="BK936" s="4"/>
    </row>
    <row r="937" spans="38:63" x14ac:dyDescent="0.25">
      <c r="AL937" s="4"/>
      <c r="AO937" s="4"/>
      <c r="AS937" s="4"/>
      <c r="AV937" s="4"/>
      <c r="AW937" s="4"/>
      <c r="AY937" s="4"/>
      <c r="AZ937" s="4"/>
      <c r="BA937" s="4"/>
      <c r="BC937" s="4"/>
      <c r="BD937" s="4"/>
      <c r="BG937" s="4"/>
      <c r="BH937" s="4"/>
      <c r="BK937" s="4"/>
    </row>
    <row r="938" spans="38:63" x14ac:dyDescent="0.25">
      <c r="AL938" s="4"/>
      <c r="AO938" s="4"/>
      <c r="AS938" s="4"/>
      <c r="AV938" s="4"/>
      <c r="AW938" s="4"/>
      <c r="AY938" s="4"/>
      <c r="AZ938" s="4"/>
      <c r="BA938" s="4"/>
      <c r="BC938" s="4"/>
      <c r="BD938" s="4"/>
      <c r="BG938" s="4"/>
      <c r="BH938" s="4"/>
      <c r="BK938" s="4"/>
    </row>
    <row r="939" spans="38:63" x14ac:dyDescent="0.25">
      <c r="AL939" s="4"/>
      <c r="AO939" s="4"/>
      <c r="AS939" s="4"/>
      <c r="AV939" s="4"/>
      <c r="AW939" s="4"/>
      <c r="AY939" s="4"/>
      <c r="AZ939" s="4"/>
      <c r="BA939" s="4"/>
      <c r="BC939" s="4"/>
      <c r="BD939" s="4"/>
      <c r="BG939" s="4"/>
      <c r="BH939" s="4"/>
      <c r="BK939" s="4"/>
    </row>
    <row r="940" spans="38:63" x14ac:dyDescent="0.25">
      <c r="AL940" s="4"/>
      <c r="AO940" s="4"/>
      <c r="AS940" s="4"/>
      <c r="AV940" s="4"/>
      <c r="AW940" s="4"/>
      <c r="AY940" s="4"/>
      <c r="AZ940" s="4"/>
      <c r="BA940" s="4"/>
      <c r="BC940" s="4"/>
      <c r="BD940" s="4"/>
      <c r="BG940" s="4"/>
      <c r="BH940" s="4"/>
      <c r="BK940" s="4"/>
    </row>
    <row r="941" spans="38:63" x14ac:dyDescent="0.25">
      <c r="AL941" s="4"/>
      <c r="AO941" s="4"/>
      <c r="AS941" s="4"/>
      <c r="AV941" s="4"/>
      <c r="AW941" s="4"/>
      <c r="AY941" s="4"/>
      <c r="AZ941" s="4"/>
      <c r="BA941" s="4"/>
      <c r="BC941" s="4"/>
      <c r="BD941" s="4"/>
      <c r="BG941" s="4"/>
      <c r="BH941" s="4"/>
      <c r="BK941" s="4"/>
    </row>
    <row r="942" spans="38:63" x14ac:dyDescent="0.25">
      <c r="AL942" s="4"/>
      <c r="AO942" s="4"/>
      <c r="AS942" s="4"/>
      <c r="AV942" s="4"/>
      <c r="AW942" s="4"/>
      <c r="AY942" s="4"/>
      <c r="AZ942" s="4"/>
      <c r="BA942" s="4"/>
      <c r="BC942" s="4"/>
      <c r="BD942" s="4"/>
      <c r="BG942" s="4"/>
      <c r="BH942" s="4"/>
      <c r="BK942" s="4"/>
    </row>
    <row r="943" spans="38:63" x14ac:dyDescent="0.25">
      <c r="AL943" s="4"/>
      <c r="AO943" s="4"/>
      <c r="AS943" s="4"/>
      <c r="AV943" s="4"/>
      <c r="AW943" s="4"/>
      <c r="AY943" s="4"/>
      <c r="AZ943" s="4"/>
      <c r="BA943" s="4"/>
      <c r="BC943" s="4"/>
      <c r="BD943" s="4"/>
      <c r="BG943" s="4"/>
      <c r="BH943" s="4"/>
      <c r="BK943" s="4"/>
    </row>
    <row r="944" spans="38:63" x14ac:dyDescent="0.25">
      <c r="AL944" s="4"/>
      <c r="AO944" s="4"/>
      <c r="AS944" s="4"/>
      <c r="AV944" s="4"/>
      <c r="AW944" s="4"/>
      <c r="AY944" s="4"/>
      <c r="AZ944" s="4"/>
      <c r="BA944" s="4"/>
      <c r="BC944" s="4"/>
      <c r="BD944" s="4"/>
      <c r="BG944" s="4"/>
      <c r="BH944" s="4"/>
      <c r="BK944" s="4"/>
    </row>
    <row r="945" spans="38:63" x14ac:dyDescent="0.25">
      <c r="AL945" s="4"/>
      <c r="AO945" s="4"/>
      <c r="AS945" s="4"/>
      <c r="AV945" s="4"/>
      <c r="AW945" s="4"/>
      <c r="AY945" s="4"/>
      <c r="AZ945" s="4"/>
      <c r="BA945" s="4"/>
      <c r="BC945" s="4"/>
      <c r="BD945" s="4"/>
      <c r="BG945" s="4"/>
      <c r="BH945" s="4"/>
      <c r="BK945" s="4"/>
    </row>
    <row r="946" spans="38:63" x14ac:dyDescent="0.25">
      <c r="AL946" s="4"/>
      <c r="AO946" s="4"/>
      <c r="AS946" s="4"/>
      <c r="AV946" s="4"/>
      <c r="AW946" s="4"/>
      <c r="AY946" s="4"/>
      <c r="AZ946" s="4"/>
      <c r="BA946" s="4"/>
      <c r="BC946" s="4"/>
      <c r="BD946" s="4"/>
      <c r="BG946" s="4"/>
      <c r="BH946" s="4"/>
      <c r="BK946" s="4"/>
    </row>
    <row r="947" spans="38:63" x14ac:dyDescent="0.25">
      <c r="AL947" s="4"/>
      <c r="AO947" s="4"/>
      <c r="AS947" s="4"/>
      <c r="AV947" s="4"/>
      <c r="AW947" s="4"/>
      <c r="AY947" s="4"/>
      <c r="AZ947" s="4"/>
      <c r="BA947" s="4"/>
      <c r="BC947" s="4"/>
      <c r="BD947" s="4"/>
      <c r="BG947" s="4"/>
      <c r="BH947" s="4"/>
      <c r="BK947" s="4"/>
    </row>
    <row r="948" spans="38:63" x14ac:dyDescent="0.25">
      <c r="AL948" s="4"/>
      <c r="AO948" s="4"/>
      <c r="AS948" s="4"/>
      <c r="AV948" s="4"/>
      <c r="AW948" s="4"/>
      <c r="AY948" s="4"/>
      <c r="AZ948" s="4"/>
      <c r="BA948" s="4"/>
      <c r="BC948" s="4"/>
      <c r="BD948" s="4"/>
      <c r="BG948" s="4"/>
      <c r="BH948" s="4"/>
      <c r="BK948" s="4"/>
    </row>
    <row r="949" spans="38:63" x14ac:dyDescent="0.25">
      <c r="AL949" s="4"/>
      <c r="AO949" s="4"/>
      <c r="AS949" s="4"/>
      <c r="AV949" s="4"/>
      <c r="AW949" s="4"/>
      <c r="AY949" s="4"/>
      <c r="AZ949" s="4"/>
      <c r="BA949" s="4"/>
      <c r="BC949" s="4"/>
      <c r="BD949" s="4"/>
      <c r="BG949" s="4"/>
      <c r="BH949" s="4"/>
      <c r="BK949" s="4"/>
    </row>
    <row r="950" spans="38:63" x14ac:dyDescent="0.25">
      <c r="AL950" s="4"/>
      <c r="AO950" s="4"/>
      <c r="AS950" s="4"/>
      <c r="AV950" s="4"/>
      <c r="AW950" s="4"/>
      <c r="AY950" s="4"/>
      <c r="AZ950" s="4"/>
      <c r="BA950" s="4"/>
      <c r="BC950" s="4"/>
      <c r="BD950" s="4"/>
      <c r="BG950" s="4"/>
      <c r="BH950" s="4"/>
      <c r="BK950" s="4"/>
    </row>
    <row r="951" spans="38:63" x14ac:dyDescent="0.25">
      <c r="AL951" s="4"/>
      <c r="AO951" s="4"/>
      <c r="AS951" s="4"/>
      <c r="AV951" s="4"/>
      <c r="AW951" s="4"/>
      <c r="AY951" s="4"/>
      <c r="AZ951" s="4"/>
      <c r="BA951" s="4"/>
      <c r="BC951" s="4"/>
      <c r="BD951" s="4"/>
      <c r="BG951" s="4"/>
      <c r="BH951" s="4"/>
      <c r="BK951" s="4"/>
    </row>
    <row r="952" spans="38:63" x14ac:dyDescent="0.25">
      <c r="AL952" s="4"/>
      <c r="AO952" s="4"/>
      <c r="AS952" s="4"/>
      <c r="AV952" s="4"/>
      <c r="AW952" s="4"/>
      <c r="AY952" s="4"/>
      <c r="AZ952" s="4"/>
      <c r="BA952" s="4"/>
      <c r="BC952" s="4"/>
      <c r="BD952" s="4"/>
      <c r="BG952" s="4"/>
      <c r="BH952" s="4"/>
      <c r="BK952" s="4"/>
    </row>
    <row r="953" spans="38:63" x14ac:dyDescent="0.25">
      <c r="AL953" s="4"/>
      <c r="AO953" s="4"/>
      <c r="AS953" s="4"/>
      <c r="AV953" s="4"/>
      <c r="AW953" s="4"/>
      <c r="AY953" s="4"/>
      <c r="AZ953" s="4"/>
      <c r="BA953" s="4"/>
      <c r="BC953" s="4"/>
      <c r="BD953" s="4"/>
      <c r="BG953" s="4"/>
      <c r="BH953" s="4"/>
      <c r="BK953" s="4"/>
    </row>
    <row r="954" spans="38:63" x14ac:dyDescent="0.25">
      <c r="AL954" s="4"/>
      <c r="AO954" s="4"/>
      <c r="AS954" s="4"/>
      <c r="AV954" s="4"/>
      <c r="AW954" s="4"/>
      <c r="AY954" s="4"/>
      <c r="AZ954" s="4"/>
      <c r="BA954" s="4"/>
      <c r="BC954" s="4"/>
      <c r="BD954" s="4"/>
      <c r="BG954" s="4"/>
      <c r="BH954" s="4"/>
      <c r="BK954" s="4"/>
    </row>
    <row r="955" spans="38:63" x14ac:dyDescent="0.25">
      <c r="AL955" s="4"/>
      <c r="AO955" s="4"/>
      <c r="AS955" s="4"/>
      <c r="AV955" s="4"/>
      <c r="AW955" s="4"/>
      <c r="AY955" s="4"/>
      <c r="AZ955" s="4"/>
      <c r="BA955" s="4"/>
      <c r="BC955" s="4"/>
      <c r="BD955" s="4"/>
      <c r="BG955" s="4"/>
      <c r="BH955" s="4"/>
      <c r="BK955" s="4"/>
    </row>
    <row r="956" spans="38:63" x14ac:dyDescent="0.25">
      <c r="AL956" s="4"/>
      <c r="AO956" s="4"/>
      <c r="AS956" s="4"/>
      <c r="AV956" s="4"/>
      <c r="AW956" s="4"/>
      <c r="AY956" s="4"/>
      <c r="AZ956" s="4"/>
      <c r="BA956" s="4"/>
      <c r="BC956" s="4"/>
      <c r="BD956" s="4"/>
      <c r="BG956" s="4"/>
      <c r="BH956" s="4"/>
      <c r="BK956" s="4"/>
    </row>
    <row r="957" spans="38:63" x14ac:dyDescent="0.25">
      <c r="AL957" s="4"/>
      <c r="AO957" s="4"/>
      <c r="AS957" s="4"/>
      <c r="AV957" s="4"/>
      <c r="AW957" s="4"/>
      <c r="AY957" s="4"/>
      <c r="AZ957" s="4"/>
      <c r="BA957" s="4"/>
      <c r="BC957" s="4"/>
      <c r="BD957" s="4"/>
      <c r="BG957" s="4"/>
      <c r="BH957" s="4"/>
      <c r="BK957" s="4"/>
    </row>
    <row r="958" spans="38:63" x14ac:dyDescent="0.25">
      <c r="AL958" s="4"/>
      <c r="AO958" s="4"/>
      <c r="AS958" s="4"/>
      <c r="AV958" s="4"/>
      <c r="AW958" s="4"/>
      <c r="AY958" s="4"/>
      <c r="AZ958" s="4"/>
      <c r="BA958" s="4"/>
      <c r="BC958" s="4"/>
      <c r="BD958" s="4"/>
      <c r="BG958" s="4"/>
      <c r="BH958" s="4"/>
      <c r="BK958" s="4"/>
    </row>
    <row r="959" spans="38:63" x14ac:dyDescent="0.25">
      <c r="AL959" s="4"/>
      <c r="AO959" s="4"/>
      <c r="AS959" s="4"/>
      <c r="AV959" s="4"/>
      <c r="AW959" s="4"/>
      <c r="AY959" s="4"/>
      <c r="AZ959" s="4"/>
      <c r="BA959" s="4"/>
      <c r="BC959" s="4"/>
      <c r="BD959" s="4"/>
      <c r="BG959" s="4"/>
      <c r="BH959" s="4"/>
      <c r="BK959" s="4"/>
    </row>
    <row r="960" spans="38:63" x14ac:dyDescent="0.25">
      <c r="AL960" s="4"/>
      <c r="AO960" s="4"/>
      <c r="AS960" s="4"/>
      <c r="AV960" s="4"/>
      <c r="AW960" s="4"/>
      <c r="AY960" s="4"/>
      <c r="AZ960" s="4"/>
      <c r="BA960" s="4"/>
      <c r="BC960" s="4"/>
      <c r="BD960" s="4"/>
      <c r="BG960" s="4"/>
      <c r="BH960" s="4"/>
      <c r="BK960" s="4"/>
    </row>
    <row r="961" spans="38:63" x14ac:dyDescent="0.25">
      <c r="AL961" s="4"/>
      <c r="AO961" s="4"/>
      <c r="AS961" s="4"/>
      <c r="AV961" s="4"/>
      <c r="AW961" s="4"/>
      <c r="AY961" s="4"/>
      <c r="AZ961" s="4"/>
      <c r="BA961" s="4"/>
      <c r="BC961" s="4"/>
      <c r="BD961" s="4"/>
      <c r="BG961" s="4"/>
      <c r="BH961" s="4"/>
      <c r="BK961" s="4"/>
    </row>
    <row r="962" spans="38:63" x14ac:dyDescent="0.25">
      <c r="AL962" s="4"/>
      <c r="AO962" s="4"/>
      <c r="AS962" s="4"/>
      <c r="AV962" s="4"/>
      <c r="AW962" s="4"/>
      <c r="AY962" s="4"/>
      <c r="AZ962" s="4"/>
      <c r="BA962" s="4"/>
      <c r="BC962" s="4"/>
      <c r="BD962" s="4"/>
      <c r="BG962" s="4"/>
      <c r="BH962" s="4"/>
      <c r="BK962" s="4"/>
    </row>
    <row r="963" spans="38:63" x14ac:dyDescent="0.25">
      <c r="AL963" s="4"/>
      <c r="AO963" s="4"/>
      <c r="AS963" s="4"/>
      <c r="AV963" s="4"/>
      <c r="AW963" s="4"/>
      <c r="AY963" s="4"/>
      <c r="AZ963" s="4"/>
      <c r="BA963" s="4"/>
      <c r="BC963" s="4"/>
      <c r="BD963" s="4"/>
      <c r="BG963" s="4"/>
      <c r="BH963" s="4"/>
      <c r="BK963" s="4"/>
    </row>
    <row r="964" spans="38:63" x14ac:dyDescent="0.25">
      <c r="AL964" s="4"/>
      <c r="AO964" s="4"/>
      <c r="AS964" s="4"/>
      <c r="AV964" s="4"/>
      <c r="AW964" s="4"/>
      <c r="AY964" s="4"/>
      <c r="AZ964" s="4"/>
      <c r="BA964" s="4"/>
      <c r="BC964" s="4"/>
      <c r="BD964" s="4"/>
      <c r="BG964" s="4"/>
      <c r="BH964" s="4"/>
      <c r="BK964" s="4"/>
    </row>
    <row r="965" spans="38:63" x14ac:dyDescent="0.25">
      <c r="AL965" s="4"/>
      <c r="AO965" s="4"/>
      <c r="AS965" s="4"/>
      <c r="AV965" s="4"/>
      <c r="AW965" s="4"/>
      <c r="AY965" s="4"/>
      <c r="AZ965" s="4"/>
      <c r="BA965" s="4"/>
      <c r="BC965" s="4"/>
      <c r="BD965" s="4"/>
      <c r="BG965" s="4"/>
      <c r="BH965" s="4"/>
      <c r="BK965" s="4"/>
    </row>
    <row r="966" spans="38:63" x14ac:dyDescent="0.25">
      <c r="AL966" s="4"/>
      <c r="AO966" s="4"/>
      <c r="AS966" s="4"/>
      <c r="AV966" s="4"/>
      <c r="AW966" s="4"/>
      <c r="AY966" s="4"/>
      <c r="AZ966" s="4"/>
      <c r="BA966" s="4"/>
      <c r="BC966" s="4"/>
      <c r="BD966" s="4"/>
      <c r="BG966" s="4"/>
      <c r="BH966" s="4"/>
      <c r="BK966" s="4"/>
    </row>
    <row r="967" spans="38:63" x14ac:dyDescent="0.25">
      <c r="AL967" s="4"/>
      <c r="AO967" s="4"/>
      <c r="AS967" s="4"/>
      <c r="AV967" s="4"/>
      <c r="AW967" s="4"/>
      <c r="AY967" s="4"/>
      <c r="AZ967" s="4"/>
      <c r="BA967" s="4"/>
      <c r="BC967" s="4"/>
      <c r="BD967" s="4"/>
      <c r="BG967" s="4"/>
      <c r="BH967" s="4"/>
      <c r="BK967" s="4"/>
    </row>
    <row r="968" spans="38:63" x14ac:dyDescent="0.25">
      <c r="AL968" s="4"/>
      <c r="AO968" s="4"/>
      <c r="AS968" s="4"/>
      <c r="AV968" s="4"/>
      <c r="AW968" s="4"/>
      <c r="AY968" s="4"/>
      <c r="AZ968" s="4"/>
      <c r="BA968" s="4"/>
      <c r="BC968" s="4"/>
      <c r="BD968" s="4"/>
      <c r="BG968" s="4"/>
      <c r="BH968" s="4"/>
      <c r="BK968" s="4"/>
    </row>
    <row r="969" spans="38:63" x14ac:dyDescent="0.25">
      <c r="AL969" s="4"/>
      <c r="AO969" s="4"/>
      <c r="AS969" s="4"/>
      <c r="AV969" s="4"/>
      <c r="AW969" s="4"/>
      <c r="AY969" s="4"/>
      <c r="AZ969" s="4"/>
      <c r="BA969" s="4"/>
      <c r="BC969" s="4"/>
      <c r="BD969" s="4"/>
      <c r="BG969" s="4"/>
      <c r="BH969" s="4"/>
      <c r="BK969" s="4"/>
    </row>
    <row r="970" spans="38:63" x14ac:dyDescent="0.25">
      <c r="AL970" s="4"/>
      <c r="AO970" s="4"/>
      <c r="AS970" s="4"/>
      <c r="AV970" s="4"/>
      <c r="AW970" s="4"/>
      <c r="AY970" s="4"/>
      <c r="AZ970" s="4"/>
      <c r="BA970" s="4"/>
      <c r="BC970" s="4"/>
      <c r="BD970" s="4"/>
      <c r="BG970" s="4"/>
      <c r="BH970" s="4"/>
      <c r="BK970" s="4"/>
    </row>
    <row r="971" spans="38:63" x14ac:dyDescent="0.25">
      <c r="AL971" s="4"/>
      <c r="AO971" s="4"/>
      <c r="AS971" s="4"/>
      <c r="AV971" s="4"/>
      <c r="AW971" s="4"/>
      <c r="AY971" s="4"/>
      <c r="AZ971" s="4"/>
      <c r="BA971" s="4"/>
      <c r="BC971" s="4"/>
      <c r="BD971" s="4"/>
      <c r="BG971" s="4"/>
      <c r="BH971" s="4"/>
      <c r="BK971" s="4"/>
    </row>
    <row r="972" spans="38:63" x14ac:dyDescent="0.25">
      <c r="AL972" s="4"/>
      <c r="AO972" s="4"/>
      <c r="AS972" s="4"/>
      <c r="AV972" s="4"/>
      <c r="AW972" s="4"/>
      <c r="AY972" s="4"/>
      <c r="AZ972" s="4"/>
      <c r="BA972" s="4"/>
      <c r="BC972" s="4"/>
      <c r="BD972" s="4"/>
      <c r="BG972" s="4"/>
      <c r="BH972" s="4"/>
      <c r="BK972" s="4"/>
    </row>
    <row r="973" spans="38:63" x14ac:dyDescent="0.25">
      <c r="AL973" s="4"/>
      <c r="AO973" s="4"/>
      <c r="AS973" s="4"/>
      <c r="AV973" s="4"/>
      <c r="AW973" s="4"/>
      <c r="AY973" s="4"/>
      <c r="AZ973" s="4"/>
      <c r="BA973" s="4"/>
      <c r="BC973" s="4"/>
      <c r="BD973" s="4"/>
      <c r="BG973" s="4"/>
      <c r="BH973" s="4"/>
      <c r="BK973" s="4"/>
    </row>
    <row r="974" spans="38:63" x14ac:dyDescent="0.25">
      <c r="AL974" s="4"/>
      <c r="AO974" s="4"/>
      <c r="AS974" s="4"/>
      <c r="AV974" s="4"/>
      <c r="AW974" s="4"/>
      <c r="AY974" s="4"/>
      <c r="AZ974" s="4"/>
      <c r="BA974" s="4"/>
      <c r="BC974" s="4"/>
      <c r="BD974" s="4"/>
      <c r="BG974" s="4"/>
      <c r="BH974" s="4"/>
      <c r="BK974" s="4"/>
    </row>
    <row r="975" spans="38:63" x14ac:dyDescent="0.25">
      <c r="AL975" s="4"/>
      <c r="AO975" s="4"/>
      <c r="AS975" s="4"/>
      <c r="AV975" s="4"/>
      <c r="AW975" s="4"/>
      <c r="AY975" s="4"/>
      <c r="AZ975" s="4"/>
      <c r="BA975" s="4"/>
      <c r="BC975" s="4"/>
      <c r="BD975" s="4"/>
      <c r="BG975" s="4"/>
      <c r="BH975" s="4"/>
      <c r="BK975" s="4"/>
    </row>
    <row r="976" spans="38:63" x14ac:dyDescent="0.25">
      <c r="AL976" s="4"/>
      <c r="AO976" s="4"/>
      <c r="AS976" s="4"/>
      <c r="AV976" s="4"/>
      <c r="AW976" s="4"/>
      <c r="AY976" s="4"/>
      <c r="AZ976" s="4"/>
      <c r="BA976" s="4"/>
      <c r="BC976" s="4"/>
      <c r="BD976" s="4"/>
      <c r="BG976" s="4"/>
      <c r="BH976" s="4"/>
      <c r="BK976" s="4"/>
    </row>
    <row r="977" spans="38:63" x14ac:dyDescent="0.25">
      <c r="AL977" s="4"/>
      <c r="AO977" s="4"/>
      <c r="AS977" s="4"/>
      <c r="AV977" s="4"/>
      <c r="AW977" s="4"/>
      <c r="AY977" s="4"/>
      <c r="AZ977" s="4"/>
      <c r="BA977" s="4"/>
      <c r="BC977" s="4"/>
      <c r="BD977" s="4"/>
      <c r="BG977" s="4"/>
      <c r="BH977" s="4"/>
      <c r="BK977" s="4"/>
    </row>
    <row r="978" spans="38:63" x14ac:dyDescent="0.25">
      <c r="AL978" s="4"/>
      <c r="AO978" s="4"/>
      <c r="AS978" s="4"/>
      <c r="AV978" s="4"/>
      <c r="AW978" s="4"/>
      <c r="AY978" s="4"/>
      <c r="AZ978" s="4"/>
      <c r="BA978" s="4"/>
      <c r="BC978" s="4"/>
      <c r="BD978" s="4"/>
      <c r="BG978" s="4"/>
      <c r="BH978" s="4"/>
      <c r="BK978" s="4"/>
    </row>
    <row r="979" spans="38:63" x14ac:dyDescent="0.25">
      <c r="AL979" s="4"/>
      <c r="AO979" s="4"/>
      <c r="AS979" s="4"/>
      <c r="AV979" s="4"/>
      <c r="AW979" s="4"/>
      <c r="AY979" s="4"/>
      <c r="AZ979" s="4"/>
      <c r="BA979" s="4"/>
      <c r="BC979" s="4"/>
      <c r="BD979" s="4"/>
      <c r="BG979" s="4"/>
      <c r="BH979" s="4"/>
      <c r="BK979" s="4"/>
    </row>
    <row r="980" spans="38:63" x14ac:dyDescent="0.25">
      <c r="AL980" s="4"/>
      <c r="AO980" s="4"/>
      <c r="AS980" s="4"/>
      <c r="AV980" s="4"/>
      <c r="AW980" s="4"/>
      <c r="AY980" s="4"/>
      <c r="AZ980" s="4"/>
      <c r="BA980" s="4"/>
      <c r="BC980" s="4"/>
      <c r="BD980" s="4"/>
      <c r="BG980" s="4"/>
      <c r="BH980" s="4"/>
      <c r="BK980" s="4"/>
    </row>
    <row r="981" spans="38:63" x14ac:dyDescent="0.25">
      <c r="AL981" s="4"/>
      <c r="AO981" s="4"/>
      <c r="AS981" s="4"/>
      <c r="AV981" s="4"/>
      <c r="AW981" s="4"/>
      <c r="AY981" s="4"/>
      <c r="AZ981" s="4"/>
      <c r="BA981" s="4"/>
      <c r="BC981" s="4"/>
      <c r="BD981" s="4"/>
      <c r="BG981" s="4"/>
      <c r="BH981" s="4"/>
      <c r="BK981" s="4"/>
    </row>
    <row r="982" spans="38:63" x14ac:dyDescent="0.25">
      <c r="AL982" s="4"/>
      <c r="AO982" s="4"/>
      <c r="AS982" s="4"/>
      <c r="AV982" s="4"/>
      <c r="AW982" s="4"/>
      <c r="AY982" s="4"/>
      <c r="AZ982" s="4"/>
      <c r="BA982" s="4"/>
      <c r="BC982" s="4"/>
      <c r="BD982" s="4"/>
      <c r="BG982" s="4"/>
      <c r="BH982" s="4"/>
      <c r="BK982" s="4"/>
    </row>
    <row r="983" spans="38:63" x14ac:dyDescent="0.25">
      <c r="AL983" s="4"/>
      <c r="AO983" s="4"/>
      <c r="AS983" s="4"/>
      <c r="AV983" s="4"/>
      <c r="AW983" s="4"/>
      <c r="AY983" s="4"/>
      <c r="AZ983" s="4"/>
      <c r="BA983" s="4"/>
      <c r="BC983" s="4"/>
      <c r="BD983" s="4"/>
      <c r="BG983" s="4"/>
      <c r="BH983" s="4"/>
      <c r="BK983" s="4"/>
    </row>
    <row r="984" spans="38:63" x14ac:dyDescent="0.25">
      <c r="AL984" s="4"/>
      <c r="AO984" s="4"/>
      <c r="AS984" s="4"/>
      <c r="AV984" s="4"/>
      <c r="AW984" s="4"/>
      <c r="AY984" s="4"/>
      <c r="AZ984" s="4"/>
      <c r="BA984" s="4"/>
      <c r="BC984" s="4"/>
      <c r="BD984" s="4"/>
      <c r="BG984" s="4"/>
      <c r="BH984" s="4"/>
      <c r="BK984" s="4"/>
    </row>
    <row r="985" spans="38:63" x14ac:dyDescent="0.25">
      <c r="AL985" s="4"/>
      <c r="AO985" s="4"/>
      <c r="AS985" s="4"/>
      <c r="AV985" s="4"/>
      <c r="AW985" s="4"/>
      <c r="AY985" s="4"/>
      <c r="AZ985" s="4"/>
      <c r="BA985" s="4"/>
      <c r="BC985" s="4"/>
      <c r="BD985" s="4"/>
      <c r="BG985" s="4"/>
      <c r="BH985" s="4"/>
      <c r="BK985" s="4"/>
    </row>
    <row r="986" spans="38:63" x14ac:dyDescent="0.25">
      <c r="AL986" s="4"/>
      <c r="AO986" s="4"/>
      <c r="AS986" s="4"/>
      <c r="AV986" s="4"/>
      <c r="AW986" s="4"/>
      <c r="AY986" s="4"/>
      <c r="AZ986" s="4"/>
      <c r="BA986" s="4"/>
      <c r="BC986" s="4"/>
      <c r="BD986" s="4"/>
      <c r="BG986" s="4"/>
      <c r="BH986" s="4"/>
      <c r="BK986" s="4"/>
    </row>
    <row r="987" spans="38:63" x14ac:dyDescent="0.25">
      <c r="AL987" s="4"/>
      <c r="AO987" s="4"/>
      <c r="AS987" s="4"/>
      <c r="AV987" s="4"/>
      <c r="AW987" s="4"/>
      <c r="AY987" s="4"/>
      <c r="AZ987" s="4"/>
      <c r="BA987" s="4"/>
      <c r="BC987" s="4"/>
      <c r="BD987" s="4"/>
      <c r="BG987" s="4"/>
      <c r="BH987" s="4"/>
      <c r="BK987" s="4"/>
    </row>
    <row r="988" spans="38:63" x14ac:dyDescent="0.25">
      <c r="AL988" s="4"/>
      <c r="AO988" s="4"/>
      <c r="AS988" s="4"/>
      <c r="AV988" s="4"/>
      <c r="AW988" s="4"/>
      <c r="AY988" s="4"/>
      <c r="AZ988" s="4"/>
      <c r="BA988" s="4"/>
      <c r="BC988" s="4"/>
      <c r="BD988" s="4"/>
      <c r="BG988" s="4"/>
      <c r="BH988" s="4"/>
      <c r="BK988" s="4"/>
    </row>
    <row r="989" spans="38:63" x14ac:dyDescent="0.25">
      <c r="AL989" s="4"/>
      <c r="AO989" s="4"/>
      <c r="AS989" s="4"/>
      <c r="AV989" s="4"/>
      <c r="AW989" s="4"/>
      <c r="AY989" s="4"/>
      <c r="AZ989" s="4"/>
      <c r="BA989" s="4"/>
      <c r="BC989" s="4"/>
      <c r="BD989" s="4"/>
      <c r="BG989" s="4"/>
      <c r="BH989" s="4"/>
      <c r="BK989" s="4"/>
    </row>
    <row r="990" spans="38:63" x14ac:dyDescent="0.25">
      <c r="AL990" s="4"/>
      <c r="AO990" s="4"/>
      <c r="AS990" s="4"/>
      <c r="AV990" s="4"/>
      <c r="AW990" s="4"/>
      <c r="AY990" s="4"/>
      <c r="AZ990" s="4"/>
      <c r="BA990" s="4"/>
      <c r="BC990" s="4"/>
      <c r="BD990" s="4"/>
      <c r="BG990" s="4"/>
      <c r="BH990" s="4"/>
      <c r="BK990" s="4"/>
    </row>
    <row r="991" spans="38:63" x14ac:dyDescent="0.25">
      <c r="AL991" s="4"/>
      <c r="AO991" s="4"/>
      <c r="AS991" s="4"/>
      <c r="AV991" s="4"/>
      <c r="AW991" s="4"/>
      <c r="AY991" s="4"/>
      <c r="AZ991" s="4"/>
      <c r="BA991" s="4"/>
      <c r="BC991" s="4"/>
      <c r="BD991" s="4"/>
      <c r="BG991" s="4"/>
      <c r="BH991" s="4"/>
      <c r="BK991" s="4"/>
    </row>
    <row r="992" spans="38:63" x14ac:dyDescent="0.25">
      <c r="AL992" s="4"/>
      <c r="AO992" s="4"/>
      <c r="AS992" s="4"/>
      <c r="AV992" s="4"/>
      <c r="AW992" s="4"/>
      <c r="AY992" s="4"/>
      <c r="AZ992" s="4"/>
      <c r="BA992" s="4"/>
      <c r="BC992" s="4"/>
      <c r="BD992" s="4"/>
      <c r="BG992" s="4"/>
      <c r="BH992" s="4"/>
      <c r="BK992" s="4"/>
    </row>
    <row r="993" spans="38:63" x14ac:dyDescent="0.25">
      <c r="AL993" s="4"/>
      <c r="AO993" s="4"/>
      <c r="AS993" s="4"/>
      <c r="AV993" s="4"/>
      <c r="AW993" s="4"/>
      <c r="AY993" s="4"/>
      <c r="AZ993" s="4"/>
      <c r="BA993" s="4"/>
      <c r="BC993" s="4"/>
      <c r="BD993" s="4"/>
      <c r="BG993" s="4"/>
      <c r="BH993" s="4"/>
      <c r="BK993" s="4"/>
    </row>
    <row r="994" spans="38:63" x14ac:dyDescent="0.25">
      <c r="AL994" s="4"/>
      <c r="AO994" s="4"/>
      <c r="AS994" s="4"/>
      <c r="AV994" s="4"/>
      <c r="AW994" s="4"/>
      <c r="AY994" s="4"/>
      <c r="AZ994" s="4"/>
      <c r="BA994" s="4"/>
      <c r="BC994" s="4"/>
      <c r="BD994" s="4"/>
      <c r="BG994" s="4"/>
      <c r="BH994" s="4"/>
      <c r="BK994" s="4"/>
    </row>
    <row r="995" spans="38:63" x14ac:dyDescent="0.25">
      <c r="AL995" s="4"/>
      <c r="AO995" s="4"/>
      <c r="AS995" s="4"/>
      <c r="AV995" s="4"/>
      <c r="AW995" s="4"/>
      <c r="AY995" s="4"/>
      <c r="AZ995" s="4"/>
      <c r="BA995" s="4"/>
      <c r="BC995" s="4"/>
      <c r="BD995" s="4"/>
      <c r="BG995" s="4"/>
      <c r="BH995" s="4"/>
      <c r="BK995" s="4"/>
    </row>
    <row r="996" spans="38:63" x14ac:dyDescent="0.25">
      <c r="AL996" s="4"/>
      <c r="AO996" s="4"/>
      <c r="AS996" s="4"/>
      <c r="AV996" s="4"/>
      <c r="AW996" s="4"/>
      <c r="AY996" s="4"/>
      <c r="AZ996" s="4"/>
      <c r="BA996" s="4"/>
      <c r="BC996" s="4"/>
      <c r="BD996" s="4"/>
      <c r="BG996" s="4"/>
      <c r="BH996" s="4"/>
      <c r="BK996" s="4"/>
    </row>
    <row r="997" spans="38:63" x14ac:dyDescent="0.25">
      <c r="AL997" s="4"/>
      <c r="AO997" s="4"/>
      <c r="AS997" s="4"/>
      <c r="AV997" s="4"/>
      <c r="AW997" s="4"/>
      <c r="AY997" s="4"/>
      <c r="AZ997" s="4"/>
      <c r="BA997" s="4"/>
      <c r="BC997" s="4"/>
      <c r="BD997" s="4"/>
      <c r="BG997" s="4"/>
      <c r="BH997" s="4"/>
      <c r="BK997" s="4"/>
    </row>
    <row r="998" spans="38:63" x14ac:dyDescent="0.25">
      <c r="AL998" s="4"/>
      <c r="AO998" s="4"/>
      <c r="AS998" s="4"/>
      <c r="AV998" s="4"/>
      <c r="AW998" s="4"/>
      <c r="AY998" s="4"/>
      <c r="AZ998" s="4"/>
      <c r="BA998" s="4"/>
      <c r="BC998" s="4"/>
      <c r="BD998" s="4"/>
      <c r="BG998" s="4"/>
      <c r="BH998" s="4"/>
      <c r="BK998" s="4"/>
    </row>
    <row r="999" spans="38:63" x14ac:dyDescent="0.25">
      <c r="AL999" s="4"/>
      <c r="AO999" s="4"/>
      <c r="AS999" s="4"/>
      <c r="AV999" s="4"/>
      <c r="AW999" s="4"/>
      <c r="AY999" s="4"/>
      <c r="AZ999" s="4"/>
      <c r="BA999" s="4"/>
      <c r="BC999" s="4"/>
      <c r="BD999" s="4"/>
      <c r="BG999" s="4"/>
      <c r="BH999" s="4"/>
      <c r="BK999" s="4"/>
    </row>
    <row r="1000" spans="38:63" x14ac:dyDescent="0.25">
      <c r="AL1000" s="4"/>
      <c r="AO1000" s="4"/>
      <c r="AS1000" s="4"/>
      <c r="AV1000" s="4"/>
      <c r="AW1000" s="4"/>
      <c r="AY1000" s="4"/>
      <c r="AZ1000" s="4"/>
      <c r="BA1000" s="4"/>
      <c r="BC1000" s="4"/>
      <c r="BD1000" s="4"/>
      <c r="BG1000" s="4"/>
      <c r="BH1000" s="4"/>
      <c r="BK1000" s="4"/>
    </row>
    <row r="1001" spans="38:63" x14ac:dyDescent="0.25">
      <c r="AL1001" s="4"/>
      <c r="AO1001" s="4"/>
      <c r="AS1001" s="4"/>
      <c r="AV1001" s="4"/>
      <c r="AW1001" s="4"/>
      <c r="AY1001" s="4"/>
      <c r="AZ1001" s="4"/>
      <c r="BA1001" s="4"/>
      <c r="BC1001" s="4"/>
      <c r="BD1001" s="4"/>
      <c r="BG1001" s="4"/>
      <c r="BH1001" s="4"/>
      <c r="BK1001" s="4"/>
    </row>
    <row r="1002" spans="38:63" x14ac:dyDescent="0.25">
      <c r="AL1002" s="4"/>
      <c r="AO1002" s="4"/>
      <c r="AS1002" s="4"/>
      <c r="AV1002" s="4"/>
      <c r="AW1002" s="4"/>
      <c r="AY1002" s="4"/>
      <c r="AZ1002" s="4"/>
      <c r="BA1002" s="4"/>
      <c r="BC1002" s="4"/>
      <c r="BD1002" s="4"/>
      <c r="BG1002" s="4"/>
      <c r="BH1002" s="4"/>
      <c r="BK1002" s="4"/>
    </row>
    <row r="1003" spans="38:63" x14ac:dyDescent="0.25">
      <c r="AL1003" s="4"/>
      <c r="AO1003" s="4"/>
      <c r="AS1003" s="4"/>
      <c r="AV1003" s="4"/>
      <c r="AW1003" s="4"/>
      <c r="AY1003" s="4"/>
      <c r="AZ1003" s="4"/>
      <c r="BA1003" s="4"/>
      <c r="BC1003" s="4"/>
      <c r="BD1003" s="4"/>
      <c r="BG1003" s="4"/>
      <c r="BH1003" s="4"/>
      <c r="BK1003" s="4"/>
    </row>
    <row r="1004" spans="38:63" x14ac:dyDescent="0.25">
      <c r="AL1004" s="4"/>
      <c r="AO1004" s="4"/>
      <c r="AS1004" s="4"/>
      <c r="AV1004" s="4"/>
      <c r="AW1004" s="4"/>
      <c r="AY1004" s="4"/>
      <c r="AZ1004" s="4"/>
      <c r="BA1004" s="4"/>
      <c r="BC1004" s="4"/>
      <c r="BD1004" s="4"/>
      <c r="BG1004" s="4"/>
      <c r="BH1004" s="4"/>
      <c r="BK1004" s="4"/>
    </row>
    <row r="1005" spans="38:63" x14ac:dyDescent="0.25">
      <c r="AL1005" s="4"/>
      <c r="AO1005" s="4"/>
      <c r="AS1005" s="4"/>
      <c r="AV1005" s="4"/>
      <c r="AW1005" s="4"/>
      <c r="AY1005" s="4"/>
      <c r="AZ1005" s="4"/>
      <c r="BA1005" s="4"/>
      <c r="BC1005" s="4"/>
      <c r="BD1005" s="4"/>
      <c r="BG1005" s="4"/>
      <c r="BH1005" s="4"/>
      <c r="BK1005" s="4"/>
    </row>
    <row r="1006" spans="38:63" x14ac:dyDescent="0.25">
      <c r="AL1006" s="4"/>
      <c r="AO1006" s="4"/>
      <c r="AS1006" s="4"/>
      <c r="AV1006" s="4"/>
      <c r="AW1006" s="4"/>
      <c r="AY1006" s="4"/>
      <c r="AZ1006" s="4"/>
      <c r="BA1006" s="4"/>
      <c r="BC1006" s="4"/>
      <c r="BD1006" s="4"/>
      <c r="BG1006" s="4"/>
      <c r="BH1006" s="4"/>
      <c r="BK1006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 거시경제지표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2015-08-27T06:38:16Z</dcterms:created>
  <dcterms:modified xsi:type="dcterms:W3CDTF">2019-06-03T23:46:07Z</dcterms:modified>
</cp:coreProperties>
</file>