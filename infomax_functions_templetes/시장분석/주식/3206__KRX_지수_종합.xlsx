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trlProps/ctrlProp9.xml" ContentType="application/vnd.ms-excel.control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volatileDependencies.xml" ContentType="application/vnd.openxmlformats-officedocument.spreadsheetml.volatileDependencies+xml"/>
  <Override PartName="/xl/ctrlProps/ctrlProp8.xml" ContentType="application/vnd.ms-excel.controlproperties+xml"/>
  <Override PartName="/xl/ctrlProps/ctrlProp7.xml" ContentType="application/vnd.ms-excel.control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ctrlProps/ctrlProp6.xml" ContentType="application/vnd.ms-excel.controlproperties+xml"/>
  <Override PartName="/xl/ctrlProps/ctrlProp5.xml" ContentType="application/vnd.ms-excel.controlproperties+xml"/>
  <Override PartName="/xl/sharedStrings.xml" ContentType="application/vnd.openxmlformats-officedocument.spreadsheetml.sharedStrings+xml"/>
  <Override PartName="/xl/ctrlProps/ctrlProp4.xml" ContentType="application/vnd.ms-excel.controlproperties+xml"/>
  <Override PartName="/xl/ctrlProps/ctrlProp3.xml" ContentType="application/vnd.ms-excel.controlproperties+xml"/>
  <Override PartName="/xl/metadata.xml" ContentType="application/vnd.openxmlformats-officedocument.spreadsheetml.sheetMetadata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510" yWindow="75" windowWidth="26715" windowHeight="14490" firstSheet="1" activeTab="1"/>
  </bookViews>
  <sheets>
    <sheet name="filter" sheetId="1" state="hidden" r:id="rId1"/>
    <sheet name="KRX" sheetId="2" r:id="rId2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5" i="2"/>
  <c r="O385" a="1"/>
  <c r="N385" a="1"/>
  <c r="N385" s="1"/>
  <c r="M385" a="1"/>
  <c r="M385" s="1"/>
  <c r="L385" a="1"/>
  <c r="L385" s="1"/>
  <c r="K385" a="1"/>
  <c r="K385" s="1"/>
  <c r="J385" a="1"/>
  <c r="J385" s="1"/>
  <c r="I385"/>
  <c r="I385" a="1"/>
  <c r="H385" a="1"/>
  <c r="H385" s="1"/>
  <c r="G385" a="1"/>
  <c r="G385" s="1"/>
  <c r="F385" a="1"/>
  <c r="F385" s="1"/>
  <c r="E385" a="1"/>
  <c r="E385" s="1"/>
  <c r="O384" a="1"/>
  <c r="O384" s="1"/>
  <c r="N384" a="1"/>
  <c r="N384" s="1"/>
  <c r="M384" a="1"/>
  <c r="M384" s="1"/>
  <c r="L384" a="1"/>
  <c r="L384" s="1"/>
  <c r="K384" a="1"/>
  <c r="K384" s="1"/>
  <c r="J384" a="1"/>
  <c r="J384" s="1"/>
  <c r="I384" a="1"/>
  <c r="I384" s="1"/>
  <c r="H384" a="1"/>
  <c r="H384" s="1"/>
  <c r="G384" a="1"/>
  <c r="G384" s="1"/>
  <c r="F384" a="1"/>
  <c r="F384" s="1"/>
  <c r="E384" a="1"/>
  <c r="E384" s="1"/>
  <c r="D4"/>
  <c r="M6"/>
  <c r="N9" a="1"/>
  <c r="N383" a="1"/>
  <c r="H383" a="1"/>
  <c r="M382" a="1"/>
  <c r="G382" a="1"/>
  <c r="L381" a="1"/>
  <c r="F381" a="1"/>
  <c r="K380" a="1"/>
  <c r="E380" a="1"/>
  <c r="J379" a="1"/>
  <c r="O378" a="1"/>
  <c r="I378" a="1"/>
  <c r="N377" a="1"/>
  <c r="H377" a="1"/>
  <c r="M376" a="1"/>
  <c r="G376" a="1"/>
  <c r="L375" a="1"/>
  <c r="F375" a="1"/>
  <c r="K374" a="1"/>
  <c r="E374" a="1"/>
  <c r="J373" a="1"/>
  <c r="O372" a="1"/>
  <c r="I372" a="1"/>
  <c r="N371" a="1"/>
  <c r="H371" a="1"/>
  <c r="M370" a="1"/>
  <c r="G370" a="1"/>
  <c r="L369" a="1"/>
  <c r="F369" a="1"/>
  <c r="K368" a="1"/>
  <c r="E368" a="1"/>
  <c r="J367" a="1"/>
  <c r="O366" a="1"/>
  <c r="I366" a="1"/>
  <c r="N365" a="1"/>
  <c r="H365" a="1"/>
  <c r="M364" a="1"/>
  <c r="G364" a="1"/>
  <c r="L363" a="1"/>
  <c r="F363" a="1"/>
  <c r="K362" a="1"/>
  <c r="E362" a="1"/>
  <c r="J361" a="1"/>
  <c r="O360" a="1"/>
  <c r="I360" a="1"/>
  <c r="N359" a="1"/>
  <c r="H359" a="1"/>
  <c r="M358" a="1"/>
  <c r="G358" a="1"/>
  <c r="L357" a="1"/>
  <c r="F357" a="1"/>
  <c r="K356" a="1"/>
  <c r="E356" a="1"/>
  <c r="J355" a="1"/>
  <c r="O354" a="1"/>
  <c r="I354" a="1"/>
  <c r="N353" a="1"/>
  <c r="H353" a="1"/>
  <c r="M352" a="1"/>
  <c r="G352" a="1"/>
  <c r="L351" a="1"/>
  <c r="F351" a="1"/>
  <c r="K350" a="1"/>
  <c r="E350" a="1"/>
  <c r="J349" a="1"/>
  <c r="O348" a="1"/>
  <c r="I348" a="1"/>
  <c r="N347" a="1"/>
  <c r="H347" a="1"/>
  <c r="M346" a="1"/>
  <c r="G346" a="1"/>
  <c r="L345" a="1"/>
  <c r="F345" a="1"/>
  <c r="K344" a="1"/>
  <c r="O383" a="1"/>
  <c r="I383" a="1"/>
  <c r="N382" a="1"/>
  <c r="H382" a="1"/>
  <c r="M381" a="1"/>
  <c r="G381" a="1"/>
  <c r="L380" a="1"/>
  <c r="F380" a="1"/>
  <c r="K379" a="1"/>
  <c r="E379" a="1"/>
  <c r="J378" a="1"/>
  <c r="O377" a="1"/>
  <c r="I377" a="1"/>
  <c r="N376" a="1"/>
  <c r="H376" a="1"/>
  <c r="M375" a="1"/>
  <c r="G375" a="1"/>
  <c r="L374" a="1"/>
  <c r="F374" a="1"/>
  <c r="K373" a="1"/>
  <c r="E373" a="1"/>
  <c r="J372" a="1"/>
  <c r="O371" a="1"/>
  <c r="I371" a="1"/>
  <c r="N370" a="1"/>
  <c r="H370" a="1"/>
  <c r="M369" a="1"/>
  <c r="G369" a="1"/>
  <c r="L368" a="1"/>
  <c r="F368" a="1"/>
  <c r="K367" a="1"/>
  <c r="E367" a="1"/>
  <c r="J366" a="1"/>
  <c r="O365" a="1"/>
  <c r="I365" a="1"/>
  <c r="N364" a="1"/>
  <c r="H364" a="1"/>
  <c r="M363" a="1"/>
  <c r="G363" a="1"/>
  <c r="L362" a="1"/>
  <c r="F362" a="1"/>
  <c r="K361" a="1"/>
  <c r="E361" a="1"/>
  <c r="J360" a="1"/>
  <c r="O359" a="1"/>
  <c r="I359" a="1"/>
  <c r="N358" a="1"/>
  <c r="H358" a="1"/>
  <c r="M357" a="1"/>
  <c r="G357" a="1"/>
  <c r="L356" a="1"/>
  <c r="F356" a="1"/>
  <c r="K355" a="1"/>
  <c r="E355" a="1"/>
  <c r="J354" a="1"/>
  <c r="O353" a="1"/>
  <c r="I353" a="1"/>
  <c r="N352" a="1"/>
  <c r="H352" a="1"/>
  <c r="M351" a="1"/>
  <c r="G351" a="1"/>
  <c r="L350" a="1"/>
  <c r="F350" a="1"/>
  <c r="K349" a="1"/>
  <c r="E349" a="1"/>
  <c r="J348" a="1"/>
  <c r="O347" a="1"/>
  <c r="I347" a="1"/>
  <c r="N346" a="1"/>
  <c r="H346" a="1"/>
  <c r="M345" a="1"/>
  <c r="G345" a="1"/>
  <c r="L344" a="1"/>
  <c r="F344" a="1"/>
  <c r="K343" a="1"/>
  <c r="E343" a="1"/>
  <c r="J342" a="1"/>
  <c r="O341" a="1"/>
  <c r="I341" a="1"/>
  <c r="N340" a="1"/>
  <c r="H340" a="1"/>
  <c r="M339" a="1"/>
  <c r="G339" a="1"/>
  <c r="L338" a="1"/>
  <c r="F338" a="1"/>
  <c r="K337" a="1"/>
  <c r="E337" a="1"/>
  <c r="J336" a="1"/>
  <c r="O335" a="1"/>
  <c r="I335" a="1"/>
  <c r="N334" a="1"/>
  <c r="H334" a="1"/>
  <c r="M333" a="1"/>
  <c r="G333" a="1"/>
  <c r="L332" a="1"/>
  <c r="F332" a="1"/>
  <c r="K331" a="1"/>
  <c r="E331" a="1"/>
  <c r="J330" a="1"/>
  <c r="O329" a="1"/>
  <c r="I329" a="1"/>
  <c r="N328" a="1"/>
  <c r="H328" a="1"/>
  <c r="M327" a="1"/>
  <c r="G327" a="1"/>
  <c r="L326" a="1"/>
  <c r="J383" a="1"/>
  <c r="O382" a="1"/>
  <c r="I382" a="1"/>
  <c r="N381" a="1"/>
  <c r="H381" a="1"/>
  <c r="M380" a="1"/>
  <c r="G380" a="1"/>
  <c r="L379" a="1"/>
  <c r="F379" a="1"/>
  <c r="K378" a="1"/>
  <c r="E378" a="1"/>
  <c r="J377" a="1"/>
  <c r="O376" a="1"/>
  <c r="I376" a="1"/>
  <c r="N375" a="1"/>
  <c r="H375" a="1"/>
  <c r="M374" a="1"/>
  <c r="G374" a="1"/>
  <c r="L373" a="1"/>
  <c r="F373" a="1"/>
  <c r="K372" a="1"/>
  <c r="E372" a="1"/>
  <c r="J371" a="1"/>
  <c r="O370" a="1"/>
  <c r="I370" a="1"/>
  <c r="N369" a="1"/>
  <c r="H369" a="1"/>
  <c r="M368" a="1"/>
  <c r="G368" a="1"/>
  <c r="L367" a="1"/>
  <c r="F367" a="1"/>
  <c r="K366" a="1"/>
  <c r="E366" a="1"/>
  <c r="J365" a="1"/>
  <c r="O364" a="1"/>
  <c r="I364" a="1"/>
  <c r="N363" a="1"/>
  <c r="H363" a="1"/>
  <c r="M362" a="1"/>
  <c r="G362" a="1"/>
  <c r="L361" a="1"/>
  <c r="F361" a="1"/>
  <c r="K360" a="1"/>
  <c r="E360" a="1"/>
  <c r="J359" a="1"/>
  <c r="O358" a="1"/>
  <c r="I358" a="1"/>
  <c r="N357" a="1"/>
  <c r="H357" a="1"/>
  <c r="M356" a="1"/>
  <c r="G356" a="1"/>
  <c r="L355" a="1"/>
  <c r="F355" a="1"/>
  <c r="K354" a="1"/>
  <c r="E354" a="1"/>
  <c r="J353" a="1"/>
  <c r="O352" a="1"/>
  <c r="I352" a="1"/>
  <c r="N351" a="1"/>
  <c r="H351" a="1"/>
  <c r="M350" a="1"/>
  <c r="G350" a="1"/>
  <c r="L349" a="1"/>
  <c r="F349" a="1"/>
  <c r="K348" a="1"/>
  <c r="E348" a="1"/>
  <c r="J347" a="1"/>
  <c r="O346" a="1"/>
  <c r="I346" a="1"/>
  <c r="N345" a="1"/>
  <c r="H345" a="1"/>
  <c r="M344" a="1"/>
  <c r="K383" a="1"/>
  <c r="E383" a="1"/>
  <c r="J382" a="1"/>
  <c r="O381" a="1"/>
  <c r="I381" a="1"/>
  <c r="N380" a="1"/>
  <c r="H380" a="1"/>
  <c r="M379" a="1"/>
  <c r="G379" a="1"/>
  <c r="L378" a="1"/>
  <c r="F378" a="1"/>
  <c r="K377" a="1"/>
  <c r="E377" a="1"/>
  <c r="J376" a="1"/>
  <c r="O375" a="1"/>
  <c r="I375" a="1"/>
  <c r="N374" a="1"/>
  <c r="H374" a="1"/>
  <c r="M373" a="1"/>
  <c r="G373" a="1"/>
  <c r="L372" a="1"/>
  <c r="F372" a="1"/>
  <c r="K371" a="1"/>
  <c r="E371" a="1"/>
  <c r="J370" a="1"/>
  <c r="O369" a="1"/>
  <c r="I369" a="1"/>
  <c r="N368" a="1"/>
  <c r="H368" a="1"/>
  <c r="M367" a="1"/>
  <c r="G367" a="1"/>
  <c r="L366" a="1"/>
  <c r="F366" a="1"/>
  <c r="K365" a="1"/>
  <c r="E365" a="1"/>
  <c r="J364" a="1"/>
  <c r="O363" a="1"/>
  <c r="I363" a="1"/>
  <c r="N362" a="1"/>
  <c r="H362" a="1"/>
  <c r="M361" a="1"/>
  <c r="G361" a="1"/>
  <c r="L360" a="1"/>
  <c r="F360" a="1"/>
  <c r="K359" a="1"/>
  <c r="E359" a="1"/>
  <c r="J358" a="1"/>
  <c r="O357" a="1"/>
  <c r="I357" a="1"/>
  <c r="N356" a="1"/>
  <c r="H356" a="1"/>
  <c r="M355" a="1"/>
  <c r="G355" a="1"/>
  <c r="L354" a="1"/>
  <c r="F354" a="1"/>
  <c r="K353" a="1"/>
  <c r="E353" a="1"/>
  <c r="J352" a="1"/>
  <c r="O351" a="1"/>
  <c r="I351" a="1"/>
  <c r="N350" a="1"/>
  <c r="H350" a="1"/>
  <c r="M349" a="1"/>
  <c r="G349" a="1"/>
  <c r="L348" a="1"/>
  <c r="F348" a="1"/>
  <c r="K347" a="1"/>
  <c r="E347" a="1"/>
  <c r="J346" a="1"/>
  <c r="O345" a="1"/>
  <c r="I345" a="1"/>
  <c r="N344" a="1"/>
  <c r="H344" a="1"/>
  <c r="M343" a="1"/>
  <c r="G343" a="1"/>
  <c r="L342" a="1"/>
  <c r="F342" a="1"/>
  <c r="K341" a="1"/>
  <c r="E341" a="1"/>
  <c r="J340" a="1"/>
  <c r="O339" a="1"/>
  <c r="I339" a="1"/>
  <c r="N338" a="1"/>
  <c r="H338" a="1"/>
  <c r="M337" a="1"/>
  <c r="G337" a="1"/>
  <c r="L336" a="1"/>
  <c r="F336" a="1"/>
  <c r="K335" a="1"/>
  <c r="E335" a="1"/>
  <c r="J334" a="1"/>
  <c r="O333" a="1"/>
  <c r="I333" a="1"/>
  <c r="N332" a="1"/>
  <c r="H332" a="1"/>
  <c r="M331" a="1"/>
  <c r="G331" a="1"/>
  <c r="L330" a="1"/>
  <c r="F330" a="1"/>
  <c r="K329" a="1"/>
  <c r="E329" a="1"/>
  <c r="J328" a="1"/>
  <c r="O327" a="1"/>
  <c r="I327" a="1"/>
  <c r="N326" a="1"/>
  <c r="L383" a="1"/>
  <c r="F383" a="1"/>
  <c r="K382" a="1"/>
  <c r="E382" a="1"/>
  <c r="J381" a="1"/>
  <c r="O380" a="1"/>
  <c r="I380" a="1"/>
  <c r="N379" a="1"/>
  <c r="H379" a="1"/>
  <c r="M378" a="1"/>
  <c r="G378" a="1"/>
  <c r="L377" a="1"/>
  <c r="F377" a="1"/>
  <c r="K376" a="1"/>
  <c r="E376" a="1"/>
  <c r="J375" a="1"/>
  <c r="O374" a="1"/>
  <c r="I374" a="1"/>
  <c r="N373" a="1"/>
  <c r="H373" a="1"/>
  <c r="M372" a="1"/>
  <c r="G372" a="1"/>
  <c r="L371" a="1"/>
  <c r="F371" a="1"/>
  <c r="K370" a="1"/>
  <c r="E370" a="1"/>
  <c r="J369" a="1"/>
  <c r="O368" a="1"/>
  <c r="I368" a="1"/>
  <c r="N367" a="1"/>
  <c r="H367" a="1"/>
  <c r="M366" a="1"/>
  <c r="G366" a="1"/>
  <c r="L365" a="1"/>
  <c r="F365" a="1"/>
  <c r="K364" a="1"/>
  <c r="E364" a="1"/>
  <c r="J363" a="1"/>
  <c r="O362" a="1"/>
  <c r="I362" a="1"/>
  <c r="N361" a="1"/>
  <c r="H361" a="1"/>
  <c r="M360" a="1"/>
  <c r="G360" a="1"/>
  <c r="L359" a="1"/>
  <c r="F359" a="1"/>
  <c r="K358" a="1"/>
  <c r="E358" a="1"/>
  <c r="J357" a="1"/>
  <c r="O356" a="1"/>
  <c r="I356" a="1"/>
  <c r="N355" a="1"/>
  <c r="H355" a="1"/>
  <c r="M354" a="1"/>
  <c r="G354" a="1"/>
  <c r="L353" a="1"/>
  <c r="F353" a="1"/>
  <c r="K352" a="1"/>
  <c r="E352" a="1"/>
  <c r="J351" a="1"/>
  <c r="O350" a="1"/>
  <c r="I350" a="1"/>
  <c r="N349" a="1"/>
  <c r="H349" a="1"/>
  <c r="M348" a="1"/>
  <c r="G348" a="1"/>
  <c r="L347" a="1"/>
  <c r="F347" a="1"/>
  <c r="K346" a="1"/>
  <c r="E346" a="1"/>
  <c r="J345" a="1"/>
  <c r="O344" a="1"/>
  <c r="I344" a="1"/>
  <c r="N343" a="1"/>
  <c r="H343" a="1"/>
  <c r="M342" a="1"/>
  <c r="G342" a="1"/>
  <c r="L341" a="1"/>
  <c r="F341" a="1"/>
  <c r="K340" a="1"/>
  <c r="E340" a="1"/>
  <c r="J339" a="1"/>
  <c r="O338" a="1"/>
  <c r="I338" a="1"/>
  <c r="N337" a="1"/>
  <c r="H337" a="1"/>
  <c r="M336" a="1"/>
  <c r="G336" a="1"/>
  <c r="L335" a="1"/>
  <c r="F335" a="1"/>
  <c r="K334" a="1"/>
  <c r="E334" a="1"/>
  <c r="J333" a="1"/>
  <c r="O332" a="1"/>
  <c r="I332" a="1"/>
  <c r="N331" a="1"/>
  <c r="H331" a="1"/>
  <c r="M330" a="1"/>
  <c r="G330" a="1"/>
  <c r="L329" a="1"/>
  <c r="F329" a="1"/>
  <c r="K328" a="1"/>
  <c r="E328" a="1"/>
  <c r="J327" a="1"/>
  <c r="O326" a="1"/>
  <c r="I326" a="1"/>
  <c r="N325" a="1"/>
  <c r="H325" a="1"/>
  <c r="M324" a="1"/>
  <c r="K381" a="1"/>
  <c r="H378" a="1"/>
  <c r="E375" a="1"/>
  <c r="M371" a="1"/>
  <c r="J368" a="1"/>
  <c r="G365" a="1"/>
  <c r="O361" a="1"/>
  <c r="L358" a="1"/>
  <c r="I355" a="1"/>
  <c r="F352" a="1"/>
  <c r="N348" a="1"/>
  <c r="K345" a="1"/>
  <c r="I343" a="1"/>
  <c r="M341" a="1"/>
  <c r="F340" a="1"/>
  <c r="J338" a="1"/>
  <c r="N336" a="1"/>
  <c r="G335" a="1"/>
  <c r="K333" a="1"/>
  <c r="O331" a="1"/>
  <c r="H330" a="1"/>
  <c r="L328" a="1"/>
  <c r="E327" a="1"/>
  <c r="L325" a="1"/>
  <c r="K324" a="1"/>
  <c r="L323" a="1"/>
  <c r="M321" a="1"/>
  <c r="N320" a="1"/>
  <c r="O319" a="1"/>
  <c r="O318" a="1"/>
  <c r="E318" a="1"/>
  <c r="F317" a="1"/>
  <c r="G315" a="1"/>
  <c r="H314" a="1"/>
  <c r="I313" a="1"/>
  <c r="I312" a="1"/>
  <c r="J311" a="1"/>
  <c r="K310" a="1"/>
  <c r="L308" a="1"/>
  <c r="M307" a="1"/>
  <c r="N306" a="1"/>
  <c r="N305" a="1"/>
  <c r="O304" a="1"/>
  <c r="E304" a="1"/>
  <c r="F302" a="1"/>
  <c r="G301" a="1"/>
  <c r="H300" a="1"/>
  <c r="H299" a="1"/>
  <c r="I298" a="1"/>
  <c r="J297" a="1"/>
  <c r="K295" a="1"/>
  <c r="L294" a="1"/>
  <c r="M293" a="1"/>
  <c r="M292" a="1"/>
  <c r="N291" a="1"/>
  <c r="O290" a="1"/>
  <c r="E289" a="1"/>
  <c r="F288" a="1"/>
  <c r="G287" a="1"/>
  <c r="G286" a="1"/>
  <c r="H285" a="1"/>
  <c r="I284" a="1"/>
  <c r="J282" a="1"/>
  <c r="K281" a="1"/>
  <c r="L280" a="1"/>
  <c r="L279" a="1"/>
  <c r="M278" a="1"/>
  <c r="N277" a="1"/>
  <c r="O275" a="1"/>
  <c r="E275" a="1"/>
  <c r="F274" a="1"/>
  <c r="F273" a="1"/>
  <c r="G272" a="1"/>
  <c r="H271" a="1"/>
  <c r="I269" a="1"/>
  <c r="J268" a="1"/>
  <c r="K267" a="1"/>
  <c r="K266" a="1"/>
  <c r="L265" a="1"/>
  <c r="M264" a="1"/>
  <c r="N262" a="1"/>
  <c r="O261" a="1"/>
  <c r="E261" a="1"/>
  <c r="E260" a="1"/>
  <c r="F259" a="1"/>
  <c r="G258" a="1"/>
  <c r="H256" a="1"/>
  <c r="I255" a="1"/>
  <c r="J254" a="1"/>
  <c r="J253" a="1"/>
  <c r="K252" a="1"/>
  <c r="L251" a="1"/>
  <c r="M249" a="1"/>
  <c r="N248" a="1"/>
  <c r="O247" a="1"/>
  <c r="O246" a="1"/>
  <c r="M325" a="1"/>
  <c r="L324" a="1"/>
  <c r="M323" a="1"/>
  <c r="M322" a="1"/>
  <c r="N321" a="1"/>
  <c r="O320" a="1"/>
  <c r="E319" a="1"/>
  <c r="F318" a="1"/>
  <c r="G317" a="1"/>
  <c r="G316" a="1"/>
  <c r="H315" a="1"/>
  <c r="I314" a="1"/>
  <c r="J312" a="1"/>
  <c r="K311" a="1"/>
  <c r="L310" a="1"/>
  <c r="L309" a="1"/>
  <c r="M308" a="1"/>
  <c r="N307" a="1"/>
  <c r="O305" a="1"/>
  <c r="E305" a="1"/>
  <c r="F304" a="1"/>
  <c r="F303" a="1"/>
  <c r="G302" a="1"/>
  <c r="H301" a="1"/>
  <c r="I299" a="1"/>
  <c r="J298" a="1"/>
  <c r="K297" a="1"/>
  <c r="K296" a="1"/>
  <c r="L295" a="1"/>
  <c r="M294" a="1"/>
  <c r="N292" a="1"/>
  <c r="O291" a="1"/>
  <c r="E291" a="1"/>
  <c r="E290" a="1"/>
  <c r="F289" a="1"/>
  <c r="G288" a="1"/>
  <c r="H286" a="1"/>
  <c r="I285" a="1"/>
  <c r="J284" a="1"/>
  <c r="J283" a="1"/>
  <c r="K282" a="1"/>
  <c r="L281" a="1"/>
  <c r="M279" a="1"/>
  <c r="N278" a="1"/>
  <c r="O277" a="1"/>
  <c r="O276" a="1"/>
  <c r="E276" a="1"/>
  <c r="F275" a="1"/>
  <c r="G273" a="1"/>
  <c r="H272" a="1"/>
  <c r="I271" a="1"/>
  <c r="I270" a="1"/>
  <c r="J269" a="1"/>
  <c r="K268" a="1"/>
  <c r="L266" a="1"/>
  <c r="M265" a="1"/>
  <c r="N264" a="1"/>
  <c r="N263" a="1"/>
  <c r="O262" a="1"/>
  <c r="E262" a="1"/>
  <c r="F260" a="1"/>
  <c r="G259" a="1"/>
  <c r="H258" a="1"/>
  <c r="H257" a="1"/>
  <c r="I256" a="1"/>
  <c r="J255" a="1"/>
  <c r="K253" a="1"/>
  <c r="L252" a="1"/>
  <c r="M251" a="1"/>
  <c r="M250" a="1"/>
  <c r="N249" a="1"/>
  <c r="O248" a="1"/>
  <c r="E247" a="1"/>
  <c r="G246" a="1"/>
  <c r="L245" a="1"/>
  <c r="F245" a="1"/>
  <c r="K244" a="1"/>
  <c r="E244" a="1"/>
  <c r="J243" a="1"/>
  <c r="O242" a="1"/>
  <c r="I242" a="1"/>
  <c r="N241" a="1"/>
  <c r="H241" a="1"/>
  <c r="M240" a="1"/>
  <c r="G240" a="1"/>
  <c r="L239" a="1"/>
  <c r="F239" a="1"/>
  <c r="K238" a="1"/>
  <c r="E238" a="1"/>
  <c r="J237" a="1"/>
  <c r="O236" a="1"/>
  <c r="I236" a="1"/>
  <c r="N235" a="1"/>
  <c r="H235" a="1"/>
  <c r="M234" a="1"/>
  <c r="G234" a="1"/>
  <c r="L233" a="1"/>
  <c r="F233" a="1"/>
  <c r="K232" a="1"/>
  <c r="E232" a="1"/>
  <c r="J231" a="1"/>
  <c r="O230" a="1"/>
  <c r="I230" a="1"/>
  <c r="N229" a="1"/>
  <c r="H229" a="1"/>
  <c r="M228" a="1"/>
  <c r="G228" a="1"/>
  <c r="L227" a="1"/>
  <c r="F227" a="1"/>
  <c r="K226" a="1"/>
  <c r="E226" a="1"/>
  <c r="J225" a="1"/>
  <c r="O224" a="1"/>
  <c r="I224" a="1"/>
  <c r="N223" a="1"/>
  <c r="H223" a="1"/>
  <c r="M222" a="1"/>
  <c r="G222" a="1"/>
  <c r="L221" a="1"/>
  <c r="F221" a="1"/>
  <c r="K220" a="1"/>
  <c r="E220" a="1"/>
  <c r="J219" a="1"/>
  <c r="O218" a="1"/>
  <c r="I218" a="1"/>
  <c r="N217" a="1"/>
  <c r="H217" a="1"/>
  <c r="M216" a="1"/>
  <c r="G216" a="1"/>
  <c r="L215" a="1"/>
  <c r="F215" a="1"/>
  <c r="K214" a="1"/>
  <c r="E214" a="1"/>
  <c r="J213" a="1"/>
  <c r="O212" a="1"/>
  <c r="I212" a="1"/>
  <c r="N211" a="1"/>
  <c r="H211" a="1"/>
  <c r="M210" a="1"/>
  <c r="G210" a="1"/>
  <c r="L209" a="1"/>
  <c r="F209" a="1"/>
  <c r="K208" a="1"/>
  <c r="E208" a="1"/>
  <c r="J207" a="1"/>
  <c r="O206" a="1"/>
  <c r="I206" a="1"/>
  <c r="N205" a="1"/>
  <c r="H205" a="1"/>
  <c r="M204" a="1"/>
  <c r="G204" a="1"/>
  <c r="L203" a="1"/>
  <c r="F203" a="1"/>
  <c r="F382" a="1"/>
  <c r="N378" a="1"/>
  <c r="K375" a="1"/>
  <c r="H372" a="1"/>
  <c r="E369" a="1"/>
  <c r="M365" a="1"/>
  <c r="J362" a="1"/>
  <c r="G359" a="1"/>
  <c r="O355" a="1"/>
  <c r="L352" a="1"/>
  <c r="I349" a="1"/>
  <c r="F346" a="1"/>
  <c r="J343" a="1"/>
  <c r="N341" a="1"/>
  <c r="G340" a="1"/>
  <c r="K338" a="1"/>
  <c r="O336" a="1"/>
  <c r="H335" a="1"/>
  <c r="L333" a="1"/>
  <c r="E332" a="1"/>
  <c r="I330" a="1"/>
  <c r="M328" a="1"/>
  <c r="F327" a="1"/>
  <c r="O325" a="1"/>
  <c r="N324" a="1"/>
  <c r="N322" a="1"/>
  <c r="O321" a="1"/>
  <c r="E321" a="1"/>
  <c r="E320" a="1"/>
  <c r="F319" a="1"/>
  <c r="G318" a="1"/>
  <c r="H316" a="1"/>
  <c r="I315" a="1"/>
  <c r="J314" a="1"/>
  <c r="J313" a="1"/>
  <c r="K312" a="1"/>
  <c r="L311" a="1"/>
  <c r="M309" a="1"/>
  <c r="N308" a="1"/>
  <c r="O307" a="1"/>
  <c r="O306" a="1"/>
  <c r="E306" a="1"/>
  <c r="F305" a="1"/>
  <c r="G303" a="1"/>
  <c r="H302" a="1"/>
  <c r="I301" a="1"/>
  <c r="I300" a="1"/>
  <c r="J299" a="1"/>
  <c r="K298" a="1"/>
  <c r="L296" a="1"/>
  <c r="M295" a="1"/>
  <c r="N294" a="1"/>
  <c r="N293" a="1"/>
  <c r="O292" a="1"/>
  <c r="E292" a="1"/>
  <c r="F290" a="1"/>
  <c r="G289" a="1"/>
  <c r="H288" a="1"/>
  <c r="H287" a="1"/>
  <c r="I286" a="1"/>
  <c r="J285" a="1"/>
  <c r="K283" a="1"/>
  <c r="L282" a="1"/>
  <c r="M281" a="1"/>
  <c r="M280" a="1"/>
  <c r="N279" a="1"/>
  <c r="O278" a="1"/>
  <c r="E277" a="1"/>
  <c r="F276" a="1"/>
  <c r="G275" a="1"/>
  <c r="G274" a="1"/>
  <c r="H273" a="1"/>
  <c r="I272" a="1"/>
  <c r="J270" a="1"/>
  <c r="K269" a="1"/>
  <c r="L268" a="1"/>
  <c r="L267" a="1"/>
  <c r="M266" a="1"/>
  <c r="N265" a="1"/>
  <c r="O263" a="1"/>
  <c r="E263" a="1"/>
  <c r="F262" a="1"/>
  <c r="F261" a="1"/>
  <c r="G260" a="1"/>
  <c r="H259" a="1"/>
  <c r="I257" a="1"/>
  <c r="J256" a="1"/>
  <c r="K255" a="1"/>
  <c r="K254" a="1"/>
  <c r="L253" a="1"/>
  <c r="M252" a="1"/>
  <c r="N250" a="1"/>
  <c r="O249" a="1"/>
  <c r="E249" a="1"/>
  <c r="E248" a="1"/>
  <c r="F247" a="1"/>
  <c r="L343" a="1"/>
  <c r="E342" a="1"/>
  <c r="I340" a="1"/>
  <c r="M338" a="1"/>
  <c r="F337" a="1"/>
  <c r="J335" a="1"/>
  <c r="N333" a="1"/>
  <c r="G332" a="1"/>
  <c r="K330" a="1"/>
  <c r="O328" a="1"/>
  <c r="H327" a="1"/>
  <c r="N323" a="1"/>
  <c r="O322" a="1"/>
  <c r="E322" a="1"/>
  <c r="F320" a="1"/>
  <c r="G319" a="1"/>
  <c r="H318" a="1"/>
  <c r="H317" a="1"/>
  <c r="I316" a="1"/>
  <c r="J315" a="1"/>
  <c r="K313" a="1"/>
  <c r="L312" a="1"/>
  <c r="M311" a="1"/>
  <c r="M310" a="1"/>
  <c r="N309" a="1"/>
  <c r="O308" a="1"/>
  <c r="E307" a="1"/>
  <c r="F306" a="1"/>
  <c r="G305" a="1"/>
  <c r="G304" a="1"/>
  <c r="H303" a="1"/>
  <c r="I302" a="1"/>
  <c r="J300" a="1"/>
  <c r="K299" a="1"/>
  <c r="L298" a="1"/>
  <c r="L297" a="1"/>
  <c r="M296" a="1"/>
  <c r="N295" a="1"/>
  <c r="O293" a="1"/>
  <c r="E293" a="1"/>
  <c r="F292" a="1"/>
  <c r="F291" a="1"/>
  <c r="G290" a="1"/>
  <c r="H289" a="1"/>
  <c r="I287" a="1"/>
  <c r="J286" a="1"/>
  <c r="K285" a="1"/>
  <c r="K284" a="1"/>
  <c r="L283" a="1"/>
  <c r="M282" a="1"/>
  <c r="N280" a="1"/>
  <c r="O279" a="1"/>
  <c r="E279" a="1"/>
  <c r="E278" a="1"/>
  <c r="F277" a="1"/>
  <c r="G276" a="1"/>
  <c r="H274" a="1"/>
  <c r="I273" a="1"/>
  <c r="J272" a="1"/>
  <c r="J271" a="1"/>
  <c r="K270" a="1"/>
  <c r="L269" a="1"/>
  <c r="M267" a="1"/>
  <c r="N266" a="1"/>
  <c r="O265" a="1"/>
  <c r="O264" a="1"/>
  <c r="E264" a="1"/>
  <c r="F263" a="1"/>
  <c r="G261" a="1"/>
  <c r="H260" a="1"/>
  <c r="I259" a="1"/>
  <c r="I258" a="1"/>
  <c r="J257" a="1"/>
  <c r="K256" a="1"/>
  <c r="L254" a="1"/>
  <c r="M253" a="1"/>
  <c r="N252" a="1"/>
  <c r="N251" a="1"/>
  <c r="O250" a="1"/>
  <c r="E250" a="1"/>
  <c r="F248" a="1"/>
  <c r="G247" a="1"/>
  <c r="H246" a="1"/>
  <c r="M245" a="1"/>
  <c r="G245" a="1"/>
  <c r="L244" a="1"/>
  <c r="F244" a="1"/>
  <c r="K243" a="1"/>
  <c r="E243" a="1"/>
  <c r="J242" a="1"/>
  <c r="O241" a="1"/>
  <c r="I241" a="1"/>
  <c r="N240" a="1"/>
  <c r="H240" a="1"/>
  <c r="M239" a="1"/>
  <c r="G239" a="1"/>
  <c r="L238" a="1"/>
  <c r="F238" a="1"/>
  <c r="K237" a="1"/>
  <c r="E237" a="1"/>
  <c r="J236" a="1"/>
  <c r="O235" a="1"/>
  <c r="I235" a="1"/>
  <c r="N234" a="1"/>
  <c r="H234" a="1"/>
  <c r="M233" a="1"/>
  <c r="G233" a="1"/>
  <c r="L232" a="1"/>
  <c r="F232" a="1"/>
  <c r="K231" a="1"/>
  <c r="E231" a="1"/>
  <c r="J230" a="1"/>
  <c r="O229" a="1"/>
  <c r="I229" a="1"/>
  <c r="N228" a="1"/>
  <c r="H228" a="1"/>
  <c r="M227" a="1"/>
  <c r="G227" a="1"/>
  <c r="L226" a="1"/>
  <c r="F226" a="1"/>
  <c r="K225" a="1"/>
  <c r="E225" a="1"/>
  <c r="J224" a="1"/>
  <c r="O223" a="1"/>
  <c r="I223" a="1"/>
  <c r="N222" a="1"/>
  <c r="H222" a="1"/>
  <c r="M221" a="1"/>
  <c r="G221" a="1"/>
  <c r="L220" a="1"/>
  <c r="F220" a="1"/>
  <c r="K219" a="1"/>
  <c r="E219" a="1"/>
  <c r="J218" a="1"/>
  <c r="O217" a="1"/>
  <c r="I217" a="1"/>
  <c r="N216" a="1"/>
  <c r="H216" a="1"/>
  <c r="M215" a="1"/>
  <c r="G215" a="1"/>
  <c r="L214" a="1"/>
  <c r="F214" a="1"/>
  <c r="K213" a="1"/>
  <c r="E213" a="1"/>
  <c r="J212" a="1"/>
  <c r="O211" a="1"/>
  <c r="I211" a="1"/>
  <c r="N210" a="1"/>
  <c r="H210" a="1"/>
  <c r="M209" a="1"/>
  <c r="G209" a="1"/>
  <c r="L208" a="1"/>
  <c r="F208" a="1"/>
  <c r="K207" a="1"/>
  <c r="E207" a="1"/>
  <c r="J206" a="1"/>
  <c r="O205" a="1"/>
  <c r="I205" a="1"/>
  <c r="N204" a="1"/>
  <c r="H204" a="1"/>
  <c r="M203" a="1"/>
  <c r="G203" a="1"/>
  <c r="L202" a="1"/>
  <c r="F202" a="1"/>
  <c r="K201" a="1"/>
  <c r="E201" a="1"/>
  <c r="J200" a="1"/>
  <c r="O199" a="1"/>
  <c r="I199" a="1"/>
  <c r="N198" a="1"/>
  <c r="H198" a="1"/>
  <c r="M197" a="1"/>
  <c r="G197" a="1"/>
  <c r="L196" a="1"/>
  <c r="F196" a="1"/>
  <c r="K195" a="1"/>
  <c r="E195" a="1"/>
  <c r="J194" a="1"/>
  <c r="O193" a="1"/>
  <c r="I193" a="1"/>
  <c r="N192" a="1"/>
  <c r="H192" a="1"/>
  <c r="M191" a="1"/>
  <c r="G191" a="1"/>
  <c r="L190" a="1"/>
  <c r="F190" a="1"/>
  <c r="K189" a="1"/>
  <c r="E189" a="1"/>
  <c r="J188" a="1"/>
  <c r="O187" a="1"/>
  <c r="I187" a="1"/>
  <c r="N186" a="1"/>
  <c r="H186" a="1"/>
  <c r="M185" a="1"/>
  <c r="G185" a="1"/>
  <c r="L184" a="1"/>
  <c r="F184" a="1"/>
  <c r="K183" a="1"/>
  <c r="E183" a="1"/>
  <c r="J182" a="1"/>
  <c r="O181" a="1"/>
  <c r="I181" a="1"/>
  <c r="N180" a="1"/>
  <c r="H180" a="1"/>
  <c r="M179" a="1"/>
  <c r="G179" a="1"/>
  <c r="L382" a="1"/>
  <c r="I379" a="1"/>
  <c r="F376" a="1"/>
  <c r="N372" a="1"/>
  <c r="K369" a="1"/>
  <c r="H366" a="1"/>
  <c r="E363" a="1"/>
  <c r="M359" a="1"/>
  <c r="J356" a="1"/>
  <c r="G353" a="1"/>
  <c r="O349" a="1"/>
  <c r="L346" a="1"/>
  <c r="O343" a="1"/>
  <c r="H342" a="1"/>
  <c r="L340" a="1"/>
  <c r="E339" a="1"/>
  <c r="I337" a="1"/>
  <c r="M335" a="1"/>
  <c r="F334" a="1"/>
  <c r="J332" a="1"/>
  <c r="N330" a="1"/>
  <c r="G329" a="1"/>
  <c r="K327" a="1"/>
  <c r="E326" a="1"/>
  <c r="O324" a="1"/>
  <c r="O323" a="1"/>
  <c r="E323" a="1"/>
  <c r="F322" a="1"/>
  <c r="F321" a="1"/>
  <c r="G320" a="1"/>
  <c r="H319" a="1"/>
  <c r="I317" a="1"/>
  <c r="J316" a="1"/>
  <c r="K315" a="1"/>
  <c r="K314" a="1"/>
  <c r="L313" a="1"/>
  <c r="M312" a="1"/>
  <c r="N310" a="1"/>
  <c r="O309" a="1"/>
  <c r="E309" a="1"/>
  <c r="E308" a="1"/>
  <c r="F307" a="1"/>
  <c r="G306" a="1"/>
  <c r="H304" a="1"/>
  <c r="I303" a="1"/>
  <c r="J302" a="1"/>
  <c r="J301" a="1"/>
  <c r="K300" a="1"/>
  <c r="L299" a="1"/>
  <c r="M297" a="1"/>
  <c r="N296" a="1"/>
  <c r="O295" a="1"/>
  <c r="O294" a="1"/>
  <c r="E294" a="1"/>
  <c r="F293" a="1"/>
  <c r="G291" a="1"/>
  <c r="H290" a="1"/>
  <c r="I289" a="1"/>
  <c r="I288" a="1"/>
  <c r="J287" a="1"/>
  <c r="K286" a="1"/>
  <c r="L284" a="1"/>
  <c r="M283" a="1"/>
  <c r="N282" a="1"/>
  <c r="N281" a="1"/>
  <c r="O280" a="1"/>
  <c r="E280" a="1"/>
  <c r="F278" a="1"/>
  <c r="G277" a="1"/>
  <c r="H276" a="1"/>
  <c r="H275" a="1"/>
  <c r="I274" a="1"/>
  <c r="J273" a="1"/>
  <c r="K271" a="1"/>
  <c r="L270" a="1"/>
  <c r="M269" a="1"/>
  <c r="M268" a="1"/>
  <c r="N267" a="1"/>
  <c r="O266" a="1"/>
  <c r="E265" a="1"/>
  <c r="F264" a="1"/>
  <c r="G263" a="1"/>
  <c r="G262" a="1"/>
  <c r="H261" a="1"/>
  <c r="I260" a="1"/>
  <c r="J258" a="1"/>
  <c r="K257" a="1"/>
  <c r="L256" a="1"/>
  <c r="L255" a="1"/>
  <c r="M254" a="1"/>
  <c r="N253" a="1"/>
  <c r="O251" a="1"/>
  <c r="E251" a="1"/>
  <c r="F250" a="1"/>
  <c r="F249" a="1"/>
  <c r="G248" a="1"/>
  <c r="H247" a="1"/>
  <c r="F326" a="1"/>
  <c r="E325" a="1"/>
  <c r="E324" a="1"/>
  <c r="F323" a="1"/>
  <c r="G321" a="1"/>
  <c r="H320" a="1"/>
  <c r="I319" a="1"/>
  <c r="I318" a="1"/>
  <c r="J317" a="1"/>
  <c r="K316" a="1"/>
  <c r="L314" a="1"/>
  <c r="M313" a="1"/>
  <c r="N312" a="1"/>
  <c r="N311" a="1"/>
  <c r="O310" a="1"/>
  <c r="E310" a="1"/>
  <c r="F308" a="1"/>
  <c r="G307" a="1"/>
  <c r="H306" a="1"/>
  <c r="H305" a="1"/>
  <c r="I304" a="1"/>
  <c r="J303" a="1"/>
  <c r="K301" a="1"/>
  <c r="L300" a="1"/>
  <c r="M299" a="1"/>
  <c r="M298" a="1"/>
  <c r="N297" a="1"/>
  <c r="O296" a="1"/>
  <c r="E295" a="1"/>
  <c r="F294" a="1"/>
  <c r="G293" a="1"/>
  <c r="G292" a="1"/>
  <c r="H291" a="1"/>
  <c r="I290" a="1"/>
  <c r="J288" a="1"/>
  <c r="K287" a="1"/>
  <c r="L286" a="1"/>
  <c r="L285" a="1"/>
  <c r="M284" a="1"/>
  <c r="N283" a="1"/>
  <c r="O281" a="1"/>
  <c r="E281" a="1"/>
  <c r="F280" a="1"/>
  <c r="F279" a="1"/>
  <c r="G278" a="1"/>
  <c r="H277" a="1"/>
  <c r="I275" a="1"/>
  <c r="J274" a="1"/>
  <c r="K273" a="1"/>
  <c r="K272" a="1"/>
  <c r="L271" a="1"/>
  <c r="M270" a="1"/>
  <c r="N268" a="1"/>
  <c r="O267" a="1"/>
  <c r="E267" a="1"/>
  <c r="E266" a="1"/>
  <c r="F265" a="1"/>
  <c r="G264" a="1"/>
  <c r="H262" a="1"/>
  <c r="I261" a="1"/>
  <c r="J260" a="1"/>
  <c r="J259" a="1"/>
  <c r="K258" a="1"/>
  <c r="L257" a="1"/>
  <c r="M255" a="1"/>
  <c r="N254" a="1"/>
  <c r="O253" a="1"/>
  <c r="O252" a="1"/>
  <c r="E252" a="1"/>
  <c r="F251" a="1"/>
  <c r="G249" a="1"/>
  <c r="H248" a="1"/>
  <c r="I247" a="1"/>
  <c r="I246" a="1"/>
  <c r="N245" a="1"/>
  <c r="H245" a="1"/>
  <c r="M244" a="1"/>
  <c r="G244" a="1"/>
  <c r="L243" a="1"/>
  <c r="F243" a="1"/>
  <c r="K242" a="1"/>
  <c r="E242" a="1"/>
  <c r="J241" a="1"/>
  <c r="O240" a="1"/>
  <c r="I240" a="1"/>
  <c r="N239" a="1"/>
  <c r="H239" a="1"/>
  <c r="M238" a="1"/>
  <c r="G238" a="1"/>
  <c r="L237" a="1"/>
  <c r="F237" a="1"/>
  <c r="K236" a="1"/>
  <c r="E236" a="1"/>
  <c r="J235" a="1"/>
  <c r="O234" a="1"/>
  <c r="I234" a="1"/>
  <c r="N233" a="1"/>
  <c r="H233" a="1"/>
  <c r="M232" a="1"/>
  <c r="G232" a="1"/>
  <c r="L231" a="1"/>
  <c r="F231" a="1"/>
  <c r="K230" a="1"/>
  <c r="E230" a="1"/>
  <c r="J229" a="1"/>
  <c r="O228" a="1"/>
  <c r="I228" a="1"/>
  <c r="N227" a="1"/>
  <c r="H227" a="1"/>
  <c r="M226" a="1"/>
  <c r="G226" a="1"/>
  <c r="L225" a="1"/>
  <c r="F225" a="1"/>
  <c r="K224" a="1"/>
  <c r="E224" a="1"/>
  <c r="J223" a="1"/>
  <c r="O222" a="1"/>
  <c r="I222" a="1"/>
  <c r="N221" a="1"/>
  <c r="H221" a="1"/>
  <c r="M220" a="1"/>
  <c r="G220" a="1"/>
  <c r="L219" a="1"/>
  <c r="F219" a="1"/>
  <c r="K218" a="1"/>
  <c r="E218" a="1"/>
  <c r="J217" a="1"/>
  <c r="O216" a="1"/>
  <c r="I216" a="1"/>
  <c r="N215" a="1"/>
  <c r="H215" a="1"/>
  <c r="M214" a="1"/>
  <c r="G214" a="1"/>
  <c r="L213" a="1"/>
  <c r="F213" a="1"/>
  <c r="K212" a="1"/>
  <c r="E212" a="1"/>
  <c r="J211" a="1"/>
  <c r="O210" a="1"/>
  <c r="I210" a="1"/>
  <c r="N209" a="1"/>
  <c r="H209" a="1"/>
  <c r="M208" a="1"/>
  <c r="G208" a="1"/>
  <c r="L207" a="1"/>
  <c r="F207" a="1"/>
  <c r="K206" a="1"/>
  <c r="E206" a="1"/>
  <c r="J205" a="1"/>
  <c r="O204" a="1"/>
  <c r="I204" a="1"/>
  <c r="N203" a="1"/>
  <c r="H203" a="1"/>
  <c r="M202" a="1"/>
  <c r="G202" a="1"/>
  <c r="L201" a="1"/>
  <c r="F201" a="1"/>
  <c r="K200" a="1"/>
  <c r="E200" a="1"/>
  <c r="J199" a="1"/>
  <c r="O198" a="1"/>
  <c r="I198" a="1"/>
  <c r="N197" a="1"/>
  <c r="H197" a="1"/>
  <c r="M196" a="1"/>
  <c r="G196" a="1"/>
  <c r="L195" a="1"/>
  <c r="F195" a="1"/>
  <c r="K194" a="1"/>
  <c r="E194" a="1"/>
  <c r="J193" a="1"/>
  <c r="O192" a="1"/>
  <c r="I192" a="1"/>
  <c r="N191" a="1"/>
  <c r="H191" a="1"/>
  <c r="M190" a="1"/>
  <c r="G190" a="1"/>
  <c r="L189" a="1"/>
  <c r="F189" a="1"/>
  <c r="K188" a="1"/>
  <c r="E188" a="1"/>
  <c r="J187" a="1"/>
  <c r="O186" a="1"/>
  <c r="I186" a="1"/>
  <c r="N185" a="1"/>
  <c r="H185" a="1"/>
  <c r="M184" a="1"/>
  <c r="G184" a="1"/>
  <c r="L183" a="1"/>
  <c r="F183" a="1"/>
  <c r="G383" a="1"/>
  <c r="O379" a="1"/>
  <c r="L376" a="1"/>
  <c r="I373" a="1"/>
  <c r="F370" a="1"/>
  <c r="N366" a="1"/>
  <c r="K363" a="1"/>
  <c r="H360" a="1"/>
  <c r="E357" a="1"/>
  <c r="M353" a="1"/>
  <c r="J350" a="1"/>
  <c r="G347" a="1"/>
  <c r="E344" a="1"/>
  <c r="I342" a="1"/>
  <c r="M340" a="1"/>
  <c r="F339" a="1"/>
  <c r="J337" a="1"/>
  <c r="N335" a="1"/>
  <c r="G334" a="1"/>
  <c r="K332" a="1"/>
  <c r="O330" a="1"/>
  <c r="H329" a="1"/>
  <c r="L327" a="1"/>
  <c r="G326" a="1"/>
  <c r="F325" a="1"/>
  <c r="F324" a="1"/>
  <c r="G323" a="1"/>
  <c r="G322" a="1"/>
  <c r="H321" a="1"/>
  <c r="I320" a="1"/>
  <c r="J318" a="1"/>
  <c r="K317" a="1"/>
  <c r="L316" a="1"/>
  <c r="L315" a="1"/>
  <c r="M314" a="1"/>
  <c r="N313" a="1"/>
  <c r="O311" a="1"/>
  <c r="E311" a="1"/>
  <c r="F310" a="1"/>
  <c r="F309" a="1"/>
  <c r="G308" a="1"/>
  <c r="H307" a="1"/>
  <c r="I305" a="1"/>
  <c r="J304" a="1"/>
  <c r="K303" a="1"/>
  <c r="K302" a="1"/>
  <c r="L301" a="1"/>
  <c r="M300" a="1"/>
  <c r="N298" a="1"/>
  <c r="O297" a="1"/>
  <c r="E297" a="1"/>
  <c r="E296" a="1"/>
  <c r="F295" a="1"/>
  <c r="G294" a="1"/>
  <c r="H292" a="1"/>
  <c r="I291" a="1"/>
  <c r="J290" a="1"/>
  <c r="J289" a="1"/>
  <c r="K288" a="1"/>
  <c r="L287" a="1"/>
  <c r="M285" a="1"/>
  <c r="N284" a="1"/>
  <c r="O283" a="1"/>
  <c r="O282" a="1"/>
  <c r="E282" a="1"/>
  <c r="F281" a="1"/>
  <c r="G279" a="1"/>
  <c r="H278" a="1"/>
  <c r="I277" a="1"/>
  <c r="I276" a="1"/>
  <c r="J275" a="1"/>
  <c r="K274" a="1"/>
  <c r="L272" a="1"/>
  <c r="M271" a="1"/>
  <c r="N270" a="1"/>
  <c r="N269" a="1"/>
  <c r="O268" a="1"/>
  <c r="E268" a="1"/>
  <c r="F266" a="1"/>
  <c r="G265" a="1"/>
  <c r="H264" a="1"/>
  <c r="H263" a="1"/>
  <c r="I262" a="1"/>
  <c r="J261" a="1"/>
  <c r="K259" a="1"/>
  <c r="L258" a="1"/>
  <c r="M257" a="1"/>
  <c r="M256" a="1"/>
  <c r="N255" a="1"/>
  <c r="O254" a="1"/>
  <c r="E253" a="1"/>
  <c r="F252" a="1"/>
  <c r="G251" a="1"/>
  <c r="G250" a="1"/>
  <c r="H249" a="1"/>
  <c r="I248" a="1"/>
  <c r="J246" a="1"/>
  <c r="G344" a="1"/>
  <c r="K342" a="1"/>
  <c r="O340" a="1"/>
  <c r="H339" a="1"/>
  <c r="L337" a="1"/>
  <c r="E336" a="1"/>
  <c r="I334" a="1"/>
  <c r="M332" a="1"/>
  <c r="F331" a="1"/>
  <c r="J329" a="1"/>
  <c r="N327" a="1"/>
  <c r="H326" a="1"/>
  <c r="G325" a="1"/>
  <c r="G324" a="1"/>
  <c r="H322" a="1"/>
  <c r="I321" a="1"/>
  <c r="J320" a="1"/>
  <c r="J319" a="1"/>
  <c r="K318" a="1"/>
  <c r="L317" a="1"/>
  <c r="M315" a="1"/>
  <c r="N314" a="1"/>
  <c r="O313" a="1"/>
  <c r="O312" a="1"/>
  <c r="E312" a="1"/>
  <c r="F311" a="1"/>
  <c r="G309" a="1"/>
  <c r="H308" a="1"/>
  <c r="I307" a="1"/>
  <c r="I306" a="1"/>
  <c r="J305" a="1"/>
  <c r="K304" a="1"/>
  <c r="L302" a="1"/>
  <c r="M301" a="1"/>
  <c r="N300" a="1"/>
  <c r="N299" a="1"/>
  <c r="O298" a="1"/>
  <c r="E298" a="1"/>
  <c r="F296" a="1"/>
  <c r="G295" a="1"/>
  <c r="H294" a="1"/>
  <c r="H293" a="1"/>
  <c r="I292" a="1"/>
  <c r="J291" a="1"/>
  <c r="K289" a="1"/>
  <c r="L288" a="1"/>
  <c r="M287" a="1"/>
  <c r="M286" a="1"/>
  <c r="N285" a="1"/>
  <c r="O284" a="1"/>
  <c r="E283" a="1"/>
  <c r="F282" a="1"/>
  <c r="G281" a="1"/>
  <c r="G280" a="1"/>
  <c r="H279" a="1"/>
  <c r="I278" a="1"/>
  <c r="J276" a="1"/>
  <c r="K275" a="1"/>
  <c r="L274" a="1"/>
  <c r="L273" a="1"/>
  <c r="M272" a="1"/>
  <c r="N271" a="1"/>
  <c r="O269" a="1"/>
  <c r="E269" a="1"/>
  <c r="F268" a="1"/>
  <c r="F267" a="1"/>
  <c r="G266" a="1"/>
  <c r="H265" a="1"/>
  <c r="I263" a="1"/>
  <c r="J262" a="1"/>
  <c r="K261" a="1"/>
  <c r="K260" a="1"/>
  <c r="L259" a="1"/>
  <c r="M258" a="1"/>
  <c r="N256" a="1"/>
  <c r="O255" a="1"/>
  <c r="E255" a="1"/>
  <c r="E254" a="1"/>
  <c r="F253" a="1"/>
  <c r="G252" a="1"/>
  <c r="H250" a="1"/>
  <c r="I249" a="1"/>
  <c r="J248" a="1"/>
  <c r="J247" a="1"/>
  <c r="K246" a="1"/>
  <c r="O245" a="1"/>
  <c r="I245" a="1"/>
  <c r="N244" a="1"/>
  <c r="H244" a="1"/>
  <c r="M243" a="1"/>
  <c r="G243" a="1"/>
  <c r="L242" a="1"/>
  <c r="F242" a="1"/>
  <c r="K241" a="1"/>
  <c r="E241" a="1"/>
  <c r="J240" a="1"/>
  <c r="O239" a="1"/>
  <c r="I239" a="1"/>
  <c r="N238" a="1"/>
  <c r="H238" a="1"/>
  <c r="M237" a="1"/>
  <c r="G237" a="1"/>
  <c r="L236" a="1"/>
  <c r="F236" a="1"/>
  <c r="K235" a="1"/>
  <c r="E235" a="1"/>
  <c r="J234" a="1"/>
  <c r="O233" a="1"/>
  <c r="I233" a="1"/>
  <c r="N232" a="1"/>
  <c r="H232" a="1"/>
  <c r="M231" a="1"/>
  <c r="G231" a="1"/>
  <c r="L230" a="1"/>
  <c r="F230" a="1"/>
  <c r="K229" a="1"/>
  <c r="E229" a="1"/>
  <c r="J228" a="1"/>
  <c r="O227" a="1"/>
  <c r="I227" a="1"/>
  <c r="N226" a="1"/>
  <c r="H226" a="1"/>
  <c r="M225" a="1"/>
  <c r="G225" a="1"/>
  <c r="L224" a="1"/>
  <c r="F224" a="1"/>
  <c r="K223" a="1"/>
  <c r="E223" a="1"/>
  <c r="J222" a="1"/>
  <c r="O221" a="1"/>
  <c r="I221" a="1"/>
  <c r="N220" a="1"/>
  <c r="H220" a="1"/>
  <c r="M219" a="1"/>
  <c r="G219" a="1"/>
  <c r="L218" a="1"/>
  <c r="F218" a="1"/>
  <c r="K217" a="1"/>
  <c r="E217" a="1"/>
  <c r="J216" a="1"/>
  <c r="O215" a="1"/>
  <c r="I215" a="1"/>
  <c r="N214" a="1"/>
  <c r="H214" a="1"/>
  <c r="M213" a="1"/>
  <c r="G213" a="1"/>
  <c r="L212" a="1"/>
  <c r="F212" a="1"/>
  <c r="K211" a="1"/>
  <c r="E211" a="1"/>
  <c r="J210" a="1"/>
  <c r="O209" a="1"/>
  <c r="I209" a="1"/>
  <c r="N208" a="1"/>
  <c r="H208" a="1"/>
  <c r="M207" a="1"/>
  <c r="G207" a="1"/>
  <c r="L206" a="1"/>
  <c r="F206" a="1"/>
  <c r="K205" a="1"/>
  <c r="E205" a="1"/>
  <c r="J204" a="1"/>
  <c r="O203" a="1"/>
  <c r="I203" a="1"/>
  <c r="N202" a="1"/>
  <c r="H202" a="1"/>
  <c r="M201" a="1"/>
  <c r="G201" a="1"/>
  <c r="L200" a="1"/>
  <c r="F200" a="1"/>
  <c r="K199" a="1"/>
  <c r="E199" a="1"/>
  <c r="J198" a="1"/>
  <c r="O197" a="1"/>
  <c r="I197" a="1"/>
  <c r="N196" a="1"/>
  <c r="H196" a="1"/>
  <c r="M195" a="1"/>
  <c r="G195" a="1"/>
  <c r="L194" a="1"/>
  <c r="F194" a="1"/>
  <c r="K193" a="1"/>
  <c r="E193" a="1"/>
  <c r="J192" a="1"/>
  <c r="O191" a="1"/>
  <c r="I191" a="1"/>
  <c r="N190" a="1"/>
  <c r="H190" a="1"/>
  <c r="M189" a="1"/>
  <c r="G189" a="1"/>
  <c r="L188" a="1"/>
  <c r="F188" a="1"/>
  <c r="K187" a="1"/>
  <c r="E187" a="1"/>
  <c r="J186" a="1"/>
  <c r="O185" a="1"/>
  <c r="I185" a="1"/>
  <c r="N184" a="1"/>
  <c r="H184" a="1"/>
  <c r="M183" a="1"/>
  <c r="G183" a="1"/>
  <c r="L182" a="1"/>
  <c r="F182" a="1"/>
  <c r="M383" a="1"/>
  <c r="J380" a="1"/>
  <c r="G377" a="1"/>
  <c r="O373" a="1"/>
  <c r="L370" a="1"/>
  <c r="I367" a="1"/>
  <c r="F364" a="1"/>
  <c r="N360" a="1"/>
  <c r="K357" a="1"/>
  <c r="H354" a="1"/>
  <c r="E351" a="1"/>
  <c r="M347" a="1"/>
  <c r="J344" a="1"/>
  <c r="N342" a="1"/>
  <c r="G341" a="1"/>
  <c r="K339" a="1"/>
  <c r="O337" a="1"/>
  <c r="H336" a="1"/>
  <c r="L334" a="1"/>
  <c r="E333" a="1"/>
  <c r="I331" a="1"/>
  <c r="M329" a="1"/>
  <c r="F328" a="1"/>
  <c r="J326" a="1"/>
  <c r="I325" a="1"/>
  <c r="H324" a="1"/>
  <c r="H323" a="1"/>
  <c r="I322" a="1"/>
  <c r="J321" a="1"/>
  <c r="K319" a="1"/>
  <c r="L318" a="1"/>
  <c r="M317" a="1"/>
  <c r="M316" a="1"/>
  <c r="N315" a="1"/>
  <c r="O314" a="1"/>
  <c r="E313" a="1"/>
  <c r="F312" a="1"/>
  <c r="G311" a="1"/>
  <c r="G310" a="1"/>
  <c r="H309" a="1"/>
  <c r="I308" a="1"/>
  <c r="J306" a="1"/>
  <c r="K305" a="1"/>
  <c r="L304" a="1"/>
  <c r="L303" a="1"/>
  <c r="M302" a="1"/>
  <c r="N301" a="1"/>
  <c r="O299" a="1"/>
  <c r="E299" a="1"/>
  <c r="F298" a="1"/>
  <c r="F297" a="1"/>
  <c r="G296" a="1"/>
  <c r="H295" a="1"/>
  <c r="I293" a="1"/>
  <c r="J292" a="1"/>
  <c r="K291" a="1"/>
  <c r="K290" a="1"/>
  <c r="L289" a="1"/>
  <c r="M288" a="1"/>
  <c r="N286" a="1"/>
  <c r="O285" a="1"/>
  <c r="E285" a="1"/>
  <c r="E284" a="1"/>
  <c r="F283" a="1"/>
  <c r="G282" a="1"/>
  <c r="H280" a="1"/>
  <c r="I279" a="1"/>
  <c r="J278" a="1"/>
  <c r="J277" a="1"/>
  <c r="K276" a="1"/>
  <c r="L275" a="1"/>
  <c r="M273" a="1"/>
  <c r="N272" a="1"/>
  <c r="O271" a="1"/>
  <c r="O270" a="1"/>
  <c r="E270" a="1"/>
  <c r="F269" a="1"/>
  <c r="G267" a="1"/>
  <c r="H266" a="1"/>
  <c r="I265" a="1"/>
  <c r="I264" a="1"/>
  <c r="J263" a="1"/>
  <c r="K262" a="1"/>
  <c r="L260" a="1"/>
  <c r="M259" a="1"/>
  <c r="N258" a="1"/>
  <c r="N257" a="1"/>
  <c r="O256" a="1"/>
  <c r="E256" a="1"/>
  <c r="F254" a="1"/>
  <c r="G253" a="1"/>
  <c r="H252" a="1"/>
  <c r="H251" a="1"/>
  <c r="I250" a="1"/>
  <c r="J249" a="1"/>
  <c r="K247" a="1"/>
  <c r="L246" a="1"/>
  <c r="I323" a="1"/>
  <c r="J322" a="1"/>
  <c r="K321" a="1"/>
  <c r="K320" a="1"/>
  <c r="L319" a="1"/>
  <c r="M318" a="1"/>
  <c r="N316" a="1"/>
  <c r="O315" a="1"/>
  <c r="E315" a="1"/>
  <c r="E314" a="1"/>
  <c r="F313" a="1"/>
  <c r="G312" a="1"/>
  <c r="H310" a="1"/>
  <c r="I309" a="1"/>
  <c r="J308" a="1"/>
  <c r="J307" a="1"/>
  <c r="K306" a="1"/>
  <c r="L305" a="1"/>
  <c r="M303" a="1"/>
  <c r="N302" a="1"/>
  <c r="O301" a="1"/>
  <c r="O300" a="1"/>
  <c r="E300" a="1"/>
  <c r="F299" a="1"/>
  <c r="G297" a="1"/>
  <c r="H296" a="1"/>
  <c r="I295" a="1"/>
  <c r="I294" a="1"/>
  <c r="J293" a="1"/>
  <c r="K292" a="1"/>
  <c r="L290" a="1"/>
  <c r="M289" a="1"/>
  <c r="N288" a="1"/>
  <c r="N287" a="1"/>
  <c r="O286" a="1"/>
  <c r="E286" a="1"/>
  <c r="F284" a="1"/>
  <c r="G283" a="1"/>
  <c r="H282" a="1"/>
  <c r="H281" a="1"/>
  <c r="I280" a="1"/>
  <c r="J279" a="1"/>
  <c r="K277" a="1"/>
  <c r="L276" a="1"/>
  <c r="M275" a="1"/>
  <c r="M274" a="1"/>
  <c r="N273" a="1"/>
  <c r="O272" a="1"/>
  <c r="E271" a="1"/>
  <c r="F270" a="1"/>
  <c r="G269" a="1"/>
  <c r="G268" a="1"/>
  <c r="H267" a="1"/>
  <c r="I266" a="1"/>
  <c r="J264" a="1"/>
  <c r="K263" a="1"/>
  <c r="L262" a="1"/>
  <c r="L261" a="1"/>
  <c r="M260" a="1"/>
  <c r="N259" a="1"/>
  <c r="O257" a="1"/>
  <c r="E257" a="1"/>
  <c r="F256" a="1"/>
  <c r="F255" a="1"/>
  <c r="G254" a="1"/>
  <c r="H253" a="1"/>
  <c r="I251" a="1"/>
  <c r="J250" a="1"/>
  <c r="K249" a="1"/>
  <c r="K248" a="1"/>
  <c r="L247" a="1"/>
  <c r="M246" a="1"/>
  <c r="E246" a="1"/>
  <c r="J245" a="1"/>
  <c r="O244" a="1"/>
  <c r="I244" a="1"/>
  <c r="N243" a="1"/>
  <c r="H243" a="1"/>
  <c r="M242" a="1"/>
  <c r="G242" a="1"/>
  <c r="L241" a="1"/>
  <c r="F241" a="1"/>
  <c r="K240" a="1"/>
  <c r="E240" a="1"/>
  <c r="J239" a="1"/>
  <c r="O238" a="1"/>
  <c r="I238" a="1"/>
  <c r="N237" a="1"/>
  <c r="H237" a="1"/>
  <c r="M236" a="1"/>
  <c r="G236" a="1"/>
  <c r="L235" a="1"/>
  <c r="F235" a="1"/>
  <c r="K234" a="1"/>
  <c r="E234" a="1"/>
  <c r="J233" a="1"/>
  <c r="O232" a="1"/>
  <c r="I232" a="1"/>
  <c r="N231" a="1"/>
  <c r="H231" a="1"/>
  <c r="M230" a="1"/>
  <c r="G230" a="1"/>
  <c r="L229" a="1"/>
  <c r="F229" a="1"/>
  <c r="K228" a="1"/>
  <c r="E228" a="1"/>
  <c r="J227" a="1"/>
  <c r="O226" a="1"/>
  <c r="I226" a="1"/>
  <c r="N225" a="1"/>
  <c r="H225" a="1"/>
  <c r="M224" a="1"/>
  <c r="G224" a="1"/>
  <c r="L223" a="1"/>
  <c r="F223" a="1"/>
  <c r="K222" a="1"/>
  <c r="E222" a="1"/>
  <c r="J221" a="1"/>
  <c r="O220" a="1"/>
  <c r="I220" a="1"/>
  <c r="N219" a="1"/>
  <c r="H219" a="1"/>
  <c r="M218" a="1"/>
  <c r="G218" a="1"/>
  <c r="L217" a="1"/>
  <c r="F217" a="1"/>
  <c r="K216" a="1"/>
  <c r="E216" a="1"/>
  <c r="J215" a="1"/>
  <c r="O214" a="1"/>
  <c r="I214" a="1"/>
  <c r="N213" a="1"/>
  <c r="H213" a="1"/>
  <c r="M212" a="1"/>
  <c r="G212" a="1"/>
  <c r="L211" a="1"/>
  <c r="F211" a="1"/>
  <c r="K210" a="1"/>
  <c r="E210" a="1"/>
  <c r="J209" a="1"/>
  <c r="O208" a="1"/>
  <c r="I208" a="1"/>
  <c r="N207" a="1"/>
  <c r="H207" a="1"/>
  <c r="M206" a="1"/>
  <c r="G206" a="1"/>
  <c r="L205" a="1"/>
  <c r="F205" a="1"/>
  <c r="K204" a="1"/>
  <c r="E204" a="1"/>
  <c r="J203" a="1"/>
  <c r="O202" a="1"/>
  <c r="I202" a="1"/>
  <c r="N201" a="1"/>
  <c r="H201" a="1"/>
  <c r="M200" a="1"/>
  <c r="G200" a="1"/>
  <c r="L199" a="1"/>
  <c r="F199" a="1"/>
  <c r="K198" a="1"/>
  <c r="E198" a="1"/>
  <c r="J197" a="1"/>
  <c r="O196" a="1"/>
  <c r="I196" a="1"/>
  <c r="N195" a="1"/>
  <c r="H195" a="1"/>
  <c r="M194" a="1"/>
  <c r="G194" a="1"/>
  <c r="L193" a="1"/>
  <c r="F193" a="1"/>
  <c r="K192" a="1"/>
  <c r="E192" a="1"/>
  <c r="J191" a="1"/>
  <c r="O190" a="1"/>
  <c r="I190" a="1"/>
  <c r="N189" a="1"/>
  <c r="H189" a="1"/>
  <c r="M188" a="1"/>
  <c r="G188" a="1"/>
  <c r="L187" a="1"/>
  <c r="F187" a="1"/>
  <c r="K186" a="1"/>
  <c r="E186" a="1"/>
  <c r="L364" a="1"/>
  <c r="E345" a="1"/>
  <c r="M334" a="1"/>
  <c r="J325" a="1"/>
  <c r="M319" a="1"/>
  <c r="F314" a="1"/>
  <c r="O302" a="1"/>
  <c r="H297" a="1"/>
  <c r="L291" a="1"/>
  <c r="F286" a="1"/>
  <c r="J280" a="1"/>
  <c r="N274" a="1"/>
  <c r="L263" a="1"/>
  <c r="E258" a="1"/>
  <c r="I252" a="1"/>
  <c r="N246" a="1"/>
  <c r="I201" a="1"/>
  <c r="G199" a="1"/>
  <c r="E197" a="1"/>
  <c r="N194" a="1"/>
  <c r="L192" a="1"/>
  <c r="J190" a="1"/>
  <c r="H188" a="1"/>
  <c r="F186" a="1"/>
  <c r="K181" a="1"/>
  <c r="J180" a="1"/>
  <c r="I179" a="1"/>
  <c r="I178" a="1"/>
  <c r="I177" a="1"/>
  <c r="J176" a="1"/>
  <c r="K175" a="1"/>
  <c r="L173" a="1"/>
  <c r="M172" a="1"/>
  <c r="N171" a="1"/>
  <c r="N170" a="1"/>
  <c r="O169" a="1"/>
  <c r="E169" a="1"/>
  <c r="F167" a="1"/>
  <c r="G166" a="1"/>
  <c r="H165" a="1"/>
  <c r="H164" a="1"/>
  <c r="I163" a="1"/>
  <c r="J162" a="1"/>
  <c r="K160" a="1"/>
  <c r="L159" a="1"/>
  <c r="M158" a="1"/>
  <c r="M157" a="1"/>
  <c r="N156" a="1"/>
  <c r="O155" a="1"/>
  <c r="E154" a="1"/>
  <c r="F153" a="1"/>
  <c r="G152" a="1"/>
  <c r="G151" a="1"/>
  <c r="H150" a="1"/>
  <c r="I149" a="1"/>
  <c r="J147" a="1"/>
  <c r="K146" a="1"/>
  <c r="L145" a="1"/>
  <c r="L144" a="1"/>
  <c r="M143" a="1"/>
  <c r="N142" a="1"/>
  <c r="O140" a="1"/>
  <c r="E140" a="1"/>
  <c r="F139" a="1"/>
  <c r="F138" a="1"/>
  <c r="G137" a="1"/>
  <c r="H136" a="1"/>
  <c r="I134" a="1"/>
  <c r="J133" a="1"/>
  <c r="K132" a="1"/>
  <c r="K131" a="1"/>
  <c r="L130" a="1"/>
  <c r="M129" a="1"/>
  <c r="N127" a="1"/>
  <c r="O126" a="1"/>
  <c r="E126" a="1"/>
  <c r="E125" a="1"/>
  <c r="F124" a="1"/>
  <c r="G123" a="1"/>
  <c r="H121" a="1"/>
  <c r="I120" a="1"/>
  <c r="J119" a="1"/>
  <c r="J118" a="1"/>
  <c r="K117" a="1"/>
  <c r="L116" a="1"/>
  <c r="M114" a="1"/>
  <c r="N113" a="1"/>
  <c r="O334" a="1"/>
  <c r="K325" a="1"/>
  <c r="N319" a="1"/>
  <c r="G314" a="1"/>
  <c r="K308" a="1"/>
  <c r="E303" a="1"/>
  <c r="I297" a="1"/>
  <c r="M291" a="1"/>
  <c r="K280" a="1"/>
  <c r="O274" a="1"/>
  <c r="H269" a="1"/>
  <c r="M263" a="1"/>
  <c r="F258" a="1"/>
  <c r="J252" a="1"/>
  <c r="I243" a="1"/>
  <c r="F240" a="1"/>
  <c r="N236" a="1"/>
  <c r="K233" a="1"/>
  <c r="H230" a="1"/>
  <c r="E227" a="1"/>
  <c r="M223" a="1"/>
  <c r="J220" a="1"/>
  <c r="G217" a="1"/>
  <c r="O213" a="1"/>
  <c r="L210" a="1"/>
  <c r="I207" a="1"/>
  <c r="F204" a="1"/>
  <c r="J201" a="1"/>
  <c r="H199" a="1"/>
  <c r="F197" a="1"/>
  <c r="O194" a="1"/>
  <c r="M192" a="1"/>
  <c r="K190" a="1"/>
  <c r="I188" a="1"/>
  <c r="G186" a="1"/>
  <c r="J184" a="1"/>
  <c r="N182" a="1"/>
  <c r="L181" a="1"/>
  <c r="K180" a="1"/>
  <c r="J179" a="1"/>
  <c r="J177" a="1"/>
  <c r="K176" a="1"/>
  <c r="L175" a="1"/>
  <c r="L174" a="1"/>
  <c r="M173" a="1"/>
  <c r="N172" a="1"/>
  <c r="O170" a="1"/>
  <c r="E170" a="1"/>
  <c r="F169" a="1"/>
  <c r="F168" a="1"/>
  <c r="G167" a="1"/>
  <c r="H166" a="1"/>
  <c r="I164" a="1"/>
  <c r="J163" a="1"/>
  <c r="K162" a="1"/>
  <c r="K161" a="1"/>
  <c r="L160" a="1"/>
  <c r="M159" a="1"/>
  <c r="N157" a="1"/>
  <c r="O156" a="1"/>
  <c r="E156" a="1"/>
  <c r="E155" a="1"/>
  <c r="F154" a="1"/>
  <c r="G153" a="1"/>
  <c r="H151" a="1"/>
  <c r="I150" a="1"/>
  <c r="J149" a="1"/>
  <c r="J148" a="1"/>
  <c r="K147" a="1"/>
  <c r="L146" a="1"/>
  <c r="M144" a="1"/>
  <c r="N143" a="1"/>
  <c r="O142" a="1"/>
  <c r="O141" a="1"/>
  <c r="E141" a="1"/>
  <c r="F140" a="1"/>
  <c r="G138" a="1"/>
  <c r="H137" a="1"/>
  <c r="I136" a="1"/>
  <c r="I135" a="1"/>
  <c r="J134" a="1"/>
  <c r="K133" a="1"/>
  <c r="L131" a="1"/>
  <c r="M130" a="1"/>
  <c r="N129" a="1"/>
  <c r="N128" a="1"/>
  <c r="O127" a="1"/>
  <c r="E127" a="1"/>
  <c r="F125" a="1"/>
  <c r="G124" a="1"/>
  <c r="H123" a="1"/>
  <c r="H122" a="1"/>
  <c r="I121" a="1"/>
  <c r="J120" a="1"/>
  <c r="K118" a="1"/>
  <c r="L117" a="1"/>
  <c r="M116" a="1"/>
  <c r="M115" a="1"/>
  <c r="N114" a="1"/>
  <c r="O113" a="1"/>
  <c r="H113" a="1"/>
  <c r="M112" a="1"/>
  <c r="G112" a="1"/>
  <c r="L111" a="1"/>
  <c r="F111" a="1"/>
  <c r="K110" a="1"/>
  <c r="E110" a="1"/>
  <c r="J109" a="1"/>
  <c r="O108" a="1"/>
  <c r="I108" a="1"/>
  <c r="N107" a="1"/>
  <c r="H107" a="1"/>
  <c r="M106" a="1"/>
  <c r="G106" a="1"/>
  <c r="L105" a="1"/>
  <c r="F105" a="1"/>
  <c r="K104" a="1"/>
  <c r="E104" a="1"/>
  <c r="J103" a="1"/>
  <c r="O102" a="1"/>
  <c r="I102" a="1"/>
  <c r="N101" a="1"/>
  <c r="H101" a="1"/>
  <c r="M100" a="1"/>
  <c r="G100" a="1"/>
  <c r="L99" a="1"/>
  <c r="F99" a="1"/>
  <c r="K98" a="1"/>
  <c r="E98" a="1"/>
  <c r="J97" a="1"/>
  <c r="O96" a="1"/>
  <c r="I96" a="1"/>
  <c r="N95" a="1"/>
  <c r="H95" a="1"/>
  <c r="M94" a="1"/>
  <c r="G94" a="1"/>
  <c r="L93" a="1"/>
  <c r="F93" a="1"/>
  <c r="K92" a="1"/>
  <c r="E92" a="1"/>
  <c r="J91" a="1"/>
  <c r="O90" a="1"/>
  <c r="I90" a="1"/>
  <c r="N89" a="1"/>
  <c r="H89" a="1"/>
  <c r="M88" a="1"/>
  <c r="G88" a="1"/>
  <c r="L87" a="1"/>
  <c r="F87" a="1"/>
  <c r="K86" a="1"/>
  <c r="E86" a="1"/>
  <c r="J85" a="1"/>
  <c r="O84" a="1"/>
  <c r="I84" a="1"/>
  <c r="N83" a="1"/>
  <c r="H83" a="1"/>
  <c r="M82" a="1"/>
  <c r="G82" a="1"/>
  <c r="L81" a="1"/>
  <c r="F81" a="1"/>
  <c r="K80" a="1"/>
  <c r="E80" a="1"/>
  <c r="J79" a="1"/>
  <c r="O78" a="1"/>
  <c r="I78" a="1"/>
  <c r="N77" a="1"/>
  <c r="H77" a="1"/>
  <c r="M76" a="1"/>
  <c r="G76" a="1"/>
  <c r="L75" a="1"/>
  <c r="F75" a="1"/>
  <c r="K74" a="1"/>
  <c r="E74" a="1"/>
  <c r="J73" a="1"/>
  <c r="O72" a="1"/>
  <c r="I72" a="1"/>
  <c r="N71" a="1"/>
  <c r="H71" a="1"/>
  <c r="M70" a="1"/>
  <c r="G70" a="1"/>
  <c r="L69" a="1"/>
  <c r="F69" a="1"/>
  <c r="K68" a="1"/>
  <c r="E68" a="1"/>
  <c r="J67" a="1"/>
  <c r="O66" a="1"/>
  <c r="I66" a="1"/>
  <c r="N65" a="1"/>
  <c r="H65" a="1"/>
  <c r="M64" a="1"/>
  <c r="G64" a="1"/>
  <c r="L63" a="1"/>
  <c r="F63" a="1"/>
  <c r="K62" a="1"/>
  <c r="E62" a="1"/>
  <c r="J61" a="1"/>
  <c r="O60" a="1"/>
  <c r="I60" a="1"/>
  <c r="N59" a="1"/>
  <c r="H59" a="1"/>
  <c r="M58" a="1"/>
  <c r="G58" a="1"/>
  <c r="L57" a="1"/>
  <c r="F57" a="1"/>
  <c r="K56" a="1"/>
  <c r="E56" a="1"/>
  <c r="J55" a="1"/>
  <c r="O54" a="1"/>
  <c r="I54" a="1"/>
  <c r="N53" a="1"/>
  <c r="H53" a="1"/>
  <c r="M52" a="1"/>
  <c r="G52" a="1"/>
  <c r="L51" a="1"/>
  <c r="F51" a="1"/>
  <c r="K50" a="1"/>
  <c r="E50" a="1"/>
  <c r="J49" a="1"/>
  <c r="O48" a="1"/>
  <c r="I48" a="1"/>
  <c r="N47" a="1"/>
  <c r="H47" a="1"/>
  <c r="M46" a="1"/>
  <c r="G46" a="1"/>
  <c r="L45" a="1"/>
  <c r="F45" a="1"/>
  <c r="K44" a="1"/>
  <c r="E44" a="1"/>
  <c r="J43" a="1"/>
  <c r="O42" a="1"/>
  <c r="I42" a="1"/>
  <c r="N41" a="1"/>
  <c r="H41" a="1"/>
  <c r="M40" a="1"/>
  <c r="G40" a="1"/>
  <c r="L39" a="1"/>
  <c r="F39" a="1"/>
  <c r="K38" a="1"/>
  <c r="E38" a="1"/>
  <c r="J37" a="1"/>
  <c r="O36" a="1"/>
  <c r="I36" a="1"/>
  <c r="N35" a="1"/>
  <c r="H35" a="1"/>
  <c r="M34" a="1"/>
  <c r="G34" a="1"/>
  <c r="L33" a="1"/>
  <c r="F33" a="1"/>
  <c r="K32" a="1"/>
  <c r="E32" a="1"/>
  <c r="J31" a="1"/>
  <c r="O30" a="1"/>
  <c r="I30" a="1"/>
  <c r="N29" a="1"/>
  <c r="H29" a="1"/>
  <c r="M28" a="1"/>
  <c r="O367" a="1"/>
  <c r="H348" a="1"/>
  <c r="I336" a="1"/>
  <c r="K326" a="1"/>
  <c r="L320" a="1"/>
  <c r="J309" a="1"/>
  <c r="N303" a="1"/>
  <c r="G298" a="1"/>
  <c r="L292" a="1"/>
  <c r="E287" a="1"/>
  <c r="I281" a="1"/>
  <c r="G270" a="1"/>
  <c r="K264" a="1"/>
  <c r="O258" a="1"/>
  <c r="I253" a="1"/>
  <c r="M247" a="1"/>
  <c r="K184" a="1"/>
  <c r="O182" a="1"/>
  <c r="J178" a="1"/>
  <c r="K177" a="1"/>
  <c r="L176" a="1"/>
  <c r="M174" a="1"/>
  <c r="N173" a="1"/>
  <c r="O172" a="1"/>
  <c r="O171" a="1"/>
  <c r="E171" a="1"/>
  <c r="F170" a="1"/>
  <c r="G168" a="1"/>
  <c r="H167" a="1"/>
  <c r="I166" a="1"/>
  <c r="I165" a="1"/>
  <c r="J164" a="1"/>
  <c r="K163" a="1"/>
  <c r="L161" a="1"/>
  <c r="M160" a="1"/>
  <c r="N159" a="1"/>
  <c r="N158" a="1"/>
  <c r="O157" a="1"/>
  <c r="E157" a="1"/>
  <c r="F155" a="1"/>
  <c r="G154" a="1"/>
  <c r="H153" a="1"/>
  <c r="H152" a="1"/>
  <c r="I151" a="1"/>
  <c r="J150" a="1"/>
  <c r="K148" a="1"/>
  <c r="L147" a="1"/>
  <c r="M146" a="1"/>
  <c r="M145" a="1"/>
  <c r="N144" a="1"/>
  <c r="O143" a="1"/>
  <c r="E142" a="1"/>
  <c r="F141" a="1"/>
  <c r="G140" a="1"/>
  <c r="G139" a="1"/>
  <c r="H138" a="1"/>
  <c r="I137" a="1"/>
  <c r="J135" a="1"/>
  <c r="K134" a="1"/>
  <c r="L133" a="1"/>
  <c r="L132" a="1"/>
  <c r="M131" a="1"/>
  <c r="N130" a="1"/>
  <c r="O128" a="1"/>
  <c r="E128" a="1"/>
  <c r="F127" a="1"/>
  <c r="F126" a="1"/>
  <c r="G125" a="1"/>
  <c r="H124" a="1"/>
  <c r="I122" a="1"/>
  <c r="J121" a="1"/>
  <c r="K120" a="1"/>
  <c r="K119" a="1"/>
  <c r="L118" a="1"/>
  <c r="M117" a="1"/>
  <c r="N115" a="1"/>
  <c r="O114" a="1"/>
  <c r="E114" a="1"/>
  <c r="K336" a="1"/>
  <c r="M326" a="1"/>
  <c r="M320" a="1"/>
  <c r="F315" a="1"/>
  <c r="K309" a="1"/>
  <c r="O303" a="1"/>
  <c r="H298" a="1"/>
  <c r="F287" a="1"/>
  <c r="J281" a="1"/>
  <c r="N275" a="1"/>
  <c r="H270" a="1"/>
  <c r="L264" a="1"/>
  <c r="E259" a="1"/>
  <c r="N247" a="1"/>
  <c r="O243" a="1"/>
  <c r="L240" a="1"/>
  <c r="I237" a="1"/>
  <c r="F234" a="1"/>
  <c r="N230" a="1"/>
  <c r="K227" a="1"/>
  <c r="H224" a="1"/>
  <c r="E221" a="1"/>
  <c r="M217" a="1"/>
  <c r="J214" a="1"/>
  <c r="G211" a="1"/>
  <c r="O207" a="1"/>
  <c r="L204" a="1"/>
  <c r="O201" a="1"/>
  <c r="M199" a="1"/>
  <c r="K197" a="1"/>
  <c r="I195" a="1"/>
  <c r="G193" a="1"/>
  <c r="E191" a="1"/>
  <c r="N188" a="1"/>
  <c r="L186" a="1"/>
  <c r="O184" a="1"/>
  <c r="H183" a="1"/>
  <c r="M181" a="1"/>
  <c r="L180" a="1"/>
  <c r="K179" a="1"/>
  <c r="K178" a="1"/>
  <c r="L177" a="1"/>
  <c r="M176" a="1"/>
  <c r="M175" a="1"/>
  <c r="N174" a="1"/>
  <c r="O173" a="1"/>
  <c r="E172" a="1"/>
  <c r="F171" a="1"/>
  <c r="G170" a="1"/>
  <c r="G169" a="1"/>
  <c r="H168" a="1"/>
  <c r="I167" a="1"/>
  <c r="J165" a="1"/>
  <c r="K164" a="1"/>
  <c r="L163" a="1"/>
  <c r="L162" a="1"/>
  <c r="M161" a="1"/>
  <c r="N160" a="1"/>
  <c r="O158" a="1"/>
  <c r="E158" a="1"/>
  <c r="F157" a="1"/>
  <c r="F156" a="1"/>
  <c r="G155" a="1"/>
  <c r="H154" a="1"/>
  <c r="I152" a="1"/>
  <c r="J151" a="1"/>
  <c r="K150" a="1"/>
  <c r="K149" a="1"/>
  <c r="L148" a="1"/>
  <c r="M147" a="1"/>
  <c r="N145" a="1"/>
  <c r="O144" a="1"/>
  <c r="E144" a="1"/>
  <c r="E143" a="1"/>
  <c r="F142" a="1"/>
  <c r="G141" a="1"/>
  <c r="H139" a="1"/>
  <c r="I138" a="1"/>
  <c r="J137" a="1"/>
  <c r="J136" a="1"/>
  <c r="K135" a="1"/>
  <c r="L134" a="1"/>
  <c r="M132" a="1"/>
  <c r="N131" a="1"/>
  <c r="O130" a="1"/>
  <c r="O129" a="1"/>
  <c r="E129" a="1"/>
  <c r="F128" a="1"/>
  <c r="G126" a="1"/>
  <c r="H125" a="1"/>
  <c r="I124" a="1"/>
  <c r="I123" a="1"/>
  <c r="J122" a="1"/>
  <c r="K121" a="1"/>
  <c r="L119" a="1"/>
  <c r="M118" a="1"/>
  <c r="N117" a="1"/>
  <c r="N116" a="1"/>
  <c r="O115" a="1"/>
  <c r="E115" a="1"/>
  <c r="I113" a="1"/>
  <c r="N112" a="1"/>
  <c r="H112" a="1"/>
  <c r="M111" a="1"/>
  <c r="G111" a="1"/>
  <c r="L110" a="1"/>
  <c r="F110" a="1"/>
  <c r="K109" a="1"/>
  <c r="E109" a="1"/>
  <c r="J108" a="1"/>
  <c r="O107" a="1"/>
  <c r="I107" a="1"/>
  <c r="N106" a="1"/>
  <c r="H106" a="1"/>
  <c r="M105" a="1"/>
  <c r="G105" a="1"/>
  <c r="L104" a="1"/>
  <c r="F104" a="1"/>
  <c r="K103" a="1"/>
  <c r="E103" a="1"/>
  <c r="J102" a="1"/>
  <c r="O101" a="1"/>
  <c r="I101" a="1"/>
  <c r="N100" a="1"/>
  <c r="H100" a="1"/>
  <c r="M99" a="1"/>
  <c r="G99" a="1"/>
  <c r="L98" a="1"/>
  <c r="F98" a="1"/>
  <c r="K97" a="1"/>
  <c r="E97" a="1"/>
  <c r="J96" a="1"/>
  <c r="O95" a="1"/>
  <c r="I95" a="1"/>
  <c r="N94" a="1"/>
  <c r="H94" a="1"/>
  <c r="M93" a="1"/>
  <c r="G93" a="1"/>
  <c r="L92" a="1"/>
  <c r="F92" a="1"/>
  <c r="K91" a="1"/>
  <c r="E91" a="1"/>
  <c r="J90" a="1"/>
  <c r="O89" a="1"/>
  <c r="I89" a="1"/>
  <c r="N88" a="1"/>
  <c r="H88" a="1"/>
  <c r="M87" a="1"/>
  <c r="G87" a="1"/>
  <c r="L86" a="1"/>
  <c r="F86" a="1"/>
  <c r="K85" a="1"/>
  <c r="E85" a="1"/>
  <c r="J84" a="1"/>
  <c r="O83" a="1"/>
  <c r="I83" a="1"/>
  <c r="N82" a="1"/>
  <c r="H82" a="1"/>
  <c r="M81" a="1"/>
  <c r="G81" a="1"/>
  <c r="L80" a="1"/>
  <c r="F80" a="1"/>
  <c r="K79" a="1"/>
  <c r="E79" a="1"/>
  <c r="J78" a="1"/>
  <c r="O77" a="1"/>
  <c r="I77" a="1"/>
  <c r="N76" a="1"/>
  <c r="H76" a="1"/>
  <c r="M75" a="1"/>
  <c r="G75" a="1"/>
  <c r="L74" a="1"/>
  <c r="F74" a="1"/>
  <c r="K73" a="1"/>
  <c r="E73" a="1"/>
  <c r="J72" a="1"/>
  <c r="O71" a="1"/>
  <c r="I71" a="1"/>
  <c r="N70" a="1"/>
  <c r="H70" a="1"/>
  <c r="M69" a="1"/>
  <c r="G69" a="1"/>
  <c r="L68" a="1"/>
  <c r="F68" a="1"/>
  <c r="K67" a="1"/>
  <c r="E67" a="1"/>
  <c r="J66" a="1"/>
  <c r="O65" a="1"/>
  <c r="I65" a="1"/>
  <c r="N64" a="1"/>
  <c r="H64" a="1"/>
  <c r="M63" a="1"/>
  <c r="G371" a="1"/>
  <c r="K351" a="1"/>
  <c r="E338" a="1"/>
  <c r="G328" a="1"/>
  <c r="E316" a="1"/>
  <c r="I310" a="1"/>
  <c r="M304" a="1"/>
  <c r="G299" a="1"/>
  <c r="K293" a="1"/>
  <c r="O287" a="1"/>
  <c r="M276" a="1"/>
  <c r="F271" a="1"/>
  <c r="J265" a="1"/>
  <c r="O259" a="1"/>
  <c r="H254" a="1"/>
  <c r="L248" a="1"/>
  <c r="E202" a="1"/>
  <c r="N199" a="1"/>
  <c r="L197" a="1"/>
  <c r="J195" a="1"/>
  <c r="H193" a="1"/>
  <c r="F191" a="1"/>
  <c r="O188" a="1"/>
  <c r="M186" a="1"/>
  <c r="N181" a="1"/>
  <c r="M180" a="1"/>
  <c r="L179" a="1"/>
  <c r="L178" a="1"/>
  <c r="M177" a="1"/>
  <c r="N175" a="1"/>
  <c r="O174" a="1"/>
  <c r="E174" a="1"/>
  <c r="E173" a="1"/>
  <c r="F172" a="1"/>
  <c r="G171" a="1"/>
  <c r="H169" a="1"/>
  <c r="I168" a="1"/>
  <c r="J167" a="1"/>
  <c r="J166" a="1"/>
  <c r="K165" a="1"/>
  <c r="L164" a="1"/>
  <c r="M162" a="1"/>
  <c r="N161" a="1"/>
  <c r="O160" a="1"/>
  <c r="O159" a="1"/>
  <c r="E159" a="1"/>
  <c r="F158" a="1"/>
  <c r="G156" a="1"/>
  <c r="H155" a="1"/>
  <c r="I154" a="1"/>
  <c r="I153" a="1"/>
  <c r="J152" a="1"/>
  <c r="K151" a="1"/>
  <c r="L149" a="1"/>
  <c r="M148" a="1"/>
  <c r="N147" a="1"/>
  <c r="N146" a="1"/>
  <c r="O145" a="1"/>
  <c r="E145" a="1"/>
  <c r="F143" a="1"/>
  <c r="G142" a="1"/>
  <c r="H141" a="1"/>
  <c r="H140" a="1"/>
  <c r="I139" a="1"/>
  <c r="J138" a="1"/>
  <c r="K136" a="1"/>
  <c r="L135" a="1"/>
  <c r="M134" a="1"/>
  <c r="M133" a="1"/>
  <c r="N132" a="1"/>
  <c r="O131" a="1"/>
  <c r="E130" a="1"/>
  <c r="F129" a="1"/>
  <c r="G128" a="1"/>
  <c r="G127" a="1"/>
  <c r="H126" a="1"/>
  <c r="I125" a="1"/>
  <c r="J123" a="1"/>
  <c r="K122" a="1"/>
  <c r="L121" a="1"/>
  <c r="L120" a="1"/>
  <c r="M119" a="1"/>
  <c r="N118" a="1"/>
  <c r="O116" a="1"/>
  <c r="E116" a="1"/>
  <c r="F115" a="1"/>
  <c r="F114" a="1"/>
  <c r="G338" a="1"/>
  <c r="I328" a="1"/>
  <c r="L321" a="1"/>
  <c r="F316" a="1"/>
  <c r="J310" a="1"/>
  <c r="N304" a="1"/>
  <c r="L293" a="1"/>
  <c r="E288" a="1"/>
  <c r="I282" a="1"/>
  <c r="N276" a="1"/>
  <c r="G271" a="1"/>
  <c r="K265" a="1"/>
  <c r="I254" a="1"/>
  <c r="M248" a="1"/>
  <c r="J244" a="1"/>
  <c r="G241" a="1"/>
  <c r="O237" a="1"/>
  <c r="L234" a="1"/>
  <c r="I231" a="1"/>
  <c r="F228" a="1"/>
  <c r="N224" a="1"/>
  <c r="K221" a="1"/>
  <c r="H218" a="1"/>
  <c r="E215" a="1"/>
  <c r="M211" a="1"/>
  <c r="J208" a="1"/>
  <c r="G205" a="1"/>
  <c r="E185" a="1"/>
  <c r="I183" a="1"/>
  <c r="E182" a="1"/>
  <c r="O180" a="1"/>
  <c r="N179" a="1"/>
  <c r="M178" a="1"/>
  <c r="N177" a="1"/>
  <c r="N176" a="1"/>
  <c r="O175" a="1"/>
  <c r="E175" a="1"/>
  <c r="F173" a="1"/>
  <c r="G172" a="1"/>
  <c r="H171" a="1"/>
  <c r="H170" a="1"/>
  <c r="I169" a="1"/>
  <c r="J168" a="1"/>
  <c r="K166" a="1"/>
  <c r="L165" a="1"/>
  <c r="M164" a="1"/>
  <c r="M163" a="1"/>
  <c r="N162" a="1"/>
  <c r="O161" a="1"/>
  <c r="E160" a="1"/>
  <c r="F159" a="1"/>
  <c r="G158" a="1"/>
  <c r="G157" a="1"/>
  <c r="H156" a="1"/>
  <c r="I155" a="1"/>
  <c r="J153" a="1"/>
  <c r="K152" a="1"/>
  <c r="L151" a="1"/>
  <c r="L150" a="1"/>
  <c r="M149" a="1"/>
  <c r="N148" a="1"/>
  <c r="O146" a="1"/>
  <c r="E146" a="1"/>
  <c r="F145" a="1"/>
  <c r="F144" a="1"/>
  <c r="G143" a="1"/>
  <c r="H142" a="1"/>
  <c r="I140" a="1"/>
  <c r="J139" a="1"/>
  <c r="K138" a="1"/>
  <c r="K137" a="1"/>
  <c r="L136" a="1"/>
  <c r="M135" a="1"/>
  <c r="N133" a="1"/>
  <c r="O132" a="1"/>
  <c r="E132" a="1"/>
  <c r="E131" a="1"/>
  <c r="F130" a="1"/>
  <c r="G129" a="1"/>
  <c r="H127" a="1"/>
  <c r="I126" a="1"/>
  <c r="J125" a="1"/>
  <c r="J124" a="1"/>
  <c r="K123" a="1"/>
  <c r="L122" a="1"/>
  <c r="M120" a="1"/>
  <c r="N119" a="1"/>
  <c r="O118" a="1"/>
  <c r="O117" a="1"/>
  <c r="E117" a="1"/>
  <c r="F116" a="1"/>
  <c r="G114" a="1"/>
  <c r="J113" a="1"/>
  <c r="O112" a="1"/>
  <c r="I112" a="1"/>
  <c r="N111" a="1"/>
  <c r="H111" a="1"/>
  <c r="M110" a="1"/>
  <c r="G110" a="1"/>
  <c r="L109" a="1"/>
  <c r="F109" a="1"/>
  <c r="K108" a="1"/>
  <c r="E108" a="1"/>
  <c r="J107" a="1"/>
  <c r="O106" a="1"/>
  <c r="I106" a="1"/>
  <c r="N105" a="1"/>
  <c r="H105" a="1"/>
  <c r="M104" a="1"/>
  <c r="G104" a="1"/>
  <c r="L103" a="1"/>
  <c r="F103" a="1"/>
  <c r="K102" a="1"/>
  <c r="E102" a="1"/>
  <c r="J101" a="1"/>
  <c r="O100" a="1"/>
  <c r="I100" a="1"/>
  <c r="N99" a="1"/>
  <c r="H99" a="1"/>
  <c r="M98" a="1"/>
  <c r="G98" a="1"/>
  <c r="L97" a="1"/>
  <c r="F97" a="1"/>
  <c r="K96" a="1"/>
  <c r="E96" a="1"/>
  <c r="J95" a="1"/>
  <c r="O94" a="1"/>
  <c r="I94" a="1"/>
  <c r="N93" a="1"/>
  <c r="H93" a="1"/>
  <c r="M92" a="1"/>
  <c r="G92" a="1"/>
  <c r="L91" a="1"/>
  <c r="F91" a="1"/>
  <c r="K90" a="1"/>
  <c r="E90" a="1"/>
  <c r="J89" a="1"/>
  <c r="O88" a="1"/>
  <c r="I88" a="1"/>
  <c r="N87" a="1"/>
  <c r="H87" a="1"/>
  <c r="M86" a="1"/>
  <c r="G86" a="1"/>
  <c r="L85" a="1"/>
  <c r="F85" a="1"/>
  <c r="K84" a="1"/>
  <c r="E84" a="1"/>
  <c r="J83" a="1"/>
  <c r="O82" a="1"/>
  <c r="I82" a="1"/>
  <c r="N81" a="1"/>
  <c r="H81" a="1"/>
  <c r="M80" a="1"/>
  <c r="G80" a="1"/>
  <c r="L79" a="1"/>
  <c r="F79" a="1"/>
  <c r="K78" a="1"/>
  <c r="E78" a="1"/>
  <c r="J77" a="1"/>
  <c r="O76" a="1"/>
  <c r="I76" a="1"/>
  <c r="N75" a="1"/>
  <c r="H75" a="1"/>
  <c r="M74" a="1"/>
  <c r="G74" a="1"/>
  <c r="L73" a="1"/>
  <c r="F73" a="1"/>
  <c r="K72" a="1"/>
  <c r="E72" a="1"/>
  <c r="J71" a="1"/>
  <c r="O70" a="1"/>
  <c r="I70" a="1"/>
  <c r="N69" a="1"/>
  <c r="H69" a="1"/>
  <c r="M68" a="1"/>
  <c r="G68" a="1"/>
  <c r="L67" a="1"/>
  <c r="F67" a="1"/>
  <c r="K66" a="1"/>
  <c r="E66" a="1"/>
  <c r="J65" a="1"/>
  <c r="O64" a="1"/>
  <c r="I64" a="1"/>
  <c r="N63" a="1"/>
  <c r="H63" a="1"/>
  <c r="M62" a="1"/>
  <c r="G62" a="1"/>
  <c r="L61" a="1"/>
  <c r="F61" a="1"/>
  <c r="K60" a="1"/>
  <c r="E60" a="1"/>
  <c r="J59" a="1"/>
  <c r="O58" a="1"/>
  <c r="I58" a="1"/>
  <c r="N57" a="1"/>
  <c r="H57" a="1"/>
  <c r="M56" a="1"/>
  <c r="G56" a="1"/>
  <c r="L55" a="1"/>
  <c r="F55" a="1"/>
  <c r="K54" a="1"/>
  <c r="E54" a="1"/>
  <c r="J53" a="1"/>
  <c r="O52" a="1"/>
  <c r="I52" a="1"/>
  <c r="N51" a="1"/>
  <c r="H51" a="1"/>
  <c r="M50" a="1"/>
  <c r="G50" a="1"/>
  <c r="L49" a="1"/>
  <c r="F49" a="1"/>
  <c r="K48" a="1"/>
  <c r="E48" a="1"/>
  <c r="J47" a="1"/>
  <c r="O46" a="1"/>
  <c r="I46" a="1"/>
  <c r="N45" a="1"/>
  <c r="H45" a="1"/>
  <c r="M44" a="1"/>
  <c r="G44" a="1"/>
  <c r="L43" a="1"/>
  <c r="F43" a="1"/>
  <c r="K42" a="1"/>
  <c r="E42" a="1"/>
  <c r="J41" a="1"/>
  <c r="O40" a="1"/>
  <c r="I40" a="1"/>
  <c r="N39" a="1"/>
  <c r="H39" a="1"/>
  <c r="M38" a="1"/>
  <c r="G38" a="1"/>
  <c r="L37" a="1"/>
  <c r="F37" a="1"/>
  <c r="K36" a="1"/>
  <c r="E36" a="1"/>
  <c r="J35" a="1"/>
  <c r="O34" a="1"/>
  <c r="I34" a="1"/>
  <c r="N33" a="1"/>
  <c r="H33" a="1"/>
  <c r="M32" a="1"/>
  <c r="G32" a="1"/>
  <c r="L31" a="1"/>
  <c r="F31" a="1"/>
  <c r="K30" a="1"/>
  <c r="E30" a="1"/>
  <c r="J29" a="1"/>
  <c r="O28" a="1"/>
  <c r="J374" a="1"/>
  <c r="N354" a="1"/>
  <c r="L339" a="1"/>
  <c r="N329" a="1"/>
  <c r="K322" a="1"/>
  <c r="O316" a="1"/>
  <c r="H311" a="1"/>
  <c r="M305" a="1"/>
  <c r="F300" a="1"/>
  <c r="J294" a="1"/>
  <c r="H283" a="1"/>
  <c r="L277" a="1"/>
  <c r="E272" a="1"/>
  <c r="J266" a="1"/>
  <c r="N260" a="1"/>
  <c r="G255" a="1"/>
  <c r="J202" a="1"/>
  <c r="H200" a="1"/>
  <c r="F198" a="1"/>
  <c r="O195" a="1"/>
  <c r="M193" a="1"/>
  <c r="K191" a="1"/>
  <c r="I189" a="1"/>
  <c r="G187" a="1"/>
  <c r="F185" a="1"/>
  <c r="J183" a="1"/>
  <c r="G182" a="1"/>
  <c r="E181" a="1"/>
  <c r="O179" a="1"/>
  <c r="N178" a="1"/>
  <c r="O176" a="1"/>
  <c r="E176" a="1"/>
  <c r="F175" a="1"/>
  <c r="F174" a="1"/>
  <c r="G173" a="1"/>
  <c r="H172" a="1"/>
  <c r="I170" a="1"/>
  <c r="J169" a="1"/>
  <c r="K168" a="1"/>
  <c r="K167" a="1"/>
  <c r="L166" a="1"/>
  <c r="M165" a="1"/>
  <c r="N163" a="1"/>
  <c r="O162" a="1"/>
  <c r="E162" a="1"/>
  <c r="E161" a="1"/>
  <c r="F160" a="1"/>
  <c r="G159" a="1"/>
  <c r="H157" a="1"/>
  <c r="I156" a="1"/>
  <c r="J155" a="1"/>
  <c r="J154" a="1"/>
  <c r="K153" a="1"/>
  <c r="L152" a="1"/>
  <c r="M150" a="1"/>
  <c r="N149" a="1"/>
  <c r="O148" a="1"/>
  <c r="O147" a="1"/>
  <c r="E147" a="1"/>
  <c r="F146" a="1"/>
  <c r="G144" a="1"/>
  <c r="H143" a="1"/>
  <c r="I142" a="1"/>
  <c r="I141" a="1"/>
  <c r="J140" a="1"/>
  <c r="K139" a="1"/>
  <c r="L137" a="1"/>
  <c r="M136" a="1"/>
  <c r="N135" a="1"/>
  <c r="N134" a="1"/>
  <c r="O133" a="1"/>
  <c r="E133" a="1"/>
  <c r="F131" a="1"/>
  <c r="G130" a="1"/>
  <c r="H129" a="1"/>
  <c r="H128" a="1"/>
  <c r="I127" a="1"/>
  <c r="J126" a="1"/>
  <c r="K124" a="1"/>
  <c r="L123" a="1"/>
  <c r="M122" a="1"/>
  <c r="M121" a="1"/>
  <c r="N120" a="1"/>
  <c r="O119" a="1"/>
  <c r="E118" a="1"/>
  <c r="F117" a="1"/>
  <c r="G116" a="1"/>
  <c r="G115" a="1"/>
  <c r="H114" a="1"/>
  <c r="N339" a="1"/>
  <c r="E330" a="1"/>
  <c r="L322" a="1"/>
  <c r="E317" a="1"/>
  <c r="I311" a="1"/>
  <c r="G300" a="1"/>
  <c r="K294" a="1"/>
  <c r="O288" a="1"/>
  <c r="I283" a="1"/>
  <c r="M277" a="1"/>
  <c r="F272" a="1"/>
  <c r="O260" a="1"/>
  <c r="H255" a="1"/>
  <c r="L249" a="1"/>
  <c r="E245" a="1"/>
  <c r="M241" a="1"/>
  <c r="J238" a="1"/>
  <c r="G235" a="1"/>
  <c r="O231" a="1"/>
  <c r="L228" a="1"/>
  <c r="I225" a="1"/>
  <c r="F222" a="1"/>
  <c r="N218" a="1"/>
  <c r="K215" a="1"/>
  <c r="H212" a="1"/>
  <c r="E209" a="1"/>
  <c r="M205" a="1"/>
  <c r="K202" a="1"/>
  <c r="I200" a="1"/>
  <c r="G198" a="1"/>
  <c r="E196" a="1"/>
  <c r="N193" a="1"/>
  <c r="L191" a="1"/>
  <c r="J189" a="1"/>
  <c r="H187" a="1"/>
  <c r="J185" a="1"/>
  <c r="N183" a="1"/>
  <c r="F181" a="1"/>
  <c r="E180" a="1"/>
  <c r="O178" a="1"/>
  <c r="O177" a="1"/>
  <c r="E177" a="1"/>
  <c r="F176" a="1"/>
  <c r="G174" a="1"/>
  <c r="H173" a="1"/>
  <c r="I172" a="1"/>
  <c r="I171" a="1"/>
  <c r="J170" a="1"/>
  <c r="K169" a="1"/>
  <c r="L167" a="1"/>
  <c r="M166" a="1"/>
  <c r="N165" a="1"/>
  <c r="N164" a="1"/>
  <c r="O163" a="1"/>
  <c r="E163" a="1"/>
  <c r="F161" a="1"/>
  <c r="G160" a="1"/>
  <c r="H159" a="1"/>
  <c r="H158" a="1"/>
  <c r="I157" a="1"/>
  <c r="J156" a="1"/>
  <c r="K154" a="1"/>
  <c r="L153" a="1"/>
  <c r="M152" a="1"/>
  <c r="M151" a="1"/>
  <c r="N150" a="1"/>
  <c r="O149" a="1"/>
  <c r="E148" a="1"/>
  <c r="F147" a="1"/>
  <c r="G146" a="1"/>
  <c r="G145" a="1"/>
  <c r="H144" a="1"/>
  <c r="I143" a="1"/>
  <c r="J141" a="1"/>
  <c r="K140" a="1"/>
  <c r="L139" a="1"/>
  <c r="L138" a="1"/>
  <c r="M137" a="1"/>
  <c r="N136" a="1"/>
  <c r="O134" a="1"/>
  <c r="E134" a="1"/>
  <c r="F133" a="1"/>
  <c r="F132" a="1"/>
  <c r="G131" a="1"/>
  <c r="H130" a="1"/>
  <c r="I128" a="1"/>
  <c r="J127" a="1"/>
  <c r="K126" a="1"/>
  <c r="K125" a="1"/>
  <c r="L124" a="1"/>
  <c r="M123" a="1"/>
  <c r="N121" a="1"/>
  <c r="O120" a="1"/>
  <c r="E120" a="1"/>
  <c r="E119" a="1"/>
  <c r="F118" a="1"/>
  <c r="G117" a="1"/>
  <c r="H115" a="1"/>
  <c r="I114" a="1"/>
  <c r="K113" a="1"/>
  <c r="E113" a="1"/>
  <c r="J112" a="1"/>
  <c r="O111" a="1"/>
  <c r="I111" a="1"/>
  <c r="N110" a="1"/>
  <c r="H110" a="1"/>
  <c r="M109" a="1"/>
  <c r="G109" a="1"/>
  <c r="L108" a="1"/>
  <c r="F108" a="1"/>
  <c r="K107" a="1"/>
  <c r="E107" a="1"/>
  <c r="J106" a="1"/>
  <c r="O105" a="1"/>
  <c r="I105" a="1"/>
  <c r="N104" a="1"/>
  <c r="H104" a="1"/>
  <c r="M103" a="1"/>
  <c r="G103" a="1"/>
  <c r="L102" a="1"/>
  <c r="F102" a="1"/>
  <c r="K101" a="1"/>
  <c r="E101" a="1"/>
  <c r="J100" a="1"/>
  <c r="O99" a="1"/>
  <c r="I99" a="1"/>
  <c r="N98" a="1"/>
  <c r="H98" a="1"/>
  <c r="M97" a="1"/>
  <c r="G97" a="1"/>
  <c r="L96" a="1"/>
  <c r="F96" a="1"/>
  <c r="K95" a="1"/>
  <c r="E95" a="1"/>
  <c r="J94" a="1"/>
  <c r="O93" a="1"/>
  <c r="I93" a="1"/>
  <c r="N92" a="1"/>
  <c r="H92" a="1"/>
  <c r="M91" a="1"/>
  <c r="G91" a="1"/>
  <c r="L90" a="1"/>
  <c r="F90" a="1"/>
  <c r="K89" a="1"/>
  <c r="E89" a="1"/>
  <c r="J88" a="1"/>
  <c r="O87" a="1"/>
  <c r="I87" a="1"/>
  <c r="N86" a="1"/>
  <c r="H86" a="1"/>
  <c r="M85" a="1"/>
  <c r="G85" a="1"/>
  <c r="L84" a="1"/>
  <c r="F84" a="1"/>
  <c r="K83" a="1"/>
  <c r="E83" a="1"/>
  <c r="J82" a="1"/>
  <c r="O81" a="1"/>
  <c r="I81" a="1"/>
  <c r="N80" a="1"/>
  <c r="H80" a="1"/>
  <c r="M79" a="1"/>
  <c r="G79" a="1"/>
  <c r="L78" a="1"/>
  <c r="F78" a="1"/>
  <c r="K77" a="1"/>
  <c r="E77" a="1"/>
  <c r="J76" a="1"/>
  <c r="O75" a="1"/>
  <c r="I75" a="1"/>
  <c r="N74" a="1"/>
  <c r="H74" a="1"/>
  <c r="M73" a="1"/>
  <c r="G73" a="1"/>
  <c r="L72" a="1"/>
  <c r="F72" a="1"/>
  <c r="K71" a="1"/>
  <c r="E71" a="1"/>
  <c r="J70" a="1"/>
  <c r="O69" a="1"/>
  <c r="I69" a="1"/>
  <c r="N68" a="1"/>
  <c r="H68" a="1"/>
  <c r="M67" a="1"/>
  <c r="G67" a="1"/>
  <c r="L66" a="1"/>
  <c r="F66" a="1"/>
  <c r="K65" a="1"/>
  <c r="E65" a="1"/>
  <c r="J64" a="1"/>
  <c r="O63" a="1"/>
  <c r="I63" a="1"/>
  <c r="N62" a="1"/>
  <c r="H62" a="1"/>
  <c r="M61" a="1"/>
  <c r="G61" a="1"/>
  <c r="L60" a="1"/>
  <c r="F60" a="1"/>
  <c r="K59" a="1"/>
  <c r="E59" a="1"/>
  <c r="J58" a="1"/>
  <c r="O57" a="1"/>
  <c r="I57" a="1"/>
  <c r="N56" a="1"/>
  <c r="H56" a="1"/>
  <c r="M55" a="1"/>
  <c r="G55" a="1"/>
  <c r="L54" a="1"/>
  <c r="F54" a="1"/>
  <c r="K53" a="1"/>
  <c r="E53" a="1"/>
  <c r="J52" a="1"/>
  <c r="O51" a="1"/>
  <c r="I51" a="1"/>
  <c r="N50" a="1"/>
  <c r="H50" a="1"/>
  <c r="M49" a="1"/>
  <c r="G49" a="1"/>
  <c r="L48" a="1"/>
  <c r="F48" a="1"/>
  <c r="K47" a="1"/>
  <c r="E47" a="1"/>
  <c r="J46" a="1"/>
  <c r="O45" a="1"/>
  <c r="I45" a="1"/>
  <c r="N44" a="1"/>
  <c r="H44" a="1"/>
  <c r="M43" a="1"/>
  <c r="G43" a="1"/>
  <c r="L42" a="1"/>
  <c r="F42" a="1"/>
  <c r="K41" a="1"/>
  <c r="E41" a="1"/>
  <c r="J40" a="1"/>
  <c r="O39" a="1"/>
  <c r="I39" a="1"/>
  <c r="N38" a="1"/>
  <c r="H38" a="1"/>
  <c r="M37" a="1"/>
  <c r="G37" a="1"/>
  <c r="L36" a="1"/>
  <c r="F36" a="1"/>
  <c r="K35" a="1"/>
  <c r="E35" a="1"/>
  <c r="M377" a="1"/>
  <c r="F358" a="1"/>
  <c r="H341" a="1"/>
  <c r="J331" a="1"/>
  <c r="J323" a="1"/>
  <c r="N317" a="1"/>
  <c r="H312" a="1"/>
  <c r="L306" a="1"/>
  <c r="E301" a="1"/>
  <c r="N289" a="1"/>
  <c r="G284" a="1"/>
  <c r="K278" a="1"/>
  <c r="E273" a="1"/>
  <c r="I267" a="1"/>
  <c r="M261" a="1"/>
  <c r="K250" a="1"/>
  <c r="H182" a="1"/>
  <c r="E178" a="1"/>
  <c r="F177" a="1"/>
  <c r="G176" a="1"/>
  <c r="G175" a="1"/>
  <c r="H174" a="1"/>
  <c r="I173" a="1"/>
  <c r="J171" a="1"/>
  <c r="K170" a="1"/>
  <c r="L169" a="1"/>
  <c r="L168" a="1"/>
  <c r="M167" a="1"/>
  <c r="N166" a="1"/>
  <c r="O164" a="1"/>
  <c r="E164" a="1"/>
  <c r="F163" a="1"/>
  <c r="F162" a="1"/>
  <c r="G161" a="1"/>
  <c r="H160" a="1"/>
  <c r="I158" a="1"/>
  <c r="J157" a="1"/>
  <c r="K156" a="1"/>
  <c r="K155" a="1"/>
  <c r="L154" a="1"/>
  <c r="M153" a="1"/>
  <c r="N151" a="1"/>
  <c r="O150" a="1"/>
  <c r="E150" a="1"/>
  <c r="E149" a="1"/>
  <c r="F148" a="1"/>
  <c r="G147" a="1"/>
  <c r="H145" a="1"/>
  <c r="I144" a="1"/>
  <c r="J143" a="1"/>
  <c r="J142" a="1"/>
  <c r="K141" a="1"/>
  <c r="L140" a="1"/>
  <c r="M138" a="1"/>
  <c r="N137" a="1"/>
  <c r="O136" a="1"/>
  <c r="O135" a="1"/>
  <c r="E135" a="1"/>
  <c r="F134" a="1"/>
  <c r="G132" a="1"/>
  <c r="H131" a="1"/>
  <c r="I130" a="1"/>
  <c r="I129" a="1"/>
  <c r="J128" a="1"/>
  <c r="K127" a="1"/>
  <c r="L125" a="1"/>
  <c r="M124" a="1"/>
  <c r="N123" a="1"/>
  <c r="N122" a="1"/>
  <c r="O121" a="1"/>
  <c r="E121" a="1"/>
  <c r="F119" a="1"/>
  <c r="G118" a="1"/>
  <c r="H117" a="1"/>
  <c r="H116" a="1"/>
  <c r="I115" a="1"/>
  <c r="J114" a="1"/>
  <c r="J341" a="1"/>
  <c r="L331" a="1"/>
  <c r="K323" a="1"/>
  <c r="O317" a="1"/>
  <c r="M306" a="1"/>
  <c r="F301" a="1"/>
  <c r="J295" a="1"/>
  <c r="O289" a="1"/>
  <c r="H284" a="1"/>
  <c r="L278" a="1"/>
  <c r="J267" a="1"/>
  <c r="N261" a="1"/>
  <c r="G256" a="1"/>
  <c r="L250" a="1"/>
  <c r="K245" a="1"/>
  <c r="H242" a="1"/>
  <c r="E239" a="1"/>
  <c r="M235" a="1"/>
  <c r="J232" a="1"/>
  <c r="G229" a="1"/>
  <c r="O225" a="1"/>
  <c r="L222" a="1"/>
  <c r="I219" a="1"/>
  <c r="F216" a="1"/>
  <c r="N212" a="1"/>
  <c r="K209" a="1"/>
  <c r="H206" a="1"/>
  <c r="E203" a="1"/>
  <c r="N200" a="1"/>
  <c r="L198" a="1"/>
  <c r="J196" a="1"/>
  <c r="H194" a="1"/>
  <c r="F192" a="1"/>
  <c r="O189" a="1"/>
  <c r="M187" a="1"/>
  <c r="K185" a="1"/>
  <c r="O183" a="1"/>
  <c r="I182" a="1"/>
  <c r="G181" a="1"/>
  <c r="F180" a="1"/>
  <c r="E179" a="1"/>
  <c r="F178" a="1"/>
  <c r="G177" a="1"/>
  <c r="H175" a="1"/>
  <c r="I174" a="1"/>
  <c r="J173" a="1"/>
  <c r="J172" a="1"/>
  <c r="K171" a="1"/>
  <c r="L170" a="1"/>
  <c r="M168" a="1"/>
  <c r="N167" a="1"/>
  <c r="O166" a="1"/>
  <c r="O165" a="1"/>
  <c r="E165" a="1"/>
  <c r="F164" a="1"/>
  <c r="G162" a="1"/>
  <c r="H161" a="1"/>
  <c r="I160" a="1"/>
  <c r="I159" a="1"/>
  <c r="J158" a="1"/>
  <c r="K157" a="1"/>
  <c r="L155" a="1"/>
  <c r="M154" a="1"/>
  <c r="N153" a="1"/>
  <c r="N152" a="1"/>
  <c r="O151" a="1"/>
  <c r="E151" a="1"/>
  <c r="F149" a="1"/>
  <c r="G148" a="1"/>
  <c r="H147" a="1"/>
  <c r="H146" a="1"/>
  <c r="I145" a="1"/>
  <c r="J144" a="1"/>
  <c r="K142" a="1"/>
  <c r="L141" a="1"/>
  <c r="M140" a="1"/>
  <c r="M139" a="1"/>
  <c r="N138" a="1"/>
  <c r="O137" a="1"/>
  <c r="E136" a="1"/>
  <c r="F135" a="1"/>
  <c r="G134" a="1"/>
  <c r="G133" a="1"/>
  <c r="H132" a="1"/>
  <c r="I131" a="1"/>
  <c r="J129" a="1"/>
  <c r="K128" a="1"/>
  <c r="L127" a="1"/>
  <c r="L126" a="1"/>
  <c r="M125" a="1"/>
  <c r="N124" a="1"/>
  <c r="O122" a="1"/>
  <c r="E122" a="1"/>
  <c r="F121" a="1"/>
  <c r="F120" a="1"/>
  <c r="G119" a="1"/>
  <c r="H118" a="1"/>
  <c r="I116" a="1"/>
  <c r="J115" a="1"/>
  <c r="K114" a="1"/>
  <c r="L113" a="1"/>
  <c r="F113" a="1"/>
  <c r="K112" a="1"/>
  <c r="E112" a="1"/>
  <c r="J111" a="1"/>
  <c r="O110" a="1"/>
  <c r="I110" a="1"/>
  <c r="N109" a="1"/>
  <c r="H109" a="1"/>
  <c r="M108" a="1"/>
  <c r="G108" a="1"/>
  <c r="L107" a="1"/>
  <c r="F107" a="1"/>
  <c r="K106" a="1"/>
  <c r="E106" a="1"/>
  <c r="J105" a="1"/>
  <c r="O104" a="1"/>
  <c r="I104" a="1"/>
  <c r="N103" a="1"/>
  <c r="H103" a="1"/>
  <c r="M102" a="1"/>
  <c r="G102" a="1"/>
  <c r="L101" a="1"/>
  <c r="F101" a="1"/>
  <c r="K100" a="1"/>
  <c r="E100" a="1"/>
  <c r="J99" a="1"/>
  <c r="O98" a="1"/>
  <c r="I98" a="1"/>
  <c r="N97" a="1"/>
  <c r="H97" a="1"/>
  <c r="M96" a="1"/>
  <c r="G96" a="1"/>
  <c r="L95" a="1"/>
  <c r="F95" a="1"/>
  <c r="K94" a="1"/>
  <c r="E94" a="1"/>
  <c r="J93" a="1"/>
  <c r="O92" a="1"/>
  <c r="I92" a="1"/>
  <c r="N91" a="1"/>
  <c r="H91" a="1"/>
  <c r="M90" a="1"/>
  <c r="G90" a="1"/>
  <c r="L89" a="1"/>
  <c r="F89" a="1"/>
  <c r="K88" a="1"/>
  <c r="E88" a="1"/>
  <c r="J87" a="1"/>
  <c r="O86" a="1"/>
  <c r="I86" a="1"/>
  <c r="N85" a="1"/>
  <c r="H85" a="1"/>
  <c r="M84" a="1"/>
  <c r="G84" a="1"/>
  <c r="L83" a="1"/>
  <c r="F83" a="1"/>
  <c r="K82" a="1"/>
  <c r="E82" a="1"/>
  <c r="J81" a="1"/>
  <c r="O80" a="1"/>
  <c r="I80" a="1"/>
  <c r="N79" a="1"/>
  <c r="H79" a="1"/>
  <c r="M78" a="1"/>
  <c r="G78" a="1"/>
  <c r="L77" a="1"/>
  <c r="F77" a="1"/>
  <c r="K76" a="1"/>
  <c r="E76" a="1"/>
  <c r="J75" a="1"/>
  <c r="O74" a="1"/>
  <c r="I74" a="1"/>
  <c r="N73" a="1"/>
  <c r="H73" a="1"/>
  <c r="M72" a="1"/>
  <c r="G72" a="1"/>
  <c r="L71" a="1"/>
  <c r="F71" a="1"/>
  <c r="K70" a="1"/>
  <c r="E70" a="1"/>
  <c r="J69" a="1"/>
  <c r="O68" a="1"/>
  <c r="I68" a="1"/>
  <c r="N67" a="1"/>
  <c r="H67" a="1"/>
  <c r="M66" a="1"/>
  <c r="G66" a="1"/>
  <c r="L65" a="1"/>
  <c r="F65" a="1"/>
  <c r="K64" a="1"/>
  <c r="E64" a="1"/>
  <c r="J63" a="1"/>
  <c r="O62" a="1"/>
  <c r="I62" a="1"/>
  <c r="N61" a="1"/>
  <c r="H61" a="1"/>
  <c r="M60" a="1"/>
  <c r="G60" a="1"/>
  <c r="L59" a="1"/>
  <c r="F59" a="1"/>
  <c r="K58" a="1"/>
  <c r="E58" a="1"/>
  <c r="J57" a="1"/>
  <c r="O56" a="1"/>
  <c r="I56" a="1"/>
  <c r="N55" a="1"/>
  <c r="H55" a="1"/>
  <c r="M54" a="1"/>
  <c r="G54" a="1"/>
  <c r="L53" a="1"/>
  <c r="F53" a="1"/>
  <c r="K52" a="1"/>
  <c r="E52" a="1"/>
  <c r="J51" a="1"/>
  <c r="O50" a="1"/>
  <c r="I50" a="1"/>
  <c r="N49" a="1"/>
  <c r="H49" a="1"/>
  <c r="M48" a="1"/>
  <c r="G48" a="1"/>
  <c r="L47" a="1"/>
  <c r="F47" a="1"/>
  <c r="K46" a="1"/>
  <c r="E46" a="1"/>
  <c r="J45" a="1"/>
  <c r="O44" a="1"/>
  <c r="I44" a="1"/>
  <c r="N43" a="1"/>
  <c r="H43" a="1"/>
  <c r="M42" a="1"/>
  <c r="G42" a="1"/>
  <c r="L41" a="1"/>
  <c r="F41" a="1"/>
  <c r="K40" a="1"/>
  <c r="E40" a="1"/>
  <c r="J39" a="1"/>
  <c r="O38" a="1"/>
  <c r="I38" a="1"/>
  <c r="N37" a="1"/>
  <c r="H37" a="1"/>
  <c r="M36" a="1"/>
  <c r="G36" a="1"/>
  <c r="L35" a="1"/>
  <c r="F35" a="1"/>
  <c r="K34" a="1"/>
  <c r="E34" a="1"/>
  <c r="J33" a="1"/>
  <c r="O32" a="1"/>
  <c r="I32" a="1"/>
  <c r="N31" a="1"/>
  <c r="H31" a="1"/>
  <c r="M30" a="1"/>
  <c r="G30" a="1"/>
  <c r="L29" a="1"/>
  <c r="F29" a="1"/>
  <c r="E381" a="1"/>
  <c r="I361" a="1"/>
  <c r="O342" a="1"/>
  <c r="F333" a="1"/>
  <c r="I324" a="1"/>
  <c r="N318" a="1"/>
  <c r="G313" a="1"/>
  <c r="K307" a="1"/>
  <c r="I296" a="1"/>
  <c r="M290" a="1"/>
  <c r="F285" a="1"/>
  <c r="K279" a="1"/>
  <c r="O273" a="1"/>
  <c r="H268" a="1"/>
  <c r="F257" a="1"/>
  <c r="J251" a="1"/>
  <c r="O200" a="1"/>
  <c r="M198" a="1"/>
  <c r="K196" a="1"/>
  <c r="I194" a="1"/>
  <c r="G192" a="1"/>
  <c r="E190" a="1"/>
  <c r="N187" a="1"/>
  <c r="L185" a="1"/>
  <c r="E184" a="1"/>
  <c r="K182" a="1"/>
  <c r="H181" a="1"/>
  <c r="G180" a="1"/>
  <c r="F179" a="1"/>
  <c r="G178" a="1"/>
  <c r="H177" a="1"/>
  <c r="H176" a="1"/>
  <c r="I175" a="1"/>
  <c r="J174" a="1"/>
  <c r="K172" a="1"/>
  <c r="L171" a="1"/>
  <c r="M170" a="1"/>
  <c r="M169" a="1"/>
  <c r="N168" a="1"/>
  <c r="O167" a="1"/>
  <c r="E166" a="1"/>
  <c r="F165" a="1"/>
  <c r="G164" a="1"/>
  <c r="G163" a="1"/>
  <c r="H162" a="1"/>
  <c r="I161" a="1"/>
  <c r="J159" a="1"/>
  <c r="K158" a="1"/>
  <c r="L157" a="1"/>
  <c r="L156" a="1"/>
  <c r="M155" a="1"/>
  <c r="N154" a="1"/>
  <c r="O152" a="1"/>
  <c r="E152" a="1"/>
  <c r="F151" a="1"/>
  <c r="F150" a="1"/>
  <c r="G149" a="1"/>
  <c r="H148" a="1"/>
  <c r="I146" a="1"/>
  <c r="J145" a="1"/>
  <c r="K144" a="1"/>
  <c r="K143" a="1"/>
  <c r="L142" a="1"/>
  <c r="M141" a="1"/>
  <c r="N139" a="1"/>
  <c r="O138" a="1"/>
  <c r="E138" a="1"/>
  <c r="E137" a="1"/>
  <c r="F136" a="1"/>
  <c r="G135" a="1"/>
  <c r="H133" a="1"/>
  <c r="I132" a="1"/>
  <c r="J131" a="1"/>
  <c r="J130" a="1"/>
  <c r="K129" a="1"/>
  <c r="L128" a="1"/>
  <c r="M126" a="1"/>
  <c r="N125" a="1"/>
  <c r="O124" a="1"/>
  <c r="O123" a="1"/>
  <c r="E123" a="1"/>
  <c r="F122" a="1"/>
  <c r="G120" a="1"/>
  <c r="H119" a="1"/>
  <c r="I118" a="1"/>
  <c r="I117" a="1"/>
  <c r="J116" a="1"/>
  <c r="K115" a="1"/>
  <c r="G285" a="1"/>
  <c r="M229" a="1"/>
  <c r="I176" a="1"/>
  <c r="G165" a="1"/>
  <c r="O153" a="1"/>
  <c r="M142" a="1"/>
  <c r="H120" a="1"/>
  <c r="E111" a="1"/>
  <c r="J104" a="1"/>
  <c r="O97" a="1"/>
  <c r="I91" a="1"/>
  <c r="N84" a="1"/>
  <c r="H78" a="1"/>
  <c r="M71" a="1"/>
  <c r="G65" a="1"/>
  <c r="E61" a="1"/>
  <c r="M57" a="1"/>
  <c r="J54" a="1"/>
  <c r="G51" a="1"/>
  <c r="O47" a="1"/>
  <c r="L44" a="1"/>
  <c r="I41" a="1"/>
  <c r="F38" a="1"/>
  <c r="N34" a="1"/>
  <c r="L32" a="1"/>
  <c r="J30" a="1"/>
  <c r="J28" a="1"/>
  <c r="I27" a="1"/>
  <c r="H26" a="1"/>
  <c r="G25" a="1"/>
  <c r="H24" a="1"/>
  <c r="M23" a="1"/>
  <c r="G23" a="1"/>
  <c r="L22" a="1"/>
  <c r="F22" a="1"/>
  <c r="K21" a="1"/>
  <c r="E21" a="1"/>
  <c r="J20" a="1"/>
  <c r="O19" a="1"/>
  <c r="I19" a="1"/>
  <c r="N18" a="1"/>
  <c r="H18" a="1"/>
  <c r="M17" a="1"/>
  <c r="G17" a="1"/>
  <c r="L16" a="1"/>
  <c r="F16" a="1"/>
  <c r="K15" a="1"/>
  <c r="E15" a="1"/>
  <c r="J14" a="1"/>
  <c r="O13" a="1"/>
  <c r="I13" a="1"/>
  <c r="N12" a="1"/>
  <c r="N290" a="1"/>
  <c r="E233" a="1"/>
  <c r="F166" a="1"/>
  <c r="O154" a="1"/>
  <c r="L143" a="1"/>
  <c r="J132" a="1"/>
  <c r="G121" a="1"/>
  <c r="K111" a="1"/>
  <c r="E105" a="1"/>
  <c r="J98" a="1"/>
  <c r="O91" a="1"/>
  <c r="I85" a="1"/>
  <c r="N78" a="1"/>
  <c r="H72" a="1"/>
  <c r="M65" a="1"/>
  <c r="I61" a="1"/>
  <c r="F58" a="1"/>
  <c r="N54" a="1"/>
  <c r="K51" a="1"/>
  <c r="H48" a="1"/>
  <c r="E45" a="1"/>
  <c r="M41" a="1"/>
  <c r="J38" a="1"/>
  <c r="G35" a="1"/>
  <c r="N32" a="1"/>
  <c r="L30" a="1"/>
  <c r="K28" a="1"/>
  <c r="J27" a="1"/>
  <c r="I26" a="1"/>
  <c r="H25" a="1"/>
  <c r="K130" a="1"/>
  <c r="N90" a="1"/>
  <c r="E51" a="1"/>
  <c r="I28" a="1"/>
  <c r="L10" a="1"/>
  <c r="J296" a="1"/>
  <c r="H236" a="1"/>
  <c r="H178" a="1"/>
  <c r="E167" a="1"/>
  <c r="N155" a="1"/>
  <c r="I133" a="1"/>
  <c r="G122" a="1"/>
  <c r="F112" a="1"/>
  <c r="K105" a="1"/>
  <c r="E99" a="1"/>
  <c r="J92" a="1"/>
  <c r="O85" a="1"/>
  <c r="I79" a="1"/>
  <c r="N72" a="1"/>
  <c r="H66" a="1"/>
  <c r="K61" a="1"/>
  <c r="H58" a="1"/>
  <c r="E55" a="1"/>
  <c r="M51" a="1"/>
  <c r="J48" a="1"/>
  <c r="G45" a="1"/>
  <c r="O41" a="1"/>
  <c r="L38" a="1"/>
  <c r="I35" a="1"/>
  <c r="E33" a="1"/>
  <c r="N30" a="1"/>
  <c r="L28" a="1"/>
  <c r="K27" a="1"/>
  <c r="J26" a="1"/>
  <c r="I25" a="1"/>
  <c r="I24" a="1"/>
  <c r="N23" a="1"/>
  <c r="H23" a="1"/>
  <c r="M22" a="1"/>
  <c r="G22" a="1"/>
  <c r="L21" a="1"/>
  <c r="F21" a="1"/>
  <c r="K20" a="1"/>
  <c r="E20" a="1"/>
  <c r="J19" a="1"/>
  <c r="O18" a="1"/>
  <c r="I18" a="1"/>
  <c r="N17" a="1"/>
  <c r="H17" a="1"/>
  <c r="M16" a="1"/>
  <c r="G16" a="1"/>
  <c r="L15" a="1"/>
  <c r="F15" a="1"/>
  <c r="K14" a="1"/>
  <c r="E14" a="1"/>
  <c r="J13" a="1"/>
  <c r="O12" a="1"/>
  <c r="I12" a="1"/>
  <c r="N11" a="1"/>
  <c r="H11" a="1"/>
  <c r="M10" a="1"/>
  <c r="G10" a="1"/>
  <c r="J9" a="1"/>
  <c r="O103" a="1"/>
  <c r="G71" a="1"/>
  <c r="M47" a="1"/>
  <c r="H27" a="1"/>
  <c r="H12" a="1"/>
  <c r="E302" a="1"/>
  <c r="K239" a="1"/>
  <c r="H179" a="1"/>
  <c r="E168" a="1"/>
  <c r="M156" a="1"/>
  <c r="K145" a="1"/>
  <c r="H134" a="1"/>
  <c r="F123" a="1"/>
  <c r="L112" a="1"/>
  <c r="F106" a="1"/>
  <c r="K99" a="1"/>
  <c r="E93" a="1"/>
  <c r="J86" a="1"/>
  <c r="O79" a="1"/>
  <c r="I73" a="1"/>
  <c r="N66" a="1"/>
  <c r="O61" a="1"/>
  <c r="L58" a="1"/>
  <c r="I55" a="1"/>
  <c r="F52" a="1"/>
  <c r="N48" a="1"/>
  <c r="K45" a="1"/>
  <c r="H42" a="1"/>
  <c r="E39" a="1"/>
  <c r="M35" a="1"/>
  <c r="G33" a="1"/>
  <c r="E31" a="1"/>
  <c r="N28" a="1"/>
  <c r="L27" a="1"/>
  <c r="K26" a="1"/>
  <c r="J25" a="1"/>
  <c r="N60" a="1"/>
  <c r="L307" a="1"/>
  <c r="N242" a="1"/>
  <c r="K203" a="1"/>
  <c r="I180" a="1"/>
  <c r="O168" a="1"/>
  <c r="J146" a="1"/>
  <c r="H135" a="1"/>
  <c r="E124" a="1"/>
  <c r="G113" a="1"/>
  <c r="L106" a="1"/>
  <c r="F100" a="1"/>
  <c r="K93" a="1"/>
  <c r="E87" a="1"/>
  <c r="J80" a="1"/>
  <c r="O73" a="1"/>
  <c r="I67" a="1"/>
  <c r="F62" a="1"/>
  <c r="N58" a="1"/>
  <c r="K55" a="1"/>
  <c r="H52" a="1"/>
  <c r="E49" a="1"/>
  <c r="M45" a="1"/>
  <c r="J42" a="1"/>
  <c r="G39" a="1"/>
  <c r="O35" a="1"/>
  <c r="I33" a="1"/>
  <c r="G31" a="1"/>
  <c r="E29" a="1"/>
  <c r="M27" a="1"/>
  <c r="L26" a="1"/>
  <c r="K25" a="1"/>
  <c r="J24" a="1"/>
  <c r="O23" a="1"/>
  <c r="I23" a="1"/>
  <c r="N22" a="1"/>
  <c r="H22" a="1"/>
  <c r="M21" a="1"/>
  <c r="G21" a="1"/>
  <c r="L20" a="1"/>
  <c r="F20" a="1"/>
  <c r="K19" a="1"/>
  <c r="E19" a="1"/>
  <c r="J18" a="1"/>
  <c r="O17" a="1"/>
  <c r="I17" a="1"/>
  <c r="N16" a="1"/>
  <c r="H16" a="1"/>
  <c r="M15" a="1"/>
  <c r="G15" a="1"/>
  <c r="L14" a="1"/>
  <c r="F14" a="1"/>
  <c r="K13" a="1"/>
  <c r="E13" a="1"/>
  <c r="J12" a="1"/>
  <c r="O11" a="1"/>
  <c r="I11" a="1"/>
  <c r="N10" a="1"/>
  <c r="H10" a="1"/>
  <c r="K9" a="1"/>
  <c r="E9" a="1"/>
  <c r="J175" a="1"/>
  <c r="M77" a="1"/>
  <c r="L34" a="1"/>
  <c r="M11" a="1"/>
  <c r="H313" a="1"/>
  <c r="F246" a="1"/>
  <c r="N206" a="1"/>
  <c r="J181" a="1"/>
  <c r="N169" a="1"/>
  <c r="L158" a="1"/>
  <c r="I147" a="1"/>
  <c r="G136" a="1"/>
  <c r="M113" a="1"/>
  <c r="G107" a="1"/>
  <c r="L100" a="1"/>
  <c r="F94" a="1"/>
  <c r="K87" a="1"/>
  <c r="E81" a="1"/>
  <c r="J74" a="1"/>
  <c r="O67" a="1"/>
  <c r="J62" a="1"/>
  <c r="G59" a="1"/>
  <c r="O55" a="1"/>
  <c r="L52" a="1"/>
  <c r="I49" a="1"/>
  <c r="F46" a="1"/>
  <c r="N42" a="1"/>
  <c r="K39" a="1"/>
  <c r="H36" a="1"/>
  <c r="K33" a="1"/>
  <c r="I31" a="1"/>
  <c r="G29" a="1"/>
  <c r="N27" a="1"/>
  <c r="M26" a="1"/>
  <c r="L25" a="1"/>
  <c r="K24" a="1"/>
  <c r="E153" a="1"/>
  <c r="L64" a="1"/>
  <c r="J32" a="1"/>
  <c r="I9" a="1"/>
  <c r="K251" a="1"/>
  <c r="F210" a="1"/>
  <c r="M182" a="1"/>
  <c r="K159" a="1"/>
  <c r="I148" a="1"/>
  <c r="F137" a="1"/>
  <c r="O125" a="1"/>
  <c r="L114" a="1"/>
  <c r="M107" a="1"/>
  <c r="G101" a="1"/>
  <c r="L94" a="1"/>
  <c r="F88" a="1"/>
  <c r="K81" a="1"/>
  <c r="E75" a="1"/>
  <c r="J68" a="1"/>
  <c r="L62" a="1"/>
  <c r="I59" a="1"/>
  <c r="F56" a="1"/>
  <c r="N52" a="1"/>
  <c r="K49" a="1"/>
  <c r="H46" a="1"/>
  <c r="E43" a="1"/>
  <c r="M39" a="1"/>
  <c r="J36" a="1"/>
  <c r="M33" a="1"/>
  <c r="K31" a="1"/>
  <c r="I29" a="1"/>
  <c r="O27" a="1"/>
  <c r="N26" a="1"/>
  <c r="M25" a="1"/>
  <c r="L24" a="1"/>
  <c r="E24" a="1"/>
  <c r="J23" a="1"/>
  <c r="O22" a="1"/>
  <c r="I22" a="1"/>
  <c r="N21" a="1"/>
  <c r="H21" a="1"/>
  <c r="M20" a="1"/>
  <c r="G20" a="1"/>
  <c r="L19" a="1"/>
  <c r="F19" a="1"/>
  <c r="K18" a="1"/>
  <c r="E18" a="1"/>
  <c r="J17" a="1"/>
  <c r="O16" a="1"/>
  <c r="I16" a="1"/>
  <c r="N15" a="1"/>
  <c r="H15" a="1"/>
  <c r="M14" a="1"/>
  <c r="G14" a="1"/>
  <c r="L13" a="1"/>
  <c r="F13" a="1"/>
  <c r="K12" a="1"/>
  <c r="E12" a="1"/>
  <c r="J11" a="1"/>
  <c r="O10" a="1"/>
  <c r="I10" a="1"/>
  <c r="L9" a="1"/>
  <c r="F9" a="1"/>
  <c r="J226" a="1"/>
  <c r="I97" a="1"/>
  <c r="G41" a="1"/>
  <c r="G11" a="1"/>
  <c r="J324" a="1"/>
  <c r="G257" a="1"/>
  <c r="I213" a="1"/>
  <c r="I184" a="1"/>
  <c r="M171" a="1"/>
  <c r="J160" a="1"/>
  <c r="H149" a="1"/>
  <c r="N126" a="1"/>
  <c r="L115" a="1"/>
  <c r="H108" a="1"/>
  <c r="M101" a="1"/>
  <c r="G95" a="1"/>
  <c r="L88" a="1"/>
  <c r="F82" a="1"/>
  <c r="K75" a="1"/>
  <c r="E69" a="1"/>
  <c r="E63" a="1"/>
  <c r="M59" a="1"/>
  <c r="J56" a="1"/>
  <c r="G53" a="1"/>
  <c r="O49" a="1"/>
  <c r="L46" a="1"/>
  <c r="I43" a="1"/>
  <c r="F40" a="1"/>
  <c r="N36" a="1"/>
  <c r="O33" a="1"/>
  <c r="M31" a="1"/>
  <c r="K29" a="1"/>
  <c r="E28" a="1"/>
  <c r="O26" a="1"/>
  <c r="N25" a="1"/>
  <c r="M24" a="1"/>
  <c r="O37" a="1"/>
  <c r="H333" a="1"/>
  <c r="M262" a="1"/>
  <c r="L216" a="1"/>
  <c r="L172" a="1"/>
  <c r="J161" a="1"/>
  <c r="G150" a="1"/>
  <c r="E139" a="1"/>
  <c r="M127" a="1"/>
  <c r="K116" a="1"/>
  <c r="N108" a="1"/>
  <c r="H102" a="1"/>
  <c r="M95" a="1"/>
  <c r="G89" a="1"/>
  <c r="L82" a="1"/>
  <c r="F76" a="1"/>
  <c r="K69" a="1"/>
  <c r="G63" a="1"/>
  <c r="O59" a="1"/>
  <c r="L56" a="1"/>
  <c r="I53" a="1"/>
  <c r="F50" a="1"/>
  <c r="N46" a="1"/>
  <c r="K43" a="1"/>
  <c r="H40" a="1"/>
  <c r="E37" a="1"/>
  <c r="F34" a="1"/>
  <c r="O31" a="1"/>
  <c r="M29" a="1"/>
  <c r="F28" a="1"/>
  <c r="E27" a="1"/>
  <c r="O25" a="1"/>
  <c r="N24" a="1"/>
  <c r="F24" a="1"/>
  <c r="K23" a="1"/>
  <c r="E23" a="1"/>
  <c r="J22" a="1"/>
  <c r="O21" a="1"/>
  <c r="I21" a="1"/>
  <c r="N20" a="1"/>
  <c r="H20" a="1"/>
  <c r="M19" a="1"/>
  <c r="G19" a="1"/>
  <c r="L18" a="1"/>
  <c r="F18" a="1"/>
  <c r="K17" a="1"/>
  <c r="E17" a="1"/>
  <c r="J16" a="1"/>
  <c r="O15" a="1"/>
  <c r="I15" a="1"/>
  <c r="N14" a="1"/>
  <c r="H14" a="1"/>
  <c r="M13" a="1"/>
  <c r="G13" a="1"/>
  <c r="L12" a="1"/>
  <c r="F12" a="1"/>
  <c r="K11" a="1"/>
  <c r="E11" a="1"/>
  <c r="J10" a="1"/>
  <c r="O9" a="1"/>
  <c r="G9" a="1"/>
  <c r="N141" a="1"/>
  <c r="H84" a="1"/>
  <c r="J44" a="1"/>
  <c r="F25" a="1"/>
  <c r="F343" a="1"/>
  <c r="I268" a="1"/>
  <c r="O219" a="1"/>
  <c r="K173" a="1"/>
  <c r="I162" a="1"/>
  <c r="O139" a="1"/>
  <c r="M128" a="1"/>
  <c r="J117" a="1"/>
  <c r="I109" a="1"/>
  <c r="N102" a="1"/>
  <c r="H96" a="1"/>
  <c r="M89" a="1"/>
  <c r="G83" a="1"/>
  <c r="L76" a="1"/>
  <c r="F70" a="1"/>
  <c r="K63" a="1"/>
  <c r="H60" a="1"/>
  <c r="E57" a="1"/>
  <c r="M53" a="1"/>
  <c r="J50" a="1"/>
  <c r="G47" a="1"/>
  <c r="O43" a="1"/>
  <c r="L40" a="1"/>
  <c r="I37" a="1"/>
  <c r="H34" a="1"/>
  <c r="F32" a="1"/>
  <c r="O29" a="1"/>
  <c r="G28" a="1"/>
  <c r="F27" a="1"/>
  <c r="E26" a="1"/>
  <c r="O24" a="1"/>
  <c r="I119" a="1"/>
  <c r="K57" a="1"/>
  <c r="H30" a="1"/>
  <c r="F10" a="1"/>
  <c r="E274" a="1"/>
  <c r="G223" a="1"/>
  <c r="K174" a="1"/>
  <c r="H163" a="1"/>
  <c r="F152" a="1"/>
  <c r="N140" a="1"/>
  <c r="L129" a="1"/>
  <c r="O109" a="1"/>
  <c r="I103" a="1"/>
  <c r="N96" a="1"/>
  <c r="H90" a="1"/>
  <c r="M83" a="1"/>
  <c r="G77" a="1"/>
  <c r="L70" a="1"/>
  <c r="F64" a="1"/>
  <c r="J60" a="1"/>
  <c r="G57" a="1"/>
  <c r="O53" a="1"/>
  <c r="L50" a="1"/>
  <c r="I47" a="1"/>
  <c r="F44" a="1"/>
  <c r="N40" a="1"/>
  <c r="K37" a="1"/>
  <c r="J34" a="1"/>
  <c r="H32" a="1"/>
  <c r="F30" a="1"/>
  <c r="H28" a="1"/>
  <c r="G27" a="1"/>
  <c r="F26" a="1"/>
  <c r="E25" a="1"/>
  <c r="G24" a="1"/>
  <c r="L23" a="1"/>
  <c r="F23" a="1"/>
  <c r="K22" a="1"/>
  <c r="E22" a="1"/>
  <c r="J21" a="1"/>
  <c r="O20" a="1"/>
  <c r="I20" a="1"/>
  <c r="N19" a="1"/>
  <c r="H19" a="1"/>
  <c r="M18" a="1"/>
  <c r="G18" a="1"/>
  <c r="L17" a="1"/>
  <c r="F17" a="1"/>
  <c r="K16" a="1"/>
  <c r="E16" a="1"/>
  <c r="J15" a="1"/>
  <c r="O14" a="1"/>
  <c r="I14" a="1"/>
  <c r="N13" a="1"/>
  <c r="H13" a="1"/>
  <c r="M12" a="1"/>
  <c r="G12" a="1"/>
  <c r="L11" a="1"/>
  <c r="F11" a="1"/>
  <c r="K10" a="1"/>
  <c r="E10" a="1"/>
  <c r="H9" a="1"/>
  <c r="J110" a="1"/>
  <c r="H54" a="1"/>
  <c r="G26" a="1"/>
  <c r="M9"/>
  <c r="N9" l="1"/>
  <c r="G26"/>
  <c r="H54"/>
  <c r="J110"/>
  <c r="H9"/>
  <c r="E10"/>
  <c r="K10"/>
  <c r="F11"/>
  <c r="L11"/>
  <c r="G12"/>
  <c r="M12"/>
  <c r="H13"/>
  <c r="N13"/>
  <c r="I14"/>
  <c r="O14"/>
  <c r="J15"/>
  <c r="E16"/>
  <c r="K16"/>
  <c r="F17"/>
  <c r="L17"/>
  <c r="G18"/>
  <c r="M18"/>
  <c r="H19"/>
  <c r="N19"/>
  <c r="I20"/>
  <c r="O20"/>
  <c r="J21"/>
  <c r="E22"/>
  <c r="K22"/>
  <c r="F23"/>
  <c r="L23"/>
  <c r="G24"/>
  <c r="E25"/>
  <c r="F26"/>
  <c r="G27"/>
  <c r="H28"/>
  <c r="F30"/>
  <c r="H32"/>
  <c r="J34"/>
  <c r="K37"/>
  <c r="N40"/>
  <c r="F44"/>
  <c r="I47"/>
  <c r="L50"/>
  <c r="O53"/>
  <c r="G57"/>
  <c r="J60"/>
  <c r="F64"/>
  <c r="L70"/>
  <c r="G77"/>
  <c r="M83"/>
  <c r="H90"/>
  <c r="N96"/>
  <c r="I103"/>
  <c r="O109"/>
  <c r="L129"/>
  <c r="N140"/>
  <c r="F152"/>
  <c r="H163"/>
  <c r="K174"/>
  <c r="G223"/>
  <c r="E274"/>
  <c r="F10"/>
  <c r="H30"/>
  <c r="K57"/>
  <c r="I119"/>
  <c r="O24"/>
  <c r="E26"/>
  <c r="F27"/>
  <c r="G28"/>
  <c r="O29"/>
  <c r="F32"/>
  <c r="H34"/>
  <c r="I37"/>
  <c r="L40"/>
  <c r="O43"/>
  <c r="G47"/>
  <c r="J50"/>
  <c r="M53"/>
  <c r="E57"/>
  <c r="H60"/>
  <c r="K63"/>
  <c r="F70"/>
  <c r="L76"/>
  <c r="G83"/>
  <c r="M89"/>
  <c r="H96"/>
  <c r="N102"/>
  <c r="I109"/>
  <c r="J117"/>
  <c r="M128"/>
  <c r="O139"/>
  <c r="I162"/>
  <c r="K173"/>
  <c r="O219"/>
  <c r="I268"/>
  <c r="F343"/>
  <c r="F25"/>
  <c r="J44"/>
  <c r="H84"/>
  <c r="N141"/>
  <c r="G9"/>
  <c r="O9"/>
  <c r="J10"/>
  <c r="E11"/>
  <c r="K11"/>
  <c r="F12"/>
  <c r="L12"/>
  <c r="G13"/>
  <c r="M13"/>
  <c r="H14"/>
  <c r="N14"/>
  <c r="I15"/>
  <c r="O15"/>
  <c r="J16"/>
  <c r="E17"/>
  <c r="K17"/>
  <c r="F18"/>
  <c r="L18"/>
  <c r="G19"/>
  <c r="M19"/>
  <c r="H20"/>
  <c r="N20"/>
  <c r="I21"/>
  <c r="O21"/>
  <c r="J22"/>
  <c r="E23"/>
  <c r="K23"/>
  <c r="F24"/>
  <c r="N24"/>
  <c r="O25"/>
  <c r="E27"/>
  <c r="F28"/>
  <c r="M29"/>
  <c r="O31"/>
  <c r="F34"/>
  <c r="E37"/>
  <c r="H40"/>
  <c r="K43"/>
  <c r="N46"/>
  <c r="F50"/>
  <c r="I53"/>
  <c r="L56"/>
  <c r="O59"/>
  <c r="G63"/>
  <c r="K69"/>
  <c r="F76"/>
  <c r="L82"/>
  <c r="G89"/>
  <c r="M95"/>
  <c r="H102"/>
  <c r="N108"/>
  <c r="K116"/>
  <c r="M127"/>
  <c r="E139"/>
  <c r="G150"/>
  <c r="J161"/>
  <c r="L172"/>
  <c r="L216"/>
  <c r="M262"/>
  <c r="H333"/>
  <c r="O37"/>
  <c r="M24"/>
  <c r="N25"/>
  <c r="O26"/>
  <c r="E28"/>
  <c r="K29"/>
  <c r="M31"/>
  <c r="O33"/>
  <c r="N36"/>
  <c r="F40"/>
  <c r="I43"/>
  <c r="L46"/>
  <c r="O49"/>
  <c r="G53"/>
  <c r="J56"/>
  <c r="M59"/>
  <c r="E63"/>
  <c r="E69"/>
  <c r="K75"/>
  <c r="F82"/>
  <c r="L88"/>
  <c r="G95"/>
  <c r="M101"/>
  <c r="H108"/>
  <c r="L115"/>
  <c r="N126"/>
  <c r="H149"/>
  <c r="J160"/>
  <c r="M171"/>
  <c r="I184"/>
  <c r="I213"/>
  <c r="G257"/>
  <c r="J324"/>
  <c r="G11"/>
  <c r="G41"/>
  <c r="I97"/>
  <c r="J226"/>
  <c r="F9"/>
  <c r="L9"/>
  <c r="I10"/>
  <c r="O10"/>
  <c r="J11"/>
  <c r="E12"/>
  <c r="K12"/>
  <c r="F13"/>
  <c r="L13"/>
  <c r="G14"/>
  <c r="M14"/>
  <c r="H15"/>
  <c r="N15"/>
  <c r="I16"/>
  <c r="O16"/>
  <c r="J17"/>
  <c r="E18"/>
  <c r="K18"/>
  <c r="F19"/>
  <c r="L19"/>
  <c r="G20"/>
  <c r="M20"/>
  <c r="H21"/>
  <c r="N21"/>
  <c r="I22"/>
  <c r="O22"/>
  <c r="J23"/>
  <c r="E24"/>
  <c r="L24"/>
  <c r="M25"/>
  <c r="N26"/>
  <c r="O27"/>
  <c r="I29"/>
  <c r="K31"/>
  <c r="M33"/>
  <c r="J36"/>
  <c r="M39"/>
  <c r="E43"/>
  <c r="H46"/>
  <c r="K49"/>
  <c r="N52"/>
  <c r="F56"/>
  <c r="I59"/>
  <c r="L62"/>
  <c r="J68"/>
  <c r="E75"/>
  <c r="K81"/>
  <c r="F88"/>
  <c r="L94"/>
  <c r="G101"/>
  <c r="M107"/>
  <c r="L114"/>
  <c r="O125"/>
  <c r="F137"/>
  <c r="I148"/>
  <c r="K159"/>
  <c r="M182"/>
  <c r="F210"/>
  <c r="K251"/>
  <c r="I9"/>
  <c r="J32"/>
  <c r="L64"/>
  <c r="E153"/>
  <c r="K24"/>
  <c r="L25"/>
  <c r="M26"/>
  <c r="N27"/>
  <c r="G29"/>
  <c r="I31"/>
  <c r="K33"/>
  <c r="H36"/>
  <c r="K39"/>
  <c r="N42"/>
  <c r="F46"/>
  <c r="I49"/>
  <c r="L52"/>
  <c r="O55"/>
  <c r="G59"/>
  <c r="J62"/>
  <c r="O67"/>
  <c r="J74"/>
  <c r="E81"/>
  <c r="K87"/>
  <c r="F94"/>
  <c r="L100"/>
  <c r="G107"/>
  <c r="M113"/>
  <c r="G136"/>
  <c r="I147"/>
  <c r="L158"/>
  <c r="N169"/>
  <c r="J181"/>
  <c r="N206"/>
  <c r="F246"/>
  <c r="H313"/>
  <c r="M11"/>
  <c r="L34"/>
  <c r="M77"/>
  <c r="J175"/>
  <c r="E9"/>
  <c r="K9"/>
  <c r="H10"/>
  <c r="N10"/>
  <c r="I11"/>
  <c r="O11"/>
  <c r="J12"/>
  <c r="E13"/>
  <c r="K13"/>
  <c r="F14"/>
  <c r="L14"/>
  <c r="G15"/>
  <c r="M15"/>
  <c r="H16"/>
  <c r="N16"/>
  <c r="I17"/>
  <c r="O17"/>
  <c r="J18"/>
  <c r="E19"/>
  <c r="K19"/>
  <c r="F20"/>
  <c r="L20"/>
  <c r="G21"/>
  <c r="M21"/>
  <c r="H22"/>
  <c r="N22"/>
  <c r="I23"/>
  <c r="O23"/>
  <c r="J24"/>
  <c r="K25"/>
  <c r="L26"/>
  <c r="M27"/>
  <c r="E29"/>
  <c r="G31"/>
  <c r="I33"/>
  <c r="O35"/>
  <c r="G39"/>
  <c r="J42"/>
  <c r="M45"/>
  <c r="E49"/>
  <c r="H52"/>
  <c r="K55"/>
  <c r="N58"/>
  <c r="F62"/>
  <c r="I67"/>
  <c r="O73"/>
  <c r="J80"/>
  <c r="E87"/>
  <c r="K93"/>
  <c r="F100"/>
  <c r="L106"/>
  <c r="G113"/>
  <c r="E124"/>
  <c r="H135"/>
  <c r="J146"/>
  <c r="O168"/>
  <c r="I180"/>
  <c r="K203"/>
  <c r="N242"/>
  <c r="L307"/>
  <c r="N60"/>
  <c r="J25"/>
  <c r="K26"/>
  <c r="L27"/>
  <c r="N28"/>
  <c r="E31"/>
  <c r="G33"/>
  <c r="M35"/>
  <c r="E39"/>
  <c r="H42"/>
  <c r="K45"/>
  <c r="N48"/>
  <c r="F52"/>
  <c r="I55"/>
  <c r="L58"/>
  <c r="O61"/>
  <c r="N66"/>
  <c r="I73"/>
  <c r="O79"/>
  <c r="J86"/>
  <c r="E93"/>
  <c r="K99"/>
  <c r="F106"/>
  <c r="L112"/>
  <c r="F123"/>
  <c r="H134"/>
  <c r="K145"/>
  <c r="M156"/>
  <c r="E168"/>
  <c r="H179"/>
  <c r="K239"/>
  <c r="E302"/>
  <c r="H12"/>
  <c r="H27"/>
  <c r="M47"/>
  <c r="G71"/>
  <c r="O103"/>
  <c r="J9"/>
  <c r="G10"/>
  <c r="M10"/>
  <c r="H11"/>
  <c r="N11"/>
  <c r="I12"/>
  <c r="O12"/>
  <c r="J13"/>
  <c r="E14"/>
  <c r="K14"/>
  <c r="F15"/>
  <c r="L15"/>
  <c r="G16"/>
  <c r="M16"/>
  <c r="H17"/>
  <c r="N17"/>
  <c r="I18"/>
  <c r="O18"/>
  <c r="J19"/>
  <c r="E20"/>
  <c r="K20"/>
  <c r="F21"/>
  <c r="L21"/>
  <c r="G22"/>
  <c r="M22"/>
  <c r="H23"/>
  <c r="N23"/>
  <c r="I24"/>
  <c r="I25"/>
  <c r="J26"/>
  <c r="K27"/>
  <c r="L28"/>
  <c r="N30"/>
  <c r="E33"/>
  <c r="I35"/>
  <c r="L38"/>
  <c r="O41"/>
  <c r="G45"/>
  <c r="J48"/>
  <c r="M51"/>
  <c r="E55"/>
  <c r="H58"/>
  <c r="K61"/>
  <c r="H66"/>
  <c r="N72"/>
  <c r="I79"/>
  <c r="O85"/>
  <c r="J92"/>
  <c r="E99"/>
  <c r="K105"/>
  <c r="F112"/>
  <c r="G122"/>
  <c r="I133"/>
  <c r="N155"/>
  <c r="E167"/>
  <c r="H178"/>
  <c r="H236"/>
  <c r="J296"/>
  <c r="L10"/>
  <c r="I28"/>
  <c r="E51"/>
  <c r="N90"/>
  <c r="K130"/>
  <c r="H25"/>
  <c r="I26"/>
  <c r="J27"/>
  <c r="K28"/>
  <c r="L30"/>
  <c r="N32"/>
  <c r="G35"/>
  <c r="J38"/>
  <c r="M41"/>
  <c r="E45"/>
  <c r="H48"/>
  <c r="K51"/>
  <c r="N54"/>
  <c r="F58"/>
  <c r="I61"/>
  <c r="M65"/>
  <c r="H72"/>
  <c r="N78"/>
  <c r="I85"/>
  <c r="O91"/>
  <c r="J98"/>
  <c r="E105"/>
  <c r="K111"/>
  <c r="G121"/>
  <c r="J132"/>
  <c r="L143"/>
  <c r="O154"/>
  <c r="F166"/>
  <c r="E233"/>
  <c r="N290"/>
  <c r="N12"/>
  <c r="I13"/>
  <c r="O13"/>
  <c r="J14"/>
  <c r="E15"/>
  <c r="K15"/>
  <c r="F16"/>
  <c r="L16"/>
  <c r="G17"/>
  <c r="M17"/>
  <c r="H18"/>
  <c r="N18"/>
  <c r="I19"/>
  <c r="O19"/>
  <c r="J20"/>
  <c r="E21"/>
  <c r="K21"/>
  <c r="F22"/>
  <c r="L22"/>
  <c r="G23"/>
  <c r="M23"/>
  <c r="H24"/>
  <c r="G25"/>
  <c r="H26"/>
  <c r="I27"/>
  <c r="J28"/>
  <c r="J30"/>
  <c r="L32"/>
  <c r="N34"/>
  <c r="F38"/>
  <c r="I41"/>
  <c r="L44"/>
  <c r="O47"/>
  <c r="G51"/>
  <c r="J54"/>
  <c r="M57"/>
  <c r="E61"/>
  <c r="G65"/>
  <c r="M71"/>
  <c r="H78"/>
  <c r="N84"/>
  <c r="I91"/>
  <c r="O97"/>
  <c r="J104"/>
  <c r="E111"/>
  <c r="H120"/>
  <c r="M142"/>
  <c r="O153"/>
  <c r="G165"/>
  <c r="I176"/>
  <c r="M229"/>
  <c r="G285"/>
  <c r="K115"/>
  <c r="J116"/>
  <c r="I117"/>
  <c r="I118"/>
  <c r="H119"/>
  <c r="G120"/>
  <c r="F122"/>
  <c r="E123"/>
  <c r="O123"/>
  <c r="O124"/>
  <c r="N125"/>
  <c r="M126"/>
  <c r="L128"/>
  <c r="K129"/>
  <c r="J130"/>
  <c r="J131"/>
  <c r="I132"/>
  <c r="H133"/>
  <c r="G135"/>
  <c r="F136"/>
  <c r="E137"/>
  <c r="E138"/>
  <c r="O138"/>
  <c r="N139"/>
  <c r="M141"/>
  <c r="L142"/>
  <c r="K143"/>
  <c r="K144"/>
  <c r="J145"/>
  <c r="I146"/>
  <c r="H148"/>
  <c r="G149"/>
  <c r="F150"/>
  <c r="F151"/>
  <c r="E152"/>
  <c r="O152"/>
  <c r="N154"/>
  <c r="M155"/>
  <c r="L156"/>
  <c r="L157"/>
  <c r="K158"/>
  <c r="J159"/>
  <c r="I161"/>
  <c r="H162"/>
  <c r="G163"/>
  <c r="G164"/>
  <c r="F165"/>
  <c r="E166"/>
  <c r="O167"/>
  <c r="N168"/>
  <c r="M169"/>
  <c r="M170"/>
  <c r="L171"/>
  <c r="K172"/>
  <c r="J174"/>
  <c r="I175"/>
  <c r="H176"/>
  <c r="H177"/>
  <c r="G178"/>
  <c r="F179"/>
  <c r="G180"/>
  <c r="H181"/>
  <c r="K182"/>
  <c r="E184"/>
  <c r="L185"/>
  <c r="N187"/>
  <c r="E190"/>
  <c r="G192"/>
  <c r="I194"/>
  <c r="K196"/>
  <c r="M198"/>
  <c r="O200"/>
  <c r="J251"/>
  <c r="F257"/>
  <c r="H268"/>
  <c r="O273"/>
  <c r="K279"/>
  <c r="F285"/>
  <c r="M290"/>
  <c r="I296"/>
  <c r="K307"/>
  <c r="G313"/>
  <c r="N318"/>
  <c r="I324"/>
  <c r="F333"/>
  <c r="O342"/>
  <c r="I361"/>
  <c r="E381"/>
  <c r="F29"/>
  <c r="L29"/>
  <c r="G30"/>
  <c r="M30"/>
  <c r="H31"/>
  <c r="N31"/>
  <c r="I32"/>
  <c r="O32"/>
  <c r="J33"/>
  <c r="E34"/>
  <c r="K34"/>
  <c r="F35"/>
  <c r="L35"/>
  <c r="G36"/>
  <c r="M36"/>
  <c r="H37"/>
  <c r="N37"/>
  <c r="I38"/>
  <c r="O38"/>
  <c r="J39"/>
  <c r="E40"/>
  <c r="K40"/>
  <c r="F41"/>
  <c r="L41"/>
  <c r="G42"/>
  <c r="M42"/>
  <c r="H43"/>
  <c r="N43"/>
  <c r="I44"/>
  <c r="O44"/>
  <c r="J45"/>
  <c r="E46"/>
  <c r="K46"/>
  <c r="F47"/>
  <c r="L47"/>
  <c r="G48"/>
  <c r="M48"/>
  <c r="H49"/>
  <c r="N49"/>
  <c r="I50"/>
  <c r="O50"/>
  <c r="J51"/>
  <c r="E52"/>
  <c r="K52"/>
  <c r="F53"/>
  <c r="L53"/>
  <c r="G54"/>
  <c r="M54"/>
  <c r="H55"/>
  <c r="N55"/>
  <c r="I56"/>
  <c r="O56"/>
  <c r="J57"/>
  <c r="E58"/>
  <c r="K58"/>
  <c r="F59"/>
  <c r="L59"/>
  <c r="G60"/>
  <c r="M60"/>
  <c r="H61"/>
  <c r="N61"/>
  <c r="I62"/>
  <c r="O62"/>
  <c r="J63"/>
  <c r="E64"/>
  <c r="K64"/>
  <c r="F65"/>
  <c r="L65"/>
  <c r="G66"/>
  <c r="M66"/>
  <c r="H67"/>
  <c r="N67"/>
  <c r="I68"/>
  <c r="O68"/>
  <c r="J69"/>
  <c r="E70"/>
  <c r="K70"/>
  <c r="F71"/>
  <c r="L71"/>
  <c r="G72"/>
  <c r="M72"/>
  <c r="H73"/>
  <c r="N73"/>
  <c r="I74"/>
  <c r="O74"/>
  <c r="J75"/>
  <c r="E76"/>
  <c r="K76"/>
  <c r="F77"/>
  <c r="L77"/>
  <c r="G78"/>
  <c r="M78"/>
  <c r="H79"/>
  <c r="N79"/>
  <c r="I80"/>
  <c r="O80"/>
  <c r="J81"/>
  <c r="E82"/>
  <c r="K82"/>
  <c r="F83"/>
  <c r="L83"/>
  <c r="G84"/>
  <c r="M84"/>
  <c r="H85"/>
  <c r="N85"/>
  <c r="I86"/>
  <c r="O86"/>
  <c r="J87"/>
  <c r="E88"/>
  <c r="K88"/>
  <c r="F89"/>
  <c r="L89"/>
  <c r="G90"/>
  <c r="M90"/>
  <c r="H91"/>
  <c r="N91"/>
  <c r="I92"/>
  <c r="O92"/>
  <c r="J93"/>
  <c r="E94"/>
  <c r="K94"/>
  <c r="F95"/>
  <c r="L95"/>
  <c r="G96"/>
  <c r="M96"/>
  <c r="H97"/>
  <c r="N97"/>
  <c r="I98"/>
  <c r="O98"/>
  <c r="J99"/>
  <c r="E100"/>
  <c r="K100"/>
  <c r="F101"/>
  <c r="L101"/>
  <c r="G102"/>
  <c r="M102"/>
  <c r="H103"/>
  <c r="N103"/>
  <c r="I104"/>
  <c r="O104"/>
  <c r="J105"/>
  <c r="E106"/>
  <c r="K106"/>
  <c r="F107"/>
  <c r="L107"/>
  <c r="G108"/>
  <c r="M108"/>
  <c r="H109"/>
  <c r="N109"/>
  <c r="I110"/>
  <c r="O110"/>
  <c r="J111"/>
  <c r="E112"/>
  <c r="K112"/>
  <c r="F113"/>
  <c r="L113"/>
  <c r="K114"/>
  <c r="J115"/>
  <c r="I116"/>
  <c r="H118"/>
  <c r="G119"/>
  <c r="F120"/>
  <c r="F121"/>
  <c r="E122"/>
  <c r="O122"/>
  <c r="N124"/>
  <c r="M125"/>
  <c r="L126"/>
  <c r="L127"/>
  <c r="K128"/>
  <c r="J129"/>
  <c r="I131"/>
  <c r="H132"/>
  <c r="G133"/>
  <c r="G134"/>
  <c r="F135"/>
  <c r="E136"/>
  <c r="O137"/>
  <c r="N138"/>
  <c r="M139"/>
  <c r="M140"/>
  <c r="L141"/>
  <c r="K142"/>
  <c r="J144"/>
  <c r="I145"/>
  <c r="H146"/>
  <c r="H147"/>
  <c r="G148"/>
  <c r="F149"/>
  <c r="E151"/>
  <c r="O151"/>
  <c r="N152"/>
  <c r="N153"/>
  <c r="M154"/>
  <c r="L155"/>
  <c r="K157"/>
  <c r="J158"/>
  <c r="I159"/>
  <c r="I160"/>
  <c r="H161"/>
  <c r="G162"/>
  <c r="F164"/>
  <c r="E165"/>
  <c r="O165"/>
  <c r="O166"/>
  <c r="N167"/>
  <c r="M168"/>
  <c r="L170"/>
  <c r="K171"/>
  <c r="J172"/>
  <c r="J173"/>
  <c r="I174"/>
  <c r="H175"/>
  <c r="G177"/>
  <c r="F178"/>
  <c r="E179"/>
  <c r="F180"/>
  <c r="G181"/>
  <c r="I182"/>
  <c r="O183"/>
  <c r="K185"/>
  <c r="M187"/>
  <c r="O189"/>
  <c r="F192"/>
  <c r="H194"/>
  <c r="J196"/>
  <c r="L198"/>
  <c r="N200"/>
  <c r="E203"/>
  <c r="H206"/>
  <c r="K209"/>
  <c r="N212"/>
  <c r="F216"/>
  <c r="I219"/>
  <c r="L222"/>
  <c r="O225"/>
  <c r="G229"/>
  <c r="J232"/>
  <c r="M235"/>
  <c r="E239"/>
  <c r="H242"/>
  <c r="K245"/>
  <c r="L250"/>
  <c r="G256"/>
  <c r="N261"/>
  <c r="J267"/>
  <c r="L278"/>
  <c r="H284"/>
  <c r="O289"/>
  <c r="J295"/>
  <c r="F301"/>
  <c r="M306"/>
  <c r="O317"/>
  <c r="K323"/>
  <c r="L331"/>
  <c r="J341"/>
  <c r="J114"/>
  <c r="I115"/>
  <c r="H116"/>
  <c r="H117"/>
  <c r="G118"/>
  <c r="F119"/>
  <c r="E121"/>
  <c r="O121"/>
  <c r="N122"/>
  <c r="N123"/>
  <c r="M124"/>
  <c r="L125"/>
  <c r="K127"/>
  <c r="J128"/>
  <c r="I129"/>
  <c r="I130"/>
  <c r="H131"/>
  <c r="G132"/>
  <c r="F134"/>
  <c r="E135"/>
  <c r="O135"/>
  <c r="O136"/>
  <c r="N137"/>
  <c r="M138"/>
  <c r="L140"/>
  <c r="K141"/>
  <c r="J142"/>
  <c r="J143"/>
  <c r="I144"/>
  <c r="H145"/>
  <c r="G147"/>
  <c r="F148"/>
  <c r="E149"/>
  <c r="E150"/>
  <c r="O150"/>
  <c r="N151"/>
  <c r="M153"/>
  <c r="L154"/>
  <c r="K155"/>
  <c r="K156"/>
  <c r="J157"/>
  <c r="I158"/>
  <c r="H160"/>
  <c r="G161"/>
  <c r="F162"/>
  <c r="F163"/>
  <c r="E164"/>
  <c r="O164"/>
  <c r="N166"/>
  <c r="M167"/>
  <c r="L168"/>
  <c r="L169"/>
  <c r="K170"/>
  <c r="J171"/>
  <c r="I173"/>
  <c r="H174"/>
  <c r="G175"/>
  <c r="G176"/>
  <c r="F177"/>
  <c r="E178"/>
  <c r="H182"/>
  <c r="K250"/>
  <c r="M261"/>
  <c r="I267"/>
  <c r="E273"/>
  <c r="K278"/>
  <c r="G284"/>
  <c r="N289"/>
  <c r="E301"/>
  <c r="L306"/>
  <c r="H312"/>
  <c r="N317"/>
  <c r="J323"/>
  <c r="J331"/>
  <c r="H341"/>
  <c r="F358"/>
  <c r="M377"/>
  <c r="E35"/>
  <c r="K35"/>
  <c r="F36"/>
  <c r="L36"/>
  <c r="G37"/>
  <c r="M37"/>
  <c r="H38"/>
  <c r="N38"/>
  <c r="I39"/>
  <c r="O39"/>
  <c r="J40"/>
  <c r="E41"/>
  <c r="K41"/>
  <c r="F42"/>
  <c r="L42"/>
  <c r="G43"/>
  <c r="M43"/>
  <c r="H44"/>
  <c r="N44"/>
  <c r="I45"/>
  <c r="O45"/>
  <c r="J46"/>
  <c r="E47"/>
  <c r="K47"/>
  <c r="F48"/>
  <c r="L48"/>
  <c r="G49"/>
  <c r="M49"/>
  <c r="H50"/>
  <c r="N50"/>
  <c r="I51"/>
  <c r="O51"/>
  <c r="J52"/>
  <c r="E53"/>
  <c r="K53"/>
  <c r="F54"/>
  <c r="L54"/>
  <c r="G55"/>
  <c r="M55"/>
  <c r="H56"/>
  <c r="N56"/>
  <c r="I57"/>
  <c r="O57"/>
  <c r="J58"/>
  <c r="E59"/>
  <c r="K59"/>
  <c r="F60"/>
  <c r="L60"/>
  <c r="G61"/>
  <c r="M61"/>
  <c r="H62"/>
  <c r="N62"/>
  <c r="I63"/>
  <c r="O63"/>
  <c r="J64"/>
  <c r="E65"/>
  <c r="K65"/>
  <c r="F66"/>
  <c r="L66"/>
  <c r="G67"/>
  <c r="M67"/>
  <c r="H68"/>
  <c r="N68"/>
  <c r="I69"/>
  <c r="O69"/>
  <c r="J70"/>
  <c r="E71"/>
  <c r="K71"/>
  <c r="F72"/>
  <c r="L72"/>
  <c r="G73"/>
  <c r="M73"/>
  <c r="H74"/>
  <c r="N74"/>
  <c r="I75"/>
  <c r="O75"/>
  <c r="J76"/>
  <c r="E77"/>
  <c r="K77"/>
  <c r="F78"/>
  <c r="L78"/>
  <c r="G79"/>
  <c r="M79"/>
  <c r="H80"/>
  <c r="N80"/>
  <c r="I81"/>
  <c r="O81"/>
  <c r="J82"/>
  <c r="E83"/>
  <c r="K83"/>
  <c r="F84"/>
  <c r="L84"/>
  <c r="G85"/>
  <c r="M85"/>
  <c r="H86"/>
  <c r="N86"/>
  <c r="I87"/>
  <c r="O87"/>
  <c r="J88"/>
  <c r="E89"/>
  <c r="K89"/>
  <c r="F90"/>
  <c r="L90"/>
  <c r="G91"/>
  <c r="M91"/>
  <c r="H92"/>
  <c r="N92"/>
  <c r="I93"/>
  <c r="O93"/>
  <c r="J94"/>
  <c r="E95"/>
  <c r="K95"/>
  <c r="F96"/>
  <c r="L96"/>
  <c r="G97"/>
  <c r="M97"/>
  <c r="H98"/>
  <c r="N98"/>
  <c r="I99"/>
  <c r="O99"/>
  <c r="J100"/>
  <c r="E101"/>
  <c r="K101"/>
  <c r="F102"/>
  <c r="L102"/>
  <c r="G103"/>
  <c r="M103"/>
  <c r="H104"/>
  <c r="N104"/>
  <c r="I105"/>
  <c r="O105"/>
  <c r="J106"/>
  <c r="E107"/>
  <c r="K107"/>
  <c r="F108"/>
  <c r="L108"/>
  <c r="G109"/>
  <c r="M109"/>
  <c r="H110"/>
  <c r="N110"/>
  <c r="I111"/>
  <c r="O111"/>
  <c r="J112"/>
  <c r="E113"/>
  <c r="K113"/>
  <c r="I114"/>
  <c r="H115"/>
  <c r="G117"/>
  <c r="F118"/>
  <c r="E119"/>
  <c r="E120"/>
  <c r="O120"/>
  <c r="N121"/>
  <c r="M123"/>
  <c r="L124"/>
  <c r="K125"/>
  <c r="K126"/>
  <c r="J127"/>
  <c r="I128"/>
  <c r="H130"/>
  <c r="G131"/>
  <c r="F132"/>
  <c r="F133"/>
  <c r="E134"/>
  <c r="O134"/>
  <c r="N136"/>
  <c r="M137"/>
  <c r="L138"/>
  <c r="L139"/>
  <c r="K140"/>
  <c r="J141"/>
  <c r="I143"/>
  <c r="H144"/>
  <c r="G145"/>
  <c r="G146"/>
  <c r="F147"/>
  <c r="E148"/>
  <c r="O149"/>
  <c r="N150"/>
  <c r="M151"/>
  <c r="M152"/>
  <c r="L153"/>
  <c r="K154"/>
  <c r="J156"/>
  <c r="I157"/>
  <c r="H158"/>
  <c r="H159"/>
  <c r="G160"/>
  <c r="F161"/>
  <c r="E163"/>
  <c r="O163"/>
  <c r="N164"/>
  <c r="N165"/>
  <c r="M166"/>
  <c r="L167"/>
  <c r="K169"/>
  <c r="J170"/>
  <c r="I171"/>
  <c r="I172"/>
  <c r="H173"/>
  <c r="G174"/>
  <c r="F176"/>
  <c r="E177"/>
  <c r="O177"/>
  <c r="O178"/>
  <c r="E180"/>
  <c r="F181"/>
  <c r="N183"/>
  <c r="J185"/>
  <c r="H187"/>
  <c r="J189"/>
  <c r="L191"/>
  <c r="N193"/>
  <c r="E196"/>
  <c r="G198"/>
  <c r="I200"/>
  <c r="K202"/>
  <c r="M205"/>
  <c r="E209"/>
  <c r="H212"/>
  <c r="K215"/>
  <c r="N218"/>
  <c r="F222"/>
  <c r="I225"/>
  <c r="L228"/>
  <c r="O231"/>
  <c r="G235"/>
  <c r="J238"/>
  <c r="M241"/>
  <c r="E245"/>
  <c r="L249"/>
  <c r="H255"/>
  <c r="O260"/>
  <c r="F272"/>
  <c r="M277"/>
  <c r="I283"/>
  <c r="O288"/>
  <c r="K294"/>
  <c r="G300"/>
  <c r="I311"/>
  <c r="E317"/>
  <c r="L322"/>
  <c r="E330"/>
  <c r="N339"/>
  <c r="H114"/>
  <c r="G115"/>
  <c r="G116"/>
  <c r="F117"/>
  <c r="E118"/>
  <c r="O119"/>
  <c r="N120"/>
  <c r="M121"/>
  <c r="M122"/>
  <c r="L123"/>
  <c r="K124"/>
  <c r="J126"/>
  <c r="I127"/>
  <c r="H128"/>
  <c r="H129"/>
  <c r="G130"/>
  <c r="F131"/>
  <c r="E133"/>
  <c r="O133"/>
  <c r="N134"/>
  <c r="N135"/>
  <c r="M136"/>
  <c r="L137"/>
  <c r="K139"/>
  <c r="J140"/>
  <c r="I141"/>
  <c r="I142"/>
  <c r="H143"/>
  <c r="G144"/>
  <c r="F146"/>
  <c r="E147"/>
  <c r="O147"/>
  <c r="O148"/>
  <c r="N149"/>
  <c r="M150"/>
  <c r="L152"/>
  <c r="K153"/>
  <c r="J154"/>
  <c r="J155"/>
  <c r="I156"/>
  <c r="H157"/>
  <c r="G159"/>
  <c r="F160"/>
  <c r="E161"/>
  <c r="E162"/>
  <c r="O162"/>
  <c r="N163"/>
  <c r="M165"/>
  <c r="L166"/>
  <c r="K167"/>
  <c r="K168"/>
  <c r="J169"/>
  <c r="I170"/>
  <c r="H172"/>
  <c r="G173"/>
  <c r="F174"/>
  <c r="F175"/>
  <c r="E176"/>
  <c r="O176"/>
  <c r="N178"/>
  <c r="O179"/>
  <c r="E181"/>
  <c r="G182"/>
  <c r="J183"/>
  <c r="F185"/>
  <c r="G187"/>
  <c r="I189"/>
  <c r="K191"/>
  <c r="M193"/>
  <c r="O195"/>
  <c r="F198"/>
  <c r="H200"/>
  <c r="J202"/>
  <c r="G255"/>
  <c r="N260"/>
  <c r="J266"/>
  <c r="E272"/>
  <c r="L277"/>
  <c r="H283"/>
  <c r="J294"/>
  <c r="F300"/>
  <c r="M305"/>
  <c r="H311"/>
  <c r="O316"/>
  <c r="K322"/>
  <c r="N329"/>
  <c r="L339"/>
  <c r="N354"/>
  <c r="J374"/>
  <c r="O28"/>
  <c r="J29"/>
  <c r="E30"/>
  <c r="K30"/>
  <c r="F31"/>
  <c r="L31"/>
  <c r="G32"/>
  <c r="M32"/>
  <c r="H33"/>
  <c r="N33"/>
  <c r="I34"/>
  <c r="O34"/>
  <c r="J35"/>
  <c r="E36"/>
  <c r="K36"/>
  <c r="F37"/>
  <c r="L37"/>
  <c r="G38"/>
  <c r="M38"/>
  <c r="H39"/>
  <c r="N39"/>
  <c r="I40"/>
  <c r="O40"/>
  <c r="J41"/>
  <c r="E42"/>
  <c r="K42"/>
  <c r="F43"/>
  <c r="L43"/>
  <c r="G44"/>
  <c r="M44"/>
  <c r="H45"/>
  <c r="N45"/>
  <c r="I46"/>
  <c r="O46"/>
  <c r="J47"/>
  <c r="E48"/>
  <c r="K48"/>
  <c r="F49"/>
  <c r="L49"/>
  <c r="G50"/>
  <c r="M50"/>
  <c r="H51"/>
  <c r="N51"/>
  <c r="I52"/>
  <c r="O52"/>
  <c r="J53"/>
  <c r="E54"/>
  <c r="K54"/>
  <c r="F55"/>
  <c r="L55"/>
  <c r="G56"/>
  <c r="M56"/>
  <c r="H57"/>
  <c r="N57"/>
  <c r="I58"/>
  <c r="O58"/>
  <c r="J59"/>
  <c r="E60"/>
  <c r="K60"/>
  <c r="F61"/>
  <c r="L61"/>
  <c r="G62"/>
  <c r="M62"/>
  <c r="H63"/>
  <c r="N63"/>
  <c r="I64"/>
  <c r="O64"/>
  <c r="J65"/>
  <c r="E66"/>
  <c r="K66"/>
  <c r="F67"/>
  <c r="L67"/>
  <c r="G68"/>
  <c r="M68"/>
  <c r="H69"/>
  <c r="N69"/>
  <c r="I70"/>
  <c r="O70"/>
  <c r="J71"/>
  <c r="E72"/>
  <c r="K72"/>
  <c r="F73"/>
  <c r="L73"/>
  <c r="G74"/>
  <c r="M74"/>
  <c r="H75"/>
  <c r="N75"/>
  <c r="I76"/>
  <c r="O76"/>
  <c r="J77"/>
  <c r="E78"/>
  <c r="K78"/>
  <c r="F79"/>
  <c r="L79"/>
  <c r="G80"/>
  <c r="M80"/>
  <c r="H81"/>
  <c r="N81"/>
  <c r="I82"/>
  <c r="O82"/>
  <c r="J83"/>
  <c r="E84"/>
  <c r="K84"/>
  <c r="F85"/>
  <c r="L85"/>
  <c r="G86"/>
  <c r="M86"/>
  <c r="H87"/>
  <c r="N87"/>
  <c r="I88"/>
  <c r="O88"/>
  <c r="J89"/>
  <c r="E90"/>
  <c r="K90"/>
  <c r="F91"/>
  <c r="L91"/>
  <c r="G92"/>
  <c r="M92"/>
  <c r="H93"/>
  <c r="N93"/>
  <c r="I94"/>
  <c r="O94"/>
  <c r="J95"/>
  <c r="E96"/>
  <c r="K96"/>
  <c r="F97"/>
  <c r="L97"/>
  <c r="G98"/>
  <c r="M98"/>
  <c r="H99"/>
  <c r="N99"/>
  <c r="I100"/>
  <c r="O100"/>
  <c r="J101"/>
  <c r="E102"/>
  <c r="K102"/>
  <c r="F103"/>
  <c r="L103"/>
  <c r="G104"/>
  <c r="M104"/>
  <c r="H105"/>
  <c r="N105"/>
  <c r="I106"/>
  <c r="O106"/>
  <c r="J107"/>
  <c r="E108"/>
  <c r="K108"/>
  <c r="F109"/>
  <c r="L109"/>
  <c r="G110"/>
  <c r="M110"/>
  <c r="H111"/>
  <c r="N111"/>
  <c r="I112"/>
  <c r="O112"/>
  <c r="J113"/>
  <c r="G114"/>
  <c r="F116"/>
  <c r="E117"/>
  <c r="O117"/>
  <c r="O118"/>
  <c r="N119"/>
  <c r="M120"/>
  <c r="L122"/>
  <c r="K123"/>
  <c r="J124"/>
  <c r="J125"/>
  <c r="I126"/>
  <c r="H127"/>
  <c r="G129"/>
  <c r="F130"/>
  <c r="E131"/>
  <c r="E132"/>
  <c r="O132"/>
  <c r="N133"/>
  <c r="M135"/>
  <c r="L136"/>
  <c r="K137"/>
  <c r="K138"/>
  <c r="J139"/>
  <c r="I140"/>
  <c r="H142"/>
  <c r="G143"/>
  <c r="F144"/>
  <c r="F145"/>
  <c r="E146"/>
  <c r="O146"/>
  <c r="N148"/>
  <c r="M149"/>
  <c r="L150"/>
  <c r="L151"/>
  <c r="K152"/>
  <c r="J153"/>
  <c r="I155"/>
  <c r="H156"/>
  <c r="G157"/>
  <c r="G158"/>
  <c r="F159"/>
  <c r="E160"/>
  <c r="O161"/>
  <c r="N162"/>
  <c r="M163"/>
  <c r="M164"/>
  <c r="L165"/>
  <c r="K166"/>
  <c r="J168"/>
  <c r="I169"/>
  <c r="H170"/>
  <c r="H171"/>
  <c r="G172"/>
  <c r="F173"/>
  <c r="E175"/>
  <c r="O175"/>
  <c r="N176"/>
  <c r="N177"/>
  <c r="M178"/>
  <c r="N179"/>
  <c r="O180"/>
  <c r="E182"/>
  <c r="I183"/>
  <c r="E185"/>
  <c r="G205"/>
  <c r="J208"/>
  <c r="M211"/>
  <c r="E215"/>
  <c r="H218"/>
  <c r="K221"/>
  <c r="N224"/>
  <c r="F228"/>
  <c r="I231"/>
  <c r="L234"/>
  <c r="O237"/>
  <c r="G241"/>
  <c r="J244"/>
  <c r="M248"/>
  <c r="I254"/>
  <c r="K265"/>
  <c r="G271"/>
  <c r="N276"/>
  <c r="I282"/>
  <c r="E288"/>
  <c r="L293"/>
  <c r="N304"/>
  <c r="J310"/>
  <c r="F316"/>
  <c r="L321"/>
  <c r="I328"/>
  <c r="G338"/>
  <c r="F114"/>
  <c r="F115"/>
  <c r="E116"/>
  <c r="O116"/>
  <c r="N118"/>
  <c r="M119"/>
  <c r="L120"/>
  <c r="L121"/>
  <c r="K122"/>
  <c r="J123"/>
  <c r="I125"/>
  <c r="H126"/>
  <c r="G127"/>
  <c r="G128"/>
  <c r="F129"/>
  <c r="E130"/>
  <c r="O131"/>
  <c r="N132"/>
  <c r="M133"/>
  <c r="M134"/>
  <c r="L135"/>
  <c r="K136"/>
  <c r="J138"/>
  <c r="I139"/>
  <c r="H140"/>
  <c r="H141"/>
  <c r="G142"/>
  <c r="F143"/>
  <c r="E145"/>
  <c r="O145"/>
  <c r="N146"/>
  <c r="N147"/>
  <c r="M148"/>
  <c r="L149"/>
  <c r="K151"/>
  <c r="J152"/>
  <c r="I153"/>
  <c r="I154"/>
  <c r="H155"/>
  <c r="G156"/>
  <c r="F158"/>
  <c r="E159"/>
  <c r="O159"/>
  <c r="O160"/>
  <c r="N161"/>
  <c r="M162"/>
  <c r="L164"/>
  <c r="K165"/>
  <c r="J166"/>
  <c r="J167"/>
  <c r="I168"/>
  <c r="H169"/>
  <c r="G171"/>
  <c r="F172"/>
  <c r="E173"/>
  <c r="E174"/>
  <c r="O174"/>
  <c r="N175"/>
  <c r="M177"/>
  <c r="L178"/>
  <c r="L179"/>
  <c r="M180"/>
  <c r="N181"/>
  <c r="M186"/>
  <c r="O188"/>
  <c r="F191"/>
  <c r="H193"/>
  <c r="J195"/>
  <c r="L197"/>
  <c r="N199"/>
  <c r="E202"/>
  <c r="L248"/>
  <c r="H254"/>
  <c r="O259"/>
  <c r="J265"/>
  <c r="F271"/>
  <c r="M276"/>
  <c r="O287"/>
  <c r="K293"/>
  <c r="G299"/>
  <c r="M304"/>
  <c r="I310"/>
  <c r="E316"/>
  <c r="G328"/>
  <c r="E338"/>
  <c r="K351"/>
  <c r="G371"/>
  <c r="M63"/>
  <c r="H64"/>
  <c r="N64"/>
  <c r="I65"/>
  <c r="O65"/>
  <c r="J66"/>
  <c r="E67"/>
  <c r="K67"/>
  <c r="F68"/>
  <c r="L68"/>
  <c r="G69"/>
  <c r="M69"/>
  <c r="H70"/>
  <c r="N70"/>
  <c r="I71"/>
  <c r="O71"/>
  <c r="J72"/>
  <c r="E73"/>
  <c r="K73"/>
  <c r="F74"/>
  <c r="L74"/>
  <c r="G75"/>
  <c r="M75"/>
  <c r="H76"/>
  <c r="N76"/>
  <c r="I77"/>
  <c r="O77"/>
  <c r="J78"/>
  <c r="E79"/>
  <c r="K79"/>
  <c r="F80"/>
  <c r="L80"/>
  <c r="G81"/>
  <c r="M81"/>
  <c r="H82"/>
  <c r="N82"/>
  <c r="I83"/>
  <c r="O83"/>
  <c r="J84"/>
  <c r="E85"/>
  <c r="K85"/>
  <c r="F86"/>
  <c r="L86"/>
  <c r="G87"/>
  <c r="M87"/>
  <c r="H88"/>
  <c r="N88"/>
  <c r="I89"/>
  <c r="O89"/>
  <c r="J90"/>
  <c r="E91"/>
  <c r="K91"/>
  <c r="F92"/>
  <c r="L92"/>
  <c r="G93"/>
  <c r="M93"/>
  <c r="H94"/>
  <c r="N94"/>
  <c r="I95"/>
  <c r="O95"/>
  <c r="J96"/>
  <c r="E97"/>
  <c r="K97"/>
  <c r="F98"/>
  <c r="L98"/>
  <c r="G99"/>
  <c r="M99"/>
  <c r="H100"/>
  <c r="N100"/>
  <c r="I101"/>
  <c r="O101"/>
  <c r="J102"/>
  <c r="E103"/>
  <c r="K103"/>
  <c r="F104"/>
  <c r="L104"/>
  <c r="G105"/>
  <c r="M105"/>
  <c r="H106"/>
  <c r="N106"/>
  <c r="I107"/>
  <c r="O107"/>
  <c r="J108"/>
  <c r="E109"/>
  <c r="K109"/>
  <c r="F110"/>
  <c r="L110"/>
  <c r="G111"/>
  <c r="M111"/>
  <c r="H112"/>
  <c r="N112"/>
  <c r="I113"/>
  <c r="E115"/>
  <c r="O115"/>
  <c r="N116"/>
  <c r="N117"/>
  <c r="M118"/>
  <c r="L119"/>
  <c r="K121"/>
  <c r="J122"/>
  <c r="I123"/>
  <c r="I124"/>
  <c r="H125"/>
  <c r="G126"/>
  <c r="F128"/>
  <c r="E129"/>
  <c r="O129"/>
  <c r="O130"/>
  <c r="N131"/>
  <c r="M132"/>
  <c r="L134"/>
  <c r="K135"/>
  <c r="J136"/>
  <c r="J137"/>
  <c r="I138"/>
  <c r="H139"/>
  <c r="G141"/>
  <c r="F142"/>
  <c r="E143"/>
  <c r="E144"/>
  <c r="O144"/>
  <c r="N145"/>
  <c r="M147"/>
  <c r="L148"/>
  <c r="K149"/>
  <c r="K150"/>
  <c r="J151"/>
  <c r="I152"/>
  <c r="H154"/>
  <c r="G155"/>
  <c r="F156"/>
  <c r="F157"/>
  <c r="E158"/>
  <c r="O158"/>
  <c r="N160"/>
  <c r="M161"/>
  <c r="L162"/>
  <c r="L163"/>
  <c r="K164"/>
  <c r="J165"/>
  <c r="I167"/>
  <c r="H168"/>
  <c r="G169"/>
  <c r="G170"/>
  <c r="F171"/>
  <c r="E172"/>
  <c r="O173"/>
  <c r="N174"/>
  <c r="M175"/>
  <c r="M176"/>
  <c r="L177"/>
  <c r="K178"/>
  <c r="K179"/>
  <c r="L180"/>
  <c r="M181"/>
  <c r="H183"/>
  <c r="O184"/>
  <c r="L186"/>
  <c r="N188"/>
  <c r="E191"/>
  <c r="G193"/>
  <c r="I195"/>
  <c r="K197"/>
  <c r="M199"/>
  <c r="O201"/>
  <c r="L204"/>
  <c r="O207"/>
  <c r="G211"/>
  <c r="J214"/>
  <c r="M217"/>
  <c r="E221"/>
  <c r="H224"/>
  <c r="K227"/>
  <c r="N230"/>
  <c r="F234"/>
  <c r="I237"/>
  <c r="L240"/>
  <c r="O243"/>
  <c r="N247"/>
  <c r="E259"/>
  <c r="L264"/>
  <c r="H270"/>
  <c r="N275"/>
  <c r="J281"/>
  <c r="F287"/>
  <c r="H298"/>
  <c r="O303"/>
  <c r="K309"/>
  <c r="F315"/>
  <c r="M320"/>
  <c r="M326"/>
  <c r="K336"/>
  <c r="E114"/>
  <c r="O114"/>
  <c r="N115"/>
  <c r="M117"/>
  <c r="L118"/>
  <c r="K119"/>
  <c r="K120"/>
  <c r="J121"/>
  <c r="I122"/>
  <c r="H124"/>
  <c r="G125"/>
  <c r="F126"/>
  <c r="F127"/>
  <c r="E128"/>
  <c r="O128"/>
  <c r="N130"/>
  <c r="M131"/>
  <c r="L132"/>
  <c r="L133"/>
  <c r="K134"/>
  <c r="J135"/>
  <c r="I137"/>
  <c r="H138"/>
  <c r="G139"/>
  <c r="G140"/>
  <c r="F141"/>
  <c r="E142"/>
  <c r="O143"/>
  <c r="N144"/>
  <c r="M145"/>
  <c r="M146"/>
  <c r="L147"/>
  <c r="K148"/>
  <c r="J150"/>
  <c r="I151"/>
  <c r="H152"/>
  <c r="H153"/>
  <c r="G154"/>
  <c r="F155"/>
  <c r="E157"/>
  <c r="O157"/>
  <c r="N158"/>
  <c r="N159"/>
  <c r="M160"/>
  <c r="L161"/>
  <c r="K163"/>
  <c r="J164"/>
  <c r="I165"/>
  <c r="I166"/>
  <c r="H167"/>
  <c r="G168"/>
  <c r="F170"/>
  <c r="E171"/>
  <c r="O171"/>
  <c r="O172"/>
  <c r="N173"/>
  <c r="M174"/>
  <c r="L176"/>
  <c r="K177"/>
  <c r="J178"/>
  <c r="O182"/>
  <c r="K184"/>
  <c r="M247"/>
  <c r="I253"/>
  <c r="O258"/>
  <c r="K264"/>
  <c r="G270"/>
  <c r="I281"/>
  <c r="E287"/>
  <c r="L292"/>
  <c r="G298"/>
  <c r="N303"/>
  <c r="J309"/>
  <c r="L320"/>
  <c r="K326"/>
  <c r="I336"/>
  <c r="H348"/>
  <c r="O367"/>
  <c r="M28"/>
  <c r="H29"/>
  <c r="N29"/>
  <c r="I30"/>
  <c r="O30"/>
  <c r="J31"/>
  <c r="E32"/>
  <c r="K32"/>
  <c r="F33"/>
  <c r="L33"/>
  <c r="G34"/>
  <c r="M34"/>
  <c r="H35"/>
  <c r="N35"/>
  <c r="I36"/>
  <c r="O36"/>
  <c r="J37"/>
  <c r="E38"/>
  <c r="K38"/>
  <c r="F39"/>
  <c r="L39"/>
  <c r="G40"/>
  <c r="M40"/>
  <c r="H41"/>
  <c r="N41"/>
  <c r="I42"/>
  <c r="O42"/>
  <c r="J43"/>
  <c r="E44"/>
  <c r="K44"/>
  <c r="F45"/>
  <c r="L45"/>
  <c r="G46"/>
  <c r="M46"/>
  <c r="H47"/>
  <c r="N47"/>
  <c r="I48"/>
  <c r="O48"/>
  <c r="J49"/>
  <c r="E50"/>
  <c r="K50"/>
  <c r="F51"/>
  <c r="L51"/>
  <c r="G52"/>
  <c r="M52"/>
  <c r="H53"/>
  <c r="N53"/>
  <c r="I54"/>
  <c r="O54"/>
  <c r="J55"/>
  <c r="E56"/>
  <c r="K56"/>
  <c r="F57"/>
  <c r="L57"/>
  <c r="G58"/>
  <c r="M58"/>
  <c r="H59"/>
  <c r="N59"/>
  <c r="I60"/>
  <c r="O60"/>
  <c r="J61"/>
  <c r="E62"/>
  <c r="K62"/>
  <c r="F63"/>
  <c r="L63"/>
  <c r="G64"/>
  <c r="M64"/>
  <c r="H65"/>
  <c r="N65"/>
  <c r="I66"/>
  <c r="O66"/>
  <c r="J67"/>
  <c r="E68"/>
  <c r="K68"/>
  <c r="F69"/>
  <c r="L69"/>
  <c r="G70"/>
  <c r="M70"/>
  <c r="H71"/>
  <c r="N71"/>
  <c r="I72"/>
  <c r="O72"/>
  <c r="J73"/>
  <c r="E74"/>
  <c r="K74"/>
  <c r="F75"/>
  <c r="L75"/>
  <c r="G76"/>
  <c r="M76"/>
  <c r="H77"/>
  <c r="N77"/>
  <c r="I78"/>
  <c r="O78"/>
  <c r="J79"/>
  <c r="E80"/>
  <c r="K80"/>
  <c r="F81"/>
  <c r="L81"/>
  <c r="G82"/>
  <c r="M82"/>
  <c r="H83"/>
  <c r="N83"/>
  <c r="I84"/>
  <c r="O84"/>
  <c r="J85"/>
  <c r="E86"/>
  <c r="K86"/>
  <c r="F87"/>
  <c r="L87"/>
  <c r="G88"/>
  <c r="M88"/>
  <c r="H89"/>
  <c r="N89"/>
  <c r="I90"/>
  <c r="O90"/>
  <c r="J91"/>
  <c r="E92"/>
  <c r="K92"/>
  <c r="F93"/>
  <c r="L93"/>
  <c r="G94"/>
  <c r="M94"/>
  <c r="H95"/>
  <c r="N95"/>
  <c r="I96"/>
  <c r="O96"/>
  <c r="J97"/>
  <c r="E98"/>
  <c r="K98"/>
  <c r="F99"/>
  <c r="L99"/>
  <c r="G100"/>
  <c r="M100"/>
  <c r="H101"/>
  <c r="N101"/>
  <c r="I102"/>
  <c r="O102"/>
  <c r="J103"/>
  <c r="E104"/>
  <c r="K104"/>
  <c r="F105"/>
  <c r="L105"/>
  <c r="G106"/>
  <c r="M106"/>
  <c r="H107"/>
  <c r="N107"/>
  <c r="I108"/>
  <c r="O108"/>
  <c r="J109"/>
  <c r="E110"/>
  <c r="K110"/>
  <c r="F111"/>
  <c r="L111"/>
  <c r="G112"/>
  <c r="M112"/>
  <c r="H113"/>
  <c r="O113"/>
  <c r="N114"/>
  <c r="M115"/>
  <c r="M116"/>
  <c r="L117"/>
  <c r="K118"/>
  <c r="J120"/>
  <c r="I121"/>
  <c r="H122"/>
  <c r="H123"/>
  <c r="G124"/>
  <c r="F125"/>
  <c r="E127"/>
  <c r="O127"/>
  <c r="N128"/>
  <c r="N129"/>
  <c r="M130"/>
  <c r="L131"/>
  <c r="K133"/>
  <c r="J134"/>
  <c r="I135"/>
  <c r="I136"/>
  <c r="H137"/>
  <c r="G138"/>
  <c r="F140"/>
  <c r="E141"/>
  <c r="O141"/>
  <c r="O142"/>
  <c r="N143"/>
  <c r="M144"/>
  <c r="L146"/>
  <c r="K147"/>
  <c r="J148"/>
  <c r="J149"/>
  <c r="I150"/>
  <c r="H151"/>
  <c r="G153"/>
  <c r="F154"/>
  <c r="E155"/>
  <c r="E156"/>
  <c r="O156"/>
  <c r="N157"/>
  <c r="M159"/>
  <c r="L160"/>
  <c r="K161"/>
  <c r="K162"/>
  <c r="J163"/>
  <c r="I164"/>
  <c r="H166"/>
  <c r="G167"/>
  <c r="F168"/>
  <c r="F169"/>
  <c r="E170"/>
  <c r="O170"/>
  <c r="N172"/>
  <c r="M173"/>
  <c r="L174"/>
  <c r="L175"/>
  <c r="K176"/>
  <c r="J177"/>
  <c r="J179"/>
  <c r="K180"/>
  <c r="L181"/>
  <c r="N182"/>
  <c r="J184"/>
  <c r="G186"/>
  <c r="I188"/>
  <c r="K190"/>
  <c r="M192"/>
  <c r="O194"/>
  <c r="F197"/>
  <c r="H199"/>
  <c r="J201"/>
  <c r="F204"/>
  <c r="I207"/>
  <c r="L210"/>
  <c r="O213"/>
  <c r="G217"/>
  <c r="J220"/>
  <c r="M223"/>
  <c r="E227"/>
  <c r="H230"/>
  <c r="K233"/>
  <c r="N236"/>
  <c r="F240"/>
  <c r="I243"/>
  <c r="J252"/>
  <c r="F258"/>
  <c r="M263"/>
  <c r="H269"/>
  <c r="O274"/>
  <c r="K280"/>
  <c r="M291"/>
  <c r="I297"/>
  <c r="E303"/>
  <c r="K308"/>
  <c r="G314"/>
  <c r="N319"/>
  <c r="K325"/>
  <c r="O334"/>
  <c r="N113"/>
  <c r="M114"/>
  <c r="L116"/>
  <c r="K117"/>
  <c r="J118"/>
  <c r="J119"/>
  <c r="I120"/>
  <c r="H121"/>
  <c r="G123"/>
  <c r="F124"/>
  <c r="E125"/>
  <c r="E126"/>
  <c r="O126"/>
  <c r="N127"/>
  <c r="M129"/>
  <c r="L130"/>
  <c r="K131"/>
  <c r="K132"/>
  <c r="J133"/>
  <c r="I134"/>
  <c r="H136"/>
  <c r="G137"/>
  <c r="F138"/>
  <c r="F139"/>
  <c r="E140"/>
  <c r="O140"/>
  <c r="N142"/>
  <c r="M143"/>
  <c r="L144"/>
  <c r="L145"/>
  <c r="K146"/>
  <c r="J147"/>
  <c r="I149"/>
  <c r="H150"/>
  <c r="G151"/>
  <c r="G152"/>
  <c r="F153"/>
  <c r="E154"/>
  <c r="O155"/>
  <c r="N156"/>
  <c r="M157"/>
  <c r="M158"/>
  <c r="L159"/>
  <c r="K160"/>
  <c r="J162"/>
  <c r="I163"/>
  <c r="H164"/>
  <c r="H165"/>
  <c r="G166"/>
  <c r="F167"/>
  <c r="E169"/>
  <c r="O169"/>
  <c r="N170"/>
  <c r="N171"/>
  <c r="M172"/>
  <c r="L173"/>
  <c r="K175"/>
  <c r="J176"/>
  <c r="I177"/>
  <c r="I178"/>
  <c r="I179"/>
  <c r="J180"/>
  <c r="K181"/>
  <c r="F186"/>
  <c r="H188"/>
  <c r="J190"/>
  <c r="L192"/>
  <c r="N194"/>
  <c r="E197"/>
  <c r="G199"/>
  <c r="I201"/>
  <c r="N246"/>
  <c r="I252"/>
  <c r="E258"/>
  <c r="L263"/>
  <c r="N274"/>
  <c r="J280"/>
  <c r="F286"/>
  <c r="L291"/>
  <c r="H297"/>
  <c r="O302"/>
  <c r="F314"/>
  <c r="M319"/>
  <c r="J325"/>
  <c r="M334"/>
  <c r="E345"/>
  <c r="L364"/>
  <c r="E186"/>
  <c r="K186"/>
  <c r="F187"/>
  <c r="L187"/>
  <c r="G188"/>
  <c r="M188"/>
  <c r="H189"/>
  <c r="N189"/>
  <c r="I190"/>
  <c r="O190"/>
  <c r="J191"/>
  <c r="E192"/>
  <c r="K192"/>
  <c r="F193"/>
  <c r="L193"/>
  <c r="G194"/>
  <c r="M194"/>
  <c r="H195"/>
  <c r="N195"/>
  <c r="I196"/>
  <c r="O196"/>
  <c r="J197"/>
  <c r="E198"/>
  <c r="K198"/>
  <c r="F199"/>
  <c r="L199"/>
  <c r="G200"/>
  <c r="M200"/>
  <c r="H201"/>
  <c r="N201"/>
  <c r="I202"/>
  <c r="O202"/>
  <c r="J203"/>
  <c r="E204"/>
  <c r="K204"/>
  <c r="F205"/>
  <c r="L205"/>
  <c r="G206"/>
  <c r="M206"/>
  <c r="H207"/>
  <c r="N207"/>
  <c r="I208"/>
  <c r="O208"/>
  <c r="J209"/>
  <c r="E210"/>
  <c r="K210"/>
  <c r="F211"/>
  <c r="L211"/>
  <c r="G212"/>
  <c r="M212"/>
  <c r="H213"/>
  <c r="N213"/>
  <c r="I214"/>
  <c r="O214"/>
  <c r="J215"/>
  <c r="E216"/>
  <c r="K216"/>
  <c r="F217"/>
  <c r="L217"/>
  <c r="G218"/>
  <c r="M218"/>
  <c r="H219"/>
  <c r="N219"/>
  <c r="I220"/>
  <c r="O220"/>
  <c r="J221"/>
  <c r="E222"/>
  <c r="K222"/>
  <c r="F223"/>
  <c r="L223"/>
  <c r="G224"/>
  <c r="M224"/>
  <c r="H225"/>
  <c r="N225"/>
  <c r="I226"/>
  <c r="O226"/>
  <c r="J227"/>
  <c r="E228"/>
  <c r="K228"/>
  <c r="F229"/>
  <c r="L229"/>
  <c r="G230"/>
  <c r="M230"/>
  <c r="H231"/>
  <c r="N231"/>
  <c r="I232"/>
  <c r="O232"/>
  <c r="J233"/>
  <c r="E234"/>
  <c r="K234"/>
  <c r="F235"/>
  <c r="L235"/>
  <c r="G236"/>
  <c r="M236"/>
  <c r="H237"/>
  <c r="N237"/>
  <c r="I238"/>
  <c r="O238"/>
  <c r="J239"/>
  <c r="E240"/>
  <c r="K240"/>
  <c r="F241"/>
  <c r="L241"/>
  <c r="G242"/>
  <c r="M242"/>
  <c r="H243"/>
  <c r="N243"/>
  <c r="I244"/>
  <c r="O244"/>
  <c r="J245"/>
  <c r="E246"/>
  <c r="M246"/>
  <c r="L247"/>
  <c r="K248"/>
  <c r="K249"/>
  <c r="J250"/>
  <c r="I251"/>
  <c r="H253"/>
  <c r="G254"/>
  <c r="F255"/>
  <c r="F256"/>
  <c r="E257"/>
  <c r="O257"/>
  <c r="N259"/>
  <c r="M260"/>
  <c r="L261"/>
  <c r="L262"/>
  <c r="K263"/>
  <c r="J264"/>
  <c r="I266"/>
  <c r="H267"/>
  <c r="G268"/>
  <c r="G269"/>
  <c r="F270"/>
  <c r="E271"/>
  <c r="O272"/>
  <c r="N273"/>
  <c r="M274"/>
  <c r="M275"/>
  <c r="L276"/>
  <c r="K277"/>
  <c r="J279"/>
  <c r="I280"/>
  <c r="H281"/>
  <c r="H282"/>
  <c r="G283"/>
  <c r="F284"/>
  <c r="E286"/>
  <c r="O286"/>
  <c r="N287"/>
  <c r="N288"/>
  <c r="M289"/>
  <c r="L290"/>
  <c r="K292"/>
  <c r="J293"/>
  <c r="I294"/>
  <c r="I295"/>
  <c r="H296"/>
  <c r="G297"/>
  <c r="F299"/>
  <c r="E300"/>
  <c r="O300"/>
  <c r="O301"/>
  <c r="N302"/>
  <c r="M303"/>
  <c r="L305"/>
  <c r="K306"/>
  <c r="J307"/>
  <c r="J308"/>
  <c r="I309"/>
  <c r="H310"/>
  <c r="G312"/>
  <c r="F313"/>
  <c r="E314"/>
  <c r="E315"/>
  <c r="O315"/>
  <c r="N316"/>
  <c r="M318"/>
  <c r="L319"/>
  <c r="K320"/>
  <c r="K321"/>
  <c r="J322"/>
  <c r="I323"/>
  <c r="L246"/>
  <c r="K247"/>
  <c r="J249"/>
  <c r="I250"/>
  <c r="H251"/>
  <c r="H252"/>
  <c r="G253"/>
  <c r="F254"/>
  <c r="E256"/>
  <c r="O256"/>
  <c r="N257"/>
  <c r="N258"/>
  <c r="M259"/>
  <c r="L260"/>
  <c r="K262"/>
  <c r="J263"/>
  <c r="I264"/>
  <c r="I265"/>
  <c r="H266"/>
  <c r="G267"/>
  <c r="F269"/>
  <c r="E270"/>
  <c r="O270"/>
  <c r="O271"/>
  <c r="N272"/>
  <c r="M273"/>
  <c r="L275"/>
  <c r="K276"/>
  <c r="J277"/>
  <c r="J278"/>
  <c r="I279"/>
  <c r="H280"/>
  <c r="G282"/>
  <c r="F283"/>
  <c r="E284"/>
  <c r="E285"/>
  <c r="O285"/>
  <c r="N286"/>
  <c r="M288"/>
  <c r="L289"/>
  <c r="K290"/>
  <c r="K291"/>
  <c r="J292"/>
  <c r="I293"/>
  <c r="H295"/>
  <c r="G296"/>
  <c r="F297"/>
  <c r="F298"/>
  <c r="E299"/>
  <c r="O299"/>
  <c r="N301"/>
  <c r="M302"/>
  <c r="L303"/>
  <c r="L304"/>
  <c r="K305"/>
  <c r="J306"/>
  <c r="I308"/>
  <c r="H309"/>
  <c r="G310"/>
  <c r="G311"/>
  <c r="F312"/>
  <c r="E313"/>
  <c r="O314"/>
  <c r="N315"/>
  <c r="M316"/>
  <c r="M317"/>
  <c r="L318"/>
  <c r="K319"/>
  <c r="J321"/>
  <c r="I322"/>
  <c r="H323"/>
  <c r="H324"/>
  <c r="I325"/>
  <c r="J326"/>
  <c r="F328"/>
  <c r="M329"/>
  <c r="I331"/>
  <c r="E333"/>
  <c r="L334"/>
  <c r="H336"/>
  <c r="O337"/>
  <c r="K339"/>
  <c r="G341"/>
  <c r="N342"/>
  <c r="J344"/>
  <c r="M347"/>
  <c r="E351"/>
  <c r="H354"/>
  <c r="K357"/>
  <c r="N360"/>
  <c r="F364"/>
  <c r="I367"/>
  <c r="L370"/>
  <c r="O373"/>
  <c r="G377"/>
  <c r="J380"/>
  <c r="M383"/>
  <c r="F182"/>
  <c r="L182"/>
  <c r="G183"/>
  <c r="M183"/>
  <c r="H184"/>
  <c r="N184"/>
  <c r="I185"/>
  <c r="O185"/>
  <c r="J186"/>
  <c r="E187"/>
  <c r="K187"/>
  <c r="F188"/>
  <c r="L188"/>
  <c r="G189"/>
  <c r="M189"/>
  <c r="H190"/>
  <c r="N190"/>
  <c r="I191"/>
  <c r="O191"/>
  <c r="J192"/>
  <c r="E193"/>
  <c r="K193"/>
  <c r="F194"/>
  <c r="L194"/>
  <c r="G195"/>
  <c r="M195"/>
  <c r="H196"/>
  <c r="N196"/>
  <c r="I197"/>
  <c r="O197"/>
  <c r="J198"/>
  <c r="E199"/>
  <c r="K199"/>
  <c r="F200"/>
  <c r="L200"/>
  <c r="G201"/>
  <c r="M201"/>
  <c r="H202"/>
  <c r="N202"/>
  <c r="I203"/>
  <c r="O203"/>
  <c r="J204"/>
  <c r="E205"/>
  <c r="K205"/>
  <c r="F206"/>
  <c r="L206"/>
  <c r="G207"/>
  <c r="M207"/>
  <c r="H208"/>
  <c r="N208"/>
  <c r="I209"/>
  <c r="O209"/>
  <c r="J210"/>
  <c r="E211"/>
  <c r="K211"/>
  <c r="F212"/>
  <c r="L212"/>
  <c r="G213"/>
  <c r="M213"/>
  <c r="H214"/>
  <c r="N214"/>
  <c r="I215"/>
  <c r="O215"/>
  <c r="J216"/>
  <c r="E217"/>
  <c r="K217"/>
  <c r="F218"/>
  <c r="L218"/>
  <c r="G219"/>
  <c r="M219"/>
  <c r="H220"/>
  <c r="N220"/>
  <c r="I221"/>
  <c r="O221"/>
  <c r="J222"/>
  <c r="E223"/>
  <c r="K223"/>
  <c r="F224"/>
  <c r="L224"/>
  <c r="G225"/>
  <c r="M225"/>
  <c r="H226"/>
  <c r="N226"/>
  <c r="I227"/>
  <c r="O227"/>
  <c r="J228"/>
  <c r="E229"/>
  <c r="K229"/>
  <c r="F230"/>
  <c r="L230"/>
  <c r="G231"/>
  <c r="M231"/>
  <c r="H232"/>
  <c r="N232"/>
  <c r="I233"/>
  <c r="O233"/>
  <c r="J234"/>
  <c r="E235"/>
  <c r="K235"/>
  <c r="F236"/>
  <c r="L236"/>
  <c r="G237"/>
  <c r="M237"/>
  <c r="H238"/>
  <c r="N238"/>
  <c r="I239"/>
  <c r="O239"/>
  <c r="J240"/>
  <c r="E241"/>
  <c r="K241"/>
  <c r="F242"/>
  <c r="L242"/>
  <c r="G243"/>
  <c r="M243"/>
  <c r="H244"/>
  <c r="N244"/>
  <c r="I245"/>
  <c r="O245"/>
  <c r="K246"/>
  <c r="J247"/>
  <c r="J248"/>
  <c r="I249"/>
  <c r="H250"/>
  <c r="G252"/>
  <c r="F253"/>
  <c r="E254"/>
  <c r="E255"/>
  <c r="O255"/>
  <c r="N256"/>
  <c r="M258"/>
  <c r="L259"/>
  <c r="K260"/>
  <c r="K261"/>
  <c r="J262"/>
  <c r="I263"/>
  <c r="H265"/>
  <c r="G266"/>
  <c r="F267"/>
  <c r="F268"/>
  <c r="E269"/>
  <c r="O269"/>
  <c r="N271"/>
  <c r="M272"/>
  <c r="L273"/>
  <c r="L274"/>
  <c r="K275"/>
  <c r="J276"/>
  <c r="I278"/>
  <c r="H279"/>
  <c r="G280"/>
  <c r="G281"/>
  <c r="F282"/>
  <c r="E283"/>
  <c r="O284"/>
  <c r="N285"/>
  <c r="M286"/>
  <c r="M287"/>
  <c r="L288"/>
  <c r="K289"/>
  <c r="J291"/>
  <c r="I292"/>
  <c r="H293"/>
  <c r="H294"/>
  <c r="G295"/>
  <c r="F296"/>
  <c r="E298"/>
  <c r="O298"/>
  <c r="N299"/>
  <c r="N300"/>
  <c r="M301"/>
  <c r="L302"/>
  <c r="K304"/>
  <c r="J305"/>
  <c r="I306"/>
  <c r="I307"/>
  <c r="H308"/>
  <c r="G309"/>
  <c r="F311"/>
  <c r="E312"/>
  <c r="O312"/>
  <c r="O313"/>
  <c r="N314"/>
  <c r="M315"/>
  <c r="L317"/>
  <c r="K318"/>
  <c r="J319"/>
  <c r="J320"/>
  <c r="I321"/>
  <c r="H322"/>
  <c r="G324"/>
  <c r="G325"/>
  <c r="H326"/>
  <c r="N327"/>
  <c r="J329"/>
  <c r="F331"/>
  <c r="M332"/>
  <c r="I334"/>
  <c r="E336"/>
  <c r="L337"/>
  <c r="H339"/>
  <c r="O340"/>
  <c r="K342"/>
  <c r="G344"/>
  <c r="J246"/>
  <c r="I248"/>
  <c r="H249"/>
  <c r="G250"/>
  <c r="G251"/>
  <c r="F252"/>
  <c r="E253"/>
  <c r="O254"/>
  <c r="N255"/>
  <c r="M256"/>
  <c r="M257"/>
  <c r="L258"/>
  <c r="K259"/>
  <c r="J261"/>
  <c r="I262"/>
  <c r="H263"/>
  <c r="H264"/>
  <c r="G265"/>
  <c r="F266"/>
  <c r="E268"/>
  <c r="O268"/>
  <c r="N269"/>
  <c r="N270"/>
  <c r="M271"/>
  <c r="L272"/>
  <c r="K274"/>
  <c r="J275"/>
  <c r="I276"/>
  <c r="I277"/>
  <c r="H278"/>
  <c r="G279"/>
  <c r="F281"/>
  <c r="E282"/>
  <c r="O282"/>
  <c r="O283"/>
  <c r="N284"/>
  <c r="M285"/>
  <c r="L287"/>
  <c r="K288"/>
  <c r="J289"/>
  <c r="J290"/>
  <c r="I291"/>
  <c r="H292"/>
  <c r="G294"/>
  <c r="F295"/>
  <c r="E296"/>
  <c r="E297"/>
  <c r="O297"/>
  <c r="N298"/>
  <c r="M300"/>
  <c r="L301"/>
  <c r="K302"/>
  <c r="K303"/>
  <c r="J304"/>
  <c r="I305"/>
  <c r="H307"/>
  <c r="G308"/>
  <c r="F309"/>
  <c r="F310"/>
  <c r="E311"/>
  <c r="O311"/>
  <c r="N313"/>
  <c r="M314"/>
  <c r="L315"/>
  <c r="L316"/>
  <c r="K317"/>
  <c r="J318"/>
  <c r="I320"/>
  <c r="H321"/>
  <c r="G322"/>
  <c r="G323"/>
  <c r="F324"/>
  <c r="F325"/>
  <c r="G326"/>
  <c r="L327"/>
  <c r="H329"/>
  <c r="O330"/>
  <c r="K332"/>
  <c r="G334"/>
  <c r="N335"/>
  <c r="J337"/>
  <c r="F339"/>
  <c r="M340"/>
  <c r="I342"/>
  <c r="E344"/>
  <c r="G347"/>
  <c r="J350"/>
  <c r="M353"/>
  <c r="E357"/>
  <c r="H360"/>
  <c r="K363"/>
  <c r="N366"/>
  <c r="F370"/>
  <c r="I373"/>
  <c r="L376"/>
  <c r="O379"/>
  <c r="G383"/>
  <c r="F183"/>
  <c r="L183"/>
  <c r="G184"/>
  <c r="M184"/>
  <c r="H185"/>
  <c r="N185"/>
  <c r="I186"/>
  <c r="O186"/>
  <c r="J187"/>
  <c r="E188"/>
  <c r="K188"/>
  <c r="F189"/>
  <c r="L189"/>
  <c r="G190"/>
  <c r="M190"/>
  <c r="H191"/>
  <c r="N191"/>
  <c r="I192"/>
  <c r="O192"/>
  <c r="J193"/>
  <c r="E194"/>
  <c r="K194"/>
  <c r="F195"/>
  <c r="L195"/>
  <c r="G196"/>
  <c r="M196"/>
  <c r="H197"/>
  <c r="N197"/>
  <c r="I198"/>
  <c r="O198"/>
  <c r="J199"/>
  <c r="E200"/>
  <c r="K200"/>
  <c r="F201"/>
  <c r="L201"/>
  <c r="G202"/>
  <c r="M202"/>
  <c r="H203"/>
  <c r="N203"/>
  <c r="I204"/>
  <c r="O204"/>
  <c r="J205"/>
  <c r="E206"/>
  <c r="K206"/>
  <c r="F207"/>
  <c r="L207"/>
  <c r="G208"/>
  <c r="M208"/>
  <c r="H209"/>
  <c r="N209"/>
  <c r="I210"/>
  <c r="O210"/>
  <c r="J211"/>
  <c r="E212"/>
  <c r="K212"/>
  <c r="F213"/>
  <c r="L213"/>
  <c r="G214"/>
  <c r="M214"/>
  <c r="H215"/>
  <c r="N215"/>
  <c r="I216"/>
  <c r="O216"/>
  <c r="J217"/>
  <c r="E218"/>
  <c r="K218"/>
  <c r="F219"/>
  <c r="L219"/>
  <c r="G220"/>
  <c r="M220"/>
  <c r="H221"/>
  <c r="N221"/>
  <c r="I222"/>
  <c r="O222"/>
  <c r="J223"/>
  <c r="E224"/>
  <c r="K224"/>
  <c r="F225"/>
  <c r="L225"/>
  <c r="G226"/>
  <c r="M226"/>
  <c r="H227"/>
  <c r="N227"/>
  <c r="I228"/>
  <c r="O228"/>
  <c r="J229"/>
  <c r="E230"/>
  <c r="K230"/>
  <c r="F231"/>
  <c r="L231"/>
  <c r="G232"/>
  <c r="M232"/>
  <c r="H233"/>
  <c r="N233"/>
  <c r="I234"/>
  <c r="O234"/>
  <c r="J235"/>
  <c r="E236"/>
  <c r="K236"/>
  <c r="F237"/>
  <c r="L237"/>
  <c r="G238"/>
  <c r="M238"/>
  <c r="H239"/>
  <c r="N239"/>
  <c r="I240"/>
  <c r="O240"/>
  <c r="J241"/>
  <c r="E242"/>
  <c r="K242"/>
  <c r="F243"/>
  <c r="L243"/>
  <c r="G244"/>
  <c r="M244"/>
  <c r="H245"/>
  <c r="N245"/>
  <c r="I246"/>
  <c r="I247"/>
  <c r="H248"/>
  <c r="G249"/>
  <c r="F251"/>
  <c r="E252"/>
  <c r="O252"/>
  <c r="O253"/>
  <c r="N254"/>
  <c r="M255"/>
  <c r="L257"/>
  <c r="K258"/>
  <c r="J259"/>
  <c r="J260"/>
  <c r="I261"/>
  <c r="H262"/>
  <c r="G264"/>
  <c r="F265"/>
  <c r="E266"/>
  <c r="E267"/>
  <c r="O267"/>
  <c r="N268"/>
  <c r="M270"/>
  <c r="L271"/>
  <c r="K272"/>
  <c r="K273"/>
  <c r="J274"/>
  <c r="I275"/>
  <c r="H277"/>
  <c r="G278"/>
  <c r="F279"/>
  <c r="F280"/>
  <c r="E281"/>
  <c r="O281"/>
  <c r="N283"/>
  <c r="M284"/>
  <c r="L285"/>
  <c r="L286"/>
  <c r="K287"/>
  <c r="J288"/>
  <c r="I290"/>
  <c r="H291"/>
  <c r="G292"/>
  <c r="G293"/>
  <c r="F294"/>
  <c r="E295"/>
  <c r="O296"/>
  <c r="N297"/>
  <c r="M298"/>
  <c r="M299"/>
  <c r="L300"/>
  <c r="K301"/>
  <c r="J303"/>
  <c r="I304"/>
  <c r="H305"/>
  <c r="H306"/>
  <c r="G307"/>
  <c r="F308"/>
  <c r="E310"/>
  <c r="O310"/>
  <c r="N311"/>
  <c r="N312"/>
  <c r="M313"/>
  <c r="L314"/>
  <c r="K316"/>
  <c r="J317"/>
  <c r="I318"/>
  <c r="I319"/>
  <c r="H320"/>
  <c r="G321"/>
  <c r="F323"/>
  <c r="E324"/>
  <c r="E325"/>
  <c r="F326"/>
  <c r="H247"/>
  <c r="G248"/>
  <c r="F249"/>
  <c r="F250"/>
  <c r="E251"/>
  <c r="O251"/>
  <c r="N253"/>
  <c r="M254"/>
  <c r="L255"/>
  <c r="L256"/>
  <c r="K257"/>
  <c r="J258"/>
  <c r="I260"/>
  <c r="H261"/>
  <c r="G262"/>
  <c r="G263"/>
  <c r="F264"/>
  <c r="E265"/>
  <c r="O266"/>
  <c r="N267"/>
  <c r="M268"/>
  <c r="M269"/>
  <c r="L270"/>
  <c r="K271"/>
  <c r="J273"/>
  <c r="I274"/>
  <c r="H275"/>
  <c r="H276"/>
  <c r="G277"/>
  <c r="F278"/>
  <c r="E280"/>
  <c r="O280"/>
  <c r="N281"/>
  <c r="N282"/>
  <c r="M283"/>
  <c r="L284"/>
  <c r="K286"/>
  <c r="J287"/>
  <c r="I288"/>
  <c r="I289"/>
  <c r="H290"/>
  <c r="G291"/>
  <c r="F293"/>
  <c r="E294"/>
  <c r="O294"/>
  <c r="O295"/>
  <c r="N296"/>
  <c r="M297"/>
  <c r="L299"/>
  <c r="K300"/>
  <c r="J301"/>
  <c r="J302"/>
  <c r="I303"/>
  <c r="H304"/>
  <c r="G306"/>
  <c r="F307"/>
  <c r="E308"/>
  <c r="E309"/>
  <c r="O309"/>
  <c r="N310"/>
  <c r="M312"/>
  <c r="L313"/>
  <c r="K314"/>
  <c r="K315"/>
  <c r="J316"/>
  <c r="I317"/>
  <c r="H319"/>
  <c r="G320"/>
  <c r="F321"/>
  <c r="F322"/>
  <c r="E323"/>
  <c r="O323"/>
  <c r="O324"/>
  <c r="E326"/>
  <c r="K327"/>
  <c r="G329"/>
  <c r="N330"/>
  <c r="J332"/>
  <c r="F334"/>
  <c r="M335"/>
  <c r="I337"/>
  <c r="E339"/>
  <c r="L340"/>
  <c r="H342"/>
  <c r="O343"/>
  <c r="L346"/>
  <c r="O349"/>
  <c r="G353"/>
  <c r="J356"/>
  <c r="M359"/>
  <c r="E363"/>
  <c r="H366"/>
  <c r="K369"/>
  <c r="N372"/>
  <c r="F376"/>
  <c r="I379"/>
  <c r="L382"/>
  <c r="G179"/>
  <c r="M179"/>
  <c r="H180"/>
  <c r="N180"/>
  <c r="I181"/>
  <c r="O181"/>
  <c r="J182"/>
  <c r="E183"/>
  <c r="K183"/>
  <c r="F184"/>
  <c r="L184"/>
  <c r="G185"/>
  <c r="M185"/>
  <c r="H186"/>
  <c r="N186"/>
  <c r="I187"/>
  <c r="O187"/>
  <c r="J188"/>
  <c r="E189"/>
  <c r="K189"/>
  <c r="F190"/>
  <c r="L190"/>
  <c r="G191"/>
  <c r="M191"/>
  <c r="H192"/>
  <c r="N192"/>
  <c r="I193"/>
  <c r="O193"/>
  <c r="J194"/>
  <c r="E195"/>
  <c r="K195"/>
  <c r="F196"/>
  <c r="L196"/>
  <c r="G197"/>
  <c r="M197"/>
  <c r="H198"/>
  <c r="N198"/>
  <c r="I199"/>
  <c r="O199"/>
  <c r="J200"/>
  <c r="E201"/>
  <c r="K201"/>
  <c r="F202"/>
  <c r="L202"/>
  <c r="G203"/>
  <c r="M203"/>
  <c r="H204"/>
  <c r="N204"/>
  <c r="I205"/>
  <c r="O205"/>
  <c r="J206"/>
  <c r="E207"/>
  <c r="K207"/>
  <c r="F208"/>
  <c r="L208"/>
  <c r="G209"/>
  <c r="M209"/>
  <c r="H210"/>
  <c r="N210"/>
  <c r="I211"/>
  <c r="O211"/>
  <c r="J212"/>
  <c r="E213"/>
  <c r="K213"/>
  <c r="F214"/>
  <c r="L214"/>
  <c r="G215"/>
  <c r="M215"/>
  <c r="H216"/>
  <c r="N216"/>
  <c r="I217"/>
  <c r="O217"/>
  <c r="J218"/>
  <c r="E219"/>
  <c r="K219"/>
  <c r="F220"/>
  <c r="L220"/>
  <c r="G221"/>
  <c r="M221"/>
  <c r="H222"/>
  <c r="N222"/>
  <c r="I223"/>
  <c r="O223"/>
  <c r="J224"/>
  <c r="E225"/>
  <c r="K225"/>
  <c r="F226"/>
  <c r="L226"/>
  <c r="G227"/>
  <c r="M227"/>
  <c r="H228"/>
  <c r="N228"/>
  <c r="I229"/>
  <c r="O229"/>
  <c r="J230"/>
  <c r="E231"/>
  <c r="K231"/>
  <c r="F232"/>
  <c r="L232"/>
  <c r="G233"/>
  <c r="M233"/>
  <c r="H234"/>
  <c r="N234"/>
  <c r="I235"/>
  <c r="O235"/>
  <c r="J236"/>
  <c r="E237"/>
  <c r="K237"/>
  <c r="F238"/>
  <c r="L238"/>
  <c r="G239"/>
  <c r="M239"/>
  <c r="H240"/>
  <c r="N240"/>
  <c r="I241"/>
  <c r="O241"/>
  <c r="J242"/>
  <c r="E243"/>
  <c r="K243"/>
  <c r="F244"/>
  <c r="L244"/>
  <c r="G245"/>
  <c r="M245"/>
  <c r="H246"/>
  <c r="G247"/>
  <c r="F248"/>
  <c r="E250"/>
  <c r="O250"/>
  <c r="N251"/>
  <c r="N252"/>
  <c r="M253"/>
  <c r="L254"/>
  <c r="K256"/>
  <c r="J257"/>
  <c r="I258"/>
  <c r="I259"/>
  <c r="H260"/>
  <c r="G261"/>
  <c r="F263"/>
  <c r="E264"/>
  <c r="O264"/>
  <c r="O265"/>
  <c r="N266"/>
  <c r="M267"/>
  <c r="L269"/>
  <c r="K270"/>
  <c r="J271"/>
  <c r="J272"/>
  <c r="I273"/>
  <c r="H274"/>
  <c r="G276"/>
  <c r="F277"/>
  <c r="E278"/>
  <c r="E279"/>
  <c r="O279"/>
  <c r="N280"/>
  <c r="M282"/>
  <c r="L283"/>
  <c r="K284"/>
  <c r="K285"/>
  <c r="J286"/>
  <c r="I287"/>
  <c r="H289"/>
  <c r="G290"/>
  <c r="F291"/>
  <c r="F292"/>
  <c r="E293"/>
  <c r="O293"/>
  <c r="N295"/>
  <c r="M296"/>
  <c r="L297"/>
  <c r="L298"/>
  <c r="K299"/>
  <c r="J300"/>
  <c r="I302"/>
  <c r="H303"/>
  <c r="G304"/>
  <c r="G305"/>
  <c r="F306"/>
  <c r="E307"/>
  <c r="O308"/>
  <c r="N309"/>
  <c r="M310"/>
  <c r="M311"/>
  <c r="L312"/>
  <c r="K313"/>
  <c r="J315"/>
  <c r="I316"/>
  <c r="H317"/>
  <c r="H318"/>
  <c r="G319"/>
  <c r="F320"/>
  <c r="E322"/>
  <c r="O322"/>
  <c r="N323"/>
  <c r="H327"/>
  <c r="O328"/>
  <c r="K330"/>
  <c r="G332"/>
  <c r="N333"/>
  <c r="J335"/>
  <c r="F337"/>
  <c r="M338"/>
  <c r="I340"/>
  <c r="E342"/>
  <c r="L343"/>
  <c r="F247"/>
  <c r="E248"/>
  <c r="E249"/>
  <c r="O249"/>
  <c r="N250"/>
  <c r="M252"/>
  <c r="L253"/>
  <c r="K254"/>
  <c r="K255"/>
  <c r="J256"/>
  <c r="I257"/>
  <c r="H259"/>
  <c r="G260"/>
  <c r="F261"/>
  <c r="F262"/>
  <c r="E263"/>
  <c r="O263"/>
  <c r="N265"/>
  <c r="M266"/>
  <c r="L267"/>
  <c r="L268"/>
  <c r="K269"/>
  <c r="J270"/>
  <c r="I272"/>
  <c r="H273"/>
  <c r="G274"/>
  <c r="G275"/>
  <c r="F276"/>
  <c r="E277"/>
  <c r="O278"/>
  <c r="N279"/>
  <c r="M280"/>
  <c r="M281"/>
  <c r="L282"/>
  <c r="K283"/>
  <c r="J285"/>
  <c r="I286"/>
  <c r="H287"/>
  <c r="H288"/>
  <c r="G289"/>
  <c r="F290"/>
  <c r="E292"/>
  <c r="O292"/>
  <c r="N293"/>
  <c r="N294"/>
  <c r="M295"/>
  <c r="L296"/>
  <c r="K298"/>
  <c r="J299"/>
  <c r="I300"/>
  <c r="I301"/>
  <c r="H302"/>
  <c r="G303"/>
  <c r="F305"/>
  <c r="E306"/>
  <c r="O306"/>
  <c r="O307"/>
  <c r="N308"/>
  <c r="M309"/>
  <c r="L311"/>
  <c r="K312"/>
  <c r="J313"/>
  <c r="J314"/>
  <c r="I315"/>
  <c r="H316"/>
  <c r="G318"/>
  <c r="F319"/>
  <c r="E320"/>
  <c r="E321"/>
  <c r="O321"/>
  <c r="N322"/>
  <c r="N324"/>
  <c r="O325"/>
  <c r="F327"/>
  <c r="M328"/>
  <c r="I330"/>
  <c r="E332"/>
  <c r="L333"/>
  <c r="H335"/>
  <c r="O336"/>
  <c r="K338"/>
  <c r="G340"/>
  <c r="N341"/>
  <c r="J343"/>
  <c r="F346"/>
  <c r="I349"/>
  <c r="L352"/>
  <c r="O355"/>
  <c r="G359"/>
  <c r="J362"/>
  <c r="M365"/>
  <c r="E369"/>
  <c r="H372"/>
  <c r="K375"/>
  <c r="N378"/>
  <c r="F382"/>
  <c r="F203"/>
  <c r="L203"/>
  <c r="G204"/>
  <c r="M204"/>
  <c r="H205"/>
  <c r="N205"/>
  <c r="I206"/>
  <c r="O206"/>
  <c r="J207"/>
  <c r="E208"/>
  <c r="K208"/>
  <c r="F209"/>
  <c r="L209"/>
  <c r="G210"/>
  <c r="M210"/>
  <c r="H211"/>
  <c r="N211"/>
  <c r="I212"/>
  <c r="O212"/>
  <c r="J213"/>
  <c r="E214"/>
  <c r="K214"/>
  <c r="F215"/>
  <c r="L215"/>
  <c r="G216"/>
  <c r="M216"/>
  <c r="H217"/>
  <c r="N217"/>
  <c r="I218"/>
  <c r="O218"/>
  <c r="J219"/>
  <c r="E220"/>
  <c r="K220"/>
  <c r="F221"/>
  <c r="L221"/>
  <c r="G222"/>
  <c r="M222"/>
  <c r="H223"/>
  <c r="N223"/>
  <c r="I224"/>
  <c r="O224"/>
  <c r="J225"/>
  <c r="E226"/>
  <c r="K226"/>
  <c r="F227"/>
  <c r="L227"/>
  <c r="G228"/>
  <c r="M228"/>
  <c r="H229"/>
  <c r="N229"/>
  <c r="I230"/>
  <c r="O230"/>
  <c r="J231"/>
  <c r="E232"/>
  <c r="K232"/>
  <c r="F233"/>
  <c r="L233"/>
  <c r="G234"/>
  <c r="M234"/>
  <c r="H235"/>
  <c r="N235"/>
  <c r="I236"/>
  <c r="O236"/>
  <c r="J237"/>
  <c r="E238"/>
  <c r="K238"/>
  <c r="F239"/>
  <c r="L239"/>
  <c r="G240"/>
  <c r="M240"/>
  <c r="H241"/>
  <c r="N241"/>
  <c r="I242"/>
  <c r="O242"/>
  <c r="J243"/>
  <c r="E244"/>
  <c r="K244"/>
  <c r="F245"/>
  <c r="L245"/>
  <c r="G246"/>
  <c r="E247"/>
  <c r="O248"/>
  <c r="N249"/>
  <c r="M250"/>
  <c r="M251"/>
  <c r="L252"/>
  <c r="K253"/>
  <c r="J255"/>
  <c r="I256"/>
  <c r="H257"/>
  <c r="H258"/>
  <c r="G259"/>
  <c r="F260"/>
  <c r="E262"/>
  <c r="O262"/>
  <c r="N263"/>
  <c r="N264"/>
  <c r="M265"/>
  <c r="L266"/>
  <c r="K268"/>
  <c r="J269"/>
  <c r="I270"/>
  <c r="I271"/>
  <c r="H272"/>
  <c r="G273"/>
  <c r="F275"/>
  <c r="E276"/>
  <c r="O276"/>
  <c r="O277"/>
  <c r="N278"/>
  <c r="M279"/>
  <c r="L281"/>
  <c r="K282"/>
  <c r="J283"/>
  <c r="J284"/>
  <c r="I285"/>
  <c r="H286"/>
  <c r="G288"/>
  <c r="F289"/>
  <c r="E290"/>
  <c r="E291"/>
  <c r="O291"/>
  <c r="N292"/>
  <c r="M294"/>
  <c r="L295"/>
  <c r="K296"/>
  <c r="K297"/>
  <c r="J298"/>
  <c r="I299"/>
  <c r="H301"/>
  <c r="G302"/>
  <c r="F303"/>
  <c r="F304"/>
  <c r="E305"/>
  <c r="O305"/>
  <c r="N307"/>
  <c r="M308"/>
  <c r="L309"/>
  <c r="L310"/>
  <c r="K311"/>
  <c r="J312"/>
  <c r="I314"/>
  <c r="H315"/>
  <c r="G316"/>
  <c r="G317"/>
  <c r="F318"/>
  <c r="E319"/>
  <c r="O320"/>
  <c r="N321"/>
  <c r="M322"/>
  <c r="M323"/>
  <c r="L324"/>
  <c r="M325"/>
  <c r="O246"/>
  <c r="O247"/>
  <c r="N248"/>
  <c r="M249"/>
  <c r="L251"/>
  <c r="K252"/>
  <c r="J253"/>
  <c r="J254"/>
  <c r="I255"/>
  <c r="H256"/>
  <c r="G258"/>
  <c r="F259"/>
  <c r="E260"/>
  <c r="E261"/>
  <c r="O261"/>
  <c r="N262"/>
  <c r="M264"/>
  <c r="L265"/>
  <c r="K266"/>
  <c r="K267"/>
  <c r="J268"/>
  <c r="I269"/>
  <c r="H271"/>
  <c r="G272"/>
  <c r="F273"/>
  <c r="F274"/>
  <c r="E275"/>
  <c r="O275"/>
  <c r="N277"/>
  <c r="M278"/>
  <c r="L279"/>
  <c r="L280"/>
  <c r="K281"/>
  <c r="J282"/>
  <c r="I284"/>
  <c r="H285"/>
  <c r="G286"/>
  <c r="G287"/>
  <c r="F288"/>
  <c r="E289"/>
  <c r="O290"/>
  <c r="N291"/>
  <c r="M292"/>
  <c r="M293"/>
  <c r="L294"/>
  <c r="K295"/>
  <c r="J297"/>
  <c r="I298"/>
  <c r="H299"/>
  <c r="H300"/>
  <c r="G301"/>
  <c r="F302"/>
  <c r="E304"/>
  <c r="O304"/>
  <c r="N305"/>
  <c r="N306"/>
  <c r="M307"/>
  <c r="L308"/>
  <c r="K310"/>
  <c r="J311"/>
  <c r="I312"/>
  <c r="I313"/>
  <c r="H314"/>
  <c r="G315"/>
  <c r="F317"/>
  <c r="E318"/>
  <c r="O318"/>
  <c r="O319"/>
  <c r="N320"/>
  <c r="M321"/>
  <c r="L323"/>
  <c r="K324"/>
  <c r="L325"/>
  <c r="E327"/>
  <c r="L328"/>
  <c r="H330"/>
  <c r="O331"/>
  <c r="K333"/>
  <c r="G335"/>
  <c r="N336"/>
  <c r="J338"/>
  <c r="F340"/>
  <c r="M341"/>
  <c r="I343"/>
  <c r="K345"/>
  <c r="N348"/>
  <c r="F352"/>
  <c r="I355"/>
  <c r="L358"/>
  <c r="O361"/>
  <c r="G365"/>
  <c r="J368"/>
  <c r="M371"/>
  <c r="E375"/>
  <c r="H378"/>
  <c r="K381"/>
  <c r="M324"/>
  <c r="H325"/>
  <c r="N325"/>
  <c r="I326"/>
  <c r="O326"/>
  <c r="J327"/>
  <c r="E328"/>
  <c r="K328"/>
  <c r="F329"/>
  <c r="L329"/>
  <c r="G330"/>
  <c r="M330"/>
  <c r="H331"/>
  <c r="N331"/>
  <c r="I332"/>
  <c r="O332"/>
  <c r="J333"/>
  <c r="E334"/>
  <c r="K334"/>
  <c r="F335"/>
  <c r="L335"/>
  <c r="G336"/>
  <c r="M336"/>
  <c r="H337"/>
  <c r="N337"/>
  <c r="I338"/>
  <c r="O338"/>
  <c r="J339"/>
  <c r="E340"/>
  <c r="K340"/>
  <c r="F341"/>
  <c r="L341"/>
  <c r="G342"/>
  <c r="M342"/>
  <c r="H343"/>
  <c r="N343"/>
  <c r="I344"/>
  <c r="O344"/>
  <c r="J345"/>
  <c r="E346"/>
  <c r="K346"/>
  <c r="F347"/>
  <c r="L347"/>
  <c r="G348"/>
  <c r="M348"/>
  <c r="H349"/>
  <c r="N349"/>
  <c r="I350"/>
  <c r="O350"/>
  <c r="J351"/>
  <c r="E352"/>
  <c r="K352"/>
  <c r="F353"/>
  <c r="L353"/>
  <c r="G354"/>
  <c r="M354"/>
  <c r="H355"/>
  <c r="N355"/>
  <c r="I356"/>
  <c r="O356"/>
  <c r="J357"/>
  <c r="E358"/>
  <c r="K358"/>
  <c r="F359"/>
  <c r="L359"/>
  <c r="G360"/>
  <c r="M360"/>
  <c r="H361"/>
  <c r="N361"/>
  <c r="I362"/>
  <c r="O362"/>
  <c r="J363"/>
  <c r="E364"/>
  <c r="K364"/>
  <c r="F365"/>
  <c r="L365"/>
  <c r="G366"/>
  <c r="M366"/>
  <c r="H367"/>
  <c r="N367"/>
  <c r="I368"/>
  <c r="O368"/>
  <c r="J369"/>
  <c r="E370"/>
  <c r="K370"/>
  <c r="F371"/>
  <c r="L371"/>
  <c r="G372"/>
  <c r="M372"/>
  <c r="H373"/>
  <c r="N373"/>
  <c r="I374"/>
  <c r="O374"/>
  <c r="J375"/>
  <c r="E376"/>
  <c r="K376"/>
  <c r="F377"/>
  <c r="L377"/>
  <c r="G378"/>
  <c r="M378"/>
  <c r="H379"/>
  <c r="N379"/>
  <c r="I380"/>
  <c r="O380"/>
  <c r="J381"/>
  <c r="E382"/>
  <c r="K382"/>
  <c r="F383"/>
  <c r="L383"/>
  <c r="N326"/>
  <c r="I327"/>
  <c r="O327"/>
  <c r="J328"/>
  <c r="E329"/>
  <c r="K329"/>
  <c r="F330"/>
  <c r="L330"/>
  <c r="G331"/>
  <c r="M331"/>
  <c r="H332"/>
  <c r="N332"/>
  <c r="I333"/>
  <c r="O333"/>
  <c r="J334"/>
  <c r="E335"/>
  <c r="K335"/>
  <c r="F336"/>
  <c r="L336"/>
  <c r="G337"/>
  <c r="M337"/>
  <c r="H338"/>
  <c r="N338"/>
  <c r="I339"/>
  <c r="O339"/>
  <c r="J340"/>
  <c r="E341"/>
  <c r="K341"/>
  <c r="F342"/>
  <c r="L342"/>
  <c r="G343"/>
  <c r="M343"/>
  <c r="H344"/>
  <c r="N344"/>
  <c r="I345"/>
  <c r="O345"/>
  <c r="J346"/>
  <c r="E347"/>
  <c r="K347"/>
  <c r="F348"/>
  <c r="L348"/>
  <c r="G349"/>
  <c r="M349"/>
  <c r="H350"/>
  <c r="N350"/>
  <c r="I351"/>
  <c r="O351"/>
  <c r="J352"/>
  <c r="E353"/>
  <c r="K353"/>
  <c r="F354"/>
  <c r="L354"/>
  <c r="G355"/>
  <c r="M355"/>
  <c r="H356"/>
  <c r="N356"/>
  <c r="I357"/>
  <c r="O357"/>
  <c r="J358"/>
  <c r="E359"/>
  <c r="K359"/>
  <c r="F360"/>
  <c r="L360"/>
  <c r="G361"/>
  <c r="M361"/>
  <c r="H362"/>
  <c r="N362"/>
  <c r="I363"/>
  <c r="O363"/>
  <c r="J364"/>
  <c r="E365"/>
  <c r="K365"/>
  <c r="F366"/>
  <c r="L366"/>
  <c r="G367"/>
  <c r="M367"/>
  <c r="H368"/>
  <c r="N368"/>
  <c r="I369"/>
  <c r="O369"/>
  <c r="J370"/>
  <c r="E371"/>
  <c r="K371"/>
  <c r="F372"/>
  <c r="L372"/>
  <c r="G373"/>
  <c r="M373"/>
  <c r="H374"/>
  <c r="N374"/>
  <c r="I375"/>
  <c r="O375"/>
  <c r="J376"/>
  <c r="E377"/>
  <c r="K377"/>
  <c r="F378"/>
  <c r="L378"/>
  <c r="G379"/>
  <c r="M379"/>
  <c r="H380"/>
  <c r="N380"/>
  <c r="I381"/>
  <c r="O381"/>
  <c r="J382"/>
  <c r="E383"/>
  <c r="K383"/>
  <c r="M344"/>
  <c r="H345"/>
  <c r="N345"/>
  <c r="I346"/>
  <c r="O346"/>
  <c r="J347"/>
  <c r="E348"/>
  <c r="K348"/>
  <c r="F349"/>
  <c r="L349"/>
  <c r="G350"/>
  <c r="M350"/>
  <c r="H351"/>
  <c r="N351"/>
  <c r="I352"/>
  <c r="O352"/>
  <c r="J353"/>
  <c r="E354"/>
  <c r="K354"/>
  <c r="F355"/>
  <c r="L355"/>
  <c r="G356"/>
  <c r="M356"/>
  <c r="H357"/>
  <c r="N357"/>
  <c r="I358"/>
  <c r="O358"/>
  <c r="J359"/>
  <c r="E360"/>
  <c r="K360"/>
  <c r="F361"/>
  <c r="L361"/>
  <c r="G362"/>
  <c r="M362"/>
  <c r="H363"/>
  <c r="N363"/>
  <c r="I364"/>
  <c r="O364"/>
  <c r="J365"/>
  <c r="E366"/>
  <c r="K366"/>
  <c r="F367"/>
  <c r="L367"/>
  <c r="G368"/>
  <c r="M368"/>
  <c r="H369"/>
  <c r="N369"/>
  <c r="I370"/>
  <c r="O370"/>
  <c r="J371"/>
  <c r="E372"/>
  <c r="K372"/>
  <c r="F373"/>
  <c r="L373"/>
  <c r="G374"/>
  <c r="M374"/>
  <c r="H375"/>
  <c r="N375"/>
  <c r="I376"/>
  <c r="O376"/>
  <c r="J377"/>
  <c r="E378"/>
  <c r="K378"/>
  <c r="F379"/>
  <c r="L379"/>
  <c r="G380"/>
  <c r="M380"/>
  <c r="H381"/>
  <c r="N381"/>
  <c r="I382"/>
  <c r="O382"/>
  <c r="J383"/>
  <c r="L326"/>
  <c r="G327"/>
  <c r="M327"/>
  <c r="H328"/>
  <c r="N328"/>
  <c r="I329"/>
  <c r="O329"/>
  <c r="J330"/>
  <c r="E331"/>
  <c r="K331"/>
  <c r="F332"/>
  <c r="L332"/>
  <c r="G333"/>
  <c r="M333"/>
  <c r="H334"/>
  <c r="N334"/>
  <c r="I335"/>
  <c r="O335"/>
  <c r="J336"/>
  <c r="E337"/>
  <c r="K337"/>
  <c r="F338"/>
  <c r="L338"/>
  <c r="G339"/>
  <c r="M339"/>
  <c r="H340"/>
  <c r="N340"/>
  <c r="I341"/>
  <c r="O341"/>
  <c r="J342"/>
  <c r="E343"/>
  <c r="K343"/>
  <c r="F344"/>
  <c r="L344"/>
  <c r="G345"/>
  <c r="M345"/>
  <c r="H346"/>
  <c r="N346"/>
  <c r="I347"/>
  <c r="O347"/>
  <c r="J348"/>
  <c r="E349"/>
  <c r="K349"/>
  <c r="F350"/>
  <c r="L350"/>
  <c r="G351"/>
  <c r="M351"/>
  <c r="H352"/>
  <c r="N352"/>
  <c r="I353"/>
  <c r="O353"/>
  <c r="J354"/>
  <c r="E355"/>
  <c r="K355"/>
  <c r="F356"/>
  <c r="L356"/>
  <c r="G357"/>
  <c r="M357"/>
  <c r="H358"/>
  <c r="N358"/>
  <c r="I359"/>
  <c r="O359"/>
  <c r="J360"/>
  <c r="E361"/>
  <c r="K361"/>
  <c r="F362"/>
  <c r="L362"/>
  <c r="G363"/>
  <c r="M363"/>
  <c r="H364"/>
  <c r="N364"/>
  <c r="I365"/>
  <c r="O365"/>
  <c r="J366"/>
  <c r="E367"/>
  <c r="K367"/>
  <c r="F368"/>
  <c r="L368"/>
  <c r="G369"/>
  <c r="M369"/>
  <c r="H370"/>
  <c r="N370"/>
  <c r="I371"/>
  <c r="O371"/>
  <c r="J372"/>
  <c r="E373"/>
  <c r="K373"/>
  <c r="F374"/>
  <c r="L374"/>
  <c r="G375"/>
  <c r="M375"/>
  <c r="H376"/>
  <c r="N376"/>
  <c r="I377"/>
  <c r="O377"/>
  <c r="J378"/>
  <c r="E379"/>
  <c r="K379"/>
  <c r="F380"/>
  <c r="L380"/>
  <c r="G381"/>
  <c r="M381"/>
  <c r="H382"/>
  <c r="N382"/>
  <c r="I383"/>
  <c r="O383"/>
  <c r="K344"/>
  <c r="F345"/>
  <c r="L345"/>
  <c r="G346"/>
  <c r="M346"/>
  <c r="H347"/>
  <c r="N347"/>
  <c r="I348"/>
  <c r="O348"/>
  <c r="J349"/>
  <c r="E350"/>
  <c r="K350"/>
  <c r="F351"/>
  <c r="L351"/>
  <c r="G352"/>
  <c r="M352"/>
  <c r="H353"/>
  <c r="N353"/>
  <c r="I354"/>
  <c r="O354"/>
  <c r="J355"/>
  <c r="E356"/>
  <c r="K356"/>
  <c r="F357"/>
  <c r="L357"/>
  <c r="G358"/>
  <c r="M358"/>
  <c r="H359"/>
  <c r="N359"/>
  <c r="I360"/>
  <c r="O360"/>
  <c r="J361"/>
  <c r="E362"/>
  <c r="K362"/>
  <c r="F363"/>
  <c r="L363"/>
  <c r="G364"/>
  <c r="M364"/>
  <c r="H365"/>
  <c r="N365"/>
  <c r="I366"/>
  <c r="O366"/>
  <c r="J367"/>
  <c r="E368"/>
  <c r="K368"/>
  <c r="F369"/>
  <c r="L369"/>
  <c r="G370"/>
  <c r="M370"/>
  <c r="H371"/>
  <c r="N371"/>
  <c r="I372"/>
  <c r="O372"/>
  <c r="J373"/>
  <c r="E374"/>
  <c r="K374"/>
  <c r="F375"/>
  <c r="L375"/>
  <c r="G376"/>
  <c r="M376"/>
  <c r="H377"/>
  <c r="N377"/>
  <c r="I378"/>
  <c r="O378"/>
  <c r="J379"/>
  <c r="E380"/>
  <c r="K380"/>
  <c r="F381"/>
  <c r="L381"/>
  <c r="G382"/>
  <c r="M382"/>
  <c r="H383"/>
  <c r="N383"/>
  <c r="R1" i="1" a="1"/>
  <c r="R1" s="1"/>
  <c r="O6" i="2" a="1"/>
  <c r="O6" s="1"/>
  <c r="N6" a="1"/>
  <c r="N6" s="1"/>
  <c r="B18" i="1" l="1" a="1"/>
  <c r="B18" s="1"/>
  <c r="C18" a="1"/>
  <c r="C18" s="1"/>
  <c r="D18" a="1"/>
  <c r="D18" s="1"/>
  <c r="G18" a="1"/>
  <c r="G18" s="1"/>
  <c r="H18" l="1"/>
  <c r="I392" l="1"/>
  <c r="I391"/>
  <c r="I390"/>
  <c r="I389"/>
  <c r="I388"/>
  <c r="I387"/>
  <c r="I386"/>
  <c r="I385"/>
  <c r="I384"/>
  <c r="I383"/>
  <c r="I382"/>
  <c r="I381"/>
  <c r="I380"/>
  <c r="I379"/>
  <c r="I3"/>
  <c r="C9" i="2" l="1"/>
  <c r="I4" i="1"/>
  <c r="B9" i="2" l="1"/>
  <c r="I5" i="1"/>
  <c r="C11" i="2" s="1"/>
  <c r="C10"/>
  <c r="D9" a="1"/>
  <c r="B10" l="1"/>
  <c r="B11" s="1"/>
  <c r="D9"/>
  <c r="I6" i="1"/>
  <c r="D10" i="2" a="1"/>
  <c r="D11" a="1"/>
  <c r="D10" l="1"/>
  <c r="D11"/>
  <c r="C12"/>
  <c r="I7" i="1"/>
  <c r="B12" i="2" l="1"/>
  <c r="I8" i="1"/>
  <c r="I9" s="1"/>
  <c r="C13" i="2"/>
  <c r="D12" a="1"/>
  <c r="D12" l="1"/>
  <c r="C14"/>
  <c r="B13"/>
  <c r="C15"/>
  <c r="I10" i="1"/>
  <c r="C16" i="2" s="1"/>
  <c r="D13" a="1"/>
  <c r="D13" l="1"/>
  <c r="B14"/>
  <c r="B15"/>
  <c r="B16" s="1"/>
  <c r="I11" i="1"/>
  <c r="C17" i="2" s="1"/>
  <c r="D16" a="1"/>
  <c r="D14" a="1"/>
  <c r="D15" a="1"/>
  <c r="D15" l="1"/>
  <c r="D14"/>
  <c r="D16"/>
  <c r="B17"/>
  <c r="I12" i="1"/>
  <c r="D17" i="2" a="1"/>
  <c r="D17" l="1"/>
  <c r="I13" i="1"/>
  <c r="I14" s="1"/>
  <c r="I15" s="1"/>
  <c r="I16" s="1"/>
  <c r="I17" s="1"/>
  <c r="I18" s="1"/>
  <c r="I19" s="1"/>
  <c r="I20" s="1"/>
  <c r="I21" s="1"/>
  <c r="I22" s="1"/>
  <c r="I23" s="1"/>
  <c r="I24" s="1"/>
  <c r="I25" s="1"/>
  <c r="I26" s="1"/>
  <c r="I27" s="1"/>
  <c r="I28" s="1"/>
  <c r="I29" s="1"/>
  <c r="I30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I80" s="1"/>
  <c r="I81" s="1"/>
  <c r="I82" s="1"/>
  <c r="I83" s="1"/>
  <c r="I84" s="1"/>
  <c r="I85" s="1"/>
  <c r="I86" s="1"/>
  <c r="I87" s="1"/>
  <c r="I88" s="1"/>
  <c r="I89" s="1"/>
  <c r="I90" s="1"/>
  <c r="I91" s="1"/>
  <c r="I92" s="1"/>
  <c r="I93" s="1"/>
  <c r="I94" s="1"/>
  <c r="I95" s="1"/>
  <c r="I96" s="1"/>
  <c r="I97" s="1"/>
  <c r="I98" s="1"/>
  <c r="I99" s="1"/>
  <c r="I100" s="1"/>
  <c r="I101" s="1"/>
  <c r="I102" s="1"/>
  <c r="I103" s="1"/>
  <c r="I104" s="1"/>
  <c r="I105" s="1"/>
  <c r="I106" s="1"/>
  <c r="I107" s="1"/>
  <c r="I108" s="1"/>
  <c r="I109" s="1"/>
  <c r="I110" s="1"/>
  <c r="I111" s="1"/>
  <c r="I112" s="1"/>
  <c r="I113" s="1"/>
  <c r="I114" s="1"/>
  <c r="I115" s="1"/>
  <c r="I116" s="1"/>
  <c r="I117" s="1"/>
  <c r="I118" s="1"/>
  <c r="I119" s="1"/>
  <c r="I120" s="1"/>
  <c r="I121" s="1"/>
  <c r="I122" s="1"/>
  <c r="I123" s="1"/>
  <c r="I124" s="1"/>
  <c r="I125" s="1"/>
  <c r="I126" s="1"/>
  <c r="I127" s="1"/>
  <c r="I128" s="1"/>
  <c r="I129" s="1"/>
  <c r="I130" s="1"/>
  <c r="I131" s="1"/>
  <c r="I132" s="1"/>
  <c r="I133" s="1"/>
  <c r="I134" s="1"/>
  <c r="I135" s="1"/>
  <c r="I136" s="1"/>
  <c r="I137" s="1"/>
  <c r="I138" s="1"/>
  <c r="I139" s="1"/>
  <c r="I140" s="1"/>
  <c r="I141" s="1"/>
  <c r="I142" s="1"/>
  <c r="I143" s="1"/>
  <c r="I144" s="1"/>
  <c r="I145" s="1"/>
  <c r="I146" s="1"/>
  <c r="I147" s="1"/>
  <c r="I148" s="1"/>
  <c r="I149" s="1"/>
  <c r="I150" s="1"/>
  <c r="I151" s="1"/>
  <c r="I152" s="1"/>
  <c r="I153" s="1"/>
  <c r="I154" s="1"/>
  <c r="I155" l="1"/>
  <c r="I156" s="1"/>
  <c r="I157" s="1"/>
  <c r="I158" s="1"/>
  <c r="I159" s="1"/>
  <c r="I160" s="1"/>
  <c r="I161" s="1"/>
  <c r="I162" s="1"/>
  <c r="I163" s="1"/>
  <c r="I164" s="1"/>
  <c r="I165" s="1"/>
  <c r="I166" s="1"/>
  <c r="I167" s="1"/>
  <c r="I168" s="1"/>
  <c r="I169" s="1"/>
  <c r="I170" s="1"/>
  <c r="I171" s="1"/>
  <c r="I172" s="1"/>
  <c r="I173" s="1"/>
  <c r="I174" s="1"/>
  <c r="I175" s="1"/>
  <c r="I176" s="1"/>
  <c r="I177" s="1"/>
  <c r="I178" s="1"/>
  <c r="I179" s="1"/>
  <c r="I180" s="1"/>
  <c r="I181" s="1"/>
  <c r="I182" s="1"/>
  <c r="I183" s="1"/>
  <c r="I184" s="1"/>
  <c r="I185" s="1"/>
  <c r="I186" s="1"/>
  <c r="I187" s="1"/>
  <c r="I188" s="1"/>
  <c r="I189" s="1"/>
  <c r="I190" s="1"/>
  <c r="I191" s="1"/>
  <c r="I192" s="1"/>
  <c r="I193" s="1"/>
  <c r="I194" s="1"/>
  <c r="I195" s="1"/>
  <c r="I196" s="1"/>
  <c r="I197" s="1"/>
  <c r="I198" s="1"/>
  <c r="I199" s="1"/>
  <c r="I200" l="1"/>
  <c r="I201" s="1"/>
  <c r="I202" s="1"/>
  <c r="I203" s="1"/>
  <c r="I204" s="1"/>
  <c r="I205" s="1"/>
  <c r="I206" s="1"/>
  <c r="I207" s="1"/>
  <c r="I208" s="1"/>
  <c r="I209" s="1"/>
  <c r="I210" s="1"/>
  <c r="I211" s="1"/>
  <c r="I212" s="1"/>
  <c r="I213" s="1"/>
  <c r="I214" s="1"/>
  <c r="I215" s="1"/>
  <c r="I216" s="1"/>
  <c r="I217" s="1"/>
  <c r="I218" s="1"/>
  <c r="I219" s="1"/>
  <c r="I220" s="1"/>
  <c r="I221" s="1"/>
  <c r="I222" s="1"/>
  <c r="I223" s="1"/>
  <c r="I224" s="1"/>
  <c r="I225" s="1"/>
  <c r="I226" s="1"/>
  <c r="I227" s="1"/>
  <c r="I228" s="1"/>
  <c r="I229" s="1"/>
  <c r="I230" s="1"/>
  <c r="I231" s="1"/>
  <c r="I232" s="1"/>
  <c r="I233" s="1"/>
  <c r="I234" s="1"/>
  <c r="I235" s="1"/>
  <c r="I236" s="1"/>
  <c r="I237" s="1"/>
  <c r="I238" s="1"/>
  <c r="I239" s="1"/>
  <c r="I240" s="1"/>
  <c r="I241" s="1"/>
  <c r="I242" s="1"/>
  <c r="I243" s="1"/>
  <c r="I244" s="1"/>
  <c r="I245" s="1"/>
  <c r="I246" s="1"/>
  <c r="I247" s="1"/>
  <c r="I248" s="1"/>
  <c r="I249" s="1"/>
  <c r="I250" s="1"/>
  <c r="I251" s="1"/>
  <c r="I252" s="1"/>
  <c r="I253" s="1"/>
  <c r="I254" s="1"/>
  <c r="I255" s="1"/>
  <c r="I256" s="1"/>
  <c r="I257" s="1"/>
  <c r="I258" s="1"/>
  <c r="I259" s="1"/>
  <c r="I260" s="1"/>
  <c r="I261" s="1"/>
  <c r="I262" s="1"/>
  <c r="I263" s="1"/>
  <c r="I264" s="1"/>
  <c r="I265" s="1"/>
  <c r="I266" s="1"/>
  <c r="I267" s="1"/>
  <c r="I268" s="1"/>
  <c r="I269" s="1"/>
  <c r="I270" s="1"/>
  <c r="I271" s="1"/>
  <c r="I272" s="1"/>
  <c r="I273" s="1"/>
  <c r="I274" s="1"/>
  <c r="I275" s="1"/>
  <c r="I276" s="1"/>
  <c r="I277" s="1"/>
  <c r="I278" s="1"/>
  <c r="I279" s="1"/>
  <c r="I280" s="1"/>
  <c r="I281" s="1"/>
  <c r="I282" s="1"/>
  <c r="I283" s="1"/>
  <c r="I284" s="1"/>
  <c r="I285" s="1"/>
  <c r="I286" s="1"/>
  <c r="I287" s="1"/>
  <c r="I288" s="1"/>
  <c r="I289" s="1"/>
  <c r="I290" s="1"/>
  <c r="I291" s="1"/>
  <c r="I292" s="1"/>
  <c r="I293" s="1"/>
  <c r="I294" s="1"/>
  <c r="I295" s="1"/>
  <c r="I296" s="1"/>
  <c r="I297" s="1"/>
  <c r="I298" s="1"/>
  <c r="I299" s="1"/>
  <c r="I300" s="1"/>
  <c r="I301" s="1"/>
  <c r="I302" s="1"/>
  <c r="I303" s="1"/>
  <c r="I304" s="1"/>
  <c r="I305" s="1"/>
  <c r="I306" s="1"/>
  <c r="I307" s="1"/>
  <c r="I308" s="1"/>
  <c r="I309" s="1"/>
  <c r="I310" s="1"/>
  <c r="I311" s="1"/>
  <c r="I312" s="1"/>
  <c r="I313" s="1"/>
  <c r="I314" s="1"/>
  <c r="I315" s="1"/>
  <c r="I316" s="1"/>
  <c r="I317" s="1"/>
  <c r="I318" s="1"/>
  <c r="I319" s="1"/>
  <c r="I320" s="1"/>
  <c r="I321" s="1"/>
  <c r="I322" s="1"/>
  <c r="I323" s="1"/>
  <c r="I324" s="1"/>
  <c r="I325" s="1"/>
  <c r="I326" s="1"/>
  <c r="I327" s="1"/>
  <c r="I328" s="1"/>
  <c r="I329" s="1"/>
  <c r="I330" s="1"/>
  <c r="I331" s="1"/>
  <c r="I332" s="1"/>
  <c r="I333" s="1"/>
  <c r="I334" s="1"/>
  <c r="I335" s="1"/>
  <c r="I336" s="1"/>
  <c r="I337" s="1"/>
  <c r="I338" s="1"/>
  <c r="I339" s="1"/>
  <c r="I340" s="1"/>
  <c r="I341" s="1"/>
  <c r="I342" s="1"/>
  <c r="I343" s="1"/>
  <c r="I344" s="1"/>
  <c r="I345" s="1"/>
  <c r="I346" s="1"/>
  <c r="I347" s="1"/>
  <c r="I348" s="1"/>
  <c r="I349" s="1"/>
  <c r="I350" s="1"/>
  <c r="I351" s="1"/>
  <c r="I352" s="1"/>
  <c r="I353" s="1"/>
  <c r="I354" s="1"/>
  <c r="I355" s="1"/>
  <c r="I356" s="1"/>
  <c r="I357" s="1"/>
  <c r="I358" s="1"/>
  <c r="I359" s="1"/>
  <c r="I360" s="1"/>
  <c r="I361" s="1"/>
  <c r="I362" s="1"/>
  <c r="I363" s="1"/>
  <c r="I364" s="1"/>
  <c r="I365" s="1"/>
  <c r="I366" s="1"/>
  <c r="I367" s="1"/>
  <c r="I368" s="1"/>
  <c r="I369" s="1"/>
  <c r="I370" s="1"/>
  <c r="I371" s="1"/>
  <c r="I372" s="1"/>
  <c r="I373" s="1"/>
  <c r="I374" s="1"/>
  <c r="I375" s="1"/>
  <c r="I376" s="1"/>
  <c r="I377" s="1"/>
  <c r="I378" s="1"/>
  <c r="C232" i="2" l="1"/>
  <c r="C168"/>
  <c r="C255"/>
  <c r="C132"/>
  <c r="C75"/>
  <c r="C246"/>
  <c r="C313"/>
  <c r="C310"/>
  <c r="C44"/>
  <c r="C84"/>
  <c r="C337"/>
  <c r="C328"/>
  <c r="C301"/>
  <c r="C309"/>
  <c r="C325"/>
  <c r="C380"/>
  <c r="C320"/>
  <c r="C201"/>
  <c r="C295"/>
  <c r="C25"/>
  <c r="C205"/>
  <c r="C162"/>
  <c r="C258"/>
  <c r="C155"/>
  <c r="C88"/>
  <c r="C19"/>
  <c r="C58"/>
  <c r="C297"/>
  <c r="C32"/>
  <c r="C86"/>
  <c r="C326"/>
  <c r="C165"/>
  <c r="C64"/>
  <c r="C331"/>
  <c r="C211"/>
  <c r="C271"/>
  <c r="C268"/>
  <c r="C67"/>
  <c r="C117"/>
  <c r="C299"/>
  <c r="C60"/>
  <c r="C126"/>
  <c r="C357"/>
  <c r="C260"/>
  <c r="C219"/>
  <c r="C85"/>
  <c r="C358"/>
  <c r="C93"/>
  <c r="C264"/>
  <c r="C74"/>
  <c r="C220"/>
  <c r="C308"/>
  <c r="C284"/>
  <c r="C80"/>
  <c r="C374"/>
  <c r="C57"/>
  <c r="C87"/>
  <c r="C206"/>
  <c r="C66"/>
  <c r="C259"/>
  <c r="C23"/>
  <c r="C346"/>
  <c r="C26"/>
  <c r="C276"/>
  <c r="C345"/>
  <c r="C351"/>
  <c r="C378"/>
  <c r="C151"/>
  <c r="C349"/>
  <c r="C318"/>
  <c r="C204"/>
  <c r="C198"/>
  <c r="C98"/>
  <c r="C81"/>
  <c r="C359"/>
  <c r="C317"/>
  <c r="C363"/>
  <c r="C234"/>
  <c r="C306"/>
  <c r="C280"/>
  <c r="C233"/>
  <c r="C231"/>
  <c r="C251"/>
  <c r="C46"/>
  <c r="C315"/>
  <c r="C242"/>
  <c r="C70"/>
  <c r="C273"/>
  <c r="C348"/>
  <c r="C184"/>
  <c r="C197"/>
  <c r="C192"/>
  <c r="C227"/>
  <c r="C147"/>
  <c r="C148"/>
  <c r="C375"/>
  <c r="C373"/>
  <c r="C287"/>
  <c r="C322"/>
  <c r="C263"/>
  <c r="C340"/>
  <c r="C314"/>
  <c r="C236"/>
  <c r="C76"/>
  <c r="C142"/>
  <c r="C382"/>
  <c r="C319"/>
  <c r="C381"/>
  <c r="C185"/>
  <c r="C352"/>
  <c r="C114"/>
  <c r="C215"/>
  <c r="C190"/>
  <c r="C174"/>
  <c r="C177"/>
  <c r="C350"/>
  <c r="C112"/>
  <c r="C145"/>
  <c r="C110"/>
  <c r="C238"/>
  <c r="C270"/>
  <c r="C272"/>
  <c r="C138"/>
  <c r="C304"/>
  <c r="C203"/>
  <c r="C210"/>
  <c r="C353"/>
  <c r="C342"/>
  <c r="C368"/>
  <c r="C372"/>
  <c r="C123"/>
  <c r="C180"/>
  <c r="C235"/>
  <c r="C253"/>
  <c r="C316"/>
  <c r="C186"/>
  <c r="C364"/>
  <c r="C82"/>
  <c r="C343"/>
  <c r="C244"/>
  <c r="C224"/>
  <c r="C106"/>
  <c r="C22"/>
  <c r="C144"/>
  <c r="C207"/>
  <c r="C31"/>
  <c r="C196"/>
  <c r="C128"/>
  <c r="C54"/>
  <c r="C121"/>
  <c r="C40"/>
  <c r="C53"/>
  <c r="C28"/>
  <c r="C254"/>
  <c r="C102"/>
  <c r="C300"/>
  <c r="C334"/>
  <c r="C383"/>
  <c r="C181"/>
  <c r="C329"/>
  <c r="C71"/>
  <c r="C213"/>
  <c r="C281"/>
  <c r="C367"/>
  <c r="C191"/>
  <c r="C111"/>
  <c r="C245"/>
  <c r="C83"/>
  <c r="C226"/>
  <c r="C239"/>
  <c r="C24"/>
  <c r="C29"/>
  <c r="C228"/>
  <c r="C164"/>
  <c r="C222"/>
  <c r="C209"/>
  <c r="C279"/>
  <c r="C202"/>
  <c r="C52"/>
  <c r="C338"/>
  <c r="C159"/>
  <c r="C36"/>
  <c r="C200"/>
  <c r="C68"/>
  <c r="C321"/>
  <c r="C157"/>
  <c r="C335"/>
  <c r="C330"/>
  <c r="C385"/>
  <c r="C217"/>
  <c r="C187"/>
  <c r="C100"/>
  <c r="C104"/>
  <c r="C172"/>
  <c r="C302"/>
  <c r="C179"/>
  <c r="C362"/>
  <c r="C188"/>
  <c r="C163"/>
  <c r="C216"/>
  <c r="C43"/>
  <c r="C296"/>
  <c r="C277"/>
  <c r="C134"/>
  <c r="C323"/>
  <c r="C221"/>
  <c r="C41"/>
  <c r="C256"/>
  <c r="C282"/>
  <c r="C130"/>
  <c r="C150"/>
  <c r="C45"/>
  <c r="C377"/>
  <c r="C193"/>
  <c r="C369"/>
  <c r="C73"/>
  <c r="C61"/>
  <c r="C143"/>
  <c r="C77"/>
  <c r="C212"/>
  <c r="C218"/>
  <c r="C208"/>
  <c r="C94"/>
  <c r="C370"/>
  <c r="C183"/>
  <c r="C166"/>
  <c r="C265"/>
  <c r="C21"/>
  <c r="C158"/>
  <c r="C51"/>
  <c r="C136"/>
  <c r="C63"/>
  <c r="C149"/>
  <c r="C266"/>
  <c r="C69"/>
  <c r="C303"/>
  <c r="C341"/>
  <c r="C119"/>
  <c r="C229"/>
  <c r="C122"/>
  <c r="C176"/>
  <c r="C267"/>
  <c r="C384"/>
  <c r="C252"/>
  <c r="C95"/>
  <c r="C240"/>
  <c r="C115"/>
  <c r="C79"/>
  <c r="C154"/>
  <c r="C365"/>
  <c r="C152"/>
  <c r="C285"/>
  <c r="C361"/>
  <c r="C20"/>
  <c r="C292"/>
  <c r="C178"/>
  <c r="C161"/>
  <c r="C324"/>
  <c r="C116"/>
  <c r="C167"/>
  <c r="C223"/>
  <c r="C65"/>
  <c r="C18"/>
  <c r="C339"/>
  <c r="C55"/>
  <c r="C307"/>
  <c r="C137"/>
  <c r="C194"/>
  <c r="C90"/>
  <c r="C133"/>
  <c r="C311"/>
  <c r="C283"/>
  <c r="C336"/>
  <c r="C62"/>
  <c r="C278"/>
  <c r="C131"/>
  <c r="C42"/>
  <c r="C169"/>
  <c r="C33"/>
  <c r="C37"/>
  <c r="C107"/>
  <c r="C139"/>
  <c r="C293"/>
  <c r="C113"/>
  <c r="C105"/>
  <c r="C140"/>
  <c r="C247"/>
  <c r="C92"/>
  <c r="C96"/>
  <c r="C27"/>
  <c r="C376"/>
  <c r="C48"/>
  <c r="C347"/>
  <c r="C109"/>
  <c r="C333"/>
  <c r="C312"/>
  <c r="C290"/>
  <c r="C91"/>
  <c r="C160"/>
  <c r="C173"/>
  <c r="C371"/>
  <c r="C298"/>
  <c r="C34"/>
  <c r="C129"/>
  <c r="C275"/>
  <c r="C269"/>
  <c r="C72"/>
  <c r="C118"/>
  <c r="C289"/>
  <c r="C97"/>
  <c r="C225"/>
  <c r="C170"/>
  <c r="C59"/>
  <c r="C189"/>
  <c r="C50"/>
  <c r="C288"/>
  <c r="C379"/>
  <c r="C103"/>
  <c r="C366"/>
  <c r="C153"/>
  <c r="C175"/>
  <c r="C250"/>
  <c r="C257"/>
  <c r="C214"/>
  <c r="C262"/>
  <c r="C30"/>
  <c r="C127"/>
  <c r="C355"/>
  <c r="C47"/>
  <c r="C171"/>
  <c r="C199"/>
  <c r="C38"/>
  <c r="C360"/>
  <c r="C291"/>
  <c r="C56"/>
  <c r="C39"/>
  <c r="C327"/>
  <c r="C248"/>
  <c r="C195"/>
  <c r="C49"/>
  <c r="C156"/>
  <c r="C108"/>
  <c r="C274"/>
  <c r="C354"/>
  <c r="C125"/>
  <c r="C135"/>
  <c r="C182"/>
  <c r="C230"/>
  <c r="C120"/>
  <c r="C243"/>
  <c r="C294"/>
  <c r="C101"/>
  <c r="C261"/>
  <c r="C35"/>
  <c r="C305"/>
  <c r="C124"/>
  <c r="C78"/>
  <c r="C241"/>
  <c r="C99"/>
  <c r="C344"/>
  <c r="C332"/>
  <c r="C286"/>
  <c r="C146"/>
  <c r="C141"/>
  <c r="C89"/>
  <c r="C237"/>
  <c r="C356"/>
  <c r="C249"/>
  <c r="B385" l="1"/>
  <c r="B18"/>
  <c r="B19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5" s="1"/>
  <c r="B306" s="1"/>
  <c r="B307" s="1"/>
  <c r="B308" s="1"/>
  <c r="B309" s="1"/>
  <c r="B310" s="1"/>
  <c r="B311" s="1"/>
  <c r="B312" s="1"/>
  <c r="B313" s="1"/>
  <c r="B314" s="1"/>
  <c r="B315" s="1"/>
  <c r="B316" s="1"/>
  <c r="B317" s="1"/>
  <c r="B318" s="1"/>
  <c r="B319" s="1"/>
  <c r="B320" s="1"/>
  <c r="B321" s="1"/>
  <c r="B322" s="1"/>
  <c r="B323" s="1"/>
  <c r="B324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B364" s="1"/>
  <c r="B365" s="1"/>
  <c r="B366" s="1"/>
  <c r="B367" s="1"/>
  <c r="B368" s="1"/>
  <c r="B369" s="1"/>
  <c r="B370" s="1"/>
  <c r="B371" s="1"/>
  <c r="B372" s="1"/>
  <c r="B373" s="1"/>
  <c r="B374" s="1"/>
  <c r="B375" s="1"/>
  <c r="B376" s="1"/>
  <c r="B377" s="1"/>
  <c r="B378" s="1"/>
  <c r="B379" s="1"/>
  <c r="B380" s="1"/>
  <c r="B381" s="1"/>
  <c r="B382" s="1"/>
  <c r="B383" s="1"/>
  <c r="B384" s="1"/>
  <c r="D385" a="1"/>
  <c r="D385" s="1"/>
  <c r="D384" a="1"/>
  <c r="D295" a="1"/>
  <c r="D279" a="1"/>
  <c r="D278" a="1"/>
  <c r="D228" a="1"/>
  <c r="D333" a="1"/>
  <c r="D210" a="1"/>
  <c r="D51" a="1"/>
  <c r="D170" a="1"/>
  <c r="D46" a="1"/>
  <c r="D232" a="1"/>
  <c r="D365" a="1"/>
  <c r="D117" a="1"/>
  <c r="D115" a="1"/>
  <c r="D201" a="1"/>
  <c r="D194" a="1"/>
  <c r="D29" a="1"/>
  <c r="D173" a="1"/>
  <c r="D188" a="1"/>
  <c r="D189" a="1"/>
  <c r="D328" a="1"/>
  <c r="D99" a="1"/>
  <c r="D239" a="1"/>
  <c r="D207" a="1"/>
  <c r="D246" a="1"/>
  <c r="D255" a="1"/>
  <c r="D138" a="1"/>
  <c r="D44" a="1"/>
  <c r="D225" a="1"/>
  <c r="D282" a="1"/>
  <c r="D324" a="1"/>
  <c r="D24" a="1"/>
  <c r="D26" a="1"/>
  <c r="D168" a="1"/>
  <c r="D100" a="1"/>
  <c r="D254" a="1"/>
  <c r="D215" a="1"/>
  <c r="D111" a="1"/>
  <c r="D43" a="1"/>
  <c r="D200" a="1"/>
  <c r="D178" a="1"/>
  <c r="D264" a="1"/>
  <c r="D284" a="1"/>
  <c r="D39" a="1"/>
  <c r="D45" a="1"/>
  <c r="D361" a="1"/>
  <c r="D49" a="1"/>
  <c r="D18" a="1"/>
  <c r="D58" a="1"/>
  <c r="D250" a="1"/>
  <c r="D271" a="1"/>
  <c r="D25" a="1"/>
  <c r="D174" a="1"/>
  <c r="D261" a="1"/>
  <c r="D321" a="1"/>
  <c r="D330" a="1"/>
  <c r="D213" a="1"/>
  <c r="D318" a="1"/>
  <c r="D212" a="1"/>
  <c r="D48" a="1"/>
  <c r="D326" a="1"/>
  <c r="D325" a="1"/>
  <c r="D369" a="1"/>
  <c r="D55" a="1"/>
  <c r="D116" a="1"/>
  <c r="D102" a="1"/>
  <c r="D344" a="1"/>
  <c r="D198" a="1"/>
  <c r="D52" a="1"/>
  <c r="D161" a="1"/>
  <c r="D177" a="1"/>
  <c r="D185" a="1"/>
  <c r="D132" a="1"/>
  <c r="D106" a="1"/>
  <c r="D238" a="1"/>
  <c r="D67" a="1"/>
  <c r="D27" a="1"/>
  <c r="D249" a="1"/>
  <c r="D258" a="1"/>
  <c r="D260" a="1"/>
  <c r="D153" a="1"/>
  <c r="D247" a="1"/>
  <c r="D301" a="1"/>
  <c r="D94" a="1"/>
  <c r="D128" a="1"/>
  <c r="D107" a="1"/>
  <c r="D313" a="1"/>
  <c r="D221" a="1"/>
  <c r="D32" a="1"/>
  <c r="D172" a="1"/>
  <c r="D108" a="1"/>
  <c r="D112" a="1"/>
  <c r="D204" a="1"/>
  <c r="D310" a="1"/>
  <c r="D59" a="1"/>
  <c r="D155" a="1"/>
  <c r="D126" a="1"/>
  <c r="D335" a="1"/>
  <c r="D358" a="1"/>
  <c r="D72" a="1"/>
  <c r="D76" a="1"/>
  <c r="D81" a="1"/>
  <c r="D367" a="1"/>
  <c r="D113" a="1"/>
  <c r="D156" a="1"/>
  <c r="D272" a="1"/>
  <c r="D357" a="1"/>
  <c r="D287" a="1"/>
  <c r="D371" a="1"/>
  <c r="D292" a="1"/>
  <c r="D340" a="1"/>
  <c r="D353" a="1"/>
  <c r="D352" a="1"/>
  <c r="D283" a="1"/>
  <c r="D233" a="1"/>
  <c r="D298" a="1"/>
  <c r="D71" a="1"/>
  <c r="D356" a="1"/>
  <c r="D192" a="1"/>
  <c r="D346" a="1"/>
  <c r="D202" a="1"/>
  <c r="D171" a="1"/>
  <c r="D147" a="1"/>
  <c r="D285" a="1"/>
  <c r="D165" a="1"/>
  <c r="D372" a="1"/>
  <c r="D83" a="1"/>
  <c r="D79" a="1"/>
  <c r="D268" a="1"/>
  <c r="D143" a="1"/>
  <c r="D266" a="1"/>
  <c r="D251" a="1"/>
  <c r="D152" a="1"/>
  <c r="D332" a="1"/>
  <c r="D377" a="1"/>
  <c r="D133" a="1"/>
  <c r="D159" a="1"/>
  <c r="D180" a="1"/>
  <c r="D323" a="1"/>
  <c r="D235" a="1"/>
  <c r="D86" a="1"/>
  <c r="D331" a="1"/>
  <c r="D370" a="1"/>
  <c r="D379" a="1"/>
  <c r="D299" a="1"/>
  <c r="D216" a="1"/>
  <c r="D56" a="1"/>
  <c r="D222" a="1"/>
  <c r="D281" a="1"/>
  <c r="D291" a="1"/>
  <c r="D368" a="1"/>
  <c r="D21" a="1"/>
  <c r="D75" a="1"/>
  <c r="D73" a="1"/>
  <c r="D163" a="1"/>
  <c r="D203" a="1"/>
  <c r="D186" a="1"/>
  <c r="D129" a="1"/>
  <c r="D136" a="1"/>
  <c r="D176" a="1"/>
  <c r="D119" a="1"/>
  <c r="D61" a="1"/>
  <c r="D87" a="1"/>
  <c r="D82" a="1"/>
  <c r="D267" a="1"/>
  <c r="D127" a="1"/>
  <c r="D187" a="1"/>
  <c r="D265" a="1"/>
  <c r="D294" a="1"/>
  <c r="D62" a="1"/>
  <c r="D355" a="1"/>
  <c r="D317" a="1"/>
  <c r="D175" a="1"/>
  <c r="D36" a="1"/>
  <c r="D214" a="1"/>
  <c r="D296" a="1"/>
  <c r="D224" a="1"/>
  <c r="D275" a="1"/>
  <c r="D227" a="1"/>
  <c r="D218" a="1"/>
  <c r="D306" a="1"/>
  <c r="D220" a="1"/>
  <c r="D230" a="1"/>
  <c r="D374" a="1"/>
  <c r="D118" a="1"/>
  <c r="D101" a="1"/>
  <c r="D199" a="1"/>
  <c r="D34" a="1"/>
  <c r="D80" a="1"/>
  <c r="D151" a="1"/>
  <c r="D164" a="1"/>
  <c r="D191" a="1"/>
  <c r="D134" a="1"/>
  <c r="D381" a="1"/>
  <c r="D77" a="1"/>
  <c r="D54" a="1"/>
  <c r="D259" a="1"/>
  <c r="D96" a="1"/>
  <c r="D97" a="1"/>
  <c r="D253" a="1"/>
  <c r="D270" a="1"/>
  <c r="D338" a="1"/>
  <c r="D307" a="1"/>
  <c r="D148" a="1"/>
  <c r="D40" a="1"/>
  <c r="D104" a="1"/>
  <c r="D98" a="1"/>
  <c r="D320" a="1"/>
  <c r="D297" a="1"/>
  <c r="D351" a="1"/>
  <c r="D53" a="1"/>
  <c r="D33" a="1"/>
  <c r="D245" a="1"/>
  <c r="D269" a="1"/>
  <c r="D38" a="1"/>
  <c r="D343" a="1"/>
  <c r="D197" a="1"/>
  <c r="D241" a="1"/>
  <c r="D142" a="1"/>
  <c r="D304" a="1"/>
  <c r="D209" a="1"/>
  <c r="D145" a="1"/>
  <c r="D196" a="1"/>
  <c r="D252" a="1"/>
  <c r="D309" a="1"/>
  <c r="D376" a="1"/>
  <c r="D19" a="1"/>
  <c r="D305" a="1"/>
  <c r="D166" a="1"/>
  <c r="D286" a="1"/>
  <c r="D149" a="1"/>
  <c r="D137" a="1"/>
  <c r="D293" a="1"/>
  <c r="D109" a="1"/>
  <c r="D236" a="1"/>
  <c r="D208" a="1"/>
  <c r="D339" a="1"/>
  <c r="D302" a="1"/>
  <c r="D288" a="1"/>
  <c r="D315" a="1"/>
  <c r="D336" a="1"/>
  <c r="D219" a="1"/>
  <c r="D337" a="1"/>
  <c r="D378" a="1"/>
  <c r="D347" a="1"/>
  <c r="D20" a="1"/>
  <c r="D345" a="1"/>
  <c r="D93" a="1"/>
  <c r="D84" a="1"/>
  <c r="D60" a="1"/>
  <c r="D41" a="1"/>
  <c r="D130" a="1"/>
  <c r="D135" a="1"/>
  <c r="D190" a="1"/>
  <c r="D360" a="1"/>
  <c r="D95" a="1"/>
  <c r="D121" a="1"/>
  <c r="D139" a="1"/>
  <c r="D257" a="1"/>
  <c r="D256" a="1"/>
  <c r="D65" a="1"/>
  <c r="D329" a="1"/>
  <c r="D146" a="1"/>
  <c r="D314" a="1"/>
  <c r="D88" a="1"/>
  <c r="D217" a="1"/>
  <c r="D382" a="1"/>
  <c r="D243" a="1"/>
  <c r="D211" a="1"/>
  <c r="D276" a="1"/>
  <c r="D300" a="1"/>
  <c r="D319" a="1"/>
  <c r="D226" a="1"/>
  <c r="D341" a="1"/>
  <c r="D366" a="1"/>
  <c r="D290" a="1"/>
  <c r="D64" a="1"/>
  <c r="D89" a="1"/>
  <c r="D354" a="1"/>
  <c r="D348" a="1"/>
  <c r="D193" a="1"/>
  <c r="D182" a="1"/>
  <c r="D184" a="1"/>
  <c r="D35" a="1"/>
  <c r="D183" a="1"/>
  <c r="D327" a="1"/>
  <c r="D223" a="1"/>
  <c r="D311" a="1"/>
  <c r="D70" a="1"/>
  <c r="D92" a="1"/>
  <c r="D74" a="1"/>
  <c r="D248" a="1"/>
  <c r="D244" a="1"/>
  <c r="D262" a="1"/>
  <c r="D105" a="1"/>
  <c r="D349" a="1"/>
  <c r="D373" a="1"/>
  <c r="D158" a="1"/>
  <c r="D22" a="1"/>
  <c r="D342" a="1"/>
  <c r="D125" a="1"/>
  <c r="D144" a="1"/>
  <c r="D91" a="1"/>
  <c r="D141" a="1"/>
  <c r="D274" a="1"/>
  <c r="D350" a="1"/>
  <c r="D181" a="1"/>
  <c r="D110" a="1"/>
  <c r="D277" a="1"/>
  <c r="D231" a="1"/>
  <c r="D28" a="1"/>
  <c r="D263" a="1"/>
  <c r="D273" a="1"/>
  <c r="D162" a="1"/>
  <c r="D114" a="1"/>
  <c r="D68" a="1"/>
  <c r="D23" a="1"/>
  <c r="D205" a="1"/>
  <c r="D27" l="1"/>
  <c r="D45"/>
  <c r="D309"/>
  <c r="D343"/>
  <c r="D51"/>
  <c r="D178"/>
  <c r="D341"/>
  <c r="D311"/>
  <c r="D217"/>
  <c r="D149"/>
  <c r="D292"/>
  <c r="D99"/>
  <c r="D244"/>
  <c r="D172"/>
  <c r="D117"/>
  <c r="D235"/>
  <c r="D222"/>
  <c r="D171"/>
  <c r="D372"/>
  <c r="D349"/>
  <c r="D82"/>
  <c r="D288"/>
  <c r="D166"/>
  <c r="D355"/>
  <c r="D241"/>
  <c r="D263"/>
  <c r="D145"/>
  <c r="D382"/>
  <c r="D187"/>
  <c r="D105"/>
  <c r="D300"/>
  <c r="D338"/>
  <c r="D116"/>
  <c r="D184"/>
  <c r="D143"/>
  <c r="D136"/>
  <c r="D32"/>
  <c r="D273"/>
  <c r="D29"/>
  <c r="D213"/>
  <c r="D310"/>
  <c r="D137"/>
  <c r="D147"/>
  <c r="D225"/>
  <c r="D153"/>
  <c r="D49"/>
  <c r="D148"/>
  <c r="D101"/>
  <c r="D196"/>
  <c r="D329"/>
  <c r="D74"/>
  <c r="D336"/>
  <c r="D92"/>
  <c r="D209"/>
  <c r="D368"/>
  <c r="D20"/>
  <c r="D347"/>
  <c r="D351"/>
  <c r="D257"/>
  <c r="D43"/>
  <c r="D259"/>
  <c r="D201"/>
  <c r="D170"/>
  <c r="D243"/>
  <c r="D365"/>
  <c r="D361"/>
  <c r="D84"/>
  <c r="D253"/>
  <c r="D73"/>
  <c r="D72"/>
  <c r="D173"/>
  <c r="D186"/>
  <c r="D291"/>
  <c r="D121"/>
  <c r="D202"/>
  <c r="D320"/>
  <c r="D96"/>
  <c r="D200"/>
  <c r="D348"/>
  <c r="D248"/>
  <c r="D180"/>
  <c r="D264"/>
  <c r="D279"/>
  <c r="D115"/>
  <c r="D91"/>
  <c r="D331"/>
  <c r="D52"/>
  <c r="D376"/>
  <c r="D378"/>
  <c r="D21"/>
  <c r="D271"/>
  <c r="D80"/>
  <c r="D130"/>
  <c r="D352"/>
  <c r="D181"/>
  <c r="D128"/>
  <c r="D151"/>
  <c r="D297"/>
  <c r="D344"/>
  <c r="D83"/>
  <c r="D68"/>
  <c r="D373"/>
  <c r="D24"/>
  <c r="D44"/>
  <c r="D56"/>
  <c r="D203"/>
  <c r="D77"/>
  <c r="D53"/>
  <c r="D97"/>
  <c r="D318"/>
  <c r="D48"/>
  <c r="D19"/>
  <c r="D112"/>
  <c r="D102"/>
  <c r="D284"/>
  <c r="D204"/>
  <c r="D133"/>
  <c r="D239"/>
  <c r="D268"/>
  <c r="D216"/>
  <c r="D188"/>
  <c r="D86"/>
  <c r="D302"/>
  <c r="D185"/>
  <c r="D366"/>
  <c r="D62"/>
  <c r="D164"/>
  <c r="D315"/>
  <c r="D305"/>
  <c r="D35"/>
  <c r="D358"/>
  <c r="D328"/>
  <c r="D245"/>
  <c r="D333"/>
  <c r="D299"/>
  <c r="D267"/>
  <c r="D182"/>
  <c r="D113"/>
  <c r="D161"/>
  <c r="D324"/>
  <c r="D98"/>
  <c r="D33"/>
  <c r="D41"/>
  <c r="D319"/>
  <c r="D313"/>
  <c r="D67"/>
  <c r="D266"/>
  <c r="D39"/>
  <c r="D278"/>
  <c r="D254"/>
  <c r="D61"/>
  <c r="D158"/>
  <c r="D345"/>
  <c r="D374"/>
  <c r="D346"/>
  <c r="D177"/>
  <c r="D246"/>
  <c r="D238"/>
  <c r="D163"/>
  <c r="D287"/>
  <c r="D165"/>
  <c r="D135"/>
  <c r="D339"/>
  <c r="D134"/>
  <c r="D34"/>
  <c r="D211"/>
  <c r="D286"/>
  <c r="D330"/>
  <c r="D221"/>
  <c r="D220"/>
  <c r="D262"/>
  <c r="D214"/>
  <c r="D295"/>
  <c r="D317"/>
  <c r="D111"/>
  <c r="D183"/>
  <c r="D293"/>
  <c r="D232"/>
  <c r="D210"/>
  <c r="D36"/>
  <c r="D40"/>
  <c r="D93"/>
  <c r="D25"/>
  <c r="D379"/>
  <c r="D325"/>
  <c r="D301"/>
  <c r="D326"/>
  <c r="D127"/>
  <c r="D265"/>
  <c r="D353"/>
  <c r="D58"/>
  <c r="D360"/>
  <c r="D64"/>
  <c r="D198"/>
  <c r="D89"/>
  <c r="D191"/>
  <c r="D337"/>
  <c r="D306"/>
  <c r="D290"/>
  <c r="D350"/>
  <c r="D282"/>
  <c r="D199"/>
  <c r="D141"/>
  <c r="D138"/>
  <c r="D168"/>
  <c r="D226"/>
  <c r="D247"/>
  <c r="D335"/>
  <c r="D70"/>
  <c r="D212"/>
  <c r="D110"/>
  <c r="D327"/>
  <c r="D87"/>
  <c r="D367"/>
  <c r="D38"/>
  <c r="D236"/>
  <c r="D298"/>
  <c r="D190"/>
  <c r="D54"/>
  <c r="D275"/>
  <c r="D139"/>
  <c r="D215"/>
  <c r="D269"/>
  <c r="D46"/>
  <c r="D307"/>
  <c r="D152"/>
  <c r="D174"/>
  <c r="D94"/>
  <c r="D192"/>
  <c r="D119"/>
  <c r="D369"/>
  <c r="D125"/>
  <c r="D88"/>
  <c r="D283"/>
  <c r="D370"/>
  <c r="D276"/>
  <c r="D314"/>
  <c r="D356"/>
  <c r="D55"/>
  <c r="D18"/>
  <c r="D81"/>
  <c r="D76"/>
  <c r="D132"/>
  <c r="D277"/>
  <c r="D251"/>
  <c r="D258"/>
  <c r="D223"/>
  <c r="D23"/>
  <c r="D126"/>
  <c r="D175"/>
  <c r="D270"/>
  <c r="D321"/>
  <c r="D142"/>
  <c r="D342"/>
  <c r="D108"/>
  <c r="D118"/>
  <c r="D114"/>
  <c r="D381"/>
  <c r="D26"/>
  <c r="D377"/>
  <c r="D197"/>
  <c r="D228"/>
  <c r="D261"/>
  <c r="D255"/>
  <c r="D371"/>
  <c r="D340"/>
  <c r="D227"/>
  <c r="D189"/>
  <c r="D294"/>
  <c r="D106"/>
  <c r="D285"/>
  <c r="D230"/>
  <c r="D100"/>
  <c r="D194"/>
  <c r="D249"/>
  <c r="D231"/>
  <c r="D79"/>
  <c r="D332"/>
  <c r="D71"/>
  <c r="D323"/>
  <c r="D75"/>
  <c r="D129"/>
  <c r="D304"/>
  <c r="D59"/>
  <c r="D146"/>
  <c r="D65"/>
  <c r="D296"/>
  <c r="D155"/>
  <c r="D281"/>
  <c r="D28"/>
  <c r="D218"/>
  <c r="D205"/>
  <c r="D95"/>
  <c r="D207"/>
  <c r="D219"/>
  <c r="D109"/>
  <c r="D354"/>
  <c r="D252"/>
  <c r="D144"/>
  <c r="D260"/>
  <c r="D104"/>
  <c r="D384"/>
  <c r="D22"/>
  <c r="D357"/>
  <c r="D193"/>
  <c r="D256"/>
  <c r="D250"/>
  <c r="D208"/>
  <c r="D272"/>
  <c r="D162"/>
  <c r="D274"/>
  <c r="D107"/>
  <c r="D159"/>
  <c r="D233"/>
  <c r="D156"/>
  <c r="D176"/>
  <c r="D224"/>
  <c r="D60"/>
  <c r="D322" a="1"/>
  <c r="D30" a="1"/>
  <c r="D63" a="1"/>
  <c r="D242" a="1"/>
  <c r="D229" a="1"/>
  <c r="D42" a="1"/>
  <c r="D122" a="1"/>
  <c r="D240" a="1"/>
  <c r="D316" a="1"/>
  <c r="D363" a="1"/>
  <c r="D364" a="1"/>
  <c r="D380" a="1"/>
  <c r="D124" a="1"/>
  <c r="D289" a="1"/>
  <c r="D375" a="1"/>
  <c r="D69" a="1"/>
  <c r="D206" a="1"/>
  <c r="D167" a="1"/>
  <c r="D303" a="1"/>
  <c r="D47" a="1"/>
  <c r="D50" a="1"/>
  <c r="D362" a="1"/>
  <c r="D334" a="1"/>
  <c r="D31" a="1"/>
  <c r="D37" a="1"/>
  <c r="D131" a="1"/>
  <c r="D85" a="1"/>
  <c r="D383" a="1"/>
  <c r="D66" a="1"/>
  <c r="D308" a="1"/>
  <c r="D160" a="1"/>
  <c r="D234" a="1"/>
  <c r="D140" a="1"/>
  <c r="D359" a="1"/>
  <c r="D169" a="1"/>
  <c r="D280" a="1"/>
  <c r="D195" a="1"/>
  <c r="D90" a="1"/>
  <c r="D154" a="1"/>
  <c r="D120" a="1"/>
  <c r="D123" a="1"/>
  <c r="D150" a="1"/>
  <c r="D157" a="1"/>
  <c r="D237" a="1"/>
  <c r="D103" a="1"/>
  <c r="D57" a="1"/>
  <c r="D179" a="1"/>
  <c r="D78" a="1"/>
  <c r="D312" a="1"/>
  <c r="D312" l="1"/>
  <c r="D169"/>
  <c r="D359"/>
  <c r="D383"/>
  <c r="D322"/>
  <c r="D124"/>
  <c r="D242"/>
  <c r="D63"/>
  <c r="D30"/>
  <c r="D154"/>
  <c r="D69"/>
  <c r="D375"/>
  <c r="D363"/>
  <c r="D78"/>
  <c r="D160"/>
  <c r="D47"/>
  <c r="D362"/>
  <c r="D50"/>
  <c r="D31"/>
  <c r="D380"/>
  <c r="D195"/>
  <c r="D66"/>
  <c r="D37"/>
  <c r="D90"/>
  <c r="D237"/>
  <c r="D229"/>
  <c r="D42"/>
  <c r="D150"/>
  <c r="D240"/>
  <c r="D206"/>
  <c r="D157"/>
  <c r="D179"/>
  <c r="D122"/>
  <c r="D316"/>
  <c r="D120"/>
  <c r="D364"/>
  <c r="D123"/>
  <c r="D308"/>
  <c r="D234"/>
  <c r="D85"/>
  <c r="D140"/>
  <c r="D289"/>
  <c r="D167"/>
  <c r="D131"/>
  <c r="D303"/>
  <c r="D334"/>
  <c r="D57"/>
  <c r="D280"/>
  <c r="D10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<sst xmlns="http://schemas.openxmlformats.org/spreadsheetml/2006/main" count="482" uniqueCount="466">
  <si>
    <t>K</t>
  </si>
  <si>
    <t>Q</t>
  </si>
  <si>
    <t>X</t>
  </si>
  <si>
    <t>G</t>
  </si>
  <si>
    <t>F</t>
  </si>
  <si>
    <t>O</t>
  </si>
  <si>
    <t>M</t>
  </si>
  <si>
    <t>T</t>
  </si>
  <si>
    <t>코스피</t>
  </si>
  <si>
    <t>코스닥</t>
  </si>
  <si>
    <t>KRX</t>
  </si>
  <si>
    <t>글로벌/기타</t>
  </si>
  <si>
    <t>선물</t>
  </si>
  <si>
    <t>옵션</t>
  </si>
  <si>
    <t>멀티에셋</t>
  </si>
  <si>
    <t>일반상품/기타</t>
  </si>
  <si>
    <t>일반</t>
  </si>
  <si>
    <t>코스피200</t>
  </si>
  <si>
    <t>코스닥150</t>
  </si>
  <si>
    <t>KRX300</t>
  </si>
  <si>
    <t>국채</t>
  </si>
  <si>
    <t>통합</t>
  </si>
  <si>
    <t>R</t>
  </si>
  <si>
    <t>S</t>
  </si>
  <si>
    <t>Z</t>
  </si>
  <si>
    <t>D</t>
  </si>
  <si>
    <t>E</t>
  </si>
  <si>
    <t>W</t>
  </si>
  <si>
    <t>B</t>
  </si>
  <si>
    <t>V</t>
  </si>
  <si>
    <t>A</t>
  </si>
  <si>
    <t>산업/섹터</t>
  </si>
  <si>
    <t>사이즈</t>
  </si>
  <si>
    <t>배당</t>
  </si>
  <si>
    <t>ESG</t>
  </si>
  <si>
    <t>트렌드</t>
  </si>
  <si>
    <t>동일가중</t>
  </si>
  <si>
    <t>스마트베타</t>
  </si>
  <si>
    <t>레버리지/인버스</t>
  </si>
  <si>
    <t>목표변동성</t>
  </si>
  <si>
    <t>자산배분</t>
  </si>
  <si>
    <t>기타전략</t>
  </si>
  <si>
    <t>수익률</t>
  </si>
  <si>
    <t>P</t>
  </si>
  <si>
    <t>N</t>
  </si>
  <si>
    <t>가격지수</t>
  </si>
  <si>
    <t>TR지수</t>
  </si>
  <si>
    <t>NTR지수</t>
  </si>
  <si>
    <t>KGG01P</t>
  </si>
  <si>
    <t>KGS01P</t>
  </si>
  <si>
    <t>KGS02P</t>
  </si>
  <si>
    <t>KGS03P</t>
  </si>
  <si>
    <t>KGS04P</t>
  </si>
  <si>
    <t>KGS05P</t>
  </si>
  <si>
    <t>KGS06P</t>
  </si>
  <si>
    <t>KGS07P</t>
  </si>
  <si>
    <t>KGS08P</t>
  </si>
  <si>
    <t>KGS09P</t>
  </si>
  <si>
    <t>KGS10P</t>
  </si>
  <si>
    <t>KGS11P</t>
  </si>
  <si>
    <t>KGS12P</t>
  </si>
  <si>
    <t>KGS13P</t>
  </si>
  <si>
    <t>KGS14P</t>
  </si>
  <si>
    <t>KGS16P</t>
  </si>
  <si>
    <t>보험</t>
  </si>
  <si>
    <t>KGS17P</t>
  </si>
  <si>
    <t>KGS18P</t>
  </si>
  <si>
    <t>KGS19P</t>
  </si>
  <si>
    <t>KGS20P</t>
  </si>
  <si>
    <t>KGS21P</t>
  </si>
  <si>
    <t>KGS22P</t>
  </si>
  <si>
    <t>KGZ01P</t>
  </si>
  <si>
    <t>KGZ02P</t>
  </si>
  <si>
    <t>KGZ03P</t>
  </si>
  <si>
    <t>KGD01P</t>
  </si>
  <si>
    <t>KGD02P</t>
  </si>
  <si>
    <t>KGD03P</t>
  </si>
  <si>
    <t>KGT01P</t>
  </si>
  <si>
    <t>KGX01P</t>
  </si>
  <si>
    <t>KGA01P</t>
  </si>
  <si>
    <t>K2G01P</t>
  </si>
  <si>
    <t>K2G02P</t>
  </si>
  <si>
    <t>K2G03P</t>
  </si>
  <si>
    <t>K2G04P</t>
  </si>
  <si>
    <t>K2G05P</t>
  </si>
  <si>
    <t>K2G06P</t>
  </si>
  <si>
    <t>K2G08P</t>
  </si>
  <si>
    <t>K2G10P</t>
  </si>
  <si>
    <t>K2S01P</t>
  </si>
  <si>
    <t>K2S02P</t>
  </si>
  <si>
    <t>K2S03P</t>
  </si>
  <si>
    <t>K2S04P</t>
  </si>
  <si>
    <t>K2S05P</t>
  </si>
  <si>
    <t>K2S06P</t>
  </si>
  <si>
    <t>K2S07P</t>
  </si>
  <si>
    <t>K2S08P</t>
  </si>
  <si>
    <t>K2S09P</t>
  </si>
  <si>
    <t>K2S10P</t>
  </si>
  <si>
    <t>K2S11P</t>
  </si>
  <si>
    <t>K2Z01P</t>
  </si>
  <si>
    <t>K2D01P</t>
  </si>
  <si>
    <t>K2D02P</t>
  </si>
  <si>
    <t>K2E01P</t>
  </si>
  <si>
    <t>K2E02P</t>
  </si>
  <si>
    <t>K2T01P</t>
  </si>
  <si>
    <t>K2W01P</t>
  </si>
  <si>
    <t>K2W02P</t>
  </si>
  <si>
    <t>K2W03P</t>
  </si>
  <si>
    <t>K2W04P</t>
  </si>
  <si>
    <t>K2B01P</t>
  </si>
  <si>
    <t>K2B03P</t>
  </si>
  <si>
    <t>K2X01P</t>
  </si>
  <si>
    <t>K2X02P</t>
  </si>
  <si>
    <t>K2X03P</t>
  </si>
  <si>
    <t>K2X05P</t>
  </si>
  <si>
    <t>K2X06P</t>
  </si>
  <si>
    <t>K2X07P</t>
  </si>
  <si>
    <t>K2X08P</t>
  </si>
  <si>
    <t>K2X09P</t>
  </si>
  <si>
    <t>K2X11P</t>
  </si>
  <si>
    <t>K2V01P</t>
  </si>
  <si>
    <t>K2V02P</t>
  </si>
  <si>
    <t>K2V03P</t>
  </si>
  <si>
    <t>K2V04P</t>
  </si>
  <si>
    <t>K2901P</t>
  </si>
  <si>
    <t>QGG01P</t>
  </si>
  <si>
    <t>QGG03P</t>
  </si>
  <si>
    <t>QGG04P</t>
  </si>
  <si>
    <t>QGG05P</t>
  </si>
  <si>
    <t>QGG06P</t>
  </si>
  <si>
    <t>QGG11P</t>
  </si>
  <si>
    <t>QGS01P</t>
  </si>
  <si>
    <t>QGS02P</t>
  </si>
  <si>
    <t>QGS03P</t>
  </si>
  <si>
    <t>QGS04P</t>
  </si>
  <si>
    <t>QGS05P</t>
  </si>
  <si>
    <t>QGS09P</t>
  </si>
  <si>
    <t>QGS10P</t>
  </si>
  <si>
    <t>QGS11P</t>
  </si>
  <si>
    <t>QGS12P</t>
  </si>
  <si>
    <t>QGS13P</t>
  </si>
  <si>
    <t>QGS14P</t>
  </si>
  <si>
    <t>QGS15P</t>
  </si>
  <si>
    <t>QGS16P</t>
  </si>
  <si>
    <t>QGS17P</t>
  </si>
  <si>
    <t>QGS18P</t>
  </si>
  <si>
    <t>QGS19P</t>
  </si>
  <si>
    <t>QGS20P</t>
  </si>
  <si>
    <t>QGS31P</t>
  </si>
  <si>
    <t>QGS33P</t>
  </si>
  <si>
    <t>QGS34P</t>
  </si>
  <si>
    <t>QGZ01P</t>
  </si>
  <si>
    <t>QGZ02P</t>
  </si>
  <si>
    <t>QGZ03P</t>
  </si>
  <si>
    <t>Q5G01P</t>
  </si>
  <si>
    <t>Q5S02P</t>
  </si>
  <si>
    <t>Q5S03P</t>
  </si>
  <si>
    <t>Q5S04P</t>
  </si>
  <si>
    <t>Q5S05P</t>
  </si>
  <si>
    <t>Q5S06P</t>
  </si>
  <si>
    <t>Q5S07P</t>
  </si>
  <si>
    <t>Q5S08P</t>
  </si>
  <si>
    <t>Q5E01P</t>
  </si>
  <si>
    <t>Q5W01P</t>
  </si>
  <si>
    <t>Q5X01P</t>
  </si>
  <si>
    <t>Q5X02P</t>
  </si>
  <si>
    <t>XGG01P</t>
  </si>
  <si>
    <t>XGG02P</t>
  </si>
  <si>
    <t>XGS01P</t>
  </si>
  <si>
    <t>XGS02P</t>
  </si>
  <si>
    <t>XGS03P</t>
  </si>
  <si>
    <t>XGS04P</t>
  </si>
  <si>
    <t>XGS05P</t>
  </si>
  <si>
    <t>XGS06P</t>
  </si>
  <si>
    <t>XGS07P</t>
  </si>
  <si>
    <t>XGS08P</t>
  </si>
  <si>
    <t>XGS09P</t>
  </si>
  <si>
    <t>XGS10P</t>
  </si>
  <si>
    <t>XGS11P</t>
  </si>
  <si>
    <t>XGS12P</t>
  </si>
  <si>
    <t>XGS13P</t>
  </si>
  <si>
    <t>XGS14P</t>
  </si>
  <si>
    <t>XGS15P</t>
  </si>
  <si>
    <t>XGS16P</t>
  </si>
  <si>
    <t>XGS17P</t>
  </si>
  <si>
    <t>XGD02P</t>
  </si>
  <si>
    <t>XGE01P</t>
  </si>
  <si>
    <t>XGE02P</t>
  </si>
  <si>
    <t>XGE03P</t>
  </si>
  <si>
    <t>XGE04P</t>
  </si>
  <si>
    <t>XGE05P</t>
  </si>
  <si>
    <t>XGT01P</t>
  </si>
  <si>
    <t>XGT02P</t>
  </si>
  <si>
    <t>XGT03P</t>
  </si>
  <si>
    <t>XGT04P</t>
  </si>
  <si>
    <t>XGT05P</t>
  </si>
  <si>
    <t>XGT06P</t>
  </si>
  <si>
    <t>XGT07P</t>
  </si>
  <si>
    <t>XGT08P</t>
  </si>
  <si>
    <t>XGT09P</t>
  </si>
  <si>
    <t>XGT10P</t>
  </si>
  <si>
    <t>XGT11P</t>
  </si>
  <si>
    <t>XGT12P</t>
  </si>
  <si>
    <t>XGT13P</t>
  </si>
  <si>
    <t>XGT14P</t>
  </si>
  <si>
    <t>XGT15P</t>
  </si>
  <si>
    <t>XGW01P</t>
  </si>
  <si>
    <t>XGB05P</t>
  </si>
  <si>
    <t>XGX01P</t>
  </si>
  <si>
    <t>XGX02P</t>
  </si>
  <si>
    <t>XGX03P</t>
  </si>
  <si>
    <t>XGX04P</t>
  </si>
  <si>
    <t>XGX05P</t>
  </si>
  <si>
    <t>XGV01P</t>
  </si>
  <si>
    <t>XGV02P</t>
  </si>
  <si>
    <t>XG901P</t>
  </si>
  <si>
    <t>XG902P</t>
  </si>
  <si>
    <t>XG903P</t>
  </si>
  <si>
    <t>XG904P</t>
  </si>
  <si>
    <t>X3G01P</t>
  </si>
  <si>
    <t>X3S01P</t>
  </si>
  <si>
    <t>X3S02P</t>
  </si>
  <si>
    <t>X3S03P</t>
  </si>
  <si>
    <t>X3S04P</t>
  </si>
  <si>
    <t>X3S05P</t>
  </si>
  <si>
    <t>X3S06P</t>
  </si>
  <si>
    <t>X3S07P</t>
  </si>
  <si>
    <t>X3S08P</t>
  </si>
  <si>
    <t>X3E01P</t>
  </si>
  <si>
    <t>X3X01P</t>
  </si>
  <si>
    <t>GGG01P</t>
  </si>
  <si>
    <t>GGG02P</t>
  </si>
  <si>
    <t>GGG03P</t>
  </si>
  <si>
    <t>GGG04P</t>
  </si>
  <si>
    <t>GGG05P</t>
  </si>
  <si>
    <t>GGG06P</t>
  </si>
  <si>
    <t>GGG07P</t>
  </si>
  <si>
    <t>GGG08P</t>
  </si>
  <si>
    <t>GGS01P</t>
  </si>
  <si>
    <t>GGE01P</t>
  </si>
  <si>
    <t>GGT01P</t>
  </si>
  <si>
    <t>GGT02P</t>
  </si>
  <si>
    <t>GGT03P</t>
  </si>
  <si>
    <t>G2T01P</t>
  </si>
  <si>
    <t>FGG01P</t>
  </si>
  <si>
    <t>FGA05P</t>
  </si>
  <si>
    <t>FGA06P</t>
  </si>
  <si>
    <t>FGA07P</t>
  </si>
  <si>
    <t>FG901P</t>
  </si>
  <si>
    <t>F2G01P</t>
  </si>
  <si>
    <t>F2G02P</t>
  </si>
  <si>
    <t>F2S01P</t>
  </si>
  <si>
    <t>F2S02P</t>
  </si>
  <si>
    <t>F2S03P</t>
  </si>
  <si>
    <t>F2S04P</t>
  </si>
  <si>
    <t>F2S05P</t>
  </si>
  <si>
    <t>F2S06P</t>
  </si>
  <si>
    <t>F2S07P</t>
  </si>
  <si>
    <t>F2S08P</t>
  </si>
  <si>
    <t>F2S09P</t>
  </si>
  <si>
    <t>F2S10P</t>
  </si>
  <si>
    <t>F2X01P</t>
  </si>
  <si>
    <t>F2X02P</t>
  </si>
  <si>
    <t>F2X03P</t>
  </si>
  <si>
    <t>F2X04P</t>
  </si>
  <si>
    <t>F2X06P</t>
  </si>
  <si>
    <t>F2X07P</t>
  </si>
  <si>
    <t>F2X08P</t>
  </si>
  <si>
    <t>F2X09P</t>
  </si>
  <si>
    <t>F2X10P</t>
  </si>
  <si>
    <t>F2X11P</t>
  </si>
  <si>
    <t>F2X12P</t>
  </si>
  <si>
    <t>F2X13P</t>
  </si>
  <si>
    <t>F2X14P</t>
  </si>
  <si>
    <t>F2X15P</t>
  </si>
  <si>
    <t>F2X16P</t>
  </si>
  <si>
    <t>F2X17P</t>
  </si>
  <si>
    <t>F2X18P</t>
  </si>
  <si>
    <t>F2X19P</t>
  </si>
  <si>
    <t>F2X20P</t>
  </si>
  <si>
    <t>F2X21P</t>
  </si>
  <si>
    <t>F2X22P</t>
  </si>
  <si>
    <t>F2X23P</t>
  </si>
  <si>
    <t>F2X24P</t>
  </si>
  <si>
    <t>F2X25P</t>
  </si>
  <si>
    <t>F2X26P</t>
  </si>
  <si>
    <t>F2X27P</t>
  </si>
  <si>
    <t>F2X28P</t>
  </si>
  <si>
    <t>F2X29P</t>
  </si>
  <si>
    <t>F2X30P</t>
  </si>
  <si>
    <t>F2X31P</t>
  </si>
  <si>
    <t>F2X32P</t>
  </si>
  <si>
    <t>F2X33P</t>
  </si>
  <si>
    <t>F2X34P</t>
  </si>
  <si>
    <t>F2X35P</t>
  </si>
  <si>
    <t>F2X36P</t>
  </si>
  <si>
    <t>F2X37P</t>
  </si>
  <si>
    <t>F2X38P</t>
  </si>
  <si>
    <t>F2X39P</t>
  </si>
  <si>
    <t>F2V02P</t>
  </si>
  <si>
    <t>F2901P</t>
  </si>
  <si>
    <t>F5G01P</t>
  </si>
  <si>
    <t>F5901P</t>
  </si>
  <si>
    <t>F3G01P</t>
  </si>
  <si>
    <t>F3X02P</t>
  </si>
  <si>
    <t>FTG01P</t>
  </si>
  <si>
    <t>FTG02P</t>
  </si>
  <si>
    <t>FTX01P</t>
  </si>
  <si>
    <t>FTX02P</t>
  </si>
  <si>
    <t>FTX03P</t>
  </si>
  <si>
    <t>FTX04P</t>
  </si>
  <si>
    <t>FTX05P</t>
  </si>
  <si>
    <t>FTX07P</t>
  </si>
  <si>
    <t>FTX10P</t>
  </si>
  <si>
    <t>FTX11P</t>
  </si>
  <si>
    <t>FTA01P</t>
  </si>
  <si>
    <t>FTA02P</t>
  </si>
  <si>
    <t>FT901P</t>
  </si>
  <si>
    <t>FT904P</t>
  </si>
  <si>
    <t>FRG01P</t>
  </si>
  <si>
    <t>FRG02P</t>
  </si>
  <si>
    <t>FRG03P</t>
  </si>
  <si>
    <t>FRX01P</t>
  </si>
  <si>
    <t>FRX02P</t>
  </si>
  <si>
    <t>FRX03P</t>
  </si>
  <si>
    <t>FRX04P</t>
  </si>
  <si>
    <t>FRX05P</t>
  </si>
  <si>
    <t>FRX06P</t>
  </si>
  <si>
    <t>FRX07P</t>
  </si>
  <si>
    <t>FRX08P</t>
  </si>
  <si>
    <t>FRX09P</t>
  </si>
  <si>
    <t>FRX10P</t>
  </si>
  <si>
    <t>FRX11P</t>
  </si>
  <si>
    <t>FRX12P</t>
  </si>
  <si>
    <t>OG909P</t>
  </si>
  <si>
    <t>OG912P</t>
  </si>
  <si>
    <t>OG913P</t>
  </si>
  <si>
    <t>OG914P</t>
  </si>
  <si>
    <t>O2X01P</t>
  </si>
  <si>
    <t>O2901P</t>
  </si>
  <si>
    <t>O2902P</t>
  </si>
  <si>
    <t>O2903P</t>
  </si>
  <si>
    <t>O2904P</t>
  </si>
  <si>
    <t>O2905P</t>
  </si>
  <si>
    <t>O2916P</t>
  </si>
  <si>
    <t>MGA01P</t>
  </si>
  <si>
    <t>MGA02P</t>
  </si>
  <si>
    <t>MGA03P</t>
  </si>
  <si>
    <t>MGA04P</t>
  </si>
  <si>
    <t>MGA05P</t>
  </si>
  <si>
    <t>MGA06P</t>
  </si>
  <si>
    <t>MGA07P</t>
  </si>
  <si>
    <t>MGA08P</t>
  </si>
  <si>
    <t>MGA09P</t>
  </si>
  <si>
    <t>MGA10P</t>
  </si>
  <si>
    <t>MGA11P</t>
  </si>
  <si>
    <t>MGA12P</t>
  </si>
  <si>
    <t>MGA14P</t>
  </si>
  <si>
    <t>MGA15P</t>
  </si>
  <si>
    <t>TGG01P</t>
  </si>
  <si>
    <t>TGG02P</t>
  </si>
  <si>
    <t>TGX01P</t>
  </si>
  <si>
    <t>KGG01T</t>
  </si>
  <si>
    <t>KGD02T</t>
  </si>
  <si>
    <t>KGD03T</t>
  </si>
  <si>
    <t>K2G01T</t>
  </si>
  <si>
    <t>K2G06T</t>
  </si>
  <si>
    <t>K2G08T</t>
  </si>
  <si>
    <t>K2G10T</t>
  </si>
  <si>
    <t>K2S01T</t>
  </si>
  <si>
    <t>K2S02T</t>
  </si>
  <si>
    <t>K2S03T</t>
  </si>
  <si>
    <t>K2S04T</t>
  </si>
  <si>
    <t>K2S05T</t>
  </si>
  <si>
    <t>K2S06T</t>
  </si>
  <si>
    <t>K2S07T</t>
  </si>
  <si>
    <t>K2S08T</t>
  </si>
  <si>
    <t>K2S09T</t>
  </si>
  <si>
    <t>K2S10T</t>
  </si>
  <si>
    <t>K2S11T</t>
  </si>
  <si>
    <t>QGG01T</t>
  </si>
  <si>
    <t>Q5G01T</t>
  </si>
  <si>
    <t>XGT06T</t>
  </si>
  <si>
    <t>XGT08T</t>
  </si>
  <si>
    <t>XGT10T</t>
  </si>
  <si>
    <t>X3G01T</t>
  </si>
  <si>
    <t>FGX01T</t>
  </si>
  <si>
    <t>FGX02T</t>
  </si>
  <si>
    <t>FGX03T</t>
  </si>
  <si>
    <t>FGX04T</t>
  </si>
  <si>
    <t>FGA03T</t>
  </si>
  <si>
    <t>FGA04T</t>
  </si>
  <si>
    <t>F2X05T</t>
  </si>
  <si>
    <t>F2X40T</t>
  </si>
  <si>
    <t>F2X41T</t>
  </si>
  <si>
    <t>F2X42T</t>
  </si>
  <si>
    <t>F2X43T</t>
  </si>
  <si>
    <t>F2X44T</t>
  </si>
  <si>
    <t>F2902T</t>
  </si>
  <si>
    <t>F5X01T</t>
  </si>
  <si>
    <t>F5X02T</t>
  </si>
  <si>
    <t>F5X03T</t>
  </si>
  <si>
    <t>F5X04T</t>
  </si>
  <si>
    <t>F5X05T</t>
  </si>
  <si>
    <t>F5X06T</t>
  </si>
  <si>
    <t>F5X07T</t>
  </si>
  <si>
    <t>F5X08T</t>
  </si>
  <si>
    <t>F5X09T</t>
  </si>
  <si>
    <t>F5X10T</t>
  </si>
  <si>
    <t>F5902T</t>
  </si>
  <si>
    <t>F3X01T</t>
  </si>
  <si>
    <t>F3X03T</t>
  </si>
  <si>
    <t>FTX06T</t>
  </si>
  <si>
    <t>FTX08T</t>
  </si>
  <si>
    <t>FRG01T</t>
  </si>
  <si>
    <t>O2916T</t>
  </si>
  <si>
    <t>MGA13T</t>
  </si>
  <si>
    <t>MGA16T</t>
  </si>
  <si>
    <t>K2G01N</t>
  </si>
  <si>
    <t>K2G06N</t>
  </si>
  <si>
    <t>K2G08N</t>
  </si>
  <si>
    <t>K2G10N</t>
  </si>
  <si>
    <t>K2D03N</t>
  </si>
  <si>
    <t>K2X12N</t>
  </si>
  <si>
    <t>계열</t>
  </si>
  <si>
    <t>전략</t>
  </si>
  <si>
    <t>자산/시장</t>
  </si>
  <si>
    <t>CODE</t>
  </si>
  <si>
    <t>기초자산/시장</t>
  </si>
  <si>
    <t>?</t>
  </si>
  <si>
    <t>코드</t>
  </si>
  <si>
    <t>No.</t>
  </si>
  <si>
    <t>한글종목명</t>
  </si>
  <si>
    <t>지수명</t>
  </si>
  <si>
    <t>현재가</t>
  </si>
  <si>
    <t>전일대비</t>
  </si>
  <si>
    <t>등락률</t>
  </si>
  <si>
    <t>누적거래량</t>
  </si>
  <si>
    <t>누적거래대금</t>
  </si>
  <si>
    <t>시가</t>
  </si>
  <si>
    <t>고가</t>
  </si>
  <si>
    <t>저가</t>
  </si>
  <si>
    <t>대비</t>
  </si>
  <si>
    <t>기관</t>
  </si>
  <si>
    <t>외국인합</t>
  </si>
  <si>
    <t>개인</t>
  </si>
  <si>
    <t>증권/선물</t>
  </si>
  <si>
    <t>투신</t>
  </si>
  <si>
    <t>사모펀드</t>
  </si>
  <si>
    <t>은행</t>
  </si>
  <si>
    <t>종신</t>
  </si>
  <si>
    <t>연기금</t>
  </si>
  <si>
    <t>기타</t>
  </si>
  <si>
    <t>외국인</t>
  </si>
  <si>
    <t>외인기타</t>
  </si>
  <si>
    <t>국가/지방</t>
  </si>
  <si>
    <t>순매수 금액 (백만)</t>
  </si>
  <si>
    <t>거래량 (천)</t>
  </si>
  <si>
    <t>대금 (백만)</t>
  </si>
  <si>
    <t xml:space="preserve">일자 </t>
  </si>
  <si>
    <t>KRX 지수 종합</t>
  </si>
  <si>
    <t>일</t>
  </si>
  <si>
    <t>월</t>
  </si>
  <si>
    <t>분기</t>
  </si>
  <si>
    <t>년</t>
  </si>
  <si>
    <t>데이터 주기</t>
  </si>
</sst>
</file>

<file path=xl/styles.xml><?xml version="1.0" encoding="utf-8"?>
<styleSheet xmlns="http://schemas.openxmlformats.org/spreadsheetml/2006/main">
  <numFmts count="3">
    <numFmt numFmtId="176" formatCode="#,##0.00_ ;\-#,##0.00\ "/>
    <numFmt numFmtId="177" formatCode="#,##0_ ;\-#,##0\ "/>
    <numFmt numFmtId="178" formatCode="[Red]#,##0_ ;[Blue]\-#,##0\ "/>
  </numFmts>
  <fonts count="9"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name val="Malgun Gothic"/>
      <family val="3"/>
      <charset val="129"/>
    </font>
    <font>
      <sz val="8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dashed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/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dashed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dashed">
        <color theme="0" tint="-0.499984740745262"/>
      </bottom>
      <diagonal/>
    </border>
    <border>
      <left style="medium">
        <color indexed="64"/>
      </left>
      <right style="thin">
        <color indexed="64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dashed">
        <color theme="0" tint="-0.499984740745262"/>
      </top>
      <bottom style="dashed">
        <color theme="0" tint="-0.499984740745262"/>
      </bottom>
      <diagonal/>
    </border>
    <border>
      <left style="medium">
        <color indexed="64"/>
      </left>
      <right style="thin">
        <color indexed="64"/>
      </right>
      <top style="dashed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theme="0" tint="-0.499984740745262"/>
      </right>
      <top style="dashed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dashed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indexed="64"/>
      </right>
      <top style="dashed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dashed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6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9" xfId="0" applyFont="1" applyBorder="1"/>
    <xf numFmtId="0" fontId="2" fillId="0" borderId="9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3" xfId="0" applyFont="1" applyBorder="1" applyAlignment="1">
      <alignment horizontal="center" vertical="center"/>
    </xf>
    <xf numFmtId="0" fontId="2" fillId="0" borderId="21" xfId="0" applyFont="1" applyBorder="1"/>
    <xf numFmtId="0" fontId="2" fillId="0" borderId="23" xfId="0" applyFont="1" applyBorder="1"/>
    <xf numFmtId="0" fontId="2" fillId="0" borderId="25" xfId="0" applyFont="1" applyBorder="1"/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/>
    <xf numFmtId="176" fontId="2" fillId="0" borderId="14" xfId="0" applyNumberFormat="1" applyFont="1" applyBorder="1"/>
    <xf numFmtId="176" fontId="2" fillId="0" borderId="10" xfId="0" applyNumberFormat="1" applyFont="1" applyBorder="1"/>
    <xf numFmtId="176" fontId="2" fillId="0" borderId="27" xfId="0" applyNumberFormat="1" applyFont="1" applyBorder="1"/>
    <xf numFmtId="176" fontId="2" fillId="0" borderId="15" xfId="0" applyNumberFormat="1" applyFont="1" applyBorder="1"/>
    <xf numFmtId="176" fontId="2" fillId="0" borderId="16" xfId="0" applyNumberFormat="1" applyFont="1" applyBorder="1"/>
    <xf numFmtId="176" fontId="2" fillId="0" borderId="11" xfId="0" applyNumberFormat="1" applyFont="1" applyBorder="1"/>
    <xf numFmtId="176" fontId="2" fillId="0" borderId="12" xfId="0" applyNumberFormat="1" applyFont="1" applyBorder="1"/>
    <xf numFmtId="176" fontId="2" fillId="0" borderId="28" xfId="0" applyNumberFormat="1" applyFont="1" applyBorder="1"/>
    <xf numFmtId="176" fontId="2" fillId="0" borderId="29" xfId="0" applyNumberFormat="1" applyFont="1" applyBorder="1"/>
    <xf numFmtId="177" fontId="2" fillId="0" borderId="13" xfId="0" applyNumberFormat="1" applyFont="1" applyBorder="1"/>
    <xf numFmtId="177" fontId="2" fillId="0" borderId="9" xfId="0" applyNumberFormat="1" applyFont="1" applyBorder="1"/>
    <xf numFmtId="177" fontId="2" fillId="0" borderId="26" xfId="0" applyNumberFormat="1" applyFont="1" applyBorder="1"/>
    <xf numFmtId="0" fontId="2" fillId="5" borderId="0" xfId="0" applyFont="1" applyFill="1" applyAlignment="1">
      <alignment horizontal="center" vertical="center"/>
    </xf>
    <xf numFmtId="0" fontId="2" fillId="5" borderId="0" xfId="0" applyFont="1" applyFill="1"/>
    <xf numFmtId="178" fontId="2" fillId="0" borderId="14" xfId="0" applyNumberFormat="1" applyFont="1" applyBorder="1"/>
    <xf numFmtId="178" fontId="2" fillId="0" borderId="15" xfId="0" applyNumberFormat="1" applyFont="1" applyBorder="1"/>
    <xf numFmtId="178" fontId="2" fillId="0" borderId="22" xfId="0" applyNumberFormat="1" applyFont="1" applyBorder="1"/>
    <xf numFmtId="178" fontId="2" fillId="0" borderId="10" xfId="0" applyNumberFormat="1" applyFont="1" applyBorder="1"/>
    <xf numFmtId="178" fontId="2" fillId="0" borderId="11" xfId="0" applyNumberFormat="1" applyFont="1" applyBorder="1"/>
    <xf numFmtId="178" fontId="2" fillId="0" borderId="24" xfId="0" applyNumberFormat="1" applyFont="1" applyBorder="1"/>
    <xf numFmtId="178" fontId="2" fillId="0" borderId="27" xfId="0" applyNumberFormat="1" applyFont="1" applyBorder="1"/>
    <xf numFmtId="178" fontId="2" fillId="0" borderId="28" xfId="0" applyNumberFormat="1" applyFont="1" applyBorder="1"/>
    <xf numFmtId="178" fontId="2" fillId="0" borderId="30" xfId="0" applyNumberFormat="1" applyFont="1" applyBorder="1"/>
    <xf numFmtId="0" fontId="5" fillId="5" borderId="0" xfId="0" applyFont="1" applyFill="1" applyAlignment="1">
      <alignment vertical="center"/>
    </xf>
    <xf numFmtId="14" fontId="6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3" fillId="3" borderId="31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34" xfId="0" applyFont="1" applyBorder="1" applyAlignment="1">
      <alignment horizontal="right" vertical="center"/>
    </xf>
    <xf numFmtId="0" fontId="3" fillId="0" borderId="35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2">
    <cellStyle name="표준" xfId="0" builtinId="0"/>
    <cellStyle name="표준 2" xfId="1"/>
  </cellStyles>
  <dxfs count="3">
    <dxf>
      <fill>
        <patternFill>
          <bgColor rgb="FFBEBEFF"/>
        </patternFill>
      </fill>
    </dxf>
    <dxf>
      <fill>
        <patternFill>
          <bgColor rgb="FFFFBEBE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BEBEFF"/>
      <color rgb="FFFFBEBE"/>
      <color rgb="FFFF64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P</stp>
        <stp>0</stp>
        <stp>IDX</stp>
        <stp>F2X44T</stp>
        <stp>누적거래량</stp>
        <stp>45539</stp>
        <stp>Fill=true,Per=월</stp>
        <tr r="H268" s="2"/>
      </tp>
      <tp>
        <v>0</v>
        <stp/>
        <stp>P</stp>
        <stp>0</stp>
        <stp>IDX</stp>
        <stp>F2X42T</stp>
        <stp>누적거래량</stp>
        <stp>45539</stp>
        <stp>Fill=true,Per=월</stp>
        <tr r="H266" s="2"/>
      </tp>
      <tp>
        <v>0</v>
        <stp/>
        <stp>P</stp>
        <stp>0</stp>
        <stp>IDX</stp>
        <stp>F2X43T</stp>
        <stp>누적거래량</stp>
        <stp>45539</stp>
        <stp>Fill=true,Per=월</stp>
        <tr r="H267" s="2"/>
      </tp>
      <tp>
        <v>0</v>
        <stp/>
        <stp>P</stp>
        <stp>0</stp>
        <stp>IDX</stp>
        <stp>F2X40T</stp>
        <stp>누적거래량</stp>
        <stp>45539</stp>
        <stp>Fill=true,Per=월</stp>
        <tr r="H264" s="2"/>
      </tp>
      <tp>
        <v>0</v>
        <stp/>
        <stp>P</stp>
        <stp>0</stp>
        <stp>IDX</stp>
        <stp>F2X41T</stp>
        <stp>누적거래량</stp>
        <stp>45539</stp>
        <stp>Fill=true,Per=월</stp>
        <tr r="H265" s="2"/>
      </tp>
      <tp>
        <v>1161.46</v>
        <stp/>
        <stp>P</stp>
        <stp>0</stp>
        <stp>IDX</stp>
        <stp>FT901P</stp>
        <stp>현재가</stp>
        <stp>45539</stp>
        <stp>Fill=true,Per=월</stp>
        <tr r="E313" s="2"/>
      </tp>
      <tp>
        <v>1015.47</v>
        <stp/>
        <stp>P</stp>
        <stp>0</stp>
        <stp>IDX</stp>
        <stp>FT904P</stp>
        <stp>현재가</stp>
        <stp>45539</stp>
        <stp>Fill=true,Per=월</stp>
        <tr r="E314" s="2"/>
      </tp>
      <tp>
        <v>1368.41</v>
        <stp/>
        <stp>P</stp>
        <stp>0</stp>
        <stp>IDX</stp>
        <stp>FTA01P</stp>
        <stp>현재가</stp>
        <stp>45539</stp>
        <stp>Fill=true,Per=월</stp>
        <tr r="E315" s="2"/>
      </tp>
      <tp>
        <v>1326.23</v>
        <stp/>
        <stp>P</stp>
        <stp>0</stp>
        <stp>IDX</stp>
        <stp>FTA02P</stp>
        <stp>현재가</stp>
        <stp>45539</stp>
        <stp>Fill=true,Per=월</stp>
        <tr r="E316" s="2"/>
      </tp>
      <tp>
        <v>1233.9100000000001</v>
        <stp/>
        <stp>P</stp>
        <stp>0</stp>
        <stp>IDX</stp>
        <stp>FTG01P</stp>
        <stp>현재가</stp>
        <stp>45539</stp>
        <stp>Fill=true,Per=월</stp>
        <tr r="E317" s="2"/>
      </tp>
      <tp>
        <v>1228.3599999999999</v>
        <stp/>
        <stp>P</stp>
        <stp>0</stp>
        <stp>IDX</stp>
        <stp>FTG02P</stp>
        <stp>현재가</stp>
        <stp>45539</stp>
        <stp>Fill=true,Per=월</stp>
        <tr r="E318" s="2"/>
      </tp>
      <tp>
        <v>1393.76</v>
        <stp/>
        <stp>P</stp>
        <stp>0</stp>
        <stp>IDX</stp>
        <stp>FTX01P</stp>
        <stp>현재가</stp>
        <stp>45539</stp>
        <stp>Fill=true,Per=월</stp>
        <tr r="E319" s="2"/>
      </tp>
      <tp>
        <v>1493.09</v>
        <stp/>
        <stp>P</stp>
        <stp>0</stp>
        <stp>IDX</stp>
        <stp>FTX03P</stp>
        <stp>현재가</stp>
        <stp>45539</stp>
        <stp>Fill=true,Per=월</stp>
        <tr r="E321" s="2"/>
      </tp>
      <tp>
        <v>1262.3499999999999</v>
        <stp/>
        <stp>P</stp>
        <stp>0</stp>
        <stp>IDX</stp>
        <stp>FTX02P</stp>
        <stp>현재가</stp>
        <stp>45539</stp>
        <stp>Fill=true,Per=월</stp>
        <tr r="E320" s="2"/>
      </tp>
      <tp>
        <v>1171.1600000000001</v>
        <stp/>
        <stp>P</stp>
        <stp>0</stp>
        <stp>IDX</stp>
        <stp>FTX05P</stp>
        <stp>현재가</stp>
        <stp>45539</stp>
        <stp>Fill=true,Per=월</stp>
        <tr r="E323" s="2"/>
      </tp>
      <tp>
        <v>1529.71</v>
        <stp/>
        <stp>P</stp>
        <stp>0</stp>
        <stp>IDX</stp>
        <stp>FTX04P</stp>
        <stp>현재가</stp>
        <stp>45539</stp>
        <stp>Fill=true,Per=월</stp>
        <tr r="E322" s="2"/>
      </tp>
      <tp>
        <v>1156.3699999999999</v>
        <stp/>
        <stp>P</stp>
        <stp>0</stp>
        <stp>IDX</stp>
        <stp>FTX07P</stp>
        <stp>현재가</stp>
        <stp>45539</stp>
        <stp>Fill=true,Per=월</stp>
        <tr r="E325" s="2"/>
      </tp>
      <tp>
        <v>1296.29</v>
        <stp/>
        <stp>P</stp>
        <stp>0</stp>
        <stp>IDX</stp>
        <stp>FTX11P</stp>
        <stp>현재가</stp>
        <stp>45539</stp>
        <stp>Fill=true,Per=월</stp>
        <tr r="E328" s="2"/>
      </tp>
      <tp>
        <v>1380.05</v>
        <stp/>
        <stp>P</stp>
        <stp>0</stp>
        <stp>IDX</stp>
        <stp>FTX10P</stp>
        <stp>현재가</stp>
        <stp>45539</stp>
        <stp>Fill=true,Per=월</stp>
        <tr r="E327" s="2"/>
      </tp>
      <tp>
        <v>0</v>
        <stp/>
        <stp>P</stp>
        <stp>0</stp>
        <stp>IDX</stp>
        <stp>KGD03T</stp>
        <stp>저가</stp>
        <stp>45539</stp>
        <stp>Fill=true,Per=월</stp>
        <tr r="L115" s="2"/>
      </tp>
      <tp>
        <v>5440.67</v>
        <stp/>
        <stp>P</stp>
        <stp>0</stp>
        <stp>IDX</stp>
        <stp>KGD03T</stp>
        <stp>시가</stp>
        <stp>45539</stp>
        <stp>Fill=true,Per=월</stp>
        <tr r="J115" s="2"/>
      </tp>
      <tp>
        <v>5522.88</v>
        <stp/>
        <stp>P</stp>
        <stp>0</stp>
        <stp>IDX</stp>
        <stp>KGD03T</stp>
        <stp>고가</stp>
        <stp>45539</stp>
        <stp>Fill=true,Per=월</stp>
        <tr r="K115" s="2"/>
      </tp>
      <tp>
        <v>0</v>
        <stp/>
        <stp>P</stp>
        <stp>0</stp>
        <stp>IDX</stp>
        <stp>KGS03P</stp>
        <stp>저가</stp>
        <stp>45539</stp>
        <stp>Fill=true,Per=월</stp>
        <tr r="L94" s="2"/>
      </tp>
      <tp>
        <v>0</v>
        <stp/>
        <stp>P</stp>
        <stp>0</stp>
        <stp>IDX</stp>
        <stp>KGS13P</stp>
        <stp>저가</stp>
        <stp>45539</stp>
        <stp>Fill=true,Per=월</stp>
        <tr r="L74" s="2"/>
      </tp>
      <tp>
        <v>2245.27</v>
        <stp/>
        <stp>P</stp>
        <stp>0</stp>
        <stp>IDX</stp>
        <stp>KGZ03P</stp>
        <stp>시가</stp>
        <stp>45539</stp>
        <stp>Fill=true,Per=월</stp>
        <tr r="J57" s="2"/>
      </tp>
      <tp>
        <v>0</v>
        <stp/>
        <stp>P</stp>
        <stp>0</stp>
        <stp>IDX</stp>
        <stp>KGZ03P</stp>
        <stp>저가</stp>
        <stp>45539</stp>
        <stp>Fill=true,Per=월</stp>
        <tr r="L57" s="2"/>
      </tp>
      <tp>
        <v>270.25</v>
        <stp/>
        <stp>P</stp>
        <stp>0</stp>
        <stp>IDX</stp>
        <stp>KGS03P</stp>
        <stp>시가</stp>
        <stp>45539</stp>
        <stp>Fill=true,Per=월</stp>
        <tr r="J94" s="2"/>
      </tp>
      <tp>
        <v>1594.99</v>
        <stp/>
        <stp>P</stp>
        <stp>0</stp>
        <stp>IDX</stp>
        <stp>KGS13P</stp>
        <stp>시가</stp>
        <stp>45539</stp>
        <stp>Fill=true,Per=월</stp>
        <tr r="J74" s="2"/>
      </tp>
      <tp>
        <v>0</v>
        <stp/>
        <stp>P</stp>
        <stp>0</stp>
        <stp>IDX</stp>
        <stp>KGD03P</stp>
        <stp>저가</stp>
        <stp>45539</stp>
        <stp>Fill=true,Per=월</stp>
        <tr r="L114" s="2"/>
      </tp>
      <tp>
        <v>0</v>
        <stp/>
        <stp>P</stp>
        <stp>0</stp>
        <stp>IDX</stp>
        <stp>MGA05P</stp>
        <stp>저가</stp>
        <stp>45539</stp>
        <stp>Fill=true,Per=월</stp>
        <tr r="L123" s="2"/>
      </tp>
      <tp>
        <v>0</v>
        <stp/>
        <stp>P</stp>
        <stp>0</stp>
        <stp>IDX</stp>
        <stp>MGA15P</stp>
        <stp>저가</stp>
        <stp>45539</stp>
        <stp>Fill=true,Per=월</stp>
        <tr r="L110" s="2"/>
      </tp>
      <tp>
        <v>3985.99</v>
        <stp/>
        <stp>P</stp>
        <stp>0</stp>
        <stp>IDX</stp>
        <stp>KGD03P</stp>
        <stp>시가</stp>
        <stp>45539</stp>
        <stp>Fill=true,Per=월</stp>
        <tr r="J114" s="2"/>
      </tp>
      <tp>
        <v>1426.15</v>
        <stp/>
        <stp>P</stp>
        <stp>0</stp>
        <stp>IDX</stp>
        <stp>MGA05P</stp>
        <stp>시가</stp>
        <stp>45539</stp>
        <stp>Fill=true,Per=월</stp>
        <tr r="J123" s="2"/>
      </tp>
      <tp>
        <v>897.66</v>
        <stp/>
        <stp>P</stp>
        <stp>0</stp>
        <stp>IDX</stp>
        <stp>MGA15P</stp>
        <stp>시가</stp>
        <stp>45539</stp>
        <stp>Fill=true,Per=월</stp>
        <tr r="J110" s="2"/>
      </tp>
      <tp>
        <v>270.85000000000002</v>
        <stp/>
        <stp>P</stp>
        <stp>0</stp>
        <stp>IDX</stp>
        <stp>KGS03P</stp>
        <stp>고가</stp>
        <stp>45539</stp>
        <stp>Fill=true,Per=월</stp>
        <tr r="K94" s="2"/>
      </tp>
      <tp>
        <v>1597.1</v>
        <stp/>
        <stp>P</stp>
        <stp>0</stp>
        <stp>IDX</stp>
        <stp>KGS13P</stp>
        <stp>고가</stp>
        <stp>45539</stp>
        <stp>Fill=true,Per=월</stp>
        <tr r="K74" s="2"/>
      </tp>
      <tp>
        <v>2250.63</v>
        <stp/>
        <stp>P</stp>
        <stp>0</stp>
        <stp>IDX</stp>
        <stp>KGZ03P</stp>
        <stp>고가</stp>
        <stp>45539</stp>
        <stp>Fill=true,Per=월</stp>
        <tr r="K57" s="2"/>
      </tp>
      <tp>
        <v>1429.15</v>
        <stp/>
        <stp>P</stp>
        <stp>0</stp>
        <stp>IDX</stp>
        <stp>MGA05P</stp>
        <stp>고가</stp>
        <stp>45539</stp>
        <stp>Fill=true,Per=월</stp>
        <tr r="K123" s="2"/>
      </tp>
      <tp>
        <v>901.91</v>
        <stp/>
        <stp>P</stp>
        <stp>0</stp>
        <stp>IDX</stp>
        <stp>MGA15P</stp>
        <stp>고가</stp>
        <stp>45539</stp>
        <stp>Fill=true,Per=월</stp>
        <tr r="K110" s="2"/>
      </tp>
      <tp>
        <v>4046.29</v>
        <stp/>
        <stp>P</stp>
        <stp>0</stp>
        <stp>IDX</stp>
        <stp>KGD03P</stp>
        <stp>고가</stp>
        <stp>45539</stp>
        <stp>Fill=true,Per=월</stp>
        <tr r="K114" s="2"/>
      </tp>
      <tp>
        <v>0</v>
        <stp/>
        <stp>P</stp>
        <stp>0</stp>
        <stp>IDX</stp>
        <stp>K2V03P</stp>
        <stp>저가</stp>
        <stp>45539</stp>
        <stp>Fill=true,Per=월</stp>
        <tr r="L377" s="2"/>
      </tp>
      <tp>
        <v>0</v>
        <stp/>
        <stp>P</stp>
        <stp>0</stp>
        <stp>IDX</stp>
        <stp>K2W03P</stp>
        <stp>저가</stp>
        <stp>45539</stp>
        <stp>Fill=true,Per=월</stp>
        <tr r="L20" s="2"/>
      </tp>
      <tp>
        <v>4076.24</v>
        <stp/>
        <stp>P</stp>
        <stp>0</stp>
        <stp>IDX</stp>
        <stp>K2X03P</stp>
        <stp>시가</stp>
        <stp>45539</stp>
        <stp>Fill=true,Per=월</stp>
        <tr r="J24" s="2"/>
      </tp>
      <tp>
        <v>0</v>
        <stp/>
        <stp>P</stp>
        <stp>0</stp>
        <stp>IDX</stp>
        <stp>K2S03P</stp>
        <stp>저가</stp>
        <stp>45539</stp>
        <stp>Fill=true,Per=월</stp>
        <tr r="L32" s="2"/>
      </tp>
      <tp>
        <v>1528.42</v>
        <stp/>
        <stp>P</stp>
        <stp>0</stp>
        <stp>IDX</stp>
        <stp>K2V03P</stp>
        <stp>시가</stp>
        <stp>45539</stp>
        <stp>Fill=true,Per=월</stp>
        <tr r="J377" s="2"/>
      </tp>
      <tp>
        <v>1769.4</v>
        <stp/>
        <stp>P</stp>
        <stp>0</stp>
        <stp>IDX</stp>
        <stp>K2W03P</stp>
        <stp>시가</stp>
        <stp>45539</stp>
        <stp>Fill=true,Per=월</stp>
        <tr r="J20" s="2"/>
      </tp>
      <tp>
        <v>0</v>
        <stp/>
        <stp>P</stp>
        <stp>0</stp>
        <stp>IDX</stp>
        <stp>K2X03P</stp>
        <stp>저가</stp>
        <stp>45539</stp>
        <stp>Fill=true,Per=월</stp>
        <tr r="L24" s="2"/>
      </tp>
      <tp>
        <v>879.55</v>
        <stp/>
        <stp>P</stp>
        <stp>0</stp>
        <stp>IDX</stp>
        <stp>K2S03P</stp>
        <stp>시가</stp>
        <stp>45539</stp>
        <stp>Fill=true,Per=월</stp>
        <tr r="J32" s="2"/>
      </tp>
      <tp>
        <v>0</v>
        <stp/>
        <stp>P</stp>
        <stp>0</stp>
        <stp>IDX</stp>
        <stp>K2G03P</stp>
        <stp>저가</stp>
        <stp>45539</stp>
        <stp>Fill=true,Per=월</stp>
        <tr r="L21" s="2"/>
      </tp>
      <tp>
        <v>0</v>
        <stp/>
        <stp>P</stp>
        <stp>0</stp>
        <stp>IDX</stp>
        <stp>K2B03P</stp>
        <stp>저가</stp>
        <stp>45539</stp>
        <stp>Fill=true,Per=월</stp>
        <tr r="L344" s="2"/>
      </tp>
      <tp>
        <v>2504.14</v>
        <stp/>
        <stp>P</stp>
        <stp>0</stp>
        <stp>IDX</stp>
        <stp>K2G03P</stp>
        <stp>시가</stp>
        <stp>45539</stp>
        <stp>Fill=true,Per=월</stp>
        <tr r="J21" s="2"/>
      </tp>
      <tp>
        <v>5796.48</v>
        <stp/>
        <stp>P</stp>
        <stp>0</stp>
        <stp>IDX</stp>
        <stp>K2B03P</stp>
        <stp>시가</stp>
        <stp>45539</stp>
        <stp>Fill=true,Per=월</stp>
        <tr r="J344" s="2"/>
      </tp>
      <tp>
        <v>903.78</v>
        <stp/>
        <stp>P</stp>
        <stp>0</stp>
        <stp>IDX</stp>
        <stp>K2S03P</stp>
        <stp>고가</stp>
        <stp>45539</stp>
        <stp>Fill=true,Per=월</stp>
        <tr r="K32" s="2"/>
      </tp>
      <tp>
        <v>1529.85</v>
        <stp/>
        <stp>P</stp>
        <stp>0</stp>
        <stp>IDX</stp>
        <stp>K2V03P</stp>
        <stp>고가</stp>
        <stp>45539</stp>
        <stp>Fill=true,Per=월</stp>
        <tr r="K377" s="2"/>
      </tp>
      <tp>
        <v>1789.87</v>
        <stp/>
        <stp>P</stp>
        <stp>0</stp>
        <stp>IDX</stp>
        <stp>K2W03P</stp>
        <stp>고가</stp>
        <stp>45539</stp>
        <stp>Fill=true,Per=월</stp>
        <tr r="K20" s="2"/>
      </tp>
      <tp>
        <v>4190.9799999999996</v>
        <stp/>
        <stp>P</stp>
        <stp>0</stp>
        <stp>IDX</stp>
        <stp>K2X03P</stp>
        <stp>고가</stp>
        <stp>45539</stp>
        <stp>Fill=true,Per=월</stp>
        <tr r="K24" s="2"/>
      </tp>
      <tp>
        <v>5814.64</v>
        <stp/>
        <stp>P</stp>
        <stp>0</stp>
        <stp>IDX</stp>
        <stp>K2B03P</stp>
        <stp>고가</stp>
        <stp>45539</stp>
        <stp>Fill=true,Per=월</stp>
        <tr r="K344" s="2"/>
      </tp>
      <tp>
        <v>2517.3000000000002</v>
        <stp/>
        <stp>P</stp>
        <stp>0</stp>
        <stp>IDX</stp>
        <stp>K2G03P</stp>
        <stp>고가</stp>
        <stp>45539</stp>
        <stp>Fill=true,Per=월</stp>
        <tr r="K21" s="2"/>
      </tp>
      <tp>
        <v>0</v>
        <stp/>
        <stp>P</stp>
        <stp>0</stp>
        <stp>IDX</stp>
        <stp>K2S03T</stp>
        <stp>저가</stp>
        <stp>45539</stp>
        <stp>Fill=true,Per=월</stp>
        <tr r="L365" s="2"/>
      </tp>
      <tp>
        <v>1397.06</v>
        <stp/>
        <stp>P</stp>
        <stp>0</stp>
        <stp>IDX</stp>
        <stp>K2S03T</stp>
        <stp>시가</stp>
        <stp>45539</stp>
        <stp>Fill=true,Per=월</stp>
        <tr r="J365" s="2"/>
      </tp>
      <tp>
        <v>1435.49</v>
        <stp/>
        <stp>P</stp>
        <stp>0</stp>
        <stp>IDX</stp>
        <stp>K2S03T</stp>
        <stp>고가</stp>
        <stp>45539</stp>
        <stp>Fill=true,Per=월</stp>
        <tr r="K365" s="2"/>
      </tp>
      <tp>
        <v>0</v>
        <stp/>
        <stp>P</stp>
        <stp>0</stp>
        <stp>IDX</stp>
        <stp>K2D03N</stp>
        <stp>저가</stp>
        <stp>45539</stp>
        <stp>Fill=true,Per=월</stp>
        <tr r="L347" s="2"/>
      </tp>
      <tp>
        <v>356.63</v>
        <stp/>
        <stp>P</stp>
        <stp>0</stp>
        <stp>IDX</stp>
        <stp>K2D03N</stp>
        <stp>시가</stp>
        <stp>45539</stp>
        <stp>Fill=true,Per=월</stp>
        <tr r="J347" s="2"/>
      </tp>
      <tp>
        <v>357.86</v>
        <stp/>
        <stp>P</stp>
        <stp>0</stp>
        <stp>IDX</stp>
        <stp>K2D03N</stp>
        <stp>고가</stp>
        <stp>45539</stp>
        <stp>Fill=true,Per=월</stp>
        <tr r="K347" s="2"/>
      </tp>
      <tp>
        <v>-2.21</v>
        <stp/>
        <stp>P</stp>
        <stp>0</stp>
        <stp>IDX</stp>
        <stp>Q5E01P</stp>
        <stp>등락률</stp>
        <stp>45539</stp>
        <stp>Fill=true,Per=월</stp>
        <tr r="G204" s="2"/>
      </tp>
      <tp>
        <v>-1.06</v>
        <stp/>
        <stp>P</stp>
        <stp>0</stp>
        <stp>IDX</stp>
        <stp>Q5G01P</stp>
        <stp>등락률</stp>
        <stp>45539</stp>
        <stp>Fill=true,Per=월</stp>
        <tr r="G34" s="2"/>
      </tp>
      <tp>
        <v>-0.95</v>
        <stp/>
        <stp>P</stp>
        <stp>0</stp>
        <stp>IDX</stp>
        <stp>F5G01P</stp>
        <stp>등락률</stp>
        <stp>45539</stp>
        <stp>Fill=true,Per=월</stp>
        <tr r="G275" s="2"/>
      </tp>
      <tp>
        <v>-4.05</v>
        <stp/>
        <stp>P</stp>
        <stp>0</stp>
        <stp>IDX</stp>
        <stp>Q5S02P</stp>
        <stp>등락률</stp>
        <stp>45539</stp>
        <stp>Fill=true,Per=월</stp>
        <tr r="G202" s="2"/>
      </tp>
      <tp>
        <v>-2.13</v>
        <stp/>
        <stp>P</stp>
        <stp>0</stp>
        <stp>IDX</stp>
        <stp>Q5S03P</stp>
        <stp>등락률</stp>
        <stp>45539</stp>
        <stp>Fill=true,Per=월</stp>
        <tr r="G201" s="2"/>
      </tp>
      <tp>
        <v>1.31</v>
        <stp/>
        <stp>P</stp>
        <stp>0</stp>
        <stp>IDX</stp>
        <stp>Q5S06P</stp>
        <stp>등락률</stp>
        <stp>45539</stp>
        <stp>Fill=true,Per=월</stp>
        <tr r="G198" s="2"/>
      </tp>
      <tp>
        <v>1.26</v>
        <stp/>
        <stp>P</stp>
        <stp>0</stp>
        <stp>IDX</stp>
        <stp>Q5S07P</stp>
        <stp>등락률</stp>
        <stp>45539</stp>
        <stp>Fill=true,Per=월</stp>
        <tr r="G197" s="2"/>
      </tp>
      <tp>
        <v>-1.53</v>
        <stp/>
        <stp>P</stp>
        <stp>0</stp>
        <stp>IDX</stp>
        <stp>Q5S04P</stp>
        <stp>등락률</stp>
        <stp>45539</stp>
        <stp>Fill=true,Per=월</stp>
        <tr r="G200" s="2"/>
      </tp>
      <tp>
        <v>1.56</v>
        <stp/>
        <stp>P</stp>
        <stp>0</stp>
        <stp>IDX</stp>
        <stp>Q5S05P</stp>
        <stp>등락률</stp>
        <stp>45539</stp>
        <stp>Fill=true,Per=월</stp>
        <tr r="G199" s="2"/>
      </tp>
      <tp>
        <v>3.58</v>
        <stp/>
        <stp>P</stp>
        <stp>0</stp>
        <stp>IDX</stp>
        <stp>Q5S08P</stp>
        <stp>등락률</stp>
        <stp>45539</stp>
        <stp>Fill=true,Per=월</stp>
        <tr r="G196" s="2"/>
      </tp>
      <tp>
        <v>-2.02</v>
        <stp/>
        <stp>P</stp>
        <stp>0</stp>
        <stp>IDX</stp>
        <stp>Q5W01P</stp>
        <stp>등락률</stp>
        <stp>45539</stp>
        <stp>Fill=true,Per=월</stp>
        <tr r="G35" s="2"/>
      </tp>
      <tp>
        <v>-0.51</v>
        <stp/>
        <stp>P</stp>
        <stp>0</stp>
        <stp>IDX</stp>
        <stp>Q5X02P</stp>
        <stp>등락률</stp>
        <stp>45539</stp>
        <stp>Fill=true,Per=월</stp>
        <tr r="G37" s="2"/>
      </tp>
      <tp>
        <v>-2.1800000000000002</v>
        <stp/>
        <stp>P</stp>
        <stp>0</stp>
        <stp>IDX</stp>
        <stp>Q5X01P</stp>
        <stp>등락률</stp>
        <stp>45539</stp>
        <stp>Fill=true,Per=월</stp>
        <tr r="G36" s="2"/>
      </tp>
      <tp>
        <v>-0.95</v>
        <stp/>
        <stp>P</stp>
        <stp>0</stp>
        <stp>IDX</stp>
        <stp>F5901P</stp>
        <stp>등락률</stp>
        <stp>45539</stp>
        <stp>Fill=true,Per=월</stp>
        <tr r="G273" s="2"/>
      </tp>
      <tp>
        <v>0</v>
        <stp/>
        <stp>P</stp>
        <stp>0</stp>
        <stp>IDX</stp>
        <stp>KGD02T</stp>
        <stp>저가</stp>
        <stp>45539</stp>
        <stp>Fill=true,Per=월</stp>
        <tr r="L113" s="2"/>
      </tp>
      <tp>
        <v>5231.72</v>
        <stp/>
        <stp>P</stp>
        <stp>0</stp>
        <stp>IDX</stp>
        <stp>KGD02T</stp>
        <stp>시가</stp>
        <stp>45539</stp>
        <stp>Fill=true,Per=월</stp>
        <tr r="J113" s="2"/>
      </tp>
      <tp>
        <v>5301.74</v>
        <stp/>
        <stp>P</stp>
        <stp>0</stp>
        <stp>IDX</stp>
        <stp>KGD02T</stp>
        <stp>고가</stp>
        <stp>45539</stp>
        <stp>Fill=true,Per=월</stp>
        <tr r="K113" s="2"/>
      </tp>
      <tp>
        <v>0</v>
        <stp/>
        <stp>P</stp>
        <stp>0</stp>
        <stp>IDX</stp>
        <stp>KGS22P</stp>
        <stp>저가</stp>
        <stp>45539</stp>
        <stp>Fill=true,Per=월</stp>
        <tr r="L44" s="2"/>
      </tp>
      <tp>
        <v>0</v>
        <stp/>
        <stp>P</stp>
        <stp>0</stp>
        <stp>IDX</stp>
        <stp>KGS02P</stp>
        <stp>저가</stp>
        <stp>45539</stp>
        <stp>Fill=true,Per=월</stp>
        <tr r="L88" s="2"/>
      </tp>
      <tp>
        <v>0</v>
        <stp/>
        <stp>P</stp>
        <stp>0</stp>
        <stp>IDX</stp>
        <stp>KGS12P</stp>
        <stp>저가</stp>
        <stp>45539</stp>
        <stp>Fill=true,Per=월</stp>
        <tr r="L83" s="2"/>
      </tp>
      <tp>
        <v>2919.3</v>
        <stp/>
        <stp>P</stp>
        <stp>0</stp>
        <stp>IDX</stp>
        <stp>KGZ02P</stp>
        <stp>시가</stp>
        <stp>45539</stp>
        <stp>Fill=true,Per=월</stp>
        <tr r="J30" s="2"/>
      </tp>
      <tp>
        <v>0</v>
        <stp/>
        <stp>P</stp>
        <stp>0</stp>
        <stp>IDX</stp>
        <stp>KGZ02P</stp>
        <stp>저가</stp>
        <stp>45539</stp>
        <stp>Fill=true,Per=월</stp>
        <tr r="L30" s="2"/>
      </tp>
      <tp>
        <v>1020.41</v>
        <stp/>
        <stp>P</stp>
        <stp>0</stp>
        <stp>IDX</stp>
        <stp>KGS22P</stp>
        <stp>시가</stp>
        <stp>45539</stp>
        <stp>Fill=true,Per=월</stp>
        <tr r="J44" s="2"/>
      </tp>
      <tp>
        <v>222.95</v>
        <stp/>
        <stp>P</stp>
        <stp>0</stp>
        <stp>IDX</stp>
        <stp>KGS02P</stp>
        <stp>시가</stp>
        <stp>45539</stp>
        <stp>Fill=true,Per=월</stp>
        <tr r="J88" s="2"/>
      </tp>
      <tp>
        <v>74.78</v>
        <stp/>
        <stp>P</stp>
        <stp>0</stp>
        <stp>IDX</stp>
        <stp>KGS12P</stp>
        <stp>시가</stp>
        <stp>45539</stp>
        <stp>Fill=true,Per=월</stp>
        <tr r="J83" s="2"/>
      </tp>
      <tp>
        <v>0</v>
        <stp/>
        <stp>P</stp>
        <stp>0</stp>
        <stp>IDX</stp>
        <stp>KGD02P</stp>
        <stp>저가</stp>
        <stp>45539</stp>
        <stp>Fill=true,Per=월</stp>
        <tr r="L195" s="2"/>
      </tp>
      <tp>
        <v>0</v>
        <stp/>
        <stp>P</stp>
        <stp>0</stp>
        <stp>IDX</stp>
        <stp>MGA04P</stp>
        <stp>저가</stp>
        <stp>45539</stp>
        <stp>Fill=true,Per=월</stp>
        <tr r="L122" s="2"/>
      </tp>
      <tp>
        <v>0</v>
        <stp/>
        <stp>P</stp>
        <stp>0</stp>
        <stp>IDX</stp>
        <stp>MGA14P</stp>
        <stp>저가</stp>
        <stp>45539</stp>
        <stp>Fill=true,Per=월</stp>
        <tr r="L108" s="2"/>
      </tp>
      <tp>
        <v>3037.27</v>
        <stp/>
        <stp>P</stp>
        <stp>0</stp>
        <stp>IDX</stp>
        <stp>KGD02P</stp>
        <stp>시가</stp>
        <stp>45539</stp>
        <stp>Fill=true,Per=월</stp>
        <tr r="J195" s="2"/>
      </tp>
      <tp>
        <v>1632.9</v>
        <stp/>
        <stp>P</stp>
        <stp>0</stp>
        <stp>IDX</stp>
        <stp>MGA04P</stp>
        <stp>시가</stp>
        <stp>45539</stp>
        <stp>Fill=true,Per=월</stp>
        <tr r="J122" s="2"/>
      </tp>
      <tp>
        <v>1661.47</v>
        <stp/>
        <stp>P</stp>
        <stp>0</stp>
        <stp>IDX</stp>
        <stp>MGA14P</stp>
        <stp>시가</stp>
        <stp>45539</stp>
        <stp>Fill=true,Per=월</stp>
        <tr r="J108" s="2"/>
      </tp>
      <tp>
        <v>1024.1300000000001</v>
        <stp/>
        <stp>P</stp>
        <stp>0</stp>
        <stp>IDX</stp>
        <stp>KGS22P</stp>
        <stp>고가</stp>
        <stp>45539</stp>
        <stp>Fill=true,Per=월</stp>
        <tr r="K44" s="2"/>
      </tp>
      <tp>
        <v>227.88</v>
        <stp/>
        <stp>P</stp>
        <stp>0</stp>
        <stp>IDX</stp>
        <stp>KGS02P</stp>
        <stp>고가</stp>
        <stp>45539</stp>
        <stp>Fill=true,Per=월</stp>
        <tr r="K88" s="2"/>
      </tp>
      <tp>
        <v>75.010000000000005</v>
        <stp/>
        <stp>P</stp>
        <stp>0</stp>
        <stp>IDX</stp>
        <stp>KGS12P</stp>
        <stp>고가</stp>
        <stp>45539</stp>
        <stp>Fill=true,Per=월</stp>
        <tr r="K83" s="2"/>
      </tp>
      <tp>
        <v>2919.3</v>
        <stp/>
        <stp>P</stp>
        <stp>0</stp>
        <stp>IDX</stp>
        <stp>KGZ02P</stp>
        <stp>고가</stp>
        <stp>45539</stp>
        <stp>Fill=true,Per=월</stp>
        <tr r="K30" s="2"/>
      </tp>
      <tp>
        <v>1633.89</v>
        <stp/>
        <stp>P</stp>
        <stp>0</stp>
        <stp>IDX</stp>
        <stp>MGA04P</stp>
        <stp>고가</stp>
        <stp>45539</stp>
        <stp>Fill=true,Per=월</stp>
        <tr r="K122" s="2"/>
      </tp>
      <tp>
        <v>1677.89</v>
        <stp/>
        <stp>P</stp>
        <stp>0</stp>
        <stp>IDX</stp>
        <stp>MGA14P</stp>
        <stp>고가</stp>
        <stp>45539</stp>
        <stp>Fill=true,Per=월</stp>
        <tr r="K108" s="2"/>
      </tp>
      <tp>
        <v>3079.13</v>
        <stp/>
        <stp>P</stp>
        <stp>0</stp>
        <stp>IDX</stp>
        <stp>KGD02P</stp>
        <stp>고가</stp>
        <stp>45539</stp>
        <stp>Fill=true,Per=월</stp>
        <tr r="K195" s="2"/>
      </tp>
      <tp>
        <v>0</v>
        <stp/>
        <stp>P</stp>
        <stp>0</stp>
        <stp>IDX</stp>
        <stp>K2V02P</stp>
        <stp>저가</stp>
        <stp>45539</stp>
        <stp>Fill=true,Per=월</stp>
        <tr r="L376" s="2"/>
      </tp>
      <tp>
        <v>0</v>
        <stp/>
        <stp>P</stp>
        <stp>0</stp>
        <stp>IDX</stp>
        <stp>K2W02P</stp>
        <stp>저가</stp>
        <stp>45539</stp>
        <stp>Fill=true,Per=월</stp>
        <tr r="L17" s="2"/>
      </tp>
      <tp>
        <v>503.61</v>
        <stp/>
        <stp>P</stp>
        <stp>0</stp>
        <stp>IDX</stp>
        <stp>K2X02P</stp>
        <stp>시가</stp>
        <stp>45539</stp>
        <stp>Fill=true,Per=월</stp>
        <tr r="J50" s="2"/>
      </tp>
      <tp>
        <v>0</v>
        <stp/>
        <stp>P</stp>
        <stp>0</stp>
        <stp>IDX</stp>
        <stp>K2S02P</stp>
        <stp>저가</stp>
        <stp>45539</stp>
        <stp>Fill=true,Per=월</stp>
        <tr r="L72" s="2"/>
      </tp>
      <tp>
        <v>1575.18</v>
        <stp/>
        <stp>P</stp>
        <stp>0</stp>
        <stp>IDX</stp>
        <stp>K2V02P</stp>
        <stp>시가</stp>
        <stp>45539</stp>
        <stp>Fill=true,Per=월</stp>
        <tr r="J376" s="2"/>
      </tp>
      <tp>
        <v>1229.33</v>
        <stp/>
        <stp>P</stp>
        <stp>0</stp>
        <stp>IDX</stp>
        <stp>O2916P</stp>
        <stp>고가</stp>
        <stp>45539</stp>
        <stp>Fill=true,Per=월</stp>
        <tr r="K100" s="2"/>
      </tp>
      <tp>
        <v>2016.41</v>
        <stp/>
        <stp>P</stp>
        <stp>0</stp>
        <stp>IDX</stp>
        <stp>K2W02P</stp>
        <stp>시가</stp>
        <stp>45539</stp>
        <stp>Fill=true,Per=월</stp>
        <tr r="J17" s="2"/>
      </tp>
      <tp>
        <v>0</v>
        <stp/>
        <stp>P</stp>
        <stp>0</stp>
        <stp>IDX</stp>
        <stp>K2X02P</stp>
        <stp>저가</stp>
        <stp>45539</stp>
        <stp>Fill=true,Per=월</stp>
        <tr r="L50" s="2"/>
      </tp>
      <tp>
        <v>320.57</v>
        <stp/>
        <stp>P</stp>
        <stp>0</stp>
        <stp>IDX</stp>
        <stp>K2S02P</stp>
        <stp>시가</stp>
        <stp>45539</stp>
        <stp>Fill=true,Per=월</stp>
        <tr r="J72" s="2"/>
      </tp>
      <tp>
        <v>0</v>
        <stp/>
        <stp>P</stp>
        <stp>0</stp>
        <stp>IDX</stp>
        <stp>K2G02P</stp>
        <stp>저가</stp>
        <stp>45539</stp>
        <stp>Fill=true,Per=월</stp>
        <tr r="L18" s="2"/>
      </tp>
      <tp>
        <v>0</v>
        <stp/>
        <stp>P</stp>
        <stp>0</stp>
        <stp>IDX</stp>
        <stp>K2D02P</stp>
        <stp>저가</stp>
        <stp>45539</stp>
        <stp>Fill=true,Per=월</stp>
        <tr r="L346" s="2"/>
      </tp>
      <tp>
        <v>0</v>
        <stp/>
        <stp>P</stp>
        <stp>0</stp>
        <stp>IDX</stp>
        <stp>K2E02P</stp>
        <stp>저가</stp>
        <stp>45539</stp>
        <stp>Fill=true,Per=월</stp>
        <tr r="L349" s="2"/>
      </tp>
      <tp>
        <v>1795.45</v>
        <stp/>
        <stp>P</stp>
        <stp>0</stp>
        <stp>IDX</stp>
        <stp>K2D02P</stp>
        <stp>시가</stp>
        <stp>45539</stp>
        <stp>Fill=true,Per=월</stp>
        <tr r="J346" s="2"/>
      </tp>
      <tp>
        <v>1595.43</v>
        <stp/>
        <stp>P</stp>
        <stp>0</stp>
        <stp>IDX</stp>
        <stp>K2E02P</stp>
        <stp>시가</stp>
        <stp>45539</stp>
        <stp>Fill=true,Per=월</stp>
        <tr r="J349" s="2"/>
      </tp>
      <tp>
        <v>2730.01</v>
        <stp/>
        <stp>P</stp>
        <stp>0</stp>
        <stp>IDX</stp>
        <stp>K2G02P</stp>
        <stp>시가</stp>
        <stp>45539</stp>
        <stp>Fill=true,Per=월</stp>
        <tr r="J18" s="2"/>
      </tp>
      <tp>
        <v>324.37</v>
        <stp/>
        <stp>P</stp>
        <stp>0</stp>
        <stp>IDX</stp>
        <stp>K2S02P</stp>
        <stp>고가</stp>
        <stp>45539</stp>
        <stp>Fill=true,Per=월</stp>
        <tr r="K72" s="2"/>
      </tp>
      <tp>
        <v>1576.35</v>
        <stp/>
        <stp>P</stp>
        <stp>0</stp>
        <stp>IDX</stp>
        <stp>K2V02P</stp>
        <stp>고가</stp>
        <stp>45539</stp>
        <stp>Fill=true,Per=월</stp>
        <tr r="K376" s="2"/>
      </tp>
      <tp>
        <v>2032.28</v>
        <stp/>
        <stp>P</stp>
        <stp>0</stp>
        <stp>IDX</stp>
        <stp>K2W02P</stp>
        <stp>고가</stp>
        <stp>45539</stp>
        <stp>Fill=true,Per=월</stp>
        <tr r="K17" s="2"/>
      </tp>
      <tp>
        <v>1220.8800000000001</v>
        <stp/>
        <stp>P</stp>
        <stp>0</stp>
        <stp>IDX</stp>
        <stp>O2916P</stp>
        <stp>시가</stp>
        <stp>45539</stp>
        <stp>Fill=true,Per=월</stp>
        <tr r="J100" s="2"/>
      </tp>
      <tp>
        <v>516.32000000000005</v>
        <stp/>
        <stp>P</stp>
        <stp>0</stp>
        <stp>IDX</stp>
        <stp>K2X02P</stp>
        <stp>고가</stp>
        <stp>45539</stp>
        <stp>Fill=true,Per=월</stp>
        <tr r="K50" s="2"/>
      </tp>
      <tp>
        <v>0</v>
        <stp/>
        <stp>P</stp>
        <stp>0</stp>
        <stp>IDX</stp>
        <stp>O2916P</stp>
        <stp>저가</stp>
        <stp>45539</stp>
        <stp>Fill=true,Per=월</stp>
        <tr r="L100" s="2"/>
      </tp>
      <tp>
        <v>2741.91</v>
        <stp/>
        <stp>P</stp>
        <stp>0</stp>
        <stp>IDX</stp>
        <stp>K2G02P</stp>
        <stp>고가</stp>
        <stp>45539</stp>
        <stp>Fill=true,Per=월</stp>
        <tr r="K18" s="2"/>
      </tp>
      <tp>
        <v>1817.04</v>
        <stp/>
        <stp>P</stp>
        <stp>0</stp>
        <stp>IDX</stp>
        <stp>K2D02P</stp>
        <stp>고가</stp>
        <stp>45539</stp>
        <stp>Fill=true,Per=월</stp>
        <tr r="K346" s="2"/>
      </tp>
      <tp>
        <v>1607.26</v>
        <stp/>
        <stp>P</stp>
        <stp>0</stp>
        <stp>IDX</stp>
        <stp>K2E02P</stp>
        <stp>고가</stp>
        <stp>45539</stp>
        <stp>Fill=true,Per=월</stp>
        <tr r="K349" s="2"/>
      </tp>
      <tp>
        <v>0</v>
        <stp/>
        <stp>P</stp>
        <stp>0</stp>
        <stp>IDX</stp>
        <stp>K2S02T</stp>
        <stp>저가</stp>
        <stp>45539</stp>
        <stp>Fill=true,Per=월</stp>
        <tr r="L364" s="2"/>
      </tp>
      <tp>
        <v>185.09</v>
        <stp/>
        <stp>P</stp>
        <stp>0</stp>
        <stp>IDX</stp>
        <stp>O2916T</stp>
        <stp>고가</stp>
        <stp>45539</stp>
        <stp>Fill=true,Per=월</stp>
        <tr r="K119" s="2"/>
      </tp>
      <tp>
        <v>379.61</v>
        <stp/>
        <stp>P</stp>
        <stp>0</stp>
        <stp>IDX</stp>
        <stp>K2S02T</stp>
        <stp>시가</stp>
        <stp>45539</stp>
        <stp>Fill=true,Per=월</stp>
        <tr r="J364" s="2"/>
      </tp>
      <tp>
        <v>384.12</v>
        <stp/>
        <stp>P</stp>
        <stp>0</stp>
        <stp>IDX</stp>
        <stp>K2S02T</stp>
        <stp>고가</stp>
        <stp>45539</stp>
        <stp>Fill=true,Per=월</stp>
        <tr r="K364" s="2"/>
      </tp>
      <tp>
        <v>183.98</v>
        <stp/>
        <stp>P</stp>
        <stp>0</stp>
        <stp>IDX</stp>
        <stp>O2916T</stp>
        <stp>시가</stp>
        <stp>45539</stp>
        <stp>Fill=true,Per=월</stp>
        <tr r="J119" s="2"/>
      </tp>
      <tp>
        <v>0</v>
        <stp/>
        <stp>P</stp>
        <stp>0</stp>
        <stp>IDX</stp>
        <stp>O2916T</stp>
        <stp>저가</stp>
        <stp>45539</stp>
        <stp>Fill=true,Per=월</stp>
        <tr r="L119" s="2"/>
      </tp>
      <tp>
        <v>1870.17</v>
        <stp/>
        <stp>P</stp>
        <stp>0</stp>
        <stp>IDX</stp>
        <stp>K2X12N</stp>
        <stp>시가</stp>
        <stp>45539</stp>
        <stp>Fill=true,Per=월</stp>
        <tr r="J381" s="2"/>
      </tp>
      <tp>
        <v>0</v>
        <stp/>
        <stp>P</stp>
        <stp>0</stp>
        <stp>IDX</stp>
        <stp>K2X12N</stp>
        <stp>저가</stp>
        <stp>45539</stp>
        <stp>Fill=true,Per=월</stp>
        <tr r="L381" s="2"/>
      </tp>
      <tp>
        <v>1882.64</v>
        <stp/>
        <stp>P</stp>
        <stp>0</stp>
        <stp>IDX</stp>
        <stp>K2X12N</stp>
        <stp>고가</stp>
        <stp>45539</stp>
        <stp>Fill=true,Per=월</stp>
        <tr r="K381" s="2"/>
      </tp>
      <tp>
        <v>-0.53</v>
        <stp/>
        <stp>P</stp>
        <stp>0</stp>
        <stp>IDX</stp>
        <stp>K2G10T</stp>
        <stp>등락률</stp>
        <stp>45539</stp>
        <stp>Fill=true,Per=월</stp>
        <tr r="G362" s="2"/>
      </tp>
      <tp>
        <v>-0.65</v>
        <stp/>
        <stp>P</stp>
        <stp>0</stp>
        <stp>IDX</stp>
        <stp>K2G08T</stp>
        <stp>등락률</stp>
        <stp>45539</stp>
        <stp>Fill=true,Per=월</stp>
        <tr r="G359" s="2"/>
      </tp>
      <tp>
        <v>-0.77</v>
        <stp/>
        <stp>P</stp>
        <stp>0</stp>
        <stp>IDX</stp>
        <stp>K2G01T</stp>
        <stp>등락률</stp>
        <stp>45539</stp>
        <stp>Fill=true,Per=월</stp>
        <tr r="G351" s="2"/>
      </tp>
      <tp>
        <v>-0.76</v>
        <stp/>
        <stp>P</stp>
        <stp>0</stp>
        <stp>IDX</stp>
        <stp>K2G06T</stp>
        <stp>등락률</stp>
        <stp>45539</stp>
        <stp>Fill=true,Per=월</stp>
        <tr r="G356" s="2"/>
      </tp>
      <tp>
        <v>0.95</v>
        <stp/>
        <stp>P</stp>
        <stp>0</stp>
        <stp>IDX</stp>
        <stp>K2S10T</stp>
        <stp>등락률</stp>
        <stp>45539</stp>
        <stp>Fill=true,Per=월</stp>
        <tr r="G372" s="2"/>
      </tp>
      <tp>
        <v>-0.61</v>
        <stp/>
        <stp>P</stp>
        <stp>0</stp>
        <stp>IDX</stp>
        <stp>K2S11T</stp>
        <stp>등락률</stp>
        <stp>45539</stp>
        <stp>Fill=true,Per=월</stp>
        <tr r="G373" s="2"/>
      </tp>
      <tp>
        <v>-3.1</v>
        <stp/>
        <stp>P</stp>
        <stp>0</stp>
        <stp>IDX</stp>
        <stp>K2S08T</stp>
        <stp>등락률</stp>
        <stp>45539</stp>
        <stp>Fill=true,Per=월</stp>
        <tr r="G370" s="2"/>
      </tp>
      <tp>
        <v>3.77</v>
        <stp/>
        <stp>P</stp>
        <stp>0</stp>
        <stp>IDX</stp>
        <stp>K2S09T</stp>
        <stp>등락률</stp>
        <stp>45539</stp>
        <stp>Fill=true,Per=월</stp>
        <tr r="G371" s="2"/>
      </tp>
      <tp>
        <v>-1.52</v>
        <stp/>
        <stp>P</stp>
        <stp>0</stp>
        <stp>IDX</stp>
        <stp>K2S01T</stp>
        <stp>등락률</stp>
        <stp>45539</stp>
        <stp>Fill=true,Per=월</stp>
        <tr r="G363" s="2"/>
      </tp>
      <tp>
        <v>0.98</v>
        <stp/>
        <stp>P</stp>
        <stp>0</stp>
        <stp>IDX</stp>
        <stp>K2S02T</stp>
        <stp>등락률</stp>
        <stp>45539</stp>
        <stp>Fill=true,Per=월</stp>
        <tr r="G364" s="2"/>
      </tp>
      <tp>
        <v>2.29</v>
        <stp/>
        <stp>P</stp>
        <stp>0</stp>
        <stp>IDX</stp>
        <stp>K2S03T</stp>
        <stp>등락률</stp>
        <stp>45539</stp>
        <stp>Fill=true,Per=월</stp>
        <tr r="G365" s="2"/>
      </tp>
      <tp>
        <v>1.92</v>
        <stp/>
        <stp>P</stp>
        <stp>0</stp>
        <stp>IDX</stp>
        <stp>K2S04T</stp>
        <stp>등락률</stp>
        <stp>45539</stp>
        <stp>Fill=true,Per=월</stp>
        <tr r="G366" s="2"/>
      </tp>
      <tp>
        <v>1.1100000000000001</v>
        <stp/>
        <stp>P</stp>
        <stp>0</stp>
        <stp>IDX</stp>
        <stp>K2S05T</stp>
        <stp>등락률</stp>
        <stp>45539</stp>
        <stp>Fill=true,Per=월</stp>
        <tr r="G367" s="2"/>
      </tp>
      <tp>
        <v>-3.1</v>
        <stp/>
        <stp>P</stp>
        <stp>0</stp>
        <stp>IDX</stp>
        <stp>K2S06T</stp>
        <stp>등락률</stp>
        <stp>45539</stp>
        <stp>Fill=true,Per=월</stp>
        <tr r="G368" s="2"/>
      </tp>
      <tp>
        <v>0.27</v>
        <stp/>
        <stp>P</stp>
        <stp>0</stp>
        <stp>IDX</stp>
        <stp>K2S07T</stp>
        <stp>등락률</stp>
        <stp>45539</stp>
        <stp>Fill=true,Per=월</stp>
        <tr r="G369" s="2"/>
      </tp>
      <tp>
        <v>1.01</v>
        <stp/>
        <stp>P</stp>
        <stp>0</stp>
        <stp>IDX</stp>
        <stp>F2X05T</stp>
        <stp>등락률</stp>
        <stp>45539</stp>
        <stp>Fill=true,Per=월</stp>
        <tr r="G229" s="2"/>
      </tp>
      <tp>
        <v>2.2999999999999998</v>
        <stp/>
        <stp>P</stp>
        <stp>0</stp>
        <stp>IDX</stp>
        <stp>F2X44T</stp>
        <stp>등락률</stp>
        <stp>45539</stp>
        <stp>Fill=true,Per=월</stp>
        <tr r="G268" s="2"/>
      </tp>
      <tp>
        <v>1.99</v>
        <stp/>
        <stp>P</stp>
        <stp>0</stp>
        <stp>IDX</stp>
        <stp>F2X41T</stp>
        <stp>등락률</stp>
        <stp>45539</stp>
        <stp>Fill=true,Per=월</stp>
        <tr r="G265" s="2"/>
      </tp>
      <tp>
        <v>-1.93</v>
        <stp/>
        <stp>P</stp>
        <stp>0</stp>
        <stp>IDX</stp>
        <stp>F2X40T</stp>
        <stp>등락률</stp>
        <stp>45539</stp>
        <stp>Fill=true,Per=월</stp>
        <tr r="G264" s="2"/>
      </tp>
      <tp>
        <v>-1.84</v>
        <stp/>
        <stp>P</stp>
        <stp>0</stp>
        <stp>IDX</stp>
        <stp>F2X43T</stp>
        <stp>등락률</stp>
        <stp>45539</stp>
        <stp>Fill=true,Per=월</stp>
        <tr r="G267" s="2"/>
      </tp>
      <tp>
        <v>-1.44</v>
        <stp/>
        <stp>P</stp>
        <stp>0</stp>
        <stp>IDX</stp>
        <stp>F2X42T</stp>
        <stp>등락률</stp>
        <stp>45539</stp>
        <stp>Fill=true,Per=월</stp>
        <tr r="G266" s="2"/>
      </tp>
      <tp>
        <v>1706.18</v>
        <stp/>
        <stp>P</stp>
        <stp>0</stp>
        <stp>IDX</stp>
        <stp>FRG01T</stp>
        <stp>현재가</stp>
        <stp>45539</stp>
        <stp>Fill=true,Per=월</stp>
        <tr r="E297" s="2"/>
      </tp>
      <tp>
        <v>-0.59</v>
        <stp/>
        <stp>P</stp>
        <stp>0</stp>
        <stp>IDX</stp>
        <stp>O2916T</stp>
        <stp>등락률</stp>
        <stp>45539</stp>
        <stp>Fill=true,Per=월</stp>
        <tr r="G119" s="2"/>
      </tp>
      <tp>
        <v>-0.45</v>
        <stp/>
        <stp>P</stp>
        <stp>0</stp>
        <stp>IDX</stp>
        <stp>F2902T</stp>
        <stp>등락률</stp>
        <stp>45539</stp>
        <stp>Fill=true,Per=월</stp>
        <tr r="G211" s="2"/>
      </tp>
      <tp>
        <v>0</v>
        <stp/>
        <stp>P</stp>
        <stp>0</stp>
        <stp>IDX</stp>
        <stp>KGG01T</stp>
        <stp>저가</stp>
        <stp>45539</stp>
        <stp>Fill=true,Per=월</stp>
        <tr r="L116" s="2"/>
      </tp>
      <tp>
        <v>3399.57</v>
        <stp/>
        <stp>P</stp>
        <stp>0</stp>
        <stp>IDX</stp>
        <stp>KGG01T</stp>
        <stp>시가</stp>
        <stp>45539</stp>
        <stp>Fill=true,Per=월</stp>
        <tr r="J116" s="2"/>
      </tp>
      <tp>
        <v>3414.24</v>
        <stp/>
        <stp>P</stp>
        <stp>0</stp>
        <stp>IDX</stp>
        <stp>KGG01T</stp>
        <stp>고가</stp>
        <stp>45539</stp>
        <stp>Fill=true,Per=월</stp>
        <tr r="K116" s="2"/>
      </tp>
      <tp>
        <v>0</v>
        <stp/>
        <stp>P</stp>
        <stp>0</stp>
        <stp>IDX</stp>
        <stp>KGT01P</stp>
        <stp>저가</stp>
        <stp>45539</stp>
        <stp>Fill=true,Per=월</stp>
        <tr r="L117" s="2"/>
      </tp>
      <tp>
        <v>652.11</v>
        <stp/>
        <stp>P</stp>
        <stp>0</stp>
        <stp>IDX</stp>
        <stp>KGX01P</stp>
        <stp>시가</stp>
        <stp>45539</stp>
        <stp>Fill=true,Per=월</stp>
        <tr r="J118" s="2"/>
      </tp>
      <tp>
        <v>0</v>
        <stp/>
        <stp>P</stp>
        <stp>0</stp>
        <stp>IDX</stp>
        <stp>KGS21P</stp>
        <stp>저가</stp>
        <stp>45539</stp>
        <stp>Fill=true,Per=월</stp>
        <tr r="L78" s="2"/>
      </tp>
      <tp>
        <v>0</v>
        <stp/>
        <stp>P</stp>
        <stp>0</stp>
        <stp>IDX</stp>
        <stp>KGS01P</stp>
        <stp>저가</stp>
        <stp>45539</stp>
        <stp>Fill=true,Per=월</stp>
        <tr r="L75" s="2"/>
      </tp>
      <tp>
        <v>0</v>
        <stp/>
        <stp>P</stp>
        <stp>0</stp>
        <stp>IDX</stp>
        <stp>KGS11P</stp>
        <stp>저가</stp>
        <stp>45539</stp>
        <stp>Fill=true,Per=월</stp>
        <tr r="L62" s="2"/>
      </tp>
      <tp>
        <v>2688.25</v>
        <stp/>
        <stp>P</stp>
        <stp>0</stp>
        <stp>IDX</stp>
        <stp>KGZ01P</stp>
        <stp>시가</stp>
        <stp>45539</stp>
        <stp>Fill=true,Per=월</stp>
        <tr r="J16" s="2"/>
      </tp>
      <tp>
        <v>868.63</v>
        <stp/>
        <stp>P</stp>
        <stp>0</stp>
        <stp>IDX</stp>
        <stp>KGT01P</stp>
        <stp>시가</stp>
        <stp>45539</stp>
        <stp>Fill=true,Per=월</stp>
        <tr r="J117" s="2"/>
      </tp>
      <tp>
        <v>0</v>
        <stp/>
        <stp>P</stp>
        <stp>0</stp>
        <stp>IDX</stp>
        <stp>KGZ01P</stp>
        <stp>저가</stp>
        <stp>45539</stp>
        <stp>Fill=true,Per=월</stp>
        <tr r="L16" s="2"/>
      </tp>
      <tp>
        <v>0</v>
        <stp/>
        <stp>P</stp>
        <stp>0</stp>
        <stp>IDX</stp>
        <stp>KGX01P</stp>
        <stp>저가</stp>
        <stp>45539</stp>
        <stp>Fill=true,Per=월</stp>
        <tr r="L118" s="2"/>
      </tp>
      <tp>
        <v>410.52</v>
        <stp/>
        <stp>P</stp>
        <stp>0</stp>
        <stp>IDX</stp>
        <stp>KGS21P</stp>
        <stp>시가</stp>
        <stp>45539</stp>
        <stp>Fill=true,Per=월</stp>
        <tr r="J78" s="2"/>
      </tp>
      <tp>
        <v>3898.36</v>
        <stp/>
        <stp>P</stp>
        <stp>0</stp>
        <stp>IDX</stp>
        <stp>KGS01P</stp>
        <stp>시가</stp>
        <stp>45539</stp>
        <stp>Fill=true,Per=월</stp>
        <tr r="J75" s="2"/>
      </tp>
      <tp>
        <v>370.5</v>
        <stp/>
        <stp>P</stp>
        <stp>0</stp>
        <stp>IDX</stp>
        <stp>KGS11P</stp>
        <stp>시가</stp>
        <stp>45539</stp>
        <stp>Fill=true,Per=월</stp>
        <tr r="J62" s="2"/>
      </tp>
      <tp>
        <v>0</v>
        <stp/>
        <stp>P</stp>
        <stp>0</stp>
        <stp>IDX</stp>
        <stp>KGG01P</stp>
        <stp>저가</stp>
        <stp>45539</stp>
        <stp>Fill=true,Per=월</stp>
        <tr r="L9" s="2"/>
      </tp>
      <tp>
        <v>0</v>
        <stp/>
        <stp>P</stp>
        <stp>0</stp>
        <stp>IDX</stp>
        <stp>KGD01P</stp>
        <stp>저가</stp>
        <stp>45539</stp>
        <stp>Fill=true,Per=월</stp>
        <tr r="L298" s="2"/>
      </tp>
      <tp>
        <v>0</v>
        <stp/>
        <stp>P</stp>
        <stp>0</stp>
        <stp>IDX</stp>
        <stp>KGA01P</stp>
        <stp>저가</stp>
        <stp>45539</stp>
        <stp>Fill=true,Per=월</stp>
        <tr r="L383" s="2"/>
      </tp>
      <tp>
        <v>0</v>
        <stp/>
        <stp>P</stp>
        <stp>0</stp>
        <stp>IDX</stp>
        <stp>MGA07P</stp>
        <stp>저가</stp>
        <stp>45539</stp>
        <stp>Fill=true,Per=월</stp>
        <tr r="L125" s="2"/>
      </tp>
      <tp>
        <v>3136.54</v>
        <stp/>
        <stp>P</stp>
        <stp>0</stp>
        <stp>IDX</stp>
        <stp>KGD01P</stp>
        <stp>시가</stp>
        <stp>45539</stp>
        <stp>Fill=true,Per=월</stp>
        <tr r="J298" s="2"/>
      </tp>
      <tp>
        <v>2683.8</v>
        <stp/>
        <stp>P</stp>
        <stp>0</stp>
        <stp>IDX</stp>
        <stp>KGG01P</stp>
        <stp>시가</stp>
        <stp>45539</stp>
        <stp>Fill=true,Per=월</stp>
        <tr r="J9" s="2"/>
      </tp>
      <tp>
        <v>3190.81</v>
        <stp/>
        <stp>P</stp>
        <stp>0</stp>
        <stp>IDX</stp>
        <stp>KGA01P</stp>
        <stp>시가</stp>
        <stp>45539</stp>
        <stp>Fill=true,Per=월</stp>
        <tr r="J383" s="2"/>
      </tp>
      <tp>
        <v>1450.83</v>
        <stp/>
        <stp>P</stp>
        <stp>0</stp>
        <stp>IDX</stp>
        <stp>MGA07P</stp>
        <stp>시가</stp>
        <stp>45539</stp>
        <stp>Fill=true,Per=월</stp>
        <tr r="J125" s="2"/>
      </tp>
      <tp>
        <v>421.74</v>
        <stp/>
        <stp>P</stp>
        <stp>0</stp>
        <stp>IDX</stp>
        <stp>KGS21P</stp>
        <stp>고가</stp>
        <stp>45539</stp>
        <stp>Fill=true,Per=월</stp>
        <tr r="K78" s="2"/>
      </tp>
      <tp>
        <v>3911.88</v>
        <stp/>
        <stp>P</stp>
        <stp>0</stp>
        <stp>IDX</stp>
        <stp>KGS01P</stp>
        <stp>고가</stp>
        <stp>45539</stp>
        <stp>Fill=true,Per=월</stp>
        <tr r="K75" s="2"/>
      </tp>
      <tp>
        <v>381.12</v>
        <stp/>
        <stp>P</stp>
        <stp>0</stp>
        <stp>IDX</stp>
        <stp>KGS11P</stp>
        <stp>고가</stp>
        <stp>45539</stp>
        <stp>Fill=true,Per=월</stp>
        <tr r="K62" s="2"/>
      </tp>
      <tp>
        <v>868.63</v>
        <stp/>
        <stp>P</stp>
        <stp>0</stp>
        <stp>IDX</stp>
        <stp>KGT01P</stp>
        <stp>고가</stp>
        <stp>45539</stp>
        <stp>Fill=true,Per=월</stp>
        <tr r="K117" s="2"/>
      </tp>
      <tp>
        <v>2702.56</v>
        <stp/>
        <stp>P</stp>
        <stp>0</stp>
        <stp>IDX</stp>
        <stp>KGZ01P</stp>
        <stp>고가</stp>
        <stp>45539</stp>
        <stp>Fill=true,Per=월</stp>
        <tr r="K16" s="2"/>
      </tp>
      <tp>
        <v>652.11</v>
        <stp/>
        <stp>P</stp>
        <stp>0</stp>
        <stp>IDX</stp>
        <stp>KGX01P</stp>
        <stp>고가</stp>
        <stp>45539</stp>
        <stp>Fill=true,Per=월</stp>
        <tr r="K118" s="2"/>
      </tp>
      <tp>
        <v>3210.54</v>
        <stp/>
        <stp>P</stp>
        <stp>0</stp>
        <stp>IDX</stp>
        <stp>KGA01P</stp>
        <stp>고가</stp>
        <stp>45539</stp>
        <stp>Fill=true,Per=월</stp>
        <tr r="K383" s="2"/>
      </tp>
      <tp>
        <v>1453.4</v>
        <stp/>
        <stp>P</stp>
        <stp>0</stp>
        <stp>IDX</stp>
        <stp>MGA07P</stp>
        <stp>고가</stp>
        <stp>45539</stp>
        <stp>Fill=true,Per=월</stp>
        <tr r="K125" s="2"/>
      </tp>
      <tp>
        <v>2695.59</v>
        <stp/>
        <stp>P</stp>
        <stp>0</stp>
        <stp>IDX</stp>
        <stp>KGG01P</stp>
        <stp>고가</stp>
        <stp>45539</stp>
        <stp>Fill=true,Per=월</stp>
        <tr r="K9" s="2"/>
      </tp>
      <tp>
        <v>3152.58</v>
        <stp/>
        <stp>P</stp>
        <stp>0</stp>
        <stp>IDX</stp>
        <stp>KGD01P</stp>
        <stp>고가</stp>
        <stp>45539</stp>
        <stp>Fill=true,Per=월</stp>
        <tr r="K298" s="2"/>
      </tp>
      <tp>
        <v>0</v>
        <stp/>
        <stp>P</stp>
        <stp>0</stp>
        <stp>IDX</stp>
        <stp>K2V01P</stp>
        <stp>저가</stp>
        <stp>45539</stp>
        <stp>Fill=true,Per=월</stp>
        <tr r="L375" s="2"/>
      </tp>
      <tp>
        <v>0</v>
        <stp/>
        <stp>P</stp>
        <stp>0</stp>
        <stp>IDX</stp>
        <stp>K2W01P</stp>
        <stp>저가</stp>
        <stp>45539</stp>
        <stp>Fill=true,Per=월</stp>
        <tr r="L11" s="2"/>
      </tp>
      <tp>
        <v>0</v>
        <stp/>
        <stp>P</stp>
        <stp>0</stp>
        <stp>IDX</stp>
        <stp>K2T01P</stp>
        <stp>저가</stp>
        <stp>45539</stp>
        <stp>Fill=true,Per=월</stp>
        <tr r="L374" s="2"/>
      </tp>
      <tp>
        <v>292.54000000000002</v>
        <stp/>
        <stp>P</stp>
        <stp>0</stp>
        <stp>IDX</stp>
        <stp>K2X01P</stp>
        <stp>시가</stp>
        <stp>45539</stp>
        <stp>Fill=true,Per=월</stp>
        <tr r="J13" s="2"/>
      </tp>
      <tp>
        <v>1041.67</v>
        <stp/>
        <stp>P</stp>
        <stp>0</stp>
        <stp>IDX</stp>
        <stp>K2X11P</stp>
        <stp>시가</stp>
        <stp>45539</stp>
        <stp>Fill=true,Per=월</stp>
        <tr r="J380" s="2"/>
      </tp>
      <tp>
        <v>0</v>
        <stp/>
        <stp>P</stp>
        <stp>0</stp>
        <stp>IDX</stp>
        <stp>K2S01P</stp>
        <stp>저가</stp>
        <stp>45539</stp>
        <stp>Fill=true,Per=월</stp>
        <tr r="L47" s="2"/>
      </tp>
      <tp>
        <v>0</v>
        <stp/>
        <stp>P</stp>
        <stp>0</stp>
        <stp>IDX</stp>
        <stp>K2S11P</stp>
        <stp>저가</stp>
        <stp>45539</stp>
        <stp>Fill=true,Per=월</stp>
        <tr r="L54" s="2"/>
      </tp>
      <tp>
        <v>1318.62</v>
        <stp/>
        <stp>P</stp>
        <stp>0</stp>
        <stp>IDX</stp>
        <stp>K2Z01P</stp>
        <stp>시가</stp>
        <stp>45539</stp>
        <stp>Fill=true,Per=월</stp>
        <tr r="J382" s="2"/>
      </tp>
      <tp>
        <v>1023.44</v>
        <stp/>
        <stp>P</stp>
        <stp>0</stp>
        <stp>IDX</stp>
        <stp>K2T01P</stp>
        <stp>시가</stp>
        <stp>45539</stp>
        <stp>Fill=true,Per=월</stp>
        <tr r="J374" s="2"/>
      </tp>
      <tp>
        <v>1608.3</v>
        <stp/>
        <stp>P</stp>
        <stp>0</stp>
        <stp>IDX</stp>
        <stp>K2V01P</stp>
        <stp>시가</stp>
        <stp>45539</stp>
        <stp>Fill=true,Per=월</stp>
        <tr r="J375" s="2"/>
      </tp>
      <tp>
        <v>1626.73</v>
        <stp/>
        <stp>P</stp>
        <stp>0</stp>
        <stp>IDX</stp>
        <stp>K2901P</stp>
        <stp>고가</stp>
        <stp>45539</stp>
        <stp>Fill=true,Per=월</stp>
        <tr r="K343" s="2"/>
      </tp>
      <tp>
        <v>177.51</v>
        <stp/>
        <stp>P</stp>
        <stp>0</stp>
        <stp>IDX</stp>
        <stp>O2905P</stp>
        <stp>고가</stp>
        <stp>45539</stp>
        <stp>Fill=true,Per=월</stp>
        <tr r="K101" s="2"/>
      </tp>
      <tp>
        <v>2258.83</v>
        <stp/>
        <stp>P</stp>
        <stp>0</stp>
        <stp>IDX</stp>
        <stp>K2W01P</stp>
        <stp>시가</stp>
        <stp>45539</stp>
        <stp>Fill=true,Per=월</stp>
        <tr r="J11" s="2"/>
      </tp>
      <tp>
        <v>0</v>
        <stp/>
        <stp>P</stp>
        <stp>0</stp>
        <stp>IDX</stp>
        <stp>K2Z01P</stp>
        <stp>저가</stp>
        <stp>45539</stp>
        <stp>Fill=true,Per=월</stp>
        <tr r="L382" s="2"/>
      </tp>
      <tp>
        <v>0</v>
        <stp/>
        <stp>P</stp>
        <stp>0</stp>
        <stp>IDX</stp>
        <stp>K2X01P</stp>
        <stp>저가</stp>
        <stp>45539</stp>
        <stp>Fill=true,Per=월</stp>
        <tr r="L13" s="2"/>
      </tp>
      <tp>
        <v>0</v>
        <stp/>
        <stp>P</stp>
        <stp>0</stp>
        <stp>IDX</stp>
        <stp>K2X11P</stp>
        <stp>저가</stp>
        <stp>45539</stp>
        <stp>Fill=true,Per=월</stp>
        <tr r="L380" s="2"/>
      </tp>
      <tp>
        <v>2317.3200000000002</v>
        <stp/>
        <stp>P</stp>
        <stp>0</stp>
        <stp>IDX</stp>
        <stp>K2S01P</stp>
        <stp>시가</stp>
        <stp>45539</stp>
        <stp>Fill=true,Per=월</stp>
        <tr r="J47" s="2"/>
      </tp>
      <tp>
        <v>1685.15</v>
        <stp/>
        <stp>P</stp>
        <stp>0</stp>
        <stp>IDX</stp>
        <stp>K2S11P</stp>
        <stp>시가</stp>
        <stp>45539</stp>
        <stp>Fill=true,Per=월</stp>
        <tr r="J54" s="2"/>
      </tp>
      <tp>
        <v>0</v>
        <stp/>
        <stp>P</stp>
        <stp>0</stp>
        <stp>IDX</stp>
        <stp>K2G01P</stp>
        <stp>저가</stp>
        <stp>45539</stp>
        <stp>Fill=true,Per=월</stp>
        <tr r="L12" s="2"/>
      </tp>
      <tp>
        <v>0</v>
        <stp/>
        <stp>P</stp>
        <stp>0</stp>
        <stp>IDX</stp>
        <stp>K2D01P</stp>
        <stp>저가</stp>
        <stp>45539</stp>
        <stp>Fill=true,Per=월</stp>
        <tr r="L345" s="2"/>
      </tp>
      <tp>
        <v>0</v>
        <stp/>
        <stp>P</stp>
        <stp>0</stp>
        <stp>IDX</stp>
        <stp>K2E01P</stp>
        <stp>저가</stp>
        <stp>45539</stp>
        <stp>Fill=true,Per=월</stp>
        <tr r="L348" s="2"/>
      </tp>
      <tp>
        <v>0</v>
        <stp/>
        <stp>P</stp>
        <stp>0</stp>
        <stp>IDX</stp>
        <stp>K2B01P</stp>
        <stp>저가</stp>
        <stp>45539</stp>
        <stp>Fill=true,Per=월</stp>
        <tr r="L23" s="2"/>
      </tp>
      <tp>
        <v>2089.8200000000002</v>
        <stp/>
        <stp>P</stp>
        <stp>0</stp>
        <stp>IDX</stp>
        <stp>K2D01P</stp>
        <stp>시가</stp>
        <stp>45539</stp>
        <stp>Fill=true,Per=월</stp>
        <tr r="J345" s="2"/>
      </tp>
      <tp>
        <v>407.39</v>
        <stp/>
        <stp>P</stp>
        <stp>0</stp>
        <stp>IDX</stp>
        <stp>K2E01P</stp>
        <stp>시가</stp>
        <stp>45539</stp>
        <stp>Fill=true,Per=월</stp>
        <tr r="J348" s="2"/>
      </tp>
      <tp>
        <v>362.57</v>
        <stp/>
        <stp>P</stp>
        <stp>0</stp>
        <stp>IDX</stp>
        <stp>K2G01P</stp>
        <stp>시가</stp>
        <stp>45539</stp>
        <stp>Fill=true,Per=월</stp>
        <tr r="J12" s="2"/>
      </tp>
      <tp>
        <v>3208.89</v>
        <stp/>
        <stp>P</stp>
        <stp>0</stp>
        <stp>IDX</stp>
        <stp>K2B01P</stp>
        <stp>시가</stp>
        <stp>45539</stp>
        <stp>Fill=true,Per=월</stp>
        <tr r="J23" s="2"/>
      </tp>
      <tp>
        <v>2317.3200000000002</v>
        <stp/>
        <stp>P</stp>
        <stp>0</stp>
        <stp>IDX</stp>
        <stp>K2S01P</stp>
        <stp>고가</stp>
        <stp>45539</stp>
        <stp>Fill=true,Per=월</stp>
        <tr r="K47" s="2"/>
      </tp>
      <tp>
        <v>1691.4</v>
        <stp/>
        <stp>P</stp>
        <stp>0</stp>
        <stp>IDX</stp>
        <stp>K2S11P</stp>
        <stp>고가</stp>
        <stp>45539</stp>
        <stp>Fill=true,Per=월</stp>
        <tr r="K54" s="2"/>
      </tp>
      <tp>
        <v>1609.25</v>
        <stp/>
        <stp>P</stp>
        <stp>0</stp>
        <stp>IDX</stp>
        <stp>K2V01P</stp>
        <stp>고가</stp>
        <stp>45539</stp>
        <stp>Fill=true,Per=월</stp>
        <tr r="K375" s="2"/>
      </tp>
      <tp>
        <v>2266.33</v>
        <stp/>
        <stp>P</stp>
        <stp>0</stp>
        <stp>IDX</stp>
        <stp>K2W01P</stp>
        <stp>고가</stp>
        <stp>45539</stp>
        <stp>Fill=true,Per=월</stp>
        <tr r="K11" s="2"/>
      </tp>
      <tp>
        <v>1620.92</v>
        <stp/>
        <stp>P</stp>
        <stp>0</stp>
        <stp>IDX</stp>
        <stp>K2901P</stp>
        <stp>시가</stp>
        <stp>45539</stp>
        <stp>Fill=true,Per=월</stp>
        <tr r="J343" s="2"/>
      </tp>
      <tp>
        <v>176.38</v>
        <stp/>
        <stp>P</stp>
        <stp>0</stp>
        <stp>IDX</stp>
        <stp>O2905P</stp>
        <stp>시가</stp>
        <stp>45539</stp>
        <stp>Fill=true,Per=월</stp>
        <tr r="J101" s="2"/>
      </tp>
      <tp>
        <v>1025.3</v>
        <stp/>
        <stp>P</stp>
        <stp>0</stp>
        <stp>IDX</stp>
        <stp>K2T01P</stp>
        <stp>고가</stp>
        <stp>45539</stp>
        <stp>Fill=true,Per=월</stp>
        <tr r="K374" s="2"/>
      </tp>
      <tp>
        <v>1318.62</v>
        <stp/>
        <stp>P</stp>
        <stp>0</stp>
        <stp>IDX</stp>
        <stp>K2Z01P</stp>
        <stp>고가</stp>
        <stp>45539</stp>
        <stp>Fill=true,Per=월</stp>
        <tr r="K382" s="2"/>
      </tp>
      <tp>
        <v>294.61</v>
        <stp/>
        <stp>P</stp>
        <stp>0</stp>
        <stp>IDX</stp>
        <stp>K2X01P</stp>
        <stp>고가</stp>
        <stp>45539</stp>
        <stp>Fill=true,Per=월</stp>
        <tr r="K13" s="2"/>
      </tp>
      <tp>
        <v>1050.8800000000001</v>
        <stp/>
        <stp>P</stp>
        <stp>0</stp>
        <stp>IDX</stp>
        <stp>K2X11P</stp>
        <stp>고가</stp>
        <stp>45539</stp>
        <stp>Fill=true,Per=월</stp>
        <tr r="K380" s="2"/>
      </tp>
      <tp>
        <v>0</v>
        <stp/>
        <stp>P</stp>
        <stp>0</stp>
        <stp>IDX</stp>
        <stp>K2901P</stp>
        <stp>저가</stp>
        <stp>45539</stp>
        <stp>Fill=true,Per=월</stp>
        <tr r="L343" s="2"/>
      </tp>
      <tp>
        <v>0</v>
        <stp/>
        <stp>P</stp>
        <stp>0</stp>
        <stp>IDX</stp>
        <stp>O2905P</stp>
        <stp>저가</stp>
        <stp>45539</stp>
        <stp>Fill=true,Per=월</stp>
        <tr r="L101" s="2"/>
      </tp>
      <tp>
        <v>3250.48</v>
        <stp/>
        <stp>P</stp>
        <stp>0</stp>
        <stp>IDX</stp>
        <stp>K2B01P</stp>
        <stp>고가</stp>
        <stp>45539</stp>
        <stp>Fill=true,Per=월</stp>
        <tr r="K23" s="2"/>
      </tp>
      <tp>
        <v>363.87</v>
        <stp/>
        <stp>P</stp>
        <stp>0</stp>
        <stp>IDX</stp>
        <stp>K2G01P</stp>
        <stp>고가</stp>
        <stp>45539</stp>
        <stp>Fill=true,Per=월</stp>
        <tr r="K12" s="2"/>
      </tp>
      <tp>
        <v>2120.67</v>
        <stp/>
        <stp>P</stp>
        <stp>0</stp>
        <stp>IDX</stp>
        <stp>K2D01P</stp>
        <stp>고가</stp>
        <stp>45539</stp>
        <stp>Fill=true,Per=월</stp>
        <tr r="K345" s="2"/>
      </tp>
      <tp>
        <v>410.44</v>
        <stp/>
        <stp>P</stp>
        <stp>0</stp>
        <stp>IDX</stp>
        <stp>K2E01P</stp>
        <stp>고가</stp>
        <stp>45539</stp>
        <stp>Fill=true,Per=월</stp>
        <tr r="K348" s="2"/>
      </tp>
      <tp>
        <v>0</v>
        <stp/>
        <stp>P</stp>
        <stp>0</stp>
        <stp>IDX</stp>
        <stp>K2S01T</stp>
        <stp>저가</stp>
        <stp>45539</stp>
        <stp>Fill=true,Per=월</stp>
        <tr r="L363" s="2"/>
      </tp>
      <tp>
        <v>0</v>
        <stp/>
        <stp>P</stp>
        <stp>0</stp>
        <stp>IDX</stp>
        <stp>K2S11T</stp>
        <stp>저가</stp>
        <stp>45539</stp>
        <stp>Fill=true,Per=월</stp>
        <tr r="L373" s="2"/>
      </tp>
      <tp>
        <v>2476.06</v>
        <stp/>
        <stp>P</stp>
        <stp>0</stp>
        <stp>IDX</stp>
        <stp>K2S01T</stp>
        <stp>시가</stp>
        <stp>45539</stp>
        <stp>Fill=true,Per=월</stp>
        <tr r="J363" s="2"/>
      </tp>
      <tp>
        <v>2167.19</v>
        <stp/>
        <stp>P</stp>
        <stp>0</stp>
        <stp>IDX</stp>
        <stp>K2S11T</stp>
        <stp>시가</stp>
        <stp>45539</stp>
        <stp>Fill=true,Per=월</stp>
        <tr r="J373" s="2"/>
      </tp>
      <tp>
        <v>0</v>
        <stp/>
        <stp>P</stp>
        <stp>0</stp>
        <stp>IDX</stp>
        <stp>K2G01T</stp>
        <stp>저가</stp>
        <stp>45539</stp>
        <stp>Fill=true,Per=월</stp>
        <tr r="L351" s="2"/>
      </tp>
      <tp>
        <v>463.84</v>
        <stp/>
        <stp>P</stp>
        <stp>0</stp>
        <stp>IDX</stp>
        <stp>K2G01T</stp>
        <stp>시가</stp>
        <stp>45539</stp>
        <stp>Fill=true,Per=월</stp>
        <tr r="J351" s="2"/>
      </tp>
      <tp>
        <v>2476.06</v>
        <stp/>
        <stp>P</stp>
        <stp>0</stp>
        <stp>IDX</stp>
        <stp>K2S01T</stp>
        <stp>고가</stp>
        <stp>45539</stp>
        <stp>Fill=true,Per=월</stp>
        <tr r="K363" s="2"/>
      </tp>
      <tp>
        <v>2174.23</v>
        <stp/>
        <stp>P</stp>
        <stp>0</stp>
        <stp>IDX</stp>
        <stp>K2S11T</stp>
        <stp>고가</stp>
        <stp>45539</stp>
        <stp>Fill=true,Per=월</stp>
        <tr r="K373" s="2"/>
      </tp>
      <tp>
        <v>465.48</v>
        <stp/>
        <stp>P</stp>
        <stp>0</stp>
        <stp>IDX</stp>
        <stp>K2G01T</stp>
        <stp>고가</stp>
        <stp>45539</stp>
        <stp>Fill=true,Per=월</stp>
        <tr r="K351" s="2"/>
      </tp>
      <tp>
        <v>0</v>
        <stp/>
        <stp>P</stp>
        <stp>0</stp>
        <stp>IDX</stp>
        <stp>K2G01N</stp>
        <stp>저가</stp>
        <stp>45539</stp>
        <stp>Fill=true,Per=월</stp>
        <tr r="L350" s="2"/>
      </tp>
      <tp>
        <v>446.18</v>
        <stp/>
        <stp>P</stp>
        <stp>0</stp>
        <stp>IDX</stp>
        <stp>K2G01N</stp>
        <stp>시가</stp>
        <stp>45539</stp>
        <stp>Fill=true,Per=월</stp>
        <tr r="J350" s="2"/>
      </tp>
      <tp>
        <v>447.75</v>
        <stp/>
        <stp>P</stp>
        <stp>0</stp>
        <stp>IDX</stp>
        <stp>K2G01N</stp>
        <stp>고가</stp>
        <stp>45539</stp>
        <stp>Fill=true,Per=월</stp>
        <tr r="K350" s="2"/>
      </tp>
      <tp>
        <v>-0.78</v>
        <stp/>
        <stp>P</stp>
        <stp>0</stp>
        <stp>IDX</stp>
        <stp>X3G01T</stp>
        <stp>등락률</stp>
        <stp>45539</stp>
        <stp>Fill=true,Per=월</stp>
        <tr r="G190" s="2"/>
      </tp>
      <tp>
        <v>-1.83</v>
        <stp/>
        <stp>P</stp>
        <stp>0</stp>
        <stp>IDX</stp>
        <stp>F3X01T</stp>
        <stp>등락률</stp>
        <stp>45539</stp>
        <stp>Fill=true,Per=월</stp>
        <tr r="G270" s="2"/>
      </tp>
      <tp>
        <v>1.88</v>
        <stp/>
        <stp>P</stp>
        <stp>0</stp>
        <stp>IDX</stp>
        <stp>F3X03T</stp>
        <stp>등락률</stp>
        <stp>45539</stp>
        <stp>Fill=true,Per=월</stp>
        <tr r="G272" s="2"/>
      </tp>
      <tp>
        <v>0</v>
        <stp/>
        <stp>P</stp>
        <stp>0</stp>
        <stp>IDX</stp>
        <stp>MGA16T</stp>
        <stp>저가</stp>
        <stp>45539</stp>
        <stp>Fill=true,Per=월</stp>
        <tr r="L106" s="2"/>
      </tp>
      <tp>
        <v>1317.55</v>
        <stp/>
        <stp>P</stp>
        <stp>0</stp>
        <stp>IDX</stp>
        <stp>MGA16T</stp>
        <stp>시가</stp>
        <stp>45539</stp>
        <stp>Fill=true,Per=월</stp>
        <tr r="J106" s="2"/>
      </tp>
      <tp>
        <v>1317.55</v>
        <stp/>
        <stp>P</stp>
        <stp>0</stp>
        <stp>IDX</stp>
        <stp>MGA16T</stp>
        <stp>고가</stp>
        <stp>45539</stp>
        <stp>Fill=true,Per=월</stp>
        <tr r="K106" s="2"/>
      </tp>
      <tp>
        <v>0</v>
        <stp/>
        <stp>P</stp>
        <stp>0</stp>
        <stp>IDX</stp>
        <stp>KGS20P</stp>
        <stp>저가</stp>
        <stp>45539</stp>
        <stp>Fill=true,Per=월</stp>
        <tr r="L81" s="2"/>
      </tp>
      <tp>
        <v>0</v>
        <stp/>
        <stp>P</stp>
        <stp>0</stp>
        <stp>IDX</stp>
        <stp>KGS10P</stp>
        <stp>저가</stp>
        <stp>45539</stp>
        <stp>Fill=true,Per=월</stp>
        <tr r="L33" s="2"/>
      </tp>
      <tp>
        <v>1778.34</v>
        <stp/>
        <stp>P</stp>
        <stp>0</stp>
        <stp>IDX</stp>
        <stp>OG914P</stp>
        <stp>고가</stp>
        <stp>45539</stp>
        <stp>Fill=true,Per=월</stp>
        <tr r="K205" s="2"/>
      </tp>
      <tp>
        <v>792.34</v>
        <stp/>
        <stp>P</stp>
        <stp>0</stp>
        <stp>IDX</stp>
        <stp>KGS20P</stp>
        <stp>시가</stp>
        <stp>45539</stp>
        <stp>Fill=true,Per=월</stp>
        <tr r="J81" s="2"/>
      </tp>
      <tp>
        <v>2709.17</v>
        <stp/>
        <stp>P</stp>
        <stp>0</stp>
        <stp>IDX</stp>
        <stp>KGS10P</stp>
        <stp>시가</stp>
        <stp>45539</stp>
        <stp>Fill=true,Per=월</stp>
        <tr r="J33" s="2"/>
      </tp>
      <tp>
        <v>0</v>
        <stp/>
        <stp>P</stp>
        <stp>0</stp>
        <stp>IDX</stp>
        <stp>MGA06P</stp>
        <stp>저가</stp>
        <stp>45539</stp>
        <stp>Fill=true,Per=월</stp>
        <tr r="L124" s="2"/>
      </tp>
      <tp>
        <v>1914.57</v>
        <stp/>
        <stp>P</stp>
        <stp>0</stp>
        <stp>IDX</stp>
        <stp>MGA06P</stp>
        <stp>시가</stp>
        <stp>45539</stp>
        <stp>Fill=true,Per=월</stp>
        <tr r="J124" s="2"/>
      </tp>
      <tp>
        <v>814.96</v>
        <stp/>
        <stp>P</stp>
        <stp>0</stp>
        <stp>IDX</stp>
        <stp>KGS20P</stp>
        <stp>고가</stp>
        <stp>45539</stp>
        <stp>Fill=true,Per=월</stp>
        <tr r="K81" s="2"/>
      </tp>
      <tp>
        <v>2710.78</v>
        <stp/>
        <stp>P</stp>
        <stp>0</stp>
        <stp>IDX</stp>
        <stp>KGS10P</stp>
        <stp>고가</stp>
        <stp>45539</stp>
        <stp>Fill=true,Per=월</stp>
        <tr r="K33" s="2"/>
      </tp>
      <tp>
        <v>1735.66</v>
        <stp/>
        <stp>P</stp>
        <stp>0</stp>
        <stp>IDX</stp>
        <stp>OG914P</stp>
        <stp>시가</stp>
        <stp>45539</stp>
        <stp>Fill=true,Per=월</stp>
        <tr r="J205" s="2"/>
      </tp>
      <tp>
        <v>0</v>
        <stp/>
        <stp>P</stp>
        <stp>0</stp>
        <stp>IDX</stp>
        <stp>OG914P</stp>
        <stp>저가</stp>
        <stp>45539</stp>
        <stp>Fill=true,Per=월</stp>
        <tr r="L205" s="2"/>
      </tp>
      <tp>
        <v>1947</v>
        <stp/>
        <stp>P</stp>
        <stp>0</stp>
        <stp>IDX</stp>
        <stp>MGA06P</stp>
        <stp>고가</stp>
        <stp>45539</stp>
        <stp>Fill=true,Per=월</stp>
        <tr r="K124" s="2"/>
      </tp>
      <tp>
        <v>0</v>
        <stp/>
        <stp>P</stp>
        <stp>0</stp>
        <stp>IDX</stp>
        <stp>K2S10P</stp>
        <stp>저가</stp>
        <stp>45539</stp>
        <stp>Fill=true,Per=월</stp>
        <tr r="L59" s="2"/>
      </tp>
      <tp>
        <v>1177.5899999999999</v>
        <stp/>
        <stp>P</stp>
        <stp>0</stp>
        <stp>IDX</stp>
        <stp>O2904P</stp>
        <stp>고가</stp>
        <stp>45539</stp>
        <stp>Fill=true,Per=월</stp>
        <tr r="K102" s="2"/>
      </tp>
      <tp>
        <v>877.19</v>
        <stp/>
        <stp>P</stp>
        <stp>0</stp>
        <stp>IDX</stp>
        <stp>K2S10P</stp>
        <stp>시가</stp>
        <stp>45539</stp>
        <stp>Fill=true,Per=월</stp>
        <tr r="J59" s="2"/>
      </tp>
      <tp>
        <v>0</v>
        <stp/>
        <stp>P</stp>
        <stp>0</stp>
        <stp>IDX</stp>
        <stp>K2G10P</stp>
        <stp>저가</stp>
        <stp>45539</stp>
        <stp>Fill=true,Per=월</stp>
        <tr r="L361" s="2"/>
      </tp>
      <tp>
        <v>347.49</v>
        <stp/>
        <stp>P</stp>
        <stp>0</stp>
        <stp>IDX</stp>
        <stp>K2G10P</stp>
        <stp>시가</stp>
        <stp>45539</stp>
        <stp>Fill=true,Per=월</stp>
        <tr r="J361" s="2"/>
      </tp>
      <tp>
        <v>888.85</v>
        <stp/>
        <stp>P</stp>
        <stp>0</stp>
        <stp>IDX</stp>
        <stp>K2S10P</stp>
        <stp>고가</stp>
        <stp>45539</stp>
        <stp>Fill=true,Per=월</stp>
        <tr r="K59" s="2"/>
      </tp>
      <tp>
        <v>1151.3499999999999</v>
        <stp/>
        <stp>P</stp>
        <stp>0</stp>
        <stp>IDX</stp>
        <stp>O2904P</stp>
        <stp>시가</stp>
        <stp>45539</stp>
        <stp>Fill=true,Per=월</stp>
        <tr r="J102" s="2"/>
      </tp>
      <tp>
        <v>0</v>
        <stp/>
        <stp>P</stp>
        <stp>0</stp>
        <stp>IDX</stp>
        <stp>O2904P</stp>
        <stp>저가</stp>
        <stp>45539</stp>
        <stp>Fill=true,Per=월</stp>
        <tr r="L102" s="2"/>
      </tp>
      <tp>
        <v>349.12</v>
        <stp/>
        <stp>P</stp>
        <stp>0</stp>
        <stp>IDX</stp>
        <stp>K2G10P</stp>
        <stp>고가</stp>
        <stp>45539</stp>
        <stp>Fill=true,Per=월</stp>
        <tr r="K361" s="2"/>
      </tp>
      <tp>
        <v>0</v>
        <stp/>
        <stp>P</stp>
        <stp>0</stp>
        <stp>IDX</stp>
        <stp>K2S10T</stp>
        <stp>저가</stp>
        <stp>45539</stp>
        <stp>Fill=true,Per=월</stp>
        <tr r="L372" s="2"/>
      </tp>
      <tp>
        <v>1144.9000000000001</v>
        <stp/>
        <stp>P</stp>
        <stp>0</stp>
        <stp>IDX</stp>
        <stp>K2S10T</stp>
        <stp>시가</stp>
        <stp>45539</stp>
        <stp>Fill=true,Per=월</stp>
        <tr r="J372" s="2"/>
      </tp>
      <tp>
        <v>0</v>
        <stp/>
        <stp>P</stp>
        <stp>0</stp>
        <stp>IDX</stp>
        <stp>K2G10T</stp>
        <stp>저가</stp>
        <stp>45539</stp>
        <stp>Fill=true,Per=월</stp>
        <tr r="L362" s="2"/>
      </tp>
      <tp>
        <v>443.76</v>
        <stp/>
        <stp>P</stp>
        <stp>0</stp>
        <stp>IDX</stp>
        <stp>K2G10T</stp>
        <stp>시가</stp>
        <stp>45539</stp>
        <stp>Fill=true,Per=월</stp>
        <tr r="J362" s="2"/>
      </tp>
      <tp>
        <v>1160.02</v>
        <stp/>
        <stp>P</stp>
        <stp>0</stp>
        <stp>IDX</stp>
        <stp>K2S10T</stp>
        <stp>고가</stp>
        <stp>45539</stp>
        <stp>Fill=true,Per=월</stp>
        <tr r="K372" s="2"/>
      </tp>
      <tp>
        <v>445.81</v>
        <stp/>
        <stp>P</stp>
        <stp>0</stp>
        <stp>IDX</stp>
        <stp>K2G10T</stp>
        <stp>고가</stp>
        <stp>45539</stp>
        <stp>Fill=true,Per=월</stp>
        <tr r="K362" s="2"/>
      </tp>
      <tp>
        <v>0</v>
        <stp/>
        <stp>P</stp>
        <stp>0</stp>
        <stp>IDX</stp>
        <stp>K2G10N</stp>
        <stp>저가</stp>
        <stp>45539</stp>
        <stp>Fill=true,Per=월</stp>
        <tr r="L360" s="2"/>
      </tp>
      <tp>
        <v>427.56</v>
        <stp/>
        <stp>P</stp>
        <stp>0</stp>
        <stp>IDX</stp>
        <stp>K2G10N</stp>
        <stp>시가</stp>
        <stp>45539</stp>
        <stp>Fill=true,Per=월</stp>
        <tr r="J360" s="2"/>
      </tp>
      <tp>
        <v>429.54</v>
        <stp/>
        <stp>P</stp>
        <stp>0</stp>
        <stp>IDX</stp>
        <stp>K2G10N</stp>
        <stp>고가</stp>
        <stp>45539</stp>
        <stp>Fill=true,Per=월</stp>
        <tr r="K360" s="2"/>
      </tp>
      <tp>
        <v>0</v>
        <stp/>
        <stp>P</stp>
        <stp>0</stp>
        <stp>IDX</stp>
        <stp>FTX06T</stp>
        <stp>누적거래량</stp>
        <stp>45539</stp>
        <stp>Fill=true,Per=월</stp>
        <tr r="H324" s="2"/>
      </tp>
      <tp>
        <v>0</v>
        <stp/>
        <stp>P</stp>
        <stp>0</stp>
        <stp>IDX</stp>
        <stp>FRX06P</stp>
        <stp>누적거래량</stp>
        <stp>45539</stp>
        <stp>Fill=true,Per=월</stp>
        <tr r="H306" s="2"/>
      </tp>
      <tp>
        <v>0</v>
        <stp/>
        <stp>P</stp>
        <stp>0</stp>
        <stp>IDX</stp>
        <stp>GGG07P</stp>
        <stp>누적거래량</stp>
        <stp>45539</stp>
        <stp>Fill=true,Per=월</stp>
        <tr r="H337" s="2"/>
      </tp>
      <tp>
        <v>0</v>
        <stp/>
        <stp>P</stp>
        <stp>0</stp>
        <stp>IDX</stp>
        <stp>FGA06P</stp>
        <stp>누적거래량</stp>
        <stp>45539</stp>
        <stp>Fill=true,Per=월</stp>
        <tr r="H290" s="2"/>
      </tp>
      <tp>
        <v>0</v>
        <stp/>
        <stp>P</stp>
        <stp>0</stp>
        <stp>IDX</stp>
        <stp>F5X06T</stp>
        <stp>누적거래량</stp>
        <stp>45539</stp>
        <stp>Fill=true,Per=월</stp>
        <tr r="H281" s="2"/>
      </tp>
      <tp>
        <v>0</v>
        <stp/>
        <stp>P</stp>
        <stp>0</stp>
        <stp>IDX</stp>
        <stp>F2S06P</stp>
        <stp>누적거래량</stp>
        <stp>45539</stp>
        <stp>Fill=true,Per=월</stp>
        <tr r="H219" s="2"/>
      </tp>
      <tp>
        <v>0</v>
        <stp/>
        <stp>P</stp>
        <stp>0</stp>
        <stp>IDX</stp>
        <stp>F2X06P</stp>
        <stp>누적거래량</stp>
        <stp>45539</stp>
        <stp>Fill=true,Per=월</stp>
        <tr r="H230" s="2"/>
      </tp>
      <tp>
        <v>0</v>
        <stp/>
        <stp>P</stp>
        <stp>0</stp>
        <stp>IDX</stp>
        <stp>FTX07P</stp>
        <stp>누적거래량</stp>
        <stp>45539</stp>
        <stp>Fill=true,Per=월</stp>
        <tr r="H325" s="2"/>
      </tp>
      <tp>
        <v>0</v>
        <stp/>
        <stp>P</stp>
        <stp>0</stp>
        <stp>IDX</stp>
        <stp>FRX07P</stp>
        <stp>누적거래량</stp>
        <stp>45539</stp>
        <stp>Fill=true,Per=월</stp>
        <tr r="H307" s="2"/>
      </tp>
      <tp>
        <v>0</v>
        <stp/>
        <stp>P</stp>
        <stp>0</stp>
        <stp>IDX</stp>
        <stp>GGG06P</stp>
        <stp>누적거래량</stp>
        <stp>45539</stp>
        <stp>Fill=true,Per=월</stp>
        <tr r="H336" s="2"/>
      </tp>
      <tp>
        <v>0</v>
        <stp/>
        <stp>P</stp>
        <stp>0</stp>
        <stp>IDX</stp>
        <stp>FGA07P</stp>
        <stp>누적거래량</stp>
        <stp>45539</stp>
        <stp>Fill=true,Per=월</stp>
        <tr r="H291" s="2"/>
      </tp>
      <tp>
        <v>0</v>
        <stp/>
        <stp>P</stp>
        <stp>0</stp>
        <stp>IDX</stp>
        <stp>F5X07T</stp>
        <stp>누적거래량</stp>
        <stp>45539</stp>
        <stp>Fill=true,Per=월</stp>
        <tr r="H282" s="2"/>
      </tp>
      <tp>
        <v>0</v>
        <stp/>
        <stp>P</stp>
        <stp>0</stp>
        <stp>IDX</stp>
        <stp>F2S07P</stp>
        <stp>누적거래량</stp>
        <stp>45539</stp>
        <stp>Fill=true,Per=월</stp>
        <tr r="H220" s="2"/>
      </tp>
      <tp>
        <v>0</v>
        <stp/>
        <stp>P</stp>
        <stp>0</stp>
        <stp>IDX</stp>
        <stp>F2X07P</stp>
        <stp>누적거래량</stp>
        <stp>45539</stp>
        <stp>Fill=true,Per=월</stp>
        <tr r="H231" s="2"/>
      </tp>
      <tp>
        <v>0</v>
        <stp/>
        <stp>P</stp>
        <stp>0</stp>
        <stp>IDX</stp>
        <stp>FTX04P</stp>
        <stp>누적거래량</stp>
        <stp>45539</stp>
        <stp>Fill=true,Per=월</stp>
        <tr r="H322" s="2"/>
      </tp>
      <tp>
        <v>0</v>
        <stp/>
        <stp>P</stp>
        <stp>0</stp>
        <stp>IDX</stp>
        <stp>FT904P</stp>
        <stp>누적거래량</stp>
        <stp>45539</stp>
        <stp>Fill=true,Per=월</stp>
        <tr r="H314" s="2"/>
      </tp>
      <tp>
        <v>0</v>
        <stp/>
        <stp>P</stp>
        <stp>0</stp>
        <stp>IDX</stp>
        <stp>FRX04P</stp>
        <stp>누적거래량</stp>
        <stp>45539</stp>
        <stp>Fill=true,Per=월</stp>
        <tr r="H304" s="2"/>
      </tp>
      <tp>
        <v>100778</v>
        <stp/>
        <stp>P</stp>
        <stp>0</stp>
        <stp>IDX</stp>
        <stp>KGS09P</stp>
        <stp>누적거래량</stp>
        <stp>45539</stp>
        <stp>Fill=true,Per=월</stp>
        <tr r="H22" s="2"/>
      </tp>
      <tp>
        <v>0</v>
        <stp/>
        <stp>P</stp>
        <stp>0</stp>
        <stp>IDX</stp>
        <stp>GGG05P</stp>
        <stp>누적거래량</stp>
        <stp>45539</stp>
        <stp>Fill=true,Per=월</stp>
        <tr r="H335" s="2"/>
      </tp>
      <tp>
        <v>0</v>
        <stp/>
        <stp>P</stp>
        <stp>0</stp>
        <stp>IDX</stp>
        <stp>FGX04T</stp>
        <stp>누적거래량</stp>
        <stp>45539</stp>
        <stp>Fill=true,Per=월</stp>
        <tr r="H296" s="2"/>
      </tp>
      <tp>
        <v>0</v>
        <stp/>
        <stp>P</stp>
        <stp>0</stp>
        <stp>IDX</stp>
        <stp>FGA04T</stp>
        <stp>누적거래량</stp>
        <stp>45539</stp>
        <stp>Fill=true,Per=월</stp>
        <tr r="H288" s="2"/>
      </tp>
      <tp>
        <v>0</v>
        <stp/>
        <stp>P</stp>
        <stp>0</stp>
        <stp>IDX</stp>
        <stp>K2S09T</stp>
        <stp>누적거래량</stp>
        <stp>45539</stp>
        <stp>Fill=true,Per=월</stp>
        <tr r="H371" s="2"/>
      </tp>
      <tp>
        <v>0</v>
        <stp/>
        <stp>P</stp>
        <stp>0</stp>
        <stp>IDX</stp>
        <stp>F5X04T</stp>
        <stp>누적거래량</stp>
        <stp>45539</stp>
        <stp>Fill=true,Per=월</stp>
        <tr r="H279" s="2"/>
      </tp>
      <tp>
        <v>0</v>
        <stp/>
        <stp>P</stp>
        <stp>0</stp>
        <stp>IDX</stp>
        <stp>F2S04P</stp>
        <stp>누적거래량</stp>
        <stp>45539</stp>
        <stp>Fill=true,Per=월</stp>
        <tr r="H217" s="2"/>
      </tp>
      <tp>
        <v>4012</v>
        <stp/>
        <stp>P</stp>
        <stp>0</stp>
        <stp>IDX</stp>
        <stp>K2S09P</stp>
        <stp>누적거래량</stp>
        <stp>45539</stp>
        <stp>Fill=true,Per=월</stp>
        <tr r="H68" s="2"/>
      </tp>
      <tp>
        <v>0</v>
        <stp/>
        <stp>P</stp>
        <stp>0</stp>
        <stp>IDX</stp>
        <stp>F2X04P</stp>
        <stp>누적거래량</stp>
        <stp>45539</stp>
        <stp>Fill=true,Per=월</stp>
        <tr r="H228" s="2"/>
      </tp>
      <tp>
        <v>0</v>
        <stp/>
        <stp>P</stp>
        <stp>0</stp>
        <stp>IDX</stp>
        <stp>K2X09P</stp>
        <stp>누적거래량</stp>
        <stp>45539</stp>
        <stp>Fill=true,Per=월</stp>
        <tr r="H48" s="2"/>
      </tp>
      <tp>
        <v>0</v>
        <stp/>
        <stp>P</stp>
        <stp>0</stp>
        <stp>IDX</stp>
        <stp>FTX05P</stp>
        <stp>누적거래량</stp>
        <stp>45539</stp>
        <stp>Fill=true,Per=월</stp>
        <tr r="H323" s="2"/>
      </tp>
      <tp>
        <v>0</v>
        <stp/>
        <stp>P</stp>
        <stp>0</stp>
        <stp>IDX</stp>
        <stp>FRX05P</stp>
        <stp>누적거래량</stp>
        <stp>45539</stp>
        <stp>Fill=true,Per=월</stp>
        <tr r="H305" s="2"/>
      </tp>
      <tp>
        <v>42171</v>
        <stp/>
        <stp>P</stp>
        <stp>0</stp>
        <stp>IDX</stp>
        <stp>KGS08P</stp>
        <stp>누적거래량</stp>
        <stp>45539</stp>
        <stp>Fill=true,Per=월</stp>
        <tr r="H66" s="2"/>
      </tp>
      <tp>
        <v>0</v>
        <stp/>
        <stp>P</stp>
        <stp>0</stp>
        <stp>IDX</stp>
        <stp>GGG04P</stp>
        <stp>누적거래량</stp>
        <stp>45539</stp>
        <stp>Fill=true,Per=월</stp>
        <tr r="H334" s="2"/>
      </tp>
      <tp>
        <v>0</v>
        <stp/>
        <stp>P</stp>
        <stp>0</stp>
        <stp>IDX</stp>
        <stp>FGA05P</stp>
        <stp>누적거래량</stp>
        <stp>45539</stp>
        <stp>Fill=true,Per=월</stp>
        <tr r="H289" s="2"/>
      </tp>
      <tp>
        <v>0</v>
        <stp/>
        <stp>P</stp>
        <stp>0</stp>
        <stp>IDX</stp>
        <stp>K2S08T</stp>
        <stp>누적거래량</stp>
        <stp>45539</stp>
        <stp>Fill=true,Per=월</stp>
        <tr r="H370" s="2"/>
      </tp>
      <tp>
        <v>0</v>
        <stp/>
        <stp>P</stp>
        <stp>0</stp>
        <stp>IDX</stp>
        <stp>F2X05T</stp>
        <stp>누적거래량</stp>
        <stp>45539</stp>
        <stp>Fill=true,Per=월</stp>
        <tr r="H229" s="2"/>
      </tp>
      <tp>
        <v>0</v>
        <stp/>
        <stp>P</stp>
        <stp>0</stp>
        <stp>IDX</stp>
        <stp>K2G08T</stp>
        <stp>누적거래량</stp>
        <stp>45539</stp>
        <stp>Fill=true,Per=월</stp>
        <tr r="H359" s="2"/>
      </tp>
      <tp>
        <v>0</v>
        <stp/>
        <stp>P</stp>
        <stp>0</stp>
        <stp>IDX</stp>
        <stp>F5X05T</stp>
        <stp>누적거래량</stp>
        <stp>45539</stp>
        <stp>Fill=true,Per=월</stp>
        <tr r="H280" s="2"/>
      </tp>
      <tp>
        <v>0</v>
        <stp/>
        <stp>P</stp>
        <stp>0</stp>
        <stp>IDX</stp>
        <stp>F2S05P</stp>
        <stp>누적거래량</stp>
        <stp>45539</stp>
        <stp>Fill=true,Per=월</stp>
        <tr r="H218" s="2"/>
      </tp>
      <tp>
        <v>26100</v>
        <stp/>
        <stp>P</stp>
        <stp>0</stp>
        <stp>IDX</stp>
        <stp>K2S08P</stp>
        <stp>누적거래량</stp>
        <stp>45539</stp>
        <stp>Fill=true,Per=월</stp>
        <tr r="H55" s="2"/>
      </tp>
      <tp>
        <v>0</v>
        <stp/>
        <stp>P</stp>
        <stp>0</stp>
        <stp>IDX</stp>
        <stp>K2X08P</stp>
        <stp>누적거래량</stp>
        <stp>45539</stp>
        <stp>Fill=true,Per=월</stp>
        <tr r="H56" s="2"/>
      </tp>
      <tp>
        <v>206271</v>
        <stp/>
        <stp>P</stp>
        <stp>0</stp>
        <stp>IDX</stp>
        <stp>K2G08P</stp>
        <stp>누적거래량</stp>
        <stp>45539</stp>
        <stp>Fill=true,Per=월</stp>
        <tr r="H358" s="2"/>
      </tp>
      <tp>
        <v>0</v>
        <stp/>
        <stp>P</stp>
        <stp>0</stp>
        <stp>IDX</stp>
        <stp>K2G08N</stp>
        <stp>누적거래량</stp>
        <stp>45539</stp>
        <stp>Fill=true,Per=월</stp>
        <tr r="H357" s="2"/>
      </tp>
      <tp>
        <v>0</v>
        <stp/>
        <stp>P</stp>
        <stp>0</stp>
        <stp>IDX</stp>
        <stp>FTX02P</stp>
        <stp>누적거래량</stp>
        <stp>45539</stp>
        <stp>Fill=true,Per=월</stp>
        <tr r="H320" s="2"/>
      </tp>
      <tp>
        <v>0</v>
        <stp/>
        <stp>P</stp>
        <stp>0</stp>
        <stp>IDX</stp>
        <stp>FTG02P</stp>
        <stp>누적거래량</stp>
        <stp>45539</stp>
        <stp>Fill=true,Per=월</stp>
        <tr r="H318" s="2"/>
      </tp>
      <tp>
        <v>0</v>
        <stp/>
        <stp>P</stp>
        <stp>0</stp>
        <stp>IDX</stp>
        <stp>FTA02P</stp>
        <stp>누적거래량</stp>
        <stp>45539</stp>
        <stp>Fill=true,Per=월</stp>
        <tr r="H316" s="2"/>
      </tp>
      <tp>
        <v>0</v>
        <stp/>
        <stp>P</stp>
        <stp>0</stp>
        <stp>IDX</stp>
        <stp>FRX02P</stp>
        <stp>누적거래량</stp>
        <stp>45539</stp>
        <stp>Fill=true,Per=월</stp>
        <tr r="H302" s="2"/>
      </tp>
      <tp>
        <v>0</v>
        <stp/>
        <stp>P</stp>
        <stp>0</stp>
        <stp>IDX</stp>
        <stp>FRG02P</stp>
        <stp>누적거래량</stp>
        <stp>45539</stp>
        <stp>Fill=true,Per=월</stp>
        <tr r="H299" s="2"/>
      </tp>
      <tp>
        <v>0</v>
        <stp/>
        <stp>P</stp>
        <stp>0</stp>
        <stp>IDX</stp>
        <stp>GGT03P</stp>
        <stp>누적거래량</stp>
        <stp>45539</stp>
        <stp>Fill=true,Per=월</stp>
        <tr r="H342" s="2"/>
      </tp>
      <tp>
        <v>0</v>
        <stp/>
        <stp>P</stp>
        <stp>0</stp>
        <stp>IDX</stp>
        <stp>GGG03P</stp>
        <stp>누적거래량</stp>
        <stp>45539</stp>
        <stp>Fill=true,Per=월</stp>
        <tr r="H333" s="2"/>
      </tp>
      <tp>
        <v>0</v>
        <stp/>
        <stp>P</stp>
        <stp>0</stp>
        <stp>IDX</stp>
        <stp>MGA09P</stp>
        <stp>누적거래량</stp>
        <stp>45539</stp>
        <stp>Fill=true,Per=월</stp>
        <tr r="H127" s="2"/>
      </tp>
      <tp>
        <v>0</v>
        <stp/>
        <stp>P</stp>
        <stp>0</stp>
        <stp>IDX</stp>
        <stp>FGX02T</stp>
        <stp>누적거래량</stp>
        <stp>45539</stp>
        <stp>Fill=true,Per=월</stp>
        <tr r="H294" s="2"/>
      </tp>
      <tp>
        <v>0</v>
        <stp/>
        <stp>P</stp>
        <stp>0</stp>
        <stp>IDX</stp>
        <stp>F2902T</stp>
        <stp>누적거래량</stp>
        <stp>45539</stp>
        <stp>Fill=true,Per=월</stp>
        <tr r="H211" s="2"/>
      </tp>
      <tp>
        <v>0</v>
        <stp/>
        <stp>P</stp>
        <stp>0</stp>
        <stp>IDX</stp>
        <stp>F5X02T</stp>
        <stp>누적거래량</stp>
        <stp>45539</stp>
        <stp>Fill=true,Per=월</stp>
        <tr r="H277" s="2"/>
      </tp>
      <tp>
        <v>0</v>
        <stp/>
        <stp>P</stp>
        <stp>0</stp>
        <stp>IDX</stp>
        <stp>F5902T</stp>
        <stp>누적거래량</stp>
        <stp>45539</stp>
        <stp>Fill=true,Per=월</stp>
        <tr r="H274" s="2"/>
      </tp>
      <tp>
        <v>0</v>
        <stp/>
        <stp>P</stp>
        <stp>0</stp>
        <stp>IDX</stp>
        <stp>F3X02P</stp>
        <stp>누적거래량</stp>
        <stp>45539</stp>
        <stp>Fill=true,Per=월</stp>
        <tr r="H271" s="2"/>
      </tp>
      <tp>
        <v>0</v>
        <stp/>
        <stp>P</stp>
        <stp>0</stp>
        <stp>IDX</stp>
        <stp>F2V02P</stp>
        <stp>누적거래량</stp>
        <stp>45539</stp>
        <stp>Fill=true,Per=월</stp>
        <tr r="H224" s="2"/>
      </tp>
      <tp>
        <v>0</v>
        <stp/>
        <stp>P</stp>
        <stp>0</stp>
        <stp>IDX</stp>
        <stp>F2S02P</stp>
        <stp>누적거래량</stp>
        <stp>45539</stp>
        <stp>Fill=true,Per=월</stp>
        <tr r="H215" s="2"/>
      </tp>
      <tp>
        <v>0</v>
        <stp/>
        <stp>P</stp>
        <stp>0</stp>
        <stp>IDX</stp>
        <stp>F2X02P</stp>
        <stp>누적거래량</stp>
        <stp>45539</stp>
        <stp>Fill=true,Per=월</stp>
        <tr r="H226" s="2"/>
      </tp>
      <tp>
        <v>0</v>
        <stp/>
        <stp>P</stp>
        <stp>0</stp>
        <stp>IDX</stp>
        <stp>F2G02P</stp>
        <stp>누적거래량</stp>
        <stp>45539</stp>
        <stp>Fill=true,Per=월</stp>
        <tr r="H213" s="2"/>
      </tp>
      <tp>
        <v>0</v>
        <stp/>
        <stp>P</stp>
        <stp>0</stp>
        <stp>IDX</stp>
        <stp>FTX03P</stp>
        <stp>누적거래량</stp>
        <stp>45539</stp>
        <stp>Fill=true,Per=월</stp>
        <tr r="H321" s="2"/>
      </tp>
      <tp>
        <v>0</v>
        <stp/>
        <stp>P</stp>
        <stp>0</stp>
        <stp>IDX</stp>
        <stp>FRX03P</stp>
        <stp>누적거래량</stp>
        <stp>45539</stp>
        <stp>Fill=true,Per=월</stp>
        <tr r="H303" s="2"/>
      </tp>
      <tp>
        <v>0</v>
        <stp/>
        <stp>P</stp>
        <stp>0</stp>
        <stp>IDX</stp>
        <stp>FRG03P</stp>
        <stp>누적거래량</stp>
        <stp>45539</stp>
        <stp>Fill=true,Per=월</stp>
        <tr r="H300" s="2"/>
      </tp>
      <tp>
        <v>0</v>
        <stp/>
        <stp>P</stp>
        <stp>0</stp>
        <stp>IDX</stp>
        <stp>GGT02P</stp>
        <stp>누적거래량</stp>
        <stp>45539</stp>
        <stp>Fill=true,Per=월</stp>
        <tr r="H341" s="2"/>
      </tp>
      <tp>
        <v>0</v>
        <stp/>
        <stp>P</stp>
        <stp>0</stp>
        <stp>IDX</stp>
        <stp>GGG02P</stp>
        <stp>누적거래량</stp>
        <stp>45539</stp>
        <stp>Fill=true,Per=월</stp>
        <tr r="H332" s="2"/>
      </tp>
      <tp>
        <v>0</v>
        <stp/>
        <stp>P</stp>
        <stp>0</stp>
        <stp>IDX</stp>
        <stp>MGA08P</stp>
        <stp>누적거래량</stp>
        <stp>45539</stp>
        <stp>Fill=true,Per=월</stp>
        <tr r="H126" s="2"/>
      </tp>
      <tp>
        <v>0</v>
        <stp/>
        <stp>P</stp>
        <stp>0</stp>
        <stp>IDX</stp>
        <stp>FGX03T</stp>
        <stp>누적거래량</stp>
        <stp>45539</stp>
        <stp>Fill=true,Per=월</stp>
        <tr r="H295" s="2"/>
      </tp>
      <tp>
        <v>0</v>
        <stp/>
        <stp>P</stp>
        <stp>0</stp>
        <stp>IDX</stp>
        <stp>FGA03T</stp>
        <stp>누적거래량</stp>
        <stp>45539</stp>
        <stp>Fill=true,Per=월</stp>
        <tr r="H287" s="2"/>
      </tp>
      <tp>
        <v>0</v>
        <stp/>
        <stp>P</stp>
        <stp>0</stp>
        <stp>IDX</stp>
        <stp>F3X03T</stp>
        <stp>누적거래량</stp>
        <stp>45539</stp>
        <stp>Fill=true,Per=월</stp>
        <tr r="H272" s="2"/>
      </tp>
      <tp>
        <v>0</v>
        <stp/>
        <stp>P</stp>
        <stp>0</stp>
        <stp>IDX</stp>
        <stp>F5X03T</stp>
        <stp>누적거래량</stp>
        <stp>45539</stp>
        <stp>Fill=true,Per=월</stp>
        <tr r="H278" s="2"/>
      </tp>
      <tp>
        <v>0</v>
        <stp/>
        <stp>P</stp>
        <stp>0</stp>
        <stp>IDX</stp>
        <stp>F2S03P</stp>
        <stp>누적거래량</stp>
        <stp>45539</stp>
        <stp>Fill=true,Per=월</stp>
        <tr r="H216" s="2"/>
      </tp>
      <tp>
        <v>0</v>
        <stp/>
        <stp>P</stp>
        <stp>0</stp>
        <stp>IDX</stp>
        <stp>F2X03P</stp>
        <stp>누적거래량</stp>
        <stp>45539</stp>
        <stp>Fill=true,Per=월</stp>
        <tr r="H227" s="2"/>
      </tp>
      <tp>
        <v>0</v>
        <stp/>
        <stp>P</stp>
        <stp>0</stp>
        <stp>IDX</stp>
        <stp>GGT01P</stp>
        <stp>누적거래량</stp>
        <stp>45539</stp>
        <stp>Fill=true,Per=월</stp>
        <tr r="H340" s="2"/>
      </tp>
      <tp>
        <v>0</v>
        <stp/>
        <stp>P</stp>
        <stp>0</stp>
        <stp>IDX</stp>
        <stp>GGS01P</stp>
        <stp>누적거래량</stp>
        <stp>45539</stp>
        <stp>Fill=true,Per=월</stp>
        <tr r="H339" s="2"/>
      </tp>
      <tp>
        <v>0</v>
        <stp/>
        <stp>P</stp>
        <stp>0</stp>
        <stp>IDX</stp>
        <stp>GGE01P</stp>
        <stp>누적거래량</stp>
        <stp>45539</stp>
        <stp>Fill=true,Per=월</stp>
        <tr r="H330" s="2"/>
      </tp>
      <tp>
        <v>0</v>
        <stp/>
        <stp>P</stp>
        <stp>0</stp>
        <stp>IDX</stp>
        <stp>GGG01P</stp>
        <stp>누적거래량</stp>
        <stp>45539</stp>
        <stp>Fill=true,Per=월</stp>
        <tr r="H331" s="2"/>
      </tp>
      <tp>
        <v>0</v>
        <stp/>
        <stp>P</stp>
        <stp>0</stp>
        <stp>IDX</stp>
        <stp>OG909P</stp>
        <stp>누적거래량</stp>
        <stp>45539</stp>
        <stp>Fill=true,Per=월</stp>
        <tr r="H208" s="2"/>
      </tp>
      <tp>
        <v>0</v>
        <stp/>
        <stp>P</stp>
        <stp>0</stp>
        <stp>IDX</stp>
        <stp>G2T01P</stp>
        <stp>누적거래량</stp>
        <stp>45539</stp>
        <stp>Fill=true,Per=월</stp>
        <tr r="H329" s="2"/>
      </tp>
      <tp>
        <v>0</v>
        <stp/>
        <stp>P</stp>
        <stp>0</stp>
        <stp>IDX</stp>
        <stp>FTX01P</stp>
        <stp>누적거래량</stp>
        <stp>45539</stp>
        <stp>Fill=true,Per=월</stp>
        <tr r="H319" s="2"/>
      </tp>
      <tp>
        <v>0</v>
        <stp/>
        <stp>P</stp>
        <stp>0</stp>
        <stp>IDX</stp>
        <stp>FTG01P</stp>
        <stp>누적거래량</stp>
        <stp>45539</stp>
        <stp>Fill=true,Per=월</stp>
        <tr r="H317" s="2"/>
      </tp>
      <tp>
        <v>0</v>
        <stp/>
        <stp>P</stp>
        <stp>0</stp>
        <stp>IDX</stp>
        <stp>FTA01P</stp>
        <stp>누적거래량</stp>
        <stp>45539</stp>
        <stp>Fill=true,Per=월</stp>
        <tr r="H315" s="2"/>
      </tp>
      <tp>
        <v>0</v>
        <stp/>
        <stp>P</stp>
        <stp>0</stp>
        <stp>IDX</stp>
        <stp>FT901P</stp>
        <stp>누적거래량</stp>
        <stp>45539</stp>
        <stp>Fill=true,Per=월</stp>
        <tr r="H313" s="2"/>
      </tp>
      <tp>
        <v>0</v>
        <stp/>
        <stp>P</stp>
        <stp>0</stp>
        <stp>IDX</stp>
        <stp>FRG01T</stp>
        <stp>누적거래량</stp>
        <stp>45539</stp>
        <stp>Fill=true,Per=월</stp>
        <tr r="H297" s="2"/>
      </tp>
      <tp>
        <v>0</v>
        <stp/>
        <stp>P</stp>
        <stp>0</stp>
        <stp>IDX</stp>
        <stp>FRX01P</stp>
        <stp>누적거래량</stp>
        <stp>45539</stp>
        <stp>Fill=true,Per=월</stp>
        <tr r="H301" s="2"/>
      </tp>
      <tp>
        <v>0</v>
        <stp/>
        <stp>P</stp>
        <stp>0</stp>
        <stp>IDX</stp>
        <stp>FRG01P</stp>
        <stp>누적거래량</stp>
        <stp>45539</stp>
        <stp>Fill=true,Per=월</stp>
        <tr r="H210" s="2"/>
      </tp>
      <tp>
        <v>0</v>
        <stp/>
        <stp>P</stp>
        <stp>0</stp>
        <stp>IDX</stp>
        <stp>FGG01P</stp>
        <stp>누적거래량</stp>
        <stp>45539</stp>
        <stp>Fill=true,Per=월</stp>
        <tr r="H292" s="2"/>
      </tp>
      <tp>
        <v>0</v>
        <stp/>
        <stp>P</stp>
        <stp>0</stp>
        <stp>IDX</stp>
        <stp>FG901P</stp>
        <stp>누적거래량</stp>
        <stp>45539</stp>
        <stp>Fill=true,Per=월</stp>
        <tr r="H286" s="2"/>
      </tp>
      <tp>
        <v>0</v>
        <stp/>
        <stp>P</stp>
        <stp>0</stp>
        <stp>IDX</stp>
        <stp>FGX01T</stp>
        <stp>누적거래량</stp>
        <stp>45539</stp>
        <stp>Fill=true,Per=월</stp>
        <tr r="H293" s="2"/>
      </tp>
      <tp>
        <v>0</v>
        <stp/>
        <stp>P</stp>
        <stp>0</stp>
        <stp>IDX</stp>
        <stp>F5G01P</stp>
        <stp>누적거래량</stp>
        <stp>45539</stp>
        <stp>Fill=true,Per=월</stp>
        <tr r="H275" s="2"/>
      </tp>
      <tp>
        <v>0</v>
        <stp/>
        <stp>P</stp>
        <stp>0</stp>
        <stp>IDX</stp>
        <stp>F5901P</stp>
        <stp>누적거래량</stp>
        <stp>45539</stp>
        <stp>Fill=true,Per=월</stp>
        <tr r="H273" s="2"/>
      </tp>
      <tp>
        <v>0</v>
        <stp/>
        <stp>P</stp>
        <stp>0</stp>
        <stp>IDX</stp>
        <stp>F3X01T</stp>
        <stp>누적거래량</stp>
        <stp>45539</stp>
        <stp>Fill=true,Per=월</stp>
        <tr r="H270" s="2"/>
      </tp>
      <tp>
        <v>0</v>
        <stp/>
        <stp>P</stp>
        <stp>0</stp>
        <stp>IDX</stp>
        <stp>F5X01T</stp>
        <stp>누적거래량</stp>
        <stp>45539</stp>
        <stp>Fill=true,Per=월</stp>
        <tr r="H276" s="2"/>
      </tp>
      <tp>
        <v>0</v>
        <stp/>
        <stp>P</stp>
        <stp>0</stp>
        <stp>IDX</stp>
        <stp>F3G01P</stp>
        <stp>누적거래량</stp>
        <stp>45539</stp>
        <stp>Fill=true,Per=월</stp>
        <tr r="H269" s="2"/>
      </tp>
      <tp>
        <v>0</v>
        <stp/>
        <stp>P</stp>
        <stp>0</stp>
        <stp>IDX</stp>
        <stp>F2S01P</stp>
        <stp>누적거래량</stp>
        <stp>45539</stp>
        <stp>Fill=true,Per=월</stp>
        <tr r="H214" s="2"/>
      </tp>
      <tp>
        <v>0</v>
        <stp/>
        <stp>P</stp>
        <stp>0</stp>
        <stp>IDX</stp>
        <stp>F2X01P</stp>
        <stp>누적거래량</stp>
        <stp>45539</stp>
        <stp>Fill=true,Per=월</stp>
        <tr r="H225" s="2"/>
      </tp>
      <tp>
        <v>0</v>
        <stp/>
        <stp>P</stp>
        <stp>0</stp>
        <stp>IDX</stp>
        <stp>F2G01P</stp>
        <stp>누적거래량</stp>
        <stp>45539</stp>
        <stp>Fill=true,Per=월</stp>
        <tr r="H212" s="2"/>
      </tp>
      <tp>
        <v>0</v>
        <stp/>
        <stp>P</stp>
        <stp>0</stp>
        <stp>IDX</stp>
        <stp>F2901P</stp>
        <stp>누적거래량</stp>
        <stp>45539</stp>
        <stp>Fill=true,Per=월</stp>
        <tr r="H379" s="2"/>
      </tp>
      <tp>
        <v>2481</v>
        <stp/>
        <stp>P</stp>
        <stp>0</stp>
        <stp>IDX</stp>
        <stp>KGS03P</stp>
        <stp>누적거래량</stp>
        <stp>45539</stp>
        <stp>Fill=true,Per=월</stp>
        <tr r="H94" s="2"/>
      </tp>
      <tp>
        <v>280461</v>
        <stp/>
        <stp>P</stp>
        <stp>0</stp>
        <stp>IDX</stp>
        <stp>KGZ03P</stp>
        <stp>누적거래량</stp>
        <stp>45539</stp>
        <stp>Fill=true,Per=월</stp>
        <tr r="H57" s="2"/>
      </tp>
      <tp>
        <v>25634</v>
        <stp/>
        <stp>P</stp>
        <stp>0</stp>
        <stp>IDX</stp>
        <stp>KGD03P</stp>
        <stp>누적거래량</stp>
        <stp>45539</stp>
        <stp>Fill=true,Per=월</stp>
        <tr r="H114" s="2"/>
      </tp>
      <tp>
        <v>0</v>
        <stp/>
        <stp>P</stp>
        <stp>0</stp>
        <stp>IDX</stp>
        <stp>MGA05P</stp>
        <stp>누적거래량</stp>
        <stp>45539</stp>
        <stp>Fill=true,Per=월</stp>
        <tr r="H123" s="2"/>
      </tp>
      <tp>
        <v>0</v>
        <stp/>
        <stp>P</stp>
        <stp>0</stp>
        <stp>IDX</stp>
        <stp>KGD03T</stp>
        <stp>누적거래량</stp>
        <stp>45539</stp>
        <stp>Fill=true,Per=월</stp>
        <tr r="H115" s="2"/>
      </tp>
      <tp>
        <v>0</v>
        <stp/>
        <stp>P</stp>
        <stp>0</stp>
        <stp>IDX</stp>
        <stp>K2S03T</stp>
        <stp>누적거래량</stp>
        <stp>45539</stp>
        <stp>Fill=true,Per=월</stp>
        <tr r="H365" s="2"/>
      </tp>
      <tp>
        <v>96808</v>
        <stp/>
        <stp>P</stp>
        <stp>0</stp>
        <stp>IDX</stp>
        <stp>K2W03P</stp>
        <stp>누적거래량</stp>
        <stp>45539</stp>
        <stp>Fill=true,Per=월</stp>
        <tr r="H20" s="2"/>
      </tp>
      <tp>
        <v>0</v>
        <stp/>
        <stp>P</stp>
        <stp>0</stp>
        <stp>IDX</stp>
        <stp>K2V03P</stp>
        <stp>누적거래량</stp>
        <stp>45539</stp>
        <stp>Fill=true,Per=월</stp>
        <tr r="H377" s="2"/>
      </tp>
      <tp>
        <v>21946</v>
        <stp/>
        <stp>P</stp>
        <stp>0</stp>
        <stp>IDX</stp>
        <stp>K2S03P</stp>
        <stp>누적거래량</stp>
        <stp>45539</stp>
        <stp>Fill=true,Per=월</stp>
        <tr r="H32" s="2"/>
      </tp>
      <tp>
        <v>0</v>
        <stp/>
        <stp>P</stp>
        <stp>0</stp>
        <stp>IDX</stp>
        <stp>K2X03P</stp>
        <stp>누적거래량</stp>
        <stp>45539</stp>
        <stp>Fill=true,Per=월</stp>
        <tr r="H24" s="2"/>
      </tp>
      <tp>
        <v>96808</v>
        <stp/>
        <stp>P</stp>
        <stp>0</stp>
        <stp>IDX</stp>
        <stp>K2G03P</stp>
        <stp>누적거래량</stp>
        <stp>45539</stp>
        <stp>Fill=true,Per=월</stp>
        <tr r="H21" s="2"/>
      </tp>
      <tp>
        <v>147971</v>
        <stp/>
        <stp>P</stp>
        <stp>0</stp>
        <stp>IDX</stp>
        <stp>K2B03P</stp>
        <stp>누적거래량</stp>
        <stp>45539</stp>
        <stp>Fill=true,Per=월</stp>
        <tr r="H344" s="2"/>
      </tp>
      <tp>
        <v>0</v>
        <stp/>
        <stp>P</stp>
        <stp>0</stp>
        <stp>IDX</stp>
        <stp>K2D03N</stp>
        <stp>누적거래량</stp>
        <stp>45539</stp>
        <stp>Fill=true,Per=월</stp>
        <tr r="H347" s="2"/>
      </tp>
      <tp>
        <v>3531</v>
        <stp/>
        <stp>P</stp>
        <stp>0</stp>
        <stp>IDX</stp>
        <stp>KGS02P</stp>
        <stp>누적거래량</stp>
        <stp>45539</stp>
        <stp>Fill=true,Per=월</stp>
        <tr r="H88" s="2"/>
      </tp>
      <tp>
        <v>114038</v>
        <stp/>
        <stp>P</stp>
        <stp>0</stp>
        <stp>IDX</stp>
        <stp>KGZ02P</stp>
        <stp>누적거래량</stp>
        <stp>45539</stp>
        <stp>Fill=true,Per=월</stp>
        <tr r="H30" s="2"/>
      </tp>
      <tp>
        <v>61634</v>
        <stp/>
        <stp>P</stp>
        <stp>0</stp>
        <stp>IDX</stp>
        <stp>KGD02P</stp>
        <stp>누적거래량</stp>
        <stp>45539</stp>
        <stp>Fill=true,Per=월</stp>
        <tr r="H195" s="2"/>
      </tp>
      <tp>
        <v>0</v>
        <stp/>
        <stp>P</stp>
        <stp>0</stp>
        <stp>IDX</stp>
        <stp>MGA04P</stp>
        <stp>누적거래량</stp>
        <stp>45539</stp>
        <stp>Fill=true,Per=월</stp>
        <tr r="H122" s="2"/>
      </tp>
      <tp>
        <v>0</v>
        <stp/>
        <stp>P</stp>
        <stp>0</stp>
        <stp>IDX</stp>
        <stp>KGD02T</stp>
        <stp>누적거래량</stp>
        <stp>45539</stp>
        <stp>Fill=true,Per=월</stp>
        <tr r="H113" s="2"/>
      </tp>
      <tp>
        <v>0</v>
        <stp/>
        <stp>P</stp>
        <stp>0</stp>
        <stp>IDX</stp>
        <stp>K2S02T</stp>
        <stp>누적거래량</stp>
        <stp>45539</stp>
        <stp>Fill=true,Per=월</stp>
        <tr r="H364" s="2"/>
      </tp>
      <tp>
        <v>154114</v>
        <stp/>
        <stp>P</stp>
        <stp>0</stp>
        <stp>IDX</stp>
        <stp>K2W02P</stp>
        <stp>누적거래량</stp>
        <stp>45539</stp>
        <stp>Fill=true,Per=월</stp>
        <tr r="H17" s="2"/>
      </tp>
      <tp>
        <v>0</v>
        <stp/>
        <stp>P</stp>
        <stp>0</stp>
        <stp>IDX</stp>
        <stp>K2V02P</stp>
        <stp>누적거래량</stp>
        <stp>45539</stp>
        <stp>Fill=true,Per=월</stp>
        <tr r="H376" s="2"/>
      </tp>
      <tp>
        <v>6018</v>
        <stp/>
        <stp>P</stp>
        <stp>0</stp>
        <stp>IDX</stp>
        <stp>K2S02P</stp>
        <stp>누적거래량</stp>
        <stp>45539</stp>
        <stp>Fill=true,Per=월</stp>
        <tr r="H72" s="2"/>
      </tp>
      <tp>
        <v>0</v>
        <stp/>
        <stp>P</stp>
        <stp>0</stp>
        <stp>IDX</stp>
        <stp>K2X02P</stp>
        <stp>누적거래량</stp>
        <stp>45539</stp>
        <stp>Fill=true,Per=월</stp>
        <tr r="H50" s="2"/>
      </tp>
      <tp>
        <v>199247</v>
        <stp/>
        <stp>P</stp>
        <stp>0</stp>
        <stp>IDX</stp>
        <stp>K2E02P</stp>
        <stp>누적거래량</stp>
        <stp>45539</stp>
        <stp>Fill=true,Per=월</stp>
        <tr r="H349" s="2"/>
      </tp>
      <tp>
        <v>24047</v>
        <stp/>
        <stp>P</stp>
        <stp>0</stp>
        <stp>IDX</stp>
        <stp>K2D02P</stp>
        <stp>누적거래량</stp>
        <stp>45539</stp>
        <stp>Fill=true,Per=월</stp>
        <tr r="H346" s="2"/>
      </tp>
      <tp>
        <v>154114</v>
        <stp/>
        <stp>P</stp>
        <stp>0</stp>
        <stp>IDX</stp>
        <stp>K2G02P</stp>
        <stp>누적거래량</stp>
        <stp>45539</stp>
        <stp>Fill=true,Per=월</stp>
        <tr r="H18" s="2"/>
      </tp>
      <tp>
        <v>2681</v>
        <stp/>
        <stp>P</stp>
        <stp>0</stp>
        <stp>IDX</stp>
        <stp>KGT01P</stp>
        <stp>누적거래량</stp>
        <stp>45539</stp>
        <stp>Fill=true,Per=월</stp>
        <tr r="H117" s="2"/>
      </tp>
      <tp>
        <v>9727</v>
        <stp/>
        <stp>P</stp>
        <stp>0</stp>
        <stp>IDX</stp>
        <stp>KGS01P</stp>
        <stp>누적거래량</stp>
        <stp>45539</stp>
        <stp>Fill=true,Per=월</stp>
        <tr r="H75" s="2"/>
      </tp>
      <tp>
        <v>0</v>
        <stp/>
        <stp>P</stp>
        <stp>0</stp>
        <stp>IDX</stp>
        <stp>KGX01P</stp>
        <stp>누적거래량</stp>
        <stp>45539</stp>
        <stp>Fill=true,Per=월</stp>
        <tr r="H118" s="2"/>
      </tp>
      <tp>
        <v>157146</v>
        <stp/>
        <stp>P</stp>
        <stp>0</stp>
        <stp>IDX</stp>
        <stp>KGZ01P</stp>
        <stp>누적거래량</stp>
        <stp>45539</stp>
        <stp>Fill=true,Per=월</stp>
        <tr r="H16" s="2"/>
      </tp>
      <tp>
        <v>4157</v>
        <stp/>
        <stp>P</stp>
        <stp>0</stp>
        <stp>IDX</stp>
        <stp>KGD01P</stp>
        <stp>누적거래량</stp>
        <stp>45539</stp>
        <stp>Fill=true,Per=월</stp>
        <tr r="H298" s="2"/>
      </tp>
      <tp>
        <v>570452</v>
        <stp/>
        <stp>P</stp>
        <stp>0</stp>
        <stp>IDX</stp>
        <stp>KGG01P</stp>
        <stp>누적거래량</stp>
        <stp>45539</stp>
        <stp>Fill=true,Per=월</stp>
        <tr r="H9" s="2"/>
      </tp>
      <tp>
        <v>0</v>
        <stp/>
        <stp>P</stp>
        <stp>0</stp>
        <stp>IDX</stp>
        <stp>KGA01P</stp>
        <stp>누적거래량</stp>
        <stp>45539</stp>
        <stp>Fill=true,Per=월</stp>
        <tr r="H383" s="2"/>
      </tp>
      <tp>
        <v>0</v>
        <stp/>
        <stp>P</stp>
        <stp>0</stp>
        <stp>IDX</stp>
        <stp>MGA07P</stp>
        <stp>누적거래량</stp>
        <stp>45539</stp>
        <stp>Fill=true,Per=월</stp>
        <tr r="H125" s="2"/>
      </tp>
      <tp>
        <v>0</v>
        <stp/>
        <stp>P</stp>
        <stp>0</stp>
        <stp>IDX</stp>
        <stp>KGG01T</stp>
        <stp>누적거래량</stp>
        <stp>45539</stp>
        <stp>Fill=true,Per=월</stp>
        <tr r="H116" s="2"/>
      </tp>
      <tp>
        <v>0</v>
        <stp/>
        <stp>P</stp>
        <stp>0</stp>
        <stp>IDX</stp>
        <stp>K2S01T</stp>
        <stp>누적거래량</stp>
        <stp>45539</stp>
        <stp>Fill=true,Per=월</stp>
        <tr r="H363" s="2"/>
      </tp>
      <tp>
        <v>0</v>
        <stp/>
        <stp>P</stp>
        <stp>0</stp>
        <stp>IDX</stp>
        <stp>K2G01T</stp>
        <stp>누적거래량</stp>
        <stp>45539</stp>
        <stp>Fill=true,Per=월</stp>
        <tr r="H351" s="2"/>
      </tp>
      <tp>
        <v>33383</v>
        <stp/>
        <stp>P</stp>
        <stp>0</stp>
        <stp>IDX</stp>
        <stp>K2T01P</stp>
        <stp>누적거래량</stp>
        <stp>45539</stp>
        <stp>Fill=true,Per=월</stp>
        <tr r="H374" s="2"/>
      </tp>
      <tp>
        <v>206271</v>
        <stp/>
        <stp>P</stp>
        <stp>0</stp>
        <stp>IDX</stp>
        <stp>K2W01P</stp>
        <stp>누적거래량</stp>
        <stp>45539</stp>
        <stp>Fill=true,Per=월</stp>
        <tr r="H11" s="2"/>
      </tp>
      <tp>
        <v>0</v>
        <stp/>
        <stp>P</stp>
        <stp>0</stp>
        <stp>IDX</stp>
        <stp>K2V01P</stp>
        <stp>누적거래량</stp>
        <stp>45539</stp>
        <stp>Fill=true,Per=월</stp>
        <tr r="H375" s="2"/>
      </tp>
      <tp>
        <v>15873</v>
        <stp/>
        <stp>P</stp>
        <stp>0</stp>
        <stp>IDX</stp>
        <stp>K2S01P</stp>
        <stp>누적거래량</stp>
        <stp>45539</stp>
        <stp>Fill=true,Per=월</stp>
        <tr r="H47" s="2"/>
      </tp>
      <tp>
        <v>0</v>
        <stp/>
        <stp>P</stp>
        <stp>0</stp>
        <stp>IDX</stp>
        <stp>K2X01P</stp>
        <stp>누적거래량</stp>
        <stp>45539</stp>
        <stp>Fill=true,Per=월</stp>
        <tr r="H13" s="2"/>
      </tp>
      <tp>
        <v>52155</v>
        <stp/>
        <stp>P</stp>
        <stp>0</stp>
        <stp>IDX</stp>
        <stp>K2Z01P</stp>
        <stp>누적거래량</stp>
        <stp>45539</stp>
        <stp>Fill=true,Per=월</stp>
        <tr r="H382" s="2"/>
      </tp>
      <tp>
        <v>119788</v>
        <stp/>
        <stp>P</stp>
        <stp>0</stp>
        <stp>IDX</stp>
        <stp>K2E01P</stp>
        <stp>누적거래량</stp>
        <stp>45539</stp>
        <stp>Fill=true,Per=월</stp>
        <tr r="H348" s="2"/>
      </tp>
      <tp>
        <v>31735</v>
        <stp/>
        <stp>P</stp>
        <stp>0</stp>
        <stp>IDX</stp>
        <stp>K2D01P</stp>
        <stp>누적거래량</stp>
        <stp>45539</stp>
        <stp>Fill=true,Per=월</stp>
        <tr r="H345" s="2"/>
      </tp>
      <tp>
        <v>206271</v>
        <stp/>
        <stp>P</stp>
        <stp>0</stp>
        <stp>IDX</stp>
        <stp>K2G01P</stp>
        <stp>누적거래량</stp>
        <stp>45539</stp>
        <stp>Fill=true,Per=월</stp>
        <tr r="H12" s="2"/>
      </tp>
      <tp>
        <v>62610</v>
        <stp/>
        <stp>P</stp>
        <stp>0</stp>
        <stp>IDX</stp>
        <stp>K2B01P</stp>
        <stp>누적거래량</stp>
        <stp>45539</stp>
        <stp>Fill=true,Per=월</stp>
        <tr r="H23" s="2"/>
      </tp>
      <tp>
        <v>0</v>
        <stp/>
        <stp>P</stp>
        <stp>0</stp>
        <stp>IDX</stp>
        <stp>K2901P</stp>
        <stp>누적거래량</stp>
        <stp>45539</stp>
        <stp>Fill=true,Per=월</stp>
        <tr r="H343" s="2"/>
      </tp>
      <tp>
        <v>0</v>
        <stp/>
        <stp>P</stp>
        <stp>0</stp>
        <stp>IDX</stp>
        <stp>O2905P</stp>
        <stp>누적거래량</stp>
        <stp>45539</stp>
        <stp>Fill=true,Per=월</stp>
        <tr r="H101" s="2"/>
      </tp>
      <tp>
        <v>0</v>
        <stp/>
        <stp>P</stp>
        <stp>0</stp>
        <stp>IDX</stp>
        <stp>K2G01N</stp>
        <stp>누적거래량</stp>
        <stp>45539</stp>
        <stp>Fill=true,Per=월</stp>
        <tr r="H350" s="2"/>
      </tp>
      <tp>
        <v>0</v>
        <stp/>
        <stp>P</stp>
        <stp>0</stp>
        <stp>IDX</stp>
        <stp>MGA06P</stp>
        <stp>누적거래량</stp>
        <stp>45539</stp>
        <stp>Fill=true,Per=월</stp>
        <tr r="H124" s="2"/>
      </tp>
      <tp>
        <v>0</v>
        <stp/>
        <stp>P</stp>
        <stp>0</stp>
        <stp>IDX</stp>
        <stp>O2904P</stp>
        <stp>누적거래량</stp>
        <stp>45539</stp>
        <stp>Fill=true,Per=월</stp>
        <tr r="H102" s="2"/>
      </tp>
      <tp>
        <v>30699</v>
        <stp/>
        <stp>P</stp>
        <stp>0</stp>
        <stp>IDX</stp>
        <stp>KGS07P</stp>
        <stp>누적거래량</stp>
        <stp>45539</stp>
        <stp>Fill=true,Per=월</stp>
        <tr r="H64" s="2"/>
      </tp>
      <tp>
        <v>0</v>
        <stp/>
        <stp>P</stp>
        <stp>0</stp>
        <stp>IDX</stp>
        <stp>MGA01P</stp>
        <stp>누적거래량</stp>
        <stp>45539</stp>
        <stp>Fill=true,Per=월</stp>
        <tr r="H111" s="2"/>
      </tp>
      <tp>
        <v>0</v>
        <stp/>
        <stp>P</stp>
        <stp>0</stp>
        <stp>IDX</stp>
        <stp>K2S07T</stp>
        <stp>누적거래량</stp>
        <stp>45539</stp>
        <stp>Fill=true,Per=월</stp>
        <tr r="H369" s="2"/>
      </tp>
      <tp>
        <v>53663</v>
        <stp/>
        <stp>P</stp>
        <stp>0</stp>
        <stp>IDX</stp>
        <stp>K2S07P</stp>
        <stp>누적거래량</stp>
        <stp>45539</stp>
        <stp>Fill=true,Per=월</stp>
        <tr r="H25" s="2"/>
      </tp>
      <tp>
        <v>0</v>
        <stp/>
        <stp>P</stp>
        <stp>0</stp>
        <stp>IDX</stp>
        <stp>K2X07P</stp>
        <stp>누적거래량</stp>
        <stp>45539</stp>
        <stp>Fill=true,Per=월</stp>
        <tr r="H71" s="2"/>
      </tp>
      <tp>
        <v>0</v>
        <stp/>
        <stp>P</stp>
        <stp>0</stp>
        <stp>IDX</stp>
        <stp>O2903P</stp>
        <stp>누적거래량</stp>
        <stp>45539</stp>
        <stp>Fill=true,Per=월</stp>
        <tr r="H103" s="2"/>
      </tp>
      <tp>
        <v>2490</v>
        <stp/>
        <stp>P</stp>
        <stp>0</stp>
        <stp>IDX</stp>
        <stp>KGS06P</stp>
        <stp>누적거래량</stp>
        <stp>45539</stp>
        <stp>Fill=true,Per=월</stp>
        <tr r="H89" s="2"/>
      </tp>
      <tp>
        <v>0</v>
        <stp/>
        <stp>P</stp>
        <stp>0</stp>
        <stp>IDX</stp>
        <stp>K2S06T</stp>
        <stp>누적거래량</stp>
        <stp>45539</stp>
        <stp>Fill=true,Per=월</stp>
        <tr r="H368" s="2"/>
      </tp>
      <tp>
        <v>0</v>
        <stp/>
        <stp>P</stp>
        <stp>0</stp>
        <stp>IDX</stp>
        <stp>K2G06T</stp>
        <stp>누적거래량</stp>
        <stp>45539</stp>
        <stp>Fill=true,Per=월</stp>
        <tr r="H356" s="2"/>
      </tp>
      <tp>
        <v>17000</v>
        <stp/>
        <stp>P</stp>
        <stp>0</stp>
        <stp>IDX</stp>
        <stp>K2S06P</stp>
        <stp>누적거래량</stp>
        <stp>45539</stp>
        <stp>Fill=true,Per=월</stp>
        <tr r="H42" s="2"/>
      </tp>
      <tp>
        <v>0</v>
        <stp/>
        <stp>P</stp>
        <stp>0</stp>
        <stp>IDX</stp>
        <stp>K2X06P</stp>
        <stp>누적거래량</stp>
        <stp>45539</stp>
        <stp>Fill=true,Per=월</stp>
        <tr r="H43" s="2"/>
      </tp>
      <tp>
        <v>206271</v>
        <stp/>
        <stp>P</stp>
        <stp>0</stp>
        <stp>IDX</stp>
        <stp>K2G06P</stp>
        <stp>누적거래량</stp>
        <stp>45539</stp>
        <stp>Fill=true,Per=월</stp>
        <tr r="H355" s="2"/>
      </tp>
      <tp>
        <v>0</v>
        <stp/>
        <stp>P</stp>
        <stp>0</stp>
        <stp>IDX</stp>
        <stp>O2902P</stp>
        <stp>누적거래량</stp>
        <stp>45539</stp>
        <stp>Fill=true,Per=월</stp>
        <tr r="H109" s="2"/>
      </tp>
      <tp>
        <v>0</v>
        <stp/>
        <stp>P</stp>
        <stp>0</stp>
        <stp>IDX</stp>
        <stp>K2G06N</stp>
        <stp>누적거래량</stp>
        <stp>45539</stp>
        <stp>Fill=true,Per=월</stp>
        <tr r="H354" s="2"/>
      </tp>
      <tp>
        <v>0</v>
        <stp/>
        <stp>P</stp>
        <stp>0</stp>
        <stp>IDX</stp>
        <stp>FTX08T</stp>
        <stp>누적거래량</stp>
        <stp>45539</stp>
        <stp>Fill=true,Per=월</stp>
        <tr r="H326" s="2"/>
      </tp>
      <tp>
        <v>0</v>
        <stp/>
        <stp>P</stp>
        <stp>0</stp>
        <stp>IDX</stp>
        <stp>FRX08P</stp>
        <stp>누적거래량</stp>
        <stp>45539</stp>
        <stp>Fill=true,Per=월</stp>
        <tr r="H308" s="2"/>
      </tp>
      <tp>
        <v>29612</v>
        <stp/>
        <stp>P</stp>
        <stp>0</stp>
        <stp>IDX</stp>
        <stp>KGS05P</stp>
        <stp>누적거래량</stp>
        <stp>45539</stp>
        <stp>Fill=true,Per=월</stp>
        <tr r="H49" s="2"/>
      </tp>
      <tp>
        <v>0</v>
        <stp/>
        <stp>P</stp>
        <stp>0</stp>
        <stp>IDX</stp>
        <stp>MGA03P</stp>
        <stp>누적거래량</stp>
        <stp>45539</stp>
        <stp>Fill=true,Per=월</stp>
        <tr r="H120" s="2"/>
      </tp>
      <tp>
        <v>0</v>
        <stp/>
        <stp>P</stp>
        <stp>0</stp>
        <stp>IDX</stp>
        <stp>K2S05T</stp>
        <stp>누적거래량</stp>
        <stp>45539</stp>
        <stp>Fill=true,Per=월</stp>
        <tr r="H367" s="2"/>
      </tp>
      <tp>
        <v>0</v>
        <stp/>
        <stp>P</stp>
        <stp>0</stp>
        <stp>IDX</stp>
        <stp>F5X08T</stp>
        <stp>누적거래량</stp>
        <stp>45539</stp>
        <stp>Fill=true,Per=월</stp>
        <tr r="H283" s="2"/>
      </tp>
      <tp>
        <v>0</v>
        <stp/>
        <stp>P</stp>
        <stp>0</stp>
        <stp>IDX</stp>
        <stp>F2S08P</stp>
        <stp>누적거래량</stp>
        <stp>45539</stp>
        <stp>Fill=true,Per=월</stp>
        <tr r="H221" s="2"/>
      </tp>
      <tp>
        <v>13314</v>
        <stp/>
        <stp>P</stp>
        <stp>0</stp>
        <stp>IDX</stp>
        <stp>K2S05P</stp>
        <stp>누적거래량</stp>
        <stp>45539</stp>
        <stp>Fill=true,Per=월</stp>
        <tr r="H51" s="2"/>
      </tp>
      <tp>
        <v>0</v>
        <stp/>
        <stp>P</stp>
        <stp>0</stp>
        <stp>IDX</stp>
        <stp>F2X08P</stp>
        <stp>누적거래량</stp>
        <stp>45539</stp>
        <stp>Fill=true,Per=월</stp>
        <tr r="H232" s="2"/>
      </tp>
      <tp>
        <v>0</v>
        <stp/>
        <stp>P</stp>
        <stp>0</stp>
        <stp>IDX</stp>
        <stp>K2X05P</stp>
        <stp>누적거래량</stp>
        <stp>45539</stp>
        <stp>Fill=true,Per=월</stp>
        <tr r="H31" s="2"/>
      </tp>
      <tp>
        <v>0</v>
        <stp/>
        <stp>P</stp>
        <stp>0</stp>
        <stp>IDX</stp>
        <stp>O2X01P</stp>
        <stp>누적거래량</stp>
        <stp>45539</stp>
        <stp>Fill=true,Per=월</stp>
        <tr r="H170" s="2"/>
      </tp>
      <tp>
        <v>177315</v>
        <stp/>
        <stp>P</stp>
        <stp>0</stp>
        <stp>IDX</stp>
        <stp>K2G05P</stp>
        <stp>누적거래량</stp>
        <stp>45539</stp>
        <stp>Fill=true,Per=월</stp>
        <tr r="H353" s="2"/>
      </tp>
      <tp>
        <v>0</v>
        <stp/>
        <stp>P</stp>
        <stp>0</stp>
        <stp>IDX</stp>
        <stp>O2901P</stp>
        <stp>누적거래량</stp>
        <stp>45539</stp>
        <stp>Fill=true,Per=월</stp>
        <tr r="H105" s="2"/>
      </tp>
      <tp>
        <v>0</v>
        <stp/>
        <stp>P</stp>
        <stp>0</stp>
        <stp>IDX</stp>
        <stp>FRX09P</stp>
        <stp>누적거래량</stp>
        <stp>45539</stp>
        <stp>Fill=true,Per=월</stp>
        <tr r="H309" s="2"/>
      </tp>
      <tp>
        <v>41184</v>
        <stp/>
        <stp>P</stp>
        <stp>0</stp>
        <stp>IDX</stp>
        <stp>KGS04P</stp>
        <stp>누적거래량</stp>
        <stp>45539</stp>
        <stp>Fill=true,Per=월</stp>
        <tr r="H46" s="2"/>
      </tp>
      <tp>
        <v>0</v>
        <stp/>
        <stp>P</stp>
        <stp>0</stp>
        <stp>IDX</stp>
        <stp>GGG08P</stp>
        <stp>누적거래량</stp>
        <stp>45539</stp>
        <stp>Fill=true,Per=월</stp>
        <tr r="H338" s="2"/>
      </tp>
      <tp>
        <v>0</v>
        <stp/>
        <stp>P</stp>
        <stp>0</stp>
        <stp>IDX</stp>
        <stp>MGA02P</stp>
        <stp>누적거래량</stp>
        <stp>45539</stp>
        <stp>Fill=true,Per=월</stp>
        <tr r="H112" s="2"/>
      </tp>
      <tp>
        <v>0</v>
        <stp/>
        <stp>P</stp>
        <stp>0</stp>
        <stp>IDX</stp>
        <stp>K2S04T</stp>
        <stp>누적거래량</stp>
        <stp>45539</stp>
        <stp>Fill=true,Per=월</stp>
        <tr r="H366" s="2"/>
      </tp>
      <tp>
        <v>0</v>
        <stp/>
        <stp>P</stp>
        <stp>0</stp>
        <stp>IDX</stp>
        <stp>F5X09T</stp>
        <stp>누적거래량</stp>
        <stp>45539</stp>
        <stp>Fill=true,Per=월</stp>
        <tr r="H284" s="2"/>
      </tp>
      <tp>
        <v>45040</v>
        <stp/>
        <stp>P</stp>
        <stp>0</stp>
        <stp>IDX</stp>
        <stp>K2W04P</stp>
        <stp>누적거래량</stp>
        <stp>45539</stp>
        <stp>Fill=true,Per=월</stp>
        <tr r="H209" s="2"/>
      </tp>
      <tp>
        <v>0</v>
        <stp/>
        <stp>P</stp>
        <stp>0</stp>
        <stp>IDX</stp>
        <stp>K2V04P</stp>
        <stp>누적거래량</stp>
        <stp>45539</stp>
        <stp>Fill=true,Per=월</stp>
        <tr r="H378" s="2"/>
      </tp>
      <tp>
        <v>0</v>
        <stp/>
        <stp>P</stp>
        <stp>0</stp>
        <stp>IDX</stp>
        <stp>F2S09P</stp>
        <stp>누적거래량</stp>
        <stp>45539</stp>
        <stp>Fill=true,Per=월</stp>
        <tr r="H222" s="2"/>
      </tp>
      <tp>
        <v>26117</v>
        <stp/>
        <stp>P</stp>
        <stp>0</stp>
        <stp>IDX</stp>
        <stp>K2S04P</stp>
        <stp>누적거래량</stp>
        <stp>45539</stp>
        <stp>Fill=true,Per=월</stp>
        <tr r="H38" s="2"/>
      </tp>
      <tp>
        <v>0</v>
        <stp/>
        <stp>P</stp>
        <stp>0</stp>
        <stp>IDX</stp>
        <stp>F2X09P</stp>
        <stp>누적거래량</stp>
        <stp>45539</stp>
        <stp>Fill=true,Per=월</stp>
        <tr r="H233" s="2"/>
      </tp>
      <tp>
        <v>352373</v>
        <stp/>
        <stp>P</stp>
        <stp>0</stp>
        <stp>IDX</stp>
        <stp>K2G04P</stp>
        <stp>누적거래량</stp>
        <stp>45539</stp>
        <stp>Fill=true,Per=월</stp>
        <tr r="H352" s="2"/>
      </tp>
      <tp>
        <v>20304</v>
        <stp/>
        <stp>P</stp>
        <stp>0</stp>
        <stp>IDX</stp>
        <stp>XGT08P</stp>
        <stp>누적거래량</stp>
        <stp>45539</stp>
        <stp>Fill=true,Per=월</stp>
        <tr r="H146" s="2"/>
      </tp>
      <tp>
        <v>278450</v>
        <stp/>
        <stp>P</stp>
        <stp>0</stp>
        <stp>IDX</stp>
        <stp>QGS01P</stp>
        <stp>누적거래량</stp>
        <stp>45539</stp>
        <stp>Fill=true,Per=월</stp>
        <tr r="H69" s="2"/>
      </tp>
      <tp>
        <v>10998</v>
        <stp/>
        <stp>P</stp>
        <stp>0</stp>
        <stp>IDX</stp>
        <stp>XGS08P</stp>
        <stp>누적거래량</stp>
        <stp>45539</stp>
        <stp>Fill=true,Per=월</stp>
        <tr r="H161" s="2"/>
      </tp>
      <tp>
        <v>74735</v>
        <stp/>
        <stp>P</stp>
        <stp>0</stp>
        <stp>IDX</stp>
        <stp>QGZ01P</stp>
        <stp>누적거래량</stp>
        <stp>45539</stp>
        <stp>Fill=true,Per=월</stp>
        <tr r="H41" s="2"/>
      </tp>
      <tp>
        <v>1592220</v>
        <stp/>
        <stp>P</stp>
        <stp>0</stp>
        <stp>IDX</stp>
        <stp>QGG01P</stp>
        <stp>누적거래량</stp>
        <stp>45539</stp>
        <stp>Fill=true,Per=월</stp>
        <tr r="H26" s="2"/>
      </tp>
      <tp>
        <v>0</v>
        <stp/>
        <stp>P</stp>
        <stp>0</stp>
        <stp>IDX</stp>
        <stp>XGT08T</stp>
        <stp>누적거래량</stp>
        <stp>45539</stp>
        <stp>Fill=true,Per=월</stp>
        <tr r="H145" s="2"/>
      </tp>
      <tp>
        <v>0</v>
        <stp/>
        <stp>P</stp>
        <stp>0</stp>
        <stp>IDX</stp>
        <stp>QGG01T</stp>
        <stp>누적거래량</stp>
        <stp>45539</stp>
        <stp>Fill=true,Per=월</stp>
        <tr r="H128" s="2"/>
      </tp>
      <tp>
        <v>109161</v>
        <stp/>
        <stp>P</stp>
        <stp>0</stp>
        <stp>IDX</stp>
        <stp>Q5W01P</stp>
        <stp>누적거래량</stp>
        <stp>45539</stp>
        <stp>Fill=true,Per=월</stp>
        <tr r="H35" s="2"/>
      </tp>
      <tp>
        <v>0</v>
        <stp/>
        <stp>P</stp>
        <stp>0</stp>
        <stp>IDX</stp>
        <stp>Q5X01P</stp>
        <stp>누적거래량</stp>
        <stp>45539</stp>
        <stp>Fill=true,Per=월</stp>
        <tr r="H36" s="2"/>
      </tp>
      <tp>
        <v>25075</v>
        <stp/>
        <stp>P</stp>
        <stp>0</stp>
        <stp>IDX</stp>
        <stp>Q5E01P</stp>
        <stp>누적거래량</stp>
        <stp>45539</stp>
        <stp>Fill=true,Per=월</stp>
        <tr r="H204" s="2"/>
      </tp>
      <tp>
        <v>109161</v>
        <stp/>
        <stp>P</stp>
        <stp>0</stp>
        <stp>IDX</stp>
        <stp>Q5G01P</stp>
        <stp>누적거래량</stp>
        <stp>45539</stp>
        <stp>Fill=true,Per=월</stp>
        <tr r="H34" s="2"/>
      </tp>
      <tp>
        <v>0</v>
        <stp/>
        <stp>P</stp>
        <stp>0</stp>
        <stp>IDX</stp>
        <stp>Q5G01T</stp>
        <stp>누적거래량</stp>
        <stp>45539</stp>
        <stp>Fill=true,Per=월</stp>
        <tr r="H203" s="2"/>
      </tp>
      <tp>
        <v>14820</v>
        <stp/>
        <stp>P</stp>
        <stp>0</stp>
        <stp>IDX</stp>
        <stp>X3S08P</stp>
        <stp>누적거래량</stp>
        <stp>45539</stp>
        <stp>Fill=true,Per=월</stp>
        <tr r="H182" s="2"/>
      </tp>
      <tp>
        <v>0</v>
        <stp/>
        <stp>P</stp>
        <stp>0</stp>
        <stp>IDX</stp>
        <stp>XGT09P</stp>
        <stp>누적거래량</stp>
        <stp>45539</stp>
        <stp>Fill=true,Per=월</stp>
        <tr r="H144" s="2"/>
      </tp>
      <tp>
        <v>11320</v>
        <stp/>
        <stp>P</stp>
        <stp>0</stp>
        <stp>IDX</stp>
        <stp>XGS09P</stp>
        <stp>누적거래량</stp>
        <stp>45539</stp>
        <stp>Fill=true,Per=월</stp>
        <tr r="H160" s="2"/>
      </tp>
      <tp>
        <v>2972</v>
        <stp/>
        <stp>P</stp>
        <stp>0</stp>
        <stp>IDX</stp>
        <stp>QGS03P</stp>
        <stp>누적거래량</stp>
        <stp>45539</stp>
        <stp>Fill=true,Per=월</stp>
        <tr r="H93" s="2"/>
      </tp>
      <tp>
        <v>942205</v>
        <stp/>
        <stp>P</stp>
        <stp>0</stp>
        <stp>IDX</stp>
        <stp>QGZ03P</stp>
        <stp>누적거래량</stp>
        <stp>45539</stp>
        <stp>Fill=true,Per=월</stp>
        <tr r="H52" s="2"/>
      </tp>
      <tp>
        <v>260554</v>
        <stp/>
        <stp>P</stp>
        <stp>0</stp>
        <stp>IDX</stp>
        <stp>QGG03P</stp>
        <stp>누적거래량</stp>
        <stp>45539</stp>
        <stp>Fill=true,Per=월</stp>
        <tr r="H39" s="2"/>
      </tp>
      <tp>
        <v>36105</v>
        <stp/>
        <stp>P</stp>
        <stp>0</stp>
        <stp>IDX</stp>
        <stp>Q5S03P</stp>
        <stp>누적거래량</stp>
        <stp>45539</stp>
        <stp>Fill=true,Per=월</stp>
        <tr r="H201" s="2"/>
      </tp>
      <tp>
        <v>1086155</v>
        <stp/>
        <stp>P</stp>
        <stp>0</stp>
        <stp>IDX</stp>
        <stp>QGS02P</stp>
        <stp>누적거래량</stp>
        <stp>45539</stp>
        <stp>Fill=true,Per=월</stp>
        <tr r="H29" s="2"/>
      </tp>
      <tp>
        <v>202062</v>
        <stp/>
        <stp>P</stp>
        <stp>0</stp>
        <stp>IDX</stp>
        <stp>QGZ02P</stp>
        <stp>누적거래량</stp>
        <stp>45539</stp>
        <stp>Fill=true,Per=월</stp>
        <tr r="H53" s="2"/>
      </tp>
      <tp>
        <v>24628</v>
        <stp/>
        <stp>P</stp>
        <stp>0</stp>
        <stp>IDX</stp>
        <stp>Q5S02P</stp>
        <stp>누적거래량</stp>
        <stp>45539</stp>
        <stp>Fill=true,Per=월</stp>
        <tr r="H202" s="2"/>
      </tp>
      <tp>
        <v>0</v>
        <stp/>
        <stp>P</stp>
        <stp>0</stp>
        <stp>IDX</stp>
        <stp>Q5X02P</stp>
        <stp>누적거래량</stp>
        <stp>45539</stp>
        <stp>Fill=true,Per=월</stp>
        <tr r="H37" s="2"/>
      </tp>
      <tp>
        <v>49991</v>
        <stp/>
        <stp>P</stp>
        <stp>0</stp>
        <stp>IDX</stp>
        <stp>QGS05P</stp>
        <stp>누적거래량</stp>
        <stp>45539</stp>
        <stp>Fill=true,Per=월</stp>
        <tr r="H80" s="2"/>
      </tp>
      <tp>
        <v>464895</v>
        <stp/>
        <stp>P</stp>
        <stp>0</stp>
        <stp>IDX</stp>
        <stp>QGG05P</stp>
        <stp>누적거래량</stp>
        <stp>45539</stp>
        <stp>Fill=true,Per=월</stp>
        <tr r="H60" s="2"/>
      </tp>
      <tp>
        <v>11899</v>
        <stp/>
        <stp>P</stp>
        <stp>0</stp>
        <stp>IDX</stp>
        <stp>Q5S05P</stp>
        <stp>누적거래량</stp>
        <stp>45539</stp>
        <stp>Fill=true,Per=월</stp>
        <tr r="H199" s="2"/>
      </tp>
      <tp>
        <v>121298</v>
        <stp/>
        <stp>P</stp>
        <stp>0</stp>
        <stp>IDX</stp>
        <stp>QGS04P</stp>
        <stp>누적거래량</stp>
        <stp>45539</stp>
        <stp>Fill=true,Per=월</stp>
        <tr r="H84" s="2"/>
      </tp>
      <tp>
        <v>0</v>
        <stp/>
        <stp>P</stp>
        <stp>0</stp>
        <stp>IDX</stp>
        <stp>TGX01P</stp>
        <stp>누적거래량</stp>
        <stp>45539</stp>
        <stp>Fill=true,Per=월</stp>
        <tr r="H192" s="2"/>
      </tp>
      <tp>
        <v>351040</v>
        <stp/>
        <stp>P</stp>
        <stp>0</stp>
        <stp>IDX</stp>
        <stp>QGG04P</stp>
        <stp>누적거래량</stp>
        <stp>45539</stp>
        <stp>Fill=true,Per=월</stp>
        <tr r="H73" s="2"/>
      </tp>
      <tp>
        <v>66</v>
        <stp/>
        <stp>P</stp>
        <stp>0</stp>
        <stp>IDX</stp>
        <stp>TGG01P</stp>
        <stp>누적거래량</stp>
        <stp>45539</stp>
        <stp>Fill=true,Per=월</stp>
        <tr r="H194" s="2"/>
      </tp>
      <tp>
        <v>7053</v>
        <stp/>
        <stp>P</stp>
        <stp>0</stp>
        <stp>IDX</stp>
        <stp>Q5S04P</stp>
        <stp>누적거래량</stp>
        <stp>45539</stp>
        <stp>Fill=true,Per=월</stp>
        <tr r="H200" s="2"/>
      </tp>
      <tp>
        <v>66</v>
        <stp/>
        <stp>P</stp>
        <stp>0</stp>
        <stp>IDX</stp>
        <stp>TGG02P</stp>
        <stp>누적거래량</stp>
        <stp>45539</stp>
        <stp>Fill=true,Per=월</stp>
        <tr r="H193" s="2"/>
      </tp>
      <tp>
        <v>3687</v>
        <stp/>
        <stp>P</stp>
        <stp>0</stp>
        <stp>IDX</stp>
        <stp>Q5S07P</stp>
        <stp>누적거래량</stp>
        <stp>45539</stp>
        <stp>Fill=true,Per=월</stp>
        <tr r="H197" s="2"/>
      </tp>
      <tp>
        <v>332118</v>
        <stp/>
        <stp>P</stp>
        <stp>0</stp>
        <stp>IDX</stp>
        <stp>QGG06P</stp>
        <stp>누적거래량</stp>
        <stp>45539</stp>
        <stp>Fill=true,Per=월</stp>
        <tr r="H63" s="2"/>
      </tp>
      <tp>
        <v>13820</v>
        <stp/>
        <stp>P</stp>
        <stp>0</stp>
        <stp>IDX</stp>
        <stp>Q5S06P</stp>
        <stp>누적거래량</stp>
        <stp>45539</stp>
        <stp>Fill=true,Per=월</stp>
        <tr r="H198" s="2"/>
      </tp>
      <tp>
        <v>22808</v>
        <stp/>
        <stp>P</stp>
        <stp>0</stp>
        <stp>IDX</stp>
        <stp>QGS09P</stp>
        <stp>누적거래량</stp>
        <stp>45539</stp>
        <stp>Fill=true,Per=월</stp>
        <tr r="H90" s="2"/>
      </tp>
      <tp>
        <v>10634</v>
        <stp/>
        <stp>P</stp>
        <stp>0</stp>
        <stp>IDX</stp>
        <stp>XGT01P</stp>
        <stp>누적거래량</stp>
        <stp>45539</stp>
        <stp>Fill=true,Per=월</stp>
        <tr r="H28" s="2"/>
      </tp>
      <tp>
        <v>159601</v>
        <stp/>
        <stp>P</stp>
        <stp>0</stp>
        <stp>IDX</stp>
        <stp>XGW01P</stp>
        <stp>누적거래량</stp>
        <stp>45539</stp>
        <stp>Fill=true,Per=월</stp>
        <tr r="H14" s="2"/>
      </tp>
      <tp>
        <v>0</v>
        <stp/>
        <stp>P</stp>
        <stp>0</stp>
        <stp>IDX</stp>
        <stp>XGV01P</stp>
        <stp>누적거래량</stp>
        <stp>45539</stp>
        <stp>Fill=true,Per=월</stp>
        <tr r="H136" s="2"/>
      </tp>
      <tp>
        <v>14804</v>
        <stp/>
        <stp>P</stp>
        <stp>0</stp>
        <stp>IDX</stp>
        <stp>XGS01P</stp>
        <stp>누적거래량</stp>
        <stp>45539</stp>
        <stp>Fill=true,Per=월</stp>
        <tr r="H168" s="2"/>
      </tp>
      <tp>
        <v>0</v>
        <stp/>
        <stp>P</stp>
        <stp>0</stp>
        <stp>IDX</stp>
        <stp>XGX01P</stp>
        <stp>누적거래량</stp>
        <stp>45539</stp>
        <stp>Fill=true,Per=월</stp>
        <tr r="H134" s="2"/>
      </tp>
      <tp>
        <v>172699</v>
        <stp/>
        <stp>P</stp>
        <stp>0</stp>
        <stp>IDX</stp>
        <stp>XGE01P</stp>
        <stp>누적거래량</stp>
        <stp>45539</stp>
        <stp>Fill=true,Per=월</stp>
        <tr r="H174" s="2"/>
      </tp>
      <tp>
        <v>159601</v>
        <stp/>
        <stp>P</stp>
        <stp>0</stp>
        <stp>IDX</stp>
        <stp>XGG01P</stp>
        <stp>누적거래량</stp>
        <stp>45539</stp>
        <stp>Fill=true,Per=월</stp>
        <tr r="H15" s="2"/>
      </tp>
      <tp>
        <v>0</v>
        <stp/>
        <stp>P</stp>
        <stp>0</stp>
        <stp>IDX</stp>
        <stp>XG901P</stp>
        <stp>누적거래량</stp>
        <stp>45539</stp>
        <stp>Fill=true,Per=월</stp>
        <tr r="H180" s="2"/>
      </tp>
      <tp>
        <v>9699</v>
        <stp/>
        <stp>P</stp>
        <stp>0</stp>
        <stp>IDX</stp>
        <stp>Q5S08P</stp>
        <stp>누적거래량</stp>
        <stp>45539</stp>
        <stp>Fill=true,Per=월</stp>
        <tr r="H196" s="2"/>
      </tp>
      <tp>
        <v>0</v>
        <stp/>
        <stp>P</stp>
        <stp>0</stp>
        <stp>IDX</stp>
        <stp>X3G01T</stp>
        <stp>누적거래량</stp>
        <stp>45539</stp>
        <stp>Fill=true,Per=월</stp>
        <tr r="H190" s="2"/>
      </tp>
      <tp>
        <v>71922</v>
        <stp/>
        <stp>P</stp>
        <stp>0</stp>
        <stp>IDX</stp>
        <stp>X3S01P</stp>
        <stp>누적거래량</stp>
        <stp>45539</stp>
        <stp>Fill=true,Per=월</stp>
        <tr r="H189" s="2"/>
      </tp>
      <tp>
        <v>0</v>
        <stp/>
        <stp>P</stp>
        <stp>0</stp>
        <stp>IDX</stp>
        <stp>X3X01P</stp>
        <stp>누적거래량</stp>
        <stp>45539</stp>
        <stp>Fill=true,Per=월</stp>
        <tr r="H181" s="2"/>
      </tp>
      <tp>
        <v>269641</v>
        <stp/>
        <stp>P</stp>
        <stp>0</stp>
        <stp>IDX</stp>
        <stp>X3E01P</stp>
        <stp>누적거래량</stp>
        <stp>45539</stp>
        <stp>Fill=true,Per=월</stp>
        <tr r="H191" s="2"/>
      </tp>
      <tp>
        <v>286369</v>
        <stp/>
        <stp>P</stp>
        <stp>0</stp>
        <stp>IDX</stp>
        <stp>X3G01P</stp>
        <stp>누적거래량</stp>
        <stp>45539</stp>
        <stp>Fill=true,Per=월</stp>
        <tr r="H10" s="2"/>
      </tp>
      <tp>
        <v>14202</v>
        <stp/>
        <stp>P</stp>
        <stp>0</stp>
        <stp>IDX</stp>
        <stp>XGT02P</stp>
        <stp>누적거래량</stp>
        <stp>45539</stp>
        <stp>Fill=true,Per=월</stp>
        <tr r="H40" s="2"/>
      </tp>
      <tp>
        <v>0</v>
        <stp/>
        <stp>P</stp>
        <stp>0</stp>
        <stp>IDX</stp>
        <stp>XGV02P</stp>
        <stp>누적거래량</stp>
        <stp>45539</stp>
        <stp>Fill=true,Per=월</stp>
        <tr r="H135" s="2"/>
      </tp>
      <tp>
        <v>81624</v>
        <stp/>
        <stp>P</stp>
        <stp>0</stp>
        <stp>IDX</stp>
        <stp>XGS02P</stp>
        <stp>누적거래량</stp>
        <stp>45539</stp>
        <stp>Fill=true,Per=월</stp>
        <tr r="H167" s="2"/>
      </tp>
      <tp>
        <v>0</v>
        <stp/>
        <stp>P</stp>
        <stp>0</stp>
        <stp>IDX</stp>
        <stp>XGX02P</stp>
        <stp>누적거래량</stp>
        <stp>45539</stp>
        <stp>Fill=true,Per=월</stp>
        <tr r="H133" s="2"/>
      </tp>
      <tp>
        <v>117625</v>
        <stp/>
        <stp>P</stp>
        <stp>0</stp>
        <stp>IDX</stp>
        <stp>XGE02P</stp>
        <stp>누적거래량</stp>
        <stp>45539</stp>
        <stp>Fill=true,Per=월</stp>
        <tr r="H173" s="2"/>
      </tp>
      <tp>
        <v>4279</v>
        <stp/>
        <stp>P</stp>
        <stp>0</stp>
        <stp>IDX</stp>
        <stp>XGD02P</stp>
        <stp>누적거래량</stp>
        <stp>45539</stp>
        <stp>Fill=true,Per=월</stp>
        <tr r="H175" s="2"/>
      </tp>
      <tp>
        <v>77640</v>
        <stp/>
        <stp>P</stp>
        <stp>0</stp>
        <stp>IDX</stp>
        <stp>XGG02P</stp>
        <stp>누적거래량</stp>
        <stp>45539</stp>
        <stp>Fill=true,Per=월</stp>
        <tr r="H129" s="2"/>
      </tp>
      <tp>
        <v>0</v>
        <stp/>
        <stp>P</stp>
        <stp>0</stp>
        <stp>IDX</stp>
        <stp>XG902P</stp>
        <stp>누적거래량</stp>
        <stp>45539</stp>
        <stp>Fill=true,Per=월</stp>
        <tr r="H179" s="2"/>
      </tp>
      <tp>
        <v>18221</v>
        <stp/>
        <stp>P</stp>
        <stp>0</stp>
        <stp>IDX</stp>
        <stp>X3S02P</stp>
        <stp>누적거래량</stp>
        <stp>45539</stp>
        <stp>Fill=true,Per=월</stp>
        <tr r="H188" s="2"/>
      </tp>
      <tp>
        <v>16555</v>
        <stp/>
        <stp>P</stp>
        <stp>0</stp>
        <stp>IDX</stp>
        <stp>XGT03P</stp>
        <stp>누적거래량</stp>
        <stp>45539</stp>
        <stp>Fill=true,Per=월</stp>
        <tr r="H45" s="2"/>
      </tp>
      <tp>
        <v>65552</v>
        <stp/>
        <stp>P</stp>
        <stp>0</stp>
        <stp>IDX</stp>
        <stp>XGS03P</stp>
        <stp>누적거래량</stp>
        <stp>45539</stp>
        <stp>Fill=true,Per=월</stp>
        <tr r="H166" s="2"/>
      </tp>
      <tp>
        <v>0</v>
        <stp/>
        <stp>P</stp>
        <stp>0</stp>
        <stp>IDX</stp>
        <stp>XGX03P</stp>
        <stp>누적거래량</stp>
        <stp>45539</stp>
        <stp>Fill=true,Per=월</stp>
        <tr r="H132" s="2"/>
      </tp>
      <tp>
        <v>86455</v>
        <stp/>
        <stp>P</stp>
        <stp>0</stp>
        <stp>IDX</stp>
        <stp>XGE03P</stp>
        <stp>누적거래량</stp>
        <stp>45539</stp>
        <stp>Fill=true,Per=월</stp>
        <tr r="H172" s="2"/>
      </tp>
      <tp>
        <v>0</v>
        <stp/>
        <stp>P</stp>
        <stp>0</stp>
        <stp>IDX</stp>
        <stp>XG903P</stp>
        <stp>누적거래량</stp>
        <stp>45539</stp>
        <stp>Fill=true,Per=월</stp>
        <tr r="H178" s="2"/>
      </tp>
      <tp>
        <v>44919</v>
        <stp/>
        <stp>P</stp>
        <stp>0</stp>
        <stp>IDX</stp>
        <stp>X3S03P</stp>
        <stp>누적거래량</stp>
        <stp>45539</stp>
        <stp>Fill=true,Per=월</stp>
        <tr r="H187" s="2"/>
      </tp>
      <tp>
        <v>6531</v>
        <stp/>
        <stp>P</stp>
        <stp>0</stp>
        <stp>IDX</stp>
        <stp>XGT04P</stp>
        <stp>누적거래량</stp>
        <stp>45539</stp>
        <stp>Fill=true,Per=월</stp>
        <tr r="H151" s="2"/>
      </tp>
      <tp>
        <v>14031</v>
        <stp/>
        <stp>P</stp>
        <stp>0</stp>
        <stp>IDX</stp>
        <stp>XGS04P</stp>
        <stp>누적거래량</stp>
        <stp>45539</stp>
        <stp>Fill=true,Per=월</stp>
        <tr r="H165" s="2"/>
      </tp>
      <tp>
        <v>0</v>
        <stp/>
        <stp>P</stp>
        <stp>0</stp>
        <stp>IDX</stp>
        <stp>XGX04P</stp>
        <stp>누적거래량</stp>
        <stp>45539</stp>
        <stp>Fill=true,Per=월</stp>
        <tr r="H131" s="2"/>
      </tp>
      <tp>
        <v>98315</v>
        <stp/>
        <stp>P</stp>
        <stp>0</stp>
        <stp>IDX</stp>
        <stp>XGE04P</stp>
        <stp>누적거래량</stp>
        <stp>45539</stp>
        <stp>Fill=true,Per=월</stp>
        <tr r="H171" s="2"/>
      </tp>
      <tp>
        <v>115839</v>
        <stp/>
        <stp>P</stp>
        <stp>0</stp>
        <stp>IDX</stp>
        <stp>XG904P</stp>
        <stp>누적거래량</stp>
        <stp>45539</stp>
        <stp>Fill=true,Per=월</stp>
        <tr r="H177" s="2"/>
      </tp>
      <tp>
        <v>22433</v>
        <stp/>
        <stp>P</stp>
        <stp>0</stp>
        <stp>IDX</stp>
        <stp>X3S04P</stp>
        <stp>누적거래량</stp>
        <stp>45539</stp>
        <stp>Fill=true,Per=월</stp>
        <tr r="H186" s="2"/>
      </tp>
      <tp>
        <v>6264</v>
        <stp/>
        <stp>P</stp>
        <stp>0</stp>
        <stp>IDX</stp>
        <stp>XGT05P</stp>
        <stp>누적거래량</stp>
        <stp>45539</stp>
        <stp>Fill=true,Per=월</stp>
        <tr r="H150" s="2"/>
      </tp>
      <tp>
        <v>22630</v>
        <stp/>
        <stp>P</stp>
        <stp>0</stp>
        <stp>IDX</stp>
        <stp>XGS05P</stp>
        <stp>누적거래량</stp>
        <stp>45539</stp>
        <stp>Fill=true,Per=월</stp>
        <tr r="H164" s="2"/>
      </tp>
      <tp>
        <v>0</v>
        <stp/>
        <stp>P</stp>
        <stp>0</stp>
        <stp>IDX</stp>
        <stp>XGX05P</stp>
        <stp>누적거래량</stp>
        <stp>45539</stp>
        <stp>Fill=true,Per=월</stp>
        <tr r="H130" s="2"/>
      </tp>
      <tp>
        <v>73688</v>
        <stp/>
        <stp>P</stp>
        <stp>0</stp>
        <stp>IDX</stp>
        <stp>XGE05P</stp>
        <stp>누적거래량</stp>
        <stp>45539</stp>
        <stp>Fill=true,Per=월</stp>
        <tr r="H169" s="2"/>
      </tp>
      <tp>
        <v>133465</v>
        <stp/>
        <stp>P</stp>
        <stp>0</stp>
        <stp>IDX</stp>
        <stp>XGB05P</stp>
        <stp>누적거래량</stp>
        <stp>45539</stp>
        <stp>Fill=true,Per=월</stp>
        <tr r="H176" s="2"/>
      </tp>
      <tp>
        <v>72816</v>
        <stp/>
        <stp>P</stp>
        <stp>0</stp>
        <stp>IDX</stp>
        <stp>X3S05P</stp>
        <stp>누적거래량</stp>
        <stp>45539</stp>
        <stp>Fill=true,Per=월</stp>
        <tr r="H185" s="2"/>
      </tp>
      <tp>
        <v>65279</v>
        <stp/>
        <stp>P</stp>
        <stp>0</stp>
        <stp>IDX</stp>
        <stp>XGT06P</stp>
        <stp>누적거래량</stp>
        <stp>45539</stp>
        <stp>Fill=true,Per=월</stp>
        <tr r="H149" s="2"/>
      </tp>
      <tp>
        <v>13854</v>
        <stp/>
        <stp>P</stp>
        <stp>0</stp>
        <stp>IDX</stp>
        <stp>XGS06P</stp>
        <stp>누적거래량</stp>
        <stp>45539</stp>
        <stp>Fill=true,Per=월</stp>
        <tr r="H163" s="2"/>
      </tp>
      <tp>
        <v>0</v>
        <stp/>
        <stp>P</stp>
        <stp>0</stp>
        <stp>IDX</stp>
        <stp>XGT06T</stp>
        <stp>누적거래량</stp>
        <stp>45539</stp>
        <stp>Fill=true,Per=월</stp>
        <tr r="H148" s="2"/>
      </tp>
      <tp>
        <v>26029</v>
        <stp/>
        <stp>P</stp>
        <stp>0</stp>
        <stp>IDX</stp>
        <stp>X3S06P</stp>
        <stp>누적거래량</stp>
        <stp>45539</stp>
        <stp>Fill=true,Per=월</stp>
        <tr r="H184" s="2"/>
      </tp>
      <tp>
        <v>0</v>
        <stp/>
        <stp>P</stp>
        <stp>0</stp>
        <stp>IDX</stp>
        <stp>XGT07P</stp>
        <stp>누적거래량</stp>
        <stp>45539</stp>
        <stp>Fill=true,Per=월</stp>
        <tr r="H147" s="2"/>
      </tp>
      <tp>
        <v>4241</v>
        <stp/>
        <stp>P</stp>
        <stp>0</stp>
        <stp>IDX</stp>
        <stp>XGS07P</stp>
        <stp>누적거래량</stp>
        <stp>45539</stp>
        <stp>Fill=true,Per=월</stp>
        <tr r="H162" s="2"/>
      </tp>
      <tp>
        <v>5526</v>
        <stp/>
        <stp>P</stp>
        <stp>0</stp>
        <stp>IDX</stp>
        <stp>X3S07P</stp>
        <stp>누적거래량</stp>
        <stp>45539</stp>
        <stp>Fill=true,Per=월</stp>
        <tr r="H183" s="2"/>
      </tp>
      <tp>
        <v>1932.26</v>
        <stp/>
        <stp>P</stp>
        <stp>0</stp>
        <stp>IDX</stp>
        <stp>FTX06T</stp>
        <stp>현재가</stp>
        <stp>45539</stp>
        <stp>Fill=true,Per=월</stp>
        <tr r="E324" s="2"/>
      </tp>
      <tp>
        <v>783.24</v>
        <stp/>
        <stp>P</stp>
        <stp>0</stp>
        <stp>IDX</stp>
        <stp>FTX08T</stp>
        <stp>현재가</stp>
        <stp>45539</stp>
        <stp>Fill=true,Per=월</stp>
        <tr r="E326" s="2"/>
      </tp>
      <tp>
        <v>0</v>
        <stp/>
        <stp>P</stp>
        <stp>0</stp>
        <stp>IDX</stp>
        <stp>KGS07P</stp>
        <stp>저가</stp>
        <stp>45539</stp>
        <stp>Fill=true,Per=월</stp>
        <tr r="L64" s="2"/>
      </tp>
      <tp>
        <v>0</v>
        <stp/>
        <stp>P</stp>
        <stp>0</stp>
        <stp>IDX</stp>
        <stp>KGS17P</stp>
        <stp>저가</stp>
        <stp>45539</stp>
        <stp>Fill=true,Per=월</stp>
        <tr r="L67" s="2"/>
      </tp>
      <tp>
        <v>221.73</v>
        <stp/>
        <stp>P</stp>
        <stp>0</stp>
        <stp>IDX</stp>
        <stp>OG913P</stp>
        <stp>고가</stp>
        <stp>45539</stp>
        <stp>Fill=true,Per=월</stp>
        <tr r="K206" s="2"/>
      </tp>
      <tp>
        <v>4694.74</v>
        <stp/>
        <stp>P</stp>
        <stp>0</stp>
        <stp>IDX</stp>
        <stp>KGS07P</stp>
        <stp>시가</stp>
        <stp>45539</stp>
        <stp>Fill=true,Per=월</stp>
        <tr r="J64" s="2"/>
      </tp>
      <tp>
        <v>21882.85</v>
        <stp/>
        <stp>P</stp>
        <stp>0</stp>
        <stp>IDX</stp>
        <stp>KGS17P</stp>
        <stp>시가</stp>
        <stp>45539</stp>
        <stp>Fill=true,Per=월</stp>
        <tr r="J67" s="2"/>
      </tp>
      <tp>
        <v>0</v>
        <stp/>
        <stp>P</stp>
        <stp>0</stp>
        <stp>IDX</stp>
        <stp>MGA01P</stp>
        <stp>저가</stp>
        <stp>45539</stp>
        <stp>Fill=true,Per=월</stp>
        <tr r="L111" s="2"/>
      </tp>
      <tp>
        <v>0</v>
        <stp/>
        <stp>P</stp>
        <stp>0</stp>
        <stp>IDX</stp>
        <stp>MGA11P</stp>
        <stp>저가</stp>
        <stp>45539</stp>
        <stp>Fill=true,Per=월</stp>
        <tr r="L107" s="2"/>
      </tp>
      <tp>
        <v>5700.66</v>
        <stp/>
        <stp>P</stp>
        <stp>0</stp>
        <stp>IDX</stp>
        <stp>MGA01P</stp>
        <stp>시가</stp>
        <stp>45539</stp>
        <stp>Fill=true,Per=월</stp>
        <tr r="J111" s="2"/>
      </tp>
      <tp>
        <v>651.24</v>
        <stp/>
        <stp>P</stp>
        <stp>0</stp>
        <stp>IDX</stp>
        <stp>MGA11P</stp>
        <stp>시가</stp>
        <stp>45539</stp>
        <stp>Fill=true,Per=월</stp>
        <tr r="J107" s="2"/>
      </tp>
      <tp>
        <v>4906.13</v>
        <stp/>
        <stp>P</stp>
        <stp>0</stp>
        <stp>IDX</stp>
        <stp>KGS07P</stp>
        <stp>고가</stp>
        <stp>45539</stp>
        <stp>Fill=true,Per=월</stp>
        <tr r="K64" s="2"/>
      </tp>
      <tp>
        <v>23195.95</v>
        <stp/>
        <stp>P</stp>
        <stp>0</stp>
        <stp>IDX</stp>
        <stp>KGS17P</stp>
        <stp>고가</stp>
        <stp>45539</stp>
        <stp>Fill=true,Per=월</stp>
        <tr r="K67" s="2"/>
      </tp>
      <tp>
        <v>220.41</v>
        <stp/>
        <stp>P</stp>
        <stp>0</stp>
        <stp>IDX</stp>
        <stp>OG913P</stp>
        <stp>시가</stp>
        <stp>45539</stp>
        <stp>Fill=true,Per=월</stp>
        <tr r="J206" s="2"/>
      </tp>
      <tp>
        <v>0</v>
        <stp/>
        <stp>P</stp>
        <stp>0</stp>
        <stp>IDX</stp>
        <stp>OG913P</stp>
        <stp>저가</stp>
        <stp>45539</stp>
        <stp>Fill=true,Per=월</stp>
        <tr r="L206" s="2"/>
      </tp>
      <tp>
        <v>5711.73</v>
        <stp/>
        <stp>P</stp>
        <stp>0</stp>
        <stp>IDX</stp>
        <stp>MGA01P</stp>
        <stp>고가</stp>
        <stp>45539</stp>
        <stp>Fill=true,Per=월</stp>
        <tr r="K111" s="2"/>
      </tp>
      <tp>
        <v>661.36</v>
        <stp/>
        <stp>P</stp>
        <stp>0</stp>
        <stp>IDX</stp>
        <stp>MGA11P</stp>
        <stp>고가</stp>
        <stp>45539</stp>
        <stp>Fill=true,Per=월</stp>
        <tr r="K107" s="2"/>
      </tp>
      <tp>
        <v>186.67</v>
        <stp/>
        <stp>P</stp>
        <stp>0</stp>
        <stp>IDX</stp>
        <stp>K2X07P</stp>
        <stp>시가</stp>
        <stp>45539</stp>
        <stp>Fill=true,Per=월</stp>
        <tr r="J71" s="2"/>
      </tp>
      <tp>
        <v>0</v>
        <stp/>
        <stp>P</stp>
        <stp>0</stp>
        <stp>IDX</stp>
        <stp>K2S07P</stp>
        <stp>저가</stp>
        <stp>45539</stp>
        <stp>Fill=true,Per=월</stp>
        <tr r="L25" s="2"/>
      </tp>
      <tp>
        <v>1215</v>
        <stp/>
        <stp>P</stp>
        <stp>0</stp>
        <stp>IDX</stp>
        <stp>O2903P</stp>
        <stp>고가</stp>
        <stp>45539</stp>
        <stp>Fill=true,Per=월</stp>
        <tr r="K103" s="2"/>
      </tp>
      <tp>
        <v>0</v>
        <stp/>
        <stp>P</stp>
        <stp>0</stp>
        <stp>IDX</stp>
        <stp>K2X07P</stp>
        <stp>저가</stp>
        <stp>45539</stp>
        <stp>Fill=true,Per=월</stp>
        <tr r="L71" s="2"/>
      </tp>
      <tp>
        <v>3233.48</v>
        <stp/>
        <stp>P</stp>
        <stp>0</stp>
        <stp>IDX</stp>
        <stp>K2S07P</stp>
        <stp>시가</stp>
        <stp>45539</stp>
        <stp>Fill=true,Per=월</stp>
        <tr r="J25" s="2"/>
      </tp>
      <tp>
        <v>3279.14</v>
        <stp/>
        <stp>P</stp>
        <stp>0</stp>
        <stp>IDX</stp>
        <stp>K2S07P</stp>
        <stp>고가</stp>
        <stp>45539</stp>
        <stp>Fill=true,Per=월</stp>
        <tr r="K25" s="2"/>
      </tp>
      <tp>
        <v>1204.0999999999999</v>
        <stp/>
        <stp>P</stp>
        <stp>0</stp>
        <stp>IDX</stp>
        <stp>O2903P</stp>
        <stp>시가</stp>
        <stp>45539</stp>
        <stp>Fill=true,Per=월</stp>
        <tr r="J103" s="2"/>
      </tp>
      <tp>
        <v>191.02</v>
        <stp/>
        <stp>P</stp>
        <stp>0</stp>
        <stp>IDX</stp>
        <stp>K2X07P</stp>
        <stp>고가</stp>
        <stp>45539</stp>
        <stp>Fill=true,Per=월</stp>
        <tr r="K71" s="2"/>
      </tp>
      <tp>
        <v>0</v>
        <stp/>
        <stp>P</stp>
        <stp>0</stp>
        <stp>IDX</stp>
        <stp>O2903P</stp>
        <stp>저가</stp>
        <stp>45539</stp>
        <stp>Fill=true,Per=월</stp>
        <tr r="L103" s="2"/>
      </tp>
      <tp>
        <v>0</v>
        <stp/>
        <stp>P</stp>
        <stp>0</stp>
        <stp>IDX</stp>
        <stp>K2S07T</stp>
        <stp>저가</stp>
        <stp>45539</stp>
        <stp>Fill=true,Per=월</stp>
        <tr r="L369" s="2"/>
      </tp>
      <tp>
        <v>3749.94</v>
        <stp/>
        <stp>P</stp>
        <stp>0</stp>
        <stp>IDX</stp>
        <stp>K2S07T</stp>
        <stp>시가</stp>
        <stp>45539</stp>
        <stp>Fill=true,Per=월</stp>
        <tr r="J369" s="2"/>
      </tp>
      <tp>
        <v>3802.85</v>
        <stp/>
        <stp>P</stp>
        <stp>0</stp>
        <stp>IDX</stp>
        <stp>K2S07T</stp>
        <stp>고가</stp>
        <stp>45539</stp>
        <stp>Fill=true,Per=월</stp>
        <tr r="K369" s="2"/>
      </tp>
      <tp>
        <v>0</v>
        <stp/>
        <stp>P</stp>
        <stp>0</stp>
        <stp>IDX</stp>
        <stp>F2X16P</stp>
        <stp>누적거래량</stp>
        <stp>45539</stp>
        <stp>Fill=true,Per=월</stp>
        <tr r="H240" s="2"/>
      </tp>
      <tp>
        <v>0</v>
        <stp/>
        <stp>P</stp>
        <stp>0</stp>
        <stp>IDX</stp>
        <stp>F2X17P</stp>
        <stp>누적거래량</stp>
        <stp>45539</stp>
        <stp>Fill=true,Per=월</stp>
        <tr r="H241" s="2"/>
      </tp>
      <tp>
        <v>3089</v>
        <stp/>
        <stp>P</stp>
        <stp>0</stp>
        <stp>IDX</stp>
        <stp>KGS19P</stp>
        <stp>누적거래량</stp>
        <stp>45539</stp>
        <stp>Fill=true,Per=월</stp>
        <tr r="H91" s="2"/>
      </tp>
      <tp>
        <v>0</v>
        <stp/>
        <stp>P</stp>
        <stp>0</stp>
        <stp>IDX</stp>
        <stp>F2X14P</stp>
        <stp>누적거래량</stp>
        <stp>45539</stp>
        <stp>Fill=true,Per=월</stp>
        <tr r="H238" s="2"/>
      </tp>
      <tp>
        <v>308132</v>
        <stp/>
        <stp>P</stp>
        <stp>0</stp>
        <stp>IDX</stp>
        <stp>KGS18P</stp>
        <stp>누적거래량</stp>
        <stp>45539</stp>
        <stp>Fill=true,Per=월</stp>
        <tr r="H19" s="2"/>
      </tp>
      <tp>
        <v>0</v>
        <stp/>
        <stp>P</stp>
        <stp>0</stp>
        <stp>IDX</stp>
        <stp>F2X15P</stp>
        <stp>누적거래량</stp>
        <stp>45539</stp>
        <stp>Fill=true,Per=월</stp>
        <tr r="H239" s="2"/>
      </tp>
      <tp>
        <v>0</v>
        <stp/>
        <stp>P</stp>
        <stp>0</stp>
        <stp>IDX</stp>
        <stp>FRX12P</stp>
        <stp>누적거래량</stp>
        <stp>45539</stp>
        <stp>Fill=true,Per=월</stp>
        <tr r="H312" s="2"/>
      </tp>
      <tp>
        <v>0</v>
        <stp/>
        <stp>P</stp>
        <stp>0</stp>
        <stp>IDX</stp>
        <stp>F2X12P</stp>
        <stp>누적거래량</stp>
        <stp>45539</stp>
        <stp>Fill=true,Per=월</stp>
        <tr r="H236" s="2"/>
      </tp>
      <tp>
        <v>0</v>
        <stp/>
        <stp>P</stp>
        <stp>0</stp>
        <stp>IDX</stp>
        <stp>F2X13P</stp>
        <stp>누적거래량</stp>
        <stp>45539</stp>
        <stp>Fill=true,Per=월</stp>
        <tr r="H237" s="2"/>
      </tp>
      <tp>
        <v>0</v>
        <stp/>
        <stp>P</stp>
        <stp>0</stp>
        <stp>IDX</stp>
        <stp>FTX10P</stp>
        <stp>누적거래량</stp>
        <stp>45539</stp>
        <stp>Fill=true,Per=월</stp>
        <tr r="H327" s="2"/>
      </tp>
      <tp>
        <v>0</v>
        <stp/>
        <stp>P</stp>
        <stp>0</stp>
        <stp>IDX</stp>
        <stp>FRX10P</stp>
        <stp>누적거래량</stp>
        <stp>45539</stp>
        <stp>Fill=true,Per=월</stp>
        <tr r="H310" s="2"/>
      </tp>
      <tp>
        <v>0</v>
        <stp/>
        <stp>P</stp>
        <stp>0</stp>
        <stp>IDX</stp>
        <stp>F5X10T</stp>
        <stp>누적거래량</stp>
        <stp>45539</stp>
        <stp>Fill=true,Per=월</stp>
        <tr r="H285" s="2"/>
      </tp>
      <tp>
        <v>0</v>
        <stp/>
        <stp>P</stp>
        <stp>0</stp>
        <stp>IDX</stp>
        <stp>F2S10P</stp>
        <stp>누적거래량</stp>
        <stp>45539</stp>
        <stp>Fill=true,Per=월</stp>
        <tr r="H223" s="2"/>
      </tp>
      <tp>
        <v>0</v>
        <stp/>
        <stp>P</stp>
        <stp>0</stp>
        <stp>IDX</stp>
        <stp>F2X10P</stp>
        <stp>누적거래량</stp>
        <stp>45539</stp>
        <stp>Fill=true,Per=월</stp>
        <tr r="H234" s="2"/>
      </tp>
      <tp>
        <v>0</v>
        <stp/>
        <stp>P</stp>
        <stp>0</stp>
        <stp>IDX</stp>
        <stp>FTX11P</stp>
        <stp>누적거래량</stp>
        <stp>45539</stp>
        <stp>Fill=true,Per=월</stp>
        <tr r="H328" s="2"/>
      </tp>
      <tp>
        <v>0</v>
        <stp/>
        <stp>P</stp>
        <stp>0</stp>
        <stp>IDX</stp>
        <stp>FRX11P</stp>
        <stp>누적거래량</stp>
        <stp>45539</stp>
        <stp>Fill=true,Per=월</stp>
        <tr r="H311" s="2"/>
      </tp>
      <tp>
        <v>0</v>
        <stp/>
        <stp>P</stp>
        <stp>0</stp>
        <stp>IDX</stp>
        <stp>F2X11P</stp>
        <stp>누적거래량</stp>
        <stp>45539</stp>
        <stp>Fill=true,Per=월</stp>
        <tr r="H235" s="2"/>
      </tp>
      <tp>
        <v>-1.07</v>
        <stp/>
        <stp>P</stp>
        <stp>0</stp>
        <stp>IDX</stp>
        <stp>Q5G01T</stp>
        <stp>등락률</stp>
        <stp>45539</stp>
        <stp>Fill=true,Per=월</stp>
        <tr r="G203" s="2"/>
      </tp>
      <tp>
        <v>30642</v>
        <stp/>
        <stp>P</stp>
        <stp>0</stp>
        <stp>IDX</stp>
        <stp>KGS13P</stp>
        <stp>누적거래량</stp>
        <stp>45539</stp>
        <stp>Fill=true,Per=월</stp>
        <tr r="H74" s="2"/>
      </tp>
      <tp>
        <v>0</v>
        <stp/>
        <stp>P</stp>
        <stp>0</stp>
        <stp>IDX</stp>
        <stp>MGA15P</stp>
        <stp>누적거래량</stp>
        <stp>45539</stp>
        <stp>Fill=true,Per=월</stp>
        <tr r="H110" s="2"/>
      </tp>
      <tp>
        <v>29747</v>
        <stp/>
        <stp>P</stp>
        <stp>0</stp>
        <stp>IDX</stp>
        <stp>KGS12P</stp>
        <stp>누적거래량</stp>
        <stp>45539</stp>
        <stp>Fill=true,Per=월</stp>
        <tr r="H83" s="2"/>
      </tp>
      <tp>
        <v>0</v>
        <stp/>
        <stp>P</stp>
        <stp>0</stp>
        <stp>IDX</stp>
        <stp>MGA14P</stp>
        <stp>누적거래량</stp>
        <stp>45539</stp>
        <stp>Fill=true,Per=월</stp>
        <tr r="H108" s="2"/>
      </tp>
      <tp>
        <v>0</v>
        <stp/>
        <stp>P</stp>
        <stp>0</stp>
        <stp>IDX</stp>
        <stp>O2916T</stp>
        <stp>누적거래량</stp>
        <stp>45539</stp>
        <stp>Fill=true,Per=월</stp>
        <tr r="H119" s="2"/>
      </tp>
      <tp>
        <v>0</v>
        <stp/>
        <stp>P</stp>
        <stp>0</stp>
        <stp>IDX</stp>
        <stp>O2916P</stp>
        <stp>누적거래량</stp>
        <stp>45539</stp>
        <stp>Fill=true,Per=월</stp>
        <tr r="H100" s="2"/>
      </tp>
      <tp>
        <v>0</v>
        <stp/>
        <stp>P</stp>
        <stp>0</stp>
        <stp>IDX</stp>
        <stp>K2X12N</stp>
        <stp>누적거래량</stp>
        <stp>45539</stp>
        <stp>Fill=true,Per=월</stp>
        <tr r="H381" s="2"/>
      </tp>
      <tp>
        <v>43208</v>
        <stp/>
        <stp>P</stp>
        <stp>0</stp>
        <stp>IDX</stp>
        <stp>KGS11P</stp>
        <stp>누적거래량</stp>
        <stp>45539</stp>
        <stp>Fill=true,Per=월</stp>
        <tr r="H62" s="2"/>
      </tp>
      <tp>
        <v>0</v>
        <stp/>
        <stp>P</stp>
        <stp>0</stp>
        <stp>IDX</stp>
        <stp>K2S11T</stp>
        <stp>누적거래량</stp>
        <stp>45539</stp>
        <stp>Fill=true,Per=월</stp>
        <tr r="H373" s="2"/>
      </tp>
      <tp>
        <v>8504</v>
        <stp/>
        <stp>P</stp>
        <stp>0</stp>
        <stp>IDX</stp>
        <stp>K2S11P</stp>
        <stp>누적거래량</stp>
        <stp>45539</stp>
        <stp>Fill=true,Per=월</stp>
        <tr r="H54" s="2"/>
      </tp>
      <tp>
        <v>0</v>
        <stp/>
        <stp>P</stp>
        <stp>0</stp>
        <stp>IDX</stp>
        <stp>K2X11P</stp>
        <stp>누적거래량</stp>
        <stp>45539</stp>
        <stp>Fill=true,Per=월</stp>
        <tr r="H380" s="2"/>
      </tp>
      <tp>
        <v>37009</v>
        <stp/>
        <stp>P</stp>
        <stp>0</stp>
        <stp>IDX</stp>
        <stp>KGS10P</stp>
        <stp>누적거래량</stp>
        <stp>45539</stp>
        <stp>Fill=true,Per=월</stp>
        <tr r="H33" s="2"/>
      </tp>
      <tp>
        <v>0</v>
        <stp/>
        <stp>P</stp>
        <stp>0</stp>
        <stp>IDX</stp>
        <stp>OG914P</stp>
        <stp>누적거래량</stp>
        <stp>45539</stp>
        <stp>Fill=true,Per=월</stp>
        <tr r="H205" s="2"/>
      </tp>
      <tp>
        <v>0</v>
        <stp/>
        <stp>P</stp>
        <stp>0</stp>
        <stp>IDX</stp>
        <stp>MGA16T</stp>
        <stp>누적거래량</stp>
        <stp>45539</stp>
        <stp>Fill=true,Per=월</stp>
        <tr r="H106" s="2"/>
      </tp>
      <tp>
        <v>0</v>
        <stp/>
        <stp>P</stp>
        <stp>0</stp>
        <stp>IDX</stp>
        <stp>K2S10T</stp>
        <stp>누적거래량</stp>
        <stp>45539</stp>
        <stp>Fill=true,Per=월</stp>
        <tr r="H372" s="2"/>
      </tp>
      <tp>
        <v>0</v>
        <stp/>
        <stp>P</stp>
        <stp>0</stp>
        <stp>IDX</stp>
        <stp>K2G10T</stp>
        <stp>누적거래량</stp>
        <stp>45539</stp>
        <stp>Fill=true,Per=월</stp>
        <tr r="H362" s="2"/>
      </tp>
      <tp>
        <v>13713</v>
        <stp/>
        <stp>P</stp>
        <stp>0</stp>
        <stp>IDX</stp>
        <stp>K2S10P</stp>
        <stp>누적거래량</stp>
        <stp>45539</stp>
        <stp>Fill=true,Per=월</stp>
        <tr r="H59" s="2"/>
      </tp>
      <tp>
        <v>206271</v>
        <stp/>
        <stp>P</stp>
        <stp>0</stp>
        <stp>IDX</stp>
        <stp>K2G10P</stp>
        <stp>누적거래량</stp>
        <stp>45539</stp>
        <stp>Fill=true,Per=월</stp>
        <tr r="H361" s="2"/>
      </tp>
      <tp>
        <v>0</v>
        <stp/>
        <stp>P</stp>
        <stp>0</stp>
        <stp>IDX</stp>
        <stp>K2G10N</stp>
        <stp>누적거래량</stp>
        <stp>45539</stp>
        <stp>Fill=true,Per=월</stp>
        <tr r="H360" s="2"/>
      </tp>
      <tp>
        <v>6758</v>
        <stp/>
        <stp>P</stp>
        <stp>0</stp>
        <stp>IDX</stp>
        <stp>KGS17P</stp>
        <stp>누적거래량</stp>
        <stp>45539</stp>
        <stp>Fill=true,Per=월</stp>
        <tr r="H67" s="2"/>
      </tp>
      <tp>
        <v>0</v>
        <stp/>
        <stp>P</stp>
        <stp>0</stp>
        <stp>IDX</stp>
        <stp>MGA11P</stp>
        <stp>누적거래량</stp>
        <stp>45539</stp>
        <stp>Fill=true,Per=월</stp>
        <tr r="H107" s="2"/>
      </tp>
      <tp>
        <v>0</v>
        <stp/>
        <stp>P</stp>
        <stp>0</stp>
        <stp>IDX</stp>
        <stp>OG913P</stp>
        <stp>누적거래량</stp>
        <stp>45539</stp>
        <stp>Fill=true,Per=월</stp>
        <tr r="H206" s="2"/>
      </tp>
      <tp>
        <v>16795</v>
        <stp/>
        <stp>P</stp>
        <stp>0</stp>
        <stp>IDX</stp>
        <stp>KGS16P</stp>
        <stp>누적거래량</stp>
        <stp>45539</stp>
        <stp>Fill=true,Per=월</stp>
        <tr r="H79" s="2"/>
      </tp>
      <tp>
        <v>0</v>
        <stp/>
        <stp>P</stp>
        <stp>0</stp>
        <stp>IDX</stp>
        <stp>MGA10P</stp>
        <stp>누적거래량</stp>
        <stp>45539</stp>
        <stp>Fill=true,Per=월</stp>
        <tr r="H121" s="2"/>
      </tp>
      <tp>
        <v>0</v>
        <stp/>
        <stp>P</stp>
        <stp>0</stp>
        <stp>IDX</stp>
        <stp>OG912P</stp>
        <stp>누적거래량</stp>
        <stp>45539</stp>
        <stp>Fill=true,Per=월</stp>
        <tr r="H207" s="2"/>
      </tp>
      <tp>
        <v>0</v>
        <stp/>
        <stp>P</stp>
        <stp>0</stp>
        <stp>IDX</stp>
        <stp>MGA13T</stp>
        <stp>누적거래량</stp>
        <stp>45539</stp>
        <stp>Fill=true,Per=월</stp>
        <tr r="H99" s="2"/>
      </tp>
      <tp>
        <v>0</v>
        <stp/>
        <stp>P</stp>
        <stp>0</stp>
        <stp>IDX</stp>
        <stp>F2X18P</stp>
        <stp>누적거래량</stp>
        <stp>45539</stp>
        <stp>Fill=true,Per=월</stp>
        <tr r="H242" s="2"/>
      </tp>
      <tp>
        <v>50267</v>
        <stp/>
        <stp>P</stp>
        <stp>0</stp>
        <stp>IDX</stp>
        <stp>KGS14P</stp>
        <stp>누적거래량</stp>
        <stp>45539</stp>
        <stp>Fill=true,Per=월</stp>
        <tr r="H27" s="2"/>
      </tp>
      <tp>
        <v>0</v>
        <stp/>
        <stp>P</stp>
        <stp>0</stp>
        <stp>IDX</stp>
        <stp>MGA12P</stp>
        <stp>누적거래량</stp>
        <stp>45539</stp>
        <stp>Fill=true,Per=월</stp>
        <tr r="H104" s="2"/>
      </tp>
      <tp>
        <v>0</v>
        <stp/>
        <stp>P</stp>
        <stp>0</stp>
        <stp>IDX</stp>
        <stp>F2X19P</stp>
        <stp>누적거래량</stp>
        <stp>45539</stp>
        <stp>Fill=true,Per=월</stp>
        <tr r="H243" s="2"/>
      </tp>
      <tp>
        <v>1083</v>
        <stp/>
        <stp>P</stp>
        <stp>0</stp>
        <stp>IDX</stp>
        <stp>QGS11P</stp>
        <stp>누적거래량</stp>
        <stp>45539</stp>
        <stp>Fill=true,Per=월</stp>
        <tr r="H95" s="2"/>
      </tp>
      <tp>
        <v>26081</v>
        <stp/>
        <stp>P</stp>
        <stp>0</stp>
        <stp>IDX</stp>
        <stp>QGG11P</stp>
        <stp>누적거래량</stp>
        <stp>45539</stp>
        <stp>Fill=true,Per=월</stp>
        <tr r="H58" s="2"/>
      </tp>
      <tp>
        <v>23868</v>
        <stp/>
        <stp>P</stp>
        <stp>0</stp>
        <stp>IDX</stp>
        <stp>QGS10P</stp>
        <stp>누적거래량</stp>
        <stp>45539</stp>
        <stp>Fill=true,Per=월</stp>
        <tr r="H96" s="2"/>
      </tp>
      <tp>
        <v>67629</v>
        <stp/>
        <stp>P</stp>
        <stp>0</stp>
        <stp>IDX</stp>
        <stp>QGS13P</stp>
        <stp>누적거래량</stp>
        <stp>45539</stp>
        <stp>Fill=true,Per=월</stp>
        <tr r="H77" s="2"/>
      </tp>
      <tp>
        <v>201343</v>
        <stp/>
        <stp>P</stp>
        <stp>0</stp>
        <stp>IDX</stp>
        <stp>QGS12P</stp>
        <stp>누적거래량</stp>
        <stp>45539</stp>
        <stp>Fill=true,Per=월</stp>
        <tr r="H76" s="2"/>
      </tp>
      <tp>
        <v>57017</v>
        <stp/>
        <stp>P</stp>
        <stp>0</stp>
        <stp>IDX</stp>
        <stp>QGS15P</stp>
        <stp>누적거래량</stp>
        <stp>45539</stp>
        <stp>Fill=true,Per=월</stp>
        <tr r="H87" s="2"/>
      </tp>
      <tp>
        <v>13325</v>
        <stp/>
        <stp>P</stp>
        <stp>0</stp>
        <stp>IDX</stp>
        <stp>QGS14P</stp>
        <stp>누적거래량</stp>
        <stp>45539</stp>
        <stp>Fill=true,Per=월</stp>
        <tr r="H92" s="2"/>
      </tp>
      <tp>
        <v>168218</v>
        <stp/>
        <stp>P</stp>
        <stp>0</stp>
        <stp>IDX</stp>
        <stp>QGS17P</stp>
        <stp>누적거래량</stp>
        <stp>45539</stp>
        <stp>Fill=true,Per=월</stp>
        <tr r="H61" s="2"/>
      </tp>
      <tp>
        <v>185788</v>
        <stp/>
        <stp>P</stp>
        <stp>0</stp>
        <stp>IDX</stp>
        <stp>QGS16P</stp>
        <stp>누적거래량</stp>
        <stp>45539</stp>
        <stp>Fill=true,Per=월</stp>
        <tr r="H70" s="2"/>
      </tp>
      <tp>
        <v>42662</v>
        <stp/>
        <stp>P</stp>
        <stp>0</stp>
        <stp>IDX</stp>
        <stp>XGT10P</stp>
        <stp>누적거래량</stp>
        <stp>45539</stp>
        <stp>Fill=true,Per=월</stp>
        <tr r="H143" s="2"/>
      </tp>
      <tp>
        <v>17314</v>
        <stp/>
        <stp>P</stp>
        <stp>0</stp>
        <stp>IDX</stp>
        <stp>QGS19P</stp>
        <stp>누적거래량</stp>
        <stp>45539</stp>
        <stp>Fill=true,Per=월</stp>
        <tr r="H86" s="2"/>
      </tp>
      <tp>
        <v>41746</v>
        <stp/>
        <stp>P</stp>
        <stp>0</stp>
        <stp>IDX</stp>
        <stp>XGS10P</stp>
        <stp>누적거래량</stp>
        <stp>45539</stp>
        <stp>Fill=true,Per=월</stp>
        <tr r="H159" s="2"/>
      </tp>
      <tp>
        <v>0</v>
        <stp/>
        <stp>P</stp>
        <stp>0</stp>
        <stp>IDX</stp>
        <stp>XGT10T</stp>
        <stp>누적거래량</stp>
        <stp>45539</stp>
        <stp>Fill=true,Per=월</stp>
        <tr r="H142" s="2"/>
      </tp>
      <tp>
        <v>2.13</v>
        <stp/>
        <stp>P</stp>
        <stp>0</stp>
        <stp>IDX</stp>
        <stp>F5X10T</stp>
        <stp>등락률</stp>
        <stp>45539</stp>
        <stp>Fill=true,Per=월</stp>
        <tr r="G285" s="2"/>
      </tp>
      <tp>
        <v>0.94</v>
        <stp/>
        <stp>P</stp>
        <stp>0</stp>
        <stp>IDX</stp>
        <stp>F5X05T</stp>
        <stp>등락률</stp>
        <stp>45539</stp>
        <stp>Fill=true,Per=월</stp>
        <tr r="G280" s="2"/>
      </tp>
      <tp>
        <v>-1.92</v>
        <stp/>
        <stp>P</stp>
        <stp>0</stp>
        <stp>IDX</stp>
        <stp>F5X04T</stp>
        <stp>등락률</stp>
        <stp>45539</stp>
        <stp>Fill=true,Per=월</stp>
        <tr r="G279" s="2"/>
      </tp>
      <tp>
        <v>1.78</v>
        <stp/>
        <stp>P</stp>
        <stp>0</stp>
        <stp>IDX</stp>
        <stp>F5X07T</stp>
        <stp>등락률</stp>
        <stp>45539</stp>
        <stp>Fill=true,Per=월</stp>
        <tr r="G282" s="2"/>
      </tp>
      <tp>
        <v>-1.92</v>
        <stp/>
        <stp>P</stp>
        <stp>0</stp>
        <stp>IDX</stp>
        <stp>F5X06T</stp>
        <stp>등락률</stp>
        <stp>45539</stp>
        <stp>Fill=true,Per=월</stp>
        <tr r="G281" s="2"/>
      </tp>
      <tp>
        <v>0.93</v>
        <stp/>
        <stp>P</stp>
        <stp>0</stp>
        <stp>IDX</stp>
        <stp>F5X01T</stp>
        <stp>등락률</stp>
        <stp>45539</stp>
        <stp>Fill=true,Per=월</stp>
        <tr r="G276" s="2"/>
      </tp>
      <tp>
        <v>2.67</v>
        <stp/>
        <stp>P</stp>
        <stp>0</stp>
        <stp>IDX</stp>
        <stp>F5X03T</stp>
        <stp>등락률</stp>
        <stp>45539</stp>
        <stp>Fill=true,Per=월</stp>
        <tr r="G278" s="2"/>
      </tp>
      <tp>
        <v>1.8</v>
        <stp/>
        <stp>P</stp>
        <stp>0</stp>
        <stp>IDX</stp>
        <stp>F5X02T</stp>
        <stp>등락률</stp>
        <stp>45539</stp>
        <stp>Fill=true,Per=월</stp>
        <tr r="G277" s="2"/>
      </tp>
      <tp>
        <v>-1.81</v>
        <stp/>
        <stp>P</stp>
        <stp>0</stp>
        <stp>IDX</stp>
        <stp>F5X09T</stp>
        <stp>등락률</stp>
        <stp>45539</stp>
        <stp>Fill=true,Per=월</stp>
        <tr r="G284" s="2"/>
      </tp>
      <tp>
        <v>-1.41</v>
        <stp/>
        <stp>P</stp>
        <stp>0</stp>
        <stp>IDX</stp>
        <stp>F5X08T</stp>
        <stp>등락률</stp>
        <stp>45539</stp>
        <stp>Fill=true,Per=월</stp>
        <tr r="G283" s="2"/>
      </tp>
      <tp>
        <v>0</v>
        <stp/>
        <stp>P</stp>
        <stp>0</stp>
        <stp>IDX</stp>
        <stp>XGT11P</stp>
        <stp>누적거래량</stp>
        <stp>45539</stp>
        <stp>Fill=true,Per=월</stp>
        <tr r="H141" s="2"/>
      </tp>
      <tp>
        <v>121745</v>
        <stp/>
        <stp>P</stp>
        <stp>0</stp>
        <stp>IDX</stp>
        <stp>QGS18P</stp>
        <stp>누적거래량</stp>
        <stp>45539</stp>
        <stp>Fill=true,Per=월</stp>
        <tr r="H82" s="2"/>
      </tp>
      <tp>
        <v>6570</v>
        <stp/>
        <stp>P</stp>
        <stp>0</stp>
        <stp>IDX</stp>
        <stp>XGS11P</stp>
        <stp>누적거래량</stp>
        <stp>45539</stp>
        <stp>Fill=true,Per=월</stp>
        <tr r="H158" s="2"/>
      </tp>
      <tp>
        <v>37016</v>
        <stp/>
        <stp>P</stp>
        <stp>0</stp>
        <stp>IDX</stp>
        <stp>XGT12P</stp>
        <stp>누적거래량</stp>
        <stp>45539</stp>
        <stp>Fill=true,Per=월</stp>
        <tr r="H140" s="2"/>
      </tp>
      <tp>
        <v>15460</v>
        <stp/>
        <stp>P</stp>
        <stp>0</stp>
        <stp>IDX</stp>
        <stp>XGS12P</stp>
        <stp>누적거래량</stp>
        <stp>45539</stp>
        <stp>Fill=true,Per=월</stp>
        <tr r="H157" s="2"/>
      </tp>
      <tp>
        <v>13926</v>
        <stp/>
        <stp>P</stp>
        <stp>0</stp>
        <stp>IDX</stp>
        <stp>XGT13P</stp>
        <stp>누적거래량</stp>
        <stp>45539</stp>
        <stp>Fill=true,Per=월</stp>
        <tr r="H139" s="2"/>
      </tp>
      <tp>
        <v>15231</v>
        <stp/>
        <stp>P</stp>
        <stp>0</stp>
        <stp>IDX</stp>
        <stp>XGS13P</stp>
        <stp>누적거래량</stp>
        <stp>45539</stp>
        <stp>Fill=true,Per=월</stp>
        <tr r="H156" s="2"/>
      </tp>
      <tp>
        <v>50079</v>
        <stp/>
        <stp>P</stp>
        <stp>0</stp>
        <stp>IDX</stp>
        <stp>XGT14P</stp>
        <stp>누적거래량</stp>
        <stp>45539</stp>
        <stp>Fill=true,Per=월</stp>
        <tr r="H138" s="2"/>
      </tp>
      <tp>
        <v>7441</v>
        <stp/>
        <stp>P</stp>
        <stp>0</stp>
        <stp>IDX</stp>
        <stp>XGS14P</stp>
        <stp>누적거래량</stp>
        <stp>45539</stp>
        <stp>Fill=true,Per=월</stp>
        <tr r="H155" s="2"/>
      </tp>
      <tp>
        <v>18524</v>
        <stp/>
        <stp>P</stp>
        <stp>0</stp>
        <stp>IDX</stp>
        <stp>XGT15P</stp>
        <stp>누적거래량</stp>
        <stp>45539</stp>
        <stp>Fill=true,Per=월</stp>
        <tr r="H137" s="2"/>
      </tp>
      <tp>
        <v>14145</v>
        <stp/>
        <stp>P</stp>
        <stp>0</stp>
        <stp>IDX</stp>
        <stp>XGS15P</stp>
        <stp>누적거래량</stp>
        <stp>45539</stp>
        <stp>Fill=true,Per=월</stp>
        <tr r="H154" s="2"/>
      </tp>
      <tp>
        <v>73813</v>
        <stp/>
        <stp>P</stp>
        <stp>0</stp>
        <stp>IDX</stp>
        <stp>XGS16P</stp>
        <stp>누적거래량</stp>
        <stp>45539</stp>
        <stp>Fill=true,Per=월</stp>
        <tr r="H153" s="2"/>
      </tp>
      <tp>
        <v>9900</v>
        <stp/>
        <stp>P</stp>
        <stp>0</stp>
        <stp>IDX</stp>
        <stp>XGS17P</stp>
        <stp>누적거래량</stp>
        <stp>45539</stp>
        <stp>Fill=true,Per=월</stp>
        <tr r="H152" s="2"/>
      </tp>
      <tp>
        <v>-0.43</v>
        <stp/>
        <stp>P</stp>
        <stp>0</stp>
        <stp>IDX</stp>
        <stp>F5902T</stp>
        <stp>등락률</stp>
        <stp>45539</stp>
        <stp>Fill=true,Per=월</stp>
        <tr r="G274" s="2"/>
      </tp>
      <tp>
        <v>0</v>
        <stp/>
        <stp>P</stp>
        <stp>0</stp>
        <stp>IDX</stp>
        <stp>KGS06P</stp>
        <stp>저가</stp>
        <stp>45539</stp>
        <stp>Fill=true,Per=월</stp>
        <tr r="L89" s="2"/>
      </tp>
      <tp>
        <v>0</v>
        <stp/>
        <stp>P</stp>
        <stp>0</stp>
        <stp>IDX</stp>
        <stp>KGS16P</stp>
        <stp>저가</stp>
        <stp>45539</stp>
        <stp>Fill=true,Per=월</stp>
        <tr r="L79" s="2"/>
      </tp>
      <tp>
        <v>908.67</v>
        <stp/>
        <stp>P</stp>
        <stp>0</stp>
        <stp>IDX</stp>
        <stp>OG912P</stp>
        <stp>고가</stp>
        <stp>45539</stp>
        <stp>Fill=true,Per=월</stp>
        <tr r="K207" s="2"/>
      </tp>
      <tp>
        <v>4088.39</v>
        <stp/>
        <stp>P</stp>
        <stp>0</stp>
        <stp>IDX</stp>
        <stp>KGS06P</stp>
        <stp>시가</stp>
        <stp>45539</stp>
        <stp>Fill=true,Per=월</stp>
        <tr r="J89" s="2"/>
      </tp>
      <tp>
        <v>2231.61</v>
        <stp/>
        <stp>P</stp>
        <stp>0</stp>
        <stp>IDX</stp>
        <stp>KGS16P</stp>
        <stp>시가</stp>
        <stp>45539</stp>
        <stp>Fill=true,Per=월</stp>
        <tr r="J79" s="2"/>
      </tp>
      <tp>
        <v>0</v>
        <stp/>
        <stp>P</stp>
        <stp>0</stp>
        <stp>IDX</stp>
        <stp>MGA10P</stp>
        <stp>저가</stp>
        <stp>45539</stp>
        <stp>Fill=true,Per=월</stp>
        <tr r="L121" s="2"/>
      </tp>
      <tp>
        <v>1154.32</v>
        <stp/>
        <stp>P</stp>
        <stp>0</stp>
        <stp>IDX</stp>
        <stp>MGA10P</stp>
        <stp>시가</stp>
        <stp>45539</stp>
        <stp>Fill=true,Per=월</stp>
        <tr r="J121" s="2"/>
      </tp>
      <tp>
        <v>4095.02</v>
        <stp/>
        <stp>P</stp>
        <stp>0</stp>
        <stp>IDX</stp>
        <stp>KGS06P</stp>
        <stp>고가</stp>
        <stp>45539</stp>
        <stp>Fill=true,Per=월</stp>
        <tr r="K89" s="2"/>
      </tp>
      <tp>
        <v>2279.12</v>
        <stp/>
        <stp>P</stp>
        <stp>0</stp>
        <stp>IDX</stp>
        <stp>KGS16P</stp>
        <stp>고가</stp>
        <stp>45539</stp>
        <stp>Fill=true,Per=월</stp>
        <tr r="K79" s="2"/>
      </tp>
      <tp>
        <v>898.32</v>
        <stp/>
        <stp>P</stp>
        <stp>0</stp>
        <stp>IDX</stp>
        <stp>OG912P</stp>
        <stp>시가</stp>
        <stp>45539</stp>
        <stp>Fill=true,Per=월</stp>
        <tr r="J207" s="2"/>
      </tp>
      <tp>
        <v>0</v>
        <stp/>
        <stp>P</stp>
        <stp>0</stp>
        <stp>IDX</stp>
        <stp>OG912P</stp>
        <stp>저가</stp>
        <stp>45539</stp>
        <stp>Fill=true,Per=월</stp>
        <tr r="L207" s="2"/>
      </tp>
      <tp>
        <v>1155.9100000000001</v>
        <stp/>
        <stp>P</stp>
        <stp>0</stp>
        <stp>IDX</stp>
        <stp>MGA10P</stp>
        <stp>고가</stp>
        <stp>45539</stp>
        <stp>Fill=true,Per=월</stp>
        <tr r="K121" s="2"/>
      </tp>
      <tp>
        <v>828.53</v>
        <stp/>
        <stp>P</stp>
        <stp>0</stp>
        <stp>IDX</stp>
        <stp>K2X06P</stp>
        <stp>시가</stp>
        <stp>45539</stp>
        <stp>Fill=true,Per=월</stp>
        <tr r="J43" s="2"/>
      </tp>
      <tp>
        <v>0</v>
        <stp/>
        <stp>P</stp>
        <stp>0</stp>
        <stp>IDX</stp>
        <stp>K2S06P</stp>
        <stp>저가</stp>
        <stp>45539</stp>
        <stp>Fill=true,Per=월</stp>
        <tr r="L42" s="2"/>
      </tp>
      <tp>
        <v>361.82</v>
        <stp/>
        <stp>P</stp>
        <stp>0</stp>
        <stp>IDX</stp>
        <stp>O2902P</stp>
        <stp>고가</stp>
        <stp>45539</stp>
        <stp>Fill=true,Per=월</stp>
        <tr r="K109" s="2"/>
      </tp>
      <tp>
        <v>0</v>
        <stp/>
        <stp>P</stp>
        <stp>0</stp>
        <stp>IDX</stp>
        <stp>K2X06P</stp>
        <stp>저가</stp>
        <stp>45539</stp>
        <stp>Fill=true,Per=월</stp>
        <tr r="L43" s="2"/>
      </tp>
      <tp>
        <v>1620.58</v>
        <stp/>
        <stp>P</stp>
        <stp>0</stp>
        <stp>IDX</stp>
        <stp>K2S06P</stp>
        <stp>시가</stp>
        <stp>45539</stp>
        <stp>Fill=true,Per=월</stp>
        <tr r="J42" s="2"/>
      </tp>
      <tp>
        <v>0</v>
        <stp/>
        <stp>P</stp>
        <stp>0</stp>
        <stp>IDX</stp>
        <stp>K2G06P</stp>
        <stp>저가</stp>
        <stp>45539</stp>
        <stp>Fill=true,Per=월</stp>
        <tr r="L355" s="2"/>
      </tp>
      <tp>
        <v>362.05</v>
        <stp/>
        <stp>P</stp>
        <stp>0</stp>
        <stp>IDX</stp>
        <stp>K2G06P</stp>
        <stp>시가</stp>
        <stp>45539</stp>
        <stp>Fill=true,Per=월</stp>
        <tr r="J355" s="2"/>
      </tp>
      <tp>
        <v>1623.45</v>
        <stp/>
        <stp>P</stp>
        <stp>0</stp>
        <stp>IDX</stp>
        <stp>K2S06P</stp>
        <stp>고가</stp>
        <stp>45539</stp>
        <stp>Fill=true,Per=월</stp>
        <tr r="K42" s="2"/>
      </tp>
      <tp>
        <v>359.74</v>
        <stp/>
        <stp>P</stp>
        <stp>0</stp>
        <stp>IDX</stp>
        <stp>O2902P</stp>
        <stp>시가</stp>
        <stp>45539</stp>
        <stp>Fill=true,Per=월</stp>
        <tr r="J109" s="2"/>
      </tp>
      <tp>
        <v>831.39</v>
        <stp/>
        <stp>P</stp>
        <stp>0</stp>
        <stp>IDX</stp>
        <stp>K2X06P</stp>
        <stp>고가</stp>
        <stp>45539</stp>
        <stp>Fill=true,Per=월</stp>
        <tr r="K43" s="2"/>
      </tp>
      <tp>
        <v>0</v>
        <stp/>
        <stp>P</stp>
        <stp>0</stp>
        <stp>IDX</stp>
        <stp>O2902P</stp>
        <stp>저가</stp>
        <stp>45539</stp>
        <stp>Fill=true,Per=월</stp>
        <tr r="L109" s="2"/>
      </tp>
      <tp>
        <v>363.36</v>
        <stp/>
        <stp>P</stp>
        <stp>0</stp>
        <stp>IDX</stp>
        <stp>K2G06P</stp>
        <stp>고가</stp>
        <stp>45539</stp>
        <stp>Fill=true,Per=월</stp>
        <tr r="K355" s="2"/>
      </tp>
      <tp>
        <v>0</v>
        <stp/>
        <stp>P</stp>
        <stp>0</stp>
        <stp>IDX</stp>
        <stp>K2S06T</stp>
        <stp>저가</stp>
        <stp>45539</stp>
        <stp>Fill=true,Per=월</stp>
        <tr r="L368" s="2"/>
      </tp>
      <tp>
        <v>2083.86</v>
        <stp/>
        <stp>P</stp>
        <stp>0</stp>
        <stp>IDX</stp>
        <stp>K2S06T</stp>
        <stp>시가</stp>
        <stp>45539</stp>
        <stp>Fill=true,Per=월</stp>
        <tr r="J368" s="2"/>
      </tp>
      <tp>
        <v>0</v>
        <stp/>
        <stp>P</stp>
        <stp>0</stp>
        <stp>IDX</stp>
        <stp>K2G06T</stp>
        <stp>저가</stp>
        <stp>45539</stp>
        <stp>Fill=true,Per=월</stp>
        <tr r="L356" s="2"/>
      </tp>
      <tp>
        <v>463.09</v>
        <stp/>
        <stp>P</stp>
        <stp>0</stp>
        <stp>IDX</stp>
        <stp>K2G06T</stp>
        <stp>시가</stp>
        <stp>45539</stp>
        <stp>Fill=true,Per=월</stp>
        <tr r="J356" s="2"/>
      </tp>
      <tp>
        <v>2087.46</v>
        <stp/>
        <stp>P</stp>
        <stp>0</stp>
        <stp>IDX</stp>
        <stp>K2S06T</stp>
        <stp>고가</stp>
        <stp>45539</stp>
        <stp>Fill=true,Per=월</stp>
        <tr r="K368" s="2"/>
      </tp>
      <tp>
        <v>464.74</v>
        <stp/>
        <stp>P</stp>
        <stp>0</stp>
        <stp>IDX</stp>
        <stp>K2G06T</stp>
        <stp>고가</stp>
        <stp>45539</stp>
        <stp>Fill=true,Per=월</stp>
        <tr r="K356" s="2"/>
      </tp>
      <tp>
        <v>0</v>
        <stp/>
        <stp>P</stp>
        <stp>0</stp>
        <stp>IDX</stp>
        <stp>K2G06N</stp>
        <stp>저가</stp>
        <stp>45539</stp>
        <stp>Fill=true,Per=월</stp>
        <tr r="L354" s="2"/>
      </tp>
      <tp>
        <v>445.74</v>
        <stp/>
        <stp>P</stp>
        <stp>0</stp>
        <stp>IDX</stp>
        <stp>K2G06N</stp>
        <stp>시가</stp>
        <stp>45539</stp>
        <stp>Fill=true,Per=월</stp>
        <tr r="J354" s="2"/>
      </tp>
      <tp>
        <v>447.33</v>
        <stp/>
        <stp>P</stp>
        <stp>0</stp>
        <stp>IDX</stp>
        <stp>K2G06N</stp>
        <stp>고가</stp>
        <stp>45539</stp>
        <stp>Fill=true,Per=월</stp>
        <tr r="K354" s="2"/>
      </tp>
      <tp>
        <v>0</v>
        <stp/>
        <stp>P</stp>
        <stp>0</stp>
        <stp>IDX</stp>
        <stp>F2X26P</stp>
        <stp>누적거래량</stp>
        <stp>45539</stp>
        <stp>Fill=true,Per=월</stp>
        <tr r="H250" s="2"/>
      </tp>
      <tp>
        <v>0</v>
        <stp/>
        <stp>P</stp>
        <stp>0</stp>
        <stp>IDX</stp>
        <stp>F2X27P</stp>
        <stp>누적거래량</stp>
        <stp>45539</stp>
        <stp>Fill=true,Per=월</stp>
        <tr r="H251" s="2"/>
      </tp>
      <tp>
        <v>0</v>
        <stp/>
        <stp>P</stp>
        <stp>0</stp>
        <stp>IDX</stp>
        <stp>F2X24P</stp>
        <stp>누적거래량</stp>
        <stp>45539</stp>
        <stp>Fill=true,Per=월</stp>
        <tr r="H248" s="2"/>
      </tp>
      <tp>
        <v>1.23</v>
        <stp/>
        <stp>P</stp>
        <stp>0</stp>
        <stp>IDX</stp>
        <stp>K2B01P</stp>
        <stp>등락률</stp>
        <stp>45539</stp>
        <stp>Fill=true,Per=월</stp>
        <tr r="G23" s="2"/>
      </tp>
      <tp>
        <v>-0.55000000000000004</v>
        <stp/>
        <stp>P</stp>
        <stp>0</stp>
        <stp>IDX</stp>
        <stp>K2B03P</stp>
        <stp>등락률</stp>
        <stp>45539</stp>
        <stp>Fill=true,Per=월</stp>
        <tr r="G344" s="2"/>
      </tp>
      <tp>
        <v>0</v>
        <stp/>
        <stp>P</stp>
        <stp>0</stp>
        <stp>IDX</stp>
        <stp>F2X25P</stp>
        <stp>누적거래량</stp>
        <stp>45539</stp>
        <stp>Fill=true,Per=월</stp>
        <tr r="H249" s="2"/>
      </tp>
      <tp>
        <v>0</v>
        <stp/>
        <stp>P</stp>
        <stp>0</stp>
        <stp>IDX</stp>
        <stp>F2X22P</stp>
        <stp>누적거래량</stp>
        <stp>45539</stp>
        <stp>Fill=true,Per=월</stp>
        <tr r="H246" s="2"/>
      </tp>
      <tp>
        <v>1.3</v>
        <stp/>
        <stp>P</stp>
        <stp>0</stp>
        <stp>IDX</stp>
        <stp>K2D01P</stp>
        <stp>등락률</stp>
        <stp>45539</stp>
        <stp>Fill=true,Per=월</stp>
        <tr r="G345" s="2"/>
      </tp>
      <tp>
        <v>1.1100000000000001</v>
        <stp/>
        <stp>P</stp>
        <stp>0</stp>
        <stp>IDX</stp>
        <stp>K2D02P</stp>
        <stp>등락률</stp>
        <stp>45539</stp>
        <stp>Fill=true,Per=월</stp>
        <tr r="G346" s="2"/>
      </tp>
      <tp>
        <v>0</v>
        <stp/>
        <stp>P</stp>
        <stp>0</stp>
        <stp>IDX</stp>
        <stp>F2X23P</stp>
        <stp>누적거래량</stp>
        <stp>45539</stp>
        <stp>Fill=true,Per=월</stp>
        <tr r="H247" s="2"/>
      </tp>
      <tp>
        <v>-0.12</v>
        <stp/>
        <stp>P</stp>
        <stp>0</stp>
        <stp>IDX</stp>
        <stp>K2E01P</stp>
        <stp>등락률</stp>
        <stp>45539</stp>
        <stp>Fill=true,Per=월</stp>
        <tr r="G348" s="2"/>
      </tp>
      <tp>
        <v>-0.24</v>
        <stp/>
        <stp>P</stp>
        <stp>0</stp>
        <stp>IDX</stp>
        <stp>K2E02P</stp>
        <stp>등락률</stp>
        <stp>45539</stp>
        <stp>Fill=true,Per=월</stp>
        <tr r="G349" s="2"/>
      </tp>
      <tp>
        <v>0</v>
        <stp/>
        <stp>P</stp>
        <stp>0</stp>
        <stp>IDX</stp>
        <stp>F2X20P</stp>
        <stp>누적거래량</stp>
        <stp>45539</stp>
        <stp>Fill=true,Per=월</stp>
        <tr r="H244" s="2"/>
      </tp>
      <tp>
        <v>0</v>
        <stp/>
        <stp>P</stp>
        <stp>0</stp>
        <stp>IDX</stp>
        <stp>F2X21P</stp>
        <stp>누적거래량</stp>
        <stp>45539</stp>
        <stp>Fill=true,Per=월</stp>
        <tr r="H245" s="2"/>
      </tp>
      <tp>
        <v>-0.53</v>
        <stp/>
        <stp>P</stp>
        <stp>0</stp>
        <stp>IDX</stp>
        <stp>K2G10P</stp>
        <stp>등락률</stp>
        <stp>45539</stp>
        <stp>Fill=true,Per=월</stp>
        <tr r="G361" s="2"/>
      </tp>
      <tp>
        <v>-0.64</v>
        <stp/>
        <stp>P</stp>
        <stp>0</stp>
        <stp>IDX</stp>
        <stp>K2G08P</stp>
        <stp>등락률</stp>
        <stp>45539</stp>
        <stp>Fill=true,Per=월</stp>
        <tr r="G358" s="2"/>
      </tp>
      <tp>
        <v>-0.98</v>
        <stp/>
        <stp>P</stp>
        <stp>0</stp>
        <stp>IDX</stp>
        <stp>F2G01P</stp>
        <stp>등락률</stp>
        <stp>45539</stp>
        <stp>Fill=true,Per=월</stp>
        <tr r="G212" s="2"/>
      </tp>
      <tp>
        <v>-0.99</v>
        <stp/>
        <stp>P</stp>
        <stp>0</stp>
        <stp>IDX</stp>
        <stp>F2G02P</stp>
        <stp>등락률</stp>
        <stp>45539</stp>
        <stp>Fill=true,Per=월</stp>
        <tr r="G213" s="2"/>
      </tp>
      <tp>
        <v>-0.76</v>
        <stp/>
        <stp>P</stp>
        <stp>0</stp>
        <stp>IDX</stp>
        <stp>K2G01P</stp>
        <stp>등락률</stp>
        <stp>45539</stp>
        <stp>Fill=true,Per=월</stp>
        <tr r="G12" s="2"/>
      </tp>
      <tp>
        <v>-0.71</v>
        <stp/>
        <stp>P</stp>
        <stp>0</stp>
        <stp>IDX</stp>
        <stp>K2G02P</stp>
        <stp>등락률</stp>
        <stp>45539</stp>
        <stp>Fill=true,Per=월</stp>
        <tr r="G18" s="2"/>
      </tp>
      <tp>
        <v>-0.74</v>
        <stp/>
        <stp>P</stp>
        <stp>0</stp>
        <stp>IDX</stp>
        <stp>K2G03P</stp>
        <stp>등락률</stp>
        <stp>45539</stp>
        <stp>Fill=true,Per=월</stp>
        <tr r="G21" s="2"/>
      </tp>
      <tp>
        <v>-0.12</v>
        <stp/>
        <stp>P</stp>
        <stp>0</stp>
        <stp>IDX</stp>
        <stp>K2G04P</stp>
        <stp>등락률</stp>
        <stp>45539</stp>
        <stp>Fill=true,Per=월</stp>
        <tr r="G352" s="2"/>
      </tp>
      <tp>
        <v>-7.0000000000000007E-2</v>
        <stp/>
        <stp>P</stp>
        <stp>0</stp>
        <stp>IDX</stp>
        <stp>K2G05P</stp>
        <stp>등락률</stp>
        <stp>45539</stp>
        <stp>Fill=true,Per=월</stp>
        <tr r="G353" s="2"/>
      </tp>
      <tp>
        <v>-0.75</v>
        <stp/>
        <stp>P</stp>
        <stp>0</stp>
        <stp>IDX</stp>
        <stp>K2G06P</stp>
        <stp>등락률</stp>
        <stp>45539</stp>
        <stp>Fill=true,Per=월</stp>
        <tr r="G355" s="2"/>
      </tp>
      <tp>
        <v>89168</v>
        <stp/>
        <stp>P</stp>
        <stp>0</stp>
        <stp>IDX</stp>
        <stp>KGS22P</stp>
        <stp>누적거래량</stp>
        <stp>45539</stp>
        <stp>Fill=true,Per=월</stp>
        <tr r="H44" s="2"/>
      </tp>
      <tp>
        <v>5353</v>
        <stp/>
        <stp>P</stp>
        <stp>0</stp>
        <stp>IDX</stp>
        <stp>KGS21P</stp>
        <stp>누적거래량</stp>
        <stp>45539</stp>
        <stp>Fill=true,Per=월</stp>
        <tr r="H78" s="2"/>
      </tp>
      <tp>
        <v>8836</v>
        <stp/>
        <stp>P</stp>
        <stp>0</stp>
        <stp>IDX</stp>
        <stp>KGS20P</stp>
        <stp>누적거래량</stp>
        <stp>45539</stp>
        <stp>Fill=true,Per=월</stp>
        <tr r="H81" s="2"/>
      </tp>
      <tp>
        <v>0</v>
        <stp/>
        <stp>P</stp>
        <stp>0</stp>
        <stp>IDX</stp>
        <stp>F2X28P</stp>
        <stp>누적거래량</stp>
        <stp>45539</stp>
        <stp>Fill=true,Per=월</stp>
        <tr r="H252" s="2"/>
      </tp>
      <tp>
        <v>0</v>
        <stp/>
        <stp>P</stp>
        <stp>0</stp>
        <stp>IDX</stp>
        <stp>F2X29P</stp>
        <stp>누적거래량</stp>
        <stp>45539</stp>
        <stp>Fill=true,Per=월</stp>
        <tr r="H253" s="2"/>
      </tp>
      <tp>
        <v>29044</v>
        <stp/>
        <stp>P</stp>
        <stp>0</stp>
        <stp>IDX</stp>
        <stp>QGS20P</stp>
        <stp>누적거래량</stp>
        <stp>45539</stp>
        <stp>Fill=true,Per=월</stp>
        <tr r="H97" s="2"/>
      </tp>
      <tp>
        <v>1.57</v>
        <stp/>
        <stp>P</stp>
        <stp>0</stp>
        <stp>IDX</stp>
        <stp>F2S10P</stp>
        <stp>등락률</stp>
        <stp>45539</stp>
        <stp>Fill=true,Per=월</stp>
        <tr r="G223" s="2"/>
      </tp>
      <tp>
        <v>0.96</v>
        <stp/>
        <stp>P</stp>
        <stp>0</stp>
        <stp>IDX</stp>
        <stp>K2S10P</stp>
        <stp>등락률</stp>
        <stp>45539</stp>
        <stp>Fill=true,Per=월</stp>
        <tr r="G59" s="2"/>
      </tp>
      <tp>
        <v>-0.56000000000000005</v>
        <stp/>
        <stp>P</stp>
        <stp>0</stp>
        <stp>IDX</stp>
        <stp>K2S11P</stp>
        <stp>등락률</stp>
        <stp>45539</stp>
        <stp>Fill=true,Per=월</stp>
        <tr r="G54" s="2"/>
      </tp>
      <tp>
        <v>0.93</v>
        <stp/>
        <stp>P</stp>
        <stp>0</stp>
        <stp>IDX</stp>
        <stp>F2S05P</stp>
        <stp>등락률</stp>
        <stp>45539</stp>
        <stp>Fill=true,Per=월</stp>
        <tr r="G218" s="2"/>
      </tp>
      <tp>
        <v>-3.1</v>
        <stp/>
        <stp>P</stp>
        <stp>0</stp>
        <stp>IDX</stp>
        <stp>K2S08P</stp>
        <stp>등락률</stp>
        <stp>45539</stp>
        <stp>Fill=true,Per=월</stp>
        <tr r="G55" s="2"/>
      </tp>
      <tp>
        <v>-3.89</v>
        <stp/>
        <stp>P</stp>
        <stp>0</stp>
        <stp>IDX</stp>
        <stp>F2S04P</stp>
        <stp>등락률</stp>
        <stp>45539</stp>
        <stp>Fill=true,Per=월</stp>
        <tr r="G217" s="2"/>
      </tp>
      <tp>
        <v>3.77</v>
        <stp/>
        <stp>P</stp>
        <stp>0</stp>
        <stp>IDX</stp>
        <stp>K2S09P</stp>
        <stp>등락률</stp>
        <stp>45539</stp>
        <stp>Fill=true,Per=월</stp>
        <tr r="G68" s="2"/>
      </tp>
      <tp>
        <v>-1.73</v>
        <stp/>
        <stp>P</stp>
        <stp>0</stp>
        <stp>IDX</stp>
        <stp>F2S07P</stp>
        <stp>등락률</stp>
        <stp>45539</stp>
        <stp>Fill=true,Per=월</stp>
        <tr r="G220" s="2"/>
      </tp>
      <tp>
        <v>-2.52</v>
        <stp/>
        <stp>P</stp>
        <stp>0</stp>
        <stp>IDX</stp>
        <stp>F2S06P</stp>
        <stp>등락률</stp>
        <stp>45539</stp>
        <stp>Fill=true,Per=월</stp>
        <tr r="G219" s="2"/>
      </tp>
      <tp>
        <v>1.0900000000000001</v>
        <stp/>
        <stp>P</stp>
        <stp>0</stp>
        <stp>IDX</stp>
        <stp>F2S01P</stp>
        <stp>등락률</stp>
        <stp>45539</stp>
        <stp>Fill=true,Per=월</stp>
        <tr r="G214" s="2"/>
      </tp>
      <tp>
        <v>1.91</v>
        <stp/>
        <stp>P</stp>
        <stp>0</stp>
        <stp>IDX</stp>
        <stp>F2S03P</stp>
        <stp>등락률</stp>
        <stp>45539</stp>
        <stp>Fill=true,Per=월</stp>
        <tr r="G216" s="2"/>
      </tp>
      <tp>
        <v>0.12</v>
        <stp/>
        <stp>P</stp>
        <stp>0</stp>
        <stp>IDX</stp>
        <stp>F2S02P</stp>
        <stp>등락률</stp>
        <stp>45539</stp>
        <stp>Fill=true,Per=월</stp>
        <tr r="G215" s="2"/>
      </tp>
      <tp>
        <v>-1.52</v>
        <stp/>
        <stp>P</stp>
        <stp>0</stp>
        <stp>IDX</stp>
        <stp>K2S01P</stp>
        <stp>등락률</stp>
        <stp>45539</stp>
        <stp>Fill=true,Per=월</stp>
        <tr r="G47" s="2"/>
      </tp>
      <tp>
        <v>0.98</v>
        <stp/>
        <stp>P</stp>
        <stp>0</stp>
        <stp>IDX</stp>
        <stp>K2S02P</stp>
        <stp>등락률</stp>
        <stp>45539</stp>
        <stp>Fill=true,Per=월</stp>
        <tr r="G72" s="2"/>
      </tp>
      <tp>
        <v>2.29</v>
        <stp/>
        <stp>P</stp>
        <stp>0</stp>
        <stp>IDX</stp>
        <stp>K2S03P</stp>
        <stp>등락률</stp>
        <stp>45539</stp>
        <stp>Fill=true,Per=월</stp>
        <tr r="G32" s="2"/>
      </tp>
      <tp>
        <v>3.88</v>
        <stp/>
        <stp>P</stp>
        <stp>0</stp>
        <stp>IDX</stp>
        <stp>F2S09P</stp>
        <stp>등락률</stp>
        <stp>45539</stp>
        <stp>Fill=true,Per=월</stp>
        <tr r="G222" s="2"/>
      </tp>
      <tp>
        <v>1.92</v>
        <stp/>
        <stp>P</stp>
        <stp>0</stp>
        <stp>IDX</stp>
        <stp>K2S04P</stp>
        <stp>등락률</stp>
        <stp>45539</stp>
        <stp>Fill=true,Per=월</stp>
        <tr r="G38" s="2"/>
      </tp>
      <tp>
        <v>0.75</v>
        <stp/>
        <stp>P</stp>
        <stp>0</stp>
        <stp>IDX</stp>
        <stp>F2S08P</stp>
        <stp>등락률</stp>
        <stp>45539</stp>
        <stp>Fill=true,Per=월</stp>
        <tr r="G221" s="2"/>
      </tp>
      <tp>
        <v>1.1100000000000001</v>
        <stp/>
        <stp>P</stp>
        <stp>0</stp>
        <stp>IDX</stp>
        <stp>K2S05P</stp>
        <stp>등락률</stp>
        <stp>45539</stp>
        <stp>Fill=true,Per=월</stp>
        <tr r="G51" s="2"/>
      </tp>
      <tp>
        <v>-3.07</v>
        <stp/>
        <stp>P</stp>
        <stp>0</stp>
        <stp>IDX</stp>
        <stp>K2S06P</stp>
        <stp>등락률</stp>
        <stp>45539</stp>
        <stp>Fill=true,Per=월</stp>
        <tr r="G42" s="2"/>
      </tp>
      <tp>
        <v>0.27</v>
        <stp/>
        <stp>P</stp>
        <stp>0</stp>
        <stp>IDX</stp>
        <stp>K2S07P</stp>
        <stp>등락률</stp>
        <stp>45539</stp>
        <stp>Fill=true,Per=월</stp>
        <tr r="G25" s="2"/>
      </tp>
      <tp>
        <v>1.28</v>
        <stp/>
        <stp>P</stp>
        <stp>0</stp>
        <stp>IDX</stp>
        <stp>G2T01P</stp>
        <stp>등락률</stp>
        <stp>45539</stp>
        <stp>Fill=true,Per=월</stp>
        <tr r="G329" s="2"/>
      </tp>
      <tp>
        <v>-0.18</v>
        <stp/>
        <stp>P</stp>
        <stp>0</stp>
        <stp>IDX</stp>
        <stp>K2T01P</stp>
        <stp>등락률</stp>
        <stp>45539</stp>
        <stp>Fill=true,Per=월</stp>
        <tr r="G374" s="2"/>
      </tp>
      <tp>
        <v>-0.35</v>
        <stp/>
        <stp>P</stp>
        <stp>0</stp>
        <stp>IDX</stp>
        <stp>F2V02P</stp>
        <stp>등락률</stp>
        <stp>45539</stp>
        <stp>Fill=true,Per=월</stp>
        <tr r="G224" s="2"/>
      </tp>
      <tp>
        <v>-0.06</v>
        <stp/>
        <stp>P</stp>
        <stp>0</stp>
        <stp>IDX</stp>
        <stp>K2V01P</stp>
        <stp>등락률</stp>
        <stp>45539</stp>
        <stp>Fill=true,Per=월</stp>
        <tr r="G375" s="2"/>
      </tp>
      <tp>
        <v>-0.1</v>
        <stp/>
        <stp>P</stp>
        <stp>0</stp>
        <stp>IDX</stp>
        <stp>K2V02P</stp>
        <stp>등락률</stp>
        <stp>45539</stp>
        <stp>Fill=true,Per=월</stp>
        <tr r="G376" s="2"/>
      </tp>
      <tp>
        <v>-0.14000000000000001</v>
        <stp/>
        <stp>P</stp>
        <stp>0</stp>
        <stp>IDX</stp>
        <stp>K2V03P</stp>
        <stp>등락률</stp>
        <stp>45539</stp>
        <stp>Fill=true,Per=월</stp>
        <tr r="G377" s="2"/>
      </tp>
      <tp>
        <v>-0.17</v>
        <stp/>
        <stp>P</stp>
        <stp>0</stp>
        <stp>IDX</stp>
        <stp>K2V04P</stp>
        <stp>등락률</stp>
        <stp>45539</stp>
        <stp>Fill=true,Per=월</stp>
        <tr r="G378" s="2"/>
      </tp>
      <tp>
        <v>0.17</v>
        <stp/>
        <stp>P</stp>
        <stp>0</stp>
        <stp>IDX</stp>
        <stp>K2W01P</stp>
        <stp>등락률</stp>
        <stp>45539</stp>
        <stp>Fill=true,Per=월</stp>
        <tr r="G11" s="2"/>
      </tp>
      <tp>
        <v>0.59</v>
        <stp/>
        <stp>P</stp>
        <stp>0</stp>
        <stp>IDX</stp>
        <stp>K2W02P</stp>
        <stp>등락률</stp>
        <stp>45539</stp>
        <stp>Fill=true,Per=월</stp>
        <tr r="G17" s="2"/>
      </tp>
      <tp>
        <v>0.8</v>
        <stp/>
        <stp>P</stp>
        <stp>0</stp>
        <stp>IDX</stp>
        <stp>K2W03P</stp>
        <stp>등락률</stp>
        <stp>45539</stp>
        <stp>Fill=true,Per=월</stp>
        <tr r="G20" s="2"/>
      </tp>
      <tp>
        <v>-0.83</v>
        <stp/>
        <stp>P</stp>
        <stp>0</stp>
        <stp>IDX</stp>
        <stp>K2W04P</stp>
        <stp>등락률</stp>
        <stp>45539</stp>
        <stp>Fill=true,Per=월</stp>
        <tr r="G209" s="2"/>
      </tp>
      <tp>
        <v>-5.01</v>
        <stp/>
        <stp>P</stp>
        <stp>0</stp>
        <stp>IDX</stp>
        <stp>F2X15P</stp>
        <stp>등락률</stp>
        <stp>45539</stp>
        <stp>Fill=true,Per=월</stp>
        <tr r="G239" s="2"/>
      </tp>
      <tp>
        <v>1.87</v>
        <stp/>
        <stp>P</stp>
        <stp>0</stp>
        <stp>IDX</stp>
        <stp>F2X14P</stp>
        <stp>등락률</stp>
        <stp>45539</stp>
        <stp>Fill=true,Per=월</stp>
        <tr r="G238" s="2"/>
      </tp>
      <tp>
        <v>1.51</v>
        <stp/>
        <stp>P</stp>
        <stp>0</stp>
        <stp>IDX</stp>
        <stp>F2X17P</stp>
        <stp>등락률</stp>
        <stp>45539</stp>
        <stp>Fill=true,Per=월</stp>
        <tr r="G241" s="2"/>
      </tp>
      <tp>
        <v>-3.44</v>
        <stp/>
        <stp>P</stp>
        <stp>0</stp>
        <stp>IDX</stp>
        <stp>F2X16P</stp>
        <stp>등락률</stp>
        <stp>45539</stp>
        <stp>Fill=true,Per=월</stp>
        <tr r="G240" s="2"/>
      </tp>
      <tp>
        <v>0.26</v>
        <stp/>
        <stp>P</stp>
        <stp>0</stp>
        <stp>IDX</stp>
        <stp>F2X11P</stp>
        <stp>등락률</stp>
        <stp>45539</stp>
        <stp>Fill=true,Per=월</stp>
        <tr r="G235" s="2"/>
      </tp>
      <tp>
        <v>2.2200000000000002</v>
        <stp/>
        <stp>P</stp>
        <stp>0</stp>
        <stp>IDX</stp>
        <stp>F2X10P</stp>
        <stp>등락률</stp>
        <stp>45539</stp>
        <stp>Fill=true,Per=월</stp>
        <tr r="G234" s="2"/>
      </tp>
      <tp>
        <v>-7.68</v>
        <stp/>
        <stp>P</stp>
        <stp>0</stp>
        <stp>IDX</stp>
        <stp>F2X13P</stp>
        <stp>등락률</stp>
        <stp>45539</stp>
        <stp>Fill=true,Per=월</stp>
        <tr r="G237" s="2"/>
      </tp>
      <tp>
        <v>3.86</v>
        <stp/>
        <stp>P</stp>
        <stp>0</stp>
        <stp>IDX</stp>
        <stp>F2X12P</stp>
        <stp>등락률</stp>
        <stp>45539</stp>
        <stp>Fill=true,Per=월</stp>
        <tr r="G236" s="2"/>
      </tp>
      <tp>
        <v>-1.72</v>
        <stp/>
        <stp>P</stp>
        <stp>0</stp>
        <stp>IDX</stp>
        <stp>K2X11P</stp>
        <stp>등락률</stp>
        <stp>45539</stp>
        <stp>Fill=true,Per=월</stp>
        <tr r="G380" s="2"/>
      </tp>
      <tp>
        <v>3.17</v>
        <stp/>
        <stp>P</stp>
        <stp>0</stp>
        <stp>IDX</stp>
        <stp>F2X19P</stp>
        <stp>등락률</stp>
        <stp>45539</stp>
        <stp>Fill=true,Per=월</stp>
        <tr r="G243" s="2"/>
      </tp>
      <tp>
        <v>7.83</v>
        <stp/>
        <stp>P</stp>
        <stp>0</stp>
        <stp>IDX</stp>
        <stp>F2X18P</stp>
        <stp>등락률</stp>
        <stp>45539</stp>
        <stp>Fill=true,Per=월</stp>
        <tr r="G242" s="2"/>
      </tp>
      <tp>
        <v>-6.24</v>
        <stp/>
        <stp>P</stp>
        <stp>0</stp>
        <stp>IDX</stp>
        <stp>K2X08P</stp>
        <stp>등락률</stp>
        <stp>45539</stp>
        <stp>Fill=true,Per=월</stp>
        <tr r="G56" s="2"/>
      </tp>
      <tp>
        <v>2.95</v>
        <stp/>
        <stp>P</stp>
        <stp>0</stp>
        <stp>IDX</stp>
        <stp>F2X04P</stp>
        <stp>등락률</stp>
        <stp>45539</stp>
        <stp>Fill=true,Per=월</stp>
        <tr r="G228" s="2"/>
      </tp>
      <tp>
        <v>-3.1</v>
        <stp/>
        <stp>P</stp>
        <stp>0</stp>
        <stp>IDX</stp>
        <stp>K2X09P</stp>
        <stp>등락률</stp>
        <stp>45539</stp>
        <stp>Fill=true,Per=월</stp>
        <tr r="G48" s="2"/>
      </tp>
      <tp>
        <v>-1.94</v>
        <stp/>
        <stp>P</stp>
        <stp>0</stp>
        <stp>IDX</stp>
        <stp>F2X07P</stp>
        <stp>등락률</stp>
        <stp>45539</stp>
        <stp>Fill=true,Per=월</stp>
        <tr r="G231" s="2"/>
      </tp>
      <tp>
        <v>-1.25</v>
        <stp/>
        <stp>P</stp>
        <stp>0</stp>
        <stp>IDX</stp>
        <stp>F2X06P</stp>
        <stp>등락률</stp>
        <stp>45539</stp>
        <stp>Fill=true,Per=월</stp>
        <tr r="G230" s="2"/>
      </tp>
      <tp>
        <v>-1.93</v>
        <stp/>
        <stp>P</stp>
        <stp>0</stp>
        <stp>IDX</stp>
        <stp>F2X01P</stp>
        <stp>등락률</stp>
        <stp>45539</stp>
        <stp>Fill=true,Per=월</stp>
        <tr r="G225" s="2"/>
      </tp>
      <tp>
        <v>1.99</v>
        <stp/>
        <stp>P</stp>
        <stp>0</stp>
        <stp>IDX</stp>
        <stp>F2X03P</stp>
        <stp>등락률</stp>
        <stp>45539</stp>
        <stp>Fill=true,Per=월</stp>
        <tr r="G227" s="2"/>
      </tp>
      <tp>
        <v>1.01</v>
        <stp/>
        <stp>P</stp>
        <stp>0</stp>
        <stp>IDX</stp>
        <stp>F2X02P</stp>
        <stp>등락률</stp>
        <stp>45539</stp>
        <stp>Fill=true,Per=월</stp>
        <tr r="G226" s="2"/>
      </tp>
      <tp>
        <v>-1.56</v>
        <stp/>
        <stp>P</stp>
        <stp>0</stp>
        <stp>IDX</stp>
        <stp>K2X01P</stp>
        <stp>등락률</stp>
        <stp>45539</stp>
        <stp>Fill=true,Per=월</stp>
        <tr r="G13" s="2"/>
      </tp>
      <tp>
        <v>2.1800000000000002</v>
        <stp/>
        <stp>P</stp>
        <stp>0</stp>
        <stp>IDX</stp>
        <stp>K2X02P</stp>
        <stp>등락률</stp>
        <stp>45539</stp>
        <stp>Fill=true,Per=월</stp>
        <tr r="G50" s="2"/>
      </tp>
      <tp>
        <v>0.47</v>
        <stp/>
        <stp>P</stp>
        <stp>0</stp>
        <stp>IDX</stp>
        <stp>K2X03P</stp>
        <stp>등락률</stp>
        <stp>45539</stp>
        <stp>Fill=true,Per=월</stp>
        <tr r="G24" s="2"/>
      </tp>
      <tp>
        <v>2.0099999999999998</v>
        <stp/>
        <stp>P</stp>
        <stp>0</stp>
        <stp>IDX</stp>
        <stp>F2X09P</stp>
        <stp>등락률</stp>
        <stp>45539</stp>
        <stp>Fill=true,Per=월</stp>
        <tr r="G233" s="2"/>
      </tp>
      <tp>
        <v>1.02</v>
        <stp/>
        <stp>P</stp>
        <stp>0</stp>
        <stp>IDX</stp>
        <stp>F2X08P</stp>
        <stp>등락률</stp>
        <stp>45539</stp>
        <stp>Fill=true,Per=월</stp>
        <tr r="G232" s="2"/>
      </tp>
      <tp>
        <v>4.5599999999999996</v>
        <stp/>
        <stp>P</stp>
        <stp>0</stp>
        <stp>IDX</stp>
        <stp>K2X05P</stp>
        <stp>등락률</stp>
        <stp>45539</stp>
        <stp>Fill=true,Per=월</stp>
        <tr r="G31" s="2"/>
      </tp>
      <tp>
        <v>0.34</v>
        <stp/>
        <stp>P</stp>
        <stp>0</stp>
        <stp>IDX</stp>
        <stp>O2X01P</stp>
        <stp>등락률</stp>
        <stp>45539</stp>
        <stp>Fill=true,Per=월</stp>
        <tr r="G170" s="2"/>
      </tp>
      <tp>
        <v>-6.13</v>
        <stp/>
        <stp>P</stp>
        <stp>0</stp>
        <stp>IDX</stp>
        <stp>K2X06P</stp>
        <stp>등락률</stp>
        <stp>45539</stp>
        <stp>Fill=true,Per=월</stp>
        <tr r="G43" s="2"/>
      </tp>
      <tp>
        <v>1.9</v>
        <stp/>
        <stp>P</stp>
        <stp>0</stp>
        <stp>IDX</stp>
        <stp>K2X07P</stp>
        <stp>등락률</stp>
        <stp>45539</stp>
        <stp>Fill=true,Per=월</stp>
        <tr r="G71" s="2"/>
      </tp>
      <tp>
        <v>5.1100000000000003</v>
        <stp/>
        <stp>P</stp>
        <stp>0</stp>
        <stp>IDX</stp>
        <stp>F2X35P</stp>
        <stp>등락률</stp>
        <stp>45539</stp>
        <stp>Fill=true,Per=월</stp>
        <tr r="G259" s="2"/>
      </tp>
      <tp>
        <v>-1.91</v>
        <stp/>
        <stp>P</stp>
        <stp>0</stp>
        <stp>IDX</stp>
        <stp>F2X34P</stp>
        <stp>등락률</stp>
        <stp>45539</stp>
        <stp>Fill=true,Per=월</stp>
        <tr r="G258" s="2"/>
      </tp>
      <tp>
        <v>-1.54</v>
        <stp/>
        <stp>P</stp>
        <stp>0</stp>
        <stp>IDX</stp>
        <stp>F2X37P</stp>
        <stp>등락률</stp>
        <stp>45539</stp>
        <stp>Fill=true,Per=월</stp>
        <tr r="G261" s="2"/>
      </tp>
      <tp>
        <v>3.44</v>
        <stp/>
        <stp>P</stp>
        <stp>0</stp>
        <stp>IDX</stp>
        <stp>F2X36P</stp>
        <stp>등락률</stp>
        <stp>45539</stp>
        <stp>Fill=true,Per=월</stp>
        <tr r="G260" s="2"/>
      </tp>
      <tp>
        <v>-0.26</v>
        <stp/>
        <stp>P</stp>
        <stp>0</stp>
        <stp>IDX</stp>
        <stp>F2X31P</stp>
        <stp>등락률</stp>
        <stp>45539</stp>
        <stp>Fill=true,Per=월</stp>
        <tr r="G255" s="2"/>
      </tp>
      <tp>
        <v>-2.15</v>
        <stp/>
        <stp>P</stp>
        <stp>0</stp>
        <stp>IDX</stp>
        <stp>F2X30P</stp>
        <stp>등락률</stp>
        <stp>45539</stp>
        <stp>Fill=true,Per=월</stp>
        <tr r="G254" s="2"/>
      </tp>
      <tp>
        <v>8.0299999999999994</v>
        <stp/>
        <stp>P</stp>
        <stp>0</stp>
        <stp>IDX</stp>
        <stp>F2X33P</stp>
        <stp>등락률</stp>
        <stp>45539</stp>
        <stp>Fill=true,Per=월</stp>
        <tr r="G257" s="2"/>
      </tp>
      <tp>
        <v>-3.74</v>
        <stp/>
        <stp>P</stp>
        <stp>0</stp>
        <stp>IDX</stp>
        <stp>F2X32P</stp>
        <stp>등락률</stp>
        <stp>45539</stp>
        <stp>Fill=true,Per=월</stp>
        <tr r="G256" s="2"/>
      </tp>
      <tp>
        <v>-3.12</v>
        <stp/>
        <stp>P</stp>
        <stp>0</stp>
        <stp>IDX</stp>
        <stp>F2X39P</stp>
        <stp>등락률</stp>
        <stp>45539</stp>
        <stp>Fill=true,Per=월</stp>
        <tr r="G263" s="2"/>
      </tp>
      <tp>
        <v>-7.59</v>
        <stp/>
        <stp>P</stp>
        <stp>0</stp>
        <stp>IDX</stp>
        <stp>F2X38P</stp>
        <stp>등락률</stp>
        <stp>45539</stp>
        <stp>Fill=true,Per=월</stp>
        <tr r="G262" s="2"/>
      </tp>
      <tp>
        <v>2.57</v>
        <stp/>
        <stp>P</stp>
        <stp>0</stp>
        <stp>IDX</stp>
        <stp>F2X25P</stp>
        <stp>등락률</stp>
        <stp>45539</stp>
        <stp>Fill=true,Per=월</stp>
        <tr r="G249" s="2"/>
      </tp>
      <tp>
        <v>-0.92</v>
        <stp/>
        <stp>P</stp>
        <stp>0</stp>
        <stp>IDX</stp>
        <stp>F2X24P</stp>
        <stp>등락률</stp>
        <stp>45539</stp>
        <stp>Fill=true,Per=월</stp>
        <tr r="G248" s="2"/>
      </tp>
      <tp>
        <v>-0.74</v>
        <stp/>
        <stp>P</stp>
        <stp>0</stp>
        <stp>IDX</stp>
        <stp>F2X27P</stp>
        <stp>등락률</stp>
        <stp>45539</stp>
        <stp>Fill=true,Per=월</stp>
        <tr r="G251" s="2"/>
      </tp>
      <tp>
        <v>1.75</v>
        <stp/>
        <stp>P</stp>
        <stp>0</stp>
        <stp>IDX</stp>
        <stp>F2X26P</stp>
        <stp>등락률</stp>
        <stp>45539</stp>
        <stp>Fill=true,Per=월</stp>
        <tr r="G250" s="2"/>
      </tp>
      <tp>
        <v>-0.1</v>
        <stp/>
        <stp>P</stp>
        <stp>0</stp>
        <stp>IDX</stp>
        <stp>F2X21P</stp>
        <stp>등락률</stp>
        <stp>45539</stp>
        <stp>Fill=true,Per=월</stp>
        <tr r="G245" s="2"/>
      </tp>
      <tp>
        <v>-1.06</v>
        <stp/>
        <stp>P</stp>
        <stp>0</stp>
        <stp>IDX</stp>
        <stp>F2X20P</stp>
        <stp>등락률</stp>
        <stp>45539</stp>
        <stp>Fill=true,Per=월</stp>
        <tr r="G244" s="2"/>
      </tp>
      <tp>
        <v>4</v>
        <stp/>
        <stp>P</stp>
        <stp>0</stp>
        <stp>IDX</stp>
        <stp>F2X23P</stp>
        <stp>등락률</stp>
        <stp>45539</stp>
        <stp>Fill=true,Per=월</stp>
        <tr r="G247" s="2"/>
      </tp>
      <tp>
        <v>-1.86</v>
        <stp/>
        <stp>P</stp>
        <stp>0</stp>
        <stp>IDX</stp>
        <stp>F2X22P</stp>
        <stp>등락률</stp>
        <stp>45539</stp>
        <stp>Fill=true,Per=월</stp>
        <tr r="G246" s="2"/>
      </tp>
      <tp>
        <v>-1.54</v>
        <stp/>
        <stp>P</stp>
        <stp>0</stp>
        <stp>IDX</stp>
        <stp>F2X29P</stp>
        <stp>등락률</stp>
        <stp>45539</stp>
        <stp>Fill=true,Per=월</stp>
        <tr r="G253" s="2"/>
      </tp>
      <tp>
        <v>-3.8</v>
        <stp/>
        <stp>P</stp>
        <stp>0</stp>
        <stp>IDX</stp>
        <stp>F2X28P</stp>
        <stp>등락률</stp>
        <stp>45539</stp>
        <stp>Fill=true,Per=월</stp>
        <tr r="G252" s="2"/>
      </tp>
      <tp>
        <v>-0.5</v>
        <stp/>
        <stp>P</stp>
        <stp>0</stp>
        <stp>IDX</stp>
        <stp>K2Z01P</stp>
        <stp>등락률</stp>
        <stp>45539</stp>
        <stp>Fill=true,Per=월</stp>
        <tr r="G382" s="2"/>
      </tp>
      <tp>
        <v>1451.79</v>
        <stp/>
        <stp>P</stp>
        <stp>0</stp>
        <stp>IDX</stp>
        <stp>FRG01P</stp>
        <stp>현재가</stp>
        <stp>45539</stp>
        <stp>Fill=true,Per=월</stp>
        <tr r="E210" s="2"/>
      </tp>
      <tp>
        <v>491.92</v>
        <stp/>
        <stp>P</stp>
        <stp>0</stp>
        <stp>IDX</stp>
        <stp>FRG03P</stp>
        <stp>현재가</stp>
        <stp>45539</stp>
        <stp>Fill=true,Per=월</stp>
        <tr r="E300" s="2"/>
      </tp>
      <tp>
        <v>872.49</v>
        <stp/>
        <stp>P</stp>
        <stp>0</stp>
        <stp>IDX</stp>
        <stp>FRG02P</stp>
        <stp>현재가</stp>
        <stp>45539</stp>
        <stp>Fill=true,Per=월</stp>
        <tr r="E299" s="2"/>
      </tp>
      <tp>
        <v>-0.19</v>
        <stp/>
        <stp>P</stp>
        <stp>0</stp>
        <stp>IDX</stp>
        <stp>O2916P</stp>
        <stp>등락률</stp>
        <stp>45539</stp>
        <stp>Fill=true,Per=월</stp>
        <tr r="G100" s="2"/>
      </tp>
      <tp>
        <v>-0.98</v>
        <stp/>
        <stp>P</stp>
        <stp>0</stp>
        <stp>IDX</stp>
        <stp>F2901P</stp>
        <stp>등락률</stp>
        <stp>45539</stp>
        <stp>Fill=true,Per=월</stp>
        <tr r="G379" s="2"/>
      </tp>
      <tp>
        <v>2.2200000000000002</v>
        <stp/>
        <stp>P</stp>
        <stp>0</stp>
        <stp>IDX</stp>
        <stp>O2904P</stp>
        <stp>등락률</stp>
        <stp>45539</stp>
        <stp>Fill=true,Per=월</stp>
        <tr r="G102" s="2"/>
      </tp>
      <tp>
        <v>-0.76</v>
        <stp/>
        <stp>P</stp>
        <stp>0</stp>
        <stp>IDX</stp>
        <stp>K2901P</stp>
        <stp>등락률</stp>
        <stp>45539</stp>
        <stp>Fill=true,Per=월</stp>
        <tr r="G343" s="2"/>
      </tp>
      <tp>
        <v>-0.75</v>
        <stp/>
        <stp>P</stp>
        <stp>0</stp>
        <stp>IDX</stp>
        <stp>O2905P</stp>
        <stp>등락률</stp>
        <stp>45539</stp>
        <stp>Fill=true,Per=월</stp>
        <tr r="G101" s="2"/>
      </tp>
      <tp>
        <v>4.8899999999999997</v>
        <stp/>
        <stp>P</stp>
        <stp>0</stp>
        <stp>IDX</stp>
        <stp>O2901P</stp>
        <stp>등락률</stp>
        <stp>45539</stp>
        <stp>Fill=true,Per=월</stp>
        <tr r="G105" s="2"/>
      </tp>
      <tp>
        <v>-0.24</v>
        <stp/>
        <stp>P</stp>
        <stp>0</stp>
        <stp>IDX</stp>
        <stp>O2902P</stp>
        <stp>등락률</stp>
        <stp>45539</stp>
        <stp>Fill=true,Per=월</stp>
        <tr r="G109" s="2"/>
      </tp>
      <tp>
        <v>0.19</v>
        <stp/>
        <stp>P</stp>
        <stp>0</stp>
        <stp>IDX</stp>
        <stp>O2903P</stp>
        <stp>등락률</stp>
        <stp>45539</stp>
        <stp>Fill=true,Per=월</stp>
        <tr r="G103" s="2"/>
      </tp>
      <tp>
        <v>1226.73</v>
        <stp/>
        <stp>P</stp>
        <stp>0</stp>
        <stp>IDX</stp>
        <stp>FRX01P</stp>
        <stp>현재가</stp>
        <stp>45539</stp>
        <stp>Fill=true,Per=월</stp>
        <tr r="E301" s="2"/>
      </tp>
      <tp>
        <v>587.79999999999995</v>
        <stp/>
        <stp>P</stp>
        <stp>0</stp>
        <stp>IDX</stp>
        <stp>FRX03P</stp>
        <stp>현재가</stp>
        <stp>45539</stp>
        <stp>Fill=true,Per=월</stp>
        <tr r="E303" s="2"/>
      </tp>
      <tp>
        <v>1507.33</v>
        <stp/>
        <stp>P</stp>
        <stp>0</stp>
        <stp>IDX</stp>
        <stp>FRX02P</stp>
        <stp>현재가</stp>
        <stp>45539</stp>
        <stp>Fill=true,Per=월</stp>
        <tr r="E302" s="2"/>
      </tp>
      <tp>
        <v>712.03</v>
        <stp/>
        <stp>P</stp>
        <stp>0</stp>
        <stp>IDX</stp>
        <stp>FRX05P</stp>
        <stp>현재가</stp>
        <stp>45539</stp>
        <stp>Fill=true,Per=월</stp>
        <tr r="E305" s="2"/>
      </tp>
      <tp>
        <v>378.79</v>
        <stp/>
        <stp>P</stp>
        <stp>0</stp>
        <stp>IDX</stp>
        <stp>FRX04P</stp>
        <stp>현재가</stp>
        <stp>45539</stp>
        <stp>Fill=true,Per=월</stp>
        <tr r="E304" s="2"/>
      </tp>
      <tp>
        <v>640.97</v>
        <stp/>
        <stp>P</stp>
        <stp>0</stp>
        <stp>IDX</stp>
        <stp>FRX07P</stp>
        <stp>현재가</stp>
        <stp>45539</stp>
        <stp>Fill=true,Per=월</stp>
        <tr r="E307" s="2"/>
      </tp>
      <tp>
        <v>895.75</v>
        <stp/>
        <stp>P</stp>
        <stp>0</stp>
        <stp>IDX</stp>
        <stp>FRX06P</stp>
        <stp>현재가</stp>
        <stp>45539</stp>
        <stp>Fill=true,Per=월</stp>
        <tr r="E306" s="2"/>
      </tp>
      <tp>
        <v>300.3</v>
        <stp/>
        <stp>P</stp>
        <stp>0</stp>
        <stp>IDX</stp>
        <stp>FRX09P</stp>
        <stp>현재가</stp>
        <stp>45539</stp>
        <stp>Fill=true,Per=월</stp>
        <tr r="E309" s="2"/>
      </tp>
      <tp>
        <v>504.72</v>
        <stp/>
        <stp>P</stp>
        <stp>0</stp>
        <stp>IDX</stp>
        <stp>FRX08P</stp>
        <stp>현재가</stp>
        <stp>45539</stp>
        <stp>Fill=true,Per=월</stp>
        <tr r="E308" s="2"/>
      </tp>
      <tp>
        <v>705.36</v>
        <stp/>
        <stp>P</stp>
        <stp>0</stp>
        <stp>IDX</stp>
        <stp>FRX11P</stp>
        <stp>현재가</stp>
        <stp>45539</stp>
        <stp>Fill=true,Per=월</stp>
        <tr r="E311" s="2"/>
      </tp>
      <tp>
        <v>815.06</v>
        <stp/>
        <stp>P</stp>
        <stp>0</stp>
        <stp>IDX</stp>
        <stp>FRX10P</stp>
        <stp>현재가</stp>
        <stp>45539</stp>
        <stp>Fill=true,Per=월</stp>
        <tr r="E310" s="2"/>
      </tp>
      <tp>
        <v>648.79999999999995</v>
        <stp/>
        <stp>P</stp>
        <stp>0</stp>
        <stp>IDX</stp>
        <stp>FRX12P</stp>
        <stp>현재가</stp>
        <stp>45539</stp>
        <stp>Fill=true,Per=월</stp>
        <tr r="E312" s="2"/>
      </tp>
      <tp>
        <v>782.5</v>
        <stp/>
        <stp>P</stp>
        <stp>0</stp>
        <stp>IDX</stp>
        <stp>FTX08T</stp>
        <stp>시가</stp>
        <stp>45539</stp>
        <stp>Fill=true,Per=월</stp>
        <tr r="J326" s="2"/>
      </tp>
      <tp>
        <v>0</v>
        <stp/>
        <stp>P</stp>
        <stp>0</stp>
        <stp>IDX</stp>
        <stp>FTX08T</stp>
        <stp>저가</stp>
        <stp>45539</stp>
        <stp>Fill=true,Per=월</stp>
        <tr r="L326" s="2"/>
      </tp>
      <tp>
        <v>785.94</v>
        <stp/>
        <stp>P</stp>
        <stp>0</stp>
        <stp>IDX</stp>
        <stp>FTX08T</stp>
        <stp>고가</stp>
        <stp>45539</stp>
        <stp>Fill=true,Per=월</stp>
        <tr r="K326" s="2"/>
      </tp>
      <tp>
        <v>510.61</v>
        <stp/>
        <stp>P</stp>
        <stp>0</stp>
        <stp>IDX</stp>
        <stp>FRX08P</stp>
        <stp>시가</stp>
        <stp>45539</stp>
        <stp>Fill=true,Per=월</stp>
        <tr r="J308" s="2"/>
      </tp>
      <tp>
        <v>0</v>
        <stp/>
        <stp>P</stp>
        <stp>0</stp>
        <stp>IDX</stp>
        <stp>FRX08P</stp>
        <stp>저가</stp>
        <stp>45539</stp>
        <stp>Fill=true,Per=월</stp>
        <tr r="L308" s="2"/>
      </tp>
      <tp>
        <v>511.76</v>
        <stp/>
        <stp>P</stp>
        <stp>0</stp>
        <stp>IDX</stp>
        <stp>FRX08P</stp>
        <stp>고가</stp>
        <stp>45539</stp>
        <stp>Fill=true,Per=월</stp>
        <tr r="K308" s="2"/>
      </tp>
      <tp>
        <v>0</v>
        <stp/>
        <stp>P</stp>
        <stp>0</stp>
        <stp>IDX</stp>
        <stp>MGA13T</stp>
        <stp>저가</stp>
        <stp>45539</stp>
        <stp>Fill=true,Per=월</stp>
        <tr r="L99" s="2"/>
      </tp>
      <tp>
        <v>1737.27</v>
        <stp/>
        <stp>P</stp>
        <stp>0</stp>
        <stp>IDX</stp>
        <stp>MGA13T</stp>
        <stp>시가</stp>
        <stp>45539</stp>
        <stp>Fill=true,Per=월</stp>
        <tr r="J99" s="2"/>
      </tp>
      <tp>
        <v>1751.67</v>
        <stp/>
        <stp>P</stp>
        <stp>0</stp>
        <stp>IDX</stp>
        <stp>MGA13T</stp>
        <stp>고가</stp>
        <stp>45539</stp>
        <stp>Fill=true,Per=월</stp>
        <tr r="K99" s="2"/>
      </tp>
      <tp>
        <v>0</v>
        <stp/>
        <stp>P</stp>
        <stp>0</stp>
        <stp>IDX</stp>
        <stp>KGS05P</stp>
        <stp>저가</stp>
        <stp>45539</stp>
        <stp>Fill=true,Per=월</stp>
        <tr r="L49" s="2"/>
      </tp>
      <tp>
        <v>16416.87</v>
        <stp/>
        <stp>P</stp>
        <stp>0</stp>
        <stp>IDX</stp>
        <stp>KGS05P</stp>
        <stp>시가</stp>
        <stp>45539</stp>
        <stp>Fill=true,Per=월</stp>
        <tr r="J49" s="2"/>
      </tp>
      <tp>
        <v>0</v>
        <stp/>
        <stp>P</stp>
        <stp>0</stp>
        <stp>IDX</stp>
        <stp>MGA03P</stp>
        <stp>저가</stp>
        <stp>45539</stp>
        <stp>Fill=true,Per=월</stp>
        <tr r="L120" s="2"/>
      </tp>
      <tp>
        <v>1671.46</v>
        <stp/>
        <stp>P</stp>
        <stp>0</stp>
        <stp>IDX</stp>
        <stp>MGA03P</stp>
        <stp>시가</stp>
        <stp>45539</stp>
        <stp>Fill=true,Per=월</stp>
        <tr r="J120" s="2"/>
      </tp>
      <tp>
        <v>16416.87</v>
        <stp/>
        <stp>P</stp>
        <stp>0</stp>
        <stp>IDX</stp>
        <stp>KGS05P</stp>
        <stp>고가</stp>
        <stp>45539</stp>
        <stp>Fill=true,Per=월</stp>
        <tr r="K49" s="2"/>
      </tp>
      <tp>
        <v>1675.61</v>
        <stp/>
        <stp>P</stp>
        <stp>0</stp>
        <stp>IDX</stp>
        <stp>MGA03P</stp>
        <stp>고가</stp>
        <stp>45539</stp>
        <stp>Fill=true,Per=월</stp>
        <tr r="K120" s="2"/>
      </tp>
      <tp>
        <v>1651.59</v>
        <stp/>
        <stp>P</stp>
        <stp>0</stp>
        <stp>IDX</stp>
        <stp>F5X08T</stp>
        <stp>시가</stp>
        <stp>45539</stp>
        <stp>Fill=true,Per=월</stp>
        <tr r="J283" s="2"/>
      </tp>
      <tp>
        <v>0</v>
        <stp/>
        <stp>P</stp>
        <stp>0</stp>
        <stp>IDX</stp>
        <stp>F5X08T</stp>
        <stp>저가</stp>
        <stp>45539</stp>
        <stp>Fill=true,Per=월</stp>
        <tr r="L283" s="2"/>
      </tp>
      <tp>
        <v>1679.41</v>
        <stp/>
        <stp>P</stp>
        <stp>0</stp>
        <stp>IDX</stp>
        <stp>F5X08T</stp>
        <stp>고가</stp>
        <stp>45539</stp>
        <stp>Fill=true,Per=월</stp>
        <tr r="K283" s="2"/>
      </tp>
      <tp>
        <v>876.36</v>
        <stp/>
        <stp>P</stp>
        <stp>0</stp>
        <stp>IDX</stp>
        <stp>F2X28P</stp>
        <stp>시가</stp>
        <stp>45539</stp>
        <stp>Fill=true,Per=월</stp>
        <tr r="J252" s="2"/>
      </tp>
      <tp>
        <v>387.71</v>
        <stp/>
        <stp>P</stp>
        <stp>0</stp>
        <stp>IDX</stp>
        <stp>F2X38P</stp>
        <stp>시가</stp>
        <stp>45539</stp>
        <stp>Fill=true,Per=월</stp>
        <tr r="J262" s="2"/>
      </tp>
      <tp>
        <v>573.24</v>
        <stp/>
        <stp>P</stp>
        <stp>0</stp>
        <stp>IDX</stp>
        <stp>F2X08P</stp>
        <stp>시가</stp>
        <stp>45539</stp>
        <stp>Fill=true,Per=월</stp>
        <tr r="J232" s="2"/>
      </tp>
      <tp>
        <v>614.71</v>
        <stp/>
        <stp>P</stp>
        <stp>0</stp>
        <stp>IDX</stp>
        <stp>K2X05P</stp>
        <stp>시가</stp>
        <stp>45539</stp>
        <stp>Fill=true,Per=월</stp>
        <tr r="J31" s="2"/>
      </tp>
      <tp>
        <v>958.39</v>
        <stp/>
        <stp>P</stp>
        <stp>0</stp>
        <stp>IDX</stp>
        <stp>O2X01P</stp>
        <stp>시가</stp>
        <stp>45539</stp>
        <stp>Fill=true,Per=월</stp>
        <tr r="J170" s="2"/>
      </tp>
      <tp>
        <v>395.86</v>
        <stp/>
        <stp>P</stp>
        <stp>0</stp>
        <stp>IDX</stp>
        <stp>F2X18P</stp>
        <stp>시가</stp>
        <stp>45539</stp>
        <stp>Fill=true,Per=월</stp>
        <tr r="J242" s="2"/>
      </tp>
      <tp>
        <v>0</v>
        <stp/>
        <stp>P</stp>
        <stp>0</stp>
        <stp>IDX</stp>
        <stp>F2S08P</stp>
        <stp>저가</stp>
        <stp>45539</stp>
        <stp>Fill=true,Per=월</stp>
        <tr r="L221" s="2"/>
      </tp>
      <tp>
        <v>0</v>
        <stp/>
        <stp>P</stp>
        <stp>0</stp>
        <stp>IDX</stp>
        <stp>K2S05P</stp>
        <stp>저가</stp>
        <stp>45539</stp>
        <stp>Fill=true,Per=월</stp>
        <tr r="L51" s="2"/>
      </tp>
      <tp>
        <v>20.28</v>
        <stp/>
        <stp>P</stp>
        <stp>0</stp>
        <stp>IDX</stp>
        <stp>O2901P</stp>
        <stp>고가</stp>
        <stp>45539</stp>
        <stp>Fill=true,Per=월</stp>
        <tr r="K105" s="2"/>
      </tp>
      <tp>
        <v>0</v>
        <stp/>
        <stp>P</stp>
        <stp>0</stp>
        <stp>IDX</stp>
        <stp>F2X28P</stp>
        <stp>저가</stp>
        <stp>45539</stp>
        <stp>Fill=true,Per=월</stp>
        <tr r="L252" s="2"/>
      </tp>
      <tp>
        <v>0</v>
        <stp/>
        <stp>P</stp>
        <stp>0</stp>
        <stp>IDX</stp>
        <stp>F2X38P</stp>
        <stp>저가</stp>
        <stp>45539</stp>
        <stp>Fill=true,Per=월</stp>
        <tr r="L262" s="2"/>
      </tp>
      <tp>
        <v>0</v>
        <stp/>
        <stp>P</stp>
        <stp>0</stp>
        <stp>IDX</stp>
        <stp>F2X08P</stp>
        <stp>저가</stp>
        <stp>45539</stp>
        <stp>Fill=true,Per=월</stp>
        <tr r="L232" s="2"/>
      </tp>
      <tp>
        <v>0</v>
        <stp/>
        <stp>P</stp>
        <stp>0</stp>
        <stp>IDX</stp>
        <stp>K2X05P</stp>
        <stp>저가</stp>
        <stp>45539</stp>
        <stp>Fill=true,Per=월</stp>
        <tr r="L31" s="2"/>
      </tp>
      <tp>
        <v>0</v>
        <stp/>
        <stp>P</stp>
        <stp>0</stp>
        <stp>IDX</stp>
        <stp>O2X01P</stp>
        <stp>저가</stp>
        <stp>45539</stp>
        <stp>Fill=true,Per=월</stp>
        <tr r="L170" s="2"/>
      </tp>
      <tp>
        <v>0</v>
        <stp/>
        <stp>P</stp>
        <stp>0</stp>
        <stp>IDX</stp>
        <stp>F2X18P</stp>
        <stp>저가</stp>
        <stp>45539</stp>
        <stp>Fill=true,Per=월</stp>
        <tr r="L242" s="2"/>
      </tp>
      <tp>
        <v>687.4</v>
        <stp/>
        <stp>P</stp>
        <stp>0</stp>
        <stp>IDX</stp>
        <stp>F2S08P</stp>
        <stp>시가</stp>
        <stp>45539</stp>
        <stp>Fill=true,Per=월</stp>
        <tr r="J221" s="2"/>
      </tp>
      <tp>
        <v>1107.0899999999999</v>
        <stp/>
        <stp>P</stp>
        <stp>0</stp>
        <stp>IDX</stp>
        <stp>K2S05P</stp>
        <stp>시가</stp>
        <stp>45539</stp>
        <stp>Fill=true,Per=월</stp>
        <tr r="J51" s="2"/>
      </tp>
      <tp>
        <v>0</v>
        <stp/>
        <stp>P</stp>
        <stp>0</stp>
        <stp>IDX</stp>
        <stp>K2G05P</stp>
        <stp>저가</stp>
        <stp>45539</stp>
        <stp>Fill=true,Per=월</stp>
        <tr r="L353" s="2"/>
      </tp>
      <tp>
        <v>261.08</v>
        <stp/>
        <stp>P</stp>
        <stp>0</stp>
        <stp>IDX</stp>
        <stp>K2G05P</stp>
        <stp>시가</stp>
        <stp>45539</stp>
        <stp>Fill=true,Per=월</stp>
        <tr r="J353" s="2"/>
      </tp>
      <tp>
        <v>694.92</v>
        <stp/>
        <stp>P</stp>
        <stp>0</stp>
        <stp>IDX</stp>
        <stp>F2S08P</stp>
        <stp>고가</stp>
        <stp>45539</stp>
        <stp>Fill=true,Per=월</stp>
        <tr r="K221" s="2"/>
      </tp>
      <tp>
        <v>1121.0899999999999</v>
        <stp/>
        <stp>P</stp>
        <stp>0</stp>
        <stp>IDX</stp>
        <stp>K2S05P</stp>
        <stp>고가</stp>
        <stp>45539</stp>
        <stp>Fill=true,Per=월</stp>
        <tr r="K51" s="2"/>
      </tp>
      <tp>
        <v>19.309999999999999</v>
        <stp/>
        <stp>P</stp>
        <stp>0</stp>
        <stp>IDX</stp>
        <stp>O2901P</stp>
        <stp>시가</stp>
        <stp>45539</stp>
        <stp>Fill=true,Per=월</stp>
        <tr r="J105" s="2"/>
      </tp>
      <tp>
        <v>876.36</v>
        <stp/>
        <stp>P</stp>
        <stp>0</stp>
        <stp>IDX</stp>
        <stp>F2X28P</stp>
        <stp>고가</stp>
        <stp>45539</stp>
        <stp>Fill=true,Per=월</stp>
        <tr r="K252" s="2"/>
      </tp>
      <tp>
        <v>387.71</v>
        <stp/>
        <stp>P</stp>
        <stp>0</stp>
        <stp>IDX</stp>
        <stp>F2X38P</stp>
        <stp>고가</stp>
        <stp>45539</stp>
        <stp>Fill=true,Per=월</stp>
        <tr r="K262" s="2"/>
      </tp>
      <tp>
        <v>580.03</v>
        <stp/>
        <stp>P</stp>
        <stp>0</stp>
        <stp>IDX</stp>
        <stp>F2X08P</stp>
        <stp>고가</stp>
        <stp>45539</stp>
        <stp>Fill=true,Per=월</stp>
        <tr r="K232" s="2"/>
      </tp>
      <tp>
        <v>648.65</v>
        <stp/>
        <stp>P</stp>
        <stp>0</stp>
        <stp>IDX</stp>
        <stp>K2X05P</stp>
        <stp>고가</stp>
        <stp>45539</stp>
        <stp>Fill=true,Per=월</stp>
        <tr r="K31" s="2"/>
      </tp>
      <tp>
        <v>975.69</v>
        <stp/>
        <stp>P</stp>
        <stp>0</stp>
        <stp>IDX</stp>
        <stp>O2X01P</stp>
        <stp>고가</stp>
        <stp>45539</stp>
        <stp>Fill=true,Per=월</stp>
        <tr r="K170" s="2"/>
      </tp>
      <tp>
        <v>434.55</v>
        <stp/>
        <stp>P</stp>
        <stp>0</stp>
        <stp>IDX</stp>
        <stp>F2X18P</stp>
        <stp>고가</stp>
        <stp>45539</stp>
        <stp>Fill=true,Per=월</stp>
        <tr r="K242" s="2"/>
      </tp>
      <tp>
        <v>0</v>
        <stp/>
        <stp>P</stp>
        <stp>0</stp>
        <stp>IDX</stp>
        <stp>O2901P</stp>
        <stp>저가</stp>
        <stp>45539</stp>
        <stp>Fill=true,Per=월</stp>
        <tr r="L105" s="2"/>
      </tp>
      <tp>
        <v>262.83999999999997</v>
        <stp/>
        <stp>P</stp>
        <stp>0</stp>
        <stp>IDX</stp>
        <stp>K2G05P</stp>
        <stp>고가</stp>
        <stp>45539</stp>
        <stp>Fill=true,Per=월</stp>
        <tr r="K353" s="2"/>
      </tp>
      <tp>
        <v>0</v>
        <stp/>
        <stp>P</stp>
        <stp>0</stp>
        <stp>IDX</stp>
        <stp>K2S05T</stp>
        <stp>저가</stp>
        <stp>45539</stp>
        <stp>Fill=true,Per=월</stp>
        <tr r="L367" s="2"/>
      </tp>
      <tp>
        <v>1418.72</v>
        <stp/>
        <stp>P</stp>
        <stp>0</stp>
        <stp>IDX</stp>
        <stp>K2S05T</stp>
        <stp>시가</stp>
        <stp>45539</stp>
        <stp>Fill=true,Per=월</stp>
        <tr r="J367" s="2"/>
      </tp>
      <tp>
        <v>1436.66</v>
        <stp/>
        <stp>P</stp>
        <stp>0</stp>
        <stp>IDX</stp>
        <stp>K2S05T</stp>
        <stp>고가</stp>
        <stp>45539</stp>
        <stp>Fill=true,Per=월</stp>
        <tr r="K367" s="2"/>
      </tp>
      <tp>
        <v>0</v>
        <stp/>
        <stp>P</stp>
        <stp>0</stp>
        <stp>IDX</stp>
        <stp>F2X36P</stp>
        <stp>누적거래량</stp>
        <stp>45539</stp>
        <stp>Fill=true,Per=월</stp>
        <tr r="H260" s="2"/>
      </tp>
      <tp>
        <v>0</v>
        <stp/>
        <stp>P</stp>
        <stp>0</stp>
        <stp>IDX</stp>
        <stp>F2X37P</stp>
        <stp>누적거래량</stp>
        <stp>45539</stp>
        <stp>Fill=true,Per=월</stp>
        <tr r="H261" s="2"/>
      </tp>
      <tp>
        <v>0</v>
        <stp/>
        <stp>P</stp>
        <stp>0</stp>
        <stp>IDX</stp>
        <stp>F2X34P</stp>
        <stp>누적거래량</stp>
        <stp>45539</stp>
        <stp>Fill=true,Per=월</stp>
        <tr r="H258" s="2"/>
      </tp>
      <tp>
        <v>0</v>
        <stp/>
        <stp>P</stp>
        <stp>0</stp>
        <stp>IDX</stp>
        <stp>F2X35P</stp>
        <stp>누적거래량</stp>
        <stp>45539</stp>
        <stp>Fill=true,Per=월</stp>
        <tr r="H259" s="2"/>
      </tp>
      <tp>
        <v>0</v>
        <stp/>
        <stp>P</stp>
        <stp>0</stp>
        <stp>IDX</stp>
        <stp>F2X32P</stp>
        <stp>누적거래량</stp>
        <stp>45539</stp>
        <stp>Fill=true,Per=월</stp>
        <tr r="H256" s="2"/>
      </tp>
      <tp>
        <v>0</v>
        <stp/>
        <stp>P</stp>
        <stp>0</stp>
        <stp>IDX</stp>
        <stp>F2X33P</stp>
        <stp>누적거래량</stp>
        <stp>45539</stp>
        <stp>Fill=true,Per=월</stp>
        <tr r="H257" s="2"/>
      </tp>
      <tp>
        <v>-0.36</v>
        <stp/>
        <stp>P</stp>
        <stp>0</stp>
        <stp>IDX</stp>
        <stp>X3E01P</stp>
        <stp>등락률</stp>
        <stp>45539</stp>
        <stp>Fill=true,Per=월</stp>
        <tr r="G191" s="2"/>
      </tp>
      <tp>
        <v>0</v>
        <stp/>
        <stp>P</stp>
        <stp>0</stp>
        <stp>IDX</stp>
        <stp>F2X30P</stp>
        <stp>누적거래량</stp>
        <stp>45539</stp>
        <stp>Fill=true,Per=월</stp>
        <tr r="H254" s="2"/>
      </tp>
      <tp>
        <v>0</v>
        <stp/>
        <stp>P</stp>
        <stp>0</stp>
        <stp>IDX</stp>
        <stp>F2X31P</stp>
        <stp>누적거래량</stp>
        <stp>45539</stp>
        <stp>Fill=true,Per=월</stp>
        <tr r="H255" s="2"/>
      </tp>
      <tp>
        <v>-0.78</v>
        <stp/>
        <stp>P</stp>
        <stp>0</stp>
        <stp>IDX</stp>
        <stp>X3G01P</stp>
        <stp>등락률</stp>
        <stp>45539</stp>
        <stp>Fill=true,Per=월</stp>
        <tr r="G10" s="2"/>
      </tp>
      <tp>
        <v>-0.93</v>
        <stp/>
        <stp>P</stp>
        <stp>0</stp>
        <stp>IDX</stp>
        <stp>F3G01P</stp>
        <stp>등락률</stp>
        <stp>45539</stp>
        <stp>Fill=true,Per=월</stp>
        <tr r="G269" s="2"/>
      </tp>
      <tp>
        <v>0</v>
        <stp/>
        <stp>P</stp>
        <stp>0</stp>
        <stp>IDX</stp>
        <stp>F2X38P</stp>
        <stp>누적거래량</stp>
        <stp>45539</stp>
        <stp>Fill=true,Per=월</stp>
        <tr r="H262" s="2"/>
      </tp>
      <tp>
        <v>0</v>
        <stp/>
        <stp>P</stp>
        <stp>0</stp>
        <stp>IDX</stp>
        <stp>F2X39P</stp>
        <stp>누적거래량</stp>
        <stp>45539</stp>
        <stp>Fill=true,Per=월</stp>
        <tr r="H263" s="2"/>
      </tp>
      <tp>
        <v>261</v>
        <stp/>
        <stp>P</stp>
        <stp>0</stp>
        <stp>IDX</stp>
        <stp>QGS31P</stp>
        <stp>누적거래량</stp>
        <stp>45539</stp>
        <stp>Fill=true,Per=월</stp>
        <tr r="H98" s="2"/>
      </tp>
      <tp>
        <v>176960</v>
        <stp/>
        <stp>P</stp>
        <stp>0</stp>
        <stp>IDX</stp>
        <stp>QGS33P</stp>
        <stp>누적거래량</stp>
        <stp>45539</stp>
        <stp>Fill=true,Per=월</stp>
        <tr r="H65" s="2"/>
      </tp>
      <tp>
        <v>-0.76</v>
        <stp/>
        <stp>P</stp>
        <stp>0</stp>
        <stp>IDX</stp>
        <stp>X3S08P</stp>
        <stp>등락률</stp>
        <stp>45539</stp>
        <stp>Fill=true,Per=월</stp>
        <tr r="G182" s="2"/>
      </tp>
      <tp>
        <v>-1.87</v>
        <stp/>
        <stp>P</stp>
        <stp>0</stp>
        <stp>IDX</stp>
        <stp>X3S03P</stp>
        <stp>등락률</stp>
        <stp>45539</stp>
        <stp>Fill=true,Per=월</stp>
        <tr r="G187" s="2"/>
      </tp>
      <tp>
        <v>-2.56</v>
        <stp/>
        <stp>P</stp>
        <stp>0</stp>
        <stp>IDX</stp>
        <stp>X3S02P</stp>
        <stp>등락률</stp>
        <stp>45539</stp>
        <stp>Fill=true,Per=월</stp>
        <tr r="G188" s="2"/>
      </tp>
      <tp>
        <v>1.0900000000000001</v>
        <stp/>
        <stp>P</stp>
        <stp>0</stp>
        <stp>IDX</stp>
        <stp>X3S01P</stp>
        <stp>등락률</stp>
        <stp>45539</stp>
        <stp>Fill=true,Per=월</stp>
        <tr r="G189" s="2"/>
      </tp>
      <tp>
        <v>0.76</v>
        <stp/>
        <stp>P</stp>
        <stp>0</stp>
        <stp>IDX</stp>
        <stp>X3S07P</stp>
        <stp>등락률</stp>
        <stp>45539</stp>
        <stp>Fill=true,Per=월</stp>
        <tr r="G183" s="2"/>
      </tp>
      <tp>
        <v>2.79</v>
        <stp/>
        <stp>P</stp>
        <stp>0</stp>
        <stp>IDX</stp>
        <stp>X3S06P</stp>
        <stp>등락률</stp>
        <stp>45539</stp>
        <stp>Fill=true,Per=월</stp>
        <tr r="G184" s="2"/>
      </tp>
      <tp>
        <v>-1.33</v>
        <stp/>
        <stp>P</stp>
        <stp>0</stp>
        <stp>IDX</stp>
        <stp>X3S05P</stp>
        <stp>등락률</stp>
        <stp>45539</stp>
        <stp>Fill=true,Per=월</stp>
        <tr r="G185" s="2"/>
      </tp>
      <tp>
        <v>2.2799999999999998</v>
        <stp/>
        <stp>P</stp>
        <stp>0</stp>
        <stp>IDX</stp>
        <stp>X3S04P</stp>
        <stp>등락률</stp>
        <stp>45539</stp>
        <stp>Fill=true,Per=월</stp>
        <tr r="G186" s="2"/>
      </tp>
      <tp>
        <v>22736</v>
        <stp/>
        <stp>P</stp>
        <stp>0</stp>
        <stp>IDX</stp>
        <stp>QGS34P</stp>
        <stp>누적거래량</stp>
        <stp>45539</stp>
        <stp>Fill=true,Per=월</stp>
        <tr r="H85" s="2"/>
      </tp>
      <tp>
        <v>-1.59</v>
        <stp/>
        <stp>P</stp>
        <stp>0</stp>
        <stp>IDX</stp>
        <stp>X3X01P</stp>
        <stp>등락률</stp>
        <stp>45539</stp>
        <stp>Fill=true,Per=월</stp>
        <tr r="G181" s="2"/>
      </tp>
      <tp>
        <v>0.96</v>
        <stp/>
        <stp>P</stp>
        <stp>0</stp>
        <stp>IDX</stp>
        <stp>F3X02P</stp>
        <stp>등락률</stp>
        <stp>45539</stp>
        <stp>Fill=true,Per=월</stp>
        <tr r="G271" s="2"/>
      </tp>
      <tp>
        <v>299.08999999999997</v>
        <stp/>
        <stp>P</stp>
        <stp>0</stp>
        <stp>IDX</stp>
        <stp>FRX09P</stp>
        <stp>시가</stp>
        <stp>45539</stp>
        <stp>Fill=true,Per=월</stp>
        <tr r="J309" s="2"/>
      </tp>
      <tp>
        <v>0</v>
        <stp/>
        <stp>P</stp>
        <stp>0</stp>
        <stp>IDX</stp>
        <stp>FRX09P</stp>
        <stp>저가</stp>
        <stp>45539</stp>
        <stp>Fill=true,Per=월</stp>
        <tr r="L309" s="2"/>
      </tp>
      <tp>
        <v>300.66000000000003</v>
        <stp/>
        <stp>P</stp>
        <stp>0</stp>
        <stp>IDX</stp>
        <stp>FRX09P</stp>
        <stp>고가</stp>
        <stp>45539</stp>
        <stp>Fill=true,Per=월</stp>
        <tr r="K309" s="2"/>
      </tp>
      <tp>
        <v>0</v>
        <stp/>
        <stp>P</stp>
        <stp>0</stp>
        <stp>IDX</stp>
        <stp>KGS04P</stp>
        <stp>저가</stp>
        <stp>45539</stp>
        <stp>Fill=true,Per=월</stp>
        <tr r="L46" s="2"/>
      </tp>
      <tp>
        <v>0</v>
        <stp/>
        <stp>P</stp>
        <stp>0</stp>
        <stp>IDX</stp>
        <stp>KGS14P</stp>
        <stp>저가</stp>
        <stp>45539</stp>
        <stp>Fill=true,Per=월</stp>
        <tr r="L27" s="2"/>
      </tp>
      <tp>
        <v>3916.36</v>
        <stp/>
        <stp>P</stp>
        <stp>0</stp>
        <stp>IDX</stp>
        <stp>KGS04P</stp>
        <stp>시가</stp>
        <stp>45539</stp>
        <stp>Fill=true,Per=월</stp>
        <tr r="J46" s="2"/>
      </tp>
      <tp>
        <v>473.04</v>
        <stp/>
        <stp>P</stp>
        <stp>0</stp>
        <stp>IDX</stp>
        <stp>KGS14P</stp>
        <stp>시가</stp>
        <stp>45539</stp>
        <stp>Fill=true,Per=월</stp>
        <tr r="J27" s="2"/>
      </tp>
      <tp>
        <v>0</v>
        <stp/>
        <stp>P</stp>
        <stp>0</stp>
        <stp>IDX</stp>
        <stp>GGG08P</stp>
        <stp>저가</stp>
        <stp>45539</stp>
        <stp>Fill=true,Per=월</stp>
        <tr r="L338" s="2"/>
      </tp>
      <tp>
        <v>0</v>
        <stp/>
        <stp>P</stp>
        <stp>0</stp>
        <stp>IDX</stp>
        <stp>MGA02P</stp>
        <stp>저가</stp>
        <stp>45539</stp>
        <stp>Fill=true,Per=월</stp>
        <tr r="L112" s="2"/>
      </tp>
      <tp>
        <v>0</v>
        <stp/>
        <stp>P</stp>
        <stp>0</stp>
        <stp>IDX</stp>
        <stp>MGA12P</stp>
        <stp>저가</stp>
        <stp>45539</stp>
        <stp>Fill=true,Per=월</stp>
        <tr r="L104" s="2"/>
      </tp>
      <tp>
        <v>5860.47</v>
        <stp/>
        <stp>P</stp>
        <stp>0</stp>
        <stp>IDX</stp>
        <stp>GGG08P</stp>
        <stp>시가</stp>
        <stp>45539</stp>
        <stp>Fill=true,Per=월</stp>
        <tr r="J338" s="2"/>
      </tp>
      <tp>
        <v>4895.6499999999996</v>
        <stp/>
        <stp>P</stp>
        <stp>0</stp>
        <stp>IDX</stp>
        <stp>MGA02P</stp>
        <stp>시가</stp>
        <stp>45539</stp>
        <stp>Fill=true,Per=월</stp>
        <tr r="J112" s="2"/>
      </tp>
      <tp>
        <v>3031.11</v>
        <stp/>
        <stp>P</stp>
        <stp>0</stp>
        <stp>IDX</stp>
        <stp>MGA12P</stp>
        <stp>시가</stp>
        <stp>45539</stp>
        <stp>Fill=true,Per=월</stp>
        <tr r="J104" s="2"/>
      </tp>
      <tp>
        <v>3980.95</v>
        <stp/>
        <stp>P</stp>
        <stp>0</stp>
        <stp>IDX</stp>
        <stp>KGS04P</stp>
        <stp>고가</stp>
        <stp>45539</stp>
        <stp>Fill=true,Per=월</stp>
        <tr r="K46" s="2"/>
      </tp>
      <tp>
        <v>481.8</v>
        <stp/>
        <stp>P</stp>
        <stp>0</stp>
        <stp>IDX</stp>
        <stp>KGS14P</stp>
        <stp>고가</stp>
        <stp>45539</stp>
        <stp>Fill=true,Per=월</stp>
        <tr r="K27" s="2"/>
      </tp>
      <tp>
        <v>4903.7</v>
        <stp/>
        <stp>P</stp>
        <stp>0</stp>
        <stp>IDX</stp>
        <stp>MGA02P</stp>
        <stp>고가</stp>
        <stp>45539</stp>
        <stp>Fill=true,Per=월</stp>
        <tr r="K112" s="2"/>
      </tp>
      <tp>
        <v>3041.97</v>
        <stp/>
        <stp>P</stp>
        <stp>0</stp>
        <stp>IDX</stp>
        <stp>MGA12P</stp>
        <stp>고가</stp>
        <stp>45539</stp>
        <stp>Fill=true,Per=월</stp>
        <tr r="K104" s="2"/>
      </tp>
      <tp>
        <v>5860.47</v>
        <stp/>
        <stp>P</stp>
        <stp>0</stp>
        <stp>IDX</stp>
        <stp>GGG08P</stp>
        <stp>고가</stp>
        <stp>45539</stp>
        <stp>Fill=true,Per=월</stp>
        <tr r="K338" s="2"/>
      </tp>
      <tp>
        <v>1299.97</v>
        <stp/>
        <stp>P</stp>
        <stp>0</stp>
        <stp>IDX</stp>
        <stp>F5X09T</stp>
        <stp>시가</stp>
        <stp>45539</stp>
        <stp>Fill=true,Per=월</stp>
        <tr r="J284" s="2"/>
      </tp>
      <tp>
        <v>0</v>
        <stp/>
        <stp>P</stp>
        <stp>0</stp>
        <stp>IDX</stp>
        <stp>F5X09T</stp>
        <stp>저가</stp>
        <stp>45539</stp>
        <stp>Fill=true,Per=월</stp>
        <tr r="L284" s="2"/>
      </tp>
      <tp>
        <v>1328.15</v>
        <stp/>
        <stp>P</stp>
        <stp>0</stp>
        <stp>IDX</stp>
        <stp>F5X09T</stp>
        <stp>고가</stp>
        <stp>45539</stp>
        <stp>Fill=true,Per=월</stp>
        <tr r="K284" s="2"/>
      </tp>
      <tp>
        <v>0</v>
        <stp/>
        <stp>P</stp>
        <stp>0</stp>
        <stp>IDX</stp>
        <stp>K2V04P</stp>
        <stp>저가</stp>
        <stp>45539</stp>
        <stp>Fill=true,Per=월</stp>
        <tr r="L378" s="2"/>
      </tp>
      <tp>
        <v>0</v>
        <stp/>
        <stp>P</stp>
        <stp>0</stp>
        <stp>IDX</stp>
        <stp>K2W04P</stp>
        <stp>저가</stp>
        <stp>45539</stp>
        <stp>Fill=true,Per=월</stp>
        <tr r="L209" s="2"/>
      </tp>
      <tp>
        <v>789.26</v>
        <stp/>
        <stp>P</stp>
        <stp>0</stp>
        <stp>IDX</stp>
        <stp>F2X29P</stp>
        <stp>시가</stp>
        <stp>45539</stp>
        <stp>Fill=true,Per=월</stp>
        <tr r="J253" s="2"/>
      </tp>
      <tp>
        <v>376.47</v>
        <stp/>
        <stp>P</stp>
        <stp>0</stp>
        <stp>IDX</stp>
        <stp>F2X39P</stp>
        <stp>시가</stp>
        <stp>45539</stp>
        <stp>Fill=true,Per=월</stp>
        <tr r="J263" s="2"/>
      </tp>
      <tp>
        <v>204.01</v>
        <stp/>
        <stp>P</stp>
        <stp>0</stp>
        <stp>IDX</stp>
        <stp>F2X09P</stp>
        <stp>시가</stp>
        <stp>45539</stp>
        <stp>Fill=true,Per=월</stp>
        <tr r="J233" s="2"/>
      </tp>
      <tp>
        <v>854.81</v>
        <stp/>
        <stp>P</stp>
        <stp>0</stp>
        <stp>IDX</stp>
        <stp>F2X19P</stp>
        <stp>시가</stp>
        <stp>45539</stp>
        <stp>Fill=true,Per=월</stp>
        <tr r="J243" s="2"/>
      </tp>
      <tp>
        <v>0</v>
        <stp/>
        <stp>P</stp>
        <stp>0</stp>
        <stp>IDX</stp>
        <stp>F2S09P</stp>
        <stp>저가</stp>
        <stp>45539</stp>
        <stp>Fill=true,Per=월</stp>
        <tr r="L222" s="2"/>
      </tp>
      <tp>
        <v>0</v>
        <stp/>
        <stp>P</stp>
        <stp>0</stp>
        <stp>IDX</stp>
        <stp>K2S04P</stp>
        <stp>저가</stp>
        <stp>45539</stp>
        <stp>Fill=true,Per=월</stp>
        <tr r="L38" s="2"/>
      </tp>
      <tp>
        <v>1477.32</v>
        <stp/>
        <stp>P</stp>
        <stp>0</stp>
        <stp>IDX</stp>
        <stp>K2V04P</stp>
        <stp>시가</stp>
        <stp>45539</stp>
        <stp>Fill=true,Per=월</stp>
        <tr r="J378" s="2"/>
      </tp>
      <tp>
        <v>1332.3</v>
        <stp/>
        <stp>P</stp>
        <stp>0</stp>
        <stp>IDX</stp>
        <stp>K2W04P</stp>
        <stp>시가</stp>
        <stp>45539</stp>
        <stp>Fill=true,Per=월</stp>
        <tr r="J209" s="2"/>
      </tp>
      <tp>
        <v>0</v>
        <stp/>
        <stp>P</stp>
        <stp>0</stp>
        <stp>IDX</stp>
        <stp>F2X29P</stp>
        <stp>저가</stp>
        <stp>45539</stp>
        <stp>Fill=true,Per=월</stp>
        <tr r="L253" s="2"/>
      </tp>
      <tp>
        <v>0</v>
        <stp/>
        <stp>P</stp>
        <stp>0</stp>
        <stp>IDX</stp>
        <stp>F2X39P</stp>
        <stp>저가</stp>
        <stp>45539</stp>
        <stp>Fill=true,Per=월</stp>
        <tr r="L263" s="2"/>
      </tp>
      <tp>
        <v>0</v>
        <stp/>
        <stp>P</stp>
        <stp>0</stp>
        <stp>IDX</stp>
        <stp>F2X09P</stp>
        <stp>저가</stp>
        <stp>45539</stp>
        <stp>Fill=true,Per=월</stp>
        <tr r="L233" s="2"/>
      </tp>
      <tp>
        <v>0</v>
        <stp/>
        <stp>P</stp>
        <stp>0</stp>
        <stp>IDX</stp>
        <stp>F2X19P</stp>
        <stp>저가</stp>
        <stp>45539</stp>
        <stp>Fill=true,Per=월</stp>
        <tr r="L243" s="2"/>
      </tp>
      <tp>
        <v>772.74</v>
        <stp/>
        <stp>P</stp>
        <stp>0</stp>
        <stp>IDX</stp>
        <stp>F2S09P</stp>
        <stp>시가</stp>
        <stp>45539</stp>
        <stp>Fill=true,Per=월</stp>
        <tr r="J222" s="2"/>
      </tp>
      <tp>
        <v>652.49</v>
        <stp/>
        <stp>P</stp>
        <stp>0</stp>
        <stp>IDX</stp>
        <stp>K2S04P</stp>
        <stp>시가</stp>
        <stp>45539</stp>
        <stp>Fill=true,Per=월</stp>
        <tr r="J38" s="2"/>
      </tp>
      <tp>
        <v>0</v>
        <stp/>
        <stp>P</stp>
        <stp>0</stp>
        <stp>IDX</stp>
        <stp>K2G04P</stp>
        <stp>저가</stp>
        <stp>45539</stp>
        <stp>Fill=true,Per=월</stp>
        <tr r="L352" s="2"/>
      </tp>
      <tp>
        <v>3338.01</v>
        <stp/>
        <stp>P</stp>
        <stp>0</stp>
        <stp>IDX</stp>
        <stp>K2G04P</stp>
        <stp>시가</stp>
        <stp>45539</stp>
        <stp>Fill=true,Per=월</stp>
        <tr r="J352" s="2"/>
      </tp>
      <tp>
        <v>810.08</v>
        <stp/>
        <stp>P</stp>
        <stp>0</stp>
        <stp>IDX</stp>
        <stp>F2S09P</stp>
        <stp>고가</stp>
        <stp>45539</stp>
        <stp>Fill=true,Per=월</stp>
        <tr r="K222" s="2"/>
      </tp>
      <tp>
        <v>665.62</v>
        <stp/>
        <stp>P</stp>
        <stp>0</stp>
        <stp>IDX</stp>
        <stp>K2S04P</stp>
        <stp>고가</stp>
        <stp>45539</stp>
        <stp>Fill=true,Per=월</stp>
        <tr r="K38" s="2"/>
      </tp>
      <tp>
        <v>1478.92</v>
        <stp/>
        <stp>P</stp>
        <stp>0</stp>
        <stp>IDX</stp>
        <stp>K2V04P</stp>
        <stp>고가</stp>
        <stp>45539</stp>
        <stp>Fill=true,Per=월</stp>
        <tr r="K378" s="2"/>
      </tp>
      <tp>
        <v>1338.26</v>
        <stp/>
        <stp>P</stp>
        <stp>0</stp>
        <stp>IDX</stp>
        <stp>K2W04P</stp>
        <stp>고가</stp>
        <stp>45539</stp>
        <stp>Fill=true,Per=월</stp>
        <tr r="K209" s="2"/>
      </tp>
      <tp>
        <v>789.26</v>
        <stp/>
        <stp>P</stp>
        <stp>0</stp>
        <stp>IDX</stp>
        <stp>F2X29P</stp>
        <stp>고가</stp>
        <stp>45539</stp>
        <stp>Fill=true,Per=월</stp>
        <tr r="K253" s="2"/>
      </tp>
      <tp>
        <v>376.47</v>
        <stp/>
        <stp>P</stp>
        <stp>0</stp>
        <stp>IDX</stp>
        <stp>F2X39P</stp>
        <stp>고가</stp>
        <stp>45539</stp>
        <stp>Fill=true,Per=월</stp>
        <tr r="K263" s="2"/>
      </tp>
      <tp>
        <v>208.84</v>
        <stp/>
        <stp>P</stp>
        <stp>0</stp>
        <stp>IDX</stp>
        <stp>F2X09P</stp>
        <stp>고가</stp>
        <stp>45539</stp>
        <stp>Fill=true,Per=월</stp>
        <tr r="K233" s="2"/>
      </tp>
      <tp>
        <v>896.23</v>
        <stp/>
        <stp>P</stp>
        <stp>0</stp>
        <stp>IDX</stp>
        <stp>F2X19P</stp>
        <stp>고가</stp>
        <stp>45539</stp>
        <stp>Fill=true,Per=월</stp>
        <tr r="K243" s="2"/>
      </tp>
      <tp>
        <v>3346.93</v>
        <stp/>
        <stp>P</stp>
        <stp>0</stp>
        <stp>IDX</stp>
        <stp>K2G04P</stp>
        <stp>고가</stp>
        <stp>45539</stp>
        <stp>Fill=true,Per=월</stp>
        <tr r="K352" s="2"/>
      </tp>
      <tp>
        <v>0</v>
        <stp/>
        <stp>P</stp>
        <stp>0</stp>
        <stp>IDX</stp>
        <stp>K2S04T</stp>
        <stp>저가</stp>
        <stp>45539</stp>
        <stp>Fill=true,Per=월</stp>
        <tr r="L366" s="2"/>
      </tp>
      <tp>
        <v>777.25</v>
        <stp/>
        <stp>P</stp>
        <stp>0</stp>
        <stp>IDX</stp>
        <stp>K2S04T</stp>
        <stp>시가</stp>
        <stp>45539</stp>
        <stp>Fill=true,Per=월</stp>
        <tr r="J366" s="2"/>
      </tp>
      <tp>
        <v>792.89</v>
        <stp/>
        <stp>P</stp>
        <stp>0</stp>
        <stp>IDX</stp>
        <stp>K2S04T</stp>
        <stp>고가</stp>
        <stp>45539</stp>
        <stp>Fill=true,Per=월</stp>
        <tr r="K366" s="2"/>
      </tp>
      <tp>
        <v>1933.76</v>
        <stp/>
        <stp>P</stp>
        <stp>0</stp>
        <stp>IDX</stp>
        <stp>FTX06T</stp>
        <stp>시가</stp>
        <stp>45539</stp>
        <stp>Fill=true,Per=월</stp>
        <tr r="J324" s="2"/>
      </tp>
      <tp>
        <v>0</v>
        <stp/>
        <stp>P</stp>
        <stp>0</stp>
        <stp>IDX</stp>
        <stp>FTX06T</stp>
        <stp>저가</stp>
        <stp>45539</stp>
        <stp>Fill=true,Per=월</stp>
        <tr r="L324" s="2"/>
      </tp>
      <tp>
        <v>1936.76</v>
        <stp/>
        <stp>P</stp>
        <stp>0</stp>
        <stp>IDX</stp>
        <stp>FTX06T</stp>
        <stp>고가</stp>
        <stp>45539</stp>
        <stp>Fill=true,Per=월</stp>
        <tr r="K324" s="2"/>
      </tp>
      <tp>
        <v>899.13</v>
        <stp/>
        <stp>P</stp>
        <stp>0</stp>
        <stp>IDX</stp>
        <stp>FRX06P</stp>
        <stp>시가</stp>
        <stp>45539</stp>
        <stp>Fill=true,Per=월</stp>
        <tr r="J306" s="2"/>
      </tp>
      <tp>
        <v>0</v>
        <stp/>
        <stp>P</stp>
        <stp>0</stp>
        <stp>IDX</stp>
        <stp>FRX06P</stp>
        <stp>저가</stp>
        <stp>45539</stp>
        <stp>Fill=true,Per=월</stp>
        <tr r="L306" s="2"/>
      </tp>
      <tp>
        <v>899.8</v>
        <stp/>
        <stp>P</stp>
        <stp>0</stp>
        <stp>IDX</stp>
        <stp>FRX06P</stp>
        <stp>고가</stp>
        <stp>45539</stp>
        <stp>Fill=true,Per=월</stp>
        <tr r="K306" s="2"/>
      </tp>
      <tp>
        <v>0</v>
        <stp/>
        <stp>P</stp>
        <stp>0</stp>
        <stp>IDX</stp>
        <stp>GGG07P</stp>
        <stp>저가</stp>
        <stp>45539</stp>
        <stp>Fill=true,Per=월</stp>
        <tr r="L337" s="2"/>
      </tp>
      <tp>
        <v>0</v>
        <stp/>
        <stp>P</stp>
        <stp>0</stp>
        <stp>IDX</stp>
        <stp>FGA06P</stp>
        <stp>저가</stp>
        <stp>45539</stp>
        <stp>Fill=true,Per=월</stp>
        <tr r="L290" s="2"/>
      </tp>
      <tp>
        <v>7343.33</v>
        <stp/>
        <stp>P</stp>
        <stp>0</stp>
        <stp>IDX</stp>
        <stp>GGG07P</stp>
        <stp>시가</stp>
        <stp>45539</stp>
        <stp>Fill=true,Per=월</stp>
        <tr r="J337" s="2"/>
      </tp>
      <tp>
        <v>1463</v>
        <stp/>
        <stp>P</stp>
        <stp>0</stp>
        <stp>IDX</stp>
        <stp>FGA06P</stp>
        <stp>시가</stp>
        <stp>45539</stp>
        <stp>Fill=true,Per=월</stp>
        <tr r="J290" s="2"/>
      </tp>
      <tp>
        <v>1477.67</v>
        <stp/>
        <stp>P</stp>
        <stp>0</stp>
        <stp>IDX</stp>
        <stp>FGA06P</stp>
        <stp>고가</stp>
        <stp>45539</stp>
        <stp>Fill=true,Per=월</stp>
        <tr r="K290" s="2"/>
      </tp>
      <tp>
        <v>7343.33</v>
        <stp/>
        <stp>P</stp>
        <stp>0</stp>
        <stp>IDX</stp>
        <stp>GGG07P</stp>
        <stp>고가</stp>
        <stp>45539</stp>
        <stp>Fill=true,Per=월</stp>
        <tr r="K337" s="2"/>
      </tp>
      <tp>
        <v>1193.9100000000001</v>
        <stp/>
        <stp>P</stp>
        <stp>0</stp>
        <stp>IDX</stp>
        <stp>F5X06T</stp>
        <stp>시가</stp>
        <stp>45539</stp>
        <stp>Fill=true,Per=월</stp>
        <tr r="J281" s="2"/>
      </tp>
      <tp>
        <v>0</v>
        <stp/>
        <stp>P</stp>
        <stp>0</stp>
        <stp>IDX</stp>
        <stp>F5X06T</stp>
        <stp>저가</stp>
        <stp>45539</stp>
        <stp>Fill=true,Per=월</stp>
        <tr r="L281" s="2"/>
      </tp>
      <tp>
        <v>1220.7</v>
        <stp/>
        <stp>P</stp>
        <stp>0</stp>
        <stp>IDX</stp>
        <stp>F5X06T</stp>
        <stp>고가</stp>
        <stp>45539</stp>
        <stp>Fill=true,Per=월</stp>
        <tr r="K281" s="2"/>
      </tp>
      <tp>
        <v>557.05999999999995</v>
        <stp/>
        <stp>P</stp>
        <stp>0</stp>
        <stp>IDX</stp>
        <stp>F2X26P</stp>
        <stp>시가</stp>
        <stp>45539</stp>
        <stp>Fill=true,Per=월</stp>
        <tr r="J250" s="2"/>
      </tp>
      <tp>
        <v>154.21</v>
        <stp/>
        <stp>P</stp>
        <stp>0</stp>
        <stp>IDX</stp>
        <stp>F2X36P</stp>
        <stp>시가</stp>
        <stp>45539</stp>
        <stp>Fill=true,Per=월</stp>
        <tr r="J260" s="2"/>
      </tp>
      <tp>
        <v>2001.79</v>
        <stp/>
        <stp>P</stp>
        <stp>0</stp>
        <stp>IDX</stp>
        <stp>F2X06P</stp>
        <stp>시가</stp>
        <stp>45539</stp>
        <stp>Fill=true,Per=월</stp>
        <tr r="J230" s="2"/>
      </tp>
      <tp>
        <v>920.96</v>
        <stp/>
        <stp>P</stp>
        <stp>0</stp>
        <stp>IDX</stp>
        <stp>F2X16P</stp>
        <stp>시가</stp>
        <stp>45539</stp>
        <stp>Fill=true,Per=월</stp>
        <tr r="J240" s="2"/>
      </tp>
      <tp>
        <v>0</v>
        <stp/>
        <stp>P</stp>
        <stp>0</stp>
        <stp>IDX</stp>
        <stp>F2S06P</stp>
        <stp>저가</stp>
        <stp>45539</stp>
        <stp>Fill=true,Per=월</stp>
        <tr r="L219" s="2"/>
      </tp>
      <tp>
        <v>0</v>
        <stp/>
        <stp>P</stp>
        <stp>0</stp>
        <stp>IDX</stp>
        <stp>F2X26P</stp>
        <stp>저가</stp>
        <stp>45539</stp>
        <stp>Fill=true,Per=월</stp>
        <tr r="L250" s="2"/>
      </tp>
      <tp>
        <v>0</v>
        <stp/>
        <stp>P</stp>
        <stp>0</stp>
        <stp>IDX</stp>
        <stp>F2X36P</stp>
        <stp>저가</stp>
        <stp>45539</stp>
        <stp>Fill=true,Per=월</stp>
        <tr r="L260" s="2"/>
      </tp>
      <tp>
        <v>0</v>
        <stp/>
        <stp>P</stp>
        <stp>0</stp>
        <stp>IDX</stp>
        <stp>F2X06P</stp>
        <stp>저가</stp>
        <stp>45539</stp>
        <stp>Fill=true,Per=월</stp>
        <tr r="L230" s="2"/>
      </tp>
      <tp>
        <v>0</v>
        <stp/>
        <stp>P</stp>
        <stp>0</stp>
        <stp>IDX</stp>
        <stp>F2X16P</stp>
        <stp>저가</stp>
        <stp>45539</stp>
        <stp>Fill=true,Per=월</stp>
        <tr r="L240" s="2"/>
      </tp>
      <tp>
        <v>1361.54</v>
        <stp/>
        <stp>P</stp>
        <stp>0</stp>
        <stp>IDX</stp>
        <stp>F2S06P</stp>
        <stp>시가</stp>
        <stp>45539</stp>
        <stp>Fill=true,Per=월</stp>
        <tr r="J219" s="2"/>
      </tp>
      <tp>
        <v>1361.54</v>
        <stp/>
        <stp>P</stp>
        <stp>0</stp>
        <stp>IDX</stp>
        <stp>F2S06P</stp>
        <stp>고가</stp>
        <stp>45539</stp>
        <stp>Fill=true,Per=월</stp>
        <tr r="K219" s="2"/>
      </tp>
      <tp>
        <v>575.41999999999996</v>
        <stp/>
        <stp>P</stp>
        <stp>0</stp>
        <stp>IDX</stp>
        <stp>F2X26P</stp>
        <stp>고가</stp>
        <stp>45539</stp>
        <stp>Fill=true,Per=월</stp>
        <tr r="K250" s="2"/>
      </tp>
      <tp>
        <v>164.37</v>
        <stp/>
        <stp>P</stp>
        <stp>0</stp>
        <stp>IDX</stp>
        <stp>F2X36P</stp>
        <stp>고가</stp>
        <stp>45539</stp>
        <stp>Fill=true,Per=월</stp>
        <tr r="K260" s="2"/>
      </tp>
      <tp>
        <v>2018.11</v>
        <stp/>
        <stp>P</stp>
        <stp>0</stp>
        <stp>IDX</stp>
        <stp>F2X06P</stp>
        <stp>고가</stp>
        <stp>45539</stp>
        <stp>Fill=true,Per=월</stp>
        <tr r="K230" s="2"/>
      </tp>
      <tp>
        <v>920.96</v>
        <stp/>
        <stp>P</stp>
        <stp>0</stp>
        <stp>IDX</stp>
        <stp>F2X16P</stp>
        <stp>고가</stp>
        <stp>45539</stp>
        <stp>Fill=true,Per=월</stp>
        <tr r="K240" s="2"/>
      </tp>
      <tp>
        <v>645.94000000000005</v>
        <stp/>
        <stp>P</stp>
        <stp>0</stp>
        <stp>IDX</stp>
        <stp>FRX07P</stp>
        <stp>시가</stp>
        <stp>45539</stp>
        <stp>Fill=true,Per=월</stp>
        <tr r="J307" s="2"/>
      </tp>
      <tp>
        <v>0</v>
        <stp/>
        <stp>P</stp>
        <stp>0</stp>
        <stp>IDX</stp>
        <stp>FRX07P</stp>
        <stp>저가</stp>
        <stp>45539</stp>
        <stp>Fill=true,Per=월</stp>
        <tr r="L307" s="2"/>
      </tp>
      <tp>
        <v>646.91</v>
        <stp/>
        <stp>P</stp>
        <stp>0</stp>
        <stp>IDX</stp>
        <stp>FRX07P</stp>
        <stp>고가</stp>
        <stp>45539</stp>
        <stp>Fill=true,Per=월</stp>
        <tr r="K307" s="2"/>
      </tp>
      <tp>
        <v>1155.77</v>
        <stp/>
        <stp>P</stp>
        <stp>0</stp>
        <stp>IDX</stp>
        <stp>FTX07P</stp>
        <stp>시가</stp>
        <stp>45539</stp>
        <stp>Fill=true,Per=월</stp>
        <tr r="J325" s="2"/>
      </tp>
      <tp>
        <v>0</v>
        <stp/>
        <stp>P</stp>
        <stp>0</stp>
        <stp>IDX</stp>
        <stp>FTX07P</stp>
        <stp>저가</stp>
        <stp>45539</stp>
        <stp>Fill=true,Per=월</stp>
        <tr r="L325" s="2"/>
      </tp>
      <tp>
        <v>1158.3599999999999</v>
        <stp/>
        <stp>P</stp>
        <stp>0</stp>
        <stp>IDX</stp>
        <stp>FTX07P</stp>
        <stp>고가</stp>
        <stp>45539</stp>
        <stp>Fill=true,Per=월</stp>
        <tr r="K325" s="2"/>
      </tp>
      <tp>
        <v>0</v>
        <stp/>
        <stp>P</stp>
        <stp>0</stp>
        <stp>IDX</stp>
        <stp>GGG06P</stp>
        <stp>저가</stp>
        <stp>45539</stp>
        <stp>Fill=true,Per=월</stp>
        <tr r="L336" s="2"/>
      </tp>
      <tp>
        <v>0</v>
        <stp/>
        <stp>P</stp>
        <stp>0</stp>
        <stp>IDX</stp>
        <stp>FGA07P</stp>
        <stp>저가</stp>
        <stp>45539</stp>
        <stp>Fill=true,Per=월</stp>
        <tr r="L291" s="2"/>
      </tp>
      <tp>
        <v>5828.15</v>
        <stp/>
        <stp>P</stp>
        <stp>0</stp>
        <stp>IDX</stp>
        <stp>GGG06P</stp>
        <stp>시가</stp>
        <stp>45539</stp>
        <stp>Fill=true,Per=월</stp>
        <tr r="J336" s="2"/>
      </tp>
      <tp>
        <v>1962.48</v>
        <stp/>
        <stp>P</stp>
        <stp>0</stp>
        <stp>IDX</stp>
        <stp>FGA07P</stp>
        <stp>시가</stp>
        <stp>45539</stp>
        <stp>Fill=true,Per=월</stp>
        <tr r="J291" s="2"/>
      </tp>
      <tp>
        <v>1963.7</v>
        <stp/>
        <stp>P</stp>
        <stp>0</stp>
        <stp>IDX</stp>
        <stp>FGA07P</stp>
        <stp>고가</stp>
        <stp>45539</stp>
        <stp>Fill=true,Per=월</stp>
        <tr r="K291" s="2"/>
      </tp>
      <tp>
        <v>5828.15</v>
        <stp/>
        <stp>P</stp>
        <stp>0</stp>
        <stp>IDX</stp>
        <stp>GGG06P</stp>
        <stp>고가</stp>
        <stp>45539</stp>
        <stp>Fill=true,Per=월</stp>
        <tr r="K336" s="2"/>
      </tp>
      <tp>
        <v>672.32</v>
        <stp/>
        <stp>P</stp>
        <stp>0</stp>
        <stp>IDX</stp>
        <stp>F5X07T</stp>
        <stp>시가</stp>
        <stp>45539</stp>
        <stp>Fill=true,Per=월</stp>
        <tr r="J282" s="2"/>
      </tp>
      <tp>
        <v>0</v>
        <stp/>
        <stp>P</stp>
        <stp>0</stp>
        <stp>IDX</stp>
        <stp>F5X07T</stp>
        <stp>저가</stp>
        <stp>45539</stp>
        <stp>Fill=true,Per=월</stp>
        <tr r="L282" s="2"/>
      </tp>
      <tp>
        <v>687.21</v>
        <stp/>
        <stp>P</stp>
        <stp>0</stp>
        <stp>IDX</stp>
        <stp>F5X07T</stp>
        <stp>고가</stp>
        <stp>45539</stp>
        <stp>Fill=true,Per=월</stp>
        <tr r="K282" s="2"/>
      </tp>
      <tp>
        <v>1364.74</v>
        <stp/>
        <stp>P</stp>
        <stp>0</stp>
        <stp>IDX</stp>
        <stp>F2X27P</stp>
        <stp>시가</stp>
        <stp>45539</stp>
        <stp>Fill=true,Per=월</stp>
        <tr r="J251" s="2"/>
      </tp>
      <tp>
        <v>1300.6099999999999</v>
        <stp/>
        <stp>P</stp>
        <stp>0</stp>
        <stp>IDX</stp>
        <stp>F2X37P</stp>
        <stp>시가</stp>
        <stp>45539</stp>
        <stp>Fill=true,Per=월</stp>
        <tr r="J261" s="2"/>
      </tp>
      <tp>
        <v>1960.21</v>
        <stp/>
        <stp>P</stp>
        <stp>0</stp>
        <stp>IDX</stp>
        <stp>F2X07P</stp>
        <stp>시가</stp>
        <stp>45539</stp>
        <stp>Fill=true,Per=월</stp>
        <tr r="J231" s="2"/>
      </tp>
      <tp>
        <v>437.17</v>
        <stp/>
        <stp>P</stp>
        <stp>0</stp>
        <stp>IDX</stp>
        <stp>F2X17P</stp>
        <stp>시가</stp>
        <stp>45539</stp>
        <stp>Fill=true,Per=월</stp>
        <tr r="J241" s="2"/>
      </tp>
      <tp>
        <v>0</v>
        <stp/>
        <stp>P</stp>
        <stp>0</stp>
        <stp>IDX</stp>
        <stp>F2S07P</stp>
        <stp>저가</stp>
        <stp>45539</stp>
        <stp>Fill=true,Per=월</stp>
        <tr r="L220" s="2"/>
      </tp>
      <tp>
        <v>0</v>
        <stp/>
        <stp>P</stp>
        <stp>0</stp>
        <stp>IDX</stp>
        <stp>F2X27P</stp>
        <stp>저가</stp>
        <stp>45539</stp>
        <stp>Fill=true,Per=월</stp>
        <tr r="L251" s="2"/>
      </tp>
      <tp>
        <v>0</v>
        <stp/>
        <stp>P</stp>
        <stp>0</stp>
        <stp>IDX</stp>
        <stp>F2X37P</stp>
        <stp>저가</stp>
        <stp>45539</stp>
        <stp>Fill=true,Per=월</stp>
        <tr r="L261" s="2"/>
      </tp>
      <tp>
        <v>0</v>
        <stp/>
        <stp>P</stp>
        <stp>0</stp>
        <stp>IDX</stp>
        <stp>F2X07P</stp>
        <stp>저가</stp>
        <stp>45539</stp>
        <stp>Fill=true,Per=월</stp>
        <tr r="L231" s="2"/>
      </tp>
      <tp>
        <v>0</v>
        <stp/>
        <stp>P</stp>
        <stp>0</stp>
        <stp>IDX</stp>
        <stp>F2X17P</stp>
        <stp>저가</stp>
        <stp>45539</stp>
        <stp>Fill=true,Per=월</stp>
        <tr r="L241" s="2"/>
      </tp>
      <tp>
        <v>1192.32</v>
        <stp/>
        <stp>P</stp>
        <stp>0</stp>
        <stp>IDX</stp>
        <stp>F2S07P</stp>
        <stp>시가</stp>
        <stp>45539</stp>
        <stp>Fill=true,Per=월</stp>
        <tr r="J220" s="2"/>
      </tp>
      <tp>
        <v>1192.32</v>
        <stp/>
        <stp>P</stp>
        <stp>0</stp>
        <stp>IDX</stp>
        <stp>F2S07P</stp>
        <stp>고가</stp>
        <stp>45539</stp>
        <stp>Fill=true,Per=월</stp>
        <tr r="K220" s="2"/>
      </tp>
      <tp>
        <v>1383.71</v>
        <stp/>
        <stp>P</stp>
        <stp>0</stp>
        <stp>IDX</stp>
        <stp>F2X27P</stp>
        <stp>고가</stp>
        <stp>45539</stp>
        <stp>Fill=true,Per=월</stp>
        <tr r="K251" s="2"/>
      </tp>
      <tp>
        <v>1336.78</v>
        <stp/>
        <stp>P</stp>
        <stp>0</stp>
        <stp>IDX</stp>
        <stp>F2X37P</stp>
        <stp>고가</stp>
        <stp>45539</stp>
        <stp>Fill=true,Per=월</stp>
        <tr r="K261" s="2"/>
      </tp>
      <tp>
        <v>1974.64</v>
        <stp/>
        <stp>P</stp>
        <stp>0</stp>
        <stp>IDX</stp>
        <stp>F2X07P</stp>
        <stp>고가</stp>
        <stp>45539</stp>
        <stp>Fill=true,Per=월</stp>
        <tr r="K231" s="2"/>
      </tp>
      <tp>
        <v>446.64</v>
        <stp/>
        <stp>P</stp>
        <stp>0</stp>
        <stp>IDX</stp>
        <stp>F2X17P</stp>
        <stp>고가</stp>
        <stp>45539</stp>
        <stp>Fill=true,Per=월</stp>
        <tr r="K241" s="2"/>
      </tp>
      <tp>
        <v>381.61</v>
        <stp/>
        <stp>P</stp>
        <stp>0</stp>
        <stp>IDX</stp>
        <stp>FRX04P</stp>
        <stp>시가</stp>
        <stp>45539</stp>
        <stp>Fill=true,Per=월</stp>
        <tr r="J304" s="2"/>
      </tp>
      <tp>
        <v>0</v>
        <stp/>
        <stp>P</stp>
        <stp>0</stp>
        <stp>IDX</stp>
        <stp>FRX04P</stp>
        <stp>저가</stp>
        <stp>45539</stp>
        <stp>Fill=true,Per=월</stp>
        <tr r="L304" s="2"/>
      </tp>
      <tp>
        <v>382.82</v>
        <stp/>
        <stp>P</stp>
        <stp>0</stp>
        <stp>IDX</stp>
        <stp>FRX04P</stp>
        <stp>고가</stp>
        <stp>45539</stp>
        <stp>Fill=true,Per=월</stp>
        <tr r="K304" s="2"/>
      </tp>
      <tp>
        <v>1528.63</v>
        <stp/>
        <stp>P</stp>
        <stp>0</stp>
        <stp>IDX</stp>
        <stp>FTX04P</stp>
        <stp>시가</stp>
        <stp>45539</stp>
        <stp>Fill=true,Per=월</stp>
        <tr r="J322" s="2"/>
      </tp>
      <tp>
        <v>1015.93</v>
        <stp/>
        <stp>P</stp>
        <stp>0</stp>
        <stp>IDX</stp>
        <stp>FT904P</stp>
        <stp>고가</stp>
        <stp>45539</stp>
        <stp>Fill=true,Per=월</stp>
        <tr r="K314" s="2"/>
      </tp>
      <tp>
        <v>0</v>
        <stp/>
        <stp>P</stp>
        <stp>0</stp>
        <stp>IDX</stp>
        <stp>FTX04P</stp>
        <stp>저가</stp>
        <stp>45539</stp>
        <stp>Fill=true,Per=월</stp>
        <tr r="L322" s="2"/>
      </tp>
      <tp>
        <v>1015.69</v>
        <stp/>
        <stp>P</stp>
        <stp>0</stp>
        <stp>IDX</stp>
        <stp>FT904P</stp>
        <stp>시가</stp>
        <stp>45539</stp>
        <stp>Fill=true,Per=월</stp>
        <tr r="J314" s="2"/>
      </tp>
      <tp>
        <v>1533.22</v>
        <stp/>
        <stp>P</stp>
        <stp>0</stp>
        <stp>IDX</stp>
        <stp>FTX04P</stp>
        <stp>고가</stp>
        <stp>45539</stp>
        <stp>Fill=true,Per=월</stp>
        <tr r="K322" s="2"/>
      </tp>
      <tp>
        <v>0</v>
        <stp/>
        <stp>P</stp>
        <stp>0</stp>
        <stp>IDX</stp>
        <stp>FT904P</stp>
        <stp>저가</stp>
        <stp>45539</stp>
        <stp>Fill=true,Per=월</stp>
        <tr r="L314" s="2"/>
      </tp>
      <tp>
        <v>351.07</v>
        <stp/>
        <stp>P</stp>
        <stp>0</stp>
        <stp>IDX</stp>
        <stp>FGX04T</stp>
        <stp>시가</stp>
        <stp>45539</stp>
        <stp>Fill=true,Per=월</stp>
        <tr r="J296" s="2"/>
      </tp>
      <tp>
        <v>0</v>
        <stp/>
        <stp>P</stp>
        <stp>0</stp>
        <stp>IDX</stp>
        <stp>FGX04T</stp>
        <stp>저가</stp>
        <stp>45539</stp>
        <stp>Fill=true,Per=월</stp>
        <tr r="L296" s="2"/>
      </tp>
      <tp>
        <v>0</v>
        <stp/>
        <stp>P</stp>
        <stp>0</stp>
        <stp>IDX</stp>
        <stp>FGA04T</stp>
        <stp>저가</stp>
        <stp>45539</stp>
        <stp>Fill=true,Per=월</stp>
        <tr r="L288" s="2"/>
      </tp>
      <tp>
        <v>1125.02</v>
        <stp/>
        <stp>P</stp>
        <stp>0</stp>
        <stp>IDX</stp>
        <stp>FGA04T</stp>
        <stp>시가</stp>
        <stp>45539</stp>
        <stp>Fill=true,Per=월</stp>
        <tr r="J288" s="2"/>
      </tp>
      <tp>
        <v>351.07</v>
        <stp/>
        <stp>P</stp>
        <stp>0</stp>
        <stp>IDX</stp>
        <stp>FGX04T</stp>
        <stp>고가</stp>
        <stp>45539</stp>
        <stp>Fill=true,Per=월</stp>
        <tr r="K296" s="2"/>
      </tp>
      <tp>
        <v>1138.21</v>
        <stp/>
        <stp>P</stp>
        <stp>0</stp>
        <stp>IDX</stp>
        <stp>FGA04T</stp>
        <stp>고가</stp>
        <stp>45539</stp>
        <stp>Fill=true,Per=월</stp>
        <tr r="K288" s="2"/>
      </tp>
      <tp>
        <v>0</v>
        <stp/>
        <stp>P</stp>
        <stp>0</stp>
        <stp>IDX</stp>
        <stp>KGS09P</stp>
        <stp>저가</stp>
        <stp>45539</stp>
        <stp>Fill=true,Per=월</stp>
        <tr r="L22" s="2"/>
      </tp>
      <tp>
        <v>0</v>
        <stp/>
        <stp>P</stp>
        <stp>0</stp>
        <stp>IDX</stp>
        <stp>KGS19P</stp>
        <stp>저가</stp>
        <stp>45539</stp>
        <stp>Fill=true,Per=월</stp>
        <tr r="L91" s="2"/>
      </tp>
      <tp>
        <v>27315.13</v>
        <stp/>
        <stp>P</stp>
        <stp>0</stp>
        <stp>IDX</stp>
        <stp>KGS09P</stp>
        <stp>시가</stp>
        <stp>45539</stp>
        <stp>Fill=true,Per=월</stp>
        <tr r="J22" s="2"/>
      </tp>
      <tp>
        <v>1432.39</v>
        <stp/>
        <stp>P</stp>
        <stp>0</stp>
        <stp>IDX</stp>
        <stp>KGS19P</stp>
        <stp>시가</stp>
        <stp>45539</stp>
        <stp>Fill=true,Per=월</stp>
        <tr r="J91" s="2"/>
      </tp>
      <tp>
        <v>0</v>
        <stp/>
        <stp>P</stp>
        <stp>0</stp>
        <stp>IDX</stp>
        <stp>GGG05P</stp>
        <stp>저가</stp>
        <stp>45539</stp>
        <stp>Fill=true,Per=월</stp>
        <tr r="L335" s="2"/>
      </tp>
      <tp>
        <v>2886.54</v>
        <stp/>
        <stp>P</stp>
        <stp>0</stp>
        <stp>IDX</stp>
        <stp>GGG05P</stp>
        <stp>시가</stp>
        <stp>45539</stp>
        <stp>Fill=true,Per=월</stp>
        <tr r="J335" s="2"/>
      </tp>
      <tp>
        <v>27609.19</v>
        <stp/>
        <stp>P</stp>
        <stp>0</stp>
        <stp>IDX</stp>
        <stp>KGS09P</stp>
        <stp>고가</stp>
        <stp>45539</stp>
        <stp>Fill=true,Per=월</stp>
        <tr r="K22" s="2"/>
      </tp>
      <tp>
        <v>1432.39</v>
        <stp/>
        <stp>P</stp>
        <stp>0</stp>
        <stp>IDX</stp>
        <stp>KGS19P</stp>
        <stp>고가</stp>
        <stp>45539</stp>
        <stp>Fill=true,Per=월</stp>
        <tr r="K91" s="2"/>
      </tp>
      <tp>
        <v>2886.54</v>
        <stp/>
        <stp>P</stp>
        <stp>0</stp>
        <stp>IDX</stp>
        <stp>GGG05P</stp>
        <stp>고가</stp>
        <stp>45539</stp>
        <stp>Fill=true,Per=월</stp>
        <tr r="K335" s="2"/>
      </tp>
      <tp>
        <v>1289.07</v>
        <stp/>
        <stp>P</stp>
        <stp>0</stp>
        <stp>IDX</stp>
        <stp>F5X04T</stp>
        <stp>시가</stp>
        <stp>45539</stp>
        <stp>Fill=true,Per=월</stp>
        <tr r="J279" s="2"/>
      </tp>
      <tp>
        <v>0</v>
        <stp/>
        <stp>P</stp>
        <stp>0</stp>
        <stp>IDX</stp>
        <stp>F5X04T</stp>
        <stp>저가</stp>
        <stp>45539</stp>
        <stp>Fill=true,Per=월</stp>
        <tr r="L279" s="2"/>
      </tp>
      <tp>
        <v>1317.99</v>
        <stp/>
        <stp>P</stp>
        <stp>0</stp>
        <stp>IDX</stp>
        <stp>F5X04T</stp>
        <stp>고가</stp>
        <stp>45539</stp>
        <stp>Fill=true,Per=월</stp>
        <tr r="K279" s="2"/>
      </tp>
      <tp>
        <v>551.03</v>
        <stp/>
        <stp>P</stp>
        <stp>0</stp>
        <stp>IDX</stp>
        <stp>F2X24P</stp>
        <stp>시가</stp>
        <stp>45539</stp>
        <stp>Fill=true,Per=월</stp>
        <tr r="J248" s="2"/>
      </tp>
      <tp>
        <v>149.62</v>
        <stp/>
        <stp>P</stp>
        <stp>0</stp>
        <stp>IDX</stp>
        <stp>F2X34P</stp>
        <stp>시가</stp>
        <stp>45539</stp>
        <stp>Fill=true,Per=월</stp>
        <tr r="J258" s="2"/>
      </tp>
      <tp>
        <v>63.07</v>
        <stp/>
        <stp>P</stp>
        <stp>0</stp>
        <stp>IDX</stp>
        <stp>F2X04P</stp>
        <stp>시가</stp>
        <stp>45539</stp>
        <stp>Fill=true,Per=월</stp>
        <tr r="J228" s="2"/>
      </tp>
      <tp>
        <v>988.21</v>
        <stp/>
        <stp>P</stp>
        <stp>0</stp>
        <stp>IDX</stp>
        <stp>K2X09P</stp>
        <stp>시가</stp>
        <stp>45539</stp>
        <stp>Fill=true,Per=월</stp>
        <tr r="J48" s="2"/>
      </tp>
      <tp>
        <v>924.25</v>
        <stp/>
        <stp>P</stp>
        <stp>0</stp>
        <stp>IDX</stp>
        <stp>F2X14P</stp>
        <stp>시가</stp>
        <stp>45539</stp>
        <stp>Fill=true,Per=월</stp>
        <tr r="J238" s="2"/>
      </tp>
      <tp>
        <v>0</v>
        <stp/>
        <stp>P</stp>
        <stp>0</stp>
        <stp>IDX</stp>
        <stp>F2S04P</stp>
        <stp>저가</stp>
        <stp>45539</stp>
        <stp>Fill=true,Per=월</stp>
        <tr r="L217" s="2"/>
      </tp>
      <tp>
        <v>0</v>
        <stp/>
        <stp>P</stp>
        <stp>0</stp>
        <stp>IDX</stp>
        <stp>K2S09P</stp>
        <stp>저가</stp>
        <stp>45539</stp>
        <stp>Fill=true,Per=월</stp>
        <tr r="L68" s="2"/>
      </tp>
      <tp>
        <v>0</v>
        <stp/>
        <stp>P</stp>
        <stp>0</stp>
        <stp>IDX</stp>
        <stp>F2X24P</stp>
        <stp>저가</stp>
        <stp>45539</stp>
        <stp>Fill=true,Per=월</stp>
        <tr r="L248" s="2"/>
      </tp>
      <tp>
        <v>0</v>
        <stp/>
        <stp>P</stp>
        <stp>0</stp>
        <stp>IDX</stp>
        <stp>F2X34P</stp>
        <stp>저가</stp>
        <stp>45539</stp>
        <stp>Fill=true,Per=월</stp>
        <tr r="L258" s="2"/>
      </tp>
      <tp>
        <v>0</v>
        <stp/>
        <stp>P</stp>
        <stp>0</stp>
        <stp>IDX</stp>
        <stp>F2X04P</stp>
        <stp>저가</stp>
        <stp>45539</stp>
        <stp>Fill=true,Per=월</stp>
        <tr r="L228" s="2"/>
      </tp>
      <tp>
        <v>0</v>
        <stp/>
        <stp>P</stp>
        <stp>0</stp>
        <stp>IDX</stp>
        <stp>K2X09P</stp>
        <stp>저가</stp>
        <stp>45539</stp>
        <stp>Fill=true,Per=월</stp>
        <tr r="L48" s="2"/>
      </tp>
      <tp>
        <v>0</v>
        <stp/>
        <stp>P</stp>
        <stp>0</stp>
        <stp>IDX</stp>
        <stp>F2X14P</stp>
        <stp>저가</stp>
        <stp>45539</stp>
        <stp>Fill=true,Per=월</stp>
        <tr r="L238" s="2"/>
      </tp>
      <tp>
        <v>1073.99</v>
        <stp/>
        <stp>P</stp>
        <stp>0</stp>
        <stp>IDX</stp>
        <stp>F2S04P</stp>
        <stp>시가</stp>
        <stp>45539</stp>
        <stp>Fill=true,Per=월</stp>
        <tr r="J217" s="2"/>
      </tp>
      <tp>
        <v>735.4</v>
        <stp/>
        <stp>P</stp>
        <stp>0</stp>
        <stp>IDX</stp>
        <stp>K2S09P</stp>
        <stp>시가</stp>
        <stp>45539</stp>
        <stp>Fill=true,Per=월</stp>
        <tr r="J68" s="2"/>
      </tp>
      <tp>
        <v>1073.99</v>
        <stp/>
        <stp>P</stp>
        <stp>0</stp>
        <stp>IDX</stp>
        <stp>F2S04P</stp>
        <stp>고가</stp>
        <stp>45539</stp>
        <stp>Fill=true,Per=월</stp>
        <tr r="K217" s="2"/>
      </tp>
      <tp>
        <v>768.89</v>
        <stp/>
        <stp>P</stp>
        <stp>0</stp>
        <stp>IDX</stp>
        <stp>K2S09P</stp>
        <stp>고가</stp>
        <stp>45539</stp>
        <stp>Fill=true,Per=월</stp>
        <tr r="K68" s="2"/>
      </tp>
      <tp>
        <v>556.86</v>
        <stp/>
        <stp>P</stp>
        <stp>0</stp>
        <stp>IDX</stp>
        <stp>F2X24P</stp>
        <stp>고가</stp>
        <stp>45539</stp>
        <stp>Fill=true,Per=월</stp>
        <tr r="K248" s="2"/>
      </tp>
      <tp>
        <v>152.78</v>
        <stp/>
        <stp>P</stp>
        <stp>0</stp>
        <stp>IDX</stp>
        <stp>F2X34P</stp>
        <stp>고가</stp>
        <stp>45539</stp>
        <stp>Fill=true,Per=월</stp>
        <tr r="K258" s="2"/>
      </tp>
      <tp>
        <v>65.34</v>
        <stp/>
        <stp>P</stp>
        <stp>0</stp>
        <stp>IDX</stp>
        <stp>F2X04P</stp>
        <stp>고가</stp>
        <stp>45539</stp>
        <stp>Fill=true,Per=월</stp>
        <tr r="K228" s="2"/>
      </tp>
      <tp>
        <v>988.21</v>
        <stp/>
        <stp>P</stp>
        <stp>0</stp>
        <stp>IDX</stp>
        <stp>K2X09P</stp>
        <stp>고가</stp>
        <stp>45539</stp>
        <stp>Fill=true,Per=월</stp>
        <tr r="K48" s="2"/>
      </tp>
      <tp>
        <v>942.53</v>
        <stp/>
        <stp>P</stp>
        <stp>0</stp>
        <stp>IDX</stp>
        <stp>F2X14P</stp>
        <stp>고가</stp>
        <stp>45539</stp>
        <stp>Fill=true,Per=월</stp>
        <tr r="K238" s="2"/>
      </tp>
      <tp>
        <v>2506.04</v>
        <stp/>
        <stp>P</stp>
        <stp>0</stp>
        <stp>IDX</stp>
        <stp>F2X44T</stp>
        <stp>시가</stp>
        <stp>45539</stp>
        <stp>Fill=true,Per=월</stp>
        <tr r="J268" s="2"/>
      </tp>
      <tp>
        <v>0</v>
        <stp/>
        <stp>P</stp>
        <stp>0</stp>
        <stp>IDX</stp>
        <stp>K2S09T</stp>
        <stp>저가</stp>
        <stp>45539</stp>
        <stp>Fill=true,Per=월</stp>
        <tr r="L371" s="2"/>
      </tp>
      <tp>
        <v>0</v>
        <stp/>
        <stp>P</stp>
        <stp>0</stp>
        <stp>IDX</stp>
        <stp>F2X44T</stp>
        <stp>저가</stp>
        <stp>45539</stp>
        <stp>Fill=true,Per=월</stp>
        <tr r="L268" s="2"/>
      </tp>
      <tp>
        <v>982.79</v>
        <stp/>
        <stp>P</stp>
        <stp>0</stp>
        <stp>IDX</stp>
        <stp>K2S09T</stp>
        <stp>시가</stp>
        <stp>45539</stp>
        <stp>Fill=true,Per=월</stp>
        <tr r="J371" s="2"/>
      </tp>
      <tp>
        <v>1027.55</v>
        <stp/>
        <stp>P</stp>
        <stp>0</stp>
        <stp>IDX</stp>
        <stp>K2S09T</stp>
        <stp>고가</stp>
        <stp>45539</stp>
        <stp>Fill=true,Per=월</stp>
        <tr r="K371" s="2"/>
      </tp>
      <tp>
        <v>2575.58</v>
        <stp/>
        <stp>P</stp>
        <stp>0</stp>
        <stp>IDX</stp>
        <stp>F2X44T</stp>
        <stp>고가</stp>
        <stp>45539</stp>
        <stp>Fill=true,Per=월</stp>
        <tr r="K268" s="2"/>
      </tp>
      <tp>
        <v>706.65</v>
        <stp/>
        <stp>P</stp>
        <stp>0</stp>
        <stp>IDX</stp>
        <stp>FRX05P</stp>
        <stp>시가</stp>
        <stp>45539</stp>
        <stp>Fill=true,Per=월</stp>
        <tr r="J305" s="2"/>
      </tp>
      <tp>
        <v>0</v>
        <stp/>
        <stp>P</stp>
        <stp>0</stp>
        <stp>IDX</stp>
        <stp>FRX05P</stp>
        <stp>저가</stp>
        <stp>45539</stp>
        <stp>Fill=true,Per=월</stp>
        <tr r="L305" s="2"/>
      </tp>
      <tp>
        <v>712.03</v>
        <stp/>
        <stp>P</stp>
        <stp>0</stp>
        <stp>IDX</stp>
        <stp>FRX05P</stp>
        <stp>고가</stp>
        <stp>45539</stp>
        <stp>Fill=true,Per=월</stp>
        <tr r="K305" s="2"/>
      </tp>
      <tp>
        <v>1170.79</v>
        <stp/>
        <stp>P</stp>
        <stp>0</stp>
        <stp>IDX</stp>
        <stp>FTX05P</stp>
        <stp>시가</stp>
        <stp>45539</stp>
        <stp>Fill=true,Per=월</stp>
        <tr r="J323" s="2"/>
      </tp>
      <tp>
        <v>0</v>
        <stp/>
        <stp>P</stp>
        <stp>0</stp>
        <stp>IDX</stp>
        <stp>FTX05P</stp>
        <stp>저가</stp>
        <stp>45539</stp>
        <stp>Fill=true,Per=월</stp>
        <tr r="L323" s="2"/>
      </tp>
      <tp>
        <v>1172.23</v>
        <stp/>
        <stp>P</stp>
        <stp>0</stp>
        <stp>IDX</stp>
        <stp>FTX05P</stp>
        <stp>고가</stp>
        <stp>45539</stp>
        <stp>Fill=true,Per=월</stp>
        <tr r="K323" s="2"/>
      </tp>
      <tp>
        <v>0</v>
        <stp/>
        <stp>P</stp>
        <stp>0</stp>
        <stp>IDX</stp>
        <stp>KGS08P</stp>
        <stp>저가</stp>
        <stp>45539</stp>
        <stp>Fill=true,Per=월</stp>
        <tr r="L66" s="2"/>
      </tp>
      <tp>
        <v>0</v>
        <stp/>
        <stp>P</stp>
        <stp>0</stp>
        <stp>IDX</stp>
        <stp>KGS18P</stp>
        <stp>저가</stp>
        <stp>45539</stp>
        <stp>Fill=true,Per=월</stp>
        <tr r="L19" s="2"/>
      </tp>
      <tp>
        <v>1278.48</v>
        <stp/>
        <stp>P</stp>
        <stp>0</stp>
        <stp>IDX</stp>
        <stp>KGS08P</stp>
        <stp>시가</stp>
        <stp>45539</stp>
        <stp>Fill=true,Per=월</stp>
        <tr r="J66" s="2"/>
      </tp>
      <tp>
        <v>7048.04</v>
        <stp/>
        <stp>P</stp>
        <stp>0</stp>
        <stp>IDX</stp>
        <stp>KGS18P</stp>
        <stp>시가</stp>
        <stp>45539</stp>
        <stp>Fill=true,Per=월</stp>
        <tr r="J19" s="2"/>
      </tp>
      <tp>
        <v>0</v>
        <stp/>
        <stp>P</stp>
        <stp>0</stp>
        <stp>IDX</stp>
        <stp>GGG04P</stp>
        <stp>저가</stp>
        <stp>45539</stp>
        <stp>Fill=true,Per=월</stp>
        <tr r="L334" s="2"/>
      </tp>
      <tp>
        <v>0</v>
        <stp/>
        <stp>P</stp>
        <stp>0</stp>
        <stp>IDX</stp>
        <stp>FGA05P</stp>
        <stp>저가</stp>
        <stp>45539</stp>
        <stp>Fill=true,Per=월</stp>
        <tr r="L289" s="2"/>
      </tp>
      <tp>
        <v>3846.84</v>
        <stp/>
        <stp>P</stp>
        <stp>0</stp>
        <stp>IDX</stp>
        <stp>GGG04P</stp>
        <stp>시가</stp>
        <stp>45539</stp>
        <stp>Fill=true,Per=월</stp>
        <tr r="J334" s="2"/>
      </tp>
      <tp>
        <v>1317.61</v>
        <stp/>
        <stp>P</stp>
        <stp>0</stp>
        <stp>IDX</stp>
        <stp>FGA05P</stp>
        <stp>시가</stp>
        <stp>45539</stp>
        <stp>Fill=true,Per=월</stp>
        <tr r="J289" s="2"/>
      </tp>
      <tp>
        <v>1278.73</v>
        <stp/>
        <stp>P</stp>
        <stp>0</stp>
        <stp>IDX</stp>
        <stp>KGS08P</stp>
        <stp>고가</stp>
        <stp>45539</stp>
        <stp>Fill=true,Per=월</stp>
        <tr r="K66" s="2"/>
      </tp>
      <tp>
        <v>7063.72</v>
        <stp/>
        <stp>P</stp>
        <stp>0</stp>
        <stp>IDX</stp>
        <stp>KGS18P</stp>
        <stp>고가</stp>
        <stp>45539</stp>
        <stp>Fill=true,Per=월</stp>
        <tr r="K19" s="2"/>
      </tp>
      <tp>
        <v>1319.35</v>
        <stp/>
        <stp>P</stp>
        <stp>0</stp>
        <stp>IDX</stp>
        <stp>FGA05P</stp>
        <stp>고가</stp>
        <stp>45539</stp>
        <stp>Fill=true,Per=월</stp>
        <tr r="K289" s="2"/>
      </tp>
      <tp>
        <v>3846.84</v>
        <stp/>
        <stp>P</stp>
        <stp>0</stp>
        <stp>IDX</stp>
        <stp>GGG04P</stp>
        <stp>고가</stp>
        <stp>45539</stp>
        <stp>Fill=true,Per=월</stp>
        <tr r="K334" s="2"/>
      </tp>
      <tp>
        <v>1247.4100000000001</v>
        <stp/>
        <stp>P</stp>
        <stp>0</stp>
        <stp>IDX</stp>
        <stp>F5X05T</stp>
        <stp>시가</stp>
        <stp>45539</stp>
        <stp>Fill=true,Per=월</stp>
        <tr r="J280" s="2"/>
      </tp>
      <tp>
        <v>0</v>
        <stp/>
        <stp>P</stp>
        <stp>0</stp>
        <stp>IDX</stp>
        <stp>F5X05T</stp>
        <stp>저가</stp>
        <stp>45539</stp>
        <stp>Fill=true,Per=월</stp>
        <tr r="L280" s="2"/>
      </tp>
      <tp>
        <v>1261.56</v>
        <stp/>
        <stp>P</stp>
        <stp>0</stp>
        <stp>IDX</stp>
        <stp>F5X05T</stp>
        <stp>고가</stp>
        <stp>45539</stp>
        <stp>Fill=true,Per=월</stp>
        <tr r="K280" s="2"/>
      </tp>
      <tp>
        <v>419.79</v>
        <stp/>
        <stp>P</stp>
        <stp>0</stp>
        <stp>IDX</stp>
        <stp>F2X25P</stp>
        <stp>시가</stp>
        <stp>45539</stp>
        <stp>Fill=true,Per=월</stp>
        <tr r="J249" s="2"/>
      </tp>
      <tp>
        <v>75.09</v>
        <stp/>
        <stp>P</stp>
        <stp>0</stp>
        <stp>IDX</stp>
        <stp>F2X35P</stp>
        <stp>시가</stp>
        <stp>45539</stp>
        <stp>Fill=true,Per=월</stp>
        <tr r="J259" s="2"/>
      </tp>
      <tp>
        <v>334.48</v>
        <stp/>
        <stp>P</stp>
        <stp>0</stp>
        <stp>IDX</stp>
        <stp>K2X08P</stp>
        <stp>시가</stp>
        <stp>45539</stp>
        <stp>Fill=true,Per=월</stp>
        <tr r="J56" s="2"/>
      </tp>
      <tp>
        <v>1028.67</v>
        <stp/>
        <stp>P</stp>
        <stp>0</stp>
        <stp>IDX</stp>
        <stp>F2X15P</stp>
        <stp>시가</stp>
        <stp>45539</stp>
        <stp>Fill=true,Per=월</stp>
        <tr r="J239" s="2"/>
      </tp>
      <tp>
        <v>0</v>
        <stp/>
        <stp>P</stp>
        <stp>0</stp>
        <stp>IDX</stp>
        <stp>F2S05P</stp>
        <stp>저가</stp>
        <stp>45539</stp>
        <stp>Fill=true,Per=월</stp>
        <tr r="L218" s="2"/>
      </tp>
      <tp>
        <v>0</v>
        <stp/>
        <stp>P</stp>
        <stp>0</stp>
        <stp>IDX</stp>
        <stp>K2S08P</stp>
        <stp>저가</stp>
        <stp>45539</stp>
        <stp>Fill=true,Per=월</stp>
        <tr r="L55" s="2"/>
      </tp>
      <tp>
        <v>0</v>
        <stp/>
        <stp>P</stp>
        <stp>0</stp>
        <stp>IDX</stp>
        <stp>F2X25P</stp>
        <stp>저가</stp>
        <stp>45539</stp>
        <stp>Fill=true,Per=월</stp>
        <tr r="L249" s="2"/>
      </tp>
      <tp>
        <v>0</v>
        <stp/>
        <stp>P</stp>
        <stp>0</stp>
        <stp>IDX</stp>
        <stp>F2X35P</stp>
        <stp>저가</stp>
        <stp>45539</stp>
        <stp>Fill=true,Per=월</stp>
        <tr r="L259" s="2"/>
      </tp>
      <tp>
        <v>0</v>
        <stp/>
        <stp>P</stp>
        <stp>0</stp>
        <stp>IDX</stp>
        <stp>K2X08P</stp>
        <stp>저가</stp>
        <stp>45539</stp>
        <stp>Fill=true,Per=월</stp>
        <tr r="L56" s="2"/>
      </tp>
      <tp>
        <v>0</v>
        <stp/>
        <stp>P</stp>
        <stp>0</stp>
        <stp>IDX</stp>
        <stp>F2X15P</stp>
        <stp>저가</stp>
        <stp>45539</stp>
        <stp>Fill=true,Per=월</stp>
        <tr r="L239" s="2"/>
      </tp>
      <tp>
        <v>1198.42</v>
        <stp/>
        <stp>P</stp>
        <stp>0</stp>
        <stp>IDX</stp>
        <stp>F2S05P</stp>
        <stp>시가</stp>
        <stp>45539</stp>
        <stp>Fill=true,Per=월</stp>
        <tr r="J218" s="2"/>
      </tp>
      <tp>
        <v>472.67</v>
        <stp/>
        <stp>P</stp>
        <stp>0</stp>
        <stp>IDX</stp>
        <stp>K2S08P</stp>
        <stp>시가</stp>
        <stp>45539</stp>
        <stp>Fill=true,Per=월</stp>
        <tr r="J55" s="2"/>
      </tp>
      <tp>
        <v>0</v>
        <stp/>
        <stp>P</stp>
        <stp>0</stp>
        <stp>IDX</stp>
        <stp>K2G08P</stp>
        <stp>저가</stp>
        <stp>45539</stp>
        <stp>Fill=true,Per=월</stp>
        <tr r="L358" s="2"/>
      </tp>
      <tp>
        <v>358.1</v>
        <stp/>
        <stp>P</stp>
        <stp>0</stp>
        <stp>IDX</stp>
        <stp>K2G08P</stp>
        <stp>시가</stp>
        <stp>45539</stp>
        <stp>Fill=true,Per=월</stp>
        <tr r="J358" s="2"/>
      </tp>
      <tp>
        <v>1210.3599999999999</v>
        <stp/>
        <stp>P</stp>
        <stp>0</stp>
        <stp>IDX</stp>
        <stp>F2S05P</stp>
        <stp>고가</stp>
        <stp>45539</stp>
        <stp>Fill=true,Per=월</stp>
        <tr r="K218" s="2"/>
      </tp>
      <tp>
        <v>472.67</v>
        <stp/>
        <stp>P</stp>
        <stp>0</stp>
        <stp>IDX</stp>
        <stp>K2S08P</stp>
        <stp>고가</stp>
        <stp>45539</stp>
        <stp>Fill=true,Per=월</stp>
        <tr r="K55" s="2"/>
      </tp>
      <tp>
        <v>433.11</v>
        <stp/>
        <stp>P</stp>
        <stp>0</stp>
        <stp>IDX</stp>
        <stp>F2X25P</stp>
        <stp>고가</stp>
        <stp>45539</stp>
        <stp>Fill=true,Per=월</stp>
        <tr r="K249" s="2"/>
      </tp>
      <tp>
        <v>79.88</v>
        <stp/>
        <stp>P</stp>
        <stp>0</stp>
        <stp>IDX</stp>
        <stp>F2X35P</stp>
        <stp>고가</stp>
        <stp>45539</stp>
        <stp>Fill=true,Per=월</stp>
        <tr r="K259" s="2"/>
      </tp>
      <tp>
        <v>334.48</v>
        <stp/>
        <stp>P</stp>
        <stp>0</stp>
        <stp>IDX</stp>
        <stp>K2X08P</stp>
        <stp>고가</stp>
        <stp>45539</stp>
        <stp>Fill=true,Per=월</stp>
        <tr r="K56" s="2"/>
      </tp>
      <tp>
        <v>1028.67</v>
        <stp/>
        <stp>P</stp>
        <stp>0</stp>
        <stp>IDX</stp>
        <stp>F2X15P</stp>
        <stp>고가</stp>
        <stp>45539</stp>
        <stp>Fill=true,Per=월</stp>
        <tr r="K239" s="2"/>
      </tp>
      <tp>
        <v>359.59</v>
        <stp/>
        <stp>P</stp>
        <stp>0</stp>
        <stp>IDX</stp>
        <stp>K2G08P</stp>
        <stp>고가</stp>
        <stp>45539</stp>
        <stp>Fill=true,Per=월</stp>
        <tr r="K358" s="2"/>
      </tp>
      <tp>
        <v>2508.16</v>
        <stp/>
        <stp>P</stp>
        <stp>0</stp>
        <stp>IDX</stp>
        <stp>F2X05T</stp>
        <stp>시가</stp>
        <stp>45539</stp>
        <stp>Fill=true,Per=월</stp>
        <tr r="J229" s="2"/>
      </tp>
      <tp>
        <v>0</v>
        <stp/>
        <stp>P</stp>
        <stp>0</stp>
        <stp>IDX</stp>
        <stp>K2S08T</stp>
        <stp>저가</stp>
        <stp>45539</stp>
        <stp>Fill=true,Per=월</stp>
        <tr r="L370" s="2"/>
      </tp>
      <tp>
        <v>0</v>
        <stp/>
        <stp>P</stp>
        <stp>0</stp>
        <stp>IDX</stp>
        <stp>F2X05T</stp>
        <stp>저가</stp>
        <stp>45539</stp>
        <stp>Fill=true,Per=월</stp>
        <tr r="L229" s="2"/>
      </tp>
      <tp>
        <v>525.37</v>
        <stp/>
        <stp>P</stp>
        <stp>0</stp>
        <stp>IDX</stp>
        <stp>K2S08T</stp>
        <stp>시가</stp>
        <stp>45539</stp>
        <stp>Fill=true,Per=월</stp>
        <tr r="J370" s="2"/>
      </tp>
      <tp>
        <v>0</v>
        <stp/>
        <stp>P</stp>
        <stp>0</stp>
        <stp>IDX</stp>
        <stp>K2G08T</stp>
        <stp>저가</stp>
        <stp>45539</stp>
        <stp>Fill=true,Per=월</stp>
        <tr r="L359" s="2"/>
      </tp>
      <tp>
        <v>458.2</v>
        <stp/>
        <stp>P</stp>
        <stp>0</stp>
        <stp>IDX</stp>
        <stp>K2G08T</stp>
        <stp>시가</stp>
        <stp>45539</stp>
        <stp>Fill=true,Per=월</stp>
        <tr r="J359" s="2"/>
      </tp>
      <tp>
        <v>525.37</v>
        <stp/>
        <stp>P</stp>
        <stp>0</stp>
        <stp>IDX</stp>
        <stp>K2S08T</stp>
        <stp>고가</stp>
        <stp>45539</stp>
        <stp>Fill=true,Per=월</stp>
        <tr r="K370" s="2"/>
      </tp>
      <tp>
        <v>2538.21</v>
        <stp/>
        <stp>P</stp>
        <stp>0</stp>
        <stp>IDX</stp>
        <stp>F2X05T</stp>
        <stp>고가</stp>
        <stp>45539</stp>
        <stp>Fill=true,Per=월</stp>
        <tr r="K229" s="2"/>
      </tp>
      <tp>
        <v>460.08</v>
        <stp/>
        <stp>P</stp>
        <stp>0</stp>
        <stp>IDX</stp>
        <stp>K2G08T</stp>
        <stp>고가</stp>
        <stp>45539</stp>
        <stp>Fill=true,Per=월</stp>
        <tr r="K359" s="2"/>
      </tp>
      <tp>
        <v>0</v>
        <stp/>
        <stp>P</stp>
        <stp>0</stp>
        <stp>IDX</stp>
        <stp>K2G08N</stp>
        <stp>저가</stp>
        <stp>45539</stp>
        <stp>Fill=true,Per=월</stp>
        <tr r="L357" s="2"/>
      </tp>
      <tp>
        <v>440.94</v>
        <stp/>
        <stp>P</stp>
        <stp>0</stp>
        <stp>IDX</stp>
        <stp>K2G08N</stp>
        <stp>시가</stp>
        <stp>45539</stp>
        <stp>Fill=true,Per=월</stp>
        <tr r="J357" s="2"/>
      </tp>
      <tp>
        <v>442.75</v>
        <stp/>
        <stp>P</stp>
        <stp>0</stp>
        <stp>IDX</stp>
        <stp>K2G08N</stp>
        <stp>고가</stp>
        <stp>45539</stp>
        <stp>Fill=true,Per=월</stp>
        <tr r="K357" s="2"/>
      </tp>
      <tp>
        <v>1500.07</v>
        <stp/>
        <stp>P</stp>
        <stp>0</stp>
        <stp>IDX</stp>
        <stp>FRX02P</stp>
        <stp>시가</stp>
        <stp>45539</stp>
        <stp>Fill=true,Per=월</stp>
        <tr r="J302" s="2"/>
      </tp>
      <tp>
        <v>652.91</v>
        <stp/>
        <stp>P</stp>
        <stp>0</stp>
        <stp>IDX</stp>
        <stp>FRX12P</stp>
        <stp>시가</stp>
        <stp>45539</stp>
        <stp>Fill=true,Per=월</stp>
        <tr r="J312" s="2"/>
      </tp>
      <tp>
        <v>0</v>
        <stp/>
        <stp>P</stp>
        <stp>0</stp>
        <stp>IDX</stp>
        <stp>FRX02P</stp>
        <stp>저가</stp>
        <stp>45539</stp>
        <stp>Fill=true,Per=월</stp>
        <tr r="L302" s="2"/>
      </tp>
      <tp>
        <v>0</v>
        <stp/>
        <stp>P</stp>
        <stp>0</stp>
        <stp>IDX</stp>
        <stp>FRX12P</stp>
        <stp>저가</stp>
        <stp>45539</stp>
        <stp>Fill=true,Per=월</stp>
        <tr r="L312" s="2"/>
      </tp>
      <tp>
        <v>0</v>
        <stp/>
        <stp>P</stp>
        <stp>0</stp>
        <stp>IDX</stp>
        <stp>FRG02P</stp>
        <stp>저가</stp>
        <stp>45539</stp>
        <stp>Fill=true,Per=월</stp>
        <tr r="L299" s="2"/>
      </tp>
      <tp>
        <v>869.14</v>
        <stp/>
        <stp>P</stp>
        <stp>0</stp>
        <stp>IDX</stp>
        <stp>FRG02P</stp>
        <stp>시가</stp>
        <stp>45539</stp>
        <stp>Fill=true,Per=월</stp>
        <tr r="J299" s="2"/>
      </tp>
      <tp>
        <v>1514.97</v>
        <stp/>
        <stp>P</stp>
        <stp>0</stp>
        <stp>IDX</stp>
        <stp>FRX02P</stp>
        <stp>고가</stp>
        <stp>45539</stp>
        <stp>Fill=true,Per=월</stp>
        <tr r="K302" s="2"/>
      </tp>
      <tp>
        <v>663.17</v>
        <stp/>
        <stp>P</stp>
        <stp>0</stp>
        <stp>IDX</stp>
        <stp>FRX12P</stp>
        <stp>고가</stp>
        <stp>45539</stp>
        <stp>Fill=true,Per=월</stp>
        <tr r="K312" s="2"/>
      </tp>
      <tp>
        <v>872.49</v>
        <stp/>
        <stp>P</stp>
        <stp>0</stp>
        <stp>IDX</stp>
        <stp>FRG02P</stp>
        <stp>고가</stp>
        <stp>45539</stp>
        <stp>Fill=true,Per=월</stp>
        <tr r="K299" s="2"/>
      </tp>
      <tp>
        <v>1263.02</v>
        <stp/>
        <stp>P</stp>
        <stp>0</stp>
        <stp>IDX</stp>
        <stp>FTX02P</stp>
        <stp>시가</stp>
        <stp>45539</stp>
        <stp>Fill=true,Per=월</stp>
        <tr r="J320" s="2"/>
      </tp>
      <tp>
        <v>0</v>
        <stp/>
        <stp>P</stp>
        <stp>0</stp>
        <stp>IDX</stp>
        <stp>FTX02P</stp>
        <stp>저가</stp>
        <stp>45539</stp>
        <stp>Fill=true,Per=월</stp>
        <tr r="L320" s="2"/>
      </tp>
      <tp>
        <v>0</v>
        <stp/>
        <stp>P</stp>
        <stp>0</stp>
        <stp>IDX</stp>
        <stp>FTG02P</stp>
        <stp>저가</stp>
        <stp>45539</stp>
        <stp>Fill=true,Per=월</stp>
        <tr r="L318" s="2"/>
      </tp>
      <tp>
        <v>0</v>
        <stp/>
        <stp>P</stp>
        <stp>0</stp>
        <stp>IDX</stp>
        <stp>FTA02P</stp>
        <stp>저가</stp>
        <stp>45539</stp>
        <stp>Fill=true,Per=월</stp>
        <tr r="L316" s="2"/>
      </tp>
      <tp>
        <v>1228.8900000000001</v>
        <stp/>
        <stp>P</stp>
        <stp>0</stp>
        <stp>IDX</stp>
        <stp>FTG02P</stp>
        <stp>시가</stp>
        <stp>45539</stp>
        <stp>Fill=true,Per=월</stp>
        <tr r="J318" s="2"/>
      </tp>
      <tp>
        <v>1326.21</v>
        <stp/>
        <stp>P</stp>
        <stp>0</stp>
        <stp>IDX</stp>
        <stp>FTA02P</stp>
        <stp>시가</stp>
        <stp>45539</stp>
        <stp>Fill=true,Per=월</stp>
        <tr r="J316" s="2"/>
      </tp>
      <tp>
        <v>1263.8900000000001</v>
        <stp/>
        <stp>P</stp>
        <stp>0</stp>
        <stp>IDX</stp>
        <stp>FTX02P</stp>
        <stp>고가</stp>
        <stp>45539</stp>
        <stp>Fill=true,Per=월</stp>
        <tr r="K320" s="2"/>
      </tp>
      <tp>
        <v>1326.69</v>
        <stp/>
        <stp>P</stp>
        <stp>0</stp>
        <stp>IDX</stp>
        <stp>FTA02P</stp>
        <stp>고가</stp>
        <stp>45539</stp>
        <stp>Fill=true,Per=월</stp>
        <tr r="K316" s="2"/>
      </tp>
      <tp>
        <v>1229.8399999999999</v>
        <stp/>
        <stp>P</stp>
        <stp>0</stp>
        <stp>IDX</stp>
        <stp>FTG02P</stp>
        <stp>고가</stp>
        <stp>45539</stp>
        <stp>Fill=true,Per=월</stp>
        <tr r="K318" s="2"/>
      </tp>
      <tp>
        <v>1981.05</v>
        <stp/>
        <stp>P</stp>
        <stp>0</stp>
        <stp>IDX</stp>
        <stp>FGX02T</stp>
        <stp>시가</stp>
        <stp>45539</stp>
        <stp>Fill=true,Per=월</stp>
        <tr r="J294" s="2"/>
      </tp>
      <tp>
        <v>0</v>
        <stp/>
        <stp>P</stp>
        <stp>0</stp>
        <stp>IDX</stp>
        <stp>FGX02T</stp>
        <stp>저가</stp>
        <stp>45539</stp>
        <stp>Fill=true,Per=월</stp>
        <tr r="L294" s="2"/>
      </tp>
      <tp>
        <v>2046.94</v>
        <stp/>
        <stp>P</stp>
        <stp>0</stp>
        <stp>IDX</stp>
        <stp>FGX02T</stp>
        <stp>고가</stp>
        <stp>45539</stp>
        <stp>Fill=true,Per=월</stp>
        <tr r="K294" s="2"/>
      </tp>
      <tp>
        <v>0</v>
        <stp/>
        <stp>P</stp>
        <stp>0</stp>
        <stp>IDX</stp>
        <stp>GGT03P</stp>
        <stp>저가</stp>
        <stp>45539</stp>
        <stp>Fill=true,Per=월</stp>
        <tr r="L342" s="2"/>
      </tp>
      <tp>
        <v>2952.08</v>
        <stp/>
        <stp>P</stp>
        <stp>0</stp>
        <stp>IDX</stp>
        <stp>GGT03P</stp>
        <stp>시가</stp>
        <stp>45539</stp>
        <stp>Fill=true,Per=월</stp>
        <tr r="J342" s="2"/>
      </tp>
      <tp>
        <v>0</v>
        <stp/>
        <stp>P</stp>
        <stp>0</stp>
        <stp>IDX</stp>
        <stp>GGG03P</stp>
        <stp>저가</stp>
        <stp>45539</stp>
        <stp>Fill=true,Per=월</stp>
        <tr r="L333" s="2"/>
      </tp>
      <tp>
        <v>0</v>
        <stp/>
        <stp>P</stp>
        <stp>0</stp>
        <stp>IDX</stp>
        <stp>MGA09P</stp>
        <stp>저가</stp>
        <stp>45539</stp>
        <stp>Fill=true,Per=월</stp>
        <tr r="L127" s="2"/>
      </tp>
      <tp>
        <v>2873.56</v>
        <stp/>
        <stp>P</stp>
        <stp>0</stp>
        <stp>IDX</stp>
        <stp>GGG03P</stp>
        <stp>시가</stp>
        <stp>45539</stp>
        <stp>Fill=true,Per=월</stp>
        <tr r="J333" s="2"/>
      </tp>
      <tp>
        <v>2031.2</v>
        <stp/>
        <stp>P</stp>
        <stp>0</stp>
        <stp>IDX</stp>
        <stp>MGA09P</stp>
        <stp>시가</stp>
        <stp>45539</stp>
        <stp>Fill=true,Per=월</stp>
        <tr r="J127" s="2"/>
      </tp>
      <tp>
        <v>2954.77</v>
        <stp/>
        <stp>P</stp>
        <stp>0</stp>
        <stp>IDX</stp>
        <stp>GGT03P</stp>
        <stp>고가</stp>
        <stp>45539</stp>
        <stp>Fill=true,Per=월</stp>
        <tr r="K342" s="2"/>
      </tp>
      <tp>
        <v>2039.12</v>
        <stp/>
        <stp>P</stp>
        <stp>0</stp>
        <stp>IDX</stp>
        <stp>MGA09P</stp>
        <stp>고가</stp>
        <stp>45539</stp>
        <stp>Fill=true,Per=월</stp>
        <tr r="K127" s="2"/>
      </tp>
      <tp>
        <v>2873.56</v>
        <stp/>
        <stp>P</stp>
        <stp>0</stp>
        <stp>IDX</stp>
        <stp>GGG03P</stp>
        <stp>고가</stp>
        <stp>45539</stp>
        <stp>Fill=true,Per=월</stp>
        <tr r="K333" s="2"/>
      </tp>
      <tp>
        <v>60</v>
        <stp/>
        <stp>P</stp>
        <stp>0</stp>
        <stp>IDX</stp>
        <stp>F5X02T</stp>
        <stp>시가</stp>
        <stp>45539</stp>
        <stp>Fill=true,Per=월</stp>
        <tr r="J277" s="2"/>
      </tp>
      <tp>
        <v>1748.87</v>
        <stp/>
        <stp>P</stp>
        <stp>0</stp>
        <stp>IDX</stp>
        <stp>F5902T</stp>
        <stp>고가</stp>
        <stp>45539</stp>
        <stp>Fill=true,Per=월</stp>
        <tr r="K274" s="2"/>
      </tp>
      <tp>
        <v>0</v>
        <stp/>
        <stp>P</stp>
        <stp>0</stp>
        <stp>IDX</stp>
        <stp>F5X02T</stp>
        <stp>저가</stp>
        <stp>45539</stp>
        <stp>Fill=true,Per=월</stp>
        <tr r="L277" s="2"/>
      </tp>
      <tp>
        <v>1738.99</v>
        <stp/>
        <stp>P</stp>
        <stp>0</stp>
        <stp>IDX</stp>
        <stp>F5902T</stp>
        <stp>시가</stp>
        <stp>45539</stp>
        <stp>Fill=true,Per=월</stp>
        <tr r="J274" s="2"/>
      </tp>
      <tp>
        <v>61.33</v>
        <stp/>
        <stp>P</stp>
        <stp>0</stp>
        <stp>IDX</stp>
        <stp>F5X02T</stp>
        <stp>고가</stp>
        <stp>45539</stp>
        <stp>Fill=true,Per=월</stp>
        <tr r="K277" s="2"/>
      </tp>
      <tp>
        <v>0</v>
        <stp/>
        <stp>P</stp>
        <stp>0</stp>
        <stp>IDX</stp>
        <stp>F5902T</stp>
        <stp>저가</stp>
        <stp>45539</stp>
        <stp>Fill=true,Per=월</stp>
        <tr r="L274" s="2"/>
      </tp>
      <tp>
        <v>801.2</v>
        <stp/>
        <stp>P</stp>
        <stp>0</stp>
        <stp>IDX</stp>
        <stp>F3X02P</stp>
        <stp>시가</stp>
        <stp>45539</stp>
        <stp>Fill=true,Per=월</stp>
        <tr r="J271" s="2"/>
      </tp>
      <tp>
        <v>0</v>
        <stp/>
        <stp>P</stp>
        <stp>0</stp>
        <stp>IDX</stp>
        <stp>F3X02P</stp>
        <stp>저가</stp>
        <stp>45539</stp>
        <stp>Fill=true,Per=월</stp>
        <tr r="L271" s="2"/>
      </tp>
      <tp>
        <v>808.69</v>
        <stp/>
        <stp>P</stp>
        <stp>0</stp>
        <stp>IDX</stp>
        <stp>F3X02P</stp>
        <stp>고가</stp>
        <stp>45539</stp>
        <stp>Fill=true,Per=월</stp>
        <tr r="K271" s="2"/>
      </tp>
      <tp>
        <v>0</v>
        <stp/>
        <stp>P</stp>
        <stp>0</stp>
        <stp>IDX</stp>
        <stp>F2V02P</stp>
        <stp>저가</stp>
        <stp>45539</stp>
        <stp>Fill=true,Per=월</stp>
        <tr r="L224" s="2"/>
      </tp>
      <tp>
        <v>523.97</v>
        <stp/>
        <stp>P</stp>
        <stp>0</stp>
        <stp>IDX</stp>
        <stp>F2X22P</stp>
        <stp>시가</stp>
        <stp>45539</stp>
        <stp>Fill=true,Per=월</stp>
        <tr r="J246" s="2"/>
      </tp>
      <tp>
        <v>157.43</v>
        <stp/>
        <stp>P</stp>
        <stp>0</stp>
        <stp>IDX</stp>
        <stp>F2X32P</stp>
        <stp>시가</stp>
        <stp>45539</stp>
        <stp>Fill=true,Per=월</stp>
        <tr r="J256" s="2"/>
      </tp>
      <tp>
        <v>542.47</v>
        <stp/>
        <stp>P</stp>
        <stp>0</stp>
        <stp>IDX</stp>
        <stp>F2X02P</stp>
        <stp>시가</stp>
        <stp>45539</stp>
        <stp>Fill=true,Per=월</stp>
        <tr r="J226" s="2"/>
      </tp>
      <tp>
        <v>1655.37</v>
        <stp/>
        <stp>P</stp>
        <stp>0</stp>
        <stp>IDX</stp>
        <stp>F2X12P</stp>
        <stp>시가</stp>
        <stp>45539</stp>
        <stp>Fill=true,Per=월</stp>
        <tr r="J236" s="2"/>
      </tp>
      <tp>
        <v>0</v>
        <stp/>
        <stp>P</stp>
        <stp>0</stp>
        <stp>IDX</stp>
        <stp>F2S02P</stp>
        <stp>저가</stp>
        <stp>45539</stp>
        <stp>Fill=true,Per=월</stp>
        <tr r="L215" s="2"/>
      </tp>
      <tp>
        <v>1346</v>
        <stp/>
        <stp>P</stp>
        <stp>0</stp>
        <stp>IDX</stp>
        <stp>F2V02P</stp>
        <stp>시가</stp>
        <stp>45539</stp>
        <stp>Fill=true,Per=월</stp>
        <tr r="J224" s="2"/>
      </tp>
      <tp>
        <v>0</v>
        <stp/>
        <stp>P</stp>
        <stp>0</stp>
        <stp>IDX</stp>
        <stp>F2X22P</stp>
        <stp>저가</stp>
        <stp>45539</stp>
        <stp>Fill=true,Per=월</stp>
        <tr r="L246" s="2"/>
      </tp>
      <tp>
        <v>0</v>
        <stp/>
        <stp>P</stp>
        <stp>0</stp>
        <stp>IDX</stp>
        <stp>F2X32P</stp>
        <stp>저가</stp>
        <stp>45539</stp>
        <stp>Fill=true,Per=월</stp>
        <tr r="L256" s="2"/>
      </tp>
      <tp>
        <v>0</v>
        <stp/>
        <stp>P</stp>
        <stp>0</stp>
        <stp>IDX</stp>
        <stp>F2X02P</stp>
        <stp>저가</stp>
        <stp>45539</stp>
        <stp>Fill=true,Per=월</stp>
        <tr r="L226" s="2"/>
      </tp>
      <tp>
        <v>0</v>
        <stp/>
        <stp>P</stp>
        <stp>0</stp>
        <stp>IDX</stp>
        <stp>F2X12P</stp>
        <stp>저가</stp>
        <stp>45539</stp>
        <stp>Fill=true,Per=월</stp>
        <tr r="L236" s="2"/>
      </tp>
      <tp>
        <v>2018.36</v>
        <stp/>
        <stp>P</stp>
        <stp>0</stp>
        <stp>IDX</stp>
        <stp>F2S02P</stp>
        <stp>시가</stp>
        <stp>45539</stp>
        <stp>Fill=true,Per=월</stp>
        <tr r="J215" s="2"/>
      </tp>
      <tp>
        <v>0</v>
        <stp/>
        <stp>P</stp>
        <stp>0</stp>
        <stp>IDX</stp>
        <stp>F2G02P</stp>
        <stp>저가</stp>
        <stp>45539</stp>
        <stp>Fill=true,Per=월</stp>
        <tr r="L213" s="2"/>
      </tp>
      <tp>
        <v>1514.8</v>
        <stp/>
        <stp>P</stp>
        <stp>0</stp>
        <stp>IDX</stp>
        <stp>F2G02P</stp>
        <stp>시가</stp>
        <stp>45539</stp>
        <stp>Fill=true,Per=월</stp>
        <tr r="J213" s="2"/>
      </tp>
      <tp>
        <v>2040.75</v>
        <stp/>
        <stp>P</stp>
        <stp>0</stp>
        <stp>IDX</stp>
        <stp>F2S02P</stp>
        <stp>고가</stp>
        <stp>45539</stp>
        <stp>Fill=true,Per=월</stp>
        <tr r="K215" s="2"/>
      </tp>
      <tp>
        <v>1352.77</v>
        <stp/>
        <stp>P</stp>
        <stp>0</stp>
        <stp>IDX</stp>
        <stp>F2V02P</stp>
        <stp>고가</stp>
        <stp>45539</stp>
        <stp>Fill=true,Per=월</stp>
        <tr r="K224" s="2"/>
      </tp>
      <tp>
        <v>529.91999999999996</v>
        <stp/>
        <stp>P</stp>
        <stp>0</stp>
        <stp>IDX</stp>
        <stp>F2X22P</stp>
        <stp>고가</stp>
        <stp>45539</stp>
        <stp>Fill=true,Per=월</stp>
        <tr r="K246" s="2"/>
      </tp>
      <tp>
        <v>161</v>
        <stp/>
        <stp>P</stp>
        <stp>0</stp>
        <stp>IDX</stp>
        <stp>F2X32P</stp>
        <stp>고가</stp>
        <stp>45539</stp>
        <stp>Fill=true,Per=월</stp>
        <tr r="K256" s="2"/>
      </tp>
      <tp>
        <v>548.97</v>
        <stp/>
        <stp>P</stp>
        <stp>0</stp>
        <stp>IDX</stp>
        <stp>F2X02P</stp>
        <stp>고가</stp>
        <stp>45539</stp>
        <stp>Fill=true,Per=월</stp>
        <tr r="K226" s="2"/>
      </tp>
      <tp>
        <v>1743.19</v>
        <stp/>
        <stp>P</stp>
        <stp>0</stp>
        <stp>IDX</stp>
        <stp>F2X12P</stp>
        <stp>고가</stp>
        <stp>45539</stp>
        <stp>Fill=true,Per=월</stp>
        <tr r="K236" s="2"/>
      </tp>
      <tp>
        <v>1520.32</v>
        <stp/>
        <stp>P</stp>
        <stp>0</stp>
        <stp>IDX</stp>
        <stp>F2G02P</stp>
        <stp>고가</stp>
        <stp>45539</stp>
        <stp>Fill=true,Per=월</stp>
        <tr r="K213" s="2"/>
      </tp>
      <tp>
        <v>2357.59</v>
        <stp/>
        <stp>P</stp>
        <stp>0</stp>
        <stp>IDX</stp>
        <stp>F2X42T</stp>
        <stp>시가</stp>
        <stp>45539</stp>
        <stp>Fill=true,Per=월</stp>
        <tr r="J266" s="2"/>
      </tp>
      <tp>
        <v>2185.15</v>
        <stp/>
        <stp>P</stp>
        <stp>0</stp>
        <stp>IDX</stp>
        <stp>F2902T</stp>
        <stp>고가</stp>
        <stp>45539</stp>
        <stp>Fill=true,Per=월</stp>
        <tr r="K211" s="2"/>
      </tp>
      <tp>
        <v>0</v>
        <stp/>
        <stp>P</stp>
        <stp>0</stp>
        <stp>IDX</stp>
        <stp>F2X42T</stp>
        <stp>저가</stp>
        <stp>45539</stp>
        <stp>Fill=true,Per=월</stp>
        <tr r="L266" s="2"/>
      </tp>
      <tp>
        <v>2181.0500000000002</v>
        <stp/>
        <stp>P</stp>
        <stp>0</stp>
        <stp>IDX</stp>
        <stp>F2902T</stp>
        <stp>시가</stp>
        <stp>45539</stp>
        <stp>Fill=true,Per=월</stp>
        <tr r="J211" s="2"/>
      </tp>
      <tp>
        <v>2370.4499999999998</v>
        <stp/>
        <stp>P</stp>
        <stp>0</stp>
        <stp>IDX</stp>
        <stp>F2X42T</stp>
        <stp>고가</stp>
        <stp>45539</stp>
        <stp>Fill=true,Per=월</stp>
        <tr r="K266" s="2"/>
      </tp>
      <tp>
        <v>0</v>
        <stp/>
        <stp>P</stp>
        <stp>0</stp>
        <stp>IDX</stp>
        <stp>F2902T</stp>
        <stp>저가</stp>
        <stp>45539</stp>
        <stp>Fill=true,Per=월</stp>
        <tr r="L211" s="2"/>
      </tp>
      <tp>
        <v>590.71</v>
        <stp/>
        <stp>P</stp>
        <stp>0</stp>
        <stp>IDX</stp>
        <stp>FRX03P</stp>
        <stp>시가</stp>
        <stp>45539</stp>
        <stp>Fill=true,Per=월</stp>
        <tr r="J303" s="2"/>
      </tp>
      <tp>
        <v>0</v>
        <stp/>
        <stp>P</stp>
        <stp>0</stp>
        <stp>IDX</stp>
        <stp>FRX03P</stp>
        <stp>저가</stp>
        <stp>45539</stp>
        <stp>Fill=true,Per=월</stp>
        <tr r="L303" s="2"/>
      </tp>
      <tp>
        <v>0</v>
        <stp/>
        <stp>P</stp>
        <stp>0</stp>
        <stp>IDX</stp>
        <stp>FRG03P</stp>
        <stp>저가</stp>
        <stp>45539</stp>
        <stp>Fill=true,Per=월</stp>
        <tr r="L300" s="2"/>
      </tp>
      <tp>
        <v>490.9</v>
        <stp/>
        <stp>P</stp>
        <stp>0</stp>
        <stp>IDX</stp>
        <stp>FRG03P</stp>
        <stp>시가</stp>
        <stp>45539</stp>
        <stp>Fill=true,Per=월</stp>
        <tr r="J300" s="2"/>
      </tp>
      <tp>
        <v>591.95000000000005</v>
        <stp/>
        <stp>P</stp>
        <stp>0</stp>
        <stp>IDX</stp>
        <stp>FRX03P</stp>
        <stp>고가</stp>
        <stp>45539</stp>
        <stp>Fill=true,Per=월</stp>
        <tr r="K303" s="2"/>
      </tp>
      <tp>
        <v>492.18</v>
        <stp/>
        <stp>P</stp>
        <stp>0</stp>
        <stp>IDX</stp>
        <stp>FRG03P</stp>
        <stp>고가</stp>
        <stp>45539</stp>
        <stp>Fill=true,Per=월</stp>
        <tr r="K300" s="2"/>
      </tp>
      <tp>
        <v>1492.5</v>
        <stp/>
        <stp>P</stp>
        <stp>0</stp>
        <stp>IDX</stp>
        <stp>FTX03P</stp>
        <stp>시가</stp>
        <stp>45539</stp>
        <stp>Fill=true,Per=월</stp>
        <tr r="J321" s="2"/>
      </tp>
      <tp>
        <v>0</v>
        <stp/>
        <stp>P</stp>
        <stp>0</stp>
        <stp>IDX</stp>
        <stp>FTX03P</stp>
        <stp>저가</stp>
        <stp>45539</stp>
        <stp>Fill=true,Per=월</stp>
        <tr r="L321" s="2"/>
      </tp>
      <tp>
        <v>1494.81</v>
        <stp/>
        <stp>P</stp>
        <stp>0</stp>
        <stp>IDX</stp>
        <stp>FTX03P</stp>
        <stp>고가</stp>
        <stp>45539</stp>
        <stp>Fill=true,Per=월</stp>
        <tr r="K321" s="2"/>
      </tp>
      <tp>
        <v>660.44</v>
        <stp/>
        <stp>P</stp>
        <stp>0</stp>
        <stp>IDX</stp>
        <stp>FGX03T</stp>
        <stp>시가</stp>
        <stp>45539</stp>
        <stp>Fill=true,Per=월</stp>
        <tr r="J295" s="2"/>
      </tp>
      <tp>
        <v>0</v>
        <stp/>
        <stp>P</stp>
        <stp>0</stp>
        <stp>IDX</stp>
        <stp>FGX03T</stp>
        <stp>저가</stp>
        <stp>45539</stp>
        <stp>Fill=true,Per=월</stp>
        <tr r="L295" s="2"/>
      </tp>
      <tp>
        <v>0</v>
        <stp/>
        <stp>P</stp>
        <stp>0</stp>
        <stp>IDX</stp>
        <stp>FGA03T</stp>
        <stp>저가</stp>
        <stp>45539</stp>
        <stp>Fill=true,Per=월</stp>
        <tr r="L287" s="2"/>
      </tp>
      <tp>
        <v>788.92</v>
        <stp/>
        <stp>P</stp>
        <stp>0</stp>
        <stp>IDX</stp>
        <stp>FGA03T</stp>
        <stp>시가</stp>
        <stp>45539</stp>
        <stp>Fill=true,Per=월</stp>
        <tr r="J287" s="2"/>
      </tp>
      <tp>
        <v>660.44</v>
        <stp/>
        <stp>P</stp>
        <stp>0</stp>
        <stp>IDX</stp>
        <stp>FGX03T</stp>
        <stp>고가</stp>
        <stp>45539</stp>
        <stp>Fill=true,Per=월</stp>
        <tr r="K295" s="2"/>
      </tp>
      <tp>
        <v>791.42</v>
        <stp/>
        <stp>P</stp>
        <stp>0</stp>
        <stp>IDX</stp>
        <stp>FGA03T</stp>
        <stp>고가</stp>
        <stp>45539</stp>
        <stp>Fill=true,Per=월</stp>
        <tr r="K287" s="2"/>
      </tp>
      <tp>
        <v>0</v>
        <stp/>
        <stp>P</stp>
        <stp>0</stp>
        <stp>IDX</stp>
        <stp>GGT02P</stp>
        <stp>저가</stp>
        <stp>45539</stp>
        <stp>Fill=true,Per=월</stp>
        <tr r="L341" s="2"/>
      </tp>
      <tp>
        <v>3245.2</v>
        <stp/>
        <stp>P</stp>
        <stp>0</stp>
        <stp>IDX</stp>
        <stp>GGT02P</stp>
        <stp>시가</stp>
        <stp>45539</stp>
        <stp>Fill=true,Per=월</stp>
        <tr r="J341" s="2"/>
      </tp>
      <tp>
        <v>0</v>
        <stp/>
        <stp>P</stp>
        <stp>0</stp>
        <stp>IDX</stp>
        <stp>GGG02P</stp>
        <stp>저가</stp>
        <stp>45539</stp>
        <stp>Fill=true,Per=월</stp>
        <tr r="L332" s="2"/>
      </tp>
      <tp>
        <v>0</v>
        <stp/>
        <stp>P</stp>
        <stp>0</stp>
        <stp>IDX</stp>
        <stp>MGA08P</stp>
        <stp>저가</stp>
        <stp>45539</stp>
        <stp>Fill=true,Per=월</stp>
        <tr r="L126" s="2"/>
      </tp>
      <tp>
        <v>7765.45</v>
        <stp/>
        <stp>P</stp>
        <stp>0</stp>
        <stp>IDX</stp>
        <stp>GGG02P</stp>
        <stp>시가</stp>
        <stp>45539</stp>
        <stp>Fill=true,Per=월</stp>
        <tr r="J332" s="2"/>
      </tp>
      <tp>
        <v>1482.66</v>
        <stp/>
        <stp>P</stp>
        <stp>0</stp>
        <stp>IDX</stp>
        <stp>MGA08P</stp>
        <stp>시가</stp>
        <stp>45539</stp>
        <stp>Fill=true,Per=월</stp>
        <tr r="J126" s="2"/>
      </tp>
      <tp>
        <v>3287.61</v>
        <stp/>
        <stp>P</stp>
        <stp>0</stp>
        <stp>IDX</stp>
        <stp>GGT02P</stp>
        <stp>고가</stp>
        <stp>45539</stp>
        <stp>Fill=true,Per=월</stp>
        <tr r="K341" s="2"/>
      </tp>
      <tp>
        <v>1483.04</v>
        <stp/>
        <stp>P</stp>
        <stp>0</stp>
        <stp>IDX</stp>
        <stp>MGA08P</stp>
        <stp>고가</stp>
        <stp>45539</stp>
        <stp>Fill=true,Per=월</stp>
        <tr r="K126" s="2"/>
      </tp>
      <tp>
        <v>7765.45</v>
        <stp/>
        <stp>P</stp>
        <stp>0</stp>
        <stp>IDX</stp>
        <stp>GGG02P</stp>
        <stp>고가</stp>
        <stp>45539</stp>
        <stp>Fill=true,Per=월</stp>
        <tr r="K332" s="2"/>
      </tp>
      <tp>
        <v>4.47</v>
        <stp/>
        <stp>P</stp>
        <stp>0</stp>
        <stp>IDX</stp>
        <stp>F5X03T</stp>
        <stp>시가</stp>
        <stp>45539</stp>
        <stp>Fill=true,Per=월</stp>
        <tr r="J278" s="2"/>
      </tp>
      <tp>
        <v>0</v>
        <stp/>
        <stp>P</stp>
        <stp>0</stp>
        <stp>IDX</stp>
        <stp>F5X03T</stp>
        <stp>저가</stp>
        <stp>45539</stp>
        <stp>Fill=true,Per=월</stp>
        <tr r="L278" s="2"/>
      </tp>
      <tp>
        <v>4.62</v>
        <stp/>
        <stp>P</stp>
        <stp>0</stp>
        <stp>IDX</stp>
        <stp>F5X03T</stp>
        <stp>고가</stp>
        <stp>45539</stp>
        <stp>Fill=true,Per=월</stp>
        <tr r="K278" s="2"/>
      </tp>
      <tp>
        <v>737.67</v>
        <stp/>
        <stp>P</stp>
        <stp>0</stp>
        <stp>IDX</stp>
        <stp>F2X23P</stp>
        <stp>시가</stp>
        <stp>45539</stp>
        <stp>Fill=true,Per=월</stp>
        <tr r="J247" s="2"/>
      </tp>
      <tp>
        <v>316.97000000000003</v>
        <stp/>
        <stp>P</stp>
        <stp>0</stp>
        <stp>IDX</stp>
        <stp>F2X33P</stp>
        <stp>시가</stp>
        <stp>45539</stp>
        <stp>Fill=true,Per=월</stp>
        <tr r="J257" s="2"/>
      </tp>
      <tp>
        <v>242.7</v>
        <stp/>
        <stp>P</stp>
        <stp>0</stp>
        <stp>IDX</stp>
        <stp>F2X03P</stp>
        <stp>시가</stp>
        <stp>45539</stp>
        <stp>Fill=true,Per=월</stp>
        <tr r="J227" s="2"/>
      </tp>
      <tp>
        <v>906.4</v>
        <stp/>
        <stp>P</stp>
        <stp>0</stp>
        <stp>IDX</stp>
        <stp>F2X13P</stp>
        <stp>시가</stp>
        <stp>45539</stp>
        <stp>Fill=true,Per=월</stp>
        <tr r="J237" s="2"/>
      </tp>
      <tp>
        <v>0</v>
        <stp/>
        <stp>P</stp>
        <stp>0</stp>
        <stp>IDX</stp>
        <stp>F2S03P</stp>
        <stp>저가</stp>
        <stp>45539</stp>
        <stp>Fill=true,Per=월</stp>
        <tr r="L216" s="2"/>
      </tp>
      <tp>
        <v>0</v>
        <stp/>
        <stp>P</stp>
        <stp>0</stp>
        <stp>IDX</stp>
        <stp>F2X23P</stp>
        <stp>저가</stp>
        <stp>45539</stp>
        <stp>Fill=true,Per=월</stp>
        <tr r="L247" s="2"/>
      </tp>
      <tp>
        <v>0</v>
        <stp/>
        <stp>P</stp>
        <stp>0</stp>
        <stp>IDX</stp>
        <stp>F2X33P</stp>
        <stp>저가</stp>
        <stp>45539</stp>
        <stp>Fill=true,Per=월</stp>
        <tr r="L257" s="2"/>
      </tp>
      <tp>
        <v>0</v>
        <stp/>
        <stp>P</stp>
        <stp>0</stp>
        <stp>IDX</stp>
        <stp>F2X03P</stp>
        <stp>저가</stp>
        <stp>45539</stp>
        <stp>Fill=true,Per=월</stp>
        <tr r="L227" s="2"/>
      </tp>
      <tp>
        <v>0</v>
        <stp/>
        <stp>P</stp>
        <stp>0</stp>
        <stp>IDX</stp>
        <stp>F2X13P</stp>
        <stp>저가</stp>
        <stp>45539</stp>
        <stp>Fill=true,Per=월</stp>
        <tr r="L237" s="2"/>
      </tp>
      <tp>
        <v>1474.76</v>
        <stp/>
        <stp>P</stp>
        <stp>0</stp>
        <stp>IDX</stp>
        <stp>F2S03P</stp>
        <stp>시가</stp>
        <stp>45539</stp>
        <stp>Fill=true,Per=월</stp>
        <tr r="J216" s="2"/>
      </tp>
      <tp>
        <v>1513.62</v>
        <stp/>
        <stp>P</stp>
        <stp>0</stp>
        <stp>IDX</stp>
        <stp>F2S03P</stp>
        <stp>고가</stp>
        <stp>45539</stp>
        <stp>Fill=true,Per=월</stp>
        <tr r="K216" s="2"/>
      </tp>
      <tp>
        <v>768.96</v>
        <stp/>
        <stp>P</stp>
        <stp>0</stp>
        <stp>IDX</stp>
        <stp>F2X23P</stp>
        <stp>고가</stp>
        <stp>45539</stp>
        <stp>Fill=true,Per=월</stp>
        <tr r="K247" s="2"/>
      </tp>
      <tp>
        <v>344.1</v>
        <stp/>
        <stp>P</stp>
        <stp>0</stp>
        <stp>IDX</stp>
        <stp>F2X33P</stp>
        <stp>고가</stp>
        <stp>45539</stp>
        <stp>Fill=true,Per=월</stp>
        <tr r="K257" s="2"/>
      </tp>
      <tp>
        <v>248.51</v>
        <stp/>
        <stp>P</stp>
        <stp>0</stp>
        <stp>IDX</stp>
        <stp>F2X03P</stp>
        <stp>고가</stp>
        <stp>45539</stp>
        <stp>Fill=true,Per=월</stp>
        <tr r="K227" s="2"/>
      </tp>
      <tp>
        <v>906.4</v>
        <stp/>
        <stp>P</stp>
        <stp>0</stp>
        <stp>IDX</stp>
        <stp>F2X13P</stp>
        <stp>고가</stp>
        <stp>45539</stp>
        <stp>Fill=true,Per=월</stp>
        <tr r="K237" s="2"/>
      </tp>
      <tp>
        <v>438.52</v>
        <stp/>
        <stp>P</stp>
        <stp>0</stp>
        <stp>IDX</stp>
        <stp>F3X03T</stp>
        <stp>시가</stp>
        <stp>45539</stp>
        <stp>Fill=true,Per=월</stp>
        <tr r="J272" s="2"/>
      </tp>
      <tp>
        <v>0</v>
        <stp/>
        <stp>P</stp>
        <stp>0</stp>
        <stp>IDX</stp>
        <stp>F3X03T</stp>
        <stp>저가</stp>
        <stp>45539</stp>
        <stp>Fill=true,Per=월</stp>
        <tr r="L272" s="2"/>
      </tp>
      <tp>
        <v>446.66</v>
        <stp/>
        <stp>P</stp>
        <stp>0</stp>
        <stp>IDX</stp>
        <stp>F3X03T</stp>
        <stp>고가</stp>
        <stp>45539</stp>
        <stp>Fill=true,Per=월</stp>
        <tr r="K272" s="2"/>
      </tp>
      <tp>
        <v>1468.84</v>
        <stp/>
        <stp>P</stp>
        <stp>0</stp>
        <stp>IDX</stp>
        <stp>F2X43T</stp>
        <stp>시가</stp>
        <stp>45539</stp>
        <stp>Fill=true,Per=월</stp>
        <tr r="J267" s="2"/>
      </tp>
      <tp>
        <v>0</v>
        <stp/>
        <stp>P</stp>
        <stp>0</stp>
        <stp>IDX</stp>
        <stp>F2X43T</stp>
        <stp>저가</stp>
        <stp>45539</stp>
        <stp>Fill=true,Per=월</stp>
        <tr r="L267" s="2"/>
      </tp>
      <tp>
        <v>1478.98</v>
        <stp/>
        <stp>P</stp>
        <stp>0</stp>
        <stp>IDX</stp>
        <stp>F2X43T</stp>
        <stp>고가</stp>
        <stp>45539</stp>
        <stp>Fill=true,Per=월</stp>
        <tr r="K267" s="2"/>
      </tp>
      <tp>
        <v>816.69</v>
        <stp/>
        <stp>P</stp>
        <stp>0</stp>
        <stp>IDX</stp>
        <stp>FRX10P</stp>
        <stp>시가</stp>
        <stp>45539</stp>
        <stp>Fill=true,Per=월</stp>
        <tr r="J310" s="2"/>
      </tp>
      <tp>
        <v>0</v>
        <stp/>
        <stp>P</stp>
        <stp>0</stp>
        <stp>IDX</stp>
        <stp>FRX10P</stp>
        <stp>저가</stp>
        <stp>45539</stp>
        <stp>Fill=true,Per=월</stp>
        <tr r="L310" s="2"/>
      </tp>
      <tp>
        <v>821.04</v>
        <stp/>
        <stp>P</stp>
        <stp>0</stp>
        <stp>IDX</stp>
        <stp>FRX10P</stp>
        <stp>고가</stp>
        <stp>45539</stp>
        <stp>Fill=true,Per=월</stp>
        <tr r="K310" s="2"/>
      </tp>
      <tp>
        <v>1379.71</v>
        <stp/>
        <stp>P</stp>
        <stp>0</stp>
        <stp>IDX</stp>
        <stp>FTX10P</stp>
        <stp>시가</stp>
        <stp>45539</stp>
        <stp>Fill=true,Per=월</stp>
        <tr r="J327" s="2"/>
      </tp>
      <tp>
        <v>0</v>
        <stp/>
        <stp>P</stp>
        <stp>0</stp>
        <stp>IDX</stp>
        <stp>FTX10P</stp>
        <stp>저가</stp>
        <stp>45539</stp>
        <stp>Fill=true,Per=월</stp>
        <tr r="L327" s="2"/>
      </tp>
      <tp>
        <v>1380.9</v>
        <stp/>
        <stp>P</stp>
        <stp>0</stp>
        <stp>IDX</stp>
        <stp>FTX10P</stp>
        <stp>고가</stp>
        <stp>45539</stp>
        <stp>Fill=true,Per=월</stp>
        <tr r="K327" s="2"/>
      </tp>
      <tp>
        <v>0</v>
        <stp/>
        <stp>P</stp>
        <stp>0</stp>
        <stp>IDX</stp>
        <stp>GGT01P</stp>
        <stp>저가</stp>
        <stp>45539</stp>
        <stp>Fill=true,Per=월</stp>
        <tr r="L340" s="2"/>
      </tp>
      <tp>
        <v>0</v>
        <stp/>
        <stp>P</stp>
        <stp>0</stp>
        <stp>IDX</stp>
        <stp>GGS01P</stp>
        <stp>저가</stp>
        <stp>45539</stp>
        <stp>Fill=true,Per=월</stp>
        <tr r="L339" s="2"/>
      </tp>
      <tp>
        <v>1655.19</v>
        <stp/>
        <stp>P</stp>
        <stp>0</stp>
        <stp>IDX</stp>
        <stp>GGT01P</stp>
        <stp>시가</stp>
        <stp>45539</stp>
        <stp>Fill=true,Per=월</stp>
        <tr r="J340" s="2"/>
      </tp>
      <tp>
        <v>1402.07</v>
        <stp/>
        <stp>P</stp>
        <stp>0</stp>
        <stp>IDX</stp>
        <stp>OG909P</stp>
        <stp>고가</stp>
        <stp>45539</stp>
        <stp>Fill=true,Per=월</stp>
        <tr r="K208" s="2"/>
      </tp>
      <tp>
        <v>3513.85</v>
        <stp/>
        <stp>P</stp>
        <stp>0</stp>
        <stp>IDX</stp>
        <stp>GGS01P</stp>
        <stp>시가</stp>
        <stp>45539</stp>
        <stp>Fill=true,Per=월</stp>
        <tr r="J339" s="2"/>
      </tp>
      <tp>
        <v>0</v>
        <stp/>
        <stp>P</stp>
        <stp>0</stp>
        <stp>IDX</stp>
        <stp>GGG01P</stp>
        <stp>저가</stp>
        <stp>45539</stp>
        <stp>Fill=true,Per=월</stp>
        <tr r="L331" s="2"/>
      </tp>
      <tp>
        <v>0</v>
        <stp/>
        <stp>P</stp>
        <stp>0</stp>
        <stp>IDX</stp>
        <stp>GGE01P</stp>
        <stp>저가</stp>
        <stp>45539</stp>
        <stp>Fill=true,Per=월</stp>
        <tr r="L330" s="2"/>
      </tp>
      <tp>
        <v>1524.86</v>
        <stp/>
        <stp>P</stp>
        <stp>0</stp>
        <stp>IDX</stp>
        <stp>GGE01P</stp>
        <stp>시가</stp>
        <stp>45539</stp>
        <stp>Fill=true,Per=월</stp>
        <tr r="J330" s="2"/>
      </tp>
      <tp>
        <v>3179.12</v>
        <stp/>
        <stp>P</stp>
        <stp>0</stp>
        <stp>IDX</stp>
        <stp>GGG01P</stp>
        <stp>시가</stp>
        <stp>45539</stp>
        <stp>Fill=true,Per=월</stp>
        <tr r="J331" s="2"/>
      </tp>
      <tp>
        <v>3530.97</v>
        <stp/>
        <stp>P</stp>
        <stp>0</stp>
        <stp>IDX</stp>
        <stp>GGS01P</stp>
        <stp>고가</stp>
        <stp>45539</stp>
        <stp>Fill=true,Per=월</stp>
        <tr r="K339" s="2"/>
      </tp>
      <tp>
        <v>1398.1</v>
        <stp/>
        <stp>P</stp>
        <stp>0</stp>
        <stp>IDX</stp>
        <stp>OG909P</stp>
        <stp>시가</stp>
        <stp>45539</stp>
        <stp>Fill=true,Per=월</stp>
        <tr r="J208" s="2"/>
      </tp>
      <tp>
        <v>1658.04</v>
        <stp/>
        <stp>P</stp>
        <stp>0</stp>
        <stp>IDX</stp>
        <stp>GGT01P</stp>
        <stp>고가</stp>
        <stp>45539</stp>
        <stp>Fill=true,Per=월</stp>
        <tr r="K340" s="2"/>
      </tp>
      <tp>
        <v>0</v>
        <stp/>
        <stp>P</stp>
        <stp>0</stp>
        <stp>IDX</stp>
        <stp>OG909P</stp>
        <stp>저가</stp>
        <stp>45539</stp>
        <stp>Fill=true,Per=월</stp>
        <tr r="L208" s="2"/>
      </tp>
      <tp>
        <v>3179.12</v>
        <stp/>
        <stp>P</stp>
        <stp>0</stp>
        <stp>IDX</stp>
        <stp>GGG01P</stp>
        <stp>고가</stp>
        <stp>45539</stp>
        <stp>Fill=true,Per=월</stp>
        <tr r="K331" s="2"/>
      </tp>
      <tp>
        <v>1528.42</v>
        <stp/>
        <stp>P</stp>
        <stp>0</stp>
        <stp>IDX</stp>
        <stp>GGE01P</stp>
        <stp>고가</stp>
        <stp>45539</stp>
        <stp>Fill=true,Per=월</stp>
        <tr r="K330" s="2"/>
      </tp>
      <tp>
        <v>900.93</v>
        <stp/>
        <stp>P</stp>
        <stp>0</stp>
        <stp>IDX</stp>
        <stp>F5X10T</stp>
        <stp>시가</stp>
        <stp>45539</stp>
        <stp>Fill=true,Per=월</stp>
        <tr r="J285" s="2"/>
      </tp>
      <tp>
        <v>0</v>
        <stp/>
        <stp>P</stp>
        <stp>0</stp>
        <stp>IDX</stp>
        <stp>F5X10T</stp>
        <stp>저가</stp>
        <stp>45539</stp>
        <stp>Fill=true,Per=월</stp>
        <tr r="L285" s="2"/>
      </tp>
      <tp>
        <v>924.48</v>
        <stp/>
        <stp>P</stp>
        <stp>0</stp>
        <stp>IDX</stp>
        <stp>F5X10T</stp>
        <stp>고가</stp>
        <stp>45539</stp>
        <stp>Fill=true,Per=월</stp>
        <tr r="K285" s="2"/>
      </tp>
      <tp>
        <v>0</v>
        <stp/>
        <stp>P</stp>
        <stp>0</stp>
        <stp>IDX</stp>
        <stp>G2T01P</stp>
        <stp>저가</stp>
        <stp>45539</stp>
        <stp>Fill=true,Per=월</stp>
        <tr r="L329" s="2"/>
      </tp>
      <tp>
        <v>769.46</v>
        <stp/>
        <stp>P</stp>
        <stp>0</stp>
        <stp>IDX</stp>
        <stp>F2X20P</stp>
        <stp>시가</stp>
        <stp>45539</stp>
        <stp>Fill=true,Per=월</stp>
        <tr r="J244" s="2"/>
      </tp>
      <tp>
        <v>316.57</v>
        <stp/>
        <stp>P</stp>
        <stp>0</stp>
        <stp>IDX</stp>
        <stp>F2X30P</stp>
        <stp>시가</stp>
        <stp>45539</stp>
        <stp>Fill=true,Per=월</stp>
        <tr r="J254" s="2"/>
      </tp>
      <tp>
        <v>622.95000000000005</v>
        <stp/>
        <stp>P</stp>
        <stp>0</stp>
        <stp>IDX</stp>
        <stp>F2X10P</stp>
        <stp>시가</stp>
        <stp>45539</stp>
        <stp>Fill=true,Per=월</stp>
        <tr r="J234" s="2"/>
      </tp>
      <tp>
        <v>0</v>
        <stp/>
        <stp>P</stp>
        <stp>0</stp>
        <stp>IDX</stp>
        <stp>F2S10P</stp>
        <stp>저가</stp>
        <stp>45539</stp>
        <stp>Fill=true,Per=월</stp>
        <tr r="L223" s="2"/>
      </tp>
      <tp>
        <v>1494.1</v>
        <stp/>
        <stp>P</stp>
        <stp>0</stp>
        <stp>IDX</stp>
        <stp>G2T01P</stp>
        <stp>시가</stp>
        <stp>45539</stp>
        <stp>Fill=true,Per=월</stp>
        <tr r="J329" s="2"/>
      </tp>
      <tp>
        <v>0</v>
        <stp/>
        <stp>P</stp>
        <stp>0</stp>
        <stp>IDX</stp>
        <stp>F2X20P</stp>
        <stp>저가</stp>
        <stp>45539</stp>
        <stp>Fill=true,Per=월</stp>
        <tr r="L244" s="2"/>
      </tp>
      <tp>
        <v>0</v>
        <stp/>
        <stp>P</stp>
        <stp>0</stp>
        <stp>IDX</stp>
        <stp>F2X30P</stp>
        <stp>저가</stp>
        <stp>45539</stp>
        <stp>Fill=true,Per=월</stp>
        <tr r="L254" s="2"/>
      </tp>
      <tp>
        <v>0</v>
        <stp/>
        <stp>P</stp>
        <stp>0</stp>
        <stp>IDX</stp>
        <stp>F2X10P</stp>
        <stp>저가</stp>
        <stp>45539</stp>
        <stp>Fill=true,Per=월</stp>
        <tr r="L234" s="2"/>
      </tp>
      <tp>
        <v>1031.6099999999999</v>
        <stp/>
        <stp>P</stp>
        <stp>0</stp>
        <stp>IDX</stp>
        <stp>F2S10P</stp>
        <stp>시가</stp>
        <stp>45539</stp>
        <stp>Fill=true,Per=월</stp>
        <tr r="J223" s="2"/>
      </tp>
      <tp>
        <v>1056.44</v>
        <stp/>
        <stp>P</stp>
        <stp>0</stp>
        <stp>IDX</stp>
        <stp>F2S10P</stp>
        <stp>고가</stp>
        <stp>45539</stp>
        <stp>Fill=true,Per=월</stp>
        <tr r="K223" s="2"/>
      </tp>
      <tp>
        <v>1513.49</v>
        <stp/>
        <stp>P</stp>
        <stp>0</stp>
        <stp>IDX</stp>
        <stp>G2T01P</stp>
        <stp>고가</stp>
        <stp>45539</stp>
        <stp>Fill=true,Per=월</stp>
        <tr r="K329" s="2"/>
      </tp>
      <tp>
        <v>769.87</v>
        <stp/>
        <stp>P</stp>
        <stp>0</stp>
        <stp>IDX</stp>
        <stp>F2X20P</stp>
        <stp>고가</stp>
        <stp>45539</stp>
        <stp>Fill=true,Per=월</stp>
        <tr r="K244" s="2"/>
      </tp>
      <tp>
        <v>316.92</v>
        <stp/>
        <stp>P</stp>
        <stp>0</stp>
        <stp>IDX</stp>
        <stp>F2X30P</stp>
        <stp>고가</stp>
        <stp>45539</stp>
        <stp>Fill=true,Per=월</stp>
        <tr r="K254" s="2"/>
      </tp>
      <tp>
        <v>644.19000000000005</v>
        <stp/>
        <stp>P</stp>
        <stp>0</stp>
        <stp>IDX</stp>
        <stp>F2X10P</stp>
        <stp>고가</stp>
        <stp>45539</stp>
        <stp>Fill=true,Per=월</stp>
        <tr r="K234" s="2"/>
      </tp>
      <tp>
        <v>1456.47</v>
        <stp/>
        <stp>P</stp>
        <stp>0</stp>
        <stp>IDX</stp>
        <stp>F2X40T</stp>
        <stp>시가</stp>
        <stp>45539</stp>
        <stp>Fill=true,Per=월</stp>
        <tr r="J264" s="2"/>
      </tp>
      <tp>
        <v>0</v>
        <stp/>
        <stp>P</stp>
        <stp>0</stp>
        <stp>IDX</stp>
        <stp>F2X40T</stp>
        <stp>저가</stp>
        <stp>45539</stp>
        <stp>Fill=true,Per=월</stp>
        <tr r="L264" s="2"/>
      </tp>
      <tp>
        <v>1467.01</v>
        <stp/>
        <stp>P</stp>
        <stp>0</stp>
        <stp>IDX</stp>
        <stp>F2X40T</stp>
        <stp>고가</stp>
        <stp>45539</stp>
        <stp>Fill=true,Per=월</stp>
        <tr r="K264" s="2"/>
      </tp>
      <tp>
        <v>1229.6500000000001</v>
        <stp/>
        <stp>P</stp>
        <stp>0</stp>
        <stp>IDX</stp>
        <stp>FRX01P</stp>
        <stp>시가</stp>
        <stp>45539</stp>
        <stp>Fill=true,Per=월</stp>
        <tr r="J301" s="2"/>
      </tp>
      <tp>
        <v>708.33</v>
        <stp/>
        <stp>P</stp>
        <stp>0</stp>
        <stp>IDX</stp>
        <stp>FRX11P</stp>
        <stp>시가</stp>
        <stp>45539</stp>
        <stp>Fill=true,Per=월</stp>
        <tr r="J311" s="2"/>
      </tp>
      <tp>
        <v>0</v>
        <stp/>
        <stp>P</stp>
        <stp>0</stp>
        <stp>IDX</stp>
        <stp>FRX01P</stp>
        <stp>저가</stp>
        <stp>45539</stp>
        <stp>Fill=true,Per=월</stp>
        <tr r="L301" s="2"/>
      </tp>
      <tp>
        <v>0</v>
        <stp/>
        <stp>P</stp>
        <stp>0</stp>
        <stp>IDX</stp>
        <stp>FRX11P</stp>
        <stp>저가</stp>
        <stp>45539</stp>
        <stp>Fill=true,Per=월</stp>
        <tr r="L311" s="2"/>
      </tp>
      <tp>
        <v>0</v>
        <stp/>
        <stp>P</stp>
        <stp>0</stp>
        <stp>IDX</stp>
        <stp>FRG01P</stp>
        <stp>저가</stp>
        <stp>45539</stp>
        <stp>Fill=true,Per=월</stp>
        <tr r="L210" s="2"/>
      </tp>
      <tp>
        <v>1448.22</v>
        <stp/>
        <stp>P</stp>
        <stp>0</stp>
        <stp>IDX</stp>
        <stp>FRG01P</stp>
        <stp>시가</stp>
        <stp>45539</stp>
        <stp>Fill=true,Per=월</stp>
        <tr r="J210" s="2"/>
      </tp>
      <tp>
        <v>1230.95</v>
        <stp/>
        <stp>P</stp>
        <stp>0</stp>
        <stp>IDX</stp>
        <stp>FRX01P</stp>
        <stp>고가</stp>
        <stp>45539</stp>
        <stp>Fill=true,Per=월</stp>
        <tr r="K301" s="2"/>
      </tp>
      <tp>
        <v>715.74</v>
        <stp/>
        <stp>P</stp>
        <stp>0</stp>
        <stp>IDX</stp>
        <stp>FRX11P</stp>
        <stp>고가</stp>
        <stp>45539</stp>
        <stp>Fill=true,Per=월</stp>
        <tr r="K311" s="2"/>
      </tp>
      <tp>
        <v>1455.48</v>
        <stp/>
        <stp>P</stp>
        <stp>0</stp>
        <stp>IDX</stp>
        <stp>FRG01P</stp>
        <stp>고가</stp>
        <stp>45539</stp>
        <stp>Fill=true,Per=월</stp>
        <tr r="K210" s="2"/>
      </tp>
      <tp>
        <v>1393.5</v>
        <stp/>
        <stp>P</stp>
        <stp>0</stp>
        <stp>IDX</stp>
        <stp>FTX01P</stp>
        <stp>시가</stp>
        <stp>45539</stp>
        <stp>Fill=true,Per=월</stp>
        <tr r="J319" s="2"/>
      </tp>
      <tp>
        <v>1296.3699999999999</v>
        <stp/>
        <stp>P</stp>
        <stp>0</stp>
        <stp>IDX</stp>
        <stp>FTX11P</stp>
        <stp>시가</stp>
        <stp>45539</stp>
        <stp>Fill=true,Per=월</stp>
        <tr r="J328" s="2"/>
      </tp>
      <tp>
        <v>1162.22</v>
        <stp/>
        <stp>P</stp>
        <stp>0</stp>
        <stp>IDX</stp>
        <stp>FT901P</stp>
        <stp>고가</stp>
        <stp>45539</stp>
        <stp>Fill=true,Per=월</stp>
        <tr r="K313" s="2"/>
      </tp>
      <tp>
        <v>0</v>
        <stp/>
        <stp>P</stp>
        <stp>0</stp>
        <stp>IDX</stp>
        <stp>FTX01P</stp>
        <stp>저가</stp>
        <stp>45539</stp>
        <stp>Fill=true,Per=월</stp>
        <tr r="L319" s="2"/>
      </tp>
      <tp>
        <v>0</v>
        <stp/>
        <stp>P</stp>
        <stp>0</stp>
        <stp>IDX</stp>
        <stp>FTX11P</stp>
        <stp>저가</stp>
        <stp>45539</stp>
        <stp>Fill=true,Per=월</stp>
        <tr r="L328" s="2"/>
      </tp>
      <tp>
        <v>0</v>
        <stp/>
        <stp>P</stp>
        <stp>0</stp>
        <stp>IDX</stp>
        <stp>FTG01P</stp>
        <stp>저가</stp>
        <stp>45539</stp>
        <stp>Fill=true,Per=월</stp>
        <tr r="L317" s="2"/>
      </tp>
      <tp>
        <v>0</v>
        <stp/>
        <stp>P</stp>
        <stp>0</stp>
        <stp>IDX</stp>
        <stp>FTA01P</stp>
        <stp>저가</stp>
        <stp>45539</stp>
        <stp>Fill=true,Per=월</stp>
        <tr r="L315" s="2"/>
      </tp>
      <tp>
        <v>1234.03</v>
        <stp/>
        <stp>P</stp>
        <stp>0</stp>
        <stp>IDX</stp>
        <stp>FTG01P</stp>
        <stp>시가</stp>
        <stp>45539</stp>
        <stp>Fill=true,Per=월</stp>
        <tr r="J317" s="2"/>
      </tp>
      <tp>
        <v>1368.17</v>
        <stp/>
        <stp>P</stp>
        <stp>0</stp>
        <stp>IDX</stp>
        <stp>FTA01P</stp>
        <stp>시가</stp>
        <stp>45539</stp>
        <stp>Fill=true,Per=월</stp>
        <tr r="J315" s="2"/>
      </tp>
      <tp>
        <v>1161.82</v>
        <stp/>
        <stp>P</stp>
        <stp>0</stp>
        <stp>IDX</stp>
        <stp>FT901P</stp>
        <stp>시가</stp>
        <stp>45539</stp>
        <stp>Fill=true,Per=월</stp>
        <tr r="J313" s="2"/>
      </tp>
      <tp>
        <v>1394.56</v>
        <stp/>
        <stp>P</stp>
        <stp>0</stp>
        <stp>IDX</stp>
        <stp>FTX01P</stp>
        <stp>고가</stp>
        <stp>45539</stp>
        <stp>Fill=true,Per=월</stp>
        <tr r="K319" s="2"/>
      </tp>
      <tp>
        <v>1297.29</v>
        <stp/>
        <stp>P</stp>
        <stp>0</stp>
        <stp>IDX</stp>
        <stp>FTX11P</stp>
        <stp>고가</stp>
        <stp>45539</stp>
        <stp>Fill=true,Per=월</stp>
        <tr r="K328" s="2"/>
      </tp>
      <tp>
        <v>0</v>
        <stp/>
        <stp>P</stp>
        <stp>0</stp>
        <stp>IDX</stp>
        <stp>FT901P</stp>
        <stp>저가</stp>
        <stp>45539</stp>
        <stp>Fill=true,Per=월</stp>
        <tr r="L313" s="2"/>
      </tp>
      <tp>
        <v>1368.83</v>
        <stp/>
        <stp>P</stp>
        <stp>0</stp>
        <stp>IDX</stp>
        <stp>FTA01P</stp>
        <stp>고가</stp>
        <stp>45539</stp>
        <stp>Fill=true,Per=월</stp>
        <tr r="K315" s="2"/>
      </tp>
      <tp>
        <v>1234.26</v>
        <stp/>
        <stp>P</stp>
        <stp>0</stp>
        <stp>IDX</stp>
        <stp>FTG01P</stp>
        <stp>고가</stp>
        <stp>45539</stp>
        <stp>Fill=true,Per=월</stp>
        <tr r="K317" s="2"/>
      </tp>
      <tp>
        <v>0</v>
        <stp/>
        <stp>P</stp>
        <stp>0</stp>
        <stp>IDX</stp>
        <stp>FRG01T</stp>
        <stp>저가</stp>
        <stp>45539</stp>
        <stp>Fill=true,Per=월</stp>
        <tr r="L297" s="2"/>
      </tp>
      <tp>
        <v>1701.84</v>
        <stp/>
        <stp>P</stp>
        <stp>0</stp>
        <stp>IDX</stp>
        <stp>FRG01T</stp>
        <stp>시가</stp>
        <stp>45539</stp>
        <stp>Fill=true,Per=월</stp>
        <tr r="J297" s="2"/>
      </tp>
      <tp>
        <v>1710.52</v>
        <stp/>
        <stp>P</stp>
        <stp>0</stp>
        <stp>IDX</stp>
        <stp>FRG01T</stp>
        <stp>고가</stp>
        <stp>45539</stp>
        <stp>Fill=true,Per=월</stp>
        <tr r="K297" s="2"/>
      </tp>
      <tp>
        <v>1257.92</v>
        <stp/>
        <stp>P</stp>
        <stp>0</stp>
        <stp>IDX</stp>
        <stp>FGX01T</stp>
        <stp>시가</stp>
        <stp>45539</stp>
        <stp>Fill=true,Per=월</stp>
        <tr r="J293" s="2"/>
      </tp>
      <tp>
        <v>0</v>
        <stp/>
        <stp>P</stp>
        <stp>0</stp>
        <stp>IDX</stp>
        <stp>FGX01T</stp>
        <stp>저가</stp>
        <stp>45539</stp>
        <stp>Fill=true,Per=월</stp>
        <tr r="L293" s="2"/>
      </tp>
      <tp>
        <v>1257.92</v>
        <stp/>
        <stp>P</stp>
        <stp>0</stp>
        <stp>IDX</stp>
        <stp>FGX01T</stp>
        <stp>고가</stp>
        <stp>45539</stp>
        <stp>Fill=true,Per=월</stp>
        <tr r="K293" s="2"/>
      </tp>
      <tp>
        <v>597.03</v>
        <stp/>
        <stp>P</stp>
        <stp>0</stp>
        <stp>IDX</stp>
        <stp>FG901P</stp>
        <stp>고가</stp>
        <stp>45539</stp>
        <stp>Fill=true,Per=월</stp>
        <tr r="K286" s="2"/>
      </tp>
      <tp>
        <v>0</v>
        <stp/>
        <stp>P</stp>
        <stp>0</stp>
        <stp>IDX</stp>
        <stp>FGG01P</stp>
        <stp>저가</stp>
        <stp>45539</stp>
        <stp>Fill=true,Per=월</stp>
        <tr r="L292" s="2"/>
      </tp>
      <tp>
        <v>1447.07</v>
        <stp/>
        <stp>P</stp>
        <stp>0</stp>
        <stp>IDX</stp>
        <stp>FGG01P</stp>
        <stp>시가</stp>
        <stp>45539</stp>
        <stp>Fill=true,Per=월</stp>
        <tr r="J292" s="2"/>
      </tp>
      <tp>
        <v>560.23</v>
        <stp/>
        <stp>P</stp>
        <stp>0</stp>
        <stp>IDX</stp>
        <stp>FG901P</stp>
        <stp>시가</stp>
        <stp>45539</stp>
        <stp>Fill=true,Per=월</stp>
        <tr r="J286" s="2"/>
      </tp>
      <tp>
        <v>0</v>
        <stp/>
        <stp>P</stp>
        <stp>0</stp>
        <stp>IDX</stp>
        <stp>FG901P</stp>
        <stp>저가</stp>
        <stp>45539</stp>
        <stp>Fill=true,Per=월</stp>
        <tr r="L286" s="2"/>
      </tp>
      <tp>
        <v>1471.03</v>
        <stp/>
        <stp>P</stp>
        <stp>0</stp>
        <stp>IDX</stp>
        <stp>FGG01P</stp>
        <stp>고가</stp>
        <stp>45539</stp>
        <stp>Fill=true,Per=월</stp>
        <tr r="K292" s="2"/>
      </tp>
      <tp>
        <v>387.01</v>
        <stp/>
        <stp>P</stp>
        <stp>0</stp>
        <stp>IDX</stp>
        <stp>F5X01T</stp>
        <stp>시가</stp>
        <stp>45539</stp>
        <stp>Fill=true,Per=월</stp>
        <tr r="J276" s="2"/>
      </tp>
      <tp>
        <v>0</v>
        <stp/>
        <stp>P</stp>
        <stp>0</stp>
        <stp>IDX</stp>
        <stp>F5X01T</stp>
        <stp>저가</stp>
        <stp>45539</stp>
        <stp>Fill=true,Per=월</stp>
        <tr r="L276" s="2"/>
      </tp>
      <tp>
        <v>391.4</v>
        <stp/>
        <stp>P</stp>
        <stp>0</stp>
        <stp>IDX</stp>
        <stp>F5X01T</stp>
        <stp>고가</stp>
        <stp>45539</stp>
        <stp>Fill=true,Per=월</stp>
        <tr r="K276" s="2"/>
      </tp>
      <tp>
        <v>0</v>
        <stp/>
        <stp>P</stp>
        <stp>0</stp>
        <stp>IDX</stp>
        <stp>F3G01P</stp>
        <stp>저가</stp>
        <stp>45539</stp>
        <stp>Fill=true,Per=월</stp>
        <tr r="L269" s="2"/>
      </tp>
      <tp>
        <v>1102.3</v>
        <stp/>
        <stp>P</stp>
        <stp>0</stp>
        <stp>IDX</stp>
        <stp>F3G01P</stp>
        <stp>시가</stp>
        <stp>45539</stp>
        <stp>Fill=true,Per=월</stp>
        <tr r="J269" s="2"/>
      </tp>
      <tp>
        <v>1103.74</v>
        <stp/>
        <stp>P</stp>
        <stp>0</stp>
        <stp>IDX</stp>
        <stp>F3G01P</stp>
        <stp>고가</stp>
        <stp>45539</stp>
        <stp>Fill=true,Per=월</stp>
        <tr r="K269" s="2"/>
      </tp>
      <tp>
        <v>378.08</v>
        <stp/>
        <stp>P</stp>
        <stp>0</stp>
        <stp>IDX</stp>
        <stp>F2X21P</stp>
        <stp>시가</stp>
        <stp>45539</stp>
        <stp>Fill=true,Per=월</stp>
        <tr r="J245" s="2"/>
      </tp>
      <tp>
        <v>81.23</v>
        <stp/>
        <stp>P</stp>
        <stp>0</stp>
        <stp>IDX</stp>
        <stp>F2X31P</stp>
        <stp>시가</stp>
        <stp>45539</stp>
        <stp>Fill=true,Per=월</stp>
        <tr r="J255" s="2"/>
      </tp>
      <tp>
        <v>2423.6999999999998</v>
        <stp/>
        <stp>P</stp>
        <stp>0</stp>
        <stp>IDX</stp>
        <stp>F2X01P</stp>
        <stp>시가</stp>
        <stp>45539</stp>
        <stp>Fill=true,Per=월</stp>
        <tr r="J225" s="2"/>
      </tp>
      <tp>
        <v>3052.49</v>
        <stp/>
        <stp>P</stp>
        <stp>0</stp>
        <stp>IDX</stp>
        <stp>F2X11P</stp>
        <stp>시가</stp>
        <stp>45539</stp>
        <stp>Fill=true,Per=월</stp>
        <tr r="J235" s="2"/>
      </tp>
      <tp>
        <v>0</v>
        <stp/>
        <stp>P</stp>
        <stp>0</stp>
        <stp>IDX</stp>
        <stp>F2S01P</stp>
        <stp>저가</stp>
        <stp>45539</stp>
        <stp>Fill=true,Per=월</stp>
        <tr r="L214" s="2"/>
      </tp>
      <tp>
        <v>1809.58</v>
        <stp/>
        <stp>P</stp>
        <stp>0</stp>
        <stp>IDX</stp>
        <stp>F2901P</stp>
        <stp>고가</stp>
        <stp>45539</stp>
        <stp>Fill=true,Per=월</stp>
        <tr r="K379" s="2"/>
      </tp>
      <tp>
        <v>0</v>
        <stp/>
        <stp>P</stp>
        <stp>0</stp>
        <stp>IDX</stp>
        <stp>F2X21P</stp>
        <stp>저가</stp>
        <stp>45539</stp>
        <stp>Fill=true,Per=월</stp>
        <tr r="L245" s="2"/>
      </tp>
      <tp>
        <v>0</v>
        <stp/>
        <stp>P</stp>
        <stp>0</stp>
        <stp>IDX</stp>
        <stp>F2X31P</stp>
        <stp>저가</stp>
        <stp>45539</stp>
        <stp>Fill=true,Per=월</stp>
        <tr r="L255" s="2"/>
      </tp>
      <tp>
        <v>0</v>
        <stp/>
        <stp>P</stp>
        <stp>0</stp>
        <stp>IDX</stp>
        <stp>F2X01P</stp>
        <stp>저가</stp>
        <stp>45539</stp>
        <stp>Fill=true,Per=월</stp>
        <tr r="L225" s="2"/>
      </tp>
      <tp>
        <v>0</v>
        <stp/>
        <stp>P</stp>
        <stp>0</stp>
        <stp>IDX</stp>
        <stp>F2X11P</stp>
        <stp>저가</stp>
        <stp>45539</stp>
        <stp>Fill=true,Per=월</stp>
        <tr r="L235" s="2"/>
      </tp>
      <tp>
        <v>936.98</v>
        <stp/>
        <stp>P</stp>
        <stp>0</stp>
        <stp>IDX</stp>
        <stp>F2S01P</stp>
        <stp>시가</stp>
        <stp>45539</stp>
        <stp>Fill=true,Per=월</stp>
        <tr r="J214" s="2"/>
      </tp>
      <tp>
        <v>0</v>
        <stp/>
        <stp>P</stp>
        <stp>0</stp>
        <stp>IDX</stp>
        <stp>F2G01P</stp>
        <stp>저가</stp>
        <stp>45539</stp>
        <stp>Fill=true,Per=월</stp>
        <tr r="L212" s="2"/>
      </tp>
      <tp>
        <v>1801.86</v>
        <stp/>
        <stp>P</stp>
        <stp>0</stp>
        <stp>IDX</stp>
        <stp>F2G01P</stp>
        <stp>시가</stp>
        <stp>45539</stp>
        <stp>Fill=true,Per=월</stp>
        <tr r="J212" s="2"/>
      </tp>
      <tp>
        <v>952.86</v>
        <stp/>
        <stp>P</stp>
        <stp>0</stp>
        <stp>IDX</stp>
        <stp>F2S01P</stp>
        <stp>고가</stp>
        <stp>45539</stp>
        <stp>Fill=true,Per=월</stp>
        <tr r="K214" s="2"/>
      </tp>
      <tp>
        <v>1803.12</v>
        <stp/>
        <stp>P</stp>
        <stp>0</stp>
        <stp>IDX</stp>
        <stp>F2901P</stp>
        <stp>시가</stp>
        <stp>45539</stp>
        <stp>Fill=true,Per=월</stp>
        <tr r="J379" s="2"/>
      </tp>
      <tp>
        <v>378.08</v>
        <stp/>
        <stp>P</stp>
        <stp>0</stp>
        <stp>IDX</stp>
        <stp>F2X21P</stp>
        <stp>고가</stp>
        <stp>45539</stp>
        <stp>Fill=true,Per=월</stp>
        <tr r="K245" s="2"/>
      </tp>
      <tp>
        <v>81.23</v>
        <stp/>
        <stp>P</stp>
        <stp>0</stp>
        <stp>IDX</stp>
        <stp>F2X31P</stp>
        <stp>고가</stp>
        <stp>45539</stp>
        <stp>Fill=true,Per=월</stp>
        <tr r="K255" s="2"/>
      </tp>
      <tp>
        <v>2441.25</v>
        <stp/>
        <stp>P</stp>
        <stp>0</stp>
        <stp>IDX</stp>
        <stp>F2X01P</stp>
        <stp>고가</stp>
        <stp>45539</stp>
        <stp>Fill=true,Per=월</stp>
        <tr r="K225" s="2"/>
      </tp>
      <tp>
        <v>3120.53</v>
        <stp/>
        <stp>P</stp>
        <stp>0</stp>
        <stp>IDX</stp>
        <stp>F2X11P</stp>
        <stp>고가</stp>
        <stp>45539</stp>
        <stp>Fill=true,Per=월</stp>
        <tr r="K235" s="2"/>
      </tp>
      <tp>
        <v>0</v>
        <stp/>
        <stp>P</stp>
        <stp>0</stp>
        <stp>IDX</stp>
        <stp>F2901P</stp>
        <stp>저가</stp>
        <stp>45539</stp>
        <stp>Fill=true,Per=월</stp>
        <tr r="L379" s="2"/>
      </tp>
      <tp>
        <v>1808.32</v>
        <stp/>
        <stp>P</stp>
        <stp>0</stp>
        <stp>IDX</stp>
        <stp>F2G01P</stp>
        <stp>고가</stp>
        <stp>45539</stp>
        <stp>Fill=true,Per=월</stp>
        <tr r="K212" s="2"/>
      </tp>
      <tp>
        <v>1546.2</v>
        <stp/>
        <stp>P</stp>
        <stp>0</stp>
        <stp>IDX</stp>
        <stp>F5901P</stp>
        <stp>고가</stp>
        <stp>45539</stp>
        <stp>Fill=true,Per=월</stp>
        <tr r="K273" s="2"/>
      </tp>
      <tp>
        <v>0</v>
        <stp/>
        <stp>P</stp>
        <stp>0</stp>
        <stp>IDX</stp>
        <stp>F5G01P</stp>
        <stp>저가</stp>
        <stp>45539</stp>
        <stp>Fill=true,Per=월</stp>
        <tr r="L275" s="2"/>
      </tp>
      <tp>
        <v>1528.43</v>
        <stp/>
        <stp>P</stp>
        <stp>0</stp>
        <stp>IDX</stp>
        <stp>F5G01P</stp>
        <stp>시가</stp>
        <stp>45539</stp>
        <stp>Fill=true,Per=월</stp>
        <tr r="J275" s="2"/>
      </tp>
      <tp>
        <v>1529.09</v>
        <stp/>
        <stp>P</stp>
        <stp>0</stp>
        <stp>IDX</stp>
        <stp>F5901P</stp>
        <stp>시가</stp>
        <stp>45539</stp>
        <stp>Fill=true,Per=월</stp>
        <tr r="J273" s="2"/>
      </tp>
      <tp>
        <v>0</v>
        <stp/>
        <stp>P</stp>
        <stp>0</stp>
        <stp>IDX</stp>
        <stp>F5901P</stp>
        <stp>저가</stp>
        <stp>45539</stp>
        <stp>Fill=true,Per=월</stp>
        <tr r="L273" s="2"/>
      </tp>
      <tp>
        <v>1545.53</v>
        <stp/>
        <stp>P</stp>
        <stp>0</stp>
        <stp>IDX</stp>
        <stp>F5G01P</stp>
        <stp>고가</stp>
        <stp>45539</stp>
        <stp>Fill=true,Per=월</stp>
        <tr r="K275" s="2"/>
      </tp>
      <tp>
        <v>1057.72</v>
        <stp/>
        <stp>P</stp>
        <stp>0</stp>
        <stp>IDX</stp>
        <stp>F3X01T</stp>
        <stp>시가</stp>
        <stp>45539</stp>
        <stp>Fill=true,Per=월</stp>
        <tr r="J270" s="2"/>
      </tp>
      <tp>
        <v>0</v>
        <stp/>
        <stp>P</stp>
        <stp>0</stp>
        <stp>IDX</stp>
        <stp>F3X01T</stp>
        <stp>저가</stp>
        <stp>45539</stp>
        <stp>Fill=true,Per=월</stp>
        <tr r="L270" s="2"/>
      </tp>
      <tp>
        <v>1060.55</v>
        <stp/>
        <stp>P</stp>
        <stp>0</stp>
        <stp>IDX</stp>
        <stp>F3X01T</stp>
        <stp>고가</stp>
        <stp>45539</stp>
        <stp>Fill=true,Per=월</stp>
        <tr r="K270" s="2"/>
      </tp>
      <tp>
        <v>2393.0300000000002</v>
        <stp/>
        <stp>P</stp>
        <stp>0</stp>
        <stp>IDX</stp>
        <stp>F2X41T</stp>
        <stp>시가</stp>
        <stp>45539</stp>
        <stp>Fill=true,Per=월</stp>
        <tr r="J265" s="2"/>
      </tp>
      <tp>
        <v>0</v>
        <stp/>
        <stp>P</stp>
        <stp>0</stp>
        <stp>IDX</stp>
        <stp>F2X41T</stp>
        <stp>저가</stp>
        <stp>45539</stp>
        <stp>Fill=true,Per=월</stp>
        <tr r="L265" s="2"/>
      </tp>
      <tp>
        <v>2450.36</v>
        <stp/>
        <stp>P</stp>
        <stp>0</stp>
        <stp>IDX</stp>
        <stp>F2X41T</stp>
        <stp>고가</stp>
        <stp>45539</stp>
        <stp>Fill=true,Per=월</stp>
        <tr r="K265" s="2"/>
      </tp>
      <tp t="s">
        <v/>
        <stp/>
        <stp>P</stp>
        <stp>0</stp>
        <stp>IDX</stp>
        <stp>F5X07T</stp>
        <stp>외국인합순매수금액</stp>
        <stp>45539</stp>
        <stp>Fill=true,Per=월</stp>
        <tr r="O282" s="2"/>
      </tp>
      <tp t="s">
        <v/>
        <stp/>
        <stp>P</stp>
        <stp>0</stp>
        <stp>IDX</stp>
        <stp>F2S07P</stp>
        <stp>외국인합순매수금액</stp>
        <stp>45539</stp>
        <stp>Fill=true,Per=월</stp>
        <tr r="O220" s="2"/>
      </tp>
      <tp t="s">
        <v/>
        <stp/>
        <stp>P</stp>
        <stp>0</stp>
        <stp>IDX</stp>
        <stp>F2X07P</stp>
        <stp>외국인합순매수금액</stp>
        <stp>45539</stp>
        <stp>Fill=true,Per=월</stp>
        <tr r="O231" s="2"/>
      </tp>
      <tp t="s">
        <v/>
        <stp/>
        <stp>P</stp>
        <stp>0</stp>
        <stp>IDX</stp>
        <stp>GGG06P</stp>
        <stp>외국인합순매수금액</stp>
        <stp>45539</stp>
        <stp>Fill=true,Per=월</stp>
        <tr r="O336" s="2"/>
      </tp>
      <tp t="s">
        <v/>
        <stp/>
        <stp>P</stp>
        <stp>0</stp>
        <stp>IDX</stp>
        <stp>FGA07P</stp>
        <stp>외국인합순매수금액</stp>
        <stp>45539</stp>
        <stp>Fill=true,Per=월</stp>
        <tr r="O291" s="2"/>
      </tp>
      <tp t="s">
        <v/>
        <stp/>
        <stp>P</stp>
        <stp>0</stp>
        <stp>IDX</stp>
        <stp>FRX07P</stp>
        <stp>외국인합순매수금액</stp>
        <stp>45539</stp>
        <stp>Fill=true,Per=월</stp>
        <tr r="O307" s="2"/>
      </tp>
      <tp t="s">
        <v/>
        <stp/>
        <stp>P</stp>
        <stp>0</stp>
        <stp>IDX</stp>
        <stp>FTX07P</stp>
        <stp>외국인합순매수금액</stp>
        <stp>45539</stp>
        <stp>Fill=true,Per=월</stp>
        <tr r="O325" s="2"/>
      </tp>
      <tp t="s">
        <v/>
        <stp/>
        <stp>P</stp>
        <stp>0</stp>
        <stp>IDX</stp>
        <stp>F5X06T</stp>
        <stp>외국인합순매수금액</stp>
        <stp>45539</stp>
        <stp>Fill=true,Per=월</stp>
        <tr r="O281" s="2"/>
      </tp>
      <tp t="s">
        <v/>
        <stp/>
        <stp>P</stp>
        <stp>0</stp>
        <stp>IDX</stp>
        <stp>F2S06P</stp>
        <stp>외국인합순매수금액</stp>
        <stp>45539</stp>
        <stp>Fill=true,Per=월</stp>
        <tr r="O219" s="2"/>
      </tp>
      <tp t="s">
        <v/>
        <stp/>
        <stp>P</stp>
        <stp>0</stp>
        <stp>IDX</stp>
        <stp>F2X06P</stp>
        <stp>외국인합순매수금액</stp>
        <stp>45539</stp>
        <stp>Fill=true,Per=월</stp>
        <tr r="O230" s="2"/>
      </tp>
      <tp t="s">
        <v/>
        <stp/>
        <stp>P</stp>
        <stp>0</stp>
        <stp>IDX</stp>
        <stp>GGG07P</stp>
        <stp>외국인합순매수금액</stp>
        <stp>45539</stp>
        <stp>Fill=true,Per=월</stp>
        <tr r="O337" s="2"/>
      </tp>
      <tp t="s">
        <v/>
        <stp/>
        <stp>P</stp>
        <stp>0</stp>
        <stp>IDX</stp>
        <stp>FGA06P</stp>
        <stp>외국인합순매수금액</stp>
        <stp>45539</stp>
        <stp>Fill=true,Per=월</stp>
        <tr r="O290" s="2"/>
      </tp>
      <tp t="s">
        <v/>
        <stp/>
        <stp>P</stp>
        <stp>0</stp>
        <stp>IDX</stp>
        <stp>FTX06T</stp>
        <stp>외국인합순매수금액</stp>
        <stp>45539</stp>
        <stp>Fill=true,Per=월</stp>
        <tr r="O324" s="2"/>
      </tp>
      <tp t="s">
        <v/>
        <stp/>
        <stp>P</stp>
        <stp>0</stp>
        <stp>IDX</stp>
        <stp>FRX06P</stp>
        <stp>외국인합순매수금액</stp>
        <stp>45539</stp>
        <stp>Fill=true,Per=월</stp>
        <tr r="O306" s="2"/>
      </tp>
      <tp t="s">
        <v/>
        <stp/>
        <stp>P</stp>
        <stp>0</stp>
        <stp>IDX</stp>
        <stp>K2G08N</stp>
        <stp>외국인합순매수금액</stp>
        <stp>45539</stp>
        <stp>Fill=true,Per=월</stp>
        <tr r="O357" s="2"/>
      </tp>
      <tp t="s">
        <v/>
        <stp/>
        <stp>P</stp>
        <stp>0</stp>
        <stp>IDX</stp>
        <stp>F5X05T</stp>
        <stp>외국인합순매수금액</stp>
        <stp>45539</stp>
        <stp>Fill=true,Per=월</stp>
        <tr r="O280" s="2"/>
      </tp>
      <tp t="s">
        <v/>
        <stp/>
        <stp>P</stp>
        <stp>0</stp>
        <stp>IDX</stp>
        <stp>K2G08P</stp>
        <stp>외국인합순매수금액</stp>
        <stp>45539</stp>
        <stp>Fill=true,Per=월</stp>
        <tr r="O358" s="2"/>
      </tp>
      <tp t="s">
        <v/>
        <stp/>
        <stp>P</stp>
        <stp>0</stp>
        <stp>IDX</stp>
        <stp>F2S05P</stp>
        <stp>외국인합순매수금액</stp>
        <stp>45539</stp>
        <stp>Fill=true,Per=월</stp>
        <tr r="O218" s="2"/>
      </tp>
      <tp t="s">
        <v/>
        <stp/>
        <stp>P</stp>
        <stp>0</stp>
        <stp>IDX</stp>
        <stp>K2S08P</stp>
        <stp>외국인합순매수금액</stp>
        <stp>45539</stp>
        <stp>Fill=true,Per=월</stp>
        <tr r="O55" s="2"/>
      </tp>
      <tp t="s">
        <v/>
        <stp/>
        <stp>P</stp>
        <stp>0</stp>
        <stp>IDX</stp>
        <stp>K2X08P</stp>
        <stp>외국인합순매수금액</stp>
        <stp>45539</stp>
        <stp>Fill=true,Per=월</stp>
        <tr r="O56" s="2"/>
      </tp>
      <tp t="s">
        <v/>
        <stp/>
        <stp>P</stp>
        <stp>0</stp>
        <stp>IDX</stp>
        <stp>K2G08T</stp>
        <stp>외국인합순매수금액</stp>
        <stp>45539</stp>
        <stp>Fill=true,Per=월</stp>
        <tr r="O359" s="2"/>
      </tp>
      <tp t="s">
        <v/>
        <stp/>
        <stp>P</stp>
        <stp>0</stp>
        <stp>IDX</stp>
        <stp>K2S08T</stp>
        <stp>외국인합순매수금액</stp>
        <stp>45539</stp>
        <stp>Fill=true,Per=월</stp>
        <tr r="O370" s="2"/>
      </tp>
      <tp t="s">
        <v/>
        <stp/>
        <stp>P</stp>
        <stp>0</stp>
        <stp>IDX</stp>
        <stp>F2X05T</stp>
        <stp>외국인합순매수금액</stp>
        <stp>45539</stp>
        <stp>Fill=true,Per=월</stp>
        <tr r="O229" s="2"/>
      </tp>
      <tp t="s">
        <v/>
        <stp/>
        <stp>P</stp>
        <stp>0</stp>
        <stp>IDX</stp>
        <stp>GGG04P</stp>
        <stp>외국인합순매수금액</stp>
        <stp>45539</stp>
        <stp>Fill=true,Per=월</stp>
        <tr r="O334" s="2"/>
      </tp>
      <tp t="s">
        <v/>
        <stp/>
        <stp>P</stp>
        <stp>0</stp>
        <stp>IDX</stp>
        <stp>FGA05P</stp>
        <stp>외국인합순매수금액</stp>
        <stp>45539</stp>
        <stp>Fill=true,Per=월</stp>
        <tr r="O289" s="2"/>
      </tp>
      <tp>
        <v>6542</v>
        <stp/>
        <stp>P</stp>
        <stp>0</stp>
        <stp>IDX</stp>
        <stp>KGS08P</stp>
        <stp>외국인합순매수금액</stp>
        <stp>45539</stp>
        <stp>Fill=true,Per=월</stp>
        <tr r="O66" s="2"/>
      </tp>
      <tp t="s">
        <v/>
        <stp/>
        <stp>P</stp>
        <stp>0</stp>
        <stp>IDX</stp>
        <stp>FRX05P</stp>
        <stp>외국인합순매수금액</stp>
        <stp>45539</stp>
        <stp>Fill=true,Per=월</stp>
        <tr r="O305" s="2"/>
      </tp>
      <tp t="s">
        <v/>
        <stp/>
        <stp>P</stp>
        <stp>0</stp>
        <stp>IDX</stp>
        <stp>FTX05P</stp>
        <stp>외국인합순매수금액</stp>
        <stp>45539</stp>
        <stp>Fill=true,Per=월</stp>
        <tr r="O323" s="2"/>
      </tp>
      <tp t="s">
        <v/>
        <stp/>
        <stp>P</stp>
        <stp>0</stp>
        <stp>IDX</stp>
        <stp>F5X04T</stp>
        <stp>외국인합순매수금액</stp>
        <stp>45539</stp>
        <stp>Fill=true,Per=월</stp>
        <tr r="O279" s="2"/>
      </tp>
      <tp t="s">
        <v/>
        <stp/>
        <stp>P</stp>
        <stp>0</stp>
        <stp>IDX</stp>
        <stp>F2S04P</stp>
        <stp>외국인합순매수금액</stp>
        <stp>45539</stp>
        <stp>Fill=true,Per=월</stp>
        <tr r="O217" s="2"/>
      </tp>
      <tp t="s">
        <v/>
        <stp/>
        <stp>P</stp>
        <stp>0</stp>
        <stp>IDX</stp>
        <stp>K2S09P</stp>
        <stp>외국인합순매수금액</stp>
        <stp>45539</stp>
        <stp>Fill=true,Per=월</stp>
        <tr r="O68" s="2"/>
      </tp>
      <tp t="s">
        <v/>
        <stp/>
        <stp>P</stp>
        <stp>0</stp>
        <stp>IDX</stp>
        <stp>F2X04P</stp>
        <stp>외국인합순매수금액</stp>
        <stp>45539</stp>
        <stp>Fill=true,Per=월</stp>
        <tr r="O228" s="2"/>
      </tp>
      <tp t="s">
        <v/>
        <stp/>
        <stp>P</stp>
        <stp>0</stp>
        <stp>IDX</stp>
        <stp>K2X09P</stp>
        <stp>외국인합순매수금액</stp>
        <stp>45539</stp>
        <stp>Fill=true,Per=월</stp>
        <tr r="O48" s="2"/>
      </tp>
      <tp t="s">
        <v/>
        <stp/>
        <stp>P</stp>
        <stp>0</stp>
        <stp>IDX</stp>
        <stp>K2S09T</stp>
        <stp>외국인합순매수금액</stp>
        <stp>45539</stp>
        <stp>Fill=true,Per=월</stp>
        <tr r="O371" s="2"/>
      </tp>
      <tp t="s">
        <v/>
        <stp/>
        <stp>P</stp>
        <stp>0</stp>
        <stp>IDX</stp>
        <stp>FGA04T</stp>
        <stp>외국인합순매수금액</stp>
        <stp>45539</stp>
        <stp>Fill=true,Per=월</stp>
        <tr r="O288" s="2"/>
      </tp>
      <tp t="s">
        <v/>
        <stp/>
        <stp>P</stp>
        <stp>0</stp>
        <stp>IDX</stp>
        <stp>FGX04T</stp>
        <stp>외국인합순매수금액</stp>
        <stp>45539</stp>
        <stp>Fill=true,Per=월</stp>
        <tr r="O296" s="2"/>
      </tp>
      <tp t="s">
        <v/>
        <stp/>
        <stp>P</stp>
        <stp>0</stp>
        <stp>IDX</stp>
        <stp>GGG05P</stp>
        <stp>외국인합순매수금액</stp>
        <stp>45539</stp>
        <stp>Fill=true,Per=월</stp>
        <tr r="O335" s="2"/>
      </tp>
      <tp>
        <v>-148376</v>
        <stp/>
        <stp>P</stp>
        <stp>0</stp>
        <stp>IDX</stp>
        <stp>KGS09P</stp>
        <stp>외국인합순매수금액</stp>
        <stp>45539</stp>
        <stp>Fill=true,Per=월</stp>
        <tr r="O22" s="2"/>
      </tp>
      <tp t="s">
        <v/>
        <stp/>
        <stp>P</stp>
        <stp>0</stp>
        <stp>IDX</stp>
        <stp>FRX04P</stp>
        <stp>외국인합순매수금액</stp>
        <stp>45539</stp>
        <stp>Fill=true,Per=월</stp>
        <tr r="O304" s="2"/>
      </tp>
      <tp t="s">
        <v/>
        <stp/>
        <stp>P</stp>
        <stp>0</stp>
        <stp>IDX</stp>
        <stp>FTX04P</stp>
        <stp>외국인합순매수금액</stp>
        <stp>45539</stp>
        <stp>Fill=true,Per=월</stp>
        <tr r="O322" s="2"/>
      </tp>
      <tp t="s">
        <v/>
        <stp/>
        <stp>P</stp>
        <stp>0</stp>
        <stp>IDX</stp>
        <stp>FT904P</stp>
        <stp>외국인합순매수금액</stp>
        <stp>45539</stp>
        <stp>Fill=true,Per=월</stp>
        <tr r="O314" s="2"/>
      </tp>
      <tp t="s">
        <v/>
        <stp/>
        <stp>P</stp>
        <stp>0</stp>
        <stp>IDX</stp>
        <stp>F5X03T</stp>
        <stp>외국인합순매수금액</stp>
        <stp>45539</stp>
        <stp>Fill=true,Per=월</stp>
        <tr r="O278" s="2"/>
      </tp>
      <tp t="s">
        <v/>
        <stp/>
        <stp>P</stp>
        <stp>0</stp>
        <stp>IDX</stp>
        <stp>F2S03P</stp>
        <stp>외국인합순매수금액</stp>
        <stp>45539</stp>
        <stp>Fill=true,Per=월</stp>
        <tr r="O216" s="2"/>
      </tp>
      <tp t="s">
        <v/>
        <stp/>
        <stp>P</stp>
        <stp>0</stp>
        <stp>IDX</stp>
        <stp>F2X03P</stp>
        <stp>외국인합순매수금액</stp>
        <stp>45539</stp>
        <stp>Fill=true,Per=월</stp>
        <tr r="O227" s="2"/>
      </tp>
      <tp t="s">
        <v/>
        <stp/>
        <stp>P</stp>
        <stp>0</stp>
        <stp>IDX</stp>
        <stp>F3X03T</stp>
        <stp>외국인합순매수금액</stp>
        <stp>45539</stp>
        <stp>Fill=true,Per=월</stp>
        <tr r="O272" s="2"/>
      </tp>
      <tp t="s">
        <v/>
        <stp/>
        <stp>P</stp>
        <stp>0</stp>
        <stp>IDX</stp>
        <stp>FGA03T</stp>
        <stp>외국인합순매수금액</stp>
        <stp>45539</stp>
        <stp>Fill=true,Per=월</stp>
        <tr r="O287" s="2"/>
      </tp>
      <tp t="s">
        <v/>
        <stp/>
        <stp>P</stp>
        <stp>0</stp>
        <stp>IDX</stp>
        <stp>FGX03T</stp>
        <stp>외국인합순매수금액</stp>
        <stp>45539</stp>
        <stp>Fill=true,Per=월</stp>
        <tr r="O295" s="2"/>
      </tp>
      <tp t="s">
        <v/>
        <stp/>
        <stp>P</stp>
        <stp>0</stp>
        <stp>IDX</stp>
        <stp>GGG02P</stp>
        <stp>외국인합순매수금액</stp>
        <stp>45539</stp>
        <stp>Fill=true,Per=월</stp>
        <tr r="O332" s="2"/>
      </tp>
      <tp t="s">
        <v/>
        <stp/>
        <stp>P</stp>
        <stp>0</stp>
        <stp>IDX</stp>
        <stp>MGA08P</stp>
        <stp>외국인합순매수금액</stp>
        <stp>45539</stp>
        <stp>Fill=true,Per=월</stp>
        <tr r="O126" s="2"/>
      </tp>
      <tp t="s">
        <v/>
        <stp/>
        <stp>P</stp>
        <stp>0</stp>
        <stp>IDX</stp>
        <stp>GGT02P</stp>
        <stp>외국인합순매수금액</stp>
        <stp>45539</stp>
        <stp>Fill=true,Per=월</stp>
        <tr r="O341" s="2"/>
      </tp>
      <tp t="s">
        <v/>
        <stp/>
        <stp>P</stp>
        <stp>0</stp>
        <stp>IDX</stp>
        <stp>FRG03P</stp>
        <stp>외국인합순매수금액</stp>
        <stp>45539</stp>
        <stp>Fill=true,Per=월</stp>
        <tr r="O300" s="2"/>
      </tp>
      <tp t="s">
        <v/>
        <stp/>
        <stp>P</stp>
        <stp>0</stp>
        <stp>IDX</stp>
        <stp>FRX03P</stp>
        <stp>외국인합순매수금액</stp>
        <stp>45539</stp>
        <stp>Fill=true,Per=월</stp>
        <tr r="O303" s="2"/>
      </tp>
      <tp t="s">
        <v/>
        <stp/>
        <stp>P</stp>
        <stp>0</stp>
        <stp>IDX</stp>
        <stp>FTX03P</stp>
        <stp>외국인합순매수금액</stp>
        <stp>45539</stp>
        <stp>Fill=true,Per=월</stp>
        <tr r="O321" s="2"/>
      </tp>
      <tp t="s">
        <v/>
        <stp/>
        <stp>P</stp>
        <stp>0</stp>
        <stp>IDX</stp>
        <stp>F5X02T</stp>
        <stp>외국인합순매수금액</stp>
        <stp>45539</stp>
        <stp>Fill=true,Per=월</stp>
        <tr r="O277" s="2"/>
      </tp>
      <tp t="s">
        <v/>
        <stp/>
        <stp>P</stp>
        <stp>0</stp>
        <stp>IDX</stp>
        <stp>F5902T</stp>
        <stp>외국인합순매수금액</stp>
        <stp>45539</stp>
        <stp>Fill=true,Per=월</stp>
        <tr r="O274" s="2"/>
      </tp>
      <tp t="s">
        <v/>
        <stp/>
        <stp>P</stp>
        <stp>0</stp>
        <stp>IDX</stp>
        <stp>F3X02P</stp>
        <stp>외국인합순매수금액</stp>
        <stp>45539</stp>
        <stp>Fill=true,Per=월</stp>
        <tr r="O271" s="2"/>
      </tp>
      <tp t="s">
        <v/>
        <stp/>
        <stp>P</stp>
        <stp>0</stp>
        <stp>IDX</stp>
        <stp>F2G02P</stp>
        <stp>외국인합순매수금액</stp>
        <stp>45539</stp>
        <stp>Fill=true,Per=월</stp>
        <tr r="O213" s="2"/>
      </tp>
      <tp t="s">
        <v/>
        <stp/>
        <stp>P</stp>
        <stp>0</stp>
        <stp>IDX</stp>
        <stp>F2V02P</stp>
        <stp>외국인합순매수금액</stp>
        <stp>45539</stp>
        <stp>Fill=true,Per=월</stp>
        <tr r="O224" s="2"/>
      </tp>
      <tp t="s">
        <v/>
        <stp/>
        <stp>P</stp>
        <stp>0</stp>
        <stp>IDX</stp>
        <stp>F2S02P</stp>
        <stp>외국인합순매수금액</stp>
        <stp>45539</stp>
        <stp>Fill=true,Per=월</stp>
        <tr r="O215" s="2"/>
      </tp>
      <tp t="s">
        <v/>
        <stp/>
        <stp>P</stp>
        <stp>0</stp>
        <stp>IDX</stp>
        <stp>F2X02P</stp>
        <stp>외국인합순매수금액</stp>
        <stp>45539</stp>
        <stp>Fill=true,Per=월</stp>
        <tr r="O226" s="2"/>
      </tp>
      <tp t="s">
        <v/>
        <stp/>
        <stp>P</stp>
        <stp>0</stp>
        <stp>IDX</stp>
        <stp>F2902T</stp>
        <stp>외국인합순매수금액</stp>
        <stp>45539</stp>
        <stp>Fill=true,Per=월</stp>
        <tr r="O211" s="2"/>
      </tp>
      <tp t="s">
        <v/>
        <stp/>
        <stp>P</stp>
        <stp>0</stp>
        <stp>IDX</stp>
        <stp>FGX02T</stp>
        <stp>외국인합순매수금액</stp>
        <stp>45539</stp>
        <stp>Fill=true,Per=월</stp>
        <tr r="O294" s="2"/>
      </tp>
      <tp t="s">
        <v/>
        <stp/>
        <stp>P</stp>
        <stp>0</stp>
        <stp>IDX</stp>
        <stp>GGG03P</stp>
        <stp>외국인합순매수금액</stp>
        <stp>45539</stp>
        <stp>Fill=true,Per=월</stp>
        <tr r="O333" s="2"/>
      </tp>
      <tp t="s">
        <v/>
        <stp/>
        <stp>P</stp>
        <stp>0</stp>
        <stp>IDX</stp>
        <stp>MGA09P</stp>
        <stp>외국인합순매수금액</stp>
        <stp>45539</stp>
        <stp>Fill=true,Per=월</stp>
        <tr r="O127" s="2"/>
      </tp>
      <tp t="s">
        <v/>
        <stp/>
        <stp>P</stp>
        <stp>0</stp>
        <stp>IDX</stp>
        <stp>GGT03P</stp>
        <stp>외국인합순매수금액</stp>
        <stp>45539</stp>
        <stp>Fill=true,Per=월</stp>
        <tr r="O342" s="2"/>
      </tp>
      <tp t="s">
        <v/>
        <stp/>
        <stp>P</stp>
        <stp>0</stp>
        <stp>IDX</stp>
        <stp>FRG02P</stp>
        <stp>외국인합순매수금액</stp>
        <stp>45539</stp>
        <stp>Fill=true,Per=월</stp>
        <tr r="O299" s="2"/>
      </tp>
      <tp t="s">
        <v/>
        <stp/>
        <stp>P</stp>
        <stp>0</stp>
        <stp>IDX</stp>
        <stp>FRX02P</stp>
        <stp>외국인합순매수금액</stp>
        <stp>45539</stp>
        <stp>Fill=true,Per=월</stp>
        <tr r="O302" s="2"/>
      </tp>
      <tp t="s">
        <v/>
        <stp/>
        <stp>P</stp>
        <stp>0</stp>
        <stp>IDX</stp>
        <stp>FTG02P</stp>
        <stp>외국인합순매수금액</stp>
        <stp>45539</stp>
        <stp>Fill=true,Per=월</stp>
        <tr r="O318" s="2"/>
      </tp>
      <tp t="s">
        <v/>
        <stp/>
        <stp>P</stp>
        <stp>0</stp>
        <stp>IDX</stp>
        <stp>FTA02P</stp>
        <stp>외국인합순매수금액</stp>
        <stp>45539</stp>
        <stp>Fill=true,Per=월</stp>
        <tr r="O316" s="2"/>
      </tp>
      <tp t="s">
        <v/>
        <stp/>
        <stp>P</stp>
        <stp>0</stp>
        <stp>IDX</stp>
        <stp>FTX02P</stp>
        <stp>외국인합순매수금액</stp>
        <stp>45539</stp>
        <stp>Fill=true,Per=월</stp>
        <tr r="O320" s="2"/>
      </tp>
      <tp t="s">
        <v/>
        <stp/>
        <stp>P</stp>
        <stp>0</stp>
        <stp>IDX</stp>
        <stp>F5X01T</stp>
        <stp>외국인합순매수금액</stp>
        <stp>45539</stp>
        <stp>Fill=true,Per=월</stp>
        <tr r="O276" s="2"/>
      </tp>
      <tp t="s">
        <v/>
        <stp/>
        <stp>P</stp>
        <stp>0</stp>
        <stp>IDX</stp>
        <stp>F3G01P</stp>
        <stp>외국인합순매수금액</stp>
        <stp>45539</stp>
        <stp>Fill=true,Per=월</stp>
        <tr r="O269" s="2"/>
      </tp>
      <tp t="s">
        <v/>
        <stp/>
        <stp>P</stp>
        <stp>0</stp>
        <stp>IDX</stp>
        <stp>F2G01P</stp>
        <stp>외국인합순매수금액</stp>
        <stp>45539</stp>
        <stp>Fill=true,Per=월</stp>
        <tr r="O212" s="2"/>
      </tp>
      <tp t="s">
        <v/>
        <stp/>
        <stp>P</stp>
        <stp>0</stp>
        <stp>IDX</stp>
        <stp>F2S01P</stp>
        <stp>외국인합순매수금액</stp>
        <stp>45539</stp>
        <stp>Fill=true,Per=월</stp>
        <tr r="O214" s="2"/>
      </tp>
      <tp t="s">
        <v/>
        <stp/>
        <stp>P</stp>
        <stp>0</stp>
        <stp>IDX</stp>
        <stp>F2X01P</stp>
        <stp>외국인합순매수금액</stp>
        <stp>45539</stp>
        <stp>Fill=true,Per=월</stp>
        <tr r="O225" s="2"/>
      </tp>
      <tp t="s">
        <v/>
        <stp/>
        <stp>P</stp>
        <stp>0</stp>
        <stp>IDX</stp>
        <stp>F2901P</stp>
        <stp>외국인합순매수금액</stp>
        <stp>45539</stp>
        <stp>Fill=true,Per=월</stp>
        <tr r="O379" s="2"/>
      </tp>
      <tp t="s">
        <v/>
        <stp/>
        <stp>P</stp>
        <stp>0</stp>
        <stp>IDX</stp>
        <stp>F5G01P</stp>
        <stp>외국인합순매수금액</stp>
        <stp>45539</stp>
        <stp>Fill=true,Per=월</stp>
        <tr r="O275" s="2"/>
      </tp>
      <tp t="s">
        <v/>
        <stp/>
        <stp>P</stp>
        <stp>0</stp>
        <stp>IDX</stp>
        <stp>F5901P</stp>
        <stp>외국인합순매수금액</stp>
        <stp>45539</stp>
        <stp>Fill=true,Per=월</stp>
        <tr r="O273" s="2"/>
      </tp>
      <tp t="s">
        <v/>
        <stp/>
        <stp>P</stp>
        <stp>0</stp>
        <stp>IDX</stp>
        <stp>F3X01T</stp>
        <stp>외국인합순매수금액</stp>
        <stp>45539</stp>
        <stp>Fill=true,Per=월</stp>
        <tr r="O270" s="2"/>
      </tp>
      <tp t="s">
        <v/>
        <stp/>
        <stp>P</stp>
        <stp>0</stp>
        <stp>IDX</stp>
        <stp>FGX01T</stp>
        <stp>외국인합순매수금액</stp>
        <stp>45539</stp>
        <stp>Fill=true,Per=월</stp>
        <tr r="O293" s="2"/>
      </tp>
      <tp t="s">
        <v/>
        <stp/>
        <stp>P</stp>
        <stp>0</stp>
        <stp>IDX</stp>
        <stp>FGG01P</stp>
        <stp>외국인합순매수금액</stp>
        <stp>45539</stp>
        <stp>Fill=true,Per=월</stp>
        <tr r="O292" s="2"/>
      </tp>
      <tp t="s">
        <v/>
        <stp/>
        <stp>P</stp>
        <stp>0</stp>
        <stp>IDX</stp>
        <stp>FG901P</stp>
        <stp>외국인합순매수금액</stp>
        <stp>45539</stp>
        <stp>Fill=true,Per=월</stp>
        <tr r="O286" s="2"/>
      </tp>
      <tp t="s">
        <v/>
        <stp/>
        <stp>P</stp>
        <stp>0</stp>
        <stp>IDX</stp>
        <stp>FRG01P</stp>
        <stp>외국인합순매수금액</stp>
        <stp>45539</stp>
        <stp>Fill=true,Per=월</stp>
        <tr r="O210" s="2"/>
      </tp>
      <tp t="s">
        <v/>
        <stp/>
        <stp>P</stp>
        <stp>0</stp>
        <stp>IDX</stp>
        <stp>FRX01P</stp>
        <stp>외국인합순매수금액</stp>
        <stp>45539</stp>
        <stp>Fill=true,Per=월</stp>
        <tr r="O301" s="2"/>
      </tp>
      <tp t="s">
        <v/>
        <stp/>
        <stp>P</stp>
        <stp>0</stp>
        <stp>IDX</stp>
        <stp>FTG01P</stp>
        <stp>외국인합순매수금액</stp>
        <stp>45539</stp>
        <stp>Fill=true,Per=월</stp>
        <tr r="O317" s="2"/>
      </tp>
      <tp t="s">
        <v/>
        <stp/>
        <stp>P</stp>
        <stp>0</stp>
        <stp>IDX</stp>
        <stp>FTA01P</stp>
        <stp>외국인합순매수금액</stp>
        <stp>45539</stp>
        <stp>Fill=true,Per=월</stp>
        <tr r="O315" s="2"/>
      </tp>
      <tp t="s">
        <v/>
        <stp/>
        <stp>P</stp>
        <stp>0</stp>
        <stp>IDX</stp>
        <stp>FTX01P</stp>
        <stp>외국인합순매수금액</stp>
        <stp>45539</stp>
        <stp>Fill=true,Per=월</stp>
        <tr r="O319" s="2"/>
      </tp>
      <tp t="s">
        <v/>
        <stp/>
        <stp>P</stp>
        <stp>0</stp>
        <stp>IDX</stp>
        <stp>FT901P</stp>
        <stp>외국인합순매수금액</stp>
        <stp>45539</stp>
        <stp>Fill=true,Per=월</stp>
        <tr r="O313" s="2"/>
      </tp>
      <tp t="s">
        <v/>
        <stp/>
        <stp>P</stp>
        <stp>0</stp>
        <stp>IDX</stp>
        <stp>FRG01T</stp>
        <stp>외국인합순매수금액</stp>
        <stp>45539</stp>
        <stp>Fill=true,Per=월</stp>
        <tr r="O297" s="2"/>
      </tp>
      <tp t="s">
        <v/>
        <stp/>
        <stp>P</stp>
        <stp>0</stp>
        <stp>IDX</stp>
        <stp>G2T01P</stp>
        <stp>외국인합순매수금액</stp>
        <stp>45539</stp>
        <stp>Fill=true,Per=월</stp>
        <tr r="O329" s="2"/>
      </tp>
      <tp t="s">
        <v/>
        <stp/>
        <stp>P</stp>
        <stp>0</stp>
        <stp>IDX</stp>
        <stp>GGE01P</stp>
        <stp>외국인합순매수금액</stp>
        <stp>45539</stp>
        <stp>Fill=true,Per=월</stp>
        <tr r="O330" s="2"/>
      </tp>
      <tp t="s">
        <v/>
        <stp/>
        <stp>P</stp>
        <stp>0</stp>
        <stp>IDX</stp>
        <stp>GGG01P</stp>
        <stp>외국인합순매수금액</stp>
        <stp>45539</stp>
        <stp>Fill=true,Per=월</stp>
        <tr r="O331" s="2"/>
      </tp>
      <tp t="s">
        <v/>
        <stp/>
        <stp>P</stp>
        <stp>0</stp>
        <stp>IDX</stp>
        <stp>GGT01P</stp>
        <stp>외국인합순매수금액</stp>
        <stp>45539</stp>
        <stp>Fill=true,Per=월</stp>
        <tr r="O340" s="2"/>
      </tp>
      <tp t="s">
        <v/>
        <stp/>
        <stp>P</stp>
        <stp>0</stp>
        <stp>IDX</stp>
        <stp>GGS01P</stp>
        <stp>외국인합순매수금액</stp>
        <stp>45539</stp>
        <stp>Fill=true,Per=월</stp>
        <tr r="O339" s="2"/>
      </tp>
      <tp t="s">
        <v/>
        <stp/>
        <stp>P</stp>
        <stp>0</stp>
        <stp>IDX</stp>
        <stp>OG909P</stp>
        <stp>외국인합순매수금액</stp>
        <stp>45539</stp>
        <stp>Fill=true,Per=월</stp>
        <tr r="O208" s="2"/>
      </tp>
      <tp t="s">
        <v/>
        <stp/>
        <stp>P</stp>
        <stp>0</stp>
        <stp>IDX</stp>
        <stp>K2D02P</stp>
        <stp>외국인합순매수금액</stp>
        <stp>45539</stp>
        <stp>Fill=true,Per=월</stp>
        <tr r="O346" s="2"/>
      </tp>
      <tp t="s">
        <v/>
        <stp/>
        <stp>P</stp>
        <stp>0</stp>
        <stp>IDX</stp>
        <stp>K2E02P</stp>
        <stp>외국인합순매수금액</stp>
        <stp>45539</stp>
        <stp>Fill=true,Per=월</stp>
        <tr r="O349" s="2"/>
      </tp>
      <tp t="s">
        <v/>
        <stp/>
        <stp>P</stp>
        <stp>0</stp>
        <stp>IDX</stp>
        <stp>K2G02P</stp>
        <stp>외국인합순매수금액</stp>
        <stp>45539</stp>
        <stp>Fill=true,Per=월</stp>
        <tr r="O18" s="2"/>
      </tp>
      <tp t="s">
        <v/>
        <stp/>
        <stp>P</stp>
        <stp>0</stp>
        <stp>IDX</stp>
        <stp>K2V02P</stp>
        <stp>외국인합순매수금액</stp>
        <stp>45539</stp>
        <stp>Fill=true,Per=월</stp>
        <tr r="O376" s="2"/>
      </tp>
      <tp t="s">
        <v/>
        <stp/>
        <stp>P</stp>
        <stp>0</stp>
        <stp>IDX</stp>
        <stp>K2W02P</stp>
        <stp>외국인합순매수금액</stp>
        <stp>45539</stp>
        <stp>Fill=true,Per=월</stp>
        <tr r="O17" s="2"/>
      </tp>
      <tp t="s">
        <v/>
        <stp/>
        <stp>P</stp>
        <stp>0</stp>
        <stp>IDX</stp>
        <stp>K2S02P</stp>
        <stp>외국인합순매수금액</stp>
        <stp>45539</stp>
        <stp>Fill=true,Per=월</stp>
        <tr r="O72" s="2"/>
      </tp>
      <tp t="s">
        <v/>
        <stp/>
        <stp>P</stp>
        <stp>0</stp>
        <stp>IDX</stp>
        <stp>K2X02P</stp>
        <stp>외국인합순매수금액</stp>
        <stp>45539</stp>
        <stp>Fill=true,Per=월</stp>
        <tr r="O50" s="2"/>
      </tp>
      <tp t="s">
        <v/>
        <stp/>
        <stp>P</stp>
        <stp>0</stp>
        <stp>IDX</stp>
        <stp>K2S02T</stp>
        <stp>외국인합순매수금액</stp>
        <stp>45539</stp>
        <stp>Fill=true,Per=월</stp>
        <tr r="O364" s="2"/>
      </tp>
      <tp t="s">
        <v/>
        <stp/>
        <stp>P</stp>
        <stp>0</stp>
        <stp>IDX</stp>
        <stp>KGD02T</stp>
        <stp>외국인합순매수금액</stp>
        <stp>45539</stp>
        <stp>Fill=true,Per=월</stp>
        <tr r="O113" s="2"/>
      </tp>
      <tp t="s">
        <v/>
        <stp/>
        <stp>P</stp>
        <stp>0</stp>
        <stp>IDX</stp>
        <stp>KGD02P</stp>
        <stp>외국인합순매수금액</stp>
        <stp>45539</stp>
        <stp>Fill=true,Per=월</stp>
        <tr r="O195" s="2"/>
      </tp>
      <tp t="s">
        <v/>
        <stp/>
        <stp>P</stp>
        <stp>0</stp>
        <stp>IDX</stp>
        <stp>MGA04P</stp>
        <stp>외국인합순매수금액</stp>
        <stp>45539</stp>
        <stp>Fill=true,Per=월</stp>
        <tr r="O122" s="2"/>
      </tp>
      <tp>
        <v>1771</v>
        <stp/>
        <stp>P</stp>
        <stp>0</stp>
        <stp>IDX</stp>
        <stp>KGS02P</stp>
        <stp>외국인합순매수금액</stp>
        <stp>45539</stp>
        <stp>Fill=true,Per=월</stp>
        <tr r="O88" s="2"/>
      </tp>
      <tp>
        <v>60506</v>
        <stp/>
        <stp>P</stp>
        <stp>0</stp>
        <stp>IDX</stp>
        <stp>KGZ02P</stp>
        <stp>외국인합순매수금액</stp>
        <stp>45539</stp>
        <stp>Fill=true,Per=월</stp>
        <tr r="O30" s="2"/>
      </tp>
      <tp t="s">
        <v/>
        <stp/>
        <stp>P</stp>
        <stp>0</stp>
        <stp>IDX</stp>
        <stp>K2D03N</stp>
        <stp>외국인합순매수금액</stp>
        <stp>45539</stp>
        <stp>Fill=true,Per=월</stp>
        <tr r="O347" s="2"/>
      </tp>
      <tp t="s">
        <v/>
        <stp/>
        <stp>P</stp>
        <stp>0</stp>
        <stp>IDX</stp>
        <stp>K2G03P</stp>
        <stp>외국인합순매수금액</stp>
        <stp>45539</stp>
        <stp>Fill=true,Per=월</stp>
        <tr r="O21" s="2"/>
      </tp>
      <tp t="s">
        <v/>
        <stp/>
        <stp>P</stp>
        <stp>0</stp>
        <stp>IDX</stp>
        <stp>K2B03P</stp>
        <stp>외국인합순매수금액</stp>
        <stp>45539</stp>
        <stp>Fill=true,Per=월</stp>
        <tr r="O344" s="2"/>
      </tp>
      <tp t="s">
        <v/>
        <stp/>
        <stp>P</stp>
        <stp>0</stp>
        <stp>IDX</stp>
        <stp>K2V03P</stp>
        <stp>외국인합순매수금액</stp>
        <stp>45539</stp>
        <stp>Fill=true,Per=월</stp>
        <tr r="O377" s="2"/>
      </tp>
      <tp t="s">
        <v/>
        <stp/>
        <stp>P</stp>
        <stp>0</stp>
        <stp>IDX</stp>
        <stp>K2W03P</stp>
        <stp>외국인합순매수금액</stp>
        <stp>45539</stp>
        <stp>Fill=true,Per=월</stp>
        <tr r="O20" s="2"/>
      </tp>
      <tp t="s">
        <v/>
        <stp/>
        <stp>P</stp>
        <stp>0</stp>
        <stp>IDX</stp>
        <stp>K2S03P</stp>
        <stp>외국인합순매수금액</stp>
        <stp>45539</stp>
        <stp>Fill=true,Per=월</stp>
        <tr r="O32" s="2"/>
      </tp>
      <tp t="s">
        <v/>
        <stp/>
        <stp>P</stp>
        <stp>0</stp>
        <stp>IDX</stp>
        <stp>K2X03P</stp>
        <stp>외국인합순매수금액</stp>
        <stp>45539</stp>
        <stp>Fill=true,Per=월</stp>
        <tr r="O24" s="2"/>
      </tp>
      <tp t="s">
        <v/>
        <stp/>
        <stp>P</stp>
        <stp>0</stp>
        <stp>IDX</stp>
        <stp>K2S03T</stp>
        <stp>외국인합순매수금액</stp>
        <stp>45539</stp>
        <stp>Fill=true,Per=월</stp>
        <tr r="O365" s="2"/>
      </tp>
      <tp t="s">
        <v/>
        <stp/>
        <stp>P</stp>
        <stp>0</stp>
        <stp>IDX</stp>
        <stp>KGD03T</stp>
        <stp>외국인합순매수금액</stp>
        <stp>45539</stp>
        <stp>Fill=true,Per=월</stp>
        <tr r="O115" s="2"/>
      </tp>
      <tp t="s">
        <v/>
        <stp/>
        <stp>P</stp>
        <stp>0</stp>
        <stp>IDX</stp>
        <stp>KGD03P</stp>
        <stp>외국인합순매수금액</stp>
        <stp>45539</stp>
        <stp>Fill=true,Per=월</stp>
        <tr r="O114" s="2"/>
      </tp>
      <tp t="s">
        <v/>
        <stp/>
        <stp>P</stp>
        <stp>0</stp>
        <stp>IDX</stp>
        <stp>MGA05P</stp>
        <stp>외국인합순매수금액</stp>
        <stp>45539</stp>
        <stp>Fill=true,Per=월</stp>
        <tr r="O123" s="2"/>
      </tp>
      <tp>
        <v>-21</v>
        <stp/>
        <stp>P</stp>
        <stp>0</stp>
        <stp>IDX</stp>
        <stp>KGS03P</stp>
        <stp>외국인합순매수금액</stp>
        <stp>45539</stp>
        <stp>Fill=true,Per=월</stp>
        <tr r="O94" s="2"/>
      </tp>
      <tp>
        <v>-14346</v>
        <stp/>
        <stp>P</stp>
        <stp>0</stp>
        <stp>IDX</stp>
        <stp>KGZ03P</stp>
        <stp>외국인합순매수금액</stp>
        <stp>45539</stp>
        <stp>Fill=true,Per=월</stp>
        <tr r="O57" s="2"/>
      </tp>
      <tp t="s">
        <v/>
        <stp/>
        <stp>P</stp>
        <stp>0</stp>
        <stp>IDX</stp>
        <stp>O2904P</stp>
        <stp>외국인합순매수금액</stp>
        <stp>45539</stp>
        <stp>Fill=true,Per=월</stp>
        <tr r="O102" s="2"/>
      </tp>
      <tp t="s">
        <v/>
        <stp/>
        <stp>P</stp>
        <stp>0</stp>
        <stp>IDX</stp>
        <stp>MGA06P</stp>
        <stp>외국인합순매수금액</stp>
        <stp>45539</stp>
        <stp>Fill=true,Per=월</stp>
        <tr r="O124" s="2"/>
      </tp>
      <tp t="s">
        <v/>
        <stp/>
        <stp>P</stp>
        <stp>0</stp>
        <stp>IDX</stp>
        <stp>K2G01N</stp>
        <stp>외국인합순매수금액</stp>
        <stp>45539</stp>
        <stp>Fill=true,Per=월</stp>
        <tr r="O350" s="2"/>
      </tp>
      <tp t="s">
        <v/>
        <stp/>
        <stp>P</stp>
        <stp>0</stp>
        <stp>IDX</stp>
        <stp>K2D01P</stp>
        <stp>외국인합순매수금액</stp>
        <stp>45539</stp>
        <stp>Fill=true,Per=월</stp>
        <tr r="O345" s="2"/>
      </tp>
      <tp t="s">
        <v/>
        <stp/>
        <stp>P</stp>
        <stp>0</stp>
        <stp>IDX</stp>
        <stp>K2E01P</stp>
        <stp>외국인합순매수금액</stp>
        <stp>45539</stp>
        <stp>Fill=true,Per=월</stp>
        <tr r="O348" s="2"/>
      </tp>
      <tp>
        <v>-28858</v>
        <stp/>
        <stp>P</stp>
        <stp>0</stp>
        <stp>IDX</stp>
        <stp>K2G01P</stp>
        <stp>외국인합순매수금액</stp>
        <stp>45539</stp>
        <stp>Fill=true,Per=월</stp>
        <tr r="O12" s="2"/>
      </tp>
      <tp t="s">
        <v/>
        <stp/>
        <stp>P</stp>
        <stp>0</stp>
        <stp>IDX</stp>
        <stp>K2B01P</stp>
        <stp>외국인합순매수금액</stp>
        <stp>45539</stp>
        <stp>Fill=true,Per=월</stp>
        <tr r="O23" s="2"/>
      </tp>
      <tp t="s">
        <v/>
        <stp/>
        <stp>P</stp>
        <stp>0</stp>
        <stp>IDX</stp>
        <stp>K2T01P</stp>
        <stp>외국인합순매수금액</stp>
        <stp>45539</stp>
        <stp>Fill=true,Per=월</stp>
        <tr r="O374" s="2"/>
      </tp>
      <tp t="s">
        <v/>
        <stp/>
        <stp>P</stp>
        <stp>0</stp>
        <stp>IDX</stp>
        <stp>K2V01P</stp>
        <stp>외국인합순매수금액</stp>
        <stp>45539</stp>
        <stp>Fill=true,Per=월</stp>
        <tr r="O375" s="2"/>
      </tp>
      <tp t="s">
        <v/>
        <stp/>
        <stp>P</stp>
        <stp>0</stp>
        <stp>IDX</stp>
        <stp>K2W01P</stp>
        <stp>외국인합순매수금액</stp>
        <stp>45539</stp>
        <stp>Fill=true,Per=월</stp>
        <tr r="O11" s="2"/>
      </tp>
      <tp t="s">
        <v/>
        <stp/>
        <stp>P</stp>
        <stp>0</stp>
        <stp>IDX</stp>
        <stp>K2S01P</stp>
        <stp>외국인합순매수금액</stp>
        <stp>45539</stp>
        <stp>Fill=true,Per=월</stp>
        <tr r="O47" s="2"/>
      </tp>
      <tp t="s">
        <v/>
        <stp/>
        <stp>P</stp>
        <stp>0</stp>
        <stp>IDX</stp>
        <stp>K2X01P</stp>
        <stp>외국인합순매수금액</stp>
        <stp>45539</stp>
        <stp>Fill=true,Per=월</stp>
        <tr r="O13" s="2"/>
      </tp>
      <tp t="s">
        <v/>
        <stp/>
        <stp>P</stp>
        <stp>0</stp>
        <stp>IDX</stp>
        <stp>K2Z01P</stp>
        <stp>외국인합순매수금액</stp>
        <stp>45539</stp>
        <stp>Fill=true,Per=월</stp>
        <tr r="O382" s="2"/>
      </tp>
      <tp t="s">
        <v/>
        <stp/>
        <stp>P</stp>
        <stp>0</stp>
        <stp>IDX</stp>
        <stp>K2901P</stp>
        <stp>외국인합순매수금액</stp>
        <stp>45539</stp>
        <stp>Fill=true,Per=월</stp>
        <tr r="O343" s="2"/>
      </tp>
      <tp t="s">
        <v/>
        <stp/>
        <stp>P</stp>
        <stp>0</stp>
        <stp>IDX</stp>
        <stp>O2905P</stp>
        <stp>외국인합순매수금액</stp>
        <stp>45539</stp>
        <stp>Fill=true,Per=월</stp>
        <tr r="O101" s="2"/>
      </tp>
      <tp t="s">
        <v/>
        <stp/>
        <stp>P</stp>
        <stp>0</stp>
        <stp>IDX</stp>
        <stp>K2G01T</stp>
        <stp>외국인합순매수금액</stp>
        <stp>45539</stp>
        <stp>Fill=true,Per=월</stp>
        <tr r="O351" s="2"/>
      </tp>
      <tp t="s">
        <v/>
        <stp/>
        <stp>P</stp>
        <stp>0</stp>
        <stp>IDX</stp>
        <stp>K2S01T</stp>
        <stp>외국인합순매수금액</stp>
        <stp>45539</stp>
        <stp>Fill=true,Per=월</stp>
        <tr r="O363" s="2"/>
      </tp>
      <tp t="s">
        <v/>
        <stp/>
        <stp>P</stp>
        <stp>0</stp>
        <stp>IDX</stp>
        <stp>KGG01T</stp>
        <stp>외국인합순매수금액</stp>
        <stp>45539</stp>
        <stp>Fill=true,Per=월</stp>
        <tr r="O116" s="2"/>
      </tp>
      <tp t="s">
        <v/>
        <stp/>
        <stp>P</stp>
        <stp>0</stp>
        <stp>IDX</stp>
        <stp>KGD01P</stp>
        <stp>외국인합순매수금액</stp>
        <stp>45539</stp>
        <stp>Fill=true,Per=월</stp>
        <tr r="O298" s="2"/>
      </tp>
      <tp>
        <v>-47958</v>
        <stp/>
        <stp>P</stp>
        <stp>0</stp>
        <stp>IDX</stp>
        <stp>KGG01P</stp>
        <stp>외국인합순매수금액</stp>
        <stp>45539</stp>
        <stp>Fill=true,Per=월</stp>
        <tr r="O9" s="2"/>
      </tp>
      <tp t="s">
        <v/>
        <stp/>
        <stp>P</stp>
        <stp>0</stp>
        <stp>IDX</stp>
        <stp>KGA01P</stp>
        <stp>외국인합순매수금액</stp>
        <stp>45539</stp>
        <stp>Fill=true,Per=월</stp>
        <tr r="O383" s="2"/>
      </tp>
      <tp t="s">
        <v/>
        <stp/>
        <stp>P</stp>
        <stp>0</stp>
        <stp>IDX</stp>
        <stp>MGA07P</stp>
        <stp>외국인합순매수금액</stp>
        <stp>45539</stp>
        <stp>Fill=true,Per=월</stp>
        <tr r="O125" s="2"/>
      </tp>
      <tp t="s">
        <v/>
        <stp/>
        <stp>P</stp>
        <stp>0</stp>
        <stp>IDX</stp>
        <stp>KGT01P</stp>
        <stp>외국인합순매수금액</stp>
        <stp>45539</stp>
        <stp>Fill=true,Per=월</stp>
        <tr r="O117" s="2"/>
      </tp>
      <tp>
        <v>-1153</v>
        <stp/>
        <stp>P</stp>
        <stp>0</stp>
        <stp>IDX</stp>
        <stp>KGS01P</stp>
        <stp>외국인합순매수금액</stp>
        <stp>45539</stp>
        <stp>Fill=true,Per=월</stp>
        <tr r="O75" s="2"/>
      </tp>
      <tp t="s">
        <v/>
        <stp/>
        <stp>P</stp>
        <stp>0</stp>
        <stp>IDX</stp>
        <stp>KGX01P</stp>
        <stp>외국인합순매수금액</stp>
        <stp>45539</stp>
        <stp>Fill=true,Per=월</stp>
        <tr r="O118" s="2"/>
      </tp>
      <tp>
        <v>-89052</v>
        <stp/>
        <stp>P</stp>
        <stp>0</stp>
        <stp>IDX</stp>
        <stp>KGZ01P</stp>
        <stp>외국인합순매수금액</stp>
        <stp>45539</stp>
        <stp>Fill=true,Per=월</stp>
        <tr r="O16" s="2"/>
      </tp>
      <tp t="s">
        <v/>
        <stp/>
        <stp>P</stp>
        <stp>0</stp>
        <stp>IDX</stp>
        <stp>K2G06N</stp>
        <stp>외국인합순매수금액</stp>
        <stp>45539</stp>
        <stp>Fill=true,Per=월</stp>
        <tr r="O354" s="2"/>
      </tp>
      <tp t="s">
        <v/>
        <stp/>
        <stp>P</stp>
        <stp>0</stp>
        <stp>IDX</stp>
        <stp>K2G06P</stp>
        <stp>외국인합순매수금액</stp>
        <stp>45539</stp>
        <stp>Fill=true,Per=월</stp>
        <tr r="O355" s="2"/>
      </tp>
      <tp t="s">
        <v/>
        <stp/>
        <stp>P</stp>
        <stp>0</stp>
        <stp>IDX</stp>
        <stp>K2S06P</stp>
        <stp>외국인합순매수금액</stp>
        <stp>45539</stp>
        <stp>Fill=true,Per=월</stp>
        <tr r="O42" s="2"/>
      </tp>
      <tp t="s">
        <v/>
        <stp/>
        <stp>P</stp>
        <stp>0</stp>
        <stp>IDX</stp>
        <stp>K2X06P</stp>
        <stp>외국인합순매수금액</stp>
        <stp>45539</stp>
        <stp>Fill=true,Per=월</stp>
        <tr r="O43" s="2"/>
      </tp>
      <tp t="s">
        <v/>
        <stp/>
        <stp>P</stp>
        <stp>0</stp>
        <stp>IDX</stp>
        <stp>O2902P</stp>
        <stp>외국인합순매수금액</stp>
        <stp>45539</stp>
        <stp>Fill=true,Per=월</stp>
        <tr r="O109" s="2"/>
      </tp>
      <tp t="s">
        <v/>
        <stp/>
        <stp>P</stp>
        <stp>0</stp>
        <stp>IDX</stp>
        <stp>K2G06T</stp>
        <stp>외국인합순매수금액</stp>
        <stp>45539</stp>
        <stp>Fill=true,Per=월</stp>
        <tr r="O356" s="2"/>
      </tp>
      <tp t="s">
        <v/>
        <stp/>
        <stp>P</stp>
        <stp>0</stp>
        <stp>IDX</stp>
        <stp>K2S06T</stp>
        <stp>외국인합순매수금액</stp>
        <stp>45539</stp>
        <stp>Fill=true,Per=월</stp>
        <tr r="O368" s="2"/>
      </tp>
      <tp>
        <v>-721</v>
        <stp/>
        <stp>P</stp>
        <stp>0</stp>
        <stp>IDX</stp>
        <stp>KGS06P</stp>
        <stp>외국인합순매수금액</stp>
        <stp>45539</stp>
        <stp>Fill=true,Per=월</stp>
        <tr r="O89" s="2"/>
      </tp>
      <tp t="s">
        <v/>
        <stp/>
        <stp>P</stp>
        <stp>0</stp>
        <stp>IDX</stp>
        <stp>K2S07P</stp>
        <stp>외국인합순매수금액</stp>
        <stp>45539</stp>
        <stp>Fill=true,Per=월</stp>
        <tr r="O25" s="2"/>
      </tp>
      <tp t="s">
        <v/>
        <stp/>
        <stp>P</stp>
        <stp>0</stp>
        <stp>IDX</stp>
        <stp>K2X07P</stp>
        <stp>외국인합순매수금액</stp>
        <stp>45539</stp>
        <stp>Fill=true,Per=월</stp>
        <tr r="O71" s="2"/>
      </tp>
      <tp t="s">
        <v/>
        <stp/>
        <stp>P</stp>
        <stp>0</stp>
        <stp>IDX</stp>
        <stp>O2903P</stp>
        <stp>외국인합순매수금액</stp>
        <stp>45539</stp>
        <stp>Fill=true,Per=월</stp>
        <tr r="O103" s="2"/>
      </tp>
      <tp t="s">
        <v/>
        <stp/>
        <stp>P</stp>
        <stp>0</stp>
        <stp>IDX</stp>
        <stp>K2S07T</stp>
        <stp>외국인합순매수금액</stp>
        <stp>45539</stp>
        <stp>Fill=true,Per=월</stp>
        <tr r="O369" s="2"/>
      </tp>
      <tp t="s">
        <v/>
        <stp/>
        <stp>P</stp>
        <stp>0</stp>
        <stp>IDX</stp>
        <stp>MGA01P</stp>
        <stp>외국인합순매수금액</stp>
        <stp>45539</stp>
        <stp>Fill=true,Per=월</stp>
        <tr r="O111" s="2"/>
      </tp>
      <tp>
        <v>31488</v>
        <stp/>
        <stp>P</stp>
        <stp>0</stp>
        <stp>IDX</stp>
        <stp>KGS07P</stp>
        <stp>외국인합순매수금액</stp>
        <stp>45539</stp>
        <stp>Fill=true,Per=월</stp>
        <tr r="O64" s="2"/>
      </tp>
      <tp t="s">
        <v/>
        <stp/>
        <stp>P</stp>
        <stp>0</stp>
        <stp>IDX</stp>
        <stp>F5X09T</stp>
        <stp>외국인합순매수금액</stp>
        <stp>45539</stp>
        <stp>Fill=true,Per=월</stp>
        <tr r="O284" s="2"/>
      </tp>
      <tp t="s">
        <v/>
        <stp/>
        <stp>P</stp>
        <stp>0</stp>
        <stp>IDX</stp>
        <stp>K2G04P</stp>
        <stp>외국인합순매수금액</stp>
        <stp>45539</stp>
        <stp>Fill=true,Per=월</stp>
        <tr r="O352" s="2"/>
      </tp>
      <tp t="s">
        <v/>
        <stp/>
        <stp>P</stp>
        <stp>0</stp>
        <stp>IDX</stp>
        <stp>K2V04P</stp>
        <stp>외국인합순매수금액</stp>
        <stp>45539</stp>
        <stp>Fill=true,Per=월</stp>
        <tr r="O378" s="2"/>
      </tp>
      <tp t="s">
        <v/>
        <stp/>
        <stp>P</stp>
        <stp>0</stp>
        <stp>IDX</stp>
        <stp>K2W04P</stp>
        <stp>외국인합순매수금액</stp>
        <stp>45539</stp>
        <stp>Fill=true,Per=월</stp>
        <tr r="O209" s="2"/>
      </tp>
      <tp t="s">
        <v/>
        <stp/>
        <stp>P</stp>
        <stp>0</stp>
        <stp>IDX</stp>
        <stp>F2S09P</stp>
        <stp>외국인합순매수금액</stp>
        <stp>45539</stp>
        <stp>Fill=true,Per=월</stp>
        <tr r="O222" s="2"/>
      </tp>
      <tp t="s">
        <v/>
        <stp/>
        <stp>P</stp>
        <stp>0</stp>
        <stp>IDX</stp>
        <stp>K2S04P</stp>
        <stp>외국인합순매수금액</stp>
        <stp>45539</stp>
        <stp>Fill=true,Per=월</stp>
        <tr r="O38" s="2"/>
      </tp>
      <tp t="s">
        <v/>
        <stp/>
        <stp>P</stp>
        <stp>0</stp>
        <stp>IDX</stp>
        <stp>F2X09P</stp>
        <stp>외국인합순매수금액</stp>
        <stp>45539</stp>
        <stp>Fill=true,Per=월</stp>
        <tr r="O233" s="2"/>
      </tp>
      <tp t="s">
        <v/>
        <stp/>
        <stp>P</stp>
        <stp>0</stp>
        <stp>IDX</stp>
        <stp>K2S04T</stp>
        <stp>외국인합순매수금액</stp>
        <stp>45539</stp>
        <stp>Fill=true,Per=월</stp>
        <tr r="O366" s="2"/>
      </tp>
      <tp t="s">
        <v/>
        <stp/>
        <stp>P</stp>
        <stp>0</stp>
        <stp>IDX</stp>
        <stp>GGG08P</stp>
        <stp>외국인합순매수금액</stp>
        <stp>45539</stp>
        <stp>Fill=true,Per=월</stp>
        <tr r="O338" s="2"/>
      </tp>
      <tp t="s">
        <v/>
        <stp/>
        <stp>P</stp>
        <stp>0</stp>
        <stp>IDX</stp>
        <stp>MGA02P</stp>
        <stp>외국인합순매수금액</stp>
        <stp>45539</stp>
        <stp>Fill=true,Per=월</stp>
        <tr r="O112" s="2"/>
      </tp>
      <tp>
        <v>50052</v>
        <stp/>
        <stp>P</stp>
        <stp>0</stp>
        <stp>IDX</stp>
        <stp>KGS04P</stp>
        <stp>외국인합순매수금액</stp>
        <stp>45539</stp>
        <stp>Fill=true,Per=월</stp>
        <tr r="O46" s="2"/>
      </tp>
      <tp t="s">
        <v/>
        <stp/>
        <stp>P</stp>
        <stp>0</stp>
        <stp>IDX</stp>
        <stp>FRX09P</stp>
        <stp>외국인합순매수금액</stp>
        <stp>45539</stp>
        <stp>Fill=true,Per=월</stp>
        <tr r="O309" s="2"/>
      </tp>
      <tp t="s">
        <v/>
        <stp/>
        <stp>P</stp>
        <stp>0</stp>
        <stp>IDX</stp>
        <stp>F5X08T</stp>
        <stp>외국인합순매수금액</stp>
        <stp>45539</stp>
        <stp>Fill=true,Per=월</stp>
        <tr r="O283" s="2"/>
      </tp>
      <tp t="s">
        <v/>
        <stp/>
        <stp>P</stp>
        <stp>0</stp>
        <stp>IDX</stp>
        <stp>K2G05P</stp>
        <stp>외국인합순매수금액</stp>
        <stp>45539</stp>
        <stp>Fill=true,Per=월</stp>
        <tr r="O353" s="2"/>
      </tp>
      <tp t="s">
        <v/>
        <stp/>
        <stp>P</stp>
        <stp>0</stp>
        <stp>IDX</stp>
        <stp>F2S08P</stp>
        <stp>외국인합순매수금액</stp>
        <stp>45539</stp>
        <stp>Fill=true,Per=월</stp>
        <tr r="O221" s="2"/>
      </tp>
      <tp t="s">
        <v/>
        <stp/>
        <stp>P</stp>
        <stp>0</stp>
        <stp>IDX</stp>
        <stp>K2S05P</stp>
        <stp>외국인합순매수금액</stp>
        <stp>45539</stp>
        <stp>Fill=true,Per=월</stp>
        <tr r="O51" s="2"/>
      </tp>
      <tp t="s">
        <v/>
        <stp/>
        <stp>P</stp>
        <stp>0</stp>
        <stp>IDX</stp>
        <stp>F2X08P</stp>
        <stp>외국인합순매수금액</stp>
        <stp>45539</stp>
        <stp>Fill=true,Per=월</stp>
        <tr r="O232" s="2"/>
      </tp>
      <tp t="s">
        <v/>
        <stp/>
        <stp>P</stp>
        <stp>0</stp>
        <stp>IDX</stp>
        <stp>K2X05P</stp>
        <stp>외국인합순매수금액</stp>
        <stp>45539</stp>
        <stp>Fill=true,Per=월</stp>
        <tr r="O31" s="2"/>
      </tp>
      <tp t="s">
        <v/>
        <stp/>
        <stp>P</stp>
        <stp>0</stp>
        <stp>IDX</stp>
        <stp>O2X01P</stp>
        <stp>외국인합순매수금액</stp>
        <stp>45539</stp>
        <stp>Fill=true,Per=월</stp>
        <tr r="O170" s="2"/>
      </tp>
      <tp t="s">
        <v/>
        <stp/>
        <stp>P</stp>
        <stp>0</stp>
        <stp>IDX</stp>
        <stp>O2901P</stp>
        <stp>외국인합순매수금액</stp>
        <stp>45539</stp>
        <stp>Fill=true,Per=월</stp>
        <tr r="O105" s="2"/>
      </tp>
      <tp t="s">
        <v/>
        <stp/>
        <stp>P</stp>
        <stp>0</stp>
        <stp>IDX</stp>
        <stp>K2S05T</stp>
        <stp>외국인합순매수금액</stp>
        <stp>45539</stp>
        <stp>Fill=true,Per=월</stp>
        <tr r="O367" s="2"/>
      </tp>
      <tp t="s">
        <v/>
        <stp/>
        <stp>P</stp>
        <stp>0</stp>
        <stp>IDX</stp>
        <stp>MGA03P</stp>
        <stp>외국인합순매수금액</stp>
        <stp>45539</stp>
        <stp>Fill=true,Per=월</stp>
        <tr r="O120" s="2"/>
      </tp>
      <tp>
        <v>-92497</v>
        <stp/>
        <stp>P</stp>
        <stp>0</stp>
        <stp>IDX</stp>
        <stp>KGS05P</stp>
        <stp>외국인합순매수금액</stp>
        <stp>45539</stp>
        <stp>Fill=true,Per=월</stp>
        <tr r="O49" s="2"/>
      </tp>
      <tp t="s">
        <v/>
        <stp/>
        <stp>P</stp>
        <stp>0</stp>
        <stp>IDX</stp>
        <stp>FTX08T</stp>
        <stp>외국인합순매수금액</stp>
        <stp>45539</stp>
        <stp>Fill=true,Per=월</stp>
        <tr r="O326" s="2"/>
      </tp>
      <tp t="s">
        <v/>
        <stp/>
        <stp>P</stp>
        <stp>0</stp>
        <stp>IDX</stp>
        <stp>FRX08P</stp>
        <stp>외국인합순매수금액</stp>
        <stp>45539</stp>
        <stp>Fill=true,Per=월</stp>
        <tr r="O308" s="2"/>
      </tp>
      <tp t="s">
        <v/>
        <stp/>
        <stp>P</stp>
        <stp>0</stp>
        <stp>IDX</stp>
        <stp>XGT09P</stp>
        <stp>외국인합순매수금액</stp>
        <stp>45539</stp>
        <stp>Fill=true,Per=월</stp>
        <tr r="O144" s="2"/>
      </tp>
      <tp t="s">
        <v/>
        <stp/>
        <stp>P</stp>
        <stp>0</stp>
        <stp>IDX</stp>
        <stp>XGS09P</stp>
        <stp>외국인합순매수금액</stp>
        <stp>45539</stp>
        <stp>Fill=true,Per=월</stp>
        <tr r="O160" s="2"/>
      </tp>
      <tp t="s">
        <v/>
        <stp/>
        <stp>P</stp>
        <stp>0</stp>
        <stp>IDX</stp>
        <stp>Q5G01T</stp>
        <stp>외국인합순매수금액</stp>
        <stp>45539</stp>
        <stp>Fill=true,Per=월</stp>
        <tr r="O203" s="2"/>
      </tp>
      <tp t="s">
        <v/>
        <stp/>
        <stp>P</stp>
        <stp>0</stp>
        <stp>IDX</stp>
        <stp>X3S08P</stp>
        <stp>외국인합순매수금액</stp>
        <stp>45539</stp>
        <stp>Fill=true,Per=월</stp>
        <tr r="O182" s="2"/>
      </tp>
      <tp t="s">
        <v/>
        <stp/>
        <stp>P</stp>
        <stp>0</stp>
        <stp>IDX</stp>
        <stp>Q5E01P</stp>
        <stp>외국인합순매수금액</stp>
        <stp>45539</stp>
        <stp>Fill=true,Per=월</stp>
        <tr r="O204" s="2"/>
      </tp>
      <tp t="s">
        <v/>
        <stp/>
        <stp>P</stp>
        <stp>0</stp>
        <stp>IDX</stp>
        <stp>Q5G01P</stp>
        <stp>외국인합순매수금액</stp>
        <stp>45539</stp>
        <stp>Fill=true,Per=월</stp>
        <tr r="O34" s="2"/>
      </tp>
      <tp t="s">
        <v/>
        <stp/>
        <stp>P</stp>
        <stp>0</stp>
        <stp>IDX</stp>
        <stp>Q5W01P</stp>
        <stp>외국인합순매수금액</stp>
        <stp>45539</stp>
        <stp>Fill=true,Per=월</stp>
        <tr r="O35" s="2"/>
      </tp>
      <tp t="s">
        <v/>
        <stp/>
        <stp>P</stp>
        <stp>0</stp>
        <stp>IDX</stp>
        <stp>Q5X01P</stp>
        <stp>외국인합순매수금액</stp>
        <stp>45539</stp>
        <stp>Fill=true,Per=월</stp>
        <tr r="O36" s="2"/>
      </tp>
      <tp t="s">
        <v/>
        <stp/>
        <stp>P</stp>
        <stp>0</stp>
        <stp>IDX</stp>
        <stp>QGG01T</stp>
        <stp>외국인합순매수금액</stp>
        <stp>45539</stp>
        <stp>Fill=true,Per=월</stp>
        <tr r="O128" s="2"/>
      </tp>
      <tp t="s">
        <v/>
        <stp/>
        <stp>P</stp>
        <stp>0</stp>
        <stp>IDX</stp>
        <stp>XGT08T</stp>
        <stp>외국인합순매수금액</stp>
        <stp>45539</stp>
        <stp>Fill=true,Per=월</stp>
        <tr r="O145" s="2"/>
      </tp>
      <tp>
        <v>-112560</v>
        <stp/>
        <stp>P</stp>
        <stp>0</stp>
        <stp>IDX</stp>
        <stp>QGG01P</stp>
        <stp>외국인합순매수금액</stp>
        <stp>45539</stp>
        <stp>Fill=true,Per=월</stp>
        <tr r="O26" s="2"/>
      </tp>
      <tp t="s">
        <v/>
        <stp/>
        <stp>P</stp>
        <stp>0</stp>
        <stp>IDX</stp>
        <stp>XGT08P</stp>
        <stp>외국인합순매수금액</stp>
        <stp>45539</stp>
        <stp>Fill=true,Per=월</stp>
        <tr r="O146" s="2"/>
      </tp>
      <tp>
        <v>1008</v>
        <stp/>
        <stp>P</stp>
        <stp>0</stp>
        <stp>IDX</stp>
        <stp>QGS01P</stp>
        <stp>외국인합순매수금액</stp>
        <stp>45539</stp>
        <stp>Fill=true,Per=월</stp>
        <tr r="O69" s="2"/>
      </tp>
      <tp t="s">
        <v/>
        <stp/>
        <stp>P</stp>
        <stp>0</stp>
        <stp>IDX</stp>
        <stp>XGS08P</stp>
        <stp>외국인합순매수금액</stp>
        <stp>45539</stp>
        <stp>Fill=true,Per=월</stp>
        <tr r="O161" s="2"/>
      </tp>
      <tp>
        <v>-23569</v>
        <stp/>
        <stp>P</stp>
        <stp>0</stp>
        <stp>IDX</stp>
        <stp>QGZ01P</stp>
        <stp>외국인합순매수금액</stp>
        <stp>45539</stp>
        <stp>Fill=true,Per=월</stp>
        <tr r="O41" s="2"/>
      </tp>
      <tp t="s">
        <v/>
        <stp/>
        <stp>P</stp>
        <stp>0</stp>
        <stp>IDX</stp>
        <stp>Q5S02P</stp>
        <stp>외국인합순매수금액</stp>
        <stp>45539</stp>
        <stp>Fill=true,Per=월</stp>
        <tr r="O202" s="2"/>
      </tp>
      <tp t="s">
        <v/>
        <stp/>
        <stp>P</stp>
        <stp>0</stp>
        <stp>IDX</stp>
        <stp>Q5X02P</stp>
        <stp>외국인합순매수금액</stp>
        <stp>45539</stp>
        <stp>Fill=true,Per=월</stp>
        <tr r="O37" s="2"/>
      </tp>
      <tp>
        <v>-139177</v>
        <stp/>
        <stp>P</stp>
        <stp>0</stp>
        <stp>IDX</stp>
        <stp>QGS02P</stp>
        <stp>외국인합순매수금액</stp>
        <stp>45539</stp>
        <stp>Fill=true,Per=월</stp>
        <tr r="O29" s="2"/>
      </tp>
      <tp>
        <v>-40244</v>
        <stp/>
        <stp>P</stp>
        <stp>0</stp>
        <stp>IDX</stp>
        <stp>QGZ02P</stp>
        <stp>외국인합순매수금액</stp>
        <stp>45539</stp>
        <stp>Fill=true,Per=월</stp>
        <tr r="O53" s="2"/>
      </tp>
      <tp t="s">
        <v/>
        <stp/>
        <stp>P</stp>
        <stp>0</stp>
        <stp>IDX</stp>
        <stp>Q5S03P</stp>
        <stp>외국인합순매수금액</stp>
        <stp>45539</stp>
        <stp>Fill=true,Per=월</stp>
        <tr r="O201" s="2"/>
      </tp>
      <tp>
        <v>26270</v>
        <stp/>
        <stp>P</stp>
        <stp>0</stp>
        <stp>IDX</stp>
        <stp>QGG03P</stp>
        <stp>외국인합순매수금액</stp>
        <stp>45539</stp>
        <stp>Fill=true,Per=월</stp>
        <tr r="O39" s="2"/>
      </tp>
      <tp>
        <v>-572</v>
        <stp/>
        <stp>P</stp>
        <stp>0</stp>
        <stp>IDX</stp>
        <stp>QGS03P</stp>
        <stp>외국인합순매수금액</stp>
        <stp>45539</stp>
        <stp>Fill=true,Per=월</stp>
        <tr r="O93" s="2"/>
      </tp>
      <tp>
        <v>-37744</v>
        <stp/>
        <stp>P</stp>
        <stp>0</stp>
        <stp>IDX</stp>
        <stp>QGZ03P</stp>
        <stp>외국인합순매수금액</stp>
        <stp>45539</stp>
        <stp>Fill=true,Per=월</stp>
        <tr r="O52" s="2"/>
      </tp>
      <tp t="s">
        <v/>
        <stp/>
        <stp>P</stp>
        <stp>0</stp>
        <stp>IDX</stp>
        <stp>Q5S04P</stp>
        <stp>외국인합순매수금액</stp>
        <stp>45539</stp>
        <stp>Fill=true,Per=월</stp>
        <tr r="O200" s="2"/>
      </tp>
      <tp>
        <v>-9891</v>
        <stp/>
        <stp>P</stp>
        <stp>0</stp>
        <stp>IDX</stp>
        <stp>QGG04P</stp>
        <stp>외국인합순매수금액</stp>
        <stp>45539</stp>
        <stp>Fill=true,Per=월</stp>
        <tr r="O73" s="2"/>
      </tp>
      <tp t="s">
        <v/>
        <stp/>
        <stp>P</stp>
        <stp>0</stp>
        <stp>IDX</stp>
        <stp>TGG01P</stp>
        <stp>외국인합순매수금액</stp>
        <stp>45539</stp>
        <stp>Fill=true,Per=월</stp>
        <tr r="O194" s="2"/>
      </tp>
      <tp>
        <v>-579</v>
        <stp/>
        <stp>P</stp>
        <stp>0</stp>
        <stp>IDX</stp>
        <stp>QGS04P</stp>
        <stp>외국인합순매수금액</stp>
        <stp>45539</stp>
        <stp>Fill=true,Per=월</stp>
        <tr r="O84" s="2"/>
      </tp>
      <tp t="s">
        <v/>
        <stp/>
        <stp>P</stp>
        <stp>0</stp>
        <stp>IDX</stp>
        <stp>TGX01P</stp>
        <stp>외국인합순매수금액</stp>
        <stp>45539</stp>
        <stp>Fill=true,Per=월</stp>
        <tr r="O192" s="2"/>
      </tp>
      <tp t="s">
        <v/>
        <stp/>
        <stp>P</stp>
        <stp>0</stp>
        <stp>IDX</stp>
        <stp>Q5S05P</stp>
        <stp>외국인합순매수금액</stp>
        <stp>45539</stp>
        <stp>Fill=true,Per=월</stp>
        <tr r="O199" s="2"/>
      </tp>
      <tp>
        <v>-103094</v>
        <stp/>
        <stp>P</stp>
        <stp>0</stp>
        <stp>IDX</stp>
        <stp>QGG05P</stp>
        <stp>외국인합순매수금액</stp>
        <stp>45539</stp>
        <stp>Fill=true,Per=월</stp>
        <tr r="O60" s="2"/>
      </tp>
      <tp>
        <v>32857</v>
        <stp/>
        <stp>P</stp>
        <stp>0</stp>
        <stp>IDX</stp>
        <stp>QGS05P</stp>
        <stp>외국인합순매수금액</stp>
        <stp>45539</stp>
        <stp>Fill=true,Per=월</stp>
        <tr r="O80" s="2"/>
      </tp>
      <tp t="s">
        <v/>
        <stp/>
        <stp>P</stp>
        <stp>0</stp>
        <stp>IDX</stp>
        <stp>Q5S06P</stp>
        <stp>외국인합순매수금액</stp>
        <stp>45539</stp>
        <stp>Fill=true,Per=월</stp>
        <tr r="O198" s="2"/>
      </tp>
      <tp>
        <v>-21678</v>
        <stp/>
        <stp>P</stp>
        <stp>0</stp>
        <stp>IDX</stp>
        <stp>QGG06P</stp>
        <stp>외국인합순매수금액</stp>
        <stp>45539</stp>
        <stp>Fill=true,Per=월</stp>
        <tr r="O63" s="2"/>
      </tp>
      <tp t="s">
        <v/>
        <stp/>
        <stp>P</stp>
        <stp>0</stp>
        <stp>IDX</stp>
        <stp>Q5S07P</stp>
        <stp>외국인합순매수금액</stp>
        <stp>45539</stp>
        <stp>Fill=true,Per=월</stp>
        <tr r="O197" s="2"/>
      </tp>
      <tp t="s">
        <v/>
        <stp/>
        <stp>P</stp>
        <stp>0</stp>
        <stp>IDX</stp>
        <stp>TGG02P</stp>
        <stp>외국인합순매수금액</stp>
        <stp>45539</stp>
        <stp>Fill=true,Per=월</stp>
        <tr r="O193" s="2"/>
      </tp>
      <tp t="s">
        <v/>
        <stp/>
        <stp>P</stp>
        <stp>0</stp>
        <stp>IDX</stp>
        <stp>X3E01P</stp>
        <stp>외국인합순매수금액</stp>
        <stp>45539</stp>
        <stp>Fill=true,Per=월</stp>
        <tr r="O191" s="2"/>
      </tp>
      <tp t="s">
        <v/>
        <stp/>
        <stp>P</stp>
        <stp>0</stp>
        <stp>IDX</stp>
        <stp>X3G01P</stp>
        <stp>외국인합순매수금액</stp>
        <stp>45539</stp>
        <stp>Fill=true,Per=월</stp>
        <tr r="O10" s="2"/>
      </tp>
      <tp t="s">
        <v/>
        <stp/>
        <stp>P</stp>
        <stp>0</stp>
        <stp>IDX</stp>
        <stp>X3S01P</stp>
        <stp>외국인합순매수금액</stp>
        <stp>45539</stp>
        <stp>Fill=true,Per=월</stp>
        <tr r="O189" s="2"/>
      </tp>
      <tp t="s">
        <v/>
        <stp/>
        <stp>P</stp>
        <stp>0</stp>
        <stp>IDX</stp>
        <stp>X3X01P</stp>
        <stp>외국인합순매수금액</stp>
        <stp>45539</stp>
        <stp>Fill=true,Per=월</stp>
        <tr r="O181" s="2"/>
      </tp>
      <tp t="s">
        <v/>
        <stp/>
        <stp>P</stp>
        <stp>0</stp>
        <stp>IDX</stp>
        <stp>Q5S08P</stp>
        <stp>외국인합순매수금액</stp>
        <stp>45539</stp>
        <stp>Fill=true,Per=월</stp>
        <tr r="O196" s="2"/>
      </tp>
      <tp t="s">
        <v/>
        <stp/>
        <stp>P</stp>
        <stp>0</stp>
        <stp>IDX</stp>
        <stp>X3G01T</stp>
        <stp>외국인합순매수금액</stp>
        <stp>45539</stp>
        <stp>Fill=true,Per=월</stp>
        <tr r="O190" s="2"/>
      </tp>
      <tp t="s">
        <v/>
        <stp/>
        <stp>P</stp>
        <stp>0</stp>
        <stp>IDX</stp>
        <stp>XGE01P</stp>
        <stp>외국인합순매수금액</stp>
        <stp>45539</stp>
        <stp>Fill=true,Per=월</stp>
        <tr r="O174" s="2"/>
      </tp>
      <tp t="s">
        <v/>
        <stp/>
        <stp>P</stp>
        <stp>0</stp>
        <stp>IDX</stp>
        <stp>XGG01P</stp>
        <stp>외국인합순매수금액</stp>
        <stp>45539</stp>
        <stp>Fill=true,Per=월</stp>
        <tr r="O15" s="2"/>
      </tp>
      <tp t="s">
        <v/>
        <stp/>
        <stp>P</stp>
        <stp>0</stp>
        <stp>IDX</stp>
        <stp>XGT01P</stp>
        <stp>외국인합순매수금액</stp>
        <stp>45539</stp>
        <stp>Fill=true,Per=월</stp>
        <tr r="O28" s="2"/>
      </tp>
      <tp t="s">
        <v/>
        <stp/>
        <stp>P</stp>
        <stp>0</stp>
        <stp>IDX</stp>
        <stp>XGV01P</stp>
        <stp>외국인합순매수금액</stp>
        <stp>45539</stp>
        <stp>Fill=true,Per=월</stp>
        <tr r="O136" s="2"/>
      </tp>
      <tp t="s">
        <v/>
        <stp/>
        <stp>P</stp>
        <stp>0</stp>
        <stp>IDX</stp>
        <stp>XGW01P</stp>
        <stp>외국인합순매수금액</stp>
        <stp>45539</stp>
        <stp>Fill=true,Per=월</stp>
        <tr r="O14" s="2"/>
      </tp>
      <tp t="s">
        <v/>
        <stp/>
        <stp>P</stp>
        <stp>0</stp>
        <stp>IDX</stp>
        <stp>XGS01P</stp>
        <stp>외국인합순매수금액</stp>
        <stp>45539</stp>
        <stp>Fill=true,Per=월</stp>
        <tr r="O168" s="2"/>
      </tp>
      <tp t="s">
        <v/>
        <stp/>
        <stp>P</stp>
        <stp>0</stp>
        <stp>IDX</stp>
        <stp>XGX01P</stp>
        <stp>외국인합순매수금액</stp>
        <stp>45539</stp>
        <stp>Fill=true,Per=월</stp>
        <tr r="O134" s="2"/>
      </tp>
      <tp t="s">
        <v/>
        <stp/>
        <stp>P</stp>
        <stp>0</stp>
        <stp>IDX</stp>
        <stp>XG901P</stp>
        <stp>외국인합순매수금액</stp>
        <stp>45539</stp>
        <stp>Fill=true,Per=월</stp>
        <tr r="O180" s="2"/>
      </tp>
      <tp>
        <v>-1718</v>
        <stp/>
        <stp>P</stp>
        <stp>0</stp>
        <stp>IDX</stp>
        <stp>QGS09P</stp>
        <stp>외국인합순매수금액</stp>
        <stp>45539</stp>
        <stp>Fill=true,Per=월</stp>
        <tr r="O90" s="2"/>
      </tp>
      <tp t="s">
        <v/>
        <stp/>
        <stp>P</stp>
        <stp>0</stp>
        <stp>IDX</stp>
        <stp>X3S03P</stp>
        <stp>외국인합순매수금액</stp>
        <stp>45539</stp>
        <stp>Fill=true,Per=월</stp>
        <tr r="O187" s="2"/>
      </tp>
      <tp t="s">
        <v/>
        <stp/>
        <stp>P</stp>
        <stp>0</stp>
        <stp>IDX</stp>
        <stp>XGE03P</stp>
        <stp>외국인합순매수금액</stp>
        <stp>45539</stp>
        <stp>Fill=true,Per=월</stp>
        <tr r="O172" s="2"/>
      </tp>
      <tp t="s">
        <v/>
        <stp/>
        <stp>P</stp>
        <stp>0</stp>
        <stp>IDX</stp>
        <stp>XGT03P</stp>
        <stp>외국인합순매수금액</stp>
        <stp>45539</stp>
        <stp>Fill=true,Per=월</stp>
        <tr r="O45" s="2"/>
      </tp>
      <tp t="s">
        <v/>
        <stp/>
        <stp>P</stp>
        <stp>0</stp>
        <stp>IDX</stp>
        <stp>XGS03P</stp>
        <stp>외국인합순매수금액</stp>
        <stp>45539</stp>
        <stp>Fill=true,Per=월</stp>
        <tr r="O166" s="2"/>
      </tp>
      <tp t="s">
        <v/>
        <stp/>
        <stp>P</stp>
        <stp>0</stp>
        <stp>IDX</stp>
        <stp>XGX03P</stp>
        <stp>외국인합순매수금액</stp>
        <stp>45539</stp>
        <stp>Fill=true,Per=월</stp>
        <tr r="O132" s="2"/>
      </tp>
      <tp t="s">
        <v/>
        <stp/>
        <stp>P</stp>
        <stp>0</stp>
        <stp>IDX</stp>
        <stp>XG903P</stp>
        <stp>외국인합순매수금액</stp>
        <stp>45539</stp>
        <stp>Fill=true,Per=월</stp>
        <tr r="O178" s="2"/>
      </tp>
      <tp t="s">
        <v/>
        <stp/>
        <stp>P</stp>
        <stp>0</stp>
        <stp>IDX</stp>
        <stp>X3S02P</stp>
        <stp>외국인합순매수금액</stp>
        <stp>45539</stp>
        <stp>Fill=true,Per=월</stp>
        <tr r="O188" s="2"/>
      </tp>
      <tp t="s">
        <v/>
        <stp/>
        <stp>P</stp>
        <stp>0</stp>
        <stp>IDX</stp>
        <stp>XGD02P</stp>
        <stp>외국인합순매수금액</stp>
        <stp>45539</stp>
        <stp>Fill=true,Per=월</stp>
        <tr r="O175" s="2"/>
      </tp>
      <tp t="s">
        <v/>
        <stp/>
        <stp>P</stp>
        <stp>0</stp>
        <stp>IDX</stp>
        <stp>XGE02P</stp>
        <stp>외국인합순매수금액</stp>
        <stp>45539</stp>
        <stp>Fill=true,Per=월</stp>
        <tr r="O173" s="2"/>
      </tp>
      <tp t="s">
        <v/>
        <stp/>
        <stp>P</stp>
        <stp>0</stp>
        <stp>IDX</stp>
        <stp>XGG02P</stp>
        <stp>외국인합순매수금액</stp>
        <stp>45539</stp>
        <stp>Fill=true,Per=월</stp>
        <tr r="O129" s="2"/>
      </tp>
      <tp t="s">
        <v/>
        <stp/>
        <stp>P</stp>
        <stp>0</stp>
        <stp>IDX</stp>
        <stp>XGT02P</stp>
        <stp>외국인합순매수금액</stp>
        <stp>45539</stp>
        <stp>Fill=true,Per=월</stp>
        <tr r="O40" s="2"/>
      </tp>
      <tp t="s">
        <v/>
        <stp/>
        <stp>P</stp>
        <stp>0</stp>
        <stp>IDX</stp>
        <stp>XGV02P</stp>
        <stp>외국인합순매수금액</stp>
        <stp>45539</stp>
        <stp>Fill=true,Per=월</stp>
        <tr r="O135" s="2"/>
      </tp>
      <tp t="s">
        <v/>
        <stp/>
        <stp>P</stp>
        <stp>0</stp>
        <stp>IDX</stp>
        <stp>XGS02P</stp>
        <stp>외국인합순매수금액</stp>
        <stp>45539</stp>
        <stp>Fill=true,Per=월</stp>
        <tr r="O167" s="2"/>
      </tp>
      <tp t="s">
        <v/>
        <stp/>
        <stp>P</stp>
        <stp>0</stp>
        <stp>IDX</stp>
        <stp>XGX02P</stp>
        <stp>외국인합순매수금액</stp>
        <stp>45539</stp>
        <stp>Fill=true,Per=월</stp>
        <tr r="O133" s="2"/>
      </tp>
      <tp t="s">
        <v/>
        <stp/>
        <stp>P</stp>
        <stp>0</stp>
        <stp>IDX</stp>
        <stp>XG902P</stp>
        <stp>외국인합순매수금액</stp>
        <stp>45539</stp>
        <stp>Fill=true,Per=월</stp>
        <tr r="O179" s="2"/>
      </tp>
      <tp t="s">
        <v/>
        <stp/>
        <stp>P</stp>
        <stp>0</stp>
        <stp>IDX</stp>
        <stp>X3S05P</stp>
        <stp>외국인합순매수금액</stp>
        <stp>45539</stp>
        <stp>Fill=true,Per=월</stp>
        <tr r="O185" s="2"/>
      </tp>
      <tp t="s">
        <v/>
        <stp/>
        <stp>P</stp>
        <stp>0</stp>
        <stp>IDX</stp>
        <stp>XGE05P</stp>
        <stp>외국인합순매수금액</stp>
        <stp>45539</stp>
        <stp>Fill=true,Per=월</stp>
        <tr r="O169" s="2"/>
      </tp>
      <tp t="s">
        <v/>
        <stp/>
        <stp>P</stp>
        <stp>0</stp>
        <stp>IDX</stp>
        <stp>XGB05P</stp>
        <stp>외국인합순매수금액</stp>
        <stp>45539</stp>
        <stp>Fill=true,Per=월</stp>
        <tr r="O176" s="2"/>
      </tp>
      <tp t="s">
        <v/>
        <stp/>
        <stp>P</stp>
        <stp>0</stp>
        <stp>IDX</stp>
        <stp>XGT05P</stp>
        <stp>외국인합순매수금액</stp>
        <stp>45539</stp>
        <stp>Fill=true,Per=월</stp>
        <tr r="O150" s="2"/>
      </tp>
      <tp t="s">
        <v/>
        <stp/>
        <stp>P</stp>
        <stp>0</stp>
        <stp>IDX</stp>
        <stp>XGS05P</stp>
        <stp>외국인합순매수금액</stp>
        <stp>45539</stp>
        <stp>Fill=true,Per=월</stp>
        <tr r="O164" s="2"/>
      </tp>
      <tp t="s">
        <v/>
        <stp/>
        <stp>P</stp>
        <stp>0</stp>
        <stp>IDX</stp>
        <stp>XGX05P</stp>
        <stp>외국인합순매수금액</stp>
        <stp>45539</stp>
        <stp>Fill=true,Per=월</stp>
        <tr r="O130" s="2"/>
      </tp>
      <tp t="s">
        <v/>
        <stp/>
        <stp>P</stp>
        <stp>0</stp>
        <stp>IDX</stp>
        <stp>X3S04P</stp>
        <stp>외국인합순매수금액</stp>
        <stp>45539</stp>
        <stp>Fill=true,Per=월</stp>
        <tr r="O186" s="2"/>
      </tp>
      <tp t="s">
        <v/>
        <stp/>
        <stp>P</stp>
        <stp>0</stp>
        <stp>IDX</stp>
        <stp>XGE04P</stp>
        <stp>외국인합순매수금액</stp>
        <stp>45539</stp>
        <stp>Fill=true,Per=월</stp>
        <tr r="O171" s="2"/>
      </tp>
      <tp t="s">
        <v/>
        <stp/>
        <stp>P</stp>
        <stp>0</stp>
        <stp>IDX</stp>
        <stp>XGT04P</stp>
        <stp>외국인합순매수금액</stp>
        <stp>45539</stp>
        <stp>Fill=true,Per=월</stp>
        <tr r="O151" s="2"/>
      </tp>
      <tp t="s">
        <v/>
        <stp/>
        <stp>P</stp>
        <stp>0</stp>
        <stp>IDX</stp>
        <stp>XGS04P</stp>
        <stp>외국인합순매수금액</stp>
        <stp>45539</stp>
        <stp>Fill=true,Per=월</stp>
        <tr r="O165" s="2"/>
      </tp>
      <tp t="s">
        <v/>
        <stp/>
        <stp>P</stp>
        <stp>0</stp>
        <stp>IDX</stp>
        <stp>XGX04P</stp>
        <stp>외국인합순매수금액</stp>
        <stp>45539</stp>
        <stp>Fill=true,Per=월</stp>
        <tr r="O131" s="2"/>
      </tp>
      <tp t="s">
        <v/>
        <stp/>
        <stp>P</stp>
        <stp>0</stp>
        <stp>IDX</stp>
        <stp>XG904P</stp>
        <stp>외국인합순매수금액</stp>
        <stp>45539</stp>
        <stp>Fill=true,Per=월</stp>
        <tr r="O177" s="2"/>
      </tp>
      <tp t="s">
        <v/>
        <stp/>
        <stp>P</stp>
        <stp>0</stp>
        <stp>IDX</stp>
        <stp>X3S07P</stp>
        <stp>외국인합순매수금액</stp>
        <stp>45539</stp>
        <stp>Fill=true,Per=월</stp>
        <tr r="O183" s="2"/>
      </tp>
      <tp t="s">
        <v/>
        <stp/>
        <stp>P</stp>
        <stp>0</stp>
        <stp>IDX</stp>
        <stp>XGT07P</stp>
        <stp>외국인합순매수금액</stp>
        <stp>45539</stp>
        <stp>Fill=true,Per=월</stp>
        <tr r="O147" s="2"/>
      </tp>
      <tp t="s">
        <v/>
        <stp/>
        <stp>P</stp>
        <stp>0</stp>
        <stp>IDX</stp>
        <stp>XGS07P</stp>
        <stp>외국인합순매수금액</stp>
        <stp>45539</stp>
        <stp>Fill=true,Per=월</stp>
        <tr r="O162" s="2"/>
      </tp>
      <tp t="s">
        <v/>
        <stp/>
        <stp>P</stp>
        <stp>0</stp>
        <stp>IDX</stp>
        <stp>X3S06P</stp>
        <stp>외국인합순매수금액</stp>
        <stp>45539</stp>
        <stp>Fill=true,Per=월</stp>
        <tr r="O184" s="2"/>
      </tp>
      <tp t="s">
        <v/>
        <stp/>
        <stp>P</stp>
        <stp>0</stp>
        <stp>IDX</stp>
        <stp>XGT06T</stp>
        <stp>외국인합순매수금액</stp>
        <stp>45539</stp>
        <stp>Fill=true,Per=월</stp>
        <tr r="O148" s="2"/>
      </tp>
      <tp t="s">
        <v/>
        <stp/>
        <stp>P</stp>
        <stp>0</stp>
        <stp>IDX</stp>
        <stp>XGT06P</stp>
        <stp>외국인합순매수금액</stp>
        <stp>45539</stp>
        <stp>Fill=true,Per=월</stp>
        <tr r="O149" s="2"/>
      </tp>
      <tp t="s">
        <v/>
        <stp/>
        <stp>P</stp>
        <stp>0</stp>
        <stp>IDX</stp>
        <stp>XGS06P</stp>
        <stp>외국인합순매수금액</stp>
        <stp>45539</stp>
        <stp>Fill=true,Per=월</stp>
        <tr r="O163" s="2"/>
      </tp>
      <tp>
        <v>0</v>
        <stp/>
        <stp>P</stp>
        <stp>0</stp>
        <stp>IDX</stp>
        <stp>XGT10T</stp>
        <stp>저가</stp>
        <stp>45539</stp>
        <stp>Fill=true,Per=월</stp>
        <tr r="L142" s="2"/>
      </tp>
      <tp>
        <v>2779.14</v>
        <stp/>
        <stp>P</stp>
        <stp>0</stp>
        <stp>IDX</stp>
        <stp>XGT10T</stp>
        <stp>시가</stp>
        <stp>45539</stp>
        <stp>Fill=true,Per=월</stp>
        <tr r="J142" s="2"/>
      </tp>
      <tp>
        <v>2779.66</v>
        <stp/>
        <stp>P</stp>
        <stp>0</stp>
        <stp>IDX</stp>
        <stp>XGT10T</stp>
        <stp>고가</stp>
        <stp>45539</stp>
        <stp>Fill=true,Per=월</stp>
        <tr r="K142" s="2"/>
      </tp>
      <tp>
        <v>0</v>
        <stp/>
        <stp>P</stp>
        <stp>0</stp>
        <stp>IDX</stp>
        <stp>XGT10P</stp>
        <stp>저가</stp>
        <stp>45539</stp>
        <stp>Fill=true,Per=월</stp>
        <tr r="L143" s="2"/>
      </tp>
      <tp>
        <v>0</v>
        <stp/>
        <stp>P</stp>
        <stp>0</stp>
        <stp>IDX</stp>
        <stp>QGS09P</stp>
        <stp>저가</stp>
        <stp>45539</stp>
        <stp>Fill=true,Per=월</stp>
        <tr r="L90" s="2"/>
      </tp>
      <tp>
        <v>0</v>
        <stp/>
        <stp>P</stp>
        <stp>0</stp>
        <stp>IDX</stp>
        <stp>QGS19P</stp>
        <stp>저가</stp>
        <stp>45539</stp>
        <stp>Fill=true,Per=월</stp>
        <tr r="L86" s="2"/>
      </tp>
      <tp>
        <v>0</v>
        <stp/>
        <stp>P</stp>
        <stp>0</stp>
        <stp>IDX</stp>
        <stp>XGS10P</stp>
        <stp>저가</stp>
        <stp>45539</stp>
        <stp>Fill=true,Per=월</stp>
        <tr r="L159" s="2"/>
      </tp>
      <tp>
        <v>2440.52</v>
        <stp/>
        <stp>P</stp>
        <stp>0</stp>
        <stp>IDX</stp>
        <stp>XGT10P</stp>
        <stp>시가</stp>
        <stp>45539</stp>
        <stp>Fill=true,Per=월</stp>
        <tr r="J143" s="2"/>
      </tp>
      <tp>
        <v>5256.77</v>
        <stp/>
        <stp>P</stp>
        <stp>0</stp>
        <stp>IDX</stp>
        <stp>QGS09P</stp>
        <stp>시가</stp>
        <stp>45539</stp>
        <stp>Fill=true,Per=월</stp>
        <tr r="J90" s="2"/>
      </tp>
      <tp>
        <v>3695.76</v>
        <stp/>
        <stp>P</stp>
        <stp>0</stp>
        <stp>IDX</stp>
        <stp>QGS19P</stp>
        <stp>시가</stp>
        <stp>45539</stp>
        <stp>Fill=true,Per=월</stp>
        <tr r="J86" s="2"/>
      </tp>
      <tp>
        <v>755.74</v>
        <stp/>
        <stp>P</stp>
        <stp>0</stp>
        <stp>IDX</stp>
        <stp>XGS10P</stp>
        <stp>시가</stp>
        <stp>45539</stp>
        <stp>Fill=true,Per=월</stp>
        <tr r="J159" s="2"/>
      </tp>
      <tp>
        <v>5258.01</v>
        <stp/>
        <stp>P</stp>
        <stp>0</stp>
        <stp>IDX</stp>
        <stp>QGS09P</stp>
        <stp>고가</stp>
        <stp>45539</stp>
        <stp>Fill=true,Per=월</stp>
        <tr r="K90" s="2"/>
      </tp>
      <tp>
        <v>3696.32</v>
        <stp/>
        <stp>P</stp>
        <stp>0</stp>
        <stp>IDX</stp>
        <stp>QGS19P</stp>
        <stp>고가</stp>
        <stp>45539</stp>
        <stp>Fill=true,Per=월</stp>
        <tr r="K86" s="2"/>
      </tp>
      <tp>
        <v>760.48</v>
        <stp/>
        <stp>P</stp>
        <stp>0</stp>
        <stp>IDX</stp>
        <stp>XGS10P</stp>
        <stp>고가</stp>
        <stp>45539</stp>
        <stp>Fill=true,Per=월</stp>
        <tr r="K159" s="2"/>
      </tp>
      <tp>
        <v>2440.98</v>
        <stp/>
        <stp>P</stp>
        <stp>0</stp>
        <stp>IDX</stp>
        <stp>XGT10P</stp>
        <stp>고가</stp>
        <stp>45539</stp>
        <stp>Fill=true,Per=월</stp>
        <tr r="K143" s="2"/>
      </tp>
      <tp t="s">
        <v/>
        <stp/>
        <stp>P</stp>
        <stp>0</stp>
        <stp>IDX</stp>
        <stp>F2X17P</stp>
        <stp>외국인합순매수금액</stp>
        <stp>45539</stp>
        <stp>Fill=true,Per=월</stp>
        <tr r="O241" s="2"/>
      </tp>
      <tp t="s">
        <v/>
        <stp/>
        <stp>P</stp>
        <stp>0</stp>
        <stp>IDX</stp>
        <stp>F2X16P</stp>
        <stp>외국인합순매수금액</stp>
        <stp>45539</stp>
        <stp>Fill=true,Per=월</stp>
        <tr r="O240" s="2"/>
      </tp>
      <tp t="s">
        <v/>
        <stp/>
        <stp>P</stp>
        <stp>0</stp>
        <stp>IDX</stp>
        <stp>F2X15P</stp>
        <stp>외국인합순매수금액</stp>
        <stp>45539</stp>
        <stp>Fill=true,Per=월</stp>
        <tr r="O239" s="2"/>
      </tp>
      <tp>
        <v>-266184</v>
        <stp/>
        <stp>P</stp>
        <stp>0</stp>
        <stp>IDX</stp>
        <stp>KGS18P</stp>
        <stp>외국인합순매수금액</stp>
        <stp>45539</stp>
        <stp>Fill=true,Per=월</stp>
        <tr r="O19" s="2"/>
      </tp>
      <tp t="s">
        <v/>
        <stp/>
        <stp>P</stp>
        <stp>0</stp>
        <stp>IDX</stp>
        <stp>F2X14P</stp>
        <stp>외국인합순매수금액</stp>
        <stp>45539</stp>
        <stp>Fill=true,Per=월</stp>
        <tr r="O238" s="2"/>
      </tp>
      <tp>
        <v>6649</v>
        <stp/>
        <stp>P</stp>
        <stp>0</stp>
        <stp>IDX</stp>
        <stp>KGS19P</stp>
        <stp>외국인합순매수금액</stp>
        <stp>45539</stp>
        <stp>Fill=true,Per=월</stp>
        <tr r="O91" s="2"/>
      </tp>
      <tp t="s">
        <v/>
        <stp/>
        <stp>P</stp>
        <stp>0</stp>
        <stp>IDX</stp>
        <stp>F2X13P</stp>
        <stp>외국인합순매수금액</stp>
        <stp>45539</stp>
        <stp>Fill=true,Per=월</stp>
        <tr r="O237" s="2"/>
      </tp>
      <tp t="s">
        <v/>
        <stp/>
        <stp>P</stp>
        <stp>0</stp>
        <stp>IDX</stp>
        <stp>F2X12P</stp>
        <stp>외국인합순매수금액</stp>
        <stp>45539</stp>
        <stp>Fill=true,Per=월</stp>
        <tr r="O236" s="2"/>
      </tp>
      <tp t="s">
        <v/>
        <stp/>
        <stp>P</stp>
        <stp>0</stp>
        <stp>IDX</stp>
        <stp>FRX12P</stp>
        <stp>외국인합순매수금액</stp>
        <stp>45539</stp>
        <stp>Fill=true,Per=월</stp>
        <tr r="O312" s="2"/>
      </tp>
      <tp t="s">
        <v/>
        <stp/>
        <stp>P</stp>
        <stp>0</stp>
        <stp>IDX</stp>
        <stp>F2X11P</stp>
        <stp>외국인합순매수금액</stp>
        <stp>45539</stp>
        <stp>Fill=true,Per=월</stp>
        <tr r="O235" s="2"/>
      </tp>
      <tp t="s">
        <v/>
        <stp/>
        <stp>P</stp>
        <stp>0</stp>
        <stp>IDX</stp>
        <stp>FRX11P</stp>
        <stp>외국인합순매수금액</stp>
        <stp>45539</stp>
        <stp>Fill=true,Per=월</stp>
        <tr r="O311" s="2"/>
      </tp>
      <tp t="s">
        <v/>
        <stp/>
        <stp>P</stp>
        <stp>0</stp>
        <stp>IDX</stp>
        <stp>FTX11P</stp>
        <stp>외국인합순매수금액</stp>
        <stp>45539</stp>
        <stp>Fill=true,Per=월</stp>
        <tr r="O328" s="2"/>
      </tp>
      <tp t="s">
        <v/>
        <stp/>
        <stp>P</stp>
        <stp>0</stp>
        <stp>IDX</stp>
        <stp>F5X10T</stp>
        <stp>외국인합순매수금액</stp>
        <stp>45539</stp>
        <stp>Fill=true,Per=월</stp>
        <tr r="O285" s="2"/>
      </tp>
      <tp t="s">
        <v/>
        <stp/>
        <stp>P</stp>
        <stp>0</stp>
        <stp>IDX</stp>
        <stp>F2S10P</stp>
        <stp>외국인합순매수금액</stp>
        <stp>45539</stp>
        <stp>Fill=true,Per=월</stp>
        <tr r="O223" s="2"/>
      </tp>
      <tp t="s">
        <v/>
        <stp/>
        <stp>P</stp>
        <stp>0</stp>
        <stp>IDX</stp>
        <stp>F2X10P</stp>
        <stp>외국인합순매수금액</stp>
        <stp>45539</stp>
        <stp>Fill=true,Per=월</stp>
        <tr r="O234" s="2"/>
      </tp>
      <tp t="s">
        <v/>
        <stp/>
        <stp>P</stp>
        <stp>0</stp>
        <stp>IDX</stp>
        <stp>FRX10P</stp>
        <stp>외국인합순매수금액</stp>
        <stp>45539</stp>
        <stp>Fill=true,Per=월</stp>
        <tr r="O310" s="2"/>
      </tp>
      <tp t="s">
        <v/>
        <stp/>
        <stp>P</stp>
        <stp>0</stp>
        <stp>IDX</stp>
        <stp>FTX10P</stp>
        <stp>외국인합순매수금액</stp>
        <stp>45539</stp>
        <stp>Fill=true,Per=월</stp>
        <tr r="O327" s="2"/>
      </tp>
      <tp t="s">
        <v/>
        <stp/>
        <stp>P</stp>
        <stp>0</stp>
        <stp>IDX</stp>
        <stp>K2X12N</stp>
        <stp>외국인합순매수금액</stp>
        <stp>45539</stp>
        <stp>Fill=true,Per=월</stp>
        <tr r="O381" s="2"/>
      </tp>
      <tp t="s">
        <v/>
        <stp/>
        <stp>P</stp>
        <stp>0</stp>
        <stp>IDX</stp>
        <stp>O2916P</stp>
        <stp>외국인합순매수금액</stp>
        <stp>45539</stp>
        <stp>Fill=true,Per=월</stp>
        <tr r="O100" s="2"/>
      </tp>
      <tp t="s">
        <v/>
        <stp/>
        <stp>P</stp>
        <stp>0</stp>
        <stp>IDX</stp>
        <stp>O2916T</stp>
        <stp>외국인합순매수금액</stp>
        <stp>45539</stp>
        <stp>Fill=true,Per=월</stp>
        <tr r="O119" s="2"/>
      </tp>
      <tp t="s">
        <v/>
        <stp/>
        <stp>P</stp>
        <stp>0</stp>
        <stp>IDX</stp>
        <stp>MGA14P</stp>
        <stp>외국인합순매수금액</stp>
        <stp>45539</stp>
        <stp>Fill=true,Per=월</stp>
        <tr r="O108" s="2"/>
      </tp>
      <tp>
        <v>-285</v>
        <stp/>
        <stp>P</stp>
        <stp>0</stp>
        <stp>IDX</stp>
        <stp>KGS12P</stp>
        <stp>외국인합순매수금액</stp>
        <stp>45539</stp>
        <stp>Fill=true,Per=월</stp>
        <tr r="O83" s="2"/>
      </tp>
      <tp t="s">
        <v/>
        <stp/>
        <stp>P</stp>
        <stp>0</stp>
        <stp>IDX</stp>
        <stp>MGA15P</stp>
        <stp>외국인합순매수금액</stp>
        <stp>45539</stp>
        <stp>Fill=true,Per=월</stp>
        <tr r="O110" s="2"/>
      </tp>
      <tp>
        <v>18956</v>
        <stp/>
        <stp>P</stp>
        <stp>0</stp>
        <stp>IDX</stp>
        <stp>KGS13P</stp>
        <stp>외국인합순매수금액</stp>
        <stp>45539</stp>
        <stp>Fill=true,Per=월</stp>
        <tr r="O74" s="2"/>
      </tp>
      <tp t="s">
        <v/>
        <stp/>
        <stp>P</stp>
        <stp>0</stp>
        <stp>IDX</stp>
        <stp>K2G10N</stp>
        <stp>외국인합순매수금액</stp>
        <stp>45539</stp>
        <stp>Fill=true,Per=월</stp>
        <tr r="O360" s="2"/>
      </tp>
      <tp t="s">
        <v/>
        <stp/>
        <stp>P</stp>
        <stp>0</stp>
        <stp>IDX</stp>
        <stp>K2G10P</stp>
        <stp>외국인합순매수금액</stp>
        <stp>45539</stp>
        <stp>Fill=true,Per=월</stp>
        <tr r="O361" s="2"/>
      </tp>
      <tp t="s">
        <v/>
        <stp/>
        <stp>P</stp>
        <stp>0</stp>
        <stp>IDX</stp>
        <stp>K2S10P</stp>
        <stp>외국인합순매수금액</stp>
        <stp>45539</stp>
        <stp>Fill=true,Per=월</stp>
        <tr r="O59" s="2"/>
      </tp>
      <tp t="s">
        <v/>
        <stp/>
        <stp>P</stp>
        <stp>0</stp>
        <stp>IDX</stp>
        <stp>K2G10T</stp>
        <stp>외국인합순매수금액</stp>
        <stp>45539</stp>
        <stp>Fill=true,Per=월</stp>
        <tr r="O362" s="2"/>
      </tp>
      <tp t="s">
        <v/>
        <stp/>
        <stp>P</stp>
        <stp>0</stp>
        <stp>IDX</stp>
        <stp>K2S10T</stp>
        <stp>외국인합순매수금액</stp>
        <stp>45539</stp>
        <stp>Fill=true,Per=월</stp>
        <tr r="O372" s="2"/>
      </tp>
      <tp t="s">
        <v/>
        <stp/>
        <stp>P</stp>
        <stp>0</stp>
        <stp>IDX</stp>
        <stp>MGA16T</stp>
        <stp>외국인합순매수금액</stp>
        <stp>45539</stp>
        <stp>Fill=true,Per=월</stp>
        <tr r="O106" s="2"/>
      </tp>
      <tp>
        <v>-113240</v>
        <stp/>
        <stp>P</stp>
        <stp>0</stp>
        <stp>IDX</stp>
        <stp>KGS10P</stp>
        <stp>외국인합순매수금액</stp>
        <stp>45539</stp>
        <stp>Fill=true,Per=월</stp>
        <tr r="O33" s="2"/>
      </tp>
      <tp t="s">
        <v/>
        <stp/>
        <stp>P</stp>
        <stp>0</stp>
        <stp>IDX</stp>
        <stp>OG914P</stp>
        <stp>외국인합순매수금액</stp>
        <stp>45539</stp>
        <stp>Fill=true,Per=월</stp>
        <tr r="O205" s="2"/>
      </tp>
      <tp t="s">
        <v/>
        <stp/>
        <stp>P</stp>
        <stp>0</stp>
        <stp>IDX</stp>
        <stp>K2S11P</stp>
        <stp>외국인합순매수금액</stp>
        <stp>45539</stp>
        <stp>Fill=true,Per=월</stp>
        <tr r="O54" s="2"/>
      </tp>
      <tp t="s">
        <v/>
        <stp/>
        <stp>P</stp>
        <stp>0</stp>
        <stp>IDX</stp>
        <stp>K2X11P</stp>
        <stp>외국인합순매수금액</stp>
        <stp>45539</stp>
        <stp>Fill=true,Per=월</stp>
        <tr r="O380" s="2"/>
      </tp>
      <tp t="s">
        <v/>
        <stp/>
        <stp>P</stp>
        <stp>0</stp>
        <stp>IDX</stp>
        <stp>K2S11T</stp>
        <stp>외국인합순매수금액</stp>
        <stp>45539</stp>
        <stp>Fill=true,Per=월</stp>
        <tr r="O373" s="2"/>
      </tp>
      <tp>
        <v>35185</v>
        <stp/>
        <stp>P</stp>
        <stp>0</stp>
        <stp>IDX</stp>
        <stp>KGS11P</stp>
        <stp>외국인합순매수금액</stp>
        <stp>45539</stp>
        <stp>Fill=true,Per=월</stp>
        <tr r="O62" s="2"/>
      </tp>
      <tp t="s">
        <v/>
        <stp/>
        <stp>P</stp>
        <stp>0</stp>
        <stp>IDX</stp>
        <stp>MGA10P</stp>
        <stp>외국인합순매수금액</stp>
        <stp>45539</stp>
        <stp>Fill=true,Per=월</stp>
        <tr r="O121" s="2"/>
      </tp>
      <tp>
        <v>10114</v>
        <stp/>
        <stp>P</stp>
        <stp>0</stp>
        <stp>IDX</stp>
        <stp>KGS16P</stp>
        <stp>외국인합순매수금액</stp>
        <stp>45539</stp>
        <stp>Fill=true,Per=월</stp>
        <tr r="O79" s="2"/>
      </tp>
      <tp t="s">
        <v/>
        <stp/>
        <stp>P</stp>
        <stp>0</stp>
        <stp>IDX</stp>
        <stp>OG912P</stp>
        <stp>외국인합순매수금액</stp>
        <stp>45539</stp>
        <stp>Fill=true,Per=월</stp>
        <tr r="O207" s="2"/>
      </tp>
      <tp t="s">
        <v/>
        <stp/>
        <stp>P</stp>
        <stp>0</stp>
        <stp>IDX</stp>
        <stp>MGA11P</stp>
        <stp>외국인합순매수금액</stp>
        <stp>45539</stp>
        <stp>Fill=true,Per=월</stp>
        <tr r="O107" s="2"/>
      </tp>
      <tp>
        <v>49081</v>
        <stp/>
        <stp>P</stp>
        <stp>0</stp>
        <stp>IDX</stp>
        <stp>KGS17P</stp>
        <stp>외국인합순매수금액</stp>
        <stp>45539</stp>
        <stp>Fill=true,Per=월</stp>
        <tr r="O67" s="2"/>
      </tp>
      <tp t="s">
        <v/>
        <stp/>
        <stp>P</stp>
        <stp>0</stp>
        <stp>IDX</stp>
        <stp>OG913P</stp>
        <stp>외국인합순매수금액</stp>
        <stp>45539</stp>
        <stp>Fill=true,Per=월</stp>
        <tr r="O206" s="2"/>
      </tp>
      <tp t="s">
        <v/>
        <stp/>
        <stp>P</stp>
        <stp>0</stp>
        <stp>IDX</stp>
        <stp>F2X19P</stp>
        <stp>외국인합순매수금액</stp>
        <stp>45539</stp>
        <stp>Fill=true,Per=월</stp>
        <tr r="O243" s="2"/>
      </tp>
      <tp t="s">
        <v/>
        <stp/>
        <stp>P</stp>
        <stp>0</stp>
        <stp>IDX</stp>
        <stp>MGA12P</stp>
        <stp>외국인합순매수금액</stp>
        <stp>45539</stp>
        <stp>Fill=true,Per=월</stp>
        <tr r="O104" s="2"/>
      </tp>
      <tp>
        <v>139214</v>
        <stp/>
        <stp>P</stp>
        <stp>0</stp>
        <stp>IDX</stp>
        <stp>KGS14P</stp>
        <stp>외국인합순매수금액</stp>
        <stp>45539</stp>
        <stp>Fill=true,Per=월</stp>
        <tr r="O27" s="2"/>
      </tp>
      <tp t="s">
        <v/>
        <stp/>
        <stp>P</stp>
        <stp>0</stp>
        <stp>IDX</stp>
        <stp>F2X18P</stp>
        <stp>외국인합순매수금액</stp>
        <stp>45539</stp>
        <stp>Fill=true,Per=월</stp>
        <tr r="O242" s="2"/>
      </tp>
      <tp t="s">
        <v/>
        <stp/>
        <stp>P</stp>
        <stp>0</stp>
        <stp>IDX</stp>
        <stp>MGA13T</stp>
        <stp>외국인합순매수금액</stp>
        <stp>45539</stp>
        <stp>Fill=true,Per=월</stp>
        <tr r="O99" s="2"/>
      </tp>
      <tp>
        <v>7</v>
        <stp/>
        <stp>P</stp>
        <stp>0</stp>
        <stp>IDX</stp>
        <stp>QGS10P</stp>
        <stp>외국인합순매수금액</stp>
        <stp>45539</stp>
        <stp>Fill=true,Per=월</stp>
        <tr r="O96" s="2"/>
      </tp>
      <tp>
        <v>41780</v>
        <stp/>
        <stp>P</stp>
        <stp>0</stp>
        <stp>IDX</stp>
        <stp>QGG11P</stp>
        <stp>외국인합순매수금액</stp>
        <stp>45539</stp>
        <stp>Fill=true,Per=월</stp>
        <tr r="O58" s="2"/>
      </tp>
      <tp>
        <v>1068</v>
        <stp/>
        <stp>P</stp>
        <stp>0</stp>
        <stp>IDX</stp>
        <stp>QGS11P</stp>
        <stp>외국인합순매수금액</stp>
        <stp>45539</stp>
        <stp>Fill=true,Per=월</stp>
        <tr r="O95" s="2"/>
      </tp>
      <tp>
        <v>-6939</v>
        <stp/>
        <stp>P</stp>
        <stp>0</stp>
        <stp>IDX</stp>
        <stp>QGS12P</stp>
        <stp>외국인합순매수금액</stp>
        <stp>45539</stp>
        <stp>Fill=true,Per=월</stp>
        <tr r="O76" s="2"/>
      </tp>
      <tp>
        <v>-3345</v>
        <stp/>
        <stp>P</stp>
        <stp>0</stp>
        <stp>IDX</stp>
        <stp>QGS13P</stp>
        <stp>외국인합순매수금액</stp>
        <stp>45539</stp>
        <stp>Fill=true,Per=월</stp>
        <tr r="O77" s="2"/>
      </tp>
      <tp>
        <v>1779</v>
        <stp/>
        <stp>P</stp>
        <stp>0</stp>
        <stp>IDX</stp>
        <stp>QGS14P</stp>
        <stp>외국인합순매수금액</stp>
        <stp>45539</stp>
        <stp>Fill=true,Per=월</stp>
        <tr r="O92" s="2"/>
      </tp>
      <tp>
        <v>-7500</v>
        <stp/>
        <stp>P</stp>
        <stp>0</stp>
        <stp>IDX</stp>
        <stp>QGS15P</stp>
        <stp>외국인합순매수금액</stp>
        <stp>45539</stp>
        <stp>Fill=true,Per=월</stp>
        <tr r="O87" s="2"/>
      </tp>
      <tp>
        <v>-23213</v>
        <stp/>
        <stp>P</stp>
        <stp>0</stp>
        <stp>IDX</stp>
        <stp>QGS16P</stp>
        <stp>외국인합순매수금액</stp>
        <stp>45539</stp>
        <stp>Fill=true,Per=월</stp>
        <tr r="O70" s="2"/>
      </tp>
      <tp>
        <v>-3180</v>
        <stp/>
        <stp>P</stp>
        <stp>0</stp>
        <stp>IDX</stp>
        <stp>QGS17P</stp>
        <stp>외국인합순매수금액</stp>
        <stp>45539</stp>
        <stp>Fill=true,Per=월</stp>
        <tr r="O61" s="2"/>
      </tp>
      <tp t="s">
        <v/>
        <stp/>
        <stp>P</stp>
        <stp>0</stp>
        <stp>IDX</stp>
        <stp>XGT11P</stp>
        <stp>외국인합순매수금액</stp>
        <stp>45539</stp>
        <stp>Fill=true,Per=월</stp>
        <tr r="O141" s="2"/>
      </tp>
      <tp>
        <v>-3088</v>
        <stp/>
        <stp>P</stp>
        <stp>0</stp>
        <stp>IDX</stp>
        <stp>QGS18P</stp>
        <stp>외국인합순매수금액</stp>
        <stp>45539</stp>
        <stp>Fill=true,Per=월</stp>
        <tr r="O82" s="2"/>
      </tp>
      <tp t="s">
        <v/>
        <stp/>
        <stp>P</stp>
        <stp>0</stp>
        <stp>IDX</stp>
        <stp>XGS11P</stp>
        <stp>외국인합순매수금액</stp>
        <stp>45539</stp>
        <stp>Fill=true,Per=월</stp>
        <tr r="O158" s="2"/>
      </tp>
      <tp t="s">
        <v/>
        <stp/>
        <stp>P</stp>
        <stp>0</stp>
        <stp>IDX</stp>
        <stp>XGT10T</stp>
        <stp>외국인합순매수금액</stp>
        <stp>45539</stp>
        <stp>Fill=true,Per=월</stp>
        <tr r="O142" s="2"/>
      </tp>
      <tp t="s">
        <v/>
        <stp/>
        <stp>P</stp>
        <stp>0</stp>
        <stp>IDX</stp>
        <stp>XGT10P</stp>
        <stp>외국인합순매수금액</stp>
        <stp>45539</stp>
        <stp>Fill=true,Per=월</stp>
        <tr r="O143" s="2"/>
      </tp>
      <tp>
        <v>-1590</v>
        <stp/>
        <stp>P</stp>
        <stp>0</stp>
        <stp>IDX</stp>
        <stp>QGS19P</stp>
        <stp>외국인합순매수금액</stp>
        <stp>45539</stp>
        <stp>Fill=true,Per=월</stp>
        <tr r="O86" s="2"/>
      </tp>
      <tp t="s">
        <v/>
        <stp/>
        <stp>P</stp>
        <stp>0</stp>
        <stp>IDX</stp>
        <stp>XGS10P</stp>
        <stp>외국인합순매수금액</stp>
        <stp>45539</stp>
        <stp>Fill=true,Per=월</stp>
        <tr r="O159" s="2"/>
      </tp>
      <tp t="s">
        <v/>
        <stp/>
        <stp>P</stp>
        <stp>0</stp>
        <stp>IDX</stp>
        <stp>XGT13P</stp>
        <stp>외국인합순매수금액</stp>
        <stp>45539</stp>
        <stp>Fill=true,Per=월</stp>
        <tr r="O139" s="2"/>
      </tp>
      <tp t="s">
        <v/>
        <stp/>
        <stp>P</stp>
        <stp>0</stp>
        <stp>IDX</stp>
        <stp>XGS13P</stp>
        <stp>외국인합순매수금액</stp>
        <stp>45539</stp>
        <stp>Fill=true,Per=월</stp>
        <tr r="O156" s="2"/>
      </tp>
      <tp t="s">
        <v/>
        <stp/>
        <stp>P</stp>
        <stp>0</stp>
        <stp>IDX</stp>
        <stp>XGT12P</stp>
        <stp>외국인합순매수금액</stp>
        <stp>45539</stp>
        <stp>Fill=true,Per=월</stp>
        <tr r="O140" s="2"/>
      </tp>
      <tp t="s">
        <v/>
        <stp/>
        <stp>P</stp>
        <stp>0</stp>
        <stp>IDX</stp>
        <stp>XGS12P</stp>
        <stp>외국인합순매수금액</stp>
        <stp>45539</stp>
        <stp>Fill=true,Per=월</stp>
        <tr r="O157" s="2"/>
      </tp>
      <tp t="s">
        <v/>
        <stp/>
        <stp>P</stp>
        <stp>0</stp>
        <stp>IDX</stp>
        <stp>XGT15P</stp>
        <stp>외국인합순매수금액</stp>
        <stp>45539</stp>
        <stp>Fill=true,Per=월</stp>
        <tr r="O137" s="2"/>
      </tp>
      <tp t="s">
        <v/>
        <stp/>
        <stp>P</stp>
        <stp>0</stp>
        <stp>IDX</stp>
        <stp>XGS15P</stp>
        <stp>외국인합순매수금액</stp>
        <stp>45539</stp>
        <stp>Fill=true,Per=월</stp>
        <tr r="O154" s="2"/>
      </tp>
      <tp t="s">
        <v/>
        <stp/>
        <stp>P</stp>
        <stp>0</stp>
        <stp>IDX</stp>
        <stp>XGT14P</stp>
        <stp>외국인합순매수금액</stp>
        <stp>45539</stp>
        <stp>Fill=true,Per=월</stp>
        <tr r="O138" s="2"/>
      </tp>
      <tp t="s">
        <v/>
        <stp/>
        <stp>P</stp>
        <stp>0</stp>
        <stp>IDX</stp>
        <stp>XGS14P</stp>
        <stp>외국인합순매수금액</stp>
        <stp>45539</stp>
        <stp>Fill=true,Per=월</stp>
        <tr r="O155" s="2"/>
      </tp>
      <tp t="s">
        <v/>
        <stp/>
        <stp>P</stp>
        <stp>0</stp>
        <stp>IDX</stp>
        <stp>XGS17P</stp>
        <stp>외국인합순매수금액</stp>
        <stp>45539</stp>
        <stp>Fill=true,Per=월</stp>
        <tr r="O152" s="2"/>
      </tp>
      <tp t="s">
        <v/>
        <stp/>
        <stp>P</stp>
        <stp>0</stp>
        <stp>IDX</stp>
        <stp>XGS16P</stp>
        <stp>외국인합순매수금액</stp>
        <stp>45539</stp>
        <stp>Fill=true,Per=월</stp>
        <tr r="O153" s="2"/>
      </tp>
      <tp>
        <v>0</v>
        <stp/>
        <stp>P</stp>
        <stp>0</stp>
        <stp>IDX</stp>
        <stp>XGV01P</stp>
        <stp>저가</stp>
        <stp>45539</stp>
        <stp>Fill=true,Per=월</stp>
        <tr r="L136" s="2"/>
      </tp>
      <tp>
        <v>0</v>
        <stp/>
        <stp>P</stp>
        <stp>0</stp>
        <stp>IDX</stp>
        <stp>XGW01P</stp>
        <stp>저가</stp>
        <stp>45539</stp>
        <stp>Fill=true,Per=월</stp>
        <tr r="L14" s="2"/>
      </tp>
      <tp>
        <v>0</v>
        <stp/>
        <stp>P</stp>
        <stp>0</stp>
        <stp>IDX</stp>
        <stp>XGT01P</stp>
        <stp>저가</stp>
        <stp>45539</stp>
        <stp>Fill=true,Per=월</stp>
        <tr r="L28" s="2"/>
      </tp>
      <tp>
        <v>0</v>
        <stp/>
        <stp>P</stp>
        <stp>0</stp>
        <stp>IDX</stp>
        <stp>XGT11P</stp>
        <stp>저가</stp>
        <stp>45539</stp>
        <stp>Fill=true,Per=월</stp>
        <tr r="L141" s="2"/>
      </tp>
      <tp>
        <v>8200.1299999999992</v>
        <stp/>
        <stp>P</stp>
        <stp>0</stp>
        <stp>IDX</stp>
        <stp>XGX01P</stp>
        <stp>시가</stp>
        <stp>45539</stp>
        <stp>Fill=true,Per=월</stp>
        <tr r="J134" s="2"/>
      </tp>
      <tp>
        <v>0</v>
        <stp/>
        <stp>P</stp>
        <stp>0</stp>
        <stp>IDX</stp>
        <stp>XGS01P</stp>
        <stp>저가</stp>
        <stp>45539</stp>
        <stp>Fill=true,Per=월</stp>
        <tr r="L168" s="2"/>
      </tp>
      <tp>
        <v>0</v>
        <stp/>
        <stp>P</stp>
        <stp>0</stp>
        <stp>IDX</stp>
        <stp>QGS18P</stp>
        <stp>저가</stp>
        <stp>45539</stp>
        <stp>Fill=true,Per=월</stp>
        <tr r="L82" s="2"/>
      </tp>
      <tp>
        <v>0</v>
        <stp/>
        <stp>P</stp>
        <stp>0</stp>
        <stp>IDX</stp>
        <stp>XGS11P</stp>
        <stp>저가</stp>
        <stp>45539</stp>
        <stp>Fill=true,Per=월</stp>
        <tr r="L158" s="2"/>
      </tp>
      <tp>
        <v>1785.95</v>
        <stp/>
        <stp>P</stp>
        <stp>0</stp>
        <stp>IDX</stp>
        <stp>XGT01P</stp>
        <stp>시가</stp>
        <stp>45539</stp>
        <stp>Fill=true,Per=월</stp>
        <tr r="J28" s="2"/>
      </tp>
      <tp>
        <v>2008.09</v>
        <stp/>
        <stp>P</stp>
        <stp>0</stp>
        <stp>IDX</stp>
        <stp>XGT11P</stp>
        <stp>시가</stp>
        <stp>45539</stp>
        <stp>Fill=true,Per=월</stp>
        <tr r="J141" s="2"/>
      </tp>
      <tp>
        <v>1315.04</v>
        <stp/>
        <stp>P</stp>
        <stp>0</stp>
        <stp>IDX</stp>
        <stp>XGV01P</stp>
        <stp>시가</stp>
        <stp>45539</stp>
        <stp>Fill=true,Per=월</stp>
        <tr r="J136" s="2"/>
      </tp>
      <tp>
        <v>1558.5</v>
        <stp/>
        <stp>P</stp>
        <stp>0</stp>
        <stp>IDX</stp>
        <stp>XG901P</stp>
        <stp>고가</stp>
        <stp>45539</stp>
        <stp>Fill=true,Per=월</stp>
        <tr r="K180" s="2"/>
      </tp>
      <tp>
        <v>2021.89</v>
        <stp/>
        <stp>P</stp>
        <stp>0</stp>
        <stp>IDX</stp>
        <stp>XGW01P</stp>
        <stp>시가</stp>
        <stp>45539</stp>
        <stp>Fill=true,Per=월</stp>
        <tr r="J14" s="2"/>
      </tp>
      <tp>
        <v>0</v>
        <stp/>
        <stp>P</stp>
        <stp>0</stp>
        <stp>IDX</stp>
        <stp>XGX01P</stp>
        <stp>저가</stp>
        <stp>45539</stp>
        <stp>Fill=true,Per=월</stp>
        <tr r="L134" s="2"/>
      </tp>
      <tp>
        <v>1992.73</v>
        <stp/>
        <stp>P</stp>
        <stp>0</stp>
        <stp>IDX</stp>
        <stp>XGS01P</stp>
        <stp>시가</stp>
        <stp>45539</stp>
        <stp>Fill=true,Per=월</stp>
        <tr r="J168" s="2"/>
      </tp>
      <tp>
        <v>1907.7</v>
        <stp/>
        <stp>P</stp>
        <stp>0</stp>
        <stp>IDX</stp>
        <stp>QGS18P</stp>
        <stp>시가</stp>
        <stp>45539</stp>
        <stp>Fill=true,Per=월</stp>
        <tr r="J82" s="2"/>
      </tp>
      <tp>
        <v>2090.37</v>
        <stp/>
        <stp>P</stp>
        <stp>0</stp>
        <stp>IDX</stp>
        <stp>XGS11P</stp>
        <stp>시가</stp>
        <stp>45539</stp>
        <stp>Fill=true,Per=월</stp>
        <tr r="J158" s="2"/>
      </tp>
      <tp>
        <v>0</v>
        <stp/>
        <stp>P</stp>
        <stp>0</stp>
        <stp>IDX</stp>
        <stp>XGG01P</stp>
        <stp>저가</stp>
        <stp>45539</stp>
        <stp>Fill=true,Per=월</stp>
        <tr r="L15" s="2"/>
      </tp>
      <tp>
        <v>0</v>
        <stp/>
        <stp>P</stp>
        <stp>0</stp>
        <stp>IDX</stp>
        <stp>XGE01P</stp>
        <stp>저가</stp>
        <stp>45539</stp>
        <stp>Fill=true,Per=월</stp>
        <tr r="L174" s="2"/>
      </tp>
      <tp>
        <v>1727.07</v>
        <stp/>
        <stp>P</stp>
        <stp>0</stp>
        <stp>IDX</stp>
        <stp>XGE01P</stp>
        <stp>시가</stp>
        <stp>45539</stp>
        <stp>Fill=true,Per=월</stp>
        <tr r="J174" s="2"/>
      </tp>
      <tp>
        <v>5663.38</v>
        <stp/>
        <stp>P</stp>
        <stp>0</stp>
        <stp>IDX</stp>
        <stp>XGG01P</stp>
        <stp>시가</stp>
        <stp>45539</stp>
        <stp>Fill=true,Per=월</stp>
        <tr r="J15" s="2"/>
      </tp>
      <tp>
        <v>1995.04</v>
        <stp/>
        <stp>P</stp>
        <stp>0</stp>
        <stp>IDX</stp>
        <stp>XGS01P</stp>
        <stp>고가</stp>
        <stp>45539</stp>
        <stp>Fill=true,Per=월</stp>
        <tr r="K168" s="2"/>
      </tp>
      <tp>
        <v>1919.56</v>
        <stp/>
        <stp>P</stp>
        <stp>0</stp>
        <stp>IDX</stp>
        <stp>QGS18P</stp>
        <stp>고가</stp>
        <stp>45539</stp>
        <stp>Fill=true,Per=월</stp>
        <tr r="K82" s="2"/>
      </tp>
      <tp>
        <v>2205.35</v>
        <stp/>
        <stp>P</stp>
        <stp>0</stp>
        <stp>IDX</stp>
        <stp>XGS11P</stp>
        <stp>고가</stp>
        <stp>45539</stp>
        <stp>Fill=true,Per=월</stp>
        <tr r="K158" s="2"/>
      </tp>
      <tp>
        <v>1319.67</v>
        <stp/>
        <stp>P</stp>
        <stp>0</stp>
        <stp>IDX</stp>
        <stp>XGV01P</stp>
        <stp>고가</stp>
        <stp>45539</stp>
        <stp>Fill=true,Per=월</stp>
        <tr r="K136" s="2"/>
      </tp>
      <tp>
        <v>2034.99</v>
        <stp/>
        <stp>P</stp>
        <stp>0</stp>
        <stp>IDX</stp>
        <stp>XGW01P</stp>
        <stp>고가</stp>
        <stp>45539</stp>
        <stp>Fill=true,Per=월</stp>
        <tr r="K14" s="2"/>
      </tp>
      <tp>
        <v>1549.8</v>
        <stp/>
        <stp>P</stp>
        <stp>0</stp>
        <stp>IDX</stp>
        <stp>XG901P</stp>
        <stp>시가</stp>
        <stp>45539</stp>
        <stp>Fill=true,Per=월</stp>
        <tr r="J180" s="2"/>
      </tp>
      <tp>
        <v>1798.67</v>
        <stp/>
        <stp>P</stp>
        <stp>0</stp>
        <stp>IDX</stp>
        <stp>XGT01P</stp>
        <stp>고가</stp>
        <stp>45539</stp>
        <stp>Fill=true,Per=월</stp>
        <tr r="K28" s="2"/>
      </tp>
      <tp>
        <v>2008.47</v>
        <stp/>
        <stp>P</stp>
        <stp>0</stp>
        <stp>IDX</stp>
        <stp>XGT11P</stp>
        <stp>고가</stp>
        <stp>45539</stp>
        <stp>Fill=true,Per=월</stp>
        <tr r="K141" s="2"/>
      </tp>
      <tp>
        <v>8427.2999999999993</v>
        <stp/>
        <stp>P</stp>
        <stp>0</stp>
        <stp>IDX</stp>
        <stp>XGX01P</stp>
        <stp>고가</stp>
        <stp>45539</stp>
        <stp>Fill=true,Per=월</stp>
        <tr r="K134" s="2"/>
      </tp>
      <tp>
        <v>0</v>
        <stp/>
        <stp>P</stp>
        <stp>0</stp>
        <stp>IDX</stp>
        <stp>XG901P</stp>
        <stp>저가</stp>
        <stp>45539</stp>
        <stp>Fill=true,Per=월</stp>
        <tr r="L180" s="2"/>
      </tp>
      <tp>
        <v>5694.64</v>
        <stp/>
        <stp>P</stp>
        <stp>0</stp>
        <stp>IDX</stp>
        <stp>XGG01P</stp>
        <stp>고가</stp>
        <stp>45539</stp>
        <stp>Fill=true,Per=월</stp>
        <tr r="K15" s="2"/>
      </tp>
      <tp>
        <v>1737.32</v>
        <stp/>
        <stp>P</stp>
        <stp>0</stp>
        <stp>IDX</stp>
        <stp>XGE01P</stp>
        <stp>고가</stp>
        <stp>45539</stp>
        <stp>Fill=true,Per=월</stp>
        <tr r="K174" s="2"/>
      </tp>
      <tp>
        <v>902.86</v>
        <stp/>
        <stp>P</stp>
        <stp>0</stp>
        <stp>IDX</stp>
        <stp>X3X01P</stp>
        <stp>시가</stp>
        <stp>45539</stp>
        <stp>Fill=true,Per=월</stp>
        <tr r="J181" s="2"/>
      </tp>
      <tp>
        <v>0</v>
        <stp/>
        <stp>P</stp>
        <stp>0</stp>
        <stp>IDX</stp>
        <stp>X3S01P</stp>
        <stp>저가</stp>
        <stp>45539</stp>
        <stp>Fill=true,Per=월</stp>
        <tr r="L189" s="2"/>
      </tp>
      <tp>
        <v>0</v>
        <stp/>
        <stp>P</stp>
        <stp>0</stp>
        <stp>IDX</stp>
        <stp>X3X01P</stp>
        <stp>저가</stp>
        <stp>45539</stp>
        <stp>Fill=true,Per=월</stp>
        <tr r="L181" s="2"/>
      </tp>
      <tp>
        <v>746.79</v>
        <stp/>
        <stp>P</stp>
        <stp>0</stp>
        <stp>IDX</stp>
        <stp>X3S01P</stp>
        <stp>시가</stp>
        <stp>45539</stp>
        <stp>Fill=true,Per=월</stp>
        <tr r="J189" s="2"/>
      </tp>
      <tp>
        <v>0</v>
        <stp/>
        <stp>P</stp>
        <stp>0</stp>
        <stp>IDX</stp>
        <stp>X3G01P</stp>
        <stp>저가</stp>
        <stp>45539</stp>
        <stp>Fill=true,Per=월</stp>
        <tr r="L10" s="2"/>
      </tp>
      <tp>
        <v>0</v>
        <stp/>
        <stp>P</stp>
        <stp>0</stp>
        <stp>IDX</stp>
        <stp>X3E01P</stp>
        <stp>저가</stp>
        <stp>45539</stp>
        <stp>Fill=true,Per=월</stp>
        <tr r="L191" s="2"/>
      </tp>
      <tp>
        <v>1640.15</v>
        <stp/>
        <stp>P</stp>
        <stp>0</stp>
        <stp>IDX</stp>
        <stp>X3E01P</stp>
        <stp>시가</stp>
        <stp>45539</stp>
        <stp>Fill=true,Per=월</stp>
        <tr r="J191" s="2"/>
      </tp>
      <tp>
        <v>1677.6</v>
        <stp/>
        <stp>P</stp>
        <stp>0</stp>
        <stp>IDX</stp>
        <stp>X3G01P</stp>
        <stp>시가</stp>
        <stp>45539</stp>
        <stp>Fill=true,Per=월</stp>
        <tr r="J10" s="2"/>
      </tp>
      <tp>
        <v>754.8</v>
        <stp/>
        <stp>P</stp>
        <stp>0</stp>
        <stp>IDX</stp>
        <stp>X3S01P</stp>
        <stp>고가</stp>
        <stp>45539</stp>
        <stp>Fill=true,Per=월</stp>
        <tr r="K189" s="2"/>
      </tp>
      <tp>
        <v>910.08</v>
        <stp/>
        <stp>P</stp>
        <stp>0</stp>
        <stp>IDX</stp>
        <stp>X3X01P</stp>
        <stp>고가</stp>
        <stp>45539</stp>
        <stp>Fill=true,Per=월</stp>
        <tr r="K181" s="2"/>
      </tp>
      <tp>
        <v>1684.41</v>
        <stp/>
        <stp>P</stp>
        <stp>0</stp>
        <stp>IDX</stp>
        <stp>X3G01P</stp>
        <stp>고가</stp>
        <stp>45539</stp>
        <stp>Fill=true,Per=월</stp>
        <tr r="K10" s="2"/>
      </tp>
      <tp>
        <v>1652.29</v>
        <stp/>
        <stp>P</stp>
        <stp>0</stp>
        <stp>IDX</stp>
        <stp>X3E01P</stp>
        <stp>고가</stp>
        <stp>45539</stp>
        <stp>Fill=true,Per=월</stp>
        <tr r="K191" s="2"/>
      </tp>
      <tp>
        <v>0</v>
        <stp/>
        <stp>P</stp>
        <stp>0</stp>
        <stp>IDX</stp>
        <stp>Q5S08P</stp>
        <stp>저가</stp>
        <stp>45539</stp>
        <stp>Fill=true,Per=월</stp>
        <tr r="L196" s="2"/>
      </tp>
      <tp>
        <v>554.42999999999995</v>
        <stp/>
        <stp>P</stp>
        <stp>0</stp>
        <stp>IDX</stp>
        <stp>Q5S08P</stp>
        <stp>시가</stp>
        <stp>45539</stp>
        <stp>Fill=true,Per=월</stp>
        <tr r="J196" s="2"/>
      </tp>
      <tp>
        <v>570.89</v>
        <stp/>
        <stp>P</stp>
        <stp>0</stp>
        <stp>IDX</stp>
        <stp>Q5S08P</stp>
        <stp>고가</stp>
        <stp>45539</stp>
        <stp>Fill=true,Per=월</stp>
        <tr r="K196" s="2"/>
      </tp>
      <tp>
        <v>0</v>
        <stp/>
        <stp>P</stp>
        <stp>0</stp>
        <stp>IDX</stp>
        <stp>X3G01T</stp>
        <stp>저가</stp>
        <stp>45539</stp>
        <stp>Fill=true,Per=월</stp>
        <tr r="L190" s="2"/>
      </tp>
      <tp>
        <v>2125.21</v>
        <stp/>
        <stp>P</stp>
        <stp>0</stp>
        <stp>IDX</stp>
        <stp>X3G01T</stp>
        <stp>시가</stp>
        <stp>45539</stp>
        <stp>Fill=true,Per=월</stp>
        <tr r="J190" s="2"/>
      </tp>
      <tp>
        <v>2133.69</v>
        <stp/>
        <stp>P</stp>
        <stp>0</stp>
        <stp>IDX</stp>
        <stp>X3G01T</stp>
        <stp>고가</stp>
        <stp>45539</stp>
        <stp>Fill=true,Per=월</stp>
        <tr r="K190" s="2"/>
      </tp>
      <tp t="s">
        <v/>
        <stp/>
        <stp>P</stp>
        <stp>0</stp>
        <stp>IDX</stp>
        <stp>F2X27P</stp>
        <stp>외국인합순매수금액</stp>
        <stp>45539</stp>
        <stp>Fill=true,Per=월</stp>
        <tr r="O251" s="2"/>
      </tp>
      <tp t="s">
        <v/>
        <stp/>
        <stp>P</stp>
        <stp>0</stp>
        <stp>IDX</stp>
        <stp>F2X26P</stp>
        <stp>외국인합순매수금액</stp>
        <stp>45539</stp>
        <stp>Fill=true,Per=월</stp>
        <tr r="O250" s="2"/>
      </tp>
      <tp t="s">
        <v/>
        <stp/>
        <stp>P</stp>
        <stp>0</stp>
        <stp>IDX</stp>
        <stp>F2X25P</stp>
        <stp>외국인합순매수금액</stp>
        <stp>45539</stp>
        <stp>Fill=true,Per=월</stp>
        <tr r="O249" s="2"/>
      </tp>
      <tp t="s">
        <v/>
        <stp/>
        <stp>P</stp>
        <stp>0</stp>
        <stp>IDX</stp>
        <stp>F2X24P</stp>
        <stp>외국인합순매수금액</stp>
        <stp>45539</stp>
        <stp>Fill=true,Per=월</stp>
        <tr r="O248" s="2"/>
      </tp>
      <tp t="s">
        <v/>
        <stp/>
        <stp>P</stp>
        <stp>0</stp>
        <stp>IDX</stp>
        <stp>F2X23P</stp>
        <stp>외국인합순매수금액</stp>
        <stp>45539</stp>
        <stp>Fill=true,Per=월</stp>
        <tr r="O247" s="2"/>
      </tp>
      <tp t="s">
        <v/>
        <stp/>
        <stp>P</stp>
        <stp>0</stp>
        <stp>IDX</stp>
        <stp>F2X22P</stp>
        <stp>외국인합순매수금액</stp>
        <stp>45539</stp>
        <stp>Fill=true,Per=월</stp>
        <tr r="O246" s="2"/>
      </tp>
      <tp t="s">
        <v/>
        <stp/>
        <stp>P</stp>
        <stp>0</stp>
        <stp>IDX</stp>
        <stp>F2X21P</stp>
        <stp>외국인합순매수금액</stp>
        <stp>45539</stp>
        <stp>Fill=true,Per=월</stp>
        <tr r="O245" s="2"/>
      </tp>
      <tp t="s">
        <v/>
        <stp/>
        <stp>P</stp>
        <stp>0</stp>
        <stp>IDX</stp>
        <stp>F2X20P</stp>
        <stp>외국인합순매수금액</stp>
        <stp>45539</stp>
        <stp>Fill=true,Per=월</stp>
        <tr r="O244" s="2"/>
      </tp>
      <tp>
        <v>7164</v>
        <stp/>
        <stp>P</stp>
        <stp>0</stp>
        <stp>IDX</stp>
        <stp>KGS22P</stp>
        <stp>외국인합순매수금액</stp>
        <stp>45539</stp>
        <stp>Fill=true,Per=월</stp>
        <tr r="O44" s="2"/>
      </tp>
      <tp>
        <v>-1945</v>
        <stp/>
        <stp>P</stp>
        <stp>0</stp>
        <stp>IDX</stp>
        <stp>KGS20P</stp>
        <stp>외국인합순매수금액</stp>
        <stp>45539</stp>
        <stp>Fill=true,Per=월</stp>
        <tr r="O81" s="2"/>
      </tp>
      <tp>
        <v>19934</v>
        <stp/>
        <stp>P</stp>
        <stp>0</stp>
        <stp>IDX</stp>
        <stp>KGS21P</stp>
        <stp>외국인합순매수금액</stp>
        <stp>45539</stp>
        <stp>Fill=true,Per=월</stp>
        <tr r="O78" s="2"/>
      </tp>
      <tp t="s">
        <v/>
        <stp/>
        <stp>P</stp>
        <stp>0</stp>
        <stp>IDX</stp>
        <stp>F2X29P</stp>
        <stp>외국인합순매수금액</stp>
        <stp>45539</stp>
        <stp>Fill=true,Per=월</stp>
        <tr r="O253" s="2"/>
      </tp>
      <tp t="s">
        <v/>
        <stp/>
        <stp>P</stp>
        <stp>0</stp>
        <stp>IDX</stp>
        <stp>F2X28P</stp>
        <stp>외국인합순매수금액</stp>
        <stp>45539</stp>
        <stp>Fill=true,Per=월</stp>
        <tr r="O252" s="2"/>
      </tp>
      <tp>
        <v>-217</v>
        <stp/>
        <stp>P</stp>
        <stp>0</stp>
        <stp>IDX</stp>
        <stp>QGS20P</stp>
        <stp>외국인합순매수금액</stp>
        <stp>45539</stp>
        <stp>Fill=true,Per=월</stp>
        <tr r="O97" s="2"/>
      </tp>
      <tp>
        <v>0</v>
        <stp/>
        <stp>P</stp>
        <stp>0</stp>
        <stp>IDX</stp>
        <stp>XGV02P</stp>
        <stp>저가</stp>
        <stp>45539</stp>
        <stp>Fill=true,Per=월</stp>
        <tr r="L135" s="2"/>
      </tp>
      <tp>
        <v>0</v>
        <stp/>
        <stp>P</stp>
        <stp>0</stp>
        <stp>IDX</stp>
        <stp>XGT02P</stp>
        <stp>저가</stp>
        <stp>45539</stp>
        <stp>Fill=true,Per=월</stp>
        <tr r="L40" s="2"/>
      </tp>
      <tp>
        <v>0</v>
        <stp/>
        <stp>P</stp>
        <stp>0</stp>
        <stp>IDX</stp>
        <stp>XGT12P</stp>
        <stp>저가</stp>
        <stp>45539</stp>
        <stp>Fill=true,Per=월</stp>
        <tr r="L140" s="2"/>
      </tp>
      <tp>
        <v>1001.37</v>
        <stp/>
        <stp>P</stp>
        <stp>0</stp>
        <stp>IDX</stp>
        <stp>XGX02P</stp>
        <stp>시가</stp>
        <stp>45539</stp>
        <stp>Fill=true,Per=월</stp>
        <tr r="J133" s="2"/>
      </tp>
      <tp>
        <v>0</v>
        <stp/>
        <stp>P</stp>
        <stp>0</stp>
        <stp>IDX</stp>
        <stp>XGS02P</stp>
        <stp>저가</stp>
        <stp>45539</stp>
        <stp>Fill=true,Per=월</stp>
        <tr r="L167" s="2"/>
      </tp>
      <tp>
        <v>0</v>
        <stp/>
        <stp>P</stp>
        <stp>0</stp>
        <stp>IDX</stp>
        <stp>XGS12P</stp>
        <stp>저가</stp>
        <stp>45539</stp>
        <stp>Fill=true,Per=월</stp>
        <tr r="L157" s="2"/>
      </tp>
      <tp>
        <v>3939.89</v>
        <stp/>
        <stp>P</stp>
        <stp>0</stp>
        <stp>IDX</stp>
        <stp>XGT02P</stp>
        <stp>시가</stp>
        <stp>45539</stp>
        <stp>Fill=true,Per=월</stp>
        <tr r="J40" s="2"/>
      </tp>
      <tp>
        <v>1552.23</v>
        <stp/>
        <stp>P</stp>
        <stp>0</stp>
        <stp>IDX</stp>
        <stp>XGT12P</stp>
        <stp>시가</stp>
        <stp>45539</stp>
        <stp>Fill=true,Per=월</stp>
        <tr r="J140" s="2"/>
      </tp>
      <tp>
        <v>986.8</v>
        <stp/>
        <stp>P</stp>
        <stp>0</stp>
        <stp>IDX</stp>
        <stp>XGV02P</stp>
        <stp>시가</stp>
        <stp>45539</stp>
        <stp>Fill=true,Per=월</stp>
        <tr r="J135" s="2"/>
      </tp>
      <tp>
        <v>1611.43</v>
        <stp/>
        <stp>P</stp>
        <stp>0</stp>
        <stp>IDX</stp>
        <stp>XG902P</stp>
        <stp>고가</stp>
        <stp>45539</stp>
        <stp>Fill=true,Per=월</stp>
        <tr r="K179" s="2"/>
      </tp>
      <tp>
        <v>0</v>
        <stp/>
        <stp>P</stp>
        <stp>0</stp>
        <stp>IDX</stp>
        <stp>XGX02P</stp>
        <stp>저가</stp>
        <stp>45539</stp>
        <stp>Fill=true,Per=월</stp>
        <tr r="L133" s="2"/>
      </tp>
      <tp>
        <v>3609.21</v>
        <stp/>
        <stp>P</stp>
        <stp>0</stp>
        <stp>IDX</stp>
        <stp>XGS02P</stp>
        <stp>시가</stp>
        <stp>45539</stp>
        <stp>Fill=true,Per=월</stp>
        <tr r="J167" s="2"/>
      </tp>
      <tp>
        <v>974.47</v>
        <stp/>
        <stp>P</stp>
        <stp>0</stp>
        <stp>IDX</stp>
        <stp>XGS12P</stp>
        <stp>시가</stp>
        <stp>45539</stp>
        <stp>Fill=true,Per=월</stp>
        <tr r="J157" s="2"/>
      </tp>
      <tp>
        <v>0</v>
        <stp/>
        <stp>P</stp>
        <stp>0</stp>
        <stp>IDX</stp>
        <stp>XGG02P</stp>
        <stp>저가</stp>
        <stp>45539</stp>
        <stp>Fill=true,Per=월</stp>
        <tr r="L129" s="2"/>
      </tp>
      <tp>
        <v>0</v>
        <stp/>
        <stp>P</stp>
        <stp>0</stp>
        <stp>IDX</stp>
        <stp>XGD02P</stp>
        <stp>저가</stp>
        <stp>45539</stp>
        <stp>Fill=true,Per=월</stp>
        <tr r="L175" s="2"/>
      </tp>
      <tp>
        <v>0</v>
        <stp/>
        <stp>P</stp>
        <stp>0</stp>
        <stp>IDX</stp>
        <stp>XGE02P</stp>
        <stp>저가</stp>
        <stp>45539</stp>
        <stp>Fill=true,Per=월</stp>
        <tr r="L173" s="2"/>
      </tp>
      <tp>
        <v>1467.32</v>
        <stp/>
        <stp>P</stp>
        <stp>0</stp>
        <stp>IDX</stp>
        <stp>XGD02P</stp>
        <stp>시가</stp>
        <stp>45539</stp>
        <stp>Fill=true,Per=월</stp>
        <tr r="J175" s="2"/>
      </tp>
      <tp>
        <v>2082.34</v>
        <stp/>
        <stp>P</stp>
        <stp>0</stp>
        <stp>IDX</stp>
        <stp>XGE02P</stp>
        <stp>시가</stp>
        <stp>45539</stp>
        <stp>Fill=true,Per=월</stp>
        <tr r="J173" s="2"/>
      </tp>
      <tp>
        <v>8850.86</v>
        <stp/>
        <stp>P</stp>
        <stp>0</stp>
        <stp>IDX</stp>
        <stp>XGG02P</stp>
        <stp>시가</stp>
        <stp>45539</stp>
        <stp>Fill=true,Per=월</stp>
        <tr r="J129" s="2"/>
      </tp>
      <tp>
        <v>3609.21</v>
        <stp/>
        <stp>P</stp>
        <stp>0</stp>
        <stp>IDX</stp>
        <stp>XGS02P</stp>
        <stp>고가</stp>
        <stp>45539</stp>
        <stp>Fill=true,Per=월</stp>
        <tr r="K167" s="2"/>
      </tp>
      <tp>
        <v>978.01</v>
        <stp/>
        <stp>P</stp>
        <stp>0</stp>
        <stp>IDX</stp>
        <stp>XGS12P</stp>
        <stp>고가</stp>
        <stp>45539</stp>
        <stp>Fill=true,Per=월</stp>
        <tr r="K157" s="2"/>
      </tp>
      <tp>
        <v>990.2</v>
        <stp/>
        <stp>P</stp>
        <stp>0</stp>
        <stp>IDX</stp>
        <stp>XGV02P</stp>
        <stp>고가</stp>
        <stp>45539</stp>
        <stp>Fill=true,Per=월</stp>
        <tr r="K135" s="2"/>
      </tp>
      <tp>
        <v>1603.67</v>
        <stp/>
        <stp>P</stp>
        <stp>0</stp>
        <stp>IDX</stp>
        <stp>XG902P</stp>
        <stp>시가</stp>
        <stp>45539</stp>
        <stp>Fill=true,Per=월</stp>
        <tr r="J179" s="2"/>
      </tp>
      <tp>
        <v>4159.2</v>
        <stp/>
        <stp>P</stp>
        <stp>0</stp>
        <stp>IDX</stp>
        <stp>XGT02P</stp>
        <stp>고가</stp>
        <stp>45539</stp>
        <stp>Fill=true,Per=월</stp>
        <tr r="K40" s="2"/>
      </tp>
      <tp>
        <v>1580.13</v>
        <stp/>
        <stp>P</stp>
        <stp>0</stp>
        <stp>IDX</stp>
        <stp>XGT12P</stp>
        <stp>고가</stp>
        <stp>45539</stp>
        <stp>Fill=true,Per=월</stp>
        <tr r="K140" s="2"/>
      </tp>
      <tp>
        <v>1012.52</v>
        <stp/>
        <stp>P</stp>
        <stp>0</stp>
        <stp>IDX</stp>
        <stp>XGX02P</stp>
        <stp>고가</stp>
        <stp>45539</stp>
        <stp>Fill=true,Per=월</stp>
        <tr r="K133" s="2"/>
      </tp>
      <tp>
        <v>0</v>
        <stp/>
        <stp>P</stp>
        <stp>0</stp>
        <stp>IDX</stp>
        <stp>XG902P</stp>
        <stp>저가</stp>
        <stp>45539</stp>
        <stp>Fill=true,Per=월</stp>
        <tr r="L179" s="2"/>
      </tp>
      <tp>
        <v>8973.7900000000009</v>
        <stp/>
        <stp>P</stp>
        <stp>0</stp>
        <stp>IDX</stp>
        <stp>XGG02P</stp>
        <stp>고가</stp>
        <stp>45539</stp>
        <stp>Fill=true,Per=월</stp>
        <tr r="K129" s="2"/>
      </tp>
      <tp>
        <v>1467.32</v>
        <stp/>
        <stp>P</stp>
        <stp>0</stp>
        <stp>IDX</stp>
        <stp>XGD02P</stp>
        <stp>고가</stp>
        <stp>45539</stp>
        <stp>Fill=true,Per=월</stp>
        <tr r="K175" s="2"/>
      </tp>
      <tp>
        <v>2093.44</v>
        <stp/>
        <stp>P</stp>
        <stp>0</stp>
        <stp>IDX</stp>
        <stp>XGE02P</stp>
        <stp>고가</stp>
        <stp>45539</stp>
        <stp>Fill=true,Per=월</stp>
        <tr r="K173" s="2"/>
      </tp>
      <tp>
        <v>0</v>
        <stp/>
        <stp>P</stp>
        <stp>0</stp>
        <stp>IDX</stp>
        <stp>X3S02P</stp>
        <stp>저가</stp>
        <stp>45539</stp>
        <stp>Fill=true,Per=월</stp>
        <tr r="L188" s="2"/>
      </tp>
      <tp>
        <v>1524.85</v>
        <stp/>
        <stp>P</stp>
        <stp>0</stp>
        <stp>IDX</stp>
        <stp>X3S02P</stp>
        <stp>시가</stp>
        <stp>45539</stp>
        <stp>Fill=true,Per=월</stp>
        <tr r="J188" s="2"/>
      </tp>
      <tp>
        <v>1527.03</v>
        <stp/>
        <stp>P</stp>
        <stp>0</stp>
        <stp>IDX</stp>
        <stp>X3S02P</stp>
        <stp>고가</stp>
        <stp>45539</stp>
        <stp>Fill=true,Per=월</stp>
        <tr r="K188" s="2"/>
      </tp>
      <tp>
        <v>820.22</v>
        <stp/>
        <stp>P</stp>
        <stp>0</stp>
        <stp>IDX</stp>
        <stp>XG904P</stp>
        <stp>현재가</stp>
        <stp>45539</stp>
        <stp>Fill=true,Per=월</stp>
        <tr r="E177" s="2"/>
      </tp>
      <tp>
        <v>1448.85</v>
        <stp/>
        <stp>P</stp>
        <stp>0</stp>
        <stp>IDX</stp>
        <stp>XG903P</stp>
        <stp>현재가</stp>
        <stp>45539</stp>
        <stp>Fill=true,Per=월</stp>
        <tr r="E178" s="2"/>
      </tp>
      <tp>
        <v>1585.91</v>
        <stp/>
        <stp>P</stp>
        <stp>0</stp>
        <stp>IDX</stp>
        <stp>XG902P</stp>
        <stp>현재가</stp>
        <stp>45539</stp>
        <stp>Fill=true,Per=월</stp>
        <tr r="E179" s="2"/>
      </tp>
      <tp>
        <v>1531.62</v>
        <stp/>
        <stp>P</stp>
        <stp>0</stp>
        <stp>IDX</stp>
        <stp>XG901P</stp>
        <stp>현재가</stp>
        <stp>45539</stp>
        <stp>Fill=true,Per=월</stp>
        <tr r="E180" s="2"/>
      </tp>
      <tp>
        <v>589.11</v>
        <stp/>
        <stp>P</stp>
        <stp>0</stp>
        <stp>IDX</stp>
        <stp>FG901P</stp>
        <stp>현재가</stp>
        <stp>45539</stp>
        <stp>Fill=true,Per=월</stp>
        <tr r="E286" s="2"/>
      </tp>
      <tp>
        <v>1391.17</v>
        <stp/>
        <stp>P</stp>
        <stp>0</stp>
        <stp>IDX</stp>
        <stp>OG909P</stp>
        <stp>현재가</stp>
        <stp>45539</stp>
        <stp>Fill=true,Per=월</stp>
        <tr r="E208" s="2"/>
      </tp>
      <tp>
        <v>906.72</v>
        <stp/>
        <stp>P</stp>
        <stp>0</stp>
        <stp>IDX</stp>
        <stp>OG912P</stp>
        <stp>현재가</stp>
        <stp>45539</stp>
        <stp>Fill=true,Per=월</stp>
        <tr r="E207" s="2"/>
      </tp>
      <tp>
        <v>215.33</v>
        <stp/>
        <stp>P</stp>
        <stp>0</stp>
        <stp>IDX</stp>
        <stp>OG913P</stp>
        <stp>현재가</stp>
        <stp>45539</stp>
        <stp>Fill=true,Per=월</stp>
        <tr r="E206" s="2"/>
      </tp>
      <tp>
        <v>1772.45</v>
        <stp/>
        <stp>P</stp>
        <stp>0</stp>
        <stp>IDX</stp>
        <stp>OG914P</stp>
        <stp>현재가</stp>
        <stp>45539</stp>
        <stp>Fill=true,Per=월</stp>
        <tr r="E205" s="2"/>
      </tp>
      <tp t="s">
        <v/>
        <stp/>
        <stp>P</stp>
        <stp>0</stp>
        <stp>IDX</stp>
        <stp>F2X37P</stp>
        <stp>외국인합순매수금액</stp>
        <stp>45539</stp>
        <stp>Fill=true,Per=월</stp>
        <tr r="O261" s="2"/>
      </tp>
      <tp t="s">
        <v/>
        <stp/>
        <stp>P</stp>
        <stp>0</stp>
        <stp>IDX</stp>
        <stp>F2X36P</stp>
        <stp>외국인합순매수금액</stp>
        <stp>45539</stp>
        <stp>Fill=true,Per=월</stp>
        <tr r="O260" s="2"/>
      </tp>
      <tp t="s">
        <v/>
        <stp/>
        <stp>P</stp>
        <stp>0</stp>
        <stp>IDX</stp>
        <stp>F2X35P</stp>
        <stp>외국인합순매수금액</stp>
        <stp>45539</stp>
        <stp>Fill=true,Per=월</stp>
        <tr r="O259" s="2"/>
      </tp>
      <tp t="s">
        <v/>
        <stp/>
        <stp>P</stp>
        <stp>0</stp>
        <stp>IDX</stp>
        <stp>F2X34P</stp>
        <stp>외국인합순매수금액</stp>
        <stp>45539</stp>
        <stp>Fill=true,Per=월</stp>
        <tr r="O258" s="2"/>
      </tp>
      <tp t="s">
        <v/>
        <stp/>
        <stp>P</stp>
        <stp>0</stp>
        <stp>IDX</stp>
        <stp>F2X33P</stp>
        <stp>외국인합순매수금액</stp>
        <stp>45539</stp>
        <stp>Fill=true,Per=월</stp>
        <tr r="O257" s="2"/>
      </tp>
      <tp t="s">
        <v/>
        <stp/>
        <stp>P</stp>
        <stp>0</stp>
        <stp>IDX</stp>
        <stp>F2X32P</stp>
        <stp>외국인합순매수금액</stp>
        <stp>45539</stp>
        <stp>Fill=true,Per=월</stp>
        <tr r="O256" s="2"/>
      </tp>
      <tp t="s">
        <v/>
        <stp/>
        <stp>P</stp>
        <stp>0</stp>
        <stp>IDX</stp>
        <stp>F2X31P</stp>
        <stp>외국인합순매수금액</stp>
        <stp>45539</stp>
        <stp>Fill=true,Per=월</stp>
        <tr r="O255" s="2"/>
      </tp>
      <tp t="s">
        <v/>
        <stp/>
        <stp>P</stp>
        <stp>0</stp>
        <stp>IDX</stp>
        <stp>F2X30P</stp>
        <stp>외국인합순매수금액</stp>
        <stp>45539</stp>
        <stp>Fill=true,Per=월</stp>
        <tr r="O254" s="2"/>
      </tp>
      <tp t="s">
        <v/>
        <stp/>
        <stp>P</stp>
        <stp>0</stp>
        <stp>IDX</stp>
        <stp>F2X39P</stp>
        <stp>외국인합순매수금액</stp>
        <stp>45539</stp>
        <stp>Fill=true,Per=월</stp>
        <tr r="O263" s="2"/>
      </tp>
      <tp t="s">
        <v/>
        <stp/>
        <stp>P</stp>
        <stp>0</stp>
        <stp>IDX</stp>
        <stp>F2X38P</stp>
        <stp>외국인합순매수금액</stp>
        <stp>45539</stp>
        <stp>Fill=true,Per=월</stp>
        <tr r="O262" s="2"/>
      </tp>
      <tp>
        <v>-80</v>
        <stp/>
        <stp>P</stp>
        <stp>0</stp>
        <stp>IDX</stp>
        <stp>QGS31P</stp>
        <stp>외국인합순매수금액</stp>
        <stp>45539</stp>
        <stp>Fill=true,Per=월</stp>
        <tr r="O98" s="2"/>
      </tp>
      <tp>
        <v>-91242</v>
        <stp/>
        <stp>P</stp>
        <stp>0</stp>
        <stp>IDX</stp>
        <stp>QGS33P</stp>
        <stp>외국인합순매수금액</stp>
        <stp>45539</stp>
        <stp>Fill=true,Per=월</stp>
        <tr r="O65" s="2"/>
      </tp>
      <tp>
        <v>-5137</v>
        <stp/>
        <stp>P</stp>
        <stp>0</stp>
        <stp>IDX</stp>
        <stp>QGS34P</stp>
        <stp>외국인합순매수금액</stp>
        <stp>45539</stp>
        <stp>Fill=true,Per=월</stp>
        <tr r="O85" s="2"/>
      </tp>
      <tp>
        <v>6600.05</v>
        <stp/>
        <stp>P</stp>
        <stp>0</stp>
        <stp>IDX</stp>
        <stp>XGB05P</stp>
        <stp>현재가</stp>
        <stp>45539</stp>
        <stp>Fill=true,Per=월</stp>
        <tr r="E176" s="2"/>
      </tp>
      <tp>
        <v>1479.03</v>
        <stp/>
        <stp>P</stp>
        <stp>0</stp>
        <stp>IDX</stp>
        <stp>MGA08P</stp>
        <stp>현재가</stp>
        <stp>45539</stp>
        <stp>Fill=true,Per=월</stp>
        <tr r="E126" s="2"/>
      </tp>
      <tp>
        <v>2036.9</v>
        <stp/>
        <stp>P</stp>
        <stp>0</stp>
        <stp>IDX</stp>
        <stp>MGA09P</stp>
        <stp>현재가</stp>
        <stp>45539</stp>
        <stp>Fill=true,Per=월</stp>
        <tr r="E127" s="2"/>
      </tp>
      <tp>
        <v>1312.23</v>
        <stp/>
        <stp>P</stp>
        <stp>0</stp>
        <stp>IDX</stp>
        <stp>FGA05P</stp>
        <stp>현재가</stp>
        <stp>45539</stp>
        <stp>Fill=true,Per=월</stp>
        <tr r="E289" s="2"/>
      </tp>
      <tp>
        <v>1948.96</v>
        <stp/>
        <stp>P</stp>
        <stp>0</stp>
        <stp>IDX</stp>
        <stp>FGA07P</stp>
        <stp>현재가</stp>
        <stp>45539</stp>
        <stp>Fill=true,Per=월</stp>
        <tr r="E291" s="2"/>
      </tp>
      <tp>
        <v>1454.11</v>
        <stp/>
        <stp>P</stp>
        <stp>0</stp>
        <stp>IDX</stp>
        <stp>FGA06P</stp>
        <stp>현재가</stp>
        <stp>45539</stp>
        <stp>Fill=true,Per=월</stp>
        <tr r="E290" s="2"/>
      </tp>
      <tp>
        <v>4874.7700000000004</v>
        <stp/>
        <stp>P</stp>
        <stp>0</stp>
        <stp>IDX</stp>
        <stp>MGA02P</stp>
        <stp>현재가</stp>
        <stp>45539</stp>
        <stp>Fill=true,Per=월</stp>
        <tr r="E112" s="2"/>
      </tp>
      <tp>
        <v>1659.28</v>
        <stp/>
        <stp>P</stp>
        <stp>0</stp>
        <stp>IDX</stp>
        <stp>MGA03P</stp>
        <stp>현재가</stp>
        <stp>45539</stp>
        <stp>Fill=true,Per=월</stp>
        <tr r="E120" s="2"/>
      </tp>
      <tp>
        <v>5671.84</v>
        <stp/>
        <stp>P</stp>
        <stp>0</stp>
        <stp>IDX</stp>
        <stp>MGA01P</stp>
        <stp>현재가</stp>
        <stp>45539</stp>
        <stp>Fill=true,Per=월</stp>
        <tr r="E111" s="2"/>
      </tp>
      <tp>
        <v>1933.43</v>
        <stp/>
        <stp>P</stp>
        <stp>0</stp>
        <stp>IDX</stp>
        <stp>MGA06P</stp>
        <stp>현재가</stp>
        <stp>45539</stp>
        <stp>Fill=true,Per=월</stp>
        <tr r="E124" s="2"/>
      </tp>
      <tp>
        <v>3180.32</v>
        <stp/>
        <stp>P</stp>
        <stp>0</stp>
        <stp>IDX</stp>
        <stp>KGA01P</stp>
        <stp>현재가</stp>
        <stp>45539</stp>
        <stp>Fill=true,Per=월</stp>
        <tr r="E383" s="2"/>
      </tp>
      <tp>
        <v>1443</v>
        <stp/>
        <stp>P</stp>
        <stp>0</stp>
        <stp>IDX</stp>
        <stp>MGA07P</stp>
        <stp>현재가</stp>
        <stp>45539</stp>
        <stp>Fill=true,Per=월</stp>
        <tr r="E125" s="2"/>
      </tp>
      <tp>
        <v>1627.12</v>
        <stp/>
        <stp>P</stp>
        <stp>0</stp>
        <stp>IDX</stp>
        <stp>MGA04P</stp>
        <stp>현재가</stp>
        <stp>45539</stp>
        <stp>Fill=true,Per=월</stp>
        <tr r="E122" s="2"/>
      </tp>
      <tp>
        <v>1419.46</v>
        <stp/>
        <stp>P</stp>
        <stp>0</stp>
        <stp>IDX</stp>
        <stp>MGA05P</stp>
        <stp>현재가</stp>
        <stp>45539</stp>
        <stp>Fill=true,Per=월</stp>
        <tr r="E123" s="2"/>
      </tp>
      <tp>
        <v>3030.39</v>
        <stp/>
        <stp>P</stp>
        <stp>0</stp>
        <stp>IDX</stp>
        <stp>MGA12P</stp>
        <stp>현재가</stp>
        <stp>45539</stp>
        <stp>Fill=true,Per=월</stp>
        <tr r="E104" s="2"/>
      </tp>
      <tp>
        <v>1138.6099999999999</v>
        <stp/>
        <stp>P</stp>
        <stp>0</stp>
        <stp>IDX</stp>
        <stp>MGA10P</stp>
        <stp>현재가</stp>
        <stp>45539</stp>
        <stp>Fill=true,Per=월</stp>
        <tr r="E121" s="2"/>
      </tp>
      <tp>
        <v>660.32</v>
        <stp/>
        <stp>P</stp>
        <stp>0</stp>
        <stp>IDX</stp>
        <stp>MGA11P</stp>
        <stp>현재가</stp>
        <stp>45539</stp>
        <stp>Fill=true,Per=월</stp>
        <tr r="E107" s="2"/>
      </tp>
      <tp>
        <v>1643.59</v>
        <stp/>
        <stp>P</stp>
        <stp>0</stp>
        <stp>IDX</stp>
        <stp>MGA14P</stp>
        <stp>현재가</stp>
        <stp>45539</stp>
        <stp>Fill=true,Per=월</stp>
        <tr r="E108" s="2"/>
      </tp>
      <tp>
        <v>901.1</v>
        <stp/>
        <stp>P</stp>
        <stp>0</stp>
        <stp>IDX</stp>
        <stp>MGA15P</stp>
        <stp>현재가</stp>
        <stp>45539</stp>
        <stp>Fill=true,Per=월</stp>
        <tr r="E110" s="2"/>
      </tp>
      <tp>
        <v>4888.07</v>
        <stp/>
        <stp>P</stp>
        <stp>0</stp>
        <stp>IDX</stp>
        <stp>QGG06P</stp>
        <stp>현재가</stp>
        <stp>45539</stp>
        <stp>Fill=true,Per=월</stp>
        <tr r="E63" s="2"/>
      </tp>
      <tp>
        <v>2091.63</v>
        <stp/>
        <stp>P</stp>
        <stp>0</stp>
        <stp>IDX</stp>
        <stp>TGG02P</stp>
        <stp>현재가</stp>
        <stp>45539</stp>
        <stp>Fill=true,Per=월</stp>
        <tr r="E193" s="2"/>
      </tp>
      <tp>
        <v>1381.59</v>
        <stp/>
        <stp>P</stp>
        <stp>0</stp>
        <stp>IDX</stp>
        <stp>QGG04P</stp>
        <stp>현재가</stp>
        <stp>45539</stp>
        <stp>Fill=true,Per=월</stp>
        <tr r="E73" s="2"/>
      </tp>
      <tp>
        <v>2543.3000000000002</v>
        <stp/>
        <stp>P</stp>
        <stp>0</stp>
        <stp>IDX</stp>
        <stp>TGG01P</stp>
        <stp>현재가</stp>
        <stp>45539</stp>
        <stp>Fill=true,Per=월</stp>
        <tr r="E194" s="2"/>
      </tp>
      <tp>
        <v>1397.71</v>
        <stp/>
        <stp>P</stp>
        <stp>0</stp>
        <stp>IDX</stp>
        <stp>QGG05P</stp>
        <stp>현재가</stp>
        <stp>45539</stp>
        <stp>Fill=true,Per=월</stp>
        <tr r="E60" s="2"/>
      </tp>
      <tp>
        <v>1631.71</v>
        <stp/>
        <stp>P</stp>
        <stp>0</stp>
        <stp>IDX</stp>
        <stp>QGG03P</stp>
        <stp>현재가</stp>
        <stp>45539</stp>
        <stp>Fill=true,Per=월</stp>
        <tr r="E39" s="2"/>
      </tp>
      <tp>
        <v>760.37</v>
        <stp/>
        <stp>P</stp>
        <stp>0</stp>
        <stp>IDX</stp>
        <stp>QGG01P</stp>
        <stp>현재가</stp>
        <stp>45539</stp>
        <stp>Fill=true,Per=월</stp>
        <tr r="E26" s="2"/>
      </tp>
      <tp>
        <v>8839.02</v>
        <stp/>
        <stp>P</stp>
        <stp>0</stp>
        <stp>IDX</stp>
        <stp>XGG02P</stp>
        <stp>현재가</stp>
        <stp>45539</stp>
        <stp>Fill=true,Per=월</stp>
        <tr r="E129" s="2"/>
      </tp>
      <tp>
        <v>5613.2</v>
        <stp/>
        <stp>P</stp>
        <stp>0</stp>
        <stp>IDX</stp>
        <stp>XGG01P</stp>
        <stp>현재가</stp>
        <stp>45539</stp>
        <stp>Fill=true,Per=월</stp>
        <tr r="E15" s="2"/>
      </tp>
      <tp>
        <v>1466.88</v>
        <stp/>
        <stp>P</stp>
        <stp>0</stp>
        <stp>IDX</stp>
        <stp>FGG01P</stp>
        <stp>현재가</stp>
        <stp>45539</stp>
        <stp>Fill=true,Per=월</stp>
        <tr r="E292" s="2"/>
      </tp>
      <tp>
        <v>3158.78</v>
        <stp/>
        <stp>P</stp>
        <stp>0</stp>
        <stp>IDX</stp>
        <stp>GGG01P</stp>
        <stp>현재가</stp>
        <stp>45539</stp>
        <stp>Fill=true,Per=월</stp>
        <tr r="E331" s="2"/>
      </tp>
      <tp>
        <v>7198.05</v>
        <stp/>
        <stp>P</stp>
        <stp>0</stp>
        <stp>IDX</stp>
        <stp>GGG02P</stp>
        <stp>현재가</stp>
        <stp>45539</stp>
        <stp>Fill=true,Per=월</stp>
        <tr r="E332" s="2"/>
      </tp>
      <tp>
        <v>2852.9</v>
        <stp/>
        <stp>P</stp>
        <stp>0</stp>
        <stp>IDX</stp>
        <stp>GGG03P</stp>
        <stp>현재가</stp>
        <stp>45539</stp>
        <stp>Fill=true,Per=월</stp>
        <tr r="E333" s="2"/>
      </tp>
      <tp>
        <v>3843.22</v>
        <stp/>
        <stp>P</stp>
        <stp>0</stp>
        <stp>IDX</stp>
        <stp>GGG04P</stp>
        <stp>현재가</stp>
        <stp>45539</stp>
        <stp>Fill=true,Per=월</stp>
        <tr r="E334" s="2"/>
      </tp>
      <tp>
        <v>2865.48</v>
        <stp/>
        <stp>P</stp>
        <stp>0</stp>
        <stp>IDX</stp>
        <stp>GGG05P</stp>
        <stp>현재가</stp>
        <stp>45539</stp>
        <stp>Fill=true,Per=월</stp>
        <tr r="E335" s="2"/>
      </tp>
      <tp>
        <v>5402.51</v>
        <stp/>
        <stp>P</stp>
        <stp>0</stp>
        <stp>IDX</stp>
        <stp>GGG06P</stp>
        <stp>현재가</stp>
        <stp>45539</stp>
        <stp>Fill=true,Per=월</stp>
        <tr r="E336" s="2"/>
      </tp>
      <tp>
        <v>7010.13</v>
        <stp/>
        <stp>P</stp>
        <stp>0</stp>
        <stp>IDX</stp>
        <stp>GGG07P</stp>
        <stp>현재가</stp>
        <stp>45539</stp>
        <stp>Fill=true,Per=월</stp>
        <tr r="E337" s="2"/>
      </tp>
      <tp>
        <v>5450.13</v>
        <stp/>
        <stp>P</stp>
        <stp>0</stp>
        <stp>IDX</stp>
        <stp>GGG08P</stp>
        <stp>현재가</stp>
        <stp>45539</stp>
        <stp>Fill=true,Per=월</stp>
        <tr r="E338" s="2"/>
      </tp>
      <tp>
        <v>2664.63</v>
        <stp/>
        <stp>P</stp>
        <stp>0</stp>
        <stp>IDX</stp>
        <stp>KGG01P</stp>
        <stp>현재가</stp>
        <stp>45539</stp>
        <stp>Fill=true,Per=월</stp>
        <tr r="E9" s="2"/>
      </tp>
      <tp>
        <v>1453.8</v>
        <stp/>
        <stp>P</stp>
        <stp>0</stp>
        <stp>IDX</stp>
        <stp>QGG11P</stp>
        <stp>현재가</stp>
        <stp>45539</stp>
        <stp>Fill=true,Per=월</stp>
        <tr r="E58" s="2"/>
      </tp>
      <tp>
        <v>1464.57</v>
        <stp/>
        <stp>P</stp>
        <stp>0</stp>
        <stp>IDX</stp>
        <stp>XGD02P</stp>
        <stp>현재가</stp>
        <stp>45539</stp>
        <stp>Fill=true,Per=월</stp>
        <tr r="E175" s="2"/>
      </tp>
      <tp>
        <v>3118.92</v>
        <stp/>
        <stp>P</stp>
        <stp>0</stp>
        <stp>IDX</stp>
        <stp>KGD01P</stp>
        <stp>현재가</stp>
        <stp>45539</stp>
        <stp>Fill=true,Per=월</stp>
        <tr r="E298" s="2"/>
      </tp>
      <tp>
        <v>3069.8</v>
        <stp/>
        <stp>P</stp>
        <stp>0</stp>
        <stp>IDX</stp>
        <stp>KGD02P</stp>
        <stp>현재가</stp>
        <stp>45539</stp>
        <stp>Fill=true,Per=월</stp>
        <tr r="E195" s="2"/>
      </tp>
      <tp>
        <v>4031.1</v>
        <stp/>
        <stp>P</stp>
        <stp>0</stp>
        <stp>IDX</stp>
        <stp>KGD03P</stp>
        <stp>현재가</stp>
        <stp>45539</stp>
        <stp>Fill=true,Per=월</stp>
        <tr r="E114" s="2"/>
      </tp>
      <tp>
        <v>2119.94</v>
        <stp/>
        <stp>P</stp>
        <stp>0</stp>
        <stp>IDX</stp>
        <stp>XGE05P</stp>
        <stp>현재가</stp>
        <stp>45539</stp>
        <stp>Fill=true,Per=월</stp>
        <tr r="E169" s="2"/>
      </tp>
      <tp>
        <v>2083.6</v>
        <stp/>
        <stp>P</stp>
        <stp>0</stp>
        <stp>IDX</stp>
        <stp>XGE04P</stp>
        <stp>현재가</stp>
        <stp>45539</stp>
        <stp>Fill=true,Per=월</stp>
        <tr r="E171" s="2"/>
      </tp>
      <tp>
        <v>2025.79</v>
        <stp/>
        <stp>P</stp>
        <stp>0</stp>
        <stp>IDX</stp>
        <stp>XGE03P</stp>
        <stp>현재가</stp>
        <stp>45539</stp>
        <stp>Fill=true,Per=월</stp>
        <tr r="E172" s="2"/>
      </tp>
      <tp>
        <v>2084.44</v>
        <stp/>
        <stp>P</stp>
        <stp>0</stp>
        <stp>IDX</stp>
        <stp>XGE02P</stp>
        <stp>현재가</stp>
        <stp>45539</stp>
        <stp>Fill=true,Per=월</stp>
        <tr r="E173" s="2"/>
      </tp>
      <tp>
        <v>1726.99</v>
        <stp/>
        <stp>P</stp>
        <stp>0</stp>
        <stp>IDX</stp>
        <stp>XGE01P</stp>
        <stp>현재가</stp>
        <stp>45539</stp>
        <stp>Fill=true,Per=월</stp>
        <tr r="E174" s="2"/>
      </tp>
      <tp>
        <v>1506.51</v>
        <stp/>
        <stp>P</stp>
        <stp>0</stp>
        <stp>IDX</stp>
        <stp>GGE01P</stp>
        <stp>현재가</stp>
        <stp>45539</stp>
        <stp>Fill=true,Per=월</stp>
        <tr r="E330" s="2"/>
      </tp>
      <tp>
        <v>449.46</v>
        <stp/>
        <stp>P</stp>
        <stp>0</stp>
        <stp>IDX</stp>
        <stp>QGS04P</stp>
        <stp>현재가</stp>
        <stp>45539</stp>
        <stp>Fill=true,Per=월</stp>
        <tr r="E84" s="2"/>
      </tp>
      <tp>
        <v>1282.5999999999999</v>
        <stp/>
        <stp>P</stp>
        <stp>0</stp>
        <stp>IDX</stp>
        <stp>QGS05P</stp>
        <stp>현재가</stp>
        <stp>45539</stp>
        <stp>Fill=true,Per=월</stp>
        <tr r="E80" s="2"/>
      </tp>
      <tp>
        <v>2361.25</v>
        <stp/>
        <stp>P</stp>
        <stp>0</stp>
        <stp>IDX</stp>
        <stp>QGS02P</stp>
        <stp>현재가</stp>
        <stp>45539</stp>
        <stp>Fill=true,Per=월</stp>
        <tr r="E29" s="2"/>
      </tp>
      <tp>
        <v>64.680000000000007</v>
        <stp/>
        <stp>P</stp>
        <stp>0</stp>
        <stp>IDX</stp>
        <stp>QGS03P</stp>
        <stp>현재가</stp>
        <stp>45539</stp>
        <stp>Fill=true,Per=월</stp>
        <tr r="E93" s="2"/>
      </tp>
      <tp>
        <v>802.92</v>
        <stp/>
        <stp>P</stp>
        <stp>0</stp>
        <stp>IDX</stp>
        <stp>XGS09P</stp>
        <stp>현재가</stp>
        <stp>45539</stp>
        <stp>Fill=true,Per=월</stp>
        <tr r="E160" s="2"/>
      </tp>
      <tp>
        <v>4021.46</v>
        <stp/>
        <stp>P</stp>
        <stp>0</stp>
        <stp>IDX</stp>
        <stp>QGS01P</stp>
        <stp>현재가</stp>
        <stp>45539</stp>
        <stp>Fill=true,Per=월</stp>
        <tr r="E69" s="2"/>
      </tp>
      <tp>
        <v>668.73</v>
        <stp/>
        <stp>P</stp>
        <stp>0</stp>
        <stp>IDX</stp>
        <stp>XGS08P</stp>
        <stp>현재가</stp>
        <stp>45539</stp>
        <stp>Fill=true,Per=월</stp>
        <tr r="E161" s="2"/>
      </tp>
      <tp>
        <v>619.57000000000005</v>
        <stp/>
        <stp>P</stp>
        <stp>0</stp>
        <stp>IDX</stp>
        <stp>XGS07P</stp>
        <stp>현재가</stp>
        <stp>45539</stp>
        <stp>Fill=true,Per=월</stp>
        <tr r="E162" s="2"/>
      </tp>
      <tp>
        <v>1631.05</v>
        <stp/>
        <stp>P</stp>
        <stp>0</stp>
        <stp>IDX</stp>
        <stp>XGS06P</stp>
        <stp>현재가</stp>
        <stp>45539</stp>
        <stp>Fill=true,Per=월</stp>
        <tr r="E163" s="2"/>
      </tp>
      <tp>
        <v>2455.14</v>
        <stp/>
        <stp>P</stp>
        <stp>0</stp>
        <stp>IDX</stp>
        <stp>XGS05P</stp>
        <stp>현재가</stp>
        <stp>45539</stp>
        <stp>Fill=true,Per=월</stp>
        <tr r="E164" s="2"/>
      </tp>
      <tp>
        <v>899.55</v>
        <stp/>
        <stp>P</stp>
        <stp>0</stp>
        <stp>IDX</stp>
        <stp>XGS04P</stp>
        <stp>현재가</stp>
        <stp>45539</stp>
        <stp>Fill=true,Per=월</stp>
        <tr r="E165" s="2"/>
      </tp>
      <tp>
        <v>3931.64</v>
        <stp/>
        <stp>P</stp>
        <stp>0</stp>
        <stp>IDX</stp>
        <stp>XGS03P</stp>
        <stp>현재가</stp>
        <stp>45539</stp>
        <stp>Fill=true,Per=월</stp>
        <tr r="E166" s="2"/>
      </tp>
      <tp>
        <v>3495.1</v>
        <stp/>
        <stp>P</stp>
        <stp>0</stp>
        <stp>IDX</stp>
        <stp>XGS02P</stp>
        <stp>현재가</stp>
        <stp>45539</stp>
        <stp>Fill=true,Per=월</stp>
        <tr r="E167" s="2"/>
      </tp>
      <tp>
        <v>1907.89</v>
        <stp/>
        <stp>P</stp>
        <stp>0</stp>
        <stp>IDX</stp>
        <stp>XGS01P</stp>
        <stp>현재가</stp>
        <stp>45539</stp>
        <stp>Fill=true,Per=월</stp>
        <tr r="E168" s="2"/>
      </tp>
      <tp>
        <v>5204.22</v>
        <stp/>
        <stp>P</stp>
        <stp>0</stp>
        <stp>IDX</stp>
        <stp>QGS09P</stp>
        <stp>현재가</stp>
        <stp>45539</stp>
        <stp>Fill=true,Per=월</stp>
        <tr r="E90" s="2"/>
      </tp>
      <tp>
        <v>3478.96</v>
        <stp/>
        <stp>P</stp>
        <stp>0</stp>
        <stp>IDX</stp>
        <stp>GGS01P</stp>
        <stp>현재가</stp>
        <stp>45539</stp>
        <stp>Fill=true,Per=월</stp>
        <tr r="E339" s="2"/>
      </tp>
      <tp>
        <v>1253.47</v>
        <stp/>
        <stp>P</stp>
        <stp>0</stp>
        <stp>IDX</stp>
        <stp>KGS08P</stp>
        <stp>현재가</stp>
        <stp>45539</stp>
        <stp>Fill=true,Per=월</stp>
        <tr r="E66" s="2"/>
      </tp>
      <tp>
        <v>26906.73</v>
        <stp/>
        <stp>P</stp>
        <stp>0</stp>
        <stp>IDX</stp>
        <stp>KGS09P</stp>
        <stp>현재가</stp>
        <stp>45539</stp>
        <stp>Fill=true,Per=월</stp>
        <tr r="E22" s="2"/>
      </tp>
      <tp>
        <v>3945.05</v>
        <stp/>
        <stp>P</stp>
        <stp>0</stp>
        <stp>IDX</stp>
        <stp>KGS04P</stp>
        <stp>현재가</stp>
        <stp>45539</stp>
        <stp>Fill=true,Per=월</stp>
        <tr r="E46" s="2"/>
      </tp>
      <tp>
        <v>15973.18</v>
        <stp/>
        <stp>P</stp>
        <stp>0</stp>
        <stp>IDX</stp>
        <stp>KGS05P</stp>
        <stp>현재가</stp>
        <stp>45539</stp>
        <stp>Fill=true,Per=월</stp>
        <tr r="E49" s="2"/>
      </tp>
      <tp>
        <v>4080.96</v>
        <stp/>
        <stp>P</stp>
        <stp>0</stp>
        <stp>IDX</stp>
        <stp>KGS06P</stp>
        <stp>현재가</stp>
        <stp>45539</stp>
        <stp>Fill=true,Per=월</stp>
        <tr r="E89" s="2"/>
      </tp>
      <tp>
        <v>4858.63</v>
        <stp/>
        <stp>P</stp>
        <stp>0</stp>
        <stp>IDX</stp>
        <stp>KGS07P</stp>
        <stp>현재가</stp>
        <stp>45539</stp>
        <stp>Fill=true,Per=월</stp>
        <tr r="E64" s="2"/>
      </tp>
      <tp>
        <v>3867.97</v>
        <stp/>
        <stp>P</stp>
        <stp>0</stp>
        <stp>IDX</stp>
        <stp>KGS01P</stp>
        <stp>현재가</stp>
        <stp>45539</stp>
        <stp>Fill=true,Per=월</stp>
        <tr r="E75" s="2"/>
      </tp>
      <tp>
        <v>223.9</v>
        <stp/>
        <stp>P</stp>
        <stp>0</stp>
        <stp>IDX</stp>
        <stp>KGS02P</stp>
        <stp>현재가</stp>
        <stp>45539</stp>
        <stp>Fill=true,Per=월</stp>
        <tr r="E88" s="2"/>
      </tp>
      <tp>
        <v>269.85000000000002</v>
        <stp/>
        <stp>P</stp>
        <stp>0</stp>
        <stp>IDX</stp>
        <stp>KGS03P</stp>
        <stp>현재가</stp>
        <stp>45539</stp>
        <stp>Fill=true,Per=월</stp>
        <tr r="E94" s="2"/>
      </tp>
      <tp>
        <v>402.56</v>
        <stp/>
        <stp>P</stp>
        <stp>0</stp>
        <stp>IDX</stp>
        <stp>QGS16P</stp>
        <stp>현재가</stp>
        <stp>45539</stp>
        <stp>Fill=true,Per=월</stp>
        <tr r="E70" s="2"/>
      </tp>
      <tp>
        <v>1389.49</v>
        <stp/>
        <stp>P</stp>
        <stp>0</stp>
        <stp>IDX</stp>
        <stp>QGS17P</stp>
        <stp>현재가</stp>
        <stp>45539</stp>
        <stp>Fill=true,Per=월</stp>
        <tr r="E61" s="2"/>
      </tp>
      <tp>
        <v>42781.15</v>
        <stp/>
        <stp>P</stp>
        <stp>0</stp>
        <stp>IDX</stp>
        <stp>QGS14P</stp>
        <stp>현재가</stp>
        <stp>45539</stp>
        <stp>Fill=true,Per=월</stp>
        <tr r="E92" s="2"/>
      </tp>
      <tp>
        <v>1820.63</v>
        <stp/>
        <stp>P</stp>
        <stp>0</stp>
        <stp>IDX</stp>
        <stp>QGS15P</stp>
        <stp>현재가</stp>
        <stp>45539</stp>
        <stp>Fill=true,Per=월</stp>
        <tr r="E87" s="2"/>
      </tp>
      <tp>
        <v>2014.73</v>
        <stp/>
        <stp>P</stp>
        <stp>0</stp>
        <stp>IDX</stp>
        <stp>QGS12P</stp>
        <stp>현재가</stp>
        <stp>45539</stp>
        <stp>Fill=true,Per=월</stp>
        <tr r="E76" s="2"/>
      </tp>
      <tp>
        <v>2783.5</v>
        <stp/>
        <stp>P</stp>
        <stp>0</stp>
        <stp>IDX</stp>
        <stp>QGS13P</stp>
        <stp>현재가</stp>
        <stp>45539</stp>
        <stp>Fill=true,Per=월</stp>
        <tr r="E77" s="2"/>
      </tp>
      <tp>
        <v>45.54</v>
        <stp/>
        <stp>P</stp>
        <stp>0</stp>
        <stp>IDX</stp>
        <stp>QGS10P</stp>
        <stp>현재가</stp>
        <stp>45539</stp>
        <stp>Fill=true,Per=월</stp>
        <tr r="E96" s="2"/>
      </tp>
      <tp>
        <v>9763.31</v>
        <stp/>
        <stp>P</stp>
        <stp>0</stp>
        <stp>IDX</stp>
        <stp>QGS11P</stp>
        <stp>현재가</stp>
        <stp>45539</stp>
        <stp>Fill=true,Per=월</stp>
        <tr r="E95" s="2"/>
      </tp>
      <tp>
        <v>655.51</v>
        <stp/>
        <stp>P</stp>
        <stp>0</stp>
        <stp>IDX</stp>
        <stp>XGS17P</stp>
        <stp>현재가</stp>
        <stp>45539</stp>
        <stp>Fill=true,Per=월</stp>
        <tr r="E152" s="2"/>
      </tp>
      <tp>
        <v>1543.17</v>
        <stp/>
        <stp>P</stp>
        <stp>0</stp>
        <stp>IDX</stp>
        <stp>XGS16P</stp>
        <stp>현재가</stp>
        <stp>45539</stp>
        <stp>Fill=true,Per=월</stp>
        <tr r="E153" s="2"/>
      </tp>
      <tp>
        <v>1629</v>
        <stp/>
        <stp>P</stp>
        <stp>0</stp>
        <stp>IDX</stp>
        <stp>XGS15P</stp>
        <stp>현재가</stp>
        <stp>45539</stp>
        <stp>Fill=true,Per=월</stp>
        <tr r="E154" s="2"/>
      </tp>
      <tp>
        <v>1195.3800000000001</v>
        <stp/>
        <stp>P</stp>
        <stp>0</stp>
        <stp>IDX</stp>
        <stp>XGS14P</stp>
        <stp>현재가</stp>
        <stp>45539</stp>
        <stp>Fill=true,Per=월</stp>
        <tr r="E155" s="2"/>
      </tp>
      <tp>
        <v>961.75</v>
        <stp/>
        <stp>P</stp>
        <stp>0</stp>
        <stp>IDX</stp>
        <stp>XGS13P</stp>
        <stp>현재가</stp>
        <stp>45539</stp>
        <stp>Fill=true,Per=월</stp>
        <tr r="E156" s="2"/>
      </tp>
      <tp>
        <v>973.52</v>
        <stp/>
        <stp>P</stp>
        <stp>0</stp>
        <stp>IDX</stp>
        <stp>XGS12P</stp>
        <stp>현재가</stp>
        <stp>45539</stp>
        <stp>Fill=true,Per=월</stp>
        <tr r="E157" s="2"/>
      </tp>
      <tp>
        <v>1899.93</v>
        <stp/>
        <stp>P</stp>
        <stp>0</stp>
        <stp>IDX</stp>
        <stp>QGS18P</stp>
        <stp>현재가</stp>
        <stp>45539</stp>
        <stp>Fill=true,Per=월</stp>
        <tr r="E82" s="2"/>
      </tp>
      <tp>
        <v>2177.91</v>
        <stp/>
        <stp>P</stp>
        <stp>0</stp>
        <stp>IDX</stp>
        <stp>XGS11P</stp>
        <stp>현재가</stp>
        <stp>45539</stp>
        <stp>Fill=true,Per=월</stp>
        <tr r="E158" s="2"/>
      </tp>
      <tp>
        <v>3625.28</v>
        <stp/>
        <stp>P</stp>
        <stp>0</stp>
        <stp>IDX</stp>
        <stp>QGS19P</stp>
        <stp>현재가</stp>
        <stp>45539</stp>
        <stp>Fill=true,Per=월</stp>
        <tr r="E86" s="2"/>
      </tp>
      <tp>
        <v>749.52</v>
        <stp/>
        <stp>P</stp>
        <stp>0</stp>
        <stp>IDX</stp>
        <stp>XGS10P</stp>
        <stp>현재가</stp>
        <stp>45539</stp>
        <stp>Fill=true,Per=월</stp>
        <tr r="E159" s="2"/>
      </tp>
      <tp>
        <v>6941.78</v>
        <stp/>
        <stp>P</stp>
        <stp>0</stp>
        <stp>IDX</stp>
        <stp>KGS18P</stp>
        <stp>현재가</stp>
        <stp>45539</stp>
        <stp>Fill=true,Per=월</stp>
        <tr r="E19" s="2"/>
      </tp>
      <tp>
        <v>1376.29</v>
        <stp/>
        <stp>P</stp>
        <stp>0</stp>
        <stp>IDX</stp>
        <stp>KGS19P</stp>
        <stp>현재가</stp>
        <stp>45539</stp>
        <stp>Fill=true,Per=월</stp>
        <tr r="E91" s="2"/>
      </tp>
      <tp>
        <v>481.07</v>
        <stp/>
        <stp>P</stp>
        <stp>0</stp>
        <stp>IDX</stp>
        <stp>KGS14P</stp>
        <stp>현재가</stp>
        <stp>45539</stp>
        <stp>Fill=true,Per=월</stp>
        <tr r="E27" s="2"/>
      </tp>
      <tp>
        <v>2267.54</v>
        <stp/>
        <stp>P</stp>
        <stp>0</stp>
        <stp>IDX</stp>
        <stp>KGS16P</stp>
        <stp>현재가</stp>
        <stp>45539</stp>
        <stp>Fill=true,Per=월</stp>
        <tr r="E79" s="2"/>
      </tp>
      <tp>
        <v>22941.98</v>
        <stp/>
        <stp>P</stp>
        <stp>0</stp>
        <stp>IDX</stp>
        <stp>KGS17P</stp>
        <stp>현재가</stp>
        <stp>45539</stp>
        <stp>Fill=true,Per=월</stp>
        <tr r="E67" s="2"/>
      </tp>
      <tp>
        <v>2608.39</v>
        <stp/>
        <stp>P</stp>
        <stp>0</stp>
        <stp>IDX</stp>
        <stp>KGS10P</stp>
        <stp>현재가</stp>
        <stp>45539</stp>
        <stp>Fill=true,Per=월</stp>
        <tr r="E33" s="2"/>
      </tp>
      <tp>
        <v>379.36</v>
        <stp/>
        <stp>P</stp>
        <stp>0</stp>
        <stp>IDX</stp>
        <stp>KGS11P</stp>
        <stp>현재가</stp>
        <stp>45539</stp>
        <stp>Fill=true,Per=월</stp>
        <tr r="E62" s="2"/>
      </tp>
      <tp>
        <v>74.260000000000005</v>
        <stp/>
        <stp>P</stp>
        <stp>0</stp>
        <stp>IDX</stp>
        <stp>KGS12P</stp>
        <stp>현재가</stp>
        <stp>45539</stp>
        <stp>Fill=true,Per=월</stp>
        <tr r="E83" s="2"/>
      </tp>
      <tp>
        <v>1584.57</v>
        <stp/>
        <stp>P</stp>
        <stp>0</stp>
        <stp>IDX</stp>
        <stp>KGS13P</stp>
        <stp>현재가</stp>
        <stp>45539</stp>
        <stp>Fill=true,Per=월</stp>
        <tr r="E74" s="2"/>
      </tp>
      <tp>
        <v>717.25</v>
        <stp/>
        <stp>P</stp>
        <stp>0</stp>
        <stp>IDX</stp>
        <stp>QGS20P</stp>
        <stp>현재가</stp>
        <stp>45539</stp>
        <stp>Fill=true,Per=월</stp>
        <tr r="E97" s="2"/>
      </tp>
      <tp>
        <v>801.37</v>
        <stp/>
        <stp>P</stp>
        <stp>0</stp>
        <stp>IDX</stp>
        <stp>KGS20P</stp>
        <stp>현재가</stp>
        <stp>45539</stp>
        <stp>Fill=true,Per=월</stp>
        <tr r="E81" s="2"/>
      </tp>
      <tp>
        <v>421.11</v>
        <stp/>
        <stp>P</stp>
        <stp>0</stp>
        <stp>IDX</stp>
        <stp>KGS21P</stp>
        <stp>현재가</stp>
        <stp>45539</stp>
        <stp>Fill=true,Per=월</stp>
        <tr r="E78" s="2"/>
      </tp>
      <tp>
        <v>1013.25</v>
        <stp/>
        <stp>P</stp>
        <stp>0</stp>
        <stp>IDX</stp>
        <stp>KGS22P</stp>
        <stp>현재가</stp>
        <stp>45539</stp>
        <stp>Fill=true,Per=월</stp>
        <tr r="E44" s="2"/>
      </tp>
      <tp>
        <v>391.39</v>
        <stp/>
        <stp>P</stp>
        <stp>0</stp>
        <stp>IDX</stp>
        <stp>QGS34P</stp>
        <stp>현재가</stp>
        <stp>45539</stp>
        <stp>Fill=true,Per=월</stp>
        <tr r="E85" s="2"/>
      </tp>
      <tp>
        <v>9867.7999999999993</v>
        <stp/>
        <stp>P</stp>
        <stp>0</stp>
        <stp>IDX</stp>
        <stp>QGS33P</stp>
        <stp>현재가</stp>
        <stp>45539</stp>
        <stp>Fill=true,Per=월</stp>
        <tr r="E65" s="2"/>
      </tp>
      <tp>
        <v>2599.5300000000002</v>
        <stp/>
        <stp>P</stp>
        <stp>0</stp>
        <stp>IDX</stp>
        <stp>QGS31P</stp>
        <stp>현재가</stp>
        <stp>45539</stp>
        <stp>Fill=true,Per=월</stp>
        <tr r="E98" s="2"/>
      </tp>
      <tp>
        <v>981.41</v>
        <stp/>
        <stp>P</stp>
        <stp>0</stp>
        <stp>IDX</stp>
        <stp>XGV02P</stp>
        <stp>현재가</stp>
        <stp>45539</stp>
        <stp>Fill=true,Per=월</stp>
        <tr r="E135" s="2"/>
      </tp>
      <tp>
        <v>1307.97</v>
        <stp/>
        <stp>P</stp>
        <stp>0</stp>
        <stp>IDX</stp>
        <stp>XGV01P</stp>
        <stp>현재가</stp>
        <stp>45539</stp>
        <stp>Fill=true,Per=월</stp>
        <tr r="E136" s="2"/>
      </tp>
      <tp>
        <v>2022.32</v>
        <stp/>
        <stp>P</stp>
        <stp>0</stp>
        <stp>IDX</stp>
        <stp>XGW01P</stp>
        <stp>현재가</stp>
        <stp>45539</stp>
        <stp>Fill=true,Per=월</stp>
        <tr r="E14" s="2"/>
      </tp>
      <tp>
        <v>2148.23</v>
        <stp/>
        <stp>P</stp>
        <stp>0</stp>
        <stp>IDX</stp>
        <stp>XGT09P</stp>
        <stp>현재가</stp>
        <stp>45539</stp>
        <stp>Fill=true,Per=월</stp>
        <tr r="E144" s="2"/>
      </tp>
      <tp>
        <v>2622.09</v>
        <stp/>
        <stp>P</stp>
        <stp>0</stp>
        <stp>IDX</stp>
        <stp>XGT08P</stp>
        <stp>현재가</stp>
        <stp>45539</stp>
        <stp>Fill=true,Per=월</stp>
        <tr r="E146" s="2"/>
      </tp>
      <tp>
        <v>1357.05</v>
        <stp/>
        <stp>P</stp>
        <stp>0</stp>
        <stp>IDX</stp>
        <stp>XGT07P</stp>
        <stp>현재가</stp>
        <stp>45539</stp>
        <stp>Fill=true,Per=월</stp>
        <tr r="E147" s="2"/>
      </tp>
      <tp>
        <v>1656.39</v>
        <stp/>
        <stp>P</stp>
        <stp>0</stp>
        <stp>IDX</stp>
        <stp>XGT06P</stp>
        <stp>현재가</stp>
        <stp>45539</stp>
        <stp>Fill=true,Per=월</stp>
        <tr r="E149" s="2"/>
      </tp>
      <tp>
        <v>673.12</v>
        <stp/>
        <stp>P</stp>
        <stp>0</stp>
        <stp>IDX</stp>
        <stp>XGT05P</stp>
        <stp>현재가</stp>
        <stp>45539</stp>
        <stp>Fill=true,Per=월</stp>
        <tr r="E150" s="2"/>
      </tp>
      <tp>
        <v>845.78</v>
        <stp/>
        <stp>P</stp>
        <stp>0</stp>
        <stp>IDX</stp>
        <stp>XGT04P</stp>
        <stp>현재가</stp>
        <stp>45539</stp>
        <stp>Fill=true,Per=월</stp>
        <tr r="E151" s="2"/>
      </tp>
      <tp>
        <v>2372.5300000000002</v>
        <stp/>
        <stp>P</stp>
        <stp>0</stp>
        <stp>IDX</stp>
        <stp>XGT03P</stp>
        <stp>현재가</stp>
        <stp>45539</stp>
        <stp>Fill=true,Per=월</stp>
        <tr r="E45" s="2"/>
      </tp>
      <tp>
        <v>4061.25</v>
        <stp/>
        <stp>P</stp>
        <stp>0</stp>
        <stp>IDX</stp>
        <stp>XGT02P</stp>
        <stp>현재가</stp>
        <stp>45539</stp>
        <stp>Fill=true,Per=월</stp>
        <tr r="E40" s="2"/>
      </tp>
      <tp>
        <v>1758.05</v>
        <stp/>
        <stp>P</stp>
        <stp>0</stp>
        <stp>IDX</stp>
        <stp>XGT01P</stp>
        <stp>현재가</stp>
        <stp>45539</stp>
        <stp>Fill=true,Per=월</stp>
        <tr r="E28" s="2"/>
      </tp>
      <tp>
        <v>1635.1</v>
        <stp/>
        <stp>P</stp>
        <stp>0</stp>
        <stp>IDX</stp>
        <stp>GGT01P</stp>
        <stp>현재가</stp>
        <stp>45539</stp>
        <stp>Fill=true,Per=월</stp>
        <tr r="E340" s="2"/>
      </tp>
      <tp>
        <v>3233.65</v>
        <stp/>
        <stp>P</stp>
        <stp>0</stp>
        <stp>IDX</stp>
        <stp>GGT02P</stp>
        <stp>현재가</stp>
        <stp>45539</stp>
        <stp>Fill=true,Per=월</stp>
        <tr r="E341" s="2"/>
      </tp>
      <tp>
        <v>2860.71</v>
        <stp/>
        <stp>P</stp>
        <stp>0</stp>
        <stp>IDX</stp>
        <stp>GGT03P</stp>
        <stp>현재가</stp>
        <stp>45539</stp>
        <stp>Fill=true,Per=월</stp>
        <tr r="E342" s="2"/>
      </tp>
      <tp>
        <v>865.94</v>
        <stp/>
        <stp>P</stp>
        <stp>0</stp>
        <stp>IDX</stp>
        <stp>KGT01P</stp>
        <stp>현재가</stp>
        <stp>45539</stp>
        <stp>Fill=true,Per=월</stp>
        <tr r="E117" s="2"/>
      </tp>
      <tp>
        <v>1275.79</v>
        <stp/>
        <stp>P</stp>
        <stp>0</stp>
        <stp>IDX</stp>
        <stp>XGT15P</stp>
        <stp>현재가</stp>
        <stp>45539</stp>
        <stp>Fill=true,Per=월</stp>
        <tr r="E137" s="2"/>
      </tp>
      <tp>
        <v>868.08</v>
        <stp/>
        <stp>P</stp>
        <stp>0</stp>
        <stp>IDX</stp>
        <stp>XGT14P</stp>
        <stp>현재가</stp>
        <stp>45539</stp>
        <stp>Fill=true,Per=월</stp>
        <tr r="E138" s="2"/>
      </tp>
      <tp>
        <v>1052.8499999999999</v>
        <stp/>
        <stp>P</stp>
        <stp>0</stp>
        <stp>IDX</stp>
        <stp>XGT13P</stp>
        <stp>현재가</stp>
        <stp>45539</stp>
        <stp>Fill=true,Per=월</stp>
        <tr r="E139" s="2"/>
      </tp>
      <tp>
        <v>1557.6</v>
        <stp/>
        <stp>P</stp>
        <stp>0</stp>
        <stp>IDX</stp>
        <stp>XGT12P</stp>
        <stp>현재가</stp>
        <stp>45539</stp>
        <stp>Fill=true,Per=월</stp>
        <tr r="E140" s="2"/>
      </tp>
      <tp>
        <v>1937.01</v>
        <stp/>
        <stp>P</stp>
        <stp>0</stp>
        <stp>IDX</stp>
        <stp>XGT11P</stp>
        <stp>현재가</stp>
        <stp>45539</stp>
        <stp>Fill=true,Per=월</stp>
        <tr r="E141" s="2"/>
      </tp>
      <tp>
        <v>2364.27</v>
        <stp/>
        <stp>P</stp>
        <stp>0</stp>
        <stp>IDX</stp>
        <stp>XGT10P</stp>
        <stp>현재가</stp>
        <stp>45539</stp>
        <stp>Fill=true,Per=월</stp>
        <tr r="E143" s="2"/>
      </tp>
      <tp>
        <v>638.48</v>
        <stp/>
        <stp>P</stp>
        <stp>0</stp>
        <stp>IDX</stp>
        <stp>QGZ02P</stp>
        <stp>현재가</stp>
        <stp>45539</stp>
        <stp>Fill=true,Per=월</stp>
        <tr r="E53" s="2"/>
      </tp>
      <tp>
        <v>2446.2600000000002</v>
        <stp/>
        <stp>P</stp>
        <stp>0</stp>
        <stp>IDX</stp>
        <stp>QGZ03P</stp>
        <stp>현재가</stp>
        <stp>45539</stp>
        <stp>Fill=true,Per=월</stp>
        <tr r="E52" s="2"/>
      </tp>
      <tp>
        <v>1844.33</v>
        <stp/>
        <stp>P</stp>
        <stp>0</stp>
        <stp>IDX</stp>
        <stp>QGZ01P</stp>
        <stp>현재가</stp>
        <stp>45539</stp>
        <stp>Fill=true,Per=월</stp>
        <tr r="E41" s="2"/>
      </tp>
      <tp>
        <v>2666.69</v>
        <stp/>
        <stp>P</stp>
        <stp>0</stp>
        <stp>IDX</stp>
        <stp>KGZ01P</stp>
        <stp>현재가</stp>
        <stp>45539</stp>
        <stp>Fill=true,Per=월</stp>
        <tr r="E16" s="2"/>
      </tp>
      <tp>
        <v>2906.82</v>
        <stp/>
        <stp>P</stp>
        <stp>0</stp>
        <stp>IDX</stp>
        <stp>KGZ02P</stp>
        <stp>현재가</stp>
        <stp>45539</stp>
        <stp>Fill=true,Per=월</stp>
        <tr r="E30" s="2"/>
      </tp>
      <tp>
        <v>2242.19</v>
        <stp/>
        <stp>P</stp>
        <stp>0</stp>
        <stp>IDX</stp>
        <stp>KGZ03P</stp>
        <stp>현재가</stp>
        <stp>45539</stp>
        <stp>Fill=true,Per=월</stp>
        <tr r="E57" s="2"/>
      </tp>
      <tp>
        <v>4607.97</v>
        <stp/>
        <stp>P</stp>
        <stp>0</stp>
        <stp>IDX</stp>
        <stp>TGX01P</stp>
        <stp>현재가</stp>
        <stp>45539</stp>
        <stp>Fill=true,Per=월</stp>
        <tr r="E192" s="2"/>
      </tp>
      <tp>
        <v>4071.99</v>
        <stp/>
        <stp>P</stp>
        <stp>0</stp>
        <stp>IDX</stp>
        <stp>XGX05P</stp>
        <stp>현재가</stp>
        <stp>45539</stp>
        <stp>Fill=true,Per=월</stp>
        <tr r="E130" s="2"/>
      </tp>
      <tp>
        <v>4866.1000000000004</v>
        <stp/>
        <stp>P</stp>
        <stp>0</stp>
        <stp>IDX</stp>
        <stp>XGX04P</stp>
        <stp>현재가</stp>
        <stp>45539</stp>
        <stp>Fill=true,Per=월</stp>
        <tr r="E131" s="2"/>
      </tp>
      <tp>
        <v>1581.72</v>
        <stp/>
        <stp>P</stp>
        <stp>0</stp>
        <stp>IDX</stp>
        <stp>XGX03P</stp>
        <stp>현재가</stp>
        <stp>45539</stp>
        <stp>Fill=true,Per=월</stp>
        <tr r="E132" s="2"/>
      </tp>
      <tp>
        <v>977.74</v>
        <stp/>
        <stp>P</stp>
        <stp>0</stp>
        <stp>IDX</stp>
        <stp>XGX02P</stp>
        <stp>현재가</stp>
        <stp>45539</stp>
        <stp>Fill=true,Per=월</stp>
        <tr r="E133" s="2"/>
      </tp>
      <tp>
        <v>8177.19</v>
        <stp/>
        <stp>P</stp>
        <stp>0</stp>
        <stp>IDX</stp>
        <stp>XGX01P</stp>
        <stp>현재가</stp>
        <stp>45539</stp>
        <stp>Fill=true,Per=월</stp>
        <tr r="E134" s="2"/>
      </tp>
      <tp>
        <v>647.99</v>
        <stp/>
        <stp>P</stp>
        <stp>0</stp>
        <stp>IDX</stp>
        <stp>KGX01P</stp>
        <stp>현재가</stp>
        <stp>45539</stp>
        <stp>Fill=true,Per=월</stp>
        <tr r="E118" s="2"/>
      </tp>
      <tp>
        <v>0</v>
        <stp/>
        <stp>P</stp>
        <stp>0</stp>
        <stp>IDX</stp>
        <stp>XGT03P</stp>
        <stp>저가</stp>
        <stp>45539</stp>
        <stp>Fill=true,Per=월</stp>
        <tr r="L45" s="2"/>
      </tp>
      <tp>
        <v>0</v>
        <stp/>
        <stp>P</stp>
        <stp>0</stp>
        <stp>IDX</stp>
        <stp>XGT13P</stp>
        <stp>저가</stp>
        <stp>45539</stp>
        <stp>Fill=true,Per=월</stp>
        <tr r="L139" s="2"/>
      </tp>
      <tp>
        <v>1632.66</v>
        <stp/>
        <stp>P</stp>
        <stp>0</stp>
        <stp>IDX</stp>
        <stp>XGX03P</stp>
        <stp>시가</stp>
        <stp>45539</stp>
        <stp>Fill=true,Per=월</stp>
        <tr r="J132" s="2"/>
      </tp>
      <tp>
        <v>0</v>
        <stp/>
        <stp>P</stp>
        <stp>0</stp>
        <stp>IDX</stp>
        <stp>XGS03P</stp>
        <stp>저가</stp>
        <stp>45539</stp>
        <stp>Fill=true,Per=월</stp>
        <tr r="L166" s="2"/>
      </tp>
      <tp>
        <v>0</v>
        <stp/>
        <stp>P</stp>
        <stp>0</stp>
        <stp>IDX</stp>
        <stp>XGS13P</stp>
        <stp>저가</stp>
        <stp>45539</stp>
        <stp>Fill=true,Per=월</stp>
        <tr r="L156" s="2"/>
      </tp>
      <tp>
        <v>2441</v>
        <stp/>
        <stp>P</stp>
        <stp>0</stp>
        <stp>IDX</stp>
        <stp>XGT03P</stp>
        <stp>시가</stp>
        <stp>45539</stp>
        <stp>Fill=true,Per=월</stp>
        <tr r="J45" s="2"/>
      </tp>
      <tp>
        <v>1087.73</v>
        <stp/>
        <stp>P</stp>
        <stp>0</stp>
        <stp>IDX</stp>
        <stp>XGT13P</stp>
        <stp>시가</stp>
        <stp>45539</stp>
        <stp>Fill=true,Per=월</stp>
        <tr r="J139" s="2"/>
      </tp>
      <tp>
        <v>1476.92</v>
        <stp/>
        <stp>P</stp>
        <stp>0</stp>
        <stp>IDX</stp>
        <stp>XG903P</stp>
        <stp>고가</stp>
        <stp>45539</stp>
        <stp>Fill=true,Per=월</stp>
        <tr r="K178" s="2"/>
      </tp>
      <tp>
        <v>0</v>
        <stp/>
        <stp>P</stp>
        <stp>0</stp>
        <stp>IDX</stp>
        <stp>XGX03P</stp>
        <stp>저가</stp>
        <stp>45539</stp>
        <stp>Fill=true,Per=월</stp>
        <tr r="L132" s="2"/>
      </tp>
      <tp>
        <v>4029.63</v>
        <stp/>
        <stp>P</stp>
        <stp>0</stp>
        <stp>IDX</stp>
        <stp>XGS03P</stp>
        <stp>시가</stp>
        <stp>45539</stp>
        <stp>Fill=true,Per=월</stp>
        <tr r="J166" s="2"/>
      </tp>
      <tp>
        <v>951.52</v>
        <stp/>
        <stp>P</stp>
        <stp>0</stp>
        <stp>IDX</stp>
        <stp>XGS13P</stp>
        <stp>시가</stp>
        <stp>45539</stp>
        <stp>Fill=true,Per=월</stp>
        <tr r="J156" s="2"/>
      </tp>
      <tp>
        <v>0</v>
        <stp/>
        <stp>P</stp>
        <stp>0</stp>
        <stp>IDX</stp>
        <stp>XGE03P</stp>
        <stp>저가</stp>
        <stp>45539</stp>
        <stp>Fill=true,Per=월</stp>
        <tr r="L172" s="2"/>
      </tp>
      <tp>
        <v>2019.71</v>
        <stp/>
        <stp>P</stp>
        <stp>0</stp>
        <stp>IDX</stp>
        <stp>XGE03P</stp>
        <stp>시가</stp>
        <stp>45539</stp>
        <stp>Fill=true,Per=월</stp>
        <tr r="J172" s="2"/>
      </tp>
      <tp>
        <v>4031.04</v>
        <stp/>
        <stp>P</stp>
        <stp>0</stp>
        <stp>IDX</stp>
        <stp>XGS03P</stp>
        <stp>고가</stp>
        <stp>45539</stp>
        <stp>Fill=true,Per=월</stp>
        <tr r="K166" s="2"/>
      </tp>
      <tp>
        <v>964.69</v>
        <stp/>
        <stp>P</stp>
        <stp>0</stp>
        <stp>IDX</stp>
        <stp>XGS13P</stp>
        <stp>고가</stp>
        <stp>45539</stp>
        <stp>Fill=true,Per=월</stp>
        <tr r="K156" s="2"/>
      </tp>
      <tp>
        <v>1467.02</v>
        <stp/>
        <stp>P</stp>
        <stp>0</stp>
        <stp>IDX</stp>
        <stp>XG903P</stp>
        <stp>시가</stp>
        <stp>45539</stp>
        <stp>Fill=true,Per=월</stp>
        <tr r="J178" s="2"/>
      </tp>
      <tp>
        <v>2442.62</v>
        <stp/>
        <stp>P</stp>
        <stp>0</stp>
        <stp>IDX</stp>
        <stp>XGT03P</stp>
        <stp>고가</stp>
        <stp>45539</stp>
        <stp>Fill=true,Per=월</stp>
        <tr r="K45" s="2"/>
      </tp>
      <tp>
        <v>1088.1199999999999</v>
        <stp/>
        <stp>P</stp>
        <stp>0</stp>
        <stp>IDX</stp>
        <stp>XGT13P</stp>
        <stp>고가</stp>
        <stp>45539</stp>
        <stp>Fill=true,Per=월</stp>
        <tr r="K139" s="2"/>
      </tp>
      <tp>
        <v>1655.53</v>
        <stp/>
        <stp>P</stp>
        <stp>0</stp>
        <stp>IDX</stp>
        <stp>XGX03P</stp>
        <stp>고가</stp>
        <stp>45539</stp>
        <stp>Fill=true,Per=월</stp>
        <tr r="K132" s="2"/>
      </tp>
      <tp>
        <v>0</v>
        <stp/>
        <stp>P</stp>
        <stp>0</stp>
        <stp>IDX</stp>
        <stp>XG903P</stp>
        <stp>저가</stp>
        <stp>45539</stp>
        <stp>Fill=true,Per=월</stp>
        <tr r="L178" s="2"/>
      </tp>
      <tp>
        <v>2031.66</v>
        <stp/>
        <stp>P</stp>
        <stp>0</stp>
        <stp>IDX</stp>
        <stp>XGE03P</stp>
        <stp>고가</stp>
        <stp>45539</stp>
        <stp>Fill=true,Per=월</stp>
        <tr r="K172" s="2"/>
      </tp>
      <tp>
        <v>0</v>
        <stp/>
        <stp>P</stp>
        <stp>0</stp>
        <stp>IDX</stp>
        <stp>X3S03P</stp>
        <stp>저가</stp>
        <stp>45539</stp>
        <stp>Fill=true,Per=월</stp>
        <tr r="L187" s="2"/>
      </tp>
      <tp>
        <v>3641</v>
        <stp/>
        <stp>P</stp>
        <stp>0</stp>
        <stp>IDX</stp>
        <stp>X3S03P</stp>
        <stp>시가</stp>
        <stp>45539</stp>
        <stp>Fill=true,Per=월</stp>
        <tr r="J187" s="2"/>
      </tp>
      <tp>
        <v>3642.16</v>
        <stp/>
        <stp>P</stp>
        <stp>0</stp>
        <stp>IDX</stp>
        <stp>X3S03P</stp>
        <stp>고가</stp>
        <stp>45539</stp>
        <stp>Fill=true,Per=월</stp>
        <tr r="K187" s="2"/>
      </tp>
      <tp t="s">
        <v/>
        <stp/>
        <stp>P</stp>
        <stp>0</stp>
        <stp>IDX</stp>
        <stp>F2X44T</stp>
        <stp>외국인합순매수금액</stp>
        <stp>45539</stp>
        <stp>Fill=true,Per=월</stp>
        <tr r="O268" s="2"/>
      </tp>
      <tp t="s">
        <v/>
        <stp/>
        <stp>P</stp>
        <stp>0</stp>
        <stp>IDX</stp>
        <stp>F2X43T</stp>
        <stp>외국인합순매수금액</stp>
        <stp>45539</stp>
        <stp>Fill=true,Per=월</stp>
        <tr r="O267" s="2"/>
      </tp>
      <tp t="s">
        <v/>
        <stp/>
        <stp>P</stp>
        <stp>0</stp>
        <stp>IDX</stp>
        <stp>F2X42T</stp>
        <stp>외국인합순매수금액</stp>
        <stp>45539</stp>
        <stp>Fill=true,Per=월</stp>
        <tr r="O266" s="2"/>
      </tp>
      <tp t="s">
        <v/>
        <stp/>
        <stp>P</stp>
        <stp>0</stp>
        <stp>IDX</stp>
        <stp>F2X41T</stp>
        <stp>외국인합순매수금액</stp>
        <stp>45539</stp>
        <stp>Fill=true,Per=월</stp>
        <tr r="O265" s="2"/>
      </tp>
      <tp t="s">
        <v/>
        <stp/>
        <stp>P</stp>
        <stp>0</stp>
        <stp>IDX</stp>
        <stp>F2X40T</stp>
        <stp>외국인합순매수금액</stp>
        <stp>45539</stp>
        <stp>Fill=true,Per=월</stp>
        <tr r="O264" s="2"/>
      </tp>
      <tp>
        <v>0</v>
        <stp/>
        <stp>P</stp>
        <stp>0</stp>
        <stp>IDX</stp>
        <stp>XGT04P</stp>
        <stp>저가</stp>
        <stp>45539</stp>
        <stp>Fill=true,Per=월</stp>
        <tr r="L151" s="2"/>
      </tp>
      <tp>
        <v>0</v>
        <stp/>
        <stp>P</stp>
        <stp>0</stp>
        <stp>IDX</stp>
        <stp>XGT14P</stp>
        <stp>저가</stp>
        <stp>45539</stp>
        <stp>Fill=true,Per=월</stp>
        <tr r="L138" s="2"/>
      </tp>
      <tp>
        <v>4594.1099999999997</v>
        <stp/>
        <stp>P</stp>
        <stp>0</stp>
        <stp>IDX</stp>
        <stp>XGX04P</stp>
        <stp>시가</stp>
        <stp>45539</stp>
        <stp>Fill=true,Per=월</stp>
        <tr r="J131" s="2"/>
      </tp>
      <tp>
        <v>0</v>
        <stp/>
        <stp>P</stp>
        <stp>0</stp>
        <stp>IDX</stp>
        <stp>XGS04P</stp>
        <stp>저가</stp>
        <stp>45539</stp>
        <stp>Fill=true,Per=월</stp>
        <tr r="L165" s="2"/>
      </tp>
      <tp>
        <v>0</v>
        <stp/>
        <stp>P</stp>
        <stp>0</stp>
        <stp>IDX</stp>
        <stp>XGS14P</stp>
        <stp>저가</stp>
        <stp>45539</stp>
        <stp>Fill=true,Per=월</stp>
        <tr r="L155" s="2"/>
      </tp>
      <tp>
        <v>863.73</v>
        <stp/>
        <stp>P</stp>
        <stp>0</stp>
        <stp>IDX</stp>
        <stp>XGT04P</stp>
        <stp>시가</stp>
        <stp>45539</stp>
        <stp>Fill=true,Per=월</stp>
        <tr r="J151" s="2"/>
      </tp>
      <tp>
        <v>879.25</v>
        <stp/>
        <stp>P</stp>
        <stp>0</stp>
        <stp>IDX</stp>
        <stp>XGT14P</stp>
        <stp>시가</stp>
        <stp>45539</stp>
        <stp>Fill=true,Per=월</stp>
        <tr r="J138" s="2"/>
      </tp>
      <tp>
        <v>829.86</v>
        <stp/>
        <stp>P</stp>
        <stp>0</stp>
        <stp>IDX</stp>
        <stp>XG904P</stp>
        <stp>고가</stp>
        <stp>45539</stp>
        <stp>Fill=true,Per=월</stp>
        <tr r="K177" s="2"/>
      </tp>
      <tp>
        <v>0</v>
        <stp/>
        <stp>P</stp>
        <stp>0</stp>
        <stp>IDX</stp>
        <stp>XGX04P</stp>
        <stp>저가</stp>
        <stp>45539</stp>
        <stp>Fill=true,Per=월</stp>
        <tr r="L131" s="2"/>
      </tp>
      <tp>
        <v>890.84</v>
        <stp/>
        <stp>P</stp>
        <stp>0</stp>
        <stp>IDX</stp>
        <stp>XGS04P</stp>
        <stp>시가</stp>
        <stp>45539</stp>
        <stp>Fill=true,Per=월</stp>
        <tr r="J165" s="2"/>
      </tp>
      <tp>
        <v>1192.3399999999999</v>
        <stp/>
        <stp>P</stp>
        <stp>0</stp>
        <stp>IDX</stp>
        <stp>XGS14P</stp>
        <stp>시가</stp>
        <stp>45539</stp>
        <stp>Fill=true,Per=월</stp>
        <tr r="J155" s="2"/>
      </tp>
      <tp>
        <v>0</v>
        <stp/>
        <stp>P</stp>
        <stp>0</stp>
        <stp>IDX</stp>
        <stp>XGE04P</stp>
        <stp>저가</stp>
        <stp>45539</stp>
        <stp>Fill=true,Per=월</stp>
        <tr r="L171" s="2"/>
      </tp>
      <tp>
        <v>2085.0100000000002</v>
        <stp/>
        <stp>P</stp>
        <stp>0</stp>
        <stp>IDX</stp>
        <stp>XGE04P</stp>
        <stp>시가</stp>
        <stp>45539</stp>
        <stp>Fill=true,Per=월</stp>
        <tr r="J171" s="2"/>
      </tp>
      <tp>
        <v>908.21</v>
        <stp/>
        <stp>P</stp>
        <stp>0</stp>
        <stp>IDX</stp>
        <stp>XGS04P</stp>
        <stp>고가</stp>
        <stp>45539</stp>
        <stp>Fill=true,Per=월</stp>
        <tr r="K165" s="2"/>
      </tp>
      <tp>
        <v>1203.01</v>
        <stp/>
        <stp>P</stp>
        <stp>0</stp>
        <stp>IDX</stp>
        <stp>XGS14P</stp>
        <stp>고가</stp>
        <stp>45539</stp>
        <stp>Fill=true,Per=월</stp>
        <tr r="K155" s="2"/>
      </tp>
      <tp>
        <v>813.25</v>
        <stp/>
        <stp>P</stp>
        <stp>0</stp>
        <stp>IDX</stp>
        <stp>XG904P</stp>
        <stp>시가</stp>
        <stp>45539</stp>
        <stp>Fill=true,Per=월</stp>
        <tr r="J177" s="2"/>
      </tp>
      <tp>
        <v>878.17</v>
        <stp/>
        <stp>P</stp>
        <stp>0</stp>
        <stp>IDX</stp>
        <stp>XGT04P</stp>
        <stp>고가</stp>
        <stp>45539</stp>
        <stp>Fill=true,Per=월</stp>
        <tr r="K151" s="2"/>
      </tp>
      <tp>
        <v>881.61</v>
        <stp/>
        <stp>P</stp>
        <stp>0</stp>
        <stp>IDX</stp>
        <stp>XGT14P</stp>
        <stp>고가</stp>
        <stp>45539</stp>
        <stp>Fill=true,Per=월</stp>
        <tr r="K138" s="2"/>
      </tp>
      <tp>
        <v>5103.01</v>
        <stp/>
        <stp>P</stp>
        <stp>0</stp>
        <stp>IDX</stp>
        <stp>XGX04P</stp>
        <stp>고가</stp>
        <stp>45539</stp>
        <stp>Fill=true,Per=월</stp>
        <tr r="K131" s="2"/>
      </tp>
      <tp>
        <v>0</v>
        <stp/>
        <stp>P</stp>
        <stp>0</stp>
        <stp>IDX</stp>
        <stp>XG904P</stp>
        <stp>저가</stp>
        <stp>45539</stp>
        <stp>Fill=true,Per=월</stp>
        <tr r="L177" s="2"/>
      </tp>
      <tp>
        <v>2104.73</v>
        <stp/>
        <stp>P</stp>
        <stp>0</stp>
        <stp>IDX</stp>
        <stp>XGE04P</stp>
        <stp>고가</stp>
        <stp>45539</stp>
        <stp>Fill=true,Per=월</stp>
        <tr r="K171" s="2"/>
      </tp>
      <tp>
        <v>0</v>
        <stp/>
        <stp>P</stp>
        <stp>0</stp>
        <stp>IDX</stp>
        <stp>X3S04P</stp>
        <stp>저가</stp>
        <stp>45539</stp>
        <stp>Fill=true,Per=월</stp>
        <tr r="L186" s="2"/>
      </tp>
      <tp>
        <v>1093.4100000000001</v>
        <stp/>
        <stp>P</stp>
        <stp>0</stp>
        <stp>IDX</stp>
        <stp>X3S04P</stp>
        <stp>시가</stp>
        <stp>45539</stp>
        <stp>Fill=true,Per=월</stp>
        <tr r="J186" s="2"/>
      </tp>
      <tp>
        <v>1123.46</v>
        <stp/>
        <stp>P</stp>
        <stp>0</stp>
        <stp>IDX</stp>
        <stp>X3S04P</stp>
        <stp>고가</stp>
        <stp>45539</stp>
        <stp>Fill=true,Per=월</stp>
        <tr r="K186" s="2"/>
      </tp>
      <tp>
        <v>0</v>
        <stp/>
        <stp>P</stp>
        <stp>0</stp>
        <stp>IDX</stp>
        <stp>XGT05P</stp>
        <stp>저가</stp>
        <stp>45539</stp>
        <stp>Fill=true,Per=월</stp>
        <tr r="L150" s="2"/>
      </tp>
      <tp>
        <v>0</v>
        <stp/>
        <stp>P</stp>
        <stp>0</stp>
        <stp>IDX</stp>
        <stp>XGT15P</stp>
        <stp>저가</stp>
        <stp>45539</stp>
        <stp>Fill=true,Per=월</stp>
        <tr r="L137" s="2"/>
      </tp>
      <tp>
        <v>4345.84</v>
        <stp/>
        <stp>P</stp>
        <stp>0</stp>
        <stp>IDX</stp>
        <stp>XGX05P</stp>
        <stp>시가</stp>
        <stp>45539</stp>
        <stp>Fill=true,Per=월</stp>
        <tr r="J130" s="2"/>
      </tp>
      <tp>
        <v>0</v>
        <stp/>
        <stp>P</stp>
        <stp>0</stp>
        <stp>IDX</stp>
        <stp>XGS05P</stp>
        <stp>저가</stp>
        <stp>45539</stp>
        <stp>Fill=true,Per=월</stp>
        <tr r="L164" s="2"/>
      </tp>
      <tp>
        <v>0</v>
        <stp/>
        <stp>P</stp>
        <stp>0</stp>
        <stp>IDX</stp>
        <stp>XGS15P</stp>
        <stp>저가</stp>
        <stp>45539</stp>
        <stp>Fill=true,Per=월</stp>
        <tr r="L154" s="2"/>
      </tp>
      <tp>
        <v>686.83</v>
        <stp/>
        <stp>P</stp>
        <stp>0</stp>
        <stp>IDX</stp>
        <stp>XGT05P</stp>
        <stp>시가</stp>
        <stp>45539</stp>
        <stp>Fill=true,Per=월</stp>
        <tr r="J150" s="2"/>
      </tp>
      <tp>
        <v>1282.8800000000001</v>
        <stp/>
        <stp>P</stp>
        <stp>0</stp>
        <stp>IDX</stp>
        <stp>XGT15P</stp>
        <stp>시가</stp>
        <stp>45539</stp>
        <stp>Fill=true,Per=월</stp>
        <tr r="J137" s="2"/>
      </tp>
      <tp>
        <v>0</v>
        <stp/>
        <stp>P</stp>
        <stp>0</stp>
        <stp>IDX</stp>
        <stp>XGX05P</stp>
        <stp>저가</stp>
        <stp>45539</stp>
        <stp>Fill=true,Per=월</stp>
        <tr r="L130" s="2"/>
      </tp>
      <tp>
        <v>2433.4299999999998</v>
        <stp/>
        <stp>P</stp>
        <stp>0</stp>
        <stp>IDX</stp>
        <stp>XGS05P</stp>
        <stp>시가</stp>
        <stp>45539</stp>
        <stp>Fill=true,Per=월</stp>
        <tr r="J164" s="2"/>
      </tp>
      <tp>
        <v>1662.12</v>
        <stp/>
        <stp>P</stp>
        <stp>0</stp>
        <stp>IDX</stp>
        <stp>XGS15P</stp>
        <stp>시가</stp>
        <stp>45539</stp>
        <stp>Fill=true,Per=월</stp>
        <tr r="J154" s="2"/>
      </tp>
      <tp>
        <v>0</v>
        <stp/>
        <stp>P</stp>
        <stp>0</stp>
        <stp>IDX</stp>
        <stp>XGE05P</stp>
        <stp>저가</stp>
        <stp>45539</stp>
        <stp>Fill=true,Per=월</stp>
        <tr r="L169" s="2"/>
      </tp>
      <tp>
        <v>0</v>
        <stp/>
        <stp>P</stp>
        <stp>0</stp>
        <stp>IDX</stp>
        <stp>XGB05P</stp>
        <stp>저가</stp>
        <stp>45539</stp>
        <stp>Fill=true,Per=월</stp>
        <tr r="L176" s="2"/>
      </tp>
      <tp>
        <v>2124.42</v>
        <stp/>
        <stp>P</stp>
        <stp>0</stp>
        <stp>IDX</stp>
        <stp>XGE05P</stp>
        <stp>시가</stp>
        <stp>45539</stp>
        <stp>Fill=true,Per=월</stp>
        <tr r="J169" s="2"/>
      </tp>
      <tp>
        <v>6586.12</v>
        <stp/>
        <stp>P</stp>
        <stp>0</stp>
        <stp>IDX</stp>
        <stp>XGB05P</stp>
        <stp>시가</stp>
        <stp>45539</stp>
        <stp>Fill=true,Per=월</stp>
        <tr r="J176" s="2"/>
      </tp>
      <tp>
        <v>2490.1</v>
        <stp/>
        <stp>P</stp>
        <stp>0</stp>
        <stp>IDX</stp>
        <stp>XGS05P</stp>
        <stp>고가</stp>
        <stp>45539</stp>
        <stp>Fill=true,Per=월</stp>
        <tr r="K164" s="2"/>
      </tp>
      <tp>
        <v>1663.12</v>
        <stp/>
        <stp>P</stp>
        <stp>0</stp>
        <stp>IDX</stp>
        <stp>XGS15P</stp>
        <stp>고가</stp>
        <stp>45539</stp>
        <stp>Fill=true,Per=월</stp>
        <tr r="K154" s="2"/>
      </tp>
      <tp>
        <v>687.96</v>
        <stp/>
        <stp>P</stp>
        <stp>0</stp>
        <stp>IDX</stp>
        <stp>XGT05P</stp>
        <stp>고가</stp>
        <stp>45539</stp>
        <stp>Fill=true,Per=월</stp>
        <tr r="K150" s="2"/>
      </tp>
      <tp>
        <v>1285.79</v>
        <stp/>
        <stp>P</stp>
        <stp>0</stp>
        <stp>IDX</stp>
        <stp>XGT15P</stp>
        <stp>고가</stp>
        <stp>45539</stp>
        <stp>Fill=true,Per=월</stp>
        <tr r="K137" s="2"/>
      </tp>
      <tp>
        <v>4345.84</v>
        <stp/>
        <stp>P</stp>
        <stp>0</stp>
        <stp>IDX</stp>
        <stp>XGX05P</stp>
        <stp>고가</stp>
        <stp>45539</stp>
        <stp>Fill=true,Per=월</stp>
        <tr r="K130" s="2"/>
      </tp>
      <tp>
        <v>6650.1</v>
        <stp/>
        <stp>P</stp>
        <stp>0</stp>
        <stp>IDX</stp>
        <stp>XGB05P</stp>
        <stp>고가</stp>
        <stp>45539</stp>
        <stp>Fill=true,Per=월</stp>
        <tr r="K176" s="2"/>
      </tp>
      <tp>
        <v>2160.98</v>
        <stp/>
        <stp>P</stp>
        <stp>0</stp>
        <stp>IDX</stp>
        <stp>XGE05P</stp>
        <stp>고가</stp>
        <stp>45539</stp>
        <stp>Fill=true,Per=월</stp>
        <tr r="K169" s="2"/>
      </tp>
      <tp>
        <v>0</v>
        <stp/>
        <stp>P</stp>
        <stp>0</stp>
        <stp>IDX</stp>
        <stp>X3S05P</stp>
        <stp>저가</stp>
        <stp>45539</stp>
        <stp>Fill=true,Per=월</stp>
        <tr r="L185" s="2"/>
      </tp>
      <tp>
        <v>2589.9699999999998</v>
        <stp/>
        <stp>P</stp>
        <stp>0</stp>
        <stp>IDX</stp>
        <stp>X3S05P</stp>
        <stp>시가</stp>
        <stp>45539</stp>
        <stp>Fill=true,Per=월</stp>
        <tr r="J185" s="2"/>
      </tp>
      <tp>
        <v>2617.38</v>
        <stp/>
        <stp>P</stp>
        <stp>0</stp>
        <stp>IDX</stp>
        <stp>X3S05P</stp>
        <stp>고가</stp>
        <stp>45539</stp>
        <stp>Fill=true,Per=월</stp>
        <tr r="K185" s="2"/>
      </tp>
      <tp>
        <v>0</v>
        <stp/>
        <stp>P</stp>
        <stp>0</stp>
        <stp>IDX</stp>
        <stp>XGT06T</stp>
        <stp>저가</stp>
        <stp>45539</stp>
        <stp>Fill=true,Per=월</stp>
        <tr r="L148" s="2"/>
      </tp>
      <tp>
        <v>2039.07</v>
        <stp/>
        <stp>P</stp>
        <stp>0</stp>
        <stp>IDX</stp>
        <stp>XGT06T</stp>
        <stp>시가</stp>
        <stp>45539</stp>
        <stp>Fill=true,Per=월</stp>
        <tr r="J148" s="2"/>
      </tp>
      <tp>
        <v>2050.4699999999998</v>
        <stp/>
        <stp>P</stp>
        <stp>0</stp>
        <stp>IDX</stp>
        <stp>XGT06T</stp>
        <stp>고가</stp>
        <stp>45539</stp>
        <stp>Fill=true,Per=월</stp>
        <tr r="K148" s="2"/>
      </tp>
      <tp>
        <v>0</v>
        <stp/>
        <stp>P</stp>
        <stp>0</stp>
        <stp>IDX</stp>
        <stp>XGT06P</stp>
        <stp>저가</stp>
        <stp>45539</stp>
        <stp>Fill=true,Per=월</stp>
        <tr r="L149" s="2"/>
      </tp>
      <tp>
        <v>0</v>
        <stp/>
        <stp>P</stp>
        <stp>0</stp>
        <stp>IDX</stp>
        <stp>XGS06P</stp>
        <stp>저가</stp>
        <stp>45539</stp>
        <stp>Fill=true,Per=월</stp>
        <tr r="L163" s="2"/>
      </tp>
      <tp>
        <v>0</v>
        <stp/>
        <stp>P</stp>
        <stp>0</stp>
        <stp>IDX</stp>
        <stp>XGS16P</stp>
        <stp>저가</stp>
        <stp>45539</stp>
        <stp>Fill=true,Per=월</stp>
        <tr r="L153" s="2"/>
      </tp>
      <tp>
        <v>1678.77</v>
        <stp/>
        <stp>P</stp>
        <stp>0</stp>
        <stp>IDX</stp>
        <stp>XGT06P</stp>
        <stp>시가</stp>
        <stp>45539</stp>
        <stp>Fill=true,Per=월</stp>
        <tr r="J149" s="2"/>
      </tp>
      <tp>
        <v>1579.28</v>
        <stp/>
        <stp>P</stp>
        <stp>0</stp>
        <stp>IDX</stp>
        <stp>XGS06P</stp>
        <stp>시가</stp>
        <stp>45539</stp>
        <stp>Fill=true,Per=월</stp>
        <tr r="J163" s="2"/>
      </tp>
      <tp>
        <v>1567.32</v>
        <stp/>
        <stp>P</stp>
        <stp>0</stp>
        <stp>IDX</stp>
        <stp>XGS16P</stp>
        <stp>시가</stp>
        <stp>45539</stp>
        <stp>Fill=true,Per=월</stp>
        <tr r="J153" s="2"/>
      </tp>
      <tp>
        <v>1647.95</v>
        <stp/>
        <stp>P</stp>
        <stp>0</stp>
        <stp>IDX</stp>
        <stp>XGS06P</stp>
        <stp>고가</stp>
        <stp>45539</stp>
        <stp>Fill=true,Per=월</stp>
        <tr r="K163" s="2"/>
      </tp>
      <tp>
        <v>1584.6</v>
        <stp/>
        <stp>P</stp>
        <stp>0</stp>
        <stp>IDX</stp>
        <stp>XGS16P</stp>
        <stp>고가</stp>
        <stp>45539</stp>
        <stp>Fill=true,Per=월</stp>
        <tr r="K153" s="2"/>
      </tp>
      <tp>
        <v>1688.3</v>
        <stp/>
        <stp>P</stp>
        <stp>0</stp>
        <stp>IDX</stp>
        <stp>XGT06P</stp>
        <stp>고가</stp>
        <stp>45539</stp>
        <stp>Fill=true,Per=월</stp>
        <tr r="K149" s="2"/>
      </tp>
      <tp>
        <v>0</v>
        <stp/>
        <stp>P</stp>
        <stp>0</stp>
        <stp>IDX</stp>
        <stp>X3S06P</stp>
        <stp>저가</stp>
        <stp>45539</stp>
        <stp>Fill=true,Per=월</stp>
        <tr r="L184" s="2"/>
      </tp>
      <tp>
        <v>1411.82</v>
        <stp/>
        <stp>P</stp>
        <stp>0</stp>
        <stp>IDX</stp>
        <stp>X3S06P</stp>
        <stp>시가</stp>
        <stp>45539</stp>
        <stp>Fill=true,Per=월</stp>
        <tr r="J184" s="2"/>
      </tp>
      <tp>
        <v>1465.52</v>
        <stp/>
        <stp>P</stp>
        <stp>0</stp>
        <stp>IDX</stp>
        <stp>X3S06P</stp>
        <stp>고가</stp>
        <stp>45539</stp>
        <stp>Fill=true,Per=월</stp>
        <tr r="K184" s="2"/>
      </tp>
      <tp>
        <v>789.83</v>
        <stp/>
        <stp>P</stp>
        <stp>0</stp>
        <stp>IDX</stp>
        <stp>FGA03T</stp>
        <stp>현재가</stp>
        <stp>45539</stp>
        <stp>Fill=true,Per=월</stp>
        <tr r="E287" s="2"/>
      </tp>
      <tp>
        <v>1123.57</v>
        <stp/>
        <stp>P</stp>
        <stp>0</stp>
        <stp>IDX</stp>
        <stp>FGA04T</stp>
        <stp>현재가</stp>
        <stp>45539</stp>
        <stp>Fill=true,Per=월</stp>
        <tr r="E288" s="2"/>
      </tp>
      <tp>
        <v>1728.79</v>
        <stp/>
        <stp>P</stp>
        <stp>0</stp>
        <stp>IDX</stp>
        <stp>MGA13T</stp>
        <stp>현재가</stp>
        <stp>45539</stp>
        <stp>Fill=true,Per=월</stp>
        <tr r="E99" s="2"/>
      </tp>
      <tp>
        <v>1317.35</v>
        <stp/>
        <stp>P</stp>
        <stp>0</stp>
        <stp>IDX</stp>
        <stp>MGA16T</stp>
        <stp>현재가</stp>
        <stp>45539</stp>
        <stp>Fill=true,Per=월</stp>
        <tr r="E106" s="2"/>
      </tp>
      <tp>
        <v>830.53</v>
        <stp/>
        <stp>P</stp>
        <stp>0</stp>
        <stp>IDX</stp>
        <stp>QGG01T</stp>
        <stp>현재가</stp>
        <stp>45539</stp>
        <stp>Fill=true,Per=월</stp>
        <tr r="E128" s="2"/>
      </tp>
      <tp>
        <v>3375.02</v>
        <stp/>
        <stp>P</stp>
        <stp>0</stp>
        <stp>IDX</stp>
        <stp>KGG01T</stp>
        <stp>현재가</stp>
        <stp>45539</stp>
        <stp>Fill=true,Per=월</stp>
        <tr r="E116" s="2"/>
      </tp>
      <tp>
        <v>5285.66</v>
        <stp/>
        <stp>P</stp>
        <stp>0</stp>
        <stp>IDX</stp>
        <stp>KGD02T</stp>
        <stp>현재가</stp>
        <stp>45539</stp>
        <stp>Fill=true,Per=월</stp>
        <tr r="E113" s="2"/>
      </tp>
      <tp>
        <v>5502.15</v>
        <stp/>
        <stp>P</stp>
        <stp>0</stp>
        <stp>IDX</stp>
        <stp>KGD03T</stp>
        <stp>현재가</stp>
        <stp>45539</stp>
        <stp>Fill=true,Per=월</stp>
        <tr r="E115" s="2"/>
      </tp>
      <tp>
        <v>3097.92</v>
        <stp/>
        <stp>P</stp>
        <stp>0</stp>
        <stp>IDX</stp>
        <stp>XGT08T</stp>
        <stp>현재가</stp>
        <stp>45539</stp>
        <stp>Fill=true,Per=월</stp>
        <tr r="E145" s="2"/>
      </tp>
      <tp>
        <v>2011.71</v>
        <stp/>
        <stp>P</stp>
        <stp>0</stp>
        <stp>IDX</stp>
        <stp>XGT06T</stp>
        <stp>현재가</stp>
        <stp>45539</stp>
        <stp>Fill=true,Per=월</stp>
        <tr r="E148" s="2"/>
      </tp>
      <tp>
        <v>2692.31</v>
        <stp/>
        <stp>P</stp>
        <stp>0</stp>
        <stp>IDX</stp>
        <stp>XGT10T</stp>
        <stp>현재가</stp>
        <stp>45539</stp>
        <stp>Fill=true,Per=월</stp>
        <tr r="E142" s="2"/>
      </tp>
      <tp>
        <v>1192.04</v>
        <stp/>
        <stp>P</stp>
        <stp>0</stp>
        <stp>IDX</stp>
        <stp>FGX01T</stp>
        <stp>현재가</stp>
        <stp>45539</stp>
        <stp>Fill=true,Per=월</stp>
        <tr r="E293" s="2"/>
      </tp>
      <tp>
        <v>651.46</v>
        <stp/>
        <stp>P</stp>
        <stp>0</stp>
        <stp>IDX</stp>
        <stp>FGX03T</stp>
        <stp>현재가</stp>
        <stp>45539</stp>
        <stp>Fill=true,Per=월</stp>
        <tr r="E295" s="2"/>
      </tp>
      <tp>
        <v>2035.42</v>
        <stp/>
        <stp>P</stp>
        <stp>0</stp>
        <stp>IDX</stp>
        <stp>FGX02T</stp>
        <stp>현재가</stp>
        <stp>45539</stp>
        <stp>Fill=true,Per=월</stp>
        <tr r="E294" s="2"/>
      </tp>
      <tp>
        <v>341.49</v>
        <stp/>
        <stp>P</stp>
        <stp>0</stp>
        <stp>IDX</stp>
        <stp>FGX04T</stp>
        <stp>현재가</stp>
        <stp>45539</stp>
        <stp>Fill=true,Per=월</stp>
        <tr r="E296" s="2"/>
      </tp>
      <tp>
        <v>0</v>
        <stp/>
        <stp>P</stp>
        <stp>0</stp>
        <stp>IDX</stp>
        <stp>XGT07P</stp>
        <stp>저가</stp>
        <stp>45539</stp>
        <stp>Fill=true,Per=월</stp>
        <tr r="L147" s="2"/>
      </tp>
      <tp>
        <v>0</v>
        <stp/>
        <stp>P</stp>
        <stp>0</stp>
        <stp>IDX</stp>
        <stp>XGS07P</stp>
        <stp>저가</stp>
        <stp>45539</stp>
        <stp>Fill=true,Per=월</stp>
        <tr r="L162" s="2"/>
      </tp>
      <tp>
        <v>0</v>
        <stp/>
        <stp>P</stp>
        <stp>0</stp>
        <stp>IDX</stp>
        <stp>XGS17P</stp>
        <stp>저가</stp>
        <stp>45539</stp>
        <stp>Fill=true,Per=월</stp>
        <tr r="L152" s="2"/>
      </tp>
      <tp>
        <v>1381.3</v>
        <stp/>
        <stp>P</stp>
        <stp>0</stp>
        <stp>IDX</stp>
        <stp>XGT07P</stp>
        <stp>시가</stp>
        <stp>45539</stp>
        <stp>Fill=true,Per=월</stp>
        <tr r="J147" s="2"/>
      </tp>
      <tp>
        <v>607.24</v>
        <stp/>
        <stp>P</stp>
        <stp>0</stp>
        <stp>IDX</stp>
        <stp>XGS07P</stp>
        <stp>시가</stp>
        <stp>45539</stp>
        <stp>Fill=true,Per=월</stp>
        <tr r="J162" s="2"/>
      </tp>
      <tp>
        <v>649.39</v>
        <stp/>
        <stp>P</stp>
        <stp>0</stp>
        <stp>IDX</stp>
        <stp>XGS17P</stp>
        <stp>시가</stp>
        <stp>45539</stp>
        <stp>Fill=true,Per=월</stp>
        <tr r="J152" s="2"/>
      </tp>
      <tp>
        <v>620.70000000000005</v>
        <stp/>
        <stp>P</stp>
        <stp>0</stp>
        <stp>IDX</stp>
        <stp>XGS07P</stp>
        <stp>고가</stp>
        <stp>45539</stp>
        <stp>Fill=true,Per=월</stp>
        <tr r="K162" s="2"/>
      </tp>
      <tp>
        <v>660.9</v>
        <stp/>
        <stp>P</stp>
        <stp>0</stp>
        <stp>IDX</stp>
        <stp>XGS17P</stp>
        <stp>고가</stp>
        <stp>45539</stp>
        <stp>Fill=true,Per=월</stp>
        <tr r="K152" s="2"/>
      </tp>
      <tp>
        <v>1386.5</v>
        <stp/>
        <stp>P</stp>
        <stp>0</stp>
        <stp>IDX</stp>
        <stp>XGT07P</stp>
        <stp>고가</stp>
        <stp>45539</stp>
        <stp>Fill=true,Per=월</stp>
        <tr r="K147" s="2"/>
      </tp>
      <tp>
        <v>0</v>
        <stp/>
        <stp>P</stp>
        <stp>0</stp>
        <stp>IDX</stp>
        <stp>X3S07P</stp>
        <stp>저가</stp>
        <stp>45539</stp>
        <stp>Fill=true,Per=월</stp>
        <tr r="L183" s="2"/>
      </tp>
      <tp>
        <v>1180.07</v>
        <stp/>
        <stp>P</stp>
        <stp>0</stp>
        <stp>IDX</stp>
        <stp>X3S07P</stp>
        <stp>시가</stp>
        <stp>45539</stp>
        <stp>Fill=true,Per=월</stp>
        <tr r="J183" s="2"/>
      </tp>
      <tp>
        <v>1189.99</v>
        <stp/>
        <stp>P</stp>
        <stp>0</stp>
        <stp>IDX</stp>
        <stp>X3S07P</stp>
        <stp>고가</stp>
        <stp>45539</stp>
        <stp>Fill=true,Per=월</stp>
        <tr r="K183" s="2"/>
      </tp>
      <tp>
        <v>-0.79</v>
        <stp/>
        <stp>P</stp>
        <stp>0</stp>
        <stp>IDX</stp>
        <stp>K2D03N</stp>
        <stp>등락률</stp>
        <stp>45539</stp>
        <stp>Fill=true,Per=월</stp>
        <tr r="G347" s="2"/>
      </tp>
      <tp>
        <v>-0.53</v>
        <stp/>
        <stp>P</stp>
        <stp>0</stp>
        <stp>IDX</stp>
        <stp>K2G10N</stp>
        <stp>등락률</stp>
        <stp>45539</stp>
        <stp>Fill=true,Per=월</stp>
        <tr r="G360" s="2"/>
      </tp>
      <tp>
        <v>-0.64</v>
        <stp/>
        <stp>P</stp>
        <stp>0</stp>
        <stp>IDX</stp>
        <stp>K2G08N</stp>
        <stp>등락률</stp>
        <stp>45539</stp>
        <stp>Fill=true,Per=월</stp>
        <tr r="G357" s="2"/>
      </tp>
      <tp>
        <v>-0.77</v>
        <stp/>
        <stp>P</stp>
        <stp>0</stp>
        <stp>IDX</stp>
        <stp>K2G01N</stp>
        <stp>등락률</stp>
        <stp>45539</stp>
        <stp>Fill=true,Per=월</stp>
        <tr r="G350" s="2"/>
      </tp>
      <tp>
        <v>-0.76</v>
        <stp/>
        <stp>P</stp>
        <stp>0</stp>
        <stp>IDX</stp>
        <stp>K2G06N</stp>
        <stp>등락률</stp>
        <stp>45539</stp>
        <stp>Fill=true,Per=월</stp>
        <tr r="G354" s="2"/>
      </tp>
      <tp>
        <v>-1.51</v>
        <stp/>
        <stp>P</stp>
        <stp>0</stp>
        <stp>IDX</stp>
        <stp>K2X12N</stp>
        <stp>등락률</stp>
        <stp>45539</stp>
        <stp>Fill=true,Per=월</stp>
        <tr r="G381" s="2"/>
      </tp>
      <tp>
        <v>0</v>
        <stp/>
        <stp>P</stp>
        <stp>0</stp>
        <stp>IDX</stp>
        <stp>XGT08T</stp>
        <stp>저가</stp>
        <stp>45539</stp>
        <stp>Fill=true,Per=월</stp>
        <tr r="L145" s="2"/>
      </tp>
      <tp>
        <v>3111.4</v>
        <stp/>
        <stp>P</stp>
        <stp>0</stp>
        <stp>IDX</stp>
        <stp>XGT08T</stp>
        <stp>시가</stp>
        <stp>45539</stp>
        <stp>Fill=true,Per=월</stp>
        <tr r="J145" s="2"/>
      </tp>
      <tp>
        <v>0</v>
        <stp/>
        <stp>P</stp>
        <stp>0</stp>
        <stp>IDX</stp>
        <stp>QGG01T</stp>
        <stp>저가</stp>
        <stp>45539</stp>
        <stp>Fill=true,Per=월</stp>
        <tr r="L128" s="2"/>
      </tp>
      <tp>
        <v>840.97</v>
        <stp/>
        <stp>P</stp>
        <stp>0</stp>
        <stp>IDX</stp>
        <stp>QGG01T</stp>
        <stp>시가</stp>
        <stp>45539</stp>
        <stp>Fill=true,Per=월</stp>
        <tr r="J128" s="2"/>
      </tp>
      <tp>
        <v>3179.05</v>
        <stp/>
        <stp>P</stp>
        <stp>0</stp>
        <stp>IDX</stp>
        <stp>XGT08T</stp>
        <stp>고가</stp>
        <stp>45539</stp>
        <stp>Fill=true,Per=월</stp>
        <tr r="K145" s="2"/>
      </tp>
      <tp>
        <v>844.49</v>
        <stp/>
        <stp>P</stp>
        <stp>0</stp>
        <stp>IDX</stp>
        <stp>QGG01T</stp>
        <stp>고가</stp>
        <stp>45539</stp>
        <stp>Fill=true,Per=월</stp>
        <tr r="K128" s="2"/>
      </tp>
      <tp>
        <v>0</v>
        <stp/>
        <stp>P</stp>
        <stp>0</stp>
        <stp>IDX</stp>
        <stp>XGT08P</stp>
        <stp>저가</stp>
        <stp>45539</stp>
        <stp>Fill=true,Per=월</stp>
        <tr r="L146" s="2"/>
      </tp>
      <tp>
        <v>0</v>
        <stp/>
        <stp>P</stp>
        <stp>0</stp>
        <stp>IDX</stp>
        <stp>QGS31P</stp>
        <stp>저가</stp>
        <stp>45539</stp>
        <stp>Fill=true,Per=월</stp>
        <tr r="L98" s="2"/>
      </tp>
      <tp>
        <v>0</v>
        <stp/>
        <stp>P</stp>
        <stp>0</stp>
        <stp>IDX</stp>
        <stp>QGS01P</stp>
        <stp>저가</stp>
        <stp>45539</stp>
        <stp>Fill=true,Per=월</stp>
        <tr r="L69" s="2"/>
      </tp>
      <tp>
        <v>0</v>
        <stp/>
        <stp>P</stp>
        <stp>0</stp>
        <stp>IDX</stp>
        <stp>XGS08P</stp>
        <stp>저가</stp>
        <stp>45539</stp>
        <stp>Fill=true,Per=월</stp>
        <tr r="L161" s="2"/>
      </tp>
      <tp>
        <v>0</v>
        <stp/>
        <stp>P</stp>
        <stp>0</stp>
        <stp>IDX</stp>
        <stp>QGS11P</stp>
        <stp>저가</stp>
        <stp>45539</stp>
        <stp>Fill=true,Per=월</stp>
        <tr r="L95" s="2"/>
      </tp>
      <tp>
        <v>1865.33</v>
        <stp/>
        <stp>P</stp>
        <stp>0</stp>
        <stp>IDX</stp>
        <stp>QGZ01P</stp>
        <stp>시가</stp>
        <stp>45539</stp>
        <stp>Fill=true,Per=월</stp>
        <tr r="J41" s="2"/>
      </tp>
      <tp>
        <v>2633.5</v>
        <stp/>
        <stp>P</stp>
        <stp>0</stp>
        <stp>IDX</stp>
        <stp>XGT08P</stp>
        <stp>시가</stp>
        <stp>45539</stp>
        <stp>Fill=true,Per=월</stp>
        <tr r="J146" s="2"/>
      </tp>
      <tp>
        <v>0</v>
        <stp/>
        <stp>P</stp>
        <stp>0</stp>
        <stp>IDX</stp>
        <stp>QGZ01P</stp>
        <stp>저가</stp>
        <stp>45539</stp>
        <stp>Fill=true,Per=월</stp>
        <tr r="L41" s="2"/>
      </tp>
      <tp>
        <v>2612.06</v>
        <stp/>
        <stp>P</stp>
        <stp>0</stp>
        <stp>IDX</stp>
        <stp>QGS31P</stp>
        <stp>시가</stp>
        <stp>45539</stp>
        <stp>Fill=true,Per=월</stp>
        <tr r="J98" s="2"/>
      </tp>
      <tp>
        <v>4057.47</v>
        <stp/>
        <stp>P</stp>
        <stp>0</stp>
        <stp>IDX</stp>
        <stp>QGS01P</stp>
        <stp>시가</stp>
        <stp>45539</stp>
        <stp>Fill=true,Per=월</stp>
        <tr r="J69" s="2"/>
      </tp>
      <tp>
        <v>668.59</v>
        <stp/>
        <stp>P</stp>
        <stp>0</stp>
        <stp>IDX</stp>
        <stp>XGS08P</stp>
        <stp>시가</stp>
        <stp>45539</stp>
        <stp>Fill=true,Per=월</stp>
        <tr r="J161" s="2"/>
      </tp>
      <tp>
        <v>9475.08</v>
        <stp/>
        <stp>P</stp>
        <stp>0</stp>
        <stp>IDX</stp>
        <stp>QGS11P</stp>
        <stp>시가</stp>
        <stp>45539</stp>
        <stp>Fill=true,Per=월</stp>
        <tr r="J95" s="2"/>
      </tp>
      <tp>
        <v>0</v>
        <stp/>
        <stp>P</stp>
        <stp>0</stp>
        <stp>IDX</stp>
        <stp>QGG01P</stp>
        <stp>저가</stp>
        <stp>45539</stp>
        <stp>Fill=true,Per=월</stp>
        <tr r="L26" s="2"/>
      </tp>
      <tp>
        <v>0</v>
        <stp/>
        <stp>P</stp>
        <stp>0</stp>
        <stp>IDX</stp>
        <stp>QGG11P</stp>
        <stp>저가</stp>
        <stp>45539</stp>
        <stp>Fill=true,Per=월</stp>
        <tr r="L58" s="2"/>
      </tp>
      <tp>
        <v>769.85</v>
        <stp/>
        <stp>P</stp>
        <stp>0</stp>
        <stp>IDX</stp>
        <stp>QGG01P</stp>
        <stp>시가</stp>
        <stp>45539</stp>
        <stp>Fill=true,Per=월</stp>
        <tr r="J26" s="2"/>
      </tp>
      <tp>
        <v>1468.92</v>
        <stp/>
        <stp>P</stp>
        <stp>0</stp>
        <stp>IDX</stp>
        <stp>QGG11P</stp>
        <stp>시가</stp>
        <stp>45539</stp>
        <stp>Fill=true,Per=월</stp>
        <tr r="J58" s="2"/>
      </tp>
      <tp>
        <v>2619.62</v>
        <stp/>
        <stp>P</stp>
        <stp>0</stp>
        <stp>IDX</stp>
        <stp>QGS31P</stp>
        <stp>고가</stp>
        <stp>45539</stp>
        <stp>Fill=true,Per=월</stp>
        <tr r="K98" s="2"/>
      </tp>
      <tp>
        <v>4107.83</v>
        <stp/>
        <stp>P</stp>
        <stp>0</stp>
        <stp>IDX</stp>
        <stp>QGS01P</stp>
        <stp>고가</stp>
        <stp>45539</stp>
        <stp>Fill=true,Per=월</stp>
        <tr r="K69" s="2"/>
      </tp>
      <tp>
        <v>671.92</v>
        <stp/>
        <stp>P</stp>
        <stp>0</stp>
        <stp>IDX</stp>
        <stp>XGS08P</stp>
        <stp>고가</stp>
        <stp>45539</stp>
        <stp>Fill=true,Per=월</stp>
        <tr r="K161" s="2"/>
      </tp>
      <tp>
        <v>9825.7999999999993</v>
        <stp/>
        <stp>P</stp>
        <stp>0</stp>
        <stp>IDX</stp>
        <stp>QGS11P</stp>
        <stp>고가</stp>
        <stp>45539</stp>
        <stp>Fill=true,Per=월</stp>
        <tr r="K95" s="2"/>
      </tp>
      <tp>
        <v>2690.76</v>
        <stp/>
        <stp>P</stp>
        <stp>0</stp>
        <stp>IDX</stp>
        <stp>XGT08P</stp>
        <stp>고가</stp>
        <stp>45539</stp>
        <stp>Fill=true,Per=월</stp>
        <tr r="K146" s="2"/>
      </tp>
      <tp>
        <v>1885.94</v>
        <stp/>
        <stp>P</stp>
        <stp>0</stp>
        <stp>IDX</stp>
        <stp>QGZ01P</stp>
        <stp>고가</stp>
        <stp>45539</stp>
        <stp>Fill=true,Per=월</stp>
        <tr r="K41" s="2"/>
      </tp>
      <tp>
        <v>773.15</v>
        <stp/>
        <stp>P</stp>
        <stp>0</stp>
        <stp>IDX</stp>
        <stp>QGG01P</stp>
        <stp>고가</stp>
        <stp>45539</stp>
        <stp>Fill=true,Per=월</stp>
        <tr r="K26" s="2"/>
      </tp>
      <tp>
        <v>1488.8</v>
        <stp/>
        <stp>P</stp>
        <stp>0</stp>
        <stp>IDX</stp>
        <stp>QGG11P</stp>
        <stp>고가</stp>
        <stp>45539</stp>
        <stp>Fill=true,Per=월</stp>
        <tr r="K58" s="2"/>
      </tp>
      <tp>
        <v>0</v>
        <stp/>
        <stp>P</stp>
        <stp>0</stp>
        <stp>IDX</stp>
        <stp>Q5G01T</stp>
        <stp>저가</stp>
        <stp>45539</stp>
        <stp>Fill=true,Per=월</stp>
        <tr r="L203" s="2"/>
      </tp>
      <tp>
        <v>1388.61</v>
        <stp/>
        <stp>P</stp>
        <stp>0</stp>
        <stp>IDX</stp>
        <stp>Q5G01T</stp>
        <stp>시가</stp>
        <stp>45539</stp>
        <stp>Fill=true,Per=월</stp>
        <tr r="J203" s="2"/>
      </tp>
      <tp>
        <v>1400.55</v>
        <stp/>
        <stp>P</stp>
        <stp>0</stp>
        <stp>IDX</stp>
        <stp>Q5G01T</stp>
        <stp>고가</stp>
        <stp>45539</stp>
        <stp>Fill=true,Per=월</stp>
        <tr r="K203" s="2"/>
      </tp>
      <tp>
        <v>0</v>
        <stp/>
        <stp>P</stp>
        <stp>0</stp>
        <stp>IDX</stp>
        <stp>X3S08P</stp>
        <stp>저가</stp>
        <stp>45539</stp>
        <stp>Fill=true,Per=월</stp>
        <tr r="L182" s="2"/>
      </tp>
      <tp>
        <v>1354.62</v>
        <stp/>
        <stp>P</stp>
        <stp>0</stp>
        <stp>IDX</stp>
        <stp>X3S08P</stp>
        <stp>시가</stp>
        <stp>45539</stp>
        <stp>Fill=true,Per=월</stp>
        <tr r="J182" s="2"/>
      </tp>
      <tp>
        <v>1358.75</v>
        <stp/>
        <stp>P</stp>
        <stp>0</stp>
        <stp>IDX</stp>
        <stp>X3S08P</stp>
        <stp>고가</stp>
        <stp>45539</stp>
        <stp>Fill=true,Per=월</stp>
        <tr r="K182" s="2"/>
      </tp>
      <tp>
        <v>0</v>
        <stp/>
        <stp>P</stp>
        <stp>0</stp>
        <stp>IDX</stp>
        <stp>Q5W01P</stp>
        <stp>저가</stp>
        <stp>45539</stp>
        <stp>Fill=true,Per=월</stp>
        <tr r="L35" s="2"/>
      </tp>
      <tp>
        <v>681.76</v>
        <stp/>
        <stp>P</stp>
        <stp>0</stp>
        <stp>IDX</stp>
        <stp>Q5X01P</stp>
        <stp>시가</stp>
        <stp>45539</stp>
        <stp>Fill=true,Per=월</stp>
        <tr r="J36" s="2"/>
      </tp>
      <tp>
        <v>1024.42</v>
        <stp/>
        <stp>P</stp>
        <stp>0</stp>
        <stp>IDX</stp>
        <stp>Q5W01P</stp>
        <stp>시가</stp>
        <stp>45539</stp>
        <stp>Fill=true,Per=월</stp>
        <tr r="J35" s="2"/>
      </tp>
      <tp>
        <v>0</v>
        <stp/>
        <stp>P</stp>
        <stp>0</stp>
        <stp>IDX</stp>
        <stp>Q5X01P</stp>
        <stp>저가</stp>
        <stp>45539</stp>
        <stp>Fill=true,Per=월</stp>
        <tr r="L36" s="2"/>
      </tp>
      <tp>
        <v>0</v>
        <stp/>
        <stp>P</stp>
        <stp>0</stp>
        <stp>IDX</stp>
        <stp>Q5G01P</stp>
        <stp>저가</stp>
        <stp>45539</stp>
        <stp>Fill=true,Per=월</stp>
        <tr r="L34" s="2"/>
      </tp>
      <tp>
        <v>0</v>
        <stp/>
        <stp>P</stp>
        <stp>0</stp>
        <stp>IDX</stp>
        <stp>Q5E01P</stp>
        <stp>저가</stp>
        <stp>45539</stp>
        <stp>Fill=true,Per=월</stp>
        <tr r="L204" s="2"/>
      </tp>
      <tp>
        <v>1512.12</v>
        <stp/>
        <stp>P</stp>
        <stp>0</stp>
        <stp>IDX</stp>
        <stp>Q5E01P</stp>
        <stp>시가</stp>
        <stp>45539</stp>
        <stp>Fill=true,Per=월</stp>
        <tr r="J204" s="2"/>
      </tp>
      <tp>
        <v>1298.03</v>
        <stp/>
        <stp>P</stp>
        <stp>0</stp>
        <stp>IDX</stp>
        <stp>Q5G01P</stp>
        <stp>시가</stp>
        <stp>45539</stp>
        <stp>Fill=true,Per=월</stp>
        <tr r="J34" s="2"/>
      </tp>
      <tp>
        <v>1024.42</v>
        <stp/>
        <stp>P</stp>
        <stp>0</stp>
        <stp>IDX</stp>
        <stp>Q5W01P</stp>
        <stp>고가</stp>
        <stp>45539</stp>
        <stp>Fill=true,Per=월</stp>
        <tr r="K35" s="2"/>
      </tp>
      <tp>
        <v>693.55</v>
        <stp/>
        <stp>P</stp>
        <stp>0</stp>
        <stp>IDX</stp>
        <stp>Q5X01P</stp>
        <stp>고가</stp>
        <stp>45539</stp>
        <stp>Fill=true,Per=월</stp>
        <tr r="K36" s="2"/>
      </tp>
      <tp>
        <v>1309.33</v>
        <stp/>
        <stp>P</stp>
        <stp>0</stp>
        <stp>IDX</stp>
        <stp>Q5G01P</stp>
        <stp>고가</stp>
        <stp>45539</stp>
        <stp>Fill=true,Per=월</stp>
        <tr r="K34" s="2"/>
      </tp>
      <tp>
        <v>1514.64</v>
        <stp/>
        <stp>P</stp>
        <stp>0</stp>
        <stp>IDX</stp>
        <stp>Q5E01P</stp>
        <stp>고가</stp>
        <stp>45539</stp>
        <stp>Fill=true,Per=월</stp>
        <tr r="K204" s="2"/>
      </tp>
      <tp>
        <v>0</v>
        <stp/>
        <stp>P</stp>
        <stp>0</stp>
        <stp>IDX</stp>
        <stp>XGT09P</stp>
        <stp>저가</stp>
        <stp>45539</stp>
        <stp>Fill=true,Per=월</stp>
        <tr r="L144" s="2"/>
      </tp>
      <tp>
        <v>0</v>
        <stp/>
        <stp>P</stp>
        <stp>0</stp>
        <stp>IDX</stp>
        <stp>QGS20P</stp>
        <stp>저가</stp>
        <stp>45539</stp>
        <stp>Fill=true,Per=월</stp>
        <tr r="L97" s="2"/>
      </tp>
      <tp>
        <v>0</v>
        <stp/>
        <stp>P</stp>
        <stp>0</stp>
        <stp>IDX</stp>
        <stp>XGS09P</stp>
        <stp>저가</stp>
        <stp>45539</stp>
        <stp>Fill=true,Per=월</stp>
        <tr r="L160" s="2"/>
      </tp>
      <tp>
        <v>0</v>
        <stp/>
        <stp>P</stp>
        <stp>0</stp>
        <stp>IDX</stp>
        <stp>QGS10P</stp>
        <stp>저가</stp>
        <stp>45539</stp>
        <stp>Fill=true,Per=월</stp>
        <tr r="L96" s="2"/>
      </tp>
      <tp>
        <v>2166.87</v>
        <stp/>
        <stp>P</stp>
        <stp>0</stp>
        <stp>IDX</stp>
        <stp>XGT09P</stp>
        <stp>시가</stp>
        <stp>45539</stp>
        <stp>Fill=true,Per=월</stp>
        <tr r="J144" s="2"/>
      </tp>
      <tp>
        <v>708.51</v>
        <stp/>
        <stp>P</stp>
        <stp>0</stp>
        <stp>IDX</stp>
        <stp>QGS20P</stp>
        <stp>시가</stp>
        <stp>45539</stp>
        <stp>Fill=true,Per=월</stp>
        <tr r="J97" s="2"/>
      </tp>
      <tp>
        <v>789.16</v>
        <stp/>
        <stp>P</stp>
        <stp>0</stp>
        <stp>IDX</stp>
        <stp>XGS09P</stp>
        <stp>시가</stp>
        <stp>45539</stp>
        <stp>Fill=true,Per=월</stp>
        <tr r="J160" s="2"/>
      </tp>
      <tp>
        <v>44.95</v>
        <stp/>
        <stp>P</stp>
        <stp>0</stp>
        <stp>IDX</stp>
        <stp>QGS10P</stp>
        <stp>시가</stp>
        <stp>45539</stp>
        <stp>Fill=true,Per=월</stp>
        <tr r="J96" s="2"/>
      </tp>
      <tp>
        <v>722.18</v>
        <stp/>
        <stp>P</stp>
        <stp>0</stp>
        <stp>IDX</stp>
        <stp>QGS20P</stp>
        <stp>고가</stp>
        <stp>45539</stp>
        <stp>Fill=true,Per=월</stp>
        <tr r="K97" s="2"/>
      </tp>
      <tp>
        <v>807.75</v>
        <stp/>
        <stp>P</stp>
        <stp>0</stp>
        <stp>IDX</stp>
        <stp>XGS09P</stp>
        <stp>고가</stp>
        <stp>45539</stp>
        <stp>Fill=true,Per=월</stp>
        <tr r="K160" s="2"/>
      </tp>
      <tp>
        <v>45.79</v>
        <stp/>
        <stp>P</stp>
        <stp>0</stp>
        <stp>IDX</stp>
        <stp>QGS10P</stp>
        <stp>고가</stp>
        <stp>45539</stp>
        <stp>Fill=true,Per=월</stp>
        <tr r="K96" s="2"/>
      </tp>
      <tp>
        <v>2208.79</v>
        <stp/>
        <stp>P</stp>
        <stp>0</stp>
        <stp>IDX</stp>
        <stp>XGT09P</stp>
        <stp>고가</stp>
        <stp>45539</stp>
        <stp>Fill=true,Per=월</stp>
        <tr r="K144" s="2"/>
      </tp>
      <tp>
        <v>0</v>
        <stp/>
        <stp>P</stp>
        <stp>0</stp>
        <stp>IDX</stp>
        <stp>QGS33P</stp>
        <stp>저가</stp>
        <stp>45539</stp>
        <stp>Fill=true,Per=월</stp>
        <tr r="L65" s="2"/>
      </tp>
      <tp>
        <v>0</v>
        <stp/>
        <stp>P</stp>
        <stp>0</stp>
        <stp>IDX</stp>
        <stp>QGS03P</stp>
        <stp>저가</stp>
        <stp>45539</stp>
        <stp>Fill=true,Per=월</stp>
        <tr r="L93" s="2"/>
      </tp>
      <tp>
        <v>0</v>
        <stp/>
        <stp>P</stp>
        <stp>0</stp>
        <stp>IDX</stp>
        <stp>QGS13P</stp>
        <stp>저가</stp>
        <stp>45539</stp>
        <stp>Fill=true,Per=월</stp>
        <tr r="L77" s="2"/>
      </tp>
      <tp>
        <v>2468.9299999999998</v>
        <stp/>
        <stp>P</stp>
        <stp>0</stp>
        <stp>IDX</stp>
        <stp>QGZ03P</stp>
        <stp>시가</stp>
        <stp>45539</stp>
        <stp>Fill=true,Per=월</stp>
        <tr r="J52" s="2"/>
      </tp>
      <tp>
        <v>0</v>
        <stp/>
        <stp>P</stp>
        <stp>0</stp>
        <stp>IDX</stp>
        <stp>QGZ03P</stp>
        <stp>저가</stp>
        <stp>45539</stp>
        <stp>Fill=true,Per=월</stp>
        <tr r="L52" s="2"/>
      </tp>
      <tp>
        <v>10237.76</v>
        <stp/>
        <stp>P</stp>
        <stp>0</stp>
        <stp>IDX</stp>
        <stp>QGS33P</stp>
        <stp>시가</stp>
        <stp>45539</stp>
        <stp>Fill=true,Per=월</stp>
        <tr r="J65" s="2"/>
      </tp>
      <tp>
        <v>65.37</v>
        <stp/>
        <stp>P</stp>
        <stp>0</stp>
        <stp>IDX</stp>
        <stp>QGS03P</stp>
        <stp>시가</stp>
        <stp>45539</stp>
        <stp>Fill=true,Per=월</stp>
        <tr r="J93" s="2"/>
      </tp>
      <tp>
        <v>2764.75</v>
        <stp/>
        <stp>P</stp>
        <stp>0</stp>
        <stp>IDX</stp>
        <stp>QGS13P</stp>
        <stp>시가</stp>
        <stp>45539</stp>
        <stp>Fill=true,Per=월</stp>
        <tr r="J77" s="2"/>
      </tp>
      <tp>
        <v>0</v>
        <stp/>
        <stp>P</stp>
        <stp>0</stp>
        <stp>IDX</stp>
        <stp>QGG03P</stp>
        <stp>저가</stp>
        <stp>45539</stp>
        <stp>Fill=true,Per=월</stp>
        <tr r="L39" s="2"/>
      </tp>
      <tp>
        <v>1655.41</v>
        <stp/>
        <stp>P</stp>
        <stp>0</stp>
        <stp>IDX</stp>
        <stp>QGG03P</stp>
        <stp>시가</stp>
        <stp>45539</stp>
        <stp>Fill=true,Per=월</stp>
        <tr r="J39" s="2"/>
      </tp>
      <tp>
        <v>10253.040000000001</v>
        <stp/>
        <stp>P</stp>
        <stp>0</stp>
        <stp>IDX</stp>
        <stp>QGS33P</stp>
        <stp>고가</stp>
        <stp>45539</stp>
        <stp>Fill=true,Per=월</stp>
        <tr r="K65" s="2"/>
      </tp>
      <tp>
        <v>65.42</v>
        <stp/>
        <stp>P</stp>
        <stp>0</stp>
        <stp>IDX</stp>
        <stp>QGS03P</stp>
        <stp>고가</stp>
        <stp>45539</stp>
        <stp>Fill=true,Per=월</stp>
        <tr r="K93" s="2"/>
      </tp>
      <tp>
        <v>2838.73</v>
        <stp/>
        <stp>P</stp>
        <stp>0</stp>
        <stp>IDX</stp>
        <stp>QGS13P</stp>
        <stp>고가</stp>
        <stp>45539</stp>
        <stp>Fill=true,Per=월</stp>
        <tr r="K77" s="2"/>
      </tp>
      <tp>
        <v>2468.9299999999998</v>
        <stp/>
        <stp>P</stp>
        <stp>0</stp>
        <stp>IDX</stp>
        <stp>QGZ03P</stp>
        <stp>고가</stp>
        <stp>45539</stp>
        <stp>Fill=true,Per=월</stp>
        <tr r="K52" s="2"/>
      </tp>
      <tp>
        <v>1659.77</v>
        <stp/>
        <stp>P</stp>
        <stp>0</stp>
        <stp>IDX</stp>
        <stp>QGG03P</stp>
        <stp>고가</stp>
        <stp>45539</stp>
        <stp>Fill=true,Per=월</stp>
        <tr r="K39" s="2"/>
      </tp>
      <tp>
        <v>0</v>
        <stp/>
        <stp>P</stp>
        <stp>0</stp>
        <stp>IDX</stp>
        <stp>Q5S03P</stp>
        <stp>저가</stp>
        <stp>45539</stp>
        <stp>Fill=true,Per=월</stp>
        <tr r="L201" s="2"/>
      </tp>
      <tp>
        <v>4445.84</v>
        <stp/>
        <stp>P</stp>
        <stp>0</stp>
        <stp>IDX</stp>
        <stp>Q5S03P</stp>
        <stp>시가</stp>
        <stp>45539</stp>
        <stp>Fill=true,Per=월</stp>
        <tr r="J201" s="2"/>
      </tp>
      <tp>
        <v>4456.22</v>
        <stp/>
        <stp>P</stp>
        <stp>0</stp>
        <stp>IDX</stp>
        <stp>Q5S03P</stp>
        <stp>고가</stp>
        <stp>45539</stp>
        <stp>Fill=true,Per=월</stp>
        <tr r="K201" s="2"/>
      </tp>
      <tp>
        <v>0</v>
        <stp/>
        <stp>P</stp>
        <stp>0</stp>
        <stp>IDX</stp>
        <stp>QGS02P</stp>
        <stp>저가</stp>
        <stp>45539</stp>
        <stp>Fill=true,Per=월</stp>
        <tr r="L29" s="2"/>
      </tp>
      <tp>
        <v>0</v>
        <stp/>
        <stp>P</stp>
        <stp>0</stp>
        <stp>IDX</stp>
        <stp>QGS12P</stp>
        <stp>저가</stp>
        <stp>45539</stp>
        <stp>Fill=true,Per=월</stp>
        <tr r="L76" s="2"/>
      </tp>
      <tp>
        <v>651.01</v>
        <stp/>
        <stp>P</stp>
        <stp>0</stp>
        <stp>IDX</stp>
        <stp>QGZ02P</stp>
        <stp>시가</stp>
        <stp>45539</stp>
        <stp>Fill=true,Per=월</stp>
        <tr r="J53" s="2"/>
      </tp>
      <tp>
        <v>0</v>
        <stp/>
        <stp>P</stp>
        <stp>0</stp>
        <stp>IDX</stp>
        <stp>QGZ02P</stp>
        <stp>저가</stp>
        <stp>45539</stp>
        <stp>Fill=true,Per=월</stp>
        <tr r="L53" s="2"/>
      </tp>
      <tp>
        <v>2398.81</v>
        <stp/>
        <stp>P</stp>
        <stp>0</stp>
        <stp>IDX</stp>
        <stp>QGS02P</stp>
        <stp>시가</stp>
        <stp>45539</stp>
        <stp>Fill=true,Per=월</stp>
        <tr r="J29" s="2"/>
      </tp>
      <tp>
        <v>2035.67</v>
        <stp/>
        <stp>P</stp>
        <stp>0</stp>
        <stp>IDX</stp>
        <stp>QGS12P</stp>
        <stp>시가</stp>
        <stp>45539</stp>
        <stp>Fill=true,Per=월</stp>
        <tr r="J76" s="2"/>
      </tp>
      <tp>
        <v>2402.2800000000002</v>
        <stp/>
        <stp>P</stp>
        <stp>0</stp>
        <stp>IDX</stp>
        <stp>QGS02P</stp>
        <stp>고가</stp>
        <stp>45539</stp>
        <stp>Fill=true,Per=월</stp>
        <tr r="K29" s="2"/>
      </tp>
      <tp>
        <v>2035.67</v>
        <stp/>
        <stp>P</stp>
        <stp>0</stp>
        <stp>IDX</stp>
        <stp>QGS12P</stp>
        <stp>고가</stp>
        <stp>45539</stp>
        <stp>Fill=true,Per=월</stp>
        <tr r="K76" s="2"/>
      </tp>
      <tp>
        <v>651.01</v>
        <stp/>
        <stp>P</stp>
        <stp>0</stp>
        <stp>IDX</stp>
        <stp>QGZ02P</stp>
        <stp>고가</stp>
        <stp>45539</stp>
        <stp>Fill=true,Per=월</stp>
        <tr r="K53" s="2"/>
      </tp>
      <tp>
        <v>1423.39</v>
        <stp/>
        <stp>P</stp>
        <stp>0</stp>
        <stp>IDX</stp>
        <stp>Q5X02P</stp>
        <stp>시가</stp>
        <stp>45539</stp>
        <stp>Fill=true,Per=월</stp>
        <tr r="J37" s="2"/>
      </tp>
      <tp>
        <v>0</v>
        <stp/>
        <stp>P</stp>
        <stp>0</stp>
        <stp>IDX</stp>
        <stp>Q5S02P</stp>
        <stp>저가</stp>
        <stp>45539</stp>
        <stp>Fill=true,Per=월</stp>
        <tr r="L202" s="2"/>
      </tp>
      <tp>
        <v>0</v>
        <stp/>
        <stp>P</stp>
        <stp>0</stp>
        <stp>IDX</stp>
        <stp>Q5X02P</stp>
        <stp>저가</stp>
        <stp>45539</stp>
        <stp>Fill=true,Per=월</stp>
        <tr r="L37" s="2"/>
      </tp>
      <tp>
        <v>663.35</v>
        <stp/>
        <stp>P</stp>
        <stp>0</stp>
        <stp>IDX</stp>
        <stp>Q5S02P</stp>
        <stp>시가</stp>
        <stp>45539</stp>
        <stp>Fill=true,Per=월</stp>
        <tr r="J202" s="2"/>
      </tp>
      <tp>
        <v>663.35</v>
        <stp/>
        <stp>P</stp>
        <stp>0</stp>
        <stp>IDX</stp>
        <stp>Q5S02P</stp>
        <stp>고가</stp>
        <stp>45539</stp>
        <stp>Fill=true,Per=월</stp>
        <tr r="K202" s="2"/>
      </tp>
      <tp>
        <v>1429.64</v>
        <stp/>
        <stp>P</stp>
        <stp>0</stp>
        <stp>IDX</stp>
        <stp>Q5X02P</stp>
        <stp>고가</stp>
        <stp>45539</stp>
        <stp>Fill=true,Per=월</stp>
        <tr r="K37" s="2"/>
      </tp>
      <tp>
        <v>0</v>
        <stp/>
        <stp>P</stp>
        <stp>0</stp>
        <stp>IDX</stp>
        <stp>QGS05P</stp>
        <stp>저가</stp>
        <stp>45539</stp>
        <stp>Fill=true,Per=월</stp>
        <tr r="L80" s="2"/>
      </tp>
      <tp>
        <v>0</v>
        <stp/>
        <stp>P</stp>
        <stp>0</stp>
        <stp>IDX</stp>
        <stp>QGS15P</stp>
        <stp>저가</stp>
        <stp>45539</stp>
        <stp>Fill=true,Per=월</stp>
        <tr r="L87" s="2"/>
      </tp>
      <tp>
        <v>1254.3499999999999</v>
        <stp/>
        <stp>P</stp>
        <stp>0</stp>
        <stp>IDX</stp>
        <stp>QGS05P</stp>
        <stp>시가</stp>
        <stp>45539</stp>
        <stp>Fill=true,Per=월</stp>
        <tr r="J80" s="2"/>
      </tp>
      <tp>
        <v>1813.16</v>
        <stp/>
        <stp>P</stp>
        <stp>0</stp>
        <stp>IDX</stp>
        <stp>QGS15P</stp>
        <stp>시가</stp>
        <stp>45539</stp>
        <stp>Fill=true,Per=월</stp>
        <tr r="J87" s="2"/>
      </tp>
      <tp>
        <v>0</v>
        <stp/>
        <stp>P</stp>
        <stp>0</stp>
        <stp>IDX</stp>
        <stp>QGG05P</stp>
        <stp>저가</stp>
        <stp>45539</stp>
        <stp>Fill=true,Per=월</stp>
        <tr r="L60" s="2"/>
      </tp>
      <tp>
        <v>1417.78</v>
        <stp/>
        <stp>P</stp>
        <stp>0</stp>
        <stp>IDX</stp>
        <stp>QGG05P</stp>
        <stp>시가</stp>
        <stp>45539</stp>
        <stp>Fill=true,Per=월</stp>
        <tr r="J60" s="2"/>
      </tp>
      <tp>
        <v>1302.3599999999999</v>
        <stp/>
        <stp>P</stp>
        <stp>0</stp>
        <stp>IDX</stp>
        <stp>QGS05P</stp>
        <stp>고가</stp>
        <stp>45539</stp>
        <stp>Fill=true,Per=월</stp>
        <tr r="K80" s="2"/>
      </tp>
      <tp>
        <v>1844.6</v>
        <stp/>
        <stp>P</stp>
        <stp>0</stp>
        <stp>IDX</stp>
        <stp>QGS15P</stp>
        <stp>고가</stp>
        <stp>45539</stp>
        <stp>Fill=true,Per=월</stp>
        <tr r="K87" s="2"/>
      </tp>
      <tp>
        <v>1417.85</v>
        <stp/>
        <stp>P</stp>
        <stp>0</stp>
        <stp>IDX</stp>
        <stp>QGG05P</stp>
        <stp>고가</stp>
        <stp>45539</stp>
        <stp>Fill=true,Per=월</stp>
        <tr r="K60" s="2"/>
      </tp>
      <tp>
        <v>0</v>
        <stp/>
        <stp>P</stp>
        <stp>0</stp>
        <stp>IDX</stp>
        <stp>Q5S05P</stp>
        <stp>저가</stp>
        <stp>45539</stp>
        <stp>Fill=true,Per=월</stp>
        <tr r="L199" s="2"/>
      </tp>
      <tp>
        <v>3627.46</v>
        <stp/>
        <stp>P</stp>
        <stp>0</stp>
        <stp>IDX</stp>
        <stp>Q5S05P</stp>
        <stp>시가</stp>
        <stp>45539</stp>
        <stp>Fill=true,Per=월</stp>
        <tr r="J199" s="2"/>
      </tp>
      <tp>
        <v>3806.98</v>
        <stp/>
        <stp>P</stp>
        <stp>0</stp>
        <stp>IDX</stp>
        <stp>Q5S05P</stp>
        <stp>고가</stp>
        <stp>45539</stp>
        <stp>Fill=true,Per=월</stp>
        <tr r="K199" s="2"/>
      </tp>
      <tp>
        <v>4610.99</v>
        <stp/>
        <stp>P</stp>
        <stp>0</stp>
        <stp>IDX</stp>
        <stp>TGX01P</stp>
        <stp>시가</stp>
        <stp>45539</stp>
        <stp>Fill=true,Per=월</stp>
        <tr r="J192" s="2"/>
      </tp>
      <tp>
        <v>0</v>
        <stp/>
        <stp>P</stp>
        <stp>0</stp>
        <stp>IDX</stp>
        <stp>QGS34P</stp>
        <stp>저가</stp>
        <stp>45539</stp>
        <stp>Fill=true,Per=월</stp>
        <tr r="L85" s="2"/>
      </tp>
      <tp>
        <v>0</v>
        <stp/>
        <stp>P</stp>
        <stp>0</stp>
        <stp>IDX</stp>
        <stp>QGS04P</stp>
        <stp>저가</stp>
        <stp>45539</stp>
        <stp>Fill=true,Per=월</stp>
        <tr r="L84" s="2"/>
      </tp>
      <tp>
        <v>0</v>
        <stp/>
        <stp>P</stp>
        <stp>0</stp>
        <stp>IDX</stp>
        <stp>QGS14P</stp>
        <stp>저가</stp>
        <stp>45539</stp>
        <stp>Fill=true,Per=월</stp>
        <tr r="L92" s="2"/>
      </tp>
      <tp>
        <v>0</v>
        <stp/>
        <stp>P</stp>
        <stp>0</stp>
        <stp>IDX</stp>
        <stp>TGX01P</stp>
        <stp>저가</stp>
        <stp>45539</stp>
        <stp>Fill=true,Per=월</stp>
        <tr r="L192" s="2"/>
      </tp>
      <tp>
        <v>399.56</v>
        <stp/>
        <stp>P</stp>
        <stp>0</stp>
        <stp>IDX</stp>
        <stp>QGS34P</stp>
        <stp>시가</stp>
        <stp>45539</stp>
        <stp>Fill=true,Per=월</stp>
        <tr r="J85" s="2"/>
      </tp>
      <tp>
        <v>449.72</v>
        <stp/>
        <stp>P</stp>
        <stp>0</stp>
        <stp>IDX</stp>
        <stp>QGS04P</stp>
        <stp>시가</stp>
        <stp>45539</stp>
        <stp>Fill=true,Per=월</stp>
        <tr r="J84" s="2"/>
      </tp>
      <tp>
        <v>43375.27</v>
        <stp/>
        <stp>P</stp>
        <stp>0</stp>
        <stp>IDX</stp>
        <stp>QGS14P</stp>
        <stp>시가</stp>
        <stp>45539</stp>
        <stp>Fill=true,Per=월</stp>
        <tr r="J92" s="2"/>
      </tp>
      <tp>
        <v>0</v>
        <stp/>
        <stp>P</stp>
        <stp>0</stp>
        <stp>IDX</stp>
        <stp>QGG04P</stp>
        <stp>저가</stp>
        <stp>45539</stp>
        <stp>Fill=true,Per=월</stp>
        <tr r="L73" s="2"/>
      </tp>
      <tp>
        <v>0</v>
        <stp/>
        <stp>P</stp>
        <stp>0</stp>
        <stp>IDX</stp>
        <stp>TGG01P</stp>
        <stp>저가</stp>
        <stp>45539</stp>
        <stp>Fill=true,Per=월</stp>
        <tr r="L194" s="2"/>
      </tp>
      <tp>
        <v>1373.68</v>
        <stp/>
        <stp>P</stp>
        <stp>0</stp>
        <stp>IDX</stp>
        <stp>QGG04P</stp>
        <stp>시가</stp>
        <stp>45539</stp>
        <stp>Fill=true,Per=월</stp>
        <tr r="J73" s="2"/>
      </tp>
      <tp>
        <v>2544.0100000000002</v>
        <stp/>
        <stp>P</stp>
        <stp>0</stp>
        <stp>IDX</stp>
        <stp>TGG01P</stp>
        <stp>시가</stp>
        <stp>45539</stp>
        <stp>Fill=true,Per=월</stp>
        <tr r="J194" s="2"/>
      </tp>
      <tp>
        <v>400.91</v>
        <stp/>
        <stp>P</stp>
        <stp>0</stp>
        <stp>IDX</stp>
        <stp>QGS34P</stp>
        <stp>고가</stp>
        <stp>45539</stp>
        <stp>Fill=true,Per=월</stp>
        <tr r="K85" s="2"/>
      </tp>
      <tp>
        <v>455.53</v>
        <stp/>
        <stp>P</stp>
        <stp>0</stp>
        <stp>IDX</stp>
        <stp>QGS04P</stp>
        <stp>고가</stp>
        <stp>45539</stp>
        <stp>Fill=true,Per=월</stp>
        <tr r="K84" s="2"/>
      </tp>
      <tp>
        <v>43452.15</v>
        <stp/>
        <stp>P</stp>
        <stp>0</stp>
        <stp>IDX</stp>
        <stp>QGS14P</stp>
        <stp>고가</stp>
        <stp>45539</stp>
        <stp>Fill=true,Per=월</stp>
        <tr r="K92" s="2"/>
      </tp>
      <tp>
        <v>4632.6099999999997</v>
        <stp/>
        <stp>P</stp>
        <stp>0</stp>
        <stp>IDX</stp>
        <stp>TGX01P</stp>
        <stp>고가</stp>
        <stp>45539</stp>
        <stp>Fill=true,Per=월</stp>
        <tr r="K192" s="2"/>
      </tp>
      <tp>
        <v>1400.46</v>
        <stp/>
        <stp>P</stp>
        <stp>0</stp>
        <stp>IDX</stp>
        <stp>QGG04P</stp>
        <stp>고가</stp>
        <stp>45539</stp>
        <stp>Fill=true,Per=월</stp>
        <tr r="K73" s="2"/>
      </tp>
      <tp>
        <v>2550.1</v>
        <stp/>
        <stp>P</stp>
        <stp>0</stp>
        <stp>IDX</stp>
        <stp>TGG01P</stp>
        <stp>고가</stp>
        <stp>45539</stp>
        <stp>Fill=true,Per=월</stp>
        <tr r="K194" s="2"/>
      </tp>
      <tp>
        <v>0</v>
        <stp/>
        <stp>P</stp>
        <stp>0</stp>
        <stp>IDX</stp>
        <stp>Q5S04P</stp>
        <stp>저가</stp>
        <stp>45539</stp>
        <stp>Fill=true,Per=월</stp>
        <tr r="L200" s="2"/>
      </tp>
      <tp>
        <v>1944.55</v>
        <stp/>
        <stp>P</stp>
        <stp>0</stp>
        <stp>IDX</stp>
        <stp>Q5S04P</stp>
        <stp>시가</stp>
        <stp>45539</stp>
        <stp>Fill=true,Per=월</stp>
        <tr r="J200" s="2"/>
      </tp>
      <tp>
        <v>1946.01</v>
        <stp/>
        <stp>P</stp>
        <stp>0</stp>
        <stp>IDX</stp>
        <stp>Q5S04P</stp>
        <stp>고가</stp>
        <stp>45539</stp>
        <stp>Fill=true,Per=월</stp>
        <tr r="K200" s="2"/>
      </tp>
      <tp>
        <v>0</v>
        <stp/>
        <stp>P</stp>
        <stp>0</stp>
        <stp>IDX</stp>
        <stp>QGS17P</stp>
        <stp>저가</stp>
        <stp>45539</stp>
        <stp>Fill=true,Per=월</stp>
        <tr r="L61" s="2"/>
      </tp>
      <tp>
        <v>1399.18</v>
        <stp/>
        <stp>P</stp>
        <stp>0</stp>
        <stp>IDX</stp>
        <stp>QGS17P</stp>
        <stp>시가</stp>
        <stp>45539</stp>
        <stp>Fill=true,Per=월</stp>
        <tr r="J61" s="2"/>
      </tp>
      <tp>
        <v>0</v>
        <stp/>
        <stp>P</stp>
        <stp>0</stp>
        <stp>IDX</stp>
        <stp>TGG02P</stp>
        <stp>저가</stp>
        <stp>45539</stp>
        <stp>Fill=true,Per=월</stp>
        <tr r="L193" s="2"/>
      </tp>
      <tp>
        <v>2101.2199999999998</v>
        <stp/>
        <stp>P</stp>
        <stp>0</stp>
        <stp>IDX</stp>
        <stp>TGG02P</stp>
        <stp>시가</stp>
        <stp>45539</stp>
        <stp>Fill=true,Per=월</stp>
        <tr r="J193" s="2"/>
      </tp>
      <tp>
        <v>1423.54</v>
        <stp/>
        <stp>P</stp>
        <stp>0</stp>
        <stp>IDX</stp>
        <stp>QGS17P</stp>
        <stp>고가</stp>
        <stp>45539</stp>
        <stp>Fill=true,Per=월</stp>
        <tr r="K61" s="2"/>
      </tp>
      <tp>
        <v>2102.2399999999998</v>
        <stp/>
        <stp>P</stp>
        <stp>0</stp>
        <stp>IDX</stp>
        <stp>TGG02P</stp>
        <stp>고가</stp>
        <stp>45539</stp>
        <stp>Fill=true,Per=월</stp>
        <tr r="K193" s="2"/>
      </tp>
      <tp>
        <v>0</v>
        <stp/>
        <stp>P</stp>
        <stp>0</stp>
        <stp>IDX</stp>
        <stp>Q5S07P</stp>
        <stp>저가</stp>
        <stp>45539</stp>
        <stp>Fill=true,Per=월</stp>
        <tr r="L197" s="2"/>
      </tp>
      <tp>
        <v>381.73</v>
        <stp/>
        <stp>P</stp>
        <stp>0</stp>
        <stp>IDX</stp>
        <stp>Q5S07P</stp>
        <stp>시가</stp>
        <stp>45539</stp>
        <stp>Fill=true,Per=월</stp>
        <tr r="J197" s="2"/>
      </tp>
      <tp>
        <v>388.47</v>
        <stp/>
        <stp>P</stp>
        <stp>0</stp>
        <stp>IDX</stp>
        <stp>Q5S07P</stp>
        <stp>고가</stp>
        <stp>45539</stp>
        <stp>Fill=true,Per=월</stp>
        <tr r="K197" s="2"/>
      </tp>
      <tp>
        <v>0</v>
        <stp/>
        <stp>P</stp>
        <stp>0</stp>
        <stp>IDX</stp>
        <stp>QGS16P</stp>
        <stp>저가</stp>
        <stp>45539</stp>
        <stp>Fill=true,Per=월</stp>
        <tr r="L70" s="2"/>
      </tp>
      <tp>
        <v>416.09</v>
        <stp/>
        <stp>P</stp>
        <stp>0</stp>
        <stp>IDX</stp>
        <stp>QGS16P</stp>
        <stp>시가</stp>
        <stp>45539</stp>
        <stp>Fill=true,Per=월</stp>
        <tr r="J70" s="2"/>
      </tp>
      <tp>
        <v>0</v>
        <stp/>
        <stp>P</stp>
        <stp>0</stp>
        <stp>IDX</stp>
        <stp>QGG06P</stp>
        <stp>저가</stp>
        <stp>45539</stp>
        <stp>Fill=true,Per=월</stp>
        <tr r="L63" s="2"/>
      </tp>
      <tp>
        <v>4972.99</v>
        <stp/>
        <stp>P</stp>
        <stp>0</stp>
        <stp>IDX</stp>
        <stp>QGG06P</stp>
        <stp>시가</stp>
        <stp>45539</stp>
        <stp>Fill=true,Per=월</stp>
        <tr r="J63" s="2"/>
      </tp>
      <tp>
        <v>416.09</v>
        <stp/>
        <stp>P</stp>
        <stp>0</stp>
        <stp>IDX</stp>
        <stp>QGS16P</stp>
        <stp>고가</stp>
        <stp>45539</stp>
        <stp>Fill=true,Per=월</stp>
        <tr r="K70" s="2"/>
      </tp>
      <tp>
        <v>5026.41</v>
        <stp/>
        <stp>P</stp>
        <stp>0</stp>
        <stp>IDX</stp>
        <stp>QGG06P</stp>
        <stp>고가</stp>
        <stp>45539</stp>
        <stp>Fill=true,Per=월</stp>
        <tr r="K63" s="2"/>
      </tp>
      <tp>
        <v>0</v>
        <stp/>
        <stp>P</stp>
        <stp>0</stp>
        <stp>IDX</stp>
        <stp>Q5S06P</stp>
        <stp>저가</stp>
        <stp>45539</stp>
        <stp>Fill=true,Per=월</stp>
        <tr r="L198" s="2"/>
      </tp>
      <tp>
        <v>277.12</v>
        <stp/>
        <stp>P</stp>
        <stp>0</stp>
        <stp>IDX</stp>
        <stp>Q5S06P</stp>
        <stp>시가</stp>
        <stp>45539</stp>
        <stp>Fill=true,Per=월</stp>
        <tr r="J198" s="2"/>
      </tp>
      <tp>
        <v>288.37</v>
        <stp/>
        <stp>P</stp>
        <stp>0</stp>
        <stp>IDX</stp>
        <stp>Q5S06P</stp>
        <stp>고가</stp>
        <stp>45539</stp>
        <stp>Fill=true,Per=월</stp>
        <tr r="K198" s="2"/>
      </tp>
      <tp t="s">
        <v>코스피 200 선물 TWAP 월간 인버</v>
        <stp/>
        <stp>P</stp>
        <stp>0</stp>
        <stp>IDX</stp>
        <stp>F2X44T</stp>
        <stp>한글종목명</stp>
        <stp/>
        <stp/>
        <tr r="D268" s="2"/>
      </tp>
      <tp t="s">
        <v>코스피 200 선물 TWAP 월간 레버</v>
        <stp/>
        <stp>P</stp>
        <stp>0</stp>
        <stp>IDX</stp>
        <stp>F2X43T</stp>
        <stp>한글종목명</stp>
        <stp/>
        <stp/>
        <tr r="D267" s="2"/>
      </tp>
      <tp t="s">
        <v>코스피 200 선물 레버리지 1.5X</v>
        <stp/>
        <stp>P</stp>
        <stp>0</stp>
        <stp>IDX</stp>
        <stp>F2X42T</stp>
        <stp>한글종목명</stp>
        <stp/>
        <stp/>
        <tr r="D266" s="2"/>
      </tp>
      <tp t="s">
        <v>코스피 200 선물 TWAP 인버스-2X</v>
        <stp/>
        <stp>P</stp>
        <stp>0</stp>
        <stp>IDX</stp>
        <stp>F2X41T</stp>
        <stp>한글종목명</stp>
        <stp/>
        <stp/>
        <tr r="D265" s="2"/>
      </tp>
      <tp t="s">
        <v>코스피 200 선물 TWAP 레버리지?</v>
        <stp/>
        <stp>P</stp>
        <stp>0</stp>
        <stp>IDX</stp>
        <stp>F2X40T</stp>
        <stp>한글종목명</stp>
        <stp/>
        <stp/>
        <tr r="D264" s="2"/>
      </tp>
      <tp t="s">
        <v>운송</v>
        <stp/>
        <stp>P</stp>
        <stp>0</stp>
        <stp>IDX</stp>
        <stp>QGS31P</stp>
        <stp>한글종목명</stp>
        <stp/>
        <stp/>
        <tr r="D98" s="2"/>
      </tp>
      <tp t="s">
        <v>제약</v>
        <stp/>
        <stp>P</stp>
        <stp>0</stp>
        <stp>IDX</stp>
        <stp>QGS33P</stp>
        <stp>한글종목명</stp>
        <stp/>
        <stp/>
        <tr r="D65" s="2"/>
      </tp>
      <tp t="s">
        <v>오락·문화</v>
        <stp/>
        <stp>P</stp>
        <stp>0</stp>
        <stp>IDX</stp>
        <stp>QGS34P</stp>
        <stp>한글종목명</stp>
        <stp/>
        <stp/>
        <tr r="D85" s="2"/>
      </tp>
      <tp t="s">
        <v>코스피 200 산업재 선물 인버스-</v>
        <stp/>
        <stp>P</stp>
        <stp>0</stp>
        <stp>IDX</stp>
        <stp>F2X39P</stp>
        <stp>한글종목명</stp>
        <stp/>
        <stp/>
        <tr r="D263" s="2"/>
      </tp>
      <tp t="s">
        <v>코스피 200 철강/소재 선물 인버</v>
        <stp/>
        <stp>P</stp>
        <stp>0</stp>
        <stp>IDX</stp>
        <stp>F2X38P</stp>
        <stp>한글종목명</stp>
        <stp/>
        <stp/>
        <tr r="D262" s="2"/>
      </tp>
      <tp t="s">
        <v>코스피 200 생활소비재 선물 인?</v>
        <stp/>
        <stp>P</stp>
        <stp>0</stp>
        <stp>IDX</stp>
        <stp>F2X37P</stp>
        <stp>한글종목명</stp>
        <stp/>
        <stp/>
        <tr r="D261" s="2"/>
      </tp>
      <tp t="s">
        <v>코스피 200 헬스케어 선물 인버?</v>
        <stp/>
        <stp>P</stp>
        <stp>0</stp>
        <stp>IDX</stp>
        <stp>F2X36P</stp>
        <stp>한글종목명</stp>
        <stp/>
        <stp/>
        <tr r="D260" s="2"/>
      </tp>
      <tp t="s">
        <v>코스피 200 중공업 선물 인버스-</v>
        <stp/>
        <stp>P</stp>
        <stp>0</stp>
        <stp>IDX</stp>
        <stp>F2X35P</stp>
        <stp>한글종목명</stp>
        <stp/>
        <stp/>
        <tr r="D259" s="2"/>
      </tp>
      <tp t="s">
        <v>코스피 200 건설 선물 인버스-2X</v>
        <stp/>
        <stp>P</stp>
        <stp>0</stp>
        <stp>IDX</stp>
        <stp>F2X34P</stp>
        <stp>한글종목명</stp>
        <stp/>
        <stp/>
        <tr r="D258" s="2"/>
      </tp>
      <tp t="s">
        <v>코스피 200 경기소비재 선물 인?</v>
        <stp/>
        <stp>P</stp>
        <stp>0</stp>
        <stp>IDX</stp>
        <stp>F2X33P</stp>
        <stp>한글종목명</stp>
        <stp/>
        <stp/>
        <tr r="D257" s="2"/>
      </tp>
      <tp t="s">
        <v>코스피 200 금융 선물 인버스-2X</v>
        <stp/>
        <stp>P</stp>
        <stp>0</stp>
        <stp>IDX</stp>
        <stp>F2X32P</stp>
        <stp>한글종목명</stp>
        <stp/>
        <stp/>
        <tr r="D256" s="2"/>
      </tp>
      <tp t="s">
        <v>코스피 200 정보기술 선물 인버?</v>
        <stp/>
        <stp>P</stp>
        <stp>0</stp>
        <stp>IDX</stp>
        <stp>F2X31P</stp>
        <stp>한글종목명</stp>
        <stp/>
        <stp/>
        <tr r="D255" s="2"/>
      </tp>
      <tp t="s">
        <v>코스피 200 에너지/화학 선물 인</v>
        <stp/>
        <stp>P</stp>
        <stp>0</stp>
        <stp>IDX</stp>
        <stp>F2X30P</stp>
        <stp>한글종목명</stp>
        <stp/>
        <stp/>
        <tr r="D254" s="2"/>
      </tp>
      <tp t="s">
        <v>기타 제조</v>
        <stp/>
        <stp>P</stp>
        <stp>0</stp>
        <stp>IDX</stp>
        <stp>QGS20P</stp>
        <stp>한글종목명</stp>
        <stp/>
        <stp/>
        <tr r="D97" s="2"/>
      </tp>
      <tp t="s">
        <v>서비스업</v>
        <stp/>
        <stp>P</stp>
        <stp>0</stp>
        <stp>IDX</stp>
        <stp>KGS22P</stp>
        <stp>한글종목명</stp>
        <stp/>
        <stp/>
        <tr r="D44" s="2"/>
      </tp>
      <tp t="s">
        <v>전기가스업</v>
        <stp/>
        <stp>P</stp>
        <stp>0</stp>
        <stp>IDX</stp>
        <stp>KGS20P</stp>
        <stp>한글종목명</stp>
        <stp/>
        <stp/>
        <tr r="D81" s="2"/>
      </tp>
      <tp t="s">
        <v>통신업</v>
        <stp/>
        <stp>P</stp>
        <stp>0</stp>
        <stp>IDX</stp>
        <stp>KGS21P</stp>
        <stp>한글종목명</stp>
        <stp/>
        <stp/>
        <tr r="D78" s="2"/>
      </tp>
      <tp t="s">
        <v>코스피 200 산업재 선물 선물 인</v>
        <stp/>
        <stp>P</stp>
        <stp>0</stp>
        <stp>IDX</stp>
        <stp>F2X29P</stp>
        <stp>한글종목명</stp>
        <stp/>
        <stp/>
        <tr r="D253" s="2"/>
      </tp>
      <tp t="s">
        <v>코스피 200 철강/소재 선물 인버</v>
        <stp/>
        <stp>P</stp>
        <stp>0</stp>
        <stp>IDX</stp>
        <stp>F2X28P</stp>
        <stp>한글종목명</stp>
        <stp/>
        <stp/>
        <tr r="D252" s="2"/>
      </tp>
      <tp t="s">
        <v>코스피 200 생활소비재 선물 인?</v>
        <stp/>
        <stp>P</stp>
        <stp>0</stp>
        <stp>IDX</stp>
        <stp>F2X27P</stp>
        <stp>한글종목명</stp>
        <stp/>
        <stp/>
        <tr r="D251" s="2"/>
      </tp>
      <tp t="s">
        <v>코스피 200 헬스케어 선물 인버?</v>
        <stp/>
        <stp>P</stp>
        <stp>0</stp>
        <stp>IDX</stp>
        <stp>F2X26P</stp>
        <stp>한글종목명</stp>
        <stp/>
        <stp/>
        <tr r="D250" s="2"/>
      </tp>
      <tp t="s">
        <v>코스피 200 중공업 선물 인버스</v>
        <stp/>
        <stp>P</stp>
        <stp>0</stp>
        <stp>IDX</stp>
        <stp>F2X25P</stp>
        <stp>한글종목명</stp>
        <stp/>
        <stp/>
        <tr r="D249" s="2"/>
      </tp>
      <tp t="s">
        <v>코스피 200 건설 선물 인버스 지</v>
        <stp/>
        <stp>P</stp>
        <stp>0</stp>
        <stp>IDX</stp>
        <stp>F2X24P</stp>
        <stp>한글종목명</stp>
        <stp/>
        <stp/>
        <tr r="D248" s="2"/>
      </tp>
      <tp t="s">
        <v>코스피 200 경기소비재 선물 인?</v>
        <stp/>
        <stp>P</stp>
        <stp>0</stp>
        <stp>IDX</stp>
        <stp>F2X23P</stp>
        <stp>한글종목명</stp>
        <stp/>
        <stp/>
        <tr r="D247" s="2"/>
      </tp>
      <tp t="s">
        <v>코스피 200 금융 선물 인버스 지</v>
        <stp/>
        <stp>P</stp>
        <stp>0</stp>
        <stp>IDX</stp>
        <stp>F2X22P</stp>
        <stp>한글종목명</stp>
        <stp/>
        <stp/>
        <tr r="D246" s="2"/>
      </tp>
      <tp t="s">
        <v>코스피 200 정보기술 선물 인버?</v>
        <stp/>
        <stp>P</stp>
        <stp>0</stp>
        <stp>IDX</stp>
        <stp>F2X21P</stp>
        <stp>한글종목명</stp>
        <stp/>
        <stp/>
        <tr r="D245" s="2"/>
      </tp>
      <tp t="s">
        <v>코스피 200 에너지/화학 선물 인</v>
        <stp/>
        <stp>P</stp>
        <stp>0</stp>
        <stp>IDX</stp>
        <stp>F2X20P</stp>
        <stp>한글종목명</stp>
        <stp/>
        <stp/>
        <tr r="D244" s="2"/>
      </tp>
      <tp t="s">
        <v>의료·정밀기기</v>
        <stp/>
        <stp>P</stp>
        <stp>0</stp>
        <stp>IDX</stp>
        <stp>QGS18P</stp>
        <stp>한글종목명</stp>
        <stp/>
        <stp/>
        <tr r="D82" s="2"/>
      </tp>
      <tp t="s">
        <v>KRX 보험</v>
        <stp/>
        <stp>P</stp>
        <stp>0</stp>
        <stp>IDX</stp>
        <stp>XGS11P</stp>
        <stp>한글종목명</stp>
        <stp/>
        <stp/>
        <tr r="D158" s="2"/>
      </tp>
      <tp t="s">
        <v>KRX 반도체 Top 15 USD</v>
        <stp/>
        <stp>P</stp>
        <stp>0</stp>
        <stp>IDX</stp>
        <stp>XGT11P</stp>
        <stp>한글종목명</stp>
        <stp/>
        <stp/>
        <tr r="D141" s="2"/>
      </tp>
      <tp t="s">
        <v>KRX 반도체 Top 15 TR 지수(KRX?</v>
        <stp/>
        <stp>P</stp>
        <stp>0</stp>
        <stp>IDX</stp>
        <stp>XGT10T</stp>
        <stp>한글종목명</stp>
        <stp/>
        <stp/>
        <tr r="D142" s="2"/>
      </tp>
      <tp t="s">
        <v>운송장비·부품</v>
        <stp/>
        <stp>P</stp>
        <stp>0</stp>
        <stp>IDX</stp>
        <stp>QGS19P</stp>
        <stp>한글종목명</stp>
        <stp/>
        <stp/>
        <tr r="D86" s="2"/>
      </tp>
      <tp t="s">
        <v>KRX 기계장비</v>
        <stp/>
        <stp>P</stp>
        <stp>0</stp>
        <stp>IDX</stp>
        <stp>XGS10P</stp>
        <stp>한글종목명</stp>
        <stp/>
        <stp/>
        <tr r="D159" s="2"/>
      </tp>
      <tp t="s">
        <v>KRX 반도체 Top 15</v>
        <stp/>
        <stp>P</stp>
        <stp>0</stp>
        <stp>IDX</stp>
        <stp>XGT10P</stp>
        <stp>한글종목명</stp>
        <stp/>
        <stp/>
        <tr r="D143" s="2"/>
      </tp>
      <tp t="s">
        <v>KRX 경기소비재</v>
        <stp/>
        <stp>P</stp>
        <stp>0</stp>
        <stp>IDX</stp>
        <stp>XGS13P</stp>
        <stp>한글종목명</stp>
        <stp/>
        <stp/>
        <tr r="D156" s="2"/>
      </tp>
      <tp t="s">
        <v>KRX FactSet 디지털 헬스케어 지</v>
        <stp/>
        <stp>P</stp>
        <stp>0</stp>
        <stp>IDX</stp>
        <stp>XGT13P</stp>
        <stp>한글종목명</stp>
        <stp/>
        <stp/>
        <tr r="D139" s="2"/>
      </tp>
      <tp t="s">
        <v>KRX 운송</v>
        <stp/>
        <stp>P</stp>
        <stp>0</stp>
        <stp>IDX</stp>
        <stp>XGS12P</stp>
        <stp>한글종목명</stp>
        <stp/>
        <stp/>
        <tr r="D157" s="2"/>
      </tp>
      <tp t="s">
        <v>KRX FactSet 모빌리티 이노베이?</v>
        <stp/>
        <stp>P</stp>
        <stp>0</stp>
        <stp>IDX</stp>
        <stp>XGT12P</stp>
        <stp>한글종목명</stp>
        <stp/>
        <stp/>
        <tr r="D140" s="2"/>
      </tp>
      <tp t="s">
        <v>KRX 미디어&amp;엔터테인먼트</v>
        <stp/>
        <stp>P</stp>
        <stp>0</stp>
        <stp>IDX</stp>
        <stp>XGS15P</stp>
        <stp>한글종목명</stp>
        <stp/>
        <stp/>
        <tr r="D154" s="2"/>
      </tp>
      <tp t="s">
        <v>KRX FactSet 차세대 에너지 지수</v>
        <stp/>
        <stp>P</stp>
        <stp>0</stp>
        <stp>IDX</stp>
        <stp>XGT15P</stp>
        <stp>한글종목명</stp>
        <stp/>
        <stp/>
        <tr r="D137" s="2"/>
      </tp>
      <tp t="s">
        <v>KRX 필수소비재</v>
        <stp/>
        <stp>P</stp>
        <stp>0</stp>
        <stp>IDX</stp>
        <stp>XGS14P</stp>
        <stp>한글종목명</stp>
        <stp/>
        <stp/>
        <tr r="D155" s="2"/>
      </tp>
      <tp t="s">
        <v>KRX FactSet 디지털 인프라 지수</v>
        <stp/>
        <stp>P</stp>
        <stp>0</stp>
        <stp>IDX</stp>
        <stp>XGT14P</stp>
        <stp>한글종목명</stp>
        <stp/>
        <stp/>
        <tr r="D138" s="2"/>
      </tp>
      <tp t="s">
        <v>KRX 유틸리티</v>
        <stp/>
        <stp>P</stp>
        <stp>0</stp>
        <stp>IDX</stp>
        <stp>XGS17P</stp>
        <stp>한글종목명</stp>
        <stp/>
        <stp/>
        <tr r="D152" s="2"/>
      </tp>
      <tp t="s">
        <v>KRX 정보기술</v>
        <stp/>
        <stp>P</stp>
        <stp>0</stp>
        <stp>IDX</stp>
        <stp>XGS16P</stp>
        <stp>한글종목명</stp>
        <stp/>
        <stp/>
        <tr r="D153" s="2"/>
      </tp>
      <tp t="s">
        <v>섬유·의류</v>
        <stp/>
        <stp>P</stp>
        <stp>0</stp>
        <stp>IDX</stp>
        <stp>QGS10P</stp>
        <stp>한글종목명</stp>
        <stp/>
        <stp/>
        <tr r="D96" s="2"/>
      </tp>
      <tp t="s">
        <v>코스닥 글로벌 지수</v>
        <stp/>
        <stp>P</stp>
        <stp>0</stp>
        <stp>IDX</stp>
        <stp>QGG11P</stp>
        <stp>한글종목명</stp>
        <stp/>
        <stp/>
        <tr r="D58" s="2"/>
      </tp>
      <tp t="s">
        <v>종이·목재</v>
        <stp/>
        <stp>P</stp>
        <stp>0</stp>
        <stp>IDX</stp>
        <stp>QGS11P</stp>
        <stp>한글종목명</stp>
        <stp/>
        <stp/>
        <tr r="D95" s="2"/>
      </tp>
      <tp t="s">
        <v>출판·매체복제</v>
        <stp/>
        <stp>P</stp>
        <stp>0</stp>
        <stp>IDX</stp>
        <stp>QGS12P</stp>
        <stp>한글종목명</stp>
        <stp/>
        <stp/>
        <tr r="D76" s="2"/>
      </tp>
      <tp t="s">
        <v>화학</v>
        <stp/>
        <stp>P</stp>
        <stp>0</stp>
        <stp>IDX</stp>
        <stp>QGS13P</stp>
        <stp>한글종목명</stp>
        <stp/>
        <stp/>
        <tr r="D77" s="2"/>
      </tp>
      <tp t="s">
        <v>비금속</v>
        <stp/>
        <stp>P</stp>
        <stp>0</stp>
        <stp>IDX</stp>
        <stp>QGS14P</stp>
        <stp>한글종목명</stp>
        <stp/>
        <stp/>
        <tr r="D92" s="2"/>
      </tp>
      <tp t="s">
        <v>금속</v>
        <stp/>
        <stp>P</stp>
        <stp>0</stp>
        <stp>IDX</stp>
        <stp>QGS15P</stp>
        <stp>한글종목명</stp>
        <stp/>
        <stp/>
        <tr r="D87" s="2"/>
      </tp>
      <tp t="s">
        <v>기계·장비</v>
        <stp/>
        <stp>P</stp>
        <stp>0</stp>
        <stp>IDX</stp>
        <stp>QGS16P</stp>
        <stp>한글종목명</stp>
        <stp/>
        <stp/>
        <tr r="D70" s="2"/>
      </tp>
      <tp t="s">
        <v>일반전기전자</v>
        <stp/>
        <stp>P</stp>
        <stp>0</stp>
        <stp>IDX</stp>
        <stp>QGS17P</stp>
        <stp>한글종목명</stp>
        <stp/>
        <stp/>
        <tr r="D61" s="2"/>
      </tp>
      <tp t="s">
        <v>코스피 200 위클리 커버드콜 ATM</v>
        <stp/>
        <stp>P</stp>
        <stp>0</stp>
        <stp>IDX</stp>
        <stp>O2916P</stp>
        <stp>한글종목명</stp>
        <stp/>
        <stp/>
        <tr r="D100" s="2"/>
      </tp>
      <tp t="s">
        <v>KRX Cboe 코스피 200 콜매도 지?</v>
        <stp/>
        <stp>P</stp>
        <stp>0</stp>
        <stp>IDX</stp>
        <stp>O2916T</stp>
        <stp>한글종목명</stp>
        <stp/>
        <stp/>
        <tr r="D119" s="2"/>
      </tp>
      <tp t="s">
        <v>코스피 200 NTR 월간 레버리지 ?</v>
        <stp/>
        <stp>P</stp>
        <stp>0</stp>
        <stp>IDX</stp>
        <stp>K2X12N</stp>
        <stp>한글종목명</stp>
        <stp/>
        <stp/>
        <tr r="D381" s="2"/>
      </tp>
      <tp t="s">
        <v>코스닥 150 미국달러 현선물혼합</v>
        <stp/>
        <stp>P</stp>
        <stp>0</stp>
        <stp>IDX</stp>
        <stp>MGA14P</stp>
        <stp>한글종목명</stp>
        <stp/>
        <stp/>
        <tr r="D108" s="2"/>
      </tp>
      <tp t="s">
        <v>건설업</v>
        <stp/>
        <stp>P</stp>
        <stp>0</stp>
        <stp>IDX</stp>
        <stp>KGS12P</stp>
        <stp>한글종목명</stp>
        <stp/>
        <stp/>
        <tr r="D83" s="2"/>
      </tp>
      <tp t="s">
        <v>KRX Bloomberg 코스피 200 베어</v>
        <stp/>
        <stp>P</stp>
        <stp>0</stp>
        <stp>IDX</stp>
        <stp>MGA15P</stp>
        <stp>한글종목명</stp>
        <stp/>
        <stp/>
        <tr r="D110" s="2"/>
      </tp>
      <tp t="s">
        <v>운수창고</v>
        <stp/>
        <stp>P</stp>
        <stp>0</stp>
        <stp>IDX</stp>
        <stp>KGS13P</stp>
        <stp>한글종목명</stp>
        <stp/>
        <stp/>
        <tr r="D74" s="2"/>
      </tp>
      <tp t="s">
        <v>코스피200 비중상한 20% 지수</v>
        <stp/>
        <stp>P</stp>
        <stp>0</stp>
        <stp>IDX</stp>
        <stp>K2G10P</stp>
        <stp>한글종목명</stp>
        <stp/>
        <stp/>
        <tr r="D361" s="2"/>
      </tp>
      <tp t="s">
        <v>코스피 200 생활소비재</v>
        <stp/>
        <stp>P</stp>
        <stp>0</stp>
        <stp>IDX</stp>
        <stp>K2S10P</stp>
        <stp>한글종목명</stp>
        <stp/>
        <stp/>
        <tr r="D59" s="2"/>
      </tp>
      <tp t="s">
        <v>코스피200 비중상한 20% TR</v>
        <stp/>
        <stp>P</stp>
        <stp>0</stp>
        <stp>IDX</stp>
        <stp>K2G10T</stp>
        <stp>한글종목명</stp>
        <stp/>
        <stp/>
        <tr r="D362" s="2"/>
      </tp>
      <tp t="s">
        <v>코스피200 생활소비재 TR</v>
        <stp/>
        <stp>P</stp>
        <stp>0</stp>
        <stp>IDX</stp>
        <stp>K2S10T</stp>
        <stp>한글종목명</stp>
        <stp/>
        <stp/>
        <tr r="D372" s="2"/>
      </tp>
      <tp t="s">
        <v>코스피200 비중상한 20% NTR</v>
        <stp/>
        <stp>P</stp>
        <stp>0</stp>
        <stp>IDX</stp>
        <stp>K2G10N</stp>
        <stp>한글종목명</stp>
        <stp/>
        <stp/>
        <tr r="D360" s="2"/>
      </tp>
      <tp t="s">
        <v>KRX 다우존스 미국배당국채 혼합</v>
        <stp/>
        <stp>P</stp>
        <stp>0</stp>
        <stp>IDX</stp>
        <stp>MGA16T</stp>
        <stp>한글종목명</stp>
        <stp/>
        <stp/>
        <tr r="D106" s="2"/>
      </tp>
      <tp t="s">
        <v>운수장비</v>
        <stp/>
        <stp>P</stp>
        <stp>0</stp>
        <stp>IDX</stp>
        <stp>KGS10P</stp>
        <stp>한글종목명</stp>
        <stp/>
        <stp/>
        <tr r="D33" s="2"/>
      </tp>
      <tp t="s">
        <v>코스피 고배당 위클리 콜매도 AT</v>
        <stp/>
        <stp>P</stp>
        <stp>0</stp>
        <stp>IDX</stp>
        <stp>OG914P</stp>
        <stp>한글종목명</stp>
        <stp/>
        <stp/>
        <tr r="D205" s="2"/>
      </tp>
      <tp t="s">
        <v>코스피 200 Top 10 레버리지 지?</v>
        <stp/>
        <stp>P</stp>
        <stp>0</stp>
        <stp>IDX</stp>
        <stp>K2X11P</stp>
        <stp>한글종목명</stp>
        <stp/>
        <stp/>
        <tr r="D380" s="2"/>
      </tp>
      <tp t="s">
        <v>KOSPI 200 커뮤니케이션서비스</v>
        <stp/>
        <stp>P</stp>
        <stp>0</stp>
        <stp>IDX</stp>
        <stp>K2S11P</stp>
        <stp>한글종목명</stp>
        <stp/>
        <stp/>
        <tr r="D54" s="2"/>
      </tp>
      <tp t="s">
        <v>코스피200 커뮤니케이션서비스 T</v>
        <stp/>
        <stp>P</stp>
        <stp>0</stp>
        <stp>IDX</stp>
        <stp>K2S11T</stp>
        <stp>한글종목명</stp>
        <stp/>
        <stp/>
        <tr r="D373" s="2"/>
      </tp>
      <tp t="s">
        <v>유통업</v>
        <stp/>
        <stp>P</stp>
        <stp>0</stp>
        <stp>IDX</stp>
        <stp>KGS11P</stp>
        <stp>한글종목명</stp>
        <stp/>
        <stp/>
        <tr r="D62" s="2"/>
      </tp>
      <tp t="s">
        <v>K200 USD 선물 바이셀지수</v>
        <stp/>
        <stp>P</stp>
        <stp>0</stp>
        <stp>IDX</stp>
        <stp>MGA10P</stp>
        <stp>한글종목명</stp>
        <stp/>
        <stp/>
        <tr r="D121" s="2"/>
      </tp>
      <tp t="s">
        <v>증권</v>
        <stp/>
        <stp>P</stp>
        <stp>0</stp>
        <stp>IDX</stp>
        <stp>KGS16P</stp>
        <stp>한글종목명</stp>
        <stp/>
        <stp/>
        <tr r="D79" s="2"/>
      </tp>
      <tp t="s">
        <v>코스피 커버드풋 5% OTM 선물지?</v>
        <stp/>
        <stp>P</stp>
        <stp>0</stp>
        <stp>IDX</stp>
        <stp>OG912P</stp>
        <stp>한글종목명</stp>
        <stp/>
        <stp/>
        <tr r="D207" s="2"/>
      </tp>
      <tp t="s">
        <v>USD K200 선물 바이셀지수</v>
        <stp/>
        <stp>P</stp>
        <stp>0</stp>
        <stp>IDX</stp>
        <stp>MGA11P</stp>
        <stp>한글종목명</stp>
        <stp/>
        <stp/>
        <tr r="D107" s="2"/>
      </tp>
      <tp t="s">
        <v>보험</v>
        <stp/>
        <stp>P</stp>
        <stp>0</stp>
        <stp>IDX</stp>
        <stp>KGS17P</stp>
        <stp>한글종목명</stp>
        <stp/>
        <stp/>
        <tr r="D67" s="2"/>
      </tp>
      <tp t="s">
        <v>KRX Cboe 코스피 200 풋매도 지?</v>
        <stp/>
        <stp>P</stp>
        <stp>0</stp>
        <stp>IDX</stp>
        <stp>OG913P</stp>
        <stp>한글종목명</stp>
        <stp/>
        <stp/>
        <tr r="D206" s="2"/>
      </tp>
      <tp t="s">
        <v>코스피 200 산업재 선물 레버리?</v>
        <stp/>
        <stp>P</stp>
        <stp>0</stp>
        <stp>IDX</stp>
        <stp>F2X19P</stp>
        <stp>한글종목명</stp>
        <stp/>
        <stp/>
        <tr r="D243" s="2"/>
      </tp>
      <tp t="s">
        <v>코스피 200 미국채 혼합지수</v>
        <stp/>
        <stp>P</stp>
        <stp>0</stp>
        <stp>IDX</stp>
        <stp>MGA12P</stp>
        <stp>한글종목명</stp>
        <stp/>
        <stp/>
        <tr r="D104" s="2"/>
      </tp>
      <tp t="s">
        <v>금융업</v>
        <stp/>
        <stp>P</stp>
        <stp>0</stp>
        <stp>IDX</stp>
        <stp>KGS14P</stp>
        <stp>한글종목명</stp>
        <stp/>
        <stp/>
        <tr r="D27" s="2"/>
      </tp>
      <tp t="s">
        <v>코스피 200 철강/소재 선물 레버</v>
        <stp/>
        <stp>P</stp>
        <stp>0</stp>
        <stp>IDX</stp>
        <stp>F2X18P</stp>
        <stp>한글종목명</stp>
        <stp/>
        <stp/>
        <tr r="D242" s="2"/>
      </tp>
      <tp t="s">
        <v>KRX 300 미국달러 선물혼합지수</v>
        <stp/>
        <stp>P</stp>
        <stp>0</stp>
        <stp>IDX</stp>
        <stp>MGA13T</stp>
        <stp>한글종목명</stp>
        <stp/>
        <stp/>
        <tr r="D99" s="2"/>
      </tp>
      <tp t="s">
        <v>코스피 200 생활소비재 선물 레?</v>
        <stp/>
        <stp>P</stp>
        <stp>0</stp>
        <stp>IDX</stp>
        <stp>F2X17P</stp>
        <stp>한글종목명</stp>
        <stp/>
        <stp/>
        <tr r="D241" s="2"/>
      </tp>
      <tp t="s">
        <v>코스피 200 헬스케어 선물 레버?</v>
        <stp/>
        <stp>P</stp>
        <stp>0</stp>
        <stp>IDX</stp>
        <stp>F2X16P</stp>
        <stp>한글종목명</stp>
        <stp/>
        <stp/>
        <tr r="D240" s="2"/>
      </tp>
      <tp t="s">
        <v>코스피 200 중공업 선물 레버리?</v>
        <stp/>
        <stp>P</stp>
        <stp>0</stp>
        <stp>IDX</stp>
        <stp>F2X15P</stp>
        <stp>한글종목명</stp>
        <stp/>
        <stp/>
        <tr r="D239" s="2"/>
      </tp>
      <tp t="s">
        <v>제조업</v>
        <stp/>
        <stp>P</stp>
        <stp>0</stp>
        <stp>IDX</stp>
        <stp>KGS18P</stp>
        <stp>한글종목명</stp>
        <stp/>
        <stp/>
        <tr r="D19" s="2"/>
      </tp>
      <tp t="s">
        <v>코스피 200 건설 선물 레버리지</v>
        <stp/>
        <stp>P</stp>
        <stp>0</stp>
        <stp>IDX</stp>
        <stp>F2X14P</stp>
        <stp>한글종목명</stp>
        <stp/>
        <stp/>
        <tr r="D238" s="2"/>
      </tp>
      <tp t="s">
        <v>의료정밀</v>
        <stp/>
        <stp>P</stp>
        <stp>0</stp>
        <stp>IDX</stp>
        <stp>KGS19P</stp>
        <stp>한글종목명</stp>
        <stp/>
        <stp/>
        <tr r="D91" s="2"/>
      </tp>
      <tp t="s">
        <v>코스피 200 경기소비재 선물 레?</v>
        <stp/>
        <stp>P</stp>
        <stp>0</stp>
        <stp>IDX</stp>
        <stp>F2X13P</stp>
        <stp>한글종목명</stp>
        <stp/>
        <stp/>
        <tr r="D237" s="2"/>
      </tp>
      <tp t="s">
        <v>코스피 200 금융 선물 레버리지</v>
        <stp/>
        <stp>P</stp>
        <stp>0</stp>
        <stp>IDX</stp>
        <stp>F2X12P</stp>
        <stp>한글종목명</stp>
        <stp/>
        <stp/>
        <tr r="D236" s="2"/>
      </tp>
      <tp t="s">
        <v>엔선물 인버스-3X지수</v>
        <stp/>
        <stp>P</stp>
        <stp>0</stp>
        <stp>IDX</stp>
        <stp>FRX12P</stp>
        <stp>한글종목명</stp>
        <stp/>
        <stp/>
        <tr r="D312" s="2"/>
      </tp>
      <tp t="s">
        <v>코스피 200 정보기술 선물 레버?</v>
        <stp/>
        <stp>P</stp>
        <stp>0</stp>
        <stp>IDX</stp>
        <stp>F2X11P</stp>
        <stp>한글종목명</stp>
        <stp/>
        <stp/>
        <tr r="D235" s="2"/>
      </tp>
      <tp t="s">
        <v>엔선물 인버스-2X지수</v>
        <stp/>
        <stp>P</stp>
        <stp>0</stp>
        <stp>IDX</stp>
        <stp>FRX11P</stp>
        <stp>한글종목명</stp>
        <stp/>
        <stp/>
        <tr r="D311" s="2"/>
      </tp>
      <tp t="s">
        <v>국채선물 3년-10년 일드커브 플?</v>
        <stp/>
        <stp>P</stp>
        <stp>0</stp>
        <stp>IDX</stp>
        <stp>FTX11P</stp>
        <stp>한글종목명</stp>
        <stp/>
        <stp/>
        <tr r="D328" s="2"/>
      </tp>
      <tp t="s">
        <v>코스피 200 에너지/화학 선물 레</v>
        <stp/>
        <stp>P</stp>
        <stp>0</stp>
        <stp>IDX</stp>
        <stp>F2X10P</stp>
        <stp>한글종목명</stp>
        <stp/>
        <stp/>
        <tr r="D234" s="2"/>
      </tp>
      <tp t="s">
        <v>코스피 200 산업재 선물지수</v>
        <stp/>
        <stp>P</stp>
        <stp>0</stp>
        <stp>IDX</stp>
        <stp>F2S10P</stp>
        <stp>한글종목명</stp>
        <stp/>
        <stp/>
        <tr r="D223" s="2"/>
      </tp>
      <tp t="s">
        <v>코스닥 150 선물 TWAP 월간 인버</v>
        <stp/>
        <stp>P</stp>
        <stp>0</stp>
        <stp>IDX</stp>
        <stp>F5X10T</stp>
        <stp>한글종목명</stp>
        <stp/>
        <stp/>
        <tr r="D285" s="2"/>
      </tp>
      <tp t="s">
        <v>엔선물 인버스지수</v>
        <stp/>
        <stp>P</stp>
        <stp>0</stp>
        <stp>IDX</stp>
        <stp>FRX10P</stp>
        <stp>한글종목명</stp>
        <stp/>
        <stp/>
        <tr r="D310" s="2"/>
      </tp>
      <tp t="s">
        <v>국채선물 3년-10년 일드커브 스?</v>
        <stp/>
        <stp>P</stp>
        <stp>0</stp>
        <stp>IDX</stp>
        <stp>FTX10P</stp>
        <stp>한글종목명</stp>
        <stp/>
        <stp/>
        <tr r="D327" s="2"/>
      </tp>
      <tp t="s">
        <v>KRX 300 기후변화지수</v>
        <stp/>
        <stp>P</stp>
        <stp>0</stp>
        <stp>IDX</stp>
        <stp>X3E01P</stp>
        <stp>한글종목명</stp>
        <stp/>
        <stp/>
        <tr r="D191" s="2"/>
      </tp>
      <tp t="s">
        <v>KRX 300</v>
        <stp/>
        <stp>P</stp>
        <stp>0</stp>
        <stp>IDX</stp>
        <stp>X3G01P</stp>
        <stp>한글종목명</stp>
        <stp/>
        <stp/>
        <tr r="D10" s="2"/>
      </tp>
      <tp t="s">
        <v>KRX 300 레버리지지수</v>
        <stp/>
        <stp>P</stp>
        <stp>0</stp>
        <stp>IDX</stp>
        <stp>X3X01P</stp>
        <stp>한글종목명</stp>
        <stp/>
        <stp/>
        <tr r="D181" s="2"/>
      </tp>
      <tp t="s">
        <v>KRX 300 산업재</v>
        <stp/>
        <stp>P</stp>
        <stp>0</stp>
        <stp>IDX</stp>
        <stp>X3S01P</stp>
        <stp>한글종목명</stp>
        <stp/>
        <stp/>
        <tr r="D189" s="2"/>
      </tp>
      <tp t="s">
        <v>KRX 300 TR</v>
        <stp/>
        <stp>P</stp>
        <stp>0</stp>
        <stp>IDX</stp>
        <stp>X3G01T</stp>
        <stp>한글종목명</stp>
        <stp/>
        <stp/>
        <tr r="D190" s="2"/>
      </tp>
      <tp t="s">
        <v>코스닥 150 자유소비재</v>
        <stp/>
        <stp>P</stp>
        <stp>0</stp>
        <stp>IDX</stp>
        <stp>Q5S08P</stp>
        <stp>한글종목명</stp>
        <stp/>
        <stp/>
        <tr r="D196" s="2"/>
      </tp>
      <tp t="s">
        <v>KRX ESG Leaders 150</v>
        <stp/>
        <stp>P</stp>
        <stp>0</stp>
        <stp>IDX</stp>
        <stp>XGE01P</stp>
        <stp>한글종목명</stp>
        <stp/>
        <stp/>
        <tr r="D174" s="2"/>
      </tp>
      <tp t="s">
        <v>KRX 100</v>
        <stp/>
        <stp>P</stp>
        <stp>0</stp>
        <stp>IDX</stp>
        <stp>XGG01P</stp>
        <stp>한글종목명</stp>
        <stp/>
        <stp/>
        <tr r="D15" s="2"/>
      </tp>
      <tp t="s">
        <v>KTOP 30 레버리지 지수</v>
        <stp/>
        <stp>P</stp>
        <stp>0</stp>
        <stp>IDX</stp>
        <stp>XGX01P</stp>
        <stp>한글종목명</stp>
        <stp/>
        <stp/>
        <tr r="D134" s="2"/>
      </tp>
      <tp t="s">
        <v>KRX 자동차</v>
        <stp/>
        <stp>P</stp>
        <stp>0</stp>
        <stp>IDX</stp>
        <stp>XGS01P</stp>
        <stp>한글종목명</stp>
        <stp/>
        <stp/>
        <tr r="D168" s="2"/>
      </tp>
      <tp t="s">
        <v>KRX BBIG 지수</v>
        <stp/>
        <stp>P</stp>
        <stp>0</stp>
        <stp>IDX</stp>
        <stp>XGT01P</stp>
        <stp>한글종목명</stp>
        <stp/>
        <stp/>
        <tr r="D28" s="2"/>
      </tp>
      <tp t="s">
        <v>KRX BBIG 리스크컨트롤 12% 지수</v>
        <stp/>
        <stp>P</stp>
        <stp>0</stp>
        <stp>IDX</stp>
        <stp>XGV01P</stp>
        <stp>한글종목명</stp>
        <stp/>
        <stp/>
        <tr r="D136" s="2"/>
      </tp>
      <tp t="s">
        <v>KRX 100 동일가중지수</v>
        <stp/>
        <stp>P</stp>
        <stp>0</stp>
        <stp>IDX</stp>
        <stp>XGW01P</stp>
        <stp>한글종목명</stp>
        <stp/>
        <stp/>
        <tr r="D14" s="2"/>
      </tp>
      <tp t="s">
        <v>코스피200 코스닥150 고정비중 5</v>
        <stp/>
        <stp>P</stp>
        <stp>0</stp>
        <stp>IDX</stp>
        <stp>XG901P</stp>
        <stp>한글종목명</stp>
        <stp/>
        <stp/>
        <tr r="D180" s="2"/>
      </tp>
      <tp t="s">
        <v>음식료·담배</v>
        <stp/>
        <stp>P</stp>
        <stp>0</stp>
        <stp>IDX</stp>
        <stp>QGS09P</stp>
        <stp>한글종목명</stp>
        <stp/>
        <stp/>
        <tr r="D90" s="2"/>
      </tp>
      <tp t="s">
        <v>KRX 300 헬스케어</v>
        <stp/>
        <stp>P</stp>
        <stp>0</stp>
        <stp>IDX</stp>
        <stp>X3S03P</stp>
        <stp>한글종목명</stp>
        <stp/>
        <stp/>
        <tr r="D187" s="2"/>
      </tp>
      <tp t="s">
        <v>KRX Governance Leaders 100</v>
        <stp/>
        <stp>P</stp>
        <stp>0</stp>
        <stp>IDX</stp>
        <stp>XGE03P</stp>
        <stp>한글종목명</stp>
        <stp/>
        <stp/>
        <tr r="D172" s="2"/>
      </tp>
      <tp t="s">
        <v>KRX BBIG 레버리지지수</v>
        <stp/>
        <stp>P</stp>
        <stp>0</stp>
        <stp>IDX</stp>
        <stp>XGX03P</stp>
        <stp>한글종목명</stp>
        <stp/>
        <stp/>
        <tr r="D132" s="2"/>
      </tp>
      <tp t="s">
        <v>KRX 건강</v>
        <stp/>
        <stp>P</stp>
        <stp>0</stp>
        <stp>IDX</stp>
        <stp>XGS03P</stp>
        <stp>한글종목명</stp>
        <stp/>
        <stp/>
        <tr r="D166" s="2"/>
      </tp>
      <tp t="s">
        <v>KRX 바이오 TOP 10 지수</v>
        <stp/>
        <stp>P</stp>
        <stp>0</stp>
        <stp>IDX</stp>
        <stp>XGT03P</stp>
        <stp>한글종목명</stp>
        <stp/>
        <stp/>
        <tr r="D45" s="2"/>
      </tp>
      <tp t="s">
        <v>코스피200 코스닥150 고정비중 3</v>
        <stp/>
        <stp>P</stp>
        <stp>0</stp>
        <stp>IDX</stp>
        <stp>XG903P</stp>
        <stp>한글종목명</stp>
        <stp/>
        <stp/>
        <tr r="D178" s="2"/>
      </tp>
      <tp t="s">
        <v>KRX 300 자유소비재</v>
        <stp/>
        <stp>P</stp>
        <stp>0</stp>
        <stp>IDX</stp>
        <stp>X3S02P</stp>
        <stp>한글종목명</stp>
        <stp/>
        <stp/>
        <tr r="D188" s="2"/>
      </tp>
      <tp t="s">
        <v>KRX 부동산리츠인프라 지수</v>
        <stp/>
        <stp>P</stp>
        <stp>0</stp>
        <stp>IDX</stp>
        <stp>XGD02P</stp>
        <stp>한글종목명</stp>
        <stp/>
        <stp/>
        <tr r="D175" s="2"/>
      </tp>
      <tp t="s">
        <v>KRX Eco Leaders 100</v>
        <stp/>
        <stp>P</stp>
        <stp>0</stp>
        <stp>IDX</stp>
        <stp>XGE02P</stp>
        <stp>한글종목명</stp>
        <stp/>
        <stp/>
        <tr r="D173" s="2"/>
      </tp>
      <tp t="s">
        <v>KTOP 30</v>
        <stp/>
        <stp>P</stp>
        <stp>0</stp>
        <stp>IDX</stp>
        <stp>XGG02P</stp>
        <stp>한글종목명</stp>
        <stp/>
        <stp/>
        <tr r="D129" s="2"/>
      </tp>
      <tp t="s">
        <v>코스피200 코스닥150 고정비중 5</v>
        <stp/>
        <stp>P</stp>
        <stp>0</stp>
        <stp>IDX</stp>
        <stp>XGX02P</stp>
        <stp>한글종목명</stp>
        <stp/>
        <stp/>
        <tr r="D133" s="2"/>
      </tp>
      <tp t="s">
        <v>KRX 반도체</v>
        <stp/>
        <stp>P</stp>
        <stp>0</stp>
        <stp>IDX</stp>
        <stp>XGS02P</stp>
        <stp>한글종목명</stp>
        <stp/>
        <stp/>
        <tr r="D167" s="2"/>
      </tp>
      <tp t="s">
        <v>KRX 2차전지 TOP 10 지수</v>
        <stp/>
        <stp>P</stp>
        <stp>0</stp>
        <stp>IDX</stp>
        <stp>XGT02P</stp>
        <stp>한글종목명</stp>
        <stp/>
        <stp/>
        <tr r="D40" s="2"/>
      </tp>
      <tp t="s">
        <v>KRX BBIG 리스크컨트롤 12% 지수</v>
        <stp/>
        <stp>P</stp>
        <stp>0</stp>
        <stp>IDX</stp>
        <stp>XGV02P</stp>
        <stp>한글종목명</stp>
        <stp/>
        <stp/>
        <tr r="D135" s="2"/>
      </tp>
      <tp t="s">
        <v>코스피200 코스닥150 고정비중 7</v>
        <stp/>
        <stp>P</stp>
        <stp>0</stp>
        <stp>IDX</stp>
        <stp>XG902P</stp>
        <stp>한글종목명</stp>
        <stp/>
        <stp/>
        <tr r="D179" s="2"/>
      </tp>
      <tp t="s">
        <v>KRX 300 정보기술</v>
        <stp/>
        <stp>P</stp>
        <stp>0</stp>
        <stp>IDX</stp>
        <stp>X3S05P</stp>
        <stp>한글종목명</stp>
        <stp/>
        <stp/>
        <tr r="D185" s="2"/>
      </tp>
      <tp t="s">
        <v>KRX 최소변동성지수</v>
        <stp/>
        <stp>P</stp>
        <stp>0</stp>
        <stp>IDX</stp>
        <stp>XGB05P</stp>
        <stp>한글종목명</stp>
        <stp/>
        <stp/>
        <tr r="D176" s="2"/>
      </tp>
      <tp t="s">
        <v>KRX 기후변화 솔루션 지수</v>
        <stp/>
        <stp>P</stp>
        <stp>0</stp>
        <stp>IDX</stp>
        <stp>XGE05P</stp>
        <stp>한글종목명</stp>
        <stp/>
        <stp/>
        <tr r="D169" s="2"/>
      </tp>
      <tp t="s">
        <v>KRX 반도체 레버리지 지수</v>
        <stp/>
        <stp>P</stp>
        <stp>0</stp>
        <stp>IDX</stp>
        <stp>XGX05P</stp>
        <stp>한글종목명</stp>
        <stp/>
        <stp/>
        <tr r="D130" s="2"/>
      </tp>
      <tp t="s">
        <v>KRX 에너지화학</v>
        <stp/>
        <stp>P</stp>
        <stp>0</stp>
        <stp>IDX</stp>
        <stp>XGS05P</stp>
        <stp>한글종목명</stp>
        <stp/>
        <stp/>
        <tr r="D164" s="2"/>
      </tp>
      <tp t="s">
        <v>KRX 게임 TOP 10 지수</v>
        <stp/>
        <stp>P</stp>
        <stp>0</stp>
        <stp>IDX</stp>
        <stp>XGT05P</stp>
        <stp>한글종목명</stp>
        <stp/>
        <stp/>
        <tr r="D150" s="2"/>
      </tp>
      <tp t="s">
        <v>KRX 300 금융</v>
        <stp/>
        <stp>P</stp>
        <stp>0</stp>
        <stp>IDX</stp>
        <stp>X3S04P</stp>
        <stp>한글종목명</stp>
        <stp/>
        <stp/>
        <tr r="D186" s="2"/>
      </tp>
      <tp t="s">
        <v>KRX 사회책임경영지수(S)</v>
        <stp/>
        <stp>P</stp>
        <stp>0</stp>
        <stp>IDX</stp>
        <stp>XGE04P</stp>
        <stp>한글종목명</stp>
        <stp/>
        <stp/>
        <tr r="D171" s="2"/>
      </tp>
      <tp t="s">
        <v>KRX 2차전지 TOP 10 레버리지지?</v>
        <stp/>
        <stp>P</stp>
        <stp>0</stp>
        <stp>IDX</stp>
        <stp>XGX04P</stp>
        <stp>한글종목명</stp>
        <stp/>
        <stp/>
        <tr r="D131" s="2"/>
      </tp>
      <tp t="s">
        <v>KRX 은행</v>
        <stp/>
        <stp>P</stp>
        <stp>0</stp>
        <stp>IDX</stp>
        <stp>XGS04P</stp>
        <stp>한글종목명</stp>
        <stp/>
        <stp/>
        <tr r="D165" s="2"/>
      </tp>
      <tp t="s">
        <v>KRX 인터넷 TOP 10 지수</v>
        <stp/>
        <stp>P</stp>
        <stp>0</stp>
        <stp>IDX</stp>
        <stp>XGT04P</stp>
        <stp>한글종목명</stp>
        <stp/>
        <stp/>
        <tr r="D151" s="2"/>
      </tp>
      <tp t="s">
        <v>KRX 포스트IPO 지수</v>
        <stp/>
        <stp>P</stp>
        <stp>0</stp>
        <stp>IDX</stp>
        <stp>XG904P</stp>
        <stp>한글종목명</stp>
        <stp/>
        <stp/>
        <tr r="D177" s="2"/>
      </tp>
      <tp t="s">
        <v>KRX 300 필수소비재</v>
        <stp/>
        <stp>P</stp>
        <stp>0</stp>
        <stp>IDX</stp>
        <stp>X3S07P</stp>
        <stp>한글종목명</stp>
        <stp/>
        <stp/>
        <tr r="D183" s="2"/>
      </tp>
      <tp t="s">
        <v>KRX 방송통신</v>
        <stp/>
        <stp>P</stp>
        <stp>0</stp>
        <stp>IDX</stp>
        <stp>XGS07P</stp>
        <stp>한글종목명</stp>
        <stp/>
        <stp/>
        <tr r="D162" s="2"/>
      </tp>
      <tp t="s">
        <v>KRX 블루칩 25 USD</v>
        <stp/>
        <stp>P</stp>
        <stp>0</stp>
        <stp>IDX</stp>
        <stp>XGT07P</stp>
        <stp>한글종목명</stp>
        <stp/>
        <stp/>
        <tr r="D147" s="2"/>
      </tp>
      <tp t="s">
        <v>KRX 300 소재</v>
        <stp/>
        <stp>P</stp>
        <stp>0</stp>
        <stp>IDX</stp>
        <stp>X3S06P</stp>
        <stp>한글종목명</stp>
        <stp/>
        <stp/>
        <tr r="D184" s="2"/>
      </tp>
      <tp t="s">
        <v>KRX 블루칩 25 TR 지수(KRX통합T</v>
        <stp/>
        <stp>P</stp>
        <stp>0</stp>
        <stp>IDX</stp>
        <stp>XGT06T</stp>
        <stp>한글종목명</stp>
        <stp/>
        <stp/>
        <tr r="D148" s="2"/>
      </tp>
      <tp t="s">
        <v>KRX 철강</v>
        <stp/>
        <stp>P</stp>
        <stp>0</stp>
        <stp>IDX</stp>
        <stp>XGS06P</stp>
        <stp>한글종목명</stp>
        <stp/>
        <stp/>
        <tr r="D163" s="2"/>
      </tp>
      <tp t="s">
        <v>KRX 블루칩 25</v>
        <stp/>
        <stp>P</stp>
        <stp>0</stp>
        <stp>IDX</stp>
        <stp>XGT06P</stp>
        <stp>한글종목명</stp>
        <stp/>
        <stp/>
        <tr r="D149" s="2"/>
      </tp>
      <tp t="s">
        <v>KRX 증권</v>
        <stp/>
        <stp>P</stp>
        <stp>0</stp>
        <stp>IDX</stp>
        <stp>XGS09P</stp>
        <stp>한글종목명</stp>
        <stp/>
        <stp/>
        <tr r="D160" s="2"/>
      </tp>
      <tp t="s">
        <v>KRX 전기차 Top 15 USD</v>
        <stp/>
        <stp>P</stp>
        <stp>0</stp>
        <stp>IDX</stp>
        <stp>XGT09P</stp>
        <stp>한글종목명</stp>
        <stp/>
        <stp/>
        <tr r="D144" s="2"/>
      </tp>
      <tp t="s">
        <v>KRX 300 커뮤니케이션서비스</v>
        <stp/>
        <stp>P</stp>
        <stp>0</stp>
        <stp>IDX</stp>
        <stp>X3S08P</stp>
        <stp>한글종목명</stp>
        <stp/>
        <stp/>
        <tr r="D182" s="2"/>
      </tp>
      <tp t="s">
        <v>코스닥 150 TR(KOSDAQ통합TR)</v>
        <stp/>
        <stp>P</stp>
        <stp>0</stp>
        <stp>IDX</stp>
        <stp>Q5G01T</stp>
        <stp>한글종목명</stp>
        <stp/>
        <stp/>
        <tr r="D203" s="2"/>
      </tp>
      <tp t="s">
        <v>코스닥 150 거버넌스 지수</v>
        <stp/>
        <stp>P</stp>
        <stp>0</stp>
        <stp>IDX</stp>
        <stp>Q5E01P</stp>
        <stp>한글종목명</stp>
        <stp/>
        <stp/>
        <tr r="D204" s="2"/>
      </tp>
      <tp t="s">
        <v>코스닥 150</v>
        <stp/>
        <stp>P</stp>
        <stp>0</stp>
        <stp>IDX</stp>
        <stp>Q5G01P</stp>
        <stp>한글종목명</stp>
        <stp/>
        <stp/>
        <tr r="D34" s="2"/>
      </tp>
      <tp t="s">
        <v>코스닥 150 레버리지지수</v>
        <stp/>
        <stp>P</stp>
        <stp>0</stp>
        <stp>IDX</stp>
        <stp>Q5X01P</stp>
        <stp>한글종목명</stp>
        <stp/>
        <stp/>
        <tr r="D36" s="2"/>
      </tp>
      <tp t="s">
        <v>코스닥 150 동일가중지수</v>
        <stp/>
        <stp>P</stp>
        <stp>0</stp>
        <stp>IDX</stp>
        <stp>Q5W01P</stp>
        <stp>한글종목명</stp>
        <stp/>
        <stp/>
        <tr r="D35" s="2"/>
      </tp>
      <tp t="s">
        <v>코스닥 TR</v>
        <stp/>
        <stp>P</stp>
        <stp>0</stp>
        <stp>IDX</stp>
        <stp>QGG01T</stp>
        <stp>한글종목명</stp>
        <stp/>
        <stp/>
        <tr r="D128" s="2"/>
      </tp>
      <tp t="s">
        <v>KRX 전기차 Top 15 TR 지수(KRX?</v>
        <stp/>
        <stp>P</stp>
        <stp>0</stp>
        <stp>IDX</stp>
        <stp>XGT08T</stp>
        <stp>한글종목명</stp>
        <stp/>
        <stp/>
        <tr r="D145" s="2"/>
      </tp>
      <tp t="s">
        <v>코스닥</v>
        <stp/>
        <stp>P</stp>
        <stp>0</stp>
        <stp>IDX</stp>
        <stp>QGG01P</stp>
        <stp>한글종목명</stp>
        <stp/>
        <stp/>
        <tr r="D26" s="2"/>
      </tp>
      <tp t="s">
        <v>코스닥 대형주</v>
        <stp/>
        <stp>P</stp>
        <stp>0</stp>
        <stp>IDX</stp>
        <stp>QGZ01P</stp>
        <stp>한글종목명</stp>
        <stp/>
        <stp/>
        <tr r="D41" s="2"/>
      </tp>
      <tp t="s">
        <v>기타서비스</v>
        <stp/>
        <stp>P</stp>
        <stp>0</stp>
        <stp>IDX</stp>
        <stp>QGS01P</stp>
        <stp>한글종목명</stp>
        <stp/>
        <stp/>
        <tr r="D69" s="2"/>
      </tp>
      <tp t="s">
        <v>KRX 건설</v>
        <stp/>
        <stp>P</stp>
        <stp>0</stp>
        <stp>IDX</stp>
        <stp>XGS08P</stp>
        <stp>한글종목명</stp>
        <stp/>
        <stp/>
        <tr r="D161" s="2"/>
      </tp>
      <tp t="s">
        <v>KRX 전기차 Top 15</v>
        <stp/>
        <stp>P</stp>
        <stp>0</stp>
        <stp>IDX</stp>
        <stp>XGT08P</stp>
        <stp>한글종목명</stp>
        <stp/>
        <stp/>
        <tr r="D146" s="2"/>
      </tp>
      <tp t="s">
        <v>코스닥 150 레버리지 0.5 지수</v>
        <stp/>
        <stp>P</stp>
        <stp>0</stp>
        <stp>IDX</stp>
        <stp>Q5X02P</stp>
        <stp>한글종목명</stp>
        <stp/>
        <stp/>
        <tr r="D37" s="2"/>
      </tp>
      <tp t="s">
        <v>코스닥 150 정보기술</v>
        <stp/>
        <stp>P</stp>
        <stp>0</stp>
        <stp>IDX</stp>
        <stp>Q5S02P</stp>
        <stp>한글종목명</stp>
        <stp/>
        <stp/>
        <tr r="D202" s="2"/>
      </tp>
      <tp t="s">
        <v>코스닥 중형주</v>
        <stp/>
        <stp>P</stp>
        <stp>0</stp>
        <stp>IDX</stp>
        <stp>QGZ02P</stp>
        <stp>한글종목명</stp>
        <stp/>
        <stp/>
        <tr r="D53" s="2"/>
      </tp>
      <tp t="s">
        <v>제조</v>
        <stp/>
        <stp>P</stp>
        <stp>0</stp>
        <stp>IDX</stp>
        <stp>QGS02P</stp>
        <stp>한글종목명</stp>
        <stp/>
        <stp/>
        <tr r="D29" s="2"/>
      </tp>
      <tp t="s">
        <v>코스닥 150 헬스케어</v>
        <stp/>
        <stp>P</stp>
        <stp>0</stp>
        <stp>IDX</stp>
        <stp>Q5S03P</stp>
        <stp>한글종목명</stp>
        <stp/>
        <stp/>
        <tr r="D201" s="2"/>
      </tp>
      <tp t="s">
        <v>코스닥 우량기업부</v>
        <stp/>
        <stp>P</stp>
        <stp>0</stp>
        <stp>IDX</stp>
        <stp>QGG03P</stp>
        <stp>한글종목명</stp>
        <stp/>
        <stp/>
        <tr r="D39" s="2"/>
      </tp>
      <tp t="s">
        <v>코스닥 소형주</v>
        <stp/>
        <stp>P</stp>
        <stp>0</stp>
        <stp>IDX</stp>
        <stp>QGZ03P</stp>
        <stp>한글종목명</stp>
        <stp/>
        <stp/>
        <tr r="D52" s="2"/>
      </tp>
      <tp t="s">
        <v>건설</v>
        <stp/>
        <stp>P</stp>
        <stp>0</stp>
        <stp>IDX</stp>
        <stp>QGS03P</stp>
        <stp>한글종목명</stp>
        <stp/>
        <stp/>
        <tr r="D93" s="2"/>
      </tp>
      <tp t="s">
        <v>코스닥 150 커뮤니케이션서비스</v>
        <stp/>
        <stp>P</stp>
        <stp>0</stp>
        <stp>IDX</stp>
        <stp>Q5S04P</stp>
        <stp>한글종목명</stp>
        <stp/>
        <stp/>
        <tr r="D200" s="2"/>
      </tp>
      <tp t="s">
        <v>코스닥 벤처기업부</v>
        <stp/>
        <stp>P</stp>
        <stp>0</stp>
        <stp>IDX</stp>
        <stp>QGG04P</stp>
        <stp>한글종목명</stp>
        <stp/>
        <stp/>
        <tr r="D73" s="2"/>
      </tp>
      <tp t="s">
        <v>KRX 금현물지수</v>
        <stp/>
        <stp>P</stp>
        <stp>0</stp>
        <stp>IDX</stp>
        <stp>TGG01P</stp>
        <stp>한글종목명</stp>
        <stp/>
        <stp/>
        <tr r="D194" s="2"/>
      </tp>
      <tp t="s">
        <v>KRX 금현물 레버리지 지수</v>
        <stp/>
        <stp>P</stp>
        <stp>0</stp>
        <stp>IDX</stp>
        <stp>TGX01P</stp>
        <stp>한글종목명</stp>
        <stp/>
        <stp/>
        <tr r="D192" s="2"/>
      </tp>
      <tp t="s">
        <v>유통</v>
        <stp/>
        <stp>P</stp>
        <stp>0</stp>
        <stp>IDX</stp>
        <stp>QGS04P</stp>
        <stp>한글종목명</stp>
        <stp/>
        <stp/>
        <tr r="D84" s="2"/>
      </tp>
      <tp t="s">
        <v>코스닥 150 소재</v>
        <stp/>
        <stp>P</stp>
        <stp>0</stp>
        <stp>IDX</stp>
        <stp>Q5S05P</stp>
        <stp>한글종목명</stp>
        <stp/>
        <stp/>
        <tr r="D199" s="2"/>
      </tp>
      <tp t="s">
        <v>코스닥 중견기업부</v>
        <stp/>
        <stp>P</stp>
        <stp>0</stp>
        <stp>IDX</stp>
        <stp>QGG05P</stp>
        <stp>한글종목명</stp>
        <stp/>
        <stp/>
        <tr r="D60" s="2"/>
      </tp>
      <tp t="s">
        <v>금융</v>
        <stp/>
        <stp>P</stp>
        <stp>0</stp>
        <stp>IDX</stp>
        <stp>QGS05P</stp>
        <stp>한글종목명</stp>
        <stp/>
        <stp/>
        <tr r="D80" s="2"/>
      </tp>
      <tp t="s">
        <v>코스닥 150 산업재</v>
        <stp/>
        <stp>P</stp>
        <stp>0</stp>
        <stp>IDX</stp>
        <stp>Q5S06P</stp>
        <stp>한글종목명</stp>
        <stp/>
        <stp/>
        <tr r="D198" s="2"/>
      </tp>
      <tp t="s">
        <v>코스닥 기술성장기업부</v>
        <stp/>
        <stp>P</stp>
        <stp>0</stp>
        <stp>IDX</stp>
        <stp>QGG06P</stp>
        <stp>한글종목명</stp>
        <stp/>
        <stp/>
        <tr r="D63" s="2"/>
      </tp>
      <tp t="s">
        <v>코스닥 150 필수소비재</v>
        <stp/>
        <stp>P</stp>
        <stp>0</stp>
        <stp>IDX</stp>
        <stp>Q5S07P</stp>
        <stp>한글종목명</stp>
        <stp/>
        <stp/>
        <tr r="D197" s="2"/>
      </tp>
      <tp t="s">
        <v>KRX 금현물지수(달러화)</v>
        <stp/>
        <stp>P</stp>
        <stp>0</stp>
        <stp>IDX</stp>
        <stp>TGG02P</stp>
        <stp>한글종목명</stp>
        <stp/>
        <stp/>
        <tr r="D193" s="2"/>
      </tp>
      <tp t="s">
        <v>KRX-IHS Markit 코스피 200 예측</v>
        <stp/>
        <stp>P</stp>
        <stp>0</stp>
        <stp>IDX</stp>
        <stp>K2D02P</stp>
        <stp>한글종목명</stp>
        <stp/>
        <stp/>
        <tr r="D346" s="2"/>
      </tp>
      <tp t="s">
        <v>코스피 200 기후변화지수</v>
        <stp/>
        <stp>P</stp>
        <stp>0</stp>
        <stp>IDX</stp>
        <stp>K2E02P</stp>
        <stp>한글종목명</stp>
        <stp/>
        <stp/>
        <tr r="D349" s="2"/>
      </tp>
      <tp t="s">
        <v>코스피 100</v>
        <stp/>
        <stp>P</stp>
        <stp>0</stp>
        <stp>IDX</stp>
        <stp>K2G02P</stp>
        <stp>한글종목명</stp>
        <stp/>
        <stp/>
        <tr r="D18" s="2"/>
      </tp>
      <tp t="s">
        <v>코스피 200 에너지화학 레버리지</v>
        <stp/>
        <stp>P</stp>
        <stp>0</stp>
        <stp>IDX</stp>
        <stp>K2X02P</stp>
        <stp>한글종목명</stp>
        <stp/>
        <stp/>
        <tr r="D50" s="2"/>
      </tp>
      <tp t="s">
        <v>코스피 200 건설</v>
        <stp/>
        <stp>P</stp>
        <stp>0</stp>
        <stp>IDX</stp>
        <stp>K2S02P</stp>
        <stp>한글종목명</stp>
        <stp/>
        <stp/>
        <tr r="D72" s="2"/>
      </tp>
      <tp t="s">
        <v>코스피200리스크컨트롤 8%지수</v>
        <stp/>
        <stp>P</stp>
        <stp>0</stp>
        <stp>IDX</stp>
        <stp>K2V02P</stp>
        <stp>한글종목명</stp>
        <stp/>
        <stp/>
        <tr r="D376" s="2"/>
      </tp>
      <tp t="s">
        <v>코스피 100 동일가중지수</v>
        <stp/>
        <stp>P</stp>
        <stp>0</stp>
        <stp>IDX</stp>
        <stp>K2W02P</stp>
        <stp>한글종목명</stp>
        <stp/>
        <stp/>
        <tr r="D17" s="2"/>
      </tp>
      <tp t="s">
        <v>코스피200 건설 TR</v>
        <stp/>
        <stp>P</stp>
        <stp>0</stp>
        <stp>IDX</stp>
        <stp>K2S02T</stp>
        <stp>한글종목명</stp>
        <stp/>
        <stp/>
        <tr r="D364" s="2"/>
      </tp>
      <tp t="s">
        <v>코스피 고배당50 TR(KOSPI통합)</v>
        <stp/>
        <stp>P</stp>
        <stp>0</stp>
        <stp>IDX</stp>
        <stp>KGD02T</stp>
        <stp>한글종목명</stp>
        <stp/>
        <stp/>
        <tr r="D113" s="2"/>
      </tp>
      <tp t="s">
        <v>주식국채혼합(채권형)지수</v>
        <stp/>
        <stp>P</stp>
        <stp>0</stp>
        <stp>IDX</stp>
        <stp>MGA04P</stp>
        <stp>한글종목명</stp>
        <stp/>
        <stp/>
        <tr r="D122" s="2"/>
      </tp>
      <tp t="s">
        <v>코스피 고배당 50</v>
        <stp/>
        <stp>P</stp>
        <stp>0</stp>
        <stp>IDX</stp>
        <stp>KGD02P</stp>
        <stp>한글종목명</stp>
        <stp/>
        <stp/>
        <tr r="D195" s="2"/>
      </tp>
      <tp t="s">
        <v>코스피 중형주</v>
        <stp/>
        <stp>P</stp>
        <stp>0</stp>
        <stp>IDX</stp>
        <stp>KGZ02P</stp>
        <stp>한글종목명</stp>
        <stp/>
        <stp/>
        <tr r="D30" s="2"/>
      </tp>
      <tp t="s">
        <v>섬유,의복</v>
        <stp/>
        <stp>P</stp>
        <stp>0</stp>
        <stp>IDX</stp>
        <stp>KGS02P</stp>
        <stp>한글종목명</stp>
        <stp/>
        <stp/>
        <tr r="D88" s="2"/>
      </tp>
      <tp t="s">
        <v>코스피200 내재가치 지수</v>
        <stp/>
        <stp>P</stp>
        <stp>0</stp>
        <stp>IDX</stp>
        <stp>K2B03P</stp>
        <stp>한글종목명</stp>
        <stp/>
        <stp/>
        <tr r="D344" s="2"/>
      </tp>
      <tp t="s">
        <v>코스피 50</v>
        <stp/>
        <stp>P</stp>
        <stp>0</stp>
        <stp>IDX</stp>
        <stp>K2G03P</stp>
        <stp>한글종목명</stp>
        <stp/>
        <stp/>
        <tr r="D21" s="2"/>
      </tp>
      <tp t="s">
        <v>코스피 200 정보기술 레버리지지</v>
        <stp/>
        <stp>P</stp>
        <stp>0</stp>
        <stp>IDX</stp>
        <stp>K2X03P</stp>
        <stp>한글종목명</stp>
        <stp/>
        <stp/>
        <tr r="D24" s="2"/>
      </tp>
      <tp t="s">
        <v>코스피 200 금융</v>
        <stp/>
        <stp>P</stp>
        <stp>0</stp>
        <stp>IDX</stp>
        <stp>K2S03P</stp>
        <stp>한글종목명</stp>
        <stp/>
        <stp/>
        <tr r="D32" s="2"/>
      </tp>
      <tp t="s">
        <v>코스피200리스크컨트롤 10%지수</v>
        <stp/>
        <stp>P</stp>
        <stp>0</stp>
        <stp>IDX</stp>
        <stp>K2V03P</stp>
        <stp>한글종목명</stp>
        <stp/>
        <stp/>
        <tr r="D377" s="2"/>
      </tp>
      <tp t="s">
        <v>코스피 50 동일가중지수</v>
        <stp/>
        <stp>P</stp>
        <stp>0</stp>
        <stp>IDX</stp>
        <stp>K2W03P</stp>
        <stp>한글종목명</stp>
        <stp/>
        <stp/>
        <tr r="D20" s="2"/>
      </tp>
      <tp t="s">
        <v>코스피200 금융 TR</v>
        <stp/>
        <stp>P</stp>
        <stp>0</stp>
        <stp>IDX</stp>
        <stp>K2S03T</stp>
        <stp>한글종목명</stp>
        <stp/>
        <stp/>
        <tr r="D365" s="2"/>
      </tp>
      <tp t="s">
        <v>코스피 200 NTR 고정배당 8 포인</v>
        <stp/>
        <stp>P</stp>
        <stp>0</stp>
        <stp>IDX</stp>
        <stp>K2D03N</stp>
        <stp>한글종목명</stp>
        <stp/>
        <stp/>
        <tr r="D347" s="2"/>
      </tp>
      <tp t="s">
        <v>코스피 배당성장50 TR</v>
        <stp/>
        <stp>P</stp>
        <stp>0</stp>
        <stp>IDX</stp>
        <stp>KGD03T</stp>
        <stp>한글종목명</stp>
        <stp/>
        <stp/>
        <tr r="D115" s="2"/>
      </tp>
      <tp t="s">
        <v>KRX BBIG 주식국채혼합(채권형)?</v>
        <stp/>
        <stp>P</stp>
        <stp>0</stp>
        <stp>IDX</stp>
        <stp>MGA05P</stp>
        <stp>한글종목명</stp>
        <stp/>
        <stp/>
        <tr r="D123" s="2"/>
      </tp>
      <tp t="s">
        <v>코스피 배당성장 50</v>
        <stp/>
        <stp>P</stp>
        <stp>0</stp>
        <stp>IDX</stp>
        <stp>KGD03P</stp>
        <stp>한글종목명</stp>
        <stp/>
        <stp/>
        <tr r="D114" s="2"/>
      </tp>
      <tp t="s">
        <v>코스피 소형주</v>
        <stp/>
        <stp>P</stp>
        <stp>0</stp>
        <stp>IDX</stp>
        <stp>KGZ03P</stp>
        <stp>한글종목명</stp>
        <stp/>
        <stp/>
        <tr r="D57" s="2"/>
      </tp>
      <tp t="s">
        <v>종이,목재</v>
        <stp/>
        <stp>P</stp>
        <stp>0</stp>
        <stp>IDX</stp>
        <stp>KGS03P</stp>
        <stp>한글종목명</stp>
        <stp/>
        <stp/>
        <tr r="D94" s="2"/>
      </tp>
      <tp t="s">
        <v>코스피 200 고배당 커버드콜 ATM</v>
        <stp/>
        <stp>P</stp>
        <stp>0</stp>
        <stp>IDX</stp>
        <stp>O2904P</stp>
        <stp>한글종목명</stp>
        <stp/>
        <stp/>
        <tr r="D102" s="2"/>
      </tp>
      <tp t="s">
        <v>KRX 2차전지 TOP 10 주식국채혼?</v>
        <stp/>
        <stp>P</stp>
        <stp>0</stp>
        <stp>IDX</stp>
        <stp>MGA06P</stp>
        <stp>한글종목명</stp>
        <stp/>
        <stp/>
        <tr r="D124" s="2"/>
      </tp>
      <tp t="s">
        <v>코스피 200 고배당지수</v>
        <stp/>
        <stp>P</stp>
        <stp>0</stp>
        <stp>IDX</stp>
        <stp>K2B01P</stp>
        <stp>한글종목명</stp>
        <stp/>
        <stp/>
        <tr r="D23" s="2"/>
      </tp>
      <tp t="s">
        <v>KRX-IHS Markit 코스피 200 예측</v>
        <stp/>
        <stp>P</stp>
        <stp>0</stp>
        <stp>IDX</stp>
        <stp>K2D01P</stp>
        <stp>한글종목명</stp>
        <stp/>
        <stp/>
        <tr r="D345" s="2"/>
      </tp>
      <tp t="s">
        <v>코스피 200 ESG 지수</v>
        <stp/>
        <stp>P</stp>
        <stp>0</stp>
        <stp>IDX</stp>
        <stp>K2E01P</stp>
        <stp>한글종목명</stp>
        <stp/>
        <stp/>
        <tr r="D348" s="2"/>
      </tp>
      <tp t="s">
        <v>코스피 200</v>
        <stp/>
        <stp>P</stp>
        <stp>0</stp>
        <stp>IDX</stp>
        <stp>K2G01P</stp>
        <stp>한글종목명</stp>
        <stp/>
        <stp/>
        <tr r="D12" s="2"/>
      </tp>
      <tp t="s">
        <v>코스피 200 레버리지지수</v>
        <stp/>
        <stp>P</stp>
        <stp>0</stp>
        <stp>IDX</stp>
        <stp>K2X01P</stp>
        <stp>한글종목명</stp>
        <stp/>
        <stp/>
        <tr r="D13" s="2"/>
      </tp>
      <tp t="s">
        <v>코스피 200 중소형주지수</v>
        <stp/>
        <stp>P</stp>
        <stp>0</stp>
        <stp>IDX</stp>
        <stp>K2Z01P</stp>
        <stp>한글종목명</stp>
        <stp/>
        <stp/>
        <tr r="D382" s="2"/>
      </tp>
      <tp t="s">
        <v>코스피 200 헬스케어</v>
        <stp/>
        <stp>P</stp>
        <stp>0</stp>
        <stp>IDX</stp>
        <stp>K2S01P</stp>
        <stp>한글종목명</stp>
        <stp/>
        <stp/>
        <tr r="D47" s="2"/>
      </tp>
      <tp t="s">
        <v>코스피 200 경기방어소비재</v>
        <stp/>
        <stp>P</stp>
        <stp>0</stp>
        <stp>IDX</stp>
        <stp>K2T01P</stp>
        <stp>한글종목명</stp>
        <stp/>
        <stp/>
        <tr r="D374" s="2"/>
      </tp>
      <tp t="s">
        <v>코스피200리스크컨트롤 6%지수</v>
        <stp/>
        <stp>P</stp>
        <stp>0</stp>
        <stp>IDX</stp>
        <stp>K2V01P</stp>
        <stp>한글종목명</stp>
        <stp/>
        <stp/>
        <tr r="D375" s="2"/>
      </tp>
      <tp t="s">
        <v>코스피 200 동일가중지수</v>
        <stp/>
        <stp>P</stp>
        <stp>0</stp>
        <stp>IDX</stp>
        <stp>K2W01P</stp>
        <stp>한글종목명</stp>
        <stp/>
        <stp/>
        <tr r="D11" s="2"/>
      </tp>
      <tp t="s">
        <v>KRX Bloomberg 코스피 200 스마?</v>
        <stp/>
        <stp>P</stp>
        <stp>0</stp>
        <stp>IDX</stp>
        <stp>K2901P</stp>
        <stp>한글종목명</stp>
        <stp/>
        <stp/>
        <tr r="D343" s="2"/>
      </tp>
      <tp t="s">
        <v>코스피 200 프로텍티브풋 5% OTM</v>
        <stp/>
        <stp>P</stp>
        <stp>0</stp>
        <stp>IDX</stp>
        <stp>O2905P</stp>
        <stp>한글종목명</stp>
        <stp/>
        <stp/>
        <tr r="D101" s="2"/>
      </tp>
      <tp t="s">
        <v>코스피 200 TR</v>
        <stp/>
        <stp>P</stp>
        <stp>0</stp>
        <stp>IDX</stp>
        <stp>K2G01T</stp>
        <stp>한글종목명</stp>
        <stp/>
        <stp/>
        <tr r="D351" s="2"/>
      </tp>
      <tp t="s">
        <v>코스피200 헬스케어 TR</v>
        <stp/>
        <stp>P</stp>
        <stp>0</stp>
        <stp>IDX</stp>
        <stp>K2S01T</stp>
        <stp>한글종목명</stp>
        <stp/>
        <stp/>
        <tr r="D363" s="2"/>
      </tp>
      <tp t="s">
        <v>코스피 200 NTR</v>
        <stp/>
        <stp>P</stp>
        <stp>0</stp>
        <stp>IDX</stp>
        <stp>K2G01N</stp>
        <stp>한글종목명</stp>
        <stp/>
        <stp/>
        <tr r="D350" s="2"/>
      </tp>
      <tp t="s">
        <v>코스피 TR</v>
        <stp/>
        <stp>P</stp>
        <stp>0</stp>
        <stp>IDX</stp>
        <stp>KGG01T</stp>
        <stp>한글종목명</stp>
        <stp/>
        <stp/>
        <tr r="D116" s="2"/>
      </tp>
      <tp t="s">
        <v>코스피 USD 현물 지수</v>
        <stp/>
        <stp>P</stp>
        <stp>0</stp>
        <stp>IDX</stp>
        <stp>KGA01P</stp>
        <stp>한글종목명</stp>
        <stp/>
        <stp/>
        <tr r="D383" s="2"/>
      </tp>
      <tp t="s">
        <v>코스피 200 DAE지수</v>
        <stp/>
        <stp>P</stp>
        <stp>0</stp>
        <stp>IDX</stp>
        <stp>MGA07P</stp>
        <stp>한글종목명</stp>
        <stp/>
        <stp/>
        <tr r="D125" s="2"/>
      </tp>
      <tp t="s">
        <v>코스피 우선주 지수</v>
        <stp/>
        <stp>P</stp>
        <stp>0</stp>
        <stp>IDX</stp>
        <stp>KGD01P</stp>
        <stp>한글종목명</stp>
        <stp/>
        <stp/>
        <tr r="D298" s="2"/>
      </tp>
      <tp t="s">
        <v>코스피</v>
        <stp/>
        <stp>P</stp>
        <stp>0</stp>
        <stp>IDX</stp>
        <stp>KGG01P</stp>
        <stp>한글종목명</stp>
        <stp/>
        <stp/>
        <tr r="D9" s="2"/>
      </tp>
      <tp t="s">
        <v>KRX 리츠 TOP 10 레버리지 지수</v>
        <stp/>
        <stp>P</stp>
        <stp>0</stp>
        <stp>IDX</stp>
        <stp>KGX01P</stp>
        <stp>한글종목명</stp>
        <stp/>
        <stp/>
        <tr r="D118" s="2"/>
      </tp>
      <tp t="s">
        <v>코스피 대형주</v>
        <stp/>
        <stp>P</stp>
        <stp>0</stp>
        <stp>IDX</stp>
        <stp>KGZ01P</stp>
        <stp>한글종목명</stp>
        <stp/>
        <stp/>
        <tr r="D16" s="2"/>
      </tp>
      <tp t="s">
        <v>음식료품</v>
        <stp/>
        <stp>P</stp>
        <stp>0</stp>
        <stp>IDX</stp>
        <stp>KGS01P</stp>
        <stp>한글종목명</stp>
        <stp/>
        <stp/>
        <tr r="D75" s="2"/>
      </tp>
      <tp t="s">
        <v>KRX 리츠 TOP 10 지수</v>
        <stp/>
        <stp>P</stp>
        <stp>0</stp>
        <stp>IDX</stp>
        <stp>KGT01P</stp>
        <stp>한글종목명</stp>
        <stp/>
        <stp/>
        <tr r="D117" s="2"/>
      </tp>
      <tp t="s">
        <v>코스피200 비중상한 30% 지수</v>
        <stp/>
        <stp>P</stp>
        <stp>0</stp>
        <stp>IDX</stp>
        <stp>K2G06P</stp>
        <stp>한글종목명</stp>
        <stp/>
        <stp/>
        <tr r="D355" s="2"/>
      </tp>
      <tp t="s">
        <v>코스피 200 경기소비재 레버리지</v>
        <stp/>
        <stp>P</stp>
        <stp>0</stp>
        <stp>IDX</stp>
        <stp>K2X06P</stp>
        <stp>한글종목명</stp>
        <stp/>
        <stp/>
        <tr r="D43" s="2"/>
      </tp>
      <tp t="s">
        <v>코스피 200 경기소비재</v>
        <stp/>
        <stp>P</stp>
        <stp>0</stp>
        <stp>IDX</stp>
        <stp>K2S06P</stp>
        <stp>한글종목명</stp>
        <stp/>
        <stp/>
        <tr r="D42" s="2"/>
      </tp>
      <tp t="s">
        <v>코스피 200 커버드콜 5% OTM</v>
        <stp/>
        <stp>P</stp>
        <stp>0</stp>
        <stp>IDX</stp>
        <stp>O2902P</stp>
        <stp>한글종목명</stp>
        <stp/>
        <stp/>
        <tr r="D109" s="2"/>
      </tp>
      <tp t="s">
        <v>코스피200 비중상한 30% TR</v>
        <stp/>
        <stp>P</stp>
        <stp>0</stp>
        <stp>IDX</stp>
        <stp>K2G06T</stp>
        <stp>한글종목명</stp>
        <stp/>
        <stp/>
        <tr r="D356" s="2"/>
      </tp>
      <tp t="s">
        <v>코스피200 경기소비재 TR</v>
        <stp/>
        <stp>P</stp>
        <stp>0</stp>
        <stp>IDX</stp>
        <stp>K2S06T</stp>
        <stp>한글종목명</stp>
        <stp/>
        <stp/>
        <tr r="D368" s="2"/>
      </tp>
      <tp t="s">
        <v>코스피200 비중상한 30% NTR</v>
        <stp/>
        <stp>P</stp>
        <stp>0</stp>
        <stp>IDX</stp>
        <stp>K2G06N</stp>
        <stp>한글종목명</stp>
        <stp/>
        <stp/>
        <tr r="D354" s="2"/>
      </tp>
      <tp t="s">
        <v>비금속광물</v>
        <stp/>
        <stp>P</stp>
        <stp>0</stp>
        <stp>IDX</stp>
        <stp>KGS06P</stp>
        <stp>한글종목명</stp>
        <stp/>
        <stp/>
        <tr r="D89" s="2"/>
      </tp>
      <tp t="s">
        <v>코스피 200 건설 레버리지지수</v>
        <stp/>
        <stp>P</stp>
        <stp>0</stp>
        <stp>IDX</stp>
        <stp>K2X07P</stp>
        <stp>한글종목명</stp>
        <stp/>
        <stp/>
        <tr r="D71" s="2"/>
      </tp>
      <tp t="s">
        <v>코스피 200 정보기술</v>
        <stp/>
        <stp>P</stp>
        <stp>0</stp>
        <stp>IDX</stp>
        <stp>K2S07P</stp>
        <stp>한글종목명</stp>
        <stp/>
        <stp/>
        <tr r="D25" s="2"/>
      </tp>
      <tp t="s">
        <v>코스피 200 커버드콜 ATM</v>
        <stp/>
        <stp>P</stp>
        <stp>0</stp>
        <stp>IDX</stp>
        <stp>O2903P</stp>
        <stp>한글종목명</stp>
        <stp/>
        <stp/>
        <tr r="D103" s="2"/>
      </tp>
      <tp t="s">
        <v>코스피200 정보기술 TR</v>
        <stp/>
        <stp>P</stp>
        <stp>0</stp>
        <stp>IDX</stp>
        <stp>K2S07T</stp>
        <stp>한글종목명</stp>
        <stp/>
        <stp/>
        <tr r="D369" s="2"/>
      </tp>
      <tp t="s">
        <v>주식골드지수</v>
        <stp/>
        <stp>P</stp>
        <stp>0</stp>
        <stp>IDX</stp>
        <stp>MGA01P</stp>
        <stp>한글종목명</stp>
        <stp/>
        <stp/>
        <tr r="D111" s="2"/>
      </tp>
      <tp t="s">
        <v>철강및금속</v>
        <stp/>
        <stp>P</stp>
        <stp>0</stp>
        <stp>IDX</stp>
        <stp>KGS07P</stp>
        <stp>한글종목명</stp>
        <stp/>
        <stp/>
        <tr r="D64" s="2"/>
      </tp>
      <tp t="s">
        <v>코스피지수 Ex-코스피200 지수</v>
        <stp/>
        <stp>P</stp>
        <stp>0</stp>
        <stp>IDX</stp>
        <stp>K2G04P</stp>
        <stp>한글종목명</stp>
        <stp/>
        <stp/>
        <tr r="D352" s="2"/>
      </tp>
      <tp t="s">
        <v>미니코스피200 선물 인버스-2X ?</v>
        <stp/>
        <stp>P</stp>
        <stp>0</stp>
        <stp>IDX</stp>
        <stp>F2X09P</stp>
        <stp>한글종목명</stp>
        <stp/>
        <stp/>
        <tr r="D233" s="2"/>
      </tp>
      <tp t="s">
        <v>코스피 200 철강/소재 선물지수</v>
        <stp/>
        <stp>P</stp>
        <stp>0</stp>
        <stp>IDX</stp>
        <stp>F2S09P</stp>
        <stp>한글종목명</stp>
        <stp/>
        <stp/>
        <tr r="D222" s="2"/>
      </tp>
      <tp t="s">
        <v>코스피 200 산업재</v>
        <stp/>
        <stp>P</stp>
        <stp>0</stp>
        <stp>IDX</stp>
        <stp>K2S04P</stp>
        <stp>한글종목명</stp>
        <stp/>
        <stp/>
        <tr r="D38" s="2"/>
      </tp>
      <tp t="s">
        <v>코스피200리스크컨트롤 12%지수</v>
        <stp/>
        <stp>P</stp>
        <stp>0</stp>
        <stp>IDX</stp>
        <stp>K2V04P</stp>
        <stp>한글종목명</stp>
        <stp/>
        <stp/>
        <tr r="D378" s="2"/>
      </tp>
      <tp t="s">
        <v>코스피 200 Top 10 지수</v>
        <stp/>
        <stp>P</stp>
        <stp>0</stp>
        <stp>IDX</stp>
        <stp>K2W04P</stp>
        <stp>한글종목명</stp>
        <stp/>
        <stp/>
        <tr r="D209" s="2"/>
      </tp>
      <tp t="s">
        <v>코스닥 150 선물 TWAP 월간 레버</v>
        <stp/>
        <stp>P</stp>
        <stp>0</stp>
        <stp>IDX</stp>
        <stp>F5X09T</stp>
        <stp>한글종목명</stp>
        <stp/>
        <stp/>
        <tr r="D284" s="2"/>
      </tp>
      <tp t="s">
        <v>코스피200 산업재 TR</v>
        <stp/>
        <stp>P</stp>
        <stp>0</stp>
        <stp>IDX</stp>
        <stp>K2S04T</stp>
        <stp>한글종목명</stp>
        <stp/>
        <stp/>
        <tr r="D366" s="2"/>
      </tp>
      <tp t="s">
        <v>엔선물 레버리지지수</v>
        <stp/>
        <stp>P</stp>
        <stp>0</stp>
        <stp>IDX</stp>
        <stp>FRX09P</stp>
        <stp>한글종목명</stp>
        <stp/>
        <stp/>
        <tr r="D309" s="2"/>
      </tp>
      <tp t="s">
        <v>주식미국채DAE지수</v>
        <stp/>
        <stp>P</stp>
        <stp>0</stp>
        <stp>IDX</stp>
        <stp>MGA02P</stp>
        <stp>한글종목명</stp>
        <stp/>
        <stp/>
        <tr r="D112" s="2"/>
      </tp>
      <tp t="s">
        <v>S&amp;P/KRX Exchanges Index (HKD)</v>
        <stp/>
        <stp>P</stp>
        <stp>0</stp>
        <stp>IDX</stp>
        <stp>GGG08P</stp>
        <stp>한글종목명</stp>
        <stp/>
        <stp/>
        <tr r="D338" s="2"/>
      </tp>
      <tp t="s">
        <v>화학</v>
        <stp/>
        <stp>P</stp>
        <stp>0</stp>
        <stp>IDX</stp>
        <stp>KGS04P</stp>
        <stp>한글종목명</stp>
        <stp/>
        <stp/>
        <tr r="D46" s="2"/>
      </tp>
      <tp t="s">
        <v>코스피 200 초대형제외 지수</v>
        <stp/>
        <stp>P</stp>
        <stp>0</stp>
        <stp>IDX</stp>
        <stp>K2G05P</stp>
        <stp>한글종목명</stp>
        <stp/>
        <stp/>
        <tr r="D353" s="2"/>
      </tp>
      <tp t="s">
        <v>미니코스피200 선물 인버스 지수</v>
        <stp/>
        <stp>P</stp>
        <stp>0</stp>
        <stp>IDX</stp>
        <stp>F2X08P</stp>
        <stp>한글종목명</stp>
        <stp/>
        <stp/>
        <tr r="D232" s="2"/>
      </tp>
      <tp t="s">
        <v>코스피 200 금융 레버리지지수</v>
        <stp/>
        <stp>P</stp>
        <stp>0</stp>
        <stp>IDX</stp>
        <stp>K2X05P</stp>
        <stp>한글종목명</stp>
        <stp/>
        <stp/>
        <tr r="D31" s="2"/>
      </tp>
      <tp t="s">
        <v>코스피 200 커버드콜 ATM 레버리</v>
        <stp/>
        <stp>P</stp>
        <stp>0</stp>
        <stp>IDX</stp>
        <stp>O2X01P</stp>
        <stp>한글종목명</stp>
        <stp/>
        <stp/>
        <tr r="D170" s="2"/>
      </tp>
      <tp t="s">
        <v>코스피 200 생활소비재 선물지수</v>
        <stp/>
        <stp>P</stp>
        <stp>0</stp>
        <stp>IDX</stp>
        <stp>F2S08P</stp>
        <stp>한글종목명</stp>
        <stp/>
        <stp/>
        <tr r="D221" s="2"/>
      </tp>
      <tp t="s">
        <v>코스피 200 에너지/화학</v>
        <stp/>
        <stp>P</stp>
        <stp>0</stp>
        <stp>IDX</stp>
        <stp>K2S05P</stp>
        <stp>한글종목명</stp>
        <stp/>
        <stp/>
        <tr r="D51" s="2"/>
      </tp>
      <tp t="s">
        <v>코스피200 변동성지수</v>
        <stp/>
        <stp>P</stp>
        <stp>0</stp>
        <stp>IDX</stp>
        <stp>O2901P</stp>
        <stp>한글종목명</stp>
        <stp/>
        <stp/>
        <tr r="D105" s="2"/>
      </tp>
      <tp t="s">
        <v>코스닥 150 선물 레버리지 1.5X</v>
        <stp/>
        <stp>P</stp>
        <stp>0</stp>
        <stp>IDX</stp>
        <stp>F5X08T</stp>
        <stp>한글종목명</stp>
        <stp/>
        <stp/>
        <tr r="D283" s="2"/>
      </tp>
      <tp t="s">
        <v>코스피200 에너지화학 TR</v>
        <stp/>
        <stp>P</stp>
        <stp>0</stp>
        <stp>IDX</stp>
        <stp>K2S05T</stp>
        <stp>한글종목명</stp>
        <stp/>
        <stp/>
        <tr r="D367" s="2"/>
      </tp>
      <tp t="s">
        <v>유로선물 인버스-3X지수</v>
        <stp/>
        <stp>P</stp>
        <stp>0</stp>
        <stp>IDX</stp>
        <stp>FRX08P</stp>
        <stp>한글종목명</stp>
        <stp/>
        <stp/>
        <tr r="D308" s="2"/>
      </tp>
      <tp t="s">
        <v>10년 국채선물 인버스 레버리지?</v>
        <stp/>
        <stp>P</stp>
        <stp>0</stp>
        <stp>IDX</stp>
        <stp>FTX08T</stp>
        <stp>한글종목명</stp>
        <stp/>
        <stp/>
        <tr r="D326" s="2"/>
      </tp>
      <tp t="s">
        <v>주식국채혼합(주식형)지수</v>
        <stp/>
        <stp>P</stp>
        <stp>0</stp>
        <stp>IDX</stp>
        <stp>MGA03P</stp>
        <stp>한글종목명</stp>
        <stp/>
        <stp/>
        <tr r="D120" s="2"/>
      </tp>
      <tp t="s">
        <v>의약품</v>
        <stp/>
        <stp>P</stp>
        <stp>0</stp>
        <stp>IDX</stp>
        <stp>KGS05P</stp>
        <stp>한글종목명</stp>
        <stp/>
        <stp/>
        <tr r="D49" s="2"/>
      </tp>
      <tp t="s">
        <v>미니코스피200 선물 레버리지 지</v>
        <stp/>
        <stp>P</stp>
        <stp>0</stp>
        <stp>IDX</stp>
        <stp>F2X07P</stp>
        <stp>한글종목명</stp>
        <stp/>
        <stp/>
        <tr r="D231" s="2"/>
      </tp>
      <tp t="s">
        <v>코스피 200 헬스케어 선물지수</v>
        <stp/>
        <stp>P</stp>
        <stp>0</stp>
        <stp>IDX</stp>
        <stp>F2S07P</stp>
        <stp>한글종목명</stp>
        <stp/>
        <stp/>
        <tr r="D220" s="2"/>
      </tp>
      <tp t="s">
        <v>코스닥 150 선물 TWAP 인버스-2X</v>
        <stp/>
        <stp>P</stp>
        <stp>0</stp>
        <stp>IDX</stp>
        <stp>F5X07T</stp>
        <stp>한글종목명</stp>
        <stp/>
        <stp/>
        <tr r="D282" s="2"/>
      </tp>
      <tp t="s">
        <v>유로선물 인버스-2X지수</v>
        <stp/>
        <stp>P</stp>
        <stp>0</stp>
        <stp>IDX</stp>
        <stp>FRX07P</stp>
        <stp>한글종목명</stp>
        <stp/>
        <stp/>
        <tr r="D307" s="2"/>
      </tp>
      <tp t="s">
        <v>10년 국채선물 인버스지수</v>
        <stp/>
        <stp>P</stp>
        <stp>0</stp>
        <stp>IDX</stp>
        <stp>FTX07P</stp>
        <stp>한글종목명</stp>
        <stp/>
        <stp/>
        <tr r="D325" s="2"/>
      </tp>
      <tp t="s">
        <v>코스피200 10년국채 선물혼합지?</v>
        <stp/>
        <stp>P</stp>
        <stp>0</stp>
        <stp>IDX</stp>
        <stp>FGA07P</stp>
        <stp>한글종목명</stp>
        <stp/>
        <stp/>
        <tr r="D291" s="2"/>
      </tp>
      <tp t="s">
        <v>S&amp;P/KRX Exchanges Index (USD)</v>
        <stp/>
        <stp>P</stp>
        <stp>0</stp>
        <stp>IDX</stp>
        <stp>GGG06P</stp>
        <stp>한글종목명</stp>
        <stp/>
        <stp/>
        <tr r="D336" s="2"/>
      </tp>
      <tp t="s">
        <v>코스피 200 현선물레버리지 1.5X</v>
        <stp/>
        <stp>P</stp>
        <stp>0</stp>
        <stp>IDX</stp>
        <stp>F2X06P</stp>
        <stp>한글종목명</stp>
        <stp/>
        <stp/>
        <tr r="D230" s="2"/>
      </tp>
      <tp t="s">
        <v>코스피 200 중공업 선물지수</v>
        <stp/>
        <stp>P</stp>
        <stp>0</stp>
        <stp>IDX</stp>
        <stp>F2S06P</stp>
        <stp>한글종목명</stp>
        <stp/>
        <stp/>
        <tr r="D219" s="2"/>
      </tp>
      <tp t="s">
        <v>코스닥 150 선물 TWAP 레버리지?</v>
        <stp/>
        <stp>P</stp>
        <stp>0</stp>
        <stp>IDX</stp>
        <stp>F5X06T</stp>
        <stp>한글종목명</stp>
        <stp/>
        <stp/>
        <tr r="D281" s="2"/>
      </tp>
      <tp t="s">
        <v>유로선물 인버스지수</v>
        <stp/>
        <stp>P</stp>
        <stp>0</stp>
        <stp>IDX</stp>
        <stp>FRX06P</stp>
        <stp>한글종목명</stp>
        <stp/>
        <stp/>
        <tr r="D306" s="2"/>
      </tp>
      <tp t="s">
        <v>10년 국채선물 레버리지지수</v>
        <stp/>
        <stp>P</stp>
        <stp>0</stp>
        <stp>IDX</stp>
        <stp>FTX06T</stp>
        <stp>한글종목명</stp>
        <stp/>
        <stp/>
        <tr r="D324" s="2"/>
      </tp>
      <tp t="s">
        <v>코스닥150 롱 코스피200 0.5 숏</v>
        <stp/>
        <stp>P</stp>
        <stp>0</stp>
        <stp>IDX</stp>
        <stp>FGA06P</stp>
        <stp>한글종목명</stp>
        <stp/>
        <stp/>
        <tr r="D290" s="2"/>
      </tp>
      <tp t="s">
        <v>S&amp;P/KRX Exchanges Index (JPY)</v>
        <stp/>
        <stp>P</stp>
        <stp>0</stp>
        <stp>IDX</stp>
        <stp>GGG07P</stp>
        <stp>한글종목명</stp>
        <stp/>
        <stp/>
        <tr r="D337" s="2"/>
      </tp>
      <tp t="s">
        <v>코스피200 비중상한 25% 지수</v>
        <stp/>
        <stp>P</stp>
        <stp>0</stp>
        <stp>IDX</stp>
        <stp>K2G08P</stp>
        <stp>한글종목명</stp>
        <stp/>
        <stp/>
        <tr r="D358" s="2"/>
      </tp>
      <tp t="s">
        <v>코스피 200 중공업 레버리지지수</v>
        <stp/>
        <stp>P</stp>
        <stp>0</stp>
        <stp>IDX</stp>
        <stp>K2X08P</stp>
        <stp>한글종목명</stp>
        <stp/>
        <stp/>
        <tr r="D56" s="2"/>
      </tp>
      <tp t="s">
        <v>코스피 200 건설 선물지수</v>
        <stp/>
        <stp>P</stp>
        <stp>0</stp>
        <stp>IDX</stp>
        <stp>F2S05P</stp>
        <stp>한글종목명</stp>
        <stp/>
        <stp/>
        <tr r="D218" s="2"/>
      </tp>
      <tp t="s">
        <v>코스피 200 중공업</v>
        <stp/>
        <stp>P</stp>
        <stp>0</stp>
        <stp>IDX</stp>
        <stp>K2S08P</stp>
        <stp>한글종목명</stp>
        <stp/>
        <stp/>
        <tr r="D55" s="2"/>
      </tp>
      <tp t="s">
        <v>코스닥 150 선물 TWAP 인버스지?</v>
        <stp/>
        <stp>P</stp>
        <stp>0</stp>
        <stp>IDX</stp>
        <stp>F5X05T</stp>
        <stp>한글종목명</stp>
        <stp/>
        <stp/>
        <tr r="D280" s="2"/>
      </tp>
      <tp t="s">
        <v>코스피200 비중상한 25% TR</v>
        <stp/>
        <stp>P</stp>
        <stp>0</stp>
        <stp>IDX</stp>
        <stp>K2G08T</stp>
        <stp>한글종목명</stp>
        <stp/>
        <stp/>
        <tr r="D359" s="2"/>
      </tp>
      <tp t="s">
        <v>코스피 200 선물 TWAP 인버스지?</v>
        <stp/>
        <stp>P</stp>
        <stp>0</stp>
        <stp>IDX</stp>
        <stp>F2X05T</stp>
        <stp>한글종목명</stp>
        <stp/>
        <stp/>
        <tr r="D229" s="2"/>
      </tp>
      <tp t="s">
        <v>코스피200 중공업 TR</v>
        <stp/>
        <stp>P</stp>
        <stp>0</stp>
        <stp>IDX</stp>
        <stp>K2S08T</stp>
        <stp>한글종목명</stp>
        <stp/>
        <stp/>
        <tr r="D370" s="2"/>
      </tp>
      <tp t="s">
        <v>코스피200 비중상한 25% NTR</v>
        <stp/>
        <stp>P</stp>
        <stp>0</stp>
        <stp>IDX</stp>
        <stp>K2G08N</stp>
        <stp>한글종목명</stp>
        <stp/>
        <stp/>
        <tr r="D357" s="2"/>
      </tp>
      <tp t="s">
        <v>유로선물 레버리지지수</v>
        <stp/>
        <stp>P</stp>
        <stp>0</stp>
        <stp>IDX</stp>
        <stp>FRX05P</stp>
        <stp>한글종목명</stp>
        <stp/>
        <stp/>
        <tr r="D305" s="2"/>
      </tp>
      <tp t="s">
        <v>5년 국채선물 추종 인버스지수</v>
        <stp/>
        <stp>P</stp>
        <stp>0</stp>
        <stp>IDX</stp>
        <stp>FTX05P</stp>
        <stp>한글종목명</stp>
        <stp/>
        <stp/>
        <tr r="D323" s="2"/>
      </tp>
      <tp t="s">
        <v>코스피200 롱 코스닥150 0.5 숏</v>
        <stp/>
        <stp>P</stp>
        <stp>0</stp>
        <stp>IDX</stp>
        <stp>FGA05P</stp>
        <stp>한글종목명</stp>
        <stp/>
        <stp/>
        <tr r="D289" s="2"/>
      </tp>
      <tp t="s">
        <v>S&amp;P/KRX Asia 100 Index (JPY)</v>
        <stp/>
        <stp>P</stp>
        <stp>0</stp>
        <stp>IDX</stp>
        <stp>GGG04P</stp>
        <stp>한글종목명</stp>
        <stp/>
        <stp/>
        <tr r="D334" s="2"/>
      </tp>
      <tp t="s">
        <v>기계</v>
        <stp/>
        <stp>P</stp>
        <stp>0</stp>
        <stp>IDX</stp>
        <stp>KGS08P</stp>
        <stp>한글종목명</stp>
        <stp/>
        <stp/>
        <tr r="D66" s="2"/>
      </tp>
      <tp t="s">
        <v>코스피 200 선물 인버스-3X지수</v>
        <stp/>
        <stp>P</stp>
        <stp>0</stp>
        <stp>IDX</stp>
        <stp>F2X04P</stp>
        <stp>한글종목명</stp>
        <stp/>
        <stp/>
        <tr r="D228" s="2"/>
      </tp>
      <tp t="s">
        <v>코스피 200 헬스케어 레버리지지</v>
        <stp/>
        <stp>P</stp>
        <stp>0</stp>
        <stp>IDX</stp>
        <stp>K2X09P</stp>
        <stp>한글종목명</stp>
        <stp/>
        <stp/>
        <tr r="D48" s="2"/>
      </tp>
      <tp t="s">
        <v>코스피 200 경기소비재 선물지수</v>
        <stp/>
        <stp>P</stp>
        <stp>0</stp>
        <stp>IDX</stp>
        <stp>F2S04P</stp>
        <stp>한글종목명</stp>
        <stp/>
        <stp/>
        <tr r="D217" s="2"/>
      </tp>
      <tp t="s">
        <v>코스피 200 철강/소재</v>
        <stp/>
        <stp>P</stp>
        <stp>0</stp>
        <stp>IDX</stp>
        <stp>K2S09P</stp>
        <stp>한글종목명</stp>
        <stp/>
        <stp/>
        <tr r="D68" s="2"/>
      </tp>
      <tp t="s">
        <v>코스닥 150선물 레버리지지수</v>
        <stp/>
        <stp>P</stp>
        <stp>0</stp>
        <stp>IDX</stp>
        <stp>F5X04T</stp>
        <stp>한글종목명</stp>
        <stp/>
        <stp/>
        <tr r="D279" s="2"/>
      </tp>
      <tp t="s">
        <v>코스피200 철강소재 TR</v>
        <stp/>
        <stp>P</stp>
        <stp>0</stp>
        <stp>IDX</stp>
        <stp>K2S09T</stp>
        <stp>한글종목명</stp>
        <stp/>
        <stp/>
        <tr r="D371" s="2"/>
      </tp>
      <tp t="s">
        <v>미국달러선물 인버스-3X지수</v>
        <stp/>
        <stp>P</stp>
        <stp>0</stp>
        <stp>IDX</stp>
        <stp>FRX04P</stp>
        <stp>한글종목명</stp>
        <stp/>
        <stp/>
        <tr r="D304" s="2"/>
      </tp>
      <tp t="s">
        <v>국채 3-10년 선물인버스-2X지수</v>
        <stp/>
        <stp>P</stp>
        <stp>0</stp>
        <stp>IDX</stp>
        <stp>FTX04P</stp>
        <stp>한글종목명</stp>
        <stp/>
        <stp/>
        <tr r="D322" s="2"/>
      </tp>
      <tp t="s">
        <v>5년 국채선물 추종 지수</v>
        <stp/>
        <stp>P</stp>
        <stp>0</stp>
        <stp>IDX</stp>
        <stp>FT904P</stp>
        <stp>한글종목명</stp>
        <stp/>
        <stp/>
        <tr r="D314" s="2"/>
      </tp>
      <tp t="s">
        <v>코스닥150 롱 코스피200 숏 선물</v>
        <stp/>
        <stp>P</stp>
        <stp>0</stp>
        <stp>IDX</stp>
        <stp>FGA04T</stp>
        <stp>한글종목명</stp>
        <stp/>
        <stp/>
        <tr r="D288" s="2"/>
      </tp>
      <tp t="s">
        <v>KRX 나스닥 100 ETF 선물 인버스</v>
        <stp/>
        <stp>P</stp>
        <stp>0</stp>
        <stp>IDX</stp>
        <stp>FGX04T</stp>
        <stp>한글종목명</stp>
        <stp/>
        <stp/>
        <tr r="D296" s="2"/>
      </tp>
      <tp t="s">
        <v>S&amp;P/KRX Asia 100 Index (HKD)</v>
        <stp/>
        <stp>P</stp>
        <stp>0</stp>
        <stp>IDX</stp>
        <stp>GGG05P</stp>
        <stp>한글종목명</stp>
        <stp/>
        <stp/>
        <tr r="D335" s="2"/>
      </tp>
      <tp t="s">
        <v>전기,전자</v>
        <stp/>
        <stp>P</stp>
        <stp>0</stp>
        <stp>IDX</stp>
        <stp>KGS09P</stp>
        <stp>한글종목명</stp>
        <stp/>
        <stp/>
        <tr r="D22" s="2"/>
      </tp>
      <tp t="s">
        <v>코스피 200 선물 인버스-2X지수</v>
        <stp/>
        <stp>P</stp>
        <stp>0</stp>
        <stp>IDX</stp>
        <stp>F2X03P</stp>
        <stp>한글종목명</stp>
        <stp/>
        <stp/>
        <tr r="D227" s="2"/>
      </tp>
      <tp t="s">
        <v>코스피 200 금융 선물지수</v>
        <stp/>
        <stp>P</stp>
        <stp>0</stp>
        <stp>IDX</stp>
        <stp>F2S03P</stp>
        <stp>한글종목명</stp>
        <stp/>
        <stp/>
        <tr r="D216" s="2"/>
      </tp>
      <tp t="s">
        <v>코스닥 150 선물 인버스-3X지수</v>
        <stp/>
        <stp>P</stp>
        <stp>0</stp>
        <stp>IDX</stp>
        <stp>F5X03T</stp>
        <stp>한글종목명</stp>
        <stp/>
        <stp/>
        <tr r="D278" s="2"/>
      </tp>
      <tp t="s">
        <v>KRX 300 선물 인버스-2X지수</v>
        <stp/>
        <stp>P</stp>
        <stp>0</stp>
        <stp>IDX</stp>
        <stp>F3X03T</stp>
        <stp>한글종목명</stp>
        <stp/>
        <stp/>
        <tr r="D272" s="2"/>
      </tp>
      <tp t="s">
        <v>엔선물 지수</v>
        <stp/>
        <stp>P</stp>
        <stp>0</stp>
        <stp>IDX</stp>
        <stp>FRG03P</stp>
        <stp>한글종목명</stp>
        <stp/>
        <stp/>
        <tr r="D300" s="2"/>
      </tp>
      <tp t="s">
        <v>미국달러선물 인버스-2X지수</v>
        <stp/>
        <stp>P</stp>
        <stp>0</stp>
        <stp>IDX</stp>
        <stp>FRX03P</stp>
        <stp>한글종목명</stp>
        <stp/>
        <stp/>
        <tr r="D303" s="2"/>
      </tp>
      <tp t="s">
        <v>국채 3-10년 선물인버스지수</v>
        <stp/>
        <stp>P</stp>
        <stp>0</stp>
        <stp>IDX</stp>
        <stp>FTX03P</stp>
        <stp>한글종목명</stp>
        <stp/>
        <stp/>
        <tr r="D321" s="2"/>
      </tp>
      <tp t="s">
        <v>코스피200 롱 코스닥150 숏 선물</v>
        <stp/>
        <stp>P</stp>
        <stp>0</stp>
        <stp>IDX</stp>
        <stp>FGA03T</stp>
        <stp>한글종목명</stp>
        <stp/>
        <stp/>
        <tr r="D287" s="2"/>
      </tp>
      <tp t="s">
        <v>KRX 나스닥 100 ETF 선물 인버스</v>
        <stp/>
        <stp>P</stp>
        <stp>0</stp>
        <stp>IDX</stp>
        <stp>FGX03T</stp>
        <stp>한글종목명</stp>
        <stp/>
        <stp/>
        <tr r="D295" s="2"/>
      </tp>
      <tp t="s">
        <v>필수소비재채권혼합지수</v>
        <stp/>
        <stp>P</stp>
        <stp>0</stp>
        <stp>IDX</stp>
        <stp>MGA08P</stp>
        <stp>한글종목명</stp>
        <stp/>
        <stp/>
        <tr r="D126" s="2"/>
      </tp>
      <tp t="s">
        <v>S&amp;P/KRX Exchanges Index (KRW)</v>
        <stp/>
        <stp>P</stp>
        <stp>0</stp>
        <stp>IDX</stp>
        <stp>GGG02P</stp>
        <stp>한글종목명</stp>
        <stp/>
        <stp/>
        <tr r="D332" s="2"/>
      </tp>
      <tp t="s">
        <v>KRX CSI 한.중 전기차지수</v>
        <stp/>
        <stp>P</stp>
        <stp>0</stp>
        <stp>IDX</stp>
        <stp>GGT02P</stp>
        <stp>한글종목명</stp>
        <stp/>
        <stp/>
        <tr r="D341" s="2"/>
      </tp>
      <tp t="s">
        <v>미니코스피200 선물 지수</v>
        <stp/>
        <stp>P</stp>
        <stp>0</stp>
        <stp>IDX</stp>
        <stp>F2G02P</stp>
        <stp>한글종목명</stp>
        <stp/>
        <stp/>
        <tr r="D213" s="2"/>
      </tp>
      <tp t="s">
        <v>코스피200 선물 인버스지수</v>
        <stp/>
        <stp>P</stp>
        <stp>0</stp>
        <stp>IDX</stp>
        <stp>F2X02P</stp>
        <stp>한글종목명</stp>
        <stp/>
        <stp/>
        <tr r="D226" s="2"/>
      </tp>
      <tp t="s">
        <v>코스피 200 정보기술 선물지수</v>
        <stp/>
        <stp>P</stp>
        <stp>0</stp>
        <stp>IDX</stp>
        <stp>F2S02P</stp>
        <stp>한글종목명</stp>
        <stp/>
        <stp/>
        <tr r="D215" s="2"/>
      </tp>
      <tp t="s">
        <v>코스피 200 현선물 목표변동성 2</v>
        <stp/>
        <stp>P</stp>
        <stp>0</stp>
        <stp>IDX</stp>
        <stp>F2V02P</stp>
        <stp>한글종목명</stp>
        <stp/>
        <stp/>
        <tr r="D224" s="2"/>
      </tp>
      <tp t="s">
        <v>KRX 300 선물 인버스지수</v>
        <stp/>
        <stp>P</stp>
        <stp>0</stp>
        <stp>IDX</stp>
        <stp>F3X02P</stp>
        <stp>한글종목명</stp>
        <stp/>
        <stp/>
        <tr r="D271" s="2"/>
      </tp>
      <tp t="s">
        <v>코스닥 150 선물 인버스-2X지수</v>
        <stp/>
        <stp>P</stp>
        <stp>0</stp>
        <stp>IDX</stp>
        <stp>F5X02T</stp>
        <stp>한글종목명</stp>
        <stp/>
        <stp/>
        <tr r="D277" s="2"/>
      </tp>
      <tp t="s">
        <v>코스닥 150 선물 TWAP 0.5X 지수</v>
        <stp/>
        <stp>P</stp>
        <stp>0</stp>
        <stp>IDX</stp>
        <stp>F5902T</stp>
        <stp>한글종목명</stp>
        <stp/>
        <stp/>
        <tr r="D274" s="2"/>
      </tp>
      <tp t="s">
        <v>코스피 200 선물 TWAP 0.5X 지수</v>
        <stp/>
        <stp>P</stp>
        <stp>0</stp>
        <stp>IDX</stp>
        <stp>F2902T</stp>
        <stp>한글종목명</stp>
        <stp/>
        <stp/>
        <tr r="D211" s="2"/>
      </tp>
      <tp t="s">
        <v>유로선물 지수</v>
        <stp/>
        <stp>P</stp>
        <stp>0</stp>
        <stp>IDX</stp>
        <stp>FRG02P</stp>
        <stp>한글종목명</stp>
        <stp/>
        <stp/>
        <tr r="D299" s="2"/>
      </tp>
      <tp t="s">
        <v>미국달러선물 레버리지지수</v>
        <stp/>
        <stp>P</stp>
        <stp>0</stp>
        <stp>IDX</stp>
        <stp>FRX02P</stp>
        <stp>한글종목명</stp>
        <stp/>
        <stp/>
        <tr r="D302" s="2"/>
      </tp>
      <tp t="s">
        <v>국채선물 3년-10년 일드커브 플?</v>
        <stp/>
        <stp>P</stp>
        <stp>0</stp>
        <stp>IDX</stp>
        <stp>FTA02P</stp>
        <stp>한글종목명</stp>
        <stp/>
        <stp/>
        <tr r="D316" s="2"/>
      </tp>
      <tp t="s">
        <v>10년 국채선물지수</v>
        <stp/>
        <stp>P</stp>
        <stp>0</stp>
        <stp>IDX</stp>
        <stp>FTG02P</stp>
        <stp>한글종목명</stp>
        <stp/>
        <stp/>
        <tr r="D318" s="2"/>
      </tp>
      <tp t="s">
        <v>국채 3-10년 선물레버리지지수</v>
        <stp/>
        <stp>P</stp>
        <stp>0</stp>
        <stp>IDX</stp>
        <stp>FTX02P</stp>
        <stp>한글종목명</stp>
        <stp/>
        <stp/>
        <tr r="D320" s="2"/>
      </tp>
      <tp t="s">
        <v>KRX 나스닥 100 ETF 선물 레버리</v>
        <stp/>
        <stp>P</stp>
        <stp>0</stp>
        <stp>IDX</stp>
        <stp>FGX02T</stp>
        <stp>한글종목명</stp>
        <stp/>
        <stp/>
        <tr r="D294" s="2"/>
      </tp>
      <tp t="s">
        <v>배당성장채권혼합지수</v>
        <stp/>
        <stp>P</stp>
        <stp>0</stp>
        <stp>IDX</stp>
        <stp>MGA09P</stp>
        <stp>한글종목명</stp>
        <stp/>
        <stp/>
        <tr r="D127" s="2"/>
      </tp>
      <tp t="s">
        <v>S&amp;P/KRX Asia 100 Index (USD)</v>
        <stp/>
        <stp>P</stp>
        <stp>0</stp>
        <stp>IDX</stp>
        <stp>GGG03P</stp>
        <stp>한글종목명</stp>
        <stp/>
        <stp/>
        <tr r="D333" s="2"/>
      </tp>
      <tp t="s">
        <v>KRX CSI 한.중 반도체지수</v>
        <stp/>
        <stp>P</stp>
        <stp>0</stp>
        <stp>IDX</stp>
        <stp>GGT03P</stp>
        <stp>한글종목명</stp>
        <stp/>
        <stp/>
        <tr r="D342" s="2"/>
      </tp>
      <tp t="s">
        <v>코스피200 선물지수</v>
        <stp/>
        <stp>P</stp>
        <stp>0</stp>
        <stp>IDX</stp>
        <stp>F2G01P</stp>
        <stp>한글종목명</stp>
        <stp/>
        <stp/>
        <tr r="D212" s="2"/>
      </tp>
      <tp t="s">
        <v>코스피 200 선물 레버리지지수</v>
        <stp/>
        <stp>P</stp>
        <stp>0</stp>
        <stp>IDX</stp>
        <stp>F2X01P</stp>
        <stp>한글종목명</stp>
        <stp/>
        <stp/>
        <tr r="D225" s="2"/>
      </tp>
      <tp t="s">
        <v>코스피 200 에너지/화학 선물지?</v>
        <stp/>
        <stp>P</stp>
        <stp>0</stp>
        <stp>IDX</stp>
        <stp>F2S01P</stp>
        <stp>한글종목명</stp>
        <stp/>
        <stp/>
        <tr r="D214" s="2"/>
      </tp>
      <tp t="s">
        <v>코스피 200 선물지수 TWAP형</v>
        <stp/>
        <stp>P</stp>
        <stp>0</stp>
        <stp>IDX</stp>
        <stp>F2901P</stp>
        <stp>한글종목명</stp>
        <stp/>
        <stp/>
        <tr r="D379" s="2"/>
      </tp>
      <tp t="s">
        <v>KRX 300 선물지수</v>
        <stp/>
        <stp>P</stp>
        <stp>0</stp>
        <stp>IDX</stp>
        <stp>F3G01P</stp>
        <stp>한글종목명</stp>
        <stp/>
        <stp/>
        <tr r="D269" s="2"/>
      </tp>
      <tp t="s">
        <v>코스닥 150 선물 인버스지수</v>
        <stp/>
        <stp>P</stp>
        <stp>0</stp>
        <stp>IDX</stp>
        <stp>F5X01T</stp>
        <stp>한글종목명</stp>
        <stp/>
        <stp/>
        <tr r="D276" s="2"/>
      </tp>
      <tp t="s">
        <v>KRX 300 선물 레버리지지수</v>
        <stp/>
        <stp>P</stp>
        <stp>0</stp>
        <stp>IDX</stp>
        <stp>F3X01T</stp>
        <stp>한글종목명</stp>
        <stp/>
        <stp/>
        <tr r="D270" s="2"/>
      </tp>
      <tp t="s">
        <v>코스닥 150 선물지수</v>
        <stp/>
        <stp>P</stp>
        <stp>0</stp>
        <stp>IDX</stp>
        <stp>F5G01P</stp>
        <stp>한글종목명</stp>
        <stp/>
        <stp/>
        <tr r="D275" s="2"/>
      </tp>
      <tp t="s">
        <v>코스닥 150 선물지수 TWAP형</v>
        <stp/>
        <stp>P</stp>
        <stp>0</stp>
        <stp>IDX</stp>
        <stp>F5901P</stp>
        <stp>한글종목명</stp>
        <stp/>
        <stp/>
        <tr r="D273" s="2"/>
      </tp>
      <tp t="s">
        <v>미국달러 선물지수</v>
        <stp/>
        <stp>P</stp>
        <stp>0</stp>
        <stp>IDX</stp>
        <stp>FRG01P</stp>
        <stp>한글종목명</stp>
        <stp/>
        <stp/>
        <tr r="D210" s="2"/>
      </tp>
      <tp t="s">
        <v>미국달러 선물 인버스지수</v>
        <stp/>
        <stp>P</stp>
        <stp>0</stp>
        <stp>IDX</stp>
        <stp>FRX01P</stp>
        <stp>한글종목명</stp>
        <stp/>
        <stp/>
        <tr r="D301" s="2"/>
      </tp>
      <tp t="s">
        <v>미국달러선물 TR 지수</v>
        <stp/>
        <stp>P</stp>
        <stp>0</stp>
        <stp>IDX</stp>
        <stp>FRG01T</stp>
        <stp>한글종목명</stp>
        <stp/>
        <stp/>
        <tr r="D297" s="2"/>
      </tp>
      <tp t="s">
        <v>국채선물 3년-10년 일드커브 스?</v>
        <stp/>
        <stp>P</stp>
        <stp>0</stp>
        <stp>IDX</stp>
        <stp>FTA01P</stp>
        <stp>한글종목명</stp>
        <stp/>
        <stp/>
        <tr r="D315" s="2"/>
      </tp>
      <tp t="s">
        <v>국채선물지수</v>
        <stp/>
        <stp>P</stp>
        <stp>0</stp>
        <stp>IDX</stp>
        <stp>FTG01P</stp>
        <stp>한글종목명</stp>
        <stp/>
        <stp/>
        <tr r="D317" s="2"/>
      </tp>
      <tp t="s">
        <v>국채선물 인버스지수</v>
        <stp/>
        <stp>P</stp>
        <stp>0</stp>
        <stp>IDX</stp>
        <stp>FTX01P</stp>
        <stp>한글종목명</stp>
        <stp/>
        <stp/>
        <tr r="D319" s="2"/>
      </tp>
      <tp t="s">
        <v>국채 3-10년 선물지수</v>
        <stp/>
        <stp>P</stp>
        <stp>0</stp>
        <stp>IDX</stp>
        <stp>FT901P</stp>
        <stp>한글종목명</stp>
        <stp/>
        <stp/>
        <tr r="D313" s="2"/>
      </tp>
      <tp t="s">
        <v>KRX 2차전지 TOP 10 선물 TWAP ?</v>
        <stp/>
        <stp>P</stp>
        <stp>0</stp>
        <stp>IDX</stp>
        <stp>FGX01T</stp>
        <stp>한글종목명</stp>
        <stp/>
        <stp/>
        <tr r="D293" s="2"/>
      </tp>
      <tp t="s">
        <v>KRX 나스닥 100 ETF 선물지수</v>
        <stp/>
        <stp>P</stp>
        <stp>0</stp>
        <stp>IDX</stp>
        <stp>FGG01P</stp>
        <stp>한글종목명</stp>
        <stp/>
        <stp/>
        <tr r="D292" s="2"/>
      </tp>
      <tp t="s">
        <v>KRX 2차전지 TOP 10 선물 TWAP ?</v>
        <stp/>
        <stp>P</stp>
        <stp>0</stp>
        <stp>IDX</stp>
        <stp>FG901P</stp>
        <stp>한글종목명</stp>
        <stp/>
        <stp/>
        <tr r="D286" s="2"/>
      </tp>
      <tp t="s">
        <v>KRX/S&amp;P ESG 고배당지수</v>
        <stp/>
        <stp>P</stp>
        <stp>0</stp>
        <stp>IDX</stp>
        <stp>G2T01P</stp>
        <stp>한글종목명</stp>
        <stp/>
        <stp/>
        <tr r="D329" s="2"/>
      </tp>
      <tp t="s">
        <v>KRX/S&amp;P 탄소효율 그린뉴딜지수</v>
        <stp/>
        <stp>P</stp>
        <stp>0</stp>
        <stp>IDX</stp>
        <stp>GGE01P</stp>
        <stp>한글종목명</stp>
        <stp/>
        <stp/>
        <tr r="D330" s="2"/>
      </tp>
      <tp t="s">
        <v>S&amp;P/KRX Asia 100 Index (KRW)</v>
        <stp/>
        <stp>P</stp>
        <stp>0</stp>
        <stp>IDX</stp>
        <stp>GGG01P</stp>
        <stp>한글종목명</stp>
        <stp/>
        <stp/>
        <tr r="D331" s="2"/>
      </tp>
      <tp t="s">
        <v>한.대만 IT프리미어지수</v>
        <stp/>
        <stp>P</stp>
        <stp>0</stp>
        <stp>IDX</stp>
        <stp>GGS01P</stp>
        <stp>한글종목명</stp>
        <stp/>
        <stp/>
        <tr r="D339" s="2"/>
      </tp>
      <tp t="s">
        <v>KRX CSI 한.중 대표기업 50</v>
        <stp/>
        <stp>P</stp>
        <stp>0</stp>
        <stp>IDX</stp>
        <stp>GGT01P</stp>
        <stp>한글종목명</stp>
        <stp/>
        <stp/>
        <tr r="D340" s="2"/>
      </tp>
      <tp t="s">
        <v>코스피 커버드콜 5% OTM 선물지?</v>
        <stp/>
        <stp>P</stp>
        <stp>0</stp>
        <stp>IDX</stp>
        <stp>OG909P</stp>
        <stp>한글종목명</stp>
        <stp/>
        <stp/>
        <tr r="D208" s="2"/>
      </tp>
      <tp>
        <v>0.05</v>
        <stp/>
        <stp>P</stp>
        <stp>0</stp>
        <stp>IDX</stp>
        <stp>FTA01P</stp>
        <stp>등락률</stp>
        <stp>45539</stp>
        <stp>Fill=true,Per=월</stp>
        <tr r="G315" s="2"/>
      </tp>
      <tp>
        <v>0.03</v>
        <stp/>
        <stp>P</stp>
        <stp>0</stp>
        <stp>IDX</stp>
        <stp>FTA02P</stp>
        <stp>등락률</stp>
        <stp>45539</stp>
        <stp>Fill=true,Per=월</stp>
        <tr r="G316" s="2"/>
      </tp>
      <tp>
        <v>-7.0000000000000007E-2</v>
        <stp/>
        <stp>P</stp>
        <stp>0</stp>
        <stp>IDX</stp>
        <stp>FTG01P</stp>
        <stp>등락률</stp>
        <stp>45539</stp>
        <stp>Fill=true,Per=월</stp>
        <tr r="G317" s="2"/>
      </tp>
      <tp>
        <v>-0.22</v>
        <stp/>
        <stp>P</stp>
        <stp>0</stp>
        <stp>IDX</stp>
        <stp>FTG02P</stp>
        <stp>등락률</stp>
        <stp>45539</stp>
        <stp>Fill=true,Per=월</stp>
        <tr r="G318" s="2"/>
      </tp>
      <tp>
        <v>0.02</v>
        <stp/>
        <stp>P</stp>
        <stp>0</stp>
        <stp>IDX</stp>
        <stp>FTX11P</stp>
        <stp>등락률</stp>
        <stp>45539</stp>
        <stp>Fill=true,Per=월</stp>
        <tr r="G328" s="2"/>
      </tp>
      <tp>
        <v>0.05</v>
        <stp/>
        <stp>P</stp>
        <stp>0</stp>
        <stp>IDX</stp>
        <stp>FTX10P</stp>
        <stp>등락률</stp>
        <stp>45539</stp>
        <stp>Fill=true,Per=월</stp>
        <tr r="G327" s="2"/>
      </tp>
      <tp>
        <v>0.15</v>
        <stp/>
        <stp>P</stp>
        <stp>0</stp>
        <stp>IDX</stp>
        <stp>FTX05P</stp>
        <stp>등락률</stp>
        <stp>45539</stp>
        <stp>Fill=true,Per=월</stp>
        <tr r="G323" s="2"/>
      </tp>
      <tp>
        <v>0.33</v>
        <stp/>
        <stp>P</stp>
        <stp>0</stp>
        <stp>IDX</stp>
        <stp>FTX04P</stp>
        <stp>등락률</stp>
        <stp>45539</stp>
        <stp>Fill=true,Per=월</stp>
        <tr r="G322" s="2"/>
      </tp>
      <tp>
        <v>0.26</v>
        <stp/>
        <stp>P</stp>
        <stp>0</stp>
        <stp>IDX</stp>
        <stp>FTX07P</stp>
        <stp>등락률</stp>
        <stp>45539</stp>
        <stp>Fill=true,Per=월</stp>
        <tr r="G325" s="2"/>
      </tp>
      <tp>
        <v>0.1</v>
        <stp/>
        <stp>P</stp>
        <stp>0</stp>
        <stp>IDX</stp>
        <stp>FTX01P</stp>
        <stp>등락률</stp>
        <stp>45539</stp>
        <stp>Fill=true,Per=월</stp>
        <tr r="G319" s="2"/>
      </tp>
      <tp>
        <v>0.18</v>
        <stp/>
        <stp>P</stp>
        <stp>0</stp>
        <stp>IDX</stp>
        <stp>FTX03P</stp>
        <stp>등락률</stp>
        <stp>45539</stp>
        <stp>Fill=true,Per=월</stp>
        <tr r="G321" s="2"/>
      </tp>
      <tp>
        <v>-0.25</v>
        <stp/>
        <stp>P</stp>
        <stp>0</stp>
        <stp>IDX</stp>
        <stp>FTX02P</stp>
        <stp>등락률</stp>
        <stp>45539</stp>
        <stp>Fill=true,Per=월</stp>
        <tr r="G320" s="2"/>
      </tp>
      <tp>
        <v>-0.11</v>
        <stp/>
        <stp>P</stp>
        <stp>0</stp>
        <stp>IDX</stp>
        <stp>FT904P</stp>
        <stp>등락률</stp>
        <stp>45539</stp>
        <stp>Fill=true,Per=월</stp>
        <tr r="G314" s="2"/>
      </tp>
      <tp>
        <v>-0.15</v>
        <stp/>
        <stp>P</stp>
        <stp>0</stp>
        <stp>IDX</stp>
        <stp>FT901P</stp>
        <stp>등락률</stp>
        <stp>45539</stp>
        <stp>Fill=true,Per=월</stp>
        <tr r="G313" s="2"/>
      </tp>
      <tp>
        <v>1512.34</v>
        <stp/>
        <stp>P</stp>
        <stp>0</stp>
        <stp>IDX</stp>
        <stp>F5901P</stp>
        <stp>현재가</stp>
        <stp>45539</stp>
        <stp>Fill=true,Per=월</stp>
        <tr r="E273" s="2"/>
      </tp>
      <tp>
        <v>1280.99</v>
        <stp/>
        <stp>P</stp>
        <stp>0</stp>
        <stp>IDX</stp>
        <stp>Q5G01P</stp>
        <stp>현재가</stp>
        <stp>45539</stp>
        <stp>Fill=true,Per=월</stp>
        <tr r="E34" s="2"/>
      </tp>
      <tp>
        <v>1511.69</v>
        <stp/>
        <stp>P</stp>
        <stp>0</stp>
        <stp>IDX</stp>
        <stp>F5G01P</stp>
        <stp>현재가</stp>
        <stp>45539</stp>
        <stp>Fill=true,Per=월</stp>
        <tr r="E275" s="2"/>
      </tp>
      <tp>
        <v>1482.55</v>
        <stp/>
        <stp>P</stp>
        <stp>0</stp>
        <stp>IDX</stp>
        <stp>Q5E01P</stp>
        <stp>현재가</stp>
        <stp>45539</stp>
        <stp>Fill=true,Per=월</stp>
        <tr r="E204" s="2"/>
      </tp>
      <tp>
        <v>279.89</v>
        <stp/>
        <stp>P</stp>
        <stp>0</stp>
        <stp>IDX</stp>
        <stp>Q5S06P</stp>
        <stp>현재가</stp>
        <stp>45539</stp>
        <stp>Fill=true,Per=월</stp>
        <tr r="E198" s="2"/>
      </tp>
      <tp>
        <v>380.62</v>
        <stp/>
        <stp>P</stp>
        <stp>0</stp>
        <stp>IDX</stp>
        <stp>Q5S07P</stp>
        <stp>현재가</stp>
        <stp>45539</stp>
        <stp>Fill=true,Per=월</stp>
        <tr r="E197" s="2"/>
      </tp>
      <tp>
        <v>1914.01</v>
        <stp/>
        <stp>P</stp>
        <stp>0</stp>
        <stp>IDX</stp>
        <stp>Q5S04P</stp>
        <stp>현재가</stp>
        <stp>45539</stp>
        <stp>Fill=true,Per=월</stp>
        <tr r="E200" s="2"/>
      </tp>
      <tp>
        <v>3680.73</v>
        <stp/>
        <stp>P</stp>
        <stp>0</stp>
        <stp>IDX</stp>
        <stp>Q5S05P</stp>
        <stp>현재가</stp>
        <stp>45539</stp>
        <stp>Fill=true,Per=월</stp>
        <tr r="E199" s="2"/>
      </tp>
      <tp>
        <v>637.96</v>
        <stp/>
        <stp>P</stp>
        <stp>0</stp>
        <stp>IDX</stp>
        <stp>Q5S02P</stp>
        <stp>현재가</stp>
        <stp>45539</stp>
        <stp>Fill=true,Per=월</stp>
        <tr r="E202" s="2"/>
      </tp>
      <tp>
        <v>4338.76</v>
        <stp/>
        <stp>P</stp>
        <stp>0</stp>
        <stp>IDX</stp>
        <stp>Q5S03P</stp>
        <stp>현재가</stp>
        <stp>45539</stp>
        <stp>Fill=true,Per=월</stp>
        <tr r="E201" s="2"/>
      </tp>
      <tp>
        <v>561.70000000000005</v>
        <stp/>
        <stp>P</stp>
        <stp>0</stp>
        <stp>IDX</stp>
        <stp>Q5S08P</stp>
        <stp>현재가</stp>
        <stp>45539</stp>
        <stp>Fill=true,Per=월</stp>
        <tr r="E196" s="2"/>
      </tp>
      <tp>
        <v>1002.35</v>
        <stp/>
        <stp>P</stp>
        <stp>0</stp>
        <stp>IDX</stp>
        <stp>Q5W01P</stp>
        <stp>현재가</stp>
        <stp>45539</stp>
        <stp>Fill=true,Per=월</stp>
        <tr r="E35" s="2"/>
      </tp>
      <tp>
        <v>1414.15</v>
        <stp/>
        <stp>P</stp>
        <stp>0</stp>
        <stp>IDX</stp>
        <stp>Q5X02P</stp>
        <stp>현재가</stp>
        <stp>45539</stp>
        <stp>Fill=true,Per=월</stp>
        <tr r="E37" s="2"/>
      </tp>
      <tp>
        <v>663.7</v>
        <stp/>
        <stp>P</stp>
        <stp>0</stp>
        <stp>IDX</stp>
        <stp>Q5X01P</stp>
        <stp>현재가</stp>
        <stp>45539</stp>
        <stp>Fill=true,Per=월</stp>
        <tr r="E36" s="2"/>
      </tp>
      <tp>
        <v>0.47</v>
        <stp/>
        <stp>P</stp>
        <stp>0</stp>
        <stp>IDX</stp>
        <stp>FRG01T</stp>
        <stp>등락률</stp>
        <stp>45539</stp>
        <stp>Fill=true,Per=월</stp>
        <tr r="G297" s="2"/>
      </tp>
      <tp>
        <v>2170.87</v>
        <stp/>
        <stp>P</stp>
        <stp>0</stp>
        <stp>IDX</stp>
        <stp>F2902T</stp>
        <stp>현재가</stp>
        <stp>45539</stp>
        <stp>Fill=true,Per=월</stp>
        <tr r="E211" s="2"/>
      </tp>
      <tp>
        <v>182.86</v>
        <stp/>
        <stp>P</stp>
        <stp>0</stp>
        <stp>IDX</stp>
        <stp>O2916T</stp>
        <stp>현재가</stp>
        <stp>45539</stp>
        <stp>Fill=true,Per=월</stp>
        <tr r="E119" s="2"/>
      </tp>
      <tp>
        <v>454.01</v>
        <stp/>
        <stp>P</stp>
        <stp>0</stp>
        <stp>IDX</stp>
        <stp>K2G08T</stp>
        <stp>현재가</stp>
        <stp>45539</stp>
        <stp>Fill=true,Per=월</stp>
        <tr r="E359" s="2"/>
      </tp>
      <tp>
        <v>458.29</v>
        <stp/>
        <stp>P</stp>
        <stp>0</stp>
        <stp>IDX</stp>
        <stp>K2G06T</stp>
        <stp>현재가</stp>
        <stp>45539</stp>
        <stp>Fill=true,Per=월</stp>
        <tr r="E356" s="2"/>
      </tp>
      <tp>
        <v>458.99</v>
        <stp/>
        <stp>P</stp>
        <stp>0</stp>
        <stp>IDX</stp>
        <stp>K2G01T</stp>
        <stp>현재가</stp>
        <stp>45539</stp>
        <stp>Fill=true,Per=월</stp>
        <tr r="E351" s="2"/>
      </tp>
      <tp>
        <v>440.24</v>
        <stp/>
        <stp>P</stp>
        <stp>0</stp>
        <stp>IDX</stp>
        <stp>K2G10T</stp>
        <stp>현재가</stp>
        <stp>45539</stp>
        <stp>Fill=true,Per=월</stp>
        <tr r="E362" s="2"/>
      </tp>
      <tp>
        <v>508.13</v>
        <stp/>
        <stp>P</stp>
        <stp>0</stp>
        <stp>IDX</stp>
        <stp>K2S08T</stp>
        <stp>현재가</stp>
        <stp>45539</stp>
        <stp>Fill=true,Per=월</stp>
        <tr r="E370" s="2"/>
      </tp>
      <tp>
        <v>1016.31</v>
        <stp/>
        <stp>P</stp>
        <stp>0</stp>
        <stp>IDX</stp>
        <stp>K2S09T</stp>
        <stp>현재가</stp>
        <stp>45539</stp>
        <stp>Fill=true,Per=월</stp>
        <tr r="E371" s="2"/>
      </tp>
      <tp>
        <v>786.63</v>
        <stp/>
        <stp>P</stp>
        <stp>0</stp>
        <stp>IDX</stp>
        <stp>K2S04T</stp>
        <stp>현재가</stp>
        <stp>45539</stp>
        <stp>Fill=true,Per=월</stp>
        <tr r="E366" s="2"/>
      </tp>
      <tp>
        <v>1426.73</v>
        <stp/>
        <stp>P</stp>
        <stp>0</stp>
        <stp>IDX</stp>
        <stp>K2S05T</stp>
        <stp>현재가</stp>
        <stp>45539</stp>
        <stp>Fill=true,Per=월</stp>
        <tr r="E367" s="2"/>
      </tp>
      <tp>
        <v>2017.15</v>
        <stp/>
        <stp>P</stp>
        <stp>0</stp>
        <stp>IDX</stp>
        <stp>K2S06T</stp>
        <stp>현재가</stp>
        <stp>45539</stp>
        <stp>Fill=true,Per=월</stp>
        <tr r="E368" s="2"/>
      </tp>
      <tp>
        <v>3752.21</v>
        <stp/>
        <stp>P</stp>
        <stp>0</stp>
        <stp>IDX</stp>
        <stp>K2S07T</stp>
        <stp>현재가</stp>
        <stp>45539</stp>
        <stp>Fill=true,Per=월</stp>
        <tr r="E369" s="2"/>
      </tp>
      <tp>
        <v>2417.6799999999998</v>
        <stp/>
        <stp>P</stp>
        <stp>0</stp>
        <stp>IDX</stp>
        <stp>K2S01T</stp>
        <stp>현재가</stp>
        <stp>45539</stp>
        <stp>Fill=true,Per=월</stp>
        <tr r="E363" s="2"/>
      </tp>
      <tp>
        <v>382.86</v>
        <stp/>
        <stp>P</stp>
        <stp>0</stp>
        <stp>IDX</stp>
        <stp>K2S02T</stp>
        <stp>현재가</stp>
        <stp>45539</stp>
        <stp>Fill=true,Per=월</stp>
        <tr r="E364" s="2"/>
      </tp>
      <tp>
        <v>1425.13</v>
        <stp/>
        <stp>P</stp>
        <stp>0</stp>
        <stp>IDX</stp>
        <stp>K2S03T</stp>
        <stp>현재가</stp>
        <stp>45539</stp>
        <stp>Fill=true,Per=월</stp>
        <tr r="E365" s="2"/>
      </tp>
      <tp>
        <v>1152.08</v>
        <stp/>
        <stp>P</stp>
        <stp>0</stp>
        <stp>IDX</stp>
        <stp>K2S10T</stp>
        <stp>현재가</stp>
        <stp>45539</stp>
        <stp>Fill=true,Per=월</stp>
        <tr r="E372" s="2"/>
      </tp>
      <tp>
        <v>2153.8200000000002</v>
        <stp/>
        <stp>P</stp>
        <stp>0</stp>
        <stp>IDX</stp>
        <stp>K2S11T</stp>
        <stp>현재가</stp>
        <stp>45539</stp>
        <stp>Fill=true,Per=월</stp>
        <tr r="E373" s="2"/>
      </tp>
      <tp>
        <v>2438.7199999999998</v>
        <stp/>
        <stp>P</stp>
        <stp>0</stp>
        <stp>IDX</stp>
        <stp>F2X41T</stp>
        <stp>현재가</stp>
        <stp>45539</stp>
        <stp>Fill=true,Per=월</stp>
        <tr r="E265" s="2"/>
      </tp>
      <tp>
        <v>1428.87</v>
        <stp/>
        <stp>P</stp>
        <stp>0</stp>
        <stp>IDX</stp>
        <stp>F2X40T</stp>
        <stp>현재가</stp>
        <stp>45539</stp>
        <stp>Fill=true,Per=월</stp>
        <tr r="E264" s="2"/>
      </tp>
      <tp>
        <v>1442.26</v>
        <stp/>
        <stp>P</stp>
        <stp>0</stp>
        <stp>IDX</stp>
        <stp>F2X43T</stp>
        <stp>현재가</stp>
        <stp>45539</stp>
        <stp>Fill=true,Per=월</stp>
        <tr r="E267" s="2"/>
      </tp>
      <tp>
        <v>2324.15</v>
        <stp/>
        <stp>P</stp>
        <stp>0</stp>
        <stp>IDX</stp>
        <stp>F2X42T</stp>
        <stp>현재가</stp>
        <stp>45539</stp>
        <stp>Fill=true,Per=월</stp>
        <tr r="E266" s="2"/>
      </tp>
      <tp>
        <v>2561.4</v>
        <stp/>
        <stp>P</stp>
        <stp>0</stp>
        <stp>IDX</stp>
        <stp>F2X44T</stp>
        <stp>현재가</stp>
        <stp>45539</stp>
        <stp>Fill=true,Per=월</stp>
        <tr r="E268" s="2"/>
      </tp>
      <tp>
        <v>2532.23</v>
        <stp/>
        <stp>P</stp>
        <stp>0</stp>
        <stp>IDX</stp>
        <stp>F2X05T</stp>
        <stp>현재가</stp>
        <stp>45539</stp>
        <stp>Fill=true,Per=월</stp>
        <tr r="E229" s="2"/>
      </tp>
      <tp>
        <v>2102.84</v>
        <stp/>
        <stp>P</stp>
        <stp>0</stp>
        <stp>IDX</stp>
        <stp>X3G01T</stp>
        <stp>현재가</stp>
        <stp>45539</stp>
        <stp>Fill=true,Per=월</stp>
        <tr r="E190" s="2"/>
      </tp>
      <tp>
        <v>1038.1099999999999</v>
        <stp/>
        <stp>P</stp>
        <stp>0</stp>
        <stp>IDX</stp>
        <stp>F3X01T</stp>
        <stp>현재가</stp>
        <stp>45539</stp>
        <stp>Fill=true,Per=월</stp>
        <tr r="E270" s="2"/>
      </tp>
      <tp>
        <v>446.66</v>
        <stp/>
        <stp>P</stp>
        <stp>0</stp>
        <stp>IDX</stp>
        <stp>F3X03T</stp>
        <stp>현재가</stp>
        <stp>45539</stp>
        <stp>Fill=true,Per=월</stp>
        <tr r="E272" s="2"/>
      </tp>
      <tp>
        <v>-0.41</v>
        <stp/>
        <stp>P</stp>
        <stp>0</stp>
        <stp>IDX</stp>
        <stp>FTX06T</stp>
        <stp>등락률</stp>
        <stp>45539</stp>
        <stp>Fill=true,Per=월</stp>
        <tr r="G324" s="2"/>
      </tp>
      <tp>
        <v>0.48</v>
        <stp/>
        <stp>P</stp>
        <stp>0</stp>
        <stp>IDX</stp>
        <stp>FTX08T</stp>
        <stp>등락률</stp>
        <stp>45539</stp>
        <stp>Fill=true,Per=월</stp>
        <tr r="G326" s="2"/>
      </tp>
      <tp>
        <v>1729.71</v>
        <stp/>
        <stp>P</stp>
        <stp>0</stp>
        <stp>IDX</stp>
        <stp>F5902T</stp>
        <stp>현재가</stp>
        <stp>45539</stp>
        <stp>Fill=true,Per=월</stp>
        <tr r="E274" s="2"/>
      </tp>
      <tp>
        <v>1370.27</v>
        <stp/>
        <stp>P</stp>
        <stp>0</stp>
        <stp>IDX</stp>
        <stp>Q5G01T</stp>
        <stp>현재가</stp>
        <stp>45539</stp>
        <stp>Fill=true,Per=월</stp>
        <tr r="E203" s="2"/>
      </tp>
      <tp>
        <v>391.11</v>
        <stp/>
        <stp>P</stp>
        <stp>0</stp>
        <stp>IDX</stp>
        <stp>F5X01T</stp>
        <stp>현재가</stp>
        <stp>45539</stp>
        <stp>Fill=true,Per=월</stp>
        <tr r="E276" s="2"/>
      </tp>
      <tp>
        <v>4.6100000000000003</v>
        <stp/>
        <stp>P</stp>
        <stp>0</stp>
        <stp>IDX</stp>
        <stp>F5X03T</stp>
        <stp>현재가</stp>
        <stp>45539</stp>
        <stp>Fill=true,Per=월</stp>
        <tr r="E278" s="2"/>
      </tp>
      <tp>
        <v>61.24</v>
        <stp/>
        <stp>P</stp>
        <stp>0</stp>
        <stp>IDX</stp>
        <stp>F5X02T</stp>
        <stp>현재가</stp>
        <stp>45539</stp>
        <stp>Fill=true,Per=월</stp>
        <tr r="E277" s="2"/>
      </tp>
      <tp>
        <v>1260.6199999999999</v>
        <stp/>
        <stp>P</stp>
        <stp>0</stp>
        <stp>IDX</stp>
        <stp>F5X05T</stp>
        <stp>현재가</stp>
        <stp>45539</stp>
        <stp>Fill=true,Per=월</stp>
        <tr r="E280" s="2"/>
      </tp>
      <tp>
        <v>1260.3399999999999</v>
        <stp/>
        <stp>P</stp>
        <stp>0</stp>
        <stp>IDX</stp>
        <stp>F5X04T</stp>
        <stp>현재가</stp>
        <stp>45539</stp>
        <stp>Fill=true,Per=월</stp>
        <tr r="E279" s="2"/>
      </tp>
      <tp>
        <v>686.2</v>
        <stp/>
        <stp>P</stp>
        <stp>0</stp>
        <stp>IDX</stp>
        <stp>F5X07T</stp>
        <stp>현재가</stp>
        <stp>45539</stp>
        <stp>Fill=true,Per=월</stp>
        <tr r="E282" s="2"/>
      </tp>
      <tp>
        <v>1167.3</v>
        <stp/>
        <stp>P</stp>
        <stp>0</stp>
        <stp>IDX</stp>
        <stp>F5X06T</stp>
        <stp>현재가</stp>
        <stp>45539</stp>
        <stp>Fill=true,Per=월</stp>
        <tr r="E281" s="2"/>
      </tp>
      <tp>
        <v>1272.55</v>
        <stp/>
        <stp>P</stp>
        <stp>0</stp>
        <stp>IDX</stp>
        <stp>F5X09T</stp>
        <stp>현재가</stp>
        <stp>45539</stp>
        <stp>Fill=true,Per=월</stp>
        <tr r="E284" s="2"/>
      </tp>
      <tp>
        <v>1624.29</v>
        <stp/>
        <stp>P</stp>
        <stp>0</stp>
        <stp>IDX</stp>
        <stp>F5X08T</stp>
        <stp>현재가</stp>
        <stp>45539</stp>
        <stp>Fill=true,Per=월</stp>
        <tr r="E283" s="2"/>
      </tp>
      <tp>
        <v>922.93</v>
        <stp/>
        <stp>P</stp>
        <stp>0</stp>
        <stp>IDX</stp>
        <stp>F5X10T</stp>
        <stp>현재가</stp>
        <stp>45539</stp>
        <stp>Fill=true,Per=월</stp>
        <tr r="E285" s="2"/>
      </tp>
      <tp>
        <v>0.43</v>
        <stp/>
        <stp>P</stp>
        <stp>0</stp>
        <stp>IDX</stp>
        <stp>FRG01P</stp>
        <stp>등락률</stp>
        <stp>45539</stp>
        <stp>Fill=true,Per=월</stp>
        <tr r="G210" s="2"/>
      </tp>
      <tp>
        <v>-0.34</v>
        <stp/>
        <stp>P</stp>
        <stp>0</stp>
        <stp>IDX</stp>
        <stp>FRG03P</stp>
        <stp>등락률</stp>
        <stp>45539</stp>
        <stp>Fill=true,Per=월</stp>
        <tr r="G300" s="2"/>
      </tp>
      <tp>
        <v>0.39</v>
        <stp/>
        <stp>P</stp>
        <stp>0</stp>
        <stp>IDX</stp>
        <stp>FRG02P</stp>
        <stp>등락률</stp>
        <stp>45539</stp>
        <stp>Fill=true,Per=월</stp>
        <tr r="G299" s="2"/>
      </tp>
      <tp>
        <v>0.66</v>
        <stp/>
        <stp>P</stp>
        <stp>0</stp>
        <stp>IDX</stp>
        <stp>FRX11P</stp>
        <stp>등락률</stp>
        <stp>45539</stp>
        <stp>Fill=true,Per=월</stp>
        <tr r="G311" s="2"/>
      </tp>
      <tp>
        <v>0.37</v>
        <stp/>
        <stp>P</stp>
        <stp>0</stp>
        <stp>IDX</stp>
        <stp>FRX10P</stp>
        <stp>등락률</stp>
        <stp>45539</stp>
        <stp>Fill=true,Per=월</stp>
        <tr r="G310" s="2"/>
      </tp>
      <tp>
        <v>0.99</v>
        <stp/>
        <stp>P</stp>
        <stp>0</stp>
        <stp>IDX</stp>
        <stp>FRX12P</stp>
        <stp>등락률</stp>
        <stp>45539</stp>
        <stp>Fill=true,Per=월</stp>
        <tr r="G312" s="2"/>
      </tp>
      <tp>
        <v>0.73</v>
        <stp/>
        <stp>P</stp>
        <stp>0</stp>
        <stp>IDX</stp>
        <stp>FRX05P</stp>
        <stp>등락률</stp>
        <stp>45539</stp>
        <stp>Fill=true,Per=월</stp>
        <tr r="G305" s="2"/>
      </tp>
      <tp>
        <v>-1.3</v>
        <stp/>
        <stp>P</stp>
        <stp>0</stp>
        <stp>IDX</stp>
        <stp>FRX04P</stp>
        <stp>등락률</stp>
        <stp>45539</stp>
        <stp>Fill=true,Per=월</stp>
        <tr r="G304" s="2"/>
      </tp>
      <tp>
        <v>-0.77</v>
        <stp/>
        <stp>P</stp>
        <stp>0</stp>
        <stp>IDX</stp>
        <stp>FRX07P</stp>
        <stp>등락률</stp>
        <stp>45539</stp>
        <stp>Fill=true,Per=월</stp>
        <tr r="G307" s="2"/>
      </tp>
      <tp>
        <v>-0.35</v>
        <stp/>
        <stp>P</stp>
        <stp>0</stp>
        <stp>IDX</stp>
        <stp>FRX06P</stp>
        <stp>등락률</stp>
        <stp>45539</stp>
        <stp>Fill=true,Per=월</stp>
        <tr r="G306" s="2"/>
      </tp>
      <tp>
        <v>-0.4</v>
        <stp/>
        <stp>P</stp>
        <stp>0</stp>
        <stp>IDX</stp>
        <stp>FRX01P</stp>
        <stp>등락률</stp>
        <stp>45539</stp>
        <stp>Fill=true,Per=월</stp>
        <tr r="G301" s="2"/>
      </tp>
      <tp>
        <v>-0.87</v>
        <stp/>
        <stp>P</stp>
        <stp>0</stp>
        <stp>IDX</stp>
        <stp>FRX03P</stp>
        <stp>등락률</stp>
        <stp>45539</stp>
        <stp>Fill=true,Per=월</stp>
        <tr r="G303" s="2"/>
      </tp>
      <tp>
        <v>0.83</v>
        <stp/>
        <stp>P</stp>
        <stp>0</stp>
        <stp>IDX</stp>
        <stp>FRX02P</stp>
        <stp>등락률</stp>
        <stp>45539</stp>
        <stp>Fill=true,Per=월</stp>
        <tr r="G302" s="2"/>
      </tp>
      <tp>
        <v>-0.71</v>
        <stp/>
        <stp>P</stp>
        <stp>0</stp>
        <stp>IDX</stp>
        <stp>FRX09P</stp>
        <stp>등락률</stp>
        <stp>45539</stp>
        <stp>Fill=true,Per=월</stp>
        <tr r="G309" s="2"/>
      </tp>
      <tp>
        <v>-1.1499999999999999</v>
        <stp/>
        <stp>P</stp>
        <stp>0</stp>
        <stp>IDX</stp>
        <stp>FRX08P</stp>
        <stp>등락률</stp>
        <stp>45539</stp>
        <stp>Fill=true,Per=월</stp>
        <tr r="G308" s="2"/>
      </tp>
      <tp>
        <v>1785.97</v>
        <stp/>
        <stp>P</stp>
        <stp>0</stp>
        <stp>IDX</stp>
        <stp>F2901P</stp>
        <stp>현재가</stp>
        <stp>45539</stp>
        <stp>Fill=true,Per=월</stp>
        <tr r="E379" s="2"/>
      </tp>
      <tp>
        <v>19.73</v>
        <stp/>
        <stp>P</stp>
        <stp>0</stp>
        <stp>IDX</stp>
        <stp>O2901P</stp>
        <stp>현재가</stp>
        <stp>45539</stp>
        <stp>Fill=true,Per=월</stp>
        <tr r="E105" s="2"/>
      </tp>
      <tp>
        <v>358.65</v>
        <stp/>
        <stp>P</stp>
        <stp>0</stp>
        <stp>IDX</stp>
        <stp>O2902P</stp>
        <stp>현재가</stp>
        <stp>45539</stp>
        <stp>Fill=true,Per=월</stp>
        <tr r="E109" s="2"/>
      </tp>
      <tp>
        <v>1206.04</v>
        <stp/>
        <stp>P</stp>
        <stp>0</stp>
        <stp>IDX</stp>
        <stp>O2903P</stp>
        <stp>현재가</stp>
        <stp>45539</stp>
        <stp>Fill=true,Per=월</stp>
        <tr r="E103" s="2"/>
      </tp>
      <tp>
        <v>1176.55</v>
        <stp/>
        <stp>P</stp>
        <stp>0</stp>
        <stp>IDX</stp>
        <stp>O2904P</stp>
        <stp>현재가</stp>
        <stp>45539</stp>
        <stp>Fill=true,Per=월</stp>
        <tr r="E102" s="2"/>
      </tp>
      <tp>
        <v>1604.06</v>
        <stp/>
        <stp>P</stp>
        <stp>0</stp>
        <stp>IDX</stp>
        <stp>K2901P</stp>
        <stp>현재가</stp>
        <stp>45539</stp>
        <stp>Fill=true,Per=월</stp>
        <tr r="E343" s="2"/>
      </tp>
      <tp>
        <v>175.06</v>
        <stp/>
        <stp>P</stp>
        <stp>0</stp>
        <stp>IDX</stp>
        <stp>O2905P</stp>
        <stp>현재가</stp>
        <stp>45539</stp>
        <stp>Fill=true,Per=월</stp>
        <tr r="E101" s="2"/>
      </tp>
      <tp>
        <v>1217.01</v>
        <stp/>
        <stp>P</stp>
        <stp>0</stp>
        <stp>IDX</stp>
        <stp>O2916P</stp>
        <stp>현재가</stp>
        <stp>45539</stp>
        <stp>Fill=true,Per=월</stp>
        <tr r="E100" s="2"/>
      </tp>
      <tp>
        <v>3245.04</v>
        <stp/>
        <stp>P</stp>
        <stp>0</stp>
        <stp>IDX</stp>
        <stp>K2B01P</stp>
        <stp>현재가</stp>
        <stp>45539</stp>
        <stp>Fill=true,Per=월</stp>
        <tr r="E23" s="2"/>
      </tp>
      <tp>
        <v>5750.73</v>
        <stp/>
        <stp>P</stp>
        <stp>0</stp>
        <stp>IDX</stp>
        <stp>K2B03P</stp>
        <stp>현재가</stp>
        <stp>45539</stp>
        <stp>Fill=true,Per=월</stp>
        <tr r="E344" s="2"/>
      </tp>
      <tp>
        <v>1784.73</v>
        <stp/>
        <stp>P</stp>
        <stp>0</stp>
        <stp>IDX</stp>
        <stp>F2G01P</stp>
        <stp>현재가</stp>
        <stp>45539</stp>
        <stp>Fill=true,Per=월</stp>
        <tr r="E212" s="2"/>
      </tp>
      <tp>
        <v>1500.52</v>
        <stp/>
        <stp>P</stp>
        <stp>0</stp>
        <stp>IDX</stp>
        <stp>F2G02P</stp>
        <stp>현재가</stp>
        <stp>45539</stp>
        <stp>Fill=true,Per=월</stp>
        <tr r="E213" s="2"/>
      </tp>
      <tp>
        <v>354.85</v>
        <stp/>
        <stp>P</stp>
        <stp>0</stp>
        <stp>IDX</stp>
        <stp>K2G08P</stp>
        <stp>현재가</stp>
        <stp>45539</stp>
        <stp>Fill=true,Per=월</stp>
        <tr r="E358" s="2"/>
      </tp>
      <tp>
        <v>3327.35</v>
        <stp/>
        <stp>P</stp>
        <stp>0</stp>
        <stp>IDX</stp>
        <stp>K2G04P</stp>
        <stp>현재가</stp>
        <stp>45539</stp>
        <stp>Fill=true,Per=월</stp>
        <tr r="E352" s="2"/>
      </tp>
      <tp>
        <v>260.29000000000002</v>
        <stp/>
        <stp>P</stp>
        <stp>0</stp>
        <stp>IDX</stp>
        <stp>K2G05P</stp>
        <stp>현재가</stp>
        <stp>45539</stp>
        <stp>Fill=true,Per=월</stp>
        <tr r="E353" s="2"/>
      </tp>
      <tp>
        <v>358.32</v>
        <stp/>
        <stp>P</stp>
        <stp>0</stp>
        <stp>IDX</stp>
        <stp>K2G06P</stp>
        <stp>현재가</stp>
        <stp>45539</stp>
        <stp>Fill=true,Per=월</stp>
        <tr r="E355" s="2"/>
      </tp>
      <tp>
        <v>358.8</v>
        <stp/>
        <stp>P</stp>
        <stp>0</stp>
        <stp>IDX</stp>
        <stp>K2G01P</stp>
        <stp>현재가</stp>
        <stp>45539</stp>
        <stp>Fill=true,Per=월</stp>
        <tr r="E12" s="2"/>
      </tp>
      <tp>
        <v>2702.91</v>
        <stp/>
        <stp>P</stp>
        <stp>0</stp>
        <stp>IDX</stp>
        <stp>K2G02P</stp>
        <stp>현재가</stp>
        <stp>45539</stp>
        <stp>Fill=true,Per=월</stp>
        <tr r="E18" s="2"/>
      </tp>
      <tp>
        <v>2478.36</v>
        <stp/>
        <stp>P</stp>
        <stp>0</stp>
        <stp>IDX</stp>
        <stp>K2G03P</stp>
        <stp>현재가</stp>
        <stp>45539</stp>
        <stp>Fill=true,Per=월</stp>
        <tr r="E21" s="2"/>
      </tp>
      <tp>
        <v>344.76</v>
        <stp/>
        <stp>P</stp>
        <stp>0</stp>
        <stp>IDX</stp>
        <stp>K2G10P</stp>
        <stp>현재가</stp>
        <stp>45539</stp>
        <stp>Fill=true,Per=월</stp>
        <tr r="E361" s="2"/>
      </tp>
      <tp>
        <v>2115.59</v>
        <stp/>
        <stp>P</stp>
        <stp>0</stp>
        <stp>IDX</stp>
        <stp>K2D01P</stp>
        <stp>현재가</stp>
        <stp>45539</stp>
        <stp>Fill=true,Per=월</stp>
        <tr r="E345" s="2"/>
      </tp>
      <tp>
        <v>1812.31</v>
        <stp/>
        <stp>P</stp>
        <stp>0</stp>
        <stp>IDX</stp>
        <stp>K2D02P</stp>
        <stp>현재가</stp>
        <stp>45539</stp>
        <stp>Fill=true,Per=월</stp>
        <tr r="E346" s="2"/>
      </tp>
      <tp>
        <v>405.98</v>
        <stp/>
        <stp>P</stp>
        <stp>0</stp>
        <stp>IDX</stp>
        <stp>K2E01P</stp>
        <stp>현재가</stp>
        <stp>45539</stp>
        <stp>Fill=true,Per=월</stp>
        <tr r="E348" s="2"/>
      </tp>
      <tp>
        <v>1585.64</v>
        <stp/>
        <stp>P</stp>
        <stp>0</stp>
        <stp>IDX</stp>
        <stp>K2E02P</stp>
        <stp>현재가</stp>
        <stp>45539</stp>
        <stp>Fill=true,Per=월</stp>
        <tr r="E349" s="2"/>
      </tp>
      <tp>
        <v>947.23</v>
        <stp/>
        <stp>P</stp>
        <stp>0</stp>
        <stp>IDX</stp>
        <stp>F2S01P</stp>
        <stp>현재가</stp>
        <stp>45539</stp>
        <stp>Fill=true,Per=월</stp>
        <tr r="E214" s="2"/>
      </tp>
      <tp>
        <v>1502.9</v>
        <stp/>
        <stp>P</stp>
        <stp>0</stp>
        <stp>IDX</stp>
        <stp>F2S03P</stp>
        <stp>현재가</stp>
        <stp>45539</stp>
        <stp>Fill=true,Per=월</stp>
        <tr r="E216" s="2"/>
      </tp>
      <tp>
        <v>2020.85</v>
        <stp/>
        <stp>P</stp>
        <stp>0</stp>
        <stp>IDX</stp>
        <stp>F2S02P</stp>
        <stp>현재가</stp>
        <stp>45539</stp>
        <stp>Fill=true,Per=월</stp>
        <tr r="E215" s="2"/>
      </tp>
      <tp>
        <v>1209.6199999999999</v>
        <stp/>
        <stp>P</stp>
        <stp>0</stp>
        <stp>IDX</stp>
        <stp>F2S05P</stp>
        <stp>현재가</stp>
        <stp>45539</stp>
        <stp>Fill=true,Per=월</stp>
        <tr r="E218" s="2"/>
      </tp>
      <tp>
        <v>457.16</v>
        <stp/>
        <stp>P</stp>
        <stp>0</stp>
        <stp>IDX</stp>
        <stp>K2S08P</stp>
        <stp>현재가</stp>
        <stp>45539</stp>
        <stp>Fill=true,Per=월</stp>
        <tr r="E55" s="2"/>
      </tp>
      <tp>
        <v>1032.22</v>
        <stp/>
        <stp>P</stp>
        <stp>0</stp>
        <stp>IDX</stp>
        <stp>F2S04P</stp>
        <stp>현재가</stp>
        <stp>45539</stp>
        <stp>Fill=true,Per=월</stp>
        <tr r="E217" s="2"/>
      </tp>
      <tp>
        <v>760.48</v>
        <stp/>
        <stp>P</stp>
        <stp>0</stp>
        <stp>IDX</stp>
        <stp>K2S09P</stp>
        <stp>현재가</stp>
        <stp>45539</stp>
        <stp>Fill=true,Per=월</stp>
        <tr r="E68" s="2"/>
      </tp>
      <tp>
        <v>1171.74</v>
        <stp/>
        <stp>P</stp>
        <stp>0</stp>
        <stp>IDX</stp>
        <stp>F2S07P</stp>
        <stp>현재가</stp>
        <stp>45539</stp>
        <stp>Fill=true,Per=월</stp>
        <tr r="E220" s="2"/>
      </tp>
      <tp>
        <v>1327.19</v>
        <stp/>
        <stp>P</stp>
        <stp>0</stp>
        <stp>IDX</stp>
        <stp>F2S06P</stp>
        <stp>현재가</stp>
        <stp>45539</stp>
        <stp>Fill=true,Per=월</stp>
        <tr r="E219" s="2"/>
      </tp>
      <tp>
        <v>802.7</v>
        <stp/>
        <stp>P</stp>
        <stp>0</stp>
        <stp>IDX</stp>
        <stp>F2S09P</stp>
        <stp>현재가</stp>
        <stp>45539</stp>
        <stp>Fill=true,Per=월</stp>
        <tr r="E222" s="2"/>
      </tp>
      <tp>
        <v>660.37</v>
        <stp/>
        <stp>P</stp>
        <stp>0</stp>
        <stp>IDX</stp>
        <stp>K2S04P</stp>
        <stp>현재가</stp>
        <stp>45539</stp>
        <stp>Fill=true,Per=월</stp>
        <tr r="E38" s="2"/>
      </tp>
      <tp>
        <v>692.57</v>
        <stp/>
        <stp>P</stp>
        <stp>0</stp>
        <stp>IDX</stp>
        <stp>F2S08P</stp>
        <stp>현재가</stp>
        <stp>45539</stp>
        <stp>Fill=true,Per=월</stp>
        <tr r="E221" s="2"/>
      </tp>
      <tp>
        <v>1113.3399999999999</v>
        <stp/>
        <stp>P</stp>
        <stp>0</stp>
        <stp>IDX</stp>
        <stp>K2S05P</stp>
        <stp>현재가</stp>
        <stp>45539</stp>
        <stp>Fill=true,Per=월</stp>
        <tr r="E51" s="2"/>
      </tp>
      <tp>
        <v>1569.08</v>
        <stp/>
        <stp>P</stp>
        <stp>0</stp>
        <stp>IDX</stp>
        <stp>K2S06P</stp>
        <stp>현재가</stp>
        <stp>45539</stp>
        <stp>Fill=true,Per=월</stp>
        <tr r="E42" s="2"/>
      </tp>
      <tp>
        <v>3235.43</v>
        <stp/>
        <stp>P</stp>
        <stp>0</stp>
        <stp>IDX</stp>
        <stp>K2S07P</stp>
        <stp>현재가</stp>
        <stp>45539</stp>
        <stp>Fill=true,Per=월</stp>
        <tr r="E25" s="2"/>
      </tp>
      <tp>
        <v>2262.69</v>
        <stp/>
        <stp>P</stp>
        <stp>0</stp>
        <stp>IDX</stp>
        <stp>K2S01P</stp>
        <stp>현재가</stp>
        <stp>45539</stp>
        <stp>Fill=true,Per=월</stp>
        <tr r="E47" s="2"/>
      </tp>
      <tp>
        <v>323.31</v>
        <stp/>
        <stp>P</stp>
        <stp>0</stp>
        <stp>IDX</stp>
        <stp>K2S02P</stp>
        <stp>현재가</stp>
        <stp>45539</stp>
        <stp>Fill=true,Per=월</stp>
        <tr r="E72" s="2"/>
      </tp>
      <tp>
        <v>897.23</v>
        <stp/>
        <stp>P</stp>
        <stp>0</stp>
        <stp>IDX</stp>
        <stp>K2S03P</stp>
        <stp>현재가</stp>
        <stp>45539</stp>
        <stp>Fill=true,Per=월</stp>
        <tr r="E32" s="2"/>
      </tp>
      <tp>
        <v>1047.8399999999999</v>
        <stp/>
        <stp>P</stp>
        <stp>0</stp>
        <stp>IDX</stp>
        <stp>F2S10P</stp>
        <stp>현재가</stp>
        <stp>45539</stp>
        <stp>Fill=true,Per=월</stp>
        <tr r="E223" s="2"/>
      </tp>
      <tp>
        <v>882.77</v>
        <stp/>
        <stp>P</stp>
        <stp>0</stp>
        <stp>IDX</stp>
        <stp>K2S10P</stp>
        <stp>현재가</stp>
        <stp>45539</stp>
        <stp>Fill=true,Per=월</stp>
        <tr r="E59" s="2"/>
      </tp>
      <tp>
        <v>1675.53</v>
        <stp/>
        <stp>P</stp>
        <stp>0</stp>
        <stp>IDX</stp>
        <stp>K2S11P</stp>
        <stp>현재가</stp>
        <stp>45539</stp>
        <stp>Fill=true,Per=월</stp>
        <tr r="E54" s="2"/>
      </tp>
      <tp>
        <v>1341.07</v>
        <stp/>
        <stp>P</stp>
        <stp>0</stp>
        <stp>IDX</stp>
        <stp>F2V02P</stp>
        <stp>현재가</stp>
        <stp>45539</stp>
        <stp>Fill=true,Per=월</stp>
        <tr r="E224" s="2"/>
      </tp>
      <tp>
        <v>1473.55</v>
        <stp/>
        <stp>P</stp>
        <stp>0</stp>
        <stp>IDX</stp>
        <stp>K2V04P</stp>
        <stp>현재가</stp>
        <stp>45539</stp>
        <stp>Fill=true,Per=월</stp>
        <tr r="E378" s="2"/>
      </tp>
      <tp>
        <v>1606.33</v>
        <stp/>
        <stp>P</stp>
        <stp>0</stp>
        <stp>IDX</stp>
        <stp>K2V01P</stp>
        <stp>현재가</stp>
        <stp>45539</stp>
        <stp>Fill=true,Per=월</stp>
        <tr r="E375" s="2"/>
      </tp>
      <tp>
        <v>1572.6</v>
        <stp/>
        <stp>P</stp>
        <stp>0</stp>
        <stp>IDX</stp>
        <stp>K2V02P</stp>
        <stp>현재가</stp>
        <stp>45539</stp>
        <stp>Fill=true,Per=월</stp>
        <tr r="E376" s="2"/>
      </tp>
      <tp>
        <v>1525.14</v>
        <stp/>
        <stp>P</stp>
        <stp>0</stp>
        <stp>IDX</stp>
        <stp>K2V03P</stp>
        <stp>현재가</stp>
        <stp>45539</stp>
        <stp>Fill=true,Per=월</stp>
        <tr r="E377" s="2"/>
      </tp>
      <tp>
        <v>1312.72</v>
        <stp/>
        <stp>P</stp>
        <stp>0</stp>
        <stp>IDX</stp>
        <stp>K2W04P</stp>
        <stp>현재가</stp>
        <stp>45539</stp>
        <stp>Fill=true,Per=월</stp>
        <tr r="E209" s="2"/>
      </tp>
      <tp>
        <v>2257.44</v>
        <stp/>
        <stp>P</stp>
        <stp>0</stp>
        <stp>IDX</stp>
        <stp>K2W01P</stp>
        <stp>현재가</stp>
        <stp>45539</stp>
        <stp>Fill=true,Per=월</stp>
        <tr r="E11" s="2"/>
      </tp>
      <tp>
        <v>2023.16</v>
        <stp/>
        <stp>P</stp>
        <stp>0</stp>
        <stp>IDX</stp>
        <stp>K2W02P</stp>
        <stp>현재가</stp>
        <stp>45539</stp>
        <stp>Fill=true,Per=월</stp>
        <tr r="E17" s="2"/>
      </tp>
      <tp>
        <v>1777.47</v>
        <stp/>
        <stp>P</stp>
        <stp>0</stp>
        <stp>IDX</stp>
        <stp>K2W03P</stp>
        <stp>현재가</stp>
        <stp>45539</stp>
        <stp>Fill=true,Per=월</stp>
        <tr r="E20" s="2"/>
      </tp>
      <tp>
        <v>1510.87</v>
        <stp/>
        <stp>P</stp>
        <stp>0</stp>
        <stp>IDX</stp>
        <stp>G2T01P</stp>
        <stp>현재가</stp>
        <stp>45539</stp>
        <stp>Fill=true,Per=월</stp>
        <tr r="E329" s="2"/>
      </tp>
      <tp>
        <v>1016.44</v>
        <stp/>
        <stp>P</stp>
        <stp>0</stp>
        <stp>IDX</stp>
        <stp>K2T01P</stp>
        <stp>현재가</stp>
        <stp>45539</stp>
        <stp>Fill=true,Per=월</stp>
        <tr r="E374" s="2"/>
      </tp>
      <tp>
        <v>1309.1500000000001</v>
        <stp/>
        <stp>P</stp>
        <stp>0</stp>
        <stp>IDX</stp>
        <stp>K2Z01P</stp>
        <stp>현재가</stp>
        <stp>45539</stp>
        <stp>Fill=true,Per=월</stp>
        <tr r="E382" s="2"/>
      </tp>
      <tp>
        <v>2377.79</v>
        <stp/>
        <stp>P</stp>
        <stp>0</stp>
        <stp>IDX</stp>
        <stp>F2X01P</stp>
        <stp>현재가</stp>
        <stp>45539</stp>
        <stp>Fill=true,Per=월</stp>
        <tr r="E225" s="2"/>
      </tp>
      <tp>
        <v>247.33</v>
        <stp/>
        <stp>P</stp>
        <stp>0</stp>
        <stp>IDX</stp>
        <stp>F2X03P</stp>
        <stp>현재가</stp>
        <stp>45539</stp>
        <stp>Fill=true,Per=월</stp>
        <tr r="E227" s="2"/>
      </tp>
      <tp>
        <v>547.67999999999995</v>
        <stp/>
        <stp>P</stp>
        <stp>0</stp>
        <stp>IDX</stp>
        <stp>F2X02P</stp>
        <stp>현재가</stp>
        <stp>45539</stp>
        <stp>Fill=true,Per=월</stp>
        <tr r="E226" s="2"/>
      </tp>
      <tp>
        <v>312.55</v>
        <stp/>
        <stp>P</stp>
        <stp>0</stp>
        <stp>IDX</stp>
        <stp>K2X08P</stp>
        <stp>현재가</stp>
        <stp>45539</stp>
        <stp>Fill=true,Per=월</stp>
        <tr r="E56" s="2"/>
      </tp>
      <tp>
        <v>64.87</v>
        <stp/>
        <stp>P</stp>
        <stp>0</stp>
        <stp>IDX</stp>
        <stp>F2X04P</stp>
        <stp>현재가</stp>
        <stp>45539</stp>
        <stp>Fill=true,Per=월</stp>
        <tr r="E228" s="2"/>
      </tp>
      <tp>
        <v>941.76</v>
        <stp/>
        <stp>P</stp>
        <stp>0</stp>
        <stp>IDX</stp>
        <stp>K2X09P</stp>
        <stp>현재가</stp>
        <stp>45539</stp>
        <stp>Fill=true,Per=월</stp>
        <tr r="E48" s="2"/>
      </tp>
      <tp>
        <v>1923.39</v>
        <stp/>
        <stp>P</stp>
        <stp>0</stp>
        <stp>IDX</stp>
        <stp>F2X07P</stp>
        <stp>현재가</stp>
        <stp>45539</stp>
        <stp>Fill=true,Per=월</stp>
        <tr r="E231" s="2"/>
      </tp>
      <tp>
        <v>1977.16</v>
        <stp/>
        <stp>P</stp>
        <stp>0</stp>
        <stp>IDX</stp>
        <stp>F2X06P</stp>
        <stp>현재가</stp>
        <stp>45539</stp>
        <stp>Fill=true,Per=월</stp>
        <tr r="E230" s="2"/>
      </tp>
      <tp>
        <v>207.88</v>
        <stp/>
        <stp>P</stp>
        <stp>0</stp>
        <stp>IDX</stp>
        <stp>F2X09P</stp>
        <stp>현재가</stp>
        <stp>45539</stp>
        <stp>Fill=true,Per=월</stp>
        <tr r="E233" s="2"/>
      </tp>
      <tp>
        <v>578.67999999999995</v>
        <stp/>
        <stp>P</stp>
        <stp>0</stp>
        <stp>IDX</stp>
        <stp>F2X08P</stp>
        <stp>현재가</stp>
        <stp>45539</stp>
        <stp>Fill=true,Per=월</stp>
        <tr r="E232" s="2"/>
      </tp>
      <tp>
        <v>639.45000000000005</v>
        <stp/>
        <stp>P</stp>
        <stp>0</stp>
        <stp>IDX</stp>
        <stp>K2X05P</stp>
        <stp>현재가</stp>
        <stp>45539</stp>
        <stp>Fill=true,Per=월</stp>
        <tr r="E31" s="2"/>
      </tp>
      <tp>
        <v>961.38</v>
        <stp/>
        <stp>P</stp>
        <stp>0</stp>
        <stp>IDX</stp>
        <stp>O2X01P</stp>
        <stp>현재가</stp>
        <stp>45539</stp>
        <stp>Fill=true,Per=월</stp>
        <tr r="E170" s="2"/>
      </tp>
      <tp>
        <v>776.24</v>
        <stp/>
        <stp>P</stp>
        <stp>0</stp>
        <stp>IDX</stp>
        <stp>K2X06P</stp>
        <stp>현재가</stp>
        <stp>45539</stp>
        <stp>Fill=true,Per=월</stp>
        <tr r="E43" s="2"/>
      </tp>
      <tp>
        <v>189.8</v>
        <stp/>
        <stp>P</stp>
        <stp>0</stp>
        <stp>IDX</stp>
        <stp>K2X07P</stp>
        <stp>현재가</stp>
        <stp>45539</stp>
        <stp>Fill=true,Per=월</stp>
        <tr r="E71" s="2"/>
      </tp>
      <tp>
        <v>286.44</v>
        <stp/>
        <stp>P</stp>
        <stp>0</stp>
        <stp>IDX</stp>
        <stp>K2X01P</stp>
        <stp>현재가</stp>
        <stp>45539</stp>
        <stp>Fill=true,Per=월</stp>
        <tr r="E13" s="2"/>
      </tp>
      <tp>
        <v>509.25</v>
        <stp/>
        <stp>P</stp>
        <stp>0</stp>
        <stp>IDX</stp>
        <stp>K2X02P</stp>
        <stp>현재가</stp>
        <stp>45539</stp>
        <stp>Fill=true,Per=월</stp>
        <tr r="E50" s="2"/>
      </tp>
      <tp>
        <v>4079.7</v>
        <stp/>
        <stp>P</stp>
        <stp>0</stp>
        <stp>IDX</stp>
        <stp>K2X03P</stp>
        <stp>현재가</stp>
        <stp>45539</stp>
        <stp>Fill=true,Per=월</stp>
        <tr r="E24" s="2"/>
      </tp>
      <tp>
        <v>3059.87</v>
        <stp/>
        <stp>P</stp>
        <stp>0</stp>
        <stp>IDX</stp>
        <stp>F2X11P</stp>
        <stp>현재가</stp>
        <stp>45539</stp>
        <stp>Fill=true,Per=월</stp>
        <tr r="E235" s="2"/>
      </tp>
      <tp>
        <v>636.63</v>
        <stp/>
        <stp>P</stp>
        <stp>0</stp>
        <stp>IDX</stp>
        <stp>F2X10P</stp>
        <stp>현재가</stp>
        <stp>45539</stp>
        <stp>Fill=true,Per=월</stp>
        <tr r="E234" s="2"/>
      </tp>
      <tp>
        <v>836.65</v>
        <stp/>
        <stp>P</stp>
        <stp>0</stp>
        <stp>IDX</stp>
        <stp>F2X13P</stp>
        <stp>현재가</stp>
        <stp>45539</stp>
        <stp>Fill=true,Per=월</stp>
        <tr r="E237" s="2"/>
      </tp>
      <tp>
        <v>1718.93</v>
        <stp/>
        <stp>P</stp>
        <stp>0</stp>
        <stp>IDX</stp>
        <stp>F2X12P</stp>
        <stp>현재가</stp>
        <stp>45539</stp>
        <stp>Fill=true,Per=월</stp>
        <tr r="E236" s="2"/>
      </tp>
      <tp>
        <v>977</v>
        <stp/>
        <stp>P</stp>
        <stp>0</stp>
        <stp>IDX</stp>
        <stp>F2X15P</stp>
        <stp>현재가</stp>
        <stp>45539</stp>
        <stp>Fill=true,Per=월</stp>
        <tr r="E239" s="2"/>
      </tp>
      <tp>
        <v>941.4</v>
        <stp/>
        <stp>P</stp>
        <stp>0</stp>
        <stp>IDX</stp>
        <stp>F2X14P</stp>
        <stp>현재가</stp>
        <stp>45539</stp>
        <stp>Fill=true,Per=월</stp>
        <tr r="E238" s="2"/>
      </tp>
      <tp>
        <v>443.68</v>
        <stp/>
        <stp>P</stp>
        <stp>0</stp>
        <stp>IDX</stp>
        <stp>F2X17P</stp>
        <stp>현재가</stp>
        <stp>45539</stp>
        <stp>Fill=true,Per=월</stp>
        <tr r="E241" s="2"/>
      </tp>
      <tp>
        <v>889.11</v>
        <stp/>
        <stp>P</stp>
        <stp>0</stp>
        <stp>IDX</stp>
        <stp>F2X16P</stp>
        <stp>현재가</stp>
        <stp>45539</stp>
        <stp>Fill=true,Per=월</stp>
        <tr r="E240" s="2"/>
      </tp>
      <tp>
        <v>881.74</v>
        <stp/>
        <stp>P</stp>
        <stp>0</stp>
        <stp>IDX</stp>
        <stp>F2X19P</stp>
        <stp>현재가</stp>
        <stp>45539</stp>
        <stp>Fill=true,Per=월</stp>
        <tr r="E243" s="2"/>
      </tp>
      <tp>
        <v>426.77</v>
        <stp/>
        <stp>P</stp>
        <stp>0</stp>
        <stp>IDX</stp>
        <stp>F2X18P</stp>
        <stp>현재가</stp>
        <stp>45539</stp>
        <stp>Fill=true,Per=월</stp>
        <tr r="E242" s="2"/>
      </tp>
      <tp>
        <v>1010.92</v>
        <stp/>
        <stp>P</stp>
        <stp>0</stp>
        <stp>IDX</stp>
        <stp>K2X11P</stp>
        <stp>현재가</stp>
        <stp>45539</stp>
        <stp>Fill=true,Per=월</stp>
        <tr r="E380" s="2"/>
      </tp>
      <tp>
        <v>377.61</v>
        <stp/>
        <stp>P</stp>
        <stp>0</stp>
        <stp>IDX</stp>
        <stp>F2X21P</stp>
        <stp>현재가</stp>
        <stp>45539</stp>
        <stp>Fill=true,Per=월</stp>
        <tr r="E245" s="2"/>
      </tp>
      <tp>
        <v>761.12</v>
        <stp/>
        <stp>P</stp>
        <stp>0</stp>
        <stp>IDX</stp>
        <stp>F2X20P</stp>
        <stp>현재가</stp>
        <stp>45539</stp>
        <stp>Fill=true,Per=월</stp>
        <tr r="E244" s="2"/>
      </tp>
      <tp>
        <v>766.99</v>
        <stp/>
        <stp>P</stp>
        <stp>0</stp>
        <stp>IDX</stp>
        <stp>F2X23P</stp>
        <stp>현재가</stp>
        <stp>45539</stp>
        <stp>Fill=true,Per=월</stp>
        <tr r="E247" s="2"/>
      </tp>
      <tp>
        <v>514.11</v>
        <stp/>
        <stp>P</stp>
        <stp>0</stp>
        <stp>IDX</stp>
        <stp>F2X22P</stp>
        <stp>현재가</stp>
        <stp>45539</stp>
        <stp>Fill=true,Per=월</stp>
        <tr r="E246" s="2"/>
      </tp>
      <tp>
        <v>430.49</v>
        <stp/>
        <stp>P</stp>
        <stp>0</stp>
        <stp>IDX</stp>
        <stp>F2X25P</stp>
        <stp>현재가</stp>
        <stp>45539</stp>
        <stp>Fill=true,Per=월</stp>
        <tr r="E249" s="2"/>
      </tp>
      <tp>
        <v>545.80999999999995</v>
        <stp/>
        <stp>P</stp>
        <stp>0</stp>
        <stp>IDX</stp>
        <stp>F2X24P</stp>
        <stp>현재가</stp>
        <stp>45539</stp>
        <stp>Fill=true,Per=월</stp>
        <tr r="E248" s="2"/>
      </tp>
      <tp>
        <v>1354.29</v>
        <stp/>
        <stp>P</stp>
        <stp>0</stp>
        <stp>IDX</stp>
        <stp>F2X27P</stp>
        <stp>현재가</stp>
        <stp>45539</stp>
        <stp>Fill=true,Per=월</stp>
        <tr r="E251" s="2"/>
      </tp>
      <tp>
        <v>566.65</v>
        <stp/>
        <stp>P</stp>
        <stp>0</stp>
        <stp>IDX</stp>
        <stp>F2X26P</stp>
        <stp>현재가</stp>
        <stp>45539</stp>
        <stp>Fill=true,Per=월</stp>
        <tr r="E250" s="2"/>
      </tp>
      <tp>
        <v>776.89</v>
        <stp/>
        <stp>P</stp>
        <stp>0</stp>
        <stp>IDX</stp>
        <stp>F2X29P</stp>
        <stp>현재가</stp>
        <stp>45539</stp>
        <stp>Fill=true,Per=월</stp>
        <tr r="E253" s="2"/>
      </tp>
      <tp>
        <v>842.87</v>
        <stp/>
        <stp>P</stp>
        <stp>0</stp>
        <stp>IDX</stp>
        <stp>F2X28P</stp>
        <stp>현재가</stp>
        <stp>45539</stp>
        <stp>Fill=true,Per=월</stp>
        <tr r="E252" s="2"/>
      </tp>
      <tp>
        <v>81.010000000000005</v>
        <stp/>
        <stp>P</stp>
        <stp>0</stp>
        <stp>IDX</stp>
        <stp>F2X31P</stp>
        <stp>현재가</stp>
        <stp>45539</stp>
        <stp>Fill=true,Per=월</stp>
        <tr r="E255" s="2"/>
      </tp>
      <tp>
        <v>309.69</v>
        <stp/>
        <stp>P</stp>
        <stp>0</stp>
        <stp>IDX</stp>
        <stp>F2X30P</stp>
        <stp>현재가</stp>
        <stp>45539</stp>
        <stp>Fill=true,Per=월</stp>
        <tr r="E254" s="2"/>
      </tp>
      <tp>
        <v>342.36</v>
        <stp/>
        <stp>P</stp>
        <stp>0</stp>
        <stp>IDX</stp>
        <stp>F2X33P</stp>
        <stp>현재가</stp>
        <stp>45539</stp>
        <stp>Fill=true,Per=월</stp>
        <tr r="E257" s="2"/>
      </tp>
      <tp>
        <v>151.51</v>
        <stp/>
        <stp>P</stp>
        <stp>0</stp>
        <stp>IDX</stp>
        <stp>F2X32P</stp>
        <stp>현재가</stp>
        <stp>45539</stp>
        <stp>Fill=true,Per=월</stp>
        <tr r="E256" s="2"/>
      </tp>
      <tp>
        <v>78.92</v>
        <stp/>
        <stp>P</stp>
        <stp>0</stp>
        <stp>IDX</stp>
        <stp>F2X35P</stp>
        <stp>현재가</stp>
        <stp>45539</stp>
        <stp>Fill=true,Per=월</stp>
        <tr r="E259" s="2"/>
      </tp>
      <tp>
        <v>146.74</v>
        <stp/>
        <stp>P</stp>
        <stp>0</stp>
        <stp>IDX</stp>
        <stp>F2X34P</stp>
        <stp>현재가</stp>
        <stp>45539</stp>
        <stp>Fill=true,Per=월</stp>
        <tr r="E258" s="2"/>
      </tp>
      <tp>
        <v>1280.29</v>
        <stp/>
        <stp>P</stp>
        <stp>0</stp>
        <stp>IDX</stp>
        <stp>F2X37P</stp>
        <stp>현재가</stp>
        <stp>45539</stp>
        <stp>Fill=true,Per=월</stp>
        <tr r="E261" s="2"/>
      </tp>
      <tp>
        <v>159.47999999999999</v>
        <stp/>
        <stp>P</stp>
        <stp>0</stp>
        <stp>IDX</stp>
        <stp>F2X36P</stp>
        <stp>현재가</stp>
        <stp>45539</stp>
        <stp>Fill=true,Per=월</stp>
        <tr r="E260" s="2"/>
      </tp>
      <tp>
        <v>364.63</v>
        <stp/>
        <stp>P</stp>
        <stp>0</stp>
        <stp>IDX</stp>
        <stp>F2X39P</stp>
        <stp>현재가</stp>
        <stp>45539</stp>
        <stp>Fill=true,Per=월</stp>
        <tr r="E263" s="2"/>
      </tp>
      <tp>
        <v>358.22</v>
        <stp/>
        <stp>P</stp>
        <stp>0</stp>
        <stp>IDX</stp>
        <stp>F2X38P</stp>
        <stp>현재가</stp>
        <stp>45539</stp>
        <stp>Fill=true,Per=월</stp>
        <tr r="E262" s="2"/>
      </tp>
      <tp>
        <v>1660.04</v>
        <stp/>
        <stp>P</stp>
        <stp>0</stp>
        <stp>IDX</stp>
        <stp>X3G01P</stp>
        <stp>현재가</stp>
        <stp>45539</stp>
        <stp>Fill=true,Per=월</stp>
        <tr r="E10" s="2"/>
      </tp>
      <tp>
        <v>1092.06</v>
        <stp/>
        <stp>P</stp>
        <stp>0</stp>
        <stp>IDX</stp>
        <stp>F3G01P</stp>
        <stp>현재가</stp>
        <stp>45539</stp>
        <stp>Fill=true,Per=월</stp>
        <tr r="E269" s="2"/>
      </tp>
      <tp>
        <v>1628.41</v>
        <stp/>
        <stp>P</stp>
        <stp>0</stp>
        <stp>IDX</stp>
        <stp>X3E01P</stp>
        <stp>현재가</stp>
        <stp>45539</stp>
        <stp>Fill=true,Per=월</stp>
        <tr r="E191" s="2"/>
      </tp>
      <tp>
        <v>1344.2</v>
        <stp/>
        <stp>P</stp>
        <stp>0</stp>
        <stp>IDX</stp>
        <stp>X3S08P</stp>
        <stp>현재가</stp>
        <stp>45539</stp>
        <stp>Fill=true,Per=월</stp>
        <tr r="E182" s="2"/>
      </tp>
      <tp>
        <v>1183.02</v>
        <stp/>
        <stp>P</stp>
        <stp>0</stp>
        <stp>IDX</stp>
        <stp>X3S07P</stp>
        <stp>현재가</stp>
        <stp>45539</stp>
        <stp>Fill=true,Per=월</stp>
        <tr r="E183" s="2"/>
      </tp>
      <tp>
        <v>1440.82</v>
        <stp/>
        <stp>P</stp>
        <stp>0</stp>
        <stp>IDX</stp>
        <stp>X3S06P</stp>
        <stp>현재가</stp>
        <stp>45539</stp>
        <stp>Fill=true,Per=월</stp>
        <tr r="E184" s="2"/>
      </tp>
      <tp>
        <v>2553.92</v>
        <stp/>
        <stp>P</stp>
        <stp>0</stp>
        <stp>IDX</stp>
        <stp>X3S05P</stp>
        <stp>현재가</stp>
        <stp>45539</stp>
        <stp>Fill=true,Per=월</stp>
        <tr r="E185" s="2"/>
      </tp>
      <tp>
        <v>1115.26</v>
        <stp/>
        <stp>P</stp>
        <stp>0</stp>
        <stp>IDX</stp>
        <stp>X3S04P</stp>
        <stp>현재가</stp>
        <stp>45539</stp>
        <stp>Fill=true,Per=월</stp>
        <tr r="E186" s="2"/>
      </tp>
      <tp>
        <v>3552.85</v>
        <stp/>
        <stp>P</stp>
        <stp>0</stp>
        <stp>IDX</stp>
        <stp>X3S03P</stp>
        <stp>현재가</stp>
        <stp>45539</stp>
        <stp>Fill=true,Per=월</stp>
        <tr r="E187" s="2"/>
      </tp>
      <tp>
        <v>1483.65</v>
        <stp/>
        <stp>P</stp>
        <stp>0</stp>
        <stp>IDX</stp>
        <stp>X3S02P</stp>
        <stp>현재가</stp>
        <stp>45539</stp>
        <stp>Fill=true,Per=월</stp>
        <tr r="E188" s="2"/>
      </tp>
      <tp>
        <v>751.74</v>
        <stp/>
        <stp>P</stp>
        <stp>0</stp>
        <stp>IDX</stp>
        <stp>X3S01P</stp>
        <stp>현재가</stp>
        <stp>45539</stp>
        <stp>Fill=true,Per=월</stp>
        <tr r="E189" s="2"/>
      </tp>
      <tp>
        <v>883.89</v>
        <stp/>
        <stp>P</stp>
        <stp>0</stp>
        <stp>IDX</stp>
        <stp>X3X01P</stp>
        <stp>현재가</stp>
        <stp>45539</stp>
        <stp>Fill=true,Per=월</stp>
        <tr r="E181" s="2"/>
      </tp>
      <tp>
        <v>808.69</v>
        <stp/>
        <stp>P</stp>
        <stp>0</stp>
        <stp>IDX</stp>
        <stp>F3X02P</stp>
        <stp>현재가</stp>
        <stp>45539</stp>
        <stp>Fill=true,Per=월</stp>
        <tr r="E271" s="2"/>
      </tp>
      <tp>
        <v>-0.63</v>
        <stp/>
        <stp>P</stp>
        <stp>0</stp>
        <stp>IDX</stp>
        <stp>MGA14P</stp>
        <stp>등락률</stp>
        <stp>45539</stp>
        <stp>Fill=true,Per=월</stp>
        <tr r="G108" s="2"/>
      </tp>
      <tp>
        <v>0.42</v>
        <stp/>
        <stp>P</stp>
        <stp>0</stp>
        <stp>IDX</stp>
        <stp>MGA15P</stp>
        <stp>등락률</stp>
        <stp>45539</stp>
        <stp>Fill=true,Per=월</stp>
        <tr r="G110" s="2"/>
      </tp>
      <tp>
        <v>-0.09</v>
        <stp/>
        <stp>P</stp>
        <stp>0</stp>
        <stp>IDX</stp>
        <stp>MGA12P</stp>
        <stp>등락률</stp>
        <stp>45539</stp>
        <stp>Fill=true,Per=월</stp>
        <tr r="G104" s="2"/>
      </tp>
      <tp>
        <v>-1.38</v>
        <stp/>
        <stp>P</stp>
        <stp>0</stp>
        <stp>IDX</stp>
        <stp>MGA10P</stp>
        <stp>등락률</stp>
        <stp>45539</stp>
        <stp>Fill=true,Per=월</stp>
        <tr r="G121" s="2"/>
      </tp>
      <tp>
        <v>1.45</v>
        <stp/>
        <stp>P</stp>
        <stp>0</stp>
        <stp>IDX</stp>
        <stp>MGA11P</stp>
        <stp>등락률</stp>
        <stp>45539</stp>
        <stp>Fill=true,Per=월</stp>
        <tr r="G107" s="2"/>
      </tp>
      <tp>
        <v>-0.49</v>
        <stp/>
        <stp>P</stp>
        <stp>0</stp>
        <stp>IDX</stp>
        <stp>FGA05P</stp>
        <stp>등락률</stp>
        <stp>45539</stp>
        <stp>Fill=true,Per=월</stp>
        <tr r="G289" s="2"/>
      </tp>
      <tp>
        <v>-0.68</v>
        <stp/>
        <stp>P</stp>
        <stp>0</stp>
        <stp>IDX</stp>
        <stp>FGA07P</stp>
        <stp>등락률</stp>
        <stp>45539</stp>
        <stp>Fill=true,Per=월</stp>
        <tr r="G291" s="2"/>
      </tp>
      <tp>
        <v>-0.43</v>
        <stp/>
        <stp>P</stp>
        <stp>0</stp>
        <stp>IDX</stp>
        <stp>FGA06P</stp>
        <stp>등락률</stp>
        <stp>45539</stp>
        <stp>Fill=true,Per=월</stp>
        <tr r="G290" s="2"/>
      </tp>
      <tp>
        <v>-0.09</v>
        <stp/>
        <stp>P</stp>
        <stp>0</stp>
        <stp>IDX</stp>
        <stp>MGA08P</stp>
        <stp>등락률</stp>
        <stp>45539</stp>
        <stp>Fill=true,Per=월</stp>
        <tr r="G126" s="2"/>
      </tp>
      <tp>
        <v>0.34</v>
        <stp/>
        <stp>P</stp>
        <stp>0</stp>
        <stp>IDX</stp>
        <stp>MGA09P</stp>
        <stp>등락률</stp>
        <stp>45539</stp>
        <stp>Fill=true,Per=월</stp>
        <tr r="G127" s="2"/>
      </tp>
      <tp>
        <v>1.41</v>
        <stp/>
        <stp>P</stp>
        <stp>0</stp>
        <stp>IDX</stp>
        <stp>MGA06P</stp>
        <stp>등락률</stp>
        <stp>45539</stp>
        <stp>Fill=true,Per=월</stp>
        <tr r="G124" s="2"/>
      </tp>
      <tp>
        <v>7.0000000000000007E-2</v>
        <stp/>
        <stp>P</stp>
        <stp>0</stp>
        <stp>IDX</stp>
        <stp>KGA01P</stp>
        <stp>등락률</stp>
        <stp>45539</stp>
        <stp>Fill=true,Per=월</stp>
        <tr r="G383" s="2"/>
      </tp>
      <tp>
        <v>-0.5</v>
        <stp/>
        <stp>P</stp>
        <stp>0</stp>
        <stp>IDX</stp>
        <stp>MGA07P</stp>
        <stp>등락률</stp>
        <stp>45539</stp>
        <stp>Fill=true,Per=월</stp>
        <tr r="G125" s="2"/>
      </tp>
      <tp>
        <v>-0.27</v>
        <stp/>
        <stp>P</stp>
        <stp>0</stp>
        <stp>IDX</stp>
        <stp>MGA04P</stp>
        <stp>등락률</stp>
        <stp>45539</stp>
        <stp>Fill=true,Per=월</stp>
        <tr r="G122" s="2"/>
      </tp>
      <tp>
        <v>-0.36</v>
        <stp/>
        <stp>P</stp>
        <stp>0</stp>
        <stp>IDX</stp>
        <stp>MGA05P</stp>
        <stp>등락률</stp>
        <stp>45539</stp>
        <stp>Fill=true,Per=월</stp>
        <tr r="G123" s="2"/>
      </tp>
      <tp>
        <v>-0.47</v>
        <stp/>
        <stp>P</stp>
        <stp>0</stp>
        <stp>IDX</stp>
        <stp>MGA02P</stp>
        <stp>등락률</stp>
        <stp>45539</stp>
        <stp>Fill=true,Per=월</stp>
        <tr r="G112" s="2"/>
      </tp>
      <tp>
        <v>-0.55000000000000004</v>
        <stp/>
        <stp>P</stp>
        <stp>0</stp>
        <stp>IDX</stp>
        <stp>MGA03P</stp>
        <stp>등락률</stp>
        <stp>45539</stp>
        <stp>Fill=true,Per=월</stp>
        <tr r="G120" s="2"/>
      </tp>
      <tp>
        <v>-1.01</v>
        <stp/>
        <stp>P</stp>
        <stp>0</stp>
        <stp>IDX</stp>
        <stp>MGA01P</stp>
        <stp>등락률</stp>
        <stp>45539</stp>
        <stp>Fill=true,Per=월</stp>
        <tr r="G111" s="2"/>
      </tp>
      <tp>
        <v>0.39</v>
        <stp/>
        <stp>P</stp>
        <stp>0</stp>
        <stp>IDX</stp>
        <stp>XGB05P</stp>
        <stp>등락률</stp>
        <stp>45539</stp>
        <stp>Fill=true,Per=월</stp>
        <tr r="G176" s="2"/>
      </tp>
      <tp>
        <v>-0.23</v>
        <stp/>
        <stp>P</stp>
        <stp>0</stp>
        <stp>IDX</stp>
        <stp>XGD02P</stp>
        <stp>등락률</stp>
        <stp>45539</stp>
        <stp>Fill=true,Per=월</stp>
        <tr r="G175" s="2"/>
      </tp>
      <tp>
        <v>-0.45</v>
        <stp/>
        <stp>P</stp>
        <stp>0</stp>
        <stp>IDX</stp>
        <stp>KGD01P</stp>
        <stp>등락률</stp>
        <stp>45539</stp>
        <stp>Fill=true,Per=월</stp>
        <tr r="G298" s="2"/>
      </tp>
      <tp>
        <v>1.22</v>
        <stp/>
        <stp>P</stp>
        <stp>0</stp>
        <stp>IDX</stp>
        <stp>KGD02P</stp>
        <stp>등락률</stp>
        <stp>45539</stp>
        <stp>Fill=true,Per=월</stp>
        <tr r="G195" s="2"/>
      </tp>
      <tp>
        <v>1.27</v>
        <stp/>
        <stp>P</stp>
        <stp>0</stp>
        <stp>IDX</stp>
        <stp>KGD03P</stp>
        <stp>등락률</stp>
        <stp>45539</stp>
        <stp>Fill=true,Per=월</stp>
        <tr r="G114" s="2"/>
      </tp>
      <tp>
        <v>0.59</v>
        <stp/>
        <stp>P</stp>
        <stp>0</stp>
        <stp>IDX</stp>
        <stp>XGE03P</stp>
        <stp>등락률</stp>
        <stp>45539</stp>
        <stp>Fill=true,Per=월</stp>
        <tr r="G172" s="2"/>
      </tp>
      <tp>
        <v>0.42</v>
        <stp/>
        <stp>P</stp>
        <stp>0</stp>
        <stp>IDX</stp>
        <stp>XGE02P</stp>
        <stp>등락률</stp>
        <stp>45539</stp>
        <stp>Fill=true,Per=월</stp>
        <tr r="G173" s="2"/>
      </tp>
      <tp>
        <v>0.35</v>
        <stp/>
        <stp>P</stp>
        <stp>0</stp>
        <stp>IDX</stp>
        <stp>XGE01P</stp>
        <stp>등락률</stp>
        <stp>45539</stp>
        <stp>Fill=true,Per=월</stp>
        <tr r="G174" s="2"/>
      </tp>
      <tp>
        <v>0.11</v>
        <stp/>
        <stp>P</stp>
        <stp>0</stp>
        <stp>IDX</stp>
        <stp>XGE05P</stp>
        <stp>등락률</stp>
        <stp>45539</stp>
        <stp>Fill=true,Per=월</stp>
        <tr r="G169" s="2"/>
      </tp>
      <tp>
        <v>0.26</v>
        <stp/>
        <stp>P</stp>
        <stp>0</stp>
        <stp>IDX</stp>
        <stp>XGE04P</stp>
        <stp>등락률</stp>
        <stp>45539</stp>
        <stp>Fill=true,Per=월</stp>
        <tr r="G171" s="2"/>
      </tp>
      <tp>
        <v>-0.92</v>
        <stp/>
        <stp>P</stp>
        <stp>0</stp>
        <stp>IDX</stp>
        <stp>GGE01P</stp>
        <stp>등락률</stp>
        <stp>45539</stp>
        <stp>Fill=true,Per=월</stp>
        <tr r="G330" s="2"/>
      </tp>
      <tp>
        <v>-0.89</v>
        <stp/>
        <stp>P</stp>
        <stp>0</stp>
        <stp>IDX</stp>
        <stp>QGG11P</stp>
        <stp>등락률</stp>
        <stp>45539</stp>
        <stp>Fill=true,Per=월</stp>
        <tr r="G58" s="2"/>
      </tp>
      <tp>
        <v>-1.2</v>
        <stp/>
        <stp>P</stp>
        <stp>0</stp>
        <stp>IDX</stp>
        <stp>QGG03P</stp>
        <stp>등락률</stp>
        <stp>45539</stp>
        <stp>Fill=true,Per=월</stp>
        <tr r="G39" s="2"/>
      </tp>
      <tp>
        <v>-0.95</v>
        <stp/>
        <stp>P</stp>
        <stp>0</stp>
        <stp>IDX</stp>
        <stp>QGG01P</stp>
        <stp>등락률</stp>
        <stp>45539</stp>
        <stp>Fill=true,Per=월</stp>
        <tr r="G26" s="2"/>
      </tp>
      <tp>
        <v>-1.62</v>
        <stp/>
        <stp>P</stp>
        <stp>0</stp>
        <stp>IDX</stp>
        <stp>QGG06P</stp>
        <stp>등락률</stp>
        <stp>45539</stp>
        <stp>Fill=true,Per=월</stp>
        <tr r="G63" s="2"/>
      </tp>
      <tp>
        <v>-0.43</v>
        <stp/>
        <stp>P</stp>
        <stp>0</stp>
        <stp>IDX</stp>
        <stp>TGG02P</stp>
        <stp>등락률</stp>
        <stp>45539</stp>
        <stp>Fill=true,Per=월</stp>
        <tr r="G193" s="2"/>
      </tp>
      <tp>
        <v>1.25</v>
        <stp/>
        <stp>P</stp>
        <stp>0</stp>
        <stp>IDX</stp>
        <stp>QGG04P</stp>
        <stp>등락률</stp>
        <stp>45539</stp>
        <stp>Fill=true,Per=월</stp>
        <tr r="G73" s="2"/>
      </tp>
      <tp>
        <v>-</v>
        <stp/>
        <stp>P</stp>
        <stp>0</stp>
        <stp>IDX</stp>
        <stp>TGG01P</stp>
        <stp>등락률</stp>
        <stp>45539</stp>
        <stp>Fill=true,Per=월</stp>
        <tr r="G194" s="2"/>
      </tp>
      <tp>
        <v>-1.04</v>
        <stp/>
        <stp>P</stp>
        <stp>0</stp>
        <stp>IDX</stp>
        <stp>QGG05P</stp>
        <stp>등락률</stp>
        <stp>45539</stp>
        <stp>Fill=true,Per=월</stp>
        <tr r="G60" s="2"/>
      </tp>
      <tp>
        <v>0.44</v>
        <stp/>
        <stp>P</stp>
        <stp>0</stp>
        <stp>IDX</stp>
        <stp>XGG02P</stp>
        <stp>등락률</stp>
        <stp>45539</stp>
        <stp>Fill=true,Per=월</stp>
        <tr r="G129" s="2"/>
      </tp>
      <tp>
        <v>-0.6</v>
        <stp/>
        <stp>P</stp>
        <stp>0</stp>
        <stp>IDX</stp>
        <stp>XGG01P</stp>
        <stp>등락률</stp>
        <stp>45539</stp>
        <stp>Fill=true,Per=월</stp>
        <tr r="G15" s="2"/>
      </tp>
      <tp>
        <v>0.26</v>
        <stp/>
        <stp>P</stp>
        <stp>0</stp>
        <stp>IDX</stp>
        <stp>GGG04P</stp>
        <stp>등락률</stp>
        <stp>45539</stp>
        <stp>Fill=true,Per=월</stp>
        <tr r="G334" s="2"/>
      </tp>
      <tp>
        <v>-1.33</v>
        <stp/>
        <stp>P</stp>
        <stp>0</stp>
        <stp>IDX</stp>
        <stp>GGG05P</stp>
        <stp>등락률</stp>
        <stp>45539</stp>
        <stp>Fill=true,Per=월</stp>
        <tr r="G335" s="2"/>
      </tp>
      <tp>
        <v>-7.62</v>
        <stp/>
        <stp>P</stp>
        <stp>0</stp>
        <stp>IDX</stp>
        <stp>GGG06P</stp>
        <stp>등락률</stp>
        <stp>45539</stp>
        <stp>Fill=true,Per=월</stp>
        <tr r="G336" s="2"/>
      </tp>
      <tp>
        <v>-3.97</v>
        <stp/>
        <stp>P</stp>
        <stp>0</stp>
        <stp>IDX</stp>
        <stp>GGG07P</stp>
        <stp>등락률</stp>
        <stp>45539</stp>
        <stp>Fill=true,Per=월</stp>
        <tr r="G337" s="2"/>
      </tp>
      <tp>
        <v>1.37</v>
        <stp/>
        <stp>P</stp>
        <stp>0</stp>
        <stp>IDX</stp>
        <stp>FGG01P</stp>
        <stp>등락률</stp>
        <stp>45539</stp>
        <stp>Fill=true,Per=월</stp>
        <tr r="G292" s="2"/>
      </tp>
      <tp>
        <v>-0.92</v>
        <stp/>
        <stp>P</stp>
        <stp>0</stp>
        <stp>IDX</stp>
        <stp>GGG01P</stp>
        <stp>등락률</stp>
        <stp>45539</stp>
        <stp>Fill=true,Per=월</stp>
        <tr r="G331" s="2"/>
      </tp>
      <tp>
        <v>-7.45</v>
        <stp/>
        <stp>P</stp>
        <stp>0</stp>
        <stp>IDX</stp>
        <stp>GGG02P</stp>
        <stp>등락률</stp>
        <stp>45539</stp>
        <stp>Fill=true,Per=월</stp>
        <tr r="G332" s="2"/>
      </tp>
      <tp>
        <v>-1.35</v>
        <stp/>
        <stp>P</stp>
        <stp>0</stp>
        <stp>IDX</stp>
        <stp>GGG03P</stp>
        <stp>등락률</stp>
        <stp>45539</stp>
        <stp>Fill=true,Per=월</stp>
        <tr r="G333" s="2"/>
      </tp>
      <tp>
        <v>-0.36</v>
        <stp/>
        <stp>P</stp>
        <stp>0</stp>
        <stp>IDX</stp>
        <stp>KGG01P</stp>
        <stp>등락률</stp>
        <stp>45539</stp>
        <stp>Fill=true,Per=월</stp>
        <tr r="G9" s="2"/>
      </tp>
      <tp>
        <v>-7.36</v>
        <stp/>
        <stp>P</stp>
        <stp>0</stp>
        <stp>IDX</stp>
        <stp>GGG08P</stp>
        <stp>등락률</stp>
        <stp>45539</stp>
        <stp>Fill=true,Per=월</stp>
        <tr r="G338" s="2"/>
      </tp>
      <tp>
        <v>-0.73</v>
        <stp/>
        <stp>P</stp>
        <stp>0</stp>
        <stp>IDX</stp>
        <stp>QGS12P</stp>
        <stp>등락률</stp>
        <stp>45539</stp>
        <stp>Fill=true,Per=월</stp>
        <tr r="G76" s="2"/>
      </tp>
      <tp>
        <v>1.1299999999999999</v>
        <stp/>
        <stp>P</stp>
        <stp>0</stp>
        <stp>IDX</stp>
        <stp>QGS13P</stp>
        <stp>등락률</stp>
        <stp>45539</stp>
        <stp>Fill=true,Per=월</stp>
        <tr r="G77" s="2"/>
      </tp>
      <tp>
        <v>1.74</v>
        <stp/>
        <stp>P</stp>
        <stp>0</stp>
        <stp>IDX</stp>
        <stp>QGS10P</stp>
        <stp>등락률</stp>
        <stp>45539</stp>
        <stp>Fill=true,Per=월</stp>
        <tr r="G96" s="2"/>
      </tp>
      <tp>
        <v>3.33</v>
        <stp/>
        <stp>P</stp>
        <stp>0</stp>
        <stp>IDX</stp>
        <stp>QGS11P</stp>
        <stp>등락률</stp>
        <stp>45539</stp>
        <stp>Fill=true,Per=월</stp>
        <tr r="G95" s="2"/>
      </tp>
      <tp>
        <v>-3.43</v>
        <stp/>
        <stp>P</stp>
        <stp>0</stp>
        <stp>IDX</stp>
        <stp>QGS16P</stp>
        <stp>등락률</stp>
        <stp>45539</stp>
        <stp>Fill=true,Per=월</stp>
        <tr r="G70" s="2"/>
      </tp>
      <tp>
        <v>-0.41</v>
        <stp/>
        <stp>P</stp>
        <stp>0</stp>
        <stp>IDX</stp>
        <stp>QGS17P</stp>
        <stp>등락률</stp>
        <stp>45539</stp>
        <stp>Fill=true,Per=월</stp>
        <tr r="G61" s="2"/>
      </tp>
      <tp>
        <v>-1.7</v>
        <stp/>
        <stp>P</stp>
        <stp>0</stp>
        <stp>IDX</stp>
        <stp>QGS14P</stp>
        <stp>등락률</stp>
        <stp>45539</stp>
        <stp>Fill=true,Per=월</stp>
        <tr r="G92" s="2"/>
      </tp>
      <tp>
        <v>0.62</v>
        <stp/>
        <stp>P</stp>
        <stp>0</stp>
        <stp>IDX</stp>
        <stp>QGS15P</stp>
        <stp>등락률</stp>
        <stp>45539</stp>
        <stp>Fill=true,Per=월</stp>
        <tr r="G87" s="2"/>
      </tp>
      <tp>
        <v>1.53</v>
        <stp/>
        <stp>P</stp>
        <stp>0</stp>
        <stp>IDX</stp>
        <stp>XGS13P</stp>
        <stp>등락률</stp>
        <stp>45539</stp>
        <stp>Fill=true,Per=월</stp>
        <tr r="G156" s="2"/>
      </tp>
      <tp>
        <v>-0.11</v>
        <stp/>
        <stp>P</stp>
        <stp>0</stp>
        <stp>IDX</stp>
        <stp>XGS12P</stp>
        <stp>등락률</stp>
        <stp>45539</stp>
        <stp>Fill=true,Per=월</stp>
        <tr r="G157" s="2"/>
      </tp>
      <tp>
        <v>-0.15</v>
        <stp/>
        <stp>P</stp>
        <stp>0</stp>
        <stp>IDX</stp>
        <stp>QGS18P</stp>
        <stp>등락률</stp>
        <stp>45539</stp>
        <stp>Fill=true,Per=월</stp>
        <tr r="G82" s="2"/>
      </tp>
      <tp>
        <v>4.2</v>
        <stp/>
        <stp>P</stp>
        <stp>0</stp>
        <stp>IDX</stp>
        <stp>XGS11P</stp>
        <stp>등락률</stp>
        <stp>45539</stp>
        <stp>Fill=true,Per=월</stp>
        <tr r="G158" s="2"/>
      </tp>
      <tp>
        <v>-1.53</v>
        <stp/>
        <stp>P</stp>
        <stp>0</stp>
        <stp>IDX</stp>
        <stp>QGS19P</stp>
        <stp>등락률</stp>
        <stp>45539</stp>
        <stp>Fill=true,Per=월</stp>
        <tr r="G86" s="2"/>
      </tp>
      <tp>
        <v>-0.14000000000000001</v>
        <stp/>
        <stp>P</stp>
        <stp>0</stp>
        <stp>IDX</stp>
        <stp>XGS10P</stp>
        <stp>등락률</stp>
        <stp>45539</stp>
        <stp>Fill=true,Per=월</stp>
        <tr r="G159" s="2"/>
      </tp>
      <tp>
        <v>1.03</v>
        <stp/>
        <stp>P</stp>
        <stp>0</stp>
        <stp>IDX</stp>
        <stp>XGS17P</stp>
        <stp>등락률</stp>
        <stp>45539</stp>
        <stp>Fill=true,Per=월</stp>
        <tr r="G152" s="2"/>
      </tp>
      <tp>
        <v>-1.55</v>
        <stp/>
        <stp>P</stp>
        <stp>0</stp>
        <stp>IDX</stp>
        <stp>XGS16P</stp>
        <stp>등락률</stp>
        <stp>45539</stp>
        <stp>Fill=true,Per=월</stp>
        <tr r="G153" s="2"/>
      </tp>
      <tp>
        <v>-2.12</v>
        <stp/>
        <stp>P</stp>
        <stp>0</stp>
        <stp>IDX</stp>
        <stp>XGS15P</stp>
        <stp>등락률</stp>
        <stp>45539</stp>
        <stp>Fill=true,Per=월</stp>
        <tr r="G154" s="2"/>
      </tp>
      <tp>
        <v>0.75</v>
        <stp/>
        <stp>P</stp>
        <stp>0</stp>
        <stp>IDX</stp>
        <stp>XGS14P</stp>
        <stp>등락률</stp>
        <stp>45539</stp>
        <stp>Fill=true,Per=월</stp>
        <tr r="G155" s="2"/>
      </tp>
      <tp>
        <v>-1.06</v>
        <stp/>
        <stp>P</stp>
        <stp>0</stp>
        <stp>IDX</stp>
        <stp>KGS18P</stp>
        <stp>등락률</stp>
        <stp>45539</stp>
        <stp>Fill=true,Per=월</stp>
        <tr r="G19" s="2"/>
      </tp>
      <tp>
        <v>-4.1900000000000004</v>
        <stp/>
        <stp>P</stp>
        <stp>0</stp>
        <stp>IDX</stp>
        <stp>KGS19P</stp>
        <stp>등락률</stp>
        <stp>45539</stp>
        <stp>Fill=true,Per=월</stp>
        <tr r="G91" s="2"/>
      </tp>
      <tp>
        <v>-3.64</v>
        <stp/>
        <stp>P</stp>
        <stp>0</stp>
        <stp>IDX</stp>
        <stp>KGS10P</stp>
        <stp>등락률</stp>
        <stp>45539</stp>
        <stp>Fill=true,Per=월</stp>
        <tr r="G33" s="2"/>
      </tp>
      <tp>
        <v>2.4500000000000002</v>
        <stp/>
        <stp>P</stp>
        <stp>0</stp>
        <stp>IDX</stp>
        <stp>KGS11P</stp>
        <stp>등락률</stp>
        <stp>45539</stp>
        <stp>Fill=true,Per=월</stp>
        <tr r="G62" s="2"/>
      </tp>
      <tp>
        <v>-0.51</v>
        <stp/>
        <stp>P</stp>
        <stp>0</stp>
        <stp>IDX</stp>
        <stp>KGS12P</stp>
        <stp>등락률</stp>
        <stp>45539</stp>
        <stp>Fill=true,Per=월</stp>
        <tr r="G83" s="2"/>
      </tp>
      <tp>
        <v>-0.47</v>
        <stp/>
        <stp>P</stp>
        <stp>0</stp>
        <stp>IDX</stp>
        <stp>KGS13P</stp>
        <stp>등락률</stp>
        <stp>45539</stp>
        <stp>Fill=true,Per=월</stp>
        <tr r="G74" s="2"/>
      </tp>
      <tp>
        <v>1.92</v>
        <stp/>
        <stp>P</stp>
        <stp>0</stp>
        <stp>IDX</stp>
        <stp>KGS14P</stp>
        <stp>등락률</stp>
        <stp>45539</stp>
        <stp>Fill=true,Per=월</stp>
        <tr r="G27" s="2"/>
      </tp>
      <tp>
        <v>1.78</v>
        <stp/>
        <stp>P</stp>
        <stp>0</stp>
        <stp>IDX</stp>
        <stp>KGS16P</stp>
        <stp>등락률</stp>
        <stp>45539</stp>
        <stp>Fill=true,Per=월</stp>
        <tr r="G79" s="2"/>
      </tp>
      <tp>
        <v>4.74</v>
        <stp/>
        <stp>P</stp>
        <stp>0</stp>
        <stp>IDX</stp>
        <stp>KGS17P</stp>
        <stp>등락률</stp>
        <stp>45539</stp>
        <stp>Fill=true,Per=월</stp>
        <tr r="G67" s="2"/>
      </tp>
      <tp>
        <v>-1.33</v>
        <stp/>
        <stp>P</stp>
        <stp>0</stp>
        <stp>IDX</stp>
        <stp>QGS02P</stp>
        <stp>등락률</stp>
        <stp>45539</stp>
        <stp>Fill=true,Per=월</stp>
        <tr r="G29" s="2"/>
      </tp>
      <tp>
        <v>-0.93</v>
        <stp/>
        <stp>P</stp>
        <stp>0</stp>
        <stp>IDX</stp>
        <stp>QGS03P</stp>
        <stp>등락률</stp>
        <stp>45539</stp>
        <stp>Fill=true,Per=월</stp>
        <tr r="G93" s="2"/>
      </tp>
      <tp>
        <v>1.96</v>
        <stp/>
        <stp>P</stp>
        <stp>0</stp>
        <stp>IDX</stp>
        <stp>XGS09P</stp>
        <stp>등락률</stp>
        <stp>45539</stp>
        <stp>Fill=true,Per=월</stp>
        <tr r="G160" s="2"/>
      </tp>
      <tp>
        <v>-0.61</v>
        <stp/>
        <stp>P</stp>
        <stp>0</stp>
        <stp>IDX</stp>
        <stp>QGS01P</stp>
        <stp>등락률</stp>
        <stp>45539</stp>
        <stp>Fill=true,Per=월</stp>
        <tr r="G69" s="2"/>
      </tp>
      <tp>
        <v>0.12</v>
        <stp/>
        <stp>P</stp>
        <stp>0</stp>
        <stp>IDX</stp>
        <stp>XGS08P</stp>
        <stp>등락률</stp>
        <stp>45539</stp>
        <stp>Fill=true,Per=월</stp>
        <tr r="G161" s="2"/>
      </tp>
      <tp>
        <v>1.1399999999999999</v>
        <stp/>
        <stp>P</stp>
        <stp>0</stp>
        <stp>IDX</stp>
        <stp>QGS04P</stp>
        <stp>등락률</stp>
        <stp>45539</stp>
        <stp>Fill=true,Per=월</stp>
        <tr r="G84" s="2"/>
      </tp>
      <tp>
        <v>2.4700000000000002</v>
        <stp/>
        <stp>P</stp>
        <stp>0</stp>
        <stp>IDX</stp>
        <stp>QGS05P</stp>
        <stp>등락률</stp>
        <stp>45539</stp>
        <stp>Fill=true,Per=월</stp>
        <tr r="G80" s="2"/>
      </tp>
      <tp>
        <v>-1.94</v>
        <stp/>
        <stp>P</stp>
        <stp>0</stp>
        <stp>IDX</stp>
        <stp>XGS03P</stp>
        <stp>등락률</stp>
        <stp>45539</stp>
        <stp>Fill=true,Per=월</stp>
        <tr r="G166" s="2"/>
      </tp>
      <tp>
        <v>-3.46</v>
        <stp/>
        <stp>P</stp>
        <stp>0</stp>
        <stp>IDX</stp>
        <stp>XGS02P</stp>
        <stp>등락률</stp>
        <stp>45539</stp>
        <stp>Fill=true,Per=월</stp>
        <tr r="G167" s="2"/>
      </tp>
      <tp>
        <v>-4.12</v>
        <stp/>
        <stp>P</stp>
        <stp>0</stp>
        <stp>IDX</stp>
        <stp>XGS01P</stp>
        <stp>등락률</stp>
        <stp>45539</stp>
        <stp>Fill=true,Per=월</stp>
        <tr r="G168" s="2"/>
      </tp>
      <tp>
        <v>-0.77</v>
        <stp/>
        <stp>P</stp>
        <stp>0</stp>
        <stp>IDX</stp>
        <stp>QGS09P</stp>
        <stp>등락률</stp>
        <stp>45539</stp>
        <stp>Fill=true,Per=월</stp>
        <tr r="G90" s="2"/>
      </tp>
      <tp>
        <v>2.46</v>
        <stp/>
        <stp>P</stp>
        <stp>0</stp>
        <stp>IDX</stp>
        <stp>XGS07P</stp>
        <stp>등락률</stp>
        <stp>45539</stp>
        <stp>Fill=true,Per=월</stp>
        <tr r="G162" s="2"/>
      </tp>
      <tp>
        <v>3.65</v>
        <stp/>
        <stp>P</stp>
        <stp>0</stp>
        <stp>IDX</stp>
        <stp>XGS06P</stp>
        <stp>등락률</stp>
        <stp>45539</stp>
        <stp>Fill=true,Per=월</stp>
        <tr r="G163" s="2"/>
      </tp>
      <tp>
        <v>1.35</v>
        <stp/>
        <stp>P</stp>
        <stp>0</stp>
        <stp>IDX</stp>
        <stp>XGS05P</stp>
        <stp>등락률</stp>
        <stp>45539</stp>
        <stp>Fill=true,Per=월</stp>
        <tr r="G164" s="2"/>
      </tp>
      <tp>
        <v>1.4</v>
        <stp/>
        <stp>P</stp>
        <stp>0</stp>
        <stp>IDX</stp>
        <stp>XGS04P</stp>
        <stp>등락률</stp>
        <stp>45539</stp>
        <stp>Fill=true,Per=월</stp>
        <tr r="G165" s="2"/>
      </tp>
      <tp>
        <v>-2.0699999999999998</v>
        <stp/>
        <stp>P</stp>
        <stp>0</stp>
        <stp>IDX</stp>
        <stp>KGS08P</stp>
        <stp>등락률</stp>
        <stp>45539</stp>
        <stp>Fill=true,Per=월</stp>
        <tr r="G66" s="2"/>
      </tp>
      <tp>
        <v>-1</v>
        <stp/>
        <stp>P</stp>
        <stp>0</stp>
        <stp>IDX</stp>
        <stp>KGS09P</stp>
        <stp>등락률</stp>
        <stp>45539</stp>
        <stp>Fill=true,Per=월</stp>
        <tr r="G22" s="2"/>
      </tp>
      <tp>
        <v>-0.97</v>
        <stp/>
        <stp>P</stp>
        <stp>0</stp>
        <stp>IDX</stp>
        <stp>GGS01P</stp>
        <stp>등락률</stp>
        <stp>45539</stp>
        <stp>Fill=true,Per=월</stp>
        <tr r="G339" s="2"/>
      </tp>
      <tp>
        <v>-0.25</v>
        <stp/>
        <stp>P</stp>
        <stp>0</stp>
        <stp>IDX</stp>
        <stp>KGS01P</stp>
        <stp>등락률</stp>
        <stp>45539</stp>
        <stp>Fill=true,Per=월</stp>
        <tr r="G75" s="2"/>
      </tp>
      <tp>
        <v>0.51</v>
        <stp/>
        <stp>P</stp>
        <stp>0</stp>
        <stp>IDX</stp>
        <stp>KGS02P</stp>
        <stp>등락률</stp>
        <stp>45539</stp>
        <stp>Fill=true,Per=월</stp>
        <tr r="G88" s="2"/>
      </tp>
      <tp>
        <v>-0.08</v>
        <stp/>
        <stp>P</stp>
        <stp>0</stp>
        <stp>IDX</stp>
        <stp>KGS03P</stp>
        <stp>등락률</stp>
        <stp>45539</stp>
        <stp>Fill=true,Per=월</stp>
        <tr r="G94" s="2"/>
      </tp>
      <tp>
        <v>1.61</v>
        <stp/>
        <stp>P</stp>
        <stp>0</stp>
        <stp>IDX</stp>
        <stp>KGS04P</stp>
        <stp>등락률</stp>
        <stp>45539</stp>
        <stp>Fill=true,Per=월</stp>
        <tr r="G46" s="2"/>
      </tp>
      <tp>
        <v>-2.04</v>
        <stp/>
        <stp>P</stp>
        <stp>0</stp>
        <stp>IDX</stp>
        <stp>KGS05P</stp>
        <stp>등락률</stp>
        <stp>45539</stp>
        <stp>Fill=true,Per=월</stp>
        <tr r="G49" s="2"/>
      </tp>
      <tp>
        <v>-0.64</v>
        <stp/>
        <stp>P</stp>
        <stp>0</stp>
        <stp>IDX</stp>
        <stp>KGS06P</stp>
        <stp>등락률</stp>
        <stp>45539</stp>
        <stp>Fill=true,Per=월</stp>
        <tr r="G89" s="2"/>
      </tp>
      <tp>
        <v>4</v>
        <stp/>
        <stp>P</stp>
        <stp>0</stp>
        <stp>IDX</stp>
        <stp>KGS07P</stp>
        <stp>등락률</stp>
        <stp>45539</stp>
        <stp>Fill=true,Per=월</stp>
        <tr r="G64" s="2"/>
      </tp>
      <tp>
        <v>-3.23</v>
        <stp/>
        <stp>P</stp>
        <stp>0</stp>
        <stp>IDX</stp>
        <stp>QGS33P</stp>
        <stp>등락률</stp>
        <stp>45539</stp>
        <stp>Fill=true,Per=월</stp>
        <tr r="G65" s="2"/>
      </tp>
      <tp>
        <v>-0.42</v>
        <stp/>
        <stp>P</stp>
        <stp>0</stp>
        <stp>IDX</stp>
        <stp>QGS31P</stp>
        <stp>등락률</stp>
        <stp>45539</stp>
        <stp>Fill=true,Per=월</stp>
        <tr r="G98" s="2"/>
      </tp>
      <tp>
        <v>-1.52</v>
        <stp/>
        <stp>P</stp>
        <stp>0</stp>
        <stp>IDX</stp>
        <stp>QGS34P</stp>
        <stp>등락률</stp>
        <stp>45539</stp>
        <stp>Fill=true,Per=월</stp>
        <tr r="G85" s="2"/>
      </tp>
      <tp>
        <v>1.22</v>
        <stp/>
        <stp>P</stp>
        <stp>0</stp>
        <stp>IDX</stp>
        <stp>QGS20P</stp>
        <stp>등락률</stp>
        <stp>45539</stp>
        <stp>Fill=true,Per=월</stp>
        <tr r="G97" s="2"/>
      </tp>
      <tp>
        <v>0.9</v>
        <stp/>
        <stp>P</stp>
        <stp>0</stp>
        <stp>IDX</stp>
        <stp>KGS20P</stp>
        <stp>등락률</stp>
        <stp>45539</stp>
        <stp>Fill=true,Per=월</stp>
        <tr r="G81" s="2"/>
      </tp>
      <tp>
        <v>2.96</v>
        <stp/>
        <stp>P</stp>
        <stp>0</stp>
        <stp>IDX</stp>
        <stp>KGS21P</stp>
        <stp>등락률</stp>
        <stp>45539</stp>
        <stp>Fill=true,Per=월</stp>
        <tr r="G78" s="2"/>
      </tp>
      <tp>
        <v>-0.71</v>
        <stp/>
        <stp>P</stp>
        <stp>0</stp>
        <stp>IDX</stp>
        <stp>KGS22P</stp>
        <stp>등락률</stp>
        <stp>45539</stp>
        <stp>Fill=true,Per=월</stp>
        <tr r="G44" s="2"/>
      </tp>
      <tp>
        <v>-3.16</v>
        <stp/>
        <stp>P</stp>
        <stp>0</stp>
        <stp>IDX</stp>
        <stp>XGT13P</stp>
        <stp>등락률</stp>
        <stp>45539</stp>
        <stp>Fill=true,Per=월</stp>
        <tr r="G139" s="2"/>
      </tp>
      <tp>
        <v>0.84</v>
        <stp/>
        <stp>P</stp>
        <stp>0</stp>
        <stp>IDX</stp>
        <stp>XGT12P</stp>
        <stp>등락률</stp>
        <stp>45539</stp>
        <stp>Fill=true,Per=월</stp>
        <tr r="G140" s="2"/>
      </tp>
      <tp>
        <v>-3.75</v>
        <stp/>
        <stp>P</stp>
        <stp>0</stp>
        <stp>IDX</stp>
        <stp>XGT11P</stp>
        <stp>등락률</stp>
        <stp>45539</stp>
        <stp>Fill=true,Per=월</stp>
        <tr r="G141" s="2"/>
      </tp>
      <tp>
        <v>-3.33</v>
        <stp/>
        <stp>P</stp>
        <stp>0</stp>
        <stp>IDX</stp>
        <stp>XGT10P</stp>
        <stp>등락률</stp>
        <stp>45539</stp>
        <stp>Fill=true,Per=월</stp>
        <tr r="G143" s="2"/>
      </tp>
      <tp>
        <v>-0.15</v>
        <stp/>
        <stp>P</stp>
        <stp>0</stp>
        <stp>IDX</stp>
        <stp>XGT15P</stp>
        <stp>등락률</stp>
        <stp>45539</stp>
        <stp>Fill=true,Per=월</stp>
        <tr r="G137" s="2"/>
      </tp>
      <tp>
        <v>-1.0900000000000001</v>
        <stp/>
        <stp>P</stp>
        <stp>0</stp>
        <stp>IDX</stp>
        <stp>XGT14P</stp>
        <stp>등락률</stp>
        <stp>45539</stp>
        <stp>Fill=true,Per=월</stp>
        <tr r="G138" s="2"/>
      </tp>
      <tp>
        <v>-0.01</v>
        <stp/>
        <stp>P</stp>
        <stp>0</stp>
        <stp>IDX</stp>
        <stp>XGT09P</stp>
        <stp>등락률</stp>
        <stp>45539</stp>
        <stp>Fill=true,Per=월</stp>
        <tr r="G144" s="2"/>
      </tp>
      <tp>
        <v>0.42</v>
        <stp/>
        <stp>P</stp>
        <stp>0</stp>
        <stp>IDX</stp>
        <stp>XGT08P</stp>
        <stp>등락률</stp>
        <stp>45539</stp>
        <stp>Fill=true,Per=월</stp>
        <tr r="G146" s="2"/>
      </tp>
      <tp>
        <v>-2.08</v>
        <stp/>
        <stp>P</stp>
        <stp>0</stp>
        <stp>IDX</stp>
        <stp>XGT03P</stp>
        <stp>등락률</stp>
        <stp>45539</stp>
        <stp>Fill=true,Per=월</stp>
        <tr r="G45" s="2"/>
      </tp>
      <tp>
        <v>4.78</v>
        <stp/>
        <stp>P</stp>
        <stp>0</stp>
        <stp>IDX</stp>
        <stp>XGT02P</stp>
        <stp>등락률</stp>
        <stp>45539</stp>
        <stp>Fill=true,Per=월</stp>
        <tr r="G40" s="2"/>
      </tp>
      <tp>
        <v>-1.0900000000000001</v>
        <stp/>
        <stp>P</stp>
        <stp>0</stp>
        <stp>IDX</stp>
        <stp>XGT01P</stp>
        <stp>등락률</stp>
        <stp>45539</stp>
        <stp>Fill=true,Per=월</stp>
        <tr r="G28" s="2"/>
      </tp>
      <tp>
        <v>-1.43</v>
        <stp/>
        <stp>P</stp>
        <stp>0</stp>
        <stp>IDX</stp>
        <stp>XGT07P</stp>
        <stp>등락률</stp>
        <stp>45539</stp>
        <stp>Fill=true,Per=월</stp>
        <tr r="G147" s="2"/>
      </tp>
      <tp>
        <v>-1.01</v>
        <stp/>
        <stp>P</stp>
        <stp>0</stp>
        <stp>IDX</stp>
        <stp>XGT06P</stp>
        <stp>등락률</stp>
        <stp>45539</stp>
        <stp>Fill=true,Per=월</stp>
        <tr r="G149" s="2"/>
      </tp>
      <tp>
        <v>-2.2999999999999998</v>
        <stp/>
        <stp>P</stp>
        <stp>0</stp>
        <stp>IDX</stp>
        <stp>XGT05P</stp>
        <stp>등락률</stp>
        <stp>45539</stp>
        <stp>Fill=true,Per=월</stp>
        <tr r="G150" s="2"/>
      </tp>
      <tp>
        <v>-1.93</v>
        <stp/>
        <stp>P</stp>
        <stp>0</stp>
        <stp>IDX</stp>
        <stp>XGT04P</stp>
        <stp>등락률</stp>
        <stp>45539</stp>
        <stp>Fill=true,Per=월</stp>
        <tr r="G151" s="2"/>
      </tp>
      <tp>
        <v>-1.07</v>
        <stp/>
        <stp>P</stp>
        <stp>0</stp>
        <stp>IDX</stp>
        <stp>GGT01P</stp>
        <stp>등락률</stp>
        <stp>45539</stp>
        <stp>Fill=true,Per=월</stp>
        <tr r="G340" s="2"/>
      </tp>
      <tp>
        <v>-</v>
        <stp/>
        <stp>P</stp>
        <stp>0</stp>
        <stp>IDX</stp>
        <stp>GGT02P</stp>
        <stp>등락률</stp>
        <stp>45539</stp>
        <stp>Fill=true,Per=월</stp>
        <tr r="G341" s="2"/>
      </tp>
      <tp>
        <v>-3.19</v>
        <stp/>
        <stp>P</stp>
        <stp>0</stp>
        <stp>IDX</stp>
        <stp>GGT03P</stp>
        <stp>등락률</stp>
        <stp>45539</stp>
        <stp>Fill=true,Per=월</stp>
        <tr r="G342" s="2"/>
      </tp>
      <tp>
        <v>-0.36</v>
        <stp/>
        <stp>P</stp>
        <stp>0</stp>
        <stp>IDX</stp>
        <stp>KGT01P</stp>
        <stp>등락률</stp>
        <stp>45539</stp>
        <stp>Fill=true,Per=월</stp>
        <tr r="G117" s="2"/>
      </tp>
      <tp>
        <v>-0.43</v>
        <stp/>
        <stp>P</stp>
        <stp>0</stp>
        <stp>IDX</stp>
        <stp>XGV02P</stp>
        <stp>등락률</stp>
        <stp>45539</stp>
        <stp>Fill=true,Per=월</stp>
        <tr r="G135" s="2"/>
      </tp>
      <tp>
        <v>-0.4</v>
        <stp/>
        <stp>P</stp>
        <stp>0</stp>
        <stp>IDX</stp>
        <stp>XGV01P</stp>
        <stp>등락률</stp>
        <stp>45539</stp>
        <stp>Fill=true,Per=월</stp>
        <tr r="G136" s="2"/>
      </tp>
      <tp>
        <v>0.32</v>
        <stp/>
        <stp>P</stp>
        <stp>0</stp>
        <stp>IDX</stp>
        <stp>XGW01P</stp>
        <stp>등락률</stp>
        <stp>45539</stp>
        <stp>Fill=true,Per=월</stp>
        <tr r="G14" s="2"/>
      </tp>
      <tp>
        <v>-0.04</v>
        <stp/>
        <stp>P</stp>
        <stp>0</stp>
        <stp>IDX</stp>
        <stp>TGX01P</stp>
        <stp>등락률</stp>
        <stp>45539</stp>
        <stp>Fill=true,Per=월</stp>
        <tr r="G192" s="2"/>
      </tp>
      <tp>
        <v>-2.2200000000000002</v>
        <stp/>
        <stp>P</stp>
        <stp>0</stp>
        <stp>IDX</stp>
        <stp>XGX03P</stp>
        <stp>등락률</stp>
        <stp>45539</stp>
        <stp>Fill=true,Per=월</stp>
        <tr r="G132" s="2"/>
      </tp>
      <tp>
        <v>-1.86</v>
        <stp/>
        <stp>P</stp>
        <stp>0</stp>
        <stp>IDX</stp>
        <stp>XGX02P</stp>
        <stp>등락률</stp>
        <stp>45539</stp>
        <stp>Fill=true,Per=월</stp>
        <tr r="G133" s="2"/>
      </tp>
      <tp>
        <v>0.85</v>
        <stp/>
        <stp>P</stp>
        <stp>0</stp>
        <stp>IDX</stp>
        <stp>XGX01P</stp>
        <stp>등락률</stp>
        <stp>45539</stp>
        <stp>Fill=true,Per=월</stp>
        <tr r="G134" s="2"/>
      </tp>
      <tp>
        <v>-6.9</v>
        <stp/>
        <stp>P</stp>
        <stp>0</stp>
        <stp>IDX</stp>
        <stp>XGX05P</stp>
        <stp>등락률</stp>
        <stp>45539</stp>
        <stp>Fill=true,Per=월</stp>
        <tr r="G130" s="2"/>
      </tp>
      <tp>
        <v>9.3699999999999992</v>
        <stp/>
        <stp>P</stp>
        <stp>0</stp>
        <stp>IDX</stp>
        <stp>XGX04P</stp>
        <stp>등락률</stp>
        <stp>45539</stp>
        <stp>Fill=true,Per=월</stp>
        <tr r="G131" s="2"/>
      </tp>
      <tp>
        <v>-0.77</v>
        <stp/>
        <stp>P</stp>
        <stp>0</stp>
        <stp>IDX</stp>
        <stp>KGX01P</stp>
        <stp>등락률</stp>
        <stp>45539</stp>
        <stp>Fill=true,Per=월</stp>
        <tr r="G118" s="2"/>
      </tp>
      <tp>
        <v>-1.55</v>
        <stp/>
        <stp>P</stp>
        <stp>0</stp>
        <stp>IDX</stp>
        <stp>QGZ02P</stp>
        <stp>등락률</stp>
        <stp>45539</stp>
        <stp>Fill=true,Per=월</stp>
        <tr r="G53" s="2"/>
      </tp>
      <tp>
        <v>-0.68</v>
        <stp/>
        <stp>P</stp>
        <stp>0</stp>
        <stp>IDX</stp>
        <stp>QGZ03P</stp>
        <stp>등락률</stp>
        <stp>45539</stp>
        <stp>Fill=true,Per=월</stp>
        <tr r="G52" s="2"/>
      </tp>
      <tp>
        <v>-0.92</v>
        <stp/>
        <stp>P</stp>
        <stp>0</stp>
        <stp>IDX</stp>
        <stp>QGZ01P</stp>
        <stp>등락률</stp>
        <stp>45539</stp>
        <stp>Fill=true,Per=월</stp>
        <tr r="G41" s="2"/>
      </tp>
      <tp>
        <v>-0.42</v>
        <stp/>
        <stp>P</stp>
        <stp>0</stp>
        <stp>IDX</stp>
        <stp>KGZ01P</stp>
        <stp>등락률</stp>
        <stp>45539</stp>
        <stp>Fill=true,Per=월</stp>
        <tr r="G16" s="2"/>
      </tp>
      <tp>
        <v>-0.28000000000000003</v>
        <stp/>
        <stp>P</stp>
        <stp>0</stp>
        <stp>IDX</stp>
        <stp>KGZ02P</stp>
        <stp>등락률</stp>
        <stp>45539</stp>
        <stp>Fill=true,Per=월</stp>
        <tr r="G30" s="2"/>
      </tp>
      <tp>
        <v>0.02</v>
        <stp/>
        <stp>P</stp>
        <stp>0</stp>
        <stp>IDX</stp>
        <stp>KGZ03P</stp>
        <stp>등락률</stp>
        <stp>45539</stp>
        <stp>Fill=true,Per=월</stp>
        <tr r="G57" s="2"/>
      </tp>
      <tp>
        <v>2.25</v>
        <stp/>
        <stp>P</stp>
        <stp>0</stp>
        <stp>IDX</stp>
        <stp>OG914P</stp>
        <stp>등락률</stp>
        <stp>45539</stp>
        <stp>Fill=true,Per=월</stp>
        <tr r="G205" s="2"/>
      </tp>
      <tp>
        <v>0.99</v>
        <stp/>
        <stp>P</stp>
        <stp>0</stp>
        <stp>IDX</stp>
        <stp>OG912P</stp>
        <stp>등락률</stp>
        <stp>45539</stp>
        <stp>Fill=true,Per=월</stp>
        <tr r="G207" s="2"/>
      </tp>
      <tp>
        <v>-2.65</v>
        <stp/>
        <stp>P</stp>
        <stp>0</stp>
        <stp>IDX</stp>
        <stp>OG913P</stp>
        <stp>등락률</stp>
        <stp>45539</stp>
        <stp>Fill=true,Per=월</stp>
        <tr r="G206" s="2"/>
      </tp>
      <tp>
        <v>-0.97</v>
        <stp/>
        <stp>P</stp>
        <stp>0</stp>
        <stp>IDX</stp>
        <stp>XG903P</stp>
        <stp>등락률</stp>
        <stp>45539</stp>
        <stp>Fill=true,Per=월</stp>
        <tr r="G178" s="2"/>
      </tp>
      <tp>
        <v>-0.85</v>
        <stp/>
        <stp>P</stp>
        <stp>0</stp>
        <stp>IDX</stp>
        <stp>XG902P</stp>
        <stp>등락률</stp>
        <stp>45539</stp>
        <stp>Fill=true,Per=월</stp>
        <tr r="G179" s="2"/>
      </tp>
      <tp>
        <v>-0.91</v>
        <stp/>
        <stp>P</stp>
        <stp>0</stp>
        <stp>IDX</stp>
        <stp>XG901P</stp>
        <stp>등락률</stp>
        <stp>45539</stp>
        <stp>Fill=true,Per=월</stp>
        <tr r="G180" s="2"/>
      </tp>
      <tp>
        <v>2</v>
        <stp/>
        <stp>P</stp>
        <stp>0</stp>
        <stp>IDX</stp>
        <stp>XG904P</stp>
        <stp>등락률</stp>
        <stp>45539</stp>
        <stp>Fill=true,Per=월</stp>
        <tr r="G177" s="2"/>
      </tp>
      <tp>
        <v>5.16</v>
        <stp/>
        <stp>P</stp>
        <stp>0</stp>
        <stp>IDX</stp>
        <stp>FG901P</stp>
        <stp>등락률</stp>
        <stp>45539</stp>
        <stp>Fill=true,Per=월</stp>
        <tr r="G286" s="2"/>
      </tp>
      <tp>
        <v>-0.44</v>
        <stp/>
        <stp>P</stp>
        <stp>0</stp>
        <stp>IDX</stp>
        <stp>OG909P</stp>
        <stp>등락률</stp>
        <stp>45539</stp>
        <stp>Fill=true,Per=월</stp>
        <tr r="G208" s="2"/>
      </tp>
      <tp>
        <v>0.24</v>
        <stp/>
        <stp>P</stp>
        <stp>0</stp>
        <stp>IDX</stp>
        <stp>MGA16T</stp>
        <stp>등락률</stp>
        <stp>45539</stp>
        <stp>Fill=true,Per=월</stp>
        <tr r="G106" s="2"/>
      </tp>
      <tp>
        <v>-0.47</v>
        <stp/>
        <stp>P</stp>
        <stp>0</stp>
        <stp>IDX</stp>
        <stp>MGA13T</stp>
        <stp>등락률</stp>
        <stp>45539</stp>
        <stp>Fill=true,Per=월</stp>
        <tr r="G99" s="2"/>
      </tp>
      <tp>
        <v>7.0000000000000007E-2</v>
        <stp/>
        <stp>P</stp>
        <stp>0</stp>
        <stp>IDX</stp>
        <stp>FGA04T</stp>
        <stp>등락률</stp>
        <stp>45539</stp>
        <stp>Fill=true,Per=월</stp>
        <tr r="G288" s="2"/>
      </tp>
      <tp>
        <v>-0.04</v>
        <stp/>
        <stp>P</stp>
        <stp>0</stp>
        <stp>IDX</stp>
        <stp>FGA03T</stp>
        <stp>등락률</stp>
        <stp>45539</stp>
        <stp>Fill=true,Per=월</stp>
        <tr r="G287" s="2"/>
      </tp>
      <tp>
        <v>1.18</v>
        <stp/>
        <stp>P</stp>
        <stp>0</stp>
        <stp>IDX</stp>
        <stp>KGD02T</stp>
        <stp>등락률</stp>
        <stp>45539</stp>
        <stp>Fill=true,Per=월</stp>
        <tr r="G113" s="2"/>
      </tp>
      <tp>
        <v>1.27</v>
        <stp/>
        <stp>P</stp>
        <stp>0</stp>
        <stp>IDX</stp>
        <stp>KGD03T</stp>
        <stp>등락률</stp>
        <stp>45539</stp>
        <stp>Fill=true,Per=월</stp>
        <tr r="G115" s="2"/>
      </tp>
      <tp>
        <v>-0.96</v>
        <stp/>
        <stp>P</stp>
        <stp>0</stp>
        <stp>IDX</stp>
        <stp>QGG01T</stp>
        <stp>등락률</stp>
        <stp>45539</stp>
        <stp>Fill=true,Per=월</stp>
        <tr r="G128" s="2"/>
      </tp>
      <tp>
        <v>-0.37</v>
        <stp/>
        <stp>P</stp>
        <stp>0</stp>
        <stp>IDX</stp>
        <stp>KGG01T</stp>
        <stp>등락률</stp>
        <stp>45539</stp>
        <stp>Fill=true,Per=월</stp>
        <tr r="G116" s="2"/>
      </tp>
      <tp>
        <v>-3.33</v>
        <stp/>
        <stp>P</stp>
        <stp>0</stp>
        <stp>IDX</stp>
        <stp>XGT10T</stp>
        <stp>등락률</stp>
        <stp>45539</stp>
        <stp>Fill=true,Per=월</stp>
        <tr r="G142" s="2"/>
      </tp>
      <tp>
        <v>0.42</v>
        <stp/>
        <stp>P</stp>
        <stp>0</stp>
        <stp>IDX</stp>
        <stp>XGT08T</stp>
        <stp>등락률</stp>
        <stp>45539</stp>
        <stp>Fill=true,Per=월</stp>
        <tr r="G145" s="2"/>
      </tp>
      <tp>
        <v>-1.02</v>
        <stp/>
        <stp>P</stp>
        <stp>0</stp>
        <stp>IDX</stp>
        <stp>XGT06T</stp>
        <stp>등락률</stp>
        <stp>45539</stp>
        <stp>Fill=true,Per=월</stp>
        <tr r="G148" s="2"/>
      </tp>
      <tp>
        <v>-2.71</v>
        <stp/>
        <stp>P</stp>
        <stp>0</stp>
        <stp>IDX</stp>
        <stp>FGX04T</stp>
        <stp>등락률</stp>
        <stp>45539</stp>
        <stp>Fill=true,Per=월</stp>
        <tr r="G296" s="2"/>
      </tp>
      <tp>
        <v>-5.22</v>
        <stp/>
        <stp>P</stp>
        <stp>0</stp>
        <stp>IDX</stp>
        <stp>FGX01T</stp>
        <stp>등락률</stp>
        <stp>45539</stp>
        <stp>Fill=true,Per=월</stp>
        <tr r="G293" s="2"/>
      </tp>
      <tp>
        <v>-1.34</v>
        <stp/>
        <stp>P</stp>
        <stp>0</stp>
        <stp>IDX</stp>
        <stp>FGX03T</stp>
        <stp>등락률</stp>
        <stp>45539</stp>
        <stp>Fill=true,Per=월</stp>
        <tr r="G295" s="2"/>
      </tp>
      <tp>
        <v>2.77</v>
        <stp/>
        <stp>P</stp>
        <stp>0</stp>
        <stp>IDX</stp>
        <stp>FGX02T</stp>
        <stp>등락률</stp>
        <stp>45539</stp>
        <stp>Fill=true,Per=월</stp>
        <tr r="G294" s="2"/>
      </tp>
      <tp>
        <v>436.92</v>
        <stp/>
        <stp>P</stp>
        <stp>0</stp>
        <stp>IDX</stp>
        <stp>K2G08N</stp>
        <stp>현재가</stp>
        <stp>45539</stp>
        <stp>Fill=true,Per=월</stp>
        <tr r="E357" s="2"/>
      </tp>
      <tp>
        <v>441.12</v>
        <stp/>
        <stp>P</stp>
        <stp>0</stp>
        <stp>IDX</stp>
        <stp>K2G06N</stp>
        <stp>현재가</stp>
        <stp>45539</stp>
        <stp>Fill=true,Per=월</stp>
        <tr r="E354" s="2"/>
      </tp>
      <tp>
        <v>441.51</v>
        <stp/>
        <stp>P</stp>
        <stp>0</stp>
        <stp>IDX</stp>
        <stp>K2G01N</stp>
        <stp>현재가</stp>
        <stp>45539</stp>
        <stp>Fill=true,Per=월</stp>
        <tr r="E350" s="2"/>
      </tp>
      <tp>
        <v>424.18</v>
        <stp/>
        <stp>P</stp>
        <stp>0</stp>
        <stp>IDX</stp>
        <stp>K2G10N</stp>
        <stp>현재가</stp>
        <stp>45539</stp>
        <stp>Fill=true,Per=월</stp>
        <tr r="E360" s="2"/>
      </tp>
      <tp>
        <v>352.87</v>
        <stp/>
        <stp>P</stp>
        <stp>0</stp>
        <stp>IDX</stp>
        <stp>K2D03N</stp>
        <stp>현재가</stp>
        <stp>45539</stp>
        <stp>Fill=true,Per=월</stp>
        <tr r="E347" s="2"/>
      </tp>
      <tp>
        <v>1832.42</v>
        <stp/>
        <stp>P</stp>
        <stp>0</stp>
        <stp>IDX</stp>
        <stp>K2X12N</stp>
        <stp>현재가</stp>
        <stp>45539</stp>
        <stp>Fill=true,Per=월</stp>
        <tr r="E381" s="2"/>
      </tp>
      <tp>
        <v>-8.0999999999999091</v>
        <stp/>
        <stp>P</stp>
        <stp>0</stp>
        <stp>IDX</stp>
        <stp>KGZ02P</stp>
        <stp>전일대비</stp>
        <stp>45539</stp>
        <stp>Fill=true,Per=월</stp>
        <tr r="F30" s="2"/>
      </tp>
      <tp>
        <v>0.53999999999996362</v>
        <stp/>
        <stp>P</stp>
        <stp>0</stp>
        <stp>IDX</stp>
        <stp>KGZ03P</stp>
        <stp>전일대비</stp>
        <stp>45539</stp>
        <stp>Fill=true,Per=월</stp>
        <tr r="F57" s="2"/>
      </tp>
      <tp>
        <v>-11.130000000000109</v>
        <stp/>
        <stp>P</stp>
        <stp>0</stp>
        <stp>IDX</stp>
        <stp>KGZ01P</stp>
        <stp>전일대비</stp>
        <stp>45539</stp>
        <stp>Fill=true,Per=월</stp>
        <tr r="F16" s="2"/>
      </tp>
      <tp>
        <v>-6.5499999999999545</v>
        <stp/>
        <stp>P</stp>
        <stp>0</stp>
        <stp>IDX</stp>
        <stp>K2Z01P</stp>
        <stp>전일대비</stp>
        <stp>45539</stp>
        <stp>Fill=true,Per=월</stp>
        <tr r="F382" s="2"/>
      </tp>
      <tp>
        <v>-17.090000000000146</v>
        <stp/>
        <stp>P</stp>
        <stp>0</stp>
        <stp>IDX</stp>
        <stp>QGZ01P</stp>
        <stp>전일대비</stp>
        <stp>45539</stp>
        <stp>Fill=true,Per=월</stp>
        <tr r="F41" s="2"/>
      </tp>
      <tp>
        <v>-10.019999999999982</v>
        <stp/>
        <stp>P</stp>
        <stp>0</stp>
        <stp>IDX</stp>
        <stp>QGZ02P</stp>
        <stp>전일대비</stp>
        <stp>45539</stp>
        <stp>Fill=true,Per=월</stp>
        <tr r="F53" s="2"/>
      </tp>
      <tp>
        <v>-16.849999999999909</v>
        <stp/>
        <stp>P</stp>
        <stp>0</stp>
        <stp>IDX</stp>
        <stp>QGZ03P</stp>
        <stp>전일대비</stp>
        <stp>45539</stp>
        <stp>Fill=true,Per=월</stp>
        <tr r="F52" s="2"/>
      </tp>
      <tp>
        <v>57.559999999999945</v>
        <stp/>
        <stp>P</stp>
        <stp>0</stp>
        <stp>IDX</stp>
        <stp>F2X44T</stp>
        <stp>전일대비</stp>
        <stp>45539</stp>
        <stp>Fill=true,Per=월</stp>
        <tr r="F268" s="2"/>
      </tp>
      <tp>
        <v>-27.069999999999936</v>
        <stp/>
        <stp>P</stp>
        <stp>0</stp>
        <stp>IDX</stp>
        <stp>F2X43T</stp>
        <stp>전일대비</stp>
        <stp>45539</stp>
        <stp>Fill=true,Per=월</stp>
        <tr r="F267" s="2"/>
      </tp>
      <tp>
        <v>-33.880000000000109</v>
        <stp/>
        <stp>P</stp>
        <stp>0</stp>
        <stp>IDX</stp>
        <stp>F2X42T</stp>
        <stp>전일대비</stp>
        <stp>45539</stp>
        <stp>Fill=true,Per=월</stp>
        <tr r="F266" s="2"/>
      </tp>
      <tp>
        <v>47.519999999999982</v>
        <stp/>
        <stp>P</stp>
        <stp>0</stp>
        <stp>IDX</stp>
        <stp>F2X41T</stp>
        <stp>전일대비</stp>
        <stp>45539</stp>
        <stp>Fill=true,Per=월</stp>
        <tr r="F265" s="2"/>
      </tp>
      <tp>
        <v>-28.100000000000136</v>
        <stp/>
        <stp>P</stp>
        <stp>0</stp>
        <stp>IDX</stp>
        <stp>F2X40T</stp>
        <stp>전일대비</stp>
        <stp>45539</stp>
        <stp>Fill=true,Per=월</stp>
        <tr r="F264" s="2"/>
      </tp>
      <tp>
        <v>-11.759999999999991</v>
        <stp/>
        <stp>P</stp>
        <stp>0</stp>
        <stp>IDX</stp>
        <stp>F2X39P</stp>
        <stp>전일대비</stp>
        <stp>45539</stp>
        <stp>Fill=true,Per=월</stp>
        <tr r="F263" s="2"/>
      </tp>
      <tp>
        <v>-29.409999999999968</v>
        <stp/>
        <stp>P</stp>
        <stp>0</stp>
        <stp>IDX</stp>
        <stp>F2X38P</stp>
        <stp>전일대비</stp>
        <stp>45539</stp>
        <stp>Fill=true,Per=월</stp>
        <tr r="F262" s="2"/>
      </tp>
      <tp>
        <v>-20.029999999999973</v>
        <stp/>
        <stp>P</stp>
        <stp>0</stp>
        <stp>IDX</stp>
        <stp>F2X37P</stp>
        <stp>전일대비</stp>
        <stp>45539</stp>
        <stp>Fill=true,Per=월</stp>
        <tr r="F261" s="2"/>
      </tp>
      <tp>
        <v>5.2999999999999829</v>
        <stp/>
        <stp>P</stp>
        <stp>0</stp>
        <stp>IDX</stp>
        <stp>F2X36P</stp>
        <stp>전일대비</stp>
        <stp>45539</stp>
        <stp>Fill=true,Per=월</stp>
        <tr r="F260" s="2"/>
      </tp>
      <tp>
        <v>3.8400000000000034</v>
        <stp/>
        <stp>P</stp>
        <stp>0</stp>
        <stp>IDX</stp>
        <stp>F2X35P</stp>
        <stp>전일대비</stp>
        <stp>45539</stp>
        <stp>Fill=true,Per=월</stp>
        <tr r="F259" s="2"/>
      </tp>
      <tp>
        <v>-2.8499999999999943</v>
        <stp/>
        <stp>P</stp>
        <stp>0</stp>
        <stp>IDX</stp>
        <stp>F2X34P</stp>
        <stp>전일대비</stp>
        <stp>45539</stp>
        <stp>Fill=true,Per=월</stp>
        <tr r="F258" s="2"/>
      </tp>
      <tp>
        <v>25.460000000000036</v>
        <stp/>
        <stp>P</stp>
        <stp>0</stp>
        <stp>IDX</stp>
        <stp>F2X33P</stp>
        <stp>전일대비</stp>
        <stp>45539</stp>
        <stp>Fill=true,Per=월</stp>
        <tr r="F257" s="2"/>
      </tp>
      <tp>
        <v>-5.8900000000000148</v>
        <stp/>
        <stp>P</stp>
        <stp>0</stp>
        <stp>IDX</stp>
        <stp>F2X32P</stp>
        <stp>전일대비</stp>
        <stp>45539</stp>
        <stp>Fill=true,Per=월</stp>
        <tr r="F256" s="2"/>
      </tp>
      <tp>
        <v>-0.20999999999999375</v>
        <stp/>
        <stp>P</stp>
        <stp>0</stp>
        <stp>IDX</stp>
        <stp>F2X31P</stp>
        <stp>전일대비</stp>
        <stp>45539</stp>
        <stp>Fill=true,Per=월</stp>
        <tr r="F255" s="2"/>
      </tp>
      <tp>
        <v>-6.8199999999999932</v>
        <stp/>
        <stp>P</stp>
        <stp>0</stp>
        <stp>IDX</stp>
        <stp>F2X30P</stp>
        <stp>전일대비</stp>
        <stp>45539</stp>
        <stp>Fill=true,Per=월</stp>
        <tr r="F254" s="2"/>
      </tp>
      <tp>
        <v>-12.169999999999959</v>
        <stp/>
        <stp>P</stp>
        <stp>0</stp>
        <stp>IDX</stp>
        <stp>F2X29P</stp>
        <stp>전일대비</stp>
        <stp>45539</stp>
        <stp>Fill=true,Per=월</stp>
        <tr r="F253" s="2"/>
      </tp>
      <tp>
        <v>-33.279999999999973</v>
        <stp/>
        <stp>P</stp>
        <stp>0</stp>
        <stp>IDX</stp>
        <stp>F2X28P</stp>
        <stp>전일대비</stp>
        <stp>45539</stp>
        <stp>Fill=true,Per=월</stp>
        <tr r="F252" s="2"/>
      </tp>
      <tp>
        <v>-10.100000000000136</v>
        <stp/>
        <stp>P</stp>
        <stp>0</stp>
        <stp>IDX</stp>
        <stp>F2X27P</stp>
        <stp>전일대비</stp>
        <stp>45539</stp>
        <stp>Fill=true,Per=월</stp>
        <tr r="F251" s="2"/>
      </tp>
      <tp>
        <v>9.7200000000000273</v>
        <stp/>
        <stp>P</stp>
        <stp>0</stp>
        <stp>IDX</stp>
        <stp>F2X26P</stp>
        <stp>전일대비</stp>
        <stp>45539</stp>
        <stp>Fill=true,Per=월</stp>
        <tr r="F250" s="2"/>
      </tp>
      <tp>
        <v>10.79000000000002</v>
        <stp/>
        <stp>P</stp>
        <stp>0</stp>
        <stp>IDX</stp>
        <stp>F2X25P</stp>
        <stp>전일대비</stp>
        <stp>45539</stp>
        <stp>Fill=true,Per=월</stp>
        <tr r="F249" s="2"/>
      </tp>
      <tp>
        <v>-5.0900000000000318</v>
        <stp/>
        <stp>P</stp>
        <stp>0</stp>
        <stp>IDX</stp>
        <stp>F2X24P</stp>
        <stp>전일대비</stp>
        <stp>45539</stp>
        <stp>Fill=true,Per=월</stp>
        <tr r="F248" s="2"/>
      </tp>
      <tp>
        <v>29.5</v>
        <stp/>
        <stp>P</stp>
        <stp>0</stp>
        <stp>IDX</stp>
        <stp>F2X23P</stp>
        <stp>전일대비</stp>
        <stp>45539</stp>
        <stp>Fill=true,Per=월</stp>
        <tr r="F247" s="2"/>
      </tp>
      <tp>
        <v>-9.7400000000000091</v>
        <stp/>
        <stp>P</stp>
        <stp>0</stp>
        <stp>IDX</stp>
        <stp>F2X22P</stp>
        <stp>전일대비</stp>
        <stp>45539</stp>
        <stp>Fill=true,Per=월</stp>
        <tr r="F246" s="2"/>
      </tp>
      <tp>
        <v>-0.37999999999999545</v>
        <stp/>
        <stp>P</stp>
        <stp>0</stp>
        <stp>IDX</stp>
        <stp>F2X21P</stp>
        <stp>전일대비</stp>
        <stp>45539</stp>
        <stp>Fill=true,Per=월</stp>
        <tr r="F245" s="2"/>
      </tp>
      <tp>
        <v>-8.1499999999999773</v>
        <stp/>
        <stp>P</stp>
        <stp>0</stp>
        <stp>IDX</stp>
        <stp>F2X20P</stp>
        <stp>전일대비</stp>
        <stp>45539</stp>
        <stp>Fill=true,Per=월</stp>
        <tr r="F244" s="2"/>
      </tp>
      <tp>
        <v>-28.1099999999999</v>
        <stp/>
        <stp>P</stp>
        <stp>0</stp>
        <stp>IDX</stp>
        <stp>K2X12N</stp>
        <stp>전일대비</stp>
        <stp>45539</stp>
        <stp>Fill=true,Per=월</stp>
        <tr r="F381" s="2"/>
      </tp>
      <tp>
        <v>-17.740000000000123</v>
        <stp/>
        <stp>P</stp>
        <stp>0</stp>
        <stp>IDX</stp>
        <stp>K2X11P</stp>
        <stp>전일대비</stp>
        <stp>45539</stp>
        <stp>Fill=true,Per=월</stp>
        <tr r="F380" s="2"/>
      </tp>
      <tp>
        <v>27.110000000000014</v>
        <stp/>
        <stp>P</stp>
        <stp>0</stp>
        <stp>IDX</stp>
        <stp>F2X19P</stp>
        <stp>전일대비</stp>
        <stp>45539</stp>
        <stp>Fill=true,Per=월</stp>
        <tr r="F243" s="2"/>
      </tp>
      <tp>
        <v>30.990000000000009</v>
        <stp/>
        <stp>P</stp>
        <stp>0</stp>
        <stp>IDX</stp>
        <stp>F2X18P</stp>
        <stp>전일대비</stp>
        <stp>45539</stp>
        <stp>Fill=true,Per=월</stp>
        <tr r="F242" s="2"/>
      </tp>
      <tp>
        <v>6.6100000000000136</v>
        <stp/>
        <stp>P</stp>
        <stp>0</stp>
        <stp>IDX</stp>
        <stp>F2X17P</stp>
        <stp>전일대비</stp>
        <stp>45539</stp>
        <stp>Fill=true,Per=월</stp>
        <tr r="F241" s="2"/>
      </tp>
      <tp>
        <v>-31.669999999999959</v>
        <stp/>
        <stp>P</stp>
        <stp>0</stp>
        <stp>IDX</stp>
        <stp>F2X16P</stp>
        <stp>전일대비</stp>
        <stp>45539</stp>
        <stp>Fill=true,Per=월</stp>
        <tr r="F240" s="2"/>
      </tp>
      <tp>
        <v>-51.5</v>
        <stp/>
        <stp>P</stp>
        <stp>0</stp>
        <stp>IDX</stp>
        <stp>F2X15P</stp>
        <stp>전일대비</stp>
        <stp>45539</stp>
        <stp>Fill=true,Per=월</stp>
        <tr r="F239" s="2"/>
      </tp>
      <tp>
        <v>17.309999999999945</v>
        <stp/>
        <stp>P</stp>
        <stp>0</stp>
        <stp>IDX</stp>
        <stp>F2X14P</stp>
        <stp>전일대비</stp>
        <stp>45539</stp>
        <stp>Fill=true,Per=월</stp>
        <tr r="F238" s="2"/>
      </tp>
      <tp>
        <v>-69.560000000000059</v>
        <stp/>
        <stp>P</stp>
        <stp>0</stp>
        <stp>IDX</stp>
        <stp>F2X13P</stp>
        <stp>전일대비</stp>
        <stp>45539</stp>
        <stp>Fill=true,Per=월</stp>
        <tr r="F237" s="2"/>
      </tp>
      <tp>
        <v>6.3499999999999091</v>
        <stp/>
        <stp>P</stp>
        <stp>0</stp>
        <stp>IDX</stp>
        <stp>FRX12P</stp>
        <stp>전일대비</stp>
        <stp>45539</stp>
        <stp>Fill=true,Per=월</stp>
        <tr r="F312" s="2"/>
      </tp>
      <tp>
        <v>63.860000000000127</v>
        <stp/>
        <stp>P</stp>
        <stp>0</stp>
        <stp>IDX</stp>
        <stp>F2X12P</stp>
        <stp>전일대비</stp>
        <stp>45539</stp>
        <stp>Fill=true,Per=월</stp>
        <tr r="F236" s="2"/>
      </tp>
      <tp>
        <v>0.25999999999999091</v>
        <stp/>
        <stp>P</stp>
        <stp>0</stp>
        <stp>IDX</stp>
        <stp>FTX11P</stp>
        <stp>전일대비</stp>
        <stp>45539</stp>
        <stp>Fill=true,Per=월</stp>
        <tr r="F328" s="2"/>
      </tp>
      <tp>
        <v>4.6399999999999864</v>
        <stp/>
        <stp>P</stp>
        <stp>0</stp>
        <stp>IDX</stp>
        <stp>FRX11P</stp>
        <stp>전일대비</stp>
        <stp>45539</stp>
        <stp>Fill=true,Per=월</stp>
        <tr r="F311" s="2"/>
      </tp>
      <tp>
        <v>7.9200000000000728</v>
        <stp/>
        <stp>P</stp>
        <stp>0</stp>
        <stp>IDX</stp>
        <stp>F2X11P</stp>
        <stp>전일대비</stp>
        <stp>45539</stp>
        <stp>Fill=true,Per=월</stp>
        <tr r="F235" s="2"/>
      </tp>
      <tp>
        <v>0.75</v>
        <stp/>
        <stp>P</stp>
        <stp>0</stp>
        <stp>IDX</stp>
        <stp>FTX10P</stp>
        <stp>전일대비</stp>
        <stp>45539</stp>
        <stp>Fill=true,Per=월</stp>
        <tr r="F327" s="2"/>
      </tp>
      <tp>
        <v>2.9899999999998954</v>
        <stp/>
        <stp>P</stp>
        <stp>0</stp>
        <stp>IDX</stp>
        <stp>FRX10P</stp>
        <stp>전일대비</stp>
        <stp>45539</stp>
        <stp>Fill=true,Per=월</stp>
        <tr r="F310" s="2"/>
      </tp>
      <tp>
        <v>19.25</v>
        <stp/>
        <stp>P</stp>
        <stp>0</stp>
        <stp>IDX</stp>
        <stp>F5X10T</stp>
        <stp>전일대비</stp>
        <stp>45539</stp>
        <stp>Fill=true,Per=월</stp>
        <tr r="F285" s="2"/>
      </tp>
      <tp>
        <v>13.799999999999955</v>
        <stp/>
        <stp>P</stp>
        <stp>0</stp>
        <stp>IDX</stp>
        <stp>F2X10P</stp>
        <stp>전일대비</stp>
        <stp>45539</stp>
        <stp>Fill=true,Per=월</stp>
        <tr r="F234" s="2"/>
      </tp>
      <tp>
        <v>10.860000000000014</v>
        <stp/>
        <stp>P</stp>
        <stp>0</stp>
        <stp>IDX</stp>
        <stp>K2X02P</stp>
        <stp>전일대비</stp>
        <stp>45539</stp>
        <stp>Fill=true,Per=월</stp>
        <tr r="F50" s="2"/>
      </tp>
      <tp>
        <v>19.019999999999982</v>
        <stp/>
        <stp>P</stp>
        <stp>0</stp>
        <stp>IDX</stp>
        <stp>K2X03P</stp>
        <stp>전일대비</stp>
        <stp>45539</stp>
        <stp>Fill=true,Per=월</stp>
        <tr r="F24" s="2"/>
      </tp>
      <tp>
        <v>-5.0199999999999818</v>
        <stp/>
        <stp>P</stp>
        <stp>0</stp>
        <stp>IDX</stp>
        <stp>KGX01P</stp>
        <stp>전일대비</stp>
        <stp>45539</stp>
        <stp>Fill=true,Per=월</stp>
        <tr r="F118" s="2"/>
      </tp>
      <tp>
        <v>-4.5400000000000205</v>
        <stp/>
        <stp>P</stp>
        <stp>0</stp>
        <stp>IDX</stp>
        <stp>K2X01P</stp>
        <stp>전일대비</stp>
        <stp>45539</stp>
        <stp>Fill=true,Per=월</stp>
        <tr r="F13" s="2"/>
      </tp>
      <tp>
        <v>-50.720000000000027</v>
        <stp/>
        <stp>P</stp>
        <stp>0</stp>
        <stp>IDX</stp>
        <stp>K2X06P</stp>
        <stp>전일대비</stp>
        <stp>45539</stp>
        <stp>Fill=true,Per=월</stp>
        <tr r="F43" s="2"/>
      </tp>
      <tp>
        <v>3.5400000000000205</v>
        <stp/>
        <stp>P</stp>
        <stp>0</stp>
        <stp>IDX</stp>
        <stp>K2X07P</stp>
        <stp>전일대비</stp>
        <stp>45539</stp>
        <stp>Fill=true,Per=월</stp>
        <tr r="F71" s="2"/>
      </tp>
      <tp>
        <v>-2.1599999999999682</v>
        <stp/>
        <stp>P</stp>
        <stp>0</stp>
        <stp>IDX</stp>
        <stp>FRX09P</stp>
        <stp>전일대비</stp>
        <stp>45539</stp>
        <stp>Fill=true,Per=월</stp>
        <tr r="F309" s="2"/>
      </tp>
      <tp>
        <v>-23.509999999999991</v>
        <stp/>
        <stp>P</stp>
        <stp>0</stp>
        <stp>IDX</stp>
        <stp>F5X09T</stp>
        <stp>전일대비</stp>
        <stp>45539</stp>
        <stp>Fill=true,Per=월</stp>
        <tr r="F284" s="2"/>
      </tp>
      <tp>
        <v>4.0900000000000034</v>
        <stp/>
        <stp>P</stp>
        <stp>0</stp>
        <stp>IDX</stp>
        <stp>F2X09P</stp>
        <stp>전일대비</stp>
        <stp>45539</stp>
        <stp>Fill=true,Per=월</stp>
        <tr r="F233" s="2"/>
      </tp>
      <tp>
        <v>3.7799999999999727</v>
        <stp/>
        <stp>P</stp>
        <stp>0</stp>
        <stp>IDX</stp>
        <stp>FTX08T</stp>
        <stp>전일대비</stp>
        <stp>45539</stp>
        <stp>Fill=true,Per=월</stp>
        <tr r="F326" s="2"/>
      </tp>
      <tp>
        <v>-5.8899999999999864</v>
        <stp/>
        <stp>P</stp>
        <stp>0</stp>
        <stp>IDX</stp>
        <stp>FRX08P</stp>
        <stp>전일대비</stp>
        <stp>45539</stp>
        <stp>Fill=true,Per=월</stp>
        <tr r="F308" s="2"/>
      </tp>
      <tp>
        <v>-23.309999999999945</v>
        <stp/>
        <stp>P</stp>
        <stp>0</stp>
        <stp>IDX</stp>
        <stp>F5X08T</stp>
        <stp>전일대비</stp>
        <stp>45539</stp>
        <stp>Fill=true,Per=월</stp>
        <tr r="F283" s="2"/>
      </tp>
      <tp>
        <v>5.8399999999999181</v>
        <stp/>
        <stp>P</stp>
        <stp>0</stp>
        <stp>IDX</stp>
        <stp>F2X08P</stp>
        <stp>전일대비</stp>
        <stp>45539</stp>
        <stp>Fill=true,Per=월</stp>
        <tr r="F232" s="2"/>
      </tp>
      <tp>
        <v>27.900000000000091</v>
        <stp/>
        <stp>P</stp>
        <stp>0</stp>
        <stp>IDX</stp>
        <stp>K2X05P</stp>
        <stp>전일대비</stp>
        <stp>45539</stp>
        <stp>Fill=true,Per=월</stp>
        <tr r="F31" s="2"/>
      </tp>
      <tp>
        <v>3.25</v>
        <stp/>
        <stp>P</stp>
        <stp>0</stp>
        <stp>IDX</stp>
        <stp>O2X01P</stp>
        <stp>전일대비</stp>
        <stp>45539</stp>
        <stp>Fill=true,Per=월</stp>
        <tr r="F170" s="2"/>
      </tp>
      <tp>
        <v>3.0199999999999818</v>
        <stp/>
        <stp>P</stp>
        <stp>0</stp>
        <stp>IDX</stp>
        <stp>FTX07P</stp>
        <stp>전일대비</stp>
        <stp>45539</stp>
        <stp>Fill=true,Per=월</stp>
        <tr r="F325" s="2"/>
      </tp>
      <tp>
        <v>-4.9700000000000273</v>
        <stp/>
        <stp>P</stp>
        <stp>0</stp>
        <stp>IDX</stp>
        <stp>FRX07P</stp>
        <stp>전일대비</stp>
        <stp>45539</stp>
        <stp>Fill=true,Per=월</stp>
        <tr r="F307" s="2"/>
      </tp>
      <tp>
        <v>12.030000000000086</v>
        <stp/>
        <stp>P</stp>
        <stp>0</stp>
        <stp>IDX</stp>
        <stp>F5X07T</stp>
        <stp>전일대비</stp>
        <stp>45539</stp>
        <stp>Fill=true,Per=월</stp>
        <tr r="F282" s="2"/>
      </tp>
      <tp>
        <v>-38.139999999999873</v>
        <stp/>
        <stp>P</stp>
        <stp>0</stp>
        <stp>IDX</stp>
        <stp>F2X07P</stp>
        <stp>전일대비</stp>
        <stp>45539</stp>
        <stp>Fill=true,Per=월</stp>
        <tr r="F231" s="2"/>
      </tp>
      <tp>
        <v>-8</v>
        <stp/>
        <stp>P</stp>
        <stp>0</stp>
        <stp>IDX</stp>
        <stp>FTX06T</stp>
        <stp>전일대비</stp>
        <stp>45539</stp>
        <stp>Fill=true,Per=월</stp>
        <tr r="F324" s="2"/>
      </tp>
      <tp>
        <v>-3.1299999999999955</v>
        <stp/>
        <stp>P</stp>
        <stp>0</stp>
        <stp>IDX</stp>
        <stp>FRX06P</stp>
        <stp>전일대비</stp>
        <stp>45539</stp>
        <stp>Fill=true,Per=월</stp>
        <tr r="F306" s="2"/>
      </tp>
      <tp>
        <v>-22.8900000000001</v>
        <stp/>
        <stp>P</stp>
        <stp>0</stp>
        <stp>IDX</stp>
        <stp>F5X06T</stp>
        <stp>전일대비</stp>
        <stp>45539</stp>
        <stp>Fill=true,Per=월</stp>
        <tr r="F281" s="2"/>
      </tp>
      <tp>
        <v>-25.039999999999964</v>
        <stp/>
        <stp>P</stp>
        <stp>0</stp>
        <stp>IDX</stp>
        <stp>F2X06P</stp>
        <stp>전일대비</stp>
        <stp>45539</stp>
        <stp>Fill=true,Per=월</stp>
        <tr r="F230" s="2"/>
      </tp>
      <tp>
        <v>1.7699999999999818</v>
        <stp/>
        <stp>P</stp>
        <stp>0</stp>
        <stp>IDX</stp>
        <stp>FTX05P</stp>
        <stp>전일대비</stp>
        <stp>45539</stp>
        <stp>Fill=true,Per=월</stp>
        <tr r="F323" s="2"/>
      </tp>
      <tp>
        <v>5.17999999999995</v>
        <stp/>
        <stp>P</stp>
        <stp>0</stp>
        <stp>IDX</stp>
        <stp>FRX05P</stp>
        <stp>전일대비</stp>
        <stp>45539</stp>
        <stp>Fill=true,Per=월</stp>
        <tr r="F305" s="2"/>
      </tp>
      <tp>
        <v>25.389999999999873</v>
        <stp/>
        <stp>P</stp>
        <stp>0</stp>
        <stp>IDX</stp>
        <stp>F2X05T</stp>
        <stp>전일대비</stp>
        <stp>45539</stp>
        <stp>Fill=true,Per=월</stp>
        <tr r="F229" s="2"/>
      </tp>
      <tp>
        <v>11.679999999999836</v>
        <stp/>
        <stp>P</stp>
        <stp>0</stp>
        <stp>IDX</stp>
        <stp>F5X05T</stp>
        <stp>전일대비</stp>
        <stp>45539</stp>
        <stp>Fill=true,Per=월</stp>
        <tr r="F280" s="2"/>
      </tp>
      <tp>
        <v>-20.800000000000011</v>
        <stp/>
        <stp>P</stp>
        <stp>0</stp>
        <stp>IDX</stp>
        <stp>K2X08P</stp>
        <stp>전일대비</stp>
        <stp>45539</stp>
        <stp>Fill=true,Per=월</stp>
        <tr r="F56" s="2"/>
      </tp>
      <tp>
        <v>4.9900000000000091</v>
        <stp/>
        <stp>P</stp>
        <stp>0</stp>
        <stp>IDX</stp>
        <stp>FTX04P</stp>
        <stp>전일대비</stp>
        <stp>45539</stp>
        <stp>Fill=true,Per=월</stp>
        <tr r="F322" s="2"/>
      </tp>
      <tp>
        <v>-4.9799999999999613</v>
        <stp/>
        <stp>P</stp>
        <stp>0</stp>
        <stp>IDX</stp>
        <stp>FRX04P</stp>
        <stp>전일대비</stp>
        <stp>45539</stp>
        <stp>Fill=true,Per=월</stp>
        <tr r="F304" s="2"/>
      </tp>
      <tp>
        <v>-9.5099999999999909</v>
        <stp/>
        <stp>P</stp>
        <stp>0</stp>
        <stp>IDX</stp>
        <stp>FGX04T</stp>
        <stp>전일대비</stp>
        <stp>45539</stp>
        <stp>Fill=true,Per=월</stp>
        <tr r="F296" s="2"/>
      </tp>
      <tp>
        <v>-24.710000000000036</v>
        <stp/>
        <stp>P</stp>
        <stp>0</stp>
        <stp>IDX</stp>
        <stp>F5X04T</stp>
        <stp>전일대비</stp>
        <stp>45539</stp>
        <stp>Fill=true,Per=월</stp>
        <tr r="F279" s="2"/>
      </tp>
      <tp>
        <v>1.8600000000000065</v>
        <stp/>
        <stp>P</stp>
        <stp>0</stp>
        <stp>IDX</stp>
        <stp>F2X04P</stp>
        <stp>전일대비</stp>
        <stp>45539</stp>
        <stp>Fill=true,Per=월</stp>
        <tr r="F228" s="2"/>
      </tp>
      <tp>
        <v>-30.090000000000032</v>
        <stp/>
        <stp>P</stp>
        <stp>0</stp>
        <stp>IDX</stp>
        <stp>K2X09P</stp>
        <stp>전일대비</stp>
        <stp>45539</stp>
        <stp>Fill=true,Per=월</stp>
        <tr r="F48" s="2"/>
      </tp>
      <tp>
        <v>2.7200000000000273</v>
        <stp/>
        <stp>P</stp>
        <stp>0</stp>
        <stp>IDX</stp>
        <stp>FTX03P</stp>
        <stp>전일대비</stp>
        <stp>45539</stp>
        <stp>Fill=true,Per=월</stp>
        <tr r="F321" s="2"/>
      </tp>
      <tp>
        <v>-5.1299999999999955</v>
        <stp/>
        <stp>P</stp>
        <stp>0</stp>
        <stp>IDX</stp>
        <stp>FRX03P</stp>
        <stp>전일대비</stp>
        <stp>45539</stp>
        <stp>Fill=true,Per=월</stp>
        <tr r="F303" s="2"/>
      </tp>
      <tp>
        <v>-8.8199999999999363</v>
        <stp/>
        <stp>P</stp>
        <stp>0</stp>
        <stp>IDX</stp>
        <stp>FGX03T</stp>
        <stp>전일대비</stp>
        <stp>45539</stp>
        <stp>Fill=true,Per=월</stp>
        <tr r="F295" s="2"/>
      </tp>
      <tp>
        <v>8.2300000000000182</v>
        <stp/>
        <stp>P</stp>
        <stp>0</stp>
        <stp>IDX</stp>
        <stp>F3X03T</stp>
        <stp>전일대비</stp>
        <stp>45539</stp>
        <stp>Fill=true,Per=월</stp>
        <tr r="F272" s="2"/>
      </tp>
      <tp>
        <v>0.12000000000000011</v>
        <stp/>
        <stp>P</stp>
        <stp>0</stp>
        <stp>IDX</stp>
        <stp>F5X03T</stp>
        <stp>전일대비</stp>
        <stp>45539</stp>
        <stp>Fill=true,Per=월</stp>
        <tr r="F278" s="2"/>
      </tp>
      <tp>
        <v>4.8200000000000216</v>
        <stp/>
        <stp>P</stp>
        <stp>0</stp>
        <stp>IDX</stp>
        <stp>F2X03P</stp>
        <stp>전일대비</stp>
        <stp>45539</stp>
        <stp>Fill=true,Per=월</stp>
        <tr r="F227" s="2"/>
      </tp>
      <tp>
        <v>-3.2100000000000364</v>
        <stp/>
        <stp>P</stp>
        <stp>0</stp>
        <stp>IDX</stp>
        <stp>FTX02P</stp>
        <stp>전일대비</stp>
        <stp>45539</stp>
        <stp>Fill=true,Per=월</stp>
        <tr r="F320" s="2"/>
      </tp>
      <tp>
        <v>12.429999999999836</v>
        <stp/>
        <stp>P</stp>
        <stp>0</stp>
        <stp>IDX</stp>
        <stp>FRX02P</stp>
        <stp>전일대비</stp>
        <stp>45539</stp>
        <stp>Fill=true,Per=월</stp>
        <tr r="F302" s="2"/>
      </tp>
      <tp>
        <v>54.779999999999973</v>
        <stp/>
        <stp>P</stp>
        <stp>0</stp>
        <stp>IDX</stp>
        <stp>FGX02T</stp>
        <stp>전일대비</stp>
        <stp>45539</stp>
        <stp>Fill=true,Per=월</stp>
        <tr r="F294" s="2"/>
      </tp>
      <tp>
        <v>1.0800000000000054</v>
        <stp/>
        <stp>P</stp>
        <stp>0</stp>
        <stp>IDX</stp>
        <stp>F5X02T</stp>
        <stp>전일대비</stp>
        <stp>45539</stp>
        <stp>Fill=true,Per=월</stp>
        <tr r="F277" s="2"/>
      </tp>
      <tp>
        <v>7.6800000000000637</v>
        <stp/>
        <stp>P</stp>
        <stp>0</stp>
        <stp>IDX</stp>
        <stp>F3X02P</stp>
        <stp>전일대비</stp>
        <stp>45539</stp>
        <stp>Fill=true,Per=월</stp>
        <tr r="F271" s="2"/>
      </tp>
      <tp>
        <v>5.4899999999998954</v>
        <stp/>
        <stp>P</stp>
        <stp>0</stp>
        <stp>IDX</stp>
        <stp>F2X02P</stp>
        <stp>전일대비</stp>
        <stp>45539</stp>
        <stp>Fill=true,Per=월</stp>
        <tr r="F226" s="2"/>
      </tp>
      <tp>
        <v>1.4500000000000455</v>
        <stp/>
        <stp>P</stp>
        <stp>0</stp>
        <stp>IDX</stp>
        <stp>FTX01P</stp>
        <stp>전일대비</stp>
        <stp>45539</stp>
        <stp>Fill=true,Per=월</stp>
        <tr r="F319" s="2"/>
      </tp>
      <tp>
        <v>-4.8899999999998727</v>
        <stp/>
        <stp>P</stp>
        <stp>0</stp>
        <stp>IDX</stp>
        <stp>FRX01P</stp>
        <stp>전일대비</stp>
        <stp>45539</stp>
        <stp>Fill=true,Per=월</stp>
        <tr r="F301" s="2"/>
      </tp>
      <tp>
        <v>-65.590000000000146</v>
        <stp/>
        <stp>P</stp>
        <stp>0</stp>
        <stp>IDX</stp>
        <stp>FGX01T</stp>
        <stp>전일대비</stp>
        <stp>45539</stp>
        <stp>Fill=true,Per=월</stp>
        <tr r="F293" s="2"/>
      </tp>
      <tp>
        <v>-19.400000000000091</v>
        <stp/>
        <stp>P</stp>
        <stp>0</stp>
        <stp>IDX</stp>
        <stp>F3X01T</stp>
        <stp>전일대비</stp>
        <stp>45539</stp>
        <stp>Fill=true,Per=월</stp>
        <tr r="F270" s="2"/>
      </tp>
      <tp>
        <v>3.6200000000000045</v>
        <stp/>
        <stp>P</stp>
        <stp>0</stp>
        <stp>IDX</stp>
        <stp>F5X01T</stp>
        <stp>전일대비</stp>
        <stp>45539</stp>
        <stp>Fill=true,Per=월</stp>
        <tr r="F276" s="2"/>
      </tp>
      <tp>
        <v>-46.740000000000236</v>
        <stp/>
        <stp>P</stp>
        <stp>0</stp>
        <stp>IDX</stp>
        <stp>F2X01P</stp>
        <stp>전일대비</stp>
        <stp>45539</stp>
        <stp>Fill=true,Per=월</stp>
        <tr r="F225" s="2"/>
      </tp>
      <tp>
        <v>68.589999999999236</v>
        <stp/>
        <stp>P</stp>
        <stp>0</stp>
        <stp>IDX</stp>
        <stp>XGX01P</stp>
        <stp>전일대비</stp>
        <stp>45539</stp>
        <stp>Fill=true,Per=월</stp>
        <tr r="F134" s="2"/>
      </tp>
      <tp>
        <v>-14.310000000000059</v>
        <stp/>
        <stp>P</stp>
        <stp>0</stp>
        <stp>IDX</stp>
        <stp>X3X01P</stp>
        <stp>전일대비</stp>
        <stp>45539</stp>
        <stp>Fill=true,Per=월</stp>
        <tr r="F181" s="2"/>
      </tp>
      <tp>
        <v>-35.920000000000073</v>
        <stp/>
        <stp>P</stp>
        <stp>0</stp>
        <stp>IDX</stp>
        <stp>XGX03P</stp>
        <stp>전일대비</stp>
        <stp>45539</stp>
        <stp>Fill=true,Per=월</stp>
        <tr r="F132" s="2"/>
      </tp>
      <tp>
        <v>-18.580000000000041</v>
        <stp/>
        <stp>P</stp>
        <stp>0</stp>
        <stp>IDX</stp>
        <stp>XGX02P</stp>
        <stp>전일대비</stp>
        <stp>45539</stp>
        <stp>Fill=true,Per=월</stp>
        <tr r="F133" s="2"/>
      </tp>
      <tp>
        <v>-301.73999999999978</v>
        <stp/>
        <stp>P</stp>
        <stp>0</stp>
        <stp>IDX</stp>
        <stp>XGX05P</stp>
        <stp>전일대비</stp>
        <stp>45539</stp>
        <stp>Fill=true,Per=월</stp>
        <tr r="F130" s="2"/>
      </tp>
      <tp>
        <v>417.07000000000062</v>
        <stp/>
        <stp>P</stp>
        <stp>0</stp>
        <stp>IDX</stp>
        <stp>XGX04P</stp>
        <stp>전일대비</stp>
        <stp>45539</stp>
        <stp>Fill=true,Per=월</stp>
        <tr r="F131" s="2"/>
      </tp>
      <tp>
        <v>-14.759999999999991</v>
        <stp/>
        <stp>P</stp>
        <stp>0</stp>
        <stp>IDX</stp>
        <stp>Q5X01P</stp>
        <stp>전일대비</stp>
        <stp>45539</stp>
        <stp>Fill=true,Per=월</stp>
        <tr r="F36" s="2"/>
      </tp>
      <tp>
        <v>-7.1999999999998181</v>
        <stp/>
        <stp>P</stp>
        <stp>0</stp>
        <stp>IDX</stp>
        <stp>Q5X02P</stp>
        <stp>전일대비</stp>
        <stp>45539</stp>
        <stp>Fill=true,Per=월</stp>
        <tr r="F37" s="2"/>
      </tp>
      <tp>
        <v>-1.8499999999994543</v>
        <stp/>
        <stp>P</stp>
        <stp>0</stp>
        <stp>IDX</stp>
        <stp>TGX01P</stp>
        <stp>전일대비</stp>
        <stp>45539</stp>
        <stp>Fill=true,Per=월</stp>
        <tr r="F192" s="2"/>
      </tp>
      <tp>
        <v>-10.929999999999836</v>
        <stp/>
        <stp>P</stp>
        <stp>0</stp>
        <stp>IDX</stp>
        <stp>QGS31P</stp>
        <stp>전일대비</stp>
        <stp>45539</stp>
        <stp>Fill=true,Per=월</stp>
        <tr r="F98" s="2"/>
      </tp>
      <tp>
        <v>-329.44000000000051</v>
        <stp/>
        <stp>P</stp>
        <stp>0</stp>
        <stp>IDX</stp>
        <stp>QGS33P</stp>
        <stp>전일대비</stp>
        <stp>45539</stp>
        <stp>Fill=true,Per=월</stp>
        <tr r="F65" s="2"/>
      </tp>
      <tp>
        <v>-6.0400000000000205</v>
        <stp/>
        <stp>P</stp>
        <stp>0</stp>
        <stp>IDX</stp>
        <stp>QGS34P</stp>
        <stp>전일대비</stp>
        <stp>45539</stp>
        <stp>Fill=true,Per=월</stp>
        <tr r="F85" s="2"/>
      </tp>
      <tp>
        <v>-7.2400000000000091</v>
        <stp/>
        <stp>P</stp>
        <stp>0</stp>
        <stp>IDX</stp>
        <stp>KGS22P</stp>
        <stp>전일대비</stp>
        <stp>45539</stp>
        <stp>Fill=true,Per=월</stp>
        <tr r="F44" s="2"/>
      </tp>
      <tp>
        <v>7.1599999999999682</v>
        <stp/>
        <stp>P</stp>
        <stp>0</stp>
        <stp>IDX</stp>
        <stp>KGS20P</stp>
        <stp>전일대비</stp>
        <stp>45539</stp>
        <stp>Fill=true,Per=월</stp>
        <tr r="F81" s="2"/>
      </tp>
      <tp>
        <v>12.110000000000014</v>
        <stp/>
        <stp>P</stp>
        <stp>0</stp>
        <stp>IDX</stp>
        <stp>KGS21P</stp>
        <stp>전일대비</stp>
        <stp>45539</stp>
        <stp>Fill=true,Per=월</stp>
        <tr r="F78" s="2"/>
      </tp>
      <tp>
        <v>8.6599999999999682</v>
        <stp/>
        <stp>P</stp>
        <stp>0</stp>
        <stp>IDX</stp>
        <stp>QGS20P</stp>
        <stp>전일대비</stp>
        <stp>45539</stp>
        <stp>Fill=true,Per=월</stp>
        <tr r="F97" s="2"/>
      </tp>
      <tp>
        <v>-0.37999999999999545</v>
        <stp/>
        <stp>P</stp>
        <stp>0</stp>
        <stp>IDX</stp>
        <stp>KGS12P</stp>
        <stp>전일대비</stp>
        <stp>45539</stp>
        <stp>Fill=true,Per=월</stp>
        <tr r="F83" s="2"/>
      </tp>
      <tp>
        <v>-7.5499999999999545</v>
        <stp/>
        <stp>P</stp>
        <stp>0</stp>
        <stp>IDX</stp>
        <stp>KGS13P</stp>
        <stp>전일대비</stp>
        <stp>45539</stp>
        <stp>Fill=true,Per=월</stp>
        <tr r="F74" s="2"/>
      </tp>
      <tp>
        <v>-98.490000000000236</v>
        <stp/>
        <stp>P</stp>
        <stp>0</stp>
        <stp>IDX</stp>
        <stp>KGS10P</stp>
        <stp>전일대비</stp>
        <stp>45539</stp>
        <stp>Fill=true,Per=월</stp>
        <tr r="F33" s="2"/>
      </tp>
      <tp>
        <v>10.869999999999891</v>
        <stp/>
        <stp>P</stp>
        <stp>0</stp>
        <stp>IDX</stp>
        <stp>K2S10T</stp>
        <stp>전일대비</stp>
        <stp>45539</stp>
        <stp>Fill=true,Per=월</stp>
        <tr r="F372" s="2"/>
      </tp>
      <tp>
        <v>8.4099999999999682</v>
        <stp/>
        <stp>P</stp>
        <stp>0</stp>
        <stp>IDX</stp>
        <stp>K2S10P</stp>
        <stp>전일대비</stp>
        <stp>45539</stp>
        <stp>Fill=true,Per=월</stp>
        <tr r="F59" s="2"/>
      </tp>
      <tp>
        <v>9.0900000000000318</v>
        <stp/>
        <stp>P</stp>
        <stp>0</stp>
        <stp>IDX</stp>
        <stp>KGS11P</stp>
        <stp>전일대비</stp>
        <stp>45539</stp>
        <stp>Fill=true,Per=월</stp>
        <tr r="F62" s="2"/>
      </tp>
      <tp>
        <v>-13.239999999999782</v>
        <stp/>
        <stp>P</stp>
        <stp>0</stp>
        <stp>IDX</stp>
        <stp>K2S11T</stp>
        <stp>전일대비</stp>
        <stp>45539</stp>
        <stp>Fill=true,Per=월</stp>
        <tr r="F373" s="2"/>
      </tp>
      <tp>
        <v>-9.5199999999999818</v>
        <stp/>
        <stp>P</stp>
        <stp>0</stp>
        <stp>IDX</stp>
        <stp>K2S11P</stp>
        <stp>전일대비</stp>
        <stp>45539</stp>
        <stp>Fill=true,Per=월</stp>
        <tr r="F54" s="2"/>
      </tp>
      <tp>
        <v>39.7199999999998</v>
        <stp/>
        <stp>P</stp>
        <stp>0</stp>
        <stp>IDX</stp>
        <stp>KGS16P</stp>
        <stp>전일대비</stp>
        <stp>45539</stp>
        <stp>Fill=true,Per=월</stp>
        <tr r="F79" s="2"/>
      </tp>
      <tp>
        <v>1038.0099999999984</v>
        <stp/>
        <stp>P</stp>
        <stp>0</stp>
        <stp>IDX</stp>
        <stp>KGS17P</stp>
        <stp>전일대비</stp>
        <stp>45539</stp>
        <stp>Fill=true,Per=월</stp>
        <tr r="F67" s="2"/>
      </tp>
      <tp>
        <v>9.0400000000000205</v>
        <stp/>
        <stp>P</stp>
        <stp>0</stp>
        <stp>IDX</stp>
        <stp>KGS14P</stp>
        <stp>전일대비</stp>
        <stp>45539</stp>
        <stp>Fill=true,Per=월</stp>
        <tr r="F27" s="2"/>
      </tp>
      <tp>
        <v>-74.180000000000291</v>
        <stp/>
        <stp>P</stp>
        <stp>0</stp>
        <stp>IDX</stp>
        <stp>KGS18P</stp>
        <stp>전일대비</stp>
        <stp>45539</stp>
        <stp>Fill=true,Per=월</stp>
        <tr r="F19" s="2"/>
      </tp>
      <tp>
        <v>-60.259999999999991</v>
        <stp/>
        <stp>P</stp>
        <stp>0</stp>
        <stp>IDX</stp>
        <stp>KGS19P</stp>
        <stp>전일대비</stp>
        <stp>45539</stp>
        <stp>Fill=true,Per=월</stp>
        <tr r="F91" s="2"/>
      </tp>
      <tp>
        <v>16.230000000000018</v>
        <stp/>
        <stp>P</stp>
        <stp>0</stp>
        <stp>IDX</stp>
        <stp>F2S10P</stp>
        <stp>전일대비</stp>
        <stp>45539</stp>
        <stp>Fill=true,Per=월</stp>
        <tr r="F223" s="2"/>
      </tp>
      <tp>
        <v>-2.8399999999999181</v>
        <stp/>
        <stp>P</stp>
        <stp>0</stp>
        <stp>IDX</stp>
        <stp>QGS18P</stp>
        <stp>전일대비</stp>
        <stp>45539</stp>
        <stp>Fill=true,Per=월</stp>
        <tr r="F82" s="2"/>
      </tp>
      <tp>
        <v>87.849999999999909</v>
        <stp/>
        <stp>P</stp>
        <stp>0</stp>
        <stp>IDX</stp>
        <stp>XGS11P</stp>
        <stp>전일대비</stp>
        <stp>45539</stp>
        <stp>Fill=true,Per=월</stp>
        <tr r="F158" s="2"/>
      </tp>
      <tp>
        <v>-56.409999999999854</v>
        <stp/>
        <stp>P</stp>
        <stp>0</stp>
        <stp>IDX</stp>
        <stp>QGS19P</stp>
        <stp>전일대비</stp>
        <stp>45539</stp>
        <stp>Fill=true,Per=월</stp>
        <tr r="F86" s="2"/>
      </tp>
      <tp>
        <v>-1.0800000000000409</v>
        <stp/>
        <stp>P</stp>
        <stp>0</stp>
        <stp>IDX</stp>
        <stp>XGS10P</stp>
        <stp>전일대비</stp>
        <stp>45539</stp>
        <stp>Fill=true,Per=월</stp>
        <tr r="F159" s="2"/>
      </tp>
      <tp>
        <v>14.490000000000009</v>
        <stp/>
        <stp>P</stp>
        <stp>0</stp>
        <stp>IDX</stp>
        <stp>XGS13P</stp>
        <stp>전일대비</stp>
        <stp>45539</stp>
        <stp>Fill=true,Per=월</stp>
        <tr r="F156" s="2"/>
      </tp>
      <tp>
        <v>-1.0800000000000409</v>
        <stp/>
        <stp>P</stp>
        <stp>0</stp>
        <stp>IDX</stp>
        <stp>XGS12P</stp>
        <stp>전일대비</stp>
        <stp>45539</stp>
        <stp>Fill=true,Per=월</stp>
        <tr r="F157" s="2"/>
      </tp>
      <tp>
        <v>-35.289999999999964</v>
        <stp/>
        <stp>P</stp>
        <stp>0</stp>
        <stp>IDX</stp>
        <stp>XGS15P</stp>
        <stp>전일대비</stp>
        <stp>45539</stp>
        <stp>Fill=true,Per=월</stp>
        <tr r="F154" s="2"/>
      </tp>
      <tp>
        <v>8.9300000000000637</v>
        <stp/>
        <stp>P</stp>
        <stp>0</stp>
        <stp>IDX</stp>
        <stp>XGS14P</stp>
        <stp>전일대비</stp>
        <stp>45539</stp>
        <stp>Fill=true,Per=월</stp>
        <tr r="F155" s="2"/>
      </tp>
      <tp>
        <v>6.6699999999999591</v>
        <stp/>
        <stp>P</stp>
        <stp>0</stp>
        <stp>IDX</stp>
        <stp>XGS17P</stp>
        <stp>전일대비</stp>
        <stp>45539</stp>
        <stp>Fill=true,Per=월</stp>
        <tr r="F152" s="2"/>
      </tp>
      <tp>
        <v>-24.269999999999982</v>
        <stp/>
        <stp>P</stp>
        <stp>0</stp>
        <stp>IDX</stp>
        <stp>XGS16P</stp>
        <stp>전일대비</stp>
        <stp>45539</stp>
        <stp>Fill=true,Per=월</stp>
        <tr r="F153" s="2"/>
      </tp>
      <tp>
        <v>0.78000000000000114</v>
        <stp/>
        <stp>P</stp>
        <stp>0</stp>
        <stp>IDX</stp>
        <stp>QGS10P</stp>
        <stp>전일대비</stp>
        <stp>45539</stp>
        <stp>Fill=true,Per=월</stp>
        <tr r="F96" s="2"/>
      </tp>
      <tp>
        <v>314.39999999999964</v>
        <stp/>
        <stp>P</stp>
        <stp>0</stp>
        <stp>IDX</stp>
        <stp>QGS11P</stp>
        <stp>전일대비</stp>
        <stp>45539</stp>
        <stp>Fill=true,Per=월</stp>
        <tr r="F95" s="2"/>
      </tp>
      <tp>
        <v>-14.829999999999927</v>
        <stp/>
        <stp>P</stp>
        <stp>0</stp>
        <stp>IDX</stp>
        <stp>QGS12P</stp>
        <stp>전일대비</stp>
        <stp>45539</stp>
        <stp>Fill=true,Per=월</stp>
        <tr r="F76" s="2"/>
      </tp>
      <tp>
        <v>31.0300000000002</v>
        <stp/>
        <stp>P</stp>
        <stp>0</stp>
        <stp>IDX</stp>
        <stp>QGS13P</stp>
        <stp>전일대비</stp>
        <stp>45539</stp>
        <stp>Fill=true,Per=월</stp>
        <tr r="F77" s="2"/>
      </tp>
      <tp>
        <v>-738.43000000000029</v>
        <stp/>
        <stp>P</stp>
        <stp>0</stp>
        <stp>IDX</stp>
        <stp>QGS14P</stp>
        <stp>전일대비</stp>
        <stp>45539</stp>
        <stp>Fill=true,Per=월</stp>
        <tr r="F92" s="2"/>
      </tp>
      <tp>
        <v>11.1400000000001</v>
        <stp/>
        <stp>P</stp>
        <stp>0</stp>
        <stp>IDX</stp>
        <stp>QGS15P</stp>
        <stp>전일대비</stp>
        <stp>45539</stp>
        <stp>Fill=true,Per=월</stp>
        <tr r="F87" s="2"/>
      </tp>
      <tp>
        <v>-14.29000000000002</v>
        <stp/>
        <stp>P</stp>
        <stp>0</stp>
        <stp>IDX</stp>
        <stp>QGS16P</stp>
        <stp>전일대비</stp>
        <stp>45539</stp>
        <stp>Fill=true,Per=월</stp>
        <tr r="F70" s="2"/>
      </tp>
      <tp>
        <v>-5.7100000000000364</v>
        <stp/>
        <stp>P</stp>
        <stp>0</stp>
        <stp>IDX</stp>
        <stp>QGS17P</stp>
        <stp>전일대비</stp>
        <stp>45539</stp>
        <stp>Fill=true,Per=월</stp>
        <tr r="F61" s="2"/>
      </tp>
      <tp>
        <v>1.1299999999999955</v>
        <stp/>
        <stp>P</stp>
        <stp>0</stp>
        <stp>IDX</stp>
        <stp>KGS02P</stp>
        <stp>전일대비</stp>
        <stp>45539</stp>
        <stp>Fill=true,Per=월</stp>
        <tr r="F88" s="2"/>
      </tp>
      <tp>
        <v>3.7200000000000273</v>
        <stp/>
        <stp>P</stp>
        <stp>0</stp>
        <stp>IDX</stp>
        <stp>K2S02T</stp>
        <stp>전일대비</stp>
        <stp>45539</stp>
        <stp>Fill=true,Per=월</stp>
        <tr r="F364" s="2"/>
      </tp>
      <tp>
        <v>3.1399999999999864</v>
        <stp/>
        <stp>P</stp>
        <stp>0</stp>
        <stp>IDX</stp>
        <stp>K2S02P</stp>
        <stp>전일대비</stp>
        <stp>45539</stp>
        <stp>Fill=true,Per=월</stp>
        <tr r="F72" s="2"/>
      </tp>
      <tp>
        <v>-0.20999999999997954</v>
        <stp/>
        <stp>P</stp>
        <stp>0</stp>
        <stp>IDX</stp>
        <stp>KGS03P</stp>
        <stp>전일대비</stp>
        <stp>45539</stp>
        <stp>Fill=true,Per=월</stp>
        <tr r="F94" s="2"/>
      </tp>
      <tp>
        <v>31.870000000000118</v>
        <stp/>
        <stp>P</stp>
        <stp>0</stp>
        <stp>IDX</stp>
        <stp>K2S03T</stp>
        <stp>전일대비</stp>
        <stp>45539</stp>
        <stp>Fill=true,Per=월</stp>
        <tr r="F365" s="2"/>
      </tp>
      <tp>
        <v>20.07000000000005</v>
        <stp/>
        <stp>P</stp>
        <stp>0</stp>
        <stp>IDX</stp>
        <stp>K2S03P</stp>
        <stp>전일대비</stp>
        <stp>45539</stp>
        <stp>Fill=true,Per=월</stp>
        <tr r="F32" s="2"/>
      </tp>
      <tp>
        <v>-9.7800000000002001</v>
        <stp/>
        <stp>P</stp>
        <stp>0</stp>
        <stp>IDX</stp>
        <stp>KGS01P</stp>
        <stp>전일대비</stp>
        <stp>45539</stp>
        <stp>Fill=true,Per=월</stp>
        <tr r="F75" s="2"/>
      </tp>
      <tp>
        <v>-37.360000000000127</v>
        <stp/>
        <stp>P</stp>
        <stp>0</stp>
        <stp>IDX</stp>
        <stp>K2S01T</stp>
        <stp>전일대비</stp>
        <stp>45539</stp>
        <stp>Fill=true,Per=월</stp>
        <tr r="F363" s="2"/>
      </tp>
      <tp>
        <v>-34.960000000000036</v>
        <stp/>
        <stp>P</stp>
        <stp>0</stp>
        <stp>IDX</stp>
        <stp>K2S01P</stp>
        <stp>전일대비</stp>
        <stp>45539</stp>
        <stp>Fill=true,Per=월</stp>
        <tr r="F47" s="2"/>
      </tp>
      <tp>
        <v>-26.399999999999636</v>
        <stp/>
        <stp>P</stp>
        <stp>0</stp>
        <stp>IDX</stp>
        <stp>KGS06P</stp>
        <stp>전일대비</stp>
        <stp>45539</stp>
        <stp>Fill=true,Per=월</stp>
        <tr r="F89" s="2"/>
      </tp>
      <tp>
        <v>-64.429999999999836</v>
        <stp/>
        <stp>P</stp>
        <stp>0</stp>
        <stp>IDX</stp>
        <stp>K2S06T</stp>
        <stp>전일대비</stp>
        <stp>45539</stp>
        <stp>Fill=true,Per=월</stp>
        <tr r="F368" s="2"/>
      </tp>
      <tp>
        <v>-49.730000000000018</v>
        <stp/>
        <stp>P</stp>
        <stp>0</stp>
        <stp>IDX</stp>
        <stp>K2S06P</stp>
        <stp>전일대비</stp>
        <stp>45539</stp>
        <stp>Fill=true,Per=월</stp>
        <tr r="F42" s="2"/>
      </tp>
      <tp>
        <v>187.03999999999996</v>
        <stp/>
        <stp>P</stp>
        <stp>0</stp>
        <stp>IDX</stp>
        <stp>KGS07P</stp>
        <stp>전일대비</stp>
        <stp>45539</stp>
        <stp>Fill=true,Per=월</stp>
        <tr r="F64" s="2"/>
      </tp>
      <tp>
        <v>9.9800000000000182</v>
        <stp/>
        <stp>P</stp>
        <stp>0</stp>
        <stp>IDX</stp>
        <stp>K2S07T</stp>
        <stp>전일대비</stp>
        <stp>45539</stp>
        <stp>Fill=true,Per=월</stp>
        <tr r="F369" s="2"/>
      </tp>
      <tp>
        <v>8.5999999999999091</v>
        <stp/>
        <stp>P</stp>
        <stp>0</stp>
        <stp>IDX</stp>
        <stp>K2S07P</stp>
        <stp>전일대비</stp>
        <stp>45539</stp>
        <stp>Fill=true,Per=월</stp>
        <tr r="F25" s="2"/>
      </tp>
      <tp>
        <v>62.690000000000055</v>
        <stp/>
        <stp>P</stp>
        <stp>0</stp>
        <stp>IDX</stp>
        <stp>KGS04P</stp>
        <stp>전일대비</stp>
        <stp>45539</stp>
        <stp>Fill=true,Per=월</stp>
        <tr r="F46" s="2"/>
      </tp>
      <tp>
        <v>14.840000000000032</v>
        <stp/>
        <stp>P</stp>
        <stp>0</stp>
        <stp>IDX</stp>
        <stp>K2S04T</stp>
        <stp>전일대비</stp>
        <stp>45539</stp>
        <stp>Fill=true,Per=월</stp>
        <tr r="F366" s="2"/>
      </tp>
      <tp>
        <v>29.960000000000036</v>
        <stp/>
        <stp>P</stp>
        <stp>0</stp>
        <stp>IDX</stp>
        <stp>F2S09P</stp>
        <stp>전일대비</stp>
        <stp>45539</stp>
        <stp>Fill=true,Per=월</stp>
        <tr r="F222" s="2"/>
      </tp>
      <tp>
        <v>12.460000000000036</v>
        <stp/>
        <stp>P</stp>
        <stp>0</stp>
        <stp>IDX</stp>
        <stp>K2S04P</stp>
        <stp>전일대비</stp>
        <stp>45539</stp>
        <stp>Fill=true,Per=월</stp>
        <tr r="F38" s="2"/>
      </tp>
      <tp>
        <v>-333.35000000000036</v>
        <stp/>
        <stp>P</stp>
        <stp>0</stp>
        <stp>IDX</stp>
        <stp>KGS05P</stp>
        <stp>전일대비</stp>
        <stp>45539</stp>
        <stp>Fill=true,Per=월</stp>
        <tr r="F49" s="2"/>
      </tp>
      <tp>
        <v>15.610000000000127</v>
        <stp/>
        <stp>P</stp>
        <stp>0</stp>
        <stp>IDX</stp>
        <stp>K2S05T</stp>
        <stp>전일대비</stp>
        <stp>45539</stp>
        <stp>Fill=true,Per=월</stp>
        <tr r="F367" s="2"/>
      </tp>
      <tp>
        <v>5.1700000000000728</v>
        <stp/>
        <stp>P</stp>
        <stp>0</stp>
        <stp>IDX</stp>
        <stp>F2S08P</stp>
        <stp>전일대비</stp>
        <stp>45539</stp>
        <stp>Fill=true,Per=월</stp>
        <tr r="F221" s="2"/>
      </tp>
      <tp>
        <v>12.179999999999836</v>
        <stp/>
        <stp>P</stp>
        <stp>0</stp>
        <stp>IDX</stp>
        <stp>K2S05P</stp>
        <stp>전일대비</stp>
        <stp>45539</stp>
        <stp>Fill=true,Per=월</stp>
        <tr r="F51" s="2"/>
      </tp>
      <tp>
        <v>-20.579999999999927</v>
        <stp/>
        <stp>P</stp>
        <stp>0</stp>
        <stp>IDX</stp>
        <stp>F2S07P</stp>
        <stp>전일대비</stp>
        <stp>45539</stp>
        <stp>Fill=true,Per=월</stp>
        <tr r="F220" s="2"/>
      </tp>
      <tp>
        <v>-34.349999999999909</v>
        <stp/>
        <stp>P</stp>
        <stp>0</stp>
        <stp>IDX</stp>
        <stp>F2S06P</stp>
        <stp>전일대비</stp>
        <stp>45539</stp>
        <stp>Fill=true,Per=월</stp>
        <tr r="F219" s="2"/>
      </tp>
      <tp>
        <v>-26.519999999999982</v>
        <stp/>
        <stp>P</stp>
        <stp>0</stp>
        <stp>IDX</stp>
        <stp>KGS08P</stp>
        <stp>전일대비</stp>
        <stp>45539</stp>
        <stp>Fill=true,Per=월</stp>
        <tr r="F66" s="2"/>
      </tp>
      <tp>
        <v>-16.269999999999982</v>
        <stp/>
        <stp>P</stp>
        <stp>0</stp>
        <stp>IDX</stp>
        <stp>K2S08T</stp>
        <stp>전일대비</stp>
        <stp>45539</stp>
        <stp>Fill=true,Per=월</stp>
        <tr r="F370" s="2"/>
      </tp>
      <tp>
        <v>11.199999999999818</v>
        <stp/>
        <stp>P</stp>
        <stp>0</stp>
        <stp>IDX</stp>
        <stp>F2S05P</stp>
        <stp>전일대비</stp>
        <stp>45539</stp>
        <stp>Fill=true,Per=월</stp>
        <tr r="F218" s="2"/>
      </tp>
      <tp>
        <v>-14.639999999999986</v>
        <stp/>
        <stp>P</stp>
        <stp>0</stp>
        <stp>IDX</stp>
        <stp>K2S08P</stp>
        <stp>전일대비</stp>
        <stp>45539</stp>
        <stp>Fill=true,Per=월</stp>
        <tr r="F55" s="2"/>
      </tp>
      <tp>
        <v>-271.70999999999913</v>
        <stp/>
        <stp>P</stp>
        <stp>0</stp>
        <stp>IDX</stp>
        <stp>KGS09P</stp>
        <stp>전일대비</stp>
        <stp>45539</stp>
        <stp>Fill=true,Per=월</stp>
        <tr r="F22" s="2"/>
      </tp>
      <tp>
        <v>36.899999999999977</v>
        <stp/>
        <stp>P</stp>
        <stp>0</stp>
        <stp>IDX</stp>
        <stp>K2S09T</stp>
        <stp>전일대비</stp>
        <stp>45539</stp>
        <stp>Fill=true,Per=월</stp>
        <tr r="F371" s="2"/>
      </tp>
      <tp>
        <v>-41.769999999999982</v>
        <stp/>
        <stp>P</stp>
        <stp>0</stp>
        <stp>IDX</stp>
        <stp>F2S04P</stp>
        <stp>전일대비</stp>
        <stp>45539</stp>
        <stp>Fill=true,Per=월</stp>
        <tr r="F217" s="2"/>
      </tp>
      <tp>
        <v>27.610000000000014</v>
        <stp/>
        <stp>P</stp>
        <stp>0</stp>
        <stp>IDX</stp>
        <stp>K2S09P</stp>
        <stp>전일대비</stp>
        <stp>45539</stp>
        <stp>Fill=true,Per=월</stp>
        <tr r="F68" s="2"/>
      </tp>
      <tp>
        <v>28.1400000000001</v>
        <stp/>
        <stp>P</stp>
        <stp>0</stp>
        <stp>IDX</stp>
        <stp>F2S03P</stp>
        <stp>전일대비</stp>
        <stp>45539</stp>
        <stp>Fill=true,Per=월</stp>
        <tr r="F216" s="2"/>
      </tp>
      <tp>
        <v>2.4900000000000091</v>
        <stp/>
        <stp>P</stp>
        <stp>0</stp>
        <stp>IDX</stp>
        <stp>F2S02P</stp>
        <stp>전일대비</stp>
        <stp>45539</stp>
        <stp>Fill=true,Per=월</stp>
        <tr r="F215" s="2"/>
      </tp>
      <tp>
        <v>10.25</v>
        <stp/>
        <stp>P</stp>
        <stp>0</stp>
        <stp>IDX</stp>
        <stp>F2S01P</stp>
        <stp>전일대비</stp>
        <stp>45539</stp>
        <stp>Fill=true,Per=월</stp>
        <tr r="F214" s="2"/>
      </tp>
      <tp>
        <v>-34.170000000000073</v>
        <stp/>
        <stp>P</stp>
        <stp>0</stp>
        <stp>IDX</stp>
        <stp>GGS01P</stp>
        <stp>전일대비</stp>
        <stp>45539</stp>
        <stp>Fill=true,Per=월</stp>
        <tr r="F339" s="2"/>
      </tp>
      <tp>
        <v>-82.079999999999927</v>
        <stp/>
        <stp>P</stp>
        <stp>0</stp>
        <stp>IDX</stp>
        <stp>XGS01P</stp>
        <stp>전일대비</stp>
        <stp>45539</stp>
        <stp>Fill=true,Per=월</stp>
        <tr r="F168" s="2"/>
      </tp>
      <tp>
        <v>19.440000000000055</v>
        <stp/>
        <stp>P</stp>
        <stp>0</stp>
        <stp>IDX</stp>
        <stp>Q5S08P</stp>
        <stp>전일대비</stp>
        <stp>45539</stp>
        <stp>Fill=true,Per=월</stp>
        <tr r="F196" s="2"/>
      </tp>
      <tp>
        <v>8.1399999999999864</v>
        <stp/>
        <stp>P</stp>
        <stp>0</stp>
        <stp>IDX</stp>
        <stp>X3S01P</stp>
        <stp>전일대비</stp>
        <stp>45539</stp>
        <stp>Fill=true,Per=월</stp>
        <tr r="F189" s="2"/>
      </tp>
      <tp>
        <v>-40.449999999999818</v>
        <stp/>
        <stp>P</stp>
        <stp>0</stp>
        <stp>IDX</stp>
        <stp>QGS09P</stp>
        <stp>전일대비</stp>
        <stp>45539</stp>
        <stp>Fill=true,Per=월</stp>
        <tr r="F90" s="2"/>
      </tp>
      <tp>
        <v>-77.760000000000218</v>
        <stp/>
        <stp>P</stp>
        <stp>0</stp>
        <stp>IDX</stp>
        <stp>XGS03P</stp>
        <stp>전일대비</stp>
        <stp>45539</stp>
        <stp>Fill=true,Per=월</stp>
        <tr r="F166" s="2"/>
      </tp>
      <tp>
        <v>-67.619999999999891</v>
        <stp/>
        <stp>P</stp>
        <stp>0</stp>
        <stp>IDX</stp>
        <stp>X3S03P</stp>
        <stp>전일대비</stp>
        <stp>45539</stp>
        <stp>Fill=true,Per=월</stp>
        <tr r="F187" s="2"/>
      </tp>
      <tp>
        <v>-125.13000000000011</v>
        <stp/>
        <stp>P</stp>
        <stp>0</stp>
        <stp>IDX</stp>
        <stp>XGS02P</stp>
        <stp>전일대비</stp>
        <stp>45539</stp>
        <stp>Fill=true,Per=월</stp>
        <tr r="F167" s="2"/>
      </tp>
      <tp>
        <v>-38.9699999999998</v>
        <stp/>
        <stp>P</stp>
        <stp>0</stp>
        <stp>IDX</stp>
        <stp>X3S02P</stp>
        <stp>전일대비</stp>
        <stp>45539</stp>
        <stp>Fill=true,Per=월</stp>
        <tr r="F188" s="2"/>
      </tp>
      <tp>
        <v>32.7199999999998</v>
        <stp/>
        <stp>P</stp>
        <stp>0</stp>
        <stp>IDX</stp>
        <stp>XGS05P</stp>
        <stp>전일대비</stp>
        <stp>45539</stp>
        <stp>Fill=true,Per=월</stp>
        <tr r="F164" s="2"/>
      </tp>
      <tp>
        <v>-34.509999999999764</v>
        <stp/>
        <stp>P</stp>
        <stp>0</stp>
        <stp>IDX</stp>
        <stp>X3S05P</stp>
        <stp>전일대비</stp>
        <stp>45539</stp>
        <stp>Fill=true,Per=월</stp>
        <tr r="F185" s="2"/>
      </tp>
      <tp>
        <v>12.42999999999995</v>
        <stp/>
        <stp>P</stp>
        <stp>0</stp>
        <stp>IDX</stp>
        <stp>XGS04P</stp>
        <stp>전일대비</stp>
        <stp>45539</stp>
        <stp>Fill=true,Per=월</stp>
        <tr r="F165" s="2"/>
      </tp>
      <tp>
        <v>24.8900000000001</v>
        <stp/>
        <stp>P</stp>
        <stp>0</stp>
        <stp>IDX</stp>
        <stp>X3S04P</stp>
        <stp>전일대비</stp>
        <stp>45539</stp>
        <stp>Fill=true,Per=월</stp>
        <tr r="F186" s="2"/>
      </tp>
      <tp>
        <v>14.879999999999995</v>
        <stp/>
        <stp>P</stp>
        <stp>0</stp>
        <stp>IDX</stp>
        <stp>XGS07P</stp>
        <stp>전일대비</stp>
        <stp>45539</stp>
        <stp>Fill=true,Per=월</stp>
        <tr r="F162" s="2"/>
      </tp>
      <tp>
        <v>8.9000000000000909</v>
        <stp/>
        <stp>P</stp>
        <stp>0</stp>
        <stp>IDX</stp>
        <stp>X3S07P</stp>
        <stp>전일대비</stp>
        <stp>45539</stp>
        <stp>Fill=true,Per=월</stp>
        <tr r="F183" s="2"/>
      </tp>
      <tp>
        <v>57.399999999999864</v>
        <stp/>
        <stp>P</stp>
        <stp>0</stp>
        <stp>IDX</stp>
        <stp>XGS06P</stp>
        <stp>전일대비</stp>
        <stp>45539</stp>
        <stp>Fill=true,Per=월</stp>
        <tr r="F163" s="2"/>
      </tp>
      <tp>
        <v>39.169999999999845</v>
        <stp/>
        <stp>P</stp>
        <stp>0</stp>
        <stp>IDX</stp>
        <stp>X3S06P</stp>
        <stp>전일대비</stp>
        <stp>45539</stp>
        <stp>Fill=true,Per=월</stp>
        <tr r="F184" s="2"/>
      </tp>
      <tp>
        <v>15.42999999999995</v>
        <stp/>
        <stp>P</stp>
        <stp>0</stp>
        <stp>IDX</stp>
        <stp>XGS09P</stp>
        <stp>전일대비</stp>
        <stp>45539</stp>
        <stp>Fill=true,Per=월</stp>
        <tr r="F160" s="2"/>
      </tp>
      <tp>
        <v>-24.489999999999782</v>
        <stp/>
        <stp>P</stp>
        <stp>0</stp>
        <stp>IDX</stp>
        <stp>QGS01P</stp>
        <stp>전일대비</stp>
        <stp>45539</stp>
        <stp>Fill=true,Per=월</stp>
        <tr r="F69" s="2"/>
      </tp>
      <tp>
        <v>0.78999999999996362</v>
        <stp/>
        <stp>P</stp>
        <stp>0</stp>
        <stp>IDX</stp>
        <stp>XGS08P</stp>
        <stp>전일대비</stp>
        <stp>45539</stp>
        <stp>Fill=true,Per=월</stp>
        <tr r="F161" s="2"/>
      </tp>
      <tp>
        <v>-10.289999999999964</v>
        <stp/>
        <stp>P</stp>
        <stp>0</stp>
        <stp>IDX</stp>
        <stp>X3S08P</stp>
        <stp>전일대비</stp>
        <stp>45539</stp>
        <stp>Fill=true,Per=월</stp>
        <tr r="F182" s="2"/>
      </tp>
      <tp>
        <v>-31.769999999999982</v>
        <stp/>
        <stp>P</stp>
        <stp>0</stp>
        <stp>IDX</stp>
        <stp>QGS02P</stp>
        <stp>전일대비</stp>
        <stp>45539</stp>
        <stp>Fill=true,Per=월</stp>
        <tr r="F29" s="2"/>
      </tp>
      <tp>
        <v>-26.959999999999923</v>
        <stp/>
        <stp>P</stp>
        <stp>0</stp>
        <stp>IDX</stp>
        <stp>Q5S02P</stp>
        <stp>전일대비</stp>
        <stp>45539</stp>
        <stp>Fill=true,Per=월</stp>
        <tr r="F202" s="2"/>
      </tp>
      <tp>
        <v>-0.60999999999999943</v>
        <stp/>
        <stp>P</stp>
        <stp>0</stp>
        <stp>IDX</stp>
        <stp>QGS03P</stp>
        <stp>전일대비</stp>
        <stp>45539</stp>
        <stp>Fill=true,Per=월</stp>
        <tr r="F93" s="2"/>
      </tp>
      <tp>
        <v>-94.319999999999709</v>
        <stp/>
        <stp>P</stp>
        <stp>0</stp>
        <stp>IDX</stp>
        <stp>Q5S03P</stp>
        <stp>전일대비</stp>
        <stp>45539</stp>
        <stp>Fill=true,Per=월</stp>
        <tr r="F201" s="2"/>
      </tp>
      <tp>
        <v>5.0499999999999545</v>
        <stp/>
        <stp>P</stp>
        <stp>0</stp>
        <stp>IDX</stp>
        <stp>QGS04P</stp>
        <stp>전일대비</stp>
        <stp>45539</stp>
        <stp>Fill=true,Per=월</stp>
        <tr r="F84" s="2"/>
      </tp>
      <tp>
        <v>-29.789999999999964</v>
        <stp/>
        <stp>P</stp>
        <stp>0</stp>
        <stp>IDX</stp>
        <stp>Q5S04P</stp>
        <stp>전일대비</stp>
        <stp>45539</stp>
        <stp>Fill=true,Per=월</stp>
        <tr r="F200" s="2"/>
      </tp>
      <tp>
        <v>30.959999999999809</v>
        <stp/>
        <stp>P</stp>
        <stp>0</stp>
        <stp>IDX</stp>
        <stp>QGS05P</stp>
        <stp>전일대비</stp>
        <stp>45539</stp>
        <stp>Fill=true,Per=월</stp>
        <tr r="F80" s="2"/>
      </tp>
      <tp>
        <v>56.409999999999854</v>
        <stp/>
        <stp>P</stp>
        <stp>0</stp>
        <stp>IDX</stp>
        <stp>Q5S05P</stp>
        <stp>전일대비</stp>
        <stp>45539</stp>
        <stp>Fill=true,Per=월</stp>
        <tr r="F199" s="2"/>
      </tp>
      <tp>
        <v>3.6100000000000136</v>
        <stp/>
        <stp>P</stp>
        <stp>0</stp>
        <stp>IDX</stp>
        <stp>Q5S06P</stp>
        <stp>전일대비</stp>
        <stp>45539</stp>
        <stp>Fill=true,Per=월</stp>
        <tr r="F198" s="2"/>
      </tp>
      <tp>
        <v>4.7400000000000091</v>
        <stp/>
        <stp>P</stp>
        <stp>0</stp>
        <stp>IDX</stp>
        <stp>Q5S07P</stp>
        <stp>전일대비</stp>
        <stp>45539</stp>
        <stp>Fill=true,Per=월</stp>
        <tr r="F197" s="2"/>
      </tp>
      <tp>
        <v>-1.5300000000002001</v>
        <stp/>
        <stp>P</stp>
        <stp>0</stp>
        <stp>IDX</stp>
        <stp>K2V02P</stp>
        <stp>전일대비</stp>
        <stp>45539</stp>
        <stp>Fill=true,Per=월</stp>
        <tr r="F376" s="2"/>
      </tp>
      <tp>
        <v>-2.0899999999999181</v>
        <stp/>
        <stp>P</stp>
        <stp>0</stp>
        <stp>IDX</stp>
        <stp>K2V03P</stp>
        <stp>전일대비</stp>
        <stp>45539</stp>
        <stp>Fill=true,Per=월</stp>
        <tr r="F377" s="2"/>
      </tp>
      <tp>
        <v>-1.0399999999999636</v>
        <stp/>
        <stp>P</stp>
        <stp>0</stp>
        <stp>IDX</stp>
        <stp>K2V01P</stp>
        <stp>전일대비</stp>
        <stp>45539</stp>
        <stp>Fill=true,Per=월</stp>
        <tr r="F375" s="2"/>
      </tp>
      <tp>
        <v>-2.4900000000000091</v>
        <stp/>
        <stp>P</stp>
        <stp>0</stp>
        <stp>IDX</stp>
        <stp>K2V04P</stp>
        <stp>전일대비</stp>
        <stp>45539</stp>
        <stp>Fill=true,Per=월</stp>
        <tr r="F378" s="2"/>
      </tp>
      <tp>
        <v>-4.7000000000000455</v>
        <stp/>
        <stp>P</stp>
        <stp>0</stp>
        <stp>IDX</stp>
        <stp>F2V02P</stp>
        <stp>전일대비</stp>
        <stp>45539</stp>
        <stp>Fill=true,Per=월</stp>
        <tr r="F224" s="2"/>
      </tp>
      <tp>
        <v>-5.2799999999999727</v>
        <stp/>
        <stp>P</stp>
        <stp>0</stp>
        <stp>IDX</stp>
        <stp>XGV01P</stp>
        <stp>전일대비</stp>
        <stp>45539</stp>
        <stp>Fill=true,Per=월</stp>
        <tr r="F136" s="2"/>
      </tp>
      <tp>
        <v>-4.2599999999999909</v>
        <stp/>
        <stp>P</stp>
        <stp>0</stp>
        <stp>IDX</stp>
        <stp>XGV02P</stp>
        <stp>전일대비</stp>
        <stp>45539</stp>
        <stp>Fill=true,Per=월</stp>
        <tr r="F135" s="2"/>
      </tp>
      <tp>
        <v>11.870000000000118</v>
        <stp/>
        <stp>P</stp>
        <stp>0</stp>
        <stp>IDX</stp>
        <stp>K2W02P</stp>
        <stp>전일대비</stp>
        <stp>45539</stp>
        <stp>Fill=true,Per=월</stp>
        <tr r="F17" s="2"/>
      </tp>
      <tp>
        <v>14.160000000000082</v>
        <stp/>
        <stp>P</stp>
        <stp>0</stp>
        <stp>IDX</stp>
        <stp>K2W03P</stp>
        <stp>전일대비</stp>
        <stp>45539</stp>
        <stp>Fill=true,Per=월</stp>
        <tr r="F20" s="2"/>
      </tp>
      <tp>
        <v>3.8000000000001819</v>
        <stp/>
        <stp>P</stp>
        <stp>0</stp>
        <stp>IDX</stp>
        <stp>K2W01P</stp>
        <stp>전일대비</stp>
        <stp>45539</stp>
        <stp>Fill=true,Per=월</stp>
        <tr r="F11" s="2"/>
      </tp>
      <tp>
        <v>-11.019999999999982</v>
        <stp/>
        <stp>P</stp>
        <stp>0</stp>
        <stp>IDX</stp>
        <stp>K2W04P</stp>
        <stp>전일대비</stp>
        <stp>45539</stp>
        <stp>Fill=true,Per=월</stp>
        <tr r="F209" s="2"/>
      </tp>
      <tp>
        <v>6.5</v>
        <stp/>
        <stp>P</stp>
        <stp>0</stp>
        <stp>IDX</stp>
        <stp>XGW01P</stp>
        <stp>전일대비</stp>
        <stp>45539</stp>
        <stp>Fill=true,Per=월</stp>
        <tr r="F14" s="2"/>
      </tp>
      <tp>
        <v>-20.639999999999986</v>
        <stp/>
        <stp>P</stp>
        <stp>0</stp>
        <stp>IDX</stp>
        <stp>Q5W01P</stp>
        <stp>전일대비</stp>
        <stp>45539</stp>
        <stp>Fill=true,Per=월</stp>
        <tr r="F35" s="2"/>
      </tp>
      <tp>
        <v>-75.370000000000118</v>
        <stp/>
        <stp>P</stp>
        <stp>0</stp>
        <stp>IDX</stp>
        <stp>XGT11P</stp>
        <stp>전일대비</stp>
        <stp>45539</stp>
        <stp>Fill=true,Per=월</stp>
        <tr r="F141" s="2"/>
      </tp>
      <tp>
        <v>-81.4699999999998</v>
        <stp/>
        <stp>P</stp>
        <stp>0</stp>
        <stp>IDX</stp>
        <stp>XGT10P</stp>
        <stp>전일대비</stp>
        <stp>45539</stp>
        <stp>Fill=true,Per=월</stp>
        <tr r="F143" s="2"/>
      </tp>
      <tp>
        <v>-92.769999999999982</v>
        <stp/>
        <stp>P</stp>
        <stp>0</stp>
        <stp>IDX</stp>
        <stp>XGT10T</stp>
        <stp>전일대비</stp>
        <stp>45539</stp>
        <stp>Fill=true,Per=월</stp>
        <tr r="F142" s="2"/>
      </tp>
      <tp>
        <v>-34.360000000000127</v>
        <stp/>
        <stp>P</stp>
        <stp>0</stp>
        <stp>IDX</stp>
        <stp>XGT13P</stp>
        <stp>전일대비</stp>
        <stp>45539</stp>
        <stp>Fill=true,Per=월</stp>
        <tr r="F139" s="2"/>
      </tp>
      <tp>
        <v>12.919999999999845</v>
        <stp/>
        <stp>P</stp>
        <stp>0</stp>
        <stp>IDX</stp>
        <stp>XGT12P</stp>
        <stp>전일대비</stp>
        <stp>45539</stp>
        <stp>Fill=true,Per=월</stp>
        <tr r="F140" s="2"/>
      </tp>
      <tp>
        <v>-1.8700000000001182</v>
        <stp/>
        <stp>P</stp>
        <stp>0</stp>
        <stp>IDX</stp>
        <stp>XGT15P</stp>
        <stp>전일대비</stp>
        <stp>45539</stp>
        <stp>Fill=true,Per=월</stp>
        <tr r="F137" s="2"/>
      </tp>
      <tp>
        <v>-9.5299999999999727</v>
        <stp/>
        <stp>P</stp>
        <stp>0</stp>
        <stp>IDX</stp>
        <stp>XGT14P</stp>
        <stp>전일대비</stp>
        <stp>45539</stp>
        <stp>Fill=true,Per=월</stp>
        <tr r="F138" s="2"/>
      </tp>
      <tp>
        <v>-3.1599999999999682</v>
        <stp/>
        <stp>P</stp>
        <stp>0</stp>
        <stp>IDX</stp>
        <stp>KGT01P</stp>
        <stp>전일대비</stp>
        <stp>45539</stp>
        <stp>Fill=true,Per=월</stp>
        <tr r="F117" s="2"/>
      </tp>
      <tp>
        <v>-1.8199999999999363</v>
        <stp/>
        <stp>P</stp>
        <stp>0</stp>
        <stp>IDX</stp>
        <stp>K2T01P</stp>
        <stp>전일대비</stp>
        <stp>45539</stp>
        <stp>Fill=true,Per=월</stp>
        <tr r="F374" s="2"/>
      </tp>
      <tp>
        <v>-6.9999999999708962E-2</v>
        <stp/>
        <stp>P</stp>
        <stp>0</stp>
        <stp>IDX</stp>
        <stp>GGT02P</stp>
        <stp>전일대비</stp>
        <stp>45539</stp>
        <stp>Fill=true,Per=월</stp>
        <tr r="F341" s="2"/>
      </tp>
      <tp>
        <v>-94.259999999999764</v>
        <stp/>
        <stp>P</stp>
        <stp>0</stp>
        <stp>IDX</stp>
        <stp>GGT03P</stp>
        <stp>전일대비</stp>
        <stp>45539</stp>
        <stp>Fill=true,Per=월</stp>
        <tr r="F342" s="2"/>
      </tp>
      <tp>
        <v>-17.690000000000055</v>
        <stp/>
        <stp>P</stp>
        <stp>0</stp>
        <stp>IDX</stp>
        <stp>GGT01P</stp>
        <stp>전일대비</stp>
        <stp>45539</stp>
        <stp>Fill=true,Per=월</stp>
        <tr r="F340" s="2"/>
      </tp>
      <tp>
        <v>19.059999999999945</v>
        <stp/>
        <stp>P</stp>
        <stp>0</stp>
        <stp>IDX</stp>
        <stp>G2T01P</stp>
        <stp>전일대비</stp>
        <stp>45539</stp>
        <stp>Fill=true,Per=월</stp>
        <tr r="F329" s="2"/>
      </tp>
      <tp>
        <v>-19.3900000000001</v>
        <stp/>
        <stp>P</stp>
        <stp>0</stp>
        <stp>IDX</stp>
        <stp>XGT01P</stp>
        <stp>전일대비</stp>
        <stp>45539</stp>
        <stp>Fill=true,Per=월</stp>
        <tr r="F28" s="2"/>
      </tp>
      <tp>
        <v>-50.4399999999996</v>
        <stp/>
        <stp>P</stp>
        <stp>0</stp>
        <stp>IDX</stp>
        <stp>XGT03P</stp>
        <stp>전일대비</stp>
        <stp>45539</stp>
        <stp>Fill=true,Per=월</stp>
        <tr r="F45" s="2"/>
      </tp>
      <tp>
        <v>185.11999999999989</v>
        <stp/>
        <stp>P</stp>
        <stp>0</stp>
        <stp>IDX</stp>
        <stp>XGT02P</stp>
        <stp>전일대비</stp>
        <stp>45539</stp>
        <stp>Fill=true,Per=월</stp>
        <tr r="F40" s="2"/>
      </tp>
      <tp>
        <v>-15.840000000000032</v>
        <stp/>
        <stp>P</stp>
        <stp>0</stp>
        <stp>IDX</stp>
        <stp>XGT05P</stp>
        <stp>전일대비</stp>
        <stp>45539</stp>
        <stp>Fill=true,Per=월</stp>
        <tr r="F150" s="2"/>
      </tp>
      <tp>
        <v>-16.629999999999995</v>
        <stp/>
        <stp>P</stp>
        <stp>0</stp>
        <stp>IDX</stp>
        <stp>XGT04P</stp>
        <stp>전일대비</stp>
        <stp>45539</stp>
        <stp>Fill=true,Per=월</stp>
        <tr r="F151" s="2"/>
      </tp>
      <tp>
        <v>-19.730000000000018</v>
        <stp/>
        <stp>P</stp>
        <stp>0</stp>
        <stp>IDX</stp>
        <stp>XGT07P</stp>
        <stp>전일대비</stp>
        <stp>45539</stp>
        <stp>Fill=true,Per=월</stp>
        <tr r="F147" s="2"/>
      </tp>
      <tp>
        <v>-16.879999999999882</v>
        <stp/>
        <stp>P</stp>
        <stp>0</stp>
        <stp>IDX</stp>
        <stp>XGT06P</stp>
        <stp>전일대비</stp>
        <stp>45539</stp>
        <stp>Fill=true,Per=월</stp>
        <tr r="F149" s="2"/>
      </tp>
      <tp>
        <v>-20.680000000000064</v>
        <stp/>
        <stp>P</stp>
        <stp>0</stp>
        <stp>IDX</stp>
        <stp>XGT06T</stp>
        <stp>전일대비</stp>
        <stp>45539</stp>
        <stp>Fill=true,Per=월</stp>
        <tr r="F148" s="2"/>
      </tp>
      <tp>
        <v>-0.23000000000001819</v>
        <stp/>
        <stp>P</stp>
        <stp>0</stp>
        <stp>IDX</stp>
        <stp>XGT09P</stp>
        <stp>전일대비</stp>
        <stp>45539</stp>
        <stp>Fill=true,Per=월</stp>
        <tr r="F144" s="2"/>
      </tp>
      <tp>
        <v>10.960000000000036</v>
        <stp/>
        <stp>P</stp>
        <stp>0</stp>
        <stp>IDX</stp>
        <stp>XGT08P</stp>
        <stp>전일대비</stp>
        <stp>45539</stp>
        <stp>Fill=true,Per=월</stp>
        <tr r="F146" s="2"/>
      </tp>
      <tp>
        <v>12.950000000000273</v>
        <stp/>
        <stp>P</stp>
        <stp>0</stp>
        <stp>IDX</stp>
        <stp>XGT08T</stp>
        <stp>전일대비</stp>
        <stp>45539</stp>
        <stp>Fill=true,Per=월</stp>
        <tr r="F145" s="2"/>
      </tp>
      <tp>
        <v>-32.090000000000146</v>
        <stp/>
        <stp>P</stp>
        <stp>0</stp>
        <stp>IDX</stp>
        <stp>K2B03P</stp>
        <stp>전일대비</stp>
        <stp>45539</stp>
        <stp>Fill=true,Per=월</stp>
        <tr r="F344" s="2"/>
      </tp>
      <tp>
        <v>39.460000000000036</v>
        <stp/>
        <stp>P</stp>
        <stp>0</stp>
        <stp>IDX</stp>
        <stp>K2B01P</stp>
        <stp>전일대비</stp>
        <stp>45539</stp>
        <stp>Fill=true,Per=월</stp>
        <tr r="F23" s="2"/>
      </tp>
      <tp>
        <v>25.670000000000073</v>
        <stp/>
        <stp>P</stp>
        <stp>0</stp>
        <stp>IDX</stp>
        <stp>XGB05P</stp>
        <stp>전일대비</stp>
        <stp>45539</stp>
        <stp>Fill=true,Per=월</stp>
        <tr r="F176" s="2"/>
      </tp>
      <tp>
        <v>-10.340000000000146</v>
        <stp/>
        <stp>P</stp>
        <stp>0</stp>
        <stp>IDX</stp>
        <stp>MGA14P</stp>
        <stp>전일대비</stp>
        <stp>45539</stp>
        <stp>Fill=true,Per=월</stp>
        <tr r="F108" s="2"/>
      </tp>
      <tp>
        <v>3.7799999999999727</v>
        <stp/>
        <stp>P</stp>
        <stp>0</stp>
        <stp>IDX</stp>
        <stp>MGA15P</stp>
        <stp>전일대비</stp>
        <stp>45539</stp>
        <stp>Fill=true,Per=월</stp>
        <tr r="F110" s="2"/>
      </tp>
      <tp>
        <v>3.1299999999998818</v>
        <stp/>
        <stp>P</stp>
        <stp>0</stp>
        <stp>IDX</stp>
        <stp>MGA16T</stp>
        <stp>전일대비</stp>
        <stp>45539</stp>
        <stp>Fill=true,Per=월</stp>
        <tr r="F106" s="2"/>
      </tp>
      <tp>
        <v>-15.910000000000082</v>
        <stp/>
        <stp>P</stp>
        <stp>0</stp>
        <stp>IDX</stp>
        <stp>MGA10P</stp>
        <stp>전일대비</stp>
        <stp>45539</stp>
        <stp>Fill=true,Per=월</stp>
        <tr r="F121" s="2"/>
      </tp>
      <tp>
        <v>9.4200000000000728</v>
        <stp/>
        <stp>P</stp>
        <stp>0</stp>
        <stp>IDX</stp>
        <stp>MGA11P</stp>
        <stp>전일대비</stp>
        <stp>45539</stp>
        <stp>Fill=true,Per=월</stp>
        <tr r="F107" s="2"/>
      </tp>
      <tp>
        <v>-2.6600000000003092</v>
        <stp/>
        <stp>P</stp>
        <stp>0</stp>
        <stp>IDX</stp>
        <stp>MGA12P</stp>
        <stp>전일대비</stp>
        <stp>45539</stp>
        <stp>Fill=true,Per=월</stp>
        <tr r="F104" s="2"/>
      </tp>
      <tp>
        <v>-8.0799999999999272</v>
        <stp/>
        <stp>P</stp>
        <stp>0</stp>
        <stp>IDX</stp>
        <stp>MGA13T</stp>
        <stp>전일대비</stp>
        <stp>45539</stp>
        <stp>Fill=true,Per=월</stp>
        <tr r="F99" s="2"/>
      </tp>
      <tp>
        <v>-4.3400000000001455</v>
        <stp/>
        <stp>P</stp>
        <stp>0</stp>
        <stp>IDX</stp>
        <stp>MGA04P</stp>
        <stp>전일대비</stp>
        <stp>45539</stp>
        <stp>Fill=true,Per=월</stp>
        <tr r="F122" s="2"/>
      </tp>
      <tp>
        <v>-5.2000000000000455</v>
        <stp/>
        <stp>P</stp>
        <stp>0</stp>
        <stp>IDX</stp>
        <stp>MGA05P</stp>
        <stp>전일대비</stp>
        <stp>45539</stp>
        <stp>Fill=true,Per=월</stp>
        <tr r="F123" s="2"/>
      </tp>
      <tp>
        <v>26.870000000000118</v>
        <stp/>
        <stp>P</stp>
        <stp>0</stp>
        <stp>IDX</stp>
        <stp>MGA06P</stp>
        <stp>전일대비</stp>
        <stp>45539</stp>
        <stp>Fill=true,Per=월</stp>
        <tr r="F124" s="2"/>
      </tp>
      <tp>
        <v>2.3600000000001273</v>
        <stp/>
        <stp>P</stp>
        <stp>0</stp>
        <stp>IDX</stp>
        <stp>KGA01P</stp>
        <stp>전일대비</stp>
        <stp>45539</stp>
        <stp>Fill=true,Per=월</stp>
        <tr r="F383" s="2"/>
      </tp>
      <tp>
        <v>-7.2000000000000455</v>
        <stp/>
        <stp>P</stp>
        <stp>0</stp>
        <stp>IDX</stp>
        <stp>MGA07P</stp>
        <stp>전일대비</stp>
        <stp>45539</stp>
        <stp>Fill=true,Per=월</stp>
        <tr r="F125" s="2"/>
      </tp>
      <tp>
        <v>-57.800000000000182</v>
        <stp/>
        <stp>P</stp>
        <stp>0</stp>
        <stp>IDX</stp>
        <stp>MGA01P</stp>
        <stp>전일대비</stp>
        <stp>45539</stp>
        <stp>Fill=true,Per=월</stp>
        <tr r="F111" s="2"/>
      </tp>
      <tp>
        <v>-23.079999999999927</v>
        <stp/>
        <stp>P</stp>
        <stp>0</stp>
        <stp>IDX</stp>
        <stp>MGA02P</stp>
        <stp>전일대비</stp>
        <stp>45539</stp>
        <stp>Fill=true,Per=월</stp>
        <tr r="F112" s="2"/>
      </tp>
      <tp>
        <v>-9.1500000000000909</v>
        <stp/>
        <stp>P</stp>
        <stp>0</stp>
        <stp>IDX</stp>
        <stp>MGA03P</stp>
        <stp>전일대비</stp>
        <stp>45539</stp>
        <stp>Fill=true,Per=월</stp>
        <tr r="F120" s="2"/>
      </tp>
      <tp>
        <v>-13.279999999999973</v>
        <stp/>
        <stp>P</stp>
        <stp>0</stp>
        <stp>IDX</stp>
        <stp>FGA07P</stp>
        <stp>전일대비</stp>
        <stp>45539</stp>
        <stp>Fill=true,Per=월</stp>
        <tr r="F291" s="2"/>
      </tp>
      <tp>
        <v>-6.2200000000000273</v>
        <stp/>
        <stp>P</stp>
        <stp>0</stp>
        <stp>IDX</stp>
        <stp>FGA06P</stp>
        <stp>전일대비</stp>
        <stp>45539</stp>
        <stp>Fill=true,Per=월</stp>
        <tr r="F290" s="2"/>
      </tp>
      <tp>
        <v>-6.4100000000000819</v>
        <stp/>
        <stp>P</stp>
        <stp>0</stp>
        <stp>IDX</stp>
        <stp>FGA05P</stp>
        <stp>전일대비</stp>
        <stp>45539</stp>
        <stp>Fill=true,Per=월</stp>
        <tr r="F289" s="2"/>
      </tp>
      <tp>
        <v>0.74000000000000909</v>
        <stp/>
        <stp>P</stp>
        <stp>0</stp>
        <stp>IDX</stp>
        <stp>FGA04T</stp>
        <stp>전일대비</stp>
        <stp>45539</stp>
        <stp>Fill=true,Per=월</stp>
        <tr r="F288" s="2"/>
      </tp>
      <tp>
        <v>-1.3299999999999272</v>
        <stp/>
        <stp>P</stp>
        <stp>0</stp>
        <stp>IDX</stp>
        <stp>MGA08P</stp>
        <stp>전일대비</stp>
        <stp>45539</stp>
        <stp>Fill=true,Per=월</stp>
        <tr r="F126" s="2"/>
      </tp>
      <tp>
        <v>-0.30999999999994543</v>
        <stp/>
        <stp>P</stp>
        <stp>0</stp>
        <stp>IDX</stp>
        <stp>FGA03T</stp>
        <stp>전일대비</stp>
        <stp>45539</stp>
        <stp>Fill=true,Per=월</stp>
        <tr r="F287" s="2"/>
      </tp>
      <tp>
        <v>0.39000000000010004</v>
        <stp/>
        <stp>P</stp>
        <stp>0</stp>
        <stp>IDX</stp>
        <stp>FTA02P</stp>
        <stp>전일대비</stp>
        <stp>45539</stp>
        <stp>Fill=true,Per=월</stp>
        <tr r="F316" s="2"/>
      </tp>
      <tp>
        <v>6.9600000000000364</v>
        <stp/>
        <stp>P</stp>
        <stp>0</stp>
        <stp>IDX</stp>
        <stp>MGA09P</stp>
        <stp>전일대비</stp>
        <stp>45539</stp>
        <stp>Fill=true,Per=월</stp>
        <tr r="F127" s="2"/>
      </tp>
      <tp>
        <v>0.63000000000010914</v>
        <stp/>
        <stp>P</stp>
        <stp>0</stp>
        <stp>IDX</stp>
        <stp>FTA01P</stp>
        <stp>전일대비</stp>
        <stp>45539</stp>
        <stp>Fill=true,Per=월</stp>
        <tr r="F315" s="2"/>
      </tp>
      <tp>
        <v>-2.3600000000000136</v>
        <stp/>
        <stp>P</stp>
        <stp>0</stp>
        <stp>IDX</stp>
        <stp>K2G10T</stp>
        <stp>전일대비</stp>
        <stp>45539</stp>
        <stp>Fill=true,Per=월</stp>
        <tr r="F362" s="2"/>
      </tp>
      <tp>
        <v>-1.8199999999999932</v>
        <stp/>
        <stp>P</stp>
        <stp>0</stp>
        <stp>IDX</stp>
        <stp>K2G10P</stp>
        <stp>전일대비</stp>
        <stp>45539</stp>
        <stp>Fill=true,Per=월</stp>
        <tr r="F361" s="2"/>
      </tp>
      <tp>
        <v>-2.2599999999999909</v>
        <stp/>
        <stp>P</stp>
        <stp>0</stp>
        <stp>IDX</stp>
        <stp>K2G10N</stp>
        <stp>전일대비</stp>
        <stp>45539</stp>
        <stp>Fill=true,Per=월</stp>
        <tr r="F360" s="2"/>
      </tp>
      <tp>
        <v>-13.100000000000136</v>
        <stp/>
        <stp>P</stp>
        <stp>0</stp>
        <stp>IDX</stp>
        <stp>QGG11P</stp>
        <stp>전일대비</stp>
        <stp>45539</stp>
        <stp>Fill=true,Per=월</stp>
        <tr r="F58" s="2"/>
      </tp>
      <tp>
        <v>-19.450000000000273</v>
        <stp/>
        <stp>P</stp>
        <stp>0</stp>
        <stp>IDX</stp>
        <stp>K2G02P</stp>
        <stp>전일대비</stp>
        <stp>45539</stp>
        <stp>Fill=true,Per=월</stp>
        <tr r="F18" s="2"/>
      </tp>
      <tp>
        <v>-18.559999999999945</v>
        <stp/>
        <stp>P</stp>
        <stp>0</stp>
        <stp>IDX</stp>
        <stp>K2G03P</stp>
        <stp>전일대비</stp>
        <stp>45539</stp>
        <stp>Fill=true,Per=월</stp>
        <tr r="F21" s="2"/>
      </tp>
      <tp>
        <v>-9.6799999999998363</v>
        <stp/>
        <stp>P</stp>
        <stp>0</stp>
        <stp>IDX</stp>
        <stp>KGG01P</stp>
        <stp>전일대비</stp>
        <stp>45539</stp>
        <stp>Fill=true,Per=월</stp>
        <tr r="F9" s="2"/>
      </tp>
      <tp>
        <v>-12.5300000000002</v>
        <stp/>
        <stp>P</stp>
        <stp>0</stp>
        <stp>IDX</stp>
        <stp>KGG01T</stp>
        <stp>전일대비</stp>
        <stp>45539</stp>
        <stp>Fill=true,Per=월</stp>
        <tr r="F116" s="2"/>
      </tp>
      <tp>
        <v>-3.5500000000000114</v>
        <stp/>
        <stp>P</stp>
        <stp>0</stp>
        <stp>IDX</stp>
        <stp>K2G01T</stp>
        <stp>전일대비</stp>
        <stp>45539</stp>
        <stp>Fill=true,Per=월</stp>
        <tr r="F351" s="2"/>
      </tp>
      <tp>
        <v>-2.75</v>
        <stp/>
        <stp>P</stp>
        <stp>0</stp>
        <stp>IDX</stp>
        <stp>K2G01P</stp>
        <stp>전일대비</stp>
        <stp>45539</stp>
        <stp>Fill=true,Per=월</stp>
        <tr r="F12" s="2"/>
      </tp>
      <tp>
        <v>-3.410000000000025</v>
        <stp/>
        <stp>P</stp>
        <stp>0</stp>
        <stp>IDX</stp>
        <stp>K2G01N</stp>
        <stp>전일대비</stp>
        <stp>45539</stp>
        <stp>Fill=true,Per=월</stp>
        <tr r="F350" s="2"/>
      </tp>
      <tp>
        <v>-3.5099999999999909</v>
        <stp/>
        <stp>P</stp>
        <stp>0</stp>
        <stp>IDX</stp>
        <stp>K2G06T</stp>
        <stp>전일대비</stp>
        <stp>45539</stp>
        <stp>Fill=true,Per=월</stp>
        <tr r="F356" s="2"/>
      </tp>
      <tp>
        <v>-2.7200000000000273</v>
        <stp/>
        <stp>P</stp>
        <stp>0</stp>
        <stp>IDX</stp>
        <stp>K2G06P</stp>
        <stp>전일대비</stp>
        <stp>45539</stp>
        <stp>Fill=true,Per=월</stp>
        <tr r="F355" s="2"/>
      </tp>
      <tp>
        <v>-3.3799999999999955</v>
        <stp/>
        <stp>P</stp>
        <stp>0</stp>
        <stp>IDX</stp>
        <stp>K2G06N</stp>
        <stp>전일대비</stp>
        <stp>45539</stp>
        <stp>Fill=true,Per=월</stp>
        <tr r="F354" s="2"/>
      </tp>
      <tp>
        <v>-433.07999999999993</v>
        <stp/>
        <stp>P</stp>
        <stp>0</stp>
        <stp>IDX</stp>
        <stp>GGG08P</stp>
        <stp>전일대비</stp>
        <stp>45539</stp>
        <stp>Fill=true,Per=월</stp>
        <tr r="F338" s="2"/>
      </tp>
      <tp>
        <v>-4.1300000000001091</v>
        <stp/>
        <stp>P</stp>
        <stp>0</stp>
        <stp>IDX</stp>
        <stp>K2G04P</stp>
        <stp>전일대비</stp>
        <stp>45539</stp>
        <stp>Fill=true,Per=월</stp>
        <tr r="F352" s="2"/>
      </tp>
      <tp>
        <v>-0.18999999999999773</v>
        <stp/>
        <stp>P</stp>
        <stp>0</stp>
        <stp>IDX</stp>
        <stp>K2G05P</stp>
        <stp>전일대비</stp>
        <stp>45539</stp>
        <stp>Fill=true,Per=월</stp>
        <tr r="F353" s="2"/>
      </tp>
      <tp>
        <v>-445.59000000000015</v>
        <stp/>
        <stp>P</stp>
        <stp>0</stp>
        <stp>IDX</stp>
        <stp>GGG06P</stp>
        <stp>전일대비</stp>
        <stp>45539</stp>
        <stp>Fill=true,Per=월</stp>
        <tr r="F336" s="2"/>
      </tp>
      <tp>
        <v>-289.89999999999964</v>
        <stp/>
        <stp>P</stp>
        <stp>0</stp>
        <stp>IDX</stp>
        <stp>GGG07P</stp>
        <stp>전일대비</stp>
        <stp>45539</stp>
        <stp>Fill=true,Per=월</stp>
        <tr r="F337" s="2"/>
      </tp>
      <tp>
        <v>10.049999999999727</v>
        <stp/>
        <stp>P</stp>
        <stp>0</stp>
        <stp>IDX</stp>
        <stp>GGG04P</stp>
        <stp>전일대비</stp>
        <stp>45539</stp>
        <stp>Fill=true,Per=월</stp>
        <tr r="F334" s="2"/>
      </tp>
      <tp>
        <v>-2.9499999999999886</v>
        <stp/>
        <stp>P</stp>
        <stp>0</stp>
        <stp>IDX</stp>
        <stp>K2G08T</stp>
        <stp>전일대비</stp>
        <stp>45539</stp>
        <stp>Fill=true,Per=월</stp>
        <tr r="F359" s="2"/>
      </tp>
      <tp>
        <v>-2.2799999999999727</v>
        <stp/>
        <stp>P</stp>
        <stp>0</stp>
        <stp>IDX</stp>
        <stp>K2G08P</stp>
        <stp>전일대비</stp>
        <stp>45539</stp>
        <stp>Fill=true,Per=월</stp>
        <tr r="F358" s="2"/>
      </tp>
      <tp>
        <v>-2.8299999999999841</v>
        <stp/>
        <stp>P</stp>
        <stp>0</stp>
        <stp>IDX</stp>
        <stp>K2G08N</stp>
        <stp>전일대비</stp>
        <stp>45539</stp>
        <stp>Fill=true,Per=월</stp>
        <tr r="F357" s="2"/>
      </tp>
      <tp>
        <v>-38.679999999999836</v>
        <stp/>
        <stp>P</stp>
        <stp>0</stp>
        <stp>IDX</stp>
        <stp>GGG05P</stp>
        <stp>전일대비</stp>
        <stp>45539</stp>
        <stp>Fill=true,Per=월</stp>
        <tr r="F335" s="2"/>
      </tp>
      <tp>
        <v>-1.6599999999999682</v>
        <stp/>
        <stp>P</stp>
        <stp>0</stp>
        <stp>IDX</stp>
        <stp>FRG03P</stp>
        <stp>전일대비</stp>
        <stp>45539</stp>
        <stp>Fill=true,Per=월</stp>
        <tr r="F300" s="2"/>
      </tp>
      <tp>
        <v>-579.13000000000011</v>
        <stp/>
        <stp>P</stp>
        <stp>0</stp>
        <stp>IDX</stp>
        <stp>GGG02P</stp>
        <stp>전일대비</stp>
        <stp>45539</stp>
        <stp>Fill=true,Per=월</stp>
        <tr r="F332" s="2"/>
      </tp>
      <tp>
        <v>-2.7599999999999909</v>
        <stp/>
        <stp>P</stp>
        <stp>0</stp>
        <stp>IDX</stp>
        <stp>FTG02P</stp>
        <stp>전일대비</stp>
        <stp>45539</stp>
        <stp>Fill=true,Per=월</stp>
        <tr r="F318" s="2"/>
      </tp>
      <tp>
        <v>3.3500000000000227</v>
        <stp/>
        <stp>P</stp>
        <stp>0</stp>
        <stp>IDX</stp>
        <stp>FRG02P</stp>
        <stp>전일대비</stp>
        <stp>45539</stp>
        <stp>Fill=true,Per=월</stp>
        <tr r="F299" s="2"/>
      </tp>
      <tp>
        <v>-38.920000000000073</v>
        <stp/>
        <stp>P</stp>
        <stp>0</stp>
        <stp>IDX</stp>
        <stp>GGG03P</stp>
        <stp>전일대비</stp>
        <stp>45539</stp>
        <stp>Fill=true,Per=월</stp>
        <tr r="F333" s="2"/>
      </tp>
      <tp>
        <v>-14.950000000000045</v>
        <stp/>
        <stp>P</stp>
        <stp>0</stp>
        <stp>IDX</stp>
        <stp>F2G02P</stp>
        <stp>전일대비</stp>
        <stp>45539</stp>
        <stp>Fill=true,Per=월</stp>
        <tr r="F213" s="2"/>
      </tp>
      <tp>
        <v>-0.81999999999993634</v>
        <stp/>
        <stp>P</stp>
        <stp>0</stp>
        <stp>IDX</stp>
        <stp>FTG01P</stp>
        <stp>전일대비</stp>
        <stp>45539</stp>
        <stp>Fill=true,Per=월</stp>
        <tr r="F317" s="2"/>
      </tp>
      <tp>
        <v>7.9600000000000364</v>
        <stp/>
        <stp>P</stp>
        <stp>0</stp>
        <stp>IDX</stp>
        <stp>FRG01T</stp>
        <stp>전일대비</stp>
        <stp>45539</stp>
        <stp>Fill=true,Per=월</stp>
        <tr r="F297" s="2"/>
      </tp>
      <tp>
        <v>6.2799999999999727</v>
        <stp/>
        <stp>P</stp>
        <stp>0</stp>
        <stp>IDX</stp>
        <stp>FRG01P</stp>
        <stp>전일대비</stp>
        <stp>45539</stp>
        <stp>Fill=true,Per=월</stp>
        <tr r="F210" s="2"/>
      </tp>
      <tp>
        <v>19.810000000000173</v>
        <stp/>
        <stp>P</stp>
        <stp>0</stp>
        <stp>IDX</stp>
        <stp>FGG01P</stp>
        <stp>전일대비</stp>
        <stp>45539</stp>
        <stp>Fill=true,Per=월</stp>
        <tr r="F292" s="2"/>
      </tp>
      <tp>
        <v>-14.5</v>
        <stp/>
        <stp>P</stp>
        <stp>0</stp>
        <stp>IDX</stp>
        <stp>F5G01P</stp>
        <stp>전일대비</stp>
        <stp>45539</stp>
        <stp>Fill=true,Per=월</stp>
        <tr r="F275" s="2"/>
      </tp>
      <tp>
        <v>-10.240000000000009</v>
        <stp/>
        <stp>P</stp>
        <stp>0</stp>
        <stp>IDX</stp>
        <stp>F3G01P</stp>
        <stp>전일대비</stp>
        <stp>45539</stp>
        <stp>Fill=true,Per=월</stp>
        <tr r="F269" s="2"/>
      </tp>
      <tp>
        <v>-17.629999999999882</v>
        <stp/>
        <stp>P</stp>
        <stp>0</stp>
        <stp>IDX</stp>
        <stp>F2G01P</stp>
        <stp>전일대비</stp>
        <stp>45539</stp>
        <stp>Fill=true,Per=월</stp>
        <tr r="F212" s="2"/>
      </tp>
      <tp>
        <v>-29.449999999999818</v>
        <stp/>
        <stp>P</stp>
        <stp>0</stp>
        <stp>IDX</stp>
        <stp>GGG01P</stp>
        <stp>전일대비</stp>
        <stp>45539</stp>
        <stp>Fill=true,Per=월</stp>
        <tr r="F331" s="2"/>
      </tp>
      <tp>
        <v>-33.650000000000546</v>
        <stp/>
        <stp>P</stp>
        <stp>0</stp>
        <stp>IDX</stp>
        <stp>XGG01P</stp>
        <stp>전일대비</stp>
        <stp>45539</stp>
        <stp>Fill=true,Per=월</stp>
        <tr r="F15" s="2"/>
      </tp>
      <tp>
        <v>-16.569999999999709</v>
        <stp/>
        <stp>P</stp>
        <stp>0</stp>
        <stp>IDX</stp>
        <stp>X3G01T</stp>
        <stp>전일대비</stp>
        <stp>45539</stp>
        <stp>Fill=true,Per=월</stp>
        <tr r="F190" s="2"/>
      </tp>
      <tp>
        <v>-12.980000000000018</v>
        <stp/>
        <stp>P</stp>
        <stp>0</stp>
        <stp>IDX</stp>
        <stp>X3G01P</stp>
        <stp>전일대비</stp>
        <stp>45539</stp>
        <stp>Fill=true,Per=월</stp>
        <tr r="F10" s="2"/>
      </tp>
      <tp>
        <v>39.100000000000364</v>
        <stp/>
        <stp>P</stp>
        <stp>0</stp>
        <stp>IDX</stp>
        <stp>XGG02P</stp>
        <stp>전일대비</stp>
        <stp>45539</stp>
        <stp>Fill=true,Per=월</stp>
        <tr r="F129" s="2"/>
      </tp>
      <tp>
        <v>-7.2899999999999636</v>
        <stp/>
        <stp>P</stp>
        <stp>0</stp>
        <stp>IDX</stp>
        <stp>QGG01P</stp>
        <stp>전일대비</stp>
        <stp>45539</stp>
        <stp>Fill=true,Per=월</stp>
        <tr r="F26" s="2"/>
      </tp>
      <tp>
        <v>-8.0500000000000682</v>
        <stp/>
        <stp>P</stp>
        <stp>0</stp>
        <stp>IDX</stp>
        <stp>QGG01T</stp>
        <stp>전일대비</stp>
        <stp>45539</stp>
        <stp>Fill=true,Per=월</stp>
        <tr r="F128" s="2"/>
      </tp>
      <tp>
        <v>-13.700000000000045</v>
        <stp/>
        <stp>P</stp>
        <stp>0</stp>
        <stp>IDX</stp>
        <stp>Q5G01P</stp>
        <stp>전일대비</stp>
        <stp>45539</stp>
        <stp>Fill=true,Per=월</stp>
        <tr r="F34" s="2"/>
      </tp>
      <tp>
        <v>-14.769999999999982</v>
        <stp/>
        <stp>P</stp>
        <stp>0</stp>
        <stp>IDX</stp>
        <stp>Q5G01T</stp>
        <stp>전일대비</stp>
        <stp>45539</stp>
        <stp>Fill=true,Per=월</stp>
        <tr r="F203" s="2"/>
      </tp>
      <tp>
        <v>-19.799999999999955</v>
        <stp/>
        <stp>P</stp>
        <stp>0</stp>
        <stp>IDX</stp>
        <stp>QGG03P</stp>
        <stp>전일대비</stp>
        <stp>45539</stp>
        <stp>Fill=true,Per=월</stp>
        <tr r="F39" s="2"/>
      </tp>
      <tp>
        <v>17.079999999999927</v>
        <stp/>
        <stp>P</stp>
        <stp>0</stp>
        <stp>IDX</stp>
        <stp>QGG04P</stp>
        <stp>전일대비</stp>
        <stp>45539</stp>
        <stp>Fill=true,Per=월</stp>
        <tr r="F73" s="2"/>
      </tp>
      <tp>
        <v>-1.999999999998181E-2</v>
        <stp/>
        <stp>P</stp>
        <stp>0</stp>
        <stp>IDX</stp>
        <stp>TGG01P</stp>
        <stp>전일대비</stp>
        <stp>45539</stp>
        <stp>Fill=true,Per=월</stp>
        <tr r="F194" s="2"/>
      </tp>
      <tp>
        <v>-14.649999999999864</v>
        <stp/>
        <stp>P</stp>
        <stp>0</stp>
        <stp>IDX</stp>
        <stp>QGG05P</stp>
        <stp>전일대비</stp>
        <stp>45539</stp>
        <stp>Fill=true,Per=월</stp>
        <tr r="F60" s="2"/>
      </tp>
      <tp>
        <v>-80.470000000000255</v>
        <stp/>
        <stp>P</stp>
        <stp>0</stp>
        <stp>IDX</stp>
        <stp>QGG06P</stp>
        <stp>전일대비</stp>
        <stp>45539</stp>
        <stp>Fill=true,Per=월</stp>
        <tr r="F63" s="2"/>
      </tp>
      <tp>
        <v>-9.0299999999997453</v>
        <stp/>
        <stp>P</stp>
        <stp>0</stp>
        <stp>IDX</stp>
        <stp>TGG02P</stp>
        <stp>전일대비</stp>
        <stp>45539</stp>
        <stp>Fill=true,Per=월</stp>
        <tr r="F193" s="2"/>
      </tp>
      <tp>
        <v>37.050000000000182</v>
        <stp/>
        <stp>P</stp>
        <stp>0</stp>
        <stp>IDX</stp>
        <stp>KGD02P</stp>
        <stp>전일대비</stp>
        <stp>45539</stp>
        <stp>Fill=true,Per=월</stp>
        <tr r="F195" s="2"/>
      </tp>
      <tp>
        <v>61.729999999999563</v>
        <stp/>
        <stp>P</stp>
        <stp>0</stp>
        <stp>IDX</stp>
        <stp>KGD02T</stp>
        <stp>전일대비</stp>
        <stp>45539</stp>
        <stp>Fill=true,Per=월</stp>
        <tr r="F113" s="2"/>
      </tp>
      <tp>
        <v>19.879999999999882</v>
        <stp/>
        <stp>P</stp>
        <stp>0</stp>
        <stp>IDX</stp>
        <stp>K2D02P</stp>
        <stp>전일대비</stp>
        <stp>45539</stp>
        <stp>Fill=true,Per=월</stp>
        <tr r="F346" s="2"/>
      </tp>
      <tp>
        <v>50.610000000000127</v>
        <stp/>
        <stp>P</stp>
        <stp>0</stp>
        <stp>IDX</stp>
        <stp>KGD03P</stp>
        <stp>전일대비</stp>
        <stp>45539</stp>
        <stp>Fill=true,Per=월</stp>
        <tr r="F114" s="2"/>
      </tp>
      <tp>
        <v>68.989999999999782</v>
        <stp/>
        <stp>P</stp>
        <stp>0</stp>
        <stp>IDX</stp>
        <stp>KGD03T</stp>
        <stp>전일대비</stp>
        <stp>45539</stp>
        <stp>Fill=true,Per=월</stp>
        <tr r="F115" s="2"/>
      </tp>
      <tp>
        <v>-2.8199999999999932</v>
        <stp/>
        <stp>P</stp>
        <stp>0</stp>
        <stp>IDX</stp>
        <stp>K2D03N</stp>
        <stp>전일대비</stp>
        <stp>45539</stp>
        <stp>Fill=true,Per=월</stp>
        <tr r="F347" s="2"/>
      </tp>
      <tp>
        <v>-14.25</v>
        <stp/>
        <stp>P</stp>
        <stp>0</stp>
        <stp>IDX</stp>
        <stp>KGD01P</stp>
        <stp>전일대비</stp>
        <stp>45539</stp>
        <stp>Fill=true,Per=월</stp>
        <tr r="F298" s="2"/>
      </tp>
      <tp>
        <v>27.090000000000146</v>
        <stp/>
        <stp>P</stp>
        <stp>0</stp>
        <stp>IDX</stp>
        <stp>K2D01P</stp>
        <stp>전일대비</stp>
        <stp>45539</stp>
        <stp>Fill=true,Per=월</stp>
        <tr r="F345" s="2"/>
      </tp>
      <tp>
        <v>-3.3300000000001546</v>
        <stp/>
        <stp>P</stp>
        <stp>0</stp>
        <stp>IDX</stp>
        <stp>XGD02P</stp>
        <stp>전일대비</stp>
        <stp>45539</stp>
        <stp>Fill=true,Per=월</stp>
        <tr r="F175" s="2"/>
      </tp>
      <tp>
        <v>-3.8499999999999091</v>
        <stp/>
        <stp>P</stp>
        <stp>0</stp>
        <stp>IDX</stp>
        <stp>K2E02P</stp>
        <stp>전일대비</stp>
        <stp>45539</stp>
        <stp>Fill=true,Per=월</stp>
        <tr r="F349" s="2"/>
      </tp>
      <tp>
        <v>-0.49000000000000909</v>
        <stp/>
        <stp>P</stp>
        <stp>0</stp>
        <stp>IDX</stp>
        <stp>K2E01P</stp>
        <stp>전일대비</stp>
        <stp>45539</stp>
        <stp>Fill=true,Per=월</stp>
        <tr r="F348" s="2"/>
      </tp>
      <tp>
        <v>-14</v>
        <stp/>
        <stp>P</stp>
        <stp>0</stp>
        <stp>IDX</stp>
        <stp>GGE01P</stp>
        <stp>전일대비</stp>
        <stp>45539</stp>
        <stp>Fill=true,Per=월</stp>
        <tr r="F330" s="2"/>
      </tp>
      <tp>
        <v>5.9600000000000364</v>
        <stp/>
        <stp>P</stp>
        <stp>0</stp>
        <stp>IDX</stp>
        <stp>XGE01P</stp>
        <stp>전일대비</stp>
        <stp>45539</stp>
        <stp>Fill=true,Per=월</stp>
        <tr r="F174" s="2"/>
      </tp>
      <tp>
        <v>-5.8399999999999181</v>
        <stp/>
        <stp>P</stp>
        <stp>0</stp>
        <stp>IDX</stp>
        <stp>X3E01P</stp>
        <stp>전일대비</stp>
        <stp>45539</stp>
        <stp>Fill=true,Per=월</stp>
        <tr r="F191" s="2"/>
      </tp>
      <tp>
        <v>11.940000000000055</v>
        <stp/>
        <stp>P</stp>
        <stp>0</stp>
        <stp>IDX</stp>
        <stp>XGE03P</stp>
        <stp>전일대비</stp>
        <stp>45539</stp>
        <stp>Fill=true,Per=월</stp>
        <tr r="F172" s="2"/>
      </tp>
      <tp>
        <v>8.7699999999999818</v>
        <stp/>
        <stp>P</stp>
        <stp>0</stp>
        <stp>IDX</stp>
        <stp>XGE02P</stp>
        <stp>전일대비</stp>
        <stp>45539</stp>
        <stp>Fill=true,Per=월</stp>
        <tr r="F173" s="2"/>
      </tp>
      <tp>
        <v>2.2800000000002001</v>
        <stp/>
        <stp>P</stp>
        <stp>0</stp>
        <stp>IDX</stp>
        <stp>XGE05P</stp>
        <stp>전일대비</stp>
        <stp>45539</stp>
        <stp>Fill=true,Per=월</stp>
        <tr r="F169" s="2"/>
      </tp>
      <tp>
        <v>5.4400000000000546</v>
        <stp/>
        <stp>P</stp>
        <stp>0</stp>
        <stp>IDX</stp>
        <stp>XGE04P</stp>
        <stp>전일대비</stp>
        <stp>45539</stp>
        <stp>Fill=true,Per=월</stp>
        <tr r="F171" s="2"/>
      </tp>
      <tp>
        <v>-33.580000000000155</v>
        <stp/>
        <stp>P</stp>
        <stp>0</stp>
        <stp>IDX</stp>
        <stp>Q5E01P</stp>
        <stp>전일대비</stp>
        <stp>45539</stp>
        <stp>Fill=true,Per=월</stp>
        <tr r="F204" s="2"/>
      </tp>
      <tp>
        <v>0</v>
        <stp/>
        <stp>P</stp>
        <stp>0</stp>
        <stp>IDX</stp>
        <stp>K2G06T</stp>
        <stp>누적거래대금</stp>
        <stp>45539</stp>
        <stp>Fill=true,Per=월</stp>
        <tr r="I356" s="2"/>
      </tp>
      <tp>
        <v>0</v>
        <stp/>
        <stp>P</stp>
        <stp>0</stp>
        <stp>IDX</stp>
        <stp>K2S06T</stp>
        <stp>누적거래대금</stp>
        <stp>45539</stp>
        <stp>Fill=true,Per=월</stp>
        <tr r="I368" s="2"/>
      </tp>
      <tp>
        <v>0</v>
        <stp/>
        <stp>P</stp>
        <stp>0</stp>
        <stp>IDX</stp>
        <stp>O2902P</stp>
        <stp>누적거래대금</stp>
        <stp>45539</stp>
        <stp>Fill=true,Per=월</stp>
        <tr r="I109" s="2"/>
      </tp>
      <tp>
        <v>14856199</v>
        <stp/>
        <stp>P</stp>
        <stp>0</stp>
        <stp>IDX</stp>
        <stp>K2G06P</stp>
        <stp>누적거래대금</stp>
        <stp>45539</stp>
        <stp>Fill=true,Per=월</stp>
        <tr r="I355" s="2"/>
      </tp>
      <tp>
        <v>1017737</v>
        <stp/>
        <stp>P</stp>
        <stp>0</stp>
        <stp>IDX</stp>
        <stp>K2S06P</stp>
        <stp>누적거래대금</stp>
        <stp>45539</stp>
        <stp>Fill=true,Per=월</stp>
        <tr r="I42" s="2"/>
      </tp>
      <tp>
        <v>0</v>
        <stp/>
        <stp>P</stp>
        <stp>0</stp>
        <stp>IDX</stp>
        <stp>K2X06P</stp>
        <stp>누적거래대금</stp>
        <stp>45539</stp>
        <stp>Fill=true,Per=월</stp>
        <tr r="I43" s="2"/>
      </tp>
      <tp>
        <v>0</v>
        <stp/>
        <stp>P</stp>
        <stp>0</stp>
        <stp>IDX</stp>
        <stp>K2G06N</stp>
        <stp>누적거래대금</stp>
        <stp>45539</stp>
        <stp>Fill=true,Per=월</stp>
        <tr r="I354" s="2"/>
      </tp>
      <tp>
        <v>0</v>
        <stp/>
        <stp>P</stp>
        <stp>0</stp>
        <stp>IDX</stp>
        <stp>OG912P</stp>
        <stp>누적거래대금</stp>
        <stp>45539</stp>
        <stp>Fill=true,Per=월</stp>
        <tr r="I207" s="2"/>
      </tp>
      <tp>
        <v>0</v>
        <stp/>
        <stp>P</stp>
        <stp>0</stp>
        <stp>IDX</stp>
        <stp>MGA10P</stp>
        <stp>누적거래대금</stp>
        <stp>45539</stp>
        <stp>Fill=true,Per=월</stp>
        <tr r="I121" s="2"/>
      </tp>
      <tp>
        <v>23873</v>
        <stp/>
        <stp>P</stp>
        <stp>0</stp>
        <stp>IDX</stp>
        <stp>KGS06P</stp>
        <stp>누적거래대금</stp>
        <stp>45539</stp>
        <stp>Fill=true,Per=월</stp>
        <tr r="I89" s="2"/>
      </tp>
      <tp>
        <v>157484</v>
        <stp/>
        <stp>P</stp>
        <stp>0</stp>
        <stp>IDX</stp>
        <stp>KGS16P</stp>
        <stp>누적거래대금</stp>
        <stp>45539</stp>
        <stp>Fill=true,Per=월</stp>
        <tr r="I79" s="2"/>
      </tp>
      <tp>
        <v>0</v>
        <stp/>
        <stp>P</stp>
        <stp>0</stp>
        <stp>IDX</stp>
        <stp>K2S07T</stp>
        <stp>누적거래대금</stp>
        <stp>45539</stp>
        <stp>Fill=true,Per=월</stp>
        <tr r="I369" s="2"/>
      </tp>
      <tp>
        <v>0</v>
        <stp/>
        <stp>P</stp>
        <stp>0</stp>
        <stp>IDX</stp>
        <stp>O2903P</stp>
        <stp>누적거래대금</stp>
        <stp>45539</stp>
        <stp>Fill=true,Per=월</stp>
        <tr r="I103" s="2"/>
      </tp>
      <tp>
        <v>4715725</v>
        <stp/>
        <stp>P</stp>
        <stp>0</stp>
        <stp>IDX</stp>
        <stp>K2S07P</stp>
        <stp>누적거래대금</stp>
        <stp>45539</stp>
        <stp>Fill=true,Per=월</stp>
        <tr r="I25" s="2"/>
      </tp>
      <tp>
        <v>0</v>
        <stp/>
        <stp>P</stp>
        <stp>0</stp>
        <stp>IDX</stp>
        <stp>K2X07P</stp>
        <stp>누적거래대금</stp>
        <stp>45539</stp>
        <stp>Fill=true,Per=월</stp>
        <tr r="I71" s="2"/>
      </tp>
      <tp t="s">
        <v/>
        <stp/>
        <stp>P</stp>
        <stp>0</stp>
        <stp>IDX</stp>
        <stp>F5X08T</stp>
        <stp>기관순매수금액</stp>
        <stp>45539</stp>
        <stp>Fill=true,Per=월</stp>
        <tr r="N283" s="2"/>
      </tp>
      <tp t="s">
        <v/>
        <stp/>
        <stp>P</stp>
        <stp>0</stp>
        <stp>IDX</stp>
        <stp>F5X09T</stp>
        <stp>기관순매수금액</stp>
        <stp>45539</stp>
        <stp>Fill=true,Per=월</stp>
        <tr r="N284" s="2"/>
      </tp>
      <tp t="s">
        <v/>
        <stp/>
        <stp>P</stp>
        <stp>0</stp>
        <stp>IDX</stp>
        <stp>F5X06T</stp>
        <stp>기관순매수금액</stp>
        <stp>45539</stp>
        <stp>Fill=true,Per=월</stp>
        <tr r="N281" s="2"/>
      </tp>
      <tp t="s">
        <v/>
        <stp/>
        <stp>P</stp>
        <stp>0</stp>
        <stp>IDX</stp>
        <stp>F5X07T</stp>
        <stp>기관순매수금액</stp>
        <stp>45539</stp>
        <stp>Fill=true,Per=월</stp>
        <tr r="N282" s="2"/>
      </tp>
      <tp t="s">
        <v/>
        <stp/>
        <stp>P</stp>
        <stp>0</stp>
        <stp>IDX</stp>
        <stp>F5X04T</stp>
        <stp>기관순매수금액</stp>
        <stp>45539</stp>
        <stp>Fill=true,Per=월</stp>
        <tr r="N279" s="2"/>
      </tp>
      <tp t="s">
        <v/>
        <stp/>
        <stp>P</stp>
        <stp>0</stp>
        <stp>IDX</stp>
        <stp>F5X05T</stp>
        <stp>기관순매수금액</stp>
        <stp>45539</stp>
        <stp>Fill=true,Per=월</stp>
        <tr r="N280" s="2"/>
      </tp>
      <tp t="s">
        <v/>
        <stp/>
        <stp>P</stp>
        <stp>0</stp>
        <stp>IDX</stp>
        <stp>F5X02T</stp>
        <stp>기관순매수금액</stp>
        <stp>45539</stp>
        <stp>Fill=true,Per=월</stp>
        <tr r="N277" s="2"/>
      </tp>
      <tp t="s">
        <v/>
        <stp/>
        <stp>P</stp>
        <stp>0</stp>
        <stp>IDX</stp>
        <stp>F5X03T</stp>
        <stp>기관순매수금액</stp>
        <stp>45539</stp>
        <stp>Fill=true,Per=월</stp>
        <tr r="N278" s="2"/>
      </tp>
      <tp t="s">
        <v/>
        <stp/>
        <stp>P</stp>
        <stp>0</stp>
        <stp>IDX</stp>
        <stp>F5X01T</stp>
        <stp>기관순매수금액</stp>
        <stp>45539</stp>
        <stp>Fill=true,Per=월</stp>
        <tr r="N276" s="2"/>
      </tp>
      <tp t="s">
        <v/>
        <stp/>
        <stp>P</stp>
        <stp>0</stp>
        <stp>IDX</stp>
        <stp>F5X10T</stp>
        <stp>기관순매수금액</stp>
        <stp>45539</stp>
        <stp>Fill=true,Per=월</stp>
        <tr r="N285" s="2"/>
      </tp>
      <tp t="s">
        <v/>
        <stp/>
        <stp>P</stp>
        <stp>0</stp>
        <stp>IDX</stp>
        <stp>F5X06T</stp>
        <stp>개인순매수금액</stp>
        <stp>45539</stp>
        <stp>Fill=true,Per=월</stp>
        <tr r="M281" s="2"/>
      </tp>
      <tp t="s">
        <v/>
        <stp/>
        <stp>P</stp>
        <stp>0</stp>
        <stp>IDX</stp>
        <stp>F5X07T</stp>
        <stp>개인순매수금액</stp>
        <stp>45539</stp>
        <stp>Fill=true,Per=월</stp>
        <tr r="M282" s="2"/>
      </tp>
      <tp t="s">
        <v/>
        <stp/>
        <stp>P</stp>
        <stp>0</stp>
        <stp>IDX</stp>
        <stp>F5X04T</stp>
        <stp>개인순매수금액</stp>
        <stp>45539</stp>
        <stp>Fill=true,Per=월</stp>
        <tr r="M279" s="2"/>
      </tp>
      <tp t="s">
        <v/>
        <stp/>
        <stp>P</stp>
        <stp>0</stp>
        <stp>IDX</stp>
        <stp>F5X05T</stp>
        <stp>개인순매수금액</stp>
        <stp>45539</stp>
        <stp>Fill=true,Per=월</stp>
        <tr r="M280" s="2"/>
      </tp>
      <tp t="s">
        <v/>
        <stp/>
        <stp>P</stp>
        <stp>0</stp>
        <stp>IDX</stp>
        <stp>F5X02T</stp>
        <stp>개인순매수금액</stp>
        <stp>45539</stp>
        <stp>Fill=true,Per=월</stp>
        <tr r="M277" s="2"/>
      </tp>
      <tp t="s">
        <v/>
        <stp/>
        <stp>P</stp>
        <stp>0</stp>
        <stp>IDX</stp>
        <stp>F5X03T</stp>
        <stp>개인순매수금액</stp>
        <stp>45539</stp>
        <stp>Fill=true,Per=월</stp>
        <tr r="M278" s="2"/>
      </tp>
      <tp t="s">
        <v/>
        <stp/>
        <stp>P</stp>
        <stp>0</stp>
        <stp>IDX</stp>
        <stp>F5X01T</stp>
        <stp>개인순매수금액</stp>
        <stp>45539</stp>
        <stp>Fill=true,Per=월</stp>
        <tr r="M276" s="2"/>
      </tp>
      <tp t="s">
        <v/>
        <stp/>
        <stp>P</stp>
        <stp>0</stp>
        <stp>IDX</stp>
        <stp>F5X08T</stp>
        <stp>개인순매수금액</stp>
        <stp>45539</stp>
        <stp>Fill=true,Per=월</stp>
        <tr r="M283" s="2"/>
      </tp>
      <tp t="s">
        <v/>
        <stp/>
        <stp>P</stp>
        <stp>0</stp>
        <stp>IDX</stp>
        <stp>F5X09T</stp>
        <stp>개인순매수금액</stp>
        <stp>45539</stp>
        <stp>Fill=true,Per=월</stp>
        <tr r="M284" s="2"/>
      </tp>
      <tp t="s">
        <v/>
        <stp/>
        <stp>P</stp>
        <stp>0</stp>
        <stp>IDX</stp>
        <stp>F5X10T</stp>
        <stp>개인순매수금액</stp>
        <stp>45539</stp>
        <stp>Fill=true,Per=월</stp>
        <tr r="M285" s="2"/>
      </tp>
      <tp t="s">
        <v/>
        <stp/>
        <stp>P</stp>
        <stp>0</stp>
        <stp>IDX</stp>
        <stp>Q5G01T</stp>
        <stp>개인순매수금액</stp>
        <stp>45539</stp>
        <stp>Fill=true,Per=월</stp>
        <tr r="M203" s="2"/>
      </tp>
      <tp t="s">
        <v/>
        <stp/>
        <stp>P</stp>
        <stp>0</stp>
        <stp>IDX</stp>
        <stp>Q5G01T</stp>
        <stp>기관순매수금액</stp>
        <stp>45539</stp>
        <stp>Fill=true,Per=월</stp>
        <tr r="N203" s="2"/>
      </tp>
      <tp t="s">
        <v/>
        <stp/>
        <stp>P</stp>
        <stp>0</stp>
        <stp>IDX</stp>
        <stp>F5902T</stp>
        <stp>기관순매수금액</stp>
        <stp>45539</stp>
        <stp>Fill=true,Per=월</stp>
        <tr r="N274" s="2"/>
      </tp>
      <tp t="s">
        <v/>
        <stp/>
        <stp>P</stp>
        <stp>0</stp>
        <stp>IDX</stp>
        <stp>F5902T</stp>
        <stp>개인순매수금액</stp>
        <stp>45539</stp>
        <stp>Fill=true,Per=월</stp>
        <tr r="M274" s="2"/>
      </tp>
      <tp>
        <v>0</v>
        <stp/>
        <stp>P</stp>
        <stp>0</stp>
        <stp>IDX</stp>
        <stp>OG913P</stp>
        <stp>누적거래대금</stp>
        <stp>45539</stp>
        <stp>Fill=true,Per=월</stp>
        <tr r="I206" s="2"/>
      </tp>
      <tp>
        <v>0</v>
        <stp/>
        <stp>P</stp>
        <stp>0</stp>
        <stp>IDX</stp>
        <stp>MGA01P</stp>
        <stp>누적거래대금</stp>
        <stp>45539</stp>
        <stp>Fill=true,Per=월</stp>
        <tr r="I111" s="2"/>
      </tp>
      <tp>
        <v>0</v>
        <stp/>
        <stp>P</stp>
        <stp>0</stp>
        <stp>IDX</stp>
        <stp>MGA11P</stp>
        <stp>누적거래대금</stp>
        <stp>45539</stp>
        <stp>Fill=true,Per=월</stp>
        <tr r="I107" s="2"/>
      </tp>
      <tp>
        <v>507715</v>
        <stp/>
        <stp>P</stp>
        <stp>0</stp>
        <stp>IDX</stp>
        <stp>KGS07P</stp>
        <stp>누적거래대금</stp>
        <stp>45539</stp>
        <stp>Fill=true,Per=월</stp>
        <tr r="I64" s="2"/>
      </tp>
      <tp>
        <v>263742</v>
        <stp/>
        <stp>P</stp>
        <stp>0</stp>
        <stp>IDX</stp>
        <stp>KGS17P</stp>
        <stp>누적거래대금</stp>
        <stp>45539</stp>
        <stp>Fill=true,Per=월</stp>
        <tr r="I67" s="2"/>
      </tp>
      <tp>
        <v>0</v>
        <stp/>
        <stp>P</stp>
        <stp>0</stp>
        <stp>IDX</stp>
        <stp>K2S04T</stp>
        <stp>누적거래대금</stp>
        <stp>45539</stp>
        <stp>Fill=true,Per=월</stp>
        <tr r="I366" s="2"/>
      </tp>
      <tp>
        <v>2332269</v>
        <stp/>
        <stp>P</stp>
        <stp>0</stp>
        <stp>IDX</stp>
        <stp>K2G04P</stp>
        <stp>누적거래대금</stp>
        <stp>45539</stp>
        <stp>Fill=true,Per=월</stp>
        <tr r="I352" s="2"/>
      </tp>
      <tp>
        <v>0</v>
        <stp/>
        <stp>P</stp>
        <stp>0</stp>
        <stp>IDX</stp>
        <stp>F2S09P</stp>
        <stp>누적거래대금</stp>
        <stp>45539</stp>
        <stp>Fill=true,Per=월</stp>
        <tr r="I222" s="2"/>
      </tp>
      <tp>
        <v>2023263</v>
        <stp/>
        <stp>P</stp>
        <stp>0</stp>
        <stp>IDX</stp>
        <stp>K2S04P</stp>
        <stp>누적거래대금</stp>
        <stp>45539</stp>
        <stp>Fill=true,Per=월</stp>
        <tr r="I38" s="2"/>
      </tp>
      <tp>
        <v>5592393</v>
        <stp/>
        <stp>P</stp>
        <stp>0</stp>
        <stp>IDX</stp>
        <stp>K2W04P</stp>
        <stp>누적거래대금</stp>
        <stp>45539</stp>
        <stp>Fill=true,Per=월</stp>
        <tr r="I209" s="2"/>
      </tp>
      <tp>
        <v>0</v>
        <stp/>
        <stp>P</stp>
        <stp>0</stp>
        <stp>IDX</stp>
        <stp>K2V04P</stp>
        <stp>누적거래대금</stp>
        <stp>45539</stp>
        <stp>Fill=true,Per=월</stp>
        <tr r="I378" s="2"/>
      </tp>
      <tp>
        <v>0</v>
        <stp/>
        <stp>P</stp>
        <stp>0</stp>
        <stp>IDX</stp>
        <stp>F2X09P</stp>
        <stp>누적거래대금</stp>
        <stp>45539</stp>
        <stp>Fill=true,Per=월</stp>
        <tr r="I233" s="2"/>
      </tp>
      <tp>
        <v>0</v>
        <stp/>
        <stp>P</stp>
        <stp>0</stp>
        <stp>IDX</stp>
        <stp>F2X19P</stp>
        <stp>누적거래대금</stp>
        <stp>45539</stp>
        <stp>Fill=true,Per=월</stp>
        <tr r="I243" s="2"/>
      </tp>
      <tp>
        <v>0</v>
        <stp/>
        <stp>P</stp>
        <stp>0</stp>
        <stp>IDX</stp>
        <stp>F2X29P</stp>
        <stp>누적거래대금</stp>
        <stp>45539</stp>
        <stp>Fill=true,Per=월</stp>
        <tr r="I253" s="2"/>
      </tp>
      <tp>
        <v>0</v>
        <stp/>
        <stp>P</stp>
        <stp>0</stp>
        <stp>IDX</stp>
        <stp>F2X39P</stp>
        <stp>누적거래대금</stp>
        <stp>45539</stp>
        <stp>Fill=true,Per=월</stp>
        <tr r="I263" s="2"/>
      </tp>
      <tp>
        <v>0</v>
        <stp/>
        <stp>P</stp>
        <stp>0</stp>
        <stp>IDX</stp>
        <stp>F5X09T</stp>
        <stp>누적거래대금</stp>
        <stp>45539</stp>
        <stp>Fill=true,Per=월</stp>
        <tr r="I284" s="2"/>
      </tp>
      <tp t="s">
        <v/>
        <stp/>
        <stp>P</stp>
        <stp>0</stp>
        <stp>IDX</stp>
        <stp>K2Z01P</stp>
        <stp>개인순매수금액</stp>
        <stp>45539</stp>
        <stp>Fill=true,Per=월</stp>
        <tr r="M382" s="2"/>
      </tp>
      <tp t="s">
        <v/>
        <stp/>
        <stp>P</stp>
        <stp>0</stp>
        <stp>IDX</stp>
        <stp>K2X03P</stp>
        <stp>기관순매수금액</stp>
        <stp>45539</stp>
        <stp>Fill=true,Per=월</stp>
        <tr r="N24" s="2"/>
      </tp>
      <tp t="s">
        <v/>
        <stp/>
        <stp>P</stp>
        <stp>0</stp>
        <stp>IDX</stp>
        <stp>K2X02P</stp>
        <stp>기관순매수금액</stp>
        <stp>45539</stp>
        <stp>Fill=true,Per=월</stp>
        <tr r="N50" s="2"/>
      </tp>
      <tp t="s">
        <v/>
        <stp/>
        <stp>P</stp>
        <stp>0</stp>
        <stp>IDX</stp>
        <stp>K2X01P</stp>
        <stp>기관순매수금액</stp>
        <stp>45539</stp>
        <stp>Fill=true,Per=월</stp>
        <tr r="N13" s="2"/>
      </tp>
      <tp t="s">
        <v/>
        <stp/>
        <stp>P</stp>
        <stp>0</stp>
        <stp>IDX</stp>
        <stp>K2X07P</stp>
        <stp>기관순매수금액</stp>
        <stp>45539</stp>
        <stp>Fill=true,Per=월</stp>
        <tr r="N71" s="2"/>
      </tp>
      <tp t="s">
        <v/>
        <stp/>
        <stp>P</stp>
        <stp>0</stp>
        <stp>IDX</stp>
        <stp>K2X06P</stp>
        <stp>기관순매수금액</stp>
        <stp>45539</stp>
        <stp>Fill=true,Per=월</stp>
        <tr r="N43" s="2"/>
      </tp>
      <tp t="s">
        <v/>
        <stp/>
        <stp>P</stp>
        <stp>0</stp>
        <stp>IDX</stp>
        <stp>F2X08P</stp>
        <stp>기관순매수금액</stp>
        <stp>45539</stp>
        <stp>Fill=true,Per=월</stp>
        <tr r="N232" s="2"/>
      </tp>
      <tp t="s">
        <v/>
        <stp/>
        <stp>P</stp>
        <stp>0</stp>
        <stp>IDX</stp>
        <stp>K2X05P</stp>
        <stp>기관순매수금액</stp>
        <stp>45539</stp>
        <stp>Fill=true,Per=월</stp>
        <tr r="N31" s="2"/>
      </tp>
      <tp t="s">
        <v/>
        <stp/>
        <stp>P</stp>
        <stp>0</stp>
        <stp>IDX</stp>
        <stp>O2X01P</stp>
        <stp>기관순매수금액</stp>
        <stp>45539</stp>
        <stp>Fill=true,Per=월</stp>
        <tr r="N170" s="2"/>
      </tp>
      <tp t="s">
        <v/>
        <stp/>
        <stp>P</stp>
        <stp>0</stp>
        <stp>IDX</stp>
        <stp>F2X09P</stp>
        <stp>기관순매수금액</stp>
        <stp>45539</stp>
        <stp>Fill=true,Per=월</stp>
        <tr r="N233" s="2"/>
      </tp>
      <tp t="s">
        <v/>
        <stp/>
        <stp>P</stp>
        <stp>0</stp>
        <stp>IDX</stp>
        <stp>F2X06P</stp>
        <stp>기관순매수금액</stp>
        <stp>45539</stp>
        <stp>Fill=true,Per=월</stp>
        <tr r="N230" s="2"/>
      </tp>
      <tp t="s">
        <v/>
        <stp/>
        <stp>P</stp>
        <stp>0</stp>
        <stp>IDX</stp>
        <stp>F2X07P</stp>
        <stp>기관순매수금액</stp>
        <stp>45539</stp>
        <stp>Fill=true,Per=월</stp>
        <tr r="N231" s="2"/>
      </tp>
      <tp t="s">
        <v/>
        <stp/>
        <stp>P</stp>
        <stp>0</stp>
        <stp>IDX</stp>
        <stp>F2X04P</stp>
        <stp>기관순매수금액</stp>
        <stp>45539</stp>
        <stp>Fill=true,Per=월</stp>
        <tr r="N228" s="2"/>
      </tp>
      <tp t="s">
        <v/>
        <stp/>
        <stp>P</stp>
        <stp>0</stp>
        <stp>IDX</stp>
        <stp>K2X09P</stp>
        <stp>기관순매수금액</stp>
        <stp>45539</stp>
        <stp>Fill=true,Per=월</stp>
        <tr r="N48" s="2"/>
      </tp>
      <tp t="s">
        <v/>
        <stp/>
        <stp>P</stp>
        <stp>0</stp>
        <stp>IDX</stp>
        <stp>K2X08P</stp>
        <stp>기관순매수금액</stp>
        <stp>45539</stp>
        <stp>Fill=true,Per=월</stp>
        <tr r="N56" s="2"/>
      </tp>
      <tp t="s">
        <v/>
        <stp/>
        <stp>P</stp>
        <stp>0</stp>
        <stp>IDX</stp>
        <stp>F2X02P</stp>
        <stp>기관순매수금액</stp>
        <stp>45539</stp>
        <stp>Fill=true,Per=월</stp>
        <tr r="N226" s="2"/>
      </tp>
      <tp t="s">
        <v/>
        <stp/>
        <stp>P</stp>
        <stp>0</stp>
        <stp>IDX</stp>
        <stp>F2X03P</stp>
        <stp>기관순매수금액</stp>
        <stp>45539</stp>
        <stp>Fill=true,Per=월</stp>
        <tr r="N227" s="2"/>
      </tp>
      <tp t="s">
        <v/>
        <stp/>
        <stp>P</stp>
        <stp>0</stp>
        <stp>IDX</stp>
        <stp>F2X01P</stp>
        <stp>기관순매수금액</stp>
        <stp>45539</stp>
        <stp>Fill=true,Per=월</stp>
        <tr r="N225" s="2"/>
      </tp>
      <tp t="s">
        <v/>
        <stp/>
        <stp>P</stp>
        <stp>0</stp>
        <stp>IDX</stp>
        <stp>K2X11P</stp>
        <stp>기관순매수금액</stp>
        <stp>45539</stp>
        <stp>Fill=true,Per=월</stp>
        <tr r="N380" s="2"/>
      </tp>
      <tp t="s">
        <v/>
        <stp/>
        <stp>P</stp>
        <stp>0</stp>
        <stp>IDX</stp>
        <stp>F2X18P</stp>
        <stp>기관순매수금액</stp>
        <stp>45539</stp>
        <stp>Fill=true,Per=월</stp>
        <tr r="N242" s="2"/>
      </tp>
      <tp t="s">
        <v/>
        <stp/>
        <stp>P</stp>
        <stp>0</stp>
        <stp>IDX</stp>
        <stp>F2X19P</stp>
        <stp>기관순매수금액</stp>
        <stp>45539</stp>
        <stp>Fill=true,Per=월</stp>
        <tr r="N243" s="2"/>
      </tp>
      <tp t="s">
        <v/>
        <stp/>
        <stp>P</stp>
        <stp>0</stp>
        <stp>IDX</stp>
        <stp>F2X16P</stp>
        <stp>기관순매수금액</stp>
        <stp>45539</stp>
        <stp>Fill=true,Per=월</stp>
        <tr r="N240" s="2"/>
      </tp>
      <tp t="s">
        <v/>
        <stp/>
        <stp>P</stp>
        <stp>0</stp>
        <stp>IDX</stp>
        <stp>F2X17P</stp>
        <stp>기관순매수금액</stp>
        <stp>45539</stp>
        <stp>Fill=true,Per=월</stp>
        <tr r="N241" s="2"/>
      </tp>
      <tp t="s">
        <v/>
        <stp/>
        <stp>P</stp>
        <stp>0</stp>
        <stp>IDX</stp>
        <stp>F2X14P</stp>
        <stp>기관순매수금액</stp>
        <stp>45539</stp>
        <stp>Fill=true,Per=월</stp>
        <tr r="N238" s="2"/>
      </tp>
      <tp t="s">
        <v/>
        <stp/>
        <stp>P</stp>
        <stp>0</stp>
        <stp>IDX</stp>
        <stp>F2X15P</stp>
        <stp>기관순매수금액</stp>
        <stp>45539</stp>
        <stp>Fill=true,Per=월</stp>
        <tr r="N239" s="2"/>
      </tp>
      <tp t="s">
        <v/>
        <stp/>
        <stp>P</stp>
        <stp>0</stp>
        <stp>IDX</stp>
        <stp>F2X12P</stp>
        <stp>기관순매수금액</stp>
        <stp>45539</stp>
        <stp>Fill=true,Per=월</stp>
        <tr r="N236" s="2"/>
      </tp>
      <tp t="s">
        <v/>
        <stp/>
        <stp>P</stp>
        <stp>0</stp>
        <stp>IDX</stp>
        <stp>F2X13P</stp>
        <stp>기관순매수금액</stp>
        <stp>45539</stp>
        <stp>Fill=true,Per=월</stp>
        <tr r="N237" s="2"/>
      </tp>
      <tp t="s">
        <v/>
        <stp/>
        <stp>P</stp>
        <stp>0</stp>
        <stp>IDX</stp>
        <stp>F2X10P</stp>
        <stp>기관순매수금액</stp>
        <stp>45539</stp>
        <stp>Fill=true,Per=월</stp>
        <tr r="N234" s="2"/>
      </tp>
      <tp t="s">
        <v/>
        <stp/>
        <stp>P</stp>
        <stp>0</stp>
        <stp>IDX</stp>
        <stp>F2X11P</stp>
        <stp>기관순매수금액</stp>
        <stp>45539</stp>
        <stp>Fill=true,Per=월</stp>
        <tr r="N235" s="2"/>
      </tp>
      <tp t="s">
        <v/>
        <stp/>
        <stp>P</stp>
        <stp>0</stp>
        <stp>IDX</stp>
        <stp>F2X28P</stp>
        <stp>기관순매수금액</stp>
        <stp>45539</stp>
        <stp>Fill=true,Per=월</stp>
        <tr r="N252" s="2"/>
      </tp>
      <tp t="s">
        <v/>
        <stp/>
        <stp>P</stp>
        <stp>0</stp>
        <stp>IDX</stp>
        <stp>F2X29P</stp>
        <stp>기관순매수금액</stp>
        <stp>45539</stp>
        <stp>Fill=true,Per=월</stp>
        <tr r="N253" s="2"/>
      </tp>
      <tp t="s">
        <v/>
        <stp/>
        <stp>P</stp>
        <stp>0</stp>
        <stp>IDX</stp>
        <stp>F2X26P</stp>
        <stp>기관순매수금액</stp>
        <stp>45539</stp>
        <stp>Fill=true,Per=월</stp>
        <tr r="N250" s="2"/>
      </tp>
      <tp t="s">
        <v/>
        <stp/>
        <stp>P</stp>
        <stp>0</stp>
        <stp>IDX</stp>
        <stp>F2X27P</stp>
        <stp>기관순매수금액</stp>
        <stp>45539</stp>
        <stp>Fill=true,Per=월</stp>
        <tr r="N251" s="2"/>
      </tp>
      <tp t="s">
        <v/>
        <stp/>
        <stp>P</stp>
        <stp>0</stp>
        <stp>IDX</stp>
        <stp>F2X24P</stp>
        <stp>기관순매수금액</stp>
        <stp>45539</stp>
        <stp>Fill=true,Per=월</stp>
        <tr r="N248" s="2"/>
      </tp>
      <tp t="s">
        <v/>
        <stp/>
        <stp>P</stp>
        <stp>0</stp>
        <stp>IDX</stp>
        <stp>F2X25P</stp>
        <stp>기관순매수금액</stp>
        <stp>45539</stp>
        <stp>Fill=true,Per=월</stp>
        <tr r="N249" s="2"/>
      </tp>
      <tp t="s">
        <v/>
        <stp/>
        <stp>P</stp>
        <stp>0</stp>
        <stp>IDX</stp>
        <stp>F2X22P</stp>
        <stp>기관순매수금액</stp>
        <stp>45539</stp>
        <stp>Fill=true,Per=월</stp>
        <tr r="N246" s="2"/>
      </tp>
      <tp t="s">
        <v/>
        <stp/>
        <stp>P</stp>
        <stp>0</stp>
        <stp>IDX</stp>
        <stp>F2X23P</stp>
        <stp>기관순매수금액</stp>
        <stp>45539</stp>
        <stp>Fill=true,Per=월</stp>
        <tr r="N247" s="2"/>
      </tp>
      <tp t="s">
        <v/>
        <stp/>
        <stp>P</stp>
        <stp>0</stp>
        <stp>IDX</stp>
        <stp>F2X20P</stp>
        <stp>기관순매수금액</stp>
        <stp>45539</stp>
        <stp>Fill=true,Per=월</stp>
        <tr r="N244" s="2"/>
      </tp>
      <tp t="s">
        <v/>
        <stp/>
        <stp>P</stp>
        <stp>0</stp>
        <stp>IDX</stp>
        <stp>F2X21P</stp>
        <stp>기관순매수금액</stp>
        <stp>45539</stp>
        <stp>Fill=true,Per=월</stp>
        <tr r="N245" s="2"/>
      </tp>
      <tp t="s">
        <v/>
        <stp/>
        <stp>P</stp>
        <stp>0</stp>
        <stp>IDX</stp>
        <stp>F2X38P</stp>
        <stp>기관순매수금액</stp>
        <stp>45539</stp>
        <stp>Fill=true,Per=월</stp>
        <tr r="N262" s="2"/>
      </tp>
      <tp t="s">
        <v/>
        <stp/>
        <stp>P</stp>
        <stp>0</stp>
        <stp>IDX</stp>
        <stp>F2X39P</stp>
        <stp>기관순매수금액</stp>
        <stp>45539</stp>
        <stp>Fill=true,Per=월</stp>
        <tr r="N263" s="2"/>
      </tp>
      <tp t="s">
        <v/>
        <stp/>
        <stp>P</stp>
        <stp>0</stp>
        <stp>IDX</stp>
        <stp>F2X36P</stp>
        <stp>기관순매수금액</stp>
        <stp>45539</stp>
        <stp>Fill=true,Per=월</stp>
        <tr r="N260" s="2"/>
      </tp>
      <tp t="s">
        <v/>
        <stp/>
        <stp>P</stp>
        <stp>0</stp>
        <stp>IDX</stp>
        <stp>F2X37P</stp>
        <stp>기관순매수금액</stp>
        <stp>45539</stp>
        <stp>Fill=true,Per=월</stp>
        <tr r="N261" s="2"/>
      </tp>
      <tp t="s">
        <v/>
        <stp/>
        <stp>P</stp>
        <stp>0</stp>
        <stp>IDX</stp>
        <stp>F2X34P</stp>
        <stp>기관순매수금액</stp>
        <stp>45539</stp>
        <stp>Fill=true,Per=월</stp>
        <tr r="N258" s="2"/>
      </tp>
      <tp t="s">
        <v/>
        <stp/>
        <stp>P</stp>
        <stp>0</stp>
        <stp>IDX</stp>
        <stp>F2X35P</stp>
        <stp>기관순매수금액</stp>
        <stp>45539</stp>
        <stp>Fill=true,Per=월</stp>
        <tr r="N259" s="2"/>
      </tp>
      <tp t="s">
        <v/>
        <stp/>
        <stp>P</stp>
        <stp>0</stp>
        <stp>IDX</stp>
        <stp>F2X32P</stp>
        <stp>기관순매수금액</stp>
        <stp>45539</stp>
        <stp>Fill=true,Per=월</stp>
        <tr r="N256" s="2"/>
      </tp>
      <tp t="s">
        <v/>
        <stp/>
        <stp>P</stp>
        <stp>0</stp>
        <stp>IDX</stp>
        <stp>F2X33P</stp>
        <stp>기관순매수금액</stp>
        <stp>45539</stp>
        <stp>Fill=true,Per=월</stp>
        <tr r="N257" s="2"/>
      </tp>
      <tp t="s">
        <v/>
        <stp/>
        <stp>P</stp>
        <stp>0</stp>
        <stp>IDX</stp>
        <stp>F2X30P</stp>
        <stp>기관순매수금액</stp>
        <stp>45539</stp>
        <stp>Fill=true,Per=월</stp>
        <tr r="N254" s="2"/>
      </tp>
      <tp t="s">
        <v/>
        <stp/>
        <stp>P</stp>
        <stp>0</stp>
        <stp>IDX</stp>
        <stp>F2X31P</stp>
        <stp>기관순매수금액</stp>
        <stp>45539</stp>
        <stp>Fill=true,Per=월</stp>
        <tr r="N255" s="2"/>
      </tp>
      <tp t="s">
        <v/>
        <stp/>
        <stp>P</stp>
        <stp>0</stp>
        <stp>IDX</stp>
        <stp>F2X26P</stp>
        <stp>개인순매수금액</stp>
        <stp>45539</stp>
        <stp>Fill=true,Per=월</stp>
        <tr r="M250" s="2"/>
      </tp>
      <tp t="s">
        <v/>
        <stp/>
        <stp>P</stp>
        <stp>0</stp>
        <stp>IDX</stp>
        <stp>F2X27P</stp>
        <stp>개인순매수금액</stp>
        <stp>45539</stp>
        <stp>Fill=true,Per=월</stp>
        <tr r="M251" s="2"/>
      </tp>
      <tp t="s">
        <v/>
        <stp/>
        <stp>P</stp>
        <stp>0</stp>
        <stp>IDX</stp>
        <stp>F2X24P</stp>
        <stp>개인순매수금액</stp>
        <stp>45539</stp>
        <stp>Fill=true,Per=월</stp>
        <tr r="M248" s="2"/>
      </tp>
      <tp t="s">
        <v/>
        <stp/>
        <stp>P</stp>
        <stp>0</stp>
        <stp>IDX</stp>
        <stp>F2X25P</stp>
        <stp>개인순매수금액</stp>
        <stp>45539</stp>
        <stp>Fill=true,Per=월</stp>
        <tr r="M249" s="2"/>
      </tp>
      <tp t="s">
        <v/>
        <stp/>
        <stp>P</stp>
        <stp>0</stp>
        <stp>IDX</stp>
        <stp>F2X22P</stp>
        <stp>개인순매수금액</stp>
        <stp>45539</stp>
        <stp>Fill=true,Per=월</stp>
        <tr r="M246" s="2"/>
      </tp>
      <tp t="s">
        <v/>
        <stp/>
        <stp>P</stp>
        <stp>0</stp>
        <stp>IDX</stp>
        <stp>F2X23P</stp>
        <stp>개인순매수금액</stp>
        <stp>45539</stp>
        <stp>Fill=true,Per=월</stp>
        <tr r="M247" s="2"/>
      </tp>
      <tp t="s">
        <v/>
        <stp/>
        <stp>P</stp>
        <stp>0</stp>
        <stp>IDX</stp>
        <stp>F2X20P</stp>
        <stp>개인순매수금액</stp>
        <stp>45539</stp>
        <stp>Fill=true,Per=월</stp>
        <tr r="M244" s="2"/>
      </tp>
      <tp t="s">
        <v/>
        <stp/>
        <stp>P</stp>
        <stp>0</stp>
        <stp>IDX</stp>
        <stp>F2X21P</stp>
        <stp>개인순매수금액</stp>
        <stp>45539</stp>
        <stp>Fill=true,Per=월</stp>
        <tr r="M245" s="2"/>
      </tp>
      <tp t="s">
        <v/>
        <stp/>
        <stp>P</stp>
        <stp>0</stp>
        <stp>IDX</stp>
        <stp>F2X28P</stp>
        <stp>개인순매수금액</stp>
        <stp>45539</stp>
        <stp>Fill=true,Per=월</stp>
        <tr r="M252" s="2"/>
      </tp>
      <tp t="s">
        <v/>
        <stp/>
        <stp>P</stp>
        <stp>0</stp>
        <stp>IDX</stp>
        <stp>F2X29P</stp>
        <stp>개인순매수금액</stp>
        <stp>45539</stp>
        <stp>Fill=true,Per=월</stp>
        <tr r="M253" s="2"/>
      </tp>
      <tp t="s">
        <v/>
        <stp/>
        <stp>P</stp>
        <stp>0</stp>
        <stp>IDX</stp>
        <stp>F2X36P</stp>
        <stp>개인순매수금액</stp>
        <stp>45539</stp>
        <stp>Fill=true,Per=월</stp>
        <tr r="M260" s="2"/>
      </tp>
      <tp t="s">
        <v/>
        <stp/>
        <stp>P</stp>
        <stp>0</stp>
        <stp>IDX</stp>
        <stp>F2X37P</stp>
        <stp>개인순매수금액</stp>
        <stp>45539</stp>
        <stp>Fill=true,Per=월</stp>
        <tr r="M261" s="2"/>
      </tp>
      <tp t="s">
        <v/>
        <stp/>
        <stp>P</stp>
        <stp>0</stp>
        <stp>IDX</stp>
        <stp>F2X34P</stp>
        <stp>개인순매수금액</stp>
        <stp>45539</stp>
        <stp>Fill=true,Per=월</stp>
        <tr r="M258" s="2"/>
      </tp>
      <tp t="s">
        <v/>
        <stp/>
        <stp>P</stp>
        <stp>0</stp>
        <stp>IDX</stp>
        <stp>F2X35P</stp>
        <stp>개인순매수금액</stp>
        <stp>45539</stp>
        <stp>Fill=true,Per=월</stp>
        <tr r="M259" s="2"/>
      </tp>
      <tp t="s">
        <v/>
        <stp/>
        <stp>P</stp>
        <stp>0</stp>
        <stp>IDX</stp>
        <stp>F2X32P</stp>
        <stp>개인순매수금액</stp>
        <stp>45539</stp>
        <stp>Fill=true,Per=월</stp>
        <tr r="M256" s="2"/>
      </tp>
      <tp t="s">
        <v/>
        <stp/>
        <stp>P</stp>
        <stp>0</stp>
        <stp>IDX</stp>
        <stp>F2X33P</stp>
        <stp>개인순매수금액</stp>
        <stp>45539</stp>
        <stp>Fill=true,Per=월</stp>
        <tr r="M257" s="2"/>
      </tp>
      <tp t="s">
        <v/>
        <stp/>
        <stp>P</stp>
        <stp>0</stp>
        <stp>IDX</stp>
        <stp>F2X30P</stp>
        <stp>개인순매수금액</stp>
        <stp>45539</stp>
        <stp>Fill=true,Per=월</stp>
        <tr r="M254" s="2"/>
      </tp>
      <tp t="s">
        <v/>
        <stp/>
        <stp>P</stp>
        <stp>0</stp>
        <stp>IDX</stp>
        <stp>F2X31P</stp>
        <stp>개인순매수금액</stp>
        <stp>45539</stp>
        <stp>Fill=true,Per=월</stp>
        <tr r="M255" s="2"/>
      </tp>
      <tp t="s">
        <v/>
        <stp/>
        <stp>P</stp>
        <stp>0</stp>
        <stp>IDX</stp>
        <stp>F2X38P</stp>
        <stp>개인순매수금액</stp>
        <stp>45539</stp>
        <stp>Fill=true,Per=월</stp>
        <tr r="M262" s="2"/>
      </tp>
      <tp t="s">
        <v/>
        <stp/>
        <stp>P</stp>
        <stp>0</stp>
        <stp>IDX</stp>
        <stp>F2X39P</stp>
        <stp>개인순매수금액</stp>
        <stp>45539</stp>
        <stp>Fill=true,Per=월</stp>
        <tr r="M263" s="2"/>
      </tp>
      <tp t="s">
        <v/>
        <stp/>
        <stp>P</stp>
        <stp>0</stp>
        <stp>IDX</stp>
        <stp>F2X06P</stp>
        <stp>개인순매수금액</stp>
        <stp>45539</stp>
        <stp>Fill=true,Per=월</stp>
        <tr r="M230" s="2"/>
      </tp>
      <tp t="s">
        <v/>
        <stp/>
        <stp>P</stp>
        <stp>0</stp>
        <stp>IDX</stp>
        <stp>F2X07P</stp>
        <stp>개인순매수금액</stp>
        <stp>45539</stp>
        <stp>Fill=true,Per=월</stp>
        <tr r="M231" s="2"/>
      </tp>
      <tp t="s">
        <v/>
        <stp/>
        <stp>P</stp>
        <stp>0</stp>
        <stp>IDX</stp>
        <stp>F2X04P</stp>
        <stp>개인순매수금액</stp>
        <stp>45539</stp>
        <stp>Fill=true,Per=월</stp>
        <tr r="M228" s="2"/>
      </tp>
      <tp t="s">
        <v/>
        <stp/>
        <stp>P</stp>
        <stp>0</stp>
        <stp>IDX</stp>
        <stp>K2X09P</stp>
        <stp>개인순매수금액</stp>
        <stp>45539</stp>
        <stp>Fill=true,Per=월</stp>
        <tr r="M48" s="2"/>
      </tp>
      <tp t="s">
        <v/>
        <stp/>
        <stp>P</stp>
        <stp>0</stp>
        <stp>IDX</stp>
        <stp>K2X08P</stp>
        <stp>개인순매수금액</stp>
        <stp>45539</stp>
        <stp>Fill=true,Per=월</stp>
        <tr r="M56" s="2"/>
      </tp>
      <tp t="s">
        <v/>
        <stp/>
        <stp>P</stp>
        <stp>0</stp>
        <stp>IDX</stp>
        <stp>F2X02P</stp>
        <stp>개인순매수금액</stp>
        <stp>45539</stp>
        <stp>Fill=true,Per=월</stp>
        <tr r="M226" s="2"/>
      </tp>
      <tp t="s">
        <v/>
        <stp/>
        <stp>P</stp>
        <stp>0</stp>
        <stp>IDX</stp>
        <stp>F2X03P</stp>
        <stp>개인순매수금액</stp>
        <stp>45539</stp>
        <stp>Fill=true,Per=월</stp>
        <tr r="M227" s="2"/>
      </tp>
      <tp t="s">
        <v/>
        <stp/>
        <stp>P</stp>
        <stp>0</stp>
        <stp>IDX</stp>
        <stp>F2X01P</stp>
        <stp>개인순매수금액</stp>
        <stp>45539</stp>
        <stp>Fill=true,Per=월</stp>
        <tr r="M225" s="2"/>
      </tp>
      <tp t="s">
        <v/>
        <stp/>
        <stp>P</stp>
        <stp>0</stp>
        <stp>IDX</stp>
        <stp>K2X03P</stp>
        <stp>개인순매수금액</stp>
        <stp>45539</stp>
        <stp>Fill=true,Per=월</stp>
        <tr r="M24" s="2"/>
      </tp>
      <tp t="s">
        <v/>
        <stp/>
        <stp>P</stp>
        <stp>0</stp>
        <stp>IDX</stp>
        <stp>K2X02P</stp>
        <stp>개인순매수금액</stp>
        <stp>45539</stp>
        <stp>Fill=true,Per=월</stp>
        <tr r="M50" s="2"/>
      </tp>
      <tp t="s">
        <v/>
        <stp/>
        <stp>P</stp>
        <stp>0</stp>
        <stp>IDX</stp>
        <stp>K2X01P</stp>
        <stp>개인순매수금액</stp>
        <stp>45539</stp>
        <stp>Fill=true,Per=월</stp>
        <tr r="M13" s="2"/>
      </tp>
      <tp t="s">
        <v/>
        <stp/>
        <stp>P</stp>
        <stp>0</stp>
        <stp>IDX</stp>
        <stp>K2X07P</stp>
        <stp>개인순매수금액</stp>
        <stp>45539</stp>
        <stp>Fill=true,Per=월</stp>
        <tr r="M71" s="2"/>
      </tp>
      <tp t="s">
        <v/>
        <stp/>
        <stp>P</stp>
        <stp>0</stp>
        <stp>IDX</stp>
        <stp>K2X06P</stp>
        <stp>개인순매수금액</stp>
        <stp>45539</stp>
        <stp>Fill=true,Per=월</stp>
        <tr r="M43" s="2"/>
      </tp>
      <tp t="s">
        <v/>
        <stp/>
        <stp>P</stp>
        <stp>0</stp>
        <stp>IDX</stp>
        <stp>F2X08P</stp>
        <stp>개인순매수금액</stp>
        <stp>45539</stp>
        <stp>Fill=true,Per=월</stp>
        <tr r="M232" s="2"/>
      </tp>
      <tp t="s">
        <v/>
        <stp/>
        <stp>P</stp>
        <stp>0</stp>
        <stp>IDX</stp>
        <stp>K2X05P</stp>
        <stp>개인순매수금액</stp>
        <stp>45539</stp>
        <stp>Fill=true,Per=월</stp>
        <tr r="M31" s="2"/>
      </tp>
      <tp t="s">
        <v/>
        <stp/>
        <stp>P</stp>
        <stp>0</stp>
        <stp>IDX</stp>
        <stp>O2X01P</stp>
        <stp>개인순매수금액</stp>
        <stp>45539</stp>
        <stp>Fill=true,Per=월</stp>
        <tr r="M170" s="2"/>
      </tp>
      <tp t="s">
        <v/>
        <stp/>
        <stp>P</stp>
        <stp>0</stp>
        <stp>IDX</stp>
        <stp>F2X09P</stp>
        <stp>개인순매수금액</stp>
        <stp>45539</stp>
        <stp>Fill=true,Per=월</stp>
        <tr r="M233" s="2"/>
      </tp>
      <tp t="s">
        <v/>
        <stp/>
        <stp>P</stp>
        <stp>0</stp>
        <stp>IDX</stp>
        <stp>F2X16P</stp>
        <stp>개인순매수금액</stp>
        <stp>45539</stp>
        <stp>Fill=true,Per=월</stp>
        <tr r="M240" s="2"/>
      </tp>
      <tp t="s">
        <v/>
        <stp/>
        <stp>P</stp>
        <stp>0</stp>
        <stp>IDX</stp>
        <stp>F2X17P</stp>
        <stp>개인순매수금액</stp>
        <stp>45539</stp>
        <stp>Fill=true,Per=월</stp>
        <tr r="M241" s="2"/>
      </tp>
      <tp t="s">
        <v/>
        <stp/>
        <stp>P</stp>
        <stp>0</stp>
        <stp>IDX</stp>
        <stp>F2X14P</stp>
        <stp>개인순매수금액</stp>
        <stp>45539</stp>
        <stp>Fill=true,Per=월</stp>
        <tr r="M238" s="2"/>
      </tp>
      <tp t="s">
        <v/>
        <stp/>
        <stp>P</stp>
        <stp>0</stp>
        <stp>IDX</stp>
        <stp>F2X15P</stp>
        <stp>개인순매수금액</stp>
        <stp>45539</stp>
        <stp>Fill=true,Per=월</stp>
        <tr r="M239" s="2"/>
      </tp>
      <tp t="s">
        <v/>
        <stp/>
        <stp>P</stp>
        <stp>0</stp>
        <stp>IDX</stp>
        <stp>F2X12P</stp>
        <stp>개인순매수금액</stp>
        <stp>45539</stp>
        <stp>Fill=true,Per=월</stp>
        <tr r="M236" s="2"/>
      </tp>
      <tp t="s">
        <v/>
        <stp/>
        <stp>P</stp>
        <stp>0</stp>
        <stp>IDX</stp>
        <stp>F2X13P</stp>
        <stp>개인순매수금액</stp>
        <stp>45539</stp>
        <stp>Fill=true,Per=월</stp>
        <tr r="M237" s="2"/>
      </tp>
      <tp t="s">
        <v/>
        <stp/>
        <stp>P</stp>
        <stp>0</stp>
        <stp>IDX</stp>
        <stp>F2X10P</stp>
        <stp>개인순매수금액</stp>
        <stp>45539</stp>
        <stp>Fill=true,Per=월</stp>
        <tr r="M234" s="2"/>
      </tp>
      <tp t="s">
        <v/>
        <stp/>
        <stp>P</stp>
        <stp>0</stp>
        <stp>IDX</stp>
        <stp>F2X11P</stp>
        <stp>개인순매수금액</stp>
        <stp>45539</stp>
        <stp>Fill=true,Per=월</stp>
        <tr r="M235" s="2"/>
      </tp>
      <tp t="s">
        <v/>
        <stp/>
        <stp>P</stp>
        <stp>0</stp>
        <stp>IDX</stp>
        <stp>K2X11P</stp>
        <stp>개인순매수금액</stp>
        <stp>45539</stp>
        <stp>Fill=true,Per=월</stp>
        <tr r="M380" s="2"/>
      </tp>
      <tp t="s">
        <v/>
        <stp/>
        <stp>P</stp>
        <stp>0</stp>
        <stp>IDX</stp>
        <stp>F2X18P</stp>
        <stp>개인순매수금액</stp>
        <stp>45539</stp>
        <stp>Fill=true,Per=월</stp>
        <tr r="M242" s="2"/>
      </tp>
      <tp t="s">
        <v/>
        <stp/>
        <stp>P</stp>
        <stp>0</stp>
        <stp>IDX</stp>
        <stp>F2X19P</stp>
        <stp>개인순매수금액</stp>
        <stp>45539</stp>
        <stp>Fill=true,Per=월</stp>
        <tr r="M243" s="2"/>
      </tp>
      <tp t="s">
        <v/>
        <stp/>
        <stp>P</stp>
        <stp>0</stp>
        <stp>IDX</stp>
        <stp>K2Z01P</stp>
        <stp>기관순매수금액</stp>
        <stp>45539</stp>
        <stp>Fill=true,Per=월</stp>
        <tr r="N382" s="2"/>
      </tp>
      <tp t="s">
        <v/>
        <stp/>
        <stp>P</stp>
        <stp>0</stp>
        <stp>IDX</stp>
        <stp>F2S06P</stp>
        <stp>개인순매수금액</stp>
        <stp>45539</stp>
        <stp>Fill=true,Per=월</stp>
        <tr r="M219" s="2"/>
      </tp>
      <tp t="s">
        <v/>
        <stp/>
        <stp>P</stp>
        <stp>0</stp>
        <stp>IDX</stp>
        <stp>F2S07P</stp>
        <stp>개인순매수금액</stp>
        <stp>45539</stp>
        <stp>Fill=true,Per=월</stp>
        <tr r="M220" s="2"/>
      </tp>
      <tp t="s">
        <v/>
        <stp/>
        <stp>P</stp>
        <stp>0</stp>
        <stp>IDX</stp>
        <stp>F2S04P</stp>
        <stp>개인순매수금액</stp>
        <stp>45539</stp>
        <stp>Fill=true,Per=월</stp>
        <tr r="M217" s="2"/>
      </tp>
      <tp t="s">
        <v/>
        <stp/>
        <stp>P</stp>
        <stp>0</stp>
        <stp>IDX</stp>
        <stp>K2S09P</stp>
        <stp>개인순매수금액</stp>
        <stp>45539</stp>
        <stp>Fill=true,Per=월</stp>
        <tr r="M68" s="2"/>
      </tp>
      <tp t="s">
        <v/>
        <stp/>
        <stp>P</stp>
        <stp>0</stp>
        <stp>IDX</stp>
        <stp>F2S05P</stp>
        <stp>개인순매수금액</stp>
        <stp>45539</stp>
        <stp>Fill=true,Per=월</stp>
        <tr r="M218" s="2"/>
      </tp>
      <tp t="s">
        <v/>
        <stp/>
        <stp>P</stp>
        <stp>0</stp>
        <stp>IDX</stp>
        <stp>K2S08P</stp>
        <stp>개인순매수금액</stp>
        <stp>45539</stp>
        <stp>Fill=true,Per=월</stp>
        <tr r="M55" s="2"/>
      </tp>
      <tp t="s">
        <v/>
        <stp/>
        <stp>P</stp>
        <stp>0</stp>
        <stp>IDX</stp>
        <stp>F2S02P</stp>
        <stp>개인순매수금액</stp>
        <stp>45539</stp>
        <stp>Fill=true,Per=월</stp>
        <tr r="M215" s="2"/>
      </tp>
      <tp t="s">
        <v/>
        <stp/>
        <stp>P</stp>
        <stp>0</stp>
        <stp>IDX</stp>
        <stp>F2S03P</stp>
        <stp>개인순매수금액</stp>
        <stp>45539</stp>
        <stp>Fill=true,Per=월</stp>
        <tr r="M216" s="2"/>
      </tp>
      <tp t="s">
        <v/>
        <stp/>
        <stp>P</stp>
        <stp>0</stp>
        <stp>IDX</stp>
        <stp>F2S01P</stp>
        <stp>개인순매수금액</stp>
        <stp>45539</stp>
        <stp>Fill=true,Per=월</stp>
        <tr r="M214" s="2"/>
      </tp>
      <tp t="s">
        <v/>
        <stp/>
        <stp>P</stp>
        <stp>0</stp>
        <stp>IDX</stp>
        <stp>K2S03P</stp>
        <stp>개인순매수금액</stp>
        <stp>45539</stp>
        <stp>Fill=true,Per=월</stp>
        <tr r="M32" s="2"/>
      </tp>
      <tp t="s">
        <v/>
        <stp/>
        <stp>P</stp>
        <stp>0</stp>
        <stp>IDX</stp>
        <stp>K2S02P</stp>
        <stp>개인순매수금액</stp>
        <stp>45539</stp>
        <stp>Fill=true,Per=월</stp>
        <tr r="M72" s="2"/>
      </tp>
      <tp t="s">
        <v/>
        <stp/>
        <stp>P</stp>
        <stp>0</stp>
        <stp>IDX</stp>
        <stp>K2S01P</stp>
        <stp>개인순매수금액</stp>
        <stp>45539</stp>
        <stp>Fill=true,Per=월</stp>
        <tr r="M47" s="2"/>
      </tp>
      <tp t="s">
        <v/>
        <stp/>
        <stp>P</stp>
        <stp>0</stp>
        <stp>IDX</stp>
        <stp>K2S07P</stp>
        <stp>개인순매수금액</stp>
        <stp>45539</stp>
        <stp>Fill=true,Per=월</stp>
        <tr r="M25" s="2"/>
      </tp>
      <tp t="s">
        <v/>
        <stp/>
        <stp>P</stp>
        <stp>0</stp>
        <stp>IDX</stp>
        <stp>K2S06P</stp>
        <stp>개인순매수금액</stp>
        <stp>45539</stp>
        <stp>Fill=true,Per=월</stp>
        <tr r="M42" s="2"/>
      </tp>
      <tp t="s">
        <v/>
        <stp/>
        <stp>P</stp>
        <stp>0</stp>
        <stp>IDX</stp>
        <stp>F2S08P</stp>
        <stp>개인순매수금액</stp>
        <stp>45539</stp>
        <stp>Fill=true,Per=월</stp>
        <tr r="M221" s="2"/>
      </tp>
      <tp t="s">
        <v/>
        <stp/>
        <stp>P</stp>
        <stp>0</stp>
        <stp>IDX</stp>
        <stp>K2S05P</stp>
        <stp>개인순매수금액</stp>
        <stp>45539</stp>
        <stp>Fill=true,Per=월</stp>
        <tr r="M51" s="2"/>
      </tp>
      <tp t="s">
        <v/>
        <stp/>
        <stp>P</stp>
        <stp>0</stp>
        <stp>IDX</stp>
        <stp>F2S09P</stp>
        <stp>개인순매수금액</stp>
        <stp>45539</stp>
        <stp>Fill=true,Per=월</stp>
        <tr r="M222" s="2"/>
      </tp>
      <tp t="s">
        <v/>
        <stp/>
        <stp>P</stp>
        <stp>0</stp>
        <stp>IDX</stp>
        <stp>K2S04P</stp>
        <stp>개인순매수금액</stp>
        <stp>45539</stp>
        <stp>Fill=true,Per=월</stp>
        <tr r="M38" s="2"/>
      </tp>
      <tp t="s">
        <v/>
        <stp/>
        <stp>P</stp>
        <stp>0</stp>
        <stp>IDX</stp>
        <stp>F2S10P</stp>
        <stp>개인순매수금액</stp>
        <stp>45539</stp>
        <stp>Fill=true,Per=월</stp>
        <tr r="M223" s="2"/>
      </tp>
      <tp t="s">
        <v/>
        <stp/>
        <stp>P</stp>
        <stp>0</stp>
        <stp>IDX</stp>
        <stp>K2S11P</stp>
        <stp>개인순매수금액</stp>
        <stp>45539</stp>
        <stp>Fill=true,Per=월</stp>
        <tr r="M54" s="2"/>
      </tp>
      <tp t="s">
        <v/>
        <stp/>
        <stp>P</stp>
        <stp>0</stp>
        <stp>IDX</stp>
        <stp>K2S10P</stp>
        <stp>개인순매수금액</stp>
        <stp>45539</stp>
        <stp>Fill=true,Per=월</stp>
        <tr r="M59" s="2"/>
      </tp>
      <tp t="s">
        <v/>
        <stp/>
        <stp>P</stp>
        <stp>0</stp>
        <stp>IDX</stp>
        <stp>K2S03P</stp>
        <stp>기관순매수금액</stp>
        <stp>45539</stp>
        <stp>Fill=true,Per=월</stp>
        <tr r="N32" s="2"/>
      </tp>
      <tp t="s">
        <v/>
        <stp/>
        <stp>P</stp>
        <stp>0</stp>
        <stp>IDX</stp>
        <stp>K2S02P</stp>
        <stp>기관순매수금액</stp>
        <stp>45539</stp>
        <stp>Fill=true,Per=월</stp>
        <tr r="N72" s="2"/>
      </tp>
      <tp t="s">
        <v/>
        <stp/>
        <stp>P</stp>
        <stp>0</stp>
        <stp>IDX</stp>
        <stp>K2S01P</stp>
        <stp>기관순매수금액</stp>
        <stp>45539</stp>
        <stp>Fill=true,Per=월</stp>
        <tr r="N47" s="2"/>
      </tp>
      <tp t="s">
        <v/>
        <stp/>
        <stp>P</stp>
        <stp>0</stp>
        <stp>IDX</stp>
        <stp>K2S07P</stp>
        <stp>기관순매수금액</stp>
        <stp>45539</stp>
        <stp>Fill=true,Per=월</stp>
        <tr r="N25" s="2"/>
      </tp>
      <tp t="s">
        <v/>
        <stp/>
        <stp>P</stp>
        <stp>0</stp>
        <stp>IDX</stp>
        <stp>K2S06P</stp>
        <stp>기관순매수금액</stp>
        <stp>45539</stp>
        <stp>Fill=true,Per=월</stp>
        <tr r="N42" s="2"/>
      </tp>
      <tp t="s">
        <v/>
        <stp/>
        <stp>P</stp>
        <stp>0</stp>
        <stp>IDX</stp>
        <stp>F2S08P</stp>
        <stp>기관순매수금액</stp>
        <stp>45539</stp>
        <stp>Fill=true,Per=월</stp>
        <tr r="N221" s="2"/>
      </tp>
      <tp t="s">
        <v/>
        <stp/>
        <stp>P</stp>
        <stp>0</stp>
        <stp>IDX</stp>
        <stp>K2S05P</stp>
        <stp>기관순매수금액</stp>
        <stp>45539</stp>
        <stp>Fill=true,Per=월</stp>
        <tr r="N51" s="2"/>
      </tp>
      <tp t="s">
        <v/>
        <stp/>
        <stp>P</stp>
        <stp>0</stp>
        <stp>IDX</stp>
        <stp>F2S09P</stp>
        <stp>기관순매수금액</stp>
        <stp>45539</stp>
        <stp>Fill=true,Per=월</stp>
        <tr r="N222" s="2"/>
      </tp>
      <tp t="s">
        <v/>
        <stp/>
        <stp>P</stp>
        <stp>0</stp>
        <stp>IDX</stp>
        <stp>K2S04P</stp>
        <stp>기관순매수금액</stp>
        <stp>45539</stp>
        <stp>Fill=true,Per=월</stp>
        <tr r="N38" s="2"/>
      </tp>
      <tp t="s">
        <v/>
        <stp/>
        <stp>P</stp>
        <stp>0</stp>
        <stp>IDX</stp>
        <stp>F2S06P</stp>
        <stp>기관순매수금액</stp>
        <stp>45539</stp>
        <stp>Fill=true,Per=월</stp>
        <tr r="N219" s="2"/>
      </tp>
      <tp t="s">
        <v/>
        <stp/>
        <stp>P</stp>
        <stp>0</stp>
        <stp>IDX</stp>
        <stp>F2S07P</stp>
        <stp>기관순매수금액</stp>
        <stp>45539</stp>
        <stp>Fill=true,Per=월</stp>
        <tr r="N220" s="2"/>
      </tp>
      <tp t="s">
        <v/>
        <stp/>
        <stp>P</stp>
        <stp>0</stp>
        <stp>IDX</stp>
        <stp>F2S04P</stp>
        <stp>기관순매수금액</stp>
        <stp>45539</stp>
        <stp>Fill=true,Per=월</stp>
        <tr r="N217" s="2"/>
      </tp>
      <tp t="s">
        <v/>
        <stp/>
        <stp>P</stp>
        <stp>0</stp>
        <stp>IDX</stp>
        <stp>K2S09P</stp>
        <stp>기관순매수금액</stp>
        <stp>45539</stp>
        <stp>Fill=true,Per=월</stp>
        <tr r="N68" s="2"/>
      </tp>
      <tp t="s">
        <v/>
        <stp/>
        <stp>P</stp>
        <stp>0</stp>
        <stp>IDX</stp>
        <stp>F2S05P</stp>
        <stp>기관순매수금액</stp>
        <stp>45539</stp>
        <stp>Fill=true,Per=월</stp>
        <tr r="N218" s="2"/>
      </tp>
      <tp t="s">
        <v/>
        <stp/>
        <stp>P</stp>
        <stp>0</stp>
        <stp>IDX</stp>
        <stp>K2S08P</stp>
        <stp>기관순매수금액</stp>
        <stp>45539</stp>
        <stp>Fill=true,Per=월</stp>
        <tr r="N55" s="2"/>
      </tp>
      <tp t="s">
        <v/>
        <stp/>
        <stp>P</stp>
        <stp>0</stp>
        <stp>IDX</stp>
        <stp>F2S02P</stp>
        <stp>기관순매수금액</stp>
        <stp>45539</stp>
        <stp>Fill=true,Per=월</stp>
        <tr r="N215" s="2"/>
      </tp>
      <tp t="s">
        <v/>
        <stp/>
        <stp>P</stp>
        <stp>0</stp>
        <stp>IDX</stp>
        <stp>F2S03P</stp>
        <stp>기관순매수금액</stp>
        <stp>45539</stp>
        <stp>Fill=true,Per=월</stp>
        <tr r="N216" s="2"/>
      </tp>
      <tp t="s">
        <v/>
        <stp/>
        <stp>P</stp>
        <stp>0</stp>
        <stp>IDX</stp>
        <stp>F2S01P</stp>
        <stp>기관순매수금액</stp>
        <stp>45539</stp>
        <stp>Fill=true,Per=월</stp>
        <tr r="N214" s="2"/>
      </tp>
      <tp t="s">
        <v/>
        <stp/>
        <stp>P</stp>
        <stp>0</stp>
        <stp>IDX</stp>
        <stp>K2S11P</stp>
        <stp>기관순매수금액</stp>
        <stp>45539</stp>
        <stp>Fill=true,Per=월</stp>
        <tr r="N54" s="2"/>
      </tp>
      <tp t="s">
        <v/>
        <stp/>
        <stp>P</stp>
        <stp>0</stp>
        <stp>IDX</stp>
        <stp>K2S10P</stp>
        <stp>기관순매수금액</stp>
        <stp>45539</stp>
        <stp>Fill=true,Per=월</stp>
        <tr r="N59" s="2"/>
      </tp>
      <tp t="s">
        <v/>
        <stp/>
        <stp>P</stp>
        <stp>0</stp>
        <stp>IDX</stp>
        <stp>F2S10P</stp>
        <stp>기관순매수금액</stp>
        <stp>45539</stp>
        <stp>Fill=true,Per=월</stp>
        <tr r="N223" s="2"/>
      </tp>
      <tp t="s">
        <v/>
        <stp/>
        <stp>P</stp>
        <stp>0</stp>
        <stp>IDX</stp>
        <stp>F2V02P</stp>
        <stp>개인순매수금액</stp>
        <stp>45539</stp>
        <stp>Fill=true,Per=월</stp>
        <tr r="M224" s="2"/>
      </tp>
      <tp t="s">
        <v/>
        <stp/>
        <stp>P</stp>
        <stp>0</stp>
        <stp>IDX</stp>
        <stp>K2V03P</stp>
        <stp>개인순매수금액</stp>
        <stp>45539</stp>
        <stp>Fill=true,Per=월</stp>
        <tr r="M377" s="2"/>
      </tp>
      <tp t="s">
        <v/>
        <stp/>
        <stp>P</stp>
        <stp>0</stp>
        <stp>IDX</stp>
        <stp>K2V02P</stp>
        <stp>개인순매수금액</stp>
        <stp>45539</stp>
        <stp>Fill=true,Per=월</stp>
        <tr r="M376" s="2"/>
      </tp>
      <tp t="s">
        <v/>
        <stp/>
        <stp>P</stp>
        <stp>0</stp>
        <stp>IDX</stp>
        <stp>K2V01P</stp>
        <stp>개인순매수금액</stp>
        <stp>45539</stp>
        <stp>Fill=true,Per=월</stp>
        <tr r="M375" s="2"/>
      </tp>
      <tp t="s">
        <v/>
        <stp/>
        <stp>P</stp>
        <stp>0</stp>
        <stp>IDX</stp>
        <stp>K2V04P</stp>
        <stp>개인순매수금액</stp>
        <stp>45539</stp>
        <stp>Fill=true,Per=월</stp>
        <tr r="M378" s="2"/>
      </tp>
      <tp t="s">
        <v/>
        <stp/>
        <stp>P</stp>
        <stp>0</stp>
        <stp>IDX</stp>
        <stp>K2T01P</stp>
        <stp>기관순매수금액</stp>
        <stp>45539</stp>
        <stp>Fill=true,Per=월</stp>
        <tr r="N374" s="2"/>
      </tp>
      <tp t="s">
        <v/>
        <stp/>
        <stp>P</stp>
        <stp>0</stp>
        <stp>IDX</stp>
        <stp>G2T01P</stp>
        <stp>기관순매수금액</stp>
        <stp>45539</stp>
        <stp>Fill=true,Per=월</stp>
        <tr r="N329" s="2"/>
      </tp>
      <tp t="s">
        <v/>
        <stp/>
        <stp>P</stp>
        <stp>0</stp>
        <stp>IDX</stp>
        <stp>K2W03P</stp>
        <stp>개인순매수금액</stp>
        <stp>45539</stp>
        <stp>Fill=true,Per=월</stp>
        <tr r="M20" s="2"/>
      </tp>
      <tp t="s">
        <v/>
        <stp/>
        <stp>P</stp>
        <stp>0</stp>
        <stp>IDX</stp>
        <stp>K2W02P</stp>
        <stp>개인순매수금액</stp>
        <stp>45539</stp>
        <stp>Fill=true,Per=월</stp>
        <tr r="M17" s="2"/>
      </tp>
      <tp t="s">
        <v/>
        <stp/>
        <stp>P</stp>
        <stp>0</stp>
        <stp>IDX</stp>
        <stp>K2W01P</stp>
        <stp>개인순매수금액</stp>
        <stp>45539</stp>
        <stp>Fill=true,Per=월</stp>
        <tr r="M11" s="2"/>
      </tp>
      <tp t="s">
        <v/>
        <stp/>
        <stp>P</stp>
        <stp>0</stp>
        <stp>IDX</stp>
        <stp>K2W04P</stp>
        <stp>개인순매수금액</stp>
        <stp>45539</stp>
        <stp>Fill=true,Per=월</stp>
        <tr r="M209" s="2"/>
      </tp>
      <tp t="s">
        <v/>
        <stp/>
        <stp>P</stp>
        <stp>0</stp>
        <stp>IDX</stp>
        <stp>G2T01P</stp>
        <stp>개인순매수금액</stp>
        <stp>45539</stp>
        <stp>Fill=true,Per=월</stp>
        <tr r="M329" s="2"/>
      </tp>
      <tp t="s">
        <v/>
        <stp/>
        <stp>P</stp>
        <stp>0</stp>
        <stp>IDX</stp>
        <stp>K2T01P</stp>
        <stp>개인순매수금액</stp>
        <stp>45539</stp>
        <stp>Fill=true,Per=월</stp>
        <tr r="M374" s="2"/>
      </tp>
      <tp t="s">
        <v/>
        <stp/>
        <stp>P</stp>
        <stp>0</stp>
        <stp>IDX</stp>
        <stp>K2V03P</stp>
        <stp>기관순매수금액</stp>
        <stp>45539</stp>
        <stp>Fill=true,Per=월</stp>
        <tr r="N377" s="2"/>
      </tp>
      <tp t="s">
        <v/>
        <stp/>
        <stp>P</stp>
        <stp>0</stp>
        <stp>IDX</stp>
        <stp>K2V02P</stp>
        <stp>기관순매수금액</stp>
        <stp>45539</stp>
        <stp>Fill=true,Per=월</stp>
        <tr r="N376" s="2"/>
      </tp>
      <tp t="s">
        <v/>
        <stp/>
        <stp>P</stp>
        <stp>0</stp>
        <stp>IDX</stp>
        <stp>K2V01P</stp>
        <stp>기관순매수금액</stp>
        <stp>45539</stp>
        <stp>Fill=true,Per=월</stp>
        <tr r="N375" s="2"/>
      </tp>
      <tp t="s">
        <v/>
        <stp/>
        <stp>P</stp>
        <stp>0</stp>
        <stp>IDX</stp>
        <stp>K2V04P</stp>
        <stp>기관순매수금액</stp>
        <stp>45539</stp>
        <stp>Fill=true,Per=월</stp>
        <tr r="N378" s="2"/>
      </tp>
      <tp t="s">
        <v/>
        <stp/>
        <stp>P</stp>
        <stp>0</stp>
        <stp>IDX</stp>
        <stp>F2V02P</stp>
        <stp>기관순매수금액</stp>
        <stp>45539</stp>
        <stp>Fill=true,Per=월</stp>
        <tr r="N224" s="2"/>
      </tp>
      <tp t="s">
        <v/>
        <stp/>
        <stp>P</stp>
        <stp>0</stp>
        <stp>IDX</stp>
        <stp>K2W03P</stp>
        <stp>기관순매수금액</stp>
        <stp>45539</stp>
        <stp>Fill=true,Per=월</stp>
        <tr r="N20" s="2"/>
      </tp>
      <tp t="s">
        <v/>
        <stp/>
        <stp>P</stp>
        <stp>0</stp>
        <stp>IDX</stp>
        <stp>K2W02P</stp>
        <stp>기관순매수금액</stp>
        <stp>45539</stp>
        <stp>Fill=true,Per=월</stp>
        <tr r="N17" s="2"/>
      </tp>
      <tp t="s">
        <v/>
        <stp/>
        <stp>P</stp>
        <stp>0</stp>
        <stp>IDX</stp>
        <stp>K2W01P</stp>
        <stp>기관순매수금액</stp>
        <stp>45539</stp>
        <stp>Fill=true,Per=월</stp>
        <tr r="N11" s="2"/>
      </tp>
      <tp t="s">
        <v/>
        <stp/>
        <stp>P</stp>
        <stp>0</stp>
        <stp>IDX</stp>
        <stp>K2W04P</stp>
        <stp>기관순매수금액</stp>
        <stp>45539</stp>
        <stp>Fill=true,Per=월</stp>
        <tr r="N209" s="2"/>
      </tp>
      <tp t="s">
        <v/>
        <stp/>
        <stp>P</stp>
        <stp>0</stp>
        <stp>IDX</stp>
        <stp>K2B03P</stp>
        <stp>개인순매수금액</stp>
        <stp>45539</stp>
        <stp>Fill=true,Per=월</stp>
        <tr r="M344" s="2"/>
      </tp>
      <tp t="s">
        <v/>
        <stp/>
        <stp>P</stp>
        <stp>0</stp>
        <stp>IDX</stp>
        <stp>K2B01P</stp>
        <stp>개인순매수금액</stp>
        <stp>45539</stp>
        <stp>Fill=true,Per=월</stp>
        <tr r="M23" s="2"/>
      </tp>
      <tp t="s">
        <v/>
        <stp/>
        <stp>P</stp>
        <stp>0</stp>
        <stp>IDX</stp>
        <stp>K2B03P</stp>
        <stp>기관순매수금액</stp>
        <stp>45539</stp>
        <stp>Fill=true,Per=월</stp>
        <tr r="N344" s="2"/>
      </tp>
      <tp t="s">
        <v/>
        <stp/>
        <stp>P</stp>
        <stp>0</stp>
        <stp>IDX</stp>
        <stp>K2B01P</stp>
        <stp>기관순매수금액</stp>
        <stp>45539</stp>
        <stp>Fill=true,Per=월</stp>
        <tr r="N23" s="2"/>
      </tp>
      <tp t="s">
        <v/>
        <stp/>
        <stp>P</stp>
        <stp>0</stp>
        <stp>IDX</stp>
        <stp>K2D02P</stp>
        <stp>기관순매수금액</stp>
        <stp>45539</stp>
        <stp>Fill=true,Per=월</stp>
        <tr r="N346" s="2"/>
      </tp>
      <tp t="s">
        <v/>
        <stp/>
        <stp>P</stp>
        <stp>0</stp>
        <stp>IDX</stp>
        <stp>K2D01P</stp>
        <stp>기관순매수금액</stp>
        <stp>45539</stp>
        <stp>Fill=true,Per=월</stp>
        <tr r="N345" s="2"/>
      </tp>
      <tp t="s">
        <v/>
        <stp/>
        <stp>P</stp>
        <stp>0</stp>
        <stp>IDX</stp>
        <stp>K2G08P</stp>
        <stp>개인순매수금액</stp>
        <stp>45539</stp>
        <stp>Fill=true,Per=월</stp>
        <tr r="M358" s="2"/>
      </tp>
      <tp t="s">
        <v/>
        <stp/>
        <stp>P</stp>
        <stp>0</stp>
        <stp>IDX</stp>
        <stp>F2G02P</stp>
        <stp>개인순매수금액</stp>
        <stp>45539</stp>
        <stp>Fill=true,Per=월</stp>
        <tr r="M213" s="2"/>
      </tp>
      <tp t="s">
        <v/>
        <stp/>
        <stp>P</stp>
        <stp>0</stp>
        <stp>IDX</stp>
        <stp>F2G01P</stp>
        <stp>개인순매수금액</stp>
        <stp>45539</stp>
        <stp>Fill=true,Per=월</stp>
        <tr r="M212" s="2"/>
      </tp>
      <tp t="s">
        <v/>
        <stp/>
        <stp>P</stp>
        <stp>0</stp>
        <stp>IDX</stp>
        <stp>K2G03P</stp>
        <stp>개인순매수금액</stp>
        <stp>45539</stp>
        <stp>Fill=true,Per=월</stp>
        <tr r="M21" s="2"/>
      </tp>
      <tp t="s">
        <v/>
        <stp/>
        <stp>P</stp>
        <stp>0</stp>
        <stp>IDX</stp>
        <stp>K2G02P</stp>
        <stp>개인순매수금액</stp>
        <stp>45539</stp>
        <stp>Fill=true,Per=월</stp>
        <tr r="M18" s="2"/>
      </tp>
      <tp>
        <v>622328</v>
        <stp/>
        <stp>P</stp>
        <stp>0</stp>
        <stp>IDX</stp>
        <stp>K2G01P</stp>
        <stp>개인순매수금액</stp>
        <stp>45539</stp>
        <stp>Fill=true,Per=월</stp>
        <tr r="M12" s="2"/>
      </tp>
      <tp t="s">
        <v/>
        <stp/>
        <stp>P</stp>
        <stp>0</stp>
        <stp>IDX</stp>
        <stp>K2G06P</stp>
        <stp>개인순매수금액</stp>
        <stp>45539</stp>
        <stp>Fill=true,Per=월</stp>
        <tr r="M355" s="2"/>
      </tp>
      <tp t="s">
        <v/>
        <stp/>
        <stp>P</stp>
        <stp>0</stp>
        <stp>IDX</stp>
        <stp>K2G05P</stp>
        <stp>개인순매수금액</stp>
        <stp>45539</stp>
        <stp>Fill=true,Per=월</stp>
        <tr r="M353" s="2"/>
      </tp>
      <tp t="s">
        <v/>
        <stp/>
        <stp>P</stp>
        <stp>0</stp>
        <stp>IDX</stp>
        <stp>K2G04P</stp>
        <stp>개인순매수금액</stp>
        <stp>45539</stp>
        <stp>Fill=true,Per=월</stp>
        <tr r="M352" s="2"/>
      </tp>
      <tp t="s">
        <v/>
        <stp/>
        <stp>P</stp>
        <stp>0</stp>
        <stp>IDX</stp>
        <stp>K2G10P</stp>
        <stp>개인순매수금액</stp>
        <stp>45539</stp>
        <stp>Fill=true,Per=월</stp>
        <tr r="M361" s="2"/>
      </tp>
      <tp t="s">
        <v/>
        <stp/>
        <stp>P</stp>
        <stp>0</stp>
        <stp>IDX</stp>
        <stp>K2E02P</stp>
        <stp>기관순매수금액</stp>
        <stp>45539</stp>
        <stp>Fill=true,Per=월</stp>
        <tr r="N349" s="2"/>
      </tp>
      <tp t="s">
        <v/>
        <stp/>
        <stp>P</stp>
        <stp>0</stp>
        <stp>IDX</stp>
        <stp>K2E01P</stp>
        <stp>기관순매수금액</stp>
        <stp>45539</stp>
        <stp>Fill=true,Per=월</stp>
        <tr r="N348" s="2"/>
      </tp>
      <tp t="s">
        <v/>
        <stp/>
        <stp>P</stp>
        <stp>0</stp>
        <stp>IDX</stp>
        <stp>K2D02P</stp>
        <stp>개인순매수금액</stp>
        <stp>45539</stp>
        <stp>Fill=true,Per=월</stp>
        <tr r="M346" s="2"/>
      </tp>
      <tp t="s">
        <v/>
        <stp/>
        <stp>P</stp>
        <stp>0</stp>
        <stp>IDX</stp>
        <stp>K2D01P</stp>
        <stp>개인순매수금액</stp>
        <stp>45539</stp>
        <stp>Fill=true,Per=월</stp>
        <tr r="M345" s="2"/>
      </tp>
      <tp t="s">
        <v/>
        <stp/>
        <stp>P</stp>
        <stp>0</stp>
        <stp>IDX</stp>
        <stp>K2E02P</stp>
        <stp>개인순매수금액</stp>
        <stp>45539</stp>
        <stp>Fill=true,Per=월</stp>
        <tr r="M349" s="2"/>
      </tp>
      <tp t="s">
        <v/>
        <stp/>
        <stp>P</stp>
        <stp>0</stp>
        <stp>IDX</stp>
        <stp>K2E01P</stp>
        <stp>개인순매수금액</stp>
        <stp>45539</stp>
        <stp>Fill=true,Per=월</stp>
        <tr r="M348" s="2"/>
      </tp>
      <tp t="s">
        <v/>
        <stp/>
        <stp>P</stp>
        <stp>0</stp>
        <stp>IDX</stp>
        <stp>K2G03P</stp>
        <stp>기관순매수금액</stp>
        <stp>45539</stp>
        <stp>Fill=true,Per=월</stp>
        <tr r="N21" s="2"/>
      </tp>
      <tp t="s">
        <v/>
        <stp/>
        <stp>P</stp>
        <stp>0</stp>
        <stp>IDX</stp>
        <stp>K2G02P</stp>
        <stp>기관순매수금액</stp>
        <stp>45539</stp>
        <stp>Fill=true,Per=월</stp>
        <tr r="N18" s="2"/>
      </tp>
      <tp>
        <v>-621709</v>
        <stp/>
        <stp>P</stp>
        <stp>0</stp>
        <stp>IDX</stp>
        <stp>K2G01P</stp>
        <stp>기관순매수금액</stp>
        <stp>45539</stp>
        <stp>Fill=true,Per=월</stp>
        <tr r="N12" s="2"/>
      </tp>
      <tp t="s">
        <v/>
        <stp/>
        <stp>P</stp>
        <stp>0</stp>
        <stp>IDX</stp>
        <stp>K2G06P</stp>
        <stp>기관순매수금액</stp>
        <stp>45539</stp>
        <stp>Fill=true,Per=월</stp>
        <tr r="N355" s="2"/>
      </tp>
      <tp t="s">
        <v/>
        <stp/>
        <stp>P</stp>
        <stp>0</stp>
        <stp>IDX</stp>
        <stp>K2G05P</stp>
        <stp>기관순매수금액</stp>
        <stp>45539</stp>
        <stp>Fill=true,Per=월</stp>
        <tr r="N353" s="2"/>
      </tp>
      <tp t="s">
        <v/>
        <stp/>
        <stp>P</stp>
        <stp>0</stp>
        <stp>IDX</stp>
        <stp>K2G04P</stp>
        <stp>기관순매수금액</stp>
        <stp>45539</stp>
        <stp>Fill=true,Per=월</stp>
        <tr r="N352" s="2"/>
      </tp>
      <tp t="s">
        <v/>
        <stp/>
        <stp>P</stp>
        <stp>0</stp>
        <stp>IDX</stp>
        <stp>K2G08P</stp>
        <stp>기관순매수금액</stp>
        <stp>45539</stp>
        <stp>Fill=true,Per=월</stp>
        <tr r="N358" s="2"/>
      </tp>
      <tp t="s">
        <v/>
        <stp/>
        <stp>P</stp>
        <stp>0</stp>
        <stp>IDX</stp>
        <stp>F2G02P</stp>
        <stp>기관순매수금액</stp>
        <stp>45539</stp>
        <stp>Fill=true,Per=월</stp>
        <tr r="N213" s="2"/>
      </tp>
      <tp t="s">
        <v/>
        <stp/>
        <stp>P</stp>
        <stp>0</stp>
        <stp>IDX</stp>
        <stp>F2G01P</stp>
        <stp>기관순매수금액</stp>
        <stp>45539</stp>
        <stp>Fill=true,Per=월</stp>
        <tr r="N212" s="2"/>
      </tp>
      <tp t="s">
        <v/>
        <stp/>
        <stp>P</stp>
        <stp>0</stp>
        <stp>IDX</stp>
        <stp>K2G10P</stp>
        <stp>기관순매수금액</stp>
        <stp>45539</stp>
        <stp>Fill=true,Per=월</stp>
        <tr r="N361" s="2"/>
      </tp>
      <tp t="s">
        <v/>
        <stp/>
        <stp>P</stp>
        <stp>0</stp>
        <stp>IDX</stp>
        <stp>K2901P</stp>
        <stp>기관순매수금액</stp>
        <stp>45539</stp>
        <stp>Fill=true,Per=월</stp>
        <tr r="N343" s="2"/>
      </tp>
      <tp t="s">
        <v/>
        <stp/>
        <stp>P</stp>
        <stp>0</stp>
        <stp>IDX</stp>
        <stp>O2905P</stp>
        <stp>기관순매수금액</stp>
        <stp>45539</stp>
        <stp>Fill=true,Per=월</stp>
        <tr r="N101" s="2"/>
      </tp>
      <tp t="s">
        <v/>
        <stp/>
        <stp>P</stp>
        <stp>0</stp>
        <stp>IDX</stp>
        <stp>O2904P</stp>
        <stp>기관순매수금액</stp>
        <stp>45539</stp>
        <stp>Fill=true,Per=월</stp>
        <tr r="N102" s="2"/>
      </tp>
      <tp t="s">
        <v/>
        <stp/>
        <stp>P</stp>
        <stp>0</stp>
        <stp>IDX</stp>
        <stp>O2903P</stp>
        <stp>기관순매수금액</stp>
        <stp>45539</stp>
        <stp>Fill=true,Per=월</stp>
        <tr r="N103" s="2"/>
      </tp>
      <tp t="s">
        <v/>
        <stp/>
        <stp>P</stp>
        <stp>0</stp>
        <stp>IDX</stp>
        <stp>O2902P</stp>
        <stp>기관순매수금액</stp>
        <stp>45539</stp>
        <stp>Fill=true,Per=월</stp>
        <tr r="N109" s="2"/>
      </tp>
      <tp t="s">
        <v/>
        <stp/>
        <stp>P</stp>
        <stp>0</stp>
        <stp>IDX</stp>
        <stp>O2901P</stp>
        <stp>기관순매수금액</stp>
        <stp>45539</stp>
        <stp>Fill=true,Per=월</stp>
        <tr r="N105" s="2"/>
      </tp>
      <tp t="s">
        <v/>
        <stp/>
        <stp>P</stp>
        <stp>0</stp>
        <stp>IDX</stp>
        <stp>F2901P</stp>
        <stp>기관순매수금액</stp>
        <stp>45539</stp>
        <stp>Fill=true,Per=월</stp>
        <tr r="N379" s="2"/>
      </tp>
      <tp t="s">
        <v/>
        <stp/>
        <stp>P</stp>
        <stp>0</stp>
        <stp>IDX</stp>
        <stp>O2916P</stp>
        <stp>기관순매수금액</stp>
        <stp>45539</stp>
        <stp>Fill=true,Per=월</stp>
        <tr r="N100" s="2"/>
      </tp>
      <tp t="s">
        <v/>
        <stp/>
        <stp>P</stp>
        <stp>0</stp>
        <stp>IDX</stp>
        <stp>F2901P</stp>
        <stp>개인순매수금액</stp>
        <stp>45539</stp>
        <stp>Fill=true,Per=월</stp>
        <tr r="M379" s="2"/>
      </tp>
      <tp t="s">
        <v/>
        <stp/>
        <stp>P</stp>
        <stp>0</stp>
        <stp>IDX</stp>
        <stp>K2901P</stp>
        <stp>개인순매수금액</stp>
        <stp>45539</stp>
        <stp>Fill=true,Per=월</stp>
        <tr r="M343" s="2"/>
      </tp>
      <tp t="s">
        <v/>
        <stp/>
        <stp>P</stp>
        <stp>0</stp>
        <stp>IDX</stp>
        <stp>O2905P</stp>
        <stp>개인순매수금액</stp>
        <stp>45539</stp>
        <stp>Fill=true,Per=월</stp>
        <tr r="M101" s="2"/>
      </tp>
      <tp t="s">
        <v/>
        <stp/>
        <stp>P</stp>
        <stp>0</stp>
        <stp>IDX</stp>
        <stp>O2904P</stp>
        <stp>개인순매수금액</stp>
        <stp>45539</stp>
        <stp>Fill=true,Per=월</stp>
        <tr r="M102" s="2"/>
      </tp>
      <tp t="s">
        <v/>
        <stp/>
        <stp>P</stp>
        <stp>0</stp>
        <stp>IDX</stp>
        <stp>O2903P</stp>
        <stp>개인순매수금액</stp>
        <stp>45539</stp>
        <stp>Fill=true,Per=월</stp>
        <tr r="M103" s="2"/>
      </tp>
      <tp t="s">
        <v/>
        <stp/>
        <stp>P</stp>
        <stp>0</stp>
        <stp>IDX</stp>
        <stp>O2902P</stp>
        <stp>개인순매수금액</stp>
        <stp>45539</stp>
        <stp>Fill=true,Per=월</stp>
        <tr r="M109" s="2"/>
      </tp>
      <tp t="s">
        <v/>
        <stp/>
        <stp>P</stp>
        <stp>0</stp>
        <stp>IDX</stp>
        <stp>O2901P</stp>
        <stp>개인순매수금액</stp>
        <stp>45539</stp>
        <stp>Fill=true,Per=월</stp>
        <tr r="M105" s="2"/>
      </tp>
      <tp t="s">
        <v/>
        <stp/>
        <stp>P</stp>
        <stp>0</stp>
        <stp>IDX</stp>
        <stp>O2916P</stp>
        <stp>개인순매수금액</stp>
        <stp>45539</stp>
        <stp>Fill=true,Per=월</stp>
        <tr r="M100" s="2"/>
      </tp>
      <tp>
        <v>0</v>
        <stp/>
        <stp>P</stp>
        <stp>0</stp>
        <stp>IDX</stp>
        <stp>FRX09P</stp>
        <stp>누적거래대금</stp>
        <stp>45539</stp>
        <stp>Fill=true,Per=월</stp>
        <tr r="I309" s="2"/>
      </tp>
      <tp>
        <v>0</v>
        <stp/>
        <stp>P</stp>
        <stp>0</stp>
        <stp>IDX</stp>
        <stp>MGA02P</stp>
        <stp>누적거래대금</stp>
        <stp>45539</stp>
        <stp>Fill=true,Per=월</stp>
        <tr r="I112" s="2"/>
      </tp>
      <tp>
        <v>0</v>
        <stp/>
        <stp>P</stp>
        <stp>0</stp>
        <stp>IDX</stp>
        <stp>MGA12P</stp>
        <stp>누적거래대금</stp>
        <stp>45539</stp>
        <stp>Fill=true,Per=월</stp>
        <tr r="I104" s="2"/>
      </tp>
      <tp>
        <v>0</v>
        <stp/>
        <stp>P</stp>
        <stp>0</stp>
        <stp>IDX</stp>
        <stp>GGG08P</stp>
        <stp>누적거래대금</stp>
        <stp>45539</stp>
        <stp>Fill=true,Per=월</stp>
        <tr r="I338" s="2"/>
      </tp>
      <tp>
        <v>1871616</v>
        <stp/>
        <stp>P</stp>
        <stp>0</stp>
        <stp>IDX</stp>
        <stp>KGS04P</stp>
        <stp>누적거래대금</stp>
        <stp>45539</stp>
        <stp>Fill=true,Per=월</stp>
        <tr r="I46" s="2"/>
      </tp>
      <tp>
        <v>1474174</v>
        <stp/>
        <stp>P</stp>
        <stp>0</stp>
        <stp>IDX</stp>
        <stp>KGS14P</stp>
        <stp>누적거래대금</stp>
        <stp>45539</stp>
        <stp>Fill=true,Per=월</stp>
        <tr r="I27" s="2"/>
      </tp>
      <tp>
        <v>0</v>
        <stp/>
        <stp>P</stp>
        <stp>0</stp>
        <stp>IDX</stp>
        <stp>K2S05T</stp>
        <stp>누적거래대금</stp>
        <stp>45539</stp>
        <stp>Fill=true,Per=월</stp>
        <tr r="I367" s="2"/>
      </tp>
      <tp>
        <v>0</v>
        <stp/>
        <stp>P</stp>
        <stp>0</stp>
        <stp>IDX</stp>
        <stp>O2901P</stp>
        <stp>누적거래대금</stp>
        <stp>45539</stp>
        <stp>Fill=true,Per=월</stp>
        <tr r="I105" s="2"/>
      </tp>
      <tp>
        <v>12723052</v>
        <stp/>
        <stp>P</stp>
        <stp>0</stp>
        <stp>IDX</stp>
        <stp>K2G05P</stp>
        <stp>누적거래대금</stp>
        <stp>45539</stp>
        <stp>Fill=true,Per=월</stp>
        <tr r="I353" s="2"/>
      </tp>
      <tp>
        <v>0</v>
        <stp/>
        <stp>P</stp>
        <stp>0</stp>
        <stp>IDX</stp>
        <stp>F2S08P</stp>
        <stp>누적거래대금</stp>
        <stp>45539</stp>
        <stp>Fill=true,Per=월</stp>
        <tr r="I221" s="2"/>
      </tp>
      <tp>
        <v>1004264</v>
        <stp/>
        <stp>P</stp>
        <stp>0</stp>
        <stp>IDX</stp>
        <stp>K2S05P</stp>
        <stp>누적거래대금</stp>
        <stp>45539</stp>
        <stp>Fill=true,Per=월</stp>
        <tr r="I51" s="2"/>
      </tp>
      <tp>
        <v>0</v>
        <stp/>
        <stp>P</stp>
        <stp>0</stp>
        <stp>IDX</stp>
        <stp>F2X08P</stp>
        <stp>누적거래대금</stp>
        <stp>45539</stp>
        <stp>Fill=true,Per=월</stp>
        <tr r="I232" s="2"/>
      </tp>
      <tp>
        <v>0</v>
        <stp/>
        <stp>P</stp>
        <stp>0</stp>
        <stp>IDX</stp>
        <stp>K2X05P</stp>
        <stp>누적거래대금</stp>
        <stp>45539</stp>
        <stp>Fill=true,Per=월</stp>
        <tr r="I31" s="2"/>
      </tp>
      <tp>
        <v>0</v>
        <stp/>
        <stp>P</stp>
        <stp>0</stp>
        <stp>IDX</stp>
        <stp>O2X01P</stp>
        <stp>누적거래대금</stp>
        <stp>45539</stp>
        <stp>Fill=true,Per=월</stp>
        <tr r="I170" s="2"/>
      </tp>
      <tp>
        <v>0</v>
        <stp/>
        <stp>P</stp>
        <stp>0</stp>
        <stp>IDX</stp>
        <stp>F2X18P</stp>
        <stp>누적거래대금</stp>
        <stp>45539</stp>
        <stp>Fill=true,Per=월</stp>
        <tr r="I242" s="2"/>
      </tp>
      <tp>
        <v>0</v>
        <stp/>
        <stp>P</stp>
        <stp>0</stp>
        <stp>IDX</stp>
        <stp>F2X28P</stp>
        <stp>누적거래대금</stp>
        <stp>45539</stp>
        <stp>Fill=true,Per=월</stp>
        <tr r="I252" s="2"/>
      </tp>
      <tp>
        <v>0</v>
        <stp/>
        <stp>P</stp>
        <stp>0</stp>
        <stp>IDX</stp>
        <stp>F2X38P</stp>
        <stp>누적거래대금</stp>
        <stp>45539</stp>
        <stp>Fill=true,Per=월</stp>
        <tr r="I262" s="2"/>
      </tp>
      <tp>
        <v>0</v>
        <stp/>
        <stp>P</stp>
        <stp>0</stp>
        <stp>IDX</stp>
        <stp>F5X08T</stp>
        <stp>누적거래대금</stp>
        <stp>45539</stp>
        <stp>Fill=true,Per=월</stp>
        <tr r="I283" s="2"/>
      </tp>
      <tp t="s">
        <v/>
        <stp/>
        <stp>P</stp>
        <stp>0</stp>
        <stp>IDX</stp>
        <stp>X3X01P</stp>
        <stp>기관순매수금액</stp>
        <stp>45539</stp>
        <stp>Fill=true,Per=월</stp>
        <tr r="N181" s="2"/>
      </tp>
      <tp t="s">
        <v/>
        <stp/>
        <stp>P</stp>
        <stp>0</stp>
        <stp>IDX</stp>
        <stp>F3X02P</stp>
        <stp>기관순매수금액</stp>
        <stp>45539</stp>
        <stp>Fill=true,Per=월</stp>
        <tr r="N271" s="2"/>
      </tp>
      <tp t="s">
        <v/>
        <stp/>
        <stp>P</stp>
        <stp>0</stp>
        <stp>IDX</stp>
        <stp>F3X02P</stp>
        <stp>개인순매수금액</stp>
        <stp>45539</stp>
        <stp>Fill=true,Per=월</stp>
        <tr r="M271" s="2"/>
      </tp>
      <tp t="s">
        <v/>
        <stp/>
        <stp>P</stp>
        <stp>0</stp>
        <stp>IDX</stp>
        <stp>X3X01P</stp>
        <stp>개인순매수금액</stp>
        <stp>45539</stp>
        <stp>Fill=true,Per=월</stp>
        <tr r="M181" s="2"/>
      </tp>
      <tp t="s">
        <v/>
        <stp/>
        <stp>P</stp>
        <stp>0</stp>
        <stp>IDX</stp>
        <stp>X3S08P</stp>
        <stp>개인순매수금액</stp>
        <stp>45539</stp>
        <stp>Fill=true,Per=월</stp>
        <tr r="M182" s="2"/>
      </tp>
      <tp t="s">
        <v/>
        <stp/>
        <stp>P</stp>
        <stp>0</stp>
        <stp>IDX</stp>
        <stp>X3S01P</stp>
        <stp>개인순매수금액</stp>
        <stp>45539</stp>
        <stp>Fill=true,Per=월</stp>
        <tr r="M189" s="2"/>
      </tp>
      <tp t="s">
        <v/>
        <stp/>
        <stp>P</stp>
        <stp>0</stp>
        <stp>IDX</stp>
        <stp>X3S02P</stp>
        <stp>개인순매수금액</stp>
        <stp>45539</stp>
        <stp>Fill=true,Per=월</stp>
        <tr r="M188" s="2"/>
      </tp>
      <tp t="s">
        <v/>
        <stp/>
        <stp>P</stp>
        <stp>0</stp>
        <stp>IDX</stp>
        <stp>X3S03P</stp>
        <stp>개인순매수금액</stp>
        <stp>45539</stp>
        <stp>Fill=true,Per=월</stp>
        <tr r="M187" s="2"/>
      </tp>
      <tp t="s">
        <v/>
        <stp/>
        <stp>P</stp>
        <stp>0</stp>
        <stp>IDX</stp>
        <stp>X3S04P</stp>
        <stp>개인순매수금액</stp>
        <stp>45539</stp>
        <stp>Fill=true,Per=월</stp>
        <tr r="M186" s="2"/>
      </tp>
      <tp t="s">
        <v/>
        <stp/>
        <stp>P</stp>
        <stp>0</stp>
        <stp>IDX</stp>
        <stp>X3S05P</stp>
        <stp>개인순매수금액</stp>
        <stp>45539</stp>
        <stp>Fill=true,Per=월</stp>
        <tr r="M185" s="2"/>
      </tp>
      <tp t="s">
        <v/>
        <stp/>
        <stp>P</stp>
        <stp>0</stp>
        <stp>IDX</stp>
        <stp>X3S06P</stp>
        <stp>개인순매수금액</stp>
        <stp>45539</stp>
        <stp>Fill=true,Per=월</stp>
        <tr r="M184" s="2"/>
      </tp>
      <tp t="s">
        <v/>
        <stp/>
        <stp>P</stp>
        <stp>0</stp>
        <stp>IDX</stp>
        <stp>X3S07P</stp>
        <stp>개인순매수금액</stp>
        <stp>45539</stp>
        <stp>Fill=true,Per=월</stp>
        <tr r="M183" s="2"/>
      </tp>
      <tp t="s">
        <v/>
        <stp/>
        <stp>P</stp>
        <stp>0</stp>
        <stp>IDX</stp>
        <stp>X3S01P</stp>
        <stp>기관순매수금액</stp>
        <stp>45539</stp>
        <stp>Fill=true,Per=월</stp>
        <tr r="N189" s="2"/>
      </tp>
      <tp t="s">
        <v/>
        <stp/>
        <stp>P</stp>
        <stp>0</stp>
        <stp>IDX</stp>
        <stp>X3S02P</stp>
        <stp>기관순매수금액</stp>
        <stp>45539</stp>
        <stp>Fill=true,Per=월</stp>
        <tr r="N188" s="2"/>
      </tp>
      <tp t="s">
        <v/>
        <stp/>
        <stp>P</stp>
        <stp>0</stp>
        <stp>IDX</stp>
        <stp>X3S03P</stp>
        <stp>기관순매수금액</stp>
        <stp>45539</stp>
        <stp>Fill=true,Per=월</stp>
        <tr r="N187" s="2"/>
      </tp>
      <tp t="s">
        <v/>
        <stp/>
        <stp>P</stp>
        <stp>0</stp>
        <stp>IDX</stp>
        <stp>X3S04P</stp>
        <stp>기관순매수금액</stp>
        <stp>45539</stp>
        <stp>Fill=true,Per=월</stp>
        <tr r="N186" s="2"/>
      </tp>
      <tp t="s">
        <v/>
        <stp/>
        <stp>P</stp>
        <stp>0</stp>
        <stp>IDX</stp>
        <stp>X3S05P</stp>
        <stp>기관순매수금액</stp>
        <stp>45539</stp>
        <stp>Fill=true,Per=월</stp>
        <tr r="N185" s="2"/>
      </tp>
      <tp t="s">
        <v/>
        <stp/>
        <stp>P</stp>
        <stp>0</stp>
        <stp>IDX</stp>
        <stp>X3S06P</stp>
        <stp>기관순매수금액</stp>
        <stp>45539</stp>
        <stp>Fill=true,Per=월</stp>
        <tr r="N184" s="2"/>
      </tp>
      <tp t="s">
        <v/>
        <stp/>
        <stp>P</stp>
        <stp>0</stp>
        <stp>IDX</stp>
        <stp>X3S07P</stp>
        <stp>기관순매수금액</stp>
        <stp>45539</stp>
        <stp>Fill=true,Per=월</stp>
        <tr r="N183" s="2"/>
      </tp>
      <tp t="s">
        <v/>
        <stp/>
        <stp>P</stp>
        <stp>0</stp>
        <stp>IDX</stp>
        <stp>X3S08P</stp>
        <stp>기관순매수금액</stp>
        <stp>45539</stp>
        <stp>Fill=true,Per=월</stp>
        <tr r="N182" s="2"/>
      </tp>
      <tp t="s">
        <v/>
        <stp/>
        <stp>P</stp>
        <stp>0</stp>
        <stp>IDX</stp>
        <stp>F3G01P</stp>
        <stp>개인순매수금액</stp>
        <stp>45539</stp>
        <stp>Fill=true,Per=월</stp>
        <tr r="M269" s="2"/>
      </tp>
      <tp t="s">
        <v/>
        <stp/>
        <stp>P</stp>
        <stp>0</stp>
        <stp>IDX</stp>
        <stp>X3G01P</stp>
        <stp>개인순매수금액</stp>
        <stp>45539</stp>
        <stp>Fill=true,Per=월</stp>
        <tr r="M10" s="2"/>
      </tp>
      <tp t="s">
        <v/>
        <stp/>
        <stp>P</stp>
        <stp>0</stp>
        <stp>IDX</stp>
        <stp>X3E01P</stp>
        <stp>기관순매수금액</stp>
        <stp>45539</stp>
        <stp>Fill=true,Per=월</stp>
        <tr r="N191" s="2"/>
      </tp>
      <tp t="s">
        <v/>
        <stp/>
        <stp>P</stp>
        <stp>0</stp>
        <stp>IDX</stp>
        <stp>X3E01P</stp>
        <stp>개인순매수금액</stp>
        <stp>45539</stp>
        <stp>Fill=true,Per=월</stp>
        <tr r="M191" s="2"/>
      </tp>
      <tp t="s">
        <v/>
        <stp/>
        <stp>P</stp>
        <stp>0</stp>
        <stp>IDX</stp>
        <stp>X3G01P</stp>
        <stp>기관순매수금액</stp>
        <stp>45539</stp>
        <stp>Fill=true,Per=월</stp>
        <tr r="N10" s="2"/>
      </tp>
      <tp t="s">
        <v/>
        <stp/>
        <stp>P</stp>
        <stp>0</stp>
        <stp>IDX</stp>
        <stp>F3G01P</stp>
        <stp>기관순매수금액</stp>
        <stp>45539</stp>
        <stp>Fill=true,Per=월</stp>
        <tr r="N269" s="2"/>
      </tp>
      <tp>
        <v>0</v>
        <stp/>
        <stp>P</stp>
        <stp>0</stp>
        <stp>IDX</stp>
        <stp>FRX08P</stp>
        <stp>누적거래대금</stp>
        <stp>45539</stp>
        <stp>Fill=true,Per=월</stp>
        <tr r="I308" s="2"/>
      </tp>
      <tp>
        <v>0</v>
        <stp/>
        <stp>P</stp>
        <stp>0</stp>
        <stp>IDX</stp>
        <stp>FTX08T</stp>
        <stp>누적거래대금</stp>
        <stp>45539</stp>
        <stp>Fill=true,Per=월</stp>
        <tr r="I326" s="2"/>
      </tp>
      <tp>
        <v>0</v>
        <stp/>
        <stp>P</stp>
        <stp>0</stp>
        <stp>IDX</stp>
        <stp>MGA03P</stp>
        <stp>누적거래대금</stp>
        <stp>45539</stp>
        <stp>Fill=true,Per=월</stp>
        <tr r="I120" s="2"/>
      </tp>
      <tp>
        <v>2181153</v>
        <stp/>
        <stp>P</stp>
        <stp>0</stp>
        <stp>IDX</stp>
        <stp>KGS05P</stp>
        <stp>누적거래대금</stp>
        <stp>45539</stp>
        <stp>Fill=true,Per=월</stp>
        <tr r="I49" s="2"/>
      </tp>
      <tp>
        <v>0</v>
        <stp/>
        <stp>P</stp>
        <stp>0</stp>
        <stp>IDX</stp>
        <stp>MGA13T</stp>
        <stp>누적거래대금</stp>
        <stp>45539</stp>
        <stp>Fill=true,Per=월</stp>
        <tr r="I99" s="2"/>
      </tp>
      <tp>
        <v>0</v>
        <stp/>
        <stp>P</stp>
        <stp>0</stp>
        <stp>IDX</stp>
        <stp>O2916T</stp>
        <stp>누적거래대금</stp>
        <stp>45539</stp>
        <stp>Fill=true,Per=월</stp>
        <tr r="I119" s="2"/>
      </tp>
      <tp>
        <v>0</v>
        <stp/>
        <stp>P</stp>
        <stp>0</stp>
        <stp>IDX</stp>
        <stp>K2S02T</stp>
        <stp>누적거래대금</stp>
        <stp>45539</stp>
        <stp>Fill=true,Per=월</stp>
        <tr r="I364" s="2"/>
      </tp>
      <tp>
        <v>0</v>
        <stp/>
        <stp>P</stp>
        <stp>0</stp>
        <stp>IDX</stp>
        <stp>O2916P</stp>
        <stp>누적거래대금</stp>
        <stp>45539</stp>
        <stp>Fill=true,Per=월</stp>
        <tr r="I100" s="2"/>
      </tp>
      <tp>
        <v>12678083</v>
        <stp/>
        <stp>P</stp>
        <stp>0</stp>
        <stp>IDX</stp>
        <stp>K2G02P</stp>
        <stp>누적거래대금</stp>
        <stp>45539</stp>
        <stp>Fill=true,Per=월</stp>
        <tr r="I18" s="2"/>
      </tp>
      <tp>
        <v>14465046</v>
        <stp/>
        <stp>P</stp>
        <stp>0</stp>
        <stp>IDX</stp>
        <stp>K2E02P</stp>
        <stp>누적거래대금</stp>
        <stp>45539</stp>
        <stp>Fill=true,Per=월</stp>
        <tr r="I349" s="2"/>
      </tp>
      <tp>
        <v>1582776</v>
        <stp/>
        <stp>P</stp>
        <stp>0</stp>
        <stp>IDX</stp>
        <stp>K2D02P</stp>
        <stp>누적거래대금</stp>
        <stp>45539</stp>
        <stp>Fill=true,Per=월</stp>
        <tr r="I346" s="2"/>
      </tp>
      <tp>
        <v>213775</v>
        <stp/>
        <stp>P</stp>
        <stp>0</stp>
        <stp>IDX</stp>
        <stp>K2S02P</stp>
        <stp>누적거래대금</stp>
        <stp>45539</stp>
        <stp>Fill=true,Per=월</stp>
        <tr r="I72" s="2"/>
      </tp>
      <tp>
        <v>12678083</v>
        <stp/>
        <stp>P</stp>
        <stp>0</stp>
        <stp>IDX</stp>
        <stp>K2W02P</stp>
        <stp>누적거래대금</stp>
        <stp>45539</stp>
        <stp>Fill=true,Per=월</stp>
        <tr r="I17" s="2"/>
      </tp>
      <tp>
        <v>0</v>
        <stp/>
        <stp>P</stp>
        <stp>0</stp>
        <stp>IDX</stp>
        <stp>K2V02P</stp>
        <stp>누적거래대금</stp>
        <stp>45539</stp>
        <stp>Fill=true,Per=월</stp>
        <tr r="I376" s="2"/>
      </tp>
      <tp>
        <v>0</v>
        <stp/>
        <stp>P</stp>
        <stp>0</stp>
        <stp>IDX</stp>
        <stp>K2X02P</stp>
        <stp>누적거래대금</stp>
        <stp>45539</stp>
        <stp>Fill=true,Per=월</stp>
        <tr r="I50" s="2"/>
      </tp>
      <tp>
        <v>0</v>
        <stp/>
        <stp>P</stp>
        <stp>0</stp>
        <stp>IDX</stp>
        <stp>K2X12N</stp>
        <stp>누적거래대금</stp>
        <stp>45539</stp>
        <stp>Fill=true,Per=월</stp>
        <tr r="I381" s="2"/>
      </tp>
      <tp>
        <v>0</v>
        <stp/>
        <stp>P</stp>
        <stp>0</stp>
        <stp>IDX</stp>
        <stp>MGA04P</stp>
        <stp>누적거래대금</stp>
        <stp>45539</stp>
        <stp>Fill=true,Per=월</stp>
        <tr r="I122" s="2"/>
      </tp>
      <tp>
        <v>0</v>
        <stp/>
        <stp>P</stp>
        <stp>0</stp>
        <stp>IDX</stp>
        <stp>MGA14P</stp>
        <stp>누적거래대금</stp>
        <stp>45539</stp>
        <stp>Fill=true,Per=월</stp>
        <tr r="I108" s="2"/>
      </tp>
      <tp>
        <v>3689263</v>
        <stp/>
        <stp>P</stp>
        <stp>0</stp>
        <stp>IDX</stp>
        <stp>KGD02P</stp>
        <stp>누적거래대금</stp>
        <stp>45539</stp>
        <stp>Fill=true,Per=월</stp>
        <tr r="I195" s="2"/>
      </tp>
      <tp>
        <v>23681</v>
        <stp/>
        <stp>P</stp>
        <stp>0</stp>
        <stp>IDX</stp>
        <stp>KGS02P</stp>
        <stp>누적거래대금</stp>
        <stp>45539</stp>
        <stp>Fill=true,Per=월</stp>
        <tr r="I88" s="2"/>
      </tp>
      <tp>
        <v>123019</v>
        <stp/>
        <stp>P</stp>
        <stp>0</stp>
        <stp>IDX</stp>
        <stp>KGS12P</stp>
        <stp>누적거래대금</stp>
        <stp>45539</stp>
        <stp>Fill=true,Per=월</stp>
        <tr r="I83" s="2"/>
      </tp>
      <tp>
        <v>1189474</v>
        <stp/>
        <stp>P</stp>
        <stp>0</stp>
        <stp>IDX</stp>
        <stp>KGS22P</stp>
        <stp>누적거래대금</stp>
        <stp>45539</stp>
        <stp>Fill=true,Per=월</stp>
        <tr r="I44" s="2"/>
      </tp>
      <tp>
        <v>2622339</v>
        <stp/>
        <stp>P</stp>
        <stp>0</stp>
        <stp>IDX</stp>
        <stp>KGZ02P</stp>
        <stp>누적거래대금</stp>
        <stp>45539</stp>
        <stp>Fill=true,Per=월</stp>
        <tr r="I30" s="2"/>
      </tp>
      <tp>
        <v>0</v>
        <stp/>
        <stp>P</stp>
        <stp>0</stp>
        <stp>IDX</stp>
        <stp>KGD02T</stp>
        <stp>누적거래대금</stp>
        <stp>45539</stp>
        <stp>Fill=true,Per=월</stp>
        <tr r="I113" s="2"/>
      </tp>
      <tp>
        <v>0</v>
        <stp/>
        <stp>P</stp>
        <stp>0</stp>
        <stp>IDX</stp>
        <stp>K2S03T</stp>
        <stp>누적거래대금</stp>
        <stp>45539</stp>
        <stp>Fill=true,Per=월</stp>
        <tr r="I365" s="2"/>
      </tp>
      <tp>
        <v>9893100</v>
        <stp/>
        <stp>P</stp>
        <stp>0</stp>
        <stp>IDX</stp>
        <stp>K2B03P</stp>
        <stp>누적거래대금</stp>
        <stp>45539</stp>
        <stp>Fill=true,Per=월</stp>
        <tr r="I344" s="2"/>
      </tp>
      <tp>
        <v>9348389</v>
        <stp/>
        <stp>P</stp>
        <stp>0</stp>
        <stp>IDX</stp>
        <stp>K2G03P</stp>
        <stp>누적거래대금</stp>
        <stp>45539</stp>
        <stp>Fill=true,Per=월</stp>
        <tr r="I21" s="2"/>
      </tp>
      <tp>
        <v>846572</v>
        <stp/>
        <stp>P</stp>
        <stp>0</stp>
        <stp>IDX</stp>
        <stp>K2S03P</stp>
        <stp>누적거래대금</stp>
        <stp>45539</stp>
        <stp>Fill=true,Per=월</stp>
        <tr r="I32" s="2"/>
      </tp>
      <tp>
        <v>9348389</v>
        <stp/>
        <stp>P</stp>
        <stp>0</stp>
        <stp>IDX</stp>
        <stp>K2W03P</stp>
        <stp>누적거래대금</stp>
        <stp>45539</stp>
        <stp>Fill=true,Per=월</stp>
        <tr r="I20" s="2"/>
      </tp>
      <tp>
        <v>0</v>
        <stp/>
        <stp>P</stp>
        <stp>0</stp>
        <stp>IDX</stp>
        <stp>K2V03P</stp>
        <stp>누적거래대금</stp>
        <stp>45539</stp>
        <stp>Fill=true,Per=월</stp>
        <tr r="I377" s="2"/>
      </tp>
      <tp>
        <v>0</v>
        <stp/>
        <stp>P</stp>
        <stp>0</stp>
        <stp>IDX</stp>
        <stp>K2X03P</stp>
        <stp>누적거래대금</stp>
        <stp>45539</stp>
        <stp>Fill=true,Per=월</stp>
        <tr r="I24" s="2"/>
      </tp>
      <tp>
        <v>0</v>
        <stp/>
        <stp>P</stp>
        <stp>0</stp>
        <stp>IDX</stp>
        <stp>K2D03N</stp>
        <stp>누적거래대금</stp>
        <stp>45539</stp>
        <stp>Fill=true,Per=월</stp>
        <tr r="I347" s="2"/>
      </tp>
      <tp t="s">
        <v/>
        <stp/>
        <stp>P</stp>
        <stp>0</stp>
        <stp>IDX</stp>
        <stp>Q5X01P</stp>
        <stp>기관순매수금액</stp>
        <stp>45539</stp>
        <stp>Fill=true,Per=월</stp>
        <tr r="N36" s="2"/>
      </tp>
      <tp t="s">
        <v/>
        <stp/>
        <stp>P</stp>
        <stp>0</stp>
        <stp>IDX</stp>
        <stp>Q5X02P</stp>
        <stp>기관순매수금액</stp>
        <stp>45539</stp>
        <stp>Fill=true,Per=월</stp>
        <tr r="N37" s="2"/>
      </tp>
      <tp t="s">
        <v/>
        <stp/>
        <stp>P</stp>
        <stp>0</stp>
        <stp>IDX</stp>
        <stp>Q5X01P</stp>
        <stp>개인순매수금액</stp>
        <stp>45539</stp>
        <stp>Fill=true,Per=월</stp>
        <tr r="M36" s="2"/>
      </tp>
      <tp t="s">
        <v/>
        <stp/>
        <stp>P</stp>
        <stp>0</stp>
        <stp>IDX</stp>
        <stp>Q5X02P</stp>
        <stp>개인순매수금액</stp>
        <stp>45539</stp>
        <stp>Fill=true,Per=월</stp>
        <tr r="M37" s="2"/>
      </tp>
      <tp t="s">
        <v/>
        <stp/>
        <stp>P</stp>
        <stp>0</stp>
        <stp>IDX</stp>
        <stp>Q5S03P</stp>
        <stp>개인순매수금액</stp>
        <stp>45539</stp>
        <stp>Fill=true,Per=월</stp>
        <tr r="M201" s="2"/>
      </tp>
      <tp t="s">
        <v/>
        <stp/>
        <stp>P</stp>
        <stp>0</stp>
        <stp>IDX</stp>
        <stp>Q5S02P</stp>
        <stp>개인순매수금액</stp>
        <stp>45539</stp>
        <stp>Fill=true,Per=월</stp>
        <tr r="M202" s="2"/>
      </tp>
      <tp t="s">
        <v/>
        <stp/>
        <stp>P</stp>
        <stp>0</stp>
        <stp>IDX</stp>
        <stp>Q5S05P</stp>
        <stp>개인순매수금액</stp>
        <stp>45539</stp>
        <stp>Fill=true,Per=월</stp>
        <tr r="M199" s="2"/>
      </tp>
      <tp t="s">
        <v/>
        <stp/>
        <stp>P</stp>
        <stp>0</stp>
        <stp>IDX</stp>
        <stp>Q5S04P</stp>
        <stp>개인순매수금액</stp>
        <stp>45539</stp>
        <stp>Fill=true,Per=월</stp>
        <tr r="M200" s="2"/>
      </tp>
      <tp t="s">
        <v/>
        <stp/>
        <stp>P</stp>
        <stp>0</stp>
        <stp>IDX</stp>
        <stp>Q5S07P</stp>
        <stp>개인순매수금액</stp>
        <stp>45539</stp>
        <stp>Fill=true,Per=월</stp>
        <tr r="M197" s="2"/>
      </tp>
      <tp t="s">
        <v/>
        <stp/>
        <stp>P</stp>
        <stp>0</stp>
        <stp>IDX</stp>
        <stp>Q5S06P</stp>
        <stp>개인순매수금액</stp>
        <stp>45539</stp>
        <stp>Fill=true,Per=월</stp>
        <tr r="M198" s="2"/>
      </tp>
      <tp t="s">
        <v/>
        <stp/>
        <stp>P</stp>
        <stp>0</stp>
        <stp>IDX</stp>
        <stp>Q5S08P</stp>
        <stp>개인순매수금액</stp>
        <stp>45539</stp>
        <stp>Fill=true,Per=월</stp>
        <tr r="M196" s="2"/>
      </tp>
      <tp t="s">
        <v/>
        <stp/>
        <stp>P</stp>
        <stp>0</stp>
        <stp>IDX</stp>
        <stp>Q5S08P</stp>
        <stp>기관순매수금액</stp>
        <stp>45539</stp>
        <stp>Fill=true,Per=월</stp>
        <tr r="N196" s="2"/>
      </tp>
      <tp t="s">
        <v/>
        <stp/>
        <stp>P</stp>
        <stp>0</stp>
        <stp>IDX</stp>
        <stp>Q5S03P</stp>
        <stp>기관순매수금액</stp>
        <stp>45539</stp>
        <stp>Fill=true,Per=월</stp>
        <tr r="N201" s="2"/>
      </tp>
      <tp t="s">
        <v/>
        <stp/>
        <stp>P</stp>
        <stp>0</stp>
        <stp>IDX</stp>
        <stp>Q5S02P</stp>
        <stp>기관순매수금액</stp>
        <stp>45539</stp>
        <stp>Fill=true,Per=월</stp>
        <tr r="N202" s="2"/>
      </tp>
      <tp t="s">
        <v/>
        <stp/>
        <stp>P</stp>
        <stp>0</stp>
        <stp>IDX</stp>
        <stp>Q5S05P</stp>
        <stp>기관순매수금액</stp>
        <stp>45539</stp>
        <stp>Fill=true,Per=월</stp>
        <tr r="N199" s="2"/>
      </tp>
      <tp t="s">
        <v/>
        <stp/>
        <stp>P</stp>
        <stp>0</stp>
        <stp>IDX</stp>
        <stp>Q5S04P</stp>
        <stp>기관순매수금액</stp>
        <stp>45539</stp>
        <stp>Fill=true,Per=월</stp>
        <tr r="N200" s="2"/>
      </tp>
      <tp t="s">
        <v/>
        <stp/>
        <stp>P</stp>
        <stp>0</stp>
        <stp>IDX</stp>
        <stp>Q5S07P</stp>
        <stp>기관순매수금액</stp>
        <stp>45539</stp>
        <stp>Fill=true,Per=월</stp>
        <tr r="N197" s="2"/>
      </tp>
      <tp t="s">
        <v/>
        <stp/>
        <stp>P</stp>
        <stp>0</stp>
        <stp>IDX</stp>
        <stp>Q5S06P</stp>
        <stp>기관순매수금액</stp>
        <stp>45539</stp>
        <stp>Fill=true,Per=월</stp>
        <tr r="N198" s="2"/>
      </tp>
      <tp t="s">
        <v/>
        <stp/>
        <stp>P</stp>
        <stp>0</stp>
        <stp>IDX</stp>
        <stp>Q5W01P</stp>
        <stp>개인순매수금액</stp>
        <stp>45539</stp>
        <stp>Fill=true,Per=월</stp>
        <tr r="M35" s="2"/>
      </tp>
      <tp t="s">
        <v/>
        <stp/>
        <stp>P</stp>
        <stp>0</stp>
        <stp>IDX</stp>
        <stp>Q5W01P</stp>
        <stp>기관순매수금액</stp>
        <stp>45539</stp>
        <stp>Fill=true,Per=월</stp>
        <tr r="N35" s="2"/>
      </tp>
      <tp t="s">
        <v/>
        <stp/>
        <stp>P</stp>
        <stp>0</stp>
        <stp>IDX</stp>
        <stp>F5G01P</stp>
        <stp>개인순매수금액</stp>
        <stp>45539</stp>
        <stp>Fill=true,Per=월</stp>
        <tr r="M275" s="2"/>
      </tp>
      <tp t="s">
        <v/>
        <stp/>
        <stp>P</stp>
        <stp>0</stp>
        <stp>IDX</stp>
        <stp>Q5G01P</stp>
        <stp>개인순매수금액</stp>
        <stp>45539</stp>
        <stp>Fill=true,Per=월</stp>
        <tr r="M34" s="2"/>
      </tp>
      <tp t="s">
        <v/>
        <stp/>
        <stp>P</stp>
        <stp>0</stp>
        <stp>IDX</stp>
        <stp>Q5E01P</stp>
        <stp>기관순매수금액</stp>
        <stp>45539</stp>
        <stp>Fill=true,Per=월</stp>
        <tr r="N204" s="2"/>
      </tp>
      <tp t="s">
        <v/>
        <stp/>
        <stp>P</stp>
        <stp>0</stp>
        <stp>IDX</stp>
        <stp>Q5E01P</stp>
        <stp>개인순매수금액</stp>
        <stp>45539</stp>
        <stp>Fill=true,Per=월</stp>
        <tr r="M204" s="2"/>
      </tp>
      <tp t="s">
        <v/>
        <stp/>
        <stp>P</stp>
        <stp>0</stp>
        <stp>IDX</stp>
        <stp>Q5G01P</stp>
        <stp>기관순매수금액</stp>
        <stp>45539</stp>
        <stp>Fill=true,Per=월</stp>
        <tr r="N34" s="2"/>
      </tp>
      <tp t="s">
        <v/>
        <stp/>
        <stp>P</stp>
        <stp>0</stp>
        <stp>IDX</stp>
        <stp>F5G01P</stp>
        <stp>기관순매수금액</stp>
        <stp>45539</stp>
        <stp>Fill=true,Per=월</stp>
        <tr r="N275" s="2"/>
      </tp>
      <tp t="s">
        <v/>
        <stp/>
        <stp>P</stp>
        <stp>0</stp>
        <stp>IDX</stp>
        <stp>F5901P</stp>
        <stp>기관순매수금액</stp>
        <stp>45539</stp>
        <stp>Fill=true,Per=월</stp>
        <tr r="N273" s="2"/>
      </tp>
      <tp t="s">
        <v/>
        <stp/>
        <stp>P</stp>
        <stp>0</stp>
        <stp>IDX</stp>
        <stp>F5901P</stp>
        <stp>개인순매수금액</stp>
        <stp>45539</stp>
        <stp>Fill=true,Per=월</stp>
        <tr r="M273" s="2"/>
      </tp>
      <tp>
        <v>0</v>
        <stp/>
        <stp>P</stp>
        <stp>0</stp>
        <stp>IDX</stp>
        <stp>MGA05P</stp>
        <stp>누적거래대금</stp>
        <stp>45539</stp>
        <stp>Fill=true,Per=월</stp>
        <tr r="I123" s="2"/>
      </tp>
      <tp>
        <v>0</v>
        <stp/>
        <stp>P</stp>
        <stp>0</stp>
        <stp>IDX</stp>
        <stp>MGA15P</stp>
        <stp>누적거래대금</stp>
        <stp>45539</stp>
        <stp>Fill=true,Per=월</stp>
        <tr r="I110" s="2"/>
      </tp>
      <tp>
        <v>3104007</v>
        <stp/>
        <stp>P</stp>
        <stp>0</stp>
        <stp>IDX</stp>
        <stp>KGD03P</stp>
        <stp>누적거래대금</stp>
        <stp>45539</stp>
        <stp>Fill=true,Per=월</stp>
        <tr r="I114" s="2"/>
      </tp>
      <tp>
        <v>6349</v>
        <stp/>
        <stp>P</stp>
        <stp>0</stp>
        <stp>IDX</stp>
        <stp>KGS03P</stp>
        <stp>누적거래대금</stp>
        <stp>45539</stp>
        <stp>Fill=true,Per=월</stp>
        <tr r="I94" s="2"/>
      </tp>
      <tp>
        <v>204985</v>
        <stp/>
        <stp>P</stp>
        <stp>0</stp>
        <stp>IDX</stp>
        <stp>KGS13P</stp>
        <stp>누적거래대금</stp>
        <stp>45539</stp>
        <stp>Fill=true,Per=월</stp>
        <tr r="I74" s="2"/>
      </tp>
      <tp>
        <v>1286111</v>
        <stp/>
        <stp>P</stp>
        <stp>0</stp>
        <stp>IDX</stp>
        <stp>KGZ03P</stp>
        <stp>누적거래대금</stp>
        <stp>45539</stp>
        <stp>Fill=true,Per=월</stp>
        <tr r="I57" s="2"/>
      </tp>
      <tp>
        <v>0</v>
        <stp/>
        <stp>P</stp>
        <stp>0</stp>
        <stp>IDX</stp>
        <stp>KGD03T</stp>
        <stp>누적거래대금</stp>
        <stp>45539</stp>
        <stp>Fill=true,Per=월</stp>
        <tr r="I115" s="2"/>
      </tp>
      <tp>
        <v>0</v>
        <stp/>
        <stp>P</stp>
        <stp>0</stp>
        <stp>IDX</stp>
        <stp>K2G10T</stp>
        <stp>누적거래대금</stp>
        <stp>45539</stp>
        <stp>Fill=true,Per=월</stp>
        <tr r="I362" s="2"/>
      </tp>
      <tp>
        <v>0</v>
        <stp/>
        <stp>P</stp>
        <stp>0</stp>
        <stp>IDX</stp>
        <stp>K2S10T</stp>
        <stp>누적거래대금</stp>
        <stp>45539</stp>
        <stp>Fill=true,Per=월</stp>
        <tr r="I372" s="2"/>
      </tp>
      <tp>
        <v>0</v>
        <stp/>
        <stp>P</stp>
        <stp>0</stp>
        <stp>IDX</stp>
        <stp>O2904P</stp>
        <stp>누적거래대금</stp>
        <stp>45539</stp>
        <stp>Fill=true,Per=월</stp>
        <tr r="I102" s="2"/>
      </tp>
      <tp>
        <v>14856199</v>
        <stp/>
        <stp>P</stp>
        <stp>0</stp>
        <stp>IDX</stp>
        <stp>K2G10P</stp>
        <stp>누적거래대금</stp>
        <stp>45539</stp>
        <stp>Fill=true,Per=월</stp>
        <tr r="I361" s="2"/>
      </tp>
      <tp>
        <v>854190</v>
        <stp/>
        <stp>P</stp>
        <stp>0</stp>
        <stp>IDX</stp>
        <stp>K2S10P</stp>
        <stp>누적거래대금</stp>
        <stp>45539</stp>
        <stp>Fill=true,Per=월</stp>
        <tr r="I59" s="2"/>
      </tp>
      <tp>
        <v>0</v>
        <stp/>
        <stp>P</stp>
        <stp>0</stp>
        <stp>IDX</stp>
        <stp>K2G10N</stp>
        <stp>누적거래대금</stp>
        <stp>45539</stp>
        <stp>Fill=true,Per=월</stp>
        <tr r="I360" s="2"/>
      </tp>
      <tp t="s">
        <v/>
        <stp/>
        <stp>P</stp>
        <stp>0</stp>
        <stp>IDX</stp>
        <stp>F2X44T</stp>
        <stp>기관순매수금액</stp>
        <stp>45539</stp>
        <stp>Fill=true,Per=월</stp>
        <tr r="N268" s="2"/>
      </tp>
      <tp t="s">
        <v/>
        <stp/>
        <stp>P</stp>
        <stp>0</stp>
        <stp>IDX</stp>
        <stp>F2X42T</stp>
        <stp>기관순매수금액</stp>
        <stp>45539</stp>
        <stp>Fill=true,Per=월</stp>
        <tr r="N266" s="2"/>
      </tp>
      <tp t="s">
        <v/>
        <stp/>
        <stp>P</stp>
        <stp>0</stp>
        <stp>IDX</stp>
        <stp>F2X43T</stp>
        <stp>기관순매수금액</stp>
        <stp>45539</stp>
        <stp>Fill=true,Per=월</stp>
        <tr r="N267" s="2"/>
      </tp>
      <tp t="s">
        <v/>
        <stp/>
        <stp>P</stp>
        <stp>0</stp>
        <stp>IDX</stp>
        <stp>F2X40T</stp>
        <stp>기관순매수금액</stp>
        <stp>45539</stp>
        <stp>Fill=true,Per=월</stp>
        <tr r="N264" s="2"/>
      </tp>
      <tp t="s">
        <v/>
        <stp/>
        <stp>P</stp>
        <stp>0</stp>
        <stp>IDX</stp>
        <stp>F2X41T</stp>
        <stp>기관순매수금액</stp>
        <stp>45539</stp>
        <stp>Fill=true,Per=월</stp>
        <tr r="N265" s="2"/>
      </tp>
      <tp t="s">
        <v/>
        <stp/>
        <stp>P</stp>
        <stp>0</stp>
        <stp>IDX</stp>
        <stp>F2X05T</stp>
        <stp>기관순매수금액</stp>
        <stp>45539</stp>
        <stp>Fill=true,Per=월</stp>
        <tr r="N229" s="2"/>
      </tp>
      <tp t="s">
        <v/>
        <stp/>
        <stp>P</stp>
        <stp>0</stp>
        <stp>IDX</stp>
        <stp>F2X05T</stp>
        <stp>개인순매수금액</stp>
        <stp>45539</stp>
        <stp>Fill=true,Per=월</stp>
        <tr r="M229" s="2"/>
      </tp>
      <tp t="s">
        <v/>
        <stp/>
        <stp>P</stp>
        <stp>0</stp>
        <stp>IDX</stp>
        <stp>F2X44T</stp>
        <stp>개인순매수금액</stp>
        <stp>45539</stp>
        <stp>Fill=true,Per=월</stp>
        <tr r="M268" s="2"/>
      </tp>
      <tp t="s">
        <v/>
        <stp/>
        <stp>P</stp>
        <stp>0</stp>
        <stp>IDX</stp>
        <stp>F2X42T</stp>
        <stp>개인순매수금액</stp>
        <stp>45539</stp>
        <stp>Fill=true,Per=월</stp>
        <tr r="M266" s="2"/>
      </tp>
      <tp t="s">
        <v/>
        <stp/>
        <stp>P</stp>
        <stp>0</stp>
        <stp>IDX</stp>
        <stp>F2X43T</stp>
        <stp>개인순매수금액</stp>
        <stp>45539</stp>
        <stp>Fill=true,Per=월</stp>
        <tr r="M267" s="2"/>
      </tp>
      <tp t="s">
        <v/>
        <stp/>
        <stp>P</stp>
        <stp>0</stp>
        <stp>IDX</stp>
        <stp>F2X40T</stp>
        <stp>개인순매수금액</stp>
        <stp>45539</stp>
        <stp>Fill=true,Per=월</stp>
        <tr r="M264" s="2"/>
      </tp>
      <tp t="s">
        <v/>
        <stp/>
        <stp>P</stp>
        <stp>0</stp>
        <stp>IDX</stp>
        <stp>F2X41T</stp>
        <stp>개인순매수금액</stp>
        <stp>45539</stp>
        <stp>Fill=true,Per=월</stp>
        <tr r="M265" s="2"/>
      </tp>
      <tp t="s">
        <v/>
        <stp/>
        <stp>P</stp>
        <stp>0</stp>
        <stp>IDX</stp>
        <stp>K2S09T</stp>
        <stp>개인순매수금액</stp>
        <stp>45539</stp>
        <stp>Fill=true,Per=월</stp>
        <tr r="M371" s="2"/>
      </tp>
      <tp t="s">
        <v/>
        <stp/>
        <stp>P</stp>
        <stp>0</stp>
        <stp>IDX</stp>
        <stp>K2S08T</stp>
        <stp>개인순매수금액</stp>
        <stp>45539</stp>
        <stp>Fill=true,Per=월</stp>
        <tr r="M370" s="2"/>
      </tp>
      <tp t="s">
        <v/>
        <stp/>
        <stp>P</stp>
        <stp>0</stp>
        <stp>IDX</stp>
        <stp>K2S03T</stp>
        <stp>개인순매수금액</stp>
        <stp>45539</stp>
        <stp>Fill=true,Per=월</stp>
        <tr r="M365" s="2"/>
      </tp>
      <tp t="s">
        <v/>
        <stp/>
        <stp>P</stp>
        <stp>0</stp>
        <stp>IDX</stp>
        <stp>K2S02T</stp>
        <stp>개인순매수금액</stp>
        <stp>45539</stp>
        <stp>Fill=true,Per=월</stp>
        <tr r="M364" s="2"/>
      </tp>
      <tp t="s">
        <v/>
        <stp/>
        <stp>P</stp>
        <stp>0</stp>
        <stp>IDX</stp>
        <stp>K2S01T</stp>
        <stp>개인순매수금액</stp>
        <stp>45539</stp>
        <stp>Fill=true,Per=월</stp>
        <tr r="M363" s="2"/>
      </tp>
      <tp t="s">
        <v/>
        <stp/>
        <stp>P</stp>
        <stp>0</stp>
        <stp>IDX</stp>
        <stp>K2S07T</stp>
        <stp>개인순매수금액</stp>
        <stp>45539</stp>
        <stp>Fill=true,Per=월</stp>
        <tr r="M369" s="2"/>
      </tp>
      <tp t="s">
        <v/>
        <stp/>
        <stp>P</stp>
        <stp>0</stp>
        <stp>IDX</stp>
        <stp>K2S06T</stp>
        <stp>개인순매수금액</stp>
        <stp>45539</stp>
        <stp>Fill=true,Per=월</stp>
        <tr r="M368" s="2"/>
      </tp>
      <tp t="s">
        <v/>
        <stp/>
        <stp>P</stp>
        <stp>0</stp>
        <stp>IDX</stp>
        <stp>K2S05T</stp>
        <stp>개인순매수금액</stp>
        <stp>45539</stp>
        <stp>Fill=true,Per=월</stp>
        <tr r="M367" s="2"/>
      </tp>
      <tp t="s">
        <v/>
        <stp/>
        <stp>P</stp>
        <stp>0</stp>
        <stp>IDX</stp>
        <stp>K2S04T</stp>
        <stp>개인순매수금액</stp>
        <stp>45539</stp>
        <stp>Fill=true,Per=월</stp>
        <tr r="M366" s="2"/>
      </tp>
      <tp t="s">
        <v/>
        <stp/>
        <stp>P</stp>
        <stp>0</stp>
        <stp>IDX</stp>
        <stp>K2S11T</stp>
        <stp>개인순매수금액</stp>
        <stp>45539</stp>
        <stp>Fill=true,Per=월</stp>
        <tr r="M373" s="2"/>
      </tp>
      <tp t="s">
        <v/>
        <stp/>
        <stp>P</stp>
        <stp>0</stp>
        <stp>IDX</stp>
        <stp>K2S10T</stp>
        <stp>개인순매수금액</stp>
        <stp>45539</stp>
        <stp>Fill=true,Per=월</stp>
        <tr r="M372" s="2"/>
      </tp>
      <tp t="s">
        <v/>
        <stp/>
        <stp>P</stp>
        <stp>0</stp>
        <stp>IDX</stp>
        <stp>K2S03T</stp>
        <stp>기관순매수금액</stp>
        <stp>45539</stp>
        <stp>Fill=true,Per=월</stp>
        <tr r="N365" s="2"/>
      </tp>
      <tp t="s">
        <v/>
        <stp/>
        <stp>P</stp>
        <stp>0</stp>
        <stp>IDX</stp>
        <stp>K2S02T</stp>
        <stp>기관순매수금액</stp>
        <stp>45539</stp>
        <stp>Fill=true,Per=월</stp>
        <tr r="N364" s="2"/>
      </tp>
      <tp t="s">
        <v/>
        <stp/>
        <stp>P</stp>
        <stp>0</stp>
        <stp>IDX</stp>
        <stp>K2S01T</stp>
        <stp>기관순매수금액</stp>
        <stp>45539</stp>
        <stp>Fill=true,Per=월</stp>
        <tr r="N363" s="2"/>
      </tp>
      <tp t="s">
        <v/>
        <stp/>
        <stp>P</stp>
        <stp>0</stp>
        <stp>IDX</stp>
        <stp>K2S07T</stp>
        <stp>기관순매수금액</stp>
        <stp>45539</stp>
        <stp>Fill=true,Per=월</stp>
        <tr r="N369" s="2"/>
      </tp>
      <tp t="s">
        <v/>
        <stp/>
        <stp>P</stp>
        <stp>0</stp>
        <stp>IDX</stp>
        <stp>K2S06T</stp>
        <stp>기관순매수금액</stp>
        <stp>45539</stp>
        <stp>Fill=true,Per=월</stp>
        <tr r="N368" s="2"/>
      </tp>
      <tp t="s">
        <v/>
        <stp/>
        <stp>P</stp>
        <stp>0</stp>
        <stp>IDX</stp>
        <stp>K2S05T</stp>
        <stp>기관순매수금액</stp>
        <stp>45539</stp>
        <stp>Fill=true,Per=월</stp>
        <tr r="N367" s="2"/>
      </tp>
      <tp t="s">
        <v/>
        <stp/>
        <stp>P</stp>
        <stp>0</stp>
        <stp>IDX</stp>
        <stp>K2S04T</stp>
        <stp>기관순매수금액</stp>
        <stp>45539</stp>
        <stp>Fill=true,Per=월</stp>
        <tr r="N366" s="2"/>
      </tp>
      <tp t="s">
        <v/>
        <stp/>
        <stp>P</stp>
        <stp>0</stp>
        <stp>IDX</stp>
        <stp>K2S09T</stp>
        <stp>기관순매수금액</stp>
        <stp>45539</stp>
        <stp>Fill=true,Per=월</stp>
        <tr r="N371" s="2"/>
      </tp>
      <tp t="s">
        <v/>
        <stp/>
        <stp>P</stp>
        <stp>0</stp>
        <stp>IDX</stp>
        <stp>K2S08T</stp>
        <stp>기관순매수금액</stp>
        <stp>45539</stp>
        <stp>Fill=true,Per=월</stp>
        <tr r="N370" s="2"/>
      </tp>
      <tp t="s">
        <v/>
        <stp/>
        <stp>P</stp>
        <stp>0</stp>
        <stp>IDX</stp>
        <stp>K2S11T</stp>
        <stp>기관순매수금액</stp>
        <stp>45539</stp>
        <stp>Fill=true,Per=월</stp>
        <tr r="N373" s="2"/>
      </tp>
      <tp t="s">
        <v/>
        <stp/>
        <stp>P</stp>
        <stp>0</stp>
        <stp>IDX</stp>
        <stp>K2S10T</stp>
        <stp>기관순매수금액</stp>
        <stp>45539</stp>
        <stp>Fill=true,Per=월</stp>
        <tr r="N372" s="2"/>
      </tp>
      <tp t="s">
        <v/>
        <stp/>
        <stp>P</stp>
        <stp>0</stp>
        <stp>IDX</stp>
        <stp>K2G08T</stp>
        <stp>개인순매수금액</stp>
        <stp>45539</stp>
        <stp>Fill=true,Per=월</stp>
        <tr r="M359" s="2"/>
      </tp>
      <tp t="s">
        <v/>
        <stp/>
        <stp>P</stp>
        <stp>0</stp>
        <stp>IDX</stp>
        <stp>K2G01T</stp>
        <stp>개인순매수금액</stp>
        <stp>45539</stp>
        <stp>Fill=true,Per=월</stp>
        <tr r="M351" s="2"/>
      </tp>
      <tp t="s">
        <v/>
        <stp/>
        <stp>P</stp>
        <stp>0</stp>
        <stp>IDX</stp>
        <stp>K2G06T</stp>
        <stp>개인순매수금액</stp>
        <stp>45539</stp>
        <stp>Fill=true,Per=월</stp>
        <tr r="M356" s="2"/>
      </tp>
      <tp t="s">
        <v/>
        <stp/>
        <stp>P</stp>
        <stp>0</stp>
        <stp>IDX</stp>
        <stp>K2G10T</stp>
        <stp>개인순매수금액</stp>
        <stp>45539</stp>
        <stp>Fill=true,Per=월</stp>
        <tr r="M362" s="2"/>
      </tp>
      <tp t="s">
        <v/>
        <stp/>
        <stp>P</stp>
        <stp>0</stp>
        <stp>IDX</stp>
        <stp>K2G01T</stp>
        <stp>기관순매수금액</stp>
        <stp>45539</stp>
        <stp>Fill=true,Per=월</stp>
        <tr r="N351" s="2"/>
      </tp>
      <tp t="s">
        <v/>
        <stp/>
        <stp>P</stp>
        <stp>0</stp>
        <stp>IDX</stp>
        <stp>K2G06T</stp>
        <stp>기관순매수금액</stp>
        <stp>45539</stp>
        <stp>Fill=true,Per=월</stp>
        <tr r="N356" s="2"/>
      </tp>
      <tp t="s">
        <v/>
        <stp/>
        <stp>P</stp>
        <stp>0</stp>
        <stp>IDX</stp>
        <stp>K2G08T</stp>
        <stp>기관순매수금액</stp>
        <stp>45539</stp>
        <stp>Fill=true,Per=월</stp>
        <tr r="N359" s="2"/>
      </tp>
      <tp t="s">
        <v/>
        <stp/>
        <stp>P</stp>
        <stp>0</stp>
        <stp>IDX</stp>
        <stp>K2G10T</stp>
        <stp>기관순매수금액</stp>
        <stp>45539</stp>
        <stp>Fill=true,Per=월</stp>
        <tr r="N362" s="2"/>
      </tp>
      <tp t="s">
        <v/>
        <stp/>
        <stp>P</stp>
        <stp>0</stp>
        <stp>IDX</stp>
        <stp>F2902T</stp>
        <stp>기관순매수금액</stp>
        <stp>45539</stp>
        <stp>Fill=true,Per=월</stp>
        <tr r="N211" s="2"/>
      </tp>
      <tp t="s">
        <v/>
        <stp/>
        <stp>P</stp>
        <stp>0</stp>
        <stp>IDX</stp>
        <stp>O2916T</stp>
        <stp>기관순매수금액</stp>
        <stp>45539</stp>
        <stp>Fill=true,Per=월</stp>
        <tr r="N119" s="2"/>
      </tp>
      <tp t="s">
        <v/>
        <stp/>
        <stp>P</stp>
        <stp>0</stp>
        <stp>IDX</stp>
        <stp>F2902T</stp>
        <stp>개인순매수금액</stp>
        <stp>45539</stp>
        <stp>Fill=true,Per=월</stp>
        <tr r="M211" s="2"/>
      </tp>
      <tp t="s">
        <v/>
        <stp/>
        <stp>P</stp>
        <stp>0</stp>
        <stp>IDX</stp>
        <stp>O2916T</stp>
        <stp>개인순매수금액</stp>
        <stp>45539</stp>
        <stp>Fill=true,Per=월</stp>
        <tr r="M119" s="2"/>
      </tp>
      <tp>
        <v>0</v>
        <stp/>
        <stp>P</stp>
        <stp>0</stp>
        <stp>IDX</stp>
        <stp>OG914P</stp>
        <stp>누적거래대금</stp>
        <stp>45539</stp>
        <stp>Fill=true,Per=월</stp>
        <tr r="I205" s="2"/>
      </tp>
      <tp>
        <v>0</v>
        <stp/>
        <stp>P</stp>
        <stp>0</stp>
        <stp>IDX</stp>
        <stp>MGA06P</stp>
        <stp>누적거래대금</stp>
        <stp>45539</stp>
        <stp>Fill=true,Per=월</stp>
        <tr r="I124" s="2"/>
      </tp>
      <tp>
        <v>1587407</v>
        <stp/>
        <stp>P</stp>
        <stp>0</stp>
        <stp>IDX</stp>
        <stp>KGS10P</stp>
        <stp>누적거래대금</stp>
        <stp>45539</stp>
        <stp>Fill=true,Per=월</stp>
        <tr r="I33" s="2"/>
      </tp>
      <tp>
        <v>332602</v>
        <stp/>
        <stp>P</stp>
        <stp>0</stp>
        <stp>IDX</stp>
        <stp>KGS20P</stp>
        <stp>누적거래대금</stp>
        <stp>45539</stp>
        <stp>Fill=true,Per=월</stp>
        <tr r="I81" s="2"/>
      </tp>
      <tp>
        <v>0</v>
        <stp/>
        <stp>P</stp>
        <stp>0</stp>
        <stp>IDX</stp>
        <stp>MGA16T</stp>
        <stp>누적거래대금</stp>
        <stp>45539</stp>
        <stp>Fill=true,Per=월</stp>
        <tr r="I106" s="2"/>
      </tp>
      <tp>
        <v>0</v>
        <stp/>
        <stp>P</stp>
        <stp>0</stp>
        <stp>IDX</stp>
        <stp>K2G01T</stp>
        <stp>누적거래대금</stp>
        <stp>45539</stp>
        <stp>Fill=true,Per=월</stp>
        <tr r="I351" s="2"/>
      </tp>
      <tp>
        <v>0</v>
        <stp/>
        <stp>P</stp>
        <stp>0</stp>
        <stp>IDX</stp>
        <stp>K2S01T</stp>
        <stp>누적거래대금</stp>
        <stp>45539</stp>
        <stp>Fill=true,Per=월</stp>
        <tr r="I363" s="2"/>
      </tp>
      <tp>
        <v>0</v>
        <stp/>
        <stp>P</stp>
        <stp>0</stp>
        <stp>IDX</stp>
        <stp>K2S11T</stp>
        <stp>누적거래대금</stp>
        <stp>45539</stp>
        <stp>Fill=true,Per=월</stp>
        <tr r="I373" s="2"/>
      </tp>
      <tp>
        <v>0</v>
        <stp/>
        <stp>P</stp>
        <stp>0</stp>
        <stp>IDX</stp>
        <stp>K2901P</stp>
        <stp>누적거래대금</stp>
        <stp>45539</stp>
        <stp>Fill=true,Per=월</stp>
        <tr r="I343" s="2"/>
      </tp>
      <tp>
        <v>0</v>
        <stp/>
        <stp>P</stp>
        <stp>0</stp>
        <stp>IDX</stp>
        <stp>O2905P</stp>
        <stp>누적거래대금</stp>
        <stp>45539</stp>
        <stp>Fill=true,Per=월</stp>
        <tr r="I101" s="2"/>
      </tp>
      <tp>
        <v>4034435</v>
        <stp/>
        <stp>P</stp>
        <stp>0</stp>
        <stp>IDX</stp>
        <stp>K2B01P</stp>
        <stp>누적거래대금</stp>
        <stp>45539</stp>
        <stp>Fill=true,Per=월</stp>
        <tr r="I23" s="2"/>
      </tp>
      <tp>
        <v>14856197</v>
        <stp/>
        <stp>P</stp>
        <stp>0</stp>
        <stp>IDX</stp>
        <stp>K2G01P</stp>
        <stp>누적거래대금</stp>
        <stp>45539</stp>
        <stp>Fill=true,Per=월</stp>
        <tr r="I12" s="2"/>
      </tp>
      <tp>
        <v>9423937</v>
        <stp/>
        <stp>P</stp>
        <stp>0</stp>
        <stp>IDX</stp>
        <stp>K2E01P</stp>
        <stp>누적거래대금</stp>
        <stp>45539</stp>
        <stp>Fill=true,Per=월</stp>
        <tr r="I348" s="2"/>
      </tp>
      <tp>
        <v>1130892</v>
        <stp/>
        <stp>P</stp>
        <stp>0</stp>
        <stp>IDX</stp>
        <stp>K2D01P</stp>
        <stp>누적거래대금</stp>
        <stp>45539</stp>
        <stp>Fill=true,Per=월</stp>
        <tr r="I345" s="2"/>
      </tp>
      <tp>
        <v>2093453</v>
        <stp/>
        <stp>P</stp>
        <stp>0</stp>
        <stp>IDX</stp>
        <stp>K2S01P</stp>
        <stp>누적거래대금</stp>
        <stp>45539</stp>
        <stp>Fill=true,Per=월</stp>
        <tr r="I47" s="2"/>
      </tp>
      <tp>
        <v>535003</v>
        <stp/>
        <stp>P</stp>
        <stp>0</stp>
        <stp>IDX</stp>
        <stp>K2S11P</stp>
        <stp>누적거래대금</stp>
        <stp>45539</stp>
        <stp>Fill=true,Per=월</stp>
        <tr r="I54" s="2"/>
      </tp>
      <tp>
        <v>14856197</v>
        <stp/>
        <stp>P</stp>
        <stp>0</stp>
        <stp>IDX</stp>
        <stp>K2W01P</stp>
        <stp>누적거래대금</stp>
        <stp>45539</stp>
        <stp>Fill=true,Per=월</stp>
        <tr r="I11" s="2"/>
      </tp>
      <tp>
        <v>0</v>
        <stp/>
        <stp>P</stp>
        <stp>0</stp>
        <stp>IDX</stp>
        <stp>K2V01P</stp>
        <stp>누적거래대금</stp>
        <stp>45539</stp>
        <stp>Fill=true,Per=월</stp>
        <tr r="I375" s="2"/>
      </tp>
      <tp>
        <v>3061124</v>
        <stp/>
        <stp>P</stp>
        <stp>0</stp>
        <stp>IDX</stp>
        <stp>K2T01P</stp>
        <stp>누적거래대금</stp>
        <stp>45539</stp>
        <stp>Fill=true,Per=월</stp>
        <tr r="I374" s="2"/>
      </tp>
      <tp>
        <v>2178114</v>
        <stp/>
        <stp>P</stp>
        <stp>0</stp>
        <stp>IDX</stp>
        <stp>K2Z01P</stp>
        <stp>누적거래대금</stp>
        <stp>45539</stp>
        <stp>Fill=true,Per=월</stp>
        <tr r="I382" s="2"/>
      </tp>
      <tp>
        <v>0</v>
        <stp/>
        <stp>P</stp>
        <stp>0</stp>
        <stp>IDX</stp>
        <stp>K2X01P</stp>
        <stp>누적거래대금</stp>
        <stp>45539</stp>
        <stp>Fill=true,Per=월</stp>
        <tr r="I13" s="2"/>
      </tp>
      <tp>
        <v>0</v>
        <stp/>
        <stp>P</stp>
        <stp>0</stp>
        <stp>IDX</stp>
        <stp>K2X11P</stp>
        <stp>누적거래대금</stp>
        <stp>45539</stp>
        <stp>Fill=true,Per=월</stp>
        <tr r="I380" s="2"/>
      </tp>
      <tp>
        <v>0</v>
        <stp/>
        <stp>P</stp>
        <stp>0</stp>
        <stp>IDX</stp>
        <stp>K2G01N</stp>
        <stp>누적거래대금</stp>
        <stp>45539</stp>
        <stp>Fill=true,Per=월</stp>
        <tr r="I350" s="2"/>
      </tp>
      <tp t="s">
        <v/>
        <stp/>
        <stp>P</stp>
        <stp>0</stp>
        <stp>IDX</stp>
        <stp>F3X03T</stp>
        <stp>기관순매수금액</stp>
        <stp>45539</stp>
        <stp>Fill=true,Per=월</stp>
        <tr r="N272" s="2"/>
      </tp>
      <tp t="s">
        <v/>
        <stp/>
        <stp>P</stp>
        <stp>0</stp>
        <stp>IDX</stp>
        <stp>F3X01T</stp>
        <stp>기관순매수금액</stp>
        <stp>45539</stp>
        <stp>Fill=true,Per=월</stp>
        <tr r="N270" s="2"/>
      </tp>
      <tp t="s">
        <v/>
        <stp/>
        <stp>P</stp>
        <stp>0</stp>
        <stp>IDX</stp>
        <stp>F3X03T</stp>
        <stp>개인순매수금액</stp>
        <stp>45539</stp>
        <stp>Fill=true,Per=월</stp>
        <tr r="M272" s="2"/>
      </tp>
      <tp t="s">
        <v/>
        <stp/>
        <stp>P</stp>
        <stp>0</stp>
        <stp>IDX</stp>
        <stp>F3X01T</stp>
        <stp>개인순매수금액</stp>
        <stp>45539</stp>
        <stp>Fill=true,Per=월</stp>
        <tr r="M270" s="2"/>
      </tp>
      <tp t="s">
        <v/>
        <stp/>
        <stp>P</stp>
        <stp>0</stp>
        <stp>IDX</stp>
        <stp>X3G01T</stp>
        <stp>개인순매수금액</stp>
        <stp>45539</stp>
        <stp>Fill=true,Per=월</stp>
        <tr r="M190" s="2"/>
      </tp>
      <tp t="s">
        <v/>
        <stp/>
        <stp>P</stp>
        <stp>0</stp>
        <stp>IDX</stp>
        <stp>X3G01T</stp>
        <stp>기관순매수금액</stp>
        <stp>45539</stp>
        <stp>Fill=true,Per=월</stp>
        <tr r="N190" s="2"/>
      </tp>
      <tp>
        <v>0</v>
        <stp/>
        <stp>P</stp>
        <stp>0</stp>
        <stp>IDX</stp>
        <stp>KGA01P</stp>
        <stp>누적거래대금</stp>
        <stp>45539</stp>
        <stp>Fill=true,Per=월</stp>
        <tr r="I383" s="2"/>
      </tp>
      <tp>
        <v>0</v>
        <stp/>
        <stp>P</stp>
        <stp>0</stp>
        <stp>IDX</stp>
        <stp>MGA07P</stp>
        <stp>누적거래대금</stp>
        <stp>45539</stp>
        <stp>Fill=true,Per=월</stp>
        <tr r="I125" s="2"/>
      </tp>
      <tp>
        <v>17648380</v>
        <stp/>
        <stp>P</stp>
        <stp>0</stp>
        <stp>IDX</stp>
        <stp>KGG01P</stp>
        <stp>누적거래대금</stp>
        <stp>45539</stp>
        <stp>Fill=true,Per=월</stp>
        <tr r="I9" s="2"/>
      </tp>
      <tp>
        <v>271161</v>
        <stp/>
        <stp>P</stp>
        <stp>0</stp>
        <stp>IDX</stp>
        <stp>KGD01P</stp>
        <stp>누적거래대금</stp>
        <stp>45539</stp>
        <stp>Fill=true,Per=월</stp>
        <tr r="I298" s="2"/>
      </tp>
      <tp>
        <v>209611</v>
        <stp/>
        <stp>P</stp>
        <stp>0</stp>
        <stp>IDX</stp>
        <stp>KGS01P</stp>
        <stp>누적거래대금</stp>
        <stp>45539</stp>
        <stp>Fill=true,Per=월</stp>
        <tr r="I75" s="2"/>
      </tp>
      <tp>
        <v>555346</v>
        <stp/>
        <stp>P</stp>
        <stp>0</stp>
        <stp>IDX</stp>
        <stp>KGS11P</stp>
        <stp>누적거래대금</stp>
        <stp>45539</stp>
        <stp>Fill=true,Per=월</stp>
        <tr r="I62" s="2"/>
      </tp>
      <tp>
        <v>116744</v>
        <stp/>
        <stp>P</stp>
        <stp>0</stp>
        <stp>IDX</stp>
        <stp>KGS21P</stp>
        <stp>누적거래대금</stp>
        <stp>45539</stp>
        <stp>Fill=true,Per=월</stp>
        <tr r="I78" s="2"/>
      </tp>
      <tp>
        <v>12594</v>
        <stp/>
        <stp>P</stp>
        <stp>0</stp>
        <stp>IDX</stp>
        <stp>KGT01P</stp>
        <stp>누적거래대금</stp>
        <stp>45539</stp>
        <stp>Fill=true,Per=월</stp>
        <tr r="I117" s="2"/>
      </tp>
      <tp>
        <v>12937457</v>
        <stp/>
        <stp>P</stp>
        <stp>0</stp>
        <stp>IDX</stp>
        <stp>KGZ01P</stp>
        <stp>누적거래대금</stp>
        <stp>45539</stp>
        <stp>Fill=true,Per=월</stp>
        <tr r="I16" s="2"/>
      </tp>
      <tp>
        <v>0</v>
        <stp/>
        <stp>P</stp>
        <stp>0</stp>
        <stp>IDX</stp>
        <stp>KGX01P</stp>
        <stp>누적거래대금</stp>
        <stp>45539</stp>
        <stp>Fill=true,Per=월</stp>
        <tr r="I118" s="2"/>
      </tp>
      <tp>
        <v>0</v>
        <stp/>
        <stp>P</stp>
        <stp>0</stp>
        <stp>IDX</stp>
        <stp>KGG01T</stp>
        <stp>누적거래대금</stp>
        <stp>45539</stp>
        <stp>Fill=true,Per=월</stp>
        <tr r="I116" s="2"/>
      </tp>
      <tp>
        <v>0</v>
        <stp/>
        <stp>P</stp>
        <stp>0</stp>
        <stp>IDX</stp>
        <stp>F2X43T</stp>
        <stp>누적거래대금</stp>
        <stp>45539</stp>
        <stp>Fill=true,Per=월</stp>
        <tr r="I267" s="2"/>
      </tp>
      <tp>
        <v>0</v>
        <stp/>
        <stp>P</stp>
        <stp>0</stp>
        <stp>IDX</stp>
        <stp>F3X03T</stp>
        <stp>누적거래대금</stp>
        <stp>45539</stp>
        <stp>Fill=true,Per=월</stp>
        <tr r="I272" s="2"/>
      </tp>
      <tp>
        <v>0</v>
        <stp/>
        <stp>P</stp>
        <stp>0</stp>
        <stp>IDX</stp>
        <stp>F2S03P</stp>
        <stp>누적거래대금</stp>
        <stp>45539</stp>
        <stp>Fill=true,Per=월</stp>
        <tr r="I216" s="2"/>
      </tp>
      <tp>
        <v>0</v>
        <stp/>
        <stp>P</stp>
        <stp>0</stp>
        <stp>IDX</stp>
        <stp>F2X03P</stp>
        <stp>누적거래대금</stp>
        <stp>45539</stp>
        <stp>Fill=true,Per=월</stp>
        <tr r="I227" s="2"/>
      </tp>
      <tp>
        <v>0</v>
        <stp/>
        <stp>P</stp>
        <stp>0</stp>
        <stp>IDX</stp>
        <stp>F2X13P</stp>
        <stp>누적거래대금</stp>
        <stp>45539</stp>
        <stp>Fill=true,Per=월</stp>
        <tr r="I237" s="2"/>
      </tp>
      <tp>
        <v>0</v>
        <stp/>
        <stp>P</stp>
        <stp>0</stp>
        <stp>IDX</stp>
        <stp>F2X23P</stp>
        <stp>누적거래대금</stp>
        <stp>45539</stp>
        <stp>Fill=true,Per=월</stp>
        <tr r="I247" s="2"/>
      </tp>
      <tp>
        <v>0</v>
        <stp/>
        <stp>P</stp>
        <stp>0</stp>
        <stp>IDX</stp>
        <stp>F2X33P</stp>
        <stp>누적거래대금</stp>
        <stp>45539</stp>
        <stp>Fill=true,Per=월</stp>
        <tr r="I257" s="2"/>
      </tp>
      <tp>
        <v>0</v>
        <stp/>
        <stp>P</stp>
        <stp>0</stp>
        <stp>IDX</stp>
        <stp>F5X03T</stp>
        <stp>누적거래대금</stp>
        <stp>45539</stp>
        <stp>Fill=true,Per=월</stp>
        <tr r="I278" s="2"/>
      </tp>
      <tp>
        <v>0</v>
        <stp/>
        <stp>P</stp>
        <stp>0</stp>
        <stp>IDX</stp>
        <stp>FTX03P</stp>
        <stp>누적거래대금</stp>
        <stp>45539</stp>
        <stp>Fill=true,Per=월</stp>
        <tr r="I321" s="2"/>
      </tp>
      <tp>
        <v>0</v>
        <stp/>
        <stp>P</stp>
        <stp>0</stp>
        <stp>IDX</stp>
        <stp>FRG03P</stp>
        <stp>누적거래대금</stp>
        <stp>45539</stp>
        <stp>Fill=true,Per=월</stp>
        <tr r="I300" s="2"/>
      </tp>
      <tp>
        <v>0</v>
        <stp/>
        <stp>P</stp>
        <stp>0</stp>
        <stp>IDX</stp>
        <stp>FRX03P</stp>
        <stp>누적거래대금</stp>
        <stp>45539</stp>
        <stp>Fill=true,Per=월</stp>
        <tr r="I303" s="2"/>
      </tp>
      <tp>
        <v>0</v>
        <stp/>
        <stp>P</stp>
        <stp>0</stp>
        <stp>IDX</stp>
        <stp>MGA08P</stp>
        <stp>누적거래대금</stp>
        <stp>45539</stp>
        <stp>Fill=true,Per=월</stp>
        <tr r="I126" s="2"/>
      </tp>
      <tp>
        <v>0</v>
        <stp/>
        <stp>P</stp>
        <stp>0</stp>
        <stp>IDX</stp>
        <stp>GGG02P</stp>
        <stp>누적거래대금</stp>
        <stp>45539</stp>
        <stp>Fill=true,Per=월</stp>
        <tr r="I332" s="2"/>
      </tp>
      <tp>
        <v>0</v>
        <stp/>
        <stp>P</stp>
        <stp>0</stp>
        <stp>IDX</stp>
        <stp>GGT02P</stp>
        <stp>누적거래대금</stp>
        <stp>45539</stp>
        <stp>Fill=true,Per=월</stp>
        <tr r="I341" s="2"/>
      </tp>
      <tp>
        <v>0</v>
        <stp/>
        <stp>P</stp>
        <stp>0</stp>
        <stp>IDX</stp>
        <stp>FGA03T</stp>
        <stp>누적거래대금</stp>
        <stp>45539</stp>
        <stp>Fill=true,Per=월</stp>
        <tr r="I287" s="2"/>
      </tp>
      <tp>
        <v>0</v>
        <stp/>
        <stp>P</stp>
        <stp>0</stp>
        <stp>IDX</stp>
        <stp>FGX03T</stp>
        <stp>누적거래대금</stp>
        <stp>45539</stp>
        <stp>Fill=true,Per=월</stp>
        <tr r="I295" s="2"/>
      </tp>
      <tp>
        <v>0</v>
        <stp/>
        <stp>P</stp>
        <stp>0</stp>
        <stp>IDX</stp>
        <stp>F2902T</stp>
        <stp>누적거래대금</stp>
        <stp>45539</stp>
        <stp>Fill=true,Per=월</stp>
        <tr r="I211" s="2"/>
      </tp>
      <tp>
        <v>0</v>
        <stp/>
        <stp>P</stp>
        <stp>0</stp>
        <stp>IDX</stp>
        <stp>F2X42T</stp>
        <stp>누적거래대금</stp>
        <stp>45539</stp>
        <stp>Fill=true,Per=월</stp>
        <tr r="I266" s="2"/>
      </tp>
      <tp>
        <v>0</v>
        <stp/>
        <stp>P</stp>
        <stp>0</stp>
        <stp>IDX</stp>
        <stp>F2G02P</stp>
        <stp>누적거래대금</stp>
        <stp>45539</stp>
        <stp>Fill=true,Per=월</stp>
        <tr r="I213" s="2"/>
      </tp>
      <tp>
        <v>0</v>
        <stp/>
        <stp>P</stp>
        <stp>0</stp>
        <stp>IDX</stp>
        <stp>F2S02P</stp>
        <stp>누적거래대금</stp>
        <stp>45539</stp>
        <stp>Fill=true,Per=월</stp>
        <tr r="I215" s="2"/>
      </tp>
      <tp>
        <v>0</v>
        <stp/>
        <stp>P</stp>
        <stp>0</stp>
        <stp>IDX</stp>
        <stp>F2V02P</stp>
        <stp>누적거래대금</stp>
        <stp>45539</stp>
        <stp>Fill=true,Per=월</stp>
        <tr r="I224" s="2"/>
      </tp>
      <tp>
        <v>0</v>
        <stp/>
        <stp>P</stp>
        <stp>0</stp>
        <stp>IDX</stp>
        <stp>F2X02P</stp>
        <stp>누적거래대금</stp>
        <stp>45539</stp>
        <stp>Fill=true,Per=월</stp>
        <tr r="I226" s="2"/>
      </tp>
      <tp>
        <v>0</v>
        <stp/>
        <stp>P</stp>
        <stp>0</stp>
        <stp>IDX</stp>
        <stp>F2X12P</stp>
        <stp>누적거래대금</stp>
        <stp>45539</stp>
        <stp>Fill=true,Per=월</stp>
        <tr r="I236" s="2"/>
      </tp>
      <tp>
        <v>0</v>
        <stp/>
        <stp>P</stp>
        <stp>0</stp>
        <stp>IDX</stp>
        <stp>F2X22P</stp>
        <stp>누적거래대금</stp>
        <stp>45539</stp>
        <stp>Fill=true,Per=월</stp>
        <tr r="I246" s="2"/>
      </tp>
      <tp>
        <v>0</v>
        <stp/>
        <stp>P</stp>
        <stp>0</stp>
        <stp>IDX</stp>
        <stp>F2X32P</stp>
        <stp>누적거래대금</stp>
        <stp>45539</stp>
        <stp>Fill=true,Per=월</stp>
        <tr r="I256" s="2"/>
      </tp>
      <tp>
        <v>0</v>
        <stp/>
        <stp>P</stp>
        <stp>0</stp>
        <stp>IDX</stp>
        <stp>F3X02P</stp>
        <stp>누적거래대금</stp>
        <stp>45539</stp>
        <stp>Fill=true,Per=월</stp>
        <tr r="I271" s="2"/>
      </tp>
      <tp>
        <v>0</v>
        <stp/>
        <stp>P</stp>
        <stp>0</stp>
        <stp>IDX</stp>
        <stp>F5902T</stp>
        <stp>누적거래대금</stp>
        <stp>45539</stp>
        <stp>Fill=true,Per=월</stp>
        <tr r="I274" s="2"/>
      </tp>
      <tp>
        <v>0</v>
        <stp/>
        <stp>P</stp>
        <stp>0</stp>
        <stp>IDX</stp>
        <stp>F5X02T</stp>
        <stp>누적거래대금</stp>
        <stp>45539</stp>
        <stp>Fill=true,Per=월</stp>
        <tr r="I277" s="2"/>
      </tp>
      <tp>
        <v>0</v>
        <stp/>
        <stp>P</stp>
        <stp>0</stp>
        <stp>IDX</stp>
        <stp>FTA02P</stp>
        <stp>누적거래대금</stp>
        <stp>45539</stp>
        <stp>Fill=true,Per=월</stp>
        <tr r="I316" s="2"/>
      </tp>
      <tp>
        <v>0</v>
        <stp/>
        <stp>P</stp>
        <stp>0</stp>
        <stp>IDX</stp>
        <stp>FTG02P</stp>
        <stp>누적거래대금</stp>
        <stp>45539</stp>
        <stp>Fill=true,Per=월</stp>
        <tr r="I318" s="2"/>
      </tp>
      <tp>
        <v>0</v>
        <stp/>
        <stp>P</stp>
        <stp>0</stp>
        <stp>IDX</stp>
        <stp>FTX02P</stp>
        <stp>누적거래대금</stp>
        <stp>45539</stp>
        <stp>Fill=true,Per=월</stp>
        <tr r="I320" s="2"/>
      </tp>
      <tp>
        <v>0</v>
        <stp/>
        <stp>P</stp>
        <stp>0</stp>
        <stp>IDX</stp>
        <stp>FRG02P</stp>
        <stp>누적거래대금</stp>
        <stp>45539</stp>
        <stp>Fill=true,Per=월</stp>
        <tr r="I299" s="2"/>
      </tp>
      <tp>
        <v>0</v>
        <stp/>
        <stp>P</stp>
        <stp>0</stp>
        <stp>IDX</stp>
        <stp>FRX02P</stp>
        <stp>누적거래대금</stp>
        <stp>45539</stp>
        <stp>Fill=true,Per=월</stp>
        <tr r="I302" s="2"/>
      </tp>
      <tp>
        <v>0</v>
        <stp/>
        <stp>P</stp>
        <stp>0</stp>
        <stp>IDX</stp>
        <stp>FRX12P</stp>
        <stp>누적거래대금</stp>
        <stp>45539</stp>
        <stp>Fill=true,Per=월</stp>
        <tr r="I312" s="2"/>
      </tp>
      <tp>
        <v>0</v>
        <stp/>
        <stp>P</stp>
        <stp>0</stp>
        <stp>IDX</stp>
        <stp>MGA09P</stp>
        <stp>누적거래대금</stp>
        <stp>45539</stp>
        <stp>Fill=true,Per=월</stp>
        <tr r="I127" s="2"/>
      </tp>
      <tp>
        <v>0</v>
        <stp/>
        <stp>P</stp>
        <stp>0</stp>
        <stp>IDX</stp>
        <stp>GGG03P</stp>
        <stp>누적거래대금</stp>
        <stp>45539</stp>
        <stp>Fill=true,Per=월</stp>
        <tr r="I333" s="2"/>
      </tp>
      <tp>
        <v>0</v>
        <stp/>
        <stp>P</stp>
        <stp>0</stp>
        <stp>IDX</stp>
        <stp>GGT03P</stp>
        <stp>누적거래대금</stp>
        <stp>45539</stp>
        <stp>Fill=true,Per=월</stp>
        <tr r="I342" s="2"/>
      </tp>
      <tp>
        <v>0</v>
        <stp/>
        <stp>P</stp>
        <stp>0</stp>
        <stp>IDX</stp>
        <stp>FGX02T</stp>
        <stp>누적거래대금</stp>
        <stp>45539</stp>
        <stp>Fill=true,Per=월</stp>
        <tr r="I294" s="2"/>
      </tp>
      <tp>
        <v>0</v>
        <stp/>
        <stp>P</stp>
        <stp>0</stp>
        <stp>IDX</stp>
        <stp>F2X41T</stp>
        <stp>누적거래대금</stp>
        <stp>45539</stp>
        <stp>Fill=true,Per=월</stp>
        <tr r="I265" s="2"/>
      </tp>
      <tp>
        <v>0</v>
        <stp/>
        <stp>P</stp>
        <stp>0</stp>
        <stp>IDX</stp>
        <stp>F3X01T</stp>
        <stp>누적거래대금</stp>
        <stp>45539</stp>
        <stp>Fill=true,Per=월</stp>
        <tr r="I270" s="2"/>
      </tp>
      <tp>
        <v>0</v>
        <stp/>
        <stp>P</stp>
        <stp>0</stp>
        <stp>IDX</stp>
        <stp>F5901P</stp>
        <stp>누적거래대금</stp>
        <stp>45539</stp>
        <stp>Fill=true,Per=월</stp>
        <tr r="I273" s="2"/>
      </tp>
      <tp>
        <v>0</v>
        <stp/>
        <stp>P</stp>
        <stp>0</stp>
        <stp>IDX</stp>
        <stp>F5G01P</stp>
        <stp>누적거래대금</stp>
        <stp>45539</stp>
        <stp>Fill=true,Per=월</stp>
        <tr r="I275" s="2"/>
      </tp>
      <tp>
        <v>0</v>
        <stp/>
        <stp>P</stp>
        <stp>0</stp>
        <stp>IDX</stp>
        <stp>F2901P</stp>
        <stp>누적거래대금</stp>
        <stp>45539</stp>
        <stp>Fill=true,Per=월</stp>
        <tr r="I379" s="2"/>
      </tp>
      <tp>
        <v>0</v>
        <stp/>
        <stp>P</stp>
        <stp>0</stp>
        <stp>IDX</stp>
        <stp>F2G01P</stp>
        <stp>누적거래대금</stp>
        <stp>45539</stp>
        <stp>Fill=true,Per=월</stp>
        <tr r="I212" s="2"/>
      </tp>
      <tp>
        <v>0</v>
        <stp/>
        <stp>P</stp>
        <stp>0</stp>
        <stp>IDX</stp>
        <stp>F2S01P</stp>
        <stp>누적거래대금</stp>
        <stp>45539</stp>
        <stp>Fill=true,Per=월</stp>
        <tr r="I214" s="2"/>
      </tp>
      <tp>
        <v>0</v>
        <stp/>
        <stp>P</stp>
        <stp>0</stp>
        <stp>IDX</stp>
        <stp>F2X01P</stp>
        <stp>누적거래대금</stp>
        <stp>45539</stp>
        <stp>Fill=true,Per=월</stp>
        <tr r="I225" s="2"/>
      </tp>
      <tp>
        <v>0</v>
        <stp/>
        <stp>P</stp>
        <stp>0</stp>
        <stp>IDX</stp>
        <stp>F2X11P</stp>
        <stp>누적거래대금</stp>
        <stp>45539</stp>
        <stp>Fill=true,Per=월</stp>
        <tr r="I235" s="2"/>
      </tp>
      <tp>
        <v>0</v>
        <stp/>
        <stp>P</stp>
        <stp>0</stp>
        <stp>IDX</stp>
        <stp>F2X21P</stp>
        <stp>누적거래대금</stp>
        <stp>45539</stp>
        <stp>Fill=true,Per=월</stp>
        <tr r="I245" s="2"/>
      </tp>
      <tp>
        <v>0</v>
        <stp/>
        <stp>P</stp>
        <stp>0</stp>
        <stp>IDX</stp>
        <stp>F2X31P</stp>
        <stp>누적거래대금</stp>
        <stp>45539</stp>
        <stp>Fill=true,Per=월</stp>
        <tr r="I255" s="2"/>
      </tp>
      <tp>
        <v>0</v>
        <stp/>
        <stp>P</stp>
        <stp>0</stp>
        <stp>IDX</stp>
        <stp>F3G01P</stp>
        <stp>누적거래대금</stp>
        <stp>45539</stp>
        <stp>Fill=true,Per=월</stp>
        <tr r="I269" s="2"/>
      </tp>
      <tp>
        <v>0</v>
        <stp/>
        <stp>P</stp>
        <stp>0</stp>
        <stp>IDX</stp>
        <stp>F5X01T</stp>
        <stp>누적거래대금</stp>
        <stp>45539</stp>
        <stp>Fill=true,Per=월</stp>
        <tr r="I276" s="2"/>
      </tp>
      <tp>
        <v>0</v>
        <stp/>
        <stp>P</stp>
        <stp>0</stp>
        <stp>IDX</stp>
        <stp>FRG01T</stp>
        <stp>누적거래대금</stp>
        <stp>45539</stp>
        <stp>Fill=true,Per=월</stp>
        <tr r="I297" s="2"/>
      </tp>
      <tp>
        <v>0</v>
        <stp/>
        <stp>P</stp>
        <stp>0</stp>
        <stp>IDX</stp>
        <stp>FT901P</stp>
        <stp>누적거래대금</stp>
        <stp>45539</stp>
        <stp>Fill=true,Per=월</stp>
        <tr r="I313" s="2"/>
      </tp>
      <tp>
        <v>0</v>
        <stp/>
        <stp>P</stp>
        <stp>0</stp>
        <stp>IDX</stp>
        <stp>FTA01P</stp>
        <stp>누적거래대금</stp>
        <stp>45539</stp>
        <stp>Fill=true,Per=월</stp>
        <tr r="I315" s="2"/>
      </tp>
      <tp>
        <v>0</v>
        <stp/>
        <stp>P</stp>
        <stp>0</stp>
        <stp>IDX</stp>
        <stp>FTG01P</stp>
        <stp>누적거래대금</stp>
        <stp>45539</stp>
        <stp>Fill=true,Per=월</stp>
        <tr r="I317" s="2"/>
      </tp>
      <tp>
        <v>0</v>
        <stp/>
        <stp>P</stp>
        <stp>0</stp>
        <stp>IDX</stp>
        <stp>FTX01P</stp>
        <stp>누적거래대금</stp>
        <stp>45539</stp>
        <stp>Fill=true,Per=월</stp>
        <tr r="I319" s="2"/>
      </tp>
      <tp>
        <v>0</v>
        <stp/>
        <stp>P</stp>
        <stp>0</stp>
        <stp>IDX</stp>
        <stp>FTX11P</stp>
        <stp>누적거래대금</stp>
        <stp>45539</stp>
        <stp>Fill=true,Per=월</stp>
        <tr r="I328" s="2"/>
      </tp>
      <tp>
        <v>0</v>
        <stp/>
        <stp>P</stp>
        <stp>0</stp>
        <stp>IDX</stp>
        <stp>FRG01P</stp>
        <stp>누적거래대금</stp>
        <stp>45539</stp>
        <stp>Fill=true,Per=월</stp>
        <tr r="I210" s="2"/>
      </tp>
      <tp>
        <v>0</v>
        <stp/>
        <stp>P</stp>
        <stp>0</stp>
        <stp>IDX</stp>
        <stp>FRX01P</stp>
        <stp>누적거래대금</stp>
        <stp>45539</stp>
        <stp>Fill=true,Per=월</stp>
        <tr r="I301" s="2"/>
      </tp>
      <tp>
        <v>0</v>
        <stp/>
        <stp>P</stp>
        <stp>0</stp>
        <stp>IDX</stp>
        <stp>FRX11P</stp>
        <stp>누적거래대금</stp>
        <stp>45539</stp>
        <stp>Fill=true,Per=월</stp>
        <tr r="I311" s="2"/>
      </tp>
      <tp>
        <v>0</v>
        <stp/>
        <stp>P</stp>
        <stp>0</stp>
        <stp>IDX</stp>
        <stp>FG901P</stp>
        <stp>누적거래대금</stp>
        <stp>45539</stp>
        <stp>Fill=true,Per=월</stp>
        <tr r="I286" s="2"/>
      </tp>
      <tp>
        <v>0</v>
        <stp/>
        <stp>P</stp>
        <stp>0</stp>
        <stp>IDX</stp>
        <stp>FGG01P</stp>
        <stp>누적거래대금</stp>
        <stp>45539</stp>
        <stp>Fill=true,Per=월</stp>
        <tr r="I292" s="2"/>
      </tp>
      <tp>
        <v>0</v>
        <stp/>
        <stp>P</stp>
        <stp>0</stp>
        <stp>IDX</stp>
        <stp>FGX01T</stp>
        <stp>누적거래대금</stp>
        <stp>45539</stp>
        <stp>Fill=true,Per=월</stp>
        <tr r="I293" s="2"/>
      </tp>
      <tp>
        <v>0</v>
        <stp/>
        <stp>P</stp>
        <stp>0</stp>
        <stp>IDX</stp>
        <stp>F2X40T</stp>
        <stp>누적거래대금</stp>
        <stp>45539</stp>
        <stp>Fill=true,Per=월</stp>
        <tr r="I264" s="2"/>
      </tp>
      <tp>
        <v>0</v>
        <stp/>
        <stp>P</stp>
        <stp>0</stp>
        <stp>IDX</stp>
        <stp>F2S10P</stp>
        <stp>누적거래대금</stp>
        <stp>45539</stp>
        <stp>Fill=true,Per=월</stp>
        <tr r="I223" s="2"/>
      </tp>
      <tp>
        <v>0</v>
        <stp/>
        <stp>P</stp>
        <stp>0</stp>
        <stp>IDX</stp>
        <stp>G2T01P</stp>
        <stp>누적거래대금</stp>
        <stp>45539</stp>
        <stp>Fill=true,Per=월</stp>
        <tr r="I329" s="2"/>
      </tp>
      <tp>
        <v>0</v>
        <stp/>
        <stp>P</stp>
        <stp>0</stp>
        <stp>IDX</stp>
        <stp>F2X10P</stp>
        <stp>누적거래대금</stp>
        <stp>45539</stp>
        <stp>Fill=true,Per=월</stp>
        <tr r="I234" s="2"/>
      </tp>
      <tp>
        <v>0</v>
        <stp/>
        <stp>P</stp>
        <stp>0</stp>
        <stp>IDX</stp>
        <stp>F2X20P</stp>
        <stp>누적거래대금</stp>
        <stp>45539</stp>
        <stp>Fill=true,Per=월</stp>
        <tr r="I244" s="2"/>
      </tp>
      <tp>
        <v>0</v>
        <stp/>
        <stp>P</stp>
        <stp>0</stp>
        <stp>IDX</stp>
        <stp>F2X30P</stp>
        <stp>누적거래대금</stp>
        <stp>45539</stp>
        <stp>Fill=true,Per=월</stp>
        <tr r="I254" s="2"/>
      </tp>
      <tp>
        <v>0</v>
        <stp/>
        <stp>P</stp>
        <stp>0</stp>
        <stp>IDX</stp>
        <stp>F5X10T</stp>
        <stp>누적거래대금</stp>
        <stp>45539</stp>
        <stp>Fill=true,Per=월</stp>
        <tr r="I285" s="2"/>
      </tp>
      <tp>
        <v>0</v>
        <stp/>
        <stp>P</stp>
        <stp>0</stp>
        <stp>IDX</stp>
        <stp>FTX10P</stp>
        <stp>누적거래대금</stp>
        <stp>45539</stp>
        <stp>Fill=true,Per=월</stp>
        <tr r="I327" s="2"/>
      </tp>
      <tp>
        <v>0</v>
        <stp/>
        <stp>P</stp>
        <stp>0</stp>
        <stp>IDX</stp>
        <stp>FRX10P</stp>
        <stp>누적거래대금</stp>
        <stp>45539</stp>
        <stp>Fill=true,Per=월</stp>
        <tr r="I310" s="2"/>
      </tp>
      <tp>
        <v>0</v>
        <stp/>
        <stp>P</stp>
        <stp>0</stp>
        <stp>IDX</stp>
        <stp>OG909P</stp>
        <stp>누적거래대금</stp>
        <stp>45539</stp>
        <stp>Fill=true,Per=월</stp>
        <tr r="I208" s="2"/>
      </tp>
      <tp>
        <v>0</v>
        <stp/>
        <stp>P</stp>
        <stp>0</stp>
        <stp>IDX</stp>
        <stp>GGG01P</stp>
        <stp>누적거래대금</stp>
        <stp>45539</stp>
        <stp>Fill=true,Per=월</stp>
        <tr r="I331" s="2"/>
      </tp>
      <tp>
        <v>0</v>
        <stp/>
        <stp>P</stp>
        <stp>0</stp>
        <stp>IDX</stp>
        <stp>GGE01P</stp>
        <stp>누적거래대금</stp>
        <stp>45539</stp>
        <stp>Fill=true,Per=월</stp>
        <tr r="I330" s="2"/>
      </tp>
      <tp>
        <v>0</v>
        <stp/>
        <stp>P</stp>
        <stp>0</stp>
        <stp>IDX</stp>
        <stp>GGS01P</stp>
        <stp>누적거래대금</stp>
        <stp>45539</stp>
        <stp>Fill=true,Per=월</stp>
        <tr r="I339" s="2"/>
      </tp>
      <tp>
        <v>0</v>
        <stp/>
        <stp>P</stp>
        <stp>0</stp>
        <stp>IDX</stp>
        <stp>GGT01P</stp>
        <stp>누적거래대금</stp>
        <stp>45539</stp>
        <stp>Fill=true,Per=월</stp>
        <tr r="I340" s="2"/>
      </tp>
      <tp>
        <v>0</v>
        <stp/>
        <stp>P</stp>
        <stp>0</stp>
        <stp>IDX</stp>
        <stp>F2S07P</stp>
        <stp>누적거래대금</stp>
        <stp>45539</stp>
        <stp>Fill=true,Per=월</stp>
        <tr r="I220" s="2"/>
      </tp>
      <tp>
        <v>0</v>
        <stp/>
        <stp>P</stp>
        <stp>0</stp>
        <stp>IDX</stp>
        <stp>F2X07P</stp>
        <stp>누적거래대금</stp>
        <stp>45539</stp>
        <stp>Fill=true,Per=월</stp>
        <tr r="I231" s="2"/>
      </tp>
      <tp>
        <v>0</v>
        <stp/>
        <stp>P</stp>
        <stp>0</stp>
        <stp>IDX</stp>
        <stp>F2X17P</stp>
        <stp>누적거래대금</stp>
        <stp>45539</stp>
        <stp>Fill=true,Per=월</stp>
        <tr r="I241" s="2"/>
      </tp>
      <tp>
        <v>0</v>
        <stp/>
        <stp>P</stp>
        <stp>0</stp>
        <stp>IDX</stp>
        <stp>F2X27P</stp>
        <stp>누적거래대금</stp>
        <stp>45539</stp>
        <stp>Fill=true,Per=월</stp>
        <tr r="I251" s="2"/>
      </tp>
      <tp>
        <v>0</v>
        <stp/>
        <stp>P</stp>
        <stp>0</stp>
        <stp>IDX</stp>
        <stp>F2X37P</stp>
        <stp>누적거래대금</stp>
        <stp>45539</stp>
        <stp>Fill=true,Per=월</stp>
        <tr r="I261" s="2"/>
      </tp>
      <tp>
        <v>0</v>
        <stp/>
        <stp>P</stp>
        <stp>0</stp>
        <stp>IDX</stp>
        <stp>F5X07T</stp>
        <stp>누적거래대금</stp>
        <stp>45539</stp>
        <stp>Fill=true,Per=월</stp>
        <tr r="I282" s="2"/>
      </tp>
      <tp>
        <v>0</v>
        <stp/>
        <stp>P</stp>
        <stp>0</stp>
        <stp>IDX</stp>
        <stp>FTX07P</stp>
        <stp>누적거래대금</stp>
        <stp>45539</stp>
        <stp>Fill=true,Per=월</stp>
        <tr r="I325" s="2"/>
      </tp>
      <tp>
        <v>0</v>
        <stp/>
        <stp>P</stp>
        <stp>0</stp>
        <stp>IDX</stp>
        <stp>FRX07P</stp>
        <stp>누적거래대금</stp>
        <stp>45539</stp>
        <stp>Fill=true,Per=월</stp>
        <tr r="I307" s="2"/>
      </tp>
      <tp>
        <v>0</v>
        <stp/>
        <stp>P</stp>
        <stp>0</stp>
        <stp>IDX</stp>
        <stp>FGA07P</stp>
        <stp>누적거래대금</stp>
        <stp>45539</stp>
        <stp>Fill=true,Per=월</stp>
        <tr r="I291" s="2"/>
      </tp>
      <tp>
        <v>0</v>
        <stp/>
        <stp>P</stp>
        <stp>0</stp>
        <stp>IDX</stp>
        <stp>GGG06P</stp>
        <stp>누적거래대금</stp>
        <stp>45539</stp>
        <stp>Fill=true,Per=월</stp>
        <tr r="I336" s="2"/>
      </tp>
      <tp>
        <v>0</v>
        <stp/>
        <stp>P</stp>
        <stp>0</stp>
        <stp>IDX</stp>
        <stp>F2S06P</stp>
        <stp>누적거래대금</stp>
        <stp>45539</stp>
        <stp>Fill=true,Per=월</stp>
        <tr r="I219" s="2"/>
      </tp>
      <tp>
        <v>0</v>
        <stp/>
        <stp>P</stp>
        <stp>0</stp>
        <stp>IDX</stp>
        <stp>F2X06P</stp>
        <stp>누적거래대금</stp>
        <stp>45539</stp>
        <stp>Fill=true,Per=월</stp>
        <tr r="I230" s="2"/>
      </tp>
      <tp>
        <v>0</v>
        <stp/>
        <stp>P</stp>
        <stp>0</stp>
        <stp>IDX</stp>
        <stp>F2X16P</stp>
        <stp>누적거래대금</stp>
        <stp>45539</stp>
        <stp>Fill=true,Per=월</stp>
        <tr r="I240" s="2"/>
      </tp>
      <tp>
        <v>0</v>
        <stp/>
        <stp>P</stp>
        <stp>0</stp>
        <stp>IDX</stp>
        <stp>F2X26P</stp>
        <stp>누적거래대금</stp>
        <stp>45539</stp>
        <stp>Fill=true,Per=월</stp>
        <tr r="I250" s="2"/>
      </tp>
      <tp>
        <v>0</v>
        <stp/>
        <stp>P</stp>
        <stp>0</stp>
        <stp>IDX</stp>
        <stp>F2X36P</stp>
        <stp>누적거래대금</stp>
        <stp>45539</stp>
        <stp>Fill=true,Per=월</stp>
        <tr r="I260" s="2"/>
      </tp>
      <tp>
        <v>0</v>
        <stp/>
        <stp>P</stp>
        <stp>0</stp>
        <stp>IDX</stp>
        <stp>F5X06T</stp>
        <stp>누적거래대금</stp>
        <stp>45539</stp>
        <stp>Fill=true,Per=월</stp>
        <tr r="I281" s="2"/>
      </tp>
      <tp>
        <v>0</v>
        <stp/>
        <stp>P</stp>
        <stp>0</stp>
        <stp>IDX</stp>
        <stp>FRX06P</stp>
        <stp>누적거래대금</stp>
        <stp>45539</stp>
        <stp>Fill=true,Per=월</stp>
        <tr r="I306" s="2"/>
      </tp>
      <tp>
        <v>0</v>
        <stp/>
        <stp>P</stp>
        <stp>0</stp>
        <stp>IDX</stp>
        <stp>FTX06T</stp>
        <stp>누적거래대금</stp>
        <stp>45539</stp>
        <stp>Fill=true,Per=월</stp>
        <tr r="I324" s="2"/>
      </tp>
      <tp>
        <v>0</v>
        <stp/>
        <stp>P</stp>
        <stp>0</stp>
        <stp>IDX</stp>
        <stp>FGA06P</stp>
        <stp>누적거래대금</stp>
        <stp>45539</stp>
        <stp>Fill=true,Per=월</stp>
        <tr r="I290" s="2"/>
      </tp>
      <tp>
        <v>0</v>
        <stp/>
        <stp>P</stp>
        <stp>0</stp>
        <stp>IDX</stp>
        <stp>GGG07P</stp>
        <stp>누적거래대금</stp>
        <stp>45539</stp>
        <stp>Fill=true,Per=월</stp>
        <tr r="I337" s="2"/>
      </tp>
      <tp>
        <v>0</v>
        <stp/>
        <stp>P</stp>
        <stp>0</stp>
        <stp>IDX</stp>
        <stp>K2G08T</stp>
        <stp>누적거래대금</stp>
        <stp>45539</stp>
        <stp>Fill=true,Per=월</stp>
        <tr r="I359" s="2"/>
      </tp>
      <tp>
        <v>0</v>
        <stp/>
        <stp>P</stp>
        <stp>0</stp>
        <stp>IDX</stp>
        <stp>K2S08T</stp>
        <stp>누적거래대금</stp>
        <stp>45539</stp>
        <stp>Fill=true,Per=월</stp>
        <tr r="I370" s="2"/>
      </tp>
      <tp>
        <v>0</v>
        <stp/>
        <stp>P</stp>
        <stp>0</stp>
        <stp>IDX</stp>
        <stp>F2X05T</stp>
        <stp>누적거래대금</stp>
        <stp>45539</stp>
        <stp>Fill=true,Per=월</stp>
        <tr r="I229" s="2"/>
      </tp>
      <tp>
        <v>14856199</v>
        <stp/>
        <stp>P</stp>
        <stp>0</stp>
        <stp>IDX</stp>
        <stp>K2G08P</stp>
        <stp>누적거래대금</stp>
        <stp>45539</stp>
        <stp>Fill=true,Per=월</stp>
        <tr r="I358" s="2"/>
      </tp>
      <tp>
        <v>0</v>
        <stp/>
        <stp>P</stp>
        <stp>0</stp>
        <stp>IDX</stp>
        <stp>F2S05P</stp>
        <stp>누적거래대금</stp>
        <stp>45539</stp>
        <stp>Fill=true,Per=월</stp>
        <tr r="I218" s="2"/>
      </tp>
      <tp>
        <v>1097421</v>
        <stp/>
        <stp>P</stp>
        <stp>0</stp>
        <stp>IDX</stp>
        <stp>K2S08P</stp>
        <stp>누적거래대금</stp>
        <stp>45539</stp>
        <stp>Fill=true,Per=월</stp>
        <tr r="I55" s="2"/>
      </tp>
      <tp>
        <v>0</v>
        <stp/>
        <stp>P</stp>
        <stp>0</stp>
        <stp>IDX</stp>
        <stp>K2X08P</stp>
        <stp>누적거래대금</stp>
        <stp>45539</stp>
        <stp>Fill=true,Per=월</stp>
        <tr r="I56" s="2"/>
      </tp>
      <tp>
        <v>0</v>
        <stp/>
        <stp>P</stp>
        <stp>0</stp>
        <stp>IDX</stp>
        <stp>F2X15P</stp>
        <stp>누적거래대금</stp>
        <stp>45539</stp>
        <stp>Fill=true,Per=월</stp>
        <tr r="I239" s="2"/>
      </tp>
      <tp>
        <v>0</v>
        <stp/>
        <stp>P</stp>
        <stp>0</stp>
        <stp>IDX</stp>
        <stp>F2X25P</stp>
        <stp>누적거래대금</stp>
        <stp>45539</stp>
        <stp>Fill=true,Per=월</stp>
        <tr r="I249" s="2"/>
      </tp>
      <tp>
        <v>0</v>
        <stp/>
        <stp>P</stp>
        <stp>0</stp>
        <stp>IDX</stp>
        <stp>F2X35P</stp>
        <stp>누적거래대금</stp>
        <stp>45539</stp>
        <stp>Fill=true,Per=월</stp>
        <tr r="I259" s="2"/>
      </tp>
      <tp>
        <v>0</v>
        <stp/>
        <stp>P</stp>
        <stp>0</stp>
        <stp>IDX</stp>
        <stp>F5X05T</stp>
        <stp>누적거래대금</stp>
        <stp>45539</stp>
        <stp>Fill=true,Per=월</stp>
        <tr r="I280" s="2"/>
      </tp>
      <tp>
        <v>0</v>
        <stp/>
        <stp>P</stp>
        <stp>0</stp>
        <stp>IDX</stp>
        <stp>K2G08N</stp>
        <stp>누적거래대금</stp>
        <stp>45539</stp>
        <stp>Fill=true,Per=월</stp>
        <tr r="I357" s="2"/>
      </tp>
      <tp>
        <v>0</v>
        <stp/>
        <stp>P</stp>
        <stp>0</stp>
        <stp>IDX</stp>
        <stp>FTX05P</stp>
        <stp>누적거래대금</stp>
        <stp>45539</stp>
        <stp>Fill=true,Per=월</stp>
        <tr r="I323" s="2"/>
      </tp>
      <tp>
        <v>0</v>
        <stp/>
        <stp>P</stp>
        <stp>0</stp>
        <stp>IDX</stp>
        <stp>FRX05P</stp>
        <stp>누적거래대금</stp>
        <stp>45539</stp>
        <stp>Fill=true,Per=월</stp>
        <tr r="I305" s="2"/>
      </tp>
      <tp>
        <v>0</v>
        <stp/>
        <stp>P</stp>
        <stp>0</stp>
        <stp>IDX</stp>
        <stp>FGA05P</stp>
        <stp>누적거래대금</stp>
        <stp>45539</stp>
        <stp>Fill=true,Per=월</stp>
        <tr r="I289" s="2"/>
      </tp>
      <tp>
        <v>0</v>
        <stp/>
        <stp>P</stp>
        <stp>0</stp>
        <stp>IDX</stp>
        <stp>GGG04P</stp>
        <stp>누적거래대금</stp>
        <stp>45539</stp>
        <stp>Fill=true,Per=월</stp>
        <tr r="I334" s="2"/>
      </tp>
      <tp>
        <v>615992</v>
        <stp/>
        <stp>P</stp>
        <stp>0</stp>
        <stp>IDX</stp>
        <stp>KGS08P</stp>
        <stp>누적거래대금</stp>
        <stp>45539</stp>
        <stp>Fill=true,Per=월</stp>
        <tr r="I66" s="2"/>
      </tp>
      <tp>
        <v>13640365</v>
        <stp/>
        <stp>P</stp>
        <stp>0</stp>
        <stp>IDX</stp>
        <stp>KGS18P</stp>
        <stp>누적거래대금</stp>
        <stp>45539</stp>
        <stp>Fill=true,Per=월</stp>
        <tr r="I19" s="2"/>
      </tp>
      <tp>
        <v>0</v>
        <stp/>
        <stp>P</stp>
        <stp>0</stp>
        <stp>IDX</stp>
        <stp>K2S09T</stp>
        <stp>누적거래대금</stp>
        <stp>45539</stp>
        <stp>Fill=true,Per=월</stp>
        <tr r="I371" s="2"/>
      </tp>
      <tp>
        <v>0</v>
        <stp/>
        <stp>P</stp>
        <stp>0</stp>
        <stp>IDX</stp>
        <stp>F2X44T</stp>
        <stp>누적거래대금</stp>
        <stp>45539</stp>
        <stp>Fill=true,Per=월</stp>
        <tr r="I268" s="2"/>
      </tp>
      <tp>
        <v>0</v>
        <stp/>
        <stp>P</stp>
        <stp>0</stp>
        <stp>IDX</stp>
        <stp>F2S04P</stp>
        <stp>누적거래대금</stp>
        <stp>45539</stp>
        <stp>Fill=true,Per=월</stp>
        <tr r="I217" s="2"/>
      </tp>
      <tp>
        <v>454782</v>
        <stp/>
        <stp>P</stp>
        <stp>0</stp>
        <stp>IDX</stp>
        <stp>K2S09P</stp>
        <stp>누적거래대금</stp>
        <stp>45539</stp>
        <stp>Fill=true,Per=월</stp>
        <tr r="I68" s="2"/>
      </tp>
      <tp>
        <v>0</v>
        <stp/>
        <stp>P</stp>
        <stp>0</stp>
        <stp>IDX</stp>
        <stp>F2X04P</stp>
        <stp>누적거래대금</stp>
        <stp>45539</stp>
        <stp>Fill=true,Per=월</stp>
        <tr r="I228" s="2"/>
      </tp>
      <tp>
        <v>0</v>
        <stp/>
        <stp>P</stp>
        <stp>0</stp>
        <stp>IDX</stp>
        <stp>K2X09P</stp>
        <stp>누적거래대금</stp>
        <stp>45539</stp>
        <stp>Fill=true,Per=월</stp>
        <tr r="I48" s="2"/>
      </tp>
      <tp>
        <v>0</v>
        <stp/>
        <stp>P</stp>
        <stp>0</stp>
        <stp>IDX</stp>
        <stp>F2X14P</stp>
        <stp>누적거래대금</stp>
        <stp>45539</stp>
        <stp>Fill=true,Per=월</stp>
        <tr r="I238" s="2"/>
      </tp>
      <tp>
        <v>0</v>
        <stp/>
        <stp>P</stp>
        <stp>0</stp>
        <stp>IDX</stp>
        <stp>F2X24P</stp>
        <stp>누적거래대금</stp>
        <stp>45539</stp>
        <stp>Fill=true,Per=월</stp>
        <tr r="I248" s="2"/>
      </tp>
      <tp>
        <v>0</v>
        <stp/>
        <stp>P</stp>
        <stp>0</stp>
        <stp>IDX</stp>
        <stp>F2X34P</stp>
        <stp>누적거래대금</stp>
        <stp>45539</stp>
        <stp>Fill=true,Per=월</stp>
        <tr r="I258" s="2"/>
      </tp>
      <tp>
        <v>0</v>
        <stp/>
        <stp>P</stp>
        <stp>0</stp>
        <stp>IDX</stp>
        <stp>F5X04T</stp>
        <stp>누적거래대금</stp>
        <stp>45539</stp>
        <stp>Fill=true,Per=월</stp>
        <tr r="I279" s="2"/>
      </tp>
      <tp>
        <v>0</v>
        <stp/>
        <stp>P</stp>
        <stp>0</stp>
        <stp>IDX</stp>
        <stp>FT904P</stp>
        <stp>누적거래대금</stp>
        <stp>45539</stp>
        <stp>Fill=true,Per=월</stp>
        <tr r="I314" s="2"/>
      </tp>
      <tp>
        <v>0</v>
        <stp/>
        <stp>P</stp>
        <stp>0</stp>
        <stp>IDX</stp>
        <stp>FTX04P</stp>
        <stp>누적거래대금</stp>
        <stp>45539</stp>
        <stp>Fill=true,Per=월</stp>
        <tr r="I322" s="2"/>
      </tp>
      <tp>
        <v>0</v>
        <stp/>
        <stp>P</stp>
        <stp>0</stp>
        <stp>IDX</stp>
        <stp>FRX04P</stp>
        <stp>누적거래대금</stp>
        <stp>45539</stp>
        <stp>Fill=true,Per=월</stp>
        <tr r="I304" s="2"/>
      </tp>
      <tp>
        <v>0</v>
        <stp/>
        <stp>P</stp>
        <stp>0</stp>
        <stp>IDX</stp>
        <stp>GGG05P</stp>
        <stp>누적거래대금</stp>
        <stp>45539</stp>
        <stp>Fill=true,Per=월</stp>
        <tr r="I335" s="2"/>
      </tp>
      <tp>
        <v>6487168</v>
        <stp/>
        <stp>P</stp>
        <stp>0</stp>
        <stp>IDX</stp>
        <stp>KGS09P</stp>
        <stp>누적거래대금</stp>
        <stp>45539</stp>
        <stp>Fill=true,Per=월</stp>
        <tr r="I22" s="2"/>
      </tp>
      <tp>
        <v>43133</v>
        <stp/>
        <stp>P</stp>
        <stp>0</stp>
        <stp>IDX</stp>
        <stp>KGS19P</stp>
        <stp>누적거래대금</stp>
        <stp>45539</stp>
        <stp>Fill=true,Per=월</stp>
        <tr r="I91" s="2"/>
      </tp>
      <tp>
        <v>0</v>
        <stp/>
        <stp>P</stp>
        <stp>0</stp>
        <stp>IDX</stp>
        <stp>FGA04T</stp>
        <stp>누적거래대금</stp>
        <stp>45539</stp>
        <stp>Fill=true,Per=월</stp>
        <tr r="I288" s="2"/>
      </tp>
      <tp>
        <v>0</v>
        <stp/>
        <stp>P</stp>
        <stp>0</stp>
        <stp>IDX</stp>
        <stp>FGX04T</stp>
        <stp>누적거래대금</stp>
        <stp>45539</stp>
        <stp>Fill=true,Per=월</stp>
        <tr r="I296" s="2"/>
      </tp>
      <tp>
        <v>5276538</v>
        <stp/>
        <stp>P</stp>
        <stp>0</stp>
        <stp>IDX</stp>
        <stp>X3S05P</stp>
        <stp>누적거래대금</stp>
        <stp>45539</stp>
        <stp>Fill=true,Per=월</stp>
        <tr r="I185" s="2"/>
      </tp>
      <tp>
        <v>8199265</v>
        <stp/>
        <stp>P</stp>
        <stp>0</stp>
        <stp>IDX</stp>
        <stp>XGB05P</stp>
        <stp>누적거래대금</stp>
        <stp>45539</stp>
        <stp>Fill=true,Per=월</stp>
        <tr r="I176" s="2"/>
      </tp>
      <tp>
        <v>6643804</v>
        <stp/>
        <stp>P</stp>
        <stp>0</stp>
        <stp>IDX</stp>
        <stp>XGE05P</stp>
        <stp>누적거래대금</stp>
        <stp>45539</stp>
        <stp>Fill=true,Per=월</stp>
        <tr r="I169" s="2"/>
      </tp>
      <tp>
        <v>1503528</v>
        <stp/>
        <stp>P</stp>
        <stp>0</stp>
        <stp>IDX</stp>
        <stp>XGS05P</stp>
        <stp>누적거래대금</stp>
        <stp>45539</stp>
        <stp>Fill=true,Per=월</stp>
        <tr r="I164" s="2"/>
      </tp>
      <tp>
        <v>635587</v>
        <stp/>
        <stp>P</stp>
        <stp>0</stp>
        <stp>IDX</stp>
        <stp>XGS15P</stp>
        <stp>누적거래대금</stp>
        <stp>45539</stp>
        <stp>Fill=true,Per=월</stp>
        <tr r="I154" s="2"/>
      </tp>
      <tp>
        <v>245445</v>
        <stp/>
        <stp>P</stp>
        <stp>0</stp>
        <stp>IDX</stp>
        <stp>XGT05P</stp>
        <stp>누적거래대금</stp>
        <stp>45539</stp>
        <stp>Fill=true,Per=월</stp>
        <tr r="I150" s="2"/>
      </tp>
      <tp>
        <v>1610819</v>
        <stp/>
        <stp>P</stp>
        <stp>0</stp>
        <stp>IDX</stp>
        <stp>XGT15P</stp>
        <stp>누적거래대금</stp>
        <stp>45539</stp>
        <stp>Fill=true,Per=월</stp>
        <tr r="I137" s="2"/>
      </tp>
      <tp>
        <v>0</v>
        <stp/>
        <stp>P</stp>
        <stp>0</stp>
        <stp>IDX</stp>
        <stp>XGX05P</stp>
        <stp>누적거래대금</stp>
        <stp>45539</stp>
        <stp>Fill=true,Per=월</stp>
        <tr r="I130" s="2"/>
      </tp>
      <tp>
        <v>850841</v>
        <stp/>
        <stp>P</stp>
        <stp>0</stp>
        <stp>IDX</stp>
        <stp>X3S04P</stp>
        <stp>누적거래대금</stp>
        <stp>45539</stp>
        <stp>Fill=true,Per=월</stp>
        <tr r="I186" s="2"/>
      </tp>
      <tp>
        <v>1598161</v>
        <stp/>
        <stp>P</stp>
        <stp>0</stp>
        <stp>IDX</stp>
        <stp>XG904P</stp>
        <stp>누적거래대금</stp>
        <stp>45539</stp>
        <stp>Fill=true,Per=월</stp>
        <tr r="I177" s="2"/>
      </tp>
      <tp>
        <v>5189316</v>
        <stp/>
        <stp>P</stp>
        <stp>0</stp>
        <stp>IDX</stp>
        <stp>XGE04P</stp>
        <stp>누적거래대금</stp>
        <stp>45539</stp>
        <stp>Fill=true,Per=월</stp>
        <tr r="I171" s="2"/>
      </tp>
      <tp>
        <v>492462</v>
        <stp/>
        <stp>P</stp>
        <stp>0</stp>
        <stp>IDX</stp>
        <stp>XGS04P</stp>
        <stp>누적거래대금</stp>
        <stp>45539</stp>
        <stp>Fill=true,Per=월</stp>
        <tr r="I165" s="2"/>
      </tp>
      <tp>
        <v>563871</v>
        <stp/>
        <stp>P</stp>
        <stp>0</stp>
        <stp>IDX</stp>
        <stp>XGS14P</stp>
        <stp>누적거래대금</stp>
        <stp>45539</stp>
        <stp>Fill=true,Per=월</stp>
        <tr r="I155" s="2"/>
      </tp>
      <tp>
        <v>352217</v>
        <stp/>
        <stp>P</stp>
        <stp>0</stp>
        <stp>IDX</stp>
        <stp>XGT04P</stp>
        <stp>누적거래대금</stp>
        <stp>45539</stp>
        <stp>Fill=true,Per=월</stp>
        <tr r="I151" s="2"/>
      </tp>
      <tp>
        <v>630072</v>
        <stp/>
        <stp>P</stp>
        <stp>0</stp>
        <stp>IDX</stp>
        <stp>XGT14P</stp>
        <stp>누적거래대금</stp>
        <stp>45539</stp>
        <stp>Fill=true,Per=월</stp>
        <tr r="I138" s="2"/>
      </tp>
      <tp>
        <v>0</v>
        <stp/>
        <stp>P</stp>
        <stp>0</stp>
        <stp>IDX</stp>
        <stp>XGX04P</stp>
        <stp>누적거래대금</stp>
        <stp>45539</stp>
        <stp>Fill=true,Per=월</stp>
        <tr r="I131" s="2"/>
      </tp>
      <tp>
        <v>507758</v>
        <stp/>
        <stp>P</stp>
        <stp>0</stp>
        <stp>IDX</stp>
        <stp>X3S07P</stp>
        <stp>누적거래대금</stp>
        <stp>45539</stp>
        <stp>Fill=true,Per=월</stp>
        <tr r="I183" s="2"/>
      </tp>
      <tp>
        <v>119677</v>
        <stp/>
        <stp>P</stp>
        <stp>0</stp>
        <stp>IDX</stp>
        <stp>XGS07P</stp>
        <stp>누적거래대금</stp>
        <stp>45539</stp>
        <stp>Fill=true,Per=월</stp>
        <tr r="I162" s="2"/>
      </tp>
      <tp>
        <v>344390</v>
        <stp/>
        <stp>P</stp>
        <stp>0</stp>
        <stp>IDX</stp>
        <stp>XGS17P</stp>
        <stp>누적거래대금</stp>
        <stp>45539</stp>
        <stp>Fill=true,Per=월</stp>
        <tr r="I152" s="2"/>
      </tp>
      <tp>
        <v>0</v>
        <stp/>
        <stp>P</stp>
        <stp>0</stp>
        <stp>IDX</stp>
        <stp>XGT07P</stp>
        <stp>누적거래대금</stp>
        <stp>45539</stp>
        <stp>Fill=true,Per=월</stp>
        <tr r="I147" s="2"/>
      </tp>
      <tp>
        <v>1678012</v>
        <stp/>
        <stp>P</stp>
        <stp>0</stp>
        <stp>IDX</stp>
        <stp>X3S06P</stp>
        <stp>누적거래대금</stp>
        <stp>45539</stp>
        <stp>Fill=true,Per=월</stp>
        <tr r="I184" s="2"/>
      </tp>
      <tp>
        <v>603491</v>
        <stp/>
        <stp>P</stp>
        <stp>0</stp>
        <stp>IDX</stp>
        <stp>XGS06P</stp>
        <stp>누적거래대금</stp>
        <stp>45539</stp>
        <stp>Fill=true,Per=월</stp>
        <tr r="I163" s="2"/>
      </tp>
      <tp>
        <v>5300255</v>
        <stp/>
        <stp>P</stp>
        <stp>0</stp>
        <stp>IDX</stp>
        <stp>XGS16P</stp>
        <stp>누적거래대금</stp>
        <stp>45539</stp>
        <stp>Fill=true,Per=월</stp>
        <tr r="I153" s="2"/>
      </tp>
      <tp>
        <v>7907598</v>
        <stp/>
        <stp>P</stp>
        <stp>0</stp>
        <stp>IDX</stp>
        <stp>XGT06P</stp>
        <stp>누적거래대금</stp>
        <stp>45539</stp>
        <stp>Fill=true,Per=월</stp>
        <tr r="I149" s="2"/>
      </tp>
      <tp>
        <v>0</v>
        <stp/>
        <stp>P</stp>
        <stp>0</stp>
        <stp>IDX</stp>
        <stp>XGT06T</stp>
        <stp>누적거래대금</stp>
        <stp>45539</stp>
        <stp>Fill=true,Per=월</stp>
        <tr r="I148" s="2"/>
      </tp>
      <tp>
        <v>0</v>
        <stp/>
        <stp>P</stp>
        <stp>0</stp>
        <stp>IDX</stp>
        <stp>X3G01T</stp>
        <stp>누적거래대금</stp>
        <stp>45539</stp>
        <stp>Fill=true,Per=월</stp>
        <tr r="I190" s="2"/>
      </tp>
      <tp>
        <v>302786</v>
        <stp/>
        <stp>P</stp>
        <stp>0</stp>
        <stp>IDX</stp>
        <stp>Q5S08P</stp>
        <stp>누적거래대금</stp>
        <stp>45539</stp>
        <stp>Fill=true,Per=월</stp>
        <tr r="I196" s="2"/>
      </tp>
      <tp>
        <v>18878330</v>
        <stp/>
        <stp>P</stp>
        <stp>0</stp>
        <stp>IDX</stp>
        <stp>X3G01P</stp>
        <stp>누적거래대금</stp>
        <stp>45539</stp>
        <stp>Fill=true,Per=월</stp>
        <tr r="I10" s="2"/>
      </tp>
      <tp>
        <v>18144943</v>
        <stp/>
        <stp>P</stp>
        <stp>0</stp>
        <stp>IDX</stp>
        <stp>X3E01P</stp>
        <stp>누적거래대금</stp>
        <stp>45539</stp>
        <stp>Fill=true,Per=월</stp>
        <tr r="I191" s="2"/>
      </tp>
      <tp>
        <v>4396437</v>
        <stp/>
        <stp>P</stp>
        <stp>0</stp>
        <stp>IDX</stp>
        <stp>X3S01P</stp>
        <stp>누적거래대금</stp>
        <stp>45539</stp>
        <stp>Fill=true,Per=월</stp>
        <tr r="I189" s="2"/>
      </tp>
      <tp>
        <v>0</v>
        <stp/>
        <stp>P</stp>
        <stp>0</stp>
        <stp>IDX</stp>
        <stp>X3X01P</stp>
        <stp>누적거래대금</stp>
        <stp>45539</stp>
        <stp>Fill=true,Per=월</stp>
        <tr r="I181" s="2"/>
      </tp>
      <tp>
        <v>0</v>
        <stp/>
        <stp>P</stp>
        <stp>0</stp>
        <stp>IDX</stp>
        <stp>XG901P</stp>
        <stp>누적거래대금</stp>
        <stp>45539</stp>
        <stp>Fill=true,Per=월</stp>
        <tr r="I180" s="2"/>
      </tp>
      <tp>
        <v>14112981</v>
        <stp/>
        <stp>P</stp>
        <stp>0</stp>
        <stp>IDX</stp>
        <stp>XGG01P</stp>
        <stp>누적거래대금</stp>
        <stp>45539</stp>
        <stp>Fill=true,Per=월</stp>
        <tr r="I15" s="2"/>
      </tp>
      <tp>
        <v>12045265</v>
        <stp/>
        <stp>P</stp>
        <stp>0</stp>
        <stp>IDX</stp>
        <stp>XGE01P</stp>
        <stp>누적거래대금</stp>
        <stp>45539</stp>
        <stp>Fill=true,Per=월</stp>
        <tr r="I174" s="2"/>
      </tp>
      <tp>
        <v>914205</v>
        <stp/>
        <stp>P</stp>
        <stp>0</stp>
        <stp>IDX</stp>
        <stp>XGS01P</stp>
        <stp>누적거래대금</stp>
        <stp>45539</stp>
        <stp>Fill=true,Per=월</stp>
        <tr r="I168" s="2"/>
      </tp>
      <tp>
        <v>1528321</v>
        <stp/>
        <stp>P</stp>
        <stp>0</stp>
        <stp>IDX</stp>
        <stp>QGS18P</stp>
        <stp>누적거래대금</stp>
        <stp>45539</stp>
        <stp>Fill=true,Per=월</stp>
        <tr r="I82" s="2"/>
      </tp>
      <tp>
        <v>249207</v>
        <stp/>
        <stp>P</stp>
        <stp>0</stp>
        <stp>IDX</stp>
        <stp>XGS11P</stp>
        <stp>누적거래대금</stp>
        <stp>45539</stp>
        <stp>Fill=true,Per=월</stp>
        <tr r="I158" s="2"/>
      </tp>
      <tp>
        <v>14112981</v>
        <stp/>
        <stp>P</stp>
        <stp>0</stp>
        <stp>IDX</stp>
        <stp>XGW01P</stp>
        <stp>누적거래대금</stp>
        <stp>45539</stp>
        <stp>Fill=true,Per=월</stp>
        <tr r="I14" s="2"/>
      </tp>
      <tp>
        <v>0</v>
        <stp/>
        <stp>P</stp>
        <stp>0</stp>
        <stp>IDX</stp>
        <stp>XGV01P</stp>
        <stp>누적거래대금</stp>
        <stp>45539</stp>
        <stp>Fill=true,Per=월</stp>
        <tr r="I136" s="2"/>
      </tp>
      <tp>
        <v>2116435</v>
        <stp/>
        <stp>P</stp>
        <stp>0</stp>
        <stp>IDX</stp>
        <stp>XGT01P</stp>
        <stp>누적거래대금</stp>
        <stp>45539</stp>
        <stp>Fill=true,Per=월</stp>
        <tr r="I28" s="2"/>
      </tp>
      <tp>
        <v>0</v>
        <stp/>
        <stp>P</stp>
        <stp>0</stp>
        <stp>IDX</stp>
        <stp>XGT11P</stp>
        <stp>누적거래대금</stp>
        <stp>45539</stp>
        <stp>Fill=true,Per=월</stp>
        <tr r="I141" s="2"/>
      </tp>
      <tp>
        <v>0</v>
        <stp/>
        <stp>P</stp>
        <stp>0</stp>
        <stp>IDX</stp>
        <stp>XGX01P</stp>
        <stp>누적거래대금</stp>
        <stp>45539</stp>
        <stp>Fill=true,Per=월</stp>
        <tr r="I134" s="2"/>
      </tp>
      <tp>
        <v>76102</v>
        <stp/>
        <stp>P</stp>
        <stp>0</stp>
        <stp>IDX</stp>
        <stp>QGS09P</stp>
        <stp>누적거래대금</stp>
        <stp>45539</stp>
        <stp>Fill=true,Per=월</stp>
        <tr r="I90" s="2"/>
      </tp>
      <tp>
        <v>97899</v>
        <stp/>
        <stp>P</stp>
        <stp>0</stp>
        <stp>IDX</stp>
        <stp>QGS19P</stp>
        <stp>누적거래대금</stp>
        <stp>45539</stp>
        <stp>Fill=true,Per=월</stp>
        <tr r="I86" s="2"/>
      </tp>
      <tp>
        <v>3045935</v>
        <stp/>
        <stp>P</stp>
        <stp>0</stp>
        <stp>IDX</stp>
        <stp>XGS10P</stp>
        <stp>누적거래대금</stp>
        <stp>45539</stp>
        <stp>Fill=true,Per=월</stp>
        <tr r="I159" s="2"/>
      </tp>
      <tp>
        <v>3642505</v>
        <stp/>
        <stp>P</stp>
        <stp>0</stp>
        <stp>IDX</stp>
        <stp>XGT10P</stp>
        <stp>누적거래대금</stp>
        <stp>45539</stp>
        <stp>Fill=true,Per=월</stp>
        <tr r="I143" s="2"/>
      </tp>
      <tp>
        <v>0</v>
        <stp/>
        <stp>P</stp>
        <stp>0</stp>
        <stp>IDX</stp>
        <stp>XGT10T</stp>
        <stp>누적거래대금</stp>
        <stp>45539</stp>
        <stp>Fill=true,Per=월</stp>
        <tr r="I142" s="2"/>
      </tp>
      <tp>
        <v>3886693</v>
        <stp/>
        <stp>P</stp>
        <stp>0</stp>
        <stp>IDX</stp>
        <stp>X3S03P</stp>
        <stp>누적거래대금</stp>
        <stp>45539</stp>
        <stp>Fill=true,Per=월</stp>
        <tr r="I187" s="2"/>
      </tp>
      <tp>
        <v>0</v>
        <stp/>
        <stp>P</stp>
        <stp>0</stp>
        <stp>IDX</stp>
        <stp>XG903P</stp>
        <stp>누적거래대금</stp>
        <stp>45539</stp>
        <stp>Fill=true,Per=월</stp>
        <tr r="I178" s="2"/>
      </tp>
      <tp>
        <v>6657117</v>
        <stp/>
        <stp>P</stp>
        <stp>0</stp>
        <stp>IDX</stp>
        <stp>XGE03P</stp>
        <stp>누적거래대금</stp>
        <stp>45539</stp>
        <stp>Fill=true,Per=월</stp>
        <tr r="I172" s="2"/>
      </tp>
      <tp>
        <v>4118302</v>
        <stp/>
        <stp>P</stp>
        <stp>0</stp>
        <stp>IDX</stp>
        <stp>XGS03P</stp>
        <stp>누적거래대금</stp>
        <stp>45539</stp>
        <stp>Fill=true,Per=월</stp>
        <tr r="I166" s="2"/>
      </tp>
      <tp>
        <v>511727</v>
        <stp/>
        <stp>P</stp>
        <stp>0</stp>
        <stp>IDX</stp>
        <stp>XGS13P</stp>
        <stp>누적거래대금</stp>
        <stp>45539</stp>
        <stp>Fill=true,Per=월</stp>
        <tr r="I156" s="2"/>
      </tp>
      <tp>
        <v>2612302</v>
        <stp/>
        <stp>P</stp>
        <stp>0</stp>
        <stp>IDX</stp>
        <stp>XGT03P</stp>
        <stp>누적거래대금</stp>
        <stp>45539</stp>
        <stp>Fill=true,Per=월</stp>
        <tr r="I45" s="2"/>
      </tp>
      <tp>
        <v>151894</v>
        <stp/>
        <stp>P</stp>
        <stp>0</stp>
        <stp>IDX</stp>
        <stp>XGT13P</stp>
        <stp>누적거래대금</stp>
        <stp>45539</stp>
        <stp>Fill=true,Per=월</stp>
        <tr r="I139" s="2"/>
      </tp>
      <tp>
        <v>0</v>
        <stp/>
        <stp>P</stp>
        <stp>0</stp>
        <stp>IDX</stp>
        <stp>XGX03P</stp>
        <stp>누적거래대금</stp>
        <stp>45539</stp>
        <stp>Fill=true,Per=월</stp>
        <tr r="I132" s="2"/>
      </tp>
      <tp>
        <v>1119255</v>
        <stp/>
        <stp>P</stp>
        <stp>0</stp>
        <stp>IDX</stp>
        <stp>X3S02P</stp>
        <stp>누적거래대금</stp>
        <stp>45539</stp>
        <stp>Fill=true,Per=월</stp>
        <tr r="I188" s="2"/>
      </tp>
      <tp>
        <v>0</v>
        <stp/>
        <stp>P</stp>
        <stp>0</stp>
        <stp>IDX</stp>
        <stp>XG902P</stp>
        <stp>누적거래대금</stp>
        <stp>45539</stp>
        <stp>Fill=true,Per=월</stp>
        <tr r="I179" s="2"/>
      </tp>
      <tp>
        <v>8760785</v>
        <stp/>
        <stp>P</stp>
        <stp>0</stp>
        <stp>IDX</stp>
        <stp>XGG02P</stp>
        <stp>누적거래대금</stp>
        <stp>45539</stp>
        <stp>Fill=true,Per=월</stp>
        <tr r="I129" s="2"/>
      </tp>
      <tp>
        <v>8480747</v>
        <stp/>
        <stp>P</stp>
        <stp>0</stp>
        <stp>IDX</stp>
        <stp>XGE02P</stp>
        <stp>누적거래대금</stp>
        <stp>45539</stp>
        <stp>Fill=true,Per=월</stp>
        <tr r="I173" s="2"/>
      </tp>
      <tp>
        <v>28216</v>
        <stp/>
        <stp>P</stp>
        <stp>0</stp>
        <stp>IDX</stp>
        <stp>XGD02P</stp>
        <stp>누적거래대금</stp>
        <stp>45539</stp>
        <stp>Fill=true,Per=월</stp>
        <tr r="I175" s="2"/>
      </tp>
      <tp>
        <v>3961805</v>
        <stp/>
        <stp>P</stp>
        <stp>0</stp>
        <stp>IDX</stp>
        <stp>XGS02P</stp>
        <stp>누적거래대금</stp>
        <stp>45539</stp>
        <stp>Fill=true,Per=월</stp>
        <tr r="I167" s="2"/>
      </tp>
      <tp>
        <v>142122</v>
        <stp/>
        <stp>P</stp>
        <stp>0</stp>
        <stp>IDX</stp>
        <stp>XGS12P</stp>
        <stp>누적거래대금</stp>
        <stp>45539</stp>
        <stp>Fill=true,Per=월</stp>
        <tr r="I157" s="2"/>
      </tp>
      <tp>
        <v>0</v>
        <stp/>
        <stp>P</stp>
        <stp>0</stp>
        <stp>IDX</stp>
        <stp>XGV02P</stp>
        <stp>누적거래대금</stp>
        <stp>45539</stp>
        <stp>Fill=true,Per=월</stp>
        <tr r="I135" s="2"/>
      </tp>
      <tp>
        <v>2693957</v>
        <stp/>
        <stp>P</stp>
        <stp>0</stp>
        <stp>IDX</stp>
        <stp>XGT02P</stp>
        <stp>누적거래대금</stp>
        <stp>45539</stp>
        <stp>Fill=true,Per=월</stp>
        <tr r="I40" s="2"/>
      </tp>
      <tp>
        <v>3352217</v>
        <stp/>
        <stp>P</stp>
        <stp>0</stp>
        <stp>IDX</stp>
        <stp>XGT12P</stp>
        <stp>누적거래대금</stp>
        <stp>45539</stp>
        <stp>Fill=true,Per=월</stp>
        <tr r="I140" s="2"/>
      </tp>
      <tp>
        <v>0</v>
        <stp/>
        <stp>P</stp>
        <stp>0</stp>
        <stp>IDX</stp>
        <stp>XGX02P</stp>
        <stp>누적거래대금</stp>
        <stp>45539</stp>
        <stp>Fill=true,Per=월</stp>
        <tr r="I133" s="2"/>
      </tp>
      <tp>
        <v>194171</v>
        <stp/>
        <stp>P</stp>
        <stp>0</stp>
        <stp>IDX</stp>
        <stp>Q5S04P</stp>
        <stp>누적거래대금</stp>
        <stp>45539</stp>
        <stp>Fill=true,Per=월</stp>
        <tr r="I200" s="2"/>
      </tp>
      <tp>
        <v>2216462</v>
        <stp/>
        <stp>P</stp>
        <stp>0</stp>
        <stp>IDX</stp>
        <stp>QGG04P</stp>
        <stp>누적거래대금</stp>
        <stp>45539</stp>
        <stp>Fill=true,Per=월</stp>
        <tr r="I73" s="2"/>
      </tp>
      <tp>
        <v>7290</v>
        <stp/>
        <stp>P</stp>
        <stp>0</stp>
        <stp>IDX</stp>
        <stp>TGG01P</stp>
        <stp>누적거래대금</stp>
        <stp>45539</stp>
        <stp>Fill=true,Per=월</stp>
        <tr r="I194" s="2"/>
      </tp>
      <tp>
        <v>673527</v>
        <stp/>
        <stp>P</stp>
        <stp>0</stp>
        <stp>IDX</stp>
        <stp>QGS04P</stp>
        <stp>누적거래대금</stp>
        <stp>45539</stp>
        <stp>Fill=true,Per=월</stp>
        <tr r="I84" s="2"/>
      </tp>
      <tp>
        <v>47623</v>
        <stp/>
        <stp>P</stp>
        <stp>0</stp>
        <stp>IDX</stp>
        <stp>QGS14P</stp>
        <stp>누적거래대금</stp>
        <stp>45539</stp>
        <stp>Fill=true,Per=월</stp>
        <tr r="I92" s="2"/>
      </tp>
      <tp>
        <v>425505</v>
        <stp/>
        <stp>P</stp>
        <stp>0</stp>
        <stp>IDX</stp>
        <stp>QGS34P</stp>
        <stp>누적거래대금</stp>
        <stp>45539</stp>
        <stp>Fill=true,Per=월</stp>
        <tr r="I85" s="2"/>
      </tp>
      <tp>
        <v>0</v>
        <stp/>
        <stp>P</stp>
        <stp>0</stp>
        <stp>IDX</stp>
        <stp>TGX01P</stp>
        <stp>누적거래대금</stp>
        <stp>45539</stp>
        <stp>Fill=true,Per=월</stp>
        <tr r="I192" s="2"/>
      </tp>
      <tp>
        <v>416782</v>
        <stp/>
        <stp>P</stp>
        <stp>0</stp>
        <stp>IDX</stp>
        <stp>Q5S05P</stp>
        <stp>누적거래대금</stp>
        <stp>45539</stp>
        <stp>Fill=true,Per=월</stp>
        <tr r="I199" s="2"/>
      </tp>
      <tp>
        <v>3350549</v>
        <stp/>
        <stp>P</stp>
        <stp>0</stp>
        <stp>IDX</stp>
        <stp>QGG05P</stp>
        <stp>누적거래대금</stp>
        <stp>45539</stp>
        <stp>Fill=true,Per=월</stp>
        <tr r="I60" s="2"/>
      </tp>
      <tp>
        <v>289912</v>
        <stp/>
        <stp>P</stp>
        <stp>0</stp>
        <stp>IDX</stp>
        <stp>QGS05P</stp>
        <stp>누적거래대금</stp>
        <stp>45539</stp>
        <stp>Fill=true,Per=월</stp>
        <tr r="I80" s="2"/>
      </tp>
      <tp>
        <v>397351</v>
        <stp/>
        <stp>P</stp>
        <stp>0</stp>
        <stp>IDX</stp>
        <stp>QGS15P</stp>
        <stp>누적거래대금</stp>
        <stp>45539</stp>
        <stp>Fill=true,Per=월</stp>
        <tr r="I87" s="2"/>
      </tp>
      <tp>
        <v>899869</v>
        <stp/>
        <stp>P</stp>
        <stp>0</stp>
        <stp>IDX</stp>
        <stp>Q5S06P</stp>
        <stp>누적거래대금</stp>
        <stp>45539</stp>
        <stp>Fill=true,Per=월</stp>
        <tr r="I198" s="2"/>
      </tp>
      <tp>
        <v>4690662</v>
        <stp/>
        <stp>P</stp>
        <stp>0</stp>
        <stp>IDX</stp>
        <stp>QGG06P</stp>
        <stp>누적거래대금</stp>
        <stp>45539</stp>
        <stp>Fill=true,Per=월</stp>
        <tr r="I63" s="2"/>
      </tp>
      <tp>
        <v>1554248</v>
        <stp/>
        <stp>P</stp>
        <stp>0</stp>
        <stp>IDX</stp>
        <stp>QGS16P</stp>
        <stp>누적거래대금</stp>
        <stp>45539</stp>
        <stp>Fill=true,Per=월</stp>
        <tr r="I70" s="2"/>
      </tp>
      <tp>
        <v>108431</v>
        <stp/>
        <stp>P</stp>
        <stp>0</stp>
        <stp>IDX</stp>
        <stp>Q5S07P</stp>
        <stp>누적거래대금</stp>
        <stp>45539</stp>
        <stp>Fill=true,Per=월</stp>
        <tr r="I197" s="2"/>
      </tp>
      <tp>
        <v>5</v>
        <stp/>
        <stp>P</stp>
        <stp>0</stp>
        <stp>IDX</stp>
        <stp>TGG02P</stp>
        <stp>누적거래대금</stp>
        <stp>45539</stp>
        <stp>Fill=true,Per=월</stp>
        <tr r="I193" s="2"/>
      </tp>
      <tp>
        <v>1610966</v>
        <stp/>
        <stp>P</stp>
        <stp>0</stp>
        <stp>IDX</stp>
        <stp>QGS17P</stp>
        <stp>누적거래대금</stp>
        <stp>45539</stp>
        <stp>Fill=true,Per=월</stp>
        <tr r="I61" s="2"/>
      </tp>
      <tp t="s">
        <v/>
        <stp/>
        <stp>P</stp>
        <stp>0</stp>
        <stp>IDX</stp>
        <stp>K2X12N</stp>
        <stp>기관순매수금액</stp>
        <stp>45539</stp>
        <stp>Fill=true,Per=월</stp>
        <tr r="N381" s="2"/>
      </tp>
      <tp t="s">
        <v/>
        <stp/>
        <stp>P</stp>
        <stp>0</stp>
        <stp>IDX</stp>
        <stp>K2X12N</stp>
        <stp>개인순매수금액</stp>
        <stp>45539</stp>
        <stp>Fill=true,Per=월</stp>
        <tr r="M381" s="2"/>
      </tp>
      <tp t="s">
        <v/>
        <stp/>
        <stp>P</stp>
        <stp>0</stp>
        <stp>IDX</stp>
        <stp>K2D03N</stp>
        <stp>기관순매수금액</stp>
        <stp>45539</stp>
        <stp>Fill=true,Per=월</stp>
        <tr r="N347" s="2"/>
      </tp>
      <tp t="s">
        <v/>
        <stp/>
        <stp>P</stp>
        <stp>0</stp>
        <stp>IDX</stp>
        <stp>K2G08N</stp>
        <stp>개인순매수금액</stp>
        <stp>45539</stp>
        <stp>Fill=true,Per=월</stp>
        <tr r="M357" s="2"/>
      </tp>
      <tp t="s">
        <v/>
        <stp/>
        <stp>P</stp>
        <stp>0</stp>
        <stp>IDX</stp>
        <stp>K2G01N</stp>
        <stp>개인순매수금액</stp>
        <stp>45539</stp>
        <stp>Fill=true,Per=월</stp>
        <tr r="M350" s="2"/>
      </tp>
      <tp t="s">
        <v/>
        <stp/>
        <stp>P</stp>
        <stp>0</stp>
        <stp>IDX</stp>
        <stp>K2G06N</stp>
        <stp>개인순매수금액</stp>
        <stp>45539</stp>
        <stp>Fill=true,Per=월</stp>
        <tr r="M354" s="2"/>
      </tp>
      <tp t="s">
        <v/>
        <stp/>
        <stp>P</stp>
        <stp>0</stp>
        <stp>IDX</stp>
        <stp>K2G10N</stp>
        <stp>개인순매수금액</stp>
        <stp>45539</stp>
        <stp>Fill=true,Per=월</stp>
        <tr r="M360" s="2"/>
      </tp>
      <tp t="s">
        <v/>
        <stp/>
        <stp>P</stp>
        <stp>0</stp>
        <stp>IDX</stp>
        <stp>K2D03N</stp>
        <stp>개인순매수금액</stp>
        <stp>45539</stp>
        <stp>Fill=true,Per=월</stp>
        <tr r="M347" s="2"/>
      </tp>
      <tp t="s">
        <v/>
        <stp/>
        <stp>P</stp>
        <stp>0</stp>
        <stp>IDX</stp>
        <stp>K2G01N</stp>
        <stp>기관순매수금액</stp>
        <stp>45539</stp>
        <stp>Fill=true,Per=월</stp>
        <tr r="N350" s="2"/>
      </tp>
      <tp t="s">
        <v/>
        <stp/>
        <stp>P</stp>
        <stp>0</stp>
        <stp>IDX</stp>
        <stp>K2G06N</stp>
        <stp>기관순매수금액</stp>
        <stp>45539</stp>
        <stp>Fill=true,Per=월</stp>
        <tr r="N354" s="2"/>
      </tp>
      <tp t="s">
        <v/>
        <stp/>
        <stp>P</stp>
        <stp>0</stp>
        <stp>IDX</stp>
        <stp>K2G08N</stp>
        <stp>기관순매수금액</stp>
        <stp>45539</stp>
        <stp>Fill=true,Per=월</stp>
        <tr r="N357" s="2"/>
      </tp>
      <tp t="s">
        <v/>
        <stp/>
        <stp>P</stp>
        <stp>0</stp>
        <stp>IDX</stp>
        <stp>K2G10N</stp>
        <stp>기관순매수금액</stp>
        <stp>45539</stp>
        <stp>Fill=true,Per=월</stp>
        <tr r="N360" s="2"/>
      </tp>
      <tp>
        <v>97173</v>
        <stp/>
        <stp>P</stp>
        <stp>0</stp>
        <stp>IDX</stp>
        <stp>XGS09P</stp>
        <stp>누적거래대금</stp>
        <stp>45539</stp>
        <stp>Fill=true,Per=월</stp>
        <tr r="I160" s="2"/>
      </tp>
      <tp>
        <v>143381</v>
        <stp/>
        <stp>P</stp>
        <stp>0</stp>
        <stp>IDX</stp>
        <stp>QGS10P</stp>
        <stp>누적거래대금</stp>
        <stp>45539</stp>
        <stp>Fill=true,Per=월</stp>
        <tr r="I96" s="2"/>
      </tp>
      <tp>
        <v>87333</v>
        <stp/>
        <stp>P</stp>
        <stp>0</stp>
        <stp>IDX</stp>
        <stp>QGS20P</stp>
        <stp>누적거래대금</stp>
        <stp>45539</stp>
        <stp>Fill=true,Per=월</stp>
        <tr r="I97" s="2"/>
      </tp>
      <tp>
        <v>0</v>
        <stp/>
        <stp>P</stp>
        <stp>0</stp>
        <stp>IDX</stp>
        <stp>XGT09P</stp>
        <stp>누적거래대금</stp>
        <stp>45539</stp>
        <stp>Fill=true,Per=월</stp>
        <tr r="I144" s="2"/>
      </tp>
      <tp>
        <v>4561389</v>
        <stp/>
        <stp>P</stp>
        <stp>0</stp>
        <stp>IDX</stp>
        <stp>Q5G01P</stp>
        <stp>누적거래대금</stp>
        <stp>45539</stp>
        <stp>Fill=true,Per=월</stp>
        <tr r="I34" s="2"/>
      </tp>
      <tp>
        <v>850349</v>
        <stp/>
        <stp>P</stp>
        <stp>0</stp>
        <stp>IDX</stp>
        <stp>Q5E01P</stp>
        <stp>누적거래대금</stp>
        <stp>45539</stp>
        <stp>Fill=true,Per=월</stp>
        <tr r="I204" s="2"/>
      </tp>
      <tp>
        <v>4561389</v>
        <stp/>
        <stp>P</stp>
        <stp>0</stp>
        <stp>IDX</stp>
        <stp>Q5W01P</stp>
        <stp>누적거래대금</stp>
        <stp>45539</stp>
        <stp>Fill=true,Per=월</stp>
        <tr r="I35" s="2"/>
      </tp>
      <tp>
        <v>0</v>
        <stp/>
        <stp>P</stp>
        <stp>0</stp>
        <stp>IDX</stp>
        <stp>Q5X01P</stp>
        <stp>누적거래대금</stp>
        <stp>45539</stp>
        <stp>Fill=true,Per=월</stp>
        <tr r="I36" s="2"/>
      </tp>
      <tp>
        <v>711731</v>
        <stp/>
        <stp>P</stp>
        <stp>0</stp>
        <stp>IDX</stp>
        <stp>X3S08P</stp>
        <stp>누적거래대금</stp>
        <stp>45539</stp>
        <stp>Fill=true,Per=월</stp>
        <tr r="I182" s="2"/>
      </tp>
      <tp>
        <v>0</v>
        <stp/>
        <stp>P</stp>
        <stp>0</stp>
        <stp>IDX</stp>
        <stp>Q5G01T</stp>
        <stp>누적거래대금</stp>
        <stp>45539</stp>
        <stp>Fill=true,Per=월</stp>
        <tr r="I203" s="2"/>
      </tp>
      <tp>
        <v>14010075</v>
        <stp/>
        <stp>P</stp>
        <stp>0</stp>
        <stp>IDX</stp>
        <stp>QGG01P</stp>
        <stp>누적거래대금</stp>
        <stp>45539</stp>
        <stp>Fill=true,Per=월</stp>
        <tr r="I26" s="2"/>
      </tp>
      <tp>
        <v>1819364</v>
        <stp/>
        <stp>P</stp>
        <stp>0</stp>
        <stp>IDX</stp>
        <stp>QGG11P</stp>
        <stp>누적거래대금</stp>
        <stp>45539</stp>
        <stp>Fill=true,Per=월</stp>
        <tr r="I58" s="2"/>
      </tp>
      <tp>
        <v>2229461</v>
        <stp/>
        <stp>P</stp>
        <stp>0</stp>
        <stp>IDX</stp>
        <stp>QGS01P</stp>
        <stp>누적거래대금</stp>
        <stp>45539</stp>
        <stp>Fill=true,Per=월</stp>
        <tr r="I69" s="2"/>
      </tp>
      <tp>
        <v>155277</v>
        <stp/>
        <stp>P</stp>
        <stp>0</stp>
        <stp>IDX</stp>
        <stp>XGS08P</stp>
        <stp>누적거래대금</stp>
        <stp>45539</stp>
        <stp>Fill=true,Per=월</stp>
        <tr r="I161" s="2"/>
      </tp>
      <tp>
        <v>9573</v>
        <stp/>
        <stp>P</stp>
        <stp>0</stp>
        <stp>IDX</stp>
        <stp>QGS11P</stp>
        <stp>누적거래대금</stp>
        <stp>45539</stp>
        <stp>Fill=true,Per=월</stp>
        <tr r="I95" s="2"/>
      </tp>
      <tp>
        <v>757</v>
        <stp/>
        <stp>P</stp>
        <stp>0</stp>
        <stp>IDX</stp>
        <stp>QGS31P</stp>
        <stp>누적거래대금</stp>
        <stp>45539</stp>
        <stp>Fill=true,Per=월</stp>
        <tr r="I98" s="2"/>
      </tp>
      <tp>
        <v>3720796</v>
        <stp/>
        <stp>P</stp>
        <stp>0</stp>
        <stp>IDX</stp>
        <stp>XGT08P</stp>
        <stp>누적거래대금</stp>
        <stp>45539</stp>
        <stp>Fill=true,Per=월</stp>
        <tr r="I146" s="2"/>
      </tp>
      <tp>
        <v>3805820</v>
        <stp/>
        <stp>P</stp>
        <stp>0</stp>
        <stp>IDX</stp>
        <stp>QGZ01P</stp>
        <stp>누적거래대금</stp>
        <stp>45539</stp>
        <stp>Fill=true,Per=월</stp>
        <tr r="I41" s="2"/>
      </tp>
      <tp>
        <v>0</v>
        <stp/>
        <stp>P</stp>
        <stp>0</stp>
        <stp>IDX</stp>
        <stp>QGG01T</stp>
        <stp>누적거래대금</stp>
        <stp>45539</stp>
        <stp>Fill=true,Per=월</stp>
        <tr r="I128" s="2"/>
      </tp>
      <tp>
        <v>0</v>
        <stp/>
        <stp>P</stp>
        <stp>0</stp>
        <stp>IDX</stp>
        <stp>XGT08T</stp>
        <stp>누적거래대금</stp>
        <stp>45539</stp>
        <stp>Fill=true,Per=월</stp>
        <tr r="I145" s="2"/>
      </tp>
      <tp>
        <v>688219</v>
        <stp/>
        <stp>P</stp>
        <stp>0</stp>
        <stp>IDX</stp>
        <stp>Q5S02P</stp>
        <stp>누적거래대금</stp>
        <stp>45539</stp>
        <stp>Fill=true,Per=월</stp>
        <tr r="I202" s="2"/>
      </tp>
      <tp>
        <v>0</v>
        <stp/>
        <stp>P</stp>
        <stp>0</stp>
        <stp>IDX</stp>
        <stp>Q5X02P</stp>
        <stp>누적거래대금</stp>
        <stp>45539</stp>
        <stp>Fill=true,Per=월</stp>
        <tr r="I37" s="2"/>
      </tp>
      <tp>
        <v>10337951</v>
        <stp/>
        <stp>P</stp>
        <stp>0</stp>
        <stp>IDX</stp>
        <stp>QGS02P</stp>
        <stp>누적거래대금</stp>
        <stp>45539</stp>
        <stp>Fill=true,Per=월</stp>
        <tr r="I29" s="2"/>
      </tp>
      <tp>
        <v>1279657</v>
        <stp/>
        <stp>P</stp>
        <stp>0</stp>
        <stp>IDX</stp>
        <stp>QGS12P</stp>
        <stp>누적거래대금</stp>
        <stp>45539</stp>
        <stp>Fill=true,Per=월</stp>
        <tr r="I76" s="2"/>
      </tp>
      <tp>
        <v>2340521</v>
        <stp/>
        <stp>P</stp>
        <stp>0</stp>
        <stp>IDX</stp>
        <stp>QGZ02P</stp>
        <stp>누적거래대금</stp>
        <stp>45539</stp>
        <stp>Fill=true,Per=월</stp>
        <tr r="I53" s="2"/>
      </tp>
      <tp>
        <v>1933635</v>
        <stp/>
        <stp>P</stp>
        <stp>0</stp>
        <stp>IDX</stp>
        <stp>Q5S03P</stp>
        <stp>누적거래대금</stp>
        <stp>45539</stp>
        <stp>Fill=true,Per=월</stp>
        <tr r="I201" s="2"/>
      </tp>
      <tp>
        <v>3608108</v>
        <stp/>
        <stp>P</stp>
        <stp>0</stp>
        <stp>IDX</stp>
        <stp>QGG03P</stp>
        <stp>누적거래대금</stp>
        <stp>45539</stp>
        <stp>Fill=true,Per=월</stp>
        <tr r="I39" s="2"/>
      </tp>
      <tp>
        <v>12759</v>
        <stp/>
        <stp>P</stp>
        <stp>0</stp>
        <stp>IDX</stp>
        <stp>QGS03P</stp>
        <stp>누적거래대금</stp>
        <stp>45539</stp>
        <stp>Fill=true,Per=월</stp>
        <tr r="I93" s="2"/>
      </tp>
      <tp>
        <v>763606</v>
        <stp/>
        <stp>P</stp>
        <stp>0</stp>
        <stp>IDX</stp>
        <stp>QGS13P</stp>
        <stp>누적거래대금</stp>
        <stp>45539</stp>
        <stp>Fill=true,Per=월</stp>
        <tr r="I77" s="2"/>
      </tp>
      <tp>
        <v>2741879</v>
        <stp/>
        <stp>P</stp>
        <stp>0</stp>
        <stp>IDX</stp>
        <stp>QGS33P</stp>
        <stp>누적거래대금</stp>
        <stp>45539</stp>
        <stp>Fill=true,Per=월</stp>
        <tr r="I65" s="2"/>
      </tp>
      <tp>
        <v>3232956</v>
        <stp/>
        <stp>P</stp>
        <stp>0</stp>
        <stp>IDX</stp>
        <stp>QGZ03P</stp>
        <stp>누적거래대금</stp>
        <stp>45539</stp>
        <stp>Fill=true,Per=월</stp>
        <tr r="I52" s="2"/>
      </tp>
      <tp t="s">
        <v/>
        <stp/>
        <stp>P</stp>
        <stp>0</stp>
        <stp>IDX</stp>
        <stp>FTX08T</stp>
        <stp>기관순매수금액</stp>
        <stp>45539</stp>
        <stp>Fill=true,Per=월</stp>
        <tr r="N326" s="2"/>
      </tp>
      <tp t="s">
        <v/>
        <stp/>
        <stp>P</stp>
        <stp>0</stp>
        <stp>IDX</stp>
        <stp>FTX06T</stp>
        <stp>기관순매수금액</stp>
        <stp>45539</stp>
        <stp>Fill=true,Per=월</stp>
        <tr r="N324" s="2"/>
      </tp>
      <tp t="s">
        <v/>
        <stp/>
        <stp>P</stp>
        <stp>0</stp>
        <stp>IDX</stp>
        <stp>FTX06T</stp>
        <stp>개인순매수금액</stp>
        <stp>45539</stp>
        <stp>Fill=true,Per=월</stp>
        <tr r="M324" s="2"/>
      </tp>
      <tp t="s">
        <v/>
        <stp/>
        <stp>P</stp>
        <stp>0</stp>
        <stp>IDX</stp>
        <stp>FTX08T</stp>
        <stp>개인순매수금액</stp>
        <stp>45539</stp>
        <stp>Fill=true,Per=월</stp>
        <tr r="M326" s="2"/>
      </tp>
      <tp t="s">
        <v/>
        <stp/>
        <stp>P</stp>
        <stp>0</stp>
        <stp>IDX</stp>
        <stp>FRX08P</stp>
        <stp>기관순매수금액</stp>
        <stp>45539</stp>
        <stp>Fill=true,Per=월</stp>
        <tr r="N308" s="2"/>
      </tp>
      <tp t="s">
        <v/>
        <stp/>
        <stp>P</stp>
        <stp>0</stp>
        <stp>IDX</stp>
        <stp>FRX09P</stp>
        <stp>기관순매수금액</stp>
        <stp>45539</stp>
        <stp>Fill=true,Per=월</stp>
        <tr r="N309" s="2"/>
      </tp>
      <tp t="s">
        <v/>
        <stp/>
        <stp>P</stp>
        <stp>0</stp>
        <stp>IDX</stp>
        <stp>FRX06P</stp>
        <stp>기관순매수금액</stp>
        <stp>45539</stp>
        <stp>Fill=true,Per=월</stp>
        <tr r="N306" s="2"/>
      </tp>
      <tp t="s">
        <v/>
        <stp/>
        <stp>P</stp>
        <stp>0</stp>
        <stp>IDX</stp>
        <stp>FRX07P</stp>
        <stp>기관순매수금액</stp>
        <stp>45539</stp>
        <stp>Fill=true,Per=월</stp>
        <tr r="N307" s="2"/>
      </tp>
      <tp t="s">
        <v/>
        <stp/>
        <stp>P</stp>
        <stp>0</stp>
        <stp>IDX</stp>
        <stp>FRX04P</stp>
        <stp>기관순매수금액</stp>
        <stp>45539</stp>
        <stp>Fill=true,Per=월</stp>
        <tr r="N304" s="2"/>
      </tp>
      <tp t="s">
        <v/>
        <stp/>
        <stp>P</stp>
        <stp>0</stp>
        <stp>IDX</stp>
        <stp>FRX05P</stp>
        <stp>기관순매수금액</stp>
        <stp>45539</stp>
        <stp>Fill=true,Per=월</stp>
        <tr r="N305" s="2"/>
      </tp>
      <tp t="s">
        <v/>
        <stp/>
        <stp>P</stp>
        <stp>0</stp>
        <stp>IDX</stp>
        <stp>FRX02P</stp>
        <stp>기관순매수금액</stp>
        <stp>45539</stp>
        <stp>Fill=true,Per=월</stp>
        <tr r="N302" s="2"/>
      </tp>
      <tp t="s">
        <v/>
        <stp/>
        <stp>P</stp>
        <stp>0</stp>
        <stp>IDX</stp>
        <stp>FRX03P</stp>
        <stp>기관순매수금액</stp>
        <stp>45539</stp>
        <stp>Fill=true,Per=월</stp>
        <tr r="N303" s="2"/>
      </tp>
      <tp t="s">
        <v/>
        <stp/>
        <stp>P</stp>
        <stp>0</stp>
        <stp>IDX</stp>
        <stp>FRX01P</stp>
        <stp>기관순매수금액</stp>
        <stp>45539</stp>
        <stp>Fill=true,Per=월</stp>
        <tr r="N301" s="2"/>
      </tp>
      <tp t="s">
        <v/>
        <stp/>
        <stp>P</stp>
        <stp>0</stp>
        <stp>IDX</stp>
        <stp>FRX12P</stp>
        <stp>기관순매수금액</stp>
        <stp>45539</stp>
        <stp>Fill=true,Per=월</stp>
        <tr r="N312" s="2"/>
      </tp>
      <tp t="s">
        <v/>
        <stp/>
        <stp>P</stp>
        <stp>0</stp>
        <stp>IDX</stp>
        <stp>FRX10P</stp>
        <stp>기관순매수금액</stp>
        <stp>45539</stp>
        <stp>Fill=true,Per=월</stp>
        <tr r="N310" s="2"/>
      </tp>
      <tp t="s">
        <v/>
        <stp/>
        <stp>P</stp>
        <stp>0</stp>
        <stp>IDX</stp>
        <stp>FRX11P</stp>
        <stp>기관순매수금액</stp>
        <stp>45539</stp>
        <stp>Fill=true,Per=월</stp>
        <tr r="N311" s="2"/>
      </tp>
      <tp t="s">
        <v/>
        <stp/>
        <stp>P</stp>
        <stp>0</stp>
        <stp>IDX</stp>
        <stp>FRX06P</stp>
        <stp>개인순매수금액</stp>
        <stp>45539</stp>
        <stp>Fill=true,Per=월</stp>
        <tr r="M306" s="2"/>
      </tp>
      <tp t="s">
        <v/>
        <stp/>
        <stp>P</stp>
        <stp>0</stp>
        <stp>IDX</stp>
        <stp>FRX07P</stp>
        <stp>개인순매수금액</stp>
        <stp>45539</stp>
        <stp>Fill=true,Per=월</stp>
        <tr r="M307" s="2"/>
      </tp>
      <tp t="s">
        <v/>
        <stp/>
        <stp>P</stp>
        <stp>0</stp>
        <stp>IDX</stp>
        <stp>FRX04P</stp>
        <stp>개인순매수금액</stp>
        <stp>45539</stp>
        <stp>Fill=true,Per=월</stp>
        <tr r="M304" s="2"/>
      </tp>
      <tp t="s">
        <v/>
        <stp/>
        <stp>P</stp>
        <stp>0</stp>
        <stp>IDX</stp>
        <stp>FRX05P</stp>
        <stp>개인순매수금액</stp>
        <stp>45539</stp>
        <stp>Fill=true,Per=월</stp>
        <tr r="M305" s="2"/>
      </tp>
      <tp t="s">
        <v/>
        <stp/>
        <stp>P</stp>
        <stp>0</stp>
        <stp>IDX</stp>
        <stp>FRX02P</stp>
        <stp>개인순매수금액</stp>
        <stp>45539</stp>
        <stp>Fill=true,Per=월</stp>
        <tr r="M302" s="2"/>
      </tp>
      <tp t="s">
        <v/>
        <stp/>
        <stp>P</stp>
        <stp>0</stp>
        <stp>IDX</stp>
        <stp>FRX03P</stp>
        <stp>개인순매수금액</stp>
        <stp>45539</stp>
        <stp>Fill=true,Per=월</stp>
        <tr r="M303" s="2"/>
      </tp>
      <tp t="s">
        <v/>
        <stp/>
        <stp>P</stp>
        <stp>0</stp>
        <stp>IDX</stp>
        <stp>FRX01P</stp>
        <stp>개인순매수금액</stp>
        <stp>45539</stp>
        <stp>Fill=true,Per=월</stp>
        <tr r="M301" s="2"/>
      </tp>
      <tp t="s">
        <v/>
        <stp/>
        <stp>P</stp>
        <stp>0</stp>
        <stp>IDX</stp>
        <stp>FRX08P</stp>
        <stp>개인순매수금액</stp>
        <stp>45539</stp>
        <stp>Fill=true,Per=월</stp>
        <tr r="M308" s="2"/>
      </tp>
      <tp t="s">
        <v/>
        <stp/>
        <stp>P</stp>
        <stp>0</stp>
        <stp>IDX</stp>
        <stp>FRX09P</stp>
        <stp>개인순매수금액</stp>
        <stp>45539</stp>
        <stp>Fill=true,Per=월</stp>
        <tr r="M309" s="2"/>
      </tp>
      <tp t="s">
        <v/>
        <stp/>
        <stp>P</stp>
        <stp>0</stp>
        <stp>IDX</stp>
        <stp>FRX12P</stp>
        <stp>개인순매수금액</stp>
        <stp>45539</stp>
        <stp>Fill=true,Per=월</stp>
        <tr r="M312" s="2"/>
      </tp>
      <tp t="s">
        <v/>
        <stp/>
        <stp>P</stp>
        <stp>0</stp>
        <stp>IDX</stp>
        <stp>FRX10P</stp>
        <stp>개인순매수금액</stp>
        <stp>45539</stp>
        <stp>Fill=true,Per=월</stp>
        <tr r="M310" s="2"/>
      </tp>
      <tp t="s">
        <v/>
        <stp/>
        <stp>P</stp>
        <stp>0</stp>
        <stp>IDX</stp>
        <stp>FRX11P</stp>
        <stp>개인순매수금액</stp>
        <stp>45539</stp>
        <stp>Fill=true,Per=월</stp>
        <tr r="M311" s="2"/>
      </tp>
      <tp t="s">
        <v/>
        <stp/>
        <stp>P</stp>
        <stp>0</stp>
        <stp>IDX</stp>
        <stp>FRG02P</stp>
        <stp>개인순매수금액</stp>
        <stp>45539</stp>
        <stp>Fill=true,Per=월</stp>
        <tr r="M299" s="2"/>
      </tp>
      <tp t="s">
        <v/>
        <stp/>
        <stp>P</stp>
        <stp>0</stp>
        <stp>IDX</stp>
        <stp>FRG03P</stp>
        <stp>개인순매수금액</stp>
        <stp>45539</stp>
        <stp>Fill=true,Per=월</stp>
        <tr r="M300" s="2"/>
      </tp>
      <tp t="s">
        <v/>
        <stp/>
        <stp>P</stp>
        <stp>0</stp>
        <stp>IDX</stp>
        <stp>FRG01P</stp>
        <stp>개인순매수금액</stp>
        <stp>45539</stp>
        <stp>Fill=true,Per=월</stp>
        <tr r="M210" s="2"/>
      </tp>
      <tp t="s">
        <v/>
        <stp/>
        <stp>P</stp>
        <stp>0</stp>
        <stp>IDX</stp>
        <stp>FRG02P</stp>
        <stp>기관순매수금액</stp>
        <stp>45539</stp>
        <stp>Fill=true,Per=월</stp>
        <tr r="N299" s="2"/>
      </tp>
      <tp t="s">
        <v/>
        <stp/>
        <stp>P</stp>
        <stp>0</stp>
        <stp>IDX</stp>
        <stp>FRG03P</stp>
        <stp>기관순매수금액</stp>
        <stp>45539</stp>
        <stp>Fill=true,Per=월</stp>
        <tr r="N300" s="2"/>
      </tp>
      <tp t="s">
        <v/>
        <stp/>
        <stp>P</stp>
        <stp>0</stp>
        <stp>IDX</stp>
        <stp>FRG01P</stp>
        <stp>기관순매수금액</stp>
        <stp>45539</stp>
        <stp>Fill=true,Per=월</stp>
        <tr r="N210" s="2"/>
      </tp>
      <tp t="s">
        <v/>
        <stp/>
        <stp>P</stp>
        <stp>0</stp>
        <stp>IDX</stp>
        <stp>FTX07P</stp>
        <stp>기관순매수금액</stp>
        <stp>45539</stp>
        <stp>Fill=true,Per=월</stp>
        <tr r="N325" s="2"/>
      </tp>
      <tp t="s">
        <v/>
        <stp/>
        <stp>P</stp>
        <stp>0</stp>
        <stp>IDX</stp>
        <stp>FTX04P</stp>
        <stp>기관순매수금액</stp>
        <stp>45539</stp>
        <stp>Fill=true,Per=월</stp>
        <tr r="N322" s="2"/>
      </tp>
      <tp t="s">
        <v/>
        <stp/>
        <stp>P</stp>
        <stp>0</stp>
        <stp>IDX</stp>
        <stp>FTX05P</stp>
        <stp>기관순매수금액</stp>
        <stp>45539</stp>
        <stp>Fill=true,Per=월</stp>
        <tr r="N323" s="2"/>
      </tp>
      <tp t="s">
        <v/>
        <stp/>
        <stp>P</stp>
        <stp>0</stp>
        <stp>IDX</stp>
        <stp>FTX02P</stp>
        <stp>기관순매수금액</stp>
        <stp>45539</stp>
        <stp>Fill=true,Per=월</stp>
        <tr r="N320" s="2"/>
      </tp>
      <tp t="s">
        <v/>
        <stp/>
        <stp>P</stp>
        <stp>0</stp>
        <stp>IDX</stp>
        <stp>FTX03P</stp>
        <stp>기관순매수금액</stp>
        <stp>45539</stp>
        <stp>Fill=true,Per=월</stp>
        <tr r="N321" s="2"/>
      </tp>
      <tp t="s">
        <v/>
        <stp/>
        <stp>P</stp>
        <stp>0</stp>
        <stp>IDX</stp>
        <stp>FTX01P</stp>
        <stp>기관순매수금액</stp>
        <stp>45539</stp>
        <stp>Fill=true,Per=월</stp>
        <tr r="N319" s="2"/>
      </tp>
      <tp t="s">
        <v/>
        <stp/>
        <stp>P</stp>
        <stp>0</stp>
        <stp>IDX</stp>
        <stp>FTX10P</stp>
        <stp>기관순매수금액</stp>
        <stp>45539</stp>
        <stp>Fill=true,Per=월</stp>
        <tr r="N327" s="2"/>
      </tp>
      <tp t="s">
        <v/>
        <stp/>
        <stp>P</stp>
        <stp>0</stp>
        <stp>IDX</stp>
        <stp>FTX11P</stp>
        <stp>기관순매수금액</stp>
        <stp>45539</stp>
        <stp>Fill=true,Per=월</stp>
        <tr r="N328" s="2"/>
      </tp>
      <tp t="s">
        <v/>
        <stp/>
        <stp>P</stp>
        <stp>0</stp>
        <stp>IDX</stp>
        <stp>FTX07P</stp>
        <stp>개인순매수금액</stp>
        <stp>45539</stp>
        <stp>Fill=true,Per=월</stp>
        <tr r="M325" s="2"/>
      </tp>
      <tp t="s">
        <v/>
        <stp/>
        <stp>P</stp>
        <stp>0</stp>
        <stp>IDX</stp>
        <stp>FTX04P</stp>
        <stp>개인순매수금액</stp>
        <stp>45539</stp>
        <stp>Fill=true,Per=월</stp>
        <tr r="M322" s="2"/>
      </tp>
      <tp t="s">
        <v/>
        <stp/>
        <stp>P</stp>
        <stp>0</stp>
        <stp>IDX</stp>
        <stp>FTX05P</stp>
        <stp>개인순매수금액</stp>
        <stp>45539</stp>
        <stp>Fill=true,Per=월</stp>
        <tr r="M323" s="2"/>
      </tp>
      <tp t="s">
        <v/>
        <stp/>
        <stp>P</stp>
        <stp>0</stp>
        <stp>IDX</stp>
        <stp>FTX02P</stp>
        <stp>개인순매수금액</stp>
        <stp>45539</stp>
        <stp>Fill=true,Per=월</stp>
        <tr r="M320" s="2"/>
      </tp>
      <tp t="s">
        <v/>
        <stp/>
        <stp>P</stp>
        <stp>0</stp>
        <stp>IDX</stp>
        <stp>FTX03P</stp>
        <stp>개인순매수금액</stp>
        <stp>45539</stp>
        <stp>Fill=true,Per=월</stp>
        <tr r="M321" s="2"/>
      </tp>
      <tp t="s">
        <v/>
        <stp/>
        <stp>P</stp>
        <stp>0</stp>
        <stp>IDX</stp>
        <stp>FTX01P</stp>
        <stp>개인순매수금액</stp>
        <stp>45539</stp>
        <stp>Fill=true,Per=월</stp>
        <tr r="M319" s="2"/>
      </tp>
      <tp t="s">
        <v/>
        <stp/>
        <stp>P</stp>
        <stp>0</stp>
        <stp>IDX</stp>
        <stp>FTX10P</stp>
        <stp>개인순매수금액</stp>
        <stp>45539</stp>
        <stp>Fill=true,Per=월</stp>
        <tr r="M327" s="2"/>
      </tp>
      <tp t="s">
        <v/>
        <stp/>
        <stp>P</stp>
        <stp>0</stp>
        <stp>IDX</stp>
        <stp>FTX11P</stp>
        <stp>개인순매수금액</stp>
        <stp>45539</stp>
        <stp>Fill=true,Per=월</stp>
        <tr r="M328" s="2"/>
      </tp>
      <tp t="s">
        <v/>
        <stp/>
        <stp>P</stp>
        <stp>0</stp>
        <stp>IDX</stp>
        <stp>FTA02P</stp>
        <stp>기관순매수금액</stp>
        <stp>45539</stp>
        <stp>Fill=true,Per=월</stp>
        <tr r="N316" s="2"/>
      </tp>
      <tp t="s">
        <v/>
        <stp/>
        <stp>P</stp>
        <stp>0</stp>
        <stp>IDX</stp>
        <stp>FTA01P</stp>
        <stp>기관순매수금액</stp>
        <stp>45539</stp>
        <stp>Fill=true,Per=월</stp>
        <tr r="N315" s="2"/>
      </tp>
      <tp t="s">
        <v/>
        <stp/>
        <stp>P</stp>
        <stp>0</stp>
        <stp>IDX</stp>
        <stp>FTA02P</stp>
        <stp>개인순매수금액</stp>
        <stp>45539</stp>
        <stp>Fill=true,Per=월</stp>
        <tr r="M316" s="2"/>
      </tp>
      <tp t="s">
        <v/>
        <stp/>
        <stp>P</stp>
        <stp>0</stp>
        <stp>IDX</stp>
        <stp>FTA01P</stp>
        <stp>개인순매수금액</stp>
        <stp>45539</stp>
        <stp>Fill=true,Per=월</stp>
        <tr r="M315" s="2"/>
      </tp>
      <tp t="s">
        <v/>
        <stp/>
        <stp>P</stp>
        <stp>0</stp>
        <stp>IDX</stp>
        <stp>FTG02P</stp>
        <stp>개인순매수금액</stp>
        <stp>45539</stp>
        <stp>Fill=true,Per=월</stp>
        <tr r="M318" s="2"/>
      </tp>
      <tp t="s">
        <v/>
        <stp/>
        <stp>P</stp>
        <stp>0</stp>
        <stp>IDX</stp>
        <stp>FTG01P</stp>
        <stp>개인순매수금액</stp>
        <stp>45539</stp>
        <stp>Fill=true,Per=월</stp>
        <tr r="M317" s="2"/>
      </tp>
      <tp t="s">
        <v/>
        <stp/>
        <stp>P</stp>
        <stp>0</stp>
        <stp>IDX</stp>
        <stp>FTG02P</stp>
        <stp>기관순매수금액</stp>
        <stp>45539</stp>
        <stp>Fill=true,Per=월</stp>
        <tr r="N318" s="2"/>
      </tp>
      <tp t="s">
        <v/>
        <stp/>
        <stp>P</stp>
        <stp>0</stp>
        <stp>IDX</stp>
        <stp>FTG01P</stp>
        <stp>기관순매수금액</stp>
        <stp>45539</stp>
        <stp>Fill=true,Per=월</stp>
        <tr r="N317" s="2"/>
      </tp>
      <tp t="s">
        <v/>
        <stp/>
        <stp>P</stp>
        <stp>0</stp>
        <stp>IDX</stp>
        <stp>FT904P</stp>
        <stp>기관순매수금액</stp>
        <stp>45539</stp>
        <stp>Fill=true,Per=월</stp>
        <tr r="N314" s="2"/>
      </tp>
      <tp t="s">
        <v/>
        <stp/>
        <stp>P</stp>
        <stp>0</stp>
        <stp>IDX</stp>
        <stp>FT901P</stp>
        <stp>기관순매수금액</stp>
        <stp>45539</stp>
        <stp>Fill=true,Per=월</stp>
        <tr r="N313" s="2"/>
      </tp>
      <tp t="s">
        <v/>
        <stp/>
        <stp>P</stp>
        <stp>0</stp>
        <stp>IDX</stp>
        <stp>FT904P</stp>
        <stp>개인순매수금액</stp>
        <stp>45539</stp>
        <stp>Fill=true,Per=월</stp>
        <tr r="M314" s="2"/>
      </tp>
      <tp t="s">
        <v/>
        <stp/>
        <stp>P</stp>
        <stp>0</stp>
        <stp>IDX</stp>
        <stp>FT901P</stp>
        <stp>개인순매수금액</stp>
        <stp>45539</stp>
        <stp>Fill=true,Per=월</stp>
        <tr r="M313" s="2"/>
      </tp>
      <tp t="s">
        <v/>
        <stp/>
        <stp>P</stp>
        <stp>0</stp>
        <stp>IDX</stp>
        <stp>FRG01T</stp>
        <stp>개인순매수금액</stp>
        <stp>45539</stp>
        <stp>Fill=true,Per=월</stp>
        <tr r="M297" s="2"/>
      </tp>
      <tp t="s">
        <v/>
        <stp/>
        <stp>P</stp>
        <stp>0</stp>
        <stp>IDX</stp>
        <stp>FRG01T</stp>
        <stp>기관순매수금액</stp>
        <stp>45539</stp>
        <stp>Fill=true,Per=월</stp>
        <tr r="N297" s="2"/>
      </tp>
      <tp t="s">
        <v/>
        <stp/>
        <stp>P</stp>
        <stp>0</stp>
        <stp>IDX</stp>
        <stp>FGX04T</stp>
        <stp>기관순매수금액</stp>
        <stp>45539</stp>
        <stp>Fill=true,Per=월</stp>
        <tr r="N296" s="2"/>
      </tp>
      <tp t="s">
        <v/>
        <stp/>
        <stp>P</stp>
        <stp>0</stp>
        <stp>IDX</stp>
        <stp>FGX02T</stp>
        <stp>기관순매수금액</stp>
        <stp>45539</stp>
        <stp>Fill=true,Per=월</stp>
        <tr r="N294" s="2"/>
      </tp>
      <tp t="s">
        <v/>
        <stp/>
        <stp>P</stp>
        <stp>0</stp>
        <stp>IDX</stp>
        <stp>FGX03T</stp>
        <stp>기관순매수금액</stp>
        <stp>45539</stp>
        <stp>Fill=true,Per=월</stp>
        <tr r="N295" s="2"/>
      </tp>
      <tp t="s">
        <v/>
        <stp/>
        <stp>P</stp>
        <stp>0</stp>
        <stp>IDX</stp>
        <stp>FGX01T</stp>
        <stp>기관순매수금액</stp>
        <stp>45539</stp>
        <stp>Fill=true,Per=월</stp>
        <tr r="N293" s="2"/>
      </tp>
      <tp t="s">
        <v/>
        <stp/>
        <stp>P</stp>
        <stp>0</stp>
        <stp>IDX</stp>
        <stp>FGX04T</stp>
        <stp>개인순매수금액</stp>
        <stp>45539</stp>
        <stp>Fill=true,Per=월</stp>
        <tr r="M296" s="2"/>
      </tp>
      <tp t="s">
        <v/>
        <stp/>
        <stp>P</stp>
        <stp>0</stp>
        <stp>IDX</stp>
        <stp>FGX02T</stp>
        <stp>개인순매수금액</stp>
        <stp>45539</stp>
        <stp>Fill=true,Per=월</stp>
        <tr r="M294" s="2"/>
      </tp>
      <tp t="s">
        <v/>
        <stp/>
        <stp>P</stp>
        <stp>0</stp>
        <stp>IDX</stp>
        <stp>FGX03T</stp>
        <stp>개인순매수금액</stp>
        <stp>45539</stp>
        <stp>Fill=true,Per=월</stp>
        <tr r="M295" s="2"/>
      </tp>
      <tp t="s">
        <v/>
        <stp/>
        <stp>P</stp>
        <stp>0</stp>
        <stp>IDX</stp>
        <stp>FGX01T</stp>
        <stp>개인순매수금액</stp>
        <stp>45539</stp>
        <stp>Fill=true,Per=월</stp>
        <tr r="M293" s="2"/>
      </tp>
      <tp t="s">
        <v/>
        <stp/>
        <stp>P</stp>
        <stp>0</stp>
        <stp>IDX</stp>
        <stp>XGT06T</stp>
        <stp>기관순매수금액</stp>
        <stp>45539</stp>
        <stp>Fill=true,Per=월</stp>
        <tr r="N148" s="2"/>
      </tp>
      <tp t="s">
        <v/>
        <stp/>
        <stp>P</stp>
        <stp>0</stp>
        <stp>IDX</stp>
        <stp>XGT08T</stp>
        <stp>기관순매수금액</stp>
        <stp>45539</stp>
        <stp>Fill=true,Per=월</stp>
        <tr r="N145" s="2"/>
      </tp>
      <tp t="s">
        <v/>
        <stp/>
        <stp>P</stp>
        <stp>0</stp>
        <stp>IDX</stp>
        <stp>XGT10T</stp>
        <stp>기관순매수금액</stp>
        <stp>45539</stp>
        <stp>Fill=true,Per=월</stp>
        <tr r="N142" s="2"/>
      </tp>
      <tp t="s">
        <v/>
        <stp/>
        <stp>P</stp>
        <stp>0</stp>
        <stp>IDX</stp>
        <stp>XGT08T</stp>
        <stp>개인순매수금액</stp>
        <stp>45539</stp>
        <stp>Fill=true,Per=월</stp>
        <tr r="M145" s="2"/>
      </tp>
      <tp t="s">
        <v/>
        <stp/>
        <stp>P</stp>
        <stp>0</stp>
        <stp>IDX</stp>
        <stp>XGT06T</stp>
        <stp>개인순매수금액</stp>
        <stp>45539</stp>
        <stp>Fill=true,Per=월</stp>
        <tr r="M148" s="2"/>
      </tp>
      <tp t="s">
        <v/>
        <stp/>
        <stp>P</stp>
        <stp>0</stp>
        <stp>IDX</stp>
        <stp>XGT10T</stp>
        <stp>개인순매수금액</stp>
        <stp>45539</stp>
        <stp>Fill=true,Per=월</stp>
        <tr r="M142" s="2"/>
      </tp>
      <tp t="s">
        <v/>
        <stp/>
        <stp>P</stp>
        <stp>0</stp>
        <stp>IDX</stp>
        <stp>FGA04T</stp>
        <stp>기관순매수금액</stp>
        <stp>45539</stp>
        <stp>Fill=true,Per=월</stp>
        <tr r="N288" s="2"/>
      </tp>
      <tp t="s">
        <v/>
        <stp/>
        <stp>P</stp>
        <stp>0</stp>
        <stp>IDX</stp>
        <stp>FGA03T</stp>
        <stp>기관순매수금액</stp>
        <stp>45539</stp>
        <stp>Fill=true,Per=월</stp>
        <tr r="N287" s="2"/>
      </tp>
      <tp t="s">
        <v/>
        <stp/>
        <stp>P</stp>
        <stp>0</stp>
        <stp>IDX</stp>
        <stp>MGA16T</stp>
        <stp>기관순매수금액</stp>
        <stp>45539</stp>
        <stp>Fill=true,Per=월</stp>
        <tr r="N106" s="2"/>
      </tp>
      <tp t="s">
        <v/>
        <stp/>
        <stp>P</stp>
        <stp>0</stp>
        <stp>IDX</stp>
        <stp>MGA13T</stp>
        <stp>기관순매수금액</stp>
        <stp>45539</stp>
        <stp>Fill=true,Per=월</stp>
        <tr r="N99" s="2"/>
      </tp>
      <tp t="s">
        <v/>
        <stp/>
        <stp>P</stp>
        <stp>0</stp>
        <stp>IDX</stp>
        <stp>FGA04T</stp>
        <stp>개인순매수금액</stp>
        <stp>45539</stp>
        <stp>Fill=true,Per=월</stp>
        <tr r="M288" s="2"/>
      </tp>
      <tp t="s">
        <v/>
        <stp/>
        <stp>P</stp>
        <stp>0</stp>
        <stp>IDX</stp>
        <stp>FGA03T</stp>
        <stp>개인순매수금액</stp>
        <stp>45539</stp>
        <stp>Fill=true,Per=월</stp>
        <tr r="M287" s="2"/>
      </tp>
      <tp t="s">
        <v/>
        <stp/>
        <stp>P</stp>
        <stp>0</stp>
        <stp>IDX</stp>
        <stp>MGA16T</stp>
        <stp>개인순매수금액</stp>
        <stp>45539</stp>
        <stp>Fill=true,Per=월</stp>
        <tr r="M106" s="2"/>
      </tp>
      <tp t="s">
        <v/>
        <stp/>
        <stp>P</stp>
        <stp>0</stp>
        <stp>IDX</stp>
        <stp>MGA13T</stp>
        <stp>개인순매수금액</stp>
        <stp>45539</stp>
        <stp>Fill=true,Per=월</stp>
        <tr r="M99" s="2"/>
      </tp>
      <tp t="s">
        <v/>
        <stp/>
        <stp>P</stp>
        <stp>0</stp>
        <stp>IDX</stp>
        <stp>KGD03T</stp>
        <stp>기관순매수금액</stp>
        <stp>45539</stp>
        <stp>Fill=true,Per=월</stp>
        <tr r="N115" s="2"/>
      </tp>
      <tp t="s">
        <v/>
        <stp/>
        <stp>P</stp>
        <stp>0</stp>
        <stp>IDX</stp>
        <stp>KGD02T</stp>
        <stp>기관순매수금액</stp>
        <stp>45539</stp>
        <stp>Fill=true,Per=월</stp>
        <tr r="N113" s="2"/>
      </tp>
      <tp t="s">
        <v/>
        <stp/>
        <stp>P</stp>
        <stp>0</stp>
        <stp>IDX</stp>
        <stp>KGG01T</stp>
        <stp>개인순매수금액</stp>
        <stp>45539</stp>
        <stp>Fill=true,Per=월</stp>
        <tr r="M116" s="2"/>
      </tp>
      <tp t="s">
        <v/>
        <stp/>
        <stp>P</stp>
        <stp>0</stp>
        <stp>IDX</stp>
        <stp>QGG01T</stp>
        <stp>개인순매수금액</stp>
        <stp>45539</stp>
        <stp>Fill=true,Per=월</stp>
        <tr r="M128" s="2"/>
      </tp>
      <tp t="s">
        <v/>
        <stp/>
        <stp>P</stp>
        <stp>0</stp>
        <stp>IDX</stp>
        <stp>KGD03T</stp>
        <stp>개인순매수금액</stp>
        <stp>45539</stp>
        <stp>Fill=true,Per=월</stp>
        <tr r="M115" s="2"/>
      </tp>
      <tp t="s">
        <v/>
        <stp/>
        <stp>P</stp>
        <stp>0</stp>
        <stp>IDX</stp>
        <stp>KGD02T</stp>
        <stp>개인순매수금액</stp>
        <stp>45539</stp>
        <stp>Fill=true,Per=월</stp>
        <tr r="M113" s="2"/>
      </tp>
      <tp t="s">
        <v/>
        <stp/>
        <stp>P</stp>
        <stp>0</stp>
        <stp>IDX</stp>
        <stp>QGG01T</stp>
        <stp>기관순매수금액</stp>
        <stp>45539</stp>
        <stp>Fill=true,Per=월</stp>
        <tr r="N128" s="2"/>
      </tp>
      <tp t="s">
        <v/>
        <stp/>
        <stp>P</stp>
        <stp>0</stp>
        <stp>IDX</stp>
        <stp>KGG01T</stp>
        <stp>기관순매수금액</stp>
        <stp>45539</stp>
        <stp>Fill=true,Per=월</stp>
        <tr r="N116" s="2"/>
      </tp>
      <tp>
        <v>3183</v>
        <stp/>
        <stp>P</stp>
        <stp>0</stp>
        <stp>IDX</stp>
        <stp>KGZ03P</stp>
        <stp>개인순매수금액</stp>
        <stp>45539</stp>
        <stp>Fill=true,Per=월</stp>
        <tr r="M57" s="2"/>
      </tp>
      <tp>
        <v>25782</v>
        <stp/>
        <stp>P</stp>
        <stp>0</stp>
        <stp>IDX</stp>
        <stp>KGZ02P</stp>
        <stp>개인순매수금액</stp>
        <stp>45539</stp>
        <stp>Fill=true,Per=월</stp>
        <tr r="M30" s="2"/>
      </tp>
      <tp>
        <v>615148</v>
        <stp/>
        <stp>P</stp>
        <stp>0</stp>
        <stp>IDX</stp>
        <stp>KGZ01P</stp>
        <stp>개인순매수금액</stp>
        <stp>45539</stp>
        <stp>Fill=true,Per=월</stp>
        <tr r="M16" s="2"/>
      </tp>
      <tp>
        <v>138694</v>
        <stp/>
        <stp>P</stp>
        <stp>0</stp>
        <stp>IDX</stp>
        <stp>QGZ01P</stp>
        <stp>개인순매수금액</stp>
        <stp>45539</stp>
        <stp>Fill=true,Per=월</stp>
        <tr r="M41" s="2"/>
      </tp>
      <tp>
        <v>41259</v>
        <stp/>
        <stp>P</stp>
        <stp>0</stp>
        <stp>IDX</stp>
        <stp>QGZ03P</stp>
        <stp>개인순매수금액</stp>
        <stp>45539</stp>
        <stp>Fill=true,Per=월</stp>
        <tr r="M52" s="2"/>
      </tp>
      <tp>
        <v>56750</v>
        <stp/>
        <stp>P</stp>
        <stp>0</stp>
        <stp>IDX</stp>
        <stp>QGZ02P</stp>
        <stp>개인순매수금액</stp>
        <stp>45539</stp>
        <stp>Fill=true,Per=월</stp>
        <tr r="M53" s="2"/>
      </tp>
      <tp t="s">
        <v/>
        <stp/>
        <stp>P</stp>
        <stp>0</stp>
        <stp>IDX</stp>
        <stp>XGX01P</stp>
        <stp>기관순매수금액</stp>
        <stp>45539</stp>
        <stp>Fill=true,Per=월</stp>
        <tr r="N134" s="2"/>
      </tp>
      <tp t="s">
        <v/>
        <stp/>
        <stp>P</stp>
        <stp>0</stp>
        <stp>IDX</stp>
        <stp>XGX02P</stp>
        <stp>기관순매수금액</stp>
        <stp>45539</stp>
        <stp>Fill=true,Per=월</stp>
        <tr r="N133" s="2"/>
      </tp>
      <tp t="s">
        <v/>
        <stp/>
        <stp>P</stp>
        <stp>0</stp>
        <stp>IDX</stp>
        <stp>XGX03P</stp>
        <stp>기관순매수금액</stp>
        <stp>45539</stp>
        <stp>Fill=true,Per=월</stp>
        <tr r="N132" s="2"/>
      </tp>
      <tp t="s">
        <v/>
        <stp/>
        <stp>P</stp>
        <stp>0</stp>
        <stp>IDX</stp>
        <stp>XGX04P</stp>
        <stp>기관순매수금액</stp>
        <stp>45539</stp>
        <stp>Fill=true,Per=월</stp>
        <tr r="N131" s="2"/>
      </tp>
      <tp t="s">
        <v/>
        <stp/>
        <stp>P</stp>
        <stp>0</stp>
        <stp>IDX</stp>
        <stp>XGX05P</stp>
        <stp>기관순매수금액</stp>
        <stp>45539</stp>
        <stp>Fill=true,Per=월</stp>
        <tr r="N130" s="2"/>
      </tp>
      <tp t="s">
        <v/>
        <stp/>
        <stp>P</stp>
        <stp>0</stp>
        <stp>IDX</stp>
        <stp>TGX01P</stp>
        <stp>기관순매수금액</stp>
        <stp>45539</stp>
        <stp>Fill=true,Per=월</stp>
        <tr r="N192" s="2"/>
      </tp>
      <tp t="s">
        <v/>
        <stp/>
        <stp>P</stp>
        <stp>0</stp>
        <stp>IDX</stp>
        <stp>KGX01P</stp>
        <stp>기관순매수금액</stp>
        <stp>45539</stp>
        <stp>Fill=true,Per=월</stp>
        <tr r="N118" s="2"/>
      </tp>
      <tp t="s">
        <v/>
        <stp/>
        <stp>P</stp>
        <stp>0</stp>
        <stp>IDX</stp>
        <stp>KGX01P</stp>
        <stp>개인순매수금액</stp>
        <stp>45539</stp>
        <stp>Fill=true,Per=월</stp>
        <tr r="M118" s="2"/>
      </tp>
      <tp t="s">
        <v/>
        <stp/>
        <stp>P</stp>
        <stp>0</stp>
        <stp>IDX</stp>
        <stp>TGX01P</stp>
        <stp>개인순매수금액</stp>
        <stp>45539</stp>
        <stp>Fill=true,Per=월</stp>
        <tr r="M192" s="2"/>
      </tp>
      <tp t="s">
        <v/>
        <stp/>
        <stp>P</stp>
        <stp>0</stp>
        <stp>IDX</stp>
        <stp>XGX01P</stp>
        <stp>개인순매수금액</stp>
        <stp>45539</stp>
        <stp>Fill=true,Per=월</stp>
        <tr r="M134" s="2"/>
      </tp>
      <tp t="s">
        <v/>
        <stp/>
        <stp>P</stp>
        <stp>0</stp>
        <stp>IDX</stp>
        <stp>XGX02P</stp>
        <stp>개인순매수금액</stp>
        <stp>45539</stp>
        <stp>Fill=true,Per=월</stp>
        <tr r="M133" s="2"/>
      </tp>
      <tp t="s">
        <v/>
        <stp/>
        <stp>P</stp>
        <stp>0</stp>
        <stp>IDX</stp>
        <stp>XGX03P</stp>
        <stp>개인순매수금액</stp>
        <stp>45539</stp>
        <stp>Fill=true,Per=월</stp>
        <tr r="M132" s="2"/>
      </tp>
      <tp t="s">
        <v/>
        <stp/>
        <stp>P</stp>
        <stp>0</stp>
        <stp>IDX</stp>
        <stp>XGX04P</stp>
        <stp>개인순매수금액</stp>
        <stp>45539</stp>
        <stp>Fill=true,Per=월</stp>
        <tr r="M131" s="2"/>
      </tp>
      <tp t="s">
        <v/>
        <stp/>
        <stp>P</stp>
        <stp>0</stp>
        <stp>IDX</stp>
        <stp>XGX05P</stp>
        <stp>개인순매수금액</stp>
        <stp>45539</stp>
        <stp>Fill=true,Per=월</stp>
        <tr r="M130" s="2"/>
      </tp>
      <tp>
        <v>-109459</v>
        <stp/>
        <stp>P</stp>
        <stp>0</stp>
        <stp>IDX</stp>
        <stp>QGZ01P</stp>
        <stp>기관순매수금액</stp>
        <stp>45539</stp>
        <stp>Fill=true,Per=월</stp>
        <tr r="N41" s="2"/>
      </tp>
      <tp>
        <v>-1561</v>
        <stp/>
        <stp>P</stp>
        <stp>0</stp>
        <stp>IDX</stp>
        <stp>QGZ03P</stp>
        <stp>기관순매수금액</stp>
        <stp>45539</stp>
        <stp>Fill=true,Per=월</stp>
        <tr r="N52" s="2"/>
      </tp>
      <tp>
        <v>-19543</v>
        <stp/>
        <stp>P</stp>
        <stp>0</stp>
        <stp>IDX</stp>
        <stp>QGZ02P</stp>
        <stp>기관순매수금액</stp>
        <stp>45539</stp>
        <stp>Fill=true,Per=월</stp>
        <tr r="N53" s="2"/>
      </tp>
      <tp>
        <v>3009</v>
        <stp/>
        <stp>P</stp>
        <stp>0</stp>
        <stp>IDX</stp>
        <stp>KGZ03P</stp>
        <stp>기관순매수금액</stp>
        <stp>45539</stp>
        <stp>Fill=true,Per=월</stp>
        <tr r="N57" s="2"/>
      </tp>
      <tp>
        <v>-82513</v>
        <stp/>
        <stp>P</stp>
        <stp>0</stp>
        <stp>IDX</stp>
        <stp>KGZ02P</stp>
        <stp>기관순매수금액</stp>
        <stp>45539</stp>
        <stp>Fill=true,Per=월</stp>
        <tr r="N30" s="2"/>
      </tp>
      <tp>
        <v>-561454</v>
        <stp/>
        <stp>P</stp>
        <stp>0</stp>
        <stp>IDX</stp>
        <stp>KGZ01P</stp>
        <stp>기관순매수금액</stp>
        <stp>45539</stp>
        <stp>Fill=true,Per=월</stp>
        <tr r="N16" s="2"/>
      </tp>
      <tp>
        <v>37462</v>
        <stp/>
        <stp>P</stp>
        <stp>0</stp>
        <stp>IDX</stp>
        <stp>KGS22P</stp>
        <stp>개인순매수금액</stp>
        <stp>45539</stp>
        <stp>Fill=true,Per=월</stp>
        <tr r="M44" s="2"/>
      </tp>
      <tp>
        <v>-33214</v>
        <stp/>
        <stp>P</stp>
        <stp>0</stp>
        <stp>IDX</stp>
        <stp>KGS21P</stp>
        <stp>개인순매수금액</stp>
        <stp>45539</stp>
        <stp>Fill=true,Per=월</stp>
        <tr r="M78" s="2"/>
      </tp>
      <tp>
        <v>198</v>
        <stp/>
        <stp>P</stp>
        <stp>0</stp>
        <stp>IDX</stp>
        <stp>KGS20P</stp>
        <stp>개인순매수금액</stp>
        <stp>45539</stp>
        <stp>Fill=true,Per=월</stp>
        <tr r="M81" s="2"/>
      </tp>
      <tp>
        <v>216</v>
        <stp/>
        <stp>P</stp>
        <stp>0</stp>
        <stp>IDX</stp>
        <stp>QGS20P</stp>
        <stp>개인순매수금액</stp>
        <stp>45539</stp>
        <stp>Fill=true,Per=월</stp>
        <tr r="M97" s="2"/>
      </tp>
      <tp>
        <v>87</v>
        <stp/>
        <stp>P</stp>
        <stp>0</stp>
        <stp>IDX</stp>
        <stp>QGS31P</stp>
        <stp>개인순매수금액</stp>
        <stp>45539</stp>
        <stp>Fill=true,Per=월</stp>
        <tr r="M98" s="2"/>
      </tp>
      <tp>
        <v>158820</v>
        <stp/>
        <stp>P</stp>
        <stp>0</stp>
        <stp>IDX</stp>
        <stp>QGS33P</stp>
        <stp>개인순매수금액</stp>
        <stp>45539</stp>
        <stp>Fill=true,Per=월</stp>
        <tr r="M65" s="2"/>
      </tp>
      <tp>
        <v>7729</v>
        <stp/>
        <stp>P</stp>
        <stp>0</stp>
        <stp>IDX</stp>
        <stp>QGS34P</stp>
        <stp>개인순매수금액</stp>
        <stp>45539</stp>
        <stp>Fill=true,Per=월</stp>
        <tr r="M85" s="2"/>
      </tp>
      <tp>
        <v>565925</v>
        <stp/>
        <stp>P</stp>
        <stp>0</stp>
        <stp>IDX</stp>
        <stp>KGS09P</stp>
        <stp>개인순매수금액</stp>
        <stp>45539</stp>
        <stp>Fill=true,Per=월</stp>
        <tr r="M22" s="2"/>
      </tp>
      <tp>
        <v>11304</v>
        <stp/>
        <stp>P</stp>
        <stp>0</stp>
        <stp>IDX</stp>
        <stp>KGS08P</stp>
        <stp>개인순매수금액</stp>
        <stp>45539</stp>
        <stp>Fill=true,Per=월</stp>
        <tr r="M66" s="2"/>
      </tp>
      <tp t="s">
        <v/>
        <stp/>
        <stp>P</stp>
        <stp>0</stp>
        <stp>IDX</stp>
        <stp>GGS01P</stp>
        <stp>개인순매수금액</stp>
        <stp>45539</stp>
        <stp>Fill=true,Per=월</stp>
        <tr r="M339" s="2"/>
      </tp>
      <tp>
        <v>-197</v>
        <stp/>
        <stp>P</stp>
        <stp>0</stp>
        <stp>IDX</stp>
        <stp>KGS03P</stp>
        <stp>개인순매수금액</stp>
        <stp>45539</stp>
        <stp>Fill=true,Per=월</stp>
        <tr r="M94" s="2"/>
      </tp>
      <tp>
        <v>-266</v>
        <stp/>
        <stp>P</stp>
        <stp>0</stp>
        <stp>IDX</stp>
        <stp>KGS02P</stp>
        <stp>개인순매수금액</stp>
        <stp>45539</stp>
        <stp>Fill=true,Per=월</stp>
        <tr r="M88" s="2"/>
      </tp>
      <tp>
        <v>8907</v>
        <stp/>
        <stp>P</stp>
        <stp>0</stp>
        <stp>IDX</stp>
        <stp>KGS01P</stp>
        <stp>개인순매수금액</stp>
        <stp>45539</stp>
        <stp>Fill=true,Per=월</stp>
        <tr r="M75" s="2"/>
      </tp>
      <tp>
        <v>-94110</v>
        <stp/>
        <stp>P</stp>
        <stp>0</stp>
        <stp>IDX</stp>
        <stp>KGS07P</stp>
        <stp>개인순매수금액</stp>
        <stp>45539</stp>
        <stp>Fill=true,Per=월</stp>
        <tr r="M64" s="2"/>
      </tp>
      <tp>
        <v>1080</v>
        <stp/>
        <stp>P</stp>
        <stp>0</stp>
        <stp>IDX</stp>
        <stp>KGS06P</stp>
        <stp>개인순매수금액</stp>
        <stp>45539</stp>
        <stp>Fill=true,Per=월</stp>
        <tr r="M89" s="2"/>
      </tp>
      <tp>
        <v>160764</v>
        <stp/>
        <stp>P</stp>
        <stp>0</stp>
        <stp>IDX</stp>
        <stp>KGS05P</stp>
        <stp>개인순매수금액</stp>
        <stp>45539</stp>
        <stp>Fill=true,Per=월</stp>
        <tr r="M49" s="2"/>
      </tp>
      <tp>
        <v>-70889</v>
        <stp/>
        <stp>P</stp>
        <stp>0</stp>
        <stp>IDX</stp>
        <stp>KGS04P</stp>
        <stp>개인순매수금액</stp>
        <stp>45539</stp>
        <stp>Fill=true,Per=월</stp>
        <tr r="M46" s="2"/>
      </tp>
      <tp>
        <v>22056</v>
        <stp/>
        <stp>P</stp>
        <stp>0</stp>
        <stp>IDX</stp>
        <stp>QGS01P</stp>
        <stp>개인순매수금액</stp>
        <stp>45539</stp>
        <stp>Fill=true,Per=월</stp>
        <tr r="M69" s="2"/>
      </tp>
      <tp t="s">
        <v/>
        <stp/>
        <stp>P</stp>
        <stp>0</stp>
        <stp>IDX</stp>
        <stp>XGS08P</stp>
        <stp>개인순매수금액</stp>
        <stp>45539</stp>
        <stp>Fill=true,Per=월</stp>
        <tr r="M161" s="2"/>
      </tp>
      <tp t="s">
        <v/>
        <stp/>
        <stp>P</stp>
        <stp>0</stp>
        <stp>IDX</stp>
        <stp>XGS09P</stp>
        <stp>개인순매수금액</stp>
        <stp>45539</stp>
        <stp>Fill=true,Per=월</stp>
        <tr r="M160" s="2"/>
      </tp>
      <tp>
        <v>481</v>
        <stp/>
        <stp>P</stp>
        <stp>0</stp>
        <stp>IDX</stp>
        <stp>QGS03P</stp>
        <stp>개인순매수금액</stp>
        <stp>45539</stp>
        <stp>Fill=true,Per=월</stp>
        <tr r="M93" s="2"/>
      </tp>
      <tp>
        <v>302603</v>
        <stp/>
        <stp>P</stp>
        <stp>0</stp>
        <stp>IDX</stp>
        <stp>QGS02P</stp>
        <stp>개인순매수금액</stp>
        <stp>45539</stp>
        <stp>Fill=true,Per=월</stp>
        <tr r="M29" s="2"/>
      </tp>
      <tp>
        <v>-30981</v>
        <stp/>
        <stp>P</stp>
        <stp>0</stp>
        <stp>IDX</stp>
        <stp>QGS05P</stp>
        <stp>개인순매수금액</stp>
        <stp>45539</stp>
        <stp>Fill=true,Per=월</stp>
        <tr r="M80" s="2"/>
      </tp>
      <tp>
        <v>-16712</v>
        <stp/>
        <stp>P</stp>
        <stp>0</stp>
        <stp>IDX</stp>
        <stp>QGS04P</stp>
        <stp>개인순매수금액</stp>
        <stp>45539</stp>
        <stp>Fill=true,Per=월</stp>
        <tr r="M84" s="2"/>
      </tp>
      <tp>
        <v>2317</v>
        <stp/>
        <stp>P</stp>
        <stp>0</stp>
        <stp>IDX</stp>
        <stp>QGS09P</stp>
        <stp>개인순매수금액</stp>
        <stp>45539</stp>
        <stp>Fill=true,Per=월</stp>
        <tr r="M90" s="2"/>
      </tp>
      <tp t="s">
        <v/>
        <stp/>
        <stp>P</stp>
        <stp>0</stp>
        <stp>IDX</stp>
        <stp>XGS01P</stp>
        <stp>개인순매수금액</stp>
        <stp>45539</stp>
        <stp>Fill=true,Per=월</stp>
        <tr r="M168" s="2"/>
      </tp>
      <tp t="s">
        <v/>
        <stp/>
        <stp>P</stp>
        <stp>0</stp>
        <stp>IDX</stp>
        <stp>XGS02P</stp>
        <stp>개인순매수금액</stp>
        <stp>45539</stp>
        <stp>Fill=true,Per=월</stp>
        <tr r="M167" s="2"/>
      </tp>
      <tp t="s">
        <v/>
        <stp/>
        <stp>P</stp>
        <stp>0</stp>
        <stp>IDX</stp>
        <stp>XGS03P</stp>
        <stp>개인순매수금액</stp>
        <stp>45539</stp>
        <stp>Fill=true,Per=월</stp>
        <tr r="M166" s="2"/>
      </tp>
      <tp t="s">
        <v/>
        <stp/>
        <stp>P</stp>
        <stp>0</stp>
        <stp>IDX</stp>
        <stp>XGS04P</stp>
        <stp>개인순매수금액</stp>
        <stp>45539</stp>
        <stp>Fill=true,Per=월</stp>
        <tr r="M165" s="2"/>
      </tp>
      <tp t="s">
        <v/>
        <stp/>
        <stp>P</stp>
        <stp>0</stp>
        <stp>IDX</stp>
        <stp>XGS05P</stp>
        <stp>개인순매수금액</stp>
        <stp>45539</stp>
        <stp>Fill=true,Per=월</stp>
        <tr r="M164" s="2"/>
      </tp>
      <tp t="s">
        <v/>
        <stp/>
        <stp>P</stp>
        <stp>0</stp>
        <stp>IDX</stp>
        <stp>XGS06P</stp>
        <stp>개인순매수금액</stp>
        <stp>45539</stp>
        <stp>Fill=true,Per=월</stp>
        <tr r="M163" s="2"/>
      </tp>
      <tp t="s">
        <v/>
        <stp/>
        <stp>P</stp>
        <stp>0</stp>
        <stp>IDX</stp>
        <stp>XGS07P</stp>
        <stp>개인순매수금액</stp>
        <stp>45539</stp>
        <stp>Fill=true,Per=월</stp>
        <tr r="M162" s="2"/>
      </tp>
      <tp>
        <v>3626</v>
        <stp/>
        <stp>P</stp>
        <stp>0</stp>
        <stp>IDX</stp>
        <stp>KGS19P</stp>
        <stp>개인순매수금액</stp>
        <stp>45539</stp>
        <stp>Fill=true,Per=월</stp>
        <tr r="M91" s="2"/>
      </tp>
      <tp>
        <v>863707</v>
        <stp/>
        <stp>P</stp>
        <stp>0</stp>
        <stp>IDX</stp>
        <stp>KGS18P</stp>
        <stp>개인순매수금액</stp>
        <stp>45539</stp>
        <stp>Fill=true,Per=월</stp>
        <tr r="M19" s="2"/>
      </tp>
      <tp>
        <v>-502</v>
        <stp/>
        <stp>P</stp>
        <stp>0</stp>
        <stp>IDX</stp>
        <stp>KGS13P</stp>
        <stp>개인순매수금액</stp>
        <stp>45539</stp>
        <stp>Fill=true,Per=월</stp>
        <tr r="M74" s="2"/>
      </tp>
      <tp>
        <v>-3843</v>
        <stp/>
        <stp>P</stp>
        <stp>0</stp>
        <stp>IDX</stp>
        <stp>KGS12P</stp>
        <stp>개인순매수금액</stp>
        <stp>45539</stp>
        <stp>Fill=true,Per=월</stp>
        <tr r="M83" s="2"/>
      </tp>
      <tp>
        <v>-67484</v>
        <stp/>
        <stp>P</stp>
        <stp>0</stp>
        <stp>IDX</stp>
        <stp>KGS11P</stp>
        <stp>개인순매수금액</stp>
        <stp>45539</stp>
        <stp>Fill=true,Per=월</stp>
        <tr r="M62" s="2"/>
      </tp>
      <tp>
        <v>282252</v>
        <stp/>
        <stp>P</stp>
        <stp>0</stp>
        <stp>IDX</stp>
        <stp>KGS10P</stp>
        <stp>개인순매수금액</stp>
        <stp>45539</stp>
        <stp>Fill=true,Per=월</stp>
        <tr r="M33" s="2"/>
      </tp>
      <tp>
        <v>-62207</v>
        <stp/>
        <stp>P</stp>
        <stp>0</stp>
        <stp>IDX</stp>
        <stp>KGS17P</stp>
        <stp>개인순매수금액</stp>
        <stp>45539</stp>
        <stp>Fill=true,Per=월</stp>
        <tr r="M67" s="2"/>
      </tp>
      <tp>
        <v>-14855</v>
        <stp/>
        <stp>P</stp>
        <stp>0</stp>
        <stp>IDX</stp>
        <stp>KGS16P</stp>
        <stp>개인순매수금액</stp>
        <stp>45539</stp>
        <stp>Fill=true,Per=월</stp>
        <tr r="M79" s="2"/>
      </tp>
      <tp>
        <v>-125035</v>
        <stp/>
        <stp>P</stp>
        <stp>0</stp>
        <stp>IDX</stp>
        <stp>KGS14P</stp>
        <stp>개인순매수금액</stp>
        <stp>45539</stp>
        <stp>Fill=true,Per=월</stp>
        <tr r="M27" s="2"/>
      </tp>
      <tp>
        <v>-1322</v>
        <stp/>
        <stp>P</stp>
        <stp>0</stp>
        <stp>IDX</stp>
        <stp>QGS11P</stp>
        <stp>개인순매수금액</stp>
        <stp>45539</stp>
        <stp>Fill=true,Per=월</stp>
        <tr r="M95" s="2"/>
      </tp>
      <tp>
        <v>68</v>
        <stp/>
        <stp>P</stp>
        <stp>0</stp>
        <stp>IDX</stp>
        <stp>QGS10P</stp>
        <stp>개인순매수금액</stp>
        <stp>45539</stp>
        <stp>Fill=true,Per=월</stp>
        <tr r="M96" s="2"/>
      </tp>
      <tp>
        <v>-4169</v>
        <stp/>
        <stp>P</stp>
        <stp>0</stp>
        <stp>IDX</stp>
        <stp>QGS13P</stp>
        <stp>개인순매수금액</stp>
        <stp>45539</stp>
        <stp>Fill=true,Per=월</stp>
        <tr r="M77" s="2"/>
      </tp>
      <tp>
        <v>22981</v>
        <stp/>
        <stp>P</stp>
        <stp>0</stp>
        <stp>IDX</stp>
        <stp>QGS12P</stp>
        <stp>개인순매수금액</stp>
        <stp>45539</stp>
        <stp>Fill=true,Per=월</stp>
        <tr r="M76" s="2"/>
      </tp>
      <tp>
        <v>9910</v>
        <stp/>
        <stp>P</stp>
        <stp>0</stp>
        <stp>IDX</stp>
        <stp>QGS15P</stp>
        <stp>개인순매수금액</stp>
        <stp>45539</stp>
        <stp>Fill=true,Per=월</stp>
        <tr r="M87" s="2"/>
      </tp>
      <tp>
        <v>404</v>
        <stp/>
        <stp>P</stp>
        <stp>0</stp>
        <stp>IDX</stp>
        <stp>QGS14P</stp>
        <stp>개인순매수금액</stp>
        <stp>45539</stp>
        <stp>Fill=true,Per=월</stp>
        <tr r="M92" s="2"/>
      </tp>
      <tp>
        <v>10262</v>
        <stp/>
        <stp>P</stp>
        <stp>0</stp>
        <stp>IDX</stp>
        <stp>QGS17P</stp>
        <stp>개인순매수금액</stp>
        <stp>45539</stp>
        <stp>Fill=true,Per=월</stp>
        <tr r="M61" s="2"/>
      </tp>
      <tp>
        <v>76082</v>
        <stp/>
        <stp>P</stp>
        <stp>0</stp>
        <stp>IDX</stp>
        <stp>QGS16P</stp>
        <stp>개인순매수금액</stp>
        <stp>45539</stp>
        <stp>Fill=true,Per=월</stp>
        <tr r="M70" s="2"/>
      </tp>
      <tp>
        <v>2199</v>
        <stp/>
        <stp>P</stp>
        <stp>0</stp>
        <stp>IDX</stp>
        <stp>QGS19P</stp>
        <stp>개인순매수금액</stp>
        <stp>45539</stp>
        <stp>Fill=true,Per=월</stp>
        <tr r="M86" s="2"/>
      </tp>
      <tp t="s">
        <v/>
        <stp/>
        <stp>P</stp>
        <stp>0</stp>
        <stp>IDX</stp>
        <stp>XGS10P</stp>
        <stp>개인순매수금액</stp>
        <stp>45539</stp>
        <stp>Fill=true,Per=월</stp>
        <tr r="M159" s="2"/>
      </tp>
      <tp>
        <v>24831</v>
        <stp/>
        <stp>P</stp>
        <stp>0</stp>
        <stp>IDX</stp>
        <stp>QGS18P</stp>
        <stp>개인순매수금액</stp>
        <stp>45539</stp>
        <stp>Fill=true,Per=월</stp>
        <tr r="M82" s="2"/>
      </tp>
      <tp t="s">
        <v/>
        <stp/>
        <stp>P</stp>
        <stp>0</stp>
        <stp>IDX</stp>
        <stp>XGS11P</stp>
        <stp>개인순매수금액</stp>
        <stp>45539</stp>
        <stp>Fill=true,Per=월</stp>
        <tr r="M158" s="2"/>
      </tp>
      <tp t="s">
        <v/>
        <stp/>
        <stp>P</stp>
        <stp>0</stp>
        <stp>IDX</stp>
        <stp>XGS12P</stp>
        <stp>개인순매수금액</stp>
        <stp>45539</stp>
        <stp>Fill=true,Per=월</stp>
        <tr r="M157" s="2"/>
      </tp>
      <tp t="s">
        <v/>
        <stp/>
        <stp>P</stp>
        <stp>0</stp>
        <stp>IDX</stp>
        <stp>XGS13P</stp>
        <stp>개인순매수금액</stp>
        <stp>45539</stp>
        <stp>Fill=true,Per=월</stp>
        <tr r="M156" s="2"/>
      </tp>
      <tp t="s">
        <v/>
        <stp/>
        <stp>P</stp>
        <stp>0</stp>
        <stp>IDX</stp>
        <stp>XGS14P</stp>
        <stp>개인순매수금액</stp>
        <stp>45539</stp>
        <stp>Fill=true,Per=월</stp>
        <tr r="M155" s="2"/>
      </tp>
      <tp t="s">
        <v/>
        <stp/>
        <stp>P</stp>
        <stp>0</stp>
        <stp>IDX</stp>
        <stp>XGS15P</stp>
        <stp>개인순매수금액</stp>
        <stp>45539</stp>
        <stp>Fill=true,Per=월</stp>
        <tr r="M154" s="2"/>
      </tp>
      <tp t="s">
        <v/>
        <stp/>
        <stp>P</stp>
        <stp>0</stp>
        <stp>IDX</stp>
        <stp>XGS16P</stp>
        <stp>개인순매수금액</stp>
        <stp>45539</stp>
        <stp>Fill=true,Per=월</stp>
        <tr r="M153" s="2"/>
      </tp>
      <tp t="s">
        <v/>
        <stp/>
        <stp>P</stp>
        <stp>0</stp>
        <stp>IDX</stp>
        <stp>XGS17P</stp>
        <stp>개인순매수금액</stp>
        <stp>45539</stp>
        <stp>Fill=true,Per=월</stp>
        <tr r="M152" s="2"/>
      </tp>
      <tp>
        <v>-636</v>
        <stp/>
        <stp>P</stp>
        <stp>0</stp>
        <stp>IDX</stp>
        <stp>QGS09P</stp>
        <stp>기관순매수금액</stp>
        <stp>45539</stp>
        <stp>Fill=true,Per=월</stp>
        <tr r="N90" s="2"/>
      </tp>
      <tp t="s">
        <v/>
        <stp/>
        <stp>P</stp>
        <stp>0</stp>
        <stp>IDX</stp>
        <stp>XGS01P</stp>
        <stp>기관순매수금액</stp>
        <stp>45539</stp>
        <stp>Fill=true,Per=월</stp>
        <tr r="N168" s="2"/>
      </tp>
      <tp t="s">
        <v/>
        <stp/>
        <stp>P</stp>
        <stp>0</stp>
        <stp>IDX</stp>
        <stp>XGS02P</stp>
        <stp>기관순매수금액</stp>
        <stp>45539</stp>
        <stp>Fill=true,Per=월</stp>
        <tr r="N167" s="2"/>
      </tp>
      <tp t="s">
        <v/>
        <stp/>
        <stp>P</stp>
        <stp>0</stp>
        <stp>IDX</stp>
        <stp>XGS03P</stp>
        <stp>기관순매수금액</stp>
        <stp>45539</stp>
        <stp>Fill=true,Per=월</stp>
        <tr r="N166" s="2"/>
      </tp>
      <tp t="s">
        <v/>
        <stp/>
        <stp>P</stp>
        <stp>0</stp>
        <stp>IDX</stp>
        <stp>XGS04P</stp>
        <stp>기관순매수금액</stp>
        <stp>45539</stp>
        <stp>Fill=true,Per=월</stp>
        <tr r="N165" s="2"/>
      </tp>
      <tp t="s">
        <v/>
        <stp/>
        <stp>P</stp>
        <stp>0</stp>
        <stp>IDX</stp>
        <stp>XGS05P</stp>
        <stp>기관순매수금액</stp>
        <stp>45539</stp>
        <stp>Fill=true,Per=월</stp>
        <tr r="N164" s="2"/>
      </tp>
      <tp t="s">
        <v/>
        <stp/>
        <stp>P</stp>
        <stp>0</stp>
        <stp>IDX</stp>
        <stp>XGS06P</stp>
        <stp>기관순매수금액</stp>
        <stp>45539</stp>
        <stp>Fill=true,Per=월</stp>
        <tr r="N163" s="2"/>
      </tp>
      <tp t="s">
        <v/>
        <stp/>
        <stp>P</stp>
        <stp>0</stp>
        <stp>IDX</stp>
        <stp>XGS07P</stp>
        <stp>기관순매수금액</stp>
        <stp>45539</stp>
        <stp>Fill=true,Per=월</stp>
        <tr r="N162" s="2"/>
      </tp>
      <tp>
        <v>-21737</v>
        <stp/>
        <stp>P</stp>
        <stp>0</stp>
        <stp>IDX</stp>
        <stp>QGS01P</stp>
        <stp>기관순매수금액</stp>
        <stp>45539</stp>
        <stp>Fill=true,Per=월</stp>
        <tr r="N69" s="2"/>
      </tp>
      <tp t="s">
        <v/>
        <stp/>
        <stp>P</stp>
        <stp>0</stp>
        <stp>IDX</stp>
        <stp>XGS08P</stp>
        <stp>기관순매수금액</stp>
        <stp>45539</stp>
        <stp>Fill=true,Per=월</stp>
        <tr r="N161" s="2"/>
      </tp>
      <tp t="s">
        <v/>
        <stp/>
        <stp>P</stp>
        <stp>0</stp>
        <stp>IDX</stp>
        <stp>XGS09P</stp>
        <stp>기관순매수금액</stp>
        <stp>45539</stp>
        <stp>Fill=true,Per=월</stp>
        <tr r="N160" s="2"/>
      </tp>
      <tp>
        <v>-6</v>
        <stp/>
        <stp>P</stp>
        <stp>0</stp>
        <stp>IDX</stp>
        <stp>QGS03P</stp>
        <stp>기관순매수금액</stp>
        <stp>45539</stp>
        <stp>Fill=true,Per=월</stp>
        <tr r="N93" s="2"/>
      </tp>
      <tp>
        <v>-142635</v>
        <stp/>
        <stp>P</stp>
        <stp>0</stp>
        <stp>IDX</stp>
        <stp>QGS02P</stp>
        <stp>기관순매수금액</stp>
        <stp>45539</stp>
        <stp>Fill=true,Per=월</stp>
        <tr r="N29" s="2"/>
      </tp>
      <tp>
        <v>-1590</v>
        <stp/>
        <stp>P</stp>
        <stp>0</stp>
        <stp>IDX</stp>
        <stp>QGS05P</stp>
        <stp>기관순매수금액</stp>
        <stp>45539</stp>
        <stp>Fill=true,Per=월</stp>
        <tr r="N80" s="2"/>
      </tp>
      <tp>
        <v>14952</v>
        <stp/>
        <stp>P</stp>
        <stp>0</stp>
        <stp>IDX</stp>
        <stp>QGS04P</stp>
        <stp>기관순매수금액</stp>
        <stp>45539</stp>
        <stp>Fill=true,Per=월</stp>
        <tr r="N84" s="2"/>
      </tp>
      <tp>
        <v>172</v>
        <stp/>
        <stp>P</stp>
        <stp>0</stp>
        <stp>IDX</stp>
        <stp>KGS03P</stp>
        <stp>기관순매수금액</stp>
        <stp>45539</stp>
        <stp>Fill=true,Per=월</stp>
        <tr r="N94" s="2"/>
      </tp>
      <tp>
        <v>-1965</v>
        <stp/>
        <stp>P</stp>
        <stp>0</stp>
        <stp>IDX</stp>
        <stp>KGS02P</stp>
        <stp>기관순매수금액</stp>
        <stp>45539</stp>
        <stp>Fill=true,Per=월</stp>
        <tr r="N88" s="2"/>
      </tp>
      <tp>
        <v>-9344</v>
        <stp/>
        <stp>P</stp>
        <stp>0</stp>
        <stp>IDX</stp>
        <stp>KGS01P</stp>
        <stp>기관순매수금액</stp>
        <stp>45539</stp>
        <stp>Fill=true,Per=월</stp>
        <tr r="N75" s="2"/>
      </tp>
      <tp>
        <v>63966</v>
        <stp/>
        <stp>P</stp>
        <stp>0</stp>
        <stp>IDX</stp>
        <stp>KGS07P</stp>
        <stp>기관순매수금액</stp>
        <stp>45539</stp>
        <stp>Fill=true,Per=월</stp>
        <tr r="N64" s="2"/>
      </tp>
      <tp>
        <v>-407</v>
        <stp/>
        <stp>P</stp>
        <stp>0</stp>
        <stp>IDX</stp>
        <stp>KGS06P</stp>
        <stp>기관순매수금액</stp>
        <stp>45539</stp>
        <stp>Fill=true,Per=월</stp>
        <tr r="N89" s="2"/>
      </tp>
      <tp>
        <v>-67510</v>
        <stp/>
        <stp>P</stp>
        <stp>0</stp>
        <stp>IDX</stp>
        <stp>KGS05P</stp>
        <stp>기관순매수금액</stp>
        <stp>45539</stp>
        <stp>Fill=true,Per=월</stp>
        <tr r="N49" s="2"/>
      </tp>
      <tp>
        <v>20717</v>
        <stp/>
        <stp>P</stp>
        <stp>0</stp>
        <stp>IDX</stp>
        <stp>KGS04P</stp>
        <stp>기관순매수금액</stp>
        <stp>45539</stp>
        <stp>Fill=true,Per=월</stp>
        <tr r="N46" s="2"/>
      </tp>
      <tp>
        <v>-440788</v>
        <stp/>
        <stp>P</stp>
        <stp>0</stp>
        <stp>IDX</stp>
        <stp>KGS09P</stp>
        <stp>기관순매수금액</stp>
        <stp>45539</stp>
        <stp>Fill=true,Per=월</stp>
        <tr r="N22" s="2"/>
      </tp>
      <tp>
        <v>-18734</v>
        <stp/>
        <stp>P</stp>
        <stp>0</stp>
        <stp>IDX</stp>
        <stp>KGS08P</stp>
        <stp>기관순매수금액</stp>
        <stp>45539</stp>
        <stp>Fill=true,Per=월</stp>
        <tr r="N66" s="2"/>
      </tp>
      <tp t="s">
        <v/>
        <stp/>
        <stp>P</stp>
        <stp>0</stp>
        <stp>IDX</stp>
        <stp>GGS01P</stp>
        <stp>기관순매수금액</stp>
        <stp>45539</stp>
        <stp>Fill=true,Per=월</stp>
        <tr r="N339" s="2"/>
      </tp>
      <tp>
        <v>-1137</v>
        <stp/>
        <stp>P</stp>
        <stp>0</stp>
        <stp>IDX</stp>
        <stp>QGS19P</stp>
        <stp>기관순매수금액</stp>
        <stp>45539</stp>
        <stp>Fill=true,Per=월</stp>
        <tr r="N86" s="2"/>
      </tp>
      <tp t="s">
        <v/>
        <stp/>
        <stp>P</stp>
        <stp>0</stp>
        <stp>IDX</stp>
        <stp>XGS10P</stp>
        <stp>기관순매수금액</stp>
        <stp>45539</stp>
        <stp>Fill=true,Per=월</stp>
        <tr r="N159" s="2"/>
      </tp>
      <tp>
        <v>-12783</v>
        <stp/>
        <stp>P</stp>
        <stp>0</stp>
        <stp>IDX</stp>
        <stp>QGS18P</stp>
        <stp>기관순매수금액</stp>
        <stp>45539</stp>
        <stp>Fill=true,Per=월</stp>
        <tr r="N82" s="2"/>
      </tp>
      <tp t="s">
        <v/>
        <stp/>
        <stp>P</stp>
        <stp>0</stp>
        <stp>IDX</stp>
        <stp>XGS11P</stp>
        <stp>기관순매수금액</stp>
        <stp>45539</stp>
        <stp>Fill=true,Per=월</stp>
        <tr r="N158" s="2"/>
      </tp>
      <tp t="s">
        <v/>
        <stp/>
        <stp>P</stp>
        <stp>0</stp>
        <stp>IDX</stp>
        <stp>XGS12P</stp>
        <stp>기관순매수금액</stp>
        <stp>45539</stp>
        <stp>Fill=true,Per=월</stp>
        <tr r="N157" s="2"/>
      </tp>
      <tp t="s">
        <v/>
        <stp/>
        <stp>P</stp>
        <stp>0</stp>
        <stp>IDX</stp>
        <stp>XGS13P</stp>
        <stp>기관순매수금액</stp>
        <stp>45539</stp>
        <stp>Fill=true,Per=월</stp>
        <tr r="N156" s="2"/>
      </tp>
      <tp t="s">
        <v/>
        <stp/>
        <stp>P</stp>
        <stp>0</stp>
        <stp>IDX</stp>
        <stp>XGS14P</stp>
        <stp>기관순매수금액</stp>
        <stp>45539</stp>
        <stp>Fill=true,Per=월</stp>
        <tr r="N155" s="2"/>
      </tp>
      <tp t="s">
        <v/>
        <stp/>
        <stp>P</stp>
        <stp>0</stp>
        <stp>IDX</stp>
        <stp>XGS15P</stp>
        <stp>기관순매수금액</stp>
        <stp>45539</stp>
        <stp>Fill=true,Per=월</stp>
        <tr r="N154" s="2"/>
      </tp>
      <tp t="s">
        <v/>
        <stp/>
        <stp>P</stp>
        <stp>0</stp>
        <stp>IDX</stp>
        <stp>XGS16P</stp>
        <stp>기관순매수금액</stp>
        <stp>45539</stp>
        <stp>Fill=true,Per=월</stp>
        <tr r="N153" s="2"/>
      </tp>
      <tp t="s">
        <v/>
        <stp/>
        <stp>P</stp>
        <stp>0</stp>
        <stp>IDX</stp>
        <stp>XGS17P</stp>
        <stp>기관순매수금액</stp>
        <stp>45539</stp>
        <stp>Fill=true,Per=월</stp>
        <tr r="N152" s="2"/>
      </tp>
      <tp>
        <v>320</v>
        <stp/>
        <stp>P</stp>
        <stp>0</stp>
        <stp>IDX</stp>
        <stp>QGS11P</stp>
        <stp>기관순매수금액</stp>
        <stp>45539</stp>
        <stp>Fill=true,Per=월</stp>
        <tr r="N95" s="2"/>
      </tp>
      <tp>
        <v>228</v>
        <stp/>
        <stp>P</stp>
        <stp>0</stp>
        <stp>IDX</stp>
        <stp>QGS10P</stp>
        <stp>기관순매수금액</stp>
        <stp>45539</stp>
        <stp>Fill=true,Per=월</stp>
        <tr r="N96" s="2"/>
      </tp>
      <tp>
        <v>6504</v>
        <stp/>
        <stp>P</stp>
        <stp>0</stp>
        <stp>IDX</stp>
        <stp>QGS13P</stp>
        <stp>기관순매수금액</stp>
        <stp>45539</stp>
        <stp>Fill=true,Per=월</stp>
        <tr r="N77" s="2"/>
      </tp>
      <tp>
        <v>-16708</v>
        <stp/>
        <stp>P</stp>
        <stp>0</stp>
        <stp>IDX</stp>
        <stp>QGS12P</stp>
        <stp>기관순매수금액</stp>
        <stp>45539</stp>
        <stp>Fill=true,Per=월</stp>
        <tr r="N76" s="2"/>
      </tp>
      <tp>
        <v>-175</v>
        <stp/>
        <stp>P</stp>
        <stp>0</stp>
        <stp>IDX</stp>
        <stp>QGS15P</stp>
        <stp>기관순매수금액</stp>
        <stp>45539</stp>
        <stp>Fill=true,Per=월</stp>
        <tr r="N87" s="2"/>
      </tp>
      <tp>
        <v>-1826</v>
        <stp/>
        <stp>P</stp>
        <stp>0</stp>
        <stp>IDX</stp>
        <stp>QGS14P</stp>
        <stp>기관순매수금액</stp>
        <stp>45539</stp>
        <stp>Fill=true,Per=월</stp>
        <tr r="N92" s="2"/>
      </tp>
      <tp>
        <v>-8216</v>
        <stp/>
        <stp>P</stp>
        <stp>0</stp>
        <stp>IDX</stp>
        <stp>QGS17P</stp>
        <stp>기관순매수금액</stp>
        <stp>45539</stp>
        <stp>Fill=true,Per=월</stp>
        <tr r="N61" s="2"/>
      </tp>
      <tp>
        <v>-48614</v>
        <stp/>
        <stp>P</stp>
        <stp>0</stp>
        <stp>IDX</stp>
        <stp>QGS16P</stp>
        <stp>기관순매수금액</stp>
        <stp>45539</stp>
        <stp>Fill=true,Per=월</stp>
        <tr r="N70" s="2"/>
      </tp>
      <tp>
        <v>-19532</v>
        <stp/>
        <stp>P</stp>
        <stp>0</stp>
        <stp>IDX</stp>
        <stp>KGS13P</stp>
        <stp>기관순매수금액</stp>
        <stp>45539</stp>
        <stp>Fill=true,Per=월</stp>
        <tr r="N74" s="2"/>
      </tp>
      <tp>
        <v>4292</v>
        <stp/>
        <stp>P</stp>
        <stp>0</stp>
        <stp>IDX</stp>
        <stp>KGS12P</stp>
        <stp>기관순매수금액</stp>
        <stp>45539</stp>
        <stp>Fill=true,Per=월</stp>
        <tr r="N83" s="2"/>
      </tp>
      <tp>
        <v>34249</v>
        <stp/>
        <stp>P</stp>
        <stp>0</stp>
        <stp>IDX</stp>
        <stp>KGS11P</stp>
        <stp>기관순매수금액</stp>
        <stp>45539</stp>
        <stp>Fill=true,Per=월</stp>
        <tr r="N62" s="2"/>
      </tp>
      <tp>
        <v>-171175</v>
        <stp/>
        <stp>P</stp>
        <stp>0</stp>
        <stp>IDX</stp>
        <stp>KGS10P</stp>
        <stp>기관순매수금액</stp>
        <stp>45539</stp>
        <stp>Fill=true,Per=월</stp>
        <tr r="N33" s="2"/>
      </tp>
      <tp>
        <v>14468</v>
        <stp/>
        <stp>P</stp>
        <stp>0</stp>
        <stp>IDX</stp>
        <stp>KGS17P</stp>
        <stp>기관순매수금액</stp>
        <stp>45539</stp>
        <stp>Fill=true,Per=월</stp>
        <tr r="N67" s="2"/>
      </tp>
      <tp>
        <v>6319</v>
        <stp/>
        <stp>P</stp>
        <stp>0</stp>
        <stp>IDX</stp>
        <stp>KGS16P</stp>
        <stp>기관순매수금액</stp>
        <stp>45539</stp>
        <stp>Fill=true,Per=월</stp>
        <tr r="N79" s="2"/>
      </tp>
      <tp>
        <v>-3099</v>
        <stp/>
        <stp>P</stp>
        <stp>0</stp>
        <stp>IDX</stp>
        <stp>KGS14P</stp>
        <stp>기관순매수금액</stp>
        <stp>45539</stp>
        <stp>Fill=true,Per=월</stp>
        <tr r="N27" s="2"/>
      </tp>
      <tp>
        <v>-10314</v>
        <stp/>
        <stp>P</stp>
        <stp>0</stp>
        <stp>IDX</stp>
        <stp>KGS19P</stp>
        <stp>기관순매수금액</stp>
        <stp>45539</stp>
        <stp>Fill=true,Per=월</stp>
        <tr r="N91" s="2"/>
      </tp>
      <tp>
        <v>-645485</v>
        <stp/>
        <stp>P</stp>
        <stp>0</stp>
        <stp>IDX</stp>
        <stp>KGS18P</stp>
        <stp>기관순매수금액</stp>
        <stp>45539</stp>
        <stp>Fill=true,Per=월</stp>
        <tr r="N19" s="2"/>
      </tp>
      <tp>
        <v>-61</v>
        <stp/>
        <stp>P</stp>
        <stp>0</stp>
        <stp>IDX</stp>
        <stp>QGS20P</stp>
        <stp>기관순매수금액</stp>
        <stp>45539</stp>
        <stp>Fill=true,Per=월</stp>
        <tr r="N97" s="2"/>
      </tp>
      <tp>
        <v>-49275</v>
        <stp/>
        <stp>P</stp>
        <stp>0</stp>
        <stp>IDX</stp>
        <stp>KGS22P</stp>
        <stp>기관순매수금액</stp>
        <stp>45539</stp>
        <stp>Fill=true,Per=월</stp>
        <tr r="N44" s="2"/>
      </tp>
      <tp>
        <v>12780</v>
        <stp/>
        <stp>P</stp>
        <stp>0</stp>
        <stp>IDX</stp>
        <stp>KGS21P</stp>
        <stp>기관순매수금액</stp>
        <stp>45539</stp>
        <stp>Fill=true,Per=월</stp>
        <tr r="N78" s="2"/>
      </tp>
      <tp>
        <v>3729</v>
        <stp/>
        <stp>P</stp>
        <stp>0</stp>
        <stp>IDX</stp>
        <stp>KGS20P</stp>
        <stp>기관순매수금액</stp>
        <stp>45539</stp>
        <stp>Fill=true,Per=월</stp>
        <tr r="N81" s="2"/>
      </tp>
      <tp>
        <v>-10</v>
        <stp/>
        <stp>P</stp>
        <stp>0</stp>
        <stp>IDX</stp>
        <stp>QGS31P</stp>
        <stp>기관순매수금액</stp>
        <stp>45539</stp>
        <stp>Fill=true,Per=월</stp>
        <tr r="N98" s="2"/>
      </tp>
      <tp>
        <v>-59533</v>
        <stp/>
        <stp>P</stp>
        <stp>0</stp>
        <stp>IDX</stp>
        <stp>QGS33P</stp>
        <stp>기관순매수금액</stp>
        <stp>45539</stp>
        <stp>Fill=true,Per=월</stp>
        <tr r="N65" s="2"/>
      </tp>
      <tp>
        <v>-3312</v>
        <stp/>
        <stp>P</stp>
        <stp>0</stp>
        <stp>IDX</stp>
        <stp>QGS34P</stp>
        <stp>기관순매수금액</stp>
        <stp>45539</stp>
        <stp>Fill=true,Per=월</stp>
        <tr r="N85" s="2"/>
      </tp>
      <tp t="s">
        <v/>
        <stp/>
        <stp>P</stp>
        <stp>0</stp>
        <stp>IDX</stp>
        <stp>XGV01P</stp>
        <stp>개인순매수금액</stp>
        <stp>45539</stp>
        <stp>Fill=true,Per=월</stp>
        <tr r="M136" s="2"/>
      </tp>
      <tp t="s">
        <v/>
        <stp/>
        <stp>P</stp>
        <stp>0</stp>
        <stp>IDX</stp>
        <stp>XGV02P</stp>
        <stp>개인순매수금액</stp>
        <stp>45539</stp>
        <stp>Fill=true,Per=월</stp>
        <tr r="M135" s="2"/>
      </tp>
      <tp t="s">
        <v/>
        <stp/>
        <stp>P</stp>
        <stp>0</stp>
        <stp>IDX</stp>
        <stp>XGT01P</stp>
        <stp>기관순매수금액</stp>
        <stp>45539</stp>
        <stp>Fill=true,Per=월</stp>
        <tr r="N28" s="2"/>
      </tp>
      <tp t="s">
        <v/>
        <stp/>
        <stp>P</stp>
        <stp>0</stp>
        <stp>IDX</stp>
        <stp>XGT02P</stp>
        <stp>기관순매수금액</stp>
        <stp>45539</stp>
        <stp>Fill=true,Per=월</stp>
        <tr r="N40" s="2"/>
      </tp>
      <tp t="s">
        <v/>
        <stp/>
        <stp>P</stp>
        <stp>0</stp>
        <stp>IDX</stp>
        <stp>XGT03P</stp>
        <stp>기관순매수금액</stp>
        <stp>45539</stp>
        <stp>Fill=true,Per=월</stp>
        <tr r="N45" s="2"/>
      </tp>
      <tp t="s">
        <v/>
        <stp/>
        <stp>P</stp>
        <stp>0</stp>
        <stp>IDX</stp>
        <stp>XGT04P</stp>
        <stp>기관순매수금액</stp>
        <stp>45539</stp>
        <stp>Fill=true,Per=월</stp>
        <tr r="N151" s="2"/>
      </tp>
      <tp t="s">
        <v/>
        <stp/>
        <stp>P</stp>
        <stp>0</stp>
        <stp>IDX</stp>
        <stp>XGT05P</stp>
        <stp>기관순매수금액</stp>
        <stp>45539</stp>
        <stp>Fill=true,Per=월</stp>
        <tr r="N150" s="2"/>
      </tp>
      <tp t="s">
        <v/>
        <stp/>
        <stp>P</stp>
        <stp>0</stp>
        <stp>IDX</stp>
        <stp>XGT06P</stp>
        <stp>기관순매수금액</stp>
        <stp>45539</stp>
        <stp>Fill=true,Per=월</stp>
        <tr r="N149" s="2"/>
      </tp>
      <tp t="s">
        <v/>
        <stp/>
        <stp>P</stp>
        <stp>0</stp>
        <stp>IDX</stp>
        <stp>XGT07P</stp>
        <stp>기관순매수금액</stp>
        <stp>45539</stp>
        <stp>Fill=true,Per=월</stp>
        <tr r="N147" s="2"/>
      </tp>
      <tp t="s">
        <v/>
        <stp/>
        <stp>P</stp>
        <stp>0</stp>
        <stp>IDX</stp>
        <stp>XGT08P</stp>
        <stp>기관순매수금액</stp>
        <stp>45539</stp>
        <stp>Fill=true,Per=월</stp>
        <tr r="N146" s="2"/>
      </tp>
      <tp t="s">
        <v/>
        <stp/>
        <stp>P</stp>
        <stp>0</stp>
        <stp>IDX</stp>
        <stp>XGT09P</stp>
        <stp>기관순매수금액</stp>
        <stp>45539</stp>
        <stp>Fill=true,Per=월</stp>
        <tr r="N144" s="2"/>
      </tp>
      <tp t="s">
        <v/>
        <stp/>
        <stp>P</stp>
        <stp>0</stp>
        <stp>IDX</stp>
        <stp>KGT01P</stp>
        <stp>기관순매수금액</stp>
        <stp>45539</stp>
        <stp>Fill=true,Per=월</stp>
        <tr r="N117" s="2"/>
      </tp>
      <tp t="s">
        <v/>
        <stp/>
        <stp>P</stp>
        <stp>0</stp>
        <stp>IDX</stp>
        <stp>GGT03P</stp>
        <stp>기관순매수금액</stp>
        <stp>45539</stp>
        <stp>Fill=true,Per=월</stp>
        <tr r="N342" s="2"/>
      </tp>
      <tp t="s">
        <v/>
        <stp/>
        <stp>P</stp>
        <stp>0</stp>
        <stp>IDX</stp>
        <stp>GGT02P</stp>
        <stp>기관순매수금액</stp>
        <stp>45539</stp>
        <stp>Fill=true,Per=월</stp>
        <tr r="N341" s="2"/>
      </tp>
      <tp t="s">
        <v/>
        <stp/>
        <stp>P</stp>
        <stp>0</stp>
        <stp>IDX</stp>
        <stp>GGT01P</stp>
        <stp>기관순매수금액</stp>
        <stp>45539</stp>
        <stp>Fill=true,Per=월</stp>
        <tr r="N340" s="2"/>
      </tp>
      <tp t="s">
        <v/>
        <stp/>
        <stp>P</stp>
        <stp>0</stp>
        <stp>IDX</stp>
        <stp>XGT10P</stp>
        <stp>기관순매수금액</stp>
        <stp>45539</stp>
        <stp>Fill=true,Per=월</stp>
        <tr r="N143" s="2"/>
      </tp>
      <tp t="s">
        <v/>
        <stp/>
        <stp>P</stp>
        <stp>0</stp>
        <stp>IDX</stp>
        <stp>XGT11P</stp>
        <stp>기관순매수금액</stp>
        <stp>45539</stp>
        <stp>Fill=true,Per=월</stp>
        <tr r="N141" s="2"/>
      </tp>
      <tp t="s">
        <v/>
        <stp/>
        <stp>P</stp>
        <stp>0</stp>
        <stp>IDX</stp>
        <stp>XGT12P</stp>
        <stp>기관순매수금액</stp>
        <stp>45539</stp>
        <stp>Fill=true,Per=월</stp>
        <tr r="N140" s="2"/>
      </tp>
      <tp t="s">
        <v/>
        <stp/>
        <stp>P</stp>
        <stp>0</stp>
        <stp>IDX</stp>
        <stp>XGT13P</stp>
        <stp>기관순매수금액</stp>
        <stp>45539</stp>
        <stp>Fill=true,Per=월</stp>
        <tr r="N139" s="2"/>
      </tp>
      <tp t="s">
        <v/>
        <stp/>
        <stp>P</stp>
        <stp>0</stp>
        <stp>IDX</stp>
        <stp>XGT14P</stp>
        <stp>기관순매수금액</stp>
        <stp>45539</stp>
        <stp>Fill=true,Per=월</stp>
        <tr r="N138" s="2"/>
      </tp>
      <tp t="s">
        <v/>
        <stp/>
        <stp>P</stp>
        <stp>0</stp>
        <stp>IDX</stp>
        <stp>XGT15P</stp>
        <stp>기관순매수금액</stp>
        <stp>45539</stp>
        <stp>Fill=true,Per=월</stp>
        <tr r="N137" s="2"/>
      </tp>
      <tp t="s">
        <v/>
        <stp/>
        <stp>P</stp>
        <stp>0</stp>
        <stp>IDX</stp>
        <stp>XGW01P</stp>
        <stp>개인순매수금액</stp>
        <stp>45539</stp>
        <stp>Fill=true,Per=월</stp>
        <tr r="M14" s="2"/>
      </tp>
      <tp t="s">
        <v/>
        <stp/>
        <stp>P</stp>
        <stp>0</stp>
        <stp>IDX</stp>
        <stp>GGT03P</stp>
        <stp>개인순매수금액</stp>
        <stp>45539</stp>
        <stp>Fill=true,Per=월</stp>
        <tr r="M342" s="2"/>
      </tp>
      <tp t="s">
        <v/>
        <stp/>
        <stp>P</stp>
        <stp>0</stp>
        <stp>IDX</stp>
        <stp>GGT02P</stp>
        <stp>개인순매수금액</stp>
        <stp>45539</stp>
        <stp>Fill=true,Per=월</stp>
        <tr r="M341" s="2"/>
      </tp>
      <tp t="s">
        <v/>
        <stp/>
        <stp>P</stp>
        <stp>0</stp>
        <stp>IDX</stp>
        <stp>GGT01P</stp>
        <stp>개인순매수금액</stp>
        <stp>45539</stp>
        <stp>Fill=true,Per=월</stp>
        <tr r="M340" s="2"/>
      </tp>
      <tp t="s">
        <v/>
        <stp/>
        <stp>P</stp>
        <stp>0</stp>
        <stp>IDX</stp>
        <stp>KGT01P</stp>
        <stp>개인순매수금액</stp>
        <stp>45539</stp>
        <stp>Fill=true,Per=월</stp>
        <tr r="M117" s="2"/>
      </tp>
      <tp t="s">
        <v/>
        <stp/>
        <stp>P</stp>
        <stp>0</stp>
        <stp>IDX</stp>
        <stp>XGT08P</stp>
        <stp>개인순매수금액</stp>
        <stp>45539</stp>
        <stp>Fill=true,Per=월</stp>
        <tr r="M146" s="2"/>
      </tp>
      <tp t="s">
        <v/>
        <stp/>
        <stp>P</stp>
        <stp>0</stp>
        <stp>IDX</stp>
        <stp>XGT09P</stp>
        <stp>개인순매수금액</stp>
        <stp>45539</stp>
        <stp>Fill=true,Per=월</stp>
        <tr r="M144" s="2"/>
      </tp>
      <tp t="s">
        <v/>
        <stp/>
        <stp>P</stp>
        <stp>0</stp>
        <stp>IDX</stp>
        <stp>XGT01P</stp>
        <stp>개인순매수금액</stp>
        <stp>45539</stp>
        <stp>Fill=true,Per=월</stp>
        <tr r="M28" s="2"/>
      </tp>
      <tp t="s">
        <v/>
        <stp/>
        <stp>P</stp>
        <stp>0</stp>
        <stp>IDX</stp>
        <stp>XGT02P</stp>
        <stp>개인순매수금액</stp>
        <stp>45539</stp>
        <stp>Fill=true,Per=월</stp>
        <tr r="M40" s="2"/>
      </tp>
      <tp t="s">
        <v/>
        <stp/>
        <stp>P</stp>
        <stp>0</stp>
        <stp>IDX</stp>
        <stp>XGT03P</stp>
        <stp>개인순매수금액</stp>
        <stp>45539</stp>
        <stp>Fill=true,Per=월</stp>
        <tr r="M45" s="2"/>
      </tp>
      <tp t="s">
        <v/>
        <stp/>
        <stp>P</stp>
        <stp>0</stp>
        <stp>IDX</stp>
        <stp>XGT04P</stp>
        <stp>개인순매수금액</stp>
        <stp>45539</stp>
        <stp>Fill=true,Per=월</stp>
        <tr r="M151" s="2"/>
      </tp>
      <tp t="s">
        <v/>
        <stp/>
        <stp>P</stp>
        <stp>0</stp>
        <stp>IDX</stp>
        <stp>XGT05P</stp>
        <stp>개인순매수금액</stp>
        <stp>45539</stp>
        <stp>Fill=true,Per=월</stp>
        <tr r="M150" s="2"/>
      </tp>
      <tp t="s">
        <v/>
        <stp/>
        <stp>P</stp>
        <stp>0</stp>
        <stp>IDX</stp>
        <stp>XGT06P</stp>
        <stp>개인순매수금액</stp>
        <stp>45539</stp>
        <stp>Fill=true,Per=월</stp>
        <tr r="M149" s="2"/>
      </tp>
      <tp t="s">
        <v/>
        <stp/>
        <stp>P</stp>
        <stp>0</stp>
        <stp>IDX</stp>
        <stp>XGT07P</stp>
        <stp>개인순매수금액</stp>
        <stp>45539</stp>
        <stp>Fill=true,Per=월</stp>
        <tr r="M147" s="2"/>
      </tp>
      <tp t="s">
        <v/>
        <stp/>
        <stp>P</stp>
        <stp>0</stp>
        <stp>IDX</stp>
        <stp>XGT10P</stp>
        <stp>개인순매수금액</stp>
        <stp>45539</stp>
        <stp>Fill=true,Per=월</stp>
        <tr r="M143" s="2"/>
      </tp>
      <tp t="s">
        <v/>
        <stp/>
        <stp>P</stp>
        <stp>0</stp>
        <stp>IDX</stp>
        <stp>XGT11P</stp>
        <stp>개인순매수금액</stp>
        <stp>45539</stp>
        <stp>Fill=true,Per=월</stp>
        <tr r="M141" s="2"/>
      </tp>
      <tp t="s">
        <v/>
        <stp/>
        <stp>P</stp>
        <stp>0</stp>
        <stp>IDX</stp>
        <stp>XGT12P</stp>
        <stp>개인순매수금액</stp>
        <stp>45539</stp>
        <stp>Fill=true,Per=월</stp>
        <tr r="M140" s="2"/>
      </tp>
      <tp t="s">
        <v/>
        <stp/>
        <stp>P</stp>
        <stp>0</stp>
        <stp>IDX</stp>
        <stp>XGT13P</stp>
        <stp>개인순매수금액</stp>
        <stp>45539</stp>
        <stp>Fill=true,Per=월</stp>
        <tr r="M139" s="2"/>
      </tp>
      <tp t="s">
        <v/>
        <stp/>
        <stp>P</stp>
        <stp>0</stp>
        <stp>IDX</stp>
        <stp>XGT14P</stp>
        <stp>개인순매수금액</stp>
        <stp>45539</stp>
        <stp>Fill=true,Per=월</stp>
        <tr r="M138" s="2"/>
      </tp>
      <tp t="s">
        <v/>
        <stp/>
        <stp>P</stp>
        <stp>0</stp>
        <stp>IDX</stp>
        <stp>XGT15P</stp>
        <stp>개인순매수금액</stp>
        <stp>45539</stp>
        <stp>Fill=true,Per=월</stp>
        <tr r="M137" s="2"/>
      </tp>
      <tp t="s">
        <v/>
        <stp/>
        <stp>P</stp>
        <stp>0</stp>
        <stp>IDX</stp>
        <stp>XGV01P</stp>
        <stp>기관순매수금액</stp>
        <stp>45539</stp>
        <stp>Fill=true,Per=월</stp>
        <tr r="N136" s="2"/>
      </tp>
      <tp t="s">
        <v/>
        <stp/>
        <stp>P</stp>
        <stp>0</stp>
        <stp>IDX</stp>
        <stp>XGV02P</stp>
        <stp>기관순매수금액</stp>
        <stp>45539</stp>
        <stp>Fill=true,Per=월</stp>
        <tr r="N135" s="2"/>
      </tp>
      <tp t="s">
        <v/>
        <stp/>
        <stp>P</stp>
        <stp>0</stp>
        <stp>IDX</stp>
        <stp>XGW01P</stp>
        <stp>기관순매수금액</stp>
        <stp>45539</stp>
        <stp>Fill=true,Per=월</stp>
        <tr r="N14" s="2"/>
      </tp>
      <tp t="s">
        <v/>
        <stp/>
        <stp>P</stp>
        <stp>0</stp>
        <stp>IDX</stp>
        <stp>XGB05P</stp>
        <stp>개인순매수금액</stp>
        <stp>45539</stp>
        <stp>Fill=true,Per=월</stp>
        <tr r="M176" s="2"/>
      </tp>
      <tp t="s">
        <v/>
        <stp/>
        <stp>P</stp>
        <stp>0</stp>
        <stp>IDX</stp>
        <stp>MGA05P</stp>
        <stp>기관순매수금액</stp>
        <stp>45539</stp>
        <stp>Fill=true,Per=월</stp>
        <tr r="N123" s="2"/>
      </tp>
      <tp t="s">
        <v/>
        <stp/>
        <stp>P</stp>
        <stp>0</stp>
        <stp>IDX</stp>
        <stp>MGA04P</stp>
        <stp>기관순매수금액</stp>
        <stp>45539</stp>
        <stp>Fill=true,Per=월</stp>
        <tr r="N122" s="2"/>
      </tp>
      <tp t="s">
        <v/>
        <stp/>
        <stp>P</stp>
        <stp>0</stp>
        <stp>IDX</stp>
        <stp>KGA01P</stp>
        <stp>기관순매수금액</stp>
        <stp>45539</stp>
        <stp>Fill=true,Per=월</stp>
        <tr r="N383" s="2"/>
      </tp>
      <tp t="s">
        <v/>
        <stp/>
        <stp>P</stp>
        <stp>0</stp>
        <stp>IDX</stp>
        <stp>MGA07P</stp>
        <stp>기관순매수금액</stp>
        <stp>45539</stp>
        <stp>Fill=true,Per=월</stp>
        <tr r="N125" s="2"/>
      </tp>
      <tp t="s">
        <v/>
        <stp/>
        <stp>P</stp>
        <stp>0</stp>
        <stp>IDX</stp>
        <stp>MGA06P</stp>
        <stp>기관순매수금액</stp>
        <stp>45539</stp>
        <stp>Fill=true,Per=월</stp>
        <tr r="N124" s="2"/>
      </tp>
      <tp t="s">
        <v/>
        <stp/>
        <stp>P</stp>
        <stp>0</stp>
        <stp>IDX</stp>
        <stp>MGA01P</stp>
        <stp>기관순매수금액</stp>
        <stp>45539</stp>
        <stp>Fill=true,Per=월</stp>
        <tr r="N111" s="2"/>
      </tp>
      <tp t="s">
        <v/>
        <stp/>
        <stp>P</stp>
        <stp>0</stp>
        <stp>IDX</stp>
        <stp>MGA03P</stp>
        <stp>기관순매수금액</stp>
        <stp>45539</stp>
        <stp>Fill=true,Per=월</stp>
        <tr r="N120" s="2"/>
      </tp>
      <tp t="s">
        <v/>
        <stp/>
        <stp>P</stp>
        <stp>0</stp>
        <stp>IDX</stp>
        <stp>MGA02P</stp>
        <stp>기관순매수금액</stp>
        <stp>45539</stp>
        <stp>Fill=true,Per=월</stp>
        <tr r="N112" s="2"/>
      </tp>
      <tp t="s">
        <v/>
        <stp/>
        <stp>P</stp>
        <stp>0</stp>
        <stp>IDX</stp>
        <stp>FGA06P</stp>
        <stp>기관순매수금액</stp>
        <stp>45539</stp>
        <stp>Fill=true,Per=월</stp>
        <tr r="N290" s="2"/>
      </tp>
      <tp t="s">
        <v/>
        <stp/>
        <stp>P</stp>
        <stp>0</stp>
        <stp>IDX</stp>
        <stp>FGA07P</stp>
        <stp>기관순매수금액</stp>
        <stp>45539</stp>
        <stp>Fill=true,Per=월</stp>
        <tr r="N291" s="2"/>
      </tp>
      <tp t="s">
        <v/>
        <stp/>
        <stp>P</stp>
        <stp>0</stp>
        <stp>IDX</stp>
        <stp>FGA05P</stp>
        <stp>기관순매수금액</stp>
        <stp>45539</stp>
        <stp>Fill=true,Per=월</stp>
        <tr r="N289" s="2"/>
      </tp>
      <tp t="s">
        <v/>
        <stp/>
        <stp>P</stp>
        <stp>0</stp>
        <stp>IDX</stp>
        <stp>MGA09P</stp>
        <stp>기관순매수금액</stp>
        <stp>45539</stp>
        <stp>Fill=true,Per=월</stp>
        <tr r="N127" s="2"/>
      </tp>
      <tp t="s">
        <v/>
        <stp/>
        <stp>P</stp>
        <stp>0</stp>
        <stp>IDX</stp>
        <stp>MGA08P</stp>
        <stp>기관순매수금액</stp>
        <stp>45539</stp>
        <stp>Fill=true,Per=월</stp>
        <tr r="N126" s="2"/>
      </tp>
      <tp t="s">
        <v/>
        <stp/>
        <stp>P</stp>
        <stp>0</stp>
        <stp>IDX</stp>
        <stp>MGA15P</stp>
        <stp>기관순매수금액</stp>
        <stp>45539</stp>
        <stp>Fill=true,Per=월</stp>
        <tr r="N110" s="2"/>
      </tp>
      <tp t="s">
        <v/>
        <stp/>
        <stp>P</stp>
        <stp>0</stp>
        <stp>IDX</stp>
        <stp>MGA14P</stp>
        <stp>기관순매수금액</stp>
        <stp>45539</stp>
        <stp>Fill=true,Per=월</stp>
        <tr r="N108" s="2"/>
      </tp>
      <tp t="s">
        <v/>
        <stp/>
        <stp>P</stp>
        <stp>0</stp>
        <stp>IDX</stp>
        <stp>MGA11P</stp>
        <stp>기관순매수금액</stp>
        <stp>45539</stp>
        <stp>Fill=true,Per=월</stp>
        <tr r="N107" s="2"/>
      </tp>
      <tp t="s">
        <v/>
        <stp/>
        <stp>P</stp>
        <stp>0</stp>
        <stp>IDX</stp>
        <stp>MGA10P</stp>
        <stp>기관순매수금액</stp>
        <stp>45539</stp>
        <stp>Fill=true,Per=월</stp>
        <tr r="N121" s="2"/>
      </tp>
      <tp t="s">
        <v/>
        <stp/>
        <stp>P</stp>
        <stp>0</stp>
        <stp>IDX</stp>
        <stp>MGA12P</stp>
        <stp>기관순매수금액</stp>
        <stp>45539</stp>
        <stp>Fill=true,Per=월</stp>
        <tr r="N104" s="2"/>
      </tp>
      <tp t="s">
        <v/>
        <stp/>
        <stp>P</stp>
        <stp>0</stp>
        <stp>IDX</stp>
        <stp>XGB05P</stp>
        <stp>기관순매수금액</stp>
        <stp>45539</stp>
        <stp>Fill=true,Per=월</stp>
        <tr r="N176" s="2"/>
      </tp>
      <tp t="s">
        <v/>
        <stp/>
        <stp>P</stp>
        <stp>0</stp>
        <stp>IDX</stp>
        <stp>FGA06P</stp>
        <stp>개인순매수금액</stp>
        <stp>45539</stp>
        <stp>Fill=true,Per=월</stp>
        <tr r="M290" s="2"/>
      </tp>
      <tp t="s">
        <v/>
        <stp/>
        <stp>P</stp>
        <stp>0</stp>
        <stp>IDX</stp>
        <stp>FGA07P</stp>
        <stp>개인순매수금액</stp>
        <stp>45539</stp>
        <stp>Fill=true,Per=월</stp>
        <tr r="M291" s="2"/>
      </tp>
      <tp t="s">
        <v/>
        <stp/>
        <stp>P</stp>
        <stp>0</stp>
        <stp>IDX</stp>
        <stp>FGA05P</stp>
        <stp>개인순매수금액</stp>
        <stp>45539</stp>
        <stp>Fill=true,Per=월</stp>
        <tr r="M289" s="2"/>
      </tp>
      <tp t="s">
        <v/>
        <stp/>
        <stp>P</stp>
        <stp>0</stp>
        <stp>IDX</stp>
        <stp>MGA09P</stp>
        <stp>개인순매수금액</stp>
        <stp>45539</stp>
        <stp>Fill=true,Per=월</stp>
        <tr r="M127" s="2"/>
      </tp>
      <tp t="s">
        <v/>
        <stp/>
        <stp>P</stp>
        <stp>0</stp>
        <stp>IDX</stp>
        <stp>MGA08P</stp>
        <stp>개인순매수금액</stp>
        <stp>45539</stp>
        <stp>Fill=true,Per=월</stp>
        <tr r="M126" s="2"/>
      </tp>
      <tp t="s">
        <v/>
        <stp/>
        <stp>P</stp>
        <stp>0</stp>
        <stp>IDX</stp>
        <stp>MGA05P</stp>
        <stp>개인순매수금액</stp>
        <stp>45539</stp>
        <stp>Fill=true,Per=월</stp>
        <tr r="M123" s="2"/>
      </tp>
      <tp t="s">
        <v/>
        <stp/>
        <stp>P</stp>
        <stp>0</stp>
        <stp>IDX</stp>
        <stp>MGA04P</stp>
        <stp>개인순매수금액</stp>
        <stp>45539</stp>
        <stp>Fill=true,Per=월</stp>
        <tr r="M122" s="2"/>
      </tp>
      <tp t="s">
        <v/>
        <stp/>
        <stp>P</stp>
        <stp>0</stp>
        <stp>IDX</stp>
        <stp>KGA01P</stp>
        <stp>개인순매수금액</stp>
        <stp>45539</stp>
        <stp>Fill=true,Per=월</stp>
        <tr r="M383" s="2"/>
      </tp>
      <tp t="s">
        <v/>
        <stp/>
        <stp>P</stp>
        <stp>0</stp>
        <stp>IDX</stp>
        <stp>MGA07P</stp>
        <stp>개인순매수금액</stp>
        <stp>45539</stp>
        <stp>Fill=true,Per=월</stp>
        <tr r="M125" s="2"/>
      </tp>
      <tp t="s">
        <v/>
        <stp/>
        <stp>P</stp>
        <stp>0</stp>
        <stp>IDX</stp>
        <stp>MGA06P</stp>
        <stp>개인순매수금액</stp>
        <stp>45539</stp>
        <stp>Fill=true,Per=월</stp>
        <tr r="M124" s="2"/>
      </tp>
      <tp t="s">
        <v/>
        <stp/>
        <stp>P</stp>
        <stp>0</stp>
        <stp>IDX</stp>
        <stp>MGA01P</stp>
        <stp>개인순매수금액</stp>
        <stp>45539</stp>
        <stp>Fill=true,Per=월</stp>
        <tr r="M111" s="2"/>
      </tp>
      <tp t="s">
        <v/>
        <stp/>
        <stp>P</stp>
        <stp>0</stp>
        <stp>IDX</stp>
        <stp>MGA03P</stp>
        <stp>개인순매수금액</stp>
        <stp>45539</stp>
        <stp>Fill=true,Per=월</stp>
        <tr r="M120" s="2"/>
      </tp>
      <tp t="s">
        <v/>
        <stp/>
        <stp>P</stp>
        <stp>0</stp>
        <stp>IDX</stp>
        <stp>MGA02P</stp>
        <stp>개인순매수금액</stp>
        <stp>45539</stp>
        <stp>Fill=true,Per=월</stp>
        <tr r="M112" s="2"/>
      </tp>
      <tp t="s">
        <v/>
        <stp/>
        <stp>P</stp>
        <stp>0</stp>
        <stp>IDX</stp>
        <stp>MGA15P</stp>
        <stp>개인순매수금액</stp>
        <stp>45539</stp>
        <stp>Fill=true,Per=월</stp>
        <tr r="M110" s="2"/>
      </tp>
      <tp t="s">
        <v/>
        <stp/>
        <stp>P</stp>
        <stp>0</stp>
        <stp>IDX</stp>
        <stp>MGA14P</stp>
        <stp>개인순매수금액</stp>
        <stp>45539</stp>
        <stp>Fill=true,Per=월</stp>
        <tr r="M108" s="2"/>
      </tp>
      <tp t="s">
        <v/>
        <stp/>
        <stp>P</stp>
        <stp>0</stp>
        <stp>IDX</stp>
        <stp>MGA11P</stp>
        <stp>개인순매수금액</stp>
        <stp>45539</stp>
        <stp>Fill=true,Per=월</stp>
        <tr r="M107" s="2"/>
      </tp>
      <tp t="s">
        <v/>
        <stp/>
        <stp>P</stp>
        <stp>0</stp>
        <stp>IDX</stp>
        <stp>MGA10P</stp>
        <stp>개인순매수금액</stp>
        <stp>45539</stp>
        <stp>Fill=true,Per=월</stp>
        <tr r="M121" s="2"/>
      </tp>
      <tp t="s">
        <v/>
        <stp/>
        <stp>P</stp>
        <stp>0</stp>
        <stp>IDX</stp>
        <stp>MGA12P</stp>
        <stp>개인순매수금액</stp>
        <stp>45539</stp>
        <stp>Fill=true,Per=월</stp>
        <tr r="M104" s="2"/>
      </tp>
      <tp t="s">
        <v/>
        <stp/>
        <stp>P</stp>
        <stp>0</stp>
        <stp>IDX</stp>
        <stp>XGD02P</stp>
        <stp>기관순매수금액</stp>
        <stp>45539</stp>
        <stp>Fill=true,Per=월</stp>
        <tr r="N175" s="2"/>
      </tp>
      <tp t="s">
        <v/>
        <stp/>
        <stp>P</stp>
        <stp>0</stp>
        <stp>IDX</stp>
        <stp>KGD03P</stp>
        <stp>기관순매수금액</stp>
        <stp>45539</stp>
        <stp>Fill=true,Per=월</stp>
        <tr r="N114" s="2"/>
      </tp>
      <tp t="s">
        <v/>
        <stp/>
        <stp>P</stp>
        <stp>0</stp>
        <stp>IDX</stp>
        <stp>KGD02P</stp>
        <stp>기관순매수금액</stp>
        <stp>45539</stp>
        <stp>Fill=true,Per=월</stp>
        <tr r="N195" s="2"/>
      </tp>
      <tp t="s">
        <v/>
        <stp/>
        <stp>P</stp>
        <stp>0</stp>
        <stp>IDX</stp>
        <stp>KGD01P</stp>
        <stp>기관순매수금액</stp>
        <stp>45539</stp>
        <stp>Fill=true,Per=월</stp>
        <tr r="N298" s="2"/>
      </tp>
      <tp t="s">
        <v/>
        <stp/>
        <stp>P</stp>
        <stp>0</stp>
        <stp>IDX</stp>
        <stp>GGG07P</stp>
        <stp>개인순매수금액</stp>
        <stp>45539</stp>
        <stp>Fill=true,Per=월</stp>
        <tr r="M337" s="2"/>
      </tp>
      <tp t="s">
        <v/>
        <stp/>
        <stp>P</stp>
        <stp>0</stp>
        <stp>IDX</stp>
        <stp>GGG06P</stp>
        <stp>개인순매수금액</stp>
        <stp>45539</stp>
        <stp>Fill=true,Per=월</stp>
        <tr r="M336" s="2"/>
      </tp>
      <tp t="s">
        <v/>
        <stp/>
        <stp>P</stp>
        <stp>0</stp>
        <stp>IDX</stp>
        <stp>GGG05P</stp>
        <stp>개인순매수금액</stp>
        <stp>45539</stp>
        <stp>Fill=true,Per=월</stp>
        <tr r="M335" s="2"/>
      </tp>
      <tp t="s">
        <v/>
        <stp/>
        <stp>P</stp>
        <stp>0</stp>
        <stp>IDX</stp>
        <stp>GGG04P</stp>
        <stp>개인순매수금액</stp>
        <stp>45539</stp>
        <stp>Fill=true,Per=월</stp>
        <tr r="M334" s="2"/>
      </tp>
      <tp t="s">
        <v/>
        <stp/>
        <stp>P</stp>
        <stp>0</stp>
        <stp>IDX</stp>
        <stp>GGG03P</stp>
        <stp>개인순매수금액</stp>
        <stp>45539</stp>
        <stp>Fill=true,Per=월</stp>
        <tr r="M333" s="2"/>
      </tp>
      <tp t="s">
        <v/>
        <stp/>
        <stp>P</stp>
        <stp>0</stp>
        <stp>IDX</stp>
        <stp>GGG02P</stp>
        <stp>개인순매수금액</stp>
        <stp>45539</stp>
        <stp>Fill=true,Per=월</stp>
        <tr r="M332" s="2"/>
      </tp>
      <tp t="s">
        <v/>
        <stp/>
        <stp>P</stp>
        <stp>0</stp>
        <stp>IDX</stp>
        <stp>GGG01P</stp>
        <stp>개인순매수금액</stp>
        <stp>45539</stp>
        <stp>Fill=true,Per=월</stp>
        <tr r="M331" s="2"/>
      </tp>
      <tp t="s">
        <v/>
        <stp/>
        <stp>P</stp>
        <stp>0</stp>
        <stp>IDX</stp>
        <stp>FGG01P</stp>
        <stp>개인순매수금액</stp>
        <stp>45539</stp>
        <stp>Fill=true,Per=월</stp>
        <tr r="M292" s="2"/>
      </tp>
      <tp t="s">
        <v/>
        <stp/>
        <stp>P</stp>
        <stp>0</stp>
        <stp>IDX</stp>
        <stp>GGG08P</stp>
        <stp>개인순매수금액</stp>
        <stp>45539</stp>
        <stp>Fill=true,Per=월</stp>
        <tr r="M338" s="2"/>
      </tp>
      <tp>
        <v>285547</v>
        <stp/>
        <stp>P</stp>
        <stp>0</stp>
        <stp>IDX</stp>
        <stp>QGG01P</stp>
        <stp>개인순매수금액</stp>
        <stp>45539</stp>
        <stp>Fill=true,Per=월</stp>
        <tr r="M26" s="2"/>
      </tp>
      <tp>
        <v>73342</v>
        <stp/>
        <stp>P</stp>
        <stp>0</stp>
        <stp>IDX</stp>
        <stp>QGG03P</stp>
        <stp>개인순매수금액</stp>
        <stp>45539</stp>
        <stp>Fill=true,Per=월</stp>
        <tr r="M39" s="2"/>
      </tp>
      <tp>
        <v>122149</v>
        <stp/>
        <stp>P</stp>
        <stp>0</stp>
        <stp>IDX</stp>
        <stp>QGG05P</stp>
        <stp>개인순매수금액</stp>
        <stp>45539</stp>
        <stp>Fill=true,Per=월</stp>
        <tr r="M60" s="2"/>
      </tp>
      <tp>
        <v>2867</v>
        <stp/>
        <stp>P</stp>
        <stp>0</stp>
        <stp>IDX</stp>
        <stp>QGG04P</stp>
        <stp>개인순매수금액</stp>
        <stp>45539</stp>
        <stp>Fill=true,Per=월</stp>
        <tr r="M73" s="2"/>
      </tp>
      <tp t="s">
        <v/>
        <stp/>
        <stp>P</stp>
        <stp>0</stp>
        <stp>IDX</stp>
        <stp>TGG01P</stp>
        <stp>개인순매수금액</stp>
        <stp>45539</stp>
        <stp>Fill=true,Per=월</stp>
        <tr r="M194" s="2"/>
      </tp>
      <tp t="s">
        <v/>
        <stp/>
        <stp>P</stp>
        <stp>0</stp>
        <stp>IDX</stp>
        <stp>TGG02P</stp>
        <stp>개인순매수금액</stp>
        <stp>45539</stp>
        <stp>Fill=true,Per=월</stp>
        <tr r="M193" s="2"/>
      </tp>
      <tp>
        <v>83382</v>
        <stp/>
        <stp>P</stp>
        <stp>0</stp>
        <stp>IDX</stp>
        <stp>QGG06P</stp>
        <stp>개인순매수금액</stp>
        <stp>45539</stp>
        <stp>Fill=true,Per=월</stp>
        <tr r="M63" s="2"/>
      </tp>
      <tp t="s">
        <v/>
        <stp/>
        <stp>P</stp>
        <stp>0</stp>
        <stp>IDX</stp>
        <stp>XGG01P</stp>
        <stp>개인순매수금액</stp>
        <stp>45539</stp>
        <stp>Fill=true,Per=월</stp>
        <tr r="M15" s="2"/>
      </tp>
      <tp t="s">
        <v/>
        <stp/>
        <stp>P</stp>
        <stp>0</stp>
        <stp>IDX</stp>
        <stp>XGG02P</stp>
        <stp>개인순매수금액</stp>
        <stp>45539</stp>
        <stp>Fill=true,Per=월</stp>
        <tr r="M129" s="2"/>
      </tp>
      <tp>
        <v>18030</v>
        <stp/>
        <stp>P</stp>
        <stp>0</stp>
        <stp>IDX</stp>
        <stp>QGG11P</stp>
        <stp>개인순매수금액</stp>
        <stp>45539</stp>
        <stp>Fill=true,Per=월</stp>
        <tr r="M58" s="2"/>
      </tp>
      <tp t="s">
        <v/>
        <stp/>
        <stp>P</stp>
        <stp>0</stp>
        <stp>IDX</stp>
        <stp>XGE01P</stp>
        <stp>기관순매수금액</stp>
        <stp>45539</stp>
        <stp>Fill=true,Per=월</stp>
        <tr r="N174" s="2"/>
      </tp>
      <tp t="s">
        <v/>
        <stp/>
        <stp>P</stp>
        <stp>0</stp>
        <stp>IDX</stp>
        <stp>XGE02P</stp>
        <stp>기관순매수금액</stp>
        <stp>45539</stp>
        <stp>Fill=true,Per=월</stp>
        <tr r="N173" s="2"/>
      </tp>
      <tp t="s">
        <v/>
        <stp/>
        <stp>P</stp>
        <stp>0</stp>
        <stp>IDX</stp>
        <stp>XGE03P</stp>
        <stp>기관순매수금액</stp>
        <stp>45539</stp>
        <stp>Fill=true,Per=월</stp>
        <tr r="N172" s="2"/>
      </tp>
      <tp t="s">
        <v/>
        <stp/>
        <stp>P</stp>
        <stp>0</stp>
        <stp>IDX</stp>
        <stp>XGE04P</stp>
        <stp>기관순매수금액</stp>
        <stp>45539</stp>
        <stp>Fill=true,Per=월</stp>
        <tr r="N171" s="2"/>
      </tp>
      <tp t="s">
        <v/>
        <stp/>
        <stp>P</stp>
        <stp>0</stp>
        <stp>IDX</stp>
        <stp>XGE05P</stp>
        <stp>기관순매수금액</stp>
        <stp>45539</stp>
        <stp>Fill=true,Per=월</stp>
        <tr r="N169" s="2"/>
      </tp>
      <tp t="s">
        <v/>
        <stp/>
        <stp>P</stp>
        <stp>0</stp>
        <stp>IDX</stp>
        <stp>GGE01P</stp>
        <stp>기관순매수금액</stp>
        <stp>45539</stp>
        <stp>Fill=true,Per=월</stp>
        <tr r="N330" s="2"/>
      </tp>
      <tp t="s">
        <v/>
        <stp/>
        <stp>P</stp>
        <stp>0</stp>
        <stp>IDX</stp>
        <stp>KGD03P</stp>
        <stp>개인순매수금액</stp>
        <stp>45539</stp>
        <stp>Fill=true,Per=월</stp>
        <tr r="M114" s="2"/>
      </tp>
      <tp t="s">
        <v/>
        <stp/>
        <stp>P</stp>
        <stp>0</stp>
        <stp>IDX</stp>
        <stp>KGD02P</stp>
        <stp>개인순매수금액</stp>
        <stp>45539</stp>
        <stp>Fill=true,Per=월</stp>
        <tr r="M195" s="2"/>
      </tp>
      <tp t="s">
        <v/>
        <stp/>
        <stp>P</stp>
        <stp>0</stp>
        <stp>IDX</stp>
        <stp>KGD01P</stp>
        <stp>개인순매수금액</stp>
        <stp>45539</stp>
        <stp>Fill=true,Per=월</stp>
        <tr r="M298" s="2"/>
      </tp>
      <tp t="s">
        <v/>
        <stp/>
        <stp>P</stp>
        <stp>0</stp>
        <stp>IDX</stp>
        <stp>XGD02P</stp>
        <stp>개인순매수금액</stp>
        <stp>45539</stp>
        <stp>Fill=true,Per=월</stp>
        <tr r="M175" s="2"/>
      </tp>
      <tp t="s">
        <v/>
        <stp/>
        <stp>P</stp>
        <stp>0</stp>
        <stp>IDX</stp>
        <stp>GGE01P</stp>
        <stp>개인순매수금액</stp>
        <stp>45539</stp>
        <stp>Fill=true,Per=월</stp>
        <tr r="M330" s="2"/>
      </tp>
      <tp t="s">
        <v/>
        <stp/>
        <stp>P</stp>
        <stp>0</stp>
        <stp>IDX</stp>
        <stp>XGE01P</stp>
        <stp>개인순매수금액</stp>
        <stp>45539</stp>
        <stp>Fill=true,Per=월</stp>
        <tr r="M174" s="2"/>
      </tp>
      <tp t="s">
        <v/>
        <stp/>
        <stp>P</stp>
        <stp>0</stp>
        <stp>IDX</stp>
        <stp>XGE02P</stp>
        <stp>개인순매수금액</stp>
        <stp>45539</stp>
        <stp>Fill=true,Per=월</stp>
        <tr r="M173" s="2"/>
      </tp>
      <tp t="s">
        <v/>
        <stp/>
        <stp>P</stp>
        <stp>0</stp>
        <stp>IDX</stp>
        <stp>XGE03P</stp>
        <stp>개인순매수금액</stp>
        <stp>45539</stp>
        <stp>Fill=true,Per=월</stp>
        <tr r="M172" s="2"/>
      </tp>
      <tp t="s">
        <v/>
        <stp/>
        <stp>P</stp>
        <stp>0</stp>
        <stp>IDX</stp>
        <stp>XGE04P</stp>
        <stp>개인순매수금액</stp>
        <stp>45539</stp>
        <stp>Fill=true,Per=월</stp>
        <tr r="M171" s="2"/>
      </tp>
      <tp t="s">
        <v/>
        <stp/>
        <stp>P</stp>
        <stp>0</stp>
        <stp>IDX</stp>
        <stp>XGE05P</stp>
        <stp>개인순매수금액</stp>
        <stp>45539</stp>
        <stp>Fill=true,Per=월</stp>
        <tr r="M169" s="2"/>
      </tp>
      <tp t="s">
        <v/>
        <stp/>
        <stp>P</stp>
        <stp>0</stp>
        <stp>IDX</stp>
        <stp>XGG01P</stp>
        <stp>기관순매수금액</stp>
        <stp>45539</stp>
        <stp>Fill=true,Per=월</stp>
        <tr r="N15" s="2"/>
      </tp>
      <tp t="s">
        <v/>
        <stp/>
        <stp>P</stp>
        <stp>0</stp>
        <stp>IDX</stp>
        <stp>XGG02P</stp>
        <stp>기관순매수금액</stp>
        <stp>45539</stp>
        <stp>Fill=true,Per=월</stp>
        <tr r="N129" s="2"/>
      </tp>
      <tp>
        <v>-154063</v>
        <stp/>
        <stp>P</stp>
        <stp>0</stp>
        <stp>IDX</stp>
        <stp>QGG01P</stp>
        <stp>기관순매수금액</stp>
        <stp>45539</stp>
        <stp>Fill=true,Per=월</stp>
        <tr r="N26" s="2"/>
      </tp>
      <tp>
        <v>-101420</v>
        <stp/>
        <stp>P</stp>
        <stp>0</stp>
        <stp>IDX</stp>
        <stp>QGG03P</stp>
        <stp>기관순매수금액</stp>
        <stp>45539</stp>
        <stp>Fill=true,Per=월</stp>
        <tr r="N39" s="2"/>
      </tp>
      <tp>
        <v>-12095</v>
        <stp/>
        <stp>P</stp>
        <stp>0</stp>
        <stp>IDX</stp>
        <stp>QGG05P</stp>
        <stp>기관순매수금액</stp>
        <stp>45539</stp>
        <stp>Fill=true,Per=월</stp>
        <tr r="N60" s="2"/>
      </tp>
      <tp>
        <v>7987</v>
        <stp/>
        <stp>P</stp>
        <stp>0</stp>
        <stp>IDX</stp>
        <stp>QGG04P</stp>
        <stp>기관순매수금액</stp>
        <stp>45539</stp>
        <stp>Fill=true,Per=월</stp>
        <tr r="N73" s="2"/>
      </tp>
      <tp t="s">
        <v/>
        <stp/>
        <stp>P</stp>
        <stp>0</stp>
        <stp>IDX</stp>
        <stp>TGG01P</stp>
        <stp>기관순매수금액</stp>
        <stp>45539</stp>
        <stp>Fill=true,Per=월</stp>
        <tr r="N194" s="2"/>
      </tp>
      <tp t="s">
        <v/>
        <stp/>
        <stp>P</stp>
        <stp>0</stp>
        <stp>IDX</stp>
        <stp>TGG02P</stp>
        <stp>기관순매수금액</stp>
        <stp>45539</stp>
        <stp>Fill=true,Per=월</stp>
        <tr r="N193" s="2"/>
      </tp>
      <tp>
        <v>-48875</v>
        <stp/>
        <stp>P</stp>
        <stp>0</stp>
        <stp>IDX</stp>
        <stp>QGG06P</stp>
        <stp>기관순매수금액</stp>
        <stp>45539</stp>
        <stp>Fill=true,Per=월</stp>
        <tr r="N63" s="2"/>
      </tp>
      <tp>
        <v>-662140</v>
        <stp/>
        <stp>P</stp>
        <stp>0</stp>
        <stp>IDX</stp>
        <stp>KGG01P</stp>
        <stp>기관순매수금액</stp>
        <stp>45539</stp>
        <stp>Fill=true,Per=월</stp>
        <tr r="N9" s="2"/>
      </tp>
      <tp t="s">
        <v/>
        <stp/>
        <stp>P</stp>
        <stp>0</stp>
        <stp>IDX</stp>
        <stp>GGG08P</stp>
        <stp>기관순매수금액</stp>
        <stp>45539</stp>
        <stp>Fill=true,Per=월</stp>
        <tr r="N338" s="2"/>
      </tp>
      <tp t="s">
        <v/>
        <stp/>
        <stp>P</stp>
        <stp>0</stp>
        <stp>IDX</stp>
        <stp>GGG07P</stp>
        <stp>기관순매수금액</stp>
        <stp>45539</stp>
        <stp>Fill=true,Per=월</stp>
        <tr r="N337" s="2"/>
      </tp>
      <tp t="s">
        <v/>
        <stp/>
        <stp>P</stp>
        <stp>0</stp>
        <stp>IDX</stp>
        <stp>GGG06P</stp>
        <stp>기관순매수금액</stp>
        <stp>45539</stp>
        <stp>Fill=true,Per=월</stp>
        <tr r="N336" s="2"/>
      </tp>
      <tp t="s">
        <v/>
        <stp/>
        <stp>P</stp>
        <stp>0</stp>
        <stp>IDX</stp>
        <stp>GGG05P</stp>
        <stp>기관순매수금액</stp>
        <stp>45539</stp>
        <stp>Fill=true,Per=월</stp>
        <tr r="N335" s="2"/>
      </tp>
      <tp t="s">
        <v/>
        <stp/>
        <stp>P</stp>
        <stp>0</stp>
        <stp>IDX</stp>
        <stp>GGG04P</stp>
        <stp>기관순매수금액</stp>
        <stp>45539</stp>
        <stp>Fill=true,Per=월</stp>
        <tr r="N334" s="2"/>
      </tp>
      <tp t="s">
        <v/>
        <stp/>
        <stp>P</stp>
        <stp>0</stp>
        <stp>IDX</stp>
        <stp>GGG03P</stp>
        <stp>기관순매수금액</stp>
        <stp>45539</stp>
        <stp>Fill=true,Per=월</stp>
        <tr r="N333" s="2"/>
      </tp>
      <tp t="s">
        <v/>
        <stp/>
        <stp>P</stp>
        <stp>0</stp>
        <stp>IDX</stp>
        <stp>GGG02P</stp>
        <stp>기관순매수금액</stp>
        <stp>45539</stp>
        <stp>Fill=true,Per=월</stp>
        <tr r="N332" s="2"/>
      </tp>
      <tp t="s">
        <v/>
        <stp/>
        <stp>P</stp>
        <stp>0</stp>
        <stp>IDX</stp>
        <stp>GGG01P</stp>
        <stp>기관순매수금액</stp>
        <stp>45539</stp>
        <stp>Fill=true,Per=월</stp>
        <tr r="N331" s="2"/>
      </tp>
      <tp t="s">
        <v/>
        <stp/>
        <stp>P</stp>
        <stp>0</stp>
        <stp>IDX</stp>
        <stp>FGG01P</stp>
        <stp>기관순매수금액</stp>
        <stp>45539</stp>
        <stp>Fill=true,Per=월</stp>
        <tr r="N292" s="2"/>
      </tp>
      <tp>
        <v>-58162</v>
        <stp/>
        <stp>P</stp>
        <stp>0</stp>
        <stp>IDX</stp>
        <stp>QGG11P</stp>
        <stp>기관순매수금액</stp>
        <stp>45539</stp>
        <stp>Fill=true,Per=월</stp>
        <tr r="N58" s="2"/>
      </tp>
      <tp t="s">
        <v/>
        <stp/>
        <stp>P</stp>
        <stp>0</stp>
        <stp>IDX</stp>
        <stp>XG901P</stp>
        <stp>기관순매수금액</stp>
        <stp>45539</stp>
        <stp>Fill=true,Per=월</stp>
        <tr r="N180" s="2"/>
      </tp>
      <tp t="s">
        <v/>
        <stp/>
        <stp>P</stp>
        <stp>0</stp>
        <stp>IDX</stp>
        <stp>XG902P</stp>
        <stp>기관순매수금액</stp>
        <stp>45539</stp>
        <stp>Fill=true,Per=월</stp>
        <tr r="N179" s="2"/>
      </tp>
      <tp t="s">
        <v/>
        <stp/>
        <stp>P</stp>
        <stp>0</stp>
        <stp>IDX</stp>
        <stp>XG903P</stp>
        <stp>기관순매수금액</stp>
        <stp>45539</stp>
        <stp>Fill=true,Per=월</stp>
        <tr r="N178" s="2"/>
      </tp>
      <tp t="s">
        <v/>
        <stp/>
        <stp>P</stp>
        <stp>0</stp>
        <stp>IDX</stp>
        <stp>XG904P</stp>
        <stp>기관순매수금액</stp>
        <stp>45539</stp>
        <stp>Fill=true,Per=월</stp>
        <tr r="N177" s="2"/>
      </tp>
      <tp t="s">
        <v/>
        <stp/>
        <stp>P</stp>
        <stp>0</stp>
        <stp>IDX</stp>
        <stp>OG909P</stp>
        <stp>기관순매수금액</stp>
        <stp>45539</stp>
        <stp>Fill=true,Per=월</stp>
        <tr r="N208" s="2"/>
      </tp>
      <tp t="s">
        <v/>
        <stp/>
        <stp>P</stp>
        <stp>0</stp>
        <stp>IDX</stp>
        <stp>FG901P</stp>
        <stp>기관순매수금액</stp>
        <stp>45539</stp>
        <stp>Fill=true,Per=월</stp>
        <tr r="N286" s="2"/>
      </tp>
      <tp t="s">
        <v/>
        <stp/>
        <stp>P</stp>
        <stp>0</stp>
        <stp>IDX</stp>
        <stp>OG914P</stp>
        <stp>기관순매수금액</stp>
        <stp>45539</stp>
        <stp>Fill=true,Per=월</stp>
        <tr r="N205" s="2"/>
      </tp>
      <tp t="s">
        <v/>
        <stp/>
        <stp>P</stp>
        <stp>0</stp>
        <stp>IDX</stp>
        <stp>OG913P</stp>
        <stp>기관순매수금액</stp>
        <stp>45539</stp>
        <stp>Fill=true,Per=월</stp>
        <tr r="N206" s="2"/>
      </tp>
      <tp t="s">
        <v/>
        <stp/>
        <stp>P</stp>
        <stp>0</stp>
        <stp>IDX</stp>
        <stp>OG912P</stp>
        <stp>기관순매수금액</stp>
        <stp>45539</stp>
        <stp>Fill=true,Per=월</stp>
        <tr r="N207" s="2"/>
      </tp>
      <tp t="s">
        <v/>
        <stp/>
        <stp>P</stp>
        <stp>0</stp>
        <stp>IDX</stp>
        <stp>OG909P</stp>
        <stp>개인순매수금액</stp>
        <stp>45539</stp>
        <stp>Fill=true,Per=월</stp>
        <tr r="M208" s="2"/>
      </tp>
      <tp t="s">
        <v/>
        <stp/>
        <stp>P</stp>
        <stp>0</stp>
        <stp>IDX</stp>
        <stp>FG901P</stp>
        <stp>개인순매수금액</stp>
        <stp>45539</stp>
        <stp>Fill=true,Per=월</stp>
        <tr r="M286" s="2"/>
      </tp>
      <tp t="s">
        <v/>
        <stp/>
        <stp>P</stp>
        <stp>0</stp>
        <stp>IDX</stp>
        <stp>XG901P</stp>
        <stp>개인순매수금액</stp>
        <stp>45539</stp>
        <stp>Fill=true,Per=월</stp>
        <tr r="M180" s="2"/>
      </tp>
      <tp t="s">
        <v/>
        <stp/>
        <stp>P</stp>
        <stp>0</stp>
        <stp>IDX</stp>
        <stp>XG902P</stp>
        <stp>개인순매수금액</stp>
        <stp>45539</stp>
        <stp>Fill=true,Per=월</stp>
        <tr r="M179" s="2"/>
      </tp>
      <tp t="s">
        <v/>
        <stp/>
        <stp>P</stp>
        <stp>0</stp>
        <stp>IDX</stp>
        <stp>XG903P</stp>
        <stp>개인순매수금액</stp>
        <stp>45539</stp>
        <stp>Fill=true,Per=월</stp>
        <tr r="M178" s="2"/>
      </tp>
      <tp t="s">
        <v/>
        <stp/>
        <stp>P</stp>
        <stp>0</stp>
        <stp>IDX</stp>
        <stp>XG904P</stp>
        <stp>개인순매수금액</stp>
        <stp>45539</stp>
        <stp>Fill=true,Per=월</stp>
        <tr r="M177" s="2"/>
      </tp>
      <tp t="s">
        <v/>
        <stp/>
        <stp>P</stp>
        <stp>0</stp>
        <stp>IDX</stp>
        <stp>OG914P</stp>
        <stp>개인순매수금액</stp>
        <stp>45539</stp>
        <stp>Fill=true,Per=월</stp>
        <tr r="M205" s="2"/>
      </tp>
      <tp t="s">
        <v/>
        <stp/>
        <stp>P</stp>
        <stp>0</stp>
        <stp>IDX</stp>
        <stp>OG913P</stp>
        <stp>개인순매수금액</stp>
        <stp>45539</stp>
        <stp>Fill=true,Per=월</stp>
        <tr r="M206" s="2"/>
      </tp>
      <tp t="s">
        <v/>
        <stp/>
        <stp>P</stp>
        <stp>0</stp>
        <stp>IDX</stp>
        <stp>OG912P</stp>
        <stp>개인순매수금액</stp>
        <stp>45539</stp>
        <stp>Fill=true,Per=월</stp>
        <tr r="M207" s="2"/>
      </tp>
      <tp>
        <v>-1.089999999999975</v>
        <stp/>
        <stp>P</stp>
        <stp>0</stp>
        <stp>IDX</stp>
        <stp>O2916T</stp>
        <stp>전일대비</stp>
        <stp>45539</stp>
        <stp>Fill=true,Per=월</stp>
        <tr r="F119" s="2"/>
      </tp>
      <tp>
        <v>-2.3199999999999363</v>
        <stp/>
        <stp>P</stp>
        <stp>0</stp>
        <stp>IDX</stp>
        <stp>O2916P</stp>
        <stp>전일대비</stp>
        <stp>45539</stp>
        <stp>Fill=true,Per=월</stp>
        <tr r="F100" s="2"/>
      </tp>
      <tp>
        <v>39.009999999999991</v>
        <stp/>
        <stp>P</stp>
        <stp>0</stp>
        <stp>IDX</stp>
        <stp>OG914P</stp>
        <stp>전일대비</stp>
        <stp>45539</stp>
        <stp>Fill=true,Per=월</stp>
        <tr r="F205" s="2"/>
      </tp>
      <tp>
        <v>8.8899999999999864</v>
        <stp/>
        <stp>P</stp>
        <stp>0</stp>
        <stp>IDX</stp>
        <stp>OG912P</stp>
        <stp>전일대비</stp>
        <stp>45539</stp>
        <stp>Fill=true,Per=월</stp>
        <tr r="F207" s="2"/>
      </tp>
      <tp>
        <v>-5.8599999999999852</v>
        <stp/>
        <stp>P</stp>
        <stp>0</stp>
        <stp>IDX</stp>
        <stp>OG913P</stp>
        <stp>전일대비</stp>
        <stp>45539</stp>
        <stp>Fill=true,Per=월</stp>
        <tr r="F206" s="2"/>
      </tp>
      <tp>
        <v>25.519999999999982</v>
        <stp/>
        <stp>P</stp>
        <stp>0</stp>
        <stp>IDX</stp>
        <stp>O2904P</stp>
        <stp>전일대비</stp>
        <stp>45539</stp>
        <stp>Fill=true,Per=월</stp>
        <tr r="F102" s="2"/>
      </tp>
      <tp>
        <v>-12.299999999999955</v>
        <stp/>
        <stp>P</stp>
        <stp>0</stp>
        <stp>IDX</stp>
        <stp>K2901P</stp>
        <stp>전일대비</stp>
        <stp>45539</stp>
        <stp>Fill=true,Per=월</stp>
        <tr r="F343" s="2"/>
      </tp>
      <tp>
        <v>-1.3299999999999841</v>
        <stp/>
        <stp>P</stp>
        <stp>0</stp>
        <stp>IDX</stp>
        <stp>O2905P</stp>
        <stp>전일대비</stp>
        <stp>45539</stp>
        <stp>Fill=true,Per=월</stp>
        <tr r="F101" s="2"/>
      </tp>
      <tp>
        <v>-0.87999999999999545</v>
        <stp/>
        <stp>P</stp>
        <stp>0</stp>
        <stp>IDX</stp>
        <stp>O2902P</stp>
        <stp>전일대비</stp>
        <stp>45539</stp>
        <stp>Fill=true,Per=월</stp>
        <tr r="F109" s="2"/>
      </tp>
      <tp>
        <v>2.2799999999999727</v>
        <stp/>
        <stp>P</stp>
        <stp>0</stp>
        <stp>IDX</stp>
        <stp>O2903P</stp>
        <stp>전일대비</stp>
        <stp>45539</stp>
        <stp>Fill=true,Per=월</stp>
        <tr r="F103" s="2"/>
      </tp>
      <tp>
        <v>0.92000000000000171</v>
        <stp/>
        <stp>P</stp>
        <stp>0</stp>
        <stp>IDX</stp>
        <stp>O2901P</stp>
        <stp>전일대비</stp>
        <stp>45539</stp>
        <stp>Fill=true,Per=월</stp>
        <tr r="F105" s="2"/>
      </tp>
      <tp>
        <v>-1.1499999999999773</v>
        <stp/>
        <stp>P</stp>
        <stp>0</stp>
        <stp>IDX</stp>
        <stp>FT904P</stp>
        <stp>전일대비</stp>
        <stp>45539</stp>
        <stp>Fill=true,Per=월</stp>
        <tr r="F314" s="2"/>
      </tp>
      <tp>
        <v>-9.8900000000003274</v>
        <stp/>
        <stp>P</stp>
        <stp>0</stp>
        <stp>IDX</stp>
        <stp>F2902T</stp>
        <stp>전일대비</stp>
        <stp>45539</stp>
        <stp>Fill=true,Per=월</stp>
        <tr r="F211" s="2"/>
      </tp>
      <tp>
        <v>-7.5399999999999636</v>
        <stp/>
        <stp>P</stp>
        <stp>0</stp>
        <stp>IDX</stp>
        <stp>F5902T</stp>
        <stp>전일대비</stp>
        <stp>45539</stp>
        <stp>Fill=true,Per=월</stp>
        <tr r="F274" s="2"/>
      </tp>
      <tp>
        <v>-1.6900000000000546</v>
        <stp/>
        <stp>P</stp>
        <stp>0</stp>
        <stp>IDX</stp>
        <stp>FT901P</stp>
        <stp>전일대비</stp>
        <stp>45539</stp>
        <stp>Fill=true,Per=월</stp>
        <tr r="F313" s="2"/>
      </tp>
      <tp>
        <v>28.879999999999995</v>
        <stp/>
        <stp>P</stp>
        <stp>0</stp>
        <stp>IDX</stp>
        <stp>FG901P</stp>
        <stp>전일대비</stp>
        <stp>45539</stp>
        <stp>Fill=true,Per=월</stp>
        <tr r="F286" s="2"/>
      </tp>
      <tp>
        <v>-14.509999999999991</v>
        <stp/>
        <stp>P</stp>
        <stp>0</stp>
        <stp>IDX</stp>
        <stp>F5901P</stp>
        <stp>전일대비</stp>
        <stp>45539</stp>
        <stp>Fill=true,Per=월</stp>
        <tr r="F273" s="2"/>
      </tp>
      <tp>
        <v>-17.649999999999864</v>
        <stp/>
        <stp>P</stp>
        <stp>0</stp>
        <stp>IDX</stp>
        <stp>F2901P</stp>
        <stp>전일대비</stp>
        <stp>45539</stp>
        <stp>Fill=true,Per=월</stp>
        <tr r="F379" s="2"/>
      </tp>
      <tp>
        <v>-6.1999999999998181</v>
        <stp/>
        <stp>P</stp>
        <stp>0</stp>
        <stp>IDX</stp>
        <stp>OG909P</stp>
        <stp>전일대비</stp>
        <stp>45539</stp>
        <stp>Fill=true,Per=월</stp>
        <tr r="F208" s="2"/>
      </tp>
      <tp>
        <v>-14.040000000000191</v>
        <stp/>
        <stp>P</stp>
        <stp>0</stp>
        <stp>IDX</stp>
        <stp>XG901P</stp>
        <stp>전일대비</stp>
        <stp>45539</stp>
        <stp>Fill=true,Per=월</stp>
        <tr r="F180" s="2"/>
      </tp>
      <tp>
        <v>-14.160000000000082</v>
        <stp/>
        <stp>P</stp>
        <stp>0</stp>
        <stp>IDX</stp>
        <stp>XG903P</stp>
        <stp>전일대비</stp>
        <stp>45539</stp>
        <stp>Fill=true,Per=월</stp>
        <tr r="F178" s="2"/>
      </tp>
      <tp>
        <v>-13.579999999999927</v>
        <stp/>
        <stp>P</stp>
        <stp>0</stp>
        <stp>IDX</stp>
        <stp>XG902P</stp>
        <stp>전일대비</stp>
        <stp>45539</stp>
        <stp>Fill=true,Per=월</stp>
        <tr r="F179" s="2"/>
      </tp>
      <tp>
        <v>16.080000000000041</v>
        <stp/>
        <stp>P</stp>
        <stp>0</stp>
        <stp>IDX</stp>
        <stp>XG904P</stp>
        <stp>전일대비</stp>
        <stp>45539</stp>
        <stp>Fill=true,Per=월</stp>
        <tr r="F177" s="2"/>
      </tp>
      <tp>
        <v>671103</v>
        <stp/>
        <stp>P</stp>
        <stp>0</stp>
        <stp>IDX</stp>
        <stp>KGG01P</stp>
        <stp>개인순매수금액</stp>
        <stp>45539</stp>
        <stp>fill=true,Per=월</stp>
        <tr r="M9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15" dropStyle="combo" dx="22" fmlaLink="filter!$B$21" fmlaRange="filter!$B$22:$B$30" noThreeD="1" sel="1" val="0"/>
</file>

<file path=xl/ctrlProps/ctrlProp2.xml><?xml version="1.0" encoding="utf-8"?>
<formControlPr xmlns="http://schemas.microsoft.com/office/spreadsheetml/2009/9/main" objectType="Drop" dropLines="15" dropStyle="combo" dx="22" fmlaLink="filter!$C$21" fmlaRange="filter!$C$22:$C$28" noThreeD="1" sel="1" val="0"/>
</file>

<file path=xl/ctrlProps/ctrlProp3.xml><?xml version="1.0" encoding="utf-8"?>
<formControlPr xmlns="http://schemas.microsoft.com/office/spreadsheetml/2009/9/main" objectType="Drop" dropLines="15" dropStyle="combo" dx="22" fmlaLink="filter!$D$21" fmlaRange="filter!$D$22:$D$34" noThreeD="1" sel="1" val="0"/>
</file>

<file path=xl/ctrlProps/ctrlProp4.xml><?xml version="1.0" encoding="utf-8"?>
<formControlPr xmlns="http://schemas.microsoft.com/office/spreadsheetml/2009/9/main" objectType="Drop" dropLines="15" dropStyle="combo" dx="22" fmlaLink="filter!$G$21" fmlaRange="filter!$G$22:$G$25" noThreeD="1" sel="1" val="0"/>
</file>

<file path=xl/ctrlProps/ctrlProp5.xml><?xml version="1.0" encoding="utf-8"?>
<formControlPr xmlns="http://schemas.microsoft.com/office/spreadsheetml/2009/9/main" objectType="Drop" dropLines="15" dropStyle="combo" dx="22" fmlaLink="filter!$M$2" fmlaRange="filter!$L$3:$L$16" noThreeD="1" sel="2" val="0"/>
</file>

<file path=xl/ctrlProps/ctrlProp6.xml><?xml version="1.0" encoding="utf-8"?>
<formControlPr xmlns="http://schemas.microsoft.com/office/spreadsheetml/2009/9/main" objectType="Drop" dropLines="15" dropStyle="combo" dx="22" fmlaLink="filter!$N$2" fmlaRange="filter!$L$3:$L$16" noThreeD="1" sel="3" val="0"/>
</file>

<file path=xl/ctrlProps/ctrlProp7.xml><?xml version="1.0" encoding="utf-8"?>
<formControlPr xmlns="http://schemas.microsoft.com/office/spreadsheetml/2009/9/main" objectType="Drop" dropLines="15" dropStyle="combo" dx="22" fmlaLink="filter!$L$2" fmlaRange="filter!$L$3:$L$16" noThreeD="1" sel="1" val="0"/>
</file>

<file path=xl/ctrlProps/ctrlProp8.xml><?xml version="1.0" encoding="utf-8"?>
<formControlPr xmlns="http://schemas.microsoft.com/office/spreadsheetml/2009/9/main" objectType="GBox" noThreeD="1"/>
</file>

<file path=xl/ctrlProps/ctrlProp9.xml><?xml version="1.0" encoding="utf-8"?>
<formControlPr xmlns="http://schemas.microsoft.com/office/spreadsheetml/2009/9/main" objectType="Drop" dropLines="15" dropStyle="combo" dx="22" fmlaLink="filter!$R$2" fmlaRange="filter!$R$3:$R$6" noThreeD="1" sel="1" val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R392"/>
  <sheetViews>
    <sheetView workbookViewId="0">
      <selection activeCell="R1" sqref="R1"/>
    </sheetView>
  </sheetViews>
  <sheetFormatPr defaultRowHeight="16.5"/>
  <cols>
    <col min="9" max="9" width="3.875" bestFit="1" customWidth="1"/>
    <col min="10" max="10" width="8.375" bestFit="1" customWidth="1"/>
  </cols>
  <sheetData>
    <row r="1" spans="2:18" ht="17.25" thickBot="1">
      <c r="R1" t="str" cm="1">
        <f t="array" ref="R1">INDEX($R$3:$R$6,$R$2)</f>
        <v>월</v>
      </c>
    </row>
    <row r="2" spans="2:18" ht="17.25" thickBot="1">
      <c r="B2" s="10" t="s">
        <v>426</v>
      </c>
      <c r="C2" s="10" t="s">
        <v>424</v>
      </c>
      <c r="D2" s="10" t="s">
        <v>425</v>
      </c>
      <c r="E2" s="11"/>
      <c r="F2" s="11"/>
      <c r="G2" s="10" t="s">
        <v>42</v>
      </c>
      <c r="J2" s="9" t="s">
        <v>427</v>
      </c>
      <c r="L2">
        <v>1</v>
      </c>
      <c r="M2">
        <v>2</v>
      </c>
      <c r="N2">
        <v>3</v>
      </c>
      <c r="R2">
        <v>2</v>
      </c>
    </row>
    <row r="3" spans="2:18" ht="17.25" thickBot="1">
      <c r="B3" s="3">
        <v>1</v>
      </c>
      <c r="C3" s="4">
        <v>2</v>
      </c>
      <c r="D3" s="4">
        <v>3</v>
      </c>
      <c r="E3" s="4">
        <v>4</v>
      </c>
      <c r="F3" s="4">
        <v>5</v>
      </c>
      <c r="G3" s="5">
        <v>6</v>
      </c>
      <c r="I3">
        <f>IF( ISNUMBER(SEARCH($H$18, J3)), MAX($I$2:$I2)+1, 0 )</f>
        <v>1</v>
      </c>
      <c r="J3" s="8" t="s">
        <v>48</v>
      </c>
      <c r="L3" t="s">
        <v>445</v>
      </c>
      <c r="R3" t="s">
        <v>461</v>
      </c>
    </row>
    <row r="4" spans="2:18">
      <c r="B4" s="12" t="s">
        <v>0</v>
      </c>
      <c r="C4" s="12" t="s">
        <v>3</v>
      </c>
      <c r="D4" s="12" t="s">
        <v>3</v>
      </c>
      <c r="G4" s="12" t="s">
        <v>43</v>
      </c>
      <c r="I4">
        <f>IF( ISNUMBER(SEARCH($H$18, J4)), MAX($I$2:$I3)+1, 0 )</f>
        <v>2</v>
      </c>
      <c r="J4" s="6" t="s">
        <v>219</v>
      </c>
      <c r="L4" t="s">
        <v>443</v>
      </c>
      <c r="R4" t="s">
        <v>462</v>
      </c>
    </row>
    <row r="5" spans="2:18">
      <c r="B5" s="2" t="s">
        <v>1</v>
      </c>
      <c r="C5" s="2">
        <v>2</v>
      </c>
      <c r="D5" s="2" t="s">
        <v>23</v>
      </c>
      <c r="G5" s="2" t="s">
        <v>7</v>
      </c>
      <c r="I5">
        <f>IF( ISNUMBER(SEARCH($H$18, J5)), MAX($I$2:$I4)+1, 0 )</f>
        <v>3</v>
      </c>
      <c r="J5" s="6" t="s">
        <v>105</v>
      </c>
      <c r="L5" t="s">
        <v>444</v>
      </c>
      <c r="R5" t="s">
        <v>463</v>
      </c>
    </row>
    <row r="6" spans="2:18">
      <c r="B6" s="2" t="s">
        <v>2</v>
      </c>
      <c r="C6" s="2">
        <v>5</v>
      </c>
      <c r="D6" s="2" t="s">
        <v>24</v>
      </c>
      <c r="G6" s="2" t="s">
        <v>44</v>
      </c>
      <c r="I6">
        <f>IF( ISNUMBER(SEARCH($H$18, J6)), MAX($I$2:$I5)+1, 0 )</f>
        <v>4</v>
      </c>
      <c r="J6" s="6" t="s">
        <v>80</v>
      </c>
      <c r="L6" t="s">
        <v>446</v>
      </c>
      <c r="R6" t="s">
        <v>464</v>
      </c>
    </row>
    <row r="7" spans="2:18">
      <c r="B7" s="2" t="s">
        <v>3</v>
      </c>
      <c r="C7" s="2">
        <v>3</v>
      </c>
      <c r="D7" s="2" t="s">
        <v>25</v>
      </c>
      <c r="I7">
        <f>IF( ISNUMBER(SEARCH($H$18, J7)), MAX($I$2:$I6)+1, 0 )</f>
        <v>5</v>
      </c>
      <c r="J7" s="6" t="s">
        <v>111</v>
      </c>
      <c r="L7" t="s">
        <v>447</v>
      </c>
    </row>
    <row r="8" spans="2:18">
      <c r="B8" s="2" t="s">
        <v>4</v>
      </c>
      <c r="C8" s="2" t="s">
        <v>7</v>
      </c>
      <c r="D8" s="2" t="s">
        <v>26</v>
      </c>
      <c r="I8">
        <f>IF( ISNUMBER(SEARCH($H$18, J8)), MAX($I$2:$I7)+1, 0 )</f>
        <v>6</v>
      </c>
      <c r="J8" s="6" t="s">
        <v>206</v>
      </c>
      <c r="L8" t="s">
        <v>448</v>
      </c>
    </row>
    <row r="9" spans="2:18">
      <c r="B9" s="2" t="s">
        <v>5</v>
      </c>
      <c r="C9" s="2" t="s">
        <v>22</v>
      </c>
      <c r="D9" s="2" t="s">
        <v>7</v>
      </c>
      <c r="I9">
        <f>IF( ISNUMBER(SEARCH($H$18, J9)), MAX($I$2:$I8)+1, 0 )</f>
        <v>7</v>
      </c>
      <c r="J9" s="6" t="s">
        <v>166</v>
      </c>
      <c r="L9" t="s">
        <v>449</v>
      </c>
    </row>
    <row r="10" spans="2:18">
      <c r="B10" s="2" t="s">
        <v>6</v>
      </c>
      <c r="D10" s="2" t="s">
        <v>27</v>
      </c>
      <c r="I10">
        <f>IF( ISNUMBER(SEARCH($H$18, J10)), MAX($I$2:$I9)+1, 0 )</f>
        <v>8</v>
      </c>
      <c r="J10" s="6" t="s">
        <v>71</v>
      </c>
      <c r="L10" t="s">
        <v>64</v>
      </c>
    </row>
    <row r="11" spans="2:18">
      <c r="B11" s="2" t="s">
        <v>7</v>
      </c>
      <c r="D11" s="2" t="s">
        <v>28</v>
      </c>
      <c r="I11">
        <f>IF( ISNUMBER(SEARCH($H$18, J11)), MAX($I$2:$I10)+1, 0 )</f>
        <v>9</v>
      </c>
      <c r="J11" s="6" t="s">
        <v>106</v>
      </c>
      <c r="L11" t="s">
        <v>450</v>
      </c>
    </row>
    <row r="12" spans="2:18">
      <c r="D12" s="2" t="s">
        <v>2</v>
      </c>
      <c r="I12">
        <f>IF( ISNUMBER(SEARCH($H$18, J12)), MAX($I$2:$I11)+1, 0 )</f>
        <v>10</v>
      </c>
      <c r="J12" s="6" t="s">
        <v>81</v>
      </c>
      <c r="L12" t="s">
        <v>451</v>
      </c>
    </row>
    <row r="13" spans="2:18">
      <c r="D13" s="2" t="s">
        <v>29</v>
      </c>
      <c r="I13">
        <f>IF( ISNUMBER(SEARCH($H$18, J13)), MAX($I$2:$I12)+1, 0 )</f>
        <v>11</v>
      </c>
      <c r="J13" s="6" t="s">
        <v>66</v>
      </c>
      <c r="L13" t="s">
        <v>452</v>
      </c>
    </row>
    <row r="14" spans="2:18">
      <c r="D14" s="2" t="s">
        <v>30</v>
      </c>
      <c r="I14">
        <f>IF( ISNUMBER(SEARCH($H$18, J14)), MAX($I$2:$I13)+1, 0 )</f>
        <v>12</v>
      </c>
      <c r="J14" s="6" t="s">
        <v>107</v>
      </c>
      <c r="L14" t="s">
        <v>453</v>
      </c>
    </row>
    <row r="15" spans="2:18">
      <c r="D15" s="2">
        <v>9</v>
      </c>
      <c r="I15">
        <f>IF( ISNUMBER(SEARCH($H$18, J15)), MAX($I$2:$I14)+1, 0 )</f>
        <v>13</v>
      </c>
      <c r="J15" s="6" t="s">
        <v>82</v>
      </c>
      <c r="L15" t="s">
        <v>454</v>
      </c>
    </row>
    <row r="16" spans="2:18">
      <c r="I16">
        <f>IF( ISNUMBER(SEARCH($H$18, J16)), MAX($I$2:$I15)+1, 0 )</f>
        <v>14</v>
      </c>
      <c r="J16" s="6" t="s">
        <v>57</v>
      </c>
      <c r="L16" t="s">
        <v>455</v>
      </c>
    </row>
    <row r="17" spans="2:10">
      <c r="I17">
        <f>IF( ISNUMBER(SEARCH($H$18, J17)), MAX($I$2:$I16)+1, 0 )</f>
        <v>15</v>
      </c>
      <c r="J17" s="6" t="s">
        <v>109</v>
      </c>
    </row>
    <row r="18" spans="2:10">
      <c r="B18" s="1" t="str" cm="1">
        <f t="array" ref="B18">IF(filter!B$21=1, "?", INDEX(filter!B$4:B$15, filter!B$21))</f>
        <v>?</v>
      </c>
      <c r="C18" s="1" t="str" cm="1">
        <f t="array" ref="C18">IF(filter!C$21=1, "?", INDEX(filter!C$4:C$15, filter!C$21))</f>
        <v>?</v>
      </c>
      <c r="D18" s="1" t="str" cm="1">
        <f t="array" ref="D18">IF(filter!D$21=1, "?", INDEX(filter!D$4:D$15, filter!D$21))</f>
        <v>?</v>
      </c>
      <c r="E18" s="1" t="s">
        <v>429</v>
      </c>
      <c r="F18" s="1" t="s">
        <v>429</v>
      </c>
      <c r="G18" s="1" t="str" cm="1">
        <f t="array" ref="G18">IF(filter!G$21=1, "?", INDEX(filter!G$4:G$15, filter!G$21))</f>
        <v>?</v>
      </c>
      <c r="H18" t="str">
        <f>CONCATENATE(filter!$B$18,filter!$C$18,filter!$D$18,filter!$E$18,filter!$F$18,filter!$G$18)</f>
        <v>??????</v>
      </c>
      <c r="I18">
        <f>IF( ISNUMBER(SEARCH($H$18, J18)), MAX($I$2:$I17)+1, 0 )</f>
        <v>16</v>
      </c>
      <c r="J18" s="6" t="s">
        <v>113</v>
      </c>
    </row>
    <row r="19" spans="2:10">
      <c r="I19">
        <f>IF( ISNUMBER(SEARCH($H$18, J19)), MAX($I$2:$I18)+1, 0 )</f>
        <v>17</v>
      </c>
      <c r="J19" s="6" t="s">
        <v>94</v>
      </c>
    </row>
    <row r="20" spans="2:10">
      <c r="I20">
        <f>IF( ISNUMBER(SEARCH($H$18, J20)), MAX($I$2:$I19)+1, 0 )</f>
        <v>18</v>
      </c>
      <c r="J20" s="6" t="s">
        <v>125</v>
      </c>
    </row>
    <row r="21" spans="2:10">
      <c r="B21">
        <v>1</v>
      </c>
      <c r="C21">
        <v>1</v>
      </c>
      <c r="D21">
        <v>1</v>
      </c>
      <c r="G21">
        <v>1</v>
      </c>
      <c r="I21">
        <f>IF( ISNUMBER(SEARCH($H$18, J21)), MAX($I$2:$I20)+1, 0 )</f>
        <v>19</v>
      </c>
      <c r="J21" s="6" t="s">
        <v>62</v>
      </c>
    </row>
    <row r="22" spans="2:10">
      <c r="B22" s="13" t="s">
        <v>428</v>
      </c>
      <c r="C22" s="13" t="s">
        <v>424</v>
      </c>
      <c r="D22" s="10" t="s">
        <v>425</v>
      </c>
      <c r="E22" s="13"/>
      <c r="F22" s="13"/>
      <c r="G22" s="13" t="s">
        <v>42</v>
      </c>
      <c r="I22">
        <f>IF( ISNUMBER(SEARCH($H$18, J22)), MAX($I$2:$I21)+1, 0 )</f>
        <v>20</v>
      </c>
      <c r="J22" s="6" t="s">
        <v>191</v>
      </c>
    </row>
    <row r="23" spans="2:10">
      <c r="B23" s="1" t="s">
        <v>8</v>
      </c>
      <c r="C23" s="1" t="s">
        <v>16</v>
      </c>
      <c r="D23" s="1" t="s">
        <v>16</v>
      </c>
      <c r="G23" s="1" t="s">
        <v>45</v>
      </c>
      <c r="I23">
        <f>IF( ISNUMBER(SEARCH($H$18, J23)), MAX($I$2:$I22)+1, 0 )</f>
        <v>21</v>
      </c>
      <c r="J23" s="6" t="s">
        <v>132</v>
      </c>
    </row>
    <row r="24" spans="2:10">
      <c r="B24" s="1" t="s">
        <v>9</v>
      </c>
      <c r="C24" s="1" t="s">
        <v>17</v>
      </c>
      <c r="D24" s="1" t="s">
        <v>31</v>
      </c>
      <c r="G24" s="1" t="s">
        <v>46</v>
      </c>
      <c r="I24">
        <f>IF( ISNUMBER(SEARCH($H$18, J24)), MAX($I$2:$I23)+1, 0 )</f>
        <v>22</v>
      </c>
      <c r="J24" s="6" t="s">
        <v>72</v>
      </c>
    </row>
    <row r="25" spans="2:10">
      <c r="B25" s="1" t="s">
        <v>10</v>
      </c>
      <c r="C25" s="1" t="s">
        <v>18</v>
      </c>
      <c r="D25" s="1" t="s">
        <v>32</v>
      </c>
      <c r="G25" s="1" t="s">
        <v>47</v>
      </c>
      <c r="I25">
        <f>IF( ISNUMBER(SEARCH($H$18, J25)), MAX($I$2:$I24)+1, 0 )</f>
        <v>23</v>
      </c>
      <c r="J25" s="6" t="s">
        <v>114</v>
      </c>
    </row>
    <row r="26" spans="2:10">
      <c r="B26" s="1" t="s">
        <v>11</v>
      </c>
      <c r="C26" s="1" t="s">
        <v>19</v>
      </c>
      <c r="D26" s="1" t="s">
        <v>33</v>
      </c>
      <c r="I26">
        <f>IF( ISNUMBER(SEARCH($H$18, J26)), MAX($I$2:$I25)+1, 0 )</f>
        <v>24</v>
      </c>
      <c r="J26" s="6" t="s">
        <v>90</v>
      </c>
    </row>
    <row r="27" spans="2:10">
      <c r="B27" s="1" t="s">
        <v>12</v>
      </c>
      <c r="C27" s="1" t="s">
        <v>20</v>
      </c>
      <c r="D27" s="1" t="s">
        <v>34</v>
      </c>
      <c r="I27">
        <f>IF( ISNUMBER(SEARCH($H$18, J27)), MAX($I$2:$I26)+1, 0 )</f>
        <v>25</v>
      </c>
      <c r="J27" s="6" t="s">
        <v>58</v>
      </c>
    </row>
    <row r="28" spans="2:10">
      <c r="B28" s="1" t="s">
        <v>13</v>
      </c>
      <c r="C28" s="1" t="s">
        <v>21</v>
      </c>
      <c r="D28" s="1" t="s">
        <v>35</v>
      </c>
      <c r="I28">
        <f>IF( ISNUMBER(SEARCH($H$18, J28)), MAX($I$2:$I27)+1, 0 )</f>
        <v>26</v>
      </c>
      <c r="J28" s="6" t="s">
        <v>154</v>
      </c>
    </row>
    <row r="29" spans="2:10">
      <c r="B29" s="1" t="s">
        <v>14</v>
      </c>
      <c r="D29" s="1" t="s">
        <v>36</v>
      </c>
      <c r="I29">
        <f>IF( ISNUMBER(SEARCH($H$18, J29)), MAX($I$2:$I28)+1, 0 )</f>
        <v>27</v>
      </c>
      <c r="J29" s="6" t="s">
        <v>163</v>
      </c>
    </row>
    <row r="30" spans="2:10">
      <c r="B30" s="1" t="s">
        <v>15</v>
      </c>
      <c r="D30" s="1" t="s">
        <v>37</v>
      </c>
      <c r="I30">
        <f>IF( ISNUMBER(SEARCH($H$18, J30)), MAX($I$2:$I29)+1, 0 )</f>
        <v>28</v>
      </c>
      <c r="J30" s="6" t="s">
        <v>164</v>
      </c>
    </row>
    <row r="31" spans="2:10">
      <c r="D31" s="1" t="s">
        <v>38</v>
      </c>
      <c r="I31">
        <f>IF( ISNUMBER(SEARCH($H$18, J31)), MAX($I$2:$I30)+1, 0 )</f>
        <v>29</v>
      </c>
      <c r="J31" s="6" t="s">
        <v>165</v>
      </c>
    </row>
    <row r="32" spans="2:10">
      <c r="D32" s="1" t="s">
        <v>39</v>
      </c>
      <c r="I32">
        <f>IF( ISNUMBER(SEARCH($H$18, J32)), MAX($I$2:$I31)+1, 0 )</f>
        <v>30</v>
      </c>
      <c r="J32" s="6" t="s">
        <v>91</v>
      </c>
    </row>
    <row r="33" spans="4:10">
      <c r="D33" s="1" t="s">
        <v>40</v>
      </c>
      <c r="I33">
        <f>IF( ISNUMBER(SEARCH($H$18, J33)), MAX($I$2:$I32)+1, 0 )</f>
        <v>31</v>
      </c>
      <c r="J33" s="6" t="s">
        <v>126</v>
      </c>
    </row>
    <row r="34" spans="4:10">
      <c r="D34" s="1" t="s">
        <v>41</v>
      </c>
      <c r="I34">
        <f>IF( ISNUMBER(SEARCH($H$18, J34)), MAX($I$2:$I33)+1, 0 )</f>
        <v>32</v>
      </c>
      <c r="J34" s="6" t="s">
        <v>192</v>
      </c>
    </row>
    <row r="35" spans="4:10">
      <c r="I35">
        <f>IF( ISNUMBER(SEARCH($H$18, J35)), MAX($I$2:$I34)+1, 0 )</f>
        <v>33</v>
      </c>
      <c r="J35" s="6" t="s">
        <v>151</v>
      </c>
    </row>
    <row r="36" spans="4:10">
      <c r="I36">
        <f>IF( ISNUMBER(SEARCH($H$18, J36)), MAX($I$2:$I35)+1, 0 )</f>
        <v>34</v>
      </c>
      <c r="J36" s="6" t="s">
        <v>93</v>
      </c>
    </row>
    <row r="37" spans="4:10">
      <c r="I37">
        <f>IF( ISNUMBER(SEARCH($H$18, J37)), MAX($I$2:$I36)+1, 0 )</f>
        <v>35</v>
      </c>
      <c r="J37" s="6" t="s">
        <v>115</v>
      </c>
    </row>
    <row r="38" spans="4:10">
      <c r="I38">
        <f>IF( ISNUMBER(SEARCH($H$18, J38)), MAX($I$2:$I37)+1, 0 )</f>
        <v>36</v>
      </c>
      <c r="J38" s="6" t="s">
        <v>70</v>
      </c>
    </row>
    <row r="39" spans="4:10">
      <c r="I39">
        <f>IF( ISNUMBER(SEARCH($H$18, J39)), MAX($I$2:$I38)+1, 0 )</f>
        <v>37</v>
      </c>
      <c r="J39" s="6" t="s">
        <v>193</v>
      </c>
    </row>
    <row r="40" spans="4:10">
      <c r="I40">
        <f>IF( ISNUMBER(SEARCH($H$18, J40)), MAX($I$2:$I39)+1, 0 )</f>
        <v>38</v>
      </c>
      <c r="J40" s="6" t="s">
        <v>52</v>
      </c>
    </row>
    <row r="41" spans="4:10">
      <c r="I41">
        <f>IF( ISNUMBER(SEARCH($H$18, J41)), MAX($I$2:$I40)+1, 0 )</f>
        <v>39</v>
      </c>
      <c r="J41" s="6" t="s">
        <v>88</v>
      </c>
    </row>
    <row r="42" spans="4:10">
      <c r="I42">
        <f>IF( ISNUMBER(SEARCH($H$18, J42)), MAX($I$2:$I41)+1, 0 )</f>
        <v>40</v>
      </c>
      <c r="J42" s="6" t="s">
        <v>118</v>
      </c>
    </row>
    <row r="43" spans="4:10">
      <c r="I43">
        <f>IF( ISNUMBER(SEARCH($H$18, J43)), MAX($I$2:$I42)+1, 0 )</f>
        <v>41</v>
      </c>
      <c r="J43" s="6" t="s">
        <v>53</v>
      </c>
    </row>
    <row r="44" spans="4:10">
      <c r="I44">
        <f>IF( ISNUMBER(SEARCH($H$18, J44)), MAX($I$2:$I43)+1, 0 )</f>
        <v>42</v>
      </c>
      <c r="J44" s="6" t="s">
        <v>112</v>
      </c>
    </row>
    <row r="45" spans="4:10">
      <c r="I45">
        <f>IF( ISNUMBER(SEARCH($H$18, J45)), MAX($I$2:$I44)+1, 0 )</f>
        <v>43</v>
      </c>
      <c r="J45" s="6" t="s">
        <v>92</v>
      </c>
    </row>
    <row r="46" spans="4:10">
      <c r="I46">
        <f>IF( ISNUMBER(SEARCH($H$18, J46)), MAX($I$2:$I45)+1, 0 )</f>
        <v>44</v>
      </c>
      <c r="J46" s="6" t="s">
        <v>153</v>
      </c>
    </row>
    <row r="47" spans="4:10">
      <c r="I47">
        <f>IF( ISNUMBER(SEARCH($H$18, J47)), MAX($I$2:$I46)+1, 0 )</f>
        <v>45</v>
      </c>
      <c r="J47" s="6" t="s">
        <v>152</v>
      </c>
    </row>
    <row r="48" spans="4:10">
      <c r="I48">
        <f>IF( ISNUMBER(SEARCH($H$18, J48)), MAX($I$2:$I47)+1, 0 )</f>
        <v>46</v>
      </c>
      <c r="J48" s="6" t="s">
        <v>98</v>
      </c>
    </row>
    <row r="49" spans="9:10">
      <c r="I49">
        <f>IF( ISNUMBER(SEARCH($H$18, J49)), MAX($I$2:$I48)+1, 0 )</f>
        <v>47</v>
      </c>
      <c r="J49" s="6" t="s">
        <v>95</v>
      </c>
    </row>
    <row r="50" spans="9:10">
      <c r="I50">
        <f>IF( ISNUMBER(SEARCH($H$18, J50)), MAX($I$2:$I49)+1, 0 )</f>
        <v>48</v>
      </c>
      <c r="J50" s="6" t="s">
        <v>117</v>
      </c>
    </row>
    <row r="51" spans="9:10">
      <c r="I51">
        <f>IF( ISNUMBER(SEARCH($H$18, J51)), MAX($I$2:$I50)+1, 0 )</f>
        <v>49</v>
      </c>
      <c r="J51" s="6" t="s">
        <v>73</v>
      </c>
    </row>
    <row r="52" spans="9:10">
      <c r="I52">
        <f>IF( ISNUMBER(SEARCH($H$18, J52)), MAX($I$2:$I51)+1, 0 )</f>
        <v>50</v>
      </c>
      <c r="J52" s="6" t="s">
        <v>130</v>
      </c>
    </row>
    <row r="53" spans="9:10">
      <c r="I53">
        <f>IF( ISNUMBER(SEARCH($H$18, J53)), MAX($I$2:$I52)+1, 0 )</f>
        <v>51</v>
      </c>
      <c r="J53" s="6" t="s">
        <v>97</v>
      </c>
    </row>
    <row r="54" spans="9:10">
      <c r="I54">
        <f>IF( ISNUMBER(SEARCH($H$18, J54)), MAX($I$2:$I53)+1, 0 )</f>
        <v>52</v>
      </c>
      <c r="J54" s="6" t="s">
        <v>128</v>
      </c>
    </row>
    <row r="55" spans="9:10">
      <c r="I55">
        <f>IF( ISNUMBER(SEARCH($H$18, J55)), MAX($I$2:$I54)+1, 0 )</f>
        <v>53</v>
      </c>
      <c r="J55" s="6" t="s">
        <v>144</v>
      </c>
    </row>
    <row r="56" spans="9:10">
      <c r="I56">
        <f>IF( ISNUMBER(SEARCH($H$18, J56)), MAX($I$2:$I55)+1, 0 )</f>
        <v>54</v>
      </c>
      <c r="J56" s="6" t="s">
        <v>59</v>
      </c>
    </row>
    <row r="57" spans="9:10">
      <c r="I57">
        <f>IF( ISNUMBER(SEARCH($H$18, J57)), MAX($I$2:$I56)+1, 0 )</f>
        <v>55</v>
      </c>
      <c r="J57" s="6" t="s">
        <v>129</v>
      </c>
    </row>
    <row r="58" spans="9:10">
      <c r="I58">
        <f>IF( ISNUMBER(SEARCH($H$18, J58)), MAX($I$2:$I57)+1, 0 )</f>
        <v>56</v>
      </c>
      <c r="J58" s="6" t="s">
        <v>55</v>
      </c>
    </row>
    <row r="59" spans="9:10">
      <c r="I59">
        <f>IF( ISNUMBER(SEARCH($H$18, J59)), MAX($I$2:$I58)+1, 0 )</f>
        <v>57</v>
      </c>
      <c r="J59" s="6" t="s">
        <v>149</v>
      </c>
    </row>
    <row r="60" spans="9:10">
      <c r="I60">
        <f>IF( ISNUMBER(SEARCH($H$18, J60)), MAX($I$2:$I59)+1, 0 )</f>
        <v>58</v>
      </c>
      <c r="J60" s="6" t="s">
        <v>56</v>
      </c>
    </row>
    <row r="61" spans="9:10">
      <c r="I61">
        <f>IF( ISNUMBER(SEARCH($H$18, J61)), MAX($I$2:$I60)+1, 0 )</f>
        <v>59</v>
      </c>
      <c r="J61" s="6" t="s">
        <v>65</v>
      </c>
    </row>
    <row r="62" spans="9:10">
      <c r="I62">
        <f>IF( ISNUMBER(SEARCH($H$18, J62)), MAX($I$2:$I61)+1, 0 )</f>
        <v>60</v>
      </c>
      <c r="J62" s="6" t="s">
        <v>96</v>
      </c>
    </row>
    <row r="63" spans="9:10">
      <c r="I63">
        <f>IF( ISNUMBER(SEARCH($H$18, J63)), MAX($I$2:$I62)+1, 0 )</f>
        <v>61</v>
      </c>
      <c r="J63" s="6" t="s">
        <v>131</v>
      </c>
    </row>
    <row r="64" spans="9:10">
      <c r="I64">
        <f>IF( ISNUMBER(SEARCH($H$18, J64)), MAX($I$2:$I63)+1, 0 )</f>
        <v>62</v>
      </c>
      <c r="J64" s="6" t="s">
        <v>143</v>
      </c>
    </row>
    <row r="65" spans="9:10">
      <c r="I65">
        <f>IF( ISNUMBER(SEARCH($H$18, J65)), MAX($I$2:$I64)+1, 0 )</f>
        <v>63</v>
      </c>
      <c r="J65" s="6" t="s">
        <v>116</v>
      </c>
    </row>
    <row r="66" spans="9:10">
      <c r="I66">
        <f>IF( ISNUMBER(SEARCH($H$18, J66)), MAX($I$2:$I65)+1, 0 )</f>
        <v>64</v>
      </c>
      <c r="J66" s="6" t="s">
        <v>89</v>
      </c>
    </row>
    <row r="67" spans="9:10">
      <c r="I67">
        <f>IF( ISNUMBER(SEARCH($H$18, J67)), MAX($I$2:$I66)+1, 0 )</f>
        <v>65</v>
      </c>
      <c r="J67" s="6" t="s">
        <v>127</v>
      </c>
    </row>
    <row r="68" spans="9:10">
      <c r="I68">
        <f>IF( ISNUMBER(SEARCH($H$18, J68)), MAX($I$2:$I67)+1, 0 )</f>
        <v>66</v>
      </c>
      <c r="J68" s="6" t="s">
        <v>61</v>
      </c>
    </row>
    <row r="69" spans="9:10">
      <c r="I69">
        <f>IF( ISNUMBER(SEARCH($H$18, J69)), MAX($I$2:$I68)+1, 0 )</f>
        <v>67</v>
      </c>
      <c r="J69" s="6" t="s">
        <v>49</v>
      </c>
    </row>
    <row r="70" spans="9:10">
      <c r="I70">
        <f>IF( ISNUMBER(SEARCH($H$18, J70)), MAX($I$2:$I69)+1, 0 )</f>
        <v>68</v>
      </c>
      <c r="J70" s="6" t="s">
        <v>139</v>
      </c>
    </row>
    <row r="71" spans="9:10">
      <c r="I71">
        <f>IF( ISNUMBER(SEARCH($H$18, J71)), MAX($I$2:$I70)+1, 0 )</f>
        <v>69</v>
      </c>
      <c r="J71" s="6" t="s">
        <v>140</v>
      </c>
    </row>
    <row r="72" spans="9:10">
      <c r="I72">
        <f>IF( ISNUMBER(SEARCH($H$18, J72)), MAX($I$2:$I71)+1, 0 )</f>
        <v>70</v>
      </c>
      <c r="J72" s="6" t="s">
        <v>69</v>
      </c>
    </row>
    <row r="73" spans="9:10">
      <c r="I73">
        <f>IF( ISNUMBER(SEARCH($H$18, J73)), MAX($I$2:$I72)+1, 0 )</f>
        <v>71</v>
      </c>
      <c r="J73" s="6" t="s">
        <v>63</v>
      </c>
    </row>
    <row r="74" spans="9:10">
      <c r="I74">
        <f>IF( ISNUMBER(SEARCH($H$18, J74)), MAX($I$2:$I73)+1, 0 )</f>
        <v>72</v>
      </c>
      <c r="J74" s="6" t="s">
        <v>135</v>
      </c>
    </row>
    <row r="75" spans="9:10">
      <c r="I75">
        <f>IF( ISNUMBER(SEARCH($H$18, J75)), MAX($I$2:$I74)+1, 0 )</f>
        <v>73</v>
      </c>
      <c r="J75" s="6" t="s">
        <v>68</v>
      </c>
    </row>
    <row r="76" spans="9:10">
      <c r="I76">
        <f>IF( ISNUMBER(SEARCH($H$18, J76)), MAX($I$2:$I75)+1, 0 )</f>
        <v>74</v>
      </c>
      <c r="J76" s="6" t="s">
        <v>145</v>
      </c>
    </row>
    <row r="77" spans="9:10">
      <c r="I77">
        <f>IF( ISNUMBER(SEARCH($H$18, J77)), MAX($I$2:$I76)+1, 0 )</f>
        <v>75</v>
      </c>
      <c r="J77" s="6" t="s">
        <v>60</v>
      </c>
    </row>
    <row r="78" spans="9:10">
      <c r="I78">
        <f>IF( ISNUMBER(SEARCH($H$18, J78)), MAX($I$2:$I77)+1, 0 )</f>
        <v>76</v>
      </c>
      <c r="J78" s="6" t="s">
        <v>134</v>
      </c>
    </row>
    <row r="79" spans="9:10">
      <c r="I79">
        <f>IF( ISNUMBER(SEARCH($H$18, J79)), MAX($I$2:$I78)+1, 0 )</f>
        <v>77</v>
      </c>
      <c r="J79" s="6" t="s">
        <v>150</v>
      </c>
    </row>
    <row r="80" spans="9:10">
      <c r="I80">
        <f>IF( ISNUMBER(SEARCH($H$18, J80)), MAX($I$2:$I79)+1, 0 )</f>
        <v>78</v>
      </c>
      <c r="J80" s="6" t="s">
        <v>146</v>
      </c>
    </row>
    <row r="81" spans="9:10">
      <c r="I81">
        <f>IF( ISNUMBER(SEARCH($H$18, J81)), MAX($I$2:$I80)+1, 0 )</f>
        <v>79</v>
      </c>
      <c r="J81" s="6" t="s">
        <v>142</v>
      </c>
    </row>
    <row r="82" spans="9:10">
      <c r="I82">
        <f>IF( ISNUMBER(SEARCH($H$18, J82)), MAX($I$2:$I81)+1, 0 )</f>
        <v>80</v>
      </c>
      <c r="J82" s="6" t="s">
        <v>50</v>
      </c>
    </row>
    <row r="83" spans="9:10">
      <c r="I83">
        <f>IF( ISNUMBER(SEARCH($H$18, J83)), MAX($I$2:$I82)+1, 0 )</f>
        <v>81</v>
      </c>
      <c r="J83" s="6" t="s">
        <v>54</v>
      </c>
    </row>
    <row r="84" spans="9:10">
      <c r="I84">
        <f>IF( ISNUMBER(SEARCH($H$18, J84)), MAX($I$2:$I83)+1, 0 )</f>
        <v>82</v>
      </c>
      <c r="J84" s="6" t="s">
        <v>136</v>
      </c>
    </row>
    <row r="85" spans="9:10">
      <c r="I85">
        <f>IF( ISNUMBER(SEARCH($H$18, J85)), MAX($I$2:$I84)+1, 0 )</f>
        <v>83</v>
      </c>
      <c r="J85" s="6" t="s">
        <v>67</v>
      </c>
    </row>
    <row r="86" spans="9:10">
      <c r="I86">
        <f>IF( ISNUMBER(SEARCH($H$18, J86)), MAX($I$2:$I85)+1, 0 )</f>
        <v>84</v>
      </c>
      <c r="J86" s="6" t="s">
        <v>141</v>
      </c>
    </row>
    <row r="87" spans="9:10">
      <c r="I87">
        <f>IF( ISNUMBER(SEARCH($H$18, J87)), MAX($I$2:$I86)+1, 0 )</f>
        <v>85</v>
      </c>
      <c r="J87" s="6" t="s">
        <v>133</v>
      </c>
    </row>
    <row r="88" spans="9:10">
      <c r="I88">
        <f>IF( ISNUMBER(SEARCH($H$18, J88)), MAX($I$2:$I87)+1, 0 )</f>
        <v>86</v>
      </c>
      <c r="J88" s="6" t="s">
        <v>51</v>
      </c>
    </row>
    <row r="89" spans="9:10">
      <c r="I89">
        <f>IF( ISNUMBER(SEARCH($H$18, J89)), MAX($I$2:$I88)+1, 0 )</f>
        <v>87</v>
      </c>
      <c r="J89" s="6" t="s">
        <v>138</v>
      </c>
    </row>
    <row r="90" spans="9:10">
      <c r="I90">
        <f>IF( ISNUMBER(SEARCH($H$18, J90)), MAX($I$2:$I89)+1, 0 )</f>
        <v>88</v>
      </c>
      <c r="J90" s="6" t="s">
        <v>137</v>
      </c>
    </row>
    <row r="91" spans="9:10">
      <c r="I91">
        <f>IF( ISNUMBER(SEARCH($H$18, J91)), MAX($I$2:$I90)+1, 0 )</f>
        <v>89</v>
      </c>
      <c r="J91" s="6" t="s">
        <v>147</v>
      </c>
    </row>
    <row r="92" spans="9:10">
      <c r="I92">
        <f>IF( ISNUMBER(SEARCH($H$18, J92)), MAX($I$2:$I91)+1, 0 )</f>
        <v>90</v>
      </c>
      <c r="J92" s="6" t="s">
        <v>148</v>
      </c>
    </row>
    <row r="93" spans="9:10">
      <c r="I93">
        <f>IF( ISNUMBER(SEARCH($H$18, J93)), MAX($I$2:$I92)+1, 0 )</f>
        <v>91</v>
      </c>
      <c r="J93" s="6" t="s">
        <v>416</v>
      </c>
    </row>
    <row r="94" spans="9:10">
      <c r="I94">
        <f>IF( ISNUMBER(SEARCH($H$18, J94)), MAX($I$2:$I93)+1, 0 )</f>
        <v>92</v>
      </c>
      <c r="J94" s="6" t="s">
        <v>344</v>
      </c>
    </row>
    <row r="95" spans="9:10">
      <c r="I95">
        <f>IF( ISNUMBER(SEARCH($H$18, J95)), MAX($I$2:$I94)+1, 0 )</f>
        <v>93</v>
      </c>
      <c r="J95" s="6" t="s">
        <v>343</v>
      </c>
    </row>
    <row r="96" spans="9:10">
      <c r="I96">
        <f>IF( ISNUMBER(SEARCH($H$18, J96)), MAX($I$2:$I95)+1, 0 )</f>
        <v>94</v>
      </c>
      <c r="J96" s="6" t="s">
        <v>342</v>
      </c>
    </row>
    <row r="97" spans="9:10">
      <c r="I97">
        <f>IF( ISNUMBER(SEARCH($H$18, J97)), MAX($I$2:$I96)+1, 0 )</f>
        <v>95</v>
      </c>
      <c r="J97" s="6" t="s">
        <v>341</v>
      </c>
    </row>
    <row r="98" spans="9:10">
      <c r="I98">
        <f>IF( ISNUMBER(SEARCH($H$18, J98)), MAX($I$2:$I97)+1, 0 )</f>
        <v>96</v>
      </c>
      <c r="J98" s="6" t="s">
        <v>356</v>
      </c>
    </row>
    <row r="99" spans="9:10">
      <c r="I99">
        <f>IF( ISNUMBER(SEARCH($H$18, J99)), MAX($I$2:$I98)+1, 0 )</f>
        <v>97</v>
      </c>
      <c r="J99" s="6" t="s">
        <v>339</v>
      </c>
    </row>
    <row r="100" spans="9:10">
      <c r="I100">
        <f>IF( ISNUMBER(SEARCH($H$18, J100)), MAX($I$2:$I99)+1, 0 )</f>
        <v>98</v>
      </c>
      <c r="J100" s="6" t="s">
        <v>417</v>
      </c>
    </row>
    <row r="101" spans="9:10">
      <c r="I101">
        <f>IF( ISNUMBER(SEARCH($H$18, J101)), MAX($I$2:$I100)+1, 0 )</f>
        <v>99</v>
      </c>
      <c r="J101" s="6" t="s">
        <v>355</v>
      </c>
    </row>
    <row r="102" spans="9:10">
      <c r="I102">
        <f>IF( ISNUMBER(SEARCH($H$18, J102)), MAX($I$2:$I101)+1, 0 )</f>
        <v>100</v>
      </c>
      <c r="J102" s="6" t="s">
        <v>357</v>
      </c>
    </row>
    <row r="103" spans="9:10">
      <c r="I103">
        <f>IF( ISNUMBER(SEARCH($H$18, J103)), MAX($I$2:$I102)+1, 0 )</f>
        <v>101</v>
      </c>
      <c r="J103" s="6" t="s">
        <v>340</v>
      </c>
    </row>
    <row r="104" spans="9:10">
      <c r="I104">
        <f>IF( ISNUMBER(SEARCH($H$18, J104)), MAX($I$2:$I103)+1, 0 )</f>
        <v>102</v>
      </c>
      <c r="J104" s="6" t="s">
        <v>358</v>
      </c>
    </row>
    <row r="105" spans="9:10">
      <c r="I105">
        <f>IF( ISNUMBER(SEARCH($H$18, J105)), MAX($I$2:$I104)+1, 0 )</f>
        <v>103</v>
      </c>
      <c r="J105" s="6" t="s">
        <v>345</v>
      </c>
    </row>
    <row r="106" spans="9:10">
      <c r="I106">
        <f>IF( ISNUMBER(SEARCH($H$18, J106)), MAX($I$2:$I105)+1, 0 )</f>
        <v>104</v>
      </c>
      <c r="J106" s="6" t="s">
        <v>346</v>
      </c>
    </row>
    <row r="107" spans="9:10">
      <c r="I107">
        <f>IF( ISNUMBER(SEARCH($H$18, J107)), MAX($I$2:$I106)+1, 0 )</f>
        <v>105</v>
      </c>
      <c r="J107" s="6" t="s">
        <v>363</v>
      </c>
    </row>
    <row r="108" spans="9:10">
      <c r="I108">
        <f>IF( ISNUMBER(SEARCH($H$18, J108)), MAX($I$2:$I107)+1, 0 )</f>
        <v>106</v>
      </c>
      <c r="J108" s="6" t="s">
        <v>76</v>
      </c>
    </row>
    <row r="109" spans="9:10">
      <c r="I109">
        <f>IF( ISNUMBER(SEARCH($H$18, J109)), MAX($I$2:$I108)+1, 0 )</f>
        <v>107</v>
      </c>
      <c r="J109" s="6" t="s">
        <v>364</v>
      </c>
    </row>
    <row r="110" spans="9:10">
      <c r="I110">
        <f>IF( ISNUMBER(SEARCH($H$18, J110)), MAX($I$2:$I109)+1, 0 )</f>
        <v>108</v>
      </c>
      <c r="J110" s="6" t="s">
        <v>362</v>
      </c>
    </row>
    <row r="111" spans="9:10">
      <c r="I111">
        <f>IF( ISNUMBER(SEARCH($H$18, J111)), MAX($I$2:$I110)+1, 0 )</f>
        <v>109</v>
      </c>
      <c r="J111" s="6" t="s">
        <v>77</v>
      </c>
    </row>
    <row r="112" spans="9:10">
      <c r="I112">
        <f>IF( ISNUMBER(SEARCH($H$18, J112)), MAX($I$2:$I111)+1, 0 )</f>
        <v>110</v>
      </c>
      <c r="J112" s="6" t="s">
        <v>78</v>
      </c>
    </row>
    <row r="113" spans="9:10">
      <c r="I113">
        <f>IF( ISNUMBER(SEARCH($H$18, J113)), MAX($I$2:$I112)+1, 0 )</f>
        <v>111</v>
      </c>
      <c r="J113" s="6" t="s">
        <v>415</v>
      </c>
    </row>
    <row r="114" spans="9:10">
      <c r="I114">
        <f>IF( ISNUMBER(SEARCH($H$18, J114)), MAX($I$2:$I113)+1, 0 )</f>
        <v>112</v>
      </c>
      <c r="J114" s="6" t="s">
        <v>347</v>
      </c>
    </row>
    <row r="115" spans="9:10">
      <c r="I115">
        <f>IF( ISNUMBER(SEARCH($H$18, J115)), MAX($I$2:$I114)+1, 0 )</f>
        <v>113</v>
      </c>
      <c r="J115" s="6" t="s">
        <v>354</v>
      </c>
    </row>
    <row r="116" spans="9:10">
      <c r="I116">
        <f>IF( ISNUMBER(SEARCH($H$18, J116)), MAX($I$2:$I115)+1, 0 )</f>
        <v>114</v>
      </c>
      <c r="J116" s="6" t="s">
        <v>348</v>
      </c>
    </row>
    <row r="117" spans="9:10">
      <c r="I117">
        <f>IF( ISNUMBER(SEARCH($H$18, J117)), MAX($I$2:$I116)+1, 0 )</f>
        <v>115</v>
      </c>
      <c r="J117" s="6" t="s">
        <v>349</v>
      </c>
    </row>
    <row r="118" spans="9:10">
      <c r="I118">
        <f>IF( ISNUMBER(SEARCH($H$18, J118)), MAX($I$2:$I117)+1, 0 )</f>
        <v>116</v>
      </c>
      <c r="J118" s="6" t="s">
        <v>350</v>
      </c>
    </row>
    <row r="119" spans="9:10">
      <c r="I119">
        <f>IF( ISNUMBER(SEARCH($H$18, J119)), MAX($I$2:$I118)+1, 0 )</f>
        <v>117</v>
      </c>
      <c r="J119" s="6" t="s">
        <v>351</v>
      </c>
    </row>
    <row r="120" spans="9:10">
      <c r="I120">
        <f>IF( ISNUMBER(SEARCH($H$18, J120)), MAX($I$2:$I119)+1, 0 )</f>
        <v>118</v>
      </c>
      <c r="J120" s="6" t="s">
        <v>352</v>
      </c>
    </row>
    <row r="121" spans="9:10">
      <c r="I121">
        <f>IF( ISNUMBER(SEARCH($H$18, J121)), MAX($I$2:$I120)+1, 0 )</f>
        <v>119</v>
      </c>
      <c r="J121" s="6" t="s">
        <v>353</v>
      </c>
    </row>
    <row r="122" spans="9:10">
      <c r="I122">
        <f>IF( ISNUMBER(SEARCH($H$18, J122)), MAX($I$2:$I121)+1, 0 )</f>
        <v>120</v>
      </c>
      <c r="J122" s="6" t="s">
        <v>380</v>
      </c>
    </row>
    <row r="123" spans="9:10">
      <c r="I123">
        <f>IF( ISNUMBER(SEARCH($H$18, J123)), MAX($I$2:$I122)+1, 0 )</f>
        <v>121</v>
      </c>
      <c r="J123" s="6" t="s">
        <v>167</v>
      </c>
    </row>
    <row r="124" spans="9:10">
      <c r="I124">
        <f>IF( ISNUMBER(SEARCH($H$18, J124)), MAX($I$2:$I123)+1, 0 )</f>
        <v>122</v>
      </c>
      <c r="J124" s="6" t="s">
        <v>212</v>
      </c>
    </row>
    <row r="125" spans="9:10">
      <c r="I125">
        <f>IF( ISNUMBER(SEARCH($H$18, J125)), MAX($I$2:$I124)+1, 0 )</f>
        <v>123</v>
      </c>
      <c r="J125" s="6" t="s">
        <v>211</v>
      </c>
    </row>
    <row r="126" spans="9:10">
      <c r="I126">
        <f>IF( ISNUMBER(SEARCH($H$18, J126)), MAX($I$2:$I125)+1, 0 )</f>
        <v>124</v>
      </c>
      <c r="J126" s="6" t="s">
        <v>210</v>
      </c>
    </row>
    <row r="127" spans="9:10">
      <c r="I127">
        <f>IF( ISNUMBER(SEARCH($H$18, J127)), MAX($I$2:$I126)+1, 0 )</f>
        <v>125</v>
      </c>
      <c r="J127" s="6" t="s">
        <v>209</v>
      </c>
    </row>
    <row r="128" spans="9:10">
      <c r="I128">
        <f>IF( ISNUMBER(SEARCH($H$18, J128)), MAX($I$2:$I127)+1, 0 )</f>
        <v>126</v>
      </c>
      <c r="J128" s="6" t="s">
        <v>208</v>
      </c>
    </row>
    <row r="129" spans="9:10">
      <c r="I129">
        <f>IF( ISNUMBER(SEARCH($H$18, J129)), MAX($I$2:$I128)+1, 0 )</f>
        <v>127</v>
      </c>
      <c r="J129" s="6" t="s">
        <v>214</v>
      </c>
    </row>
    <row r="130" spans="9:10">
      <c r="I130">
        <f>IF( ISNUMBER(SEARCH($H$18, J130)), MAX($I$2:$I129)+1, 0 )</f>
        <v>128</v>
      </c>
      <c r="J130" s="6" t="s">
        <v>213</v>
      </c>
    </row>
    <row r="131" spans="9:10">
      <c r="I131">
        <f>IF( ISNUMBER(SEARCH($H$18, J131)), MAX($I$2:$I130)+1, 0 )</f>
        <v>129</v>
      </c>
      <c r="J131" s="6" t="s">
        <v>205</v>
      </c>
    </row>
    <row r="132" spans="9:10">
      <c r="I132">
        <f>IF( ISNUMBER(SEARCH($H$18, J132)), MAX($I$2:$I131)+1, 0 )</f>
        <v>130</v>
      </c>
      <c r="J132" s="6" t="s">
        <v>204</v>
      </c>
    </row>
    <row r="133" spans="9:10">
      <c r="I133">
        <f>IF( ISNUMBER(SEARCH($H$18, J133)), MAX($I$2:$I132)+1, 0 )</f>
        <v>131</v>
      </c>
      <c r="J133" s="6" t="s">
        <v>203</v>
      </c>
    </row>
    <row r="134" spans="9:10">
      <c r="I134">
        <f>IF( ISNUMBER(SEARCH($H$18, J134)), MAX($I$2:$I133)+1, 0 )</f>
        <v>132</v>
      </c>
      <c r="J134" s="6" t="s">
        <v>202</v>
      </c>
    </row>
    <row r="135" spans="9:10">
      <c r="I135">
        <f>IF( ISNUMBER(SEARCH($H$18, J135)), MAX($I$2:$I134)+1, 0 )</f>
        <v>133</v>
      </c>
      <c r="J135" s="6" t="s">
        <v>201</v>
      </c>
    </row>
    <row r="136" spans="9:10">
      <c r="I136">
        <f>IF( ISNUMBER(SEARCH($H$18, J136)), MAX($I$2:$I135)+1, 0 )</f>
        <v>134</v>
      </c>
      <c r="J136" s="6" t="s">
        <v>384</v>
      </c>
    </row>
    <row r="137" spans="9:10">
      <c r="I137">
        <f>IF( ISNUMBER(SEARCH($H$18, J137)), MAX($I$2:$I136)+1, 0 )</f>
        <v>135</v>
      </c>
      <c r="J137" s="6" t="s">
        <v>200</v>
      </c>
    </row>
    <row r="138" spans="9:10">
      <c r="I138">
        <f>IF( ISNUMBER(SEARCH($H$18, J138)), MAX($I$2:$I137)+1, 0 )</f>
        <v>136</v>
      </c>
      <c r="J138" s="6" t="s">
        <v>199</v>
      </c>
    </row>
    <row r="139" spans="9:10">
      <c r="I139">
        <f>IF( ISNUMBER(SEARCH($H$18, J139)), MAX($I$2:$I138)+1, 0 )</f>
        <v>137</v>
      </c>
      <c r="J139" s="6" t="s">
        <v>383</v>
      </c>
    </row>
    <row r="140" spans="9:10">
      <c r="I140">
        <f>IF( ISNUMBER(SEARCH($H$18, J140)), MAX($I$2:$I139)+1, 0 )</f>
        <v>138</v>
      </c>
      <c r="J140" s="6" t="s">
        <v>198</v>
      </c>
    </row>
    <row r="141" spans="9:10">
      <c r="I141">
        <f>IF( ISNUMBER(SEARCH($H$18, J141)), MAX($I$2:$I140)+1, 0 )</f>
        <v>139</v>
      </c>
      <c r="J141" s="6" t="s">
        <v>197</v>
      </c>
    </row>
    <row r="142" spans="9:10">
      <c r="I142">
        <f>IF( ISNUMBER(SEARCH($H$18, J142)), MAX($I$2:$I141)+1, 0 )</f>
        <v>140</v>
      </c>
      <c r="J142" s="6" t="s">
        <v>382</v>
      </c>
    </row>
    <row r="143" spans="9:10">
      <c r="I143">
        <f>IF( ISNUMBER(SEARCH($H$18, J143)), MAX($I$2:$I142)+1, 0 )</f>
        <v>141</v>
      </c>
      <c r="J143" s="6" t="s">
        <v>196</v>
      </c>
    </row>
    <row r="144" spans="9:10">
      <c r="I144">
        <f>IF( ISNUMBER(SEARCH($H$18, J144)), MAX($I$2:$I143)+1, 0 )</f>
        <v>142</v>
      </c>
      <c r="J144" s="6" t="s">
        <v>195</v>
      </c>
    </row>
    <row r="145" spans="9:10">
      <c r="I145">
        <f>IF( ISNUMBER(SEARCH($H$18, J145)), MAX($I$2:$I144)+1, 0 )</f>
        <v>143</v>
      </c>
      <c r="J145" s="6" t="s">
        <v>194</v>
      </c>
    </row>
    <row r="146" spans="9:10">
      <c r="I146">
        <f>IF( ISNUMBER(SEARCH($H$18, J146)), MAX($I$2:$I145)+1, 0 )</f>
        <v>144</v>
      </c>
      <c r="J146" s="6" t="s">
        <v>184</v>
      </c>
    </row>
    <row r="147" spans="9:10">
      <c r="I147">
        <f>IF( ISNUMBER(SEARCH($H$18, J147)), MAX($I$2:$I146)+1, 0 )</f>
        <v>145</v>
      </c>
      <c r="J147" s="6" t="s">
        <v>183</v>
      </c>
    </row>
    <row r="148" spans="9:10">
      <c r="I148">
        <f>IF( ISNUMBER(SEARCH($H$18, J148)), MAX($I$2:$I147)+1, 0 )</f>
        <v>146</v>
      </c>
      <c r="J148" s="6" t="s">
        <v>182</v>
      </c>
    </row>
    <row r="149" spans="9:10">
      <c r="I149">
        <f>IF( ISNUMBER(SEARCH($H$18, J149)), MAX($I$2:$I148)+1, 0 )</f>
        <v>147</v>
      </c>
      <c r="J149" s="6" t="s">
        <v>181</v>
      </c>
    </row>
    <row r="150" spans="9:10">
      <c r="I150">
        <f>IF( ISNUMBER(SEARCH($H$18, J150)), MAX($I$2:$I149)+1, 0 )</f>
        <v>148</v>
      </c>
      <c r="J150" s="6" t="s">
        <v>180</v>
      </c>
    </row>
    <row r="151" spans="9:10">
      <c r="I151">
        <f>IF( ISNUMBER(SEARCH($H$18, J151)), MAX($I$2:$I150)+1, 0 )</f>
        <v>149</v>
      </c>
      <c r="J151" s="6" t="s">
        <v>179</v>
      </c>
    </row>
    <row r="152" spans="9:10">
      <c r="I152">
        <f>IF( ISNUMBER(SEARCH($H$18, J152)), MAX($I$2:$I151)+1, 0 )</f>
        <v>150</v>
      </c>
      <c r="J152" s="6" t="s">
        <v>178</v>
      </c>
    </row>
    <row r="153" spans="9:10">
      <c r="I153">
        <f>IF( ISNUMBER(SEARCH($H$18, J153)), MAX($I$2:$I152)+1, 0 )</f>
        <v>151</v>
      </c>
      <c r="J153" s="6" t="s">
        <v>177</v>
      </c>
    </row>
    <row r="154" spans="9:10">
      <c r="I154">
        <f>IF( ISNUMBER(SEARCH($H$18, J154)), MAX($I$2:$I153)+1, 0 )</f>
        <v>152</v>
      </c>
      <c r="J154" s="6" t="s">
        <v>176</v>
      </c>
    </row>
    <row r="155" spans="9:10">
      <c r="I155">
        <f>IF( ISNUMBER(SEARCH($H$18, J155)), MAX($I$2:$I154)+1, 0 )</f>
        <v>153</v>
      </c>
      <c r="J155" s="6" t="s">
        <v>175</v>
      </c>
    </row>
    <row r="156" spans="9:10">
      <c r="I156">
        <f>IF( ISNUMBER(SEARCH($H$18, J156)), MAX($I$2:$I155)+1, 0 )</f>
        <v>154</v>
      </c>
      <c r="J156" s="6" t="s">
        <v>174</v>
      </c>
    </row>
    <row r="157" spans="9:10">
      <c r="I157">
        <f>IF( ISNUMBER(SEARCH($H$18, J157)), MAX($I$2:$I156)+1, 0 )</f>
        <v>155</v>
      </c>
      <c r="J157" s="6" t="s">
        <v>173</v>
      </c>
    </row>
    <row r="158" spans="9:10">
      <c r="I158">
        <f>IF( ISNUMBER(SEARCH($H$18, J158)), MAX($I$2:$I157)+1, 0 )</f>
        <v>156</v>
      </c>
      <c r="J158" s="6" t="s">
        <v>172</v>
      </c>
    </row>
    <row r="159" spans="9:10">
      <c r="I159">
        <f>IF( ISNUMBER(SEARCH($H$18, J159)), MAX($I$2:$I158)+1, 0 )</f>
        <v>157</v>
      </c>
      <c r="J159" s="6" t="s">
        <v>171</v>
      </c>
    </row>
    <row r="160" spans="9:10">
      <c r="I160">
        <f>IF( ISNUMBER(SEARCH($H$18, J160)), MAX($I$2:$I159)+1, 0 )</f>
        <v>158</v>
      </c>
      <c r="J160" s="6" t="s">
        <v>170</v>
      </c>
    </row>
    <row r="161" spans="9:10">
      <c r="I161">
        <f>IF( ISNUMBER(SEARCH($H$18, J161)), MAX($I$2:$I160)+1, 0 )</f>
        <v>159</v>
      </c>
      <c r="J161" s="6" t="s">
        <v>169</v>
      </c>
    </row>
    <row r="162" spans="9:10">
      <c r="I162">
        <f>IF( ISNUMBER(SEARCH($H$18, J162)), MAX($I$2:$I161)+1, 0 )</f>
        <v>160</v>
      </c>
      <c r="J162" s="6" t="s">
        <v>168</v>
      </c>
    </row>
    <row r="163" spans="9:10">
      <c r="I163">
        <f>IF( ISNUMBER(SEARCH($H$18, J163)), MAX($I$2:$I162)+1, 0 )</f>
        <v>161</v>
      </c>
      <c r="J163" s="6" t="s">
        <v>190</v>
      </c>
    </row>
    <row r="164" spans="9:10">
      <c r="I164">
        <f>IF( ISNUMBER(SEARCH($H$18, J164)), MAX($I$2:$I163)+1, 0 )</f>
        <v>162</v>
      </c>
      <c r="J164" s="6" t="s">
        <v>338</v>
      </c>
    </row>
    <row r="165" spans="9:10">
      <c r="I165">
        <f>IF( ISNUMBER(SEARCH($H$18, J165)), MAX($I$2:$I164)+1, 0 )</f>
        <v>163</v>
      </c>
      <c r="J165" s="6" t="s">
        <v>189</v>
      </c>
    </row>
    <row r="166" spans="9:10">
      <c r="I166">
        <f>IF( ISNUMBER(SEARCH($H$18, J166)), MAX($I$2:$I165)+1, 0 )</f>
        <v>164</v>
      </c>
      <c r="J166" s="6" t="s">
        <v>188</v>
      </c>
    </row>
    <row r="167" spans="9:10">
      <c r="I167">
        <f>IF( ISNUMBER(SEARCH($H$18, J167)), MAX($I$2:$I166)+1, 0 )</f>
        <v>165</v>
      </c>
      <c r="J167" s="6" t="s">
        <v>187</v>
      </c>
    </row>
    <row r="168" spans="9:10">
      <c r="I168">
        <f>IF( ISNUMBER(SEARCH($H$18, J168)), MAX($I$2:$I167)+1, 0 )</f>
        <v>166</v>
      </c>
      <c r="J168" s="6" t="s">
        <v>186</v>
      </c>
    </row>
    <row r="169" spans="9:10">
      <c r="I169">
        <f>IF( ISNUMBER(SEARCH($H$18, J169)), MAX($I$2:$I168)+1, 0 )</f>
        <v>167</v>
      </c>
      <c r="J169" s="6" t="s">
        <v>185</v>
      </c>
    </row>
    <row r="170" spans="9:10">
      <c r="I170">
        <f>IF( ISNUMBER(SEARCH($H$18, J170)), MAX($I$2:$I169)+1, 0 )</f>
        <v>168</v>
      </c>
      <c r="J170" s="6" t="s">
        <v>207</v>
      </c>
    </row>
    <row r="171" spans="9:10">
      <c r="I171">
        <f>IF( ISNUMBER(SEARCH($H$18, J171)), MAX($I$2:$I170)+1, 0 )</f>
        <v>169</v>
      </c>
      <c r="J171" s="6" t="s">
        <v>218</v>
      </c>
    </row>
    <row r="172" spans="9:10">
      <c r="I172">
        <f>IF( ISNUMBER(SEARCH($H$18, J172)), MAX($I$2:$I171)+1, 0 )</f>
        <v>170</v>
      </c>
      <c r="J172" s="6" t="s">
        <v>217</v>
      </c>
    </row>
    <row r="173" spans="9:10">
      <c r="I173">
        <f>IF( ISNUMBER(SEARCH($H$18, J173)), MAX($I$2:$I172)+1, 0 )</f>
        <v>171</v>
      </c>
      <c r="J173" s="6" t="s">
        <v>216</v>
      </c>
    </row>
    <row r="174" spans="9:10">
      <c r="I174">
        <f>IF( ISNUMBER(SEARCH($H$18, J174)), MAX($I$2:$I173)+1, 0 )</f>
        <v>172</v>
      </c>
      <c r="J174" s="6" t="s">
        <v>215</v>
      </c>
    </row>
    <row r="175" spans="9:10">
      <c r="I175">
        <f>IF( ISNUMBER(SEARCH($H$18, J175)), MAX($I$2:$I174)+1, 0 )</f>
        <v>173</v>
      </c>
      <c r="J175" s="6" t="s">
        <v>229</v>
      </c>
    </row>
    <row r="176" spans="9:10">
      <c r="I176">
        <f>IF( ISNUMBER(SEARCH($H$18, J176)), MAX($I$2:$I175)+1, 0 )</f>
        <v>174</v>
      </c>
      <c r="J176" s="6" t="s">
        <v>227</v>
      </c>
    </row>
    <row r="177" spans="9:10">
      <c r="I177">
        <f>IF( ISNUMBER(SEARCH($H$18, J177)), MAX($I$2:$I176)+1, 0 )</f>
        <v>175</v>
      </c>
      <c r="J177" s="6" t="s">
        <v>226</v>
      </c>
    </row>
    <row r="178" spans="9:10">
      <c r="I178">
        <f>IF( ISNUMBER(SEARCH($H$18, J178)), MAX($I$2:$I177)+1, 0 )</f>
        <v>176</v>
      </c>
      <c r="J178" s="6" t="s">
        <v>225</v>
      </c>
    </row>
    <row r="179" spans="9:10">
      <c r="I179">
        <f>IF( ISNUMBER(SEARCH($H$18, J179)), MAX($I$2:$I178)+1, 0 )</f>
        <v>177</v>
      </c>
      <c r="J179" s="6" t="s">
        <v>224</v>
      </c>
    </row>
    <row r="180" spans="9:10">
      <c r="I180">
        <f>IF( ISNUMBER(SEARCH($H$18, J180)), MAX($I$2:$I179)+1, 0 )</f>
        <v>178</v>
      </c>
      <c r="J180" s="6" t="s">
        <v>223</v>
      </c>
    </row>
    <row r="181" spans="9:10">
      <c r="I181">
        <f>IF( ISNUMBER(SEARCH($H$18, J181)), MAX($I$2:$I180)+1, 0 )</f>
        <v>179</v>
      </c>
      <c r="J181" s="6" t="s">
        <v>222</v>
      </c>
    </row>
    <row r="182" spans="9:10">
      <c r="I182">
        <f>IF( ISNUMBER(SEARCH($H$18, J182)), MAX($I$2:$I181)+1, 0 )</f>
        <v>180</v>
      </c>
      <c r="J182" s="6" t="s">
        <v>221</v>
      </c>
    </row>
    <row r="183" spans="9:10">
      <c r="I183">
        <f>IF( ISNUMBER(SEARCH($H$18, J183)), MAX($I$2:$I182)+1, 0 )</f>
        <v>181</v>
      </c>
      <c r="J183" s="6" t="s">
        <v>220</v>
      </c>
    </row>
    <row r="184" spans="9:10">
      <c r="I184">
        <f>IF( ISNUMBER(SEARCH($H$18, J184)), MAX($I$2:$I183)+1, 0 )</f>
        <v>182</v>
      </c>
      <c r="J184" s="6" t="s">
        <v>385</v>
      </c>
    </row>
    <row r="185" spans="9:10">
      <c r="I185">
        <f>IF( ISNUMBER(SEARCH($H$18, J185)), MAX($I$2:$I184)+1, 0 )</f>
        <v>183</v>
      </c>
      <c r="J185" s="6" t="s">
        <v>228</v>
      </c>
    </row>
    <row r="186" spans="9:10">
      <c r="I186">
        <f>IF( ISNUMBER(SEARCH($H$18, J186)), MAX($I$2:$I185)+1, 0 )</f>
        <v>184</v>
      </c>
      <c r="J186" s="6" t="s">
        <v>361</v>
      </c>
    </row>
    <row r="187" spans="9:10">
      <c r="I187">
        <f>IF( ISNUMBER(SEARCH($H$18, J187)), MAX($I$2:$I186)+1, 0 )</f>
        <v>185</v>
      </c>
      <c r="J187" s="6" t="s">
        <v>360</v>
      </c>
    </row>
    <row r="188" spans="9:10">
      <c r="I188">
        <f>IF( ISNUMBER(SEARCH($H$18, J188)), MAX($I$2:$I187)+1, 0 )</f>
        <v>186</v>
      </c>
      <c r="J188" s="6" t="s">
        <v>359</v>
      </c>
    </row>
    <row r="189" spans="9:10">
      <c r="I189">
        <f>IF( ISNUMBER(SEARCH($H$18, J189)), MAX($I$2:$I188)+1, 0 )</f>
        <v>187</v>
      </c>
      <c r="J189" s="6" t="s">
        <v>75</v>
      </c>
    </row>
    <row r="190" spans="9:10">
      <c r="I190">
        <f>IF( ISNUMBER(SEARCH($H$18, J190)), MAX($I$2:$I189)+1, 0 )</f>
        <v>188</v>
      </c>
      <c r="J190" s="6" t="s">
        <v>161</v>
      </c>
    </row>
    <row r="191" spans="9:10">
      <c r="I191">
        <f>IF( ISNUMBER(SEARCH($H$18, J191)), MAX($I$2:$I190)+1, 0 )</f>
        <v>189</v>
      </c>
      <c r="J191" s="6" t="s">
        <v>160</v>
      </c>
    </row>
    <row r="192" spans="9:10">
      <c r="I192">
        <f>IF( ISNUMBER(SEARCH($H$18, J192)), MAX($I$2:$I191)+1, 0 )</f>
        <v>190</v>
      </c>
      <c r="J192" s="6" t="s">
        <v>159</v>
      </c>
    </row>
    <row r="193" spans="9:10">
      <c r="I193">
        <f>IF( ISNUMBER(SEARCH($H$18, J193)), MAX($I$2:$I192)+1, 0 )</f>
        <v>191</v>
      </c>
      <c r="J193" s="6" t="s">
        <v>158</v>
      </c>
    </row>
    <row r="194" spans="9:10">
      <c r="I194">
        <f>IF( ISNUMBER(SEARCH($H$18, J194)), MAX($I$2:$I193)+1, 0 )</f>
        <v>192</v>
      </c>
      <c r="J194" s="6" t="s">
        <v>157</v>
      </c>
    </row>
    <row r="195" spans="9:10">
      <c r="I195">
        <f>IF( ISNUMBER(SEARCH($H$18, J195)), MAX($I$2:$I194)+1, 0 )</f>
        <v>193</v>
      </c>
      <c r="J195" s="6" t="s">
        <v>156</v>
      </c>
    </row>
    <row r="196" spans="9:10">
      <c r="I196">
        <f>IF( ISNUMBER(SEARCH($H$18, J196)), MAX($I$2:$I195)+1, 0 )</f>
        <v>194</v>
      </c>
      <c r="J196" s="6" t="s">
        <v>155</v>
      </c>
    </row>
    <row r="197" spans="9:10">
      <c r="I197">
        <f>IF( ISNUMBER(SEARCH($H$18, J197)), MAX($I$2:$I196)+1, 0 )</f>
        <v>195</v>
      </c>
      <c r="J197" s="6" t="s">
        <v>381</v>
      </c>
    </row>
    <row r="198" spans="9:10">
      <c r="I198">
        <f>IF( ISNUMBER(SEARCH($H$18, J198)), MAX($I$2:$I197)+1, 0 )</f>
        <v>196</v>
      </c>
      <c r="J198" s="6" t="s">
        <v>162</v>
      </c>
    </row>
    <row r="199" spans="9:10">
      <c r="I199">
        <f>IF( ISNUMBER(SEARCH($H$18, J199)), MAX($I$2:$I198)+1, 0 )</f>
        <v>197</v>
      </c>
      <c r="J199" s="6" t="s">
        <v>337</v>
      </c>
    </row>
    <row r="200" spans="9:10">
      <c r="I200">
        <f>IF( ISNUMBER(SEARCH($H$18, J200)), MAX($I$2:$I199)+1, 0 )</f>
        <v>198</v>
      </c>
      <c r="J200" s="6" t="s">
        <v>336</v>
      </c>
    </row>
    <row r="201" spans="9:10">
      <c r="I201">
        <f>IF( ISNUMBER(SEARCH($H$18, J201)), MAX($I$2:$I200)+1, 0 )</f>
        <v>199</v>
      </c>
      <c r="J201" s="6" t="s">
        <v>335</v>
      </c>
    </row>
    <row r="202" spans="9:10">
      <c r="I202">
        <f>IF( ISNUMBER(SEARCH($H$18, J202)), MAX($I$2:$I201)+1, 0 )</f>
        <v>200</v>
      </c>
      <c r="J202" s="6" t="s">
        <v>334</v>
      </c>
    </row>
    <row r="203" spans="9:10">
      <c r="I203">
        <f>IF( ISNUMBER(SEARCH($H$18, J203)), MAX($I$2:$I202)+1, 0 )</f>
        <v>201</v>
      </c>
      <c r="J203" s="6" t="s">
        <v>108</v>
      </c>
    </row>
    <row r="204" spans="9:10">
      <c r="I204">
        <f>IF( ISNUMBER(SEARCH($H$18, J204)), MAX($I$2:$I203)+1, 0 )</f>
        <v>202</v>
      </c>
      <c r="J204" s="6" t="s">
        <v>319</v>
      </c>
    </row>
    <row r="205" spans="9:10">
      <c r="I205">
        <f>IF( ISNUMBER(SEARCH($H$18, J205)), MAX($I$2:$I204)+1, 0 )</f>
        <v>203</v>
      </c>
      <c r="J205" s="6" t="s">
        <v>398</v>
      </c>
    </row>
    <row r="206" spans="9:10">
      <c r="I206">
        <f>IF( ISNUMBER(SEARCH($H$18, J206)), MAX($I$2:$I205)+1, 0 )</f>
        <v>204</v>
      </c>
      <c r="J206" s="6" t="s">
        <v>249</v>
      </c>
    </row>
    <row r="207" spans="9:10">
      <c r="I207">
        <f>IF( ISNUMBER(SEARCH($H$18, J207)), MAX($I$2:$I206)+1, 0 )</f>
        <v>205</v>
      </c>
      <c r="J207" s="6" t="s">
        <v>250</v>
      </c>
    </row>
    <row r="208" spans="9:10">
      <c r="I208">
        <f>IF( ISNUMBER(SEARCH($H$18, J208)), MAX($I$2:$I207)+1, 0 )</f>
        <v>206</v>
      </c>
      <c r="J208" s="6" t="s">
        <v>251</v>
      </c>
    </row>
    <row r="209" spans="9:10">
      <c r="I209">
        <f>IF( ISNUMBER(SEARCH($H$18, J209)), MAX($I$2:$I208)+1, 0 )</f>
        <v>207</v>
      </c>
      <c r="J209" s="6" t="s">
        <v>252</v>
      </c>
    </row>
    <row r="210" spans="9:10">
      <c r="I210">
        <f>IF( ISNUMBER(SEARCH($H$18, J210)), MAX($I$2:$I209)+1, 0 )</f>
        <v>208</v>
      </c>
      <c r="J210" s="6" t="s">
        <v>253</v>
      </c>
    </row>
    <row r="211" spans="9:10">
      <c r="I211">
        <f>IF( ISNUMBER(SEARCH($H$18, J211)), MAX($I$2:$I210)+1, 0 )</f>
        <v>209</v>
      </c>
      <c r="J211" s="6" t="s">
        <v>254</v>
      </c>
    </row>
    <row r="212" spans="9:10">
      <c r="I212">
        <f>IF( ISNUMBER(SEARCH($H$18, J212)), MAX($I$2:$I211)+1, 0 )</f>
        <v>210</v>
      </c>
      <c r="J212" s="6" t="s">
        <v>255</v>
      </c>
    </row>
    <row r="213" spans="9:10">
      <c r="I213">
        <f>IF( ISNUMBER(SEARCH($H$18, J213)), MAX($I$2:$I212)+1, 0 )</f>
        <v>211</v>
      </c>
      <c r="J213" s="6" t="s">
        <v>256</v>
      </c>
    </row>
    <row r="214" spans="9:10">
      <c r="I214">
        <f>IF( ISNUMBER(SEARCH($H$18, J214)), MAX($I$2:$I213)+1, 0 )</f>
        <v>212</v>
      </c>
      <c r="J214" s="6" t="s">
        <v>257</v>
      </c>
    </row>
    <row r="215" spans="9:10">
      <c r="I215">
        <f>IF( ISNUMBER(SEARCH($H$18, J215)), MAX($I$2:$I214)+1, 0 )</f>
        <v>213</v>
      </c>
      <c r="J215" s="6" t="s">
        <v>258</v>
      </c>
    </row>
    <row r="216" spans="9:10">
      <c r="I216">
        <f>IF( ISNUMBER(SEARCH($H$18, J216)), MAX($I$2:$I215)+1, 0 )</f>
        <v>214</v>
      </c>
      <c r="J216" s="6" t="s">
        <v>259</v>
      </c>
    </row>
    <row r="217" spans="9:10">
      <c r="I217">
        <f>IF( ISNUMBER(SEARCH($H$18, J217)), MAX($I$2:$I216)+1, 0 )</f>
        <v>215</v>
      </c>
      <c r="J217" s="6" t="s">
        <v>260</v>
      </c>
    </row>
    <row r="218" spans="9:10">
      <c r="I218">
        <f>IF( ISNUMBER(SEARCH($H$18, J218)), MAX($I$2:$I217)+1, 0 )</f>
        <v>216</v>
      </c>
      <c r="J218" s="6" t="s">
        <v>299</v>
      </c>
    </row>
    <row r="219" spans="9:10">
      <c r="I219">
        <f>IF( ISNUMBER(SEARCH($H$18, J219)), MAX($I$2:$I218)+1, 0 )</f>
        <v>217</v>
      </c>
      <c r="J219" s="6" t="s">
        <v>261</v>
      </c>
    </row>
    <row r="220" spans="9:10">
      <c r="I220">
        <f>IF( ISNUMBER(SEARCH($H$18, J220)), MAX($I$2:$I219)+1, 0 )</f>
        <v>218</v>
      </c>
      <c r="J220" s="6" t="s">
        <v>262</v>
      </c>
    </row>
    <row r="221" spans="9:10">
      <c r="I221">
        <f>IF( ISNUMBER(SEARCH($H$18, J221)), MAX($I$2:$I220)+1, 0 )</f>
        <v>219</v>
      </c>
      <c r="J221" s="6" t="s">
        <v>263</v>
      </c>
    </row>
    <row r="222" spans="9:10">
      <c r="I222">
        <f>IF( ISNUMBER(SEARCH($H$18, J222)), MAX($I$2:$I221)+1, 0 )</f>
        <v>220</v>
      </c>
      <c r="J222" s="6" t="s">
        <v>264</v>
      </c>
    </row>
    <row r="223" spans="9:10">
      <c r="I223">
        <f>IF( ISNUMBER(SEARCH($H$18, J223)), MAX($I$2:$I222)+1, 0 )</f>
        <v>221</v>
      </c>
      <c r="J223" s="6" t="s">
        <v>392</v>
      </c>
    </row>
    <row r="224" spans="9:10">
      <c r="I224">
        <f>IF( ISNUMBER(SEARCH($H$18, J224)), MAX($I$2:$I223)+1, 0 )</f>
        <v>222</v>
      </c>
      <c r="J224" s="6" t="s">
        <v>265</v>
      </c>
    </row>
    <row r="225" spans="9:10">
      <c r="I225">
        <f>IF( ISNUMBER(SEARCH($H$18, J225)), MAX($I$2:$I224)+1, 0 )</f>
        <v>223</v>
      </c>
      <c r="J225" s="6" t="s">
        <v>266</v>
      </c>
    </row>
    <row r="226" spans="9:10">
      <c r="I226">
        <f>IF( ISNUMBER(SEARCH($H$18, J226)), MAX($I$2:$I225)+1, 0 )</f>
        <v>224</v>
      </c>
      <c r="J226" s="6" t="s">
        <v>267</v>
      </c>
    </row>
    <row r="227" spans="9:10">
      <c r="I227">
        <f>IF( ISNUMBER(SEARCH($H$18, J227)), MAX($I$2:$I226)+1, 0 )</f>
        <v>225</v>
      </c>
      <c r="J227" s="6" t="s">
        <v>268</v>
      </c>
    </row>
    <row r="228" spans="9:10">
      <c r="I228">
        <f>IF( ISNUMBER(SEARCH($H$18, J228)), MAX($I$2:$I227)+1, 0 )</f>
        <v>226</v>
      </c>
      <c r="J228" s="6" t="s">
        <v>269</v>
      </c>
    </row>
    <row r="229" spans="9:10">
      <c r="I229">
        <f>IF( ISNUMBER(SEARCH($H$18, J229)), MAX($I$2:$I228)+1, 0 )</f>
        <v>227</v>
      </c>
      <c r="J229" s="6" t="s">
        <v>270</v>
      </c>
    </row>
    <row r="230" spans="9:10">
      <c r="I230">
        <f>IF( ISNUMBER(SEARCH($H$18, J230)), MAX($I$2:$I229)+1, 0 )</f>
        <v>228</v>
      </c>
      <c r="J230" s="6" t="s">
        <v>271</v>
      </c>
    </row>
    <row r="231" spans="9:10">
      <c r="I231">
        <f>IF( ISNUMBER(SEARCH($H$18, J231)), MAX($I$2:$I230)+1, 0 )</f>
        <v>229</v>
      </c>
      <c r="J231" s="6" t="s">
        <v>272</v>
      </c>
    </row>
    <row r="232" spans="9:10">
      <c r="I232">
        <f>IF( ISNUMBER(SEARCH($H$18, J232)), MAX($I$2:$I231)+1, 0 )</f>
        <v>230</v>
      </c>
      <c r="J232" s="6" t="s">
        <v>273</v>
      </c>
    </row>
    <row r="233" spans="9:10">
      <c r="I233">
        <f>IF( ISNUMBER(SEARCH($H$18, J233)), MAX($I$2:$I232)+1, 0 )</f>
        <v>231</v>
      </c>
      <c r="J233" s="6" t="s">
        <v>274</v>
      </c>
    </row>
    <row r="234" spans="9:10">
      <c r="I234">
        <f>IF( ISNUMBER(SEARCH($H$18, J234)), MAX($I$2:$I233)+1, 0 )</f>
        <v>232</v>
      </c>
      <c r="J234" s="6" t="s">
        <v>275</v>
      </c>
    </row>
    <row r="235" spans="9:10">
      <c r="I235">
        <f>IF( ISNUMBER(SEARCH($H$18, J235)), MAX($I$2:$I234)+1, 0 )</f>
        <v>233</v>
      </c>
      <c r="J235" s="6" t="s">
        <v>276</v>
      </c>
    </row>
    <row r="236" spans="9:10">
      <c r="I236">
        <f>IF( ISNUMBER(SEARCH($H$18, J236)), MAX($I$2:$I235)+1, 0 )</f>
        <v>234</v>
      </c>
      <c r="J236" s="6" t="s">
        <v>277</v>
      </c>
    </row>
    <row r="237" spans="9:10">
      <c r="I237">
        <f>IF( ISNUMBER(SEARCH($H$18, J237)), MAX($I$2:$I236)+1, 0 )</f>
        <v>235</v>
      </c>
      <c r="J237" s="6" t="s">
        <v>278</v>
      </c>
    </row>
    <row r="238" spans="9:10">
      <c r="I238">
        <f>IF( ISNUMBER(SEARCH($H$18, J238)), MAX($I$2:$I237)+1, 0 )</f>
        <v>236</v>
      </c>
      <c r="J238" s="6" t="s">
        <v>279</v>
      </c>
    </row>
    <row r="239" spans="9:10">
      <c r="I239">
        <f>IF( ISNUMBER(SEARCH($H$18, J239)), MAX($I$2:$I238)+1, 0 )</f>
        <v>237</v>
      </c>
      <c r="J239" s="6" t="s">
        <v>280</v>
      </c>
    </row>
    <row r="240" spans="9:10">
      <c r="I240">
        <f>IF( ISNUMBER(SEARCH($H$18, J240)), MAX($I$2:$I239)+1, 0 )</f>
        <v>238</v>
      </c>
      <c r="J240" s="6" t="s">
        <v>281</v>
      </c>
    </row>
    <row r="241" spans="9:10">
      <c r="I241">
        <f>IF( ISNUMBER(SEARCH($H$18, J241)), MAX($I$2:$I240)+1, 0 )</f>
        <v>239</v>
      </c>
      <c r="J241" s="6" t="s">
        <v>282</v>
      </c>
    </row>
    <row r="242" spans="9:10">
      <c r="I242">
        <f>IF( ISNUMBER(SEARCH($H$18, J242)), MAX($I$2:$I241)+1, 0 )</f>
        <v>240</v>
      </c>
      <c r="J242" s="6" t="s">
        <v>283</v>
      </c>
    </row>
    <row r="243" spans="9:10">
      <c r="I243">
        <f>IF( ISNUMBER(SEARCH($H$18, J243)), MAX($I$2:$I242)+1, 0 )</f>
        <v>241</v>
      </c>
      <c r="J243" s="6" t="s">
        <v>284</v>
      </c>
    </row>
    <row r="244" spans="9:10">
      <c r="I244">
        <f>IF( ISNUMBER(SEARCH($H$18, J244)), MAX($I$2:$I243)+1, 0 )</f>
        <v>242</v>
      </c>
      <c r="J244" s="6" t="s">
        <v>285</v>
      </c>
    </row>
    <row r="245" spans="9:10">
      <c r="I245">
        <f>IF( ISNUMBER(SEARCH($H$18, J245)), MAX($I$2:$I244)+1, 0 )</f>
        <v>243</v>
      </c>
      <c r="J245" s="6" t="s">
        <v>286</v>
      </c>
    </row>
    <row r="246" spans="9:10">
      <c r="I246">
        <f>IF( ISNUMBER(SEARCH($H$18, J246)), MAX($I$2:$I245)+1, 0 )</f>
        <v>244</v>
      </c>
      <c r="J246" s="6" t="s">
        <v>287</v>
      </c>
    </row>
    <row r="247" spans="9:10">
      <c r="I247">
        <f>IF( ISNUMBER(SEARCH($H$18, J247)), MAX($I$2:$I246)+1, 0 )</f>
        <v>245</v>
      </c>
      <c r="J247" s="6" t="s">
        <v>288</v>
      </c>
    </row>
    <row r="248" spans="9:10">
      <c r="I248">
        <f>IF( ISNUMBER(SEARCH($H$18, J248)), MAX($I$2:$I247)+1, 0 )</f>
        <v>246</v>
      </c>
      <c r="J248" s="6" t="s">
        <v>289</v>
      </c>
    </row>
    <row r="249" spans="9:10">
      <c r="I249">
        <f>IF( ISNUMBER(SEARCH($H$18, J249)), MAX($I$2:$I248)+1, 0 )</f>
        <v>247</v>
      </c>
      <c r="J249" s="6" t="s">
        <v>290</v>
      </c>
    </row>
    <row r="250" spans="9:10">
      <c r="I250">
        <f>IF( ISNUMBER(SEARCH($H$18, J250)), MAX($I$2:$I249)+1, 0 )</f>
        <v>248</v>
      </c>
      <c r="J250" s="6" t="s">
        <v>291</v>
      </c>
    </row>
    <row r="251" spans="9:10">
      <c r="I251">
        <f>IF( ISNUMBER(SEARCH($H$18, J251)), MAX($I$2:$I250)+1, 0 )</f>
        <v>249</v>
      </c>
      <c r="J251" s="6" t="s">
        <v>292</v>
      </c>
    </row>
    <row r="252" spans="9:10">
      <c r="I252">
        <f>IF( ISNUMBER(SEARCH($H$18, J252)), MAX($I$2:$I251)+1, 0 )</f>
        <v>250</v>
      </c>
      <c r="J252" s="6" t="s">
        <v>293</v>
      </c>
    </row>
    <row r="253" spans="9:10">
      <c r="I253">
        <f>IF( ISNUMBER(SEARCH($H$18, J253)), MAX($I$2:$I252)+1, 0 )</f>
        <v>251</v>
      </c>
      <c r="J253" s="6" t="s">
        <v>294</v>
      </c>
    </row>
    <row r="254" spans="9:10">
      <c r="I254">
        <f>IF( ISNUMBER(SEARCH($H$18, J254)), MAX($I$2:$I253)+1, 0 )</f>
        <v>252</v>
      </c>
      <c r="J254" s="6" t="s">
        <v>295</v>
      </c>
    </row>
    <row r="255" spans="9:10">
      <c r="I255">
        <f>IF( ISNUMBER(SEARCH($H$18, J255)), MAX($I$2:$I254)+1, 0 )</f>
        <v>253</v>
      </c>
      <c r="J255" s="6" t="s">
        <v>296</v>
      </c>
    </row>
    <row r="256" spans="9:10">
      <c r="I256">
        <f>IF( ISNUMBER(SEARCH($H$18, J256)), MAX($I$2:$I255)+1, 0 )</f>
        <v>254</v>
      </c>
      <c r="J256" s="6" t="s">
        <v>297</v>
      </c>
    </row>
    <row r="257" spans="9:10">
      <c r="I257">
        <f>IF( ISNUMBER(SEARCH($H$18, J257)), MAX($I$2:$I256)+1, 0 )</f>
        <v>255</v>
      </c>
      <c r="J257" s="6" t="s">
        <v>298</v>
      </c>
    </row>
    <row r="258" spans="9:10">
      <c r="I258">
        <f>IF( ISNUMBER(SEARCH($H$18, J258)), MAX($I$2:$I257)+1, 0 )</f>
        <v>256</v>
      </c>
      <c r="J258" s="6" t="s">
        <v>393</v>
      </c>
    </row>
    <row r="259" spans="9:10">
      <c r="I259">
        <f>IF( ISNUMBER(SEARCH($H$18, J259)), MAX($I$2:$I258)+1, 0 )</f>
        <v>257</v>
      </c>
      <c r="J259" s="6" t="s">
        <v>394</v>
      </c>
    </row>
    <row r="260" spans="9:10">
      <c r="I260">
        <f>IF( ISNUMBER(SEARCH($H$18, J260)), MAX($I$2:$I259)+1, 0 )</f>
        <v>258</v>
      </c>
      <c r="J260" s="6" t="s">
        <v>395</v>
      </c>
    </row>
    <row r="261" spans="9:10">
      <c r="I261">
        <f>IF( ISNUMBER(SEARCH($H$18, J261)), MAX($I$2:$I260)+1, 0 )</f>
        <v>259</v>
      </c>
      <c r="J261" s="6" t="s">
        <v>396</v>
      </c>
    </row>
    <row r="262" spans="9:10">
      <c r="I262">
        <f>IF( ISNUMBER(SEARCH($H$18, J262)), MAX($I$2:$I261)+1, 0 )</f>
        <v>260</v>
      </c>
      <c r="J262" s="6" t="s">
        <v>397</v>
      </c>
    </row>
    <row r="263" spans="9:10">
      <c r="I263">
        <f>IF( ISNUMBER(SEARCH($H$18, J263)), MAX($I$2:$I262)+1, 0 )</f>
        <v>261</v>
      </c>
      <c r="J263" s="6" t="s">
        <v>303</v>
      </c>
    </row>
    <row r="264" spans="9:10">
      <c r="I264">
        <f>IF( ISNUMBER(SEARCH($H$18, J264)), MAX($I$2:$I263)+1, 0 )</f>
        <v>262</v>
      </c>
      <c r="J264" s="6" t="s">
        <v>410</v>
      </c>
    </row>
    <row r="265" spans="9:10">
      <c r="I265">
        <f>IF( ISNUMBER(SEARCH($H$18, J265)), MAX($I$2:$I264)+1, 0 )</f>
        <v>263</v>
      </c>
      <c r="J265" s="6" t="s">
        <v>304</v>
      </c>
    </row>
    <row r="266" spans="9:10">
      <c r="I266">
        <f>IF( ISNUMBER(SEARCH($H$18, J266)), MAX($I$2:$I265)+1, 0 )</f>
        <v>264</v>
      </c>
      <c r="J266" s="6" t="s">
        <v>411</v>
      </c>
    </row>
    <row r="267" spans="9:10">
      <c r="I267">
        <f>IF( ISNUMBER(SEARCH($H$18, J267)), MAX($I$2:$I266)+1, 0 )</f>
        <v>265</v>
      </c>
      <c r="J267" s="6" t="s">
        <v>302</v>
      </c>
    </row>
    <row r="268" spans="9:10">
      <c r="I268">
        <f>IF( ISNUMBER(SEARCH($H$18, J268)), MAX($I$2:$I267)+1, 0 )</f>
        <v>266</v>
      </c>
      <c r="J268" s="6" t="s">
        <v>409</v>
      </c>
    </row>
    <row r="269" spans="9:10">
      <c r="I269">
        <f>IF( ISNUMBER(SEARCH($H$18, J269)), MAX($I$2:$I268)+1, 0 )</f>
        <v>267</v>
      </c>
      <c r="J269" s="6" t="s">
        <v>301</v>
      </c>
    </row>
    <row r="270" spans="9:10">
      <c r="I270">
        <f>IF( ISNUMBER(SEARCH($H$18, J270)), MAX($I$2:$I269)+1, 0 )</f>
        <v>268</v>
      </c>
      <c r="J270" s="6" t="s">
        <v>399</v>
      </c>
    </row>
    <row r="271" spans="9:10">
      <c r="I271">
        <f>IF( ISNUMBER(SEARCH($H$18, J271)), MAX($I$2:$I270)+1, 0 )</f>
        <v>269</v>
      </c>
      <c r="J271" s="6" t="s">
        <v>400</v>
      </c>
    </row>
    <row r="272" spans="9:10">
      <c r="I272">
        <f>IF( ISNUMBER(SEARCH($H$18, J272)), MAX($I$2:$I271)+1, 0 )</f>
        <v>270</v>
      </c>
      <c r="J272" s="6" t="s">
        <v>401</v>
      </c>
    </row>
    <row r="273" spans="9:10">
      <c r="I273">
        <f>IF( ISNUMBER(SEARCH($H$18, J273)), MAX($I$2:$I272)+1, 0 )</f>
        <v>271</v>
      </c>
      <c r="J273" s="6" t="s">
        <v>402</v>
      </c>
    </row>
    <row r="274" spans="9:10">
      <c r="I274">
        <f>IF( ISNUMBER(SEARCH($H$18, J274)), MAX($I$2:$I273)+1, 0 )</f>
        <v>272</v>
      </c>
      <c r="J274" s="6" t="s">
        <v>403</v>
      </c>
    </row>
    <row r="275" spans="9:10">
      <c r="I275">
        <f>IF( ISNUMBER(SEARCH($H$18, J275)), MAX($I$2:$I274)+1, 0 )</f>
        <v>273</v>
      </c>
      <c r="J275" s="6" t="s">
        <v>404</v>
      </c>
    </row>
    <row r="276" spans="9:10">
      <c r="I276">
        <f>IF( ISNUMBER(SEARCH($H$18, J276)), MAX($I$2:$I275)+1, 0 )</f>
        <v>274</v>
      </c>
      <c r="J276" s="6" t="s">
        <v>405</v>
      </c>
    </row>
    <row r="277" spans="9:10">
      <c r="I277">
        <f>IF( ISNUMBER(SEARCH($H$18, J277)), MAX($I$2:$I276)+1, 0 )</f>
        <v>275</v>
      </c>
      <c r="J277" s="6" t="s">
        <v>406</v>
      </c>
    </row>
    <row r="278" spans="9:10">
      <c r="I278">
        <f>IF( ISNUMBER(SEARCH($H$18, J278)), MAX($I$2:$I277)+1, 0 )</f>
        <v>276</v>
      </c>
      <c r="J278" s="6" t="s">
        <v>407</v>
      </c>
    </row>
    <row r="279" spans="9:10">
      <c r="I279">
        <f>IF( ISNUMBER(SEARCH($H$18, J279)), MAX($I$2:$I278)+1, 0 )</f>
        <v>277</v>
      </c>
      <c r="J279" s="6" t="s">
        <v>408</v>
      </c>
    </row>
    <row r="280" spans="9:10">
      <c r="I280">
        <f>IF( ISNUMBER(SEARCH($H$18, J280)), MAX($I$2:$I279)+1, 0 )</f>
        <v>278</v>
      </c>
      <c r="J280" s="6" t="s">
        <v>248</v>
      </c>
    </row>
    <row r="281" spans="9:10">
      <c r="I281">
        <f>IF( ISNUMBER(SEARCH($H$18, J281)), MAX($I$2:$I280)+1, 0 )</f>
        <v>279</v>
      </c>
      <c r="J281" s="6" t="s">
        <v>390</v>
      </c>
    </row>
    <row r="282" spans="9:10">
      <c r="I282">
        <f>IF( ISNUMBER(SEARCH($H$18, J282)), MAX($I$2:$I281)+1, 0 )</f>
        <v>280</v>
      </c>
      <c r="J282" s="6" t="s">
        <v>391</v>
      </c>
    </row>
    <row r="283" spans="9:10">
      <c r="I283">
        <f>IF( ISNUMBER(SEARCH($H$18, J283)), MAX($I$2:$I282)+1, 0 )</f>
        <v>281</v>
      </c>
      <c r="J283" s="6" t="s">
        <v>245</v>
      </c>
    </row>
    <row r="284" spans="9:10">
      <c r="I284">
        <f>IF( ISNUMBER(SEARCH($H$18, J284)), MAX($I$2:$I283)+1, 0 )</f>
        <v>282</v>
      </c>
      <c r="J284" s="6" t="s">
        <v>246</v>
      </c>
    </row>
    <row r="285" spans="9:10">
      <c r="I285">
        <f>IF( ISNUMBER(SEARCH($H$18, J285)), MAX($I$2:$I284)+1, 0 )</f>
        <v>283</v>
      </c>
      <c r="J285" s="6" t="s">
        <v>247</v>
      </c>
    </row>
    <row r="286" spans="9:10">
      <c r="I286">
        <f>IF( ISNUMBER(SEARCH($H$18, J286)), MAX($I$2:$I285)+1, 0 )</f>
        <v>284</v>
      </c>
      <c r="J286" s="6" t="s">
        <v>244</v>
      </c>
    </row>
    <row r="287" spans="9:10">
      <c r="I287">
        <f>IF( ISNUMBER(SEARCH($H$18, J287)), MAX($I$2:$I286)+1, 0 )</f>
        <v>285</v>
      </c>
      <c r="J287" s="6" t="s">
        <v>386</v>
      </c>
    </row>
    <row r="288" spans="9:10">
      <c r="I288">
        <f>IF( ISNUMBER(SEARCH($H$18, J288)), MAX($I$2:$I287)+1, 0 )</f>
        <v>286</v>
      </c>
      <c r="J288" s="6" t="s">
        <v>387</v>
      </c>
    </row>
    <row r="289" spans="9:10">
      <c r="I289">
        <f>IF( ISNUMBER(SEARCH($H$18, J289)), MAX($I$2:$I288)+1, 0 )</f>
        <v>287</v>
      </c>
      <c r="J289" s="6" t="s">
        <v>388</v>
      </c>
    </row>
    <row r="290" spans="9:10">
      <c r="I290">
        <f>IF( ISNUMBER(SEARCH($H$18, J290)), MAX($I$2:$I289)+1, 0 )</f>
        <v>288</v>
      </c>
      <c r="J290" s="6" t="s">
        <v>389</v>
      </c>
    </row>
    <row r="291" spans="9:10">
      <c r="I291">
        <f>IF( ISNUMBER(SEARCH($H$18, J291)), MAX($I$2:$I290)+1, 0 )</f>
        <v>289</v>
      </c>
      <c r="J291" s="6" t="s">
        <v>414</v>
      </c>
    </row>
    <row r="292" spans="9:10">
      <c r="I292">
        <f>IF( ISNUMBER(SEARCH($H$18, J292)), MAX($I$2:$I291)+1, 0 )</f>
        <v>290</v>
      </c>
      <c r="J292" s="6" t="s">
        <v>74</v>
      </c>
    </row>
    <row r="293" spans="9:10">
      <c r="I293">
        <f>IF( ISNUMBER(SEARCH($H$18, J293)), MAX($I$2:$I292)+1, 0 )</f>
        <v>291</v>
      </c>
      <c r="J293" s="6" t="s">
        <v>320</v>
      </c>
    </row>
    <row r="294" spans="9:10">
      <c r="I294">
        <f>IF( ISNUMBER(SEARCH($H$18, J294)), MAX($I$2:$I293)+1, 0 )</f>
        <v>292</v>
      </c>
      <c r="J294" s="6" t="s">
        <v>321</v>
      </c>
    </row>
    <row r="295" spans="9:10">
      <c r="I295">
        <f>IF( ISNUMBER(SEARCH($H$18, J295)), MAX($I$2:$I294)+1, 0 )</f>
        <v>293</v>
      </c>
      <c r="J295" s="6" t="s">
        <v>322</v>
      </c>
    </row>
    <row r="296" spans="9:10">
      <c r="I296">
        <f>IF( ISNUMBER(SEARCH($H$18, J296)), MAX($I$2:$I295)+1, 0 )</f>
        <v>294</v>
      </c>
      <c r="J296" s="6" t="s">
        <v>323</v>
      </c>
    </row>
    <row r="297" spans="9:10">
      <c r="I297">
        <f>IF( ISNUMBER(SEARCH($H$18, J297)), MAX($I$2:$I296)+1, 0 )</f>
        <v>295</v>
      </c>
      <c r="J297" s="6" t="s">
        <v>324</v>
      </c>
    </row>
    <row r="298" spans="9:10">
      <c r="I298">
        <f>IF( ISNUMBER(SEARCH($H$18, J298)), MAX($I$2:$I297)+1, 0 )</f>
        <v>296</v>
      </c>
      <c r="J298" s="6" t="s">
        <v>325</v>
      </c>
    </row>
    <row r="299" spans="9:10">
      <c r="I299">
        <f>IF( ISNUMBER(SEARCH($H$18, J299)), MAX($I$2:$I298)+1, 0 )</f>
        <v>297</v>
      </c>
      <c r="J299" s="6" t="s">
        <v>326</v>
      </c>
    </row>
    <row r="300" spans="9:10">
      <c r="I300">
        <f>IF( ISNUMBER(SEARCH($H$18, J300)), MAX($I$2:$I299)+1, 0 )</f>
        <v>298</v>
      </c>
      <c r="J300" s="6" t="s">
        <v>327</v>
      </c>
    </row>
    <row r="301" spans="9:10">
      <c r="I301">
        <f>IF( ISNUMBER(SEARCH($H$18, J301)), MAX($I$2:$I300)+1, 0 )</f>
        <v>299</v>
      </c>
      <c r="J301" s="6" t="s">
        <v>328</v>
      </c>
    </row>
    <row r="302" spans="9:10">
      <c r="I302">
        <f>IF( ISNUMBER(SEARCH($H$18, J302)), MAX($I$2:$I301)+1, 0 )</f>
        <v>300</v>
      </c>
      <c r="J302" s="6" t="s">
        <v>329</v>
      </c>
    </row>
    <row r="303" spans="9:10">
      <c r="I303">
        <f>IF( ISNUMBER(SEARCH($H$18, J303)), MAX($I$2:$I302)+1, 0 )</f>
        <v>301</v>
      </c>
      <c r="J303" s="6" t="s">
        <v>330</v>
      </c>
    </row>
    <row r="304" spans="9:10">
      <c r="I304">
        <f>IF( ISNUMBER(SEARCH($H$18, J304)), MAX($I$2:$I303)+1, 0 )</f>
        <v>302</v>
      </c>
      <c r="J304" s="6" t="s">
        <v>331</v>
      </c>
    </row>
    <row r="305" spans="9:10">
      <c r="I305">
        <f>IF( ISNUMBER(SEARCH($H$18, J305)), MAX($I$2:$I304)+1, 0 )</f>
        <v>303</v>
      </c>
      <c r="J305" s="6" t="s">
        <v>332</v>
      </c>
    </row>
    <row r="306" spans="9:10">
      <c r="I306">
        <f>IF( ISNUMBER(SEARCH($H$18, J306)), MAX($I$2:$I305)+1, 0 )</f>
        <v>304</v>
      </c>
      <c r="J306" s="6" t="s">
        <v>333</v>
      </c>
    </row>
    <row r="307" spans="9:10">
      <c r="I307">
        <f>IF( ISNUMBER(SEARCH($H$18, J307)), MAX($I$2:$I306)+1, 0 )</f>
        <v>305</v>
      </c>
      <c r="J307" s="6" t="s">
        <v>317</v>
      </c>
    </row>
    <row r="308" spans="9:10">
      <c r="I308">
        <f>IF( ISNUMBER(SEARCH($H$18, J308)), MAX($I$2:$I307)+1, 0 )</f>
        <v>306</v>
      </c>
      <c r="J308" s="6" t="s">
        <v>318</v>
      </c>
    </row>
    <row r="309" spans="9:10">
      <c r="I309">
        <f>IF( ISNUMBER(SEARCH($H$18, J309)), MAX($I$2:$I308)+1, 0 )</f>
        <v>307</v>
      </c>
      <c r="J309" s="6" t="s">
        <v>315</v>
      </c>
    </row>
    <row r="310" spans="9:10">
      <c r="I310">
        <f>IF( ISNUMBER(SEARCH($H$18, J310)), MAX($I$2:$I309)+1, 0 )</f>
        <v>308</v>
      </c>
      <c r="J310" s="6" t="s">
        <v>316</v>
      </c>
    </row>
    <row r="311" spans="9:10">
      <c r="I311">
        <f>IF( ISNUMBER(SEARCH($H$18, J311)), MAX($I$2:$I310)+1, 0 )</f>
        <v>309</v>
      </c>
      <c r="J311" s="6" t="s">
        <v>305</v>
      </c>
    </row>
    <row r="312" spans="9:10">
      <c r="I312">
        <f>IF( ISNUMBER(SEARCH($H$18, J312)), MAX($I$2:$I311)+1, 0 )</f>
        <v>310</v>
      </c>
      <c r="J312" s="6" t="s">
        <v>306</v>
      </c>
    </row>
    <row r="313" spans="9:10">
      <c r="I313">
        <f>IF( ISNUMBER(SEARCH($H$18, J313)), MAX($I$2:$I312)+1, 0 )</f>
        <v>311</v>
      </c>
      <c r="J313" s="6" t="s">
        <v>307</v>
      </c>
    </row>
    <row r="314" spans="9:10">
      <c r="I314">
        <f>IF( ISNUMBER(SEARCH($H$18, J314)), MAX($I$2:$I313)+1, 0 )</f>
        <v>312</v>
      </c>
      <c r="J314" s="6" t="s">
        <v>308</v>
      </c>
    </row>
    <row r="315" spans="9:10">
      <c r="I315">
        <f>IF( ISNUMBER(SEARCH($H$18, J315)), MAX($I$2:$I314)+1, 0 )</f>
        <v>313</v>
      </c>
      <c r="J315" s="6" t="s">
        <v>309</v>
      </c>
    </row>
    <row r="316" spans="9:10">
      <c r="I316">
        <f>IF( ISNUMBER(SEARCH($H$18, J316)), MAX($I$2:$I315)+1, 0 )</f>
        <v>314</v>
      </c>
      <c r="J316" s="6" t="s">
        <v>310</v>
      </c>
    </row>
    <row r="317" spans="9:10">
      <c r="I317">
        <f>IF( ISNUMBER(SEARCH($H$18, J317)), MAX($I$2:$I316)+1, 0 )</f>
        <v>315</v>
      </c>
      <c r="J317" s="6" t="s">
        <v>311</v>
      </c>
    </row>
    <row r="318" spans="9:10">
      <c r="I318">
        <f>IF( ISNUMBER(SEARCH($H$18, J318)), MAX($I$2:$I317)+1, 0 )</f>
        <v>316</v>
      </c>
      <c r="J318" s="6" t="s">
        <v>412</v>
      </c>
    </row>
    <row r="319" spans="9:10">
      <c r="I319">
        <f>IF( ISNUMBER(SEARCH($H$18, J319)), MAX($I$2:$I318)+1, 0 )</f>
        <v>317</v>
      </c>
      <c r="J319" s="6" t="s">
        <v>312</v>
      </c>
    </row>
    <row r="320" spans="9:10">
      <c r="I320">
        <f>IF( ISNUMBER(SEARCH($H$18, J320)), MAX($I$2:$I319)+1, 0 )</f>
        <v>318</v>
      </c>
      <c r="J320" s="6" t="s">
        <v>413</v>
      </c>
    </row>
    <row r="321" spans="9:10">
      <c r="I321">
        <f>IF( ISNUMBER(SEARCH($H$18, J321)), MAX($I$2:$I320)+1, 0 )</f>
        <v>319</v>
      </c>
      <c r="J321" s="6" t="s">
        <v>313</v>
      </c>
    </row>
    <row r="322" spans="9:10">
      <c r="I322">
        <f>IF( ISNUMBER(SEARCH($H$18, J322)), MAX($I$2:$I321)+1, 0 )</f>
        <v>320</v>
      </c>
      <c r="J322" s="6" t="s">
        <v>314</v>
      </c>
    </row>
    <row r="323" spans="9:10">
      <c r="I323">
        <f>IF( ISNUMBER(SEARCH($H$18, J323)), MAX($I$2:$I322)+1, 0 )</f>
        <v>321</v>
      </c>
      <c r="J323" s="6" t="s">
        <v>243</v>
      </c>
    </row>
    <row r="324" spans="9:10">
      <c r="I324">
        <f>IF( ISNUMBER(SEARCH($H$18, J324)), MAX($I$2:$I323)+1, 0 )</f>
        <v>322</v>
      </c>
      <c r="J324" s="6" t="s">
        <v>239</v>
      </c>
    </row>
    <row r="325" spans="9:10">
      <c r="I325">
        <f>IF( ISNUMBER(SEARCH($H$18, J325)), MAX($I$2:$I324)+1, 0 )</f>
        <v>323</v>
      </c>
      <c r="J325" s="6" t="s">
        <v>230</v>
      </c>
    </row>
    <row r="326" spans="9:10">
      <c r="I326">
        <f>IF( ISNUMBER(SEARCH($H$18, J326)), MAX($I$2:$I325)+1, 0 )</f>
        <v>324</v>
      </c>
      <c r="J326" s="6" t="s">
        <v>231</v>
      </c>
    </row>
    <row r="327" spans="9:10">
      <c r="I327">
        <f>IF( ISNUMBER(SEARCH($H$18, J327)), MAX($I$2:$I326)+1, 0 )</f>
        <v>325</v>
      </c>
      <c r="J327" s="6" t="s">
        <v>232</v>
      </c>
    </row>
    <row r="328" spans="9:10">
      <c r="I328">
        <f>IF( ISNUMBER(SEARCH($H$18, J328)), MAX($I$2:$I327)+1, 0 )</f>
        <v>326</v>
      </c>
      <c r="J328" s="6" t="s">
        <v>233</v>
      </c>
    </row>
    <row r="329" spans="9:10">
      <c r="I329">
        <f>IF( ISNUMBER(SEARCH($H$18, J329)), MAX($I$2:$I328)+1, 0 )</f>
        <v>327</v>
      </c>
      <c r="J329" s="6" t="s">
        <v>234</v>
      </c>
    </row>
    <row r="330" spans="9:10">
      <c r="I330">
        <f>IF( ISNUMBER(SEARCH($H$18, J330)), MAX($I$2:$I329)+1, 0 )</f>
        <v>328</v>
      </c>
      <c r="J330" s="6" t="s">
        <v>235</v>
      </c>
    </row>
    <row r="331" spans="9:10">
      <c r="I331">
        <f>IF( ISNUMBER(SEARCH($H$18, J331)), MAX($I$2:$I330)+1, 0 )</f>
        <v>329</v>
      </c>
      <c r="J331" s="6" t="s">
        <v>236</v>
      </c>
    </row>
    <row r="332" spans="9:10">
      <c r="I332">
        <f>IF( ISNUMBER(SEARCH($H$18, J332)), MAX($I$2:$I331)+1, 0 )</f>
        <v>330</v>
      </c>
      <c r="J332" s="6" t="s">
        <v>237</v>
      </c>
    </row>
    <row r="333" spans="9:10">
      <c r="I333">
        <f>IF( ISNUMBER(SEARCH($H$18, J333)), MAX($I$2:$I332)+1, 0 )</f>
        <v>331</v>
      </c>
      <c r="J333" s="6" t="s">
        <v>238</v>
      </c>
    </row>
    <row r="334" spans="9:10">
      <c r="I334">
        <f>IF( ISNUMBER(SEARCH($H$18, J334)), MAX($I$2:$I333)+1, 0 )</f>
        <v>332</v>
      </c>
      <c r="J334" s="6" t="s">
        <v>240</v>
      </c>
    </row>
    <row r="335" spans="9:10">
      <c r="I335">
        <f>IF( ISNUMBER(SEARCH($H$18, J335)), MAX($I$2:$I334)+1, 0 )</f>
        <v>333</v>
      </c>
      <c r="J335" s="6" t="s">
        <v>241</v>
      </c>
    </row>
    <row r="336" spans="9:10">
      <c r="I336">
        <f>IF( ISNUMBER(SEARCH($H$18, J336)), MAX($I$2:$I335)+1, 0 )</f>
        <v>334</v>
      </c>
      <c r="J336" s="6" t="s">
        <v>242</v>
      </c>
    </row>
    <row r="337" spans="9:10">
      <c r="I337">
        <f>IF( ISNUMBER(SEARCH($H$18, J337)), MAX($I$2:$I336)+1, 0 )</f>
        <v>335</v>
      </c>
      <c r="J337" s="6" t="s">
        <v>124</v>
      </c>
    </row>
    <row r="338" spans="9:10">
      <c r="I338">
        <f>IF( ISNUMBER(SEARCH($H$18, J338)), MAX($I$2:$I337)+1, 0 )</f>
        <v>336</v>
      </c>
      <c r="J338" s="6" t="s">
        <v>110</v>
      </c>
    </row>
    <row r="339" spans="9:10">
      <c r="I339">
        <f>IF( ISNUMBER(SEARCH($H$18, J339)), MAX($I$2:$I338)+1, 0 )</f>
        <v>337</v>
      </c>
      <c r="J339" s="6" t="s">
        <v>100</v>
      </c>
    </row>
    <row r="340" spans="9:10">
      <c r="I340">
        <f>IF( ISNUMBER(SEARCH($H$18, J340)), MAX($I$2:$I339)+1, 0 )</f>
        <v>338</v>
      </c>
      <c r="J340" s="6" t="s">
        <v>101</v>
      </c>
    </row>
    <row r="341" spans="9:10">
      <c r="I341">
        <f>IF( ISNUMBER(SEARCH($H$18, J341)), MAX($I$2:$I340)+1, 0 )</f>
        <v>339</v>
      </c>
      <c r="J341" s="6" t="s">
        <v>422</v>
      </c>
    </row>
    <row r="342" spans="9:10">
      <c r="I342">
        <f>IF( ISNUMBER(SEARCH($H$18, J342)), MAX($I$2:$I341)+1, 0 )</f>
        <v>340</v>
      </c>
      <c r="J342" s="6" t="s">
        <v>102</v>
      </c>
    </row>
    <row r="343" spans="9:10">
      <c r="I343">
        <f>IF( ISNUMBER(SEARCH($H$18, J343)), MAX($I$2:$I342)+1, 0 )</f>
        <v>341</v>
      </c>
      <c r="J343" s="6" t="s">
        <v>103</v>
      </c>
    </row>
    <row r="344" spans="9:10">
      <c r="I344">
        <f>IF( ISNUMBER(SEARCH($H$18, J344)), MAX($I$2:$I343)+1, 0 )</f>
        <v>342</v>
      </c>
      <c r="J344" s="6" t="s">
        <v>418</v>
      </c>
    </row>
    <row r="345" spans="9:10">
      <c r="I345">
        <f>IF( ISNUMBER(SEARCH($H$18, J345)), MAX($I$2:$I344)+1, 0 )</f>
        <v>343</v>
      </c>
      <c r="J345" s="6" t="s">
        <v>365</v>
      </c>
    </row>
    <row r="346" spans="9:10">
      <c r="I346">
        <f>IF( ISNUMBER(SEARCH($H$18, J346)), MAX($I$2:$I345)+1, 0 )</f>
        <v>344</v>
      </c>
      <c r="J346" s="6" t="s">
        <v>83</v>
      </c>
    </row>
    <row r="347" spans="9:10">
      <c r="I347">
        <f>IF( ISNUMBER(SEARCH($H$18, J347)), MAX($I$2:$I346)+1, 0 )</f>
        <v>345</v>
      </c>
      <c r="J347" s="6" t="s">
        <v>84</v>
      </c>
    </row>
    <row r="348" spans="9:10">
      <c r="I348">
        <f>IF( ISNUMBER(SEARCH($H$18, J348)), MAX($I$2:$I347)+1, 0 )</f>
        <v>346</v>
      </c>
      <c r="J348" s="6" t="s">
        <v>419</v>
      </c>
    </row>
    <row r="349" spans="9:10">
      <c r="I349">
        <f>IF( ISNUMBER(SEARCH($H$18, J349)), MAX($I$2:$I348)+1, 0 )</f>
        <v>347</v>
      </c>
      <c r="J349" s="6" t="s">
        <v>85</v>
      </c>
    </row>
    <row r="350" spans="9:10">
      <c r="I350">
        <f>IF( ISNUMBER(SEARCH($H$18, J350)), MAX($I$2:$I349)+1, 0 )</f>
        <v>348</v>
      </c>
      <c r="J350" s="6" t="s">
        <v>366</v>
      </c>
    </row>
    <row r="351" spans="9:10">
      <c r="I351">
        <f>IF( ISNUMBER(SEARCH($H$18, J351)), MAX($I$2:$I350)+1, 0 )</f>
        <v>349</v>
      </c>
      <c r="J351" s="6" t="s">
        <v>420</v>
      </c>
    </row>
    <row r="352" spans="9:10">
      <c r="I352">
        <f>IF( ISNUMBER(SEARCH($H$18, J352)), MAX($I$2:$I351)+1, 0 )</f>
        <v>350</v>
      </c>
      <c r="J352" s="6" t="s">
        <v>86</v>
      </c>
    </row>
    <row r="353" spans="9:10">
      <c r="I353">
        <f>IF( ISNUMBER(SEARCH($H$18, J353)), MAX($I$2:$I352)+1, 0 )</f>
        <v>351</v>
      </c>
      <c r="J353" s="6" t="s">
        <v>367</v>
      </c>
    </row>
    <row r="354" spans="9:10">
      <c r="I354">
        <f>IF( ISNUMBER(SEARCH($H$18, J354)), MAX($I$2:$I353)+1, 0 )</f>
        <v>352</v>
      </c>
      <c r="J354" s="6" t="s">
        <v>421</v>
      </c>
    </row>
    <row r="355" spans="9:10">
      <c r="I355">
        <f>IF( ISNUMBER(SEARCH($H$18, J355)), MAX($I$2:$I354)+1, 0 )</f>
        <v>353</v>
      </c>
      <c r="J355" s="6" t="s">
        <v>87</v>
      </c>
    </row>
    <row r="356" spans="9:10">
      <c r="I356">
        <f>IF( ISNUMBER(SEARCH($H$18, J356)), MAX($I$2:$I355)+1, 0 )</f>
        <v>354</v>
      </c>
      <c r="J356" s="6" t="s">
        <v>368</v>
      </c>
    </row>
    <row r="357" spans="9:10">
      <c r="I357">
        <f>IF( ISNUMBER(SEARCH($H$18, J357)), MAX($I$2:$I356)+1, 0 )</f>
        <v>355</v>
      </c>
      <c r="J357" s="6" t="s">
        <v>369</v>
      </c>
    </row>
    <row r="358" spans="9:10">
      <c r="I358">
        <f>IF( ISNUMBER(SEARCH($H$18, J358)), MAX($I$2:$I357)+1, 0 )</f>
        <v>356</v>
      </c>
      <c r="J358" s="6" t="s">
        <v>370</v>
      </c>
    </row>
    <row r="359" spans="9:10">
      <c r="I359">
        <f>IF( ISNUMBER(SEARCH($H$18, J359)), MAX($I$2:$I358)+1, 0 )</f>
        <v>357</v>
      </c>
      <c r="J359" s="6" t="s">
        <v>371</v>
      </c>
    </row>
    <row r="360" spans="9:10">
      <c r="I360">
        <f>IF( ISNUMBER(SEARCH($H$18, J360)), MAX($I$2:$I359)+1, 0 )</f>
        <v>358</v>
      </c>
      <c r="J360" s="6" t="s">
        <v>372</v>
      </c>
    </row>
    <row r="361" spans="9:10">
      <c r="I361">
        <f>IF( ISNUMBER(SEARCH($H$18, J361)), MAX($I$2:$I360)+1, 0 )</f>
        <v>359</v>
      </c>
      <c r="J361" s="6" t="s">
        <v>373</v>
      </c>
    </row>
    <row r="362" spans="9:10">
      <c r="I362">
        <f>IF( ISNUMBER(SEARCH($H$18, J362)), MAX($I$2:$I361)+1, 0 )</f>
        <v>360</v>
      </c>
      <c r="J362" s="6" t="s">
        <v>374</v>
      </c>
    </row>
    <row r="363" spans="9:10">
      <c r="I363">
        <f>IF( ISNUMBER(SEARCH($H$18, J363)), MAX($I$2:$I362)+1, 0 )</f>
        <v>361</v>
      </c>
      <c r="J363" s="6" t="s">
        <v>375</v>
      </c>
    </row>
    <row r="364" spans="9:10">
      <c r="I364">
        <f>IF( ISNUMBER(SEARCH($H$18, J364)), MAX($I$2:$I363)+1, 0 )</f>
        <v>362</v>
      </c>
      <c r="J364" s="6" t="s">
        <v>376</v>
      </c>
    </row>
    <row r="365" spans="9:10">
      <c r="I365">
        <f>IF( ISNUMBER(SEARCH($H$18, J365)), MAX($I$2:$I364)+1, 0 )</f>
        <v>363</v>
      </c>
      <c r="J365" s="6" t="s">
        <v>377</v>
      </c>
    </row>
    <row r="366" spans="9:10">
      <c r="I366">
        <f>IF( ISNUMBER(SEARCH($H$18, J366)), MAX($I$2:$I365)+1, 0 )</f>
        <v>364</v>
      </c>
      <c r="J366" s="6" t="s">
        <v>378</v>
      </c>
    </row>
    <row r="367" spans="9:10">
      <c r="I367">
        <f>IF( ISNUMBER(SEARCH($H$18, J367)), MAX($I$2:$I366)+1, 0 )</f>
        <v>365</v>
      </c>
      <c r="J367" s="6" t="s">
        <v>379</v>
      </c>
    </row>
    <row r="368" spans="9:10">
      <c r="I368">
        <f>IF( ISNUMBER(SEARCH($H$18, J368)), MAX($I$2:$I367)+1, 0 )</f>
        <v>366</v>
      </c>
      <c r="J368" s="6" t="s">
        <v>104</v>
      </c>
    </row>
    <row r="369" spans="9:10">
      <c r="I369">
        <f>IF( ISNUMBER(SEARCH($H$18, J369)), MAX($I$2:$I368)+1, 0 )</f>
        <v>367</v>
      </c>
      <c r="J369" s="6" t="s">
        <v>120</v>
      </c>
    </row>
    <row r="370" spans="9:10">
      <c r="I370">
        <f>IF( ISNUMBER(SEARCH($H$18, J370)), MAX($I$2:$I369)+1, 0 )</f>
        <v>368</v>
      </c>
      <c r="J370" s="6" t="s">
        <v>121</v>
      </c>
    </row>
    <row r="371" spans="9:10">
      <c r="I371">
        <f>IF( ISNUMBER(SEARCH($H$18, J371)), MAX($I$2:$I370)+1, 0 )</f>
        <v>369</v>
      </c>
      <c r="J371" s="6" t="s">
        <v>122</v>
      </c>
    </row>
    <row r="372" spans="9:10">
      <c r="I372">
        <f>IF( ISNUMBER(SEARCH($H$18, J372)), MAX($I$2:$I371)+1, 0 )</f>
        <v>370</v>
      </c>
      <c r="J372" s="6" t="s">
        <v>123</v>
      </c>
    </row>
    <row r="373" spans="9:10">
      <c r="I373">
        <f>IF( ISNUMBER(SEARCH($H$18, J373)), MAX($I$2:$I372)+1, 0 )</f>
        <v>371</v>
      </c>
      <c r="J373" s="6" t="s">
        <v>300</v>
      </c>
    </row>
    <row r="374" spans="9:10">
      <c r="I374">
        <f>IF( ISNUMBER(SEARCH($H$18, J374)), MAX($I$2:$I373)+1, 0 )</f>
        <v>372</v>
      </c>
      <c r="J374" s="6" t="s">
        <v>119</v>
      </c>
    </row>
    <row r="375" spans="9:10">
      <c r="I375">
        <f>IF( ISNUMBER(SEARCH($H$18, J375)), MAX($I$2:$I374)+1, 0 )</f>
        <v>373</v>
      </c>
      <c r="J375" s="6" t="s">
        <v>423</v>
      </c>
    </row>
    <row r="376" spans="9:10">
      <c r="I376">
        <f>IF( ISNUMBER(SEARCH($H$18, J376)), MAX($I$2:$I375)+1, 0 )</f>
        <v>374</v>
      </c>
      <c r="J376" s="6" t="s">
        <v>99</v>
      </c>
    </row>
    <row r="377" spans="9:10" ht="17.25" thickBot="1">
      <c r="I377">
        <f>IF( ISNUMBER(SEARCH($H$18, J377)), MAX($I$2:$I376)+1, 0 )</f>
        <v>375</v>
      </c>
      <c r="J377" s="7" t="s">
        <v>79</v>
      </c>
    </row>
    <row r="378" spans="9:10">
      <c r="I378">
        <f>IF( ISNUMBER(SEARCH($H$18, J378)), MAX($I$2:$I377)+1, 0 )</f>
        <v>0</v>
      </c>
    </row>
    <row r="379" spans="9:10">
      <c r="I379">
        <f>IF( ISNUMBER(SEARCH($H$18, J379)), MAX($I$2:$I378)+1, 0 )</f>
        <v>0</v>
      </c>
    </row>
    <row r="380" spans="9:10">
      <c r="I380">
        <f>IF( ISNUMBER(SEARCH($H$18, J380)), MAX($I$2:$I379)+1, 0 )</f>
        <v>0</v>
      </c>
    </row>
    <row r="381" spans="9:10">
      <c r="I381">
        <f>IF( ISNUMBER(SEARCH($H$18, J381)), MAX($I$2:$I380)+1, 0 )</f>
        <v>0</v>
      </c>
    </row>
    <row r="382" spans="9:10">
      <c r="I382">
        <f>IF( ISNUMBER(SEARCH($H$18, J382)), MAX($I$2:$I381)+1, 0 )</f>
        <v>0</v>
      </c>
    </row>
    <row r="383" spans="9:10">
      <c r="I383">
        <f>IF( ISNUMBER(SEARCH($H$18, J383)), MAX($I$2:$I382)+1, 0 )</f>
        <v>0</v>
      </c>
    </row>
    <row r="384" spans="9:10">
      <c r="I384">
        <f>IF( ISNUMBER(SEARCH($H$18, J384)), MAX($I$2:$I383)+1, 0 )</f>
        <v>0</v>
      </c>
    </row>
    <row r="385" spans="9:9">
      <c r="I385">
        <f>IF( ISNUMBER(SEARCH($H$18, J385)), MAX($I$2:$I384)+1, 0 )</f>
        <v>0</v>
      </c>
    </row>
    <row r="386" spans="9:9">
      <c r="I386">
        <f>IF( ISNUMBER(SEARCH($H$18, J386)), MAX($I$2:$I385)+1, 0 )</f>
        <v>0</v>
      </c>
    </row>
    <row r="387" spans="9:9">
      <c r="I387">
        <f>IF( ISNUMBER(SEARCH($H$18, J387)), MAX($I$2:$I386)+1, 0 )</f>
        <v>0</v>
      </c>
    </row>
    <row r="388" spans="9:9">
      <c r="I388">
        <f>IF( ISNUMBER(SEARCH($H$18, J388)), MAX($I$2:$I387)+1, 0 )</f>
        <v>0</v>
      </c>
    </row>
    <row r="389" spans="9:9">
      <c r="I389">
        <f>IF( ISNUMBER(SEARCH($H$18, J389)), MAX($I$2:$I388)+1, 0 )</f>
        <v>0</v>
      </c>
    </row>
    <row r="390" spans="9:9">
      <c r="I390">
        <f>IF( ISNUMBER(SEARCH($H$18, J390)), MAX($I$2:$I389)+1, 0 )</f>
        <v>0</v>
      </c>
    </row>
    <row r="391" spans="9:9">
      <c r="I391">
        <f>IF( ISNUMBER(SEARCH($H$18, J391)), MAX($I$2:$I390)+1, 0 )</f>
        <v>0</v>
      </c>
    </row>
    <row r="392" spans="9:9">
      <c r="I392">
        <f>IF( ISNUMBER(SEARCH($H$18, J392)), MAX($I$2:$I391)+1, 0 )</f>
        <v>0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0"/>
  <sheetViews>
    <sheetView showGridLines="0" showRowColHeaders="0" tabSelected="1" workbookViewId="0">
      <pane ySplit="8" topLeftCell="A9" activePane="bottomLeft" state="frozen"/>
      <selection pane="bottomLeft"/>
    </sheetView>
  </sheetViews>
  <sheetFormatPr defaultColWidth="0" defaultRowHeight="13.5" zeroHeight="1"/>
  <cols>
    <col min="1" max="1" width="1.25" style="14" customWidth="1"/>
    <col min="2" max="2" width="4" style="14" customWidth="1"/>
    <col min="3" max="3" width="7.25" style="15" bestFit="1" customWidth="1"/>
    <col min="4" max="4" width="29.125" style="14" customWidth="1"/>
    <col min="5" max="5" width="9.75" style="14" customWidth="1"/>
    <col min="6" max="7" width="8.25" style="14" customWidth="1"/>
    <col min="8" max="9" width="11.5" style="14" customWidth="1"/>
    <col min="10" max="12" width="9.75" style="14" customWidth="1"/>
    <col min="13" max="15" width="10.25" style="14" customWidth="1"/>
    <col min="16" max="16" width="0.75" style="14" customWidth="1"/>
    <col min="17" max="16384" width="9" style="14" hidden="1"/>
  </cols>
  <sheetData>
    <row r="1" spans="2:15" ht="4.5" customHeight="1"/>
    <row r="2" spans="2:15" ht="33.75" customHeight="1">
      <c r="B2" s="56" t="s">
        <v>460</v>
      </c>
      <c r="C2" s="45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ht="4.5" customHeight="1"/>
    <row r="4" spans="2:15" ht="21.75" customHeight="1">
      <c r="B4" s="62" t="s">
        <v>459</v>
      </c>
      <c r="C4" s="63"/>
      <c r="D4" s="57">
        <f ca="1">TODAY()</f>
        <v>45539</v>
      </c>
      <c r="E4" s="64" t="s">
        <v>465</v>
      </c>
      <c r="F4" s="65"/>
    </row>
    <row r="5" spans="2:15" ht="12.75" customHeight="1" thickBot="1"/>
    <row r="6" spans="2:15" ht="14.25" hidden="1" customHeight="1" thickBot="1">
      <c r="D6" s="14" t="s">
        <v>432</v>
      </c>
      <c r="E6" s="14" t="s">
        <v>434</v>
      </c>
      <c r="F6" s="14" t="s">
        <v>435</v>
      </c>
      <c r="G6" s="14" t="s">
        <v>436</v>
      </c>
      <c r="H6" s="14" t="s">
        <v>437</v>
      </c>
      <c r="I6" s="14" t="s">
        <v>438</v>
      </c>
      <c r="J6" s="14" t="s">
        <v>439</v>
      </c>
      <c r="K6" s="14" t="s">
        <v>440</v>
      </c>
      <c r="L6" s="14" t="s">
        <v>441</v>
      </c>
      <c r="M6" s="14" t="str">
        <f>INDEX(filter!$L$3:$L$16, filter!$L$2, 0)&amp;"순매수금액"</f>
        <v>개인순매수금액</v>
      </c>
      <c r="N6" s="14" t="str" cm="1">
        <f t="array" ref="N6">INDEX(filter!$L$3:$L$16, filter!$M$2, 0)&amp;"순매수금액"</f>
        <v>기관순매수금액</v>
      </c>
      <c r="O6" s="14" t="str" cm="1">
        <f t="array" ref="O6">INDEX(filter!$L$3:$L$16, filter!$N$2, 0)&amp;"순매수금액"</f>
        <v>외국인합순매수금액</v>
      </c>
    </row>
    <row r="7" spans="2:15" ht="17.25" customHeight="1" thickBot="1">
      <c r="D7" s="58"/>
      <c r="M7" s="59" t="s">
        <v>456</v>
      </c>
      <c r="N7" s="60"/>
      <c r="O7" s="61"/>
    </row>
    <row r="8" spans="2:15" ht="14.25" thickBot="1">
      <c r="B8" s="25" t="s">
        <v>431</v>
      </c>
      <c r="C8" s="26" t="s">
        <v>430</v>
      </c>
      <c r="D8" s="26" t="s">
        <v>433</v>
      </c>
      <c r="E8" s="27" t="s">
        <v>434</v>
      </c>
      <c r="F8" s="28" t="s">
        <v>442</v>
      </c>
      <c r="G8" s="29" t="s">
        <v>436</v>
      </c>
      <c r="H8" s="26" t="s">
        <v>457</v>
      </c>
      <c r="I8" s="26" t="s">
        <v>458</v>
      </c>
      <c r="J8" s="27" t="s">
        <v>439</v>
      </c>
      <c r="K8" s="28" t="s">
        <v>440</v>
      </c>
      <c r="L8" s="29" t="s">
        <v>441</v>
      </c>
      <c r="M8" s="30"/>
      <c r="N8" s="31"/>
      <c r="O8" s="32"/>
    </row>
    <row r="9" spans="2:15">
      <c r="B9" s="20">
        <f>IF( $C9&lt;&gt;"", 1, "")</f>
        <v>1</v>
      </c>
      <c r="C9" s="19" t="str">
        <f>IFERROR( VLOOKUP(ROWS($B$8:B8), filter!$I:$J, 2, 0), "")</f>
        <v>KGG01P</v>
      </c>
      <c r="D9" s="18" t="str" cm="1">
        <f t="array" ref="D9">IF( $C9="", "", _xll.IMDP("IDX", $C9, D$6) )</f>
        <v>코스피</v>
      </c>
      <c r="E9" s="33">
        <f t="array" aca="1" ref="E9" ca="1">IF( $C9="", "", _xll.IMDP("IDX",$C9,E$6,$D$4,"Fill=true, Per="&amp;filter!$R$1) )</f>
        <v>2664.63</v>
      </c>
      <c r="F9" s="36">
        <f t="array" aca="1" ref="F9" ca="1">IF( $C9="", "", _xll.IMDP("IDX",$C9,F$6,$D$4,"Fill=true, Per="&amp;filter!$R$1) )</f>
        <v>-9.6799999999998363</v>
      </c>
      <c r="G9" s="37">
        <f t="array" aca="1" ref="G9" ca="1">IF( $C9="", "", _xll.IMDP("IDX",$C9,G$6,$D$4,"Fill=true, Per="&amp;filter!$R$1) )</f>
        <v>-0.36</v>
      </c>
      <c r="H9" s="42">
        <f t="array" aca="1" ref="H9" ca="1">IF( $C9="", "", _xll.IMDP("IDX",$C9,H$6,$D$4,"Fill=true, Per="&amp;filter!$R$1) )</f>
        <v>570452</v>
      </c>
      <c r="I9" s="42">
        <f t="array" aca="1" ref="I9" ca="1">IF( $C9="", "", _xll.IMDP("IDX",$C9,I$6,$D$4,"Fill=true, Per="&amp;filter!$R$1) )</f>
        <v>17648380</v>
      </c>
      <c r="J9" s="33">
        <f t="array" aca="1" ref="J9" ca="1">IF( $C9="", "", _xll.IMDP("IDX",$C9,J$6,$D$4,"Fill=true, Per="&amp;filter!$R$1) )</f>
        <v>2683.8</v>
      </c>
      <c r="K9" s="36">
        <f t="array" aca="1" ref="K9" ca="1">IF( $C9="", "", _xll.IMDP("IDX",$C9,K$6,$D$4,"Fill=true, Per="&amp;filter!$R$1) )</f>
        <v>2695.59</v>
      </c>
      <c r="L9" s="37">
        <f t="array" aca="1" ref="L9" ca="1">IF( $C9="", "", _xll.IMDP("IDX",$C9,L$6,$D$4,"Fill=true, Per="&amp;filter!$R$1) )</f>
        <v>0</v>
      </c>
      <c r="M9" s="47">
        <f ca="1">IF( $C9="", "", _xll.IMDP("IDX",$C9,M$6,$D$4,"fill=true,Per="&amp;filter!$R$1) )</f>
        <v>671103</v>
      </c>
      <c r="N9" s="48">
        <f t="array" aca="1" ref="N9" ca="1">IF( $C9="", "", _xll.IMDP("IDX",$C9,N$6,$D$4,"Fill=true, Per="&amp;filter!$R$1) )</f>
        <v>-662140</v>
      </c>
      <c r="O9" s="49">
        <f t="array" aca="1" ref="O9" ca="1">IF( $C9="", "", _xll.IMDP("IDX",$C9,O$6,$D$4,"Fill=true, Per="&amp;filter!$R$1) )</f>
        <v>-47958</v>
      </c>
    </row>
    <row r="10" spans="2:15">
      <c r="B10" s="21">
        <f>IF( $C10&lt;&gt;"", B9+1, "")</f>
        <v>2</v>
      </c>
      <c r="C10" s="17" t="str">
        <f>IFERROR( VLOOKUP(ROWS($B$8:B9), filter!$I:$J, 2, 0), "")</f>
        <v>X3G01P</v>
      </c>
      <c r="D10" s="16" t="str" cm="1">
        <f t="array" ref="D10">IF( $C10="", "", _xll.IMDP("IDX", $C10, D$6) )</f>
        <v>KRX 300</v>
      </c>
      <c r="E10" s="34">
        <f t="array" aca="1" ref="E10" ca="1">IF( $C10="", "", _xll.IMDP("IDX",$C10,E$6,$D$4,"Fill=true, Per="&amp;filter!$R$1) )</f>
        <v>1660.04</v>
      </c>
      <c r="F10" s="38">
        <f t="array" aca="1" ref="F10" ca="1">IF( $C10="", "", _xll.IMDP("IDX",$C10,F$6,$D$4,"Fill=true, Per="&amp;filter!$R$1) )</f>
        <v>-12.980000000000018</v>
      </c>
      <c r="G10" s="39">
        <f t="array" aca="1" ref="G10" ca="1">IF( $C10="", "", _xll.IMDP("IDX",$C10,G$6,$D$4,"Fill=true, Per="&amp;filter!$R$1) )</f>
        <v>-0.78</v>
      </c>
      <c r="H10" s="43">
        <f t="array" aca="1" ref="H10" ca="1">IF( $C10="", "", _xll.IMDP("IDX",$C10,H$6,$D$4,"Fill=true, Per="&amp;filter!$R$1) )</f>
        <v>286369</v>
      </c>
      <c r="I10" s="43">
        <f t="array" aca="1" ref="I10" ca="1">IF( $C10="", "", _xll.IMDP("IDX",$C10,I$6,$D$4,"Fill=true, Per="&amp;filter!$R$1) )</f>
        <v>18878330</v>
      </c>
      <c r="J10" s="34">
        <f t="array" aca="1" ref="J10" ca="1">IF( $C10="", "", _xll.IMDP("IDX",$C10,J$6,$D$4,"Fill=true, Per="&amp;filter!$R$1) )</f>
        <v>1677.6</v>
      </c>
      <c r="K10" s="38">
        <f t="array" aca="1" ref="K10" ca="1">IF( $C10="", "", _xll.IMDP("IDX",$C10,K$6,$D$4,"Fill=true, Per="&amp;filter!$R$1) )</f>
        <v>1684.41</v>
      </c>
      <c r="L10" s="39">
        <f t="array" aca="1" ref="L10" ca="1">IF( $C10="", "", _xll.IMDP("IDX",$C10,L$6,$D$4,"Fill=true, Per="&amp;filter!$R$1) )</f>
        <v>0</v>
      </c>
      <c r="M10" s="50" t="str">
        <f t="array" aca="1" ref="M10" ca="1">IF( $C10="", "", _xll.IMDP("IDX",$C10,M$6,$D$4,"Fill=true, Per="&amp;filter!$R$1) )</f>
        <v/>
      </c>
      <c r="N10" s="51" t="str">
        <f t="array" aca="1" ref="N10" ca="1">IF( $C10="", "", _xll.IMDP("IDX",$C10,N$6,$D$4,"Fill=true, Per="&amp;filter!$R$1) )</f>
        <v/>
      </c>
      <c r="O10" s="52" t="str">
        <f t="array" aca="1" ref="O10" ca="1">IF( $C10="", "", _xll.IMDP("IDX",$C10,O$6,$D$4,"Fill=true, Per="&amp;filter!$R$1) )</f>
        <v/>
      </c>
    </row>
    <row r="11" spans="2:15">
      <c r="B11" s="21">
        <f t="shared" ref="B11:B74" si="0">IF( $C11&lt;&gt;"", B10+1, "")</f>
        <v>3</v>
      </c>
      <c r="C11" s="17" t="str">
        <f>IFERROR( VLOOKUP(ROWS($B$8:B10), filter!$I:$J, 2, 0), "")</f>
        <v>K2W01P</v>
      </c>
      <c r="D11" s="16" t="str" cm="1">
        <f t="array" ref="D11">IF( $C11="", "", _xll.IMDP("IDX", $C11, D$6) )</f>
        <v>코스피 200 동일가중지수</v>
      </c>
      <c r="E11" s="34">
        <f t="array" aca="1" ref="E11" ca="1">IF( $C11="", "", _xll.IMDP("IDX",$C11,E$6,$D$4,"Fill=true, Per="&amp;filter!$R$1) )</f>
        <v>2257.44</v>
      </c>
      <c r="F11" s="38">
        <f t="array" aca="1" ref="F11" ca="1">IF( $C11="", "", _xll.IMDP("IDX",$C11,F$6,$D$4,"Fill=true, Per="&amp;filter!$R$1) )</f>
        <v>3.8000000000001819</v>
      </c>
      <c r="G11" s="39">
        <f t="array" aca="1" ref="G11" ca="1">IF( $C11="", "", _xll.IMDP("IDX",$C11,G$6,$D$4,"Fill=true, Per="&amp;filter!$R$1) )</f>
        <v>0.17</v>
      </c>
      <c r="H11" s="43">
        <f t="array" aca="1" ref="H11" ca="1">IF( $C11="", "", _xll.IMDP("IDX",$C11,H$6,$D$4,"Fill=true, Per="&amp;filter!$R$1) )</f>
        <v>206271</v>
      </c>
      <c r="I11" s="43">
        <f t="array" aca="1" ref="I11" ca="1">IF( $C11="", "", _xll.IMDP("IDX",$C11,I$6,$D$4,"Fill=true, Per="&amp;filter!$R$1) )</f>
        <v>14856197</v>
      </c>
      <c r="J11" s="34">
        <f t="array" aca="1" ref="J11" ca="1">IF( $C11="", "", _xll.IMDP("IDX",$C11,J$6,$D$4,"Fill=true, Per="&amp;filter!$R$1) )</f>
        <v>2258.83</v>
      </c>
      <c r="K11" s="38">
        <f t="array" aca="1" ref="K11" ca="1">IF( $C11="", "", _xll.IMDP("IDX",$C11,K$6,$D$4,"Fill=true, Per="&amp;filter!$R$1) )</f>
        <v>2266.33</v>
      </c>
      <c r="L11" s="39">
        <f t="array" aca="1" ref="L11" ca="1">IF( $C11="", "", _xll.IMDP("IDX",$C11,L$6,$D$4,"Fill=true, Per="&amp;filter!$R$1) )</f>
        <v>0</v>
      </c>
      <c r="M11" s="50" t="str">
        <f t="array" aca="1" ref="M11" ca="1">IF( $C11="", "", _xll.IMDP("IDX",$C11,M$6,$D$4,"Fill=true, Per="&amp;filter!$R$1) )</f>
        <v/>
      </c>
      <c r="N11" s="51" t="str">
        <f t="array" aca="1" ref="N11" ca="1">IF( $C11="", "", _xll.IMDP("IDX",$C11,N$6,$D$4,"Fill=true, Per="&amp;filter!$R$1) )</f>
        <v/>
      </c>
      <c r="O11" s="52" t="str">
        <f t="array" aca="1" ref="O11" ca="1">IF( $C11="", "", _xll.IMDP("IDX",$C11,O$6,$D$4,"Fill=true, Per="&amp;filter!$R$1) )</f>
        <v/>
      </c>
    </row>
    <row r="12" spans="2:15">
      <c r="B12" s="21">
        <f t="shared" si="0"/>
        <v>4</v>
      </c>
      <c r="C12" s="17" t="str">
        <f>IFERROR( VLOOKUP(ROWS($B$8:B11), filter!$I:$J, 2, 0), "")</f>
        <v>K2G01P</v>
      </c>
      <c r="D12" s="16" t="str" cm="1">
        <f t="array" ref="D12">IF( $C12="", "", _xll.IMDP("IDX", $C12, D$6) )</f>
        <v>코스피 200</v>
      </c>
      <c r="E12" s="34">
        <f t="array" aca="1" ref="E12" ca="1">IF( $C12="", "", _xll.IMDP("IDX",$C12,E$6,$D$4,"Fill=true, Per="&amp;filter!$R$1) )</f>
        <v>358.8</v>
      </c>
      <c r="F12" s="38">
        <f t="array" aca="1" ref="F12" ca="1">IF( $C12="", "", _xll.IMDP("IDX",$C12,F$6,$D$4,"Fill=true, Per="&amp;filter!$R$1) )</f>
        <v>-2.75</v>
      </c>
      <c r="G12" s="39">
        <f t="array" aca="1" ref="G12" ca="1">IF( $C12="", "", _xll.IMDP("IDX",$C12,G$6,$D$4,"Fill=true, Per="&amp;filter!$R$1) )</f>
        <v>-0.76</v>
      </c>
      <c r="H12" s="43">
        <f t="array" aca="1" ref="H12" ca="1">IF( $C12="", "", _xll.IMDP("IDX",$C12,H$6,$D$4,"Fill=true, Per="&amp;filter!$R$1) )</f>
        <v>206271</v>
      </c>
      <c r="I12" s="43">
        <f t="array" aca="1" ref="I12" ca="1">IF( $C12="", "", _xll.IMDP("IDX",$C12,I$6,$D$4,"Fill=true, Per="&amp;filter!$R$1) )</f>
        <v>14856197</v>
      </c>
      <c r="J12" s="34">
        <f t="array" aca="1" ref="J12" ca="1">IF( $C12="", "", _xll.IMDP("IDX",$C12,J$6,$D$4,"Fill=true, Per="&amp;filter!$R$1) )</f>
        <v>362.57</v>
      </c>
      <c r="K12" s="38">
        <f t="array" aca="1" ref="K12" ca="1">IF( $C12="", "", _xll.IMDP("IDX",$C12,K$6,$D$4,"Fill=true, Per="&amp;filter!$R$1) )</f>
        <v>363.87</v>
      </c>
      <c r="L12" s="39">
        <f t="array" aca="1" ref="L12" ca="1">IF( $C12="", "", _xll.IMDP("IDX",$C12,L$6,$D$4,"Fill=true, Per="&amp;filter!$R$1) )</f>
        <v>0</v>
      </c>
      <c r="M12" s="50">
        <f t="array" aca="1" ref="M12" ca="1">IF( $C12="", "", _xll.IMDP("IDX",$C12,M$6,$D$4,"Fill=true, Per="&amp;filter!$R$1) )</f>
        <v>622328</v>
      </c>
      <c r="N12" s="51">
        <f t="array" aca="1" ref="N12" ca="1">IF( $C12="", "", _xll.IMDP("IDX",$C12,N$6,$D$4,"Fill=true, Per="&amp;filter!$R$1) )</f>
        <v>-621709</v>
      </c>
      <c r="O12" s="52">
        <f t="array" aca="1" ref="O12" ca="1">IF( $C12="", "", _xll.IMDP("IDX",$C12,O$6,$D$4,"Fill=true, Per="&amp;filter!$R$1) )</f>
        <v>-28858</v>
      </c>
    </row>
    <row r="13" spans="2:15">
      <c r="B13" s="21">
        <f t="shared" si="0"/>
        <v>5</v>
      </c>
      <c r="C13" s="17" t="str">
        <f>IFERROR( VLOOKUP(ROWS($B$8:B12), filter!$I:$J, 2, 0), "")</f>
        <v>K2X01P</v>
      </c>
      <c r="D13" s="16" t="str" cm="1">
        <f t="array" ref="D13">IF( $C13="", "", _xll.IMDP("IDX", $C13, D$6) )</f>
        <v>코스피 200 레버리지지수</v>
      </c>
      <c r="E13" s="34">
        <f t="array" aca="1" ref="E13" ca="1">IF( $C13="", "", _xll.IMDP("IDX",$C13,E$6,$D$4,"Fill=true, Per="&amp;filter!$R$1) )</f>
        <v>286.44</v>
      </c>
      <c r="F13" s="38">
        <f t="array" aca="1" ref="F13" ca="1">IF( $C13="", "", _xll.IMDP("IDX",$C13,F$6,$D$4,"Fill=true, Per="&amp;filter!$R$1) )</f>
        <v>-4.5400000000000205</v>
      </c>
      <c r="G13" s="39">
        <f t="array" aca="1" ref="G13" ca="1">IF( $C13="", "", _xll.IMDP("IDX",$C13,G$6,$D$4,"Fill=true, Per="&amp;filter!$R$1) )</f>
        <v>-1.56</v>
      </c>
      <c r="H13" s="43">
        <f t="array" aca="1" ref="H13" ca="1">IF( $C13="", "", _xll.IMDP("IDX",$C13,H$6,$D$4,"Fill=true, Per="&amp;filter!$R$1) )</f>
        <v>0</v>
      </c>
      <c r="I13" s="43">
        <f t="array" aca="1" ref="I13" ca="1">IF( $C13="", "", _xll.IMDP("IDX",$C13,I$6,$D$4,"Fill=true, Per="&amp;filter!$R$1) )</f>
        <v>0</v>
      </c>
      <c r="J13" s="34">
        <f t="array" aca="1" ref="J13" ca="1">IF( $C13="", "", _xll.IMDP("IDX",$C13,J$6,$D$4,"Fill=true, Per="&amp;filter!$R$1) )</f>
        <v>292.54000000000002</v>
      </c>
      <c r="K13" s="38">
        <f t="array" aca="1" ref="K13" ca="1">IF( $C13="", "", _xll.IMDP("IDX",$C13,K$6,$D$4,"Fill=true, Per="&amp;filter!$R$1) )</f>
        <v>294.61</v>
      </c>
      <c r="L13" s="39">
        <f t="array" aca="1" ref="L13" ca="1">IF( $C13="", "", _xll.IMDP("IDX",$C13,L$6,$D$4,"Fill=true, Per="&amp;filter!$R$1) )</f>
        <v>0</v>
      </c>
      <c r="M13" s="50" t="str">
        <f t="array" aca="1" ref="M13" ca="1">IF( $C13="", "", _xll.IMDP("IDX",$C13,M$6,$D$4,"Fill=true, Per="&amp;filter!$R$1) )</f>
        <v/>
      </c>
      <c r="N13" s="51" t="str">
        <f t="array" aca="1" ref="N13" ca="1">IF( $C13="", "", _xll.IMDP("IDX",$C13,N$6,$D$4,"Fill=true, Per="&amp;filter!$R$1) )</f>
        <v/>
      </c>
      <c r="O13" s="52" t="str">
        <f t="array" aca="1" ref="O13" ca="1">IF( $C13="", "", _xll.IMDP("IDX",$C13,O$6,$D$4,"Fill=true, Per="&amp;filter!$R$1) )</f>
        <v/>
      </c>
    </row>
    <row r="14" spans="2:15">
      <c r="B14" s="21">
        <f t="shared" si="0"/>
        <v>6</v>
      </c>
      <c r="C14" s="17" t="str">
        <f>IFERROR( VLOOKUP(ROWS($B$8:B13), filter!$I:$J, 2, 0), "")</f>
        <v>XGW01P</v>
      </c>
      <c r="D14" s="16" t="str" cm="1">
        <f t="array" ref="D14">IF( $C14="", "", _xll.IMDP("IDX", $C14, D$6) )</f>
        <v>KRX 100 동일가중지수</v>
      </c>
      <c r="E14" s="34">
        <f t="array" aca="1" ref="E14" ca="1">IF( $C14="", "", _xll.IMDP("IDX",$C14,E$6,$D$4,"Fill=true, Per="&amp;filter!$R$1) )</f>
        <v>2022.32</v>
      </c>
      <c r="F14" s="38">
        <f t="array" aca="1" ref="F14" ca="1">IF( $C14="", "", _xll.IMDP("IDX",$C14,F$6,$D$4,"Fill=true, Per="&amp;filter!$R$1) )</f>
        <v>6.5</v>
      </c>
      <c r="G14" s="39">
        <f t="array" aca="1" ref="G14" ca="1">IF( $C14="", "", _xll.IMDP("IDX",$C14,G$6,$D$4,"Fill=true, Per="&amp;filter!$R$1) )</f>
        <v>0.32</v>
      </c>
      <c r="H14" s="43">
        <f t="array" aca="1" ref="H14" ca="1">IF( $C14="", "", _xll.IMDP("IDX",$C14,H$6,$D$4,"Fill=true, Per="&amp;filter!$R$1) )</f>
        <v>159601</v>
      </c>
      <c r="I14" s="43">
        <f t="array" aca="1" ref="I14" ca="1">IF( $C14="", "", _xll.IMDP("IDX",$C14,I$6,$D$4,"Fill=true, Per="&amp;filter!$R$1) )</f>
        <v>14112981</v>
      </c>
      <c r="J14" s="34">
        <f t="array" aca="1" ref="J14" ca="1">IF( $C14="", "", _xll.IMDP("IDX",$C14,J$6,$D$4,"Fill=true, Per="&amp;filter!$R$1) )</f>
        <v>2021.89</v>
      </c>
      <c r="K14" s="38">
        <f t="array" aca="1" ref="K14" ca="1">IF( $C14="", "", _xll.IMDP("IDX",$C14,K$6,$D$4,"Fill=true, Per="&amp;filter!$R$1) )</f>
        <v>2034.99</v>
      </c>
      <c r="L14" s="39">
        <f t="array" aca="1" ref="L14" ca="1">IF( $C14="", "", _xll.IMDP("IDX",$C14,L$6,$D$4,"Fill=true, Per="&amp;filter!$R$1) )</f>
        <v>0</v>
      </c>
      <c r="M14" s="50" t="str">
        <f t="array" aca="1" ref="M14" ca="1">IF( $C14="", "", _xll.IMDP("IDX",$C14,M$6,$D$4,"Fill=true, Per="&amp;filter!$R$1) )</f>
        <v/>
      </c>
      <c r="N14" s="51" t="str">
        <f t="array" aca="1" ref="N14" ca="1">IF( $C14="", "", _xll.IMDP("IDX",$C14,N$6,$D$4,"Fill=true, Per="&amp;filter!$R$1) )</f>
        <v/>
      </c>
      <c r="O14" s="52" t="str">
        <f t="array" aca="1" ref="O14" ca="1">IF( $C14="", "", _xll.IMDP("IDX",$C14,O$6,$D$4,"Fill=true, Per="&amp;filter!$R$1) )</f>
        <v/>
      </c>
    </row>
    <row r="15" spans="2:15">
      <c r="B15" s="21">
        <f t="shared" si="0"/>
        <v>7</v>
      </c>
      <c r="C15" s="17" t="str">
        <f>IFERROR( VLOOKUP(ROWS($B$8:B14), filter!$I:$J, 2, 0), "")</f>
        <v>XGG01P</v>
      </c>
      <c r="D15" s="16" t="str" cm="1">
        <f t="array" ref="D15">IF( $C15="", "", _xll.IMDP("IDX", $C15, D$6) )</f>
        <v>KRX 100</v>
      </c>
      <c r="E15" s="34">
        <f t="array" aca="1" ref="E15" ca="1">IF( $C15="", "", _xll.IMDP("IDX",$C15,E$6,$D$4,"Fill=true, Per="&amp;filter!$R$1) )</f>
        <v>5613.2</v>
      </c>
      <c r="F15" s="38">
        <f t="array" aca="1" ref="F15" ca="1">IF( $C15="", "", _xll.IMDP("IDX",$C15,F$6,$D$4,"Fill=true, Per="&amp;filter!$R$1) )</f>
        <v>-33.650000000000546</v>
      </c>
      <c r="G15" s="39">
        <f t="array" aca="1" ref="G15" ca="1">IF( $C15="", "", _xll.IMDP("IDX",$C15,G$6,$D$4,"Fill=true, Per="&amp;filter!$R$1) )</f>
        <v>-0.6</v>
      </c>
      <c r="H15" s="43">
        <f t="array" aca="1" ref="H15" ca="1">IF( $C15="", "", _xll.IMDP("IDX",$C15,H$6,$D$4,"Fill=true, Per="&amp;filter!$R$1) )</f>
        <v>159601</v>
      </c>
      <c r="I15" s="43">
        <f t="array" aca="1" ref="I15" ca="1">IF( $C15="", "", _xll.IMDP("IDX",$C15,I$6,$D$4,"Fill=true, Per="&amp;filter!$R$1) )</f>
        <v>14112981</v>
      </c>
      <c r="J15" s="34">
        <f t="array" aca="1" ref="J15" ca="1">IF( $C15="", "", _xll.IMDP("IDX",$C15,J$6,$D$4,"Fill=true, Per="&amp;filter!$R$1) )</f>
        <v>5663.38</v>
      </c>
      <c r="K15" s="38">
        <f t="array" aca="1" ref="K15" ca="1">IF( $C15="", "", _xll.IMDP("IDX",$C15,K$6,$D$4,"Fill=true, Per="&amp;filter!$R$1) )</f>
        <v>5694.64</v>
      </c>
      <c r="L15" s="39">
        <f t="array" aca="1" ref="L15" ca="1">IF( $C15="", "", _xll.IMDP("IDX",$C15,L$6,$D$4,"Fill=true, Per="&amp;filter!$R$1) )</f>
        <v>0</v>
      </c>
      <c r="M15" s="50" t="str">
        <f t="array" aca="1" ref="M15" ca="1">IF( $C15="", "", _xll.IMDP("IDX",$C15,M$6,$D$4,"Fill=true, Per="&amp;filter!$R$1) )</f>
        <v/>
      </c>
      <c r="N15" s="51" t="str">
        <f t="array" aca="1" ref="N15" ca="1">IF( $C15="", "", _xll.IMDP("IDX",$C15,N$6,$D$4,"Fill=true, Per="&amp;filter!$R$1) )</f>
        <v/>
      </c>
      <c r="O15" s="52" t="str">
        <f t="array" aca="1" ref="O15" ca="1">IF( $C15="", "", _xll.IMDP("IDX",$C15,O$6,$D$4,"Fill=true, Per="&amp;filter!$R$1) )</f>
        <v/>
      </c>
    </row>
    <row r="16" spans="2:15">
      <c r="B16" s="21">
        <f t="shared" si="0"/>
        <v>8</v>
      </c>
      <c r="C16" s="17" t="str">
        <f>IFERROR( VLOOKUP(ROWS($B$8:B15), filter!$I:$J, 2, 0), "")</f>
        <v>KGZ01P</v>
      </c>
      <c r="D16" s="16" t="str" cm="1">
        <f t="array" ref="D16">IF( $C16="", "", _xll.IMDP("IDX", $C16, D$6) )</f>
        <v>코스피 대형주</v>
      </c>
      <c r="E16" s="34">
        <f t="array" aca="1" ref="E16" ca="1">IF( $C16="", "", _xll.IMDP("IDX",$C16,E$6,$D$4,"Fill=true, Per="&amp;filter!$R$1) )</f>
        <v>2666.69</v>
      </c>
      <c r="F16" s="38">
        <f t="array" aca="1" ref="F16" ca="1">IF( $C16="", "", _xll.IMDP("IDX",$C16,F$6,$D$4,"Fill=true, Per="&amp;filter!$R$1) )</f>
        <v>-11.130000000000109</v>
      </c>
      <c r="G16" s="39">
        <f t="array" aca="1" ref="G16" ca="1">IF( $C16="", "", _xll.IMDP("IDX",$C16,G$6,$D$4,"Fill=true, Per="&amp;filter!$R$1) )</f>
        <v>-0.42</v>
      </c>
      <c r="H16" s="43">
        <f t="array" aca="1" ref="H16" ca="1">IF( $C16="", "", _xll.IMDP("IDX",$C16,H$6,$D$4,"Fill=true, Per="&amp;filter!$R$1) )</f>
        <v>157146</v>
      </c>
      <c r="I16" s="43">
        <f t="array" aca="1" ref="I16" ca="1">IF( $C16="", "", _xll.IMDP("IDX",$C16,I$6,$D$4,"Fill=true, Per="&amp;filter!$R$1) )</f>
        <v>12937457</v>
      </c>
      <c r="J16" s="34">
        <f t="array" aca="1" ref="J16" ca="1">IF( $C16="", "", _xll.IMDP("IDX",$C16,J$6,$D$4,"Fill=true, Per="&amp;filter!$R$1) )</f>
        <v>2688.25</v>
      </c>
      <c r="K16" s="38">
        <f t="array" aca="1" ref="K16" ca="1">IF( $C16="", "", _xll.IMDP("IDX",$C16,K$6,$D$4,"Fill=true, Per="&amp;filter!$R$1) )</f>
        <v>2702.56</v>
      </c>
      <c r="L16" s="39">
        <f t="array" aca="1" ref="L16" ca="1">IF( $C16="", "", _xll.IMDP("IDX",$C16,L$6,$D$4,"Fill=true, Per="&amp;filter!$R$1) )</f>
        <v>0</v>
      </c>
      <c r="M16" s="50">
        <f t="array" aca="1" ref="M16" ca="1">IF( $C16="", "", _xll.IMDP("IDX",$C16,M$6,$D$4,"Fill=true, Per="&amp;filter!$R$1) )</f>
        <v>615148</v>
      </c>
      <c r="N16" s="51">
        <f t="array" aca="1" ref="N16" ca="1">IF( $C16="", "", _xll.IMDP("IDX",$C16,N$6,$D$4,"Fill=true, Per="&amp;filter!$R$1) )</f>
        <v>-561454</v>
      </c>
      <c r="O16" s="52">
        <f t="array" aca="1" ref="O16" ca="1">IF( $C16="", "", _xll.IMDP("IDX",$C16,O$6,$D$4,"Fill=true, Per="&amp;filter!$R$1) )</f>
        <v>-89052</v>
      </c>
    </row>
    <row r="17" spans="2:15">
      <c r="B17" s="21">
        <f t="shared" si="0"/>
        <v>9</v>
      </c>
      <c r="C17" s="17" t="str">
        <f>IFERROR( VLOOKUP(ROWS($B$8:B16), filter!$I:$J, 2, 0), "")</f>
        <v>K2W02P</v>
      </c>
      <c r="D17" s="16" t="str" cm="1">
        <f t="array" ref="D17">IF( $C17="", "", _xll.IMDP("IDX", $C17, D$6) )</f>
        <v>코스피 100 동일가중지수</v>
      </c>
      <c r="E17" s="34">
        <f t="array" aca="1" ref="E17" ca="1">IF( $C17="", "", _xll.IMDP("IDX",$C17,E$6,$D$4,"Fill=true, Per="&amp;filter!$R$1) )</f>
        <v>2023.16</v>
      </c>
      <c r="F17" s="38">
        <f t="array" aca="1" ref="F17" ca="1">IF( $C17="", "", _xll.IMDP("IDX",$C17,F$6,$D$4,"Fill=true, Per="&amp;filter!$R$1) )</f>
        <v>11.870000000000118</v>
      </c>
      <c r="G17" s="39">
        <f t="array" aca="1" ref="G17" ca="1">IF( $C17="", "", _xll.IMDP("IDX",$C17,G$6,$D$4,"Fill=true, Per="&amp;filter!$R$1) )</f>
        <v>0.59</v>
      </c>
      <c r="H17" s="43">
        <f t="array" aca="1" ref="H17" ca="1">IF( $C17="", "", _xll.IMDP("IDX",$C17,H$6,$D$4,"Fill=true, Per="&amp;filter!$R$1) )</f>
        <v>154114</v>
      </c>
      <c r="I17" s="43">
        <f t="array" aca="1" ref="I17" ca="1">IF( $C17="", "", _xll.IMDP("IDX",$C17,I$6,$D$4,"Fill=true, Per="&amp;filter!$R$1) )</f>
        <v>12678083</v>
      </c>
      <c r="J17" s="34">
        <f t="array" aca="1" ref="J17" ca="1">IF( $C17="", "", _xll.IMDP("IDX",$C17,J$6,$D$4,"Fill=true, Per="&amp;filter!$R$1) )</f>
        <v>2016.41</v>
      </c>
      <c r="K17" s="38">
        <f t="array" aca="1" ref="K17" ca="1">IF( $C17="", "", _xll.IMDP("IDX",$C17,K$6,$D$4,"Fill=true, Per="&amp;filter!$R$1) )</f>
        <v>2032.28</v>
      </c>
      <c r="L17" s="39">
        <f t="array" aca="1" ref="L17" ca="1">IF( $C17="", "", _xll.IMDP("IDX",$C17,L$6,$D$4,"Fill=true, Per="&amp;filter!$R$1) )</f>
        <v>0</v>
      </c>
      <c r="M17" s="50" t="str">
        <f t="array" aca="1" ref="M17" ca="1">IF( $C17="", "", _xll.IMDP("IDX",$C17,M$6,$D$4,"Fill=true, Per="&amp;filter!$R$1) )</f>
        <v/>
      </c>
      <c r="N17" s="51" t="str">
        <f t="array" aca="1" ref="N17" ca="1">IF( $C17="", "", _xll.IMDP("IDX",$C17,N$6,$D$4,"Fill=true, Per="&amp;filter!$R$1) )</f>
        <v/>
      </c>
      <c r="O17" s="52" t="str">
        <f t="array" aca="1" ref="O17" ca="1">IF( $C17="", "", _xll.IMDP("IDX",$C17,O$6,$D$4,"Fill=true, Per="&amp;filter!$R$1) )</f>
        <v/>
      </c>
    </row>
    <row r="18" spans="2:15">
      <c r="B18" s="21">
        <f t="shared" si="0"/>
        <v>10</v>
      </c>
      <c r="C18" s="17" t="str">
        <f>IFERROR( VLOOKUP(ROWS($B$8:B17), filter!$I:$J, 2, 0), "")</f>
        <v>K2G02P</v>
      </c>
      <c r="D18" s="16" t="str" cm="1">
        <f t="array" ref="D18">IF( $C18="", "", _xll.IMDP("IDX", $C18, D$6) )</f>
        <v>코스피 100</v>
      </c>
      <c r="E18" s="34">
        <f t="array" aca="1" ref="E18" ca="1">IF( $C18="", "", _xll.IMDP("IDX",$C18,E$6,$D$4,"Fill=true, Per="&amp;filter!$R$1) )</f>
        <v>2702.91</v>
      </c>
      <c r="F18" s="38">
        <f t="array" aca="1" ref="F18" ca="1">IF( $C18="", "", _xll.IMDP("IDX",$C18,F$6,$D$4,"Fill=true, Per="&amp;filter!$R$1) )</f>
        <v>-19.450000000000273</v>
      </c>
      <c r="G18" s="39">
        <f t="array" aca="1" ref="G18" ca="1">IF( $C18="", "", _xll.IMDP("IDX",$C18,G$6,$D$4,"Fill=true, Per="&amp;filter!$R$1) )</f>
        <v>-0.71</v>
      </c>
      <c r="H18" s="43">
        <f t="array" aca="1" ref="H18" ca="1">IF( $C18="", "", _xll.IMDP("IDX",$C18,H$6,$D$4,"Fill=true, Per="&amp;filter!$R$1) )</f>
        <v>154114</v>
      </c>
      <c r="I18" s="43">
        <f t="array" aca="1" ref="I18" ca="1">IF( $C18="", "", _xll.IMDP("IDX",$C18,I$6,$D$4,"Fill=true, Per="&amp;filter!$R$1) )</f>
        <v>12678083</v>
      </c>
      <c r="J18" s="34">
        <f t="array" aca="1" ref="J18" ca="1">IF( $C18="", "", _xll.IMDP("IDX",$C18,J$6,$D$4,"Fill=true, Per="&amp;filter!$R$1) )</f>
        <v>2730.01</v>
      </c>
      <c r="K18" s="38">
        <f t="array" aca="1" ref="K18" ca="1">IF( $C18="", "", _xll.IMDP("IDX",$C18,K$6,$D$4,"Fill=true, Per="&amp;filter!$R$1) )</f>
        <v>2741.91</v>
      </c>
      <c r="L18" s="39">
        <f t="array" aca="1" ref="L18" ca="1">IF( $C18="", "", _xll.IMDP("IDX",$C18,L$6,$D$4,"Fill=true, Per="&amp;filter!$R$1) )</f>
        <v>0</v>
      </c>
      <c r="M18" s="50" t="str">
        <f t="array" aca="1" ref="M18" ca="1">IF( $C18="", "", _xll.IMDP("IDX",$C18,M$6,$D$4,"Fill=true, Per="&amp;filter!$R$1) )</f>
        <v/>
      </c>
      <c r="N18" s="51" t="str">
        <f t="array" aca="1" ref="N18" ca="1">IF( $C18="", "", _xll.IMDP("IDX",$C18,N$6,$D$4,"Fill=true, Per="&amp;filter!$R$1) )</f>
        <v/>
      </c>
      <c r="O18" s="52" t="str">
        <f t="array" aca="1" ref="O18" ca="1">IF( $C18="", "", _xll.IMDP("IDX",$C18,O$6,$D$4,"Fill=true, Per="&amp;filter!$R$1) )</f>
        <v/>
      </c>
    </row>
    <row r="19" spans="2:15">
      <c r="B19" s="21">
        <f t="shared" si="0"/>
        <v>11</v>
      </c>
      <c r="C19" s="17" t="str">
        <f>IFERROR( VLOOKUP(ROWS($B$8:B18), filter!$I:$J, 2, 0), "")</f>
        <v>KGS18P</v>
      </c>
      <c r="D19" s="16" t="str" cm="1">
        <f t="array" ref="D19">IF( $C19="", "", _xll.IMDP("IDX", $C19, D$6) )</f>
        <v>제조업</v>
      </c>
      <c r="E19" s="34">
        <f t="array" aca="1" ref="E19" ca="1">IF( $C19="", "", _xll.IMDP("IDX",$C19,E$6,$D$4,"Fill=true, Per="&amp;filter!$R$1) )</f>
        <v>6941.78</v>
      </c>
      <c r="F19" s="38">
        <f t="array" aca="1" ref="F19" ca="1">IF( $C19="", "", _xll.IMDP("IDX",$C19,F$6,$D$4,"Fill=true, Per="&amp;filter!$R$1) )</f>
        <v>-74.180000000000291</v>
      </c>
      <c r="G19" s="39">
        <f t="array" aca="1" ref="G19" ca="1">IF( $C19="", "", _xll.IMDP("IDX",$C19,G$6,$D$4,"Fill=true, Per="&amp;filter!$R$1) )</f>
        <v>-1.06</v>
      </c>
      <c r="H19" s="43">
        <f t="array" aca="1" ref="H19" ca="1">IF( $C19="", "", _xll.IMDP("IDX",$C19,H$6,$D$4,"Fill=true, Per="&amp;filter!$R$1) )</f>
        <v>308132</v>
      </c>
      <c r="I19" s="43">
        <f t="array" aca="1" ref="I19" ca="1">IF( $C19="", "", _xll.IMDP("IDX",$C19,I$6,$D$4,"Fill=true, Per="&amp;filter!$R$1) )</f>
        <v>13640365</v>
      </c>
      <c r="J19" s="34">
        <f t="array" aca="1" ref="J19" ca="1">IF( $C19="", "", _xll.IMDP("IDX",$C19,J$6,$D$4,"Fill=true, Per="&amp;filter!$R$1) )</f>
        <v>7048.04</v>
      </c>
      <c r="K19" s="38">
        <f t="array" aca="1" ref="K19" ca="1">IF( $C19="", "", _xll.IMDP("IDX",$C19,K$6,$D$4,"Fill=true, Per="&amp;filter!$R$1) )</f>
        <v>7063.72</v>
      </c>
      <c r="L19" s="39">
        <f t="array" aca="1" ref="L19" ca="1">IF( $C19="", "", _xll.IMDP("IDX",$C19,L$6,$D$4,"Fill=true, Per="&amp;filter!$R$1) )</f>
        <v>0</v>
      </c>
      <c r="M19" s="50">
        <f t="array" aca="1" ref="M19" ca="1">IF( $C19="", "", _xll.IMDP("IDX",$C19,M$6,$D$4,"Fill=true, Per="&amp;filter!$R$1) )</f>
        <v>863707</v>
      </c>
      <c r="N19" s="51">
        <f t="array" aca="1" ref="N19" ca="1">IF( $C19="", "", _xll.IMDP("IDX",$C19,N$6,$D$4,"Fill=true, Per="&amp;filter!$R$1) )</f>
        <v>-645485</v>
      </c>
      <c r="O19" s="52">
        <f t="array" aca="1" ref="O19" ca="1">IF( $C19="", "", _xll.IMDP("IDX",$C19,O$6,$D$4,"Fill=true, Per="&amp;filter!$R$1) )</f>
        <v>-266184</v>
      </c>
    </row>
    <row r="20" spans="2:15">
      <c r="B20" s="21">
        <f t="shared" si="0"/>
        <v>12</v>
      </c>
      <c r="C20" s="17" t="str">
        <f>IFERROR( VLOOKUP(ROWS($B$8:B19), filter!$I:$J, 2, 0), "")</f>
        <v>K2W03P</v>
      </c>
      <c r="D20" s="16" t="str" cm="1">
        <f t="array" ref="D20">IF( $C20="", "", _xll.IMDP("IDX", $C20, D$6) )</f>
        <v>코스피 50 동일가중지수</v>
      </c>
      <c r="E20" s="34">
        <f t="array" aca="1" ref="E20" ca="1">IF( $C20="", "", _xll.IMDP("IDX",$C20,E$6,$D$4,"Fill=true, Per="&amp;filter!$R$1) )</f>
        <v>1777.47</v>
      </c>
      <c r="F20" s="38">
        <f t="array" aca="1" ref="F20" ca="1">IF( $C20="", "", _xll.IMDP("IDX",$C20,F$6,$D$4,"Fill=true, Per="&amp;filter!$R$1) )</f>
        <v>14.160000000000082</v>
      </c>
      <c r="G20" s="39">
        <f t="array" aca="1" ref="G20" ca="1">IF( $C20="", "", _xll.IMDP("IDX",$C20,G$6,$D$4,"Fill=true, Per="&amp;filter!$R$1) )</f>
        <v>0.8</v>
      </c>
      <c r="H20" s="43">
        <f t="array" aca="1" ref="H20" ca="1">IF( $C20="", "", _xll.IMDP("IDX",$C20,H$6,$D$4,"Fill=true, Per="&amp;filter!$R$1) )</f>
        <v>96808</v>
      </c>
      <c r="I20" s="43">
        <f t="array" aca="1" ref="I20" ca="1">IF( $C20="", "", _xll.IMDP("IDX",$C20,I$6,$D$4,"Fill=true, Per="&amp;filter!$R$1) )</f>
        <v>9348389</v>
      </c>
      <c r="J20" s="34">
        <f t="array" aca="1" ref="J20" ca="1">IF( $C20="", "", _xll.IMDP("IDX",$C20,J$6,$D$4,"Fill=true, Per="&amp;filter!$R$1) )</f>
        <v>1769.4</v>
      </c>
      <c r="K20" s="38">
        <f t="array" aca="1" ref="K20" ca="1">IF( $C20="", "", _xll.IMDP("IDX",$C20,K$6,$D$4,"Fill=true, Per="&amp;filter!$R$1) )</f>
        <v>1789.87</v>
      </c>
      <c r="L20" s="39">
        <f t="array" aca="1" ref="L20" ca="1">IF( $C20="", "", _xll.IMDP("IDX",$C20,L$6,$D$4,"Fill=true, Per="&amp;filter!$R$1) )</f>
        <v>0</v>
      </c>
      <c r="M20" s="50" t="str">
        <f t="array" aca="1" ref="M20" ca="1">IF( $C20="", "", _xll.IMDP("IDX",$C20,M$6,$D$4,"Fill=true, Per="&amp;filter!$R$1) )</f>
        <v/>
      </c>
      <c r="N20" s="51" t="str">
        <f t="array" aca="1" ref="N20" ca="1">IF( $C20="", "", _xll.IMDP("IDX",$C20,N$6,$D$4,"Fill=true, Per="&amp;filter!$R$1) )</f>
        <v/>
      </c>
      <c r="O20" s="52" t="str">
        <f t="array" aca="1" ref="O20" ca="1">IF( $C20="", "", _xll.IMDP("IDX",$C20,O$6,$D$4,"Fill=true, Per="&amp;filter!$R$1) )</f>
        <v/>
      </c>
    </row>
    <row r="21" spans="2:15">
      <c r="B21" s="21">
        <f t="shared" si="0"/>
        <v>13</v>
      </c>
      <c r="C21" s="17" t="str">
        <f>IFERROR( VLOOKUP(ROWS($B$8:B20), filter!$I:$J, 2, 0), "")</f>
        <v>K2G03P</v>
      </c>
      <c r="D21" s="16" t="str" cm="1">
        <f t="array" ref="D21">IF( $C21="", "", _xll.IMDP("IDX", $C21, D$6) )</f>
        <v>코스피 50</v>
      </c>
      <c r="E21" s="34">
        <f t="array" aca="1" ref="E21" ca="1">IF( $C21="", "", _xll.IMDP("IDX",$C21,E$6,$D$4,"Fill=true, Per="&amp;filter!$R$1) )</f>
        <v>2478.36</v>
      </c>
      <c r="F21" s="38">
        <f t="array" aca="1" ref="F21" ca="1">IF( $C21="", "", _xll.IMDP("IDX",$C21,F$6,$D$4,"Fill=true, Per="&amp;filter!$R$1) )</f>
        <v>-18.559999999999945</v>
      </c>
      <c r="G21" s="39">
        <f t="array" aca="1" ref="G21" ca="1">IF( $C21="", "", _xll.IMDP("IDX",$C21,G$6,$D$4,"Fill=true, Per="&amp;filter!$R$1) )</f>
        <v>-0.74</v>
      </c>
      <c r="H21" s="43">
        <f t="array" aca="1" ref="H21" ca="1">IF( $C21="", "", _xll.IMDP("IDX",$C21,H$6,$D$4,"Fill=true, Per="&amp;filter!$R$1) )</f>
        <v>96808</v>
      </c>
      <c r="I21" s="43">
        <f t="array" aca="1" ref="I21" ca="1">IF( $C21="", "", _xll.IMDP("IDX",$C21,I$6,$D$4,"Fill=true, Per="&amp;filter!$R$1) )</f>
        <v>9348389</v>
      </c>
      <c r="J21" s="34">
        <f t="array" aca="1" ref="J21" ca="1">IF( $C21="", "", _xll.IMDP("IDX",$C21,J$6,$D$4,"Fill=true, Per="&amp;filter!$R$1) )</f>
        <v>2504.14</v>
      </c>
      <c r="K21" s="38">
        <f t="array" aca="1" ref="K21" ca="1">IF( $C21="", "", _xll.IMDP("IDX",$C21,K$6,$D$4,"Fill=true, Per="&amp;filter!$R$1) )</f>
        <v>2517.3000000000002</v>
      </c>
      <c r="L21" s="39">
        <f t="array" aca="1" ref="L21" ca="1">IF( $C21="", "", _xll.IMDP("IDX",$C21,L$6,$D$4,"Fill=true, Per="&amp;filter!$R$1) )</f>
        <v>0</v>
      </c>
      <c r="M21" s="50" t="str">
        <f t="array" aca="1" ref="M21" ca="1">IF( $C21="", "", _xll.IMDP("IDX",$C21,M$6,$D$4,"Fill=true, Per="&amp;filter!$R$1) )</f>
        <v/>
      </c>
      <c r="N21" s="51" t="str">
        <f t="array" aca="1" ref="N21" ca="1">IF( $C21="", "", _xll.IMDP("IDX",$C21,N$6,$D$4,"Fill=true, Per="&amp;filter!$R$1) )</f>
        <v/>
      </c>
      <c r="O21" s="52" t="str">
        <f t="array" aca="1" ref="O21" ca="1">IF( $C21="", "", _xll.IMDP("IDX",$C21,O$6,$D$4,"Fill=true, Per="&amp;filter!$R$1) )</f>
        <v/>
      </c>
    </row>
    <row r="22" spans="2:15">
      <c r="B22" s="21">
        <f t="shared" si="0"/>
        <v>14</v>
      </c>
      <c r="C22" s="17" t="str">
        <f>IFERROR( VLOOKUP(ROWS($B$8:B21), filter!$I:$J, 2, 0), "")</f>
        <v>KGS09P</v>
      </c>
      <c r="D22" s="16" t="str" cm="1">
        <f t="array" ref="D22">IF( $C22="", "", _xll.IMDP("IDX", $C22, D$6) )</f>
        <v>전기,전자</v>
      </c>
      <c r="E22" s="34">
        <f t="array" aca="1" ref="E22" ca="1">IF( $C22="", "", _xll.IMDP("IDX",$C22,E$6,$D$4,"Fill=true, Per="&amp;filter!$R$1) )</f>
        <v>26906.73</v>
      </c>
      <c r="F22" s="38">
        <f t="array" aca="1" ref="F22" ca="1">IF( $C22="", "", _xll.IMDP("IDX",$C22,F$6,$D$4,"Fill=true, Per="&amp;filter!$R$1) )</f>
        <v>-271.70999999999913</v>
      </c>
      <c r="G22" s="39">
        <f t="array" aca="1" ref="G22" ca="1">IF( $C22="", "", _xll.IMDP("IDX",$C22,G$6,$D$4,"Fill=true, Per="&amp;filter!$R$1) )</f>
        <v>-1</v>
      </c>
      <c r="H22" s="43">
        <f t="array" aca="1" ref="H22" ca="1">IF( $C22="", "", _xll.IMDP("IDX",$C22,H$6,$D$4,"Fill=true, Per="&amp;filter!$R$1) )</f>
        <v>100778</v>
      </c>
      <c r="I22" s="43">
        <f t="array" aca="1" ref="I22" ca="1">IF( $C22="", "", _xll.IMDP("IDX",$C22,I$6,$D$4,"Fill=true, Per="&amp;filter!$R$1) )</f>
        <v>6487168</v>
      </c>
      <c r="J22" s="34">
        <f t="array" aca="1" ref="J22" ca="1">IF( $C22="", "", _xll.IMDP("IDX",$C22,J$6,$D$4,"Fill=true, Per="&amp;filter!$R$1) )</f>
        <v>27315.13</v>
      </c>
      <c r="K22" s="38">
        <f t="array" aca="1" ref="K22" ca="1">IF( $C22="", "", _xll.IMDP("IDX",$C22,K$6,$D$4,"Fill=true, Per="&amp;filter!$R$1) )</f>
        <v>27609.19</v>
      </c>
      <c r="L22" s="39">
        <f t="array" aca="1" ref="L22" ca="1">IF( $C22="", "", _xll.IMDP("IDX",$C22,L$6,$D$4,"Fill=true, Per="&amp;filter!$R$1) )</f>
        <v>0</v>
      </c>
      <c r="M22" s="50">
        <f t="array" aca="1" ref="M22" ca="1">IF( $C22="", "", _xll.IMDP("IDX",$C22,M$6,$D$4,"Fill=true, Per="&amp;filter!$R$1) )</f>
        <v>565925</v>
      </c>
      <c r="N22" s="51">
        <f t="array" aca="1" ref="N22" ca="1">IF( $C22="", "", _xll.IMDP("IDX",$C22,N$6,$D$4,"Fill=true, Per="&amp;filter!$R$1) )</f>
        <v>-440788</v>
      </c>
      <c r="O22" s="52">
        <f t="array" aca="1" ref="O22" ca="1">IF( $C22="", "", _xll.IMDP("IDX",$C22,O$6,$D$4,"Fill=true, Per="&amp;filter!$R$1) )</f>
        <v>-148376</v>
      </c>
    </row>
    <row r="23" spans="2:15">
      <c r="B23" s="21">
        <f t="shared" si="0"/>
        <v>15</v>
      </c>
      <c r="C23" s="17" t="str">
        <f>IFERROR( VLOOKUP(ROWS($B$8:B22), filter!$I:$J, 2, 0), "")</f>
        <v>K2B01P</v>
      </c>
      <c r="D23" s="16" t="str" cm="1">
        <f t="array" ref="D23">IF( $C23="", "", _xll.IMDP("IDX", $C23, D$6) )</f>
        <v>코스피 200 고배당지수</v>
      </c>
      <c r="E23" s="34">
        <f t="array" aca="1" ref="E23" ca="1">IF( $C23="", "", _xll.IMDP("IDX",$C23,E$6,$D$4,"Fill=true, Per="&amp;filter!$R$1) )</f>
        <v>3245.04</v>
      </c>
      <c r="F23" s="38">
        <f t="array" aca="1" ref="F23" ca="1">IF( $C23="", "", _xll.IMDP("IDX",$C23,F$6,$D$4,"Fill=true, Per="&amp;filter!$R$1) )</f>
        <v>39.460000000000036</v>
      </c>
      <c r="G23" s="39">
        <f t="array" aca="1" ref="G23" ca="1">IF( $C23="", "", _xll.IMDP("IDX",$C23,G$6,$D$4,"Fill=true, Per="&amp;filter!$R$1) )</f>
        <v>1.23</v>
      </c>
      <c r="H23" s="43">
        <f t="array" aca="1" ref="H23" ca="1">IF( $C23="", "", _xll.IMDP("IDX",$C23,H$6,$D$4,"Fill=true, Per="&amp;filter!$R$1) )</f>
        <v>62610</v>
      </c>
      <c r="I23" s="43">
        <f t="array" aca="1" ref="I23" ca="1">IF( $C23="", "", _xll.IMDP("IDX",$C23,I$6,$D$4,"Fill=true, Per="&amp;filter!$R$1) )</f>
        <v>4034435</v>
      </c>
      <c r="J23" s="34">
        <f t="array" aca="1" ref="J23" ca="1">IF( $C23="", "", _xll.IMDP("IDX",$C23,J$6,$D$4,"Fill=true, Per="&amp;filter!$R$1) )</f>
        <v>3208.89</v>
      </c>
      <c r="K23" s="38">
        <f t="array" aca="1" ref="K23" ca="1">IF( $C23="", "", _xll.IMDP("IDX",$C23,K$6,$D$4,"Fill=true, Per="&amp;filter!$R$1) )</f>
        <v>3250.48</v>
      </c>
      <c r="L23" s="39">
        <f t="array" aca="1" ref="L23" ca="1">IF( $C23="", "", _xll.IMDP("IDX",$C23,L$6,$D$4,"Fill=true, Per="&amp;filter!$R$1) )</f>
        <v>0</v>
      </c>
      <c r="M23" s="50" t="str">
        <f t="array" aca="1" ref="M23" ca="1">IF( $C23="", "", _xll.IMDP("IDX",$C23,M$6,$D$4,"Fill=true, Per="&amp;filter!$R$1) )</f>
        <v/>
      </c>
      <c r="N23" s="51" t="str">
        <f t="array" aca="1" ref="N23" ca="1">IF( $C23="", "", _xll.IMDP("IDX",$C23,N$6,$D$4,"Fill=true, Per="&amp;filter!$R$1) )</f>
        <v/>
      </c>
      <c r="O23" s="52" t="str">
        <f t="array" aca="1" ref="O23" ca="1">IF( $C23="", "", _xll.IMDP("IDX",$C23,O$6,$D$4,"Fill=true, Per="&amp;filter!$R$1) )</f>
        <v/>
      </c>
    </row>
    <row r="24" spans="2:15">
      <c r="B24" s="21">
        <f t="shared" si="0"/>
        <v>16</v>
      </c>
      <c r="C24" s="17" t="str">
        <f>IFERROR( VLOOKUP(ROWS($B$8:B23), filter!$I:$J, 2, 0), "")</f>
        <v>K2X03P</v>
      </c>
      <c r="D24" s="16" t="str" cm="1">
        <f t="array" ref="D24">IF( $C24="", "", _xll.IMDP("IDX", $C24, D$6) )</f>
        <v>코스피 200 정보기술 레버리지지</v>
      </c>
      <c r="E24" s="34">
        <f t="array" aca="1" ref="E24" ca="1">IF( $C24="", "", _xll.IMDP("IDX",$C24,E$6,$D$4,"Fill=true, Per="&amp;filter!$R$1) )</f>
        <v>4079.7</v>
      </c>
      <c r="F24" s="38">
        <f t="array" aca="1" ref="F24" ca="1">IF( $C24="", "", _xll.IMDP("IDX",$C24,F$6,$D$4,"Fill=true, Per="&amp;filter!$R$1) )</f>
        <v>19.019999999999982</v>
      </c>
      <c r="G24" s="39">
        <f t="array" aca="1" ref="G24" ca="1">IF( $C24="", "", _xll.IMDP("IDX",$C24,G$6,$D$4,"Fill=true, Per="&amp;filter!$R$1) )</f>
        <v>0.47</v>
      </c>
      <c r="H24" s="43">
        <f t="array" aca="1" ref="H24" ca="1">IF( $C24="", "", _xll.IMDP("IDX",$C24,H$6,$D$4,"Fill=true, Per="&amp;filter!$R$1) )</f>
        <v>0</v>
      </c>
      <c r="I24" s="43">
        <f t="array" aca="1" ref="I24" ca="1">IF( $C24="", "", _xll.IMDP("IDX",$C24,I$6,$D$4,"Fill=true, Per="&amp;filter!$R$1) )</f>
        <v>0</v>
      </c>
      <c r="J24" s="34">
        <f t="array" aca="1" ref="J24" ca="1">IF( $C24="", "", _xll.IMDP("IDX",$C24,J$6,$D$4,"Fill=true, Per="&amp;filter!$R$1) )</f>
        <v>4076.24</v>
      </c>
      <c r="K24" s="38">
        <f t="array" aca="1" ref="K24" ca="1">IF( $C24="", "", _xll.IMDP("IDX",$C24,K$6,$D$4,"Fill=true, Per="&amp;filter!$R$1) )</f>
        <v>4190.9799999999996</v>
      </c>
      <c r="L24" s="39">
        <f t="array" aca="1" ref="L24" ca="1">IF( $C24="", "", _xll.IMDP("IDX",$C24,L$6,$D$4,"Fill=true, Per="&amp;filter!$R$1) )</f>
        <v>0</v>
      </c>
      <c r="M24" s="50" t="str">
        <f t="array" aca="1" ref="M24" ca="1">IF( $C24="", "", _xll.IMDP("IDX",$C24,M$6,$D$4,"Fill=true, Per="&amp;filter!$R$1) )</f>
        <v/>
      </c>
      <c r="N24" s="51" t="str">
        <f t="array" aca="1" ref="N24" ca="1">IF( $C24="", "", _xll.IMDP("IDX",$C24,N$6,$D$4,"Fill=true, Per="&amp;filter!$R$1) )</f>
        <v/>
      </c>
      <c r="O24" s="52" t="str">
        <f t="array" aca="1" ref="O24" ca="1">IF( $C24="", "", _xll.IMDP("IDX",$C24,O$6,$D$4,"Fill=true, Per="&amp;filter!$R$1) )</f>
        <v/>
      </c>
    </row>
    <row r="25" spans="2:15">
      <c r="B25" s="21">
        <f t="shared" si="0"/>
        <v>17</v>
      </c>
      <c r="C25" s="17" t="str">
        <f>IFERROR( VLOOKUP(ROWS($B$8:B24), filter!$I:$J, 2, 0), "")</f>
        <v>K2S07P</v>
      </c>
      <c r="D25" s="16" t="str" cm="1">
        <f t="array" ref="D25">IF( $C25="", "", _xll.IMDP("IDX", $C25, D$6) )</f>
        <v>코스피 200 정보기술</v>
      </c>
      <c r="E25" s="34">
        <f t="array" aca="1" ref="E25" ca="1">IF( $C25="", "", _xll.IMDP("IDX",$C25,E$6,$D$4,"Fill=true, Per="&amp;filter!$R$1) )</f>
        <v>3235.43</v>
      </c>
      <c r="F25" s="38">
        <f t="array" aca="1" ref="F25" ca="1">IF( $C25="", "", _xll.IMDP("IDX",$C25,F$6,$D$4,"Fill=true, Per="&amp;filter!$R$1) )</f>
        <v>8.5999999999999091</v>
      </c>
      <c r="G25" s="39">
        <f t="array" aca="1" ref="G25" ca="1">IF( $C25="", "", _xll.IMDP("IDX",$C25,G$6,$D$4,"Fill=true, Per="&amp;filter!$R$1) )</f>
        <v>0.27</v>
      </c>
      <c r="H25" s="43">
        <f t="array" aca="1" ref="H25" ca="1">IF( $C25="", "", _xll.IMDP("IDX",$C25,H$6,$D$4,"Fill=true, Per="&amp;filter!$R$1) )</f>
        <v>53663</v>
      </c>
      <c r="I25" s="43">
        <f t="array" aca="1" ref="I25" ca="1">IF( $C25="", "", _xll.IMDP("IDX",$C25,I$6,$D$4,"Fill=true, Per="&amp;filter!$R$1) )</f>
        <v>4715725</v>
      </c>
      <c r="J25" s="34">
        <f t="array" aca="1" ref="J25" ca="1">IF( $C25="", "", _xll.IMDP("IDX",$C25,J$6,$D$4,"Fill=true, Per="&amp;filter!$R$1) )</f>
        <v>3233.48</v>
      </c>
      <c r="K25" s="38">
        <f t="array" aca="1" ref="K25" ca="1">IF( $C25="", "", _xll.IMDP("IDX",$C25,K$6,$D$4,"Fill=true, Per="&amp;filter!$R$1) )</f>
        <v>3279.14</v>
      </c>
      <c r="L25" s="39">
        <f t="array" aca="1" ref="L25" ca="1">IF( $C25="", "", _xll.IMDP("IDX",$C25,L$6,$D$4,"Fill=true, Per="&amp;filter!$R$1) )</f>
        <v>0</v>
      </c>
      <c r="M25" s="50" t="str">
        <f t="array" aca="1" ref="M25" ca="1">IF( $C25="", "", _xll.IMDP("IDX",$C25,M$6,$D$4,"Fill=true, Per="&amp;filter!$R$1) )</f>
        <v/>
      </c>
      <c r="N25" s="51" t="str">
        <f t="array" aca="1" ref="N25" ca="1">IF( $C25="", "", _xll.IMDP("IDX",$C25,N$6,$D$4,"Fill=true, Per="&amp;filter!$R$1) )</f>
        <v/>
      </c>
      <c r="O25" s="52" t="str">
        <f t="array" aca="1" ref="O25" ca="1">IF( $C25="", "", _xll.IMDP("IDX",$C25,O$6,$D$4,"Fill=true, Per="&amp;filter!$R$1) )</f>
        <v/>
      </c>
    </row>
    <row r="26" spans="2:15">
      <c r="B26" s="21">
        <f t="shared" si="0"/>
        <v>18</v>
      </c>
      <c r="C26" s="17" t="str">
        <f>IFERROR( VLOOKUP(ROWS($B$8:B25), filter!$I:$J, 2, 0), "")</f>
        <v>QGG01P</v>
      </c>
      <c r="D26" s="16" t="str" cm="1">
        <f t="array" ref="D26">IF( $C26="", "", _xll.IMDP("IDX", $C26, D$6) )</f>
        <v>코스닥</v>
      </c>
      <c r="E26" s="34">
        <f t="array" aca="1" ref="E26" ca="1">IF( $C26="", "", _xll.IMDP("IDX",$C26,E$6,$D$4,"Fill=true, Per="&amp;filter!$R$1) )</f>
        <v>760.37</v>
      </c>
      <c r="F26" s="38">
        <f t="array" aca="1" ref="F26" ca="1">IF( $C26="", "", _xll.IMDP("IDX",$C26,F$6,$D$4,"Fill=true, Per="&amp;filter!$R$1) )</f>
        <v>-7.2899999999999636</v>
      </c>
      <c r="G26" s="39">
        <f t="array" aca="1" ref="G26" ca="1">IF( $C26="", "", _xll.IMDP("IDX",$C26,G$6,$D$4,"Fill=true, Per="&amp;filter!$R$1) )</f>
        <v>-0.95</v>
      </c>
      <c r="H26" s="43">
        <f t="array" aca="1" ref="H26" ca="1">IF( $C26="", "", _xll.IMDP("IDX",$C26,H$6,$D$4,"Fill=true, Per="&amp;filter!$R$1) )</f>
        <v>1592220</v>
      </c>
      <c r="I26" s="43">
        <f t="array" aca="1" ref="I26" ca="1">IF( $C26="", "", _xll.IMDP("IDX",$C26,I$6,$D$4,"Fill=true, Per="&amp;filter!$R$1) )</f>
        <v>14010075</v>
      </c>
      <c r="J26" s="34">
        <f t="array" aca="1" ref="J26" ca="1">IF( $C26="", "", _xll.IMDP("IDX",$C26,J$6,$D$4,"Fill=true, Per="&amp;filter!$R$1) )</f>
        <v>769.85</v>
      </c>
      <c r="K26" s="38">
        <f t="array" aca="1" ref="K26" ca="1">IF( $C26="", "", _xll.IMDP("IDX",$C26,K$6,$D$4,"Fill=true, Per="&amp;filter!$R$1) )</f>
        <v>773.15</v>
      </c>
      <c r="L26" s="39">
        <f t="array" aca="1" ref="L26" ca="1">IF( $C26="", "", _xll.IMDP("IDX",$C26,L$6,$D$4,"Fill=true, Per="&amp;filter!$R$1) )</f>
        <v>0</v>
      </c>
      <c r="M26" s="50">
        <f t="array" aca="1" ref="M26" ca="1">IF( $C26="", "", _xll.IMDP("IDX",$C26,M$6,$D$4,"Fill=true, Per="&amp;filter!$R$1) )</f>
        <v>285547</v>
      </c>
      <c r="N26" s="51">
        <f t="array" aca="1" ref="N26" ca="1">IF( $C26="", "", _xll.IMDP("IDX",$C26,N$6,$D$4,"Fill=true, Per="&amp;filter!$R$1) )</f>
        <v>-154063</v>
      </c>
      <c r="O26" s="52">
        <f t="array" aca="1" ref="O26" ca="1">IF( $C26="", "", _xll.IMDP("IDX",$C26,O$6,$D$4,"Fill=true, Per="&amp;filter!$R$1) )</f>
        <v>-112560</v>
      </c>
    </row>
    <row r="27" spans="2:15">
      <c r="B27" s="21">
        <f t="shared" si="0"/>
        <v>19</v>
      </c>
      <c r="C27" s="17" t="str">
        <f>IFERROR( VLOOKUP(ROWS($B$8:B26), filter!$I:$J, 2, 0), "")</f>
        <v>KGS14P</v>
      </c>
      <c r="D27" s="16" t="str" cm="1">
        <f t="array" ref="D27">IF( $C27="", "", _xll.IMDP("IDX", $C27, D$6) )</f>
        <v>금융업</v>
      </c>
      <c r="E27" s="34">
        <f t="array" aca="1" ref="E27" ca="1">IF( $C27="", "", _xll.IMDP("IDX",$C27,E$6,$D$4,"Fill=true, Per="&amp;filter!$R$1) )</f>
        <v>481.07</v>
      </c>
      <c r="F27" s="38">
        <f t="array" aca="1" ref="F27" ca="1">IF( $C27="", "", _xll.IMDP("IDX",$C27,F$6,$D$4,"Fill=true, Per="&amp;filter!$R$1) )</f>
        <v>9.0400000000000205</v>
      </c>
      <c r="G27" s="39">
        <f t="array" aca="1" ref="G27" ca="1">IF( $C27="", "", _xll.IMDP("IDX",$C27,G$6,$D$4,"Fill=true, Per="&amp;filter!$R$1) )</f>
        <v>1.92</v>
      </c>
      <c r="H27" s="43">
        <f t="array" aca="1" ref="H27" ca="1">IF( $C27="", "", _xll.IMDP("IDX",$C27,H$6,$D$4,"Fill=true, Per="&amp;filter!$R$1) )</f>
        <v>50267</v>
      </c>
      <c r="I27" s="43">
        <f t="array" aca="1" ref="I27" ca="1">IF( $C27="", "", _xll.IMDP("IDX",$C27,I$6,$D$4,"Fill=true, Per="&amp;filter!$R$1) )</f>
        <v>1474174</v>
      </c>
      <c r="J27" s="34">
        <f t="array" aca="1" ref="J27" ca="1">IF( $C27="", "", _xll.IMDP("IDX",$C27,J$6,$D$4,"Fill=true, Per="&amp;filter!$R$1) )</f>
        <v>473.04</v>
      </c>
      <c r="K27" s="38">
        <f t="array" aca="1" ref="K27" ca="1">IF( $C27="", "", _xll.IMDP("IDX",$C27,K$6,$D$4,"Fill=true, Per="&amp;filter!$R$1) )</f>
        <v>481.8</v>
      </c>
      <c r="L27" s="39">
        <f t="array" aca="1" ref="L27" ca="1">IF( $C27="", "", _xll.IMDP("IDX",$C27,L$6,$D$4,"Fill=true, Per="&amp;filter!$R$1) )</f>
        <v>0</v>
      </c>
      <c r="M27" s="50">
        <f t="array" aca="1" ref="M27" ca="1">IF( $C27="", "", _xll.IMDP("IDX",$C27,M$6,$D$4,"Fill=true, Per="&amp;filter!$R$1) )</f>
        <v>-125035</v>
      </c>
      <c r="N27" s="51">
        <f t="array" aca="1" ref="N27" ca="1">IF( $C27="", "", _xll.IMDP("IDX",$C27,N$6,$D$4,"Fill=true, Per="&amp;filter!$R$1) )</f>
        <v>-3099</v>
      </c>
      <c r="O27" s="52">
        <f t="array" aca="1" ref="O27" ca="1">IF( $C27="", "", _xll.IMDP("IDX",$C27,O$6,$D$4,"Fill=true, Per="&amp;filter!$R$1) )</f>
        <v>139214</v>
      </c>
    </row>
    <row r="28" spans="2:15">
      <c r="B28" s="21">
        <f t="shared" si="0"/>
        <v>20</v>
      </c>
      <c r="C28" s="17" t="str">
        <f>IFERROR( VLOOKUP(ROWS($B$8:B27), filter!$I:$J, 2, 0), "")</f>
        <v>XGT01P</v>
      </c>
      <c r="D28" s="16" t="str" cm="1">
        <f t="array" ref="D28">IF( $C28="", "", _xll.IMDP("IDX", $C28, D$6) )</f>
        <v>KRX BBIG 지수</v>
      </c>
      <c r="E28" s="34">
        <f t="array" aca="1" ref="E28" ca="1">IF( $C28="", "", _xll.IMDP("IDX",$C28,E$6,$D$4,"Fill=true, Per="&amp;filter!$R$1) )</f>
        <v>1758.05</v>
      </c>
      <c r="F28" s="38">
        <f t="array" aca="1" ref="F28" ca="1">IF( $C28="", "", _xll.IMDP("IDX",$C28,F$6,$D$4,"Fill=true, Per="&amp;filter!$R$1) )</f>
        <v>-19.3900000000001</v>
      </c>
      <c r="G28" s="39">
        <f t="array" aca="1" ref="G28" ca="1">IF( $C28="", "", _xll.IMDP("IDX",$C28,G$6,$D$4,"Fill=true, Per="&amp;filter!$R$1) )</f>
        <v>-1.0900000000000001</v>
      </c>
      <c r="H28" s="43">
        <f t="array" aca="1" ref="H28" ca="1">IF( $C28="", "", _xll.IMDP("IDX",$C28,H$6,$D$4,"Fill=true, Per="&amp;filter!$R$1) )</f>
        <v>10634</v>
      </c>
      <c r="I28" s="43">
        <f t="array" aca="1" ref="I28" ca="1">IF( $C28="", "", _xll.IMDP("IDX",$C28,I$6,$D$4,"Fill=true, Per="&amp;filter!$R$1) )</f>
        <v>2116435</v>
      </c>
      <c r="J28" s="34">
        <f t="array" aca="1" ref="J28" ca="1">IF( $C28="", "", _xll.IMDP("IDX",$C28,J$6,$D$4,"Fill=true, Per="&amp;filter!$R$1) )</f>
        <v>1785.95</v>
      </c>
      <c r="K28" s="38">
        <f t="array" aca="1" ref="K28" ca="1">IF( $C28="", "", _xll.IMDP("IDX",$C28,K$6,$D$4,"Fill=true, Per="&amp;filter!$R$1) )</f>
        <v>1798.67</v>
      </c>
      <c r="L28" s="39">
        <f t="array" aca="1" ref="L28" ca="1">IF( $C28="", "", _xll.IMDP("IDX",$C28,L$6,$D$4,"Fill=true, Per="&amp;filter!$R$1) )</f>
        <v>0</v>
      </c>
      <c r="M28" s="50" t="str">
        <f t="array" aca="1" ref="M28" ca="1">IF( $C28="", "", _xll.IMDP("IDX",$C28,M$6,$D$4,"Fill=true, Per="&amp;filter!$R$1) )</f>
        <v/>
      </c>
      <c r="N28" s="51" t="str">
        <f t="array" aca="1" ref="N28" ca="1">IF( $C28="", "", _xll.IMDP("IDX",$C28,N$6,$D$4,"Fill=true, Per="&amp;filter!$R$1) )</f>
        <v/>
      </c>
      <c r="O28" s="52" t="str">
        <f t="array" aca="1" ref="O28" ca="1">IF( $C28="", "", _xll.IMDP("IDX",$C28,O$6,$D$4,"Fill=true, Per="&amp;filter!$R$1) )</f>
        <v/>
      </c>
    </row>
    <row r="29" spans="2:15">
      <c r="B29" s="21">
        <f t="shared" si="0"/>
        <v>21</v>
      </c>
      <c r="C29" s="17" t="str">
        <f>IFERROR( VLOOKUP(ROWS($B$8:B28), filter!$I:$J, 2, 0), "")</f>
        <v>QGS02P</v>
      </c>
      <c r="D29" s="16" t="str" cm="1">
        <f t="array" ref="D29">IF( $C29="", "", _xll.IMDP("IDX", $C29, D$6) )</f>
        <v>제조</v>
      </c>
      <c r="E29" s="34">
        <f t="array" aca="1" ref="E29" ca="1">IF( $C29="", "", _xll.IMDP("IDX",$C29,E$6,$D$4,"Fill=true, Per="&amp;filter!$R$1) )</f>
        <v>2361.25</v>
      </c>
      <c r="F29" s="38">
        <f t="array" aca="1" ref="F29" ca="1">IF( $C29="", "", _xll.IMDP("IDX",$C29,F$6,$D$4,"Fill=true, Per="&amp;filter!$R$1) )</f>
        <v>-31.769999999999982</v>
      </c>
      <c r="G29" s="39">
        <f t="array" aca="1" ref="G29" ca="1">IF( $C29="", "", _xll.IMDP("IDX",$C29,G$6,$D$4,"Fill=true, Per="&amp;filter!$R$1) )</f>
        <v>-1.33</v>
      </c>
      <c r="H29" s="43">
        <f t="array" aca="1" ref="H29" ca="1">IF( $C29="", "", _xll.IMDP("IDX",$C29,H$6,$D$4,"Fill=true, Per="&amp;filter!$R$1) )</f>
        <v>1086155</v>
      </c>
      <c r="I29" s="43">
        <f t="array" aca="1" ref="I29" ca="1">IF( $C29="", "", _xll.IMDP("IDX",$C29,I$6,$D$4,"Fill=true, Per="&amp;filter!$R$1) )</f>
        <v>10337951</v>
      </c>
      <c r="J29" s="34">
        <f t="array" aca="1" ref="J29" ca="1">IF( $C29="", "", _xll.IMDP("IDX",$C29,J$6,$D$4,"Fill=true, Per="&amp;filter!$R$1) )</f>
        <v>2398.81</v>
      </c>
      <c r="K29" s="38">
        <f t="array" aca="1" ref="K29" ca="1">IF( $C29="", "", _xll.IMDP("IDX",$C29,K$6,$D$4,"Fill=true, Per="&amp;filter!$R$1) )</f>
        <v>2402.2800000000002</v>
      </c>
      <c r="L29" s="39">
        <f t="array" aca="1" ref="L29" ca="1">IF( $C29="", "", _xll.IMDP("IDX",$C29,L$6,$D$4,"Fill=true, Per="&amp;filter!$R$1) )</f>
        <v>0</v>
      </c>
      <c r="M29" s="50">
        <f t="array" aca="1" ref="M29" ca="1">IF( $C29="", "", _xll.IMDP("IDX",$C29,M$6,$D$4,"Fill=true, Per="&amp;filter!$R$1) )</f>
        <v>302603</v>
      </c>
      <c r="N29" s="51">
        <f t="array" aca="1" ref="N29" ca="1">IF( $C29="", "", _xll.IMDP("IDX",$C29,N$6,$D$4,"Fill=true, Per="&amp;filter!$R$1) )</f>
        <v>-142635</v>
      </c>
      <c r="O29" s="52">
        <f t="array" aca="1" ref="O29" ca="1">IF( $C29="", "", _xll.IMDP("IDX",$C29,O$6,$D$4,"Fill=true, Per="&amp;filter!$R$1) )</f>
        <v>-139177</v>
      </c>
    </row>
    <row r="30" spans="2:15">
      <c r="B30" s="21">
        <f t="shared" si="0"/>
        <v>22</v>
      </c>
      <c r="C30" s="17" t="str">
        <f>IFERROR( VLOOKUP(ROWS($B$8:B29), filter!$I:$J, 2, 0), "")</f>
        <v>KGZ02P</v>
      </c>
      <c r="D30" s="16" t="str" cm="1">
        <f t="array" ref="D30">IF( $C30="", "", _xll.IMDP("IDX", $C30, D$6) )</f>
        <v>코스피 중형주</v>
      </c>
      <c r="E30" s="34">
        <f t="array" aca="1" ref="E30" ca="1">IF( $C30="", "", _xll.IMDP("IDX",$C30,E$6,$D$4,"Fill=true, Per="&amp;filter!$R$1) )</f>
        <v>2906.82</v>
      </c>
      <c r="F30" s="38">
        <f t="array" aca="1" ref="F30" ca="1">IF( $C30="", "", _xll.IMDP("IDX",$C30,F$6,$D$4,"Fill=true, Per="&amp;filter!$R$1) )</f>
        <v>-8.0999999999999091</v>
      </c>
      <c r="G30" s="39">
        <f t="array" aca="1" ref="G30" ca="1">IF( $C30="", "", _xll.IMDP("IDX",$C30,G$6,$D$4,"Fill=true, Per="&amp;filter!$R$1) )</f>
        <v>-0.28000000000000003</v>
      </c>
      <c r="H30" s="43">
        <f t="array" aca="1" ref="H30" ca="1">IF( $C30="", "", _xll.IMDP("IDX",$C30,H$6,$D$4,"Fill=true, Per="&amp;filter!$R$1) )</f>
        <v>114038</v>
      </c>
      <c r="I30" s="43">
        <f t="array" aca="1" ref="I30" ca="1">IF( $C30="", "", _xll.IMDP("IDX",$C30,I$6,$D$4,"Fill=true, Per="&amp;filter!$R$1) )</f>
        <v>2622339</v>
      </c>
      <c r="J30" s="34">
        <f t="array" aca="1" ref="J30" ca="1">IF( $C30="", "", _xll.IMDP("IDX",$C30,J$6,$D$4,"Fill=true, Per="&amp;filter!$R$1) )</f>
        <v>2919.3</v>
      </c>
      <c r="K30" s="38">
        <f t="array" aca="1" ref="K30" ca="1">IF( $C30="", "", _xll.IMDP("IDX",$C30,K$6,$D$4,"Fill=true, Per="&amp;filter!$R$1) )</f>
        <v>2919.3</v>
      </c>
      <c r="L30" s="39">
        <f t="array" aca="1" ref="L30" ca="1">IF( $C30="", "", _xll.IMDP("IDX",$C30,L$6,$D$4,"Fill=true, Per="&amp;filter!$R$1) )</f>
        <v>0</v>
      </c>
      <c r="M30" s="50">
        <f t="array" aca="1" ref="M30" ca="1">IF( $C30="", "", _xll.IMDP("IDX",$C30,M$6,$D$4,"Fill=true, Per="&amp;filter!$R$1) )</f>
        <v>25782</v>
      </c>
      <c r="N30" s="51">
        <f t="array" aca="1" ref="N30" ca="1">IF( $C30="", "", _xll.IMDP("IDX",$C30,N$6,$D$4,"Fill=true, Per="&amp;filter!$R$1) )</f>
        <v>-82513</v>
      </c>
      <c r="O30" s="52">
        <f t="array" aca="1" ref="O30" ca="1">IF( $C30="", "", _xll.IMDP("IDX",$C30,O$6,$D$4,"Fill=true, Per="&amp;filter!$R$1) )</f>
        <v>60506</v>
      </c>
    </row>
    <row r="31" spans="2:15">
      <c r="B31" s="21">
        <f t="shared" si="0"/>
        <v>23</v>
      </c>
      <c r="C31" s="17" t="str">
        <f>IFERROR( VLOOKUP(ROWS($B$8:B30), filter!$I:$J, 2, 0), "")</f>
        <v>K2X05P</v>
      </c>
      <c r="D31" s="16" t="str" cm="1">
        <f t="array" ref="D31">IF( $C31="", "", _xll.IMDP("IDX", $C31, D$6) )</f>
        <v>코스피 200 금융 레버리지지수</v>
      </c>
      <c r="E31" s="34">
        <f t="array" aca="1" ref="E31" ca="1">IF( $C31="", "", _xll.IMDP("IDX",$C31,E$6,$D$4,"Fill=true, Per="&amp;filter!$R$1) )</f>
        <v>639.45000000000005</v>
      </c>
      <c r="F31" s="38">
        <f t="array" aca="1" ref="F31" ca="1">IF( $C31="", "", _xll.IMDP("IDX",$C31,F$6,$D$4,"Fill=true, Per="&amp;filter!$R$1) )</f>
        <v>27.900000000000091</v>
      </c>
      <c r="G31" s="39">
        <f t="array" aca="1" ref="G31" ca="1">IF( $C31="", "", _xll.IMDP("IDX",$C31,G$6,$D$4,"Fill=true, Per="&amp;filter!$R$1) )</f>
        <v>4.5599999999999996</v>
      </c>
      <c r="H31" s="43">
        <f t="array" aca="1" ref="H31" ca="1">IF( $C31="", "", _xll.IMDP("IDX",$C31,H$6,$D$4,"Fill=true, Per="&amp;filter!$R$1) )</f>
        <v>0</v>
      </c>
      <c r="I31" s="43">
        <f t="array" aca="1" ref="I31" ca="1">IF( $C31="", "", _xll.IMDP("IDX",$C31,I$6,$D$4,"Fill=true, Per="&amp;filter!$R$1) )</f>
        <v>0</v>
      </c>
      <c r="J31" s="34">
        <f t="array" aca="1" ref="J31" ca="1">IF( $C31="", "", _xll.IMDP("IDX",$C31,J$6,$D$4,"Fill=true, Per="&amp;filter!$R$1) )</f>
        <v>614.71</v>
      </c>
      <c r="K31" s="38">
        <f t="array" aca="1" ref="K31" ca="1">IF( $C31="", "", _xll.IMDP("IDX",$C31,K$6,$D$4,"Fill=true, Per="&amp;filter!$R$1) )</f>
        <v>648.65</v>
      </c>
      <c r="L31" s="39">
        <f t="array" aca="1" ref="L31" ca="1">IF( $C31="", "", _xll.IMDP("IDX",$C31,L$6,$D$4,"Fill=true, Per="&amp;filter!$R$1) )</f>
        <v>0</v>
      </c>
      <c r="M31" s="50" t="str">
        <f t="array" aca="1" ref="M31" ca="1">IF( $C31="", "", _xll.IMDP("IDX",$C31,M$6,$D$4,"Fill=true, Per="&amp;filter!$R$1) )</f>
        <v/>
      </c>
      <c r="N31" s="51" t="str">
        <f t="array" aca="1" ref="N31" ca="1">IF( $C31="", "", _xll.IMDP("IDX",$C31,N$6,$D$4,"Fill=true, Per="&amp;filter!$R$1) )</f>
        <v/>
      </c>
      <c r="O31" s="52" t="str">
        <f t="array" aca="1" ref="O31" ca="1">IF( $C31="", "", _xll.IMDP("IDX",$C31,O$6,$D$4,"Fill=true, Per="&amp;filter!$R$1) )</f>
        <v/>
      </c>
    </row>
    <row r="32" spans="2:15">
      <c r="B32" s="21">
        <f t="shared" si="0"/>
        <v>24</v>
      </c>
      <c r="C32" s="17" t="str">
        <f>IFERROR( VLOOKUP(ROWS($B$8:B31), filter!$I:$J, 2, 0), "")</f>
        <v>K2S03P</v>
      </c>
      <c r="D32" s="16" t="str" cm="1">
        <f t="array" ref="D32">IF( $C32="", "", _xll.IMDP("IDX", $C32, D$6) )</f>
        <v>코스피 200 금융</v>
      </c>
      <c r="E32" s="34">
        <f t="array" aca="1" ref="E32" ca="1">IF( $C32="", "", _xll.IMDP("IDX",$C32,E$6,$D$4,"Fill=true, Per="&amp;filter!$R$1) )</f>
        <v>897.23</v>
      </c>
      <c r="F32" s="38">
        <f t="array" aca="1" ref="F32" ca="1">IF( $C32="", "", _xll.IMDP("IDX",$C32,F$6,$D$4,"Fill=true, Per="&amp;filter!$R$1) )</f>
        <v>20.07000000000005</v>
      </c>
      <c r="G32" s="39">
        <f t="array" aca="1" ref="G32" ca="1">IF( $C32="", "", _xll.IMDP("IDX",$C32,G$6,$D$4,"Fill=true, Per="&amp;filter!$R$1) )</f>
        <v>2.29</v>
      </c>
      <c r="H32" s="43">
        <f t="array" aca="1" ref="H32" ca="1">IF( $C32="", "", _xll.IMDP("IDX",$C32,H$6,$D$4,"Fill=true, Per="&amp;filter!$R$1) )</f>
        <v>21946</v>
      </c>
      <c r="I32" s="43">
        <f t="array" aca="1" ref="I32" ca="1">IF( $C32="", "", _xll.IMDP("IDX",$C32,I$6,$D$4,"Fill=true, Per="&amp;filter!$R$1) )</f>
        <v>846572</v>
      </c>
      <c r="J32" s="34">
        <f t="array" aca="1" ref="J32" ca="1">IF( $C32="", "", _xll.IMDP("IDX",$C32,J$6,$D$4,"Fill=true, Per="&amp;filter!$R$1) )</f>
        <v>879.55</v>
      </c>
      <c r="K32" s="38">
        <f t="array" aca="1" ref="K32" ca="1">IF( $C32="", "", _xll.IMDP("IDX",$C32,K$6,$D$4,"Fill=true, Per="&amp;filter!$R$1) )</f>
        <v>903.78</v>
      </c>
      <c r="L32" s="39">
        <f t="array" aca="1" ref="L32" ca="1">IF( $C32="", "", _xll.IMDP("IDX",$C32,L$6,$D$4,"Fill=true, Per="&amp;filter!$R$1) )</f>
        <v>0</v>
      </c>
      <c r="M32" s="50" t="str">
        <f t="array" aca="1" ref="M32" ca="1">IF( $C32="", "", _xll.IMDP("IDX",$C32,M$6,$D$4,"Fill=true, Per="&amp;filter!$R$1) )</f>
        <v/>
      </c>
      <c r="N32" s="51" t="str">
        <f t="array" aca="1" ref="N32" ca="1">IF( $C32="", "", _xll.IMDP("IDX",$C32,N$6,$D$4,"Fill=true, Per="&amp;filter!$R$1) )</f>
        <v/>
      </c>
      <c r="O32" s="52" t="str">
        <f t="array" aca="1" ref="O32" ca="1">IF( $C32="", "", _xll.IMDP("IDX",$C32,O$6,$D$4,"Fill=true, Per="&amp;filter!$R$1) )</f>
        <v/>
      </c>
    </row>
    <row r="33" spans="2:15">
      <c r="B33" s="21">
        <f t="shared" si="0"/>
        <v>25</v>
      </c>
      <c r="C33" s="17" t="str">
        <f>IFERROR( VLOOKUP(ROWS($B$8:B32), filter!$I:$J, 2, 0), "")</f>
        <v>KGS10P</v>
      </c>
      <c r="D33" s="16" t="str" cm="1">
        <f t="array" ref="D33">IF( $C33="", "", _xll.IMDP("IDX", $C33, D$6) )</f>
        <v>운수장비</v>
      </c>
      <c r="E33" s="34">
        <f t="array" aca="1" ref="E33" ca="1">IF( $C33="", "", _xll.IMDP("IDX",$C33,E$6,$D$4,"Fill=true, Per="&amp;filter!$R$1) )</f>
        <v>2608.39</v>
      </c>
      <c r="F33" s="38">
        <f t="array" aca="1" ref="F33" ca="1">IF( $C33="", "", _xll.IMDP("IDX",$C33,F$6,$D$4,"Fill=true, Per="&amp;filter!$R$1) )</f>
        <v>-98.490000000000236</v>
      </c>
      <c r="G33" s="39">
        <f t="array" aca="1" ref="G33" ca="1">IF( $C33="", "", _xll.IMDP("IDX",$C33,G$6,$D$4,"Fill=true, Per="&amp;filter!$R$1) )</f>
        <v>-3.64</v>
      </c>
      <c r="H33" s="43">
        <f t="array" aca="1" ref="H33" ca="1">IF( $C33="", "", _xll.IMDP("IDX",$C33,H$6,$D$4,"Fill=true, Per="&amp;filter!$R$1) )</f>
        <v>37009</v>
      </c>
      <c r="I33" s="43">
        <f t="array" aca="1" ref="I33" ca="1">IF( $C33="", "", _xll.IMDP("IDX",$C33,I$6,$D$4,"Fill=true, Per="&amp;filter!$R$1) )</f>
        <v>1587407</v>
      </c>
      <c r="J33" s="34">
        <f t="array" aca="1" ref="J33" ca="1">IF( $C33="", "", _xll.IMDP("IDX",$C33,J$6,$D$4,"Fill=true, Per="&amp;filter!$R$1) )</f>
        <v>2709.17</v>
      </c>
      <c r="K33" s="38">
        <f t="array" aca="1" ref="K33" ca="1">IF( $C33="", "", _xll.IMDP("IDX",$C33,K$6,$D$4,"Fill=true, Per="&amp;filter!$R$1) )</f>
        <v>2710.78</v>
      </c>
      <c r="L33" s="39">
        <f t="array" aca="1" ref="L33" ca="1">IF( $C33="", "", _xll.IMDP("IDX",$C33,L$6,$D$4,"Fill=true, Per="&amp;filter!$R$1) )</f>
        <v>0</v>
      </c>
      <c r="M33" s="50">
        <f t="array" aca="1" ref="M33" ca="1">IF( $C33="", "", _xll.IMDP("IDX",$C33,M$6,$D$4,"Fill=true, Per="&amp;filter!$R$1) )</f>
        <v>282252</v>
      </c>
      <c r="N33" s="51">
        <f t="array" aca="1" ref="N33" ca="1">IF( $C33="", "", _xll.IMDP("IDX",$C33,N$6,$D$4,"Fill=true, Per="&amp;filter!$R$1) )</f>
        <v>-171175</v>
      </c>
      <c r="O33" s="52">
        <f t="array" aca="1" ref="O33" ca="1">IF( $C33="", "", _xll.IMDP("IDX",$C33,O$6,$D$4,"Fill=true, Per="&amp;filter!$R$1) )</f>
        <v>-113240</v>
      </c>
    </row>
    <row r="34" spans="2:15">
      <c r="B34" s="21">
        <f t="shared" si="0"/>
        <v>26</v>
      </c>
      <c r="C34" s="17" t="str">
        <f>IFERROR( VLOOKUP(ROWS($B$8:B33), filter!$I:$J, 2, 0), "")</f>
        <v>Q5G01P</v>
      </c>
      <c r="D34" s="16" t="str" cm="1">
        <f t="array" ref="D34">IF( $C34="", "", _xll.IMDP("IDX", $C34, D$6) )</f>
        <v>코스닥 150</v>
      </c>
      <c r="E34" s="34">
        <f t="array" aca="1" ref="E34" ca="1">IF( $C34="", "", _xll.IMDP("IDX",$C34,E$6,$D$4,"Fill=true, Per="&amp;filter!$R$1) )</f>
        <v>1280.99</v>
      </c>
      <c r="F34" s="38">
        <f t="array" aca="1" ref="F34" ca="1">IF( $C34="", "", _xll.IMDP("IDX",$C34,F$6,$D$4,"Fill=true, Per="&amp;filter!$R$1) )</f>
        <v>-13.700000000000045</v>
      </c>
      <c r="G34" s="39">
        <f t="array" aca="1" ref="G34" ca="1">IF( $C34="", "", _xll.IMDP("IDX",$C34,G$6,$D$4,"Fill=true, Per="&amp;filter!$R$1) )</f>
        <v>-1.06</v>
      </c>
      <c r="H34" s="43">
        <f t="array" aca="1" ref="H34" ca="1">IF( $C34="", "", _xll.IMDP("IDX",$C34,H$6,$D$4,"Fill=true, Per="&amp;filter!$R$1) )</f>
        <v>109161</v>
      </c>
      <c r="I34" s="43">
        <f t="array" aca="1" ref="I34" ca="1">IF( $C34="", "", _xll.IMDP("IDX",$C34,I$6,$D$4,"Fill=true, Per="&amp;filter!$R$1) )</f>
        <v>4561389</v>
      </c>
      <c r="J34" s="34">
        <f t="array" aca="1" ref="J34" ca="1">IF( $C34="", "", _xll.IMDP("IDX",$C34,J$6,$D$4,"Fill=true, Per="&amp;filter!$R$1) )</f>
        <v>1298.03</v>
      </c>
      <c r="K34" s="38">
        <f t="array" aca="1" ref="K34" ca="1">IF( $C34="", "", _xll.IMDP("IDX",$C34,K$6,$D$4,"Fill=true, Per="&amp;filter!$R$1) )</f>
        <v>1309.33</v>
      </c>
      <c r="L34" s="39">
        <f t="array" aca="1" ref="L34" ca="1">IF( $C34="", "", _xll.IMDP("IDX",$C34,L$6,$D$4,"Fill=true, Per="&amp;filter!$R$1) )</f>
        <v>0</v>
      </c>
      <c r="M34" s="50" t="str">
        <f t="array" aca="1" ref="M34" ca="1">IF( $C34="", "", _xll.IMDP("IDX",$C34,M$6,$D$4,"Fill=true, Per="&amp;filter!$R$1) )</f>
        <v/>
      </c>
      <c r="N34" s="51" t="str">
        <f t="array" aca="1" ref="N34" ca="1">IF( $C34="", "", _xll.IMDP("IDX",$C34,N$6,$D$4,"Fill=true, Per="&amp;filter!$R$1) )</f>
        <v/>
      </c>
      <c r="O34" s="52" t="str">
        <f t="array" aca="1" ref="O34" ca="1">IF( $C34="", "", _xll.IMDP("IDX",$C34,O$6,$D$4,"Fill=true, Per="&amp;filter!$R$1) )</f>
        <v/>
      </c>
    </row>
    <row r="35" spans="2:15">
      <c r="B35" s="21">
        <f t="shared" si="0"/>
        <v>27</v>
      </c>
      <c r="C35" s="17" t="str">
        <f>IFERROR( VLOOKUP(ROWS($B$8:B34), filter!$I:$J, 2, 0), "")</f>
        <v>Q5W01P</v>
      </c>
      <c r="D35" s="16" t="str" cm="1">
        <f t="array" ref="D35">IF( $C35="", "", _xll.IMDP("IDX", $C35, D$6) )</f>
        <v>코스닥 150 동일가중지수</v>
      </c>
      <c r="E35" s="34">
        <f t="array" aca="1" ref="E35" ca="1">IF( $C35="", "", _xll.IMDP("IDX",$C35,E$6,$D$4,"Fill=true, Per="&amp;filter!$R$1) )</f>
        <v>1002.35</v>
      </c>
      <c r="F35" s="38">
        <f t="array" aca="1" ref="F35" ca="1">IF( $C35="", "", _xll.IMDP("IDX",$C35,F$6,$D$4,"Fill=true, Per="&amp;filter!$R$1) )</f>
        <v>-20.639999999999986</v>
      </c>
      <c r="G35" s="39">
        <f t="array" aca="1" ref="G35" ca="1">IF( $C35="", "", _xll.IMDP("IDX",$C35,G$6,$D$4,"Fill=true, Per="&amp;filter!$R$1) )</f>
        <v>-2.02</v>
      </c>
      <c r="H35" s="43">
        <f t="array" aca="1" ref="H35" ca="1">IF( $C35="", "", _xll.IMDP("IDX",$C35,H$6,$D$4,"Fill=true, Per="&amp;filter!$R$1) )</f>
        <v>109161</v>
      </c>
      <c r="I35" s="43">
        <f t="array" aca="1" ref="I35" ca="1">IF( $C35="", "", _xll.IMDP("IDX",$C35,I$6,$D$4,"Fill=true, Per="&amp;filter!$R$1) )</f>
        <v>4561389</v>
      </c>
      <c r="J35" s="34">
        <f t="array" aca="1" ref="J35" ca="1">IF( $C35="", "", _xll.IMDP("IDX",$C35,J$6,$D$4,"Fill=true, Per="&amp;filter!$R$1) )</f>
        <v>1024.42</v>
      </c>
      <c r="K35" s="38">
        <f t="array" aca="1" ref="K35" ca="1">IF( $C35="", "", _xll.IMDP("IDX",$C35,K$6,$D$4,"Fill=true, Per="&amp;filter!$R$1) )</f>
        <v>1024.42</v>
      </c>
      <c r="L35" s="39">
        <f t="array" aca="1" ref="L35" ca="1">IF( $C35="", "", _xll.IMDP("IDX",$C35,L$6,$D$4,"Fill=true, Per="&amp;filter!$R$1) )</f>
        <v>0</v>
      </c>
      <c r="M35" s="50" t="str">
        <f t="array" aca="1" ref="M35" ca="1">IF( $C35="", "", _xll.IMDP("IDX",$C35,M$6,$D$4,"Fill=true, Per="&amp;filter!$R$1) )</f>
        <v/>
      </c>
      <c r="N35" s="51" t="str">
        <f t="array" aca="1" ref="N35" ca="1">IF( $C35="", "", _xll.IMDP("IDX",$C35,N$6,$D$4,"Fill=true, Per="&amp;filter!$R$1) )</f>
        <v/>
      </c>
      <c r="O35" s="52" t="str">
        <f t="array" aca="1" ref="O35" ca="1">IF( $C35="", "", _xll.IMDP("IDX",$C35,O$6,$D$4,"Fill=true, Per="&amp;filter!$R$1) )</f>
        <v/>
      </c>
    </row>
    <row r="36" spans="2:15">
      <c r="B36" s="21">
        <f t="shared" si="0"/>
        <v>28</v>
      </c>
      <c r="C36" s="17" t="str">
        <f>IFERROR( VLOOKUP(ROWS($B$8:B35), filter!$I:$J, 2, 0), "")</f>
        <v>Q5X01P</v>
      </c>
      <c r="D36" s="16" t="str" cm="1">
        <f t="array" ref="D36">IF( $C36="", "", _xll.IMDP("IDX", $C36, D$6) )</f>
        <v>코스닥 150 레버리지지수</v>
      </c>
      <c r="E36" s="34">
        <f t="array" aca="1" ref="E36" ca="1">IF( $C36="", "", _xll.IMDP("IDX",$C36,E$6,$D$4,"Fill=true, Per="&amp;filter!$R$1) )</f>
        <v>663.7</v>
      </c>
      <c r="F36" s="38">
        <f t="array" aca="1" ref="F36" ca="1">IF( $C36="", "", _xll.IMDP("IDX",$C36,F$6,$D$4,"Fill=true, Per="&amp;filter!$R$1) )</f>
        <v>-14.759999999999991</v>
      </c>
      <c r="G36" s="39">
        <f t="array" aca="1" ref="G36" ca="1">IF( $C36="", "", _xll.IMDP("IDX",$C36,G$6,$D$4,"Fill=true, Per="&amp;filter!$R$1) )</f>
        <v>-2.1800000000000002</v>
      </c>
      <c r="H36" s="43">
        <f t="array" aca="1" ref="H36" ca="1">IF( $C36="", "", _xll.IMDP("IDX",$C36,H$6,$D$4,"Fill=true, Per="&amp;filter!$R$1) )</f>
        <v>0</v>
      </c>
      <c r="I36" s="43">
        <f t="array" aca="1" ref="I36" ca="1">IF( $C36="", "", _xll.IMDP("IDX",$C36,I$6,$D$4,"Fill=true, Per="&amp;filter!$R$1) )</f>
        <v>0</v>
      </c>
      <c r="J36" s="34">
        <f t="array" aca="1" ref="J36" ca="1">IF( $C36="", "", _xll.IMDP("IDX",$C36,J$6,$D$4,"Fill=true, Per="&amp;filter!$R$1) )</f>
        <v>681.76</v>
      </c>
      <c r="K36" s="38">
        <f t="array" aca="1" ref="K36" ca="1">IF( $C36="", "", _xll.IMDP("IDX",$C36,K$6,$D$4,"Fill=true, Per="&amp;filter!$R$1) )</f>
        <v>693.55</v>
      </c>
      <c r="L36" s="39">
        <f t="array" aca="1" ref="L36" ca="1">IF( $C36="", "", _xll.IMDP("IDX",$C36,L$6,$D$4,"Fill=true, Per="&amp;filter!$R$1) )</f>
        <v>0</v>
      </c>
      <c r="M36" s="50" t="str">
        <f t="array" aca="1" ref="M36" ca="1">IF( $C36="", "", _xll.IMDP("IDX",$C36,M$6,$D$4,"Fill=true, Per="&amp;filter!$R$1) )</f>
        <v/>
      </c>
      <c r="N36" s="51" t="str">
        <f t="array" aca="1" ref="N36" ca="1">IF( $C36="", "", _xll.IMDP("IDX",$C36,N$6,$D$4,"Fill=true, Per="&amp;filter!$R$1) )</f>
        <v/>
      </c>
      <c r="O36" s="52" t="str">
        <f t="array" aca="1" ref="O36" ca="1">IF( $C36="", "", _xll.IMDP("IDX",$C36,O$6,$D$4,"Fill=true, Per="&amp;filter!$R$1) )</f>
        <v/>
      </c>
    </row>
    <row r="37" spans="2:15">
      <c r="B37" s="21">
        <f t="shared" si="0"/>
        <v>29</v>
      </c>
      <c r="C37" s="17" t="str">
        <f>IFERROR( VLOOKUP(ROWS($B$8:B36), filter!$I:$J, 2, 0), "")</f>
        <v>Q5X02P</v>
      </c>
      <c r="D37" s="16" t="str" cm="1">
        <f t="array" ref="D37">IF( $C37="", "", _xll.IMDP("IDX", $C37, D$6) )</f>
        <v>코스닥 150 레버리지 0.5 지수</v>
      </c>
      <c r="E37" s="34">
        <f t="array" aca="1" ref="E37" ca="1">IF( $C37="", "", _xll.IMDP("IDX",$C37,E$6,$D$4,"Fill=true, Per="&amp;filter!$R$1) )</f>
        <v>1414.15</v>
      </c>
      <c r="F37" s="38">
        <f t="array" aca="1" ref="F37" ca="1">IF( $C37="", "", _xll.IMDP("IDX",$C37,F$6,$D$4,"Fill=true, Per="&amp;filter!$R$1) )</f>
        <v>-7.1999999999998181</v>
      </c>
      <c r="G37" s="39">
        <f t="array" aca="1" ref="G37" ca="1">IF( $C37="", "", _xll.IMDP("IDX",$C37,G$6,$D$4,"Fill=true, Per="&amp;filter!$R$1) )</f>
        <v>-0.51</v>
      </c>
      <c r="H37" s="43">
        <f t="array" aca="1" ref="H37" ca="1">IF( $C37="", "", _xll.IMDP("IDX",$C37,H$6,$D$4,"Fill=true, Per="&amp;filter!$R$1) )</f>
        <v>0</v>
      </c>
      <c r="I37" s="43">
        <f t="array" aca="1" ref="I37" ca="1">IF( $C37="", "", _xll.IMDP("IDX",$C37,I$6,$D$4,"Fill=true, Per="&amp;filter!$R$1) )</f>
        <v>0</v>
      </c>
      <c r="J37" s="34">
        <f t="array" aca="1" ref="J37" ca="1">IF( $C37="", "", _xll.IMDP("IDX",$C37,J$6,$D$4,"Fill=true, Per="&amp;filter!$R$1) )</f>
        <v>1423.39</v>
      </c>
      <c r="K37" s="38">
        <f t="array" aca="1" ref="K37" ca="1">IF( $C37="", "", _xll.IMDP("IDX",$C37,K$6,$D$4,"Fill=true, Per="&amp;filter!$R$1) )</f>
        <v>1429.64</v>
      </c>
      <c r="L37" s="39">
        <f t="array" aca="1" ref="L37" ca="1">IF( $C37="", "", _xll.IMDP("IDX",$C37,L$6,$D$4,"Fill=true, Per="&amp;filter!$R$1) )</f>
        <v>0</v>
      </c>
      <c r="M37" s="50" t="str">
        <f t="array" aca="1" ref="M37" ca="1">IF( $C37="", "", _xll.IMDP("IDX",$C37,M$6,$D$4,"Fill=true, Per="&amp;filter!$R$1) )</f>
        <v/>
      </c>
      <c r="N37" s="51" t="str">
        <f t="array" aca="1" ref="N37" ca="1">IF( $C37="", "", _xll.IMDP("IDX",$C37,N$6,$D$4,"Fill=true, Per="&amp;filter!$R$1) )</f>
        <v/>
      </c>
      <c r="O37" s="52" t="str">
        <f t="array" aca="1" ref="O37" ca="1">IF( $C37="", "", _xll.IMDP("IDX",$C37,O$6,$D$4,"Fill=true, Per="&amp;filter!$R$1) )</f>
        <v/>
      </c>
    </row>
    <row r="38" spans="2:15">
      <c r="B38" s="21">
        <f t="shared" si="0"/>
        <v>30</v>
      </c>
      <c r="C38" s="17" t="str">
        <f>IFERROR( VLOOKUP(ROWS($B$8:B37), filter!$I:$J, 2, 0), "")</f>
        <v>K2S04P</v>
      </c>
      <c r="D38" s="16" t="str" cm="1">
        <f t="array" ref="D38">IF( $C38="", "", _xll.IMDP("IDX", $C38, D$6) )</f>
        <v>코스피 200 산업재</v>
      </c>
      <c r="E38" s="34">
        <f t="array" aca="1" ref="E38" ca="1">IF( $C38="", "", _xll.IMDP("IDX",$C38,E$6,$D$4,"Fill=true, Per="&amp;filter!$R$1) )</f>
        <v>660.37</v>
      </c>
      <c r="F38" s="38">
        <f t="array" aca="1" ref="F38" ca="1">IF( $C38="", "", _xll.IMDP("IDX",$C38,F$6,$D$4,"Fill=true, Per="&amp;filter!$R$1) )</f>
        <v>12.460000000000036</v>
      </c>
      <c r="G38" s="39">
        <f t="array" aca="1" ref="G38" ca="1">IF( $C38="", "", _xll.IMDP("IDX",$C38,G$6,$D$4,"Fill=true, Per="&amp;filter!$R$1) )</f>
        <v>1.92</v>
      </c>
      <c r="H38" s="43">
        <f t="array" aca="1" ref="H38" ca="1">IF( $C38="", "", _xll.IMDP("IDX",$C38,H$6,$D$4,"Fill=true, Per="&amp;filter!$R$1) )</f>
        <v>26117</v>
      </c>
      <c r="I38" s="43">
        <f t="array" aca="1" ref="I38" ca="1">IF( $C38="", "", _xll.IMDP("IDX",$C38,I$6,$D$4,"Fill=true, Per="&amp;filter!$R$1) )</f>
        <v>2023263</v>
      </c>
      <c r="J38" s="34">
        <f t="array" aca="1" ref="J38" ca="1">IF( $C38="", "", _xll.IMDP("IDX",$C38,J$6,$D$4,"Fill=true, Per="&amp;filter!$R$1) )</f>
        <v>652.49</v>
      </c>
      <c r="K38" s="38">
        <f t="array" aca="1" ref="K38" ca="1">IF( $C38="", "", _xll.IMDP("IDX",$C38,K$6,$D$4,"Fill=true, Per="&amp;filter!$R$1) )</f>
        <v>665.62</v>
      </c>
      <c r="L38" s="39">
        <f t="array" aca="1" ref="L38" ca="1">IF( $C38="", "", _xll.IMDP("IDX",$C38,L$6,$D$4,"Fill=true, Per="&amp;filter!$R$1) )</f>
        <v>0</v>
      </c>
      <c r="M38" s="50" t="str">
        <f t="array" aca="1" ref="M38" ca="1">IF( $C38="", "", _xll.IMDP("IDX",$C38,M$6,$D$4,"Fill=true, Per="&amp;filter!$R$1) )</f>
        <v/>
      </c>
      <c r="N38" s="51" t="str">
        <f t="array" aca="1" ref="N38" ca="1">IF( $C38="", "", _xll.IMDP("IDX",$C38,N$6,$D$4,"Fill=true, Per="&amp;filter!$R$1) )</f>
        <v/>
      </c>
      <c r="O38" s="52" t="str">
        <f t="array" aca="1" ref="O38" ca="1">IF( $C38="", "", _xll.IMDP("IDX",$C38,O$6,$D$4,"Fill=true, Per="&amp;filter!$R$1) )</f>
        <v/>
      </c>
    </row>
    <row r="39" spans="2:15">
      <c r="B39" s="21">
        <f t="shared" si="0"/>
        <v>31</v>
      </c>
      <c r="C39" s="17" t="str">
        <f>IFERROR( VLOOKUP(ROWS($B$8:B38), filter!$I:$J, 2, 0), "")</f>
        <v>QGG03P</v>
      </c>
      <c r="D39" s="16" t="str" cm="1">
        <f t="array" ref="D39">IF( $C39="", "", _xll.IMDP("IDX", $C39, D$6) )</f>
        <v>코스닥 우량기업부</v>
      </c>
      <c r="E39" s="34">
        <f t="array" aca="1" ref="E39" ca="1">IF( $C39="", "", _xll.IMDP("IDX",$C39,E$6,$D$4,"Fill=true, Per="&amp;filter!$R$1) )</f>
        <v>1631.71</v>
      </c>
      <c r="F39" s="38">
        <f t="array" aca="1" ref="F39" ca="1">IF( $C39="", "", _xll.IMDP("IDX",$C39,F$6,$D$4,"Fill=true, Per="&amp;filter!$R$1) )</f>
        <v>-19.799999999999955</v>
      </c>
      <c r="G39" s="39">
        <f t="array" aca="1" ref="G39" ca="1">IF( $C39="", "", _xll.IMDP("IDX",$C39,G$6,$D$4,"Fill=true, Per="&amp;filter!$R$1) )</f>
        <v>-1.2</v>
      </c>
      <c r="H39" s="43">
        <f t="array" aca="1" ref="H39" ca="1">IF( $C39="", "", _xll.IMDP("IDX",$C39,H$6,$D$4,"Fill=true, Per="&amp;filter!$R$1) )</f>
        <v>260554</v>
      </c>
      <c r="I39" s="43">
        <f t="array" aca="1" ref="I39" ca="1">IF( $C39="", "", _xll.IMDP("IDX",$C39,I$6,$D$4,"Fill=true, Per="&amp;filter!$R$1) )</f>
        <v>3608108</v>
      </c>
      <c r="J39" s="34">
        <f t="array" aca="1" ref="J39" ca="1">IF( $C39="", "", _xll.IMDP("IDX",$C39,J$6,$D$4,"Fill=true, Per="&amp;filter!$R$1) )</f>
        <v>1655.41</v>
      </c>
      <c r="K39" s="38">
        <f t="array" aca="1" ref="K39" ca="1">IF( $C39="", "", _xll.IMDP("IDX",$C39,K$6,$D$4,"Fill=true, Per="&amp;filter!$R$1) )</f>
        <v>1659.77</v>
      </c>
      <c r="L39" s="39">
        <f t="array" aca="1" ref="L39" ca="1">IF( $C39="", "", _xll.IMDP("IDX",$C39,L$6,$D$4,"Fill=true, Per="&amp;filter!$R$1) )</f>
        <v>0</v>
      </c>
      <c r="M39" s="50">
        <f t="array" aca="1" ref="M39" ca="1">IF( $C39="", "", _xll.IMDP("IDX",$C39,M$6,$D$4,"Fill=true, Per="&amp;filter!$R$1) )</f>
        <v>73342</v>
      </c>
      <c r="N39" s="51">
        <f t="array" aca="1" ref="N39" ca="1">IF( $C39="", "", _xll.IMDP("IDX",$C39,N$6,$D$4,"Fill=true, Per="&amp;filter!$R$1) )</f>
        <v>-101420</v>
      </c>
      <c r="O39" s="52">
        <f t="array" aca="1" ref="O39" ca="1">IF( $C39="", "", _xll.IMDP("IDX",$C39,O$6,$D$4,"Fill=true, Per="&amp;filter!$R$1) )</f>
        <v>26270</v>
      </c>
    </row>
    <row r="40" spans="2:15">
      <c r="B40" s="21">
        <f t="shared" si="0"/>
        <v>32</v>
      </c>
      <c r="C40" s="17" t="str">
        <f>IFERROR( VLOOKUP(ROWS($B$8:B39), filter!$I:$J, 2, 0), "")</f>
        <v>XGT02P</v>
      </c>
      <c r="D40" s="16" t="str" cm="1">
        <f t="array" ref="D40">IF( $C40="", "", _xll.IMDP("IDX", $C40, D$6) )</f>
        <v>KRX 2차전지 TOP 10 지수</v>
      </c>
      <c r="E40" s="34">
        <f t="array" aca="1" ref="E40" ca="1">IF( $C40="", "", _xll.IMDP("IDX",$C40,E$6,$D$4,"Fill=true, Per="&amp;filter!$R$1) )</f>
        <v>4061.25</v>
      </c>
      <c r="F40" s="38">
        <f t="array" aca="1" ref="F40" ca="1">IF( $C40="", "", _xll.IMDP("IDX",$C40,F$6,$D$4,"Fill=true, Per="&amp;filter!$R$1) )</f>
        <v>185.11999999999989</v>
      </c>
      <c r="G40" s="39">
        <f t="array" aca="1" ref="G40" ca="1">IF( $C40="", "", _xll.IMDP("IDX",$C40,G$6,$D$4,"Fill=true, Per="&amp;filter!$R$1) )</f>
        <v>4.78</v>
      </c>
      <c r="H40" s="43">
        <f t="array" aca="1" ref="H40" ca="1">IF( $C40="", "", _xll.IMDP("IDX",$C40,H$6,$D$4,"Fill=true, Per="&amp;filter!$R$1) )</f>
        <v>14202</v>
      </c>
      <c r="I40" s="43">
        <f t="array" aca="1" ref="I40" ca="1">IF( $C40="", "", _xll.IMDP("IDX",$C40,I$6,$D$4,"Fill=true, Per="&amp;filter!$R$1) )</f>
        <v>2693957</v>
      </c>
      <c r="J40" s="34">
        <f t="array" aca="1" ref="J40" ca="1">IF( $C40="", "", _xll.IMDP("IDX",$C40,J$6,$D$4,"Fill=true, Per="&amp;filter!$R$1) )</f>
        <v>3939.89</v>
      </c>
      <c r="K40" s="38">
        <f t="array" aca="1" ref="K40" ca="1">IF( $C40="", "", _xll.IMDP("IDX",$C40,K$6,$D$4,"Fill=true, Per="&amp;filter!$R$1) )</f>
        <v>4159.2</v>
      </c>
      <c r="L40" s="39">
        <f t="array" aca="1" ref="L40" ca="1">IF( $C40="", "", _xll.IMDP("IDX",$C40,L$6,$D$4,"Fill=true, Per="&amp;filter!$R$1) )</f>
        <v>0</v>
      </c>
      <c r="M40" s="50" t="str">
        <f t="array" aca="1" ref="M40" ca="1">IF( $C40="", "", _xll.IMDP("IDX",$C40,M$6,$D$4,"Fill=true, Per="&amp;filter!$R$1) )</f>
        <v/>
      </c>
      <c r="N40" s="51" t="str">
        <f t="array" aca="1" ref="N40" ca="1">IF( $C40="", "", _xll.IMDP("IDX",$C40,N$6,$D$4,"Fill=true, Per="&amp;filter!$R$1) )</f>
        <v/>
      </c>
      <c r="O40" s="52" t="str">
        <f t="array" aca="1" ref="O40" ca="1">IF( $C40="", "", _xll.IMDP("IDX",$C40,O$6,$D$4,"Fill=true, Per="&amp;filter!$R$1) )</f>
        <v/>
      </c>
    </row>
    <row r="41" spans="2:15">
      <c r="B41" s="21">
        <f t="shared" si="0"/>
        <v>33</v>
      </c>
      <c r="C41" s="17" t="str">
        <f>IFERROR( VLOOKUP(ROWS($B$8:B40), filter!$I:$J, 2, 0), "")</f>
        <v>QGZ01P</v>
      </c>
      <c r="D41" s="16" t="str" cm="1">
        <f t="array" ref="D41">IF( $C41="", "", _xll.IMDP("IDX", $C41, D$6) )</f>
        <v>코스닥 대형주</v>
      </c>
      <c r="E41" s="34">
        <f t="array" aca="1" ref="E41" ca="1">IF( $C41="", "", _xll.IMDP("IDX",$C41,E$6,$D$4,"Fill=true, Per="&amp;filter!$R$1) )</f>
        <v>1844.33</v>
      </c>
      <c r="F41" s="38">
        <f t="array" aca="1" ref="F41" ca="1">IF( $C41="", "", _xll.IMDP("IDX",$C41,F$6,$D$4,"Fill=true, Per="&amp;filter!$R$1) )</f>
        <v>-17.090000000000146</v>
      </c>
      <c r="G41" s="39">
        <f t="array" aca="1" ref="G41" ca="1">IF( $C41="", "", _xll.IMDP("IDX",$C41,G$6,$D$4,"Fill=true, Per="&amp;filter!$R$1) )</f>
        <v>-0.92</v>
      </c>
      <c r="H41" s="43">
        <f t="array" aca="1" ref="H41" ca="1">IF( $C41="", "", _xll.IMDP("IDX",$C41,H$6,$D$4,"Fill=true, Per="&amp;filter!$R$1) )</f>
        <v>74735</v>
      </c>
      <c r="I41" s="43">
        <f t="array" aca="1" ref="I41" ca="1">IF( $C41="", "", _xll.IMDP("IDX",$C41,I$6,$D$4,"Fill=true, Per="&amp;filter!$R$1) )</f>
        <v>3805820</v>
      </c>
      <c r="J41" s="34">
        <f t="array" aca="1" ref="J41" ca="1">IF( $C41="", "", _xll.IMDP("IDX",$C41,J$6,$D$4,"Fill=true, Per="&amp;filter!$R$1) )</f>
        <v>1865.33</v>
      </c>
      <c r="K41" s="38">
        <f t="array" aca="1" ref="K41" ca="1">IF( $C41="", "", _xll.IMDP("IDX",$C41,K$6,$D$4,"Fill=true, Per="&amp;filter!$R$1) )</f>
        <v>1885.94</v>
      </c>
      <c r="L41" s="39">
        <f t="array" aca="1" ref="L41" ca="1">IF( $C41="", "", _xll.IMDP("IDX",$C41,L$6,$D$4,"Fill=true, Per="&amp;filter!$R$1) )</f>
        <v>0</v>
      </c>
      <c r="M41" s="50">
        <f t="array" aca="1" ref="M41" ca="1">IF( $C41="", "", _xll.IMDP("IDX",$C41,M$6,$D$4,"Fill=true, Per="&amp;filter!$R$1) )</f>
        <v>138694</v>
      </c>
      <c r="N41" s="51">
        <f t="array" aca="1" ref="N41" ca="1">IF( $C41="", "", _xll.IMDP("IDX",$C41,N$6,$D$4,"Fill=true, Per="&amp;filter!$R$1) )</f>
        <v>-109459</v>
      </c>
      <c r="O41" s="52">
        <f t="array" aca="1" ref="O41" ca="1">IF( $C41="", "", _xll.IMDP("IDX",$C41,O$6,$D$4,"Fill=true, Per="&amp;filter!$R$1) )</f>
        <v>-23569</v>
      </c>
    </row>
    <row r="42" spans="2:15">
      <c r="B42" s="21">
        <f t="shared" si="0"/>
        <v>34</v>
      </c>
      <c r="C42" s="17" t="str">
        <f>IFERROR( VLOOKUP(ROWS($B$8:B41), filter!$I:$J, 2, 0), "")</f>
        <v>K2S06P</v>
      </c>
      <c r="D42" s="16" t="str" cm="1">
        <f t="array" ref="D42">IF( $C42="", "", _xll.IMDP("IDX", $C42, D$6) )</f>
        <v>코스피 200 경기소비재</v>
      </c>
      <c r="E42" s="34">
        <f t="array" aca="1" ref="E42" ca="1">IF( $C42="", "", _xll.IMDP("IDX",$C42,E$6,$D$4,"Fill=true, Per="&amp;filter!$R$1) )</f>
        <v>1569.08</v>
      </c>
      <c r="F42" s="38">
        <f t="array" aca="1" ref="F42" ca="1">IF( $C42="", "", _xll.IMDP("IDX",$C42,F$6,$D$4,"Fill=true, Per="&amp;filter!$R$1) )</f>
        <v>-49.730000000000018</v>
      </c>
      <c r="G42" s="39">
        <f t="array" aca="1" ref="G42" ca="1">IF( $C42="", "", _xll.IMDP("IDX",$C42,G$6,$D$4,"Fill=true, Per="&amp;filter!$R$1) )</f>
        <v>-3.07</v>
      </c>
      <c r="H42" s="43">
        <f t="array" aca="1" ref="H42" ca="1">IF( $C42="", "", _xll.IMDP("IDX",$C42,H$6,$D$4,"Fill=true, Per="&amp;filter!$R$1) )</f>
        <v>17000</v>
      </c>
      <c r="I42" s="43">
        <f t="array" aca="1" ref="I42" ca="1">IF( $C42="", "", _xll.IMDP("IDX",$C42,I$6,$D$4,"Fill=true, Per="&amp;filter!$R$1) )</f>
        <v>1017737</v>
      </c>
      <c r="J42" s="34">
        <f t="array" aca="1" ref="J42" ca="1">IF( $C42="", "", _xll.IMDP("IDX",$C42,J$6,$D$4,"Fill=true, Per="&amp;filter!$R$1) )</f>
        <v>1620.58</v>
      </c>
      <c r="K42" s="38">
        <f t="array" aca="1" ref="K42" ca="1">IF( $C42="", "", _xll.IMDP("IDX",$C42,K$6,$D$4,"Fill=true, Per="&amp;filter!$R$1) )</f>
        <v>1623.45</v>
      </c>
      <c r="L42" s="39">
        <f t="array" aca="1" ref="L42" ca="1">IF( $C42="", "", _xll.IMDP("IDX",$C42,L$6,$D$4,"Fill=true, Per="&amp;filter!$R$1) )</f>
        <v>0</v>
      </c>
      <c r="M42" s="50" t="str">
        <f t="array" aca="1" ref="M42" ca="1">IF( $C42="", "", _xll.IMDP("IDX",$C42,M$6,$D$4,"Fill=true, Per="&amp;filter!$R$1) )</f>
        <v/>
      </c>
      <c r="N42" s="51" t="str">
        <f t="array" aca="1" ref="N42" ca="1">IF( $C42="", "", _xll.IMDP("IDX",$C42,N$6,$D$4,"Fill=true, Per="&amp;filter!$R$1) )</f>
        <v/>
      </c>
      <c r="O42" s="52" t="str">
        <f t="array" aca="1" ref="O42" ca="1">IF( $C42="", "", _xll.IMDP("IDX",$C42,O$6,$D$4,"Fill=true, Per="&amp;filter!$R$1) )</f>
        <v/>
      </c>
    </row>
    <row r="43" spans="2:15">
      <c r="B43" s="21">
        <f t="shared" si="0"/>
        <v>35</v>
      </c>
      <c r="C43" s="17" t="str">
        <f>IFERROR( VLOOKUP(ROWS($B$8:B42), filter!$I:$J, 2, 0), "")</f>
        <v>K2X06P</v>
      </c>
      <c r="D43" s="16" t="str" cm="1">
        <f t="array" ref="D43">IF( $C43="", "", _xll.IMDP("IDX", $C43, D$6) )</f>
        <v>코스피 200 경기소비재 레버리지</v>
      </c>
      <c r="E43" s="34">
        <f t="array" aca="1" ref="E43" ca="1">IF( $C43="", "", _xll.IMDP("IDX",$C43,E$6,$D$4,"Fill=true, Per="&amp;filter!$R$1) )</f>
        <v>776.24</v>
      </c>
      <c r="F43" s="38">
        <f t="array" aca="1" ref="F43" ca="1">IF( $C43="", "", _xll.IMDP("IDX",$C43,F$6,$D$4,"Fill=true, Per="&amp;filter!$R$1) )</f>
        <v>-50.720000000000027</v>
      </c>
      <c r="G43" s="39">
        <f t="array" aca="1" ref="G43" ca="1">IF( $C43="", "", _xll.IMDP("IDX",$C43,G$6,$D$4,"Fill=true, Per="&amp;filter!$R$1) )</f>
        <v>-6.13</v>
      </c>
      <c r="H43" s="43">
        <f t="array" aca="1" ref="H43" ca="1">IF( $C43="", "", _xll.IMDP("IDX",$C43,H$6,$D$4,"Fill=true, Per="&amp;filter!$R$1) )</f>
        <v>0</v>
      </c>
      <c r="I43" s="43">
        <f t="array" aca="1" ref="I43" ca="1">IF( $C43="", "", _xll.IMDP("IDX",$C43,I$6,$D$4,"Fill=true, Per="&amp;filter!$R$1) )</f>
        <v>0</v>
      </c>
      <c r="J43" s="34">
        <f t="array" aca="1" ref="J43" ca="1">IF( $C43="", "", _xll.IMDP("IDX",$C43,J$6,$D$4,"Fill=true, Per="&amp;filter!$R$1) )</f>
        <v>828.53</v>
      </c>
      <c r="K43" s="38">
        <f t="array" aca="1" ref="K43" ca="1">IF( $C43="", "", _xll.IMDP("IDX",$C43,K$6,$D$4,"Fill=true, Per="&amp;filter!$R$1) )</f>
        <v>831.39</v>
      </c>
      <c r="L43" s="39">
        <f t="array" aca="1" ref="L43" ca="1">IF( $C43="", "", _xll.IMDP("IDX",$C43,L$6,$D$4,"Fill=true, Per="&amp;filter!$R$1) )</f>
        <v>0</v>
      </c>
      <c r="M43" s="50" t="str">
        <f t="array" aca="1" ref="M43" ca="1">IF( $C43="", "", _xll.IMDP("IDX",$C43,M$6,$D$4,"Fill=true, Per="&amp;filter!$R$1) )</f>
        <v/>
      </c>
      <c r="N43" s="51" t="str">
        <f t="array" aca="1" ref="N43" ca="1">IF( $C43="", "", _xll.IMDP("IDX",$C43,N$6,$D$4,"Fill=true, Per="&amp;filter!$R$1) )</f>
        <v/>
      </c>
      <c r="O43" s="52" t="str">
        <f t="array" aca="1" ref="O43" ca="1">IF( $C43="", "", _xll.IMDP("IDX",$C43,O$6,$D$4,"Fill=true, Per="&amp;filter!$R$1) )</f>
        <v/>
      </c>
    </row>
    <row r="44" spans="2:15">
      <c r="B44" s="21">
        <f t="shared" si="0"/>
        <v>36</v>
      </c>
      <c r="C44" s="17" t="str">
        <f>IFERROR( VLOOKUP(ROWS($B$8:B43), filter!$I:$J, 2, 0), "")</f>
        <v>KGS22P</v>
      </c>
      <c r="D44" s="16" t="str" cm="1">
        <f t="array" ref="D44">IF( $C44="", "", _xll.IMDP("IDX", $C44, D$6) )</f>
        <v>서비스업</v>
      </c>
      <c r="E44" s="34">
        <f t="array" aca="1" ref="E44" ca="1">IF( $C44="", "", _xll.IMDP("IDX",$C44,E$6,$D$4,"Fill=true, Per="&amp;filter!$R$1) )</f>
        <v>1013.25</v>
      </c>
      <c r="F44" s="38">
        <f t="array" aca="1" ref="F44" ca="1">IF( $C44="", "", _xll.IMDP("IDX",$C44,F$6,$D$4,"Fill=true, Per="&amp;filter!$R$1) )</f>
        <v>-7.2400000000000091</v>
      </c>
      <c r="G44" s="39">
        <f t="array" aca="1" ref="G44" ca="1">IF( $C44="", "", _xll.IMDP("IDX",$C44,G$6,$D$4,"Fill=true, Per="&amp;filter!$R$1) )</f>
        <v>-0.71</v>
      </c>
      <c r="H44" s="43">
        <f t="array" aca="1" ref="H44" ca="1">IF( $C44="", "", _xll.IMDP("IDX",$C44,H$6,$D$4,"Fill=true, Per="&amp;filter!$R$1) )</f>
        <v>89168</v>
      </c>
      <c r="I44" s="43">
        <f t="array" aca="1" ref="I44" ca="1">IF( $C44="", "", _xll.IMDP("IDX",$C44,I$6,$D$4,"Fill=true, Per="&amp;filter!$R$1) )</f>
        <v>1189474</v>
      </c>
      <c r="J44" s="34">
        <f t="array" aca="1" ref="J44" ca="1">IF( $C44="", "", _xll.IMDP("IDX",$C44,J$6,$D$4,"Fill=true, Per="&amp;filter!$R$1) )</f>
        <v>1020.41</v>
      </c>
      <c r="K44" s="38">
        <f t="array" aca="1" ref="K44" ca="1">IF( $C44="", "", _xll.IMDP("IDX",$C44,K$6,$D$4,"Fill=true, Per="&amp;filter!$R$1) )</f>
        <v>1024.1300000000001</v>
      </c>
      <c r="L44" s="39">
        <f t="array" aca="1" ref="L44" ca="1">IF( $C44="", "", _xll.IMDP("IDX",$C44,L$6,$D$4,"Fill=true, Per="&amp;filter!$R$1) )</f>
        <v>0</v>
      </c>
      <c r="M44" s="50">
        <f t="array" aca="1" ref="M44" ca="1">IF( $C44="", "", _xll.IMDP("IDX",$C44,M$6,$D$4,"Fill=true, Per="&amp;filter!$R$1) )</f>
        <v>37462</v>
      </c>
      <c r="N44" s="51">
        <f t="array" aca="1" ref="N44" ca="1">IF( $C44="", "", _xll.IMDP("IDX",$C44,N$6,$D$4,"Fill=true, Per="&amp;filter!$R$1) )</f>
        <v>-49275</v>
      </c>
      <c r="O44" s="52">
        <f t="array" aca="1" ref="O44" ca="1">IF( $C44="", "", _xll.IMDP("IDX",$C44,O$6,$D$4,"Fill=true, Per="&amp;filter!$R$1) )</f>
        <v>7164</v>
      </c>
    </row>
    <row r="45" spans="2:15">
      <c r="B45" s="21">
        <f t="shared" si="0"/>
        <v>37</v>
      </c>
      <c r="C45" s="17" t="str">
        <f>IFERROR( VLOOKUP(ROWS($B$8:B44), filter!$I:$J, 2, 0), "")</f>
        <v>XGT03P</v>
      </c>
      <c r="D45" s="16" t="str" cm="1">
        <f t="array" ref="D45">IF( $C45="", "", _xll.IMDP("IDX", $C45, D$6) )</f>
        <v>KRX 바이오 TOP 10 지수</v>
      </c>
      <c r="E45" s="34">
        <f t="array" aca="1" ref="E45" ca="1">IF( $C45="", "", _xll.IMDP("IDX",$C45,E$6,$D$4,"Fill=true, Per="&amp;filter!$R$1) )</f>
        <v>2372.5300000000002</v>
      </c>
      <c r="F45" s="38">
        <f t="array" aca="1" ref="F45" ca="1">IF( $C45="", "", _xll.IMDP("IDX",$C45,F$6,$D$4,"Fill=true, Per="&amp;filter!$R$1) )</f>
        <v>-50.4399999999996</v>
      </c>
      <c r="G45" s="39">
        <f t="array" aca="1" ref="G45" ca="1">IF( $C45="", "", _xll.IMDP("IDX",$C45,G$6,$D$4,"Fill=true, Per="&amp;filter!$R$1) )</f>
        <v>-2.08</v>
      </c>
      <c r="H45" s="43">
        <f t="array" aca="1" ref="H45" ca="1">IF( $C45="", "", _xll.IMDP("IDX",$C45,H$6,$D$4,"Fill=true, Per="&amp;filter!$R$1) )</f>
        <v>16555</v>
      </c>
      <c r="I45" s="43">
        <f t="array" aca="1" ref="I45" ca="1">IF( $C45="", "", _xll.IMDP("IDX",$C45,I$6,$D$4,"Fill=true, Per="&amp;filter!$R$1) )</f>
        <v>2612302</v>
      </c>
      <c r="J45" s="34">
        <f t="array" aca="1" ref="J45" ca="1">IF( $C45="", "", _xll.IMDP("IDX",$C45,J$6,$D$4,"Fill=true, Per="&amp;filter!$R$1) )</f>
        <v>2441</v>
      </c>
      <c r="K45" s="38">
        <f t="array" aca="1" ref="K45" ca="1">IF( $C45="", "", _xll.IMDP("IDX",$C45,K$6,$D$4,"Fill=true, Per="&amp;filter!$R$1) )</f>
        <v>2442.62</v>
      </c>
      <c r="L45" s="39">
        <f t="array" aca="1" ref="L45" ca="1">IF( $C45="", "", _xll.IMDP("IDX",$C45,L$6,$D$4,"Fill=true, Per="&amp;filter!$R$1) )</f>
        <v>0</v>
      </c>
      <c r="M45" s="50" t="str">
        <f t="array" aca="1" ref="M45" ca="1">IF( $C45="", "", _xll.IMDP("IDX",$C45,M$6,$D$4,"Fill=true, Per="&amp;filter!$R$1) )</f>
        <v/>
      </c>
      <c r="N45" s="51" t="str">
        <f t="array" aca="1" ref="N45" ca="1">IF( $C45="", "", _xll.IMDP("IDX",$C45,N$6,$D$4,"Fill=true, Per="&amp;filter!$R$1) )</f>
        <v/>
      </c>
      <c r="O45" s="52" t="str">
        <f t="array" aca="1" ref="O45" ca="1">IF( $C45="", "", _xll.IMDP("IDX",$C45,O$6,$D$4,"Fill=true, Per="&amp;filter!$R$1) )</f>
        <v/>
      </c>
    </row>
    <row r="46" spans="2:15">
      <c r="B46" s="21">
        <f t="shared" si="0"/>
        <v>38</v>
      </c>
      <c r="C46" s="17" t="str">
        <f>IFERROR( VLOOKUP(ROWS($B$8:B45), filter!$I:$J, 2, 0), "")</f>
        <v>KGS04P</v>
      </c>
      <c r="D46" s="16" t="str" cm="1">
        <f t="array" ref="D46">IF( $C46="", "", _xll.IMDP("IDX", $C46, D$6) )</f>
        <v>화학</v>
      </c>
      <c r="E46" s="34">
        <f t="array" aca="1" ref="E46" ca="1">IF( $C46="", "", _xll.IMDP("IDX",$C46,E$6,$D$4,"Fill=true, Per="&amp;filter!$R$1) )</f>
        <v>3945.05</v>
      </c>
      <c r="F46" s="38">
        <f t="array" aca="1" ref="F46" ca="1">IF( $C46="", "", _xll.IMDP("IDX",$C46,F$6,$D$4,"Fill=true, Per="&amp;filter!$R$1) )</f>
        <v>62.690000000000055</v>
      </c>
      <c r="G46" s="39">
        <f t="array" aca="1" ref="G46" ca="1">IF( $C46="", "", _xll.IMDP("IDX",$C46,G$6,$D$4,"Fill=true, Per="&amp;filter!$R$1) )</f>
        <v>1.61</v>
      </c>
      <c r="H46" s="43">
        <f t="array" aca="1" ref="H46" ca="1">IF( $C46="", "", _xll.IMDP("IDX",$C46,H$6,$D$4,"Fill=true, Per="&amp;filter!$R$1) )</f>
        <v>41184</v>
      </c>
      <c r="I46" s="43">
        <f t="array" aca="1" ref="I46" ca="1">IF( $C46="", "", _xll.IMDP("IDX",$C46,I$6,$D$4,"Fill=true, Per="&amp;filter!$R$1) )</f>
        <v>1871616</v>
      </c>
      <c r="J46" s="34">
        <f t="array" aca="1" ref="J46" ca="1">IF( $C46="", "", _xll.IMDP("IDX",$C46,J$6,$D$4,"Fill=true, Per="&amp;filter!$R$1) )</f>
        <v>3916.36</v>
      </c>
      <c r="K46" s="38">
        <f t="array" aca="1" ref="K46" ca="1">IF( $C46="", "", _xll.IMDP("IDX",$C46,K$6,$D$4,"Fill=true, Per="&amp;filter!$R$1) )</f>
        <v>3980.95</v>
      </c>
      <c r="L46" s="39">
        <f t="array" aca="1" ref="L46" ca="1">IF( $C46="", "", _xll.IMDP("IDX",$C46,L$6,$D$4,"Fill=true, Per="&amp;filter!$R$1) )</f>
        <v>0</v>
      </c>
      <c r="M46" s="50">
        <f t="array" aca="1" ref="M46" ca="1">IF( $C46="", "", _xll.IMDP("IDX",$C46,M$6,$D$4,"Fill=true, Per="&amp;filter!$R$1) )</f>
        <v>-70889</v>
      </c>
      <c r="N46" s="51">
        <f t="array" aca="1" ref="N46" ca="1">IF( $C46="", "", _xll.IMDP("IDX",$C46,N$6,$D$4,"Fill=true, Per="&amp;filter!$R$1) )</f>
        <v>20717</v>
      </c>
      <c r="O46" s="52">
        <f t="array" aca="1" ref="O46" ca="1">IF( $C46="", "", _xll.IMDP("IDX",$C46,O$6,$D$4,"Fill=true, Per="&amp;filter!$R$1) )</f>
        <v>50052</v>
      </c>
    </row>
    <row r="47" spans="2:15">
      <c r="B47" s="21">
        <f t="shared" si="0"/>
        <v>39</v>
      </c>
      <c r="C47" s="17" t="str">
        <f>IFERROR( VLOOKUP(ROWS($B$8:B46), filter!$I:$J, 2, 0), "")</f>
        <v>K2S01P</v>
      </c>
      <c r="D47" s="16" t="str" cm="1">
        <f t="array" ref="D47">IF( $C47="", "", _xll.IMDP("IDX", $C47, D$6) )</f>
        <v>코스피 200 헬스케어</v>
      </c>
      <c r="E47" s="34">
        <f t="array" aca="1" ref="E47" ca="1">IF( $C47="", "", _xll.IMDP("IDX",$C47,E$6,$D$4,"Fill=true, Per="&amp;filter!$R$1) )</f>
        <v>2262.69</v>
      </c>
      <c r="F47" s="38">
        <f t="array" aca="1" ref="F47" ca="1">IF( $C47="", "", _xll.IMDP("IDX",$C47,F$6,$D$4,"Fill=true, Per="&amp;filter!$R$1) )</f>
        <v>-34.960000000000036</v>
      </c>
      <c r="G47" s="39">
        <f t="array" aca="1" ref="G47" ca="1">IF( $C47="", "", _xll.IMDP("IDX",$C47,G$6,$D$4,"Fill=true, Per="&amp;filter!$R$1) )</f>
        <v>-1.52</v>
      </c>
      <c r="H47" s="43">
        <f t="array" aca="1" ref="H47" ca="1">IF( $C47="", "", _xll.IMDP("IDX",$C47,H$6,$D$4,"Fill=true, Per="&amp;filter!$R$1) )</f>
        <v>15873</v>
      </c>
      <c r="I47" s="43">
        <f t="array" aca="1" ref="I47" ca="1">IF( $C47="", "", _xll.IMDP("IDX",$C47,I$6,$D$4,"Fill=true, Per="&amp;filter!$R$1) )</f>
        <v>2093453</v>
      </c>
      <c r="J47" s="34">
        <f t="array" aca="1" ref="J47" ca="1">IF( $C47="", "", _xll.IMDP("IDX",$C47,J$6,$D$4,"Fill=true, Per="&amp;filter!$R$1) )</f>
        <v>2317.3200000000002</v>
      </c>
      <c r="K47" s="38">
        <f t="array" aca="1" ref="K47" ca="1">IF( $C47="", "", _xll.IMDP("IDX",$C47,K$6,$D$4,"Fill=true, Per="&amp;filter!$R$1) )</f>
        <v>2317.3200000000002</v>
      </c>
      <c r="L47" s="39">
        <f t="array" aca="1" ref="L47" ca="1">IF( $C47="", "", _xll.IMDP("IDX",$C47,L$6,$D$4,"Fill=true, Per="&amp;filter!$R$1) )</f>
        <v>0</v>
      </c>
      <c r="M47" s="50" t="str">
        <f t="array" aca="1" ref="M47" ca="1">IF( $C47="", "", _xll.IMDP("IDX",$C47,M$6,$D$4,"Fill=true, Per="&amp;filter!$R$1) )</f>
        <v/>
      </c>
      <c r="N47" s="51" t="str">
        <f t="array" aca="1" ref="N47" ca="1">IF( $C47="", "", _xll.IMDP("IDX",$C47,N$6,$D$4,"Fill=true, Per="&amp;filter!$R$1) )</f>
        <v/>
      </c>
      <c r="O47" s="52" t="str">
        <f t="array" aca="1" ref="O47" ca="1">IF( $C47="", "", _xll.IMDP("IDX",$C47,O$6,$D$4,"Fill=true, Per="&amp;filter!$R$1) )</f>
        <v/>
      </c>
    </row>
    <row r="48" spans="2:15">
      <c r="B48" s="21">
        <f t="shared" si="0"/>
        <v>40</v>
      </c>
      <c r="C48" s="17" t="str">
        <f>IFERROR( VLOOKUP(ROWS($B$8:B47), filter!$I:$J, 2, 0), "")</f>
        <v>K2X09P</v>
      </c>
      <c r="D48" s="16" t="str" cm="1">
        <f t="array" ref="D48">IF( $C48="", "", _xll.IMDP("IDX", $C48, D$6) )</f>
        <v>코스피 200 헬스케어 레버리지지</v>
      </c>
      <c r="E48" s="34">
        <f t="array" aca="1" ref="E48" ca="1">IF( $C48="", "", _xll.IMDP("IDX",$C48,E$6,$D$4,"Fill=true, Per="&amp;filter!$R$1) )</f>
        <v>941.76</v>
      </c>
      <c r="F48" s="38">
        <f t="array" aca="1" ref="F48" ca="1">IF( $C48="", "", _xll.IMDP("IDX",$C48,F$6,$D$4,"Fill=true, Per="&amp;filter!$R$1) )</f>
        <v>-30.090000000000032</v>
      </c>
      <c r="G48" s="39">
        <f t="array" aca="1" ref="G48" ca="1">IF( $C48="", "", _xll.IMDP("IDX",$C48,G$6,$D$4,"Fill=true, Per="&amp;filter!$R$1) )</f>
        <v>-3.1</v>
      </c>
      <c r="H48" s="43">
        <f t="array" aca="1" ref="H48" ca="1">IF( $C48="", "", _xll.IMDP("IDX",$C48,H$6,$D$4,"Fill=true, Per="&amp;filter!$R$1) )</f>
        <v>0</v>
      </c>
      <c r="I48" s="43">
        <f t="array" aca="1" ref="I48" ca="1">IF( $C48="", "", _xll.IMDP("IDX",$C48,I$6,$D$4,"Fill=true, Per="&amp;filter!$R$1) )</f>
        <v>0</v>
      </c>
      <c r="J48" s="34">
        <f t="array" aca="1" ref="J48" ca="1">IF( $C48="", "", _xll.IMDP("IDX",$C48,J$6,$D$4,"Fill=true, Per="&amp;filter!$R$1) )</f>
        <v>988.21</v>
      </c>
      <c r="K48" s="38">
        <f t="array" aca="1" ref="K48" ca="1">IF( $C48="", "", _xll.IMDP("IDX",$C48,K$6,$D$4,"Fill=true, Per="&amp;filter!$R$1) )</f>
        <v>988.21</v>
      </c>
      <c r="L48" s="39">
        <f t="array" aca="1" ref="L48" ca="1">IF( $C48="", "", _xll.IMDP("IDX",$C48,L$6,$D$4,"Fill=true, Per="&amp;filter!$R$1) )</f>
        <v>0</v>
      </c>
      <c r="M48" s="50" t="str">
        <f t="array" aca="1" ref="M48" ca="1">IF( $C48="", "", _xll.IMDP("IDX",$C48,M$6,$D$4,"Fill=true, Per="&amp;filter!$R$1) )</f>
        <v/>
      </c>
      <c r="N48" s="51" t="str">
        <f t="array" aca="1" ref="N48" ca="1">IF( $C48="", "", _xll.IMDP("IDX",$C48,N$6,$D$4,"Fill=true, Per="&amp;filter!$R$1) )</f>
        <v/>
      </c>
      <c r="O48" s="52" t="str">
        <f t="array" aca="1" ref="O48" ca="1">IF( $C48="", "", _xll.IMDP("IDX",$C48,O$6,$D$4,"Fill=true, Per="&amp;filter!$R$1) )</f>
        <v/>
      </c>
    </row>
    <row r="49" spans="2:15">
      <c r="B49" s="21">
        <f t="shared" si="0"/>
        <v>41</v>
      </c>
      <c r="C49" s="17" t="str">
        <f>IFERROR( VLOOKUP(ROWS($B$8:B48), filter!$I:$J, 2, 0), "")</f>
        <v>KGS05P</v>
      </c>
      <c r="D49" s="16" t="str" cm="1">
        <f t="array" ref="D49">IF( $C49="", "", _xll.IMDP("IDX", $C49, D$6) )</f>
        <v>의약품</v>
      </c>
      <c r="E49" s="34">
        <f t="array" aca="1" ref="E49" ca="1">IF( $C49="", "", _xll.IMDP("IDX",$C49,E$6,$D$4,"Fill=true, Per="&amp;filter!$R$1) )</f>
        <v>15973.18</v>
      </c>
      <c r="F49" s="38">
        <f t="array" aca="1" ref="F49" ca="1">IF( $C49="", "", _xll.IMDP("IDX",$C49,F$6,$D$4,"Fill=true, Per="&amp;filter!$R$1) )</f>
        <v>-333.35000000000036</v>
      </c>
      <c r="G49" s="39">
        <f t="array" aca="1" ref="G49" ca="1">IF( $C49="", "", _xll.IMDP("IDX",$C49,G$6,$D$4,"Fill=true, Per="&amp;filter!$R$1) )</f>
        <v>-2.04</v>
      </c>
      <c r="H49" s="43">
        <f t="array" aca="1" ref="H49" ca="1">IF( $C49="", "", _xll.IMDP("IDX",$C49,H$6,$D$4,"Fill=true, Per="&amp;filter!$R$1) )</f>
        <v>29612</v>
      </c>
      <c r="I49" s="43">
        <f t="array" aca="1" ref="I49" ca="1">IF( $C49="", "", _xll.IMDP("IDX",$C49,I$6,$D$4,"Fill=true, Per="&amp;filter!$R$1) )</f>
        <v>2181153</v>
      </c>
      <c r="J49" s="34">
        <f t="array" aca="1" ref="J49" ca="1">IF( $C49="", "", _xll.IMDP("IDX",$C49,J$6,$D$4,"Fill=true, Per="&amp;filter!$R$1) )</f>
        <v>16416.87</v>
      </c>
      <c r="K49" s="38">
        <f t="array" aca="1" ref="K49" ca="1">IF( $C49="", "", _xll.IMDP("IDX",$C49,K$6,$D$4,"Fill=true, Per="&amp;filter!$R$1) )</f>
        <v>16416.87</v>
      </c>
      <c r="L49" s="39">
        <f t="array" aca="1" ref="L49" ca="1">IF( $C49="", "", _xll.IMDP("IDX",$C49,L$6,$D$4,"Fill=true, Per="&amp;filter!$R$1) )</f>
        <v>0</v>
      </c>
      <c r="M49" s="50">
        <f t="array" aca="1" ref="M49" ca="1">IF( $C49="", "", _xll.IMDP("IDX",$C49,M$6,$D$4,"Fill=true, Per="&amp;filter!$R$1) )</f>
        <v>160764</v>
      </c>
      <c r="N49" s="51">
        <f t="array" aca="1" ref="N49" ca="1">IF( $C49="", "", _xll.IMDP("IDX",$C49,N$6,$D$4,"Fill=true, Per="&amp;filter!$R$1) )</f>
        <v>-67510</v>
      </c>
      <c r="O49" s="52">
        <f t="array" aca="1" ref="O49" ca="1">IF( $C49="", "", _xll.IMDP("IDX",$C49,O$6,$D$4,"Fill=true, Per="&amp;filter!$R$1) )</f>
        <v>-92497</v>
      </c>
    </row>
    <row r="50" spans="2:15">
      <c r="B50" s="21">
        <f t="shared" si="0"/>
        <v>42</v>
      </c>
      <c r="C50" s="17" t="str">
        <f>IFERROR( VLOOKUP(ROWS($B$8:B49), filter!$I:$J, 2, 0), "")</f>
        <v>K2X02P</v>
      </c>
      <c r="D50" s="16" t="str" cm="1">
        <f t="array" ref="D50">IF( $C50="", "", _xll.IMDP("IDX", $C50, D$6) )</f>
        <v>코스피 200 에너지화학 레버리지</v>
      </c>
      <c r="E50" s="34">
        <f t="array" aca="1" ref="E50" ca="1">IF( $C50="", "", _xll.IMDP("IDX",$C50,E$6,$D$4,"Fill=true, Per="&amp;filter!$R$1) )</f>
        <v>509.25</v>
      </c>
      <c r="F50" s="38">
        <f t="array" aca="1" ref="F50" ca="1">IF( $C50="", "", _xll.IMDP("IDX",$C50,F$6,$D$4,"Fill=true, Per="&amp;filter!$R$1) )</f>
        <v>10.860000000000014</v>
      </c>
      <c r="G50" s="39">
        <f t="array" aca="1" ref="G50" ca="1">IF( $C50="", "", _xll.IMDP("IDX",$C50,G$6,$D$4,"Fill=true, Per="&amp;filter!$R$1) )</f>
        <v>2.1800000000000002</v>
      </c>
      <c r="H50" s="43">
        <f t="array" aca="1" ref="H50" ca="1">IF( $C50="", "", _xll.IMDP("IDX",$C50,H$6,$D$4,"Fill=true, Per="&amp;filter!$R$1) )</f>
        <v>0</v>
      </c>
      <c r="I50" s="43">
        <f t="array" aca="1" ref="I50" ca="1">IF( $C50="", "", _xll.IMDP("IDX",$C50,I$6,$D$4,"Fill=true, Per="&amp;filter!$R$1) )</f>
        <v>0</v>
      </c>
      <c r="J50" s="34">
        <f t="array" aca="1" ref="J50" ca="1">IF( $C50="", "", _xll.IMDP("IDX",$C50,J$6,$D$4,"Fill=true, Per="&amp;filter!$R$1) )</f>
        <v>503.61</v>
      </c>
      <c r="K50" s="38">
        <f t="array" aca="1" ref="K50" ca="1">IF( $C50="", "", _xll.IMDP("IDX",$C50,K$6,$D$4,"Fill=true, Per="&amp;filter!$R$1) )</f>
        <v>516.32000000000005</v>
      </c>
      <c r="L50" s="39">
        <f t="array" aca="1" ref="L50" ca="1">IF( $C50="", "", _xll.IMDP("IDX",$C50,L$6,$D$4,"Fill=true, Per="&amp;filter!$R$1) )</f>
        <v>0</v>
      </c>
      <c r="M50" s="50" t="str">
        <f t="array" aca="1" ref="M50" ca="1">IF( $C50="", "", _xll.IMDP("IDX",$C50,M$6,$D$4,"Fill=true, Per="&amp;filter!$R$1) )</f>
        <v/>
      </c>
      <c r="N50" s="51" t="str">
        <f t="array" aca="1" ref="N50" ca="1">IF( $C50="", "", _xll.IMDP("IDX",$C50,N$6,$D$4,"Fill=true, Per="&amp;filter!$R$1) )</f>
        <v/>
      </c>
      <c r="O50" s="52" t="str">
        <f t="array" aca="1" ref="O50" ca="1">IF( $C50="", "", _xll.IMDP("IDX",$C50,O$6,$D$4,"Fill=true, Per="&amp;filter!$R$1) )</f>
        <v/>
      </c>
    </row>
    <row r="51" spans="2:15">
      <c r="B51" s="21">
        <f t="shared" si="0"/>
        <v>43</v>
      </c>
      <c r="C51" s="17" t="str">
        <f>IFERROR( VLOOKUP(ROWS($B$8:B50), filter!$I:$J, 2, 0), "")</f>
        <v>K2S05P</v>
      </c>
      <c r="D51" s="16" t="str" cm="1">
        <f t="array" ref="D51">IF( $C51="", "", _xll.IMDP("IDX", $C51, D$6) )</f>
        <v>코스피 200 에너지/화학</v>
      </c>
      <c r="E51" s="34">
        <f t="array" aca="1" ref="E51" ca="1">IF( $C51="", "", _xll.IMDP("IDX",$C51,E$6,$D$4,"Fill=true, Per="&amp;filter!$R$1) )</f>
        <v>1113.3399999999999</v>
      </c>
      <c r="F51" s="38">
        <f t="array" aca="1" ref="F51" ca="1">IF( $C51="", "", _xll.IMDP("IDX",$C51,F$6,$D$4,"Fill=true, Per="&amp;filter!$R$1) )</f>
        <v>12.179999999999836</v>
      </c>
      <c r="G51" s="39">
        <f t="array" aca="1" ref="G51" ca="1">IF( $C51="", "", _xll.IMDP("IDX",$C51,G$6,$D$4,"Fill=true, Per="&amp;filter!$R$1) )</f>
        <v>1.1100000000000001</v>
      </c>
      <c r="H51" s="43">
        <f t="array" aca="1" ref="H51" ca="1">IF( $C51="", "", _xll.IMDP("IDX",$C51,H$6,$D$4,"Fill=true, Per="&amp;filter!$R$1) )</f>
        <v>13314</v>
      </c>
      <c r="I51" s="43">
        <f t="array" aca="1" ref="I51" ca="1">IF( $C51="", "", _xll.IMDP("IDX",$C51,I$6,$D$4,"Fill=true, Per="&amp;filter!$R$1) )</f>
        <v>1004264</v>
      </c>
      <c r="J51" s="34">
        <f t="array" aca="1" ref="J51" ca="1">IF( $C51="", "", _xll.IMDP("IDX",$C51,J$6,$D$4,"Fill=true, Per="&amp;filter!$R$1) )</f>
        <v>1107.0899999999999</v>
      </c>
      <c r="K51" s="38">
        <f t="array" aca="1" ref="K51" ca="1">IF( $C51="", "", _xll.IMDP("IDX",$C51,K$6,$D$4,"Fill=true, Per="&amp;filter!$R$1) )</f>
        <v>1121.0899999999999</v>
      </c>
      <c r="L51" s="39">
        <f t="array" aca="1" ref="L51" ca="1">IF( $C51="", "", _xll.IMDP("IDX",$C51,L$6,$D$4,"Fill=true, Per="&amp;filter!$R$1) )</f>
        <v>0</v>
      </c>
      <c r="M51" s="50" t="str">
        <f t="array" aca="1" ref="M51" ca="1">IF( $C51="", "", _xll.IMDP("IDX",$C51,M$6,$D$4,"Fill=true, Per="&amp;filter!$R$1) )</f>
        <v/>
      </c>
      <c r="N51" s="51" t="str">
        <f t="array" aca="1" ref="N51" ca="1">IF( $C51="", "", _xll.IMDP("IDX",$C51,N$6,$D$4,"Fill=true, Per="&amp;filter!$R$1) )</f>
        <v/>
      </c>
      <c r="O51" s="52" t="str">
        <f t="array" aca="1" ref="O51" ca="1">IF( $C51="", "", _xll.IMDP("IDX",$C51,O$6,$D$4,"Fill=true, Per="&amp;filter!$R$1) )</f>
        <v/>
      </c>
    </row>
    <row r="52" spans="2:15">
      <c r="B52" s="21">
        <f t="shared" si="0"/>
        <v>44</v>
      </c>
      <c r="C52" s="17" t="str">
        <f>IFERROR( VLOOKUP(ROWS($B$8:B51), filter!$I:$J, 2, 0), "")</f>
        <v>QGZ03P</v>
      </c>
      <c r="D52" s="16" t="str" cm="1">
        <f t="array" ref="D52">IF( $C52="", "", _xll.IMDP("IDX", $C52, D$6) )</f>
        <v>코스닥 소형주</v>
      </c>
      <c r="E52" s="34">
        <f t="array" aca="1" ref="E52" ca="1">IF( $C52="", "", _xll.IMDP("IDX",$C52,E$6,$D$4,"Fill=true, Per="&amp;filter!$R$1) )</f>
        <v>2446.2600000000002</v>
      </c>
      <c r="F52" s="38">
        <f t="array" aca="1" ref="F52" ca="1">IF( $C52="", "", _xll.IMDP("IDX",$C52,F$6,$D$4,"Fill=true, Per="&amp;filter!$R$1) )</f>
        <v>-16.849999999999909</v>
      </c>
      <c r="G52" s="39">
        <f t="array" aca="1" ref="G52" ca="1">IF( $C52="", "", _xll.IMDP("IDX",$C52,G$6,$D$4,"Fill=true, Per="&amp;filter!$R$1) )</f>
        <v>-0.68</v>
      </c>
      <c r="H52" s="43">
        <f t="array" aca="1" ref="H52" ca="1">IF( $C52="", "", _xll.IMDP("IDX",$C52,H$6,$D$4,"Fill=true, Per="&amp;filter!$R$1) )</f>
        <v>942205</v>
      </c>
      <c r="I52" s="43">
        <f t="array" aca="1" ref="I52" ca="1">IF( $C52="", "", _xll.IMDP("IDX",$C52,I$6,$D$4,"Fill=true, Per="&amp;filter!$R$1) )</f>
        <v>3232956</v>
      </c>
      <c r="J52" s="34">
        <f t="array" aca="1" ref="J52" ca="1">IF( $C52="", "", _xll.IMDP("IDX",$C52,J$6,$D$4,"Fill=true, Per="&amp;filter!$R$1) )</f>
        <v>2468.9299999999998</v>
      </c>
      <c r="K52" s="38">
        <f t="array" aca="1" ref="K52" ca="1">IF( $C52="", "", _xll.IMDP("IDX",$C52,K$6,$D$4,"Fill=true, Per="&amp;filter!$R$1) )</f>
        <v>2468.9299999999998</v>
      </c>
      <c r="L52" s="39">
        <f t="array" aca="1" ref="L52" ca="1">IF( $C52="", "", _xll.IMDP("IDX",$C52,L$6,$D$4,"Fill=true, Per="&amp;filter!$R$1) )</f>
        <v>0</v>
      </c>
      <c r="M52" s="50">
        <f t="array" aca="1" ref="M52" ca="1">IF( $C52="", "", _xll.IMDP("IDX",$C52,M$6,$D$4,"Fill=true, Per="&amp;filter!$R$1) )</f>
        <v>41259</v>
      </c>
      <c r="N52" s="51">
        <f t="array" aca="1" ref="N52" ca="1">IF( $C52="", "", _xll.IMDP("IDX",$C52,N$6,$D$4,"Fill=true, Per="&amp;filter!$R$1) )</f>
        <v>-1561</v>
      </c>
      <c r="O52" s="52">
        <f t="array" aca="1" ref="O52" ca="1">IF( $C52="", "", _xll.IMDP("IDX",$C52,O$6,$D$4,"Fill=true, Per="&amp;filter!$R$1) )</f>
        <v>-37744</v>
      </c>
    </row>
    <row r="53" spans="2:15">
      <c r="B53" s="21">
        <f t="shared" si="0"/>
        <v>45</v>
      </c>
      <c r="C53" s="17" t="str">
        <f>IFERROR( VLOOKUP(ROWS($B$8:B52), filter!$I:$J, 2, 0), "")</f>
        <v>QGZ02P</v>
      </c>
      <c r="D53" s="16" t="str" cm="1">
        <f t="array" ref="D53">IF( $C53="", "", _xll.IMDP("IDX", $C53, D$6) )</f>
        <v>코스닥 중형주</v>
      </c>
      <c r="E53" s="34">
        <f t="array" aca="1" ref="E53" ca="1">IF( $C53="", "", _xll.IMDP("IDX",$C53,E$6,$D$4,"Fill=true, Per="&amp;filter!$R$1) )</f>
        <v>638.48</v>
      </c>
      <c r="F53" s="38">
        <f t="array" aca="1" ref="F53" ca="1">IF( $C53="", "", _xll.IMDP("IDX",$C53,F$6,$D$4,"Fill=true, Per="&amp;filter!$R$1) )</f>
        <v>-10.019999999999982</v>
      </c>
      <c r="G53" s="39">
        <f t="array" aca="1" ref="G53" ca="1">IF( $C53="", "", _xll.IMDP("IDX",$C53,G$6,$D$4,"Fill=true, Per="&amp;filter!$R$1) )</f>
        <v>-1.55</v>
      </c>
      <c r="H53" s="43">
        <f t="array" aca="1" ref="H53" ca="1">IF( $C53="", "", _xll.IMDP("IDX",$C53,H$6,$D$4,"Fill=true, Per="&amp;filter!$R$1) )</f>
        <v>202062</v>
      </c>
      <c r="I53" s="43">
        <f t="array" aca="1" ref="I53" ca="1">IF( $C53="", "", _xll.IMDP("IDX",$C53,I$6,$D$4,"Fill=true, Per="&amp;filter!$R$1) )</f>
        <v>2340521</v>
      </c>
      <c r="J53" s="34">
        <f t="array" aca="1" ref="J53" ca="1">IF( $C53="", "", _xll.IMDP("IDX",$C53,J$6,$D$4,"Fill=true, Per="&amp;filter!$R$1) )</f>
        <v>651.01</v>
      </c>
      <c r="K53" s="38">
        <f t="array" aca="1" ref="K53" ca="1">IF( $C53="", "", _xll.IMDP("IDX",$C53,K$6,$D$4,"Fill=true, Per="&amp;filter!$R$1) )</f>
        <v>651.01</v>
      </c>
      <c r="L53" s="39">
        <f t="array" aca="1" ref="L53" ca="1">IF( $C53="", "", _xll.IMDP("IDX",$C53,L$6,$D$4,"Fill=true, Per="&amp;filter!$R$1) )</f>
        <v>0</v>
      </c>
      <c r="M53" s="50">
        <f t="array" aca="1" ref="M53" ca="1">IF( $C53="", "", _xll.IMDP("IDX",$C53,M$6,$D$4,"Fill=true, Per="&amp;filter!$R$1) )</f>
        <v>56750</v>
      </c>
      <c r="N53" s="51">
        <f t="array" aca="1" ref="N53" ca="1">IF( $C53="", "", _xll.IMDP("IDX",$C53,N$6,$D$4,"Fill=true, Per="&amp;filter!$R$1) )</f>
        <v>-19543</v>
      </c>
      <c r="O53" s="52">
        <f t="array" aca="1" ref="O53" ca="1">IF( $C53="", "", _xll.IMDP("IDX",$C53,O$6,$D$4,"Fill=true, Per="&amp;filter!$R$1) )</f>
        <v>-40244</v>
      </c>
    </row>
    <row r="54" spans="2:15">
      <c r="B54" s="21">
        <f t="shared" si="0"/>
        <v>46</v>
      </c>
      <c r="C54" s="17" t="str">
        <f>IFERROR( VLOOKUP(ROWS($B$8:B53), filter!$I:$J, 2, 0), "")</f>
        <v>K2S11P</v>
      </c>
      <c r="D54" s="16" t="str" cm="1">
        <f t="array" ref="D54">IF( $C54="", "", _xll.IMDP("IDX", $C54, D$6) )</f>
        <v>KOSPI 200 커뮤니케이션서비스</v>
      </c>
      <c r="E54" s="34">
        <f t="array" aca="1" ref="E54" ca="1">IF( $C54="", "", _xll.IMDP("IDX",$C54,E$6,$D$4,"Fill=true, Per="&amp;filter!$R$1) )</f>
        <v>1675.53</v>
      </c>
      <c r="F54" s="38">
        <f t="array" aca="1" ref="F54" ca="1">IF( $C54="", "", _xll.IMDP("IDX",$C54,F$6,$D$4,"Fill=true, Per="&amp;filter!$R$1) )</f>
        <v>-9.5199999999999818</v>
      </c>
      <c r="G54" s="39">
        <f t="array" aca="1" ref="G54" ca="1">IF( $C54="", "", _xll.IMDP("IDX",$C54,G$6,$D$4,"Fill=true, Per="&amp;filter!$R$1) )</f>
        <v>-0.56000000000000005</v>
      </c>
      <c r="H54" s="43">
        <f t="array" aca="1" ref="H54" ca="1">IF( $C54="", "", _xll.IMDP("IDX",$C54,H$6,$D$4,"Fill=true, Per="&amp;filter!$R$1) )</f>
        <v>8504</v>
      </c>
      <c r="I54" s="43">
        <f t="array" aca="1" ref="I54" ca="1">IF( $C54="", "", _xll.IMDP("IDX",$C54,I$6,$D$4,"Fill=true, Per="&amp;filter!$R$1) )</f>
        <v>535003</v>
      </c>
      <c r="J54" s="34">
        <f t="array" aca="1" ref="J54" ca="1">IF( $C54="", "", _xll.IMDP("IDX",$C54,J$6,$D$4,"Fill=true, Per="&amp;filter!$R$1) )</f>
        <v>1685.15</v>
      </c>
      <c r="K54" s="38">
        <f t="array" aca="1" ref="K54" ca="1">IF( $C54="", "", _xll.IMDP("IDX",$C54,K$6,$D$4,"Fill=true, Per="&amp;filter!$R$1) )</f>
        <v>1691.4</v>
      </c>
      <c r="L54" s="39">
        <f t="array" aca="1" ref="L54" ca="1">IF( $C54="", "", _xll.IMDP("IDX",$C54,L$6,$D$4,"Fill=true, Per="&amp;filter!$R$1) )</f>
        <v>0</v>
      </c>
      <c r="M54" s="50" t="str">
        <f t="array" aca="1" ref="M54" ca="1">IF( $C54="", "", _xll.IMDP("IDX",$C54,M$6,$D$4,"Fill=true, Per="&amp;filter!$R$1) )</f>
        <v/>
      </c>
      <c r="N54" s="51" t="str">
        <f t="array" aca="1" ref="N54" ca="1">IF( $C54="", "", _xll.IMDP("IDX",$C54,N$6,$D$4,"Fill=true, Per="&amp;filter!$R$1) )</f>
        <v/>
      </c>
      <c r="O54" s="52" t="str">
        <f t="array" aca="1" ref="O54" ca="1">IF( $C54="", "", _xll.IMDP("IDX",$C54,O$6,$D$4,"Fill=true, Per="&amp;filter!$R$1) )</f>
        <v/>
      </c>
    </row>
    <row r="55" spans="2:15">
      <c r="B55" s="21">
        <f t="shared" si="0"/>
        <v>47</v>
      </c>
      <c r="C55" s="17" t="str">
        <f>IFERROR( VLOOKUP(ROWS($B$8:B54), filter!$I:$J, 2, 0), "")</f>
        <v>K2S08P</v>
      </c>
      <c r="D55" s="16" t="str" cm="1">
        <f t="array" ref="D55">IF( $C55="", "", _xll.IMDP("IDX", $C55, D$6) )</f>
        <v>코스피 200 중공업</v>
      </c>
      <c r="E55" s="34">
        <f t="array" aca="1" ref="E55" ca="1">IF( $C55="", "", _xll.IMDP("IDX",$C55,E$6,$D$4,"Fill=true, Per="&amp;filter!$R$1) )</f>
        <v>457.16</v>
      </c>
      <c r="F55" s="38">
        <f t="array" aca="1" ref="F55" ca="1">IF( $C55="", "", _xll.IMDP("IDX",$C55,F$6,$D$4,"Fill=true, Per="&amp;filter!$R$1) )</f>
        <v>-14.639999999999986</v>
      </c>
      <c r="G55" s="39">
        <f t="array" aca="1" ref="G55" ca="1">IF( $C55="", "", _xll.IMDP("IDX",$C55,G$6,$D$4,"Fill=true, Per="&amp;filter!$R$1) )</f>
        <v>-3.1</v>
      </c>
      <c r="H55" s="43">
        <f t="array" aca="1" ref="H55" ca="1">IF( $C55="", "", _xll.IMDP("IDX",$C55,H$6,$D$4,"Fill=true, Per="&amp;filter!$R$1) )</f>
        <v>26100</v>
      </c>
      <c r="I55" s="43">
        <f t="array" aca="1" ref="I55" ca="1">IF( $C55="", "", _xll.IMDP("IDX",$C55,I$6,$D$4,"Fill=true, Per="&amp;filter!$R$1) )</f>
        <v>1097421</v>
      </c>
      <c r="J55" s="34">
        <f t="array" aca="1" ref="J55" ca="1">IF( $C55="", "", _xll.IMDP("IDX",$C55,J$6,$D$4,"Fill=true, Per="&amp;filter!$R$1) )</f>
        <v>472.67</v>
      </c>
      <c r="K55" s="38">
        <f t="array" aca="1" ref="K55" ca="1">IF( $C55="", "", _xll.IMDP("IDX",$C55,K$6,$D$4,"Fill=true, Per="&amp;filter!$R$1) )</f>
        <v>472.67</v>
      </c>
      <c r="L55" s="39">
        <f t="array" aca="1" ref="L55" ca="1">IF( $C55="", "", _xll.IMDP("IDX",$C55,L$6,$D$4,"Fill=true, Per="&amp;filter!$R$1) )</f>
        <v>0</v>
      </c>
      <c r="M55" s="50" t="str">
        <f t="array" aca="1" ref="M55" ca="1">IF( $C55="", "", _xll.IMDP("IDX",$C55,M$6,$D$4,"Fill=true, Per="&amp;filter!$R$1) )</f>
        <v/>
      </c>
      <c r="N55" s="51" t="str">
        <f t="array" aca="1" ref="N55" ca="1">IF( $C55="", "", _xll.IMDP("IDX",$C55,N$6,$D$4,"Fill=true, Per="&amp;filter!$R$1) )</f>
        <v/>
      </c>
      <c r="O55" s="52" t="str">
        <f t="array" aca="1" ref="O55" ca="1">IF( $C55="", "", _xll.IMDP("IDX",$C55,O$6,$D$4,"Fill=true, Per="&amp;filter!$R$1) )</f>
        <v/>
      </c>
    </row>
    <row r="56" spans="2:15">
      <c r="B56" s="21">
        <f t="shared" si="0"/>
        <v>48</v>
      </c>
      <c r="C56" s="17" t="str">
        <f>IFERROR( VLOOKUP(ROWS($B$8:B55), filter!$I:$J, 2, 0), "")</f>
        <v>K2X08P</v>
      </c>
      <c r="D56" s="16" t="str" cm="1">
        <f t="array" ref="D56">IF( $C56="", "", _xll.IMDP("IDX", $C56, D$6) )</f>
        <v>코스피 200 중공업 레버리지지수</v>
      </c>
      <c r="E56" s="34">
        <f t="array" aca="1" ref="E56" ca="1">IF( $C56="", "", _xll.IMDP("IDX",$C56,E$6,$D$4,"Fill=true, Per="&amp;filter!$R$1) )</f>
        <v>312.55</v>
      </c>
      <c r="F56" s="38">
        <f t="array" aca="1" ref="F56" ca="1">IF( $C56="", "", _xll.IMDP("IDX",$C56,F$6,$D$4,"Fill=true, Per="&amp;filter!$R$1) )</f>
        <v>-20.800000000000011</v>
      </c>
      <c r="G56" s="39">
        <f t="array" aca="1" ref="G56" ca="1">IF( $C56="", "", _xll.IMDP("IDX",$C56,G$6,$D$4,"Fill=true, Per="&amp;filter!$R$1) )</f>
        <v>-6.24</v>
      </c>
      <c r="H56" s="43">
        <f t="array" aca="1" ref="H56" ca="1">IF( $C56="", "", _xll.IMDP("IDX",$C56,H$6,$D$4,"Fill=true, Per="&amp;filter!$R$1) )</f>
        <v>0</v>
      </c>
      <c r="I56" s="43">
        <f t="array" aca="1" ref="I56" ca="1">IF( $C56="", "", _xll.IMDP("IDX",$C56,I$6,$D$4,"Fill=true, Per="&amp;filter!$R$1) )</f>
        <v>0</v>
      </c>
      <c r="J56" s="34">
        <f t="array" aca="1" ref="J56" ca="1">IF( $C56="", "", _xll.IMDP("IDX",$C56,J$6,$D$4,"Fill=true, Per="&amp;filter!$R$1) )</f>
        <v>334.48</v>
      </c>
      <c r="K56" s="38">
        <f t="array" aca="1" ref="K56" ca="1">IF( $C56="", "", _xll.IMDP("IDX",$C56,K$6,$D$4,"Fill=true, Per="&amp;filter!$R$1) )</f>
        <v>334.48</v>
      </c>
      <c r="L56" s="39">
        <f t="array" aca="1" ref="L56" ca="1">IF( $C56="", "", _xll.IMDP("IDX",$C56,L$6,$D$4,"Fill=true, Per="&amp;filter!$R$1) )</f>
        <v>0</v>
      </c>
      <c r="M56" s="50" t="str">
        <f t="array" aca="1" ref="M56" ca="1">IF( $C56="", "", _xll.IMDP("IDX",$C56,M$6,$D$4,"Fill=true, Per="&amp;filter!$R$1) )</f>
        <v/>
      </c>
      <c r="N56" s="51" t="str">
        <f t="array" aca="1" ref="N56" ca="1">IF( $C56="", "", _xll.IMDP("IDX",$C56,N$6,$D$4,"Fill=true, Per="&amp;filter!$R$1) )</f>
        <v/>
      </c>
      <c r="O56" s="52" t="str">
        <f t="array" aca="1" ref="O56" ca="1">IF( $C56="", "", _xll.IMDP("IDX",$C56,O$6,$D$4,"Fill=true, Per="&amp;filter!$R$1) )</f>
        <v/>
      </c>
    </row>
    <row r="57" spans="2:15">
      <c r="B57" s="21">
        <f t="shared" si="0"/>
        <v>49</v>
      </c>
      <c r="C57" s="17" t="str">
        <f>IFERROR( VLOOKUP(ROWS($B$8:B56), filter!$I:$J, 2, 0), "")</f>
        <v>KGZ03P</v>
      </c>
      <c r="D57" s="16" t="str" cm="1">
        <f t="array" ref="D57">IF( $C57="", "", _xll.IMDP("IDX", $C57, D$6) )</f>
        <v>코스피 소형주</v>
      </c>
      <c r="E57" s="34">
        <f t="array" aca="1" ref="E57" ca="1">IF( $C57="", "", _xll.IMDP("IDX",$C57,E$6,$D$4,"Fill=true, Per="&amp;filter!$R$1) )</f>
        <v>2242.19</v>
      </c>
      <c r="F57" s="38">
        <f t="array" aca="1" ref="F57" ca="1">IF( $C57="", "", _xll.IMDP("IDX",$C57,F$6,$D$4,"Fill=true, Per="&amp;filter!$R$1) )</f>
        <v>0.53999999999996362</v>
      </c>
      <c r="G57" s="39">
        <f t="array" aca="1" ref="G57" ca="1">IF( $C57="", "", _xll.IMDP("IDX",$C57,G$6,$D$4,"Fill=true, Per="&amp;filter!$R$1) )</f>
        <v>0.02</v>
      </c>
      <c r="H57" s="43">
        <f t="array" aca="1" ref="H57" ca="1">IF( $C57="", "", _xll.IMDP("IDX",$C57,H$6,$D$4,"Fill=true, Per="&amp;filter!$R$1) )</f>
        <v>280461</v>
      </c>
      <c r="I57" s="43">
        <f t="array" aca="1" ref="I57" ca="1">IF( $C57="", "", _xll.IMDP("IDX",$C57,I$6,$D$4,"Fill=true, Per="&amp;filter!$R$1) )</f>
        <v>1286111</v>
      </c>
      <c r="J57" s="34">
        <f t="array" aca="1" ref="J57" ca="1">IF( $C57="", "", _xll.IMDP("IDX",$C57,J$6,$D$4,"Fill=true, Per="&amp;filter!$R$1) )</f>
        <v>2245.27</v>
      </c>
      <c r="K57" s="38">
        <f t="array" aca="1" ref="K57" ca="1">IF( $C57="", "", _xll.IMDP("IDX",$C57,K$6,$D$4,"Fill=true, Per="&amp;filter!$R$1) )</f>
        <v>2250.63</v>
      </c>
      <c r="L57" s="39">
        <f t="array" aca="1" ref="L57" ca="1">IF( $C57="", "", _xll.IMDP("IDX",$C57,L$6,$D$4,"Fill=true, Per="&amp;filter!$R$1) )</f>
        <v>0</v>
      </c>
      <c r="M57" s="50">
        <f t="array" aca="1" ref="M57" ca="1">IF( $C57="", "", _xll.IMDP("IDX",$C57,M$6,$D$4,"Fill=true, Per="&amp;filter!$R$1) )</f>
        <v>3183</v>
      </c>
      <c r="N57" s="51">
        <f t="array" aca="1" ref="N57" ca="1">IF( $C57="", "", _xll.IMDP("IDX",$C57,N$6,$D$4,"Fill=true, Per="&amp;filter!$R$1) )</f>
        <v>3009</v>
      </c>
      <c r="O57" s="52">
        <f t="array" aca="1" ref="O57" ca="1">IF( $C57="", "", _xll.IMDP("IDX",$C57,O$6,$D$4,"Fill=true, Per="&amp;filter!$R$1) )</f>
        <v>-14346</v>
      </c>
    </row>
    <row r="58" spans="2:15">
      <c r="B58" s="21">
        <f t="shared" si="0"/>
        <v>50</v>
      </c>
      <c r="C58" s="17" t="str">
        <f>IFERROR( VLOOKUP(ROWS($B$8:B57), filter!$I:$J, 2, 0), "")</f>
        <v>QGG11P</v>
      </c>
      <c r="D58" s="16" t="str" cm="1">
        <f t="array" ref="D58">IF( $C58="", "", _xll.IMDP("IDX", $C58, D$6) )</f>
        <v>코스닥 글로벌 지수</v>
      </c>
      <c r="E58" s="34">
        <f t="array" aca="1" ref="E58" ca="1">IF( $C58="", "", _xll.IMDP("IDX",$C58,E$6,$D$4,"Fill=true, Per="&amp;filter!$R$1) )</f>
        <v>1453.8</v>
      </c>
      <c r="F58" s="38">
        <f t="array" aca="1" ref="F58" ca="1">IF( $C58="", "", _xll.IMDP("IDX",$C58,F$6,$D$4,"Fill=true, Per="&amp;filter!$R$1) )</f>
        <v>-13.100000000000136</v>
      </c>
      <c r="G58" s="39">
        <f t="array" aca="1" ref="G58" ca="1">IF( $C58="", "", _xll.IMDP("IDX",$C58,G$6,$D$4,"Fill=true, Per="&amp;filter!$R$1) )</f>
        <v>-0.89</v>
      </c>
      <c r="H58" s="43">
        <f t="array" aca="1" ref="H58" ca="1">IF( $C58="", "", _xll.IMDP("IDX",$C58,H$6,$D$4,"Fill=true, Per="&amp;filter!$R$1) )</f>
        <v>26081</v>
      </c>
      <c r="I58" s="43">
        <f t="array" aca="1" ref="I58" ca="1">IF( $C58="", "", _xll.IMDP("IDX",$C58,I$6,$D$4,"Fill=true, Per="&amp;filter!$R$1) )</f>
        <v>1819364</v>
      </c>
      <c r="J58" s="34">
        <f t="array" aca="1" ref="J58" ca="1">IF( $C58="", "", _xll.IMDP("IDX",$C58,J$6,$D$4,"Fill=true, Per="&amp;filter!$R$1) )</f>
        <v>1468.92</v>
      </c>
      <c r="K58" s="38">
        <f t="array" aca="1" ref="K58" ca="1">IF( $C58="", "", _xll.IMDP("IDX",$C58,K$6,$D$4,"Fill=true, Per="&amp;filter!$R$1) )</f>
        <v>1488.8</v>
      </c>
      <c r="L58" s="39">
        <f t="array" aca="1" ref="L58" ca="1">IF( $C58="", "", _xll.IMDP("IDX",$C58,L$6,$D$4,"Fill=true, Per="&amp;filter!$R$1) )</f>
        <v>0</v>
      </c>
      <c r="M58" s="50">
        <f t="array" aca="1" ref="M58" ca="1">IF( $C58="", "", _xll.IMDP("IDX",$C58,M$6,$D$4,"Fill=true, Per="&amp;filter!$R$1) )</f>
        <v>18030</v>
      </c>
      <c r="N58" s="51">
        <f t="array" aca="1" ref="N58" ca="1">IF( $C58="", "", _xll.IMDP("IDX",$C58,N$6,$D$4,"Fill=true, Per="&amp;filter!$R$1) )</f>
        <v>-58162</v>
      </c>
      <c r="O58" s="52">
        <f t="array" aca="1" ref="O58" ca="1">IF( $C58="", "", _xll.IMDP("IDX",$C58,O$6,$D$4,"Fill=true, Per="&amp;filter!$R$1) )</f>
        <v>41780</v>
      </c>
    </row>
    <row r="59" spans="2:15">
      <c r="B59" s="21">
        <f t="shared" si="0"/>
        <v>51</v>
      </c>
      <c r="C59" s="17" t="str">
        <f>IFERROR( VLOOKUP(ROWS($B$8:B58), filter!$I:$J, 2, 0), "")</f>
        <v>K2S10P</v>
      </c>
      <c r="D59" s="16" t="str" cm="1">
        <f t="array" ref="D59">IF( $C59="", "", _xll.IMDP("IDX", $C59, D$6) )</f>
        <v>코스피 200 생활소비재</v>
      </c>
      <c r="E59" s="34">
        <f t="array" aca="1" ref="E59" ca="1">IF( $C59="", "", _xll.IMDP("IDX",$C59,E$6,$D$4,"Fill=true, Per="&amp;filter!$R$1) )</f>
        <v>882.77</v>
      </c>
      <c r="F59" s="38">
        <f t="array" aca="1" ref="F59" ca="1">IF( $C59="", "", _xll.IMDP("IDX",$C59,F$6,$D$4,"Fill=true, Per="&amp;filter!$R$1) )</f>
        <v>8.4099999999999682</v>
      </c>
      <c r="G59" s="39">
        <f t="array" aca="1" ref="G59" ca="1">IF( $C59="", "", _xll.IMDP("IDX",$C59,G$6,$D$4,"Fill=true, Per="&amp;filter!$R$1) )</f>
        <v>0.96</v>
      </c>
      <c r="H59" s="43">
        <f t="array" aca="1" ref="H59" ca="1">IF( $C59="", "", _xll.IMDP("IDX",$C59,H$6,$D$4,"Fill=true, Per="&amp;filter!$R$1) )</f>
        <v>13713</v>
      </c>
      <c r="I59" s="43">
        <f t="array" aca="1" ref="I59" ca="1">IF( $C59="", "", _xll.IMDP("IDX",$C59,I$6,$D$4,"Fill=true, Per="&amp;filter!$R$1) )</f>
        <v>854190</v>
      </c>
      <c r="J59" s="34">
        <f t="array" aca="1" ref="J59" ca="1">IF( $C59="", "", _xll.IMDP("IDX",$C59,J$6,$D$4,"Fill=true, Per="&amp;filter!$R$1) )</f>
        <v>877.19</v>
      </c>
      <c r="K59" s="38">
        <f t="array" aca="1" ref="K59" ca="1">IF( $C59="", "", _xll.IMDP("IDX",$C59,K$6,$D$4,"Fill=true, Per="&amp;filter!$R$1) )</f>
        <v>888.85</v>
      </c>
      <c r="L59" s="39">
        <f t="array" aca="1" ref="L59" ca="1">IF( $C59="", "", _xll.IMDP("IDX",$C59,L$6,$D$4,"Fill=true, Per="&amp;filter!$R$1) )</f>
        <v>0</v>
      </c>
      <c r="M59" s="50" t="str">
        <f t="array" aca="1" ref="M59" ca="1">IF( $C59="", "", _xll.IMDP("IDX",$C59,M$6,$D$4,"Fill=true, Per="&amp;filter!$R$1) )</f>
        <v/>
      </c>
      <c r="N59" s="51" t="str">
        <f t="array" aca="1" ref="N59" ca="1">IF( $C59="", "", _xll.IMDP("IDX",$C59,N$6,$D$4,"Fill=true, Per="&amp;filter!$R$1) )</f>
        <v/>
      </c>
      <c r="O59" s="52" t="str">
        <f t="array" aca="1" ref="O59" ca="1">IF( $C59="", "", _xll.IMDP("IDX",$C59,O$6,$D$4,"Fill=true, Per="&amp;filter!$R$1) )</f>
        <v/>
      </c>
    </row>
    <row r="60" spans="2:15">
      <c r="B60" s="21">
        <f t="shared" si="0"/>
        <v>52</v>
      </c>
      <c r="C60" s="17" t="str">
        <f>IFERROR( VLOOKUP(ROWS($B$8:B59), filter!$I:$J, 2, 0), "")</f>
        <v>QGG05P</v>
      </c>
      <c r="D60" s="16" t="str" cm="1">
        <f t="array" ref="D60">IF( $C60="", "", _xll.IMDP("IDX", $C60, D$6) )</f>
        <v>코스닥 중견기업부</v>
      </c>
      <c r="E60" s="34">
        <f t="array" aca="1" ref="E60" ca="1">IF( $C60="", "", _xll.IMDP("IDX",$C60,E$6,$D$4,"Fill=true, Per="&amp;filter!$R$1) )</f>
        <v>1397.71</v>
      </c>
      <c r="F60" s="38">
        <f t="array" aca="1" ref="F60" ca="1">IF( $C60="", "", _xll.IMDP("IDX",$C60,F$6,$D$4,"Fill=true, Per="&amp;filter!$R$1) )</f>
        <v>-14.649999999999864</v>
      </c>
      <c r="G60" s="39">
        <f t="array" aca="1" ref="G60" ca="1">IF( $C60="", "", _xll.IMDP("IDX",$C60,G$6,$D$4,"Fill=true, Per="&amp;filter!$R$1) )</f>
        <v>-1.04</v>
      </c>
      <c r="H60" s="43">
        <f t="array" aca="1" ref="H60" ca="1">IF( $C60="", "", _xll.IMDP("IDX",$C60,H$6,$D$4,"Fill=true, Per="&amp;filter!$R$1) )</f>
        <v>464895</v>
      </c>
      <c r="I60" s="43">
        <f t="array" aca="1" ref="I60" ca="1">IF( $C60="", "", _xll.IMDP("IDX",$C60,I$6,$D$4,"Fill=true, Per="&amp;filter!$R$1) )</f>
        <v>3350549</v>
      </c>
      <c r="J60" s="34">
        <f t="array" aca="1" ref="J60" ca="1">IF( $C60="", "", _xll.IMDP("IDX",$C60,J$6,$D$4,"Fill=true, Per="&amp;filter!$R$1) )</f>
        <v>1417.78</v>
      </c>
      <c r="K60" s="38">
        <f t="array" aca="1" ref="K60" ca="1">IF( $C60="", "", _xll.IMDP("IDX",$C60,K$6,$D$4,"Fill=true, Per="&amp;filter!$R$1) )</f>
        <v>1417.85</v>
      </c>
      <c r="L60" s="39">
        <f t="array" aca="1" ref="L60" ca="1">IF( $C60="", "", _xll.IMDP("IDX",$C60,L$6,$D$4,"Fill=true, Per="&amp;filter!$R$1) )</f>
        <v>0</v>
      </c>
      <c r="M60" s="50">
        <f t="array" aca="1" ref="M60" ca="1">IF( $C60="", "", _xll.IMDP("IDX",$C60,M$6,$D$4,"Fill=true, Per="&amp;filter!$R$1) )</f>
        <v>122149</v>
      </c>
      <c r="N60" s="51">
        <f t="array" aca="1" ref="N60" ca="1">IF( $C60="", "", _xll.IMDP("IDX",$C60,N$6,$D$4,"Fill=true, Per="&amp;filter!$R$1) )</f>
        <v>-12095</v>
      </c>
      <c r="O60" s="52">
        <f t="array" aca="1" ref="O60" ca="1">IF( $C60="", "", _xll.IMDP("IDX",$C60,O$6,$D$4,"Fill=true, Per="&amp;filter!$R$1) )</f>
        <v>-103094</v>
      </c>
    </row>
    <row r="61" spans="2:15">
      <c r="B61" s="21">
        <f t="shared" si="0"/>
        <v>53</v>
      </c>
      <c r="C61" s="17" t="str">
        <f>IFERROR( VLOOKUP(ROWS($B$8:B60), filter!$I:$J, 2, 0), "")</f>
        <v>QGS17P</v>
      </c>
      <c r="D61" s="16" t="str" cm="1">
        <f t="array" ref="D61">IF( $C61="", "", _xll.IMDP("IDX", $C61, D$6) )</f>
        <v>일반전기전자</v>
      </c>
      <c r="E61" s="34">
        <f t="array" aca="1" ref="E61" ca="1">IF( $C61="", "", _xll.IMDP("IDX",$C61,E$6,$D$4,"Fill=true, Per="&amp;filter!$R$1) )</f>
        <v>1389.49</v>
      </c>
      <c r="F61" s="38">
        <f t="array" aca="1" ref="F61" ca="1">IF( $C61="", "", _xll.IMDP("IDX",$C61,F$6,$D$4,"Fill=true, Per="&amp;filter!$R$1) )</f>
        <v>-5.7100000000000364</v>
      </c>
      <c r="G61" s="39">
        <f t="array" aca="1" ref="G61" ca="1">IF( $C61="", "", _xll.IMDP("IDX",$C61,G$6,$D$4,"Fill=true, Per="&amp;filter!$R$1) )</f>
        <v>-0.41</v>
      </c>
      <c r="H61" s="43">
        <f t="array" aca="1" ref="H61" ca="1">IF( $C61="", "", _xll.IMDP("IDX",$C61,H$6,$D$4,"Fill=true, Per="&amp;filter!$R$1) )</f>
        <v>168218</v>
      </c>
      <c r="I61" s="43">
        <f t="array" aca="1" ref="I61" ca="1">IF( $C61="", "", _xll.IMDP("IDX",$C61,I$6,$D$4,"Fill=true, Per="&amp;filter!$R$1) )</f>
        <v>1610966</v>
      </c>
      <c r="J61" s="34">
        <f t="array" aca="1" ref="J61" ca="1">IF( $C61="", "", _xll.IMDP("IDX",$C61,J$6,$D$4,"Fill=true, Per="&amp;filter!$R$1) )</f>
        <v>1399.18</v>
      </c>
      <c r="K61" s="38">
        <f t="array" aca="1" ref="K61" ca="1">IF( $C61="", "", _xll.IMDP("IDX",$C61,K$6,$D$4,"Fill=true, Per="&amp;filter!$R$1) )</f>
        <v>1423.54</v>
      </c>
      <c r="L61" s="39">
        <f t="array" aca="1" ref="L61" ca="1">IF( $C61="", "", _xll.IMDP("IDX",$C61,L$6,$D$4,"Fill=true, Per="&amp;filter!$R$1) )</f>
        <v>0</v>
      </c>
      <c r="M61" s="50">
        <f t="array" aca="1" ref="M61" ca="1">IF( $C61="", "", _xll.IMDP("IDX",$C61,M$6,$D$4,"Fill=true, Per="&amp;filter!$R$1) )</f>
        <v>10262</v>
      </c>
      <c r="N61" s="51">
        <f t="array" aca="1" ref="N61" ca="1">IF( $C61="", "", _xll.IMDP("IDX",$C61,N$6,$D$4,"Fill=true, Per="&amp;filter!$R$1) )</f>
        <v>-8216</v>
      </c>
      <c r="O61" s="52">
        <f t="array" aca="1" ref="O61" ca="1">IF( $C61="", "", _xll.IMDP("IDX",$C61,O$6,$D$4,"Fill=true, Per="&amp;filter!$R$1) )</f>
        <v>-3180</v>
      </c>
    </row>
    <row r="62" spans="2:15">
      <c r="B62" s="21">
        <f t="shared" si="0"/>
        <v>54</v>
      </c>
      <c r="C62" s="17" t="str">
        <f>IFERROR( VLOOKUP(ROWS($B$8:B61), filter!$I:$J, 2, 0), "")</f>
        <v>KGS11P</v>
      </c>
      <c r="D62" s="16" t="str" cm="1">
        <f t="array" ref="D62">IF( $C62="", "", _xll.IMDP("IDX", $C62, D$6) )</f>
        <v>유통업</v>
      </c>
      <c r="E62" s="34">
        <f t="array" aca="1" ref="E62" ca="1">IF( $C62="", "", _xll.IMDP("IDX",$C62,E$6,$D$4,"Fill=true, Per="&amp;filter!$R$1) )</f>
        <v>379.36</v>
      </c>
      <c r="F62" s="38">
        <f t="array" aca="1" ref="F62" ca="1">IF( $C62="", "", _xll.IMDP("IDX",$C62,F$6,$D$4,"Fill=true, Per="&amp;filter!$R$1) )</f>
        <v>9.0900000000000318</v>
      </c>
      <c r="G62" s="39">
        <f t="array" aca="1" ref="G62" ca="1">IF( $C62="", "", _xll.IMDP("IDX",$C62,G$6,$D$4,"Fill=true, Per="&amp;filter!$R$1) )</f>
        <v>2.4500000000000002</v>
      </c>
      <c r="H62" s="43">
        <f t="array" aca="1" ref="H62" ca="1">IF( $C62="", "", _xll.IMDP("IDX",$C62,H$6,$D$4,"Fill=true, Per="&amp;filter!$R$1) )</f>
        <v>43208</v>
      </c>
      <c r="I62" s="43">
        <f t="array" aca="1" ref="I62" ca="1">IF( $C62="", "", _xll.IMDP("IDX",$C62,I$6,$D$4,"Fill=true, Per="&amp;filter!$R$1) )</f>
        <v>555346</v>
      </c>
      <c r="J62" s="34">
        <f t="array" aca="1" ref="J62" ca="1">IF( $C62="", "", _xll.IMDP("IDX",$C62,J$6,$D$4,"Fill=true, Per="&amp;filter!$R$1) )</f>
        <v>370.5</v>
      </c>
      <c r="K62" s="38">
        <f t="array" aca="1" ref="K62" ca="1">IF( $C62="", "", _xll.IMDP("IDX",$C62,K$6,$D$4,"Fill=true, Per="&amp;filter!$R$1) )</f>
        <v>381.12</v>
      </c>
      <c r="L62" s="39">
        <f t="array" aca="1" ref="L62" ca="1">IF( $C62="", "", _xll.IMDP("IDX",$C62,L$6,$D$4,"Fill=true, Per="&amp;filter!$R$1) )</f>
        <v>0</v>
      </c>
      <c r="M62" s="50">
        <f t="array" aca="1" ref="M62" ca="1">IF( $C62="", "", _xll.IMDP("IDX",$C62,M$6,$D$4,"Fill=true, Per="&amp;filter!$R$1) )</f>
        <v>-67484</v>
      </c>
      <c r="N62" s="51">
        <f t="array" aca="1" ref="N62" ca="1">IF( $C62="", "", _xll.IMDP("IDX",$C62,N$6,$D$4,"Fill=true, Per="&amp;filter!$R$1) )</f>
        <v>34249</v>
      </c>
      <c r="O62" s="52">
        <f t="array" aca="1" ref="O62" ca="1">IF( $C62="", "", _xll.IMDP("IDX",$C62,O$6,$D$4,"Fill=true, Per="&amp;filter!$R$1) )</f>
        <v>35185</v>
      </c>
    </row>
    <row r="63" spans="2:15">
      <c r="B63" s="21">
        <f t="shared" si="0"/>
        <v>55</v>
      </c>
      <c r="C63" s="17" t="str">
        <f>IFERROR( VLOOKUP(ROWS($B$8:B62), filter!$I:$J, 2, 0), "")</f>
        <v>QGG06P</v>
      </c>
      <c r="D63" s="16" t="str" cm="1">
        <f t="array" ref="D63">IF( $C63="", "", _xll.IMDP("IDX", $C63, D$6) )</f>
        <v>코스닥 기술성장기업부</v>
      </c>
      <c r="E63" s="34">
        <f t="array" aca="1" ref="E63" ca="1">IF( $C63="", "", _xll.IMDP("IDX",$C63,E$6,$D$4,"Fill=true, Per="&amp;filter!$R$1) )</f>
        <v>4888.07</v>
      </c>
      <c r="F63" s="38">
        <f t="array" aca="1" ref="F63" ca="1">IF( $C63="", "", _xll.IMDP("IDX",$C63,F$6,$D$4,"Fill=true, Per="&amp;filter!$R$1) )</f>
        <v>-80.470000000000255</v>
      </c>
      <c r="G63" s="39">
        <f t="array" aca="1" ref="G63" ca="1">IF( $C63="", "", _xll.IMDP("IDX",$C63,G$6,$D$4,"Fill=true, Per="&amp;filter!$R$1) )</f>
        <v>-1.62</v>
      </c>
      <c r="H63" s="43">
        <f t="array" aca="1" ref="H63" ca="1">IF( $C63="", "", _xll.IMDP("IDX",$C63,H$6,$D$4,"Fill=true, Per="&amp;filter!$R$1) )</f>
        <v>332118</v>
      </c>
      <c r="I63" s="43">
        <f t="array" aca="1" ref="I63" ca="1">IF( $C63="", "", _xll.IMDP("IDX",$C63,I$6,$D$4,"Fill=true, Per="&amp;filter!$R$1) )</f>
        <v>4690662</v>
      </c>
      <c r="J63" s="34">
        <f t="array" aca="1" ref="J63" ca="1">IF( $C63="", "", _xll.IMDP("IDX",$C63,J$6,$D$4,"Fill=true, Per="&amp;filter!$R$1) )</f>
        <v>4972.99</v>
      </c>
      <c r="K63" s="38">
        <f t="array" aca="1" ref="K63" ca="1">IF( $C63="", "", _xll.IMDP("IDX",$C63,K$6,$D$4,"Fill=true, Per="&amp;filter!$R$1) )</f>
        <v>5026.41</v>
      </c>
      <c r="L63" s="39">
        <f t="array" aca="1" ref="L63" ca="1">IF( $C63="", "", _xll.IMDP("IDX",$C63,L$6,$D$4,"Fill=true, Per="&amp;filter!$R$1) )</f>
        <v>0</v>
      </c>
      <c r="M63" s="50">
        <f t="array" aca="1" ref="M63" ca="1">IF( $C63="", "", _xll.IMDP("IDX",$C63,M$6,$D$4,"Fill=true, Per="&amp;filter!$R$1) )</f>
        <v>83382</v>
      </c>
      <c r="N63" s="51">
        <f t="array" aca="1" ref="N63" ca="1">IF( $C63="", "", _xll.IMDP("IDX",$C63,N$6,$D$4,"Fill=true, Per="&amp;filter!$R$1) )</f>
        <v>-48875</v>
      </c>
      <c r="O63" s="52">
        <f t="array" aca="1" ref="O63" ca="1">IF( $C63="", "", _xll.IMDP("IDX",$C63,O$6,$D$4,"Fill=true, Per="&amp;filter!$R$1) )</f>
        <v>-21678</v>
      </c>
    </row>
    <row r="64" spans="2:15">
      <c r="B64" s="21">
        <f t="shared" si="0"/>
        <v>56</v>
      </c>
      <c r="C64" s="17" t="str">
        <f>IFERROR( VLOOKUP(ROWS($B$8:B63), filter!$I:$J, 2, 0), "")</f>
        <v>KGS07P</v>
      </c>
      <c r="D64" s="16" t="str" cm="1">
        <f t="array" ref="D64">IF( $C64="", "", _xll.IMDP("IDX", $C64, D$6) )</f>
        <v>철강및금속</v>
      </c>
      <c r="E64" s="34">
        <f t="array" aca="1" ref="E64" ca="1">IF( $C64="", "", _xll.IMDP("IDX",$C64,E$6,$D$4,"Fill=true, Per="&amp;filter!$R$1) )</f>
        <v>4858.63</v>
      </c>
      <c r="F64" s="38">
        <f t="array" aca="1" ref="F64" ca="1">IF( $C64="", "", _xll.IMDP("IDX",$C64,F$6,$D$4,"Fill=true, Per="&amp;filter!$R$1) )</f>
        <v>187.03999999999996</v>
      </c>
      <c r="G64" s="39">
        <f t="array" aca="1" ref="G64" ca="1">IF( $C64="", "", _xll.IMDP("IDX",$C64,G$6,$D$4,"Fill=true, Per="&amp;filter!$R$1) )</f>
        <v>4</v>
      </c>
      <c r="H64" s="43">
        <f t="array" aca="1" ref="H64" ca="1">IF( $C64="", "", _xll.IMDP("IDX",$C64,H$6,$D$4,"Fill=true, Per="&amp;filter!$R$1) )</f>
        <v>30699</v>
      </c>
      <c r="I64" s="43">
        <f t="array" aca="1" ref="I64" ca="1">IF( $C64="", "", _xll.IMDP("IDX",$C64,I$6,$D$4,"Fill=true, Per="&amp;filter!$R$1) )</f>
        <v>507715</v>
      </c>
      <c r="J64" s="34">
        <f t="array" aca="1" ref="J64" ca="1">IF( $C64="", "", _xll.IMDP("IDX",$C64,J$6,$D$4,"Fill=true, Per="&amp;filter!$R$1) )</f>
        <v>4694.74</v>
      </c>
      <c r="K64" s="38">
        <f t="array" aca="1" ref="K64" ca="1">IF( $C64="", "", _xll.IMDP("IDX",$C64,K$6,$D$4,"Fill=true, Per="&amp;filter!$R$1) )</f>
        <v>4906.13</v>
      </c>
      <c r="L64" s="39">
        <f t="array" aca="1" ref="L64" ca="1">IF( $C64="", "", _xll.IMDP("IDX",$C64,L$6,$D$4,"Fill=true, Per="&amp;filter!$R$1) )</f>
        <v>0</v>
      </c>
      <c r="M64" s="50">
        <f t="array" aca="1" ref="M64" ca="1">IF( $C64="", "", _xll.IMDP("IDX",$C64,M$6,$D$4,"Fill=true, Per="&amp;filter!$R$1) )</f>
        <v>-94110</v>
      </c>
      <c r="N64" s="51">
        <f t="array" aca="1" ref="N64" ca="1">IF( $C64="", "", _xll.IMDP("IDX",$C64,N$6,$D$4,"Fill=true, Per="&amp;filter!$R$1) )</f>
        <v>63966</v>
      </c>
      <c r="O64" s="52">
        <f t="array" aca="1" ref="O64" ca="1">IF( $C64="", "", _xll.IMDP("IDX",$C64,O$6,$D$4,"Fill=true, Per="&amp;filter!$R$1) )</f>
        <v>31488</v>
      </c>
    </row>
    <row r="65" spans="2:15">
      <c r="B65" s="21">
        <f t="shared" si="0"/>
        <v>57</v>
      </c>
      <c r="C65" s="17" t="str">
        <f>IFERROR( VLOOKUP(ROWS($B$8:B64), filter!$I:$J, 2, 0), "")</f>
        <v>QGS33P</v>
      </c>
      <c r="D65" s="16" t="str" cm="1">
        <f t="array" ref="D65">IF( $C65="", "", _xll.IMDP("IDX", $C65, D$6) )</f>
        <v>제약</v>
      </c>
      <c r="E65" s="34">
        <f t="array" aca="1" ref="E65" ca="1">IF( $C65="", "", _xll.IMDP("IDX",$C65,E$6,$D$4,"Fill=true, Per="&amp;filter!$R$1) )</f>
        <v>9867.7999999999993</v>
      </c>
      <c r="F65" s="38">
        <f t="array" aca="1" ref="F65" ca="1">IF( $C65="", "", _xll.IMDP("IDX",$C65,F$6,$D$4,"Fill=true, Per="&amp;filter!$R$1) )</f>
        <v>-329.44000000000051</v>
      </c>
      <c r="G65" s="39">
        <f t="array" aca="1" ref="G65" ca="1">IF( $C65="", "", _xll.IMDP("IDX",$C65,G$6,$D$4,"Fill=true, Per="&amp;filter!$R$1) )</f>
        <v>-3.23</v>
      </c>
      <c r="H65" s="43">
        <f t="array" aca="1" ref="H65" ca="1">IF( $C65="", "", _xll.IMDP("IDX",$C65,H$6,$D$4,"Fill=true, Per="&amp;filter!$R$1) )</f>
        <v>176960</v>
      </c>
      <c r="I65" s="43">
        <f t="array" aca="1" ref="I65" ca="1">IF( $C65="", "", _xll.IMDP("IDX",$C65,I$6,$D$4,"Fill=true, Per="&amp;filter!$R$1) )</f>
        <v>2741879</v>
      </c>
      <c r="J65" s="34">
        <f t="array" aca="1" ref="J65" ca="1">IF( $C65="", "", _xll.IMDP("IDX",$C65,J$6,$D$4,"Fill=true, Per="&amp;filter!$R$1) )</f>
        <v>10237.76</v>
      </c>
      <c r="K65" s="38">
        <f t="array" aca="1" ref="K65" ca="1">IF( $C65="", "", _xll.IMDP("IDX",$C65,K$6,$D$4,"Fill=true, Per="&amp;filter!$R$1) )</f>
        <v>10253.040000000001</v>
      </c>
      <c r="L65" s="39">
        <f t="array" aca="1" ref="L65" ca="1">IF( $C65="", "", _xll.IMDP("IDX",$C65,L$6,$D$4,"Fill=true, Per="&amp;filter!$R$1) )</f>
        <v>0</v>
      </c>
      <c r="M65" s="50">
        <f t="array" aca="1" ref="M65" ca="1">IF( $C65="", "", _xll.IMDP("IDX",$C65,M$6,$D$4,"Fill=true, Per="&amp;filter!$R$1) )</f>
        <v>158820</v>
      </c>
      <c r="N65" s="51">
        <f t="array" aca="1" ref="N65" ca="1">IF( $C65="", "", _xll.IMDP("IDX",$C65,N$6,$D$4,"Fill=true, Per="&amp;filter!$R$1) )</f>
        <v>-59533</v>
      </c>
      <c r="O65" s="52">
        <f t="array" aca="1" ref="O65" ca="1">IF( $C65="", "", _xll.IMDP("IDX",$C65,O$6,$D$4,"Fill=true, Per="&amp;filter!$R$1) )</f>
        <v>-91242</v>
      </c>
    </row>
    <row r="66" spans="2:15">
      <c r="B66" s="21">
        <f t="shared" si="0"/>
        <v>58</v>
      </c>
      <c r="C66" s="17" t="str">
        <f>IFERROR( VLOOKUP(ROWS($B$8:B65), filter!$I:$J, 2, 0), "")</f>
        <v>KGS08P</v>
      </c>
      <c r="D66" s="16" t="str" cm="1">
        <f t="array" ref="D66">IF( $C66="", "", _xll.IMDP("IDX", $C66, D$6) )</f>
        <v>기계</v>
      </c>
      <c r="E66" s="34">
        <f t="array" aca="1" ref="E66" ca="1">IF( $C66="", "", _xll.IMDP("IDX",$C66,E$6,$D$4,"Fill=true, Per="&amp;filter!$R$1) )</f>
        <v>1253.47</v>
      </c>
      <c r="F66" s="38">
        <f t="array" aca="1" ref="F66" ca="1">IF( $C66="", "", _xll.IMDP("IDX",$C66,F$6,$D$4,"Fill=true, Per="&amp;filter!$R$1) )</f>
        <v>-26.519999999999982</v>
      </c>
      <c r="G66" s="39">
        <f t="array" aca="1" ref="G66" ca="1">IF( $C66="", "", _xll.IMDP("IDX",$C66,G$6,$D$4,"Fill=true, Per="&amp;filter!$R$1) )</f>
        <v>-2.0699999999999998</v>
      </c>
      <c r="H66" s="43">
        <f t="array" aca="1" ref="H66" ca="1">IF( $C66="", "", _xll.IMDP("IDX",$C66,H$6,$D$4,"Fill=true, Per="&amp;filter!$R$1) )</f>
        <v>42171</v>
      </c>
      <c r="I66" s="43">
        <f t="array" aca="1" ref="I66" ca="1">IF( $C66="", "", _xll.IMDP("IDX",$C66,I$6,$D$4,"Fill=true, Per="&amp;filter!$R$1) )</f>
        <v>615992</v>
      </c>
      <c r="J66" s="34">
        <f t="array" aca="1" ref="J66" ca="1">IF( $C66="", "", _xll.IMDP("IDX",$C66,J$6,$D$4,"Fill=true, Per="&amp;filter!$R$1) )</f>
        <v>1278.48</v>
      </c>
      <c r="K66" s="38">
        <f t="array" aca="1" ref="K66" ca="1">IF( $C66="", "", _xll.IMDP("IDX",$C66,K$6,$D$4,"Fill=true, Per="&amp;filter!$R$1) )</f>
        <v>1278.73</v>
      </c>
      <c r="L66" s="39">
        <f t="array" aca="1" ref="L66" ca="1">IF( $C66="", "", _xll.IMDP("IDX",$C66,L$6,$D$4,"Fill=true, Per="&amp;filter!$R$1) )</f>
        <v>0</v>
      </c>
      <c r="M66" s="50">
        <f t="array" aca="1" ref="M66" ca="1">IF( $C66="", "", _xll.IMDP("IDX",$C66,M$6,$D$4,"Fill=true, Per="&amp;filter!$R$1) )</f>
        <v>11304</v>
      </c>
      <c r="N66" s="51">
        <f t="array" aca="1" ref="N66" ca="1">IF( $C66="", "", _xll.IMDP("IDX",$C66,N$6,$D$4,"Fill=true, Per="&amp;filter!$R$1) )</f>
        <v>-18734</v>
      </c>
      <c r="O66" s="52">
        <f t="array" aca="1" ref="O66" ca="1">IF( $C66="", "", _xll.IMDP("IDX",$C66,O$6,$D$4,"Fill=true, Per="&amp;filter!$R$1) )</f>
        <v>6542</v>
      </c>
    </row>
    <row r="67" spans="2:15">
      <c r="B67" s="21">
        <f t="shared" si="0"/>
        <v>59</v>
      </c>
      <c r="C67" s="17" t="str">
        <f>IFERROR( VLOOKUP(ROWS($B$8:B66), filter!$I:$J, 2, 0), "")</f>
        <v>KGS17P</v>
      </c>
      <c r="D67" s="16" t="str" cm="1">
        <f t="array" ref="D67">IF( $C67="", "", _xll.IMDP("IDX", $C67, D$6) )</f>
        <v>보험</v>
      </c>
      <c r="E67" s="34">
        <f t="array" aca="1" ref="E67" ca="1">IF( $C67="", "", _xll.IMDP("IDX",$C67,E$6,$D$4,"Fill=true, Per="&amp;filter!$R$1) )</f>
        <v>22941.98</v>
      </c>
      <c r="F67" s="38">
        <f t="array" aca="1" ref="F67" ca="1">IF( $C67="", "", _xll.IMDP("IDX",$C67,F$6,$D$4,"Fill=true, Per="&amp;filter!$R$1) )</f>
        <v>1038.0099999999984</v>
      </c>
      <c r="G67" s="39">
        <f t="array" aca="1" ref="G67" ca="1">IF( $C67="", "", _xll.IMDP("IDX",$C67,G$6,$D$4,"Fill=true, Per="&amp;filter!$R$1) )</f>
        <v>4.74</v>
      </c>
      <c r="H67" s="43">
        <f t="array" aca="1" ref="H67" ca="1">IF( $C67="", "", _xll.IMDP("IDX",$C67,H$6,$D$4,"Fill=true, Per="&amp;filter!$R$1) )</f>
        <v>6758</v>
      </c>
      <c r="I67" s="43">
        <f t="array" aca="1" ref="I67" ca="1">IF( $C67="", "", _xll.IMDP("IDX",$C67,I$6,$D$4,"Fill=true, Per="&amp;filter!$R$1) )</f>
        <v>263742</v>
      </c>
      <c r="J67" s="34">
        <f t="array" aca="1" ref="J67" ca="1">IF( $C67="", "", _xll.IMDP("IDX",$C67,J$6,$D$4,"Fill=true, Per="&amp;filter!$R$1) )</f>
        <v>21882.85</v>
      </c>
      <c r="K67" s="38">
        <f t="array" aca="1" ref="K67" ca="1">IF( $C67="", "", _xll.IMDP("IDX",$C67,K$6,$D$4,"Fill=true, Per="&amp;filter!$R$1) )</f>
        <v>23195.95</v>
      </c>
      <c r="L67" s="39">
        <f t="array" aca="1" ref="L67" ca="1">IF( $C67="", "", _xll.IMDP("IDX",$C67,L$6,$D$4,"Fill=true, Per="&amp;filter!$R$1) )</f>
        <v>0</v>
      </c>
      <c r="M67" s="50">
        <f t="array" aca="1" ref="M67" ca="1">IF( $C67="", "", _xll.IMDP("IDX",$C67,M$6,$D$4,"Fill=true, Per="&amp;filter!$R$1) )</f>
        <v>-62207</v>
      </c>
      <c r="N67" s="51">
        <f t="array" aca="1" ref="N67" ca="1">IF( $C67="", "", _xll.IMDP("IDX",$C67,N$6,$D$4,"Fill=true, Per="&amp;filter!$R$1) )</f>
        <v>14468</v>
      </c>
      <c r="O67" s="52">
        <f t="array" aca="1" ref="O67" ca="1">IF( $C67="", "", _xll.IMDP("IDX",$C67,O$6,$D$4,"Fill=true, Per="&amp;filter!$R$1) )</f>
        <v>49081</v>
      </c>
    </row>
    <row r="68" spans="2:15">
      <c r="B68" s="21">
        <f t="shared" si="0"/>
        <v>60</v>
      </c>
      <c r="C68" s="17" t="str">
        <f>IFERROR( VLOOKUP(ROWS($B$8:B67), filter!$I:$J, 2, 0), "")</f>
        <v>K2S09P</v>
      </c>
      <c r="D68" s="16" t="str" cm="1">
        <f t="array" ref="D68">IF( $C68="", "", _xll.IMDP("IDX", $C68, D$6) )</f>
        <v>코스피 200 철강/소재</v>
      </c>
      <c r="E68" s="34">
        <f t="array" aca="1" ref="E68" ca="1">IF( $C68="", "", _xll.IMDP("IDX",$C68,E$6,$D$4,"Fill=true, Per="&amp;filter!$R$1) )</f>
        <v>760.48</v>
      </c>
      <c r="F68" s="38">
        <f t="array" aca="1" ref="F68" ca="1">IF( $C68="", "", _xll.IMDP("IDX",$C68,F$6,$D$4,"Fill=true, Per="&amp;filter!$R$1) )</f>
        <v>27.610000000000014</v>
      </c>
      <c r="G68" s="39">
        <f t="array" aca="1" ref="G68" ca="1">IF( $C68="", "", _xll.IMDP("IDX",$C68,G$6,$D$4,"Fill=true, Per="&amp;filter!$R$1) )</f>
        <v>3.77</v>
      </c>
      <c r="H68" s="43">
        <f t="array" aca="1" ref="H68" ca="1">IF( $C68="", "", _xll.IMDP("IDX",$C68,H$6,$D$4,"Fill=true, Per="&amp;filter!$R$1) )</f>
        <v>4012</v>
      </c>
      <c r="I68" s="43">
        <f t="array" aca="1" ref="I68" ca="1">IF( $C68="", "", _xll.IMDP("IDX",$C68,I$6,$D$4,"Fill=true, Per="&amp;filter!$R$1) )</f>
        <v>454782</v>
      </c>
      <c r="J68" s="34">
        <f t="array" aca="1" ref="J68" ca="1">IF( $C68="", "", _xll.IMDP("IDX",$C68,J$6,$D$4,"Fill=true, Per="&amp;filter!$R$1) )</f>
        <v>735.4</v>
      </c>
      <c r="K68" s="38">
        <f t="array" aca="1" ref="K68" ca="1">IF( $C68="", "", _xll.IMDP("IDX",$C68,K$6,$D$4,"Fill=true, Per="&amp;filter!$R$1) )</f>
        <v>768.89</v>
      </c>
      <c r="L68" s="39">
        <f t="array" aca="1" ref="L68" ca="1">IF( $C68="", "", _xll.IMDP("IDX",$C68,L$6,$D$4,"Fill=true, Per="&amp;filter!$R$1) )</f>
        <v>0</v>
      </c>
      <c r="M68" s="50" t="str">
        <f t="array" aca="1" ref="M68" ca="1">IF( $C68="", "", _xll.IMDP("IDX",$C68,M$6,$D$4,"Fill=true, Per="&amp;filter!$R$1) )</f>
        <v/>
      </c>
      <c r="N68" s="51" t="str">
        <f t="array" aca="1" ref="N68" ca="1">IF( $C68="", "", _xll.IMDP("IDX",$C68,N$6,$D$4,"Fill=true, Per="&amp;filter!$R$1) )</f>
        <v/>
      </c>
      <c r="O68" s="52" t="str">
        <f t="array" aca="1" ref="O68" ca="1">IF( $C68="", "", _xll.IMDP("IDX",$C68,O$6,$D$4,"Fill=true, Per="&amp;filter!$R$1) )</f>
        <v/>
      </c>
    </row>
    <row r="69" spans="2:15">
      <c r="B69" s="21">
        <f t="shared" si="0"/>
        <v>61</v>
      </c>
      <c r="C69" s="17" t="str">
        <f>IFERROR( VLOOKUP(ROWS($B$8:B68), filter!$I:$J, 2, 0), "")</f>
        <v>QGS01P</v>
      </c>
      <c r="D69" s="16" t="str" cm="1">
        <f t="array" ref="D69">IF( $C69="", "", _xll.IMDP("IDX", $C69, D$6) )</f>
        <v>기타서비스</v>
      </c>
      <c r="E69" s="34">
        <f t="array" aca="1" ref="E69" ca="1">IF( $C69="", "", _xll.IMDP("IDX",$C69,E$6,$D$4,"Fill=true, Per="&amp;filter!$R$1) )</f>
        <v>4021.46</v>
      </c>
      <c r="F69" s="38">
        <f t="array" aca="1" ref="F69" ca="1">IF( $C69="", "", _xll.IMDP("IDX",$C69,F$6,$D$4,"Fill=true, Per="&amp;filter!$R$1) )</f>
        <v>-24.489999999999782</v>
      </c>
      <c r="G69" s="39">
        <f t="array" aca="1" ref="G69" ca="1">IF( $C69="", "", _xll.IMDP("IDX",$C69,G$6,$D$4,"Fill=true, Per="&amp;filter!$R$1) )</f>
        <v>-0.61</v>
      </c>
      <c r="H69" s="43">
        <f t="array" aca="1" ref="H69" ca="1">IF( $C69="", "", _xll.IMDP("IDX",$C69,H$6,$D$4,"Fill=true, Per="&amp;filter!$R$1) )</f>
        <v>278450</v>
      </c>
      <c r="I69" s="43">
        <f t="array" aca="1" ref="I69" ca="1">IF( $C69="", "", _xll.IMDP("IDX",$C69,I$6,$D$4,"Fill=true, Per="&amp;filter!$R$1) )</f>
        <v>2229461</v>
      </c>
      <c r="J69" s="34">
        <f t="array" aca="1" ref="J69" ca="1">IF( $C69="", "", _xll.IMDP("IDX",$C69,J$6,$D$4,"Fill=true, Per="&amp;filter!$R$1) )</f>
        <v>4057.47</v>
      </c>
      <c r="K69" s="38">
        <f t="array" aca="1" ref="K69" ca="1">IF( $C69="", "", _xll.IMDP("IDX",$C69,K$6,$D$4,"Fill=true, Per="&amp;filter!$R$1) )</f>
        <v>4107.83</v>
      </c>
      <c r="L69" s="39">
        <f t="array" aca="1" ref="L69" ca="1">IF( $C69="", "", _xll.IMDP("IDX",$C69,L$6,$D$4,"Fill=true, Per="&amp;filter!$R$1) )</f>
        <v>0</v>
      </c>
      <c r="M69" s="50">
        <f t="array" aca="1" ref="M69" ca="1">IF( $C69="", "", _xll.IMDP("IDX",$C69,M$6,$D$4,"Fill=true, Per="&amp;filter!$R$1) )</f>
        <v>22056</v>
      </c>
      <c r="N69" s="51">
        <f t="array" aca="1" ref="N69" ca="1">IF( $C69="", "", _xll.IMDP("IDX",$C69,N$6,$D$4,"Fill=true, Per="&amp;filter!$R$1) )</f>
        <v>-21737</v>
      </c>
      <c r="O69" s="52">
        <f t="array" aca="1" ref="O69" ca="1">IF( $C69="", "", _xll.IMDP("IDX",$C69,O$6,$D$4,"Fill=true, Per="&amp;filter!$R$1) )</f>
        <v>1008</v>
      </c>
    </row>
    <row r="70" spans="2:15">
      <c r="B70" s="21">
        <f t="shared" si="0"/>
        <v>62</v>
      </c>
      <c r="C70" s="17" t="str">
        <f>IFERROR( VLOOKUP(ROWS($B$8:B69), filter!$I:$J, 2, 0), "")</f>
        <v>QGS16P</v>
      </c>
      <c r="D70" s="16" t="str" cm="1">
        <f t="array" ref="D70">IF( $C70="", "", _xll.IMDP("IDX", $C70, D$6) )</f>
        <v>기계·장비</v>
      </c>
      <c r="E70" s="34">
        <f t="array" aca="1" ref="E70" ca="1">IF( $C70="", "", _xll.IMDP("IDX",$C70,E$6,$D$4,"Fill=true, Per="&amp;filter!$R$1) )</f>
        <v>402.56</v>
      </c>
      <c r="F70" s="38">
        <f t="array" aca="1" ref="F70" ca="1">IF( $C70="", "", _xll.IMDP("IDX",$C70,F$6,$D$4,"Fill=true, Per="&amp;filter!$R$1) )</f>
        <v>-14.29000000000002</v>
      </c>
      <c r="G70" s="39">
        <f t="array" aca="1" ref="G70" ca="1">IF( $C70="", "", _xll.IMDP("IDX",$C70,G$6,$D$4,"Fill=true, Per="&amp;filter!$R$1) )</f>
        <v>-3.43</v>
      </c>
      <c r="H70" s="43">
        <f t="array" aca="1" ref="H70" ca="1">IF( $C70="", "", _xll.IMDP("IDX",$C70,H$6,$D$4,"Fill=true, Per="&amp;filter!$R$1) )</f>
        <v>185788</v>
      </c>
      <c r="I70" s="43">
        <f t="array" aca="1" ref="I70" ca="1">IF( $C70="", "", _xll.IMDP("IDX",$C70,I$6,$D$4,"Fill=true, Per="&amp;filter!$R$1) )</f>
        <v>1554248</v>
      </c>
      <c r="J70" s="34">
        <f t="array" aca="1" ref="J70" ca="1">IF( $C70="", "", _xll.IMDP("IDX",$C70,J$6,$D$4,"Fill=true, Per="&amp;filter!$R$1) )</f>
        <v>416.09</v>
      </c>
      <c r="K70" s="38">
        <f t="array" aca="1" ref="K70" ca="1">IF( $C70="", "", _xll.IMDP("IDX",$C70,K$6,$D$4,"Fill=true, Per="&amp;filter!$R$1) )</f>
        <v>416.09</v>
      </c>
      <c r="L70" s="39">
        <f t="array" aca="1" ref="L70" ca="1">IF( $C70="", "", _xll.IMDP("IDX",$C70,L$6,$D$4,"Fill=true, Per="&amp;filter!$R$1) )</f>
        <v>0</v>
      </c>
      <c r="M70" s="50">
        <f t="array" aca="1" ref="M70" ca="1">IF( $C70="", "", _xll.IMDP("IDX",$C70,M$6,$D$4,"Fill=true, Per="&amp;filter!$R$1) )</f>
        <v>76082</v>
      </c>
      <c r="N70" s="51">
        <f t="array" aca="1" ref="N70" ca="1">IF( $C70="", "", _xll.IMDP("IDX",$C70,N$6,$D$4,"Fill=true, Per="&amp;filter!$R$1) )</f>
        <v>-48614</v>
      </c>
      <c r="O70" s="52">
        <f t="array" aca="1" ref="O70" ca="1">IF( $C70="", "", _xll.IMDP("IDX",$C70,O$6,$D$4,"Fill=true, Per="&amp;filter!$R$1) )</f>
        <v>-23213</v>
      </c>
    </row>
    <row r="71" spans="2:15">
      <c r="B71" s="21">
        <f t="shared" si="0"/>
        <v>63</v>
      </c>
      <c r="C71" s="17" t="str">
        <f>IFERROR( VLOOKUP(ROWS($B$8:B70), filter!$I:$J, 2, 0), "")</f>
        <v>K2X07P</v>
      </c>
      <c r="D71" s="16" t="str" cm="1">
        <f t="array" ref="D71">IF( $C71="", "", _xll.IMDP("IDX", $C71, D$6) )</f>
        <v>코스피 200 건설 레버리지지수</v>
      </c>
      <c r="E71" s="34">
        <f t="array" aca="1" ref="E71" ca="1">IF( $C71="", "", _xll.IMDP("IDX",$C71,E$6,$D$4,"Fill=true, Per="&amp;filter!$R$1) )</f>
        <v>189.8</v>
      </c>
      <c r="F71" s="38">
        <f t="array" aca="1" ref="F71" ca="1">IF( $C71="", "", _xll.IMDP("IDX",$C71,F$6,$D$4,"Fill=true, Per="&amp;filter!$R$1) )</f>
        <v>3.5400000000000205</v>
      </c>
      <c r="G71" s="39">
        <f t="array" aca="1" ref="G71" ca="1">IF( $C71="", "", _xll.IMDP("IDX",$C71,G$6,$D$4,"Fill=true, Per="&amp;filter!$R$1) )</f>
        <v>1.9</v>
      </c>
      <c r="H71" s="43">
        <f t="array" aca="1" ref="H71" ca="1">IF( $C71="", "", _xll.IMDP("IDX",$C71,H$6,$D$4,"Fill=true, Per="&amp;filter!$R$1) )</f>
        <v>0</v>
      </c>
      <c r="I71" s="43">
        <f t="array" aca="1" ref="I71" ca="1">IF( $C71="", "", _xll.IMDP("IDX",$C71,I$6,$D$4,"Fill=true, Per="&amp;filter!$R$1) )</f>
        <v>0</v>
      </c>
      <c r="J71" s="34">
        <f t="array" aca="1" ref="J71" ca="1">IF( $C71="", "", _xll.IMDP("IDX",$C71,J$6,$D$4,"Fill=true, Per="&amp;filter!$R$1) )</f>
        <v>186.67</v>
      </c>
      <c r="K71" s="38">
        <f t="array" aca="1" ref="K71" ca="1">IF( $C71="", "", _xll.IMDP("IDX",$C71,K$6,$D$4,"Fill=true, Per="&amp;filter!$R$1) )</f>
        <v>191.02</v>
      </c>
      <c r="L71" s="39">
        <f t="array" aca="1" ref="L71" ca="1">IF( $C71="", "", _xll.IMDP("IDX",$C71,L$6,$D$4,"Fill=true, Per="&amp;filter!$R$1) )</f>
        <v>0</v>
      </c>
      <c r="M71" s="50" t="str">
        <f t="array" aca="1" ref="M71" ca="1">IF( $C71="", "", _xll.IMDP("IDX",$C71,M$6,$D$4,"Fill=true, Per="&amp;filter!$R$1) )</f>
        <v/>
      </c>
      <c r="N71" s="51" t="str">
        <f t="array" aca="1" ref="N71" ca="1">IF( $C71="", "", _xll.IMDP("IDX",$C71,N$6,$D$4,"Fill=true, Per="&amp;filter!$R$1) )</f>
        <v/>
      </c>
      <c r="O71" s="52" t="str">
        <f t="array" aca="1" ref="O71" ca="1">IF( $C71="", "", _xll.IMDP("IDX",$C71,O$6,$D$4,"Fill=true, Per="&amp;filter!$R$1) )</f>
        <v/>
      </c>
    </row>
    <row r="72" spans="2:15">
      <c r="B72" s="21">
        <f t="shared" si="0"/>
        <v>64</v>
      </c>
      <c r="C72" s="17" t="str">
        <f>IFERROR( VLOOKUP(ROWS($B$8:B71), filter!$I:$J, 2, 0), "")</f>
        <v>K2S02P</v>
      </c>
      <c r="D72" s="16" t="str" cm="1">
        <f t="array" ref="D72">IF( $C72="", "", _xll.IMDP("IDX", $C72, D$6) )</f>
        <v>코스피 200 건설</v>
      </c>
      <c r="E72" s="34">
        <f t="array" aca="1" ref="E72" ca="1">IF( $C72="", "", _xll.IMDP("IDX",$C72,E$6,$D$4,"Fill=true, Per="&amp;filter!$R$1) )</f>
        <v>323.31</v>
      </c>
      <c r="F72" s="38">
        <f t="array" aca="1" ref="F72" ca="1">IF( $C72="", "", _xll.IMDP("IDX",$C72,F$6,$D$4,"Fill=true, Per="&amp;filter!$R$1) )</f>
        <v>3.1399999999999864</v>
      </c>
      <c r="G72" s="39">
        <f t="array" aca="1" ref="G72" ca="1">IF( $C72="", "", _xll.IMDP("IDX",$C72,G$6,$D$4,"Fill=true, Per="&amp;filter!$R$1) )</f>
        <v>0.98</v>
      </c>
      <c r="H72" s="43">
        <f t="array" aca="1" ref="H72" ca="1">IF( $C72="", "", _xll.IMDP("IDX",$C72,H$6,$D$4,"Fill=true, Per="&amp;filter!$R$1) )</f>
        <v>6018</v>
      </c>
      <c r="I72" s="43">
        <f t="array" aca="1" ref="I72" ca="1">IF( $C72="", "", _xll.IMDP("IDX",$C72,I$6,$D$4,"Fill=true, Per="&amp;filter!$R$1) )</f>
        <v>213775</v>
      </c>
      <c r="J72" s="34">
        <f t="array" aca="1" ref="J72" ca="1">IF( $C72="", "", _xll.IMDP("IDX",$C72,J$6,$D$4,"Fill=true, Per="&amp;filter!$R$1) )</f>
        <v>320.57</v>
      </c>
      <c r="K72" s="38">
        <f t="array" aca="1" ref="K72" ca="1">IF( $C72="", "", _xll.IMDP("IDX",$C72,K$6,$D$4,"Fill=true, Per="&amp;filter!$R$1) )</f>
        <v>324.37</v>
      </c>
      <c r="L72" s="39">
        <f t="array" aca="1" ref="L72" ca="1">IF( $C72="", "", _xll.IMDP("IDX",$C72,L$6,$D$4,"Fill=true, Per="&amp;filter!$R$1) )</f>
        <v>0</v>
      </c>
      <c r="M72" s="50" t="str">
        <f t="array" aca="1" ref="M72" ca="1">IF( $C72="", "", _xll.IMDP("IDX",$C72,M$6,$D$4,"Fill=true, Per="&amp;filter!$R$1) )</f>
        <v/>
      </c>
      <c r="N72" s="51" t="str">
        <f t="array" aca="1" ref="N72" ca="1">IF( $C72="", "", _xll.IMDP("IDX",$C72,N$6,$D$4,"Fill=true, Per="&amp;filter!$R$1) )</f>
        <v/>
      </c>
      <c r="O72" s="52" t="str">
        <f t="array" aca="1" ref="O72" ca="1">IF( $C72="", "", _xll.IMDP("IDX",$C72,O$6,$D$4,"Fill=true, Per="&amp;filter!$R$1) )</f>
        <v/>
      </c>
    </row>
    <row r="73" spans="2:15">
      <c r="B73" s="21">
        <f t="shared" si="0"/>
        <v>65</v>
      </c>
      <c r="C73" s="17" t="str">
        <f>IFERROR( VLOOKUP(ROWS($B$8:B72), filter!$I:$J, 2, 0), "")</f>
        <v>QGG04P</v>
      </c>
      <c r="D73" s="16" t="str" cm="1">
        <f t="array" ref="D73">IF( $C73="", "", _xll.IMDP("IDX", $C73, D$6) )</f>
        <v>코스닥 벤처기업부</v>
      </c>
      <c r="E73" s="34">
        <f t="array" aca="1" ref="E73" ca="1">IF( $C73="", "", _xll.IMDP("IDX",$C73,E$6,$D$4,"Fill=true, Per="&amp;filter!$R$1) )</f>
        <v>1381.59</v>
      </c>
      <c r="F73" s="38">
        <f t="array" aca="1" ref="F73" ca="1">IF( $C73="", "", _xll.IMDP("IDX",$C73,F$6,$D$4,"Fill=true, Per="&amp;filter!$R$1) )</f>
        <v>17.079999999999927</v>
      </c>
      <c r="G73" s="39">
        <f t="array" aca="1" ref="G73" ca="1">IF( $C73="", "", _xll.IMDP("IDX",$C73,G$6,$D$4,"Fill=true, Per="&amp;filter!$R$1) )</f>
        <v>1.25</v>
      </c>
      <c r="H73" s="43">
        <f t="array" aca="1" ref="H73" ca="1">IF( $C73="", "", _xll.IMDP("IDX",$C73,H$6,$D$4,"Fill=true, Per="&amp;filter!$R$1) )</f>
        <v>351040</v>
      </c>
      <c r="I73" s="43">
        <f t="array" aca="1" ref="I73" ca="1">IF( $C73="", "", _xll.IMDP("IDX",$C73,I$6,$D$4,"Fill=true, Per="&amp;filter!$R$1) )</f>
        <v>2216462</v>
      </c>
      <c r="J73" s="34">
        <f t="array" aca="1" ref="J73" ca="1">IF( $C73="", "", _xll.IMDP("IDX",$C73,J$6,$D$4,"Fill=true, Per="&amp;filter!$R$1) )</f>
        <v>1373.68</v>
      </c>
      <c r="K73" s="38">
        <f t="array" aca="1" ref="K73" ca="1">IF( $C73="", "", _xll.IMDP("IDX",$C73,K$6,$D$4,"Fill=true, Per="&amp;filter!$R$1) )</f>
        <v>1400.46</v>
      </c>
      <c r="L73" s="39">
        <f t="array" aca="1" ref="L73" ca="1">IF( $C73="", "", _xll.IMDP("IDX",$C73,L$6,$D$4,"Fill=true, Per="&amp;filter!$R$1) )</f>
        <v>0</v>
      </c>
      <c r="M73" s="50">
        <f t="array" aca="1" ref="M73" ca="1">IF( $C73="", "", _xll.IMDP("IDX",$C73,M$6,$D$4,"Fill=true, Per="&amp;filter!$R$1) )</f>
        <v>2867</v>
      </c>
      <c r="N73" s="51">
        <f t="array" aca="1" ref="N73" ca="1">IF( $C73="", "", _xll.IMDP("IDX",$C73,N$6,$D$4,"Fill=true, Per="&amp;filter!$R$1) )</f>
        <v>7987</v>
      </c>
      <c r="O73" s="52">
        <f t="array" aca="1" ref="O73" ca="1">IF( $C73="", "", _xll.IMDP("IDX",$C73,O$6,$D$4,"Fill=true, Per="&amp;filter!$R$1) )</f>
        <v>-9891</v>
      </c>
    </row>
    <row r="74" spans="2:15">
      <c r="B74" s="21">
        <f t="shared" si="0"/>
        <v>66</v>
      </c>
      <c r="C74" s="17" t="str">
        <f>IFERROR( VLOOKUP(ROWS($B$8:B73), filter!$I:$J, 2, 0), "")</f>
        <v>KGS13P</v>
      </c>
      <c r="D74" s="16" t="str" cm="1">
        <f t="array" ref="D74">IF( $C74="", "", _xll.IMDP("IDX", $C74, D$6) )</f>
        <v>운수창고</v>
      </c>
      <c r="E74" s="34">
        <f t="array" aca="1" ref="E74" ca="1">IF( $C74="", "", _xll.IMDP("IDX",$C74,E$6,$D$4,"Fill=true, Per="&amp;filter!$R$1) )</f>
        <v>1584.57</v>
      </c>
      <c r="F74" s="38">
        <f t="array" aca="1" ref="F74" ca="1">IF( $C74="", "", _xll.IMDP("IDX",$C74,F$6,$D$4,"Fill=true, Per="&amp;filter!$R$1) )</f>
        <v>-7.5499999999999545</v>
      </c>
      <c r="G74" s="39">
        <f t="array" aca="1" ref="G74" ca="1">IF( $C74="", "", _xll.IMDP("IDX",$C74,G$6,$D$4,"Fill=true, Per="&amp;filter!$R$1) )</f>
        <v>-0.47</v>
      </c>
      <c r="H74" s="43">
        <f t="array" aca="1" ref="H74" ca="1">IF( $C74="", "", _xll.IMDP("IDX",$C74,H$6,$D$4,"Fill=true, Per="&amp;filter!$R$1) )</f>
        <v>30642</v>
      </c>
      <c r="I74" s="43">
        <f t="array" aca="1" ref="I74" ca="1">IF( $C74="", "", _xll.IMDP("IDX",$C74,I$6,$D$4,"Fill=true, Per="&amp;filter!$R$1) )</f>
        <v>204985</v>
      </c>
      <c r="J74" s="34">
        <f t="array" aca="1" ref="J74" ca="1">IF( $C74="", "", _xll.IMDP("IDX",$C74,J$6,$D$4,"Fill=true, Per="&amp;filter!$R$1) )</f>
        <v>1594.99</v>
      </c>
      <c r="K74" s="38">
        <f t="array" aca="1" ref="K74" ca="1">IF( $C74="", "", _xll.IMDP("IDX",$C74,K$6,$D$4,"Fill=true, Per="&amp;filter!$R$1) )</f>
        <v>1597.1</v>
      </c>
      <c r="L74" s="39">
        <f t="array" aca="1" ref="L74" ca="1">IF( $C74="", "", _xll.IMDP("IDX",$C74,L$6,$D$4,"Fill=true, Per="&amp;filter!$R$1) )</f>
        <v>0</v>
      </c>
      <c r="M74" s="50">
        <f t="array" aca="1" ref="M74" ca="1">IF( $C74="", "", _xll.IMDP("IDX",$C74,M$6,$D$4,"Fill=true, Per="&amp;filter!$R$1) )</f>
        <v>-502</v>
      </c>
      <c r="N74" s="51">
        <f t="array" aca="1" ref="N74" ca="1">IF( $C74="", "", _xll.IMDP("IDX",$C74,N$6,$D$4,"Fill=true, Per="&amp;filter!$R$1) )</f>
        <v>-19532</v>
      </c>
      <c r="O74" s="52">
        <f t="array" aca="1" ref="O74" ca="1">IF( $C74="", "", _xll.IMDP("IDX",$C74,O$6,$D$4,"Fill=true, Per="&amp;filter!$R$1) )</f>
        <v>18956</v>
      </c>
    </row>
    <row r="75" spans="2:15">
      <c r="B75" s="21">
        <f t="shared" ref="B75:B138" si="1">IF( $C75&lt;&gt;"", B74+1, "")</f>
        <v>67</v>
      </c>
      <c r="C75" s="17" t="str">
        <f>IFERROR( VLOOKUP(ROWS($B$8:B74), filter!$I:$J, 2, 0), "")</f>
        <v>KGS01P</v>
      </c>
      <c r="D75" s="16" t="str" cm="1">
        <f t="array" ref="D75">IF( $C75="", "", _xll.IMDP("IDX", $C75, D$6) )</f>
        <v>음식료품</v>
      </c>
      <c r="E75" s="34">
        <f t="array" aca="1" ref="E75" ca="1">IF( $C75="", "", _xll.IMDP("IDX",$C75,E$6,$D$4,"Fill=true, Per="&amp;filter!$R$1) )</f>
        <v>3867.97</v>
      </c>
      <c r="F75" s="38">
        <f t="array" aca="1" ref="F75" ca="1">IF( $C75="", "", _xll.IMDP("IDX",$C75,F$6,$D$4,"Fill=true, Per="&amp;filter!$R$1) )</f>
        <v>-9.7800000000002001</v>
      </c>
      <c r="G75" s="39">
        <f t="array" aca="1" ref="G75" ca="1">IF( $C75="", "", _xll.IMDP("IDX",$C75,G$6,$D$4,"Fill=true, Per="&amp;filter!$R$1) )</f>
        <v>-0.25</v>
      </c>
      <c r="H75" s="43">
        <f t="array" aca="1" ref="H75" ca="1">IF( $C75="", "", _xll.IMDP("IDX",$C75,H$6,$D$4,"Fill=true, Per="&amp;filter!$R$1) )</f>
        <v>9727</v>
      </c>
      <c r="I75" s="43">
        <f t="array" aca="1" ref="I75" ca="1">IF( $C75="", "", _xll.IMDP("IDX",$C75,I$6,$D$4,"Fill=true, Per="&amp;filter!$R$1) )</f>
        <v>209611</v>
      </c>
      <c r="J75" s="34">
        <f t="array" aca="1" ref="J75" ca="1">IF( $C75="", "", _xll.IMDP("IDX",$C75,J$6,$D$4,"Fill=true, Per="&amp;filter!$R$1) )</f>
        <v>3898.36</v>
      </c>
      <c r="K75" s="38">
        <f t="array" aca="1" ref="K75" ca="1">IF( $C75="", "", _xll.IMDP("IDX",$C75,K$6,$D$4,"Fill=true, Per="&amp;filter!$R$1) )</f>
        <v>3911.88</v>
      </c>
      <c r="L75" s="39">
        <f t="array" aca="1" ref="L75" ca="1">IF( $C75="", "", _xll.IMDP("IDX",$C75,L$6,$D$4,"Fill=true, Per="&amp;filter!$R$1) )</f>
        <v>0</v>
      </c>
      <c r="M75" s="50">
        <f t="array" aca="1" ref="M75" ca="1">IF( $C75="", "", _xll.IMDP("IDX",$C75,M$6,$D$4,"Fill=true, Per="&amp;filter!$R$1) )</f>
        <v>8907</v>
      </c>
      <c r="N75" s="51">
        <f t="array" aca="1" ref="N75" ca="1">IF( $C75="", "", _xll.IMDP("IDX",$C75,N$6,$D$4,"Fill=true, Per="&amp;filter!$R$1) )</f>
        <v>-9344</v>
      </c>
      <c r="O75" s="52">
        <f t="array" aca="1" ref="O75" ca="1">IF( $C75="", "", _xll.IMDP("IDX",$C75,O$6,$D$4,"Fill=true, Per="&amp;filter!$R$1) )</f>
        <v>-1153</v>
      </c>
    </row>
    <row r="76" spans="2:15">
      <c r="B76" s="21">
        <f t="shared" si="1"/>
        <v>68</v>
      </c>
      <c r="C76" s="17" t="str">
        <f>IFERROR( VLOOKUP(ROWS($B$8:B75), filter!$I:$J, 2, 0), "")</f>
        <v>QGS12P</v>
      </c>
      <c r="D76" s="16" t="str" cm="1">
        <f t="array" ref="D76">IF( $C76="", "", _xll.IMDP("IDX", $C76, D$6) )</f>
        <v>출판·매체복제</v>
      </c>
      <c r="E76" s="34">
        <f t="array" aca="1" ref="E76" ca="1">IF( $C76="", "", _xll.IMDP("IDX",$C76,E$6,$D$4,"Fill=true, Per="&amp;filter!$R$1) )</f>
        <v>2014.73</v>
      </c>
      <c r="F76" s="38">
        <f t="array" aca="1" ref="F76" ca="1">IF( $C76="", "", _xll.IMDP("IDX",$C76,F$6,$D$4,"Fill=true, Per="&amp;filter!$R$1) )</f>
        <v>-14.829999999999927</v>
      </c>
      <c r="G76" s="39">
        <f t="array" aca="1" ref="G76" ca="1">IF( $C76="", "", _xll.IMDP("IDX",$C76,G$6,$D$4,"Fill=true, Per="&amp;filter!$R$1) )</f>
        <v>-0.73</v>
      </c>
      <c r="H76" s="43">
        <f t="array" aca="1" ref="H76" ca="1">IF( $C76="", "", _xll.IMDP("IDX",$C76,H$6,$D$4,"Fill=true, Per="&amp;filter!$R$1) )</f>
        <v>201343</v>
      </c>
      <c r="I76" s="43">
        <f t="array" aca="1" ref="I76" ca="1">IF( $C76="", "", _xll.IMDP("IDX",$C76,I$6,$D$4,"Fill=true, Per="&amp;filter!$R$1) )</f>
        <v>1279657</v>
      </c>
      <c r="J76" s="34">
        <f t="array" aca="1" ref="J76" ca="1">IF( $C76="", "", _xll.IMDP("IDX",$C76,J$6,$D$4,"Fill=true, Per="&amp;filter!$R$1) )</f>
        <v>2035.67</v>
      </c>
      <c r="K76" s="38">
        <f t="array" aca="1" ref="K76" ca="1">IF( $C76="", "", _xll.IMDP("IDX",$C76,K$6,$D$4,"Fill=true, Per="&amp;filter!$R$1) )</f>
        <v>2035.67</v>
      </c>
      <c r="L76" s="39">
        <f t="array" aca="1" ref="L76" ca="1">IF( $C76="", "", _xll.IMDP("IDX",$C76,L$6,$D$4,"Fill=true, Per="&amp;filter!$R$1) )</f>
        <v>0</v>
      </c>
      <c r="M76" s="50">
        <f t="array" aca="1" ref="M76" ca="1">IF( $C76="", "", _xll.IMDP("IDX",$C76,M$6,$D$4,"Fill=true, Per="&amp;filter!$R$1) )</f>
        <v>22981</v>
      </c>
      <c r="N76" s="51">
        <f t="array" aca="1" ref="N76" ca="1">IF( $C76="", "", _xll.IMDP("IDX",$C76,N$6,$D$4,"Fill=true, Per="&amp;filter!$R$1) )</f>
        <v>-16708</v>
      </c>
      <c r="O76" s="52">
        <f t="array" aca="1" ref="O76" ca="1">IF( $C76="", "", _xll.IMDP("IDX",$C76,O$6,$D$4,"Fill=true, Per="&amp;filter!$R$1) )</f>
        <v>-6939</v>
      </c>
    </row>
    <row r="77" spans="2:15">
      <c r="B77" s="21">
        <f t="shared" si="1"/>
        <v>69</v>
      </c>
      <c r="C77" s="17" t="str">
        <f>IFERROR( VLOOKUP(ROWS($B$8:B76), filter!$I:$J, 2, 0), "")</f>
        <v>QGS13P</v>
      </c>
      <c r="D77" s="16" t="str" cm="1">
        <f t="array" ref="D77">IF( $C77="", "", _xll.IMDP("IDX", $C77, D$6) )</f>
        <v>화학</v>
      </c>
      <c r="E77" s="34">
        <f t="array" aca="1" ref="E77" ca="1">IF( $C77="", "", _xll.IMDP("IDX",$C77,E$6,$D$4,"Fill=true, Per="&amp;filter!$R$1) )</f>
        <v>2783.5</v>
      </c>
      <c r="F77" s="38">
        <f t="array" aca="1" ref="F77" ca="1">IF( $C77="", "", _xll.IMDP("IDX",$C77,F$6,$D$4,"Fill=true, Per="&amp;filter!$R$1) )</f>
        <v>31.0300000000002</v>
      </c>
      <c r="G77" s="39">
        <f t="array" aca="1" ref="G77" ca="1">IF( $C77="", "", _xll.IMDP("IDX",$C77,G$6,$D$4,"Fill=true, Per="&amp;filter!$R$1) )</f>
        <v>1.1299999999999999</v>
      </c>
      <c r="H77" s="43">
        <f t="array" aca="1" ref="H77" ca="1">IF( $C77="", "", _xll.IMDP("IDX",$C77,H$6,$D$4,"Fill=true, Per="&amp;filter!$R$1) )</f>
        <v>67629</v>
      </c>
      <c r="I77" s="43">
        <f t="array" aca="1" ref="I77" ca="1">IF( $C77="", "", _xll.IMDP("IDX",$C77,I$6,$D$4,"Fill=true, Per="&amp;filter!$R$1) )</f>
        <v>763606</v>
      </c>
      <c r="J77" s="34">
        <f t="array" aca="1" ref="J77" ca="1">IF( $C77="", "", _xll.IMDP("IDX",$C77,J$6,$D$4,"Fill=true, Per="&amp;filter!$R$1) )</f>
        <v>2764.75</v>
      </c>
      <c r="K77" s="38">
        <f t="array" aca="1" ref="K77" ca="1">IF( $C77="", "", _xll.IMDP("IDX",$C77,K$6,$D$4,"Fill=true, Per="&amp;filter!$R$1) )</f>
        <v>2838.73</v>
      </c>
      <c r="L77" s="39">
        <f t="array" aca="1" ref="L77" ca="1">IF( $C77="", "", _xll.IMDP("IDX",$C77,L$6,$D$4,"Fill=true, Per="&amp;filter!$R$1) )</f>
        <v>0</v>
      </c>
      <c r="M77" s="50">
        <f t="array" aca="1" ref="M77" ca="1">IF( $C77="", "", _xll.IMDP("IDX",$C77,M$6,$D$4,"Fill=true, Per="&amp;filter!$R$1) )</f>
        <v>-4169</v>
      </c>
      <c r="N77" s="51">
        <f t="array" aca="1" ref="N77" ca="1">IF( $C77="", "", _xll.IMDP("IDX",$C77,N$6,$D$4,"Fill=true, Per="&amp;filter!$R$1) )</f>
        <v>6504</v>
      </c>
      <c r="O77" s="52">
        <f t="array" aca="1" ref="O77" ca="1">IF( $C77="", "", _xll.IMDP("IDX",$C77,O$6,$D$4,"Fill=true, Per="&amp;filter!$R$1) )</f>
        <v>-3345</v>
      </c>
    </row>
    <row r="78" spans="2:15">
      <c r="B78" s="21">
        <f t="shared" si="1"/>
        <v>70</v>
      </c>
      <c r="C78" s="17" t="str">
        <f>IFERROR( VLOOKUP(ROWS($B$8:B77), filter!$I:$J, 2, 0), "")</f>
        <v>KGS21P</v>
      </c>
      <c r="D78" s="16" t="str" cm="1">
        <f t="array" ref="D78">IF( $C78="", "", _xll.IMDP("IDX", $C78, D$6) )</f>
        <v>통신업</v>
      </c>
      <c r="E78" s="34">
        <f t="array" aca="1" ref="E78" ca="1">IF( $C78="", "", _xll.IMDP("IDX",$C78,E$6,$D$4,"Fill=true, Per="&amp;filter!$R$1) )</f>
        <v>421.11</v>
      </c>
      <c r="F78" s="38">
        <f t="array" aca="1" ref="F78" ca="1">IF( $C78="", "", _xll.IMDP("IDX",$C78,F$6,$D$4,"Fill=true, Per="&amp;filter!$R$1) )</f>
        <v>12.110000000000014</v>
      </c>
      <c r="G78" s="39">
        <f t="array" aca="1" ref="G78" ca="1">IF( $C78="", "", _xll.IMDP("IDX",$C78,G$6,$D$4,"Fill=true, Per="&amp;filter!$R$1) )</f>
        <v>2.96</v>
      </c>
      <c r="H78" s="43">
        <f t="array" aca="1" ref="H78" ca="1">IF( $C78="", "", _xll.IMDP("IDX",$C78,H$6,$D$4,"Fill=true, Per="&amp;filter!$R$1) )</f>
        <v>5353</v>
      </c>
      <c r="I78" s="43">
        <f t="array" aca="1" ref="I78" ca="1">IF( $C78="", "", _xll.IMDP("IDX",$C78,I$6,$D$4,"Fill=true, Per="&amp;filter!$R$1) )</f>
        <v>116744</v>
      </c>
      <c r="J78" s="34">
        <f t="array" aca="1" ref="J78" ca="1">IF( $C78="", "", _xll.IMDP("IDX",$C78,J$6,$D$4,"Fill=true, Per="&amp;filter!$R$1) )</f>
        <v>410.52</v>
      </c>
      <c r="K78" s="38">
        <f t="array" aca="1" ref="K78" ca="1">IF( $C78="", "", _xll.IMDP("IDX",$C78,K$6,$D$4,"Fill=true, Per="&amp;filter!$R$1) )</f>
        <v>421.74</v>
      </c>
      <c r="L78" s="39">
        <f t="array" aca="1" ref="L78" ca="1">IF( $C78="", "", _xll.IMDP("IDX",$C78,L$6,$D$4,"Fill=true, Per="&amp;filter!$R$1) )</f>
        <v>0</v>
      </c>
      <c r="M78" s="50">
        <f t="array" aca="1" ref="M78" ca="1">IF( $C78="", "", _xll.IMDP("IDX",$C78,M$6,$D$4,"Fill=true, Per="&amp;filter!$R$1) )</f>
        <v>-33214</v>
      </c>
      <c r="N78" s="51">
        <f t="array" aca="1" ref="N78" ca="1">IF( $C78="", "", _xll.IMDP("IDX",$C78,N$6,$D$4,"Fill=true, Per="&amp;filter!$R$1) )</f>
        <v>12780</v>
      </c>
      <c r="O78" s="52">
        <f t="array" aca="1" ref="O78" ca="1">IF( $C78="", "", _xll.IMDP("IDX",$C78,O$6,$D$4,"Fill=true, Per="&amp;filter!$R$1) )</f>
        <v>19934</v>
      </c>
    </row>
    <row r="79" spans="2:15">
      <c r="B79" s="21">
        <f t="shared" si="1"/>
        <v>71</v>
      </c>
      <c r="C79" s="17" t="str">
        <f>IFERROR( VLOOKUP(ROWS($B$8:B78), filter!$I:$J, 2, 0), "")</f>
        <v>KGS16P</v>
      </c>
      <c r="D79" s="16" t="str" cm="1">
        <f t="array" ref="D79">IF( $C79="", "", _xll.IMDP("IDX", $C79, D$6) )</f>
        <v>증권</v>
      </c>
      <c r="E79" s="34">
        <f t="array" aca="1" ref="E79" ca="1">IF( $C79="", "", _xll.IMDP("IDX",$C79,E$6,$D$4,"Fill=true, Per="&amp;filter!$R$1) )</f>
        <v>2267.54</v>
      </c>
      <c r="F79" s="38">
        <f t="array" aca="1" ref="F79" ca="1">IF( $C79="", "", _xll.IMDP("IDX",$C79,F$6,$D$4,"Fill=true, Per="&amp;filter!$R$1) )</f>
        <v>39.7199999999998</v>
      </c>
      <c r="G79" s="39">
        <f t="array" aca="1" ref="G79" ca="1">IF( $C79="", "", _xll.IMDP("IDX",$C79,G$6,$D$4,"Fill=true, Per="&amp;filter!$R$1) )</f>
        <v>1.78</v>
      </c>
      <c r="H79" s="43">
        <f t="array" aca="1" ref="H79" ca="1">IF( $C79="", "", _xll.IMDP("IDX",$C79,H$6,$D$4,"Fill=true, Per="&amp;filter!$R$1) )</f>
        <v>16795</v>
      </c>
      <c r="I79" s="43">
        <f t="array" aca="1" ref="I79" ca="1">IF( $C79="", "", _xll.IMDP("IDX",$C79,I$6,$D$4,"Fill=true, Per="&amp;filter!$R$1) )</f>
        <v>157484</v>
      </c>
      <c r="J79" s="34">
        <f t="array" aca="1" ref="J79" ca="1">IF( $C79="", "", _xll.IMDP("IDX",$C79,J$6,$D$4,"Fill=true, Per="&amp;filter!$R$1) )</f>
        <v>2231.61</v>
      </c>
      <c r="K79" s="38">
        <f t="array" aca="1" ref="K79" ca="1">IF( $C79="", "", _xll.IMDP("IDX",$C79,K$6,$D$4,"Fill=true, Per="&amp;filter!$R$1) )</f>
        <v>2279.12</v>
      </c>
      <c r="L79" s="39">
        <f t="array" aca="1" ref="L79" ca="1">IF( $C79="", "", _xll.IMDP("IDX",$C79,L$6,$D$4,"Fill=true, Per="&amp;filter!$R$1) )</f>
        <v>0</v>
      </c>
      <c r="M79" s="50">
        <f t="array" aca="1" ref="M79" ca="1">IF( $C79="", "", _xll.IMDP("IDX",$C79,M$6,$D$4,"Fill=true, Per="&amp;filter!$R$1) )</f>
        <v>-14855</v>
      </c>
      <c r="N79" s="51">
        <f t="array" aca="1" ref="N79" ca="1">IF( $C79="", "", _xll.IMDP("IDX",$C79,N$6,$D$4,"Fill=true, Per="&amp;filter!$R$1) )</f>
        <v>6319</v>
      </c>
      <c r="O79" s="52">
        <f t="array" aca="1" ref="O79" ca="1">IF( $C79="", "", _xll.IMDP("IDX",$C79,O$6,$D$4,"Fill=true, Per="&amp;filter!$R$1) )</f>
        <v>10114</v>
      </c>
    </row>
    <row r="80" spans="2:15">
      <c r="B80" s="21">
        <f t="shared" si="1"/>
        <v>72</v>
      </c>
      <c r="C80" s="17" t="str">
        <f>IFERROR( VLOOKUP(ROWS($B$8:B79), filter!$I:$J, 2, 0), "")</f>
        <v>QGS05P</v>
      </c>
      <c r="D80" s="16" t="str" cm="1">
        <f t="array" ref="D80">IF( $C80="", "", _xll.IMDP("IDX", $C80, D$6) )</f>
        <v>금융</v>
      </c>
      <c r="E80" s="34">
        <f t="array" aca="1" ref="E80" ca="1">IF( $C80="", "", _xll.IMDP("IDX",$C80,E$6,$D$4,"Fill=true, Per="&amp;filter!$R$1) )</f>
        <v>1282.5999999999999</v>
      </c>
      <c r="F80" s="38">
        <f t="array" aca="1" ref="F80" ca="1">IF( $C80="", "", _xll.IMDP("IDX",$C80,F$6,$D$4,"Fill=true, Per="&amp;filter!$R$1) )</f>
        <v>30.959999999999809</v>
      </c>
      <c r="G80" s="39">
        <f t="array" aca="1" ref="G80" ca="1">IF( $C80="", "", _xll.IMDP("IDX",$C80,G$6,$D$4,"Fill=true, Per="&amp;filter!$R$1) )</f>
        <v>2.4700000000000002</v>
      </c>
      <c r="H80" s="43">
        <f t="array" aca="1" ref="H80" ca="1">IF( $C80="", "", _xll.IMDP("IDX",$C80,H$6,$D$4,"Fill=true, Per="&amp;filter!$R$1) )</f>
        <v>49991</v>
      </c>
      <c r="I80" s="43">
        <f t="array" aca="1" ref="I80" ca="1">IF( $C80="", "", _xll.IMDP("IDX",$C80,I$6,$D$4,"Fill=true, Per="&amp;filter!$R$1) )</f>
        <v>289912</v>
      </c>
      <c r="J80" s="34">
        <f t="array" aca="1" ref="J80" ca="1">IF( $C80="", "", _xll.IMDP("IDX",$C80,J$6,$D$4,"Fill=true, Per="&amp;filter!$R$1) )</f>
        <v>1254.3499999999999</v>
      </c>
      <c r="K80" s="38">
        <f t="array" aca="1" ref="K80" ca="1">IF( $C80="", "", _xll.IMDP("IDX",$C80,K$6,$D$4,"Fill=true, Per="&amp;filter!$R$1) )</f>
        <v>1302.3599999999999</v>
      </c>
      <c r="L80" s="39">
        <f t="array" aca="1" ref="L80" ca="1">IF( $C80="", "", _xll.IMDP("IDX",$C80,L$6,$D$4,"Fill=true, Per="&amp;filter!$R$1) )</f>
        <v>0</v>
      </c>
      <c r="M80" s="50">
        <f t="array" aca="1" ref="M80" ca="1">IF( $C80="", "", _xll.IMDP("IDX",$C80,M$6,$D$4,"Fill=true, Per="&amp;filter!$R$1) )</f>
        <v>-30981</v>
      </c>
      <c r="N80" s="51">
        <f t="array" aca="1" ref="N80" ca="1">IF( $C80="", "", _xll.IMDP("IDX",$C80,N$6,$D$4,"Fill=true, Per="&amp;filter!$R$1) )</f>
        <v>-1590</v>
      </c>
      <c r="O80" s="52">
        <f t="array" aca="1" ref="O80" ca="1">IF( $C80="", "", _xll.IMDP("IDX",$C80,O$6,$D$4,"Fill=true, Per="&amp;filter!$R$1) )</f>
        <v>32857</v>
      </c>
    </row>
    <row r="81" spans="2:15">
      <c r="B81" s="21">
        <f t="shared" si="1"/>
        <v>73</v>
      </c>
      <c r="C81" s="17" t="str">
        <f>IFERROR( VLOOKUP(ROWS($B$8:B80), filter!$I:$J, 2, 0), "")</f>
        <v>KGS20P</v>
      </c>
      <c r="D81" s="16" t="str" cm="1">
        <f t="array" ref="D81">IF( $C81="", "", _xll.IMDP("IDX", $C81, D$6) )</f>
        <v>전기가스업</v>
      </c>
      <c r="E81" s="34">
        <f t="array" aca="1" ref="E81" ca="1">IF( $C81="", "", _xll.IMDP("IDX",$C81,E$6,$D$4,"Fill=true, Per="&amp;filter!$R$1) )</f>
        <v>801.37</v>
      </c>
      <c r="F81" s="38">
        <f t="array" aca="1" ref="F81" ca="1">IF( $C81="", "", _xll.IMDP("IDX",$C81,F$6,$D$4,"Fill=true, Per="&amp;filter!$R$1) )</f>
        <v>7.1599999999999682</v>
      </c>
      <c r="G81" s="39">
        <f t="array" aca="1" ref="G81" ca="1">IF( $C81="", "", _xll.IMDP("IDX",$C81,G$6,$D$4,"Fill=true, Per="&amp;filter!$R$1) )</f>
        <v>0.9</v>
      </c>
      <c r="H81" s="43">
        <f t="array" aca="1" ref="H81" ca="1">IF( $C81="", "", _xll.IMDP("IDX",$C81,H$6,$D$4,"Fill=true, Per="&amp;filter!$R$1) )</f>
        <v>8836</v>
      </c>
      <c r="I81" s="43">
        <f t="array" aca="1" ref="I81" ca="1">IF( $C81="", "", _xll.IMDP("IDX",$C81,I$6,$D$4,"Fill=true, Per="&amp;filter!$R$1) )</f>
        <v>332602</v>
      </c>
      <c r="J81" s="34">
        <f t="array" aca="1" ref="J81" ca="1">IF( $C81="", "", _xll.IMDP("IDX",$C81,J$6,$D$4,"Fill=true, Per="&amp;filter!$R$1) )</f>
        <v>792.34</v>
      </c>
      <c r="K81" s="38">
        <f t="array" aca="1" ref="K81" ca="1">IF( $C81="", "", _xll.IMDP("IDX",$C81,K$6,$D$4,"Fill=true, Per="&amp;filter!$R$1) )</f>
        <v>814.96</v>
      </c>
      <c r="L81" s="39">
        <f t="array" aca="1" ref="L81" ca="1">IF( $C81="", "", _xll.IMDP("IDX",$C81,L$6,$D$4,"Fill=true, Per="&amp;filter!$R$1) )</f>
        <v>0</v>
      </c>
      <c r="M81" s="50">
        <f t="array" aca="1" ref="M81" ca="1">IF( $C81="", "", _xll.IMDP("IDX",$C81,M$6,$D$4,"Fill=true, Per="&amp;filter!$R$1) )</f>
        <v>198</v>
      </c>
      <c r="N81" s="51">
        <f t="array" aca="1" ref="N81" ca="1">IF( $C81="", "", _xll.IMDP("IDX",$C81,N$6,$D$4,"Fill=true, Per="&amp;filter!$R$1) )</f>
        <v>3729</v>
      </c>
      <c r="O81" s="52">
        <f t="array" aca="1" ref="O81" ca="1">IF( $C81="", "", _xll.IMDP("IDX",$C81,O$6,$D$4,"Fill=true, Per="&amp;filter!$R$1) )</f>
        <v>-1945</v>
      </c>
    </row>
    <row r="82" spans="2:15">
      <c r="B82" s="21">
        <f t="shared" si="1"/>
        <v>74</v>
      </c>
      <c r="C82" s="17" t="str">
        <f>IFERROR( VLOOKUP(ROWS($B$8:B81), filter!$I:$J, 2, 0), "")</f>
        <v>QGS18P</v>
      </c>
      <c r="D82" s="16" t="str" cm="1">
        <f t="array" ref="D82">IF( $C82="", "", _xll.IMDP("IDX", $C82, D$6) )</f>
        <v>의료·정밀기기</v>
      </c>
      <c r="E82" s="34">
        <f t="array" aca="1" ref="E82" ca="1">IF( $C82="", "", _xll.IMDP("IDX",$C82,E$6,$D$4,"Fill=true, Per="&amp;filter!$R$1) )</f>
        <v>1899.93</v>
      </c>
      <c r="F82" s="38">
        <f t="array" aca="1" ref="F82" ca="1">IF( $C82="", "", _xll.IMDP("IDX",$C82,F$6,$D$4,"Fill=true, Per="&amp;filter!$R$1) )</f>
        <v>-2.8399999999999181</v>
      </c>
      <c r="G82" s="39">
        <f t="array" aca="1" ref="G82" ca="1">IF( $C82="", "", _xll.IMDP("IDX",$C82,G$6,$D$4,"Fill=true, Per="&amp;filter!$R$1) )</f>
        <v>-0.15</v>
      </c>
      <c r="H82" s="43">
        <f t="array" aca="1" ref="H82" ca="1">IF( $C82="", "", _xll.IMDP("IDX",$C82,H$6,$D$4,"Fill=true, Per="&amp;filter!$R$1) )</f>
        <v>121745</v>
      </c>
      <c r="I82" s="43">
        <f t="array" aca="1" ref="I82" ca="1">IF( $C82="", "", _xll.IMDP("IDX",$C82,I$6,$D$4,"Fill=true, Per="&amp;filter!$R$1) )</f>
        <v>1528321</v>
      </c>
      <c r="J82" s="34">
        <f t="array" aca="1" ref="J82" ca="1">IF( $C82="", "", _xll.IMDP("IDX",$C82,J$6,$D$4,"Fill=true, Per="&amp;filter!$R$1) )</f>
        <v>1907.7</v>
      </c>
      <c r="K82" s="38">
        <f t="array" aca="1" ref="K82" ca="1">IF( $C82="", "", _xll.IMDP("IDX",$C82,K$6,$D$4,"Fill=true, Per="&amp;filter!$R$1) )</f>
        <v>1919.56</v>
      </c>
      <c r="L82" s="39">
        <f t="array" aca="1" ref="L82" ca="1">IF( $C82="", "", _xll.IMDP("IDX",$C82,L$6,$D$4,"Fill=true, Per="&amp;filter!$R$1) )</f>
        <v>0</v>
      </c>
      <c r="M82" s="50">
        <f t="array" aca="1" ref="M82" ca="1">IF( $C82="", "", _xll.IMDP("IDX",$C82,M$6,$D$4,"Fill=true, Per="&amp;filter!$R$1) )</f>
        <v>24831</v>
      </c>
      <c r="N82" s="51">
        <f t="array" aca="1" ref="N82" ca="1">IF( $C82="", "", _xll.IMDP("IDX",$C82,N$6,$D$4,"Fill=true, Per="&amp;filter!$R$1) )</f>
        <v>-12783</v>
      </c>
      <c r="O82" s="52">
        <f t="array" aca="1" ref="O82" ca="1">IF( $C82="", "", _xll.IMDP("IDX",$C82,O$6,$D$4,"Fill=true, Per="&amp;filter!$R$1) )</f>
        <v>-3088</v>
      </c>
    </row>
    <row r="83" spans="2:15">
      <c r="B83" s="21">
        <f t="shared" si="1"/>
        <v>75</v>
      </c>
      <c r="C83" s="17" t="str">
        <f>IFERROR( VLOOKUP(ROWS($B$8:B82), filter!$I:$J, 2, 0), "")</f>
        <v>KGS12P</v>
      </c>
      <c r="D83" s="16" t="str" cm="1">
        <f t="array" ref="D83">IF( $C83="", "", _xll.IMDP("IDX", $C83, D$6) )</f>
        <v>건설업</v>
      </c>
      <c r="E83" s="34">
        <f t="array" aca="1" ref="E83" ca="1">IF( $C83="", "", _xll.IMDP("IDX",$C83,E$6,$D$4,"Fill=true, Per="&amp;filter!$R$1) )</f>
        <v>74.260000000000005</v>
      </c>
      <c r="F83" s="38">
        <f t="array" aca="1" ref="F83" ca="1">IF( $C83="", "", _xll.IMDP("IDX",$C83,F$6,$D$4,"Fill=true, Per="&amp;filter!$R$1) )</f>
        <v>-0.37999999999999545</v>
      </c>
      <c r="G83" s="39">
        <f t="array" aca="1" ref="G83" ca="1">IF( $C83="", "", _xll.IMDP("IDX",$C83,G$6,$D$4,"Fill=true, Per="&amp;filter!$R$1) )</f>
        <v>-0.51</v>
      </c>
      <c r="H83" s="43">
        <f t="array" aca="1" ref="H83" ca="1">IF( $C83="", "", _xll.IMDP("IDX",$C83,H$6,$D$4,"Fill=true, Per="&amp;filter!$R$1) )</f>
        <v>29747</v>
      </c>
      <c r="I83" s="43">
        <f t="array" aca="1" ref="I83" ca="1">IF( $C83="", "", _xll.IMDP("IDX",$C83,I$6,$D$4,"Fill=true, Per="&amp;filter!$R$1) )</f>
        <v>123019</v>
      </c>
      <c r="J83" s="34">
        <f t="array" aca="1" ref="J83" ca="1">IF( $C83="", "", _xll.IMDP("IDX",$C83,J$6,$D$4,"Fill=true, Per="&amp;filter!$R$1) )</f>
        <v>74.78</v>
      </c>
      <c r="K83" s="38">
        <f t="array" aca="1" ref="K83" ca="1">IF( $C83="", "", _xll.IMDP("IDX",$C83,K$6,$D$4,"Fill=true, Per="&amp;filter!$R$1) )</f>
        <v>75.010000000000005</v>
      </c>
      <c r="L83" s="39">
        <f t="array" aca="1" ref="L83" ca="1">IF( $C83="", "", _xll.IMDP("IDX",$C83,L$6,$D$4,"Fill=true, Per="&amp;filter!$R$1) )</f>
        <v>0</v>
      </c>
      <c r="M83" s="50">
        <f t="array" aca="1" ref="M83" ca="1">IF( $C83="", "", _xll.IMDP("IDX",$C83,M$6,$D$4,"Fill=true, Per="&amp;filter!$R$1) )</f>
        <v>-3843</v>
      </c>
      <c r="N83" s="51">
        <f t="array" aca="1" ref="N83" ca="1">IF( $C83="", "", _xll.IMDP("IDX",$C83,N$6,$D$4,"Fill=true, Per="&amp;filter!$R$1) )</f>
        <v>4292</v>
      </c>
      <c r="O83" s="52">
        <f t="array" aca="1" ref="O83" ca="1">IF( $C83="", "", _xll.IMDP("IDX",$C83,O$6,$D$4,"Fill=true, Per="&amp;filter!$R$1) )</f>
        <v>-285</v>
      </c>
    </row>
    <row r="84" spans="2:15">
      <c r="B84" s="21">
        <f t="shared" si="1"/>
        <v>76</v>
      </c>
      <c r="C84" s="17" t="str">
        <f>IFERROR( VLOOKUP(ROWS($B$8:B83), filter!$I:$J, 2, 0), "")</f>
        <v>QGS04P</v>
      </c>
      <c r="D84" s="16" t="str" cm="1">
        <f t="array" ref="D84">IF( $C84="", "", _xll.IMDP("IDX", $C84, D$6) )</f>
        <v>유통</v>
      </c>
      <c r="E84" s="34">
        <f t="array" aca="1" ref="E84" ca="1">IF( $C84="", "", _xll.IMDP("IDX",$C84,E$6,$D$4,"Fill=true, Per="&amp;filter!$R$1) )</f>
        <v>449.46</v>
      </c>
      <c r="F84" s="38">
        <f t="array" aca="1" ref="F84" ca="1">IF( $C84="", "", _xll.IMDP("IDX",$C84,F$6,$D$4,"Fill=true, Per="&amp;filter!$R$1) )</f>
        <v>5.0499999999999545</v>
      </c>
      <c r="G84" s="39">
        <f t="array" aca="1" ref="G84" ca="1">IF( $C84="", "", _xll.IMDP("IDX",$C84,G$6,$D$4,"Fill=true, Per="&amp;filter!$R$1) )</f>
        <v>1.1399999999999999</v>
      </c>
      <c r="H84" s="43">
        <f t="array" aca="1" ref="H84" ca="1">IF( $C84="", "", _xll.IMDP("IDX",$C84,H$6,$D$4,"Fill=true, Per="&amp;filter!$R$1) )</f>
        <v>121298</v>
      </c>
      <c r="I84" s="43">
        <f t="array" aca="1" ref="I84" ca="1">IF( $C84="", "", _xll.IMDP("IDX",$C84,I$6,$D$4,"Fill=true, Per="&amp;filter!$R$1) )</f>
        <v>673527</v>
      </c>
      <c r="J84" s="34">
        <f t="array" aca="1" ref="J84" ca="1">IF( $C84="", "", _xll.IMDP("IDX",$C84,J$6,$D$4,"Fill=true, Per="&amp;filter!$R$1) )</f>
        <v>449.72</v>
      </c>
      <c r="K84" s="38">
        <f t="array" aca="1" ref="K84" ca="1">IF( $C84="", "", _xll.IMDP("IDX",$C84,K$6,$D$4,"Fill=true, Per="&amp;filter!$R$1) )</f>
        <v>455.53</v>
      </c>
      <c r="L84" s="39">
        <f t="array" aca="1" ref="L84" ca="1">IF( $C84="", "", _xll.IMDP("IDX",$C84,L$6,$D$4,"Fill=true, Per="&amp;filter!$R$1) )</f>
        <v>0</v>
      </c>
      <c r="M84" s="50">
        <f t="array" aca="1" ref="M84" ca="1">IF( $C84="", "", _xll.IMDP("IDX",$C84,M$6,$D$4,"Fill=true, Per="&amp;filter!$R$1) )</f>
        <v>-16712</v>
      </c>
      <c r="N84" s="51">
        <f t="array" aca="1" ref="N84" ca="1">IF( $C84="", "", _xll.IMDP("IDX",$C84,N$6,$D$4,"Fill=true, Per="&amp;filter!$R$1) )</f>
        <v>14952</v>
      </c>
      <c r="O84" s="52">
        <f t="array" aca="1" ref="O84" ca="1">IF( $C84="", "", _xll.IMDP("IDX",$C84,O$6,$D$4,"Fill=true, Per="&amp;filter!$R$1) )</f>
        <v>-579</v>
      </c>
    </row>
    <row r="85" spans="2:15">
      <c r="B85" s="21">
        <f t="shared" si="1"/>
        <v>77</v>
      </c>
      <c r="C85" s="17" t="str">
        <f>IFERROR( VLOOKUP(ROWS($B$8:B84), filter!$I:$J, 2, 0), "")</f>
        <v>QGS34P</v>
      </c>
      <c r="D85" s="16" t="str" cm="1">
        <f t="array" ref="D85">IF( $C85="", "", _xll.IMDP("IDX", $C85, D$6) )</f>
        <v>오락·문화</v>
      </c>
      <c r="E85" s="34">
        <f t="array" aca="1" ref="E85" ca="1">IF( $C85="", "", _xll.IMDP("IDX",$C85,E$6,$D$4,"Fill=true, Per="&amp;filter!$R$1) )</f>
        <v>391.39</v>
      </c>
      <c r="F85" s="38">
        <f t="array" aca="1" ref="F85" ca="1">IF( $C85="", "", _xll.IMDP("IDX",$C85,F$6,$D$4,"Fill=true, Per="&amp;filter!$R$1) )</f>
        <v>-6.0400000000000205</v>
      </c>
      <c r="G85" s="39">
        <f t="array" aca="1" ref="G85" ca="1">IF( $C85="", "", _xll.IMDP("IDX",$C85,G$6,$D$4,"Fill=true, Per="&amp;filter!$R$1) )</f>
        <v>-1.52</v>
      </c>
      <c r="H85" s="43">
        <f t="array" aca="1" ref="H85" ca="1">IF( $C85="", "", _xll.IMDP("IDX",$C85,H$6,$D$4,"Fill=true, Per="&amp;filter!$R$1) )</f>
        <v>22736</v>
      </c>
      <c r="I85" s="43">
        <f t="array" aca="1" ref="I85" ca="1">IF( $C85="", "", _xll.IMDP("IDX",$C85,I$6,$D$4,"Fill=true, Per="&amp;filter!$R$1) )</f>
        <v>425505</v>
      </c>
      <c r="J85" s="34">
        <f t="array" aca="1" ref="J85" ca="1">IF( $C85="", "", _xll.IMDP("IDX",$C85,J$6,$D$4,"Fill=true, Per="&amp;filter!$R$1) )</f>
        <v>399.56</v>
      </c>
      <c r="K85" s="38">
        <f t="array" aca="1" ref="K85" ca="1">IF( $C85="", "", _xll.IMDP("IDX",$C85,K$6,$D$4,"Fill=true, Per="&amp;filter!$R$1) )</f>
        <v>400.91</v>
      </c>
      <c r="L85" s="39">
        <f t="array" aca="1" ref="L85" ca="1">IF( $C85="", "", _xll.IMDP("IDX",$C85,L$6,$D$4,"Fill=true, Per="&amp;filter!$R$1) )</f>
        <v>0</v>
      </c>
      <c r="M85" s="50">
        <f t="array" aca="1" ref="M85" ca="1">IF( $C85="", "", _xll.IMDP("IDX",$C85,M$6,$D$4,"Fill=true, Per="&amp;filter!$R$1) )</f>
        <v>7729</v>
      </c>
      <c r="N85" s="51">
        <f t="array" aca="1" ref="N85" ca="1">IF( $C85="", "", _xll.IMDP("IDX",$C85,N$6,$D$4,"Fill=true, Per="&amp;filter!$R$1) )</f>
        <v>-3312</v>
      </c>
      <c r="O85" s="52">
        <f t="array" aca="1" ref="O85" ca="1">IF( $C85="", "", _xll.IMDP("IDX",$C85,O$6,$D$4,"Fill=true, Per="&amp;filter!$R$1) )</f>
        <v>-5137</v>
      </c>
    </row>
    <row r="86" spans="2:15">
      <c r="B86" s="21">
        <f t="shared" si="1"/>
        <v>78</v>
      </c>
      <c r="C86" s="17" t="str">
        <f>IFERROR( VLOOKUP(ROWS($B$8:B85), filter!$I:$J, 2, 0), "")</f>
        <v>QGS19P</v>
      </c>
      <c r="D86" s="16" t="str" cm="1">
        <f t="array" ref="D86">IF( $C86="", "", _xll.IMDP("IDX", $C86, D$6) )</f>
        <v>운송장비·부품</v>
      </c>
      <c r="E86" s="34">
        <f t="array" aca="1" ref="E86" ca="1">IF( $C86="", "", _xll.IMDP("IDX",$C86,E$6,$D$4,"Fill=true, Per="&amp;filter!$R$1) )</f>
        <v>3625.28</v>
      </c>
      <c r="F86" s="38">
        <f t="array" aca="1" ref="F86" ca="1">IF( $C86="", "", _xll.IMDP("IDX",$C86,F$6,$D$4,"Fill=true, Per="&amp;filter!$R$1) )</f>
        <v>-56.409999999999854</v>
      </c>
      <c r="G86" s="39">
        <f t="array" aca="1" ref="G86" ca="1">IF( $C86="", "", _xll.IMDP("IDX",$C86,G$6,$D$4,"Fill=true, Per="&amp;filter!$R$1) )</f>
        <v>-1.53</v>
      </c>
      <c r="H86" s="43">
        <f t="array" aca="1" ref="H86" ca="1">IF( $C86="", "", _xll.IMDP("IDX",$C86,H$6,$D$4,"Fill=true, Per="&amp;filter!$R$1) )</f>
        <v>17314</v>
      </c>
      <c r="I86" s="43">
        <f t="array" aca="1" ref="I86" ca="1">IF( $C86="", "", _xll.IMDP("IDX",$C86,I$6,$D$4,"Fill=true, Per="&amp;filter!$R$1) )</f>
        <v>97899</v>
      </c>
      <c r="J86" s="34">
        <f t="array" aca="1" ref="J86" ca="1">IF( $C86="", "", _xll.IMDP("IDX",$C86,J$6,$D$4,"Fill=true, Per="&amp;filter!$R$1) )</f>
        <v>3695.76</v>
      </c>
      <c r="K86" s="38">
        <f t="array" aca="1" ref="K86" ca="1">IF( $C86="", "", _xll.IMDP("IDX",$C86,K$6,$D$4,"Fill=true, Per="&amp;filter!$R$1) )</f>
        <v>3696.32</v>
      </c>
      <c r="L86" s="39">
        <f t="array" aca="1" ref="L86" ca="1">IF( $C86="", "", _xll.IMDP("IDX",$C86,L$6,$D$4,"Fill=true, Per="&amp;filter!$R$1) )</f>
        <v>0</v>
      </c>
      <c r="M86" s="50">
        <f t="array" aca="1" ref="M86" ca="1">IF( $C86="", "", _xll.IMDP("IDX",$C86,M$6,$D$4,"Fill=true, Per="&amp;filter!$R$1) )</f>
        <v>2199</v>
      </c>
      <c r="N86" s="51">
        <f t="array" aca="1" ref="N86" ca="1">IF( $C86="", "", _xll.IMDP("IDX",$C86,N$6,$D$4,"Fill=true, Per="&amp;filter!$R$1) )</f>
        <v>-1137</v>
      </c>
      <c r="O86" s="52">
        <f t="array" aca="1" ref="O86" ca="1">IF( $C86="", "", _xll.IMDP("IDX",$C86,O$6,$D$4,"Fill=true, Per="&amp;filter!$R$1) )</f>
        <v>-1590</v>
      </c>
    </row>
    <row r="87" spans="2:15">
      <c r="B87" s="21">
        <f t="shared" si="1"/>
        <v>79</v>
      </c>
      <c r="C87" s="17" t="str">
        <f>IFERROR( VLOOKUP(ROWS($B$8:B86), filter!$I:$J, 2, 0), "")</f>
        <v>QGS15P</v>
      </c>
      <c r="D87" s="16" t="str" cm="1">
        <f t="array" ref="D87">IF( $C87="", "", _xll.IMDP("IDX", $C87, D$6) )</f>
        <v>금속</v>
      </c>
      <c r="E87" s="34">
        <f t="array" aca="1" ref="E87" ca="1">IF( $C87="", "", _xll.IMDP("IDX",$C87,E$6,$D$4,"Fill=true, Per="&amp;filter!$R$1) )</f>
        <v>1820.63</v>
      </c>
      <c r="F87" s="38">
        <f t="array" aca="1" ref="F87" ca="1">IF( $C87="", "", _xll.IMDP("IDX",$C87,F$6,$D$4,"Fill=true, Per="&amp;filter!$R$1) )</f>
        <v>11.1400000000001</v>
      </c>
      <c r="G87" s="39">
        <f t="array" aca="1" ref="G87" ca="1">IF( $C87="", "", _xll.IMDP("IDX",$C87,G$6,$D$4,"Fill=true, Per="&amp;filter!$R$1) )</f>
        <v>0.62</v>
      </c>
      <c r="H87" s="43">
        <f t="array" aca="1" ref="H87" ca="1">IF( $C87="", "", _xll.IMDP("IDX",$C87,H$6,$D$4,"Fill=true, Per="&amp;filter!$R$1) )</f>
        <v>57017</v>
      </c>
      <c r="I87" s="43">
        <f t="array" aca="1" ref="I87" ca="1">IF( $C87="", "", _xll.IMDP("IDX",$C87,I$6,$D$4,"Fill=true, Per="&amp;filter!$R$1) )</f>
        <v>397351</v>
      </c>
      <c r="J87" s="34">
        <f t="array" aca="1" ref="J87" ca="1">IF( $C87="", "", _xll.IMDP("IDX",$C87,J$6,$D$4,"Fill=true, Per="&amp;filter!$R$1) )</f>
        <v>1813.16</v>
      </c>
      <c r="K87" s="38">
        <f t="array" aca="1" ref="K87" ca="1">IF( $C87="", "", _xll.IMDP("IDX",$C87,K$6,$D$4,"Fill=true, Per="&amp;filter!$R$1) )</f>
        <v>1844.6</v>
      </c>
      <c r="L87" s="39">
        <f t="array" aca="1" ref="L87" ca="1">IF( $C87="", "", _xll.IMDP("IDX",$C87,L$6,$D$4,"Fill=true, Per="&amp;filter!$R$1) )</f>
        <v>0</v>
      </c>
      <c r="M87" s="50">
        <f t="array" aca="1" ref="M87" ca="1">IF( $C87="", "", _xll.IMDP("IDX",$C87,M$6,$D$4,"Fill=true, Per="&amp;filter!$R$1) )</f>
        <v>9910</v>
      </c>
      <c r="N87" s="51">
        <f t="array" aca="1" ref="N87" ca="1">IF( $C87="", "", _xll.IMDP("IDX",$C87,N$6,$D$4,"Fill=true, Per="&amp;filter!$R$1) )</f>
        <v>-175</v>
      </c>
      <c r="O87" s="52">
        <f t="array" aca="1" ref="O87" ca="1">IF( $C87="", "", _xll.IMDP("IDX",$C87,O$6,$D$4,"Fill=true, Per="&amp;filter!$R$1) )</f>
        <v>-7500</v>
      </c>
    </row>
    <row r="88" spans="2:15">
      <c r="B88" s="21">
        <f t="shared" si="1"/>
        <v>80</v>
      </c>
      <c r="C88" s="17" t="str">
        <f>IFERROR( VLOOKUP(ROWS($B$8:B87), filter!$I:$J, 2, 0), "")</f>
        <v>KGS02P</v>
      </c>
      <c r="D88" s="16" t="str" cm="1">
        <f t="array" ref="D88">IF( $C88="", "", _xll.IMDP("IDX", $C88, D$6) )</f>
        <v>섬유,의복</v>
      </c>
      <c r="E88" s="34">
        <f t="array" aca="1" ref="E88" ca="1">IF( $C88="", "", _xll.IMDP("IDX",$C88,E$6,$D$4,"Fill=true, Per="&amp;filter!$R$1) )</f>
        <v>223.9</v>
      </c>
      <c r="F88" s="38">
        <f t="array" aca="1" ref="F88" ca="1">IF( $C88="", "", _xll.IMDP("IDX",$C88,F$6,$D$4,"Fill=true, Per="&amp;filter!$R$1) )</f>
        <v>1.1299999999999955</v>
      </c>
      <c r="G88" s="39">
        <f t="array" aca="1" ref="G88" ca="1">IF( $C88="", "", _xll.IMDP("IDX",$C88,G$6,$D$4,"Fill=true, Per="&amp;filter!$R$1) )</f>
        <v>0.51</v>
      </c>
      <c r="H88" s="43">
        <f t="array" aca="1" ref="H88" ca="1">IF( $C88="", "", _xll.IMDP("IDX",$C88,H$6,$D$4,"Fill=true, Per="&amp;filter!$R$1) )</f>
        <v>3531</v>
      </c>
      <c r="I88" s="43">
        <f t="array" aca="1" ref="I88" ca="1">IF( $C88="", "", _xll.IMDP("IDX",$C88,I$6,$D$4,"Fill=true, Per="&amp;filter!$R$1) )</f>
        <v>23681</v>
      </c>
      <c r="J88" s="34">
        <f t="array" aca="1" ref="J88" ca="1">IF( $C88="", "", _xll.IMDP("IDX",$C88,J$6,$D$4,"Fill=true, Per="&amp;filter!$R$1) )</f>
        <v>222.95</v>
      </c>
      <c r="K88" s="38">
        <f t="array" aca="1" ref="K88" ca="1">IF( $C88="", "", _xll.IMDP("IDX",$C88,K$6,$D$4,"Fill=true, Per="&amp;filter!$R$1) )</f>
        <v>227.88</v>
      </c>
      <c r="L88" s="39">
        <f t="array" aca="1" ref="L88" ca="1">IF( $C88="", "", _xll.IMDP("IDX",$C88,L$6,$D$4,"Fill=true, Per="&amp;filter!$R$1) )</f>
        <v>0</v>
      </c>
      <c r="M88" s="50">
        <f t="array" aca="1" ref="M88" ca="1">IF( $C88="", "", _xll.IMDP("IDX",$C88,M$6,$D$4,"Fill=true, Per="&amp;filter!$R$1) )</f>
        <v>-266</v>
      </c>
      <c r="N88" s="51">
        <f t="array" aca="1" ref="N88" ca="1">IF( $C88="", "", _xll.IMDP("IDX",$C88,N$6,$D$4,"Fill=true, Per="&amp;filter!$R$1) )</f>
        <v>-1965</v>
      </c>
      <c r="O88" s="52">
        <f t="array" aca="1" ref="O88" ca="1">IF( $C88="", "", _xll.IMDP("IDX",$C88,O$6,$D$4,"Fill=true, Per="&amp;filter!$R$1) )</f>
        <v>1771</v>
      </c>
    </row>
    <row r="89" spans="2:15">
      <c r="B89" s="21">
        <f t="shared" si="1"/>
        <v>81</v>
      </c>
      <c r="C89" s="17" t="str">
        <f>IFERROR( VLOOKUP(ROWS($B$8:B88), filter!$I:$J, 2, 0), "")</f>
        <v>KGS06P</v>
      </c>
      <c r="D89" s="16" t="str" cm="1">
        <f t="array" ref="D89">IF( $C89="", "", _xll.IMDP("IDX", $C89, D$6) )</f>
        <v>비금속광물</v>
      </c>
      <c r="E89" s="34">
        <f t="array" aca="1" ref="E89" ca="1">IF( $C89="", "", _xll.IMDP("IDX",$C89,E$6,$D$4,"Fill=true, Per="&amp;filter!$R$1) )</f>
        <v>4080.96</v>
      </c>
      <c r="F89" s="38">
        <f t="array" aca="1" ref="F89" ca="1">IF( $C89="", "", _xll.IMDP("IDX",$C89,F$6,$D$4,"Fill=true, Per="&amp;filter!$R$1) )</f>
        <v>-26.399999999999636</v>
      </c>
      <c r="G89" s="39">
        <f t="array" aca="1" ref="G89" ca="1">IF( $C89="", "", _xll.IMDP("IDX",$C89,G$6,$D$4,"Fill=true, Per="&amp;filter!$R$1) )</f>
        <v>-0.64</v>
      </c>
      <c r="H89" s="43">
        <f t="array" aca="1" ref="H89" ca="1">IF( $C89="", "", _xll.IMDP("IDX",$C89,H$6,$D$4,"Fill=true, Per="&amp;filter!$R$1) )</f>
        <v>2490</v>
      </c>
      <c r="I89" s="43">
        <f t="array" aca="1" ref="I89" ca="1">IF( $C89="", "", _xll.IMDP("IDX",$C89,I$6,$D$4,"Fill=true, Per="&amp;filter!$R$1) )</f>
        <v>23873</v>
      </c>
      <c r="J89" s="34">
        <f t="array" aca="1" ref="J89" ca="1">IF( $C89="", "", _xll.IMDP("IDX",$C89,J$6,$D$4,"Fill=true, Per="&amp;filter!$R$1) )</f>
        <v>4088.39</v>
      </c>
      <c r="K89" s="38">
        <f t="array" aca="1" ref="K89" ca="1">IF( $C89="", "", _xll.IMDP("IDX",$C89,K$6,$D$4,"Fill=true, Per="&amp;filter!$R$1) )</f>
        <v>4095.02</v>
      </c>
      <c r="L89" s="39">
        <f t="array" aca="1" ref="L89" ca="1">IF( $C89="", "", _xll.IMDP("IDX",$C89,L$6,$D$4,"Fill=true, Per="&amp;filter!$R$1) )</f>
        <v>0</v>
      </c>
      <c r="M89" s="50">
        <f t="array" aca="1" ref="M89" ca="1">IF( $C89="", "", _xll.IMDP("IDX",$C89,M$6,$D$4,"Fill=true, Per="&amp;filter!$R$1) )</f>
        <v>1080</v>
      </c>
      <c r="N89" s="51">
        <f t="array" aca="1" ref="N89" ca="1">IF( $C89="", "", _xll.IMDP("IDX",$C89,N$6,$D$4,"Fill=true, Per="&amp;filter!$R$1) )</f>
        <v>-407</v>
      </c>
      <c r="O89" s="52">
        <f t="array" aca="1" ref="O89" ca="1">IF( $C89="", "", _xll.IMDP("IDX",$C89,O$6,$D$4,"Fill=true, Per="&amp;filter!$R$1) )</f>
        <v>-721</v>
      </c>
    </row>
    <row r="90" spans="2:15">
      <c r="B90" s="21">
        <f t="shared" si="1"/>
        <v>82</v>
      </c>
      <c r="C90" s="17" t="str">
        <f>IFERROR( VLOOKUP(ROWS($B$8:B89), filter!$I:$J, 2, 0), "")</f>
        <v>QGS09P</v>
      </c>
      <c r="D90" s="16" t="str" cm="1">
        <f t="array" ref="D90">IF( $C90="", "", _xll.IMDP("IDX", $C90, D$6) )</f>
        <v>음식료·담배</v>
      </c>
      <c r="E90" s="34">
        <f t="array" aca="1" ref="E90" ca="1">IF( $C90="", "", _xll.IMDP("IDX",$C90,E$6,$D$4,"Fill=true, Per="&amp;filter!$R$1) )</f>
        <v>5204.22</v>
      </c>
      <c r="F90" s="38">
        <f t="array" aca="1" ref="F90" ca="1">IF( $C90="", "", _xll.IMDP("IDX",$C90,F$6,$D$4,"Fill=true, Per="&amp;filter!$R$1) )</f>
        <v>-40.449999999999818</v>
      </c>
      <c r="G90" s="39">
        <f t="array" aca="1" ref="G90" ca="1">IF( $C90="", "", _xll.IMDP("IDX",$C90,G$6,$D$4,"Fill=true, Per="&amp;filter!$R$1) )</f>
        <v>-0.77</v>
      </c>
      <c r="H90" s="43">
        <f t="array" aca="1" ref="H90" ca="1">IF( $C90="", "", _xll.IMDP("IDX",$C90,H$6,$D$4,"Fill=true, Per="&amp;filter!$R$1) )</f>
        <v>22808</v>
      </c>
      <c r="I90" s="43">
        <f t="array" aca="1" ref="I90" ca="1">IF( $C90="", "", _xll.IMDP("IDX",$C90,I$6,$D$4,"Fill=true, Per="&amp;filter!$R$1) )</f>
        <v>76102</v>
      </c>
      <c r="J90" s="34">
        <f t="array" aca="1" ref="J90" ca="1">IF( $C90="", "", _xll.IMDP("IDX",$C90,J$6,$D$4,"Fill=true, Per="&amp;filter!$R$1) )</f>
        <v>5256.77</v>
      </c>
      <c r="K90" s="38">
        <f t="array" aca="1" ref="K90" ca="1">IF( $C90="", "", _xll.IMDP("IDX",$C90,K$6,$D$4,"Fill=true, Per="&amp;filter!$R$1) )</f>
        <v>5258.01</v>
      </c>
      <c r="L90" s="39">
        <f t="array" aca="1" ref="L90" ca="1">IF( $C90="", "", _xll.IMDP("IDX",$C90,L$6,$D$4,"Fill=true, Per="&amp;filter!$R$1) )</f>
        <v>0</v>
      </c>
      <c r="M90" s="50">
        <f t="array" aca="1" ref="M90" ca="1">IF( $C90="", "", _xll.IMDP("IDX",$C90,M$6,$D$4,"Fill=true, Per="&amp;filter!$R$1) )</f>
        <v>2317</v>
      </c>
      <c r="N90" s="51">
        <f t="array" aca="1" ref="N90" ca="1">IF( $C90="", "", _xll.IMDP("IDX",$C90,N$6,$D$4,"Fill=true, Per="&amp;filter!$R$1) )</f>
        <v>-636</v>
      </c>
      <c r="O90" s="52">
        <f t="array" aca="1" ref="O90" ca="1">IF( $C90="", "", _xll.IMDP("IDX",$C90,O$6,$D$4,"Fill=true, Per="&amp;filter!$R$1) )</f>
        <v>-1718</v>
      </c>
    </row>
    <row r="91" spans="2:15">
      <c r="B91" s="21">
        <f t="shared" si="1"/>
        <v>83</v>
      </c>
      <c r="C91" s="17" t="str">
        <f>IFERROR( VLOOKUP(ROWS($B$8:B90), filter!$I:$J, 2, 0), "")</f>
        <v>KGS19P</v>
      </c>
      <c r="D91" s="16" t="str" cm="1">
        <f t="array" ref="D91">IF( $C91="", "", _xll.IMDP("IDX", $C91, D$6) )</f>
        <v>의료정밀</v>
      </c>
      <c r="E91" s="34">
        <f t="array" aca="1" ref="E91" ca="1">IF( $C91="", "", _xll.IMDP("IDX",$C91,E$6,$D$4,"Fill=true, Per="&amp;filter!$R$1) )</f>
        <v>1376.29</v>
      </c>
      <c r="F91" s="38">
        <f t="array" aca="1" ref="F91" ca="1">IF( $C91="", "", _xll.IMDP("IDX",$C91,F$6,$D$4,"Fill=true, Per="&amp;filter!$R$1) )</f>
        <v>-60.259999999999991</v>
      </c>
      <c r="G91" s="39">
        <f t="array" aca="1" ref="G91" ca="1">IF( $C91="", "", _xll.IMDP("IDX",$C91,G$6,$D$4,"Fill=true, Per="&amp;filter!$R$1) )</f>
        <v>-4.1900000000000004</v>
      </c>
      <c r="H91" s="43">
        <f t="array" aca="1" ref="H91" ca="1">IF( $C91="", "", _xll.IMDP("IDX",$C91,H$6,$D$4,"Fill=true, Per="&amp;filter!$R$1) )</f>
        <v>3089</v>
      </c>
      <c r="I91" s="43">
        <f t="array" aca="1" ref="I91" ca="1">IF( $C91="", "", _xll.IMDP("IDX",$C91,I$6,$D$4,"Fill=true, Per="&amp;filter!$R$1) )</f>
        <v>43133</v>
      </c>
      <c r="J91" s="34">
        <f t="array" aca="1" ref="J91" ca="1">IF( $C91="", "", _xll.IMDP("IDX",$C91,J$6,$D$4,"Fill=true, Per="&amp;filter!$R$1) )</f>
        <v>1432.39</v>
      </c>
      <c r="K91" s="38">
        <f t="array" aca="1" ref="K91" ca="1">IF( $C91="", "", _xll.IMDP("IDX",$C91,K$6,$D$4,"Fill=true, Per="&amp;filter!$R$1) )</f>
        <v>1432.39</v>
      </c>
      <c r="L91" s="39">
        <f t="array" aca="1" ref="L91" ca="1">IF( $C91="", "", _xll.IMDP("IDX",$C91,L$6,$D$4,"Fill=true, Per="&amp;filter!$R$1) )</f>
        <v>0</v>
      </c>
      <c r="M91" s="50">
        <f t="array" aca="1" ref="M91" ca="1">IF( $C91="", "", _xll.IMDP("IDX",$C91,M$6,$D$4,"Fill=true, Per="&amp;filter!$R$1) )</f>
        <v>3626</v>
      </c>
      <c r="N91" s="51">
        <f t="array" aca="1" ref="N91" ca="1">IF( $C91="", "", _xll.IMDP("IDX",$C91,N$6,$D$4,"Fill=true, Per="&amp;filter!$R$1) )</f>
        <v>-10314</v>
      </c>
      <c r="O91" s="52">
        <f t="array" aca="1" ref="O91" ca="1">IF( $C91="", "", _xll.IMDP("IDX",$C91,O$6,$D$4,"Fill=true, Per="&amp;filter!$R$1) )</f>
        <v>6649</v>
      </c>
    </row>
    <row r="92" spans="2:15">
      <c r="B92" s="21">
        <f t="shared" si="1"/>
        <v>84</v>
      </c>
      <c r="C92" s="17" t="str">
        <f>IFERROR( VLOOKUP(ROWS($B$8:B91), filter!$I:$J, 2, 0), "")</f>
        <v>QGS14P</v>
      </c>
      <c r="D92" s="16" t="str" cm="1">
        <f t="array" ref="D92">IF( $C92="", "", _xll.IMDP("IDX", $C92, D$6) )</f>
        <v>비금속</v>
      </c>
      <c r="E92" s="34">
        <f t="array" aca="1" ref="E92" ca="1">IF( $C92="", "", _xll.IMDP("IDX",$C92,E$6,$D$4,"Fill=true, Per="&amp;filter!$R$1) )</f>
        <v>42781.15</v>
      </c>
      <c r="F92" s="38">
        <f t="array" aca="1" ref="F92" ca="1">IF( $C92="", "", _xll.IMDP("IDX",$C92,F$6,$D$4,"Fill=true, Per="&amp;filter!$R$1) )</f>
        <v>-738.43000000000029</v>
      </c>
      <c r="G92" s="39">
        <f t="array" aca="1" ref="G92" ca="1">IF( $C92="", "", _xll.IMDP("IDX",$C92,G$6,$D$4,"Fill=true, Per="&amp;filter!$R$1) )</f>
        <v>-1.7</v>
      </c>
      <c r="H92" s="43">
        <f t="array" aca="1" ref="H92" ca="1">IF( $C92="", "", _xll.IMDP("IDX",$C92,H$6,$D$4,"Fill=true, Per="&amp;filter!$R$1) )</f>
        <v>13325</v>
      </c>
      <c r="I92" s="43">
        <f t="array" aca="1" ref="I92" ca="1">IF( $C92="", "", _xll.IMDP("IDX",$C92,I$6,$D$4,"Fill=true, Per="&amp;filter!$R$1) )</f>
        <v>47623</v>
      </c>
      <c r="J92" s="34">
        <f t="array" aca="1" ref="J92" ca="1">IF( $C92="", "", _xll.IMDP("IDX",$C92,J$6,$D$4,"Fill=true, Per="&amp;filter!$R$1) )</f>
        <v>43375.27</v>
      </c>
      <c r="K92" s="38">
        <f t="array" aca="1" ref="K92" ca="1">IF( $C92="", "", _xll.IMDP("IDX",$C92,K$6,$D$4,"Fill=true, Per="&amp;filter!$R$1) )</f>
        <v>43452.15</v>
      </c>
      <c r="L92" s="39">
        <f t="array" aca="1" ref="L92" ca="1">IF( $C92="", "", _xll.IMDP("IDX",$C92,L$6,$D$4,"Fill=true, Per="&amp;filter!$R$1) )</f>
        <v>0</v>
      </c>
      <c r="M92" s="50">
        <f t="array" aca="1" ref="M92" ca="1">IF( $C92="", "", _xll.IMDP("IDX",$C92,M$6,$D$4,"Fill=true, Per="&amp;filter!$R$1) )</f>
        <v>404</v>
      </c>
      <c r="N92" s="51">
        <f t="array" aca="1" ref="N92" ca="1">IF( $C92="", "", _xll.IMDP("IDX",$C92,N$6,$D$4,"Fill=true, Per="&amp;filter!$R$1) )</f>
        <v>-1826</v>
      </c>
      <c r="O92" s="52">
        <f t="array" aca="1" ref="O92" ca="1">IF( $C92="", "", _xll.IMDP("IDX",$C92,O$6,$D$4,"Fill=true, Per="&amp;filter!$R$1) )</f>
        <v>1779</v>
      </c>
    </row>
    <row r="93" spans="2:15">
      <c r="B93" s="21">
        <f t="shared" si="1"/>
        <v>85</v>
      </c>
      <c r="C93" s="17" t="str">
        <f>IFERROR( VLOOKUP(ROWS($B$8:B92), filter!$I:$J, 2, 0), "")</f>
        <v>QGS03P</v>
      </c>
      <c r="D93" s="16" t="str" cm="1">
        <f t="array" ref="D93">IF( $C93="", "", _xll.IMDP("IDX", $C93, D$6) )</f>
        <v>건설</v>
      </c>
      <c r="E93" s="34">
        <f t="array" aca="1" ref="E93" ca="1">IF( $C93="", "", _xll.IMDP("IDX",$C93,E$6,$D$4,"Fill=true, Per="&amp;filter!$R$1) )</f>
        <v>64.680000000000007</v>
      </c>
      <c r="F93" s="38">
        <f t="array" aca="1" ref="F93" ca="1">IF( $C93="", "", _xll.IMDP("IDX",$C93,F$6,$D$4,"Fill=true, Per="&amp;filter!$R$1) )</f>
        <v>-0.60999999999999943</v>
      </c>
      <c r="G93" s="39">
        <f t="array" aca="1" ref="G93" ca="1">IF( $C93="", "", _xll.IMDP("IDX",$C93,G$6,$D$4,"Fill=true, Per="&amp;filter!$R$1) )</f>
        <v>-0.93</v>
      </c>
      <c r="H93" s="43">
        <f t="array" aca="1" ref="H93" ca="1">IF( $C93="", "", _xll.IMDP("IDX",$C93,H$6,$D$4,"Fill=true, Per="&amp;filter!$R$1) )</f>
        <v>2972</v>
      </c>
      <c r="I93" s="43">
        <f t="array" aca="1" ref="I93" ca="1">IF( $C93="", "", _xll.IMDP("IDX",$C93,I$6,$D$4,"Fill=true, Per="&amp;filter!$R$1) )</f>
        <v>12759</v>
      </c>
      <c r="J93" s="34">
        <f t="array" aca="1" ref="J93" ca="1">IF( $C93="", "", _xll.IMDP("IDX",$C93,J$6,$D$4,"Fill=true, Per="&amp;filter!$R$1) )</f>
        <v>65.37</v>
      </c>
      <c r="K93" s="38">
        <f t="array" aca="1" ref="K93" ca="1">IF( $C93="", "", _xll.IMDP("IDX",$C93,K$6,$D$4,"Fill=true, Per="&amp;filter!$R$1) )</f>
        <v>65.42</v>
      </c>
      <c r="L93" s="39">
        <f t="array" aca="1" ref="L93" ca="1">IF( $C93="", "", _xll.IMDP("IDX",$C93,L$6,$D$4,"Fill=true, Per="&amp;filter!$R$1) )</f>
        <v>0</v>
      </c>
      <c r="M93" s="50">
        <f t="array" aca="1" ref="M93" ca="1">IF( $C93="", "", _xll.IMDP("IDX",$C93,M$6,$D$4,"Fill=true, Per="&amp;filter!$R$1) )</f>
        <v>481</v>
      </c>
      <c r="N93" s="51">
        <f t="array" aca="1" ref="N93" ca="1">IF( $C93="", "", _xll.IMDP("IDX",$C93,N$6,$D$4,"Fill=true, Per="&amp;filter!$R$1) )</f>
        <v>-6</v>
      </c>
      <c r="O93" s="52">
        <f t="array" aca="1" ref="O93" ca="1">IF( $C93="", "", _xll.IMDP("IDX",$C93,O$6,$D$4,"Fill=true, Per="&amp;filter!$R$1) )</f>
        <v>-572</v>
      </c>
    </row>
    <row r="94" spans="2:15">
      <c r="B94" s="21">
        <f t="shared" si="1"/>
        <v>86</v>
      </c>
      <c r="C94" s="17" t="str">
        <f>IFERROR( VLOOKUP(ROWS($B$8:B93), filter!$I:$J, 2, 0), "")</f>
        <v>KGS03P</v>
      </c>
      <c r="D94" s="16" t="str" cm="1">
        <f t="array" ref="D94">IF( $C94="", "", _xll.IMDP("IDX", $C94, D$6) )</f>
        <v>종이,목재</v>
      </c>
      <c r="E94" s="34">
        <f t="array" aca="1" ref="E94" ca="1">IF( $C94="", "", _xll.IMDP("IDX",$C94,E$6,$D$4,"Fill=true, Per="&amp;filter!$R$1) )</f>
        <v>269.85000000000002</v>
      </c>
      <c r="F94" s="38">
        <f t="array" aca="1" ref="F94" ca="1">IF( $C94="", "", _xll.IMDP("IDX",$C94,F$6,$D$4,"Fill=true, Per="&amp;filter!$R$1) )</f>
        <v>-0.20999999999997954</v>
      </c>
      <c r="G94" s="39">
        <f t="array" aca="1" ref="G94" ca="1">IF( $C94="", "", _xll.IMDP("IDX",$C94,G$6,$D$4,"Fill=true, Per="&amp;filter!$R$1) )</f>
        <v>-0.08</v>
      </c>
      <c r="H94" s="43">
        <f t="array" aca="1" ref="H94" ca="1">IF( $C94="", "", _xll.IMDP("IDX",$C94,H$6,$D$4,"Fill=true, Per="&amp;filter!$R$1) )</f>
        <v>2481</v>
      </c>
      <c r="I94" s="43">
        <f t="array" aca="1" ref="I94" ca="1">IF( $C94="", "", _xll.IMDP("IDX",$C94,I$6,$D$4,"Fill=true, Per="&amp;filter!$R$1) )</f>
        <v>6349</v>
      </c>
      <c r="J94" s="34">
        <f t="array" aca="1" ref="J94" ca="1">IF( $C94="", "", _xll.IMDP("IDX",$C94,J$6,$D$4,"Fill=true, Per="&amp;filter!$R$1) )</f>
        <v>270.25</v>
      </c>
      <c r="K94" s="38">
        <f t="array" aca="1" ref="K94" ca="1">IF( $C94="", "", _xll.IMDP("IDX",$C94,K$6,$D$4,"Fill=true, Per="&amp;filter!$R$1) )</f>
        <v>270.85000000000002</v>
      </c>
      <c r="L94" s="39">
        <f t="array" aca="1" ref="L94" ca="1">IF( $C94="", "", _xll.IMDP("IDX",$C94,L$6,$D$4,"Fill=true, Per="&amp;filter!$R$1) )</f>
        <v>0</v>
      </c>
      <c r="M94" s="50">
        <f t="array" aca="1" ref="M94" ca="1">IF( $C94="", "", _xll.IMDP("IDX",$C94,M$6,$D$4,"Fill=true, Per="&amp;filter!$R$1) )</f>
        <v>-197</v>
      </c>
      <c r="N94" s="51">
        <f t="array" aca="1" ref="N94" ca="1">IF( $C94="", "", _xll.IMDP("IDX",$C94,N$6,$D$4,"Fill=true, Per="&amp;filter!$R$1) )</f>
        <v>172</v>
      </c>
      <c r="O94" s="52">
        <f t="array" aca="1" ref="O94" ca="1">IF( $C94="", "", _xll.IMDP("IDX",$C94,O$6,$D$4,"Fill=true, Per="&amp;filter!$R$1) )</f>
        <v>-21</v>
      </c>
    </row>
    <row r="95" spans="2:15">
      <c r="B95" s="21">
        <f t="shared" si="1"/>
        <v>87</v>
      </c>
      <c r="C95" s="17" t="str">
        <f>IFERROR( VLOOKUP(ROWS($B$8:B94), filter!$I:$J, 2, 0), "")</f>
        <v>QGS11P</v>
      </c>
      <c r="D95" s="16" t="str" cm="1">
        <f t="array" ref="D95">IF( $C95="", "", _xll.IMDP("IDX", $C95, D$6) )</f>
        <v>종이·목재</v>
      </c>
      <c r="E95" s="34">
        <f t="array" aca="1" ref="E95" ca="1">IF( $C95="", "", _xll.IMDP("IDX",$C95,E$6,$D$4,"Fill=true, Per="&amp;filter!$R$1) )</f>
        <v>9763.31</v>
      </c>
      <c r="F95" s="38">
        <f t="array" aca="1" ref="F95" ca="1">IF( $C95="", "", _xll.IMDP("IDX",$C95,F$6,$D$4,"Fill=true, Per="&amp;filter!$R$1) )</f>
        <v>314.39999999999964</v>
      </c>
      <c r="G95" s="39">
        <f t="array" aca="1" ref="G95" ca="1">IF( $C95="", "", _xll.IMDP("IDX",$C95,G$6,$D$4,"Fill=true, Per="&amp;filter!$R$1) )</f>
        <v>3.33</v>
      </c>
      <c r="H95" s="43">
        <f t="array" aca="1" ref="H95" ca="1">IF( $C95="", "", _xll.IMDP("IDX",$C95,H$6,$D$4,"Fill=true, Per="&amp;filter!$R$1) )</f>
        <v>1083</v>
      </c>
      <c r="I95" s="43">
        <f t="array" aca="1" ref="I95" ca="1">IF( $C95="", "", _xll.IMDP("IDX",$C95,I$6,$D$4,"Fill=true, Per="&amp;filter!$R$1) )</f>
        <v>9573</v>
      </c>
      <c r="J95" s="34">
        <f t="array" aca="1" ref="J95" ca="1">IF( $C95="", "", _xll.IMDP("IDX",$C95,J$6,$D$4,"Fill=true, Per="&amp;filter!$R$1) )</f>
        <v>9475.08</v>
      </c>
      <c r="K95" s="38">
        <f t="array" aca="1" ref="K95" ca="1">IF( $C95="", "", _xll.IMDP("IDX",$C95,K$6,$D$4,"Fill=true, Per="&amp;filter!$R$1) )</f>
        <v>9825.7999999999993</v>
      </c>
      <c r="L95" s="39">
        <f t="array" aca="1" ref="L95" ca="1">IF( $C95="", "", _xll.IMDP("IDX",$C95,L$6,$D$4,"Fill=true, Per="&amp;filter!$R$1) )</f>
        <v>0</v>
      </c>
      <c r="M95" s="50">
        <f t="array" aca="1" ref="M95" ca="1">IF( $C95="", "", _xll.IMDP("IDX",$C95,M$6,$D$4,"Fill=true, Per="&amp;filter!$R$1) )</f>
        <v>-1322</v>
      </c>
      <c r="N95" s="51">
        <f t="array" aca="1" ref="N95" ca="1">IF( $C95="", "", _xll.IMDP("IDX",$C95,N$6,$D$4,"Fill=true, Per="&amp;filter!$R$1) )</f>
        <v>320</v>
      </c>
      <c r="O95" s="52">
        <f t="array" aca="1" ref="O95" ca="1">IF( $C95="", "", _xll.IMDP("IDX",$C95,O$6,$D$4,"Fill=true, Per="&amp;filter!$R$1) )</f>
        <v>1068</v>
      </c>
    </row>
    <row r="96" spans="2:15">
      <c r="B96" s="21">
        <f t="shared" si="1"/>
        <v>88</v>
      </c>
      <c r="C96" s="17" t="str">
        <f>IFERROR( VLOOKUP(ROWS($B$8:B95), filter!$I:$J, 2, 0), "")</f>
        <v>QGS10P</v>
      </c>
      <c r="D96" s="16" t="str" cm="1">
        <f t="array" ref="D96">IF( $C96="", "", _xll.IMDP("IDX", $C96, D$6) )</f>
        <v>섬유·의류</v>
      </c>
      <c r="E96" s="34">
        <f t="array" aca="1" ref="E96" ca="1">IF( $C96="", "", _xll.IMDP("IDX",$C96,E$6,$D$4,"Fill=true, Per="&amp;filter!$R$1) )</f>
        <v>45.54</v>
      </c>
      <c r="F96" s="38">
        <f t="array" aca="1" ref="F96" ca="1">IF( $C96="", "", _xll.IMDP("IDX",$C96,F$6,$D$4,"Fill=true, Per="&amp;filter!$R$1) )</f>
        <v>0.78000000000000114</v>
      </c>
      <c r="G96" s="39">
        <f t="array" aca="1" ref="G96" ca="1">IF( $C96="", "", _xll.IMDP("IDX",$C96,G$6,$D$4,"Fill=true, Per="&amp;filter!$R$1) )</f>
        <v>1.74</v>
      </c>
      <c r="H96" s="43">
        <f t="array" aca="1" ref="H96" ca="1">IF( $C96="", "", _xll.IMDP("IDX",$C96,H$6,$D$4,"Fill=true, Per="&amp;filter!$R$1) )</f>
        <v>23868</v>
      </c>
      <c r="I96" s="43">
        <f t="array" aca="1" ref="I96" ca="1">IF( $C96="", "", _xll.IMDP("IDX",$C96,I$6,$D$4,"Fill=true, Per="&amp;filter!$R$1) )</f>
        <v>143381</v>
      </c>
      <c r="J96" s="34">
        <f t="array" aca="1" ref="J96" ca="1">IF( $C96="", "", _xll.IMDP("IDX",$C96,J$6,$D$4,"Fill=true, Per="&amp;filter!$R$1) )</f>
        <v>44.95</v>
      </c>
      <c r="K96" s="38">
        <f t="array" aca="1" ref="K96" ca="1">IF( $C96="", "", _xll.IMDP("IDX",$C96,K$6,$D$4,"Fill=true, Per="&amp;filter!$R$1) )</f>
        <v>45.79</v>
      </c>
      <c r="L96" s="39">
        <f t="array" aca="1" ref="L96" ca="1">IF( $C96="", "", _xll.IMDP("IDX",$C96,L$6,$D$4,"Fill=true, Per="&amp;filter!$R$1) )</f>
        <v>0</v>
      </c>
      <c r="M96" s="50">
        <f t="array" aca="1" ref="M96" ca="1">IF( $C96="", "", _xll.IMDP("IDX",$C96,M$6,$D$4,"Fill=true, Per="&amp;filter!$R$1) )</f>
        <v>68</v>
      </c>
      <c r="N96" s="51">
        <f t="array" aca="1" ref="N96" ca="1">IF( $C96="", "", _xll.IMDP("IDX",$C96,N$6,$D$4,"Fill=true, Per="&amp;filter!$R$1) )</f>
        <v>228</v>
      </c>
      <c r="O96" s="52">
        <f t="array" aca="1" ref="O96" ca="1">IF( $C96="", "", _xll.IMDP("IDX",$C96,O$6,$D$4,"Fill=true, Per="&amp;filter!$R$1) )</f>
        <v>7</v>
      </c>
    </row>
    <row r="97" spans="2:15">
      <c r="B97" s="21">
        <f t="shared" si="1"/>
        <v>89</v>
      </c>
      <c r="C97" s="17" t="str">
        <f>IFERROR( VLOOKUP(ROWS($B$8:B96), filter!$I:$J, 2, 0), "")</f>
        <v>QGS20P</v>
      </c>
      <c r="D97" s="16" t="str" cm="1">
        <f t="array" ref="D97">IF( $C97="", "", _xll.IMDP("IDX", $C97, D$6) )</f>
        <v>기타 제조</v>
      </c>
      <c r="E97" s="34">
        <f t="array" aca="1" ref="E97" ca="1">IF( $C97="", "", _xll.IMDP("IDX",$C97,E$6,$D$4,"Fill=true, Per="&amp;filter!$R$1) )</f>
        <v>717.25</v>
      </c>
      <c r="F97" s="38">
        <f t="array" aca="1" ref="F97" ca="1">IF( $C97="", "", _xll.IMDP("IDX",$C97,F$6,$D$4,"Fill=true, Per="&amp;filter!$R$1) )</f>
        <v>8.6599999999999682</v>
      </c>
      <c r="G97" s="39">
        <f t="array" aca="1" ref="G97" ca="1">IF( $C97="", "", _xll.IMDP("IDX",$C97,G$6,$D$4,"Fill=true, Per="&amp;filter!$R$1) )</f>
        <v>1.22</v>
      </c>
      <c r="H97" s="43">
        <f t="array" aca="1" ref="H97" ca="1">IF( $C97="", "", _xll.IMDP("IDX",$C97,H$6,$D$4,"Fill=true, Per="&amp;filter!$R$1) )</f>
        <v>29044</v>
      </c>
      <c r="I97" s="43">
        <f t="array" aca="1" ref="I97" ca="1">IF( $C97="", "", _xll.IMDP("IDX",$C97,I$6,$D$4,"Fill=true, Per="&amp;filter!$R$1) )</f>
        <v>87333</v>
      </c>
      <c r="J97" s="34">
        <f t="array" aca="1" ref="J97" ca="1">IF( $C97="", "", _xll.IMDP("IDX",$C97,J$6,$D$4,"Fill=true, Per="&amp;filter!$R$1) )</f>
        <v>708.51</v>
      </c>
      <c r="K97" s="38">
        <f t="array" aca="1" ref="K97" ca="1">IF( $C97="", "", _xll.IMDP("IDX",$C97,K$6,$D$4,"Fill=true, Per="&amp;filter!$R$1) )</f>
        <v>722.18</v>
      </c>
      <c r="L97" s="39">
        <f t="array" aca="1" ref="L97" ca="1">IF( $C97="", "", _xll.IMDP("IDX",$C97,L$6,$D$4,"Fill=true, Per="&amp;filter!$R$1) )</f>
        <v>0</v>
      </c>
      <c r="M97" s="50">
        <f t="array" aca="1" ref="M97" ca="1">IF( $C97="", "", _xll.IMDP("IDX",$C97,M$6,$D$4,"Fill=true, Per="&amp;filter!$R$1) )</f>
        <v>216</v>
      </c>
      <c r="N97" s="51">
        <f t="array" aca="1" ref="N97" ca="1">IF( $C97="", "", _xll.IMDP("IDX",$C97,N$6,$D$4,"Fill=true, Per="&amp;filter!$R$1) )</f>
        <v>-61</v>
      </c>
      <c r="O97" s="52">
        <f t="array" aca="1" ref="O97" ca="1">IF( $C97="", "", _xll.IMDP("IDX",$C97,O$6,$D$4,"Fill=true, Per="&amp;filter!$R$1) )</f>
        <v>-217</v>
      </c>
    </row>
    <row r="98" spans="2:15">
      <c r="B98" s="21">
        <f t="shared" si="1"/>
        <v>90</v>
      </c>
      <c r="C98" s="17" t="str">
        <f>IFERROR( VLOOKUP(ROWS($B$8:B97), filter!$I:$J, 2, 0), "")</f>
        <v>QGS31P</v>
      </c>
      <c r="D98" s="16" t="str" cm="1">
        <f t="array" ref="D98">IF( $C98="", "", _xll.IMDP("IDX", $C98, D$6) )</f>
        <v>운송</v>
      </c>
      <c r="E98" s="34">
        <f t="array" aca="1" ref="E98" ca="1">IF( $C98="", "", _xll.IMDP("IDX",$C98,E$6,$D$4,"Fill=true, Per="&amp;filter!$R$1) )</f>
        <v>2599.5300000000002</v>
      </c>
      <c r="F98" s="38">
        <f t="array" aca="1" ref="F98" ca="1">IF( $C98="", "", _xll.IMDP("IDX",$C98,F$6,$D$4,"Fill=true, Per="&amp;filter!$R$1) )</f>
        <v>-10.929999999999836</v>
      </c>
      <c r="G98" s="39">
        <f t="array" aca="1" ref="G98" ca="1">IF( $C98="", "", _xll.IMDP("IDX",$C98,G$6,$D$4,"Fill=true, Per="&amp;filter!$R$1) )</f>
        <v>-0.42</v>
      </c>
      <c r="H98" s="43">
        <f t="array" aca="1" ref="H98" ca="1">IF( $C98="", "", _xll.IMDP("IDX",$C98,H$6,$D$4,"Fill=true, Per="&amp;filter!$R$1) )</f>
        <v>261</v>
      </c>
      <c r="I98" s="43">
        <f t="array" aca="1" ref="I98" ca="1">IF( $C98="", "", _xll.IMDP("IDX",$C98,I$6,$D$4,"Fill=true, Per="&amp;filter!$R$1) )</f>
        <v>757</v>
      </c>
      <c r="J98" s="34">
        <f t="array" aca="1" ref="J98" ca="1">IF( $C98="", "", _xll.IMDP("IDX",$C98,J$6,$D$4,"Fill=true, Per="&amp;filter!$R$1) )</f>
        <v>2612.06</v>
      </c>
      <c r="K98" s="38">
        <f t="array" aca="1" ref="K98" ca="1">IF( $C98="", "", _xll.IMDP("IDX",$C98,K$6,$D$4,"Fill=true, Per="&amp;filter!$R$1) )</f>
        <v>2619.62</v>
      </c>
      <c r="L98" s="39">
        <f t="array" aca="1" ref="L98" ca="1">IF( $C98="", "", _xll.IMDP("IDX",$C98,L$6,$D$4,"Fill=true, Per="&amp;filter!$R$1) )</f>
        <v>0</v>
      </c>
      <c r="M98" s="50">
        <f t="array" aca="1" ref="M98" ca="1">IF( $C98="", "", _xll.IMDP("IDX",$C98,M$6,$D$4,"Fill=true, Per="&amp;filter!$R$1) )</f>
        <v>87</v>
      </c>
      <c r="N98" s="51">
        <f t="array" aca="1" ref="N98" ca="1">IF( $C98="", "", _xll.IMDP("IDX",$C98,N$6,$D$4,"Fill=true, Per="&amp;filter!$R$1) )</f>
        <v>-10</v>
      </c>
      <c r="O98" s="52">
        <f t="array" aca="1" ref="O98" ca="1">IF( $C98="", "", _xll.IMDP("IDX",$C98,O$6,$D$4,"Fill=true, Per="&amp;filter!$R$1) )</f>
        <v>-80</v>
      </c>
    </row>
    <row r="99" spans="2:15">
      <c r="B99" s="21">
        <f t="shared" si="1"/>
        <v>91</v>
      </c>
      <c r="C99" s="17" t="str">
        <f>IFERROR( VLOOKUP(ROWS($B$8:B98), filter!$I:$J, 2, 0), "")</f>
        <v>MGA13T</v>
      </c>
      <c r="D99" s="16" t="str" cm="1">
        <f t="array" ref="D99">IF( $C99="", "", _xll.IMDP("IDX", $C99, D$6) )</f>
        <v>KRX 300 미국달러 선물혼합지수</v>
      </c>
      <c r="E99" s="34">
        <f t="array" aca="1" ref="E99" ca="1">IF( $C99="", "", _xll.IMDP("IDX",$C99,E$6,$D$4,"Fill=true, Per="&amp;filter!$R$1) )</f>
        <v>1728.79</v>
      </c>
      <c r="F99" s="38">
        <f t="array" aca="1" ref="F99" ca="1">IF( $C99="", "", _xll.IMDP("IDX",$C99,F$6,$D$4,"Fill=true, Per="&amp;filter!$R$1) )</f>
        <v>-8.0799999999999272</v>
      </c>
      <c r="G99" s="39">
        <f t="array" aca="1" ref="G99" ca="1">IF( $C99="", "", _xll.IMDP("IDX",$C99,G$6,$D$4,"Fill=true, Per="&amp;filter!$R$1) )</f>
        <v>-0.47</v>
      </c>
      <c r="H99" s="43">
        <f t="array" aca="1" ref="H99" ca="1">IF( $C99="", "", _xll.IMDP("IDX",$C99,H$6,$D$4,"Fill=true, Per="&amp;filter!$R$1) )</f>
        <v>0</v>
      </c>
      <c r="I99" s="43">
        <f t="array" aca="1" ref="I99" ca="1">IF( $C99="", "", _xll.IMDP("IDX",$C99,I$6,$D$4,"Fill=true, Per="&amp;filter!$R$1) )</f>
        <v>0</v>
      </c>
      <c r="J99" s="34">
        <f t="array" aca="1" ref="J99" ca="1">IF( $C99="", "", _xll.IMDP("IDX",$C99,J$6,$D$4,"Fill=true, Per="&amp;filter!$R$1) )</f>
        <v>1737.27</v>
      </c>
      <c r="K99" s="38">
        <f t="array" aca="1" ref="K99" ca="1">IF( $C99="", "", _xll.IMDP("IDX",$C99,K$6,$D$4,"Fill=true, Per="&amp;filter!$R$1) )</f>
        <v>1751.67</v>
      </c>
      <c r="L99" s="39">
        <f t="array" aca="1" ref="L99" ca="1">IF( $C99="", "", _xll.IMDP("IDX",$C99,L$6,$D$4,"Fill=true, Per="&amp;filter!$R$1) )</f>
        <v>0</v>
      </c>
      <c r="M99" s="50" t="str">
        <f t="array" aca="1" ref="M99" ca="1">IF( $C99="", "", _xll.IMDP("IDX",$C99,M$6,$D$4,"Fill=true, Per="&amp;filter!$R$1) )</f>
        <v/>
      </c>
      <c r="N99" s="51" t="str">
        <f t="array" aca="1" ref="N99" ca="1">IF( $C99="", "", _xll.IMDP("IDX",$C99,N$6,$D$4,"Fill=true, Per="&amp;filter!$R$1) )</f>
        <v/>
      </c>
      <c r="O99" s="52" t="str">
        <f t="array" aca="1" ref="O99" ca="1">IF( $C99="", "", _xll.IMDP("IDX",$C99,O$6,$D$4,"Fill=true, Per="&amp;filter!$R$1) )</f>
        <v/>
      </c>
    </row>
    <row r="100" spans="2:15">
      <c r="B100" s="21">
        <f t="shared" si="1"/>
        <v>92</v>
      </c>
      <c r="C100" s="17" t="str">
        <f>IFERROR( VLOOKUP(ROWS($B$8:B99), filter!$I:$J, 2, 0), "")</f>
        <v>O2916P</v>
      </c>
      <c r="D100" s="16" t="str" cm="1">
        <f t="array" ref="D100">IF( $C100="", "", _xll.IMDP("IDX", $C100, D$6) )</f>
        <v>코스피 200 위클리 커버드콜 ATM</v>
      </c>
      <c r="E100" s="34">
        <f t="array" aca="1" ref="E100" ca="1">IF( $C100="", "", _xll.IMDP("IDX",$C100,E$6,$D$4,"Fill=true, Per="&amp;filter!$R$1) )</f>
        <v>1217.01</v>
      </c>
      <c r="F100" s="38">
        <f t="array" aca="1" ref="F100" ca="1">IF( $C100="", "", _xll.IMDP("IDX",$C100,F$6,$D$4,"Fill=true, Per="&amp;filter!$R$1) )</f>
        <v>-2.3199999999999363</v>
      </c>
      <c r="G100" s="39">
        <f t="array" aca="1" ref="G100" ca="1">IF( $C100="", "", _xll.IMDP("IDX",$C100,G$6,$D$4,"Fill=true, Per="&amp;filter!$R$1) )</f>
        <v>-0.19</v>
      </c>
      <c r="H100" s="43">
        <f t="array" aca="1" ref="H100" ca="1">IF( $C100="", "", _xll.IMDP("IDX",$C100,H$6,$D$4,"Fill=true, Per="&amp;filter!$R$1) )</f>
        <v>0</v>
      </c>
      <c r="I100" s="43">
        <f t="array" aca="1" ref="I100" ca="1">IF( $C100="", "", _xll.IMDP("IDX",$C100,I$6,$D$4,"Fill=true, Per="&amp;filter!$R$1) )</f>
        <v>0</v>
      </c>
      <c r="J100" s="34">
        <f t="array" aca="1" ref="J100" ca="1">IF( $C100="", "", _xll.IMDP("IDX",$C100,J$6,$D$4,"Fill=true, Per="&amp;filter!$R$1) )</f>
        <v>1220.8800000000001</v>
      </c>
      <c r="K100" s="38">
        <f t="array" aca="1" ref="K100" ca="1">IF( $C100="", "", _xll.IMDP("IDX",$C100,K$6,$D$4,"Fill=true, Per="&amp;filter!$R$1) )</f>
        <v>1229.33</v>
      </c>
      <c r="L100" s="39">
        <f t="array" aca="1" ref="L100" ca="1">IF( $C100="", "", _xll.IMDP("IDX",$C100,L$6,$D$4,"Fill=true, Per="&amp;filter!$R$1) )</f>
        <v>0</v>
      </c>
      <c r="M100" s="50" t="str">
        <f t="array" aca="1" ref="M100" ca="1">IF( $C100="", "", _xll.IMDP("IDX",$C100,M$6,$D$4,"Fill=true, Per="&amp;filter!$R$1) )</f>
        <v/>
      </c>
      <c r="N100" s="51" t="str">
        <f t="array" aca="1" ref="N100" ca="1">IF( $C100="", "", _xll.IMDP("IDX",$C100,N$6,$D$4,"Fill=true, Per="&amp;filter!$R$1) )</f>
        <v/>
      </c>
      <c r="O100" s="52" t="str">
        <f t="array" aca="1" ref="O100" ca="1">IF( $C100="", "", _xll.IMDP("IDX",$C100,O$6,$D$4,"Fill=true, Per="&amp;filter!$R$1) )</f>
        <v/>
      </c>
    </row>
    <row r="101" spans="2:15">
      <c r="B101" s="21">
        <f t="shared" si="1"/>
        <v>93</v>
      </c>
      <c r="C101" s="17" t="str">
        <f>IFERROR( VLOOKUP(ROWS($B$8:B100), filter!$I:$J, 2, 0), "")</f>
        <v>O2905P</v>
      </c>
      <c r="D101" s="16" t="str" cm="1">
        <f t="array" ref="D101">IF( $C101="", "", _xll.IMDP("IDX", $C101, D$6) )</f>
        <v>코스피 200 프로텍티브풋 5% OTM</v>
      </c>
      <c r="E101" s="34">
        <f t="array" aca="1" ref="E101" ca="1">IF( $C101="", "", _xll.IMDP("IDX",$C101,E$6,$D$4,"Fill=true, Per="&amp;filter!$R$1) )</f>
        <v>175.06</v>
      </c>
      <c r="F101" s="38">
        <f t="array" aca="1" ref="F101" ca="1">IF( $C101="", "", _xll.IMDP("IDX",$C101,F$6,$D$4,"Fill=true, Per="&amp;filter!$R$1) )</f>
        <v>-1.3299999999999841</v>
      </c>
      <c r="G101" s="39">
        <f t="array" aca="1" ref="G101" ca="1">IF( $C101="", "", _xll.IMDP("IDX",$C101,G$6,$D$4,"Fill=true, Per="&amp;filter!$R$1) )</f>
        <v>-0.75</v>
      </c>
      <c r="H101" s="43">
        <f t="array" aca="1" ref="H101" ca="1">IF( $C101="", "", _xll.IMDP("IDX",$C101,H$6,$D$4,"Fill=true, Per="&amp;filter!$R$1) )</f>
        <v>0</v>
      </c>
      <c r="I101" s="43">
        <f t="array" aca="1" ref="I101" ca="1">IF( $C101="", "", _xll.IMDP("IDX",$C101,I$6,$D$4,"Fill=true, Per="&amp;filter!$R$1) )</f>
        <v>0</v>
      </c>
      <c r="J101" s="34">
        <f t="array" aca="1" ref="J101" ca="1">IF( $C101="", "", _xll.IMDP("IDX",$C101,J$6,$D$4,"Fill=true, Per="&amp;filter!$R$1) )</f>
        <v>176.38</v>
      </c>
      <c r="K101" s="38">
        <f t="array" aca="1" ref="K101" ca="1">IF( $C101="", "", _xll.IMDP("IDX",$C101,K$6,$D$4,"Fill=true, Per="&amp;filter!$R$1) )</f>
        <v>177.51</v>
      </c>
      <c r="L101" s="39">
        <f t="array" aca="1" ref="L101" ca="1">IF( $C101="", "", _xll.IMDP("IDX",$C101,L$6,$D$4,"Fill=true, Per="&amp;filter!$R$1) )</f>
        <v>0</v>
      </c>
      <c r="M101" s="50" t="str">
        <f t="array" aca="1" ref="M101" ca="1">IF( $C101="", "", _xll.IMDP("IDX",$C101,M$6,$D$4,"Fill=true, Per="&amp;filter!$R$1) )</f>
        <v/>
      </c>
      <c r="N101" s="51" t="str">
        <f t="array" aca="1" ref="N101" ca="1">IF( $C101="", "", _xll.IMDP("IDX",$C101,N$6,$D$4,"Fill=true, Per="&amp;filter!$R$1) )</f>
        <v/>
      </c>
      <c r="O101" s="52" t="str">
        <f t="array" aca="1" ref="O101" ca="1">IF( $C101="", "", _xll.IMDP("IDX",$C101,O$6,$D$4,"Fill=true, Per="&amp;filter!$R$1) )</f>
        <v/>
      </c>
    </row>
    <row r="102" spans="2:15">
      <c r="B102" s="21">
        <f t="shared" si="1"/>
        <v>94</v>
      </c>
      <c r="C102" s="17" t="str">
        <f>IFERROR( VLOOKUP(ROWS($B$8:B101), filter!$I:$J, 2, 0), "")</f>
        <v>O2904P</v>
      </c>
      <c r="D102" s="16" t="str" cm="1">
        <f t="array" ref="D102">IF( $C102="", "", _xll.IMDP("IDX", $C102, D$6) )</f>
        <v>코스피 200 고배당 커버드콜 ATM</v>
      </c>
      <c r="E102" s="34">
        <f t="array" aca="1" ref="E102" ca="1">IF( $C102="", "", _xll.IMDP("IDX",$C102,E$6,$D$4,"Fill=true, Per="&amp;filter!$R$1) )</f>
        <v>1176.55</v>
      </c>
      <c r="F102" s="38">
        <f t="array" aca="1" ref="F102" ca="1">IF( $C102="", "", _xll.IMDP("IDX",$C102,F$6,$D$4,"Fill=true, Per="&amp;filter!$R$1) )</f>
        <v>25.519999999999982</v>
      </c>
      <c r="G102" s="39">
        <f t="array" aca="1" ref="G102" ca="1">IF( $C102="", "", _xll.IMDP("IDX",$C102,G$6,$D$4,"Fill=true, Per="&amp;filter!$R$1) )</f>
        <v>2.2200000000000002</v>
      </c>
      <c r="H102" s="43">
        <f t="array" aca="1" ref="H102" ca="1">IF( $C102="", "", _xll.IMDP("IDX",$C102,H$6,$D$4,"Fill=true, Per="&amp;filter!$R$1) )</f>
        <v>0</v>
      </c>
      <c r="I102" s="43">
        <f t="array" aca="1" ref="I102" ca="1">IF( $C102="", "", _xll.IMDP("IDX",$C102,I$6,$D$4,"Fill=true, Per="&amp;filter!$R$1) )</f>
        <v>0</v>
      </c>
      <c r="J102" s="34">
        <f t="array" aca="1" ref="J102" ca="1">IF( $C102="", "", _xll.IMDP("IDX",$C102,J$6,$D$4,"Fill=true, Per="&amp;filter!$R$1) )</f>
        <v>1151.3499999999999</v>
      </c>
      <c r="K102" s="38">
        <f t="array" aca="1" ref="K102" ca="1">IF( $C102="", "", _xll.IMDP("IDX",$C102,K$6,$D$4,"Fill=true, Per="&amp;filter!$R$1) )</f>
        <v>1177.5899999999999</v>
      </c>
      <c r="L102" s="39">
        <f t="array" aca="1" ref="L102" ca="1">IF( $C102="", "", _xll.IMDP("IDX",$C102,L$6,$D$4,"Fill=true, Per="&amp;filter!$R$1) )</f>
        <v>0</v>
      </c>
      <c r="M102" s="50" t="str">
        <f t="array" aca="1" ref="M102" ca="1">IF( $C102="", "", _xll.IMDP("IDX",$C102,M$6,$D$4,"Fill=true, Per="&amp;filter!$R$1) )</f>
        <v/>
      </c>
      <c r="N102" s="51" t="str">
        <f t="array" aca="1" ref="N102" ca="1">IF( $C102="", "", _xll.IMDP("IDX",$C102,N$6,$D$4,"Fill=true, Per="&amp;filter!$R$1) )</f>
        <v/>
      </c>
      <c r="O102" s="52" t="str">
        <f t="array" aca="1" ref="O102" ca="1">IF( $C102="", "", _xll.IMDP("IDX",$C102,O$6,$D$4,"Fill=true, Per="&amp;filter!$R$1) )</f>
        <v/>
      </c>
    </row>
    <row r="103" spans="2:15">
      <c r="B103" s="21">
        <f t="shared" si="1"/>
        <v>95</v>
      </c>
      <c r="C103" s="17" t="str">
        <f>IFERROR( VLOOKUP(ROWS($B$8:B102), filter!$I:$J, 2, 0), "")</f>
        <v>O2903P</v>
      </c>
      <c r="D103" s="16" t="str" cm="1">
        <f t="array" ref="D103">IF( $C103="", "", _xll.IMDP("IDX", $C103, D$6) )</f>
        <v>코스피 200 커버드콜 ATM</v>
      </c>
      <c r="E103" s="34">
        <f t="array" aca="1" ref="E103" ca="1">IF( $C103="", "", _xll.IMDP("IDX",$C103,E$6,$D$4,"Fill=true, Per="&amp;filter!$R$1) )</f>
        <v>1206.04</v>
      </c>
      <c r="F103" s="38">
        <f t="array" aca="1" ref="F103" ca="1">IF( $C103="", "", _xll.IMDP("IDX",$C103,F$6,$D$4,"Fill=true, Per="&amp;filter!$R$1) )</f>
        <v>2.2799999999999727</v>
      </c>
      <c r="G103" s="39">
        <f t="array" aca="1" ref="G103" ca="1">IF( $C103="", "", _xll.IMDP("IDX",$C103,G$6,$D$4,"Fill=true, Per="&amp;filter!$R$1) )</f>
        <v>0.19</v>
      </c>
      <c r="H103" s="43">
        <f t="array" aca="1" ref="H103" ca="1">IF( $C103="", "", _xll.IMDP("IDX",$C103,H$6,$D$4,"Fill=true, Per="&amp;filter!$R$1) )</f>
        <v>0</v>
      </c>
      <c r="I103" s="43">
        <f t="array" aca="1" ref="I103" ca="1">IF( $C103="", "", _xll.IMDP("IDX",$C103,I$6,$D$4,"Fill=true, Per="&amp;filter!$R$1) )</f>
        <v>0</v>
      </c>
      <c r="J103" s="34">
        <f t="array" aca="1" ref="J103" ca="1">IF( $C103="", "", _xll.IMDP("IDX",$C103,J$6,$D$4,"Fill=true, Per="&amp;filter!$R$1) )</f>
        <v>1204.0999999999999</v>
      </c>
      <c r="K103" s="38">
        <f t="array" aca="1" ref="K103" ca="1">IF( $C103="", "", _xll.IMDP("IDX",$C103,K$6,$D$4,"Fill=true, Per="&amp;filter!$R$1) )</f>
        <v>1215</v>
      </c>
      <c r="L103" s="39">
        <f t="array" aca="1" ref="L103" ca="1">IF( $C103="", "", _xll.IMDP("IDX",$C103,L$6,$D$4,"Fill=true, Per="&amp;filter!$R$1) )</f>
        <v>0</v>
      </c>
      <c r="M103" s="50" t="str">
        <f t="array" aca="1" ref="M103" ca="1">IF( $C103="", "", _xll.IMDP("IDX",$C103,M$6,$D$4,"Fill=true, Per="&amp;filter!$R$1) )</f>
        <v/>
      </c>
      <c r="N103" s="51" t="str">
        <f t="array" aca="1" ref="N103" ca="1">IF( $C103="", "", _xll.IMDP("IDX",$C103,N$6,$D$4,"Fill=true, Per="&amp;filter!$R$1) )</f>
        <v/>
      </c>
      <c r="O103" s="52" t="str">
        <f t="array" aca="1" ref="O103" ca="1">IF( $C103="", "", _xll.IMDP("IDX",$C103,O$6,$D$4,"Fill=true, Per="&amp;filter!$R$1) )</f>
        <v/>
      </c>
    </row>
    <row r="104" spans="2:15">
      <c r="B104" s="21">
        <f t="shared" si="1"/>
        <v>96</v>
      </c>
      <c r="C104" s="17" t="str">
        <f>IFERROR( VLOOKUP(ROWS($B$8:B103), filter!$I:$J, 2, 0), "")</f>
        <v>MGA12P</v>
      </c>
      <c r="D104" s="16" t="str" cm="1">
        <f t="array" ref="D104">IF( $C104="", "", _xll.IMDP("IDX", $C104, D$6) )</f>
        <v>코스피 200 미국채 혼합지수</v>
      </c>
      <c r="E104" s="34">
        <f t="array" aca="1" ref="E104" ca="1">IF( $C104="", "", _xll.IMDP("IDX",$C104,E$6,$D$4,"Fill=true, Per="&amp;filter!$R$1) )</f>
        <v>3030.39</v>
      </c>
      <c r="F104" s="38">
        <f t="array" aca="1" ref="F104" ca="1">IF( $C104="", "", _xll.IMDP("IDX",$C104,F$6,$D$4,"Fill=true, Per="&amp;filter!$R$1) )</f>
        <v>-2.6600000000003092</v>
      </c>
      <c r="G104" s="39">
        <f t="array" aca="1" ref="G104" ca="1">IF( $C104="", "", _xll.IMDP("IDX",$C104,G$6,$D$4,"Fill=true, Per="&amp;filter!$R$1) )</f>
        <v>-0.09</v>
      </c>
      <c r="H104" s="43">
        <f t="array" aca="1" ref="H104" ca="1">IF( $C104="", "", _xll.IMDP("IDX",$C104,H$6,$D$4,"Fill=true, Per="&amp;filter!$R$1) )</f>
        <v>0</v>
      </c>
      <c r="I104" s="43">
        <f t="array" aca="1" ref="I104" ca="1">IF( $C104="", "", _xll.IMDP("IDX",$C104,I$6,$D$4,"Fill=true, Per="&amp;filter!$R$1) )</f>
        <v>0</v>
      </c>
      <c r="J104" s="34">
        <f t="array" aca="1" ref="J104" ca="1">IF( $C104="", "", _xll.IMDP("IDX",$C104,J$6,$D$4,"Fill=true, Per="&amp;filter!$R$1) )</f>
        <v>3031.11</v>
      </c>
      <c r="K104" s="38">
        <f t="array" aca="1" ref="K104" ca="1">IF( $C104="", "", _xll.IMDP("IDX",$C104,K$6,$D$4,"Fill=true, Per="&amp;filter!$R$1) )</f>
        <v>3041.97</v>
      </c>
      <c r="L104" s="39">
        <f t="array" aca="1" ref="L104" ca="1">IF( $C104="", "", _xll.IMDP("IDX",$C104,L$6,$D$4,"Fill=true, Per="&amp;filter!$R$1) )</f>
        <v>0</v>
      </c>
      <c r="M104" s="50" t="str">
        <f t="array" aca="1" ref="M104" ca="1">IF( $C104="", "", _xll.IMDP("IDX",$C104,M$6,$D$4,"Fill=true, Per="&amp;filter!$R$1) )</f>
        <v/>
      </c>
      <c r="N104" s="51" t="str">
        <f t="array" aca="1" ref="N104" ca="1">IF( $C104="", "", _xll.IMDP("IDX",$C104,N$6,$D$4,"Fill=true, Per="&amp;filter!$R$1) )</f>
        <v/>
      </c>
      <c r="O104" s="52" t="str">
        <f t="array" aca="1" ref="O104" ca="1">IF( $C104="", "", _xll.IMDP("IDX",$C104,O$6,$D$4,"Fill=true, Per="&amp;filter!$R$1) )</f>
        <v/>
      </c>
    </row>
    <row r="105" spans="2:15">
      <c r="B105" s="21">
        <f t="shared" si="1"/>
        <v>97</v>
      </c>
      <c r="C105" s="17" t="str">
        <f>IFERROR( VLOOKUP(ROWS($B$8:B104), filter!$I:$J, 2, 0), "")</f>
        <v>O2901P</v>
      </c>
      <c r="D105" s="16" t="str" cm="1">
        <f t="array" ref="D105">IF( $C105="", "", _xll.IMDP("IDX", $C105, D$6) )</f>
        <v>코스피200 변동성지수</v>
      </c>
      <c r="E105" s="34">
        <f t="array" aca="1" ref="E105" ca="1">IF( $C105="", "", _xll.IMDP("IDX",$C105,E$6,$D$4,"Fill=true, Per="&amp;filter!$R$1) )</f>
        <v>19.73</v>
      </c>
      <c r="F105" s="38">
        <f t="array" aca="1" ref="F105" ca="1">IF( $C105="", "", _xll.IMDP("IDX",$C105,F$6,$D$4,"Fill=true, Per="&amp;filter!$R$1) )</f>
        <v>0.92000000000000171</v>
      </c>
      <c r="G105" s="39">
        <f t="array" aca="1" ref="G105" ca="1">IF( $C105="", "", _xll.IMDP("IDX",$C105,G$6,$D$4,"Fill=true, Per="&amp;filter!$R$1) )</f>
        <v>4.8899999999999997</v>
      </c>
      <c r="H105" s="43">
        <f t="array" aca="1" ref="H105" ca="1">IF( $C105="", "", _xll.IMDP("IDX",$C105,H$6,$D$4,"Fill=true, Per="&amp;filter!$R$1) )</f>
        <v>0</v>
      </c>
      <c r="I105" s="43">
        <f t="array" aca="1" ref="I105" ca="1">IF( $C105="", "", _xll.IMDP("IDX",$C105,I$6,$D$4,"Fill=true, Per="&amp;filter!$R$1) )</f>
        <v>0</v>
      </c>
      <c r="J105" s="34">
        <f t="array" aca="1" ref="J105" ca="1">IF( $C105="", "", _xll.IMDP("IDX",$C105,J$6,$D$4,"Fill=true, Per="&amp;filter!$R$1) )</f>
        <v>19.309999999999999</v>
      </c>
      <c r="K105" s="38">
        <f t="array" aca="1" ref="K105" ca="1">IF( $C105="", "", _xll.IMDP("IDX",$C105,K$6,$D$4,"Fill=true, Per="&amp;filter!$R$1) )</f>
        <v>20.28</v>
      </c>
      <c r="L105" s="39">
        <f t="array" aca="1" ref="L105" ca="1">IF( $C105="", "", _xll.IMDP("IDX",$C105,L$6,$D$4,"Fill=true, Per="&amp;filter!$R$1) )</f>
        <v>0</v>
      </c>
      <c r="M105" s="50" t="str">
        <f t="array" aca="1" ref="M105" ca="1">IF( $C105="", "", _xll.IMDP("IDX",$C105,M$6,$D$4,"Fill=true, Per="&amp;filter!$R$1) )</f>
        <v/>
      </c>
      <c r="N105" s="51" t="str">
        <f t="array" aca="1" ref="N105" ca="1">IF( $C105="", "", _xll.IMDP("IDX",$C105,N$6,$D$4,"Fill=true, Per="&amp;filter!$R$1) )</f>
        <v/>
      </c>
      <c r="O105" s="52" t="str">
        <f t="array" aca="1" ref="O105" ca="1">IF( $C105="", "", _xll.IMDP("IDX",$C105,O$6,$D$4,"Fill=true, Per="&amp;filter!$R$1) )</f>
        <v/>
      </c>
    </row>
    <row r="106" spans="2:15">
      <c r="B106" s="21">
        <f t="shared" si="1"/>
        <v>98</v>
      </c>
      <c r="C106" s="17" t="str">
        <f>IFERROR( VLOOKUP(ROWS($B$8:B105), filter!$I:$J, 2, 0), "")</f>
        <v>MGA16T</v>
      </c>
      <c r="D106" s="16" t="str" cm="1">
        <f t="array" ref="D106">IF( $C106="", "", _xll.IMDP("IDX", $C106, D$6) )</f>
        <v>KRX 다우존스 미국배당국채 혼합</v>
      </c>
      <c r="E106" s="34">
        <f t="array" aca="1" ref="E106" ca="1">IF( $C106="", "", _xll.IMDP("IDX",$C106,E$6,$D$4,"Fill=true, Per="&amp;filter!$R$1) )</f>
        <v>1317.35</v>
      </c>
      <c r="F106" s="38">
        <f t="array" aca="1" ref="F106" ca="1">IF( $C106="", "", _xll.IMDP("IDX",$C106,F$6,$D$4,"Fill=true, Per="&amp;filter!$R$1) )</f>
        <v>3.1299999999998818</v>
      </c>
      <c r="G106" s="39">
        <f t="array" aca="1" ref="G106" ca="1">IF( $C106="", "", _xll.IMDP("IDX",$C106,G$6,$D$4,"Fill=true, Per="&amp;filter!$R$1) )</f>
        <v>0.24</v>
      </c>
      <c r="H106" s="43">
        <f t="array" aca="1" ref="H106" ca="1">IF( $C106="", "", _xll.IMDP("IDX",$C106,H$6,$D$4,"Fill=true, Per="&amp;filter!$R$1) )</f>
        <v>0</v>
      </c>
      <c r="I106" s="43">
        <f t="array" aca="1" ref="I106" ca="1">IF( $C106="", "", _xll.IMDP("IDX",$C106,I$6,$D$4,"Fill=true, Per="&amp;filter!$R$1) )</f>
        <v>0</v>
      </c>
      <c r="J106" s="34">
        <f t="array" aca="1" ref="J106" ca="1">IF( $C106="", "", _xll.IMDP("IDX",$C106,J$6,$D$4,"Fill=true, Per="&amp;filter!$R$1) )</f>
        <v>1317.55</v>
      </c>
      <c r="K106" s="38">
        <f t="array" aca="1" ref="K106" ca="1">IF( $C106="", "", _xll.IMDP("IDX",$C106,K$6,$D$4,"Fill=true, Per="&amp;filter!$R$1) )</f>
        <v>1317.55</v>
      </c>
      <c r="L106" s="39">
        <f t="array" aca="1" ref="L106" ca="1">IF( $C106="", "", _xll.IMDP("IDX",$C106,L$6,$D$4,"Fill=true, Per="&amp;filter!$R$1) )</f>
        <v>0</v>
      </c>
      <c r="M106" s="50" t="str">
        <f t="array" aca="1" ref="M106" ca="1">IF( $C106="", "", _xll.IMDP("IDX",$C106,M$6,$D$4,"Fill=true, Per="&amp;filter!$R$1) )</f>
        <v/>
      </c>
      <c r="N106" s="51" t="str">
        <f t="array" aca="1" ref="N106" ca="1">IF( $C106="", "", _xll.IMDP("IDX",$C106,N$6,$D$4,"Fill=true, Per="&amp;filter!$R$1) )</f>
        <v/>
      </c>
      <c r="O106" s="52" t="str">
        <f t="array" aca="1" ref="O106" ca="1">IF( $C106="", "", _xll.IMDP("IDX",$C106,O$6,$D$4,"Fill=true, Per="&amp;filter!$R$1) )</f>
        <v/>
      </c>
    </row>
    <row r="107" spans="2:15">
      <c r="B107" s="21">
        <f t="shared" si="1"/>
        <v>99</v>
      </c>
      <c r="C107" s="17" t="str">
        <f>IFERROR( VLOOKUP(ROWS($B$8:B106), filter!$I:$J, 2, 0), "")</f>
        <v>MGA11P</v>
      </c>
      <c r="D107" s="16" t="str" cm="1">
        <f t="array" ref="D107">IF( $C107="", "", _xll.IMDP("IDX", $C107, D$6) )</f>
        <v>USD K200 선물 바이셀지수</v>
      </c>
      <c r="E107" s="34">
        <f t="array" aca="1" ref="E107" ca="1">IF( $C107="", "", _xll.IMDP("IDX",$C107,E$6,$D$4,"Fill=true, Per="&amp;filter!$R$1) )</f>
        <v>660.32</v>
      </c>
      <c r="F107" s="38">
        <f t="array" aca="1" ref="F107" ca="1">IF( $C107="", "", _xll.IMDP("IDX",$C107,F$6,$D$4,"Fill=true, Per="&amp;filter!$R$1) )</f>
        <v>9.4200000000000728</v>
      </c>
      <c r="G107" s="39">
        <f t="array" aca="1" ref="G107" ca="1">IF( $C107="", "", _xll.IMDP("IDX",$C107,G$6,$D$4,"Fill=true, Per="&amp;filter!$R$1) )</f>
        <v>1.45</v>
      </c>
      <c r="H107" s="43">
        <f t="array" aca="1" ref="H107" ca="1">IF( $C107="", "", _xll.IMDP("IDX",$C107,H$6,$D$4,"Fill=true, Per="&amp;filter!$R$1) )</f>
        <v>0</v>
      </c>
      <c r="I107" s="43">
        <f t="array" aca="1" ref="I107" ca="1">IF( $C107="", "", _xll.IMDP("IDX",$C107,I$6,$D$4,"Fill=true, Per="&amp;filter!$R$1) )</f>
        <v>0</v>
      </c>
      <c r="J107" s="34">
        <f t="array" aca="1" ref="J107" ca="1">IF( $C107="", "", _xll.IMDP("IDX",$C107,J$6,$D$4,"Fill=true, Per="&amp;filter!$R$1) )</f>
        <v>651.24</v>
      </c>
      <c r="K107" s="38">
        <f t="array" aca="1" ref="K107" ca="1">IF( $C107="", "", _xll.IMDP("IDX",$C107,K$6,$D$4,"Fill=true, Per="&amp;filter!$R$1) )</f>
        <v>661.36</v>
      </c>
      <c r="L107" s="39">
        <f t="array" aca="1" ref="L107" ca="1">IF( $C107="", "", _xll.IMDP("IDX",$C107,L$6,$D$4,"Fill=true, Per="&amp;filter!$R$1) )</f>
        <v>0</v>
      </c>
      <c r="M107" s="50" t="str">
        <f t="array" aca="1" ref="M107" ca="1">IF( $C107="", "", _xll.IMDP("IDX",$C107,M$6,$D$4,"Fill=true, Per="&amp;filter!$R$1) )</f>
        <v/>
      </c>
      <c r="N107" s="51" t="str">
        <f t="array" aca="1" ref="N107" ca="1">IF( $C107="", "", _xll.IMDP("IDX",$C107,N$6,$D$4,"Fill=true, Per="&amp;filter!$R$1) )</f>
        <v/>
      </c>
      <c r="O107" s="52" t="str">
        <f t="array" aca="1" ref="O107" ca="1">IF( $C107="", "", _xll.IMDP("IDX",$C107,O$6,$D$4,"Fill=true, Per="&amp;filter!$R$1) )</f>
        <v/>
      </c>
    </row>
    <row r="108" spans="2:15">
      <c r="B108" s="21">
        <f t="shared" si="1"/>
        <v>100</v>
      </c>
      <c r="C108" s="17" t="str">
        <f>IFERROR( VLOOKUP(ROWS($B$8:B107), filter!$I:$J, 2, 0), "")</f>
        <v>MGA14P</v>
      </c>
      <c r="D108" s="16" t="str" cm="1">
        <f t="array" ref="D108">IF( $C108="", "", _xll.IMDP("IDX", $C108, D$6) )</f>
        <v>코스닥 150 미국달러 현선물혼합</v>
      </c>
      <c r="E108" s="34">
        <f t="array" aca="1" ref="E108" ca="1">IF( $C108="", "", _xll.IMDP("IDX",$C108,E$6,$D$4,"Fill=true, Per="&amp;filter!$R$1) )</f>
        <v>1643.59</v>
      </c>
      <c r="F108" s="38">
        <f t="array" aca="1" ref="F108" ca="1">IF( $C108="", "", _xll.IMDP("IDX",$C108,F$6,$D$4,"Fill=true, Per="&amp;filter!$R$1) )</f>
        <v>-10.340000000000146</v>
      </c>
      <c r="G108" s="39">
        <f t="array" aca="1" ref="G108" ca="1">IF( $C108="", "", _xll.IMDP("IDX",$C108,G$6,$D$4,"Fill=true, Per="&amp;filter!$R$1) )</f>
        <v>-0.63</v>
      </c>
      <c r="H108" s="43">
        <f t="array" aca="1" ref="H108" ca="1">IF( $C108="", "", _xll.IMDP("IDX",$C108,H$6,$D$4,"Fill=true, Per="&amp;filter!$R$1) )</f>
        <v>0</v>
      </c>
      <c r="I108" s="43">
        <f t="array" aca="1" ref="I108" ca="1">IF( $C108="", "", _xll.IMDP("IDX",$C108,I$6,$D$4,"Fill=true, Per="&amp;filter!$R$1) )</f>
        <v>0</v>
      </c>
      <c r="J108" s="34">
        <f t="array" aca="1" ref="J108" ca="1">IF( $C108="", "", _xll.IMDP("IDX",$C108,J$6,$D$4,"Fill=true, Per="&amp;filter!$R$1) )</f>
        <v>1661.47</v>
      </c>
      <c r="K108" s="38">
        <f t="array" aca="1" ref="K108" ca="1">IF( $C108="", "", _xll.IMDP("IDX",$C108,K$6,$D$4,"Fill=true, Per="&amp;filter!$R$1) )</f>
        <v>1677.89</v>
      </c>
      <c r="L108" s="39">
        <f t="array" aca="1" ref="L108" ca="1">IF( $C108="", "", _xll.IMDP("IDX",$C108,L$6,$D$4,"Fill=true, Per="&amp;filter!$R$1) )</f>
        <v>0</v>
      </c>
      <c r="M108" s="50" t="str">
        <f t="array" aca="1" ref="M108" ca="1">IF( $C108="", "", _xll.IMDP("IDX",$C108,M$6,$D$4,"Fill=true, Per="&amp;filter!$R$1) )</f>
        <v/>
      </c>
      <c r="N108" s="51" t="str">
        <f t="array" aca="1" ref="N108" ca="1">IF( $C108="", "", _xll.IMDP("IDX",$C108,N$6,$D$4,"Fill=true, Per="&amp;filter!$R$1) )</f>
        <v/>
      </c>
      <c r="O108" s="52" t="str">
        <f t="array" aca="1" ref="O108" ca="1">IF( $C108="", "", _xll.IMDP("IDX",$C108,O$6,$D$4,"Fill=true, Per="&amp;filter!$R$1) )</f>
        <v/>
      </c>
    </row>
    <row r="109" spans="2:15">
      <c r="B109" s="21">
        <f t="shared" si="1"/>
        <v>101</v>
      </c>
      <c r="C109" s="17" t="str">
        <f>IFERROR( VLOOKUP(ROWS($B$8:B108), filter!$I:$J, 2, 0), "")</f>
        <v>O2902P</v>
      </c>
      <c r="D109" s="16" t="str" cm="1">
        <f t="array" ref="D109">IF( $C109="", "", _xll.IMDP("IDX", $C109, D$6) )</f>
        <v>코스피 200 커버드콜 5% OTM</v>
      </c>
      <c r="E109" s="34">
        <f t="array" aca="1" ref="E109" ca="1">IF( $C109="", "", _xll.IMDP("IDX",$C109,E$6,$D$4,"Fill=true, Per="&amp;filter!$R$1) )</f>
        <v>358.65</v>
      </c>
      <c r="F109" s="38">
        <f t="array" aca="1" ref="F109" ca="1">IF( $C109="", "", _xll.IMDP("IDX",$C109,F$6,$D$4,"Fill=true, Per="&amp;filter!$R$1) )</f>
        <v>-0.87999999999999545</v>
      </c>
      <c r="G109" s="39">
        <f t="array" aca="1" ref="G109" ca="1">IF( $C109="", "", _xll.IMDP("IDX",$C109,G$6,$D$4,"Fill=true, Per="&amp;filter!$R$1) )</f>
        <v>-0.24</v>
      </c>
      <c r="H109" s="43">
        <f t="array" aca="1" ref="H109" ca="1">IF( $C109="", "", _xll.IMDP("IDX",$C109,H$6,$D$4,"Fill=true, Per="&amp;filter!$R$1) )</f>
        <v>0</v>
      </c>
      <c r="I109" s="43">
        <f t="array" aca="1" ref="I109" ca="1">IF( $C109="", "", _xll.IMDP("IDX",$C109,I$6,$D$4,"Fill=true, Per="&amp;filter!$R$1) )</f>
        <v>0</v>
      </c>
      <c r="J109" s="34">
        <f t="array" aca="1" ref="J109" ca="1">IF( $C109="", "", _xll.IMDP("IDX",$C109,J$6,$D$4,"Fill=true, Per="&amp;filter!$R$1) )</f>
        <v>359.74</v>
      </c>
      <c r="K109" s="38">
        <f t="array" aca="1" ref="K109" ca="1">IF( $C109="", "", _xll.IMDP("IDX",$C109,K$6,$D$4,"Fill=true, Per="&amp;filter!$R$1) )</f>
        <v>361.82</v>
      </c>
      <c r="L109" s="39">
        <f t="array" aca="1" ref="L109" ca="1">IF( $C109="", "", _xll.IMDP("IDX",$C109,L$6,$D$4,"Fill=true, Per="&amp;filter!$R$1) )</f>
        <v>0</v>
      </c>
      <c r="M109" s="50" t="str">
        <f t="array" aca="1" ref="M109" ca="1">IF( $C109="", "", _xll.IMDP("IDX",$C109,M$6,$D$4,"Fill=true, Per="&amp;filter!$R$1) )</f>
        <v/>
      </c>
      <c r="N109" s="51" t="str">
        <f t="array" aca="1" ref="N109" ca="1">IF( $C109="", "", _xll.IMDP("IDX",$C109,N$6,$D$4,"Fill=true, Per="&amp;filter!$R$1) )</f>
        <v/>
      </c>
      <c r="O109" s="52" t="str">
        <f t="array" aca="1" ref="O109" ca="1">IF( $C109="", "", _xll.IMDP("IDX",$C109,O$6,$D$4,"Fill=true, Per="&amp;filter!$R$1) )</f>
        <v/>
      </c>
    </row>
    <row r="110" spans="2:15">
      <c r="B110" s="21">
        <f t="shared" si="1"/>
        <v>102</v>
      </c>
      <c r="C110" s="17" t="str">
        <f>IFERROR( VLOOKUP(ROWS($B$8:B109), filter!$I:$J, 2, 0), "")</f>
        <v>MGA15P</v>
      </c>
      <c r="D110" s="16" t="str" cm="1">
        <f t="array" ref="D110">IF( $C110="", "", _xll.IMDP("IDX", $C110, D$6) )</f>
        <v>KRX Bloomberg 코스피 200 베어</v>
      </c>
      <c r="E110" s="34">
        <f t="array" aca="1" ref="E110" ca="1">IF( $C110="", "", _xll.IMDP("IDX",$C110,E$6,$D$4,"Fill=true, Per="&amp;filter!$R$1) )</f>
        <v>901.1</v>
      </c>
      <c r="F110" s="38">
        <f t="array" aca="1" ref="F110" ca="1">IF( $C110="", "", _xll.IMDP("IDX",$C110,F$6,$D$4,"Fill=true, Per="&amp;filter!$R$1) )</f>
        <v>3.7799999999999727</v>
      </c>
      <c r="G110" s="39">
        <f t="array" aca="1" ref="G110" ca="1">IF( $C110="", "", _xll.IMDP("IDX",$C110,G$6,$D$4,"Fill=true, Per="&amp;filter!$R$1) )</f>
        <v>0.42</v>
      </c>
      <c r="H110" s="43">
        <f t="array" aca="1" ref="H110" ca="1">IF( $C110="", "", _xll.IMDP("IDX",$C110,H$6,$D$4,"Fill=true, Per="&amp;filter!$R$1) )</f>
        <v>0</v>
      </c>
      <c r="I110" s="43">
        <f t="array" aca="1" ref="I110" ca="1">IF( $C110="", "", _xll.IMDP("IDX",$C110,I$6,$D$4,"Fill=true, Per="&amp;filter!$R$1) )</f>
        <v>0</v>
      </c>
      <c r="J110" s="34">
        <f t="array" aca="1" ref="J110" ca="1">IF( $C110="", "", _xll.IMDP("IDX",$C110,J$6,$D$4,"Fill=true, Per="&amp;filter!$R$1) )</f>
        <v>897.66</v>
      </c>
      <c r="K110" s="38">
        <f t="array" aca="1" ref="K110" ca="1">IF( $C110="", "", _xll.IMDP("IDX",$C110,K$6,$D$4,"Fill=true, Per="&amp;filter!$R$1) )</f>
        <v>901.91</v>
      </c>
      <c r="L110" s="39">
        <f t="array" aca="1" ref="L110" ca="1">IF( $C110="", "", _xll.IMDP("IDX",$C110,L$6,$D$4,"Fill=true, Per="&amp;filter!$R$1) )</f>
        <v>0</v>
      </c>
      <c r="M110" s="50" t="str">
        <f t="array" aca="1" ref="M110" ca="1">IF( $C110="", "", _xll.IMDP("IDX",$C110,M$6,$D$4,"Fill=true, Per="&amp;filter!$R$1) )</f>
        <v/>
      </c>
      <c r="N110" s="51" t="str">
        <f t="array" aca="1" ref="N110" ca="1">IF( $C110="", "", _xll.IMDP("IDX",$C110,N$6,$D$4,"Fill=true, Per="&amp;filter!$R$1) )</f>
        <v/>
      </c>
      <c r="O110" s="52" t="str">
        <f t="array" aca="1" ref="O110" ca="1">IF( $C110="", "", _xll.IMDP("IDX",$C110,O$6,$D$4,"Fill=true, Per="&amp;filter!$R$1) )</f>
        <v/>
      </c>
    </row>
    <row r="111" spans="2:15">
      <c r="B111" s="21">
        <f t="shared" si="1"/>
        <v>103</v>
      </c>
      <c r="C111" s="17" t="str">
        <f>IFERROR( VLOOKUP(ROWS($B$8:B110), filter!$I:$J, 2, 0), "")</f>
        <v>MGA01P</v>
      </c>
      <c r="D111" s="16" t="str" cm="1">
        <f t="array" ref="D111">IF( $C111="", "", _xll.IMDP("IDX", $C111, D$6) )</f>
        <v>주식골드지수</v>
      </c>
      <c r="E111" s="34">
        <f t="array" aca="1" ref="E111" ca="1">IF( $C111="", "", _xll.IMDP("IDX",$C111,E$6,$D$4,"Fill=true, Per="&amp;filter!$R$1) )</f>
        <v>5671.84</v>
      </c>
      <c r="F111" s="38">
        <f t="array" aca="1" ref="F111" ca="1">IF( $C111="", "", _xll.IMDP("IDX",$C111,F$6,$D$4,"Fill=true, Per="&amp;filter!$R$1) )</f>
        <v>-57.800000000000182</v>
      </c>
      <c r="G111" s="39">
        <f t="array" aca="1" ref="G111" ca="1">IF( $C111="", "", _xll.IMDP("IDX",$C111,G$6,$D$4,"Fill=true, Per="&amp;filter!$R$1) )</f>
        <v>-1.01</v>
      </c>
      <c r="H111" s="43">
        <f t="array" aca="1" ref="H111" ca="1">IF( $C111="", "", _xll.IMDP("IDX",$C111,H$6,$D$4,"Fill=true, Per="&amp;filter!$R$1) )</f>
        <v>0</v>
      </c>
      <c r="I111" s="43">
        <f t="array" aca="1" ref="I111" ca="1">IF( $C111="", "", _xll.IMDP("IDX",$C111,I$6,$D$4,"Fill=true, Per="&amp;filter!$R$1) )</f>
        <v>0</v>
      </c>
      <c r="J111" s="34">
        <f t="array" aca="1" ref="J111" ca="1">IF( $C111="", "", _xll.IMDP("IDX",$C111,J$6,$D$4,"Fill=true, Per="&amp;filter!$R$1) )</f>
        <v>5700.66</v>
      </c>
      <c r="K111" s="38">
        <f t="array" aca="1" ref="K111" ca="1">IF( $C111="", "", _xll.IMDP("IDX",$C111,K$6,$D$4,"Fill=true, Per="&amp;filter!$R$1) )</f>
        <v>5711.73</v>
      </c>
      <c r="L111" s="39">
        <f t="array" aca="1" ref="L111" ca="1">IF( $C111="", "", _xll.IMDP("IDX",$C111,L$6,$D$4,"Fill=true, Per="&amp;filter!$R$1) )</f>
        <v>0</v>
      </c>
      <c r="M111" s="50" t="str">
        <f t="array" aca="1" ref="M111" ca="1">IF( $C111="", "", _xll.IMDP("IDX",$C111,M$6,$D$4,"Fill=true, Per="&amp;filter!$R$1) )</f>
        <v/>
      </c>
      <c r="N111" s="51" t="str">
        <f t="array" aca="1" ref="N111" ca="1">IF( $C111="", "", _xll.IMDP("IDX",$C111,N$6,$D$4,"Fill=true, Per="&amp;filter!$R$1) )</f>
        <v/>
      </c>
      <c r="O111" s="52" t="str">
        <f t="array" aca="1" ref="O111" ca="1">IF( $C111="", "", _xll.IMDP("IDX",$C111,O$6,$D$4,"Fill=true, Per="&amp;filter!$R$1) )</f>
        <v/>
      </c>
    </row>
    <row r="112" spans="2:15">
      <c r="B112" s="21">
        <f t="shared" si="1"/>
        <v>104</v>
      </c>
      <c r="C112" s="17" t="str">
        <f>IFERROR( VLOOKUP(ROWS($B$8:B111), filter!$I:$J, 2, 0), "")</f>
        <v>MGA02P</v>
      </c>
      <c r="D112" s="16" t="str" cm="1">
        <f t="array" ref="D112">IF( $C112="", "", _xll.IMDP("IDX", $C112, D$6) )</f>
        <v>주식미국채DAE지수</v>
      </c>
      <c r="E112" s="34">
        <f t="array" aca="1" ref="E112" ca="1">IF( $C112="", "", _xll.IMDP("IDX",$C112,E$6,$D$4,"Fill=true, Per="&amp;filter!$R$1) )</f>
        <v>4874.7700000000004</v>
      </c>
      <c r="F112" s="38">
        <f t="array" aca="1" ref="F112" ca="1">IF( $C112="", "", _xll.IMDP("IDX",$C112,F$6,$D$4,"Fill=true, Per="&amp;filter!$R$1) )</f>
        <v>-23.079999999999927</v>
      </c>
      <c r="G112" s="39">
        <f t="array" aca="1" ref="G112" ca="1">IF( $C112="", "", _xll.IMDP("IDX",$C112,G$6,$D$4,"Fill=true, Per="&amp;filter!$R$1) )</f>
        <v>-0.47</v>
      </c>
      <c r="H112" s="43">
        <f t="array" aca="1" ref="H112" ca="1">IF( $C112="", "", _xll.IMDP("IDX",$C112,H$6,$D$4,"Fill=true, Per="&amp;filter!$R$1) )</f>
        <v>0</v>
      </c>
      <c r="I112" s="43">
        <f t="array" aca="1" ref="I112" ca="1">IF( $C112="", "", _xll.IMDP("IDX",$C112,I$6,$D$4,"Fill=true, Per="&amp;filter!$R$1) )</f>
        <v>0</v>
      </c>
      <c r="J112" s="34">
        <f t="array" aca="1" ref="J112" ca="1">IF( $C112="", "", _xll.IMDP("IDX",$C112,J$6,$D$4,"Fill=true, Per="&amp;filter!$R$1) )</f>
        <v>4895.6499999999996</v>
      </c>
      <c r="K112" s="38">
        <f t="array" aca="1" ref="K112" ca="1">IF( $C112="", "", _xll.IMDP("IDX",$C112,K$6,$D$4,"Fill=true, Per="&amp;filter!$R$1) )</f>
        <v>4903.7</v>
      </c>
      <c r="L112" s="39">
        <f t="array" aca="1" ref="L112" ca="1">IF( $C112="", "", _xll.IMDP("IDX",$C112,L$6,$D$4,"Fill=true, Per="&amp;filter!$R$1) )</f>
        <v>0</v>
      </c>
      <c r="M112" s="50" t="str">
        <f t="array" aca="1" ref="M112" ca="1">IF( $C112="", "", _xll.IMDP("IDX",$C112,M$6,$D$4,"Fill=true, Per="&amp;filter!$R$1) )</f>
        <v/>
      </c>
      <c r="N112" s="51" t="str">
        <f t="array" aca="1" ref="N112" ca="1">IF( $C112="", "", _xll.IMDP("IDX",$C112,N$6,$D$4,"Fill=true, Per="&amp;filter!$R$1) )</f>
        <v/>
      </c>
      <c r="O112" s="52" t="str">
        <f t="array" aca="1" ref="O112" ca="1">IF( $C112="", "", _xll.IMDP("IDX",$C112,O$6,$D$4,"Fill=true, Per="&amp;filter!$R$1) )</f>
        <v/>
      </c>
    </row>
    <row r="113" spans="2:15">
      <c r="B113" s="21">
        <f t="shared" si="1"/>
        <v>105</v>
      </c>
      <c r="C113" s="17" t="str">
        <f>IFERROR( VLOOKUP(ROWS($B$8:B112), filter!$I:$J, 2, 0), "")</f>
        <v>KGD02T</v>
      </c>
      <c r="D113" s="16" t="str" cm="1">
        <f t="array" ref="D113">IF( $C113="", "", _xll.IMDP("IDX", $C113, D$6) )</f>
        <v>코스피 고배당50 TR(KOSPI통합)</v>
      </c>
      <c r="E113" s="34">
        <f t="array" aca="1" ref="E113" ca="1">IF( $C113="", "", _xll.IMDP("IDX",$C113,E$6,$D$4,"Fill=true, Per="&amp;filter!$R$1) )</f>
        <v>5285.66</v>
      </c>
      <c r="F113" s="38">
        <f t="array" aca="1" ref="F113" ca="1">IF( $C113="", "", _xll.IMDP("IDX",$C113,F$6,$D$4,"Fill=true, Per="&amp;filter!$R$1) )</f>
        <v>61.729999999999563</v>
      </c>
      <c r="G113" s="39">
        <f t="array" aca="1" ref="G113" ca="1">IF( $C113="", "", _xll.IMDP("IDX",$C113,G$6,$D$4,"Fill=true, Per="&amp;filter!$R$1) )</f>
        <v>1.18</v>
      </c>
      <c r="H113" s="43">
        <f t="array" aca="1" ref="H113" ca="1">IF( $C113="", "", _xll.IMDP("IDX",$C113,H$6,$D$4,"Fill=true, Per="&amp;filter!$R$1) )</f>
        <v>0</v>
      </c>
      <c r="I113" s="43">
        <f t="array" aca="1" ref="I113" ca="1">IF( $C113="", "", _xll.IMDP("IDX",$C113,I$6,$D$4,"Fill=true, Per="&amp;filter!$R$1) )</f>
        <v>0</v>
      </c>
      <c r="J113" s="34">
        <f t="array" aca="1" ref="J113" ca="1">IF( $C113="", "", _xll.IMDP("IDX",$C113,J$6,$D$4,"Fill=true, Per="&amp;filter!$R$1) )</f>
        <v>5231.72</v>
      </c>
      <c r="K113" s="38">
        <f t="array" aca="1" ref="K113" ca="1">IF( $C113="", "", _xll.IMDP("IDX",$C113,K$6,$D$4,"Fill=true, Per="&amp;filter!$R$1) )</f>
        <v>5301.74</v>
      </c>
      <c r="L113" s="39">
        <f t="array" aca="1" ref="L113" ca="1">IF( $C113="", "", _xll.IMDP("IDX",$C113,L$6,$D$4,"Fill=true, Per="&amp;filter!$R$1) )</f>
        <v>0</v>
      </c>
      <c r="M113" s="50" t="str">
        <f t="array" aca="1" ref="M113" ca="1">IF( $C113="", "", _xll.IMDP("IDX",$C113,M$6,$D$4,"Fill=true, Per="&amp;filter!$R$1) )</f>
        <v/>
      </c>
      <c r="N113" s="51" t="str">
        <f t="array" aca="1" ref="N113" ca="1">IF( $C113="", "", _xll.IMDP("IDX",$C113,N$6,$D$4,"Fill=true, Per="&amp;filter!$R$1) )</f>
        <v/>
      </c>
      <c r="O113" s="52" t="str">
        <f t="array" aca="1" ref="O113" ca="1">IF( $C113="", "", _xll.IMDP("IDX",$C113,O$6,$D$4,"Fill=true, Per="&amp;filter!$R$1) )</f>
        <v/>
      </c>
    </row>
    <row r="114" spans="2:15">
      <c r="B114" s="21">
        <f t="shared" si="1"/>
        <v>106</v>
      </c>
      <c r="C114" s="17" t="str">
        <f>IFERROR( VLOOKUP(ROWS($B$8:B113), filter!$I:$J, 2, 0), "")</f>
        <v>KGD03P</v>
      </c>
      <c r="D114" s="16" t="str" cm="1">
        <f t="array" ref="D114">IF( $C114="", "", _xll.IMDP("IDX", $C114, D$6) )</f>
        <v>코스피 배당성장 50</v>
      </c>
      <c r="E114" s="34">
        <f t="array" aca="1" ref="E114" ca="1">IF( $C114="", "", _xll.IMDP("IDX",$C114,E$6,$D$4,"Fill=true, Per="&amp;filter!$R$1) )</f>
        <v>4031.1</v>
      </c>
      <c r="F114" s="38">
        <f t="array" aca="1" ref="F114" ca="1">IF( $C114="", "", _xll.IMDP("IDX",$C114,F$6,$D$4,"Fill=true, Per="&amp;filter!$R$1) )</f>
        <v>50.610000000000127</v>
      </c>
      <c r="G114" s="39">
        <f t="array" aca="1" ref="G114" ca="1">IF( $C114="", "", _xll.IMDP("IDX",$C114,G$6,$D$4,"Fill=true, Per="&amp;filter!$R$1) )</f>
        <v>1.27</v>
      </c>
      <c r="H114" s="43">
        <f t="array" aca="1" ref="H114" ca="1">IF( $C114="", "", _xll.IMDP("IDX",$C114,H$6,$D$4,"Fill=true, Per="&amp;filter!$R$1) )</f>
        <v>25634</v>
      </c>
      <c r="I114" s="43">
        <f t="array" aca="1" ref="I114" ca="1">IF( $C114="", "", _xll.IMDP("IDX",$C114,I$6,$D$4,"Fill=true, Per="&amp;filter!$R$1) )</f>
        <v>3104007</v>
      </c>
      <c r="J114" s="34">
        <f t="array" aca="1" ref="J114" ca="1">IF( $C114="", "", _xll.IMDP("IDX",$C114,J$6,$D$4,"Fill=true, Per="&amp;filter!$R$1) )</f>
        <v>3985.99</v>
      </c>
      <c r="K114" s="38">
        <f t="array" aca="1" ref="K114" ca="1">IF( $C114="", "", _xll.IMDP("IDX",$C114,K$6,$D$4,"Fill=true, Per="&amp;filter!$R$1) )</f>
        <v>4046.29</v>
      </c>
      <c r="L114" s="39">
        <f t="array" aca="1" ref="L114" ca="1">IF( $C114="", "", _xll.IMDP("IDX",$C114,L$6,$D$4,"Fill=true, Per="&amp;filter!$R$1) )</f>
        <v>0</v>
      </c>
      <c r="M114" s="50" t="str">
        <f t="array" aca="1" ref="M114" ca="1">IF( $C114="", "", _xll.IMDP("IDX",$C114,M$6,$D$4,"Fill=true, Per="&amp;filter!$R$1) )</f>
        <v/>
      </c>
      <c r="N114" s="51" t="str">
        <f t="array" aca="1" ref="N114" ca="1">IF( $C114="", "", _xll.IMDP("IDX",$C114,N$6,$D$4,"Fill=true, Per="&amp;filter!$R$1) )</f>
        <v/>
      </c>
      <c r="O114" s="52" t="str">
        <f t="array" aca="1" ref="O114" ca="1">IF( $C114="", "", _xll.IMDP("IDX",$C114,O$6,$D$4,"Fill=true, Per="&amp;filter!$R$1) )</f>
        <v/>
      </c>
    </row>
    <row r="115" spans="2:15">
      <c r="B115" s="21">
        <f t="shared" si="1"/>
        <v>107</v>
      </c>
      <c r="C115" s="17" t="str">
        <f>IFERROR( VLOOKUP(ROWS($B$8:B114), filter!$I:$J, 2, 0), "")</f>
        <v>KGD03T</v>
      </c>
      <c r="D115" s="16" t="str" cm="1">
        <f t="array" ref="D115">IF( $C115="", "", _xll.IMDP("IDX", $C115, D$6) )</f>
        <v>코스피 배당성장50 TR</v>
      </c>
      <c r="E115" s="34">
        <f t="array" aca="1" ref="E115" ca="1">IF( $C115="", "", _xll.IMDP("IDX",$C115,E$6,$D$4,"Fill=true, Per="&amp;filter!$R$1) )</f>
        <v>5502.15</v>
      </c>
      <c r="F115" s="38">
        <f t="array" aca="1" ref="F115" ca="1">IF( $C115="", "", _xll.IMDP("IDX",$C115,F$6,$D$4,"Fill=true, Per="&amp;filter!$R$1) )</f>
        <v>68.989999999999782</v>
      </c>
      <c r="G115" s="39">
        <f t="array" aca="1" ref="G115" ca="1">IF( $C115="", "", _xll.IMDP("IDX",$C115,G$6,$D$4,"Fill=true, Per="&amp;filter!$R$1) )</f>
        <v>1.27</v>
      </c>
      <c r="H115" s="43">
        <f t="array" aca="1" ref="H115" ca="1">IF( $C115="", "", _xll.IMDP("IDX",$C115,H$6,$D$4,"Fill=true, Per="&amp;filter!$R$1) )</f>
        <v>0</v>
      </c>
      <c r="I115" s="43">
        <f t="array" aca="1" ref="I115" ca="1">IF( $C115="", "", _xll.IMDP("IDX",$C115,I$6,$D$4,"Fill=true, Per="&amp;filter!$R$1) )</f>
        <v>0</v>
      </c>
      <c r="J115" s="34">
        <f t="array" aca="1" ref="J115" ca="1">IF( $C115="", "", _xll.IMDP("IDX",$C115,J$6,$D$4,"Fill=true, Per="&amp;filter!$R$1) )</f>
        <v>5440.67</v>
      </c>
      <c r="K115" s="38">
        <f t="array" aca="1" ref="K115" ca="1">IF( $C115="", "", _xll.IMDP("IDX",$C115,K$6,$D$4,"Fill=true, Per="&amp;filter!$R$1) )</f>
        <v>5522.88</v>
      </c>
      <c r="L115" s="39">
        <f t="array" aca="1" ref="L115" ca="1">IF( $C115="", "", _xll.IMDP("IDX",$C115,L$6,$D$4,"Fill=true, Per="&amp;filter!$R$1) )</f>
        <v>0</v>
      </c>
      <c r="M115" s="50" t="str">
        <f t="array" aca="1" ref="M115" ca="1">IF( $C115="", "", _xll.IMDP("IDX",$C115,M$6,$D$4,"Fill=true, Per="&amp;filter!$R$1) )</f>
        <v/>
      </c>
      <c r="N115" s="51" t="str">
        <f t="array" aca="1" ref="N115" ca="1">IF( $C115="", "", _xll.IMDP("IDX",$C115,N$6,$D$4,"Fill=true, Per="&amp;filter!$R$1) )</f>
        <v/>
      </c>
      <c r="O115" s="52" t="str">
        <f t="array" aca="1" ref="O115" ca="1">IF( $C115="", "", _xll.IMDP("IDX",$C115,O$6,$D$4,"Fill=true, Per="&amp;filter!$R$1) )</f>
        <v/>
      </c>
    </row>
    <row r="116" spans="2:15">
      <c r="B116" s="21">
        <f t="shared" si="1"/>
        <v>108</v>
      </c>
      <c r="C116" s="17" t="str">
        <f>IFERROR( VLOOKUP(ROWS($B$8:B115), filter!$I:$J, 2, 0), "")</f>
        <v>KGG01T</v>
      </c>
      <c r="D116" s="16" t="str" cm="1">
        <f t="array" ref="D116">IF( $C116="", "", _xll.IMDP("IDX", $C116, D$6) )</f>
        <v>코스피 TR</v>
      </c>
      <c r="E116" s="34">
        <f t="array" aca="1" ref="E116" ca="1">IF( $C116="", "", _xll.IMDP("IDX",$C116,E$6,$D$4,"Fill=true, Per="&amp;filter!$R$1) )</f>
        <v>3375.02</v>
      </c>
      <c r="F116" s="38">
        <f t="array" aca="1" ref="F116" ca="1">IF( $C116="", "", _xll.IMDP("IDX",$C116,F$6,$D$4,"Fill=true, Per="&amp;filter!$R$1) )</f>
        <v>-12.5300000000002</v>
      </c>
      <c r="G116" s="39">
        <f t="array" aca="1" ref="G116" ca="1">IF( $C116="", "", _xll.IMDP("IDX",$C116,G$6,$D$4,"Fill=true, Per="&amp;filter!$R$1) )</f>
        <v>-0.37</v>
      </c>
      <c r="H116" s="43">
        <f t="array" aca="1" ref="H116" ca="1">IF( $C116="", "", _xll.IMDP("IDX",$C116,H$6,$D$4,"Fill=true, Per="&amp;filter!$R$1) )</f>
        <v>0</v>
      </c>
      <c r="I116" s="43">
        <f t="array" aca="1" ref="I116" ca="1">IF( $C116="", "", _xll.IMDP("IDX",$C116,I$6,$D$4,"Fill=true, Per="&amp;filter!$R$1) )</f>
        <v>0</v>
      </c>
      <c r="J116" s="34">
        <f t="array" aca="1" ref="J116" ca="1">IF( $C116="", "", _xll.IMDP("IDX",$C116,J$6,$D$4,"Fill=true, Per="&amp;filter!$R$1) )</f>
        <v>3399.57</v>
      </c>
      <c r="K116" s="38">
        <f t="array" aca="1" ref="K116" ca="1">IF( $C116="", "", _xll.IMDP("IDX",$C116,K$6,$D$4,"Fill=true, Per="&amp;filter!$R$1) )</f>
        <v>3414.24</v>
      </c>
      <c r="L116" s="39">
        <f t="array" aca="1" ref="L116" ca="1">IF( $C116="", "", _xll.IMDP("IDX",$C116,L$6,$D$4,"Fill=true, Per="&amp;filter!$R$1) )</f>
        <v>0</v>
      </c>
      <c r="M116" s="50" t="str">
        <f t="array" aca="1" ref="M116" ca="1">IF( $C116="", "", _xll.IMDP("IDX",$C116,M$6,$D$4,"Fill=true, Per="&amp;filter!$R$1) )</f>
        <v/>
      </c>
      <c r="N116" s="51" t="str">
        <f t="array" aca="1" ref="N116" ca="1">IF( $C116="", "", _xll.IMDP("IDX",$C116,N$6,$D$4,"Fill=true, Per="&amp;filter!$R$1) )</f>
        <v/>
      </c>
      <c r="O116" s="52" t="str">
        <f t="array" aca="1" ref="O116" ca="1">IF( $C116="", "", _xll.IMDP("IDX",$C116,O$6,$D$4,"Fill=true, Per="&amp;filter!$R$1) )</f>
        <v/>
      </c>
    </row>
    <row r="117" spans="2:15">
      <c r="B117" s="21">
        <f t="shared" si="1"/>
        <v>109</v>
      </c>
      <c r="C117" s="17" t="str">
        <f>IFERROR( VLOOKUP(ROWS($B$8:B116), filter!$I:$J, 2, 0), "")</f>
        <v>KGT01P</v>
      </c>
      <c r="D117" s="16" t="str" cm="1">
        <f t="array" ref="D117">IF( $C117="", "", _xll.IMDP("IDX", $C117, D$6) )</f>
        <v>KRX 리츠 TOP 10 지수</v>
      </c>
      <c r="E117" s="34">
        <f t="array" aca="1" ref="E117" ca="1">IF( $C117="", "", _xll.IMDP("IDX",$C117,E$6,$D$4,"Fill=true, Per="&amp;filter!$R$1) )</f>
        <v>865.94</v>
      </c>
      <c r="F117" s="38">
        <f t="array" aca="1" ref="F117" ca="1">IF( $C117="", "", _xll.IMDP("IDX",$C117,F$6,$D$4,"Fill=true, Per="&amp;filter!$R$1) )</f>
        <v>-3.1599999999999682</v>
      </c>
      <c r="G117" s="39">
        <f t="array" aca="1" ref="G117" ca="1">IF( $C117="", "", _xll.IMDP("IDX",$C117,G$6,$D$4,"Fill=true, Per="&amp;filter!$R$1) )</f>
        <v>-0.36</v>
      </c>
      <c r="H117" s="43">
        <f t="array" aca="1" ref="H117" ca="1">IF( $C117="", "", _xll.IMDP("IDX",$C117,H$6,$D$4,"Fill=true, Per="&amp;filter!$R$1) )</f>
        <v>2681</v>
      </c>
      <c r="I117" s="43">
        <f t="array" aca="1" ref="I117" ca="1">IF( $C117="", "", _xll.IMDP("IDX",$C117,I$6,$D$4,"Fill=true, Per="&amp;filter!$R$1) )</f>
        <v>12594</v>
      </c>
      <c r="J117" s="34">
        <f t="array" aca="1" ref="J117" ca="1">IF( $C117="", "", _xll.IMDP("IDX",$C117,J$6,$D$4,"Fill=true, Per="&amp;filter!$R$1) )</f>
        <v>868.63</v>
      </c>
      <c r="K117" s="38">
        <f t="array" aca="1" ref="K117" ca="1">IF( $C117="", "", _xll.IMDP("IDX",$C117,K$6,$D$4,"Fill=true, Per="&amp;filter!$R$1) )</f>
        <v>868.63</v>
      </c>
      <c r="L117" s="39">
        <f t="array" aca="1" ref="L117" ca="1">IF( $C117="", "", _xll.IMDP("IDX",$C117,L$6,$D$4,"Fill=true, Per="&amp;filter!$R$1) )</f>
        <v>0</v>
      </c>
      <c r="M117" s="50" t="str">
        <f t="array" aca="1" ref="M117" ca="1">IF( $C117="", "", _xll.IMDP("IDX",$C117,M$6,$D$4,"Fill=true, Per="&amp;filter!$R$1) )</f>
        <v/>
      </c>
      <c r="N117" s="51" t="str">
        <f t="array" aca="1" ref="N117" ca="1">IF( $C117="", "", _xll.IMDP("IDX",$C117,N$6,$D$4,"Fill=true, Per="&amp;filter!$R$1) )</f>
        <v/>
      </c>
      <c r="O117" s="52" t="str">
        <f t="array" aca="1" ref="O117" ca="1">IF( $C117="", "", _xll.IMDP("IDX",$C117,O$6,$D$4,"Fill=true, Per="&amp;filter!$R$1) )</f>
        <v/>
      </c>
    </row>
    <row r="118" spans="2:15">
      <c r="B118" s="21">
        <f t="shared" si="1"/>
        <v>110</v>
      </c>
      <c r="C118" s="17" t="str">
        <f>IFERROR( VLOOKUP(ROWS($B$8:B117), filter!$I:$J, 2, 0), "")</f>
        <v>KGX01P</v>
      </c>
      <c r="D118" s="16" t="str" cm="1">
        <f t="array" ref="D118">IF( $C118="", "", _xll.IMDP("IDX", $C118, D$6) )</f>
        <v>KRX 리츠 TOP 10 레버리지 지수</v>
      </c>
      <c r="E118" s="34">
        <f t="array" aca="1" ref="E118" ca="1">IF( $C118="", "", _xll.IMDP("IDX",$C118,E$6,$D$4,"Fill=true, Per="&amp;filter!$R$1) )</f>
        <v>647.99</v>
      </c>
      <c r="F118" s="38">
        <f t="array" aca="1" ref="F118" ca="1">IF( $C118="", "", _xll.IMDP("IDX",$C118,F$6,$D$4,"Fill=true, Per="&amp;filter!$R$1) )</f>
        <v>-5.0199999999999818</v>
      </c>
      <c r="G118" s="39">
        <f t="array" aca="1" ref="G118" ca="1">IF( $C118="", "", _xll.IMDP("IDX",$C118,G$6,$D$4,"Fill=true, Per="&amp;filter!$R$1) )</f>
        <v>-0.77</v>
      </c>
      <c r="H118" s="43">
        <f t="array" aca="1" ref="H118" ca="1">IF( $C118="", "", _xll.IMDP("IDX",$C118,H$6,$D$4,"Fill=true, Per="&amp;filter!$R$1) )</f>
        <v>0</v>
      </c>
      <c r="I118" s="43">
        <f t="array" aca="1" ref="I118" ca="1">IF( $C118="", "", _xll.IMDP("IDX",$C118,I$6,$D$4,"Fill=true, Per="&amp;filter!$R$1) )</f>
        <v>0</v>
      </c>
      <c r="J118" s="34">
        <f t="array" aca="1" ref="J118" ca="1">IF( $C118="", "", _xll.IMDP("IDX",$C118,J$6,$D$4,"Fill=true, Per="&amp;filter!$R$1) )</f>
        <v>652.11</v>
      </c>
      <c r="K118" s="38">
        <f t="array" aca="1" ref="K118" ca="1">IF( $C118="", "", _xll.IMDP("IDX",$C118,K$6,$D$4,"Fill=true, Per="&amp;filter!$R$1) )</f>
        <v>652.11</v>
      </c>
      <c r="L118" s="39">
        <f t="array" aca="1" ref="L118" ca="1">IF( $C118="", "", _xll.IMDP("IDX",$C118,L$6,$D$4,"Fill=true, Per="&amp;filter!$R$1) )</f>
        <v>0</v>
      </c>
      <c r="M118" s="50" t="str">
        <f t="array" aca="1" ref="M118" ca="1">IF( $C118="", "", _xll.IMDP("IDX",$C118,M$6,$D$4,"Fill=true, Per="&amp;filter!$R$1) )</f>
        <v/>
      </c>
      <c r="N118" s="51" t="str">
        <f t="array" aca="1" ref="N118" ca="1">IF( $C118="", "", _xll.IMDP("IDX",$C118,N$6,$D$4,"Fill=true, Per="&amp;filter!$R$1) )</f>
        <v/>
      </c>
      <c r="O118" s="52" t="str">
        <f t="array" aca="1" ref="O118" ca="1">IF( $C118="", "", _xll.IMDP("IDX",$C118,O$6,$D$4,"Fill=true, Per="&amp;filter!$R$1) )</f>
        <v/>
      </c>
    </row>
    <row r="119" spans="2:15">
      <c r="B119" s="21">
        <f t="shared" si="1"/>
        <v>111</v>
      </c>
      <c r="C119" s="17" t="str">
        <f>IFERROR( VLOOKUP(ROWS($B$8:B118), filter!$I:$J, 2, 0), "")</f>
        <v>O2916T</v>
      </c>
      <c r="D119" s="16" t="str" cm="1">
        <f t="array" ref="D119">IF( $C119="", "", _xll.IMDP("IDX", $C119, D$6) )</f>
        <v>KRX Cboe 코스피 200 콜매도 지?</v>
      </c>
      <c r="E119" s="34">
        <f t="array" aca="1" ref="E119" ca="1">IF( $C119="", "", _xll.IMDP("IDX",$C119,E$6,$D$4,"Fill=true, Per="&amp;filter!$R$1) )</f>
        <v>182.86</v>
      </c>
      <c r="F119" s="38">
        <f t="array" aca="1" ref="F119" ca="1">IF( $C119="", "", _xll.IMDP("IDX",$C119,F$6,$D$4,"Fill=true, Per="&amp;filter!$R$1) )</f>
        <v>-1.089999999999975</v>
      </c>
      <c r="G119" s="39">
        <f t="array" aca="1" ref="G119" ca="1">IF( $C119="", "", _xll.IMDP("IDX",$C119,G$6,$D$4,"Fill=true, Per="&amp;filter!$R$1) )</f>
        <v>-0.59</v>
      </c>
      <c r="H119" s="43">
        <f t="array" aca="1" ref="H119" ca="1">IF( $C119="", "", _xll.IMDP("IDX",$C119,H$6,$D$4,"Fill=true, Per="&amp;filter!$R$1) )</f>
        <v>0</v>
      </c>
      <c r="I119" s="43">
        <f t="array" aca="1" ref="I119" ca="1">IF( $C119="", "", _xll.IMDP("IDX",$C119,I$6,$D$4,"Fill=true, Per="&amp;filter!$R$1) )</f>
        <v>0</v>
      </c>
      <c r="J119" s="34">
        <f t="array" aca="1" ref="J119" ca="1">IF( $C119="", "", _xll.IMDP("IDX",$C119,J$6,$D$4,"Fill=true, Per="&amp;filter!$R$1) )</f>
        <v>183.98</v>
      </c>
      <c r="K119" s="38">
        <f t="array" aca="1" ref="K119" ca="1">IF( $C119="", "", _xll.IMDP("IDX",$C119,K$6,$D$4,"Fill=true, Per="&amp;filter!$R$1) )</f>
        <v>185.09</v>
      </c>
      <c r="L119" s="39">
        <f t="array" aca="1" ref="L119" ca="1">IF( $C119="", "", _xll.IMDP("IDX",$C119,L$6,$D$4,"Fill=true, Per="&amp;filter!$R$1) )</f>
        <v>0</v>
      </c>
      <c r="M119" s="50" t="str">
        <f t="array" aca="1" ref="M119" ca="1">IF( $C119="", "", _xll.IMDP("IDX",$C119,M$6,$D$4,"Fill=true, Per="&amp;filter!$R$1) )</f>
        <v/>
      </c>
      <c r="N119" s="51" t="str">
        <f t="array" aca="1" ref="N119" ca="1">IF( $C119="", "", _xll.IMDP("IDX",$C119,N$6,$D$4,"Fill=true, Per="&amp;filter!$R$1) )</f>
        <v/>
      </c>
      <c r="O119" s="52" t="str">
        <f t="array" aca="1" ref="O119" ca="1">IF( $C119="", "", _xll.IMDP("IDX",$C119,O$6,$D$4,"Fill=true, Per="&amp;filter!$R$1) )</f>
        <v/>
      </c>
    </row>
    <row r="120" spans="2:15">
      <c r="B120" s="21">
        <f t="shared" si="1"/>
        <v>112</v>
      </c>
      <c r="C120" s="17" t="str">
        <f>IFERROR( VLOOKUP(ROWS($B$8:B119), filter!$I:$J, 2, 0), "")</f>
        <v>MGA03P</v>
      </c>
      <c r="D120" s="16" t="str" cm="1">
        <f t="array" ref="D120">IF( $C120="", "", _xll.IMDP("IDX", $C120, D$6) )</f>
        <v>주식국채혼합(주식형)지수</v>
      </c>
      <c r="E120" s="34">
        <f t="array" aca="1" ref="E120" ca="1">IF( $C120="", "", _xll.IMDP("IDX",$C120,E$6,$D$4,"Fill=true, Per="&amp;filter!$R$1) )</f>
        <v>1659.28</v>
      </c>
      <c r="F120" s="38">
        <f t="array" aca="1" ref="F120" ca="1">IF( $C120="", "", _xll.IMDP("IDX",$C120,F$6,$D$4,"Fill=true, Per="&amp;filter!$R$1) )</f>
        <v>-9.1500000000000909</v>
      </c>
      <c r="G120" s="39">
        <f t="array" aca="1" ref="G120" ca="1">IF( $C120="", "", _xll.IMDP("IDX",$C120,G$6,$D$4,"Fill=true, Per="&amp;filter!$R$1) )</f>
        <v>-0.55000000000000004</v>
      </c>
      <c r="H120" s="43">
        <f t="array" aca="1" ref="H120" ca="1">IF( $C120="", "", _xll.IMDP("IDX",$C120,H$6,$D$4,"Fill=true, Per="&amp;filter!$R$1) )</f>
        <v>0</v>
      </c>
      <c r="I120" s="43">
        <f t="array" aca="1" ref="I120" ca="1">IF( $C120="", "", _xll.IMDP("IDX",$C120,I$6,$D$4,"Fill=true, Per="&amp;filter!$R$1) )</f>
        <v>0</v>
      </c>
      <c r="J120" s="34">
        <f t="array" aca="1" ref="J120" ca="1">IF( $C120="", "", _xll.IMDP("IDX",$C120,J$6,$D$4,"Fill=true, Per="&amp;filter!$R$1) )</f>
        <v>1671.46</v>
      </c>
      <c r="K120" s="38">
        <f t="array" aca="1" ref="K120" ca="1">IF( $C120="", "", _xll.IMDP("IDX",$C120,K$6,$D$4,"Fill=true, Per="&amp;filter!$R$1) )</f>
        <v>1675.61</v>
      </c>
      <c r="L120" s="39">
        <f t="array" aca="1" ref="L120" ca="1">IF( $C120="", "", _xll.IMDP("IDX",$C120,L$6,$D$4,"Fill=true, Per="&amp;filter!$R$1) )</f>
        <v>0</v>
      </c>
      <c r="M120" s="50" t="str">
        <f t="array" aca="1" ref="M120" ca="1">IF( $C120="", "", _xll.IMDP("IDX",$C120,M$6,$D$4,"Fill=true, Per="&amp;filter!$R$1) )</f>
        <v/>
      </c>
      <c r="N120" s="51" t="str">
        <f t="array" aca="1" ref="N120" ca="1">IF( $C120="", "", _xll.IMDP("IDX",$C120,N$6,$D$4,"Fill=true, Per="&amp;filter!$R$1) )</f>
        <v/>
      </c>
      <c r="O120" s="52" t="str">
        <f t="array" aca="1" ref="O120" ca="1">IF( $C120="", "", _xll.IMDP("IDX",$C120,O$6,$D$4,"Fill=true, Per="&amp;filter!$R$1) )</f>
        <v/>
      </c>
    </row>
    <row r="121" spans="2:15">
      <c r="B121" s="21">
        <f t="shared" si="1"/>
        <v>113</v>
      </c>
      <c r="C121" s="17" t="str">
        <f>IFERROR( VLOOKUP(ROWS($B$8:B120), filter!$I:$J, 2, 0), "")</f>
        <v>MGA10P</v>
      </c>
      <c r="D121" s="16" t="str" cm="1">
        <f t="array" ref="D121">IF( $C121="", "", _xll.IMDP("IDX", $C121, D$6) )</f>
        <v>K200 USD 선물 바이셀지수</v>
      </c>
      <c r="E121" s="34">
        <f t="array" aca="1" ref="E121" ca="1">IF( $C121="", "", _xll.IMDP("IDX",$C121,E$6,$D$4,"Fill=true, Per="&amp;filter!$R$1) )</f>
        <v>1138.6099999999999</v>
      </c>
      <c r="F121" s="38">
        <f t="array" aca="1" ref="F121" ca="1">IF( $C121="", "", _xll.IMDP("IDX",$C121,F$6,$D$4,"Fill=true, Per="&amp;filter!$R$1) )</f>
        <v>-15.910000000000082</v>
      </c>
      <c r="G121" s="39">
        <f t="array" aca="1" ref="G121" ca="1">IF( $C121="", "", _xll.IMDP("IDX",$C121,G$6,$D$4,"Fill=true, Per="&amp;filter!$R$1) )</f>
        <v>-1.38</v>
      </c>
      <c r="H121" s="43">
        <f t="array" aca="1" ref="H121" ca="1">IF( $C121="", "", _xll.IMDP("IDX",$C121,H$6,$D$4,"Fill=true, Per="&amp;filter!$R$1) )</f>
        <v>0</v>
      </c>
      <c r="I121" s="43">
        <f t="array" aca="1" ref="I121" ca="1">IF( $C121="", "", _xll.IMDP("IDX",$C121,I$6,$D$4,"Fill=true, Per="&amp;filter!$R$1) )</f>
        <v>0</v>
      </c>
      <c r="J121" s="34">
        <f t="array" aca="1" ref="J121" ca="1">IF( $C121="", "", _xll.IMDP("IDX",$C121,J$6,$D$4,"Fill=true, Per="&amp;filter!$R$1) )</f>
        <v>1154.32</v>
      </c>
      <c r="K121" s="38">
        <f t="array" aca="1" ref="K121" ca="1">IF( $C121="", "", _xll.IMDP("IDX",$C121,K$6,$D$4,"Fill=true, Per="&amp;filter!$R$1) )</f>
        <v>1155.9100000000001</v>
      </c>
      <c r="L121" s="39">
        <f t="array" aca="1" ref="L121" ca="1">IF( $C121="", "", _xll.IMDP("IDX",$C121,L$6,$D$4,"Fill=true, Per="&amp;filter!$R$1) )</f>
        <v>0</v>
      </c>
      <c r="M121" s="50" t="str">
        <f t="array" aca="1" ref="M121" ca="1">IF( $C121="", "", _xll.IMDP("IDX",$C121,M$6,$D$4,"Fill=true, Per="&amp;filter!$R$1) )</f>
        <v/>
      </c>
      <c r="N121" s="51" t="str">
        <f t="array" aca="1" ref="N121" ca="1">IF( $C121="", "", _xll.IMDP("IDX",$C121,N$6,$D$4,"Fill=true, Per="&amp;filter!$R$1) )</f>
        <v/>
      </c>
      <c r="O121" s="52" t="str">
        <f t="array" aca="1" ref="O121" ca="1">IF( $C121="", "", _xll.IMDP("IDX",$C121,O$6,$D$4,"Fill=true, Per="&amp;filter!$R$1) )</f>
        <v/>
      </c>
    </row>
    <row r="122" spans="2:15">
      <c r="B122" s="21">
        <f t="shared" si="1"/>
        <v>114</v>
      </c>
      <c r="C122" s="17" t="str">
        <f>IFERROR( VLOOKUP(ROWS($B$8:B121), filter!$I:$J, 2, 0), "")</f>
        <v>MGA04P</v>
      </c>
      <c r="D122" s="16" t="str" cm="1">
        <f t="array" ref="D122">IF( $C122="", "", _xll.IMDP("IDX", $C122, D$6) )</f>
        <v>주식국채혼합(채권형)지수</v>
      </c>
      <c r="E122" s="34">
        <f t="array" aca="1" ref="E122" ca="1">IF( $C122="", "", _xll.IMDP("IDX",$C122,E$6,$D$4,"Fill=true, Per="&amp;filter!$R$1) )</f>
        <v>1627.12</v>
      </c>
      <c r="F122" s="38">
        <f t="array" aca="1" ref="F122" ca="1">IF( $C122="", "", _xll.IMDP("IDX",$C122,F$6,$D$4,"Fill=true, Per="&amp;filter!$R$1) )</f>
        <v>-4.3400000000001455</v>
      </c>
      <c r="G122" s="39">
        <f t="array" aca="1" ref="G122" ca="1">IF( $C122="", "", _xll.IMDP("IDX",$C122,G$6,$D$4,"Fill=true, Per="&amp;filter!$R$1) )</f>
        <v>-0.27</v>
      </c>
      <c r="H122" s="43">
        <f t="array" aca="1" ref="H122" ca="1">IF( $C122="", "", _xll.IMDP("IDX",$C122,H$6,$D$4,"Fill=true, Per="&amp;filter!$R$1) )</f>
        <v>0</v>
      </c>
      <c r="I122" s="43">
        <f t="array" aca="1" ref="I122" ca="1">IF( $C122="", "", _xll.IMDP("IDX",$C122,I$6,$D$4,"Fill=true, Per="&amp;filter!$R$1) )</f>
        <v>0</v>
      </c>
      <c r="J122" s="34">
        <f t="array" aca="1" ref="J122" ca="1">IF( $C122="", "", _xll.IMDP("IDX",$C122,J$6,$D$4,"Fill=true, Per="&amp;filter!$R$1) )</f>
        <v>1632.9</v>
      </c>
      <c r="K122" s="38">
        <f t="array" aca="1" ref="K122" ca="1">IF( $C122="", "", _xll.IMDP("IDX",$C122,K$6,$D$4,"Fill=true, Per="&amp;filter!$R$1) )</f>
        <v>1633.89</v>
      </c>
      <c r="L122" s="39">
        <f t="array" aca="1" ref="L122" ca="1">IF( $C122="", "", _xll.IMDP("IDX",$C122,L$6,$D$4,"Fill=true, Per="&amp;filter!$R$1) )</f>
        <v>0</v>
      </c>
      <c r="M122" s="50" t="str">
        <f t="array" aca="1" ref="M122" ca="1">IF( $C122="", "", _xll.IMDP("IDX",$C122,M$6,$D$4,"Fill=true, Per="&amp;filter!$R$1) )</f>
        <v/>
      </c>
      <c r="N122" s="51" t="str">
        <f t="array" aca="1" ref="N122" ca="1">IF( $C122="", "", _xll.IMDP("IDX",$C122,N$6,$D$4,"Fill=true, Per="&amp;filter!$R$1) )</f>
        <v/>
      </c>
      <c r="O122" s="52" t="str">
        <f t="array" aca="1" ref="O122" ca="1">IF( $C122="", "", _xll.IMDP("IDX",$C122,O$6,$D$4,"Fill=true, Per="&amp;filter!$R$1) )</f>
        <v/>
      </c>
    </row>
    <row r="123" spans="2:15">
      <c r="B123" s="21">
        <f t="shared" si="1"/>
        <v>115</v>
      </c>
      <c r="C123" s="17" t="str">
        <f>IFERROR( VLOOKUP(ROWS($B$8:B122), filter!$I:$J, 2, 0), "")</f>
        <v>MGA05P</v>
      </c>
      <c r="D123" s="16" t="str" cm="1">
        <f t="array" ref="D123">IF( $C123="", "", _xll.IMDP("IDX", $C123, D$6) )</f>
        <v>KRX BBIG 주식국채혼합(채권형)?</v>
      </c>
      <c r="E123" s="34">
        <f t="array" aca="1" ref="E123" ca="1">IF( $C123="", "", _xll.IMDP("IDX",$C123,E$6,$D$4,"Fill=true, Per="&amp;filter!$R$1) )</f>
        <v>1419.46</v>
      </c>
      <c r="F123" s="38">
        <f t="array" aca="1" ref="F123" ca="1">IF( $C123="", "", _xll.IMDP("IDX",$C123,F$6,$D$4,"Fill=true, Per="&amp;filter!$R$1) )</f>
        <v>-5.2000000000000455</v>
      </c>
      <c r="G123" s="39">
        <f t="array" aca="1" ref="G123" ca="1">IF( $C123="", "", _xll.IMDP("IDX",$C123,G$6,$D$4,"Fill=true, Per="&amp;filter!$R$1) )</f>
        <v>-0.36</v>
      </c>
      <c r="H123" s="43">
        <f t="array" aca="1" ref="H123" ca="1">IF( $C123="", "", _xll.IMDP("IDX",$C123,H$6,$D$4,"Fill=true, Per="&amp;filter!$R$1) )</f>
        <v>0</v>
      </c>
      <c r="I123" s="43">
        <f t="array" aca="1" ref="I123" ca="1">IF( $C123="", "", _xll.IMDP("IDX",$C123,I$6,$D$4,"Fill=true, Per="&amp;filter!$R$1) )</f>
        <v>0</v>
      </c>
      <c r="J123" s="34">
        <f t="array" aca="1" ref="J123" ca="1">IF( $C123="", "", _xll.IMDP("IDX",$C123,J$6,$D$4,"Fill=true, Per="&amp;filter!$R$1) )</f>
        <v>1426.15</v>
      </c>
      <c r="K123" s="38">
        <f t="array" aca="1" ref="K123" ca="1">IF( $C123="", "", _xll.IMDP("IDX",$C123,K$6,$D$4,"Fill=true, Per="&amp;filter!$R$1) )</f>
        <v>1429.15</v>
      </c>
      <c r="L123" s="39">
        <f t="array" aca="1" ref="L123" ca="1">IF( $C123="", "", _xll.IMDP("IDX",$C123,L$6,$D$4,"Fill=true, Per="&amp;filter!$R$1) )</f>
        <v>0</v>
      </c>
      <c r="M123" s="50" t="str">
        <f t="array" aca="1" ref="M123" ca="1">IF( $C123="", "", _xll.IMDP("IDX",$C123,M$6,$D$4,"Fill=true, Per="&amp;filter!$R$1) )</f>
        <v/>
      </c>
      <c r="N123" s="51" t="str">
        <f t="array" aca="1" ref="N123" ca="1">IF( $C123="", "", _xll.IMDP("IDX",$C123,N$6,$D$4,"Fill=true, Per="&amp;filter!$R$1) )</f>
        <v/>
      </c>
      <c r="O123" s="52" t="str">
        <f t="array" aca="1" ref="O123" ca="1">IF( $C123="", "", _xll.IMDP("IDX",$C123,O$6,$D$4,"Fill=true, Per="&amp;filter!$R$1) )</f>
        <v/>
      </c>
    </row>
    <row r="124" spans="2:15">
      <c r="B124" s="21">
        <f t="shared" si="1"/>
        <v>116</v>
      </c>
      <c r="C124" s="17" t="str">
        <f>IFERROR( VLOOKUP(ROWS($B$8:B123), filter!$I:$J, 2, 0), "")</f>
        <v>MGA06P</v>
      </c>
      <c r="D124" s="16" t="str" cm="1">
        <f t="array" ref="D124">IF( $C124="", "", _xll.IMDP("IDX", $C124, D$6) )</f>
        <v>KRX 2차전지 TOP 10 주식국채혼?</v>
      </c>
      <c r="E124" s="34">
        <f t="array" aca="1" ref="E124" ca="1">IF( $C124="", "", _xll.IMDP("IDX",$C124,E$6,$D$4,"Fill=true, Per="&amp;filter!$R$1) )</f>
        <v>1933.43</v>
      </c>
      <c r="F124" s="38">
        <f t="array" aca="1" ref="F124" ca="1">IF( $C124="", "", _xll.IMDP("IDX",$C124,F$6,$D$4,"Fill=true, Per="&amp;filter!$R$1) )</f>
        <v>26.870000000000118</v>
      </c>
      <c r="G124" s="39">
        <f t="array" aca="1" ref="G124" ca="1">IF( $C124="", "", _xll.IMDP("IDX",$C124,G$6,$D$4,"Fill=true, Per="&amp;filter!$R$1) )</f>
        <v>1.41</v>
      </c>
      <c r="H124" s="43">
        <f t="array" aca="1" ref="H124" ca="1">IF( $C124="", "", _xll.IMDP("IDX",$C124,H$6,$D$4,"Fill=true, Per="&amp;filter!$R$1) )</f>
        <v>0</v>
      </c>
      <c r="I124" s="43">
        <f t="array" aca="1" ref="I124" ca="1">IF( $C124="", "", _xll.IMDP("IDX",$C124,I$6,$D$4,"Fill=true, Per="&amp;filter!$R$1) )</f>
        <v>0</v>
      </c>
      <c r="J124" s="34">
        <f t="array" aca="1" ref="J124" ca="1">IF( $C124="", "", _xll.IMDP("IDX",$C124,J$6,$D$4,"Fill=true, Per="&amp;filter!$R$1) )</f>
        <v>1914.57</v>
      </c>
      <c r="K124" s="38">
        <f t="array" aca="1" ref="K124" ca="1">IF( $C124="", "", _xll.IMDP("IDX",$C124,K$6,$D$4,"Fill=true, Per="&amp;filter!$R$1) )</f>
        <v>1947</v>
      </c>
      <c r="L124" s="39">
        <f t="array" aca="1" ref="L124" ca="1">IF( $C124="", "", _xll.IMDP("IDX",$C124,L$6,$D$4,"Fill=true, Per="&amp;filter!$R$1) )</f>
        <v>0</v>
      </c>
      <c r="M124" s="50" t="str">
        <f t="array" aca="1" ref="M124" ca="1">IF( $C124="", "", _xll.IMDP("IDX",$C124,M$6,$D$4,"Fill=true, Per="&amp;filter!$R$1) )</f>
        <v/>
      </c>
      <c r="N124" s="51" t="str">
        <f t="array" aca="1" ref="N124" ca="1">IF( $C124="", "", _xll.IMDP("IDX",$C124,N$6,$D$4,"Fill=true, Per="&amp;filter!$R$1) )</f>
        <v/>
      </c>
      <c r="O124" s="52" t="str">
        <f t="array" aca="1" ref="O124" ca="1">IF( $C124="", "", _xll.IMDP("IDX",$C124,O$6,$D$4,"Fill=true, Per="&amp;filter!$R$1) )</f>
        <v/>
      </c>
    </row>
    <row r="125" spans="2:15">
      <c r="B125" s="21">
        <f t="shared" si="1"/>
        <v>117</v>
      </c>
      <c r="C125" s="17" t="str">
        <f>IFERROR( VLOOKUP(ROWS($B$8:B124), filter!$I:$J, 2, 0), "")</f>
        <v>MGA07P</v>
      </c>
      <c r="D125" s="16" t="str" cm="1">
        <f t="array" ref="D125">IF( $C125="", "", _xll.IMDP("IDX", $C125, D$6) )</f>
        <v>코스피 200 DAE지수</v>
      </c>
      <c r="E125" s="34">
        <f t="array" aca="1" ref="E125" ca="1">IF( $C125="", "", _xll.IMDP("IDX",$C125,E$6,$D$4,"Fill=true, Per="&amp;filter!$R$1) )</f>
        <v>1443</v>
      </c>
      <c r="F125" s="38">
        <f t="array" aca="1" ref="F125" ca="1">IF( $C125="", "", _xll.IMDP("IDX",$C125,F$6,$D$4,"Fill=true, Per="&amp;filter!$R$1) )</f>
        <v>-7.2000000000000455</v>
      </c>
      <c r="G125" s="39">
        <f t="array" aca="1" ref="G125" ca="1">IF( $C125="", "", _xll.IMDP("IDX",$C125,G$6,$D$4,"Fill=true, Per="&amp;filter!$R$1) )</f>
        <v>-0.5</v>
      </c>
      <c r="H125" s="43">
        <f t="array" aca="1" ref="H125" ca="1">IF( $C125="", "", _xll.IMDP("IDX",$C125,H$6,$D$4,"Fill=true, Per="&amp;filter!$R$1) )</f>
        <v>0</v>
      </c>
      <c r="I125" s="43">
        <f t="array" aca="1" ref="I125" ca="1">IF( $C125="", "", _xll.IMDP("IDX",$C125,I$6,$D$4,"Fill=true, Per="&amp;filter!$R$1) )</f>
        <v>0</v>
      </c>
      <c r="J125" s="34">
        <f t="array" aca="1" ref="J125" ca="1">IF( $C125="", "", _xll.IMDP("IDX",$C125,J$6,$D$4,"Fill=true, Per="&amp;filter!$R$1) )</f>
        <v>1450.83</v>
      </c>
      <c r="K125" s="38">
        <f t="array" aca="1" ref="K125" ca="1">IF( $C125="", "", _xll.IMDP("IDX",$C125,K$6,$D$4,"Fill=true, Per="&amp;filter!$R$1) )</f>
        <v>1453.4</v>
      </c>
      <c r="L125" s="39">
        <f t="array" aca="1" ref="L125" ca="1">IF( $C125="", "", _xll.IMDP("IDX",$C125,L$6,$D$4,"Fill=true, Per="&amp;filter!$R$1) )</f>
        <v>0</v>
      </c>
      <c r="M125" s="50" t="str">
        <f t="array" aca="1" ref="M125" ca="1">IF( $C125="", "", _xll.IMDP("IDX",$C125,M$6,$D$4,"Fill=true, Per="&amp;filter!$R$1) )</f>
        <v/>
      </c>
      <c r="N125" s="51" t="str">
        <f t="array" aca="1" ref="N125" ca="1">IF( $C125="", "", _xll.IMDP("IDX",$C125,N$6,$D$4,"Fill=true, Per="&amp;filter!$R$1) )</f>
        <v/>
      </c>
      <c r="O125" s="52" t="str">
        <f t="array" aca="1" ref="O125" ca="1">IF( $C125="", "", _xll.IMDP("IDX",$C125,O$6,$D$4,"Fill=true, Per="&amp;filter!$R$1) )</f>
        <v/>
      </c>
    </row>
    <row r="126" spans="2:15">
      <c r="B126" s="21">
        <f t="shared" si="1"/>
        <v>118</v>
      </c>
      <c r="C126" s="17" t="str">
        <f>IFERROR( VLOOKUP(ROWS($B$8:B125), filter!$I:$J, 2, 0), "")</f>
        <v>MGA08P</v>
      </c>
      <c r="D126" s="16" t="str" cm="1">
        <f t="array" ref="D126">IF( $C126="", "", _xll.IMDP("IDX", $C126, D$6) )</f>
        <v>필수소비재채권혼합지수</v>
      </c>
      <c r="E126" s="34">
        <f t="array" aca="1" ref="E126" ca="1">IF( $C126="", "", _xll.IMDP("IDX",$C126,E$6,$D$4,"Fill=true, Per="&amp;filter!$R$1) )</f>
        <v>1479.03</v>
      </c>
      <c r="F126" s="38">
        <f t="array" aca="1" ref="F126" ca="1">IF( $C126="", "", _xll.IMDP("IDX",$C126,F$6,$D$4,"Fill=true, Per="&amp;filter!$R$1) )</f>
        <v>-1.3299999999999272</v>
      </c>
      <c r="G126" s="39">
        <f t="array" aca="1" ref="G126" ca="1">IF( $C126="", "", _xll.IMDP("IDX",$C126,G$6,$D$4,"Fill=true, Per="&amp;filter!$R$1) )</f>
        <v>-0.09</v>
      </c>
      <c r="H126" s="43">
        <f t="array" aca="1" ref="H126" ca="1">IF( $C126="", "", _xll.IMDP("IDX",$C126,H$6,$D$4,"Fill=true, Per="&amp;filter!$R$1) )</f>
        <v>0</v>
      </c>
      <c r="I126" s="43">
        <f t="array" aca="1" ref="I126" ca="1">IF( $C126="", "", _xll.IMDP("IDX",$C126,I$6,$D$4,"Fill=true, Per="&amp;filter!$R$1) )</f>
        <v>0</v>
      </c>
      <c r="J126" s="34">
        <f t="array" aca="1" ref="J126" ca="1">IF( $C126="", "", _xll.IMDP("IDX",$C126,J$6,$D$4,"Fill=true, Per="&amp;filter!$R$1) )</f>
        <v>1482.66</v>
      </c>
      <c r="K126" s="38">
        <f t="array" aca="1" ref="K126" ca="1">IF( $C126="", "", _xll.IMDP("IDX",$C126,K$6,$D$4,"Fill=true, Per="&amp;filter!$R$1) )</f>
        <v>1483.04</v>
      </c>
      <c r="L126" s="39">
        <f t="array" aca="1" ref="L126" ca="1">IF( $C126="", "", _xll.IMDP("IDX",$C126,L$6,$D$4,"Fill=true, Per="&amp;filter!$R$1) )</f>
        <v>0</v>
      </c>
      <c r="M126" s="50" t="str">
        <f t="array" aca="1" ref="M126" ca="1">IF( $C126="", "", _xll.IMDP("IDX",$C126,M$6,$D$4,"Fill=true, Per="&amp;filter!$R$1) )</f>
        <v/>
      </c>
      <c r="N126" s="51" t="str">
        <f t="array" aca="1" ref="N126" ca="1">IF( $C126="", "", _xll.IMDP("IDX",$C126,N$6,$D$4,"Fill=true, Per="&amp;filter!$R$1) )</f>
        <v/>
      </c>
      <c r="O126" s="52" t="str">
        <f t="array" aca="1" ref="O126" ca="1">IF( $C126="", "", _xll.IMDP("IDX",$C126,O$6,$D$4,"Fill=true, Per="&amp;filter!$R$1) )</f>
        <v/>
      </c>
    </row>
    <row r="127" spans="2:15">
      <c r="B127" s="21">
        <f t="shared" si="1"/>
        <v>119</v>
      </c>
      <c r="C127" s="17" t="str">
        <f>IFERROR( VLOOKUP(ROWS($B$8:B126), filter!$I:$J, 2, 0), "")</f>
        <v>MGA09P</v>
      </c>
      <c r="D127" s="16" t="str" cm="1">
        <f t="array" ref="D127">IF( $C127="", "", _xll.IMDP("IDX", $C127, D$6) )</f>
        <v>배당성장채권혼합지수</v>
      </c>
      <c r="E127" s="34">
        <f t="array" aca="1" ref="E127" ca="1">IF( $C127="", "", _xll.IMDP("IDX",$C127,E$6,$D$4,"Fill=true, Per="&amp;filter!$R$1) )</f>
        <v>2036.9</v>
      </c>
      <c r="F127" s="38">
        <f t="array" aca="1" ref="F127" ca="1">IF( $C127="", "", _xll.IMDP("IDX",$C127,F$6,$D$4,"Fill=true, Per="&amp;filter!$R$1) )</f>
        <v>6.9600000000000364</v>
      </c>
      <c r="G127" s="39">
        <f t="array" aca="1" ref="G127" ca="1">IF( $C127="", "", _xll.IMDP("IDX",$C127,G$6,$D$4,"Fill=true, Per="&amp;filter!$R$1) )</f>
        <v>0.34</v>
      </c>
      <c r="H127" s="43">
        <f t="array" aca="1" ref="H127" ca="1">IF( $C127="", "", _xll.IMDP("IDX",$C127,H$6,$D$4,"Fill=true, Per="&amp;filter!$R$1) )</f>
        <v>0</v>
      </c>
      <c r="I127" s="43">
        <f t="array" aca="1" ref="I127" ca="1">IF( $C127="", "", _xll.IMDP("IDX",$C127,I$6,$D$4,"Fill=true, Per="&amp;filter!$R$1) )</f>
        <v>0</v>
      </c>
      <c r="J127" s="34">
        <f t="array" aca="1" ref="J127" ca="1">IF( $C127="", "", _xll.IMDP("IDX",$C127,J$6,$D$4,"Fill=true, Per="&amp;filter!$R$1) )</f>
        <v>2031.2</v>
      </c>
      <c r="K127" s="38">
        <f t="array" aca="1" ref="K127" ca="1">IF( $C127="", "", _xll.IMDP("IDX",$C127,K$6,$D$4,"Fill=true, Per="&amp;filter!$R$1) )</f>
        <v>2039.12</v>
      </c>
      <c r="L127" s="39">
        <f t="array" aca="1" ref="L127" ca="1">IF( $C127="", "", _xll.IMDP("IDX",$C127,L$6,$D$4,"Fill=true, Per="&amp;filter!$R$1) )</f>
        <v>0</v>
      </c>
      <c r="M127" s="50" t="str">
        <f t="array" aca="1" ref="M127" ca="1">IF( $C127="", "", _xll.IMDP("IDX",$C127,M$6,$D$4,"Fill=true, Per="&amp;filter!$R$1) )</f>
        <v/>
      </c>
      <c r="N127" s="51" t="str">
        <f t="array" aca="1" ref="N127" ca="1">IF( $C127="", "", _xll.IMDP("IDX",$C127,N$6,$D$4,"Fill=true, Per="&amp;filter!$R$1) )</f>
        <v/>
      </c>
      <c r="O127" s="52" t="str">
        <f t="array" aca="1" ref="O127" ca="1">IF( $C127="", "", _xll.IMDP("IDX",$C127,O$6,$D$4,"Fill=true, Per="&amp;filter!$R$1) )</f>
        <v/>
      </c>
    </row>
    <row r="128" spans="2:15">
      <c r="B128" s="21">
        <f t="shared" si="1"/>
        <v>120</v>
      </c>
      <c r="C128" s="17" t="str">
        <f>IFERROR( VLOOKUP(ROWS($B$8:B127), filter!$I:$J, 2, 0), "")</f>
        <v>QGG01T</v>
      </c>
      <c r="D128" s="16" t="str" cm="1">
        <f t="array" ref="D128">IF( $C128="", "", _xll.IMDP("IDX", $C128, D$6) )</f>
        <v>코스닥 TR</v>
      </c>
      <c r="E128" s="34">
        <f t="array" aca="1" ref="E128" ca="1">IF( $C128="", "", _xll.IMDP("IDX",$C128,E$6,$D$4,"Fill=true, Per="&amp;filter!$R$1) )</f>
        <v>830.53</v>
      </c>
      <c r="F128" s="38">
        <f t="array" aca="1" ref="F128" ca="1">IF( $C128="", "", _xll.IMDP("IDX",$C128,F$6,$D$4,"Fill=true, Per="&amp;filter!$R$1) )</f>
        <v>-8.0500000000000682</v>
      </c>
      <c r="G128" s="39">
        <f t="array" aca="1" ref="G128" ca="1">IF( $C128="", "", _xll.IMDP("IDX",$C128,G$6,$D$4,"Fill=true, Per="&amp;filter!$R$1) )</f>
        <v>-0.96</v>
      </c>
      <c r="H128" s="43">
        <f t="array" aca="1" ref="H128" ca="1">IF( $C128="", "", _xll.IMDP("IDX",$C128,H$6,$D$4,"Fill=true, Per="&amp;filter!$R$1) )</f>
        <v>0</v>
      </c>
      <c r="I128" s="43">
        <f t="array" aca="1" ref="I128" ca="1">IF( $C128="", "", _xll.IMDP("IDX",$C128,I$6,$D$4,"Fill=true, Per="&amp;filter!$R$1) )</f>
        <v>0</v>
      </c>
      <c r="J128" s="34">
        <f t="array" aca="1" ref="J128" ca="1">IF( $C128="", "", _xll.IMDP("IDX",$C128,J$6,$D$4,"Fill=true, Per="&amp;filter!$R$1) )</f>
        <v>840.97</v>
      </c>
      <c r="K128" s="38">
        <f t="array" aca="1" ref="K128" ca="1">IF( $C128="", "", _xll.IMDP("IDX",$C128,K$6,$D$4,"Fill=true, Per="&amp;filter!$R$1) )</f>
        <v>844.49</v>
      </c>
      <c r="L128" s="39">
        <f t="array" aca="1" ref="L128" ca="1">IF( $C128="", "", _xll.IMDP("IDX",$C128,L$6,$D$4,"Fill=true, Per="&amp;filter!$R$1) )</f>
        <v>0</v>
      </c>
      <c r="M128" s="50" t="str">
        <f t="array" aca="1" ref="M128" ca="1">IF( $C128="", "", _xll.IMDP("IDX",$C128,M$6,$D$4,"Fill=true, Per="&amp;filter!$R$1) )</f>
        <v/>
      </c>
      <c r="N128" s="51" t="str">
        <f t="array" aca="1" ref="N128" ca="1">IF( $C128="", "", _xll.IMDP("IDX",$C128,N$6,$D$4,"Fill=true, Per="&amp;filter!$R$1) )</f>
        <v/>
      </c>
      <c r="O128" s="52" t="str">
        <f t="array" aca="1" ref="O128" ca="1">IF( $C128="", "", _xll.IMDP("IDX",$C128,O$6,$D$4,"Fill=true, Per="&amp;filter!$R$1) )</f>
        <v/>
      </c>
    </row>
    <row r="129" spans="2:15">
      <c r="B129" s="21">
        <f t="shared" si="1"/>
        <v>121</v>
      </c>
      <c r="C129" s="17" t="str">
        <f>IFERROR( VLOOKUP(ROWS($B$8:B128), filter!$I:$J, 2, 0), "")</f>
        <v>XGG02P</v>
      </c>
      <c r="D129" s="16" t="str" cm="1">
        <f t="array" ref="D129">IF( $C129="", "", _xll.IMDP("IDX", $C129, D$6) )</f>
        <v>KTOP 30</v>
      </c>
      <c r="E129" s="34">
        <f t="array" aca="1" ref="E129" ca="1">IF( $C129="", "", _xll.IMDP("IDX",$C129,E$6,$D$4,"Fill=true, Per="&amp;filter!$R$1) )</f>
        <v>8839.02</v>
      </c>
      <c r="F129" s="38">
        <f t="array" aca="1" ref="F129" ca="1">IF( $C129="", "", _xll.IMDP("IDX",$C129,F$6,$D$4,"Fill=true, Per="&amp;filter!$R$1) )</f>
        <v>39.100000000000364</v>
      </c>
      <c r="G129" s="39">
        <f t="array" aca="1" ref="G129" ca="1">IF( $C129="", "", _xll.IMDP("IDX",$C129,G$6,$D$4,"Fill=true, Per="&amp;filter!$R$1) )</f>
        <v>0.44</v>
      </c>
      <c r="H129" s="43">
        <f t="array" aca="1" ref="H129" ca="1">IF( $C129="", "", _xll.IMDP("IDX",$C129,H$6,$D$4,"Fill=true, Per="&amp;filter!$R$1) )</f>
        <v>77640</v>
      </c>
      <c r="I129" s="43">
        <f t="array" aca="1" ref="I129" ca="1">IF( $C129="", "", _xll.IMDP("IDX",$C129,I$6,$D$4,"Fill=true, Per="&amp;filter!$R$1) )</f>
        <v>8760785</v>
      </c>
      <c r="J129" s="34">
        <f t="array" aca="1" ref="J129" ca="1">IF( $C129="", "", _xll.IMDP("IDX",$C129,J$6,$D$4,"Fill=true, Per="&amp;filter!$R$1) )</f>
        <v>8850.86</v>
      </c>
      <c r="K129" s="38">
        <f t="array" aca="1" ref="K129" ca="1">IF( $C129="", "", _xll.IMDP("IDX",$C129,K$6,$D$4,"Fill=true, Per="&amp;filter!$R$1) )</f>
        <v>8973.7900000000009</v>
      </c>
      <c r="L129" s="39">
        <f t="array" aca="1" ref="L129" ca="1">IF( $C129="", "", _xll.IMDP("IDX",$C129,L$6,$D$4,"Fill=true, Per="&amp;filter!$R$1) )</f>
        <v>0</v>
      </c>
      <c r="M129" s="50" t="str">
        <f t="array" aca="1" ref="M129" ca="1">IF( $C129="", "", _xll.IMDP("IDX",$C129,M$6,$D$4,"Fill=true, Per="&amp;filter!$R$1) )</f>
        <v/>
      </c>
      <c r="N129" s="51" t="str">
        <f t="array" aca="1" ref="N129" ca="1">IF( $C129="", "", _xll.IMDP("IDX",$C129,N$6,$D$4,"Fill=true, Per="&amp;filter!$R$1) )</f>
        <v/>
      </c>
      <c r="O129" s="52" t="str">
        <f t="array" aca="1" ref="O129" ca="1">IF( $C129="", "", _xll.IMDP("IDX",$C129,O$6,$D$4,"Fill=true, Per="&amp;filter!$R$1) )</f>
        <v/>
      </c>
    </row>
    <row r="130" spans="2:15">
      <c r="B130" s="21">
        <f t="shared" si="1"/>
        <v>122</v>
      </c>
      <c r="C130" s="17" t="str">
        <f>IFERROR( VLOOKUP(ROWS($B$8:B129), filter!$I:$J, 2, 0), "")</f>
        <v>XGX05P</v>
      </c>
      <c r="D130" s="16" t="str" cm="1">
        <f t="array" ref="D130">IF( $C130="", "", _xll.IMDP("IDX", $C130, D$6) )</f>
        <v>KRX 반도체 레버리지 지수</v>
      </c>
      <c r="E130" s="34">
        <f t="array" aca="1" ref="E130" ca="1">IF( $C130="", "", _xll.IMDP("IDX",$C130,E$6,$D$4,"Fill=true, Per="&amp;filter!$R$1) )</f>
        <v>4071.99</v>
      </c>
      <c r="F130" s="38">
        <f t="array" aca="1" ref="F130" ca="1">IF( $C130="", "", _xll.IMDP("IDX",$C130,F$6,$D$4,"Fill=true, Per="&amp;filter!$R$1) )</f>
        <v>-301.73999999999978</v>
      </c>
      <c r="G130" s="39">
        <f t="array" aca="1" ref="G130" ca="1">IF( $C130="", "", _xll.IMDP("IDX",$C130,G$6,$D$4,"Fill=true, Per="&amp;filter!$R$1) )</f>
        <v>-6.9</v>
      </c>
      <c r="H130" s="43">
        <f t="array" aca="1" ref="H130" ca="1">IF( $C130="", "", _xll.IMDP("IDX",$C130,H$6,$D$4,"Fill=true, Per="&amp;filter!$R$1) )</f>
        <v>0</v>
      </c>
      <c r="I130" s="43">
        <f t="array" aca="1" ref="I130" ca="1">IF( $C130="", "", _xll.IMDP("IDX",$C130,I$6,$D$4,"Fill=true, Per="&amp;filter!$R$1) )</f>
        <v>0</v>
      </c>
      <c r="J130" s="34">
        <f t="array" aca="1" ref="J130" ca="1">IF( $C130="", "", _xll.IMDP("IDX",$C130,J$6,$D$4,"Fill=true, Per="&amp;filter!$R$1) )</f>
        <v>4345.84</v>
      </c>
      <c r="K130" s="38">
        <f t="array" aca="1" ref="K130" ca="1">IF( $C130="", "", _xll.IMDP("IDX",$C130,K$6,$D$4,"Fill=true, Per="&amp;filter!$R$1) )</f>
        <v>4345.84</v>
      </c>
      <c r="L130" s="39">
        <f t="array" aca="1" ref="L130" ca="1">IF( $C130="", "", _xll.IMDP("IDX",$C130,L$6,$D$4,"Fill=true, Per="&amp;filter!$R$1) )</f>
        <v>0</v>
      </c>
      <c r="M130" s="50" t="str">
        <f t="array" aca="1" ref="M130" ca="1">IF( $C130="", "", _xll.IMDP("IDX",$C130,M$6,$D$4,"Fill=true, Per="&amp;filter!$R$1) )</f>
        <v/>
      </c>
      <c r="N130" s="51" t="str">
        <f t="array" aca="1" ref="N130" ca="1">IF( $C130="", "", _xll.IMDP("IDX",$C130,N$6,$D$4,"Fill=true, Per="&amp;filter!$R$1) )</f>
        <v/>
      </c>
      <c r="O130" s="52" t="str">
        <f t="array" aca="1" ref="O130" ca="1">IF( $C130="", "", _xll.IMDP("IDX",$C130,O$6,$D$4,"Fill=true, Per="&amp;filter!$R$1) )</f>
        <v/>
      </c>
    </row>
    <row r="131" spans="2:15">
      <c r="B131" s="21">
        <f t="shared" si="1"/>
        <v>123</v>
      </c>
      <c r="C131" s="17" t="str">
        <f>IFERROR( VLOOKUP(ROWS($B$8:B130), filter!$I:$J, 2, 0), "")</f>
        <v>XGX04P</v>
      </c>
      <c r="D131" s="16" t="str" cm="1">
        <f t="array" ref="D131">IF( $C131="", "", _xll.IMDP("IDX", $C131, D$6) )</f>
        <v>KRX 2차전지 TOP 10 레버리지지?</v>
      </c>
      <c r="E131" s="34">
        <f t="array" aca="1" ref="E131" ca="1">IF( $C131="", "", _xll.IMDP("IDX",$C131,E$6,$D$4,"Fill=true, Per="&amp;filter!$R$1) )</f>
        <v>4866.1000000000004</v>
      </c>
      <c r="F131" s="38">
        <f t="array" aca="1" ref="F131" ca="1">IF( $C131="", "", _xll.IMDP("IDX",$C131,F$6,$D$4,"Fill=true, Per="&amp;filter!$R$1) )</f>
        <v>417.07000000000062</v>
      </c>
      <c r="G131" s="39">
        <f t="array" aca="1" ref="G131" ca="1">IF( $C131="", "", _xll.IMDP("IDX",$C131,G$6,$D$4,"Fill=true, Per="&amp;filter!$R$1) )</f>
        <v>9.3699999999999992</v>
      </c>
      <c r="H131" s="43">
        <f t="array" aca="1" ref="H131" ca="1">IF( $C131="", "", _xll.IMDP("IDX",$C131,H$6,$D$4,"Fill=true, Per="&amp;filter!$R$1) )</f>
        <v>0</v>
      </c>
      <c r="I131" s="43">
        <f t="array" aca="1" ref="I131" ca="1">IF( $C131="", "", _xll.IMDP("IDX",$C131,I$6,$D$4,"Fill=true, Per="&amp;filter!$R$1) )</f>
        <v>0</v>
      </c>
      <c r="J131" s="34">
        <f t="array" aca="1" ref="J131" ca="1">IF( $C131="", "", _xll.IMDP("IDX",$C131,J$6,$D$4,"Fill=true, Per="&amp;filter!$R$1) )</f>
        <v>4594.1099999999997</v>
      </c>
      <c r="K131" s="38">
        <f t="array" aca="1" ref="K131" ca="1">IF( $C131="", "", _xll.IMDP("IDX",$C131,K$6,$D$4,"Fill=true, Per="&amp;filter!$R$1) )</f>
        <v>5103.01</v>
      </c>
      <c r="L131" s="39">
        <f t="array" aca="1" ref="L131" ca="1">IF( $C131="", "", _xll.IMDP("IDX",$C131,L$6,$D$4,"Fill=true, Per="&amp;filter!$R$1) )</f>
        <v>0</v>
      </c>
      <c r="M131" s="50" t="str">
        <f t="array" aca="1" ref="M131" ca="1">IF( $C131="", "", _xll.IMDP("IDX",$C131,M$6,$D$4,"Fill=true, Per="&amp;filter!$R$1) )</f>
        <v/>
      </c>
      <c r="N131" s="51" t="str">
        <f t="array" aca="1" ref="N131" ca="1">IF( $C131="", "", _xll.IMDP("IDX",$C131,N$6,$D$4,"Fill=true, Per="&amp;filter!$R$1) )</f>
        <v/>
      </c>
      <c r="O131" s="52" t="str">
        <f t="array" aca="1" ref="O131" ca="1">IF( $C131="", "", _xll.IMDP("IDX",$C131,O$6,$D$4,"Fill=true, Per="&amp;filter!$R$1) )</f>
        <v/>
      </c>
    </row>
    <row r="132" spans="2:15">
      <c r="B132" s="21">
        <f t="shared" si="1"/>
        <v>124</v>
      </c>
      <c r="C132" s="17" t="str">
        <f>IFERROR( VLOOKUP(ROWS($B$8:B131), filter!$I:$J, 2, 0), "")</f>
        <v>XGX03P</v>
      </c>
      <c r="D132" s="16" t="str" cm="1">
        <f t="array" ref="D132">IF( $C132="", "", _xll.IMDP("IDX", $C132, D$6) )</f>
        <v>KRX BBIG 레버리지지수</v>
      </c>
      <c r="E132" s="34">
        <f t="array" aca="1" ref="E132" ca="1">IF( $C132="", "", _xll.IMDP("IDX",$C132,E$6,$D$4,"Fill=true, Per="&amp;filter!$R$1) )</f>
        <v>1581.72</v>
      </c>
      <c r="F132" s="38">
        <f t="array" aca="1" ref="F132" ca="1">IF( $C132="", "", _xll.IMDP("IDX",$C132,F$6,$D$4,"Fill=true, Per="&amp;filter!$R$1) )</f>
        <v>-35.920000000000073</v>
      </c>
      <c r="G132" s="39">
        <f t="array" aca="1" ref="G132" ca="1">IF( $C132="", "", _xll.IMDP("IDX",$C132,G$6,$D$4,"Fill=true, Per="&amp;filter!$R$1) )</f>
        <v>-2.2200000000000002</v>
      </c>
      <c r="H132" s="43">
        <f t="array" aca="1" ref="H132" ca="1">IF( $C132="", "", _xll.IMDP("IDX",$C132,H$6,$D$4,"Fill=true, Per="&amp;filter!$R$1) )</f>
        <v>0</v>
      </c>
      <c r="I132" s="43">
        <f t="array" aca="1" ref="I132" ca="1">IF( $C132="", "", _xll.IMDP("IDX",$C132,I$6,$D$4,"Fill=true, Per="&amp;filter!$R$1) )</f>
        <v>0</v>
      </c>
      <c r="J132" s="34">
        <f t="array" aca="1" ref="J132" ca="1">IF( $C132="", "", _xll.IMDP("IDX",$C132,J$6,$D$4,"Fill=true, Per="&amp;filter!$R$1) )</f>
        <v>1632.66</v>
      </c>
      <c r="K132" s="38">
        <f t="array" aca="1" ref="K132" ca="1">IF( $C132="", "", _xll.IMDP("IDX",$C132,K$6,$D$4,"Fill=true, Per="&amp;filter!$R$1) )</f>
        <v>1655.53</v>
      </c>
      <c r="L132" s="39">
        <f t="array" aca="1" ref="L132" ca="1">IF( $C132="", "", _xll.IMDP("IDX",$C132,L$6,$D$4,"Fill=true, Per="&amp;filter!$R$1) )</f>
        <v>0</v>
      </c>
      <c r="M132" s="50" t="str">
        <f t="array" aca="1" ref="M132" ca="1">IF( $C132="", "", _xll.IMDP("IDX",$C132,M$6,$D$4,"Fill=true, Per="&amp;filter!$R$1) )</f>
        <v/>
      </c>
      <c r="N132" s="51" t="str">
        <f t="array" aca="1" ref="N132" ca="1">IF( $C132="", "", _xll.IMDP("IDX",$C132,N$6,$D$4,"Fill=true, Per="&amp;filter!$R$1) )</f>
        <v/>
      </c>
      <c r="O132" s="52" t="str">
        <f t="array" aca="1" ref="O132" ca="1">IF( $C132="", "", _xll.IMDP("IDX",$C132,O$6,$D$4,"Fill=true, Per="&amp;filter!$R$1) )</f>
        <v/>
      </c>
    </row>
    <row r="133" spans="2:15">
      <c r="B133" s="21">
        <f t="shared" si="1"/>
        <v>125</v>
      </c>
      <c r="C133" s="17" t="str">
        <f>IFERROR( VLOOKUP(ROWS($B$8:B132), filter!$I:$J, 2, 0), "")</f>
        <v>XGX02P</v>
      </c>
      <c r="D133" s="16" t="str" cm="1">
        <f t="array" ref="D133">IF( $C133="", "", _xll.IMDP("IDX", $C133, D$6) )</f>
        <v>코스피200 코스닥150 고정비중 5</v>
      </c>
      <c r="E133" s="34">
        <f t="array" aca="1" ref="E133" ca="1">IF( $C133="", "", _xll.IMDP("IDX",$C133,E$6,$D$4,"Fill=true, Per="&amp;filter!$R$1) )</f>
        <v>977.74</v>
      </c>
      <c r="F133" s="38">
        <f t="array" aca="1" ref="F133" ca="1">IF( $C133="", "", _xll.IMDP("IDX",$C133,F$6,$D$4,"Fill=true, Per="&amp;filter!$R$1) )</f>
        <v>-18.580000000000041</v>
      </c>
      <c r="G133" s="39">
        <f t="array" aca="1" ref="G133" ca="1">IF( $C133="", "", _xll.IMDP("IDX",$C133,G$6,$D$4,"Fill=true, Per="&amp;filter!$R$1) )</f>
        <v>-1.86</v>
      </c>
      <c r="H133" s="43">
        <f t="array" aca="1" ref="H133" ca="1">IF( $C133="", "", _xll.IMDP("IDX",$C133,H$6,$D$4,"Fill=true, Per="&amp;filter!$R$1) )</f>
        <v>0</v>
      </c>
      <c r="I133" s="43">
        <f t="array" aca="1" ref="I133" ca="1">IF( $C133="", "", _xll.IMDP("IDX",$C133,I$6,$D$4,"Fill=true, Per="&amp;filter!$R$1) )</f>
        <v>0</v>
      </c>
      <c r="J133" s="34">
        <f t="array" aca="1" ref="J133" ca="1">IF( $C133="", "", _xll.IMDP("IDX",$C133,J$6,$D$4,"Fill=true, Per="&amp;filter!$R$1) )</f>
        <v>1001.37</v>
      </c>
      <c r="K133" s="38">
        <f t="array" aca="1" ref="K133" ca="1">IF( $C133="", "", _xll.IMDP("IDX",$C133,K$6,$D$4,"Fill=true, Per="&amp;filter!$R$1) )</f>
        <v>1012.52</v>
      </c>
      <c r="L133" s="39">
        <f t="array" aca="1" ref="L133" ca="1">IF( $C133="", "", _xll.IMDP("IDX",$C133,L$6,$D$4,"Fill=true, Per="&amp;filter!$R$1) )</f>
        <v>0</v>
      </c>
      <c r="M133" s="50" t="str">
        <f t="array" aca="1" ref="M133" ca="1">IF( $C133="", "", _xll.IMDP("IDX",$C133,M$6,$D$4,"Fill=true, Per="&amp;filter!$R$1) )</f>
        <v/>
      </c>
      <c r="N133" s="51" t="str">
        <f t="array" aca="1" ref="N133" ca="1">IF( $C133="", "", _xll.IMDP("IDX",$C133,N$6,$D$4,"Fill=true, Per="&amp;filter!$R$1) )</f>
        <v/>
      </c>
      <c r="O133" s="52" t="str">
        <f t="array" aca="1" ref="O133" ca="1">IF( $C133="", "", _xll.IMDP("IDX",$C133,O$6,$D$4,"Fill=true, Per="&amp;filter!$R$1) )</f>
        <v/>
      </c>
    </row>
    <row r="134" spans="2:15">
      <c r="B134" s="21">
        <f t="shared" si="1"/>
        <v>126</v>
      </c>
      <c r="C134" s="17" t="str">
        <f>IFERROR( VLOOKUP(ROWS($B$8:B133), filter!$I:$J, 2, 0), "")</f>
        <v>XGX01P</v>
      </c>
      <c r="D134" s="16" t="str" cm="1">
        <f t="array" ref="D134">IF( $C134="", "", _xll.IMDP("IDX", $C134, D$6) )</f>
        <v>KTOP 30 레버리지 지수</v>
      </c>
      <c r="E134" s="34">
        <f t="array" aca="1" ref="E134" ca="1">IF( $C134="", "", _xll.IMDP("IDX",$C134,E$6,$D$4,"Fill=true, Per="&amp;filter!$R$1) )</f>
        <v>8177.19</v>
      </c>
      <c r="F134" s="38">
        <f t="array" aca="1" ref="F134" ca="1">IF( $C134="", "", _xll.IMDP("IDX",$C134,F$6,$D$4,"Fill=true, Per="&amp;filter!$R$1) )</f>
        <v>68.589999999999236</v>
      </c>
      <c r="G134" s="39">
        <f t="array" aca="1" ref="G134" ca="1">IF( $C134="", "", _xll.IMDP("IDX",$C134,G$6,$D$4,"Fill=true, Per="&amp;filter!$R$1) )</f>
        <v>0.85</v>
      </c>
      <c r="H134" s="43">
        <f t="array" aca="1" ref="H134" ca="1">IF( $C134="", "", _xll.IMDP("IDX",$C134,H$6,$D$4,"Fill=true, Per="&amp;filter!$R$1) )</f>
        <v>0</v>
      </c>
      <c r="I134" s="43">
        <f t="array" aca="1" ref="I134" ca="1">IF( $C134="", "", _xll.IMDP("IDX",$C134,I$6,$D$4,"Fill=true, Per="&amp;filter!$R$1) )</f>
        <v>0</v>
      </c>
      <c r="J134" s="34">
        <f t="array" aca="1" ref="J134" ca="1">IF( $C134="", "", _xll.IMDP("IDX",$C134,J$6,$D$4,"Fill=true, Per="&amp;filter!$R$1) )</f>
        <v>8200.1299999999992</v>
      </c>
      <c r="K134" s="38">
        <f t="array" aca="1" ref="K134" ca="1">IF( $C134="", "", _xll.IMDP("IDX",$C134,K$6,$D$4,"Fill=true, Per="&amp;filter!$R$1) )</f>
        <v>8427.2999999999993</v>
      </c>
      <c r="L134" s="39">
        <f t="array" aca="1" ref="L134" ca="1">IF( $C134="", "", _xll.IMDP("IDX",$C134,L$6,$D$4,"Fill=true, Per="&amp;filter!$R$1) )</f>
        <v>0</v>
      </c>
      <c r="M134" s="50" t="str">
        <f t="array" aca="1" ref="M134" ca="1">IF( $C134="", "", _xll.IMDP("IDX",$C134,M$6,$D$4,"Fill=true, Per="&amp;filter!$R$1) )</f>
        <v/>
      </c>
      <c r="N134" s="51" t="str">
        <f t="array" aca="1" ref="N134" ca="1">IF( $C134="", "", _xll.IMDP("IDX",$C134,N$6,$D$4,"Fill=true, Per="&amp;filter!$R$1) )</f>
        <v/>
      </c>
      <c r="O134" s="52" t="str">
        <f t="array" aca="1" ref="O134" ca="1">IF( $C134="", "", _xll.IMDP("IDX",$C134,O$6,$D$4,"Fill=true, Per="&amp;filter!$R$1) )</f>
        <v/>
      </c>
    </row>
    <row r="135" spans="2:15">
      <c r="B135" s="21">
        <f t="shared" si="1"/>
        <v>127</v>
      </c>
      <c r="C135" s="17" t="str">
        <f>IFERROR( VLOOKUP(ROWS($B$8:B134), filter!$I:$J, 2, 0), "")</f>
        <v>XGV02P</v>
      </c>
      <c r="D135" s="16" t="str" cm="1">
        <f t="array" ref="D135">IF( $C135="", "", _xll.IMDP("IDX", $C135, D$6) )</f>
        <v>KRX BBIG 리스크컨트롤 12% 지수</v>
      </c>
      <c r="E135" s="34">
        <f t="array" aca="1" ref="E135" ca="1">IF( $C135="", "", _xll.IMDP("IDX",$C135,E$6,$D$4,"Fill=true, Per="&amp;filter!$R$1) )</f>
        <v>981.41</v>
      </c>
      <c r="F135" s="38">
        <f t="array" aca="1" ref="F135" ca="1">IF( $C135="", "", _xll.IMDP("IDX",$C135,F$6,$D$4,"Fill=true, Per="&amp;filter!$R$1) )</f>
        <v>-4.2599999999999909</v>
      </c>
      <c r="G135" s="39">
        <f t="array" aca="1" ref="G135" ca="1">IF( $C135="", "", _xll.IMDP("IDX",$C135,G$6,$D$4,"Fill=true, Per="&amp;filter!$R$1) )</f>
        <v>-0.43</v>
      </c>
      <c r="H135" s="43">
        <f t="array" aca="1" ref="H135" ca="1">IF( $C135="", "", _xll.IMDP("IDX",$C135,H$6,$D$4,"Fill=true, Per="&amp;filter!$R$1) )</f>
        <v>0</v>
      </c>
      <c r="I135" s="43">
        <f t="array" aca="1" ref="I135" ca="1">IF( $C135="", "", _xll.IMDP("IDX",$C135,I$6,$D$4,"Fill=true, Per="&amp;filter!$R$1) )</f>
        <v>0</v>
      </c>
      <c r="J135" s="34">
        <f t="array" aca="1" ref="J135" ca="1">IF( $C135="", "", _xll.IMDP("IDX",$C135,J$6,$D$4,"Fill=true, Per="&amp;filter!$R$1) )</f>
        <v>986.8</v>
      </c>
      <c r="K135" s="38">
        <f t="array" aca="1" ref="K135" ca="1">IF( $C135="", "", _xll.IMDP("IDX",$C135,K$6,$D$4,"Fill=true, Per="&amp;filter!$R$1) )</f>
        <v>990.2</v>
      </c>
      <c r="L135" s="39">
        <f t="array" aca="1" ref="L135" ca="1">IF( $C135="", "", _xll.IMDP("IDX",$C135,L$6,$D$4,"Fill=true, Per="&amp;filter!$R$1) )</f>
        <v>0</v>
      </c>
      <c r="M135" s="50" t="str">
        <f t="array" aca="1" ref="M135" ca="1">IF( $C135="", "", _xll.IMDP("IDX",$C135,M$6,$D$4,"Fill=true, Per="&amp;filter!$R$1) )</f>
        <v/>
      </c>
      <c r="N135" s="51" t="str">
        <f t="array" aca="1" ref="N135" ca="1">IF( $C135="", "", _xll.IMDP("IDX",$C135,N$6,$D$4,"Fill=true, Per="&amp;filter!$R$1) )</f>
        <v/>
      </c>
      <c r="O135" s="52" t="str">
        <f t="array" aca="1" ref="O135" ca="1">IF( $C135="", "", _xll.IMDP("IDX",$C135,O$6,$D$4,"Fill=true, Per="&amp;filter!$R$1) )</f>
        <v/>
      </c>
    </row>
    <row r="136" spans="2:15">
      <c r="B136" s="21">
        <f t="shared" si="1"/>
        <v>128</v>
      </c>
      <c r="C136" s="17" t="str">
        <f>IFERROR( VLOOKUP(ROWS($B$8:B135), filter!$I:$J, 2, 0), "")</f>
        <v>XGV01P</v>
      </c>
      <c r="D136" s="16" t="str" cm="1">
        <f t="array" ref="D136">IF( $C136="", "", _xll.IMDP("IDX", $C136, D$6) )</f>
        <v>KRX BBIG 리스크컨트롤 12% 지수</v>
      </c>
      <c r="E136" s="34">
        <f t="array" aca="1" ref="E136" ca="1">IF( $C136="", "", _xll.IMDP("IDX",$C136,E$6,$D$4,"Fill=true, Per="&amp;filter!$R$1) )</f>
        <v>1307.97</v>
      </c>
      <c r="F136" s="38">
        <f t="array" aca="1" ref="F136" ca="1">IF( $C136="", "", _xll.IMDP("IDX",$C136,F$6,$D$4,"Fill=true, Per="&amp;filter!$R$1) )</f>
        <v>-5.2799999999999727</v>
      </c>
      <c r="G136" s="39">
        <f t="array" aca="1" ref="G136" ca="1">IF( $C136="", "", _xll.IMDP("IDX",$C136,G$6,$D$4,"Fill=true, Per="&amp;filter!$R$1) )</f>
        <v>-0.4</v>
      </c>
      <c r="H136" s="43">
        <f t="array" aca="1" ref="H136" ca="1">IF( $C136="", "", _xll.IMDP("IDX",$C136,H$6,$D$4,"Fill=true, Per="&amp;filter!$R$1) )</f>
        <v>0</v>
      </c>
      <c r="I136" s="43">
        <f t="array" aca="1" ref="I136" ca="1">IF( $C136="", "", _xll.IMDP("IDX",$C136,I$6,$D$4,"Fill=true, Per="&amp;filter!$R$1) )</f>
        <v>0</v>
      </c>
      <c r="J136" s="34">
        <f t="array" aca="1" ref="J136" ca="1">IF( $C136="", "", _xll.IMDP("IDX",$C136,J$6,$D$4,"Fill=true, Per="&amp;filter!$R$1) )</f>
        <v>1315.04</v>
      </c>
      <c r="K136" s="38">
        <f t="array" aca="1" ref="K136" ca="1">IF( $C136="", "", _xll.IMDP("IDX",$C136,K$6,$D$4,"Fill=true, Per="&amp;filter!$R$1) )</f>
        <v>1319.67</v>
      </c>
      <c r="L136" s="39">
        <f t="array" aca="1" ref="L136" ca="1">IF( $C136="", "", _xll.IMDP("IDX",$C136,L$6,$D$4,"Fill=true, Per="&amp;filter!$R$1) )</f>
        <v>0</v>
      </c>
      <c r="M136" s="50" t="str">
        <f t="array" aca="1" ref="M136" ca="1">IF( $C136="", "", _xll.IMDP("IDX",$C136,M$6,$D$4,"Fill=true, Per="&amp;filter!$R$1) )</f>
        <v/>
      </c>
      <c r="N136" s="51" t="str">
        <f t="array" aca="1" ref="N136" ca="1">IF( $C136="", "", _xll.IMDP("IDX",$C136,N$6,$D$4,"Fill=true, Per="&amp;filter!$R$1) )</f>
        <v/>
      </c>
      <c r="O136" s="52" t="str">
        <f t="array" aca="1" ref="O136" ca="1">IF( $C136="", "", _xll.IMDP("IDX",$C136,O$6,$D$4,"Fill=true, Per="&amp;filter!$R$1) )</f>
        <v/>
      </c>
    </row>
    <row r="137" spans="2:15">
      <c r="B137" s="21">
        <f t="shared" si="1"/>
        <v>129</v>
      </c>
      <c r="C137" s="17" t="str">
        <f>IFERROR( VLOOKUP(ROWS($B$8:B136), filter!$I:$J, 2, 0), "")</f>
        <v>XGT15P</v>
      </c>
      <c r="D137" s="16" t="str" cm="1">
        <f t="array" ref="D137">IF( $C137="", "", _xll.IMDP("IDX", $C137, D$6) )</f>
        <v>KRX FactSet 차세대 에너지 지수</v>
      </c>
      <c r="E137" s="34">
        <f t="array" aca="1" ref="E137" ca="1">IF( $C137="", "", _xll.IMDP("IDX",$C137,E$6,$D$4,"Fill=true, Per="&amp;filter!$R$1) )</f>
        <v>1275.79</v>
      </c>
      <c r="F137" s="38">
        <f t="array" aca="1" ref="F137" ca="1">IF( $C137="", "", _xll.IMDP("IDX",$C137,F$6,$D$4,"Fill=true, Per="&amp;filter!$R$1) )</f>
        <v>-1.8700000000001182</v>
      </c>
      <c r="G137" s="39">
        <f t="array" aca="1" ref="G137" ca="1">IF( $C137="", "", _xll.IMDP("IDX",$C137,G$6,$D$4,"Fill=true, Per="&amp;filter!$R$1) )</f>
        <v>-0.15</v>
      </c>
      <c r="H137" s="43">
        <f t="array" aca="1" ref="H137" ca="1">IF( $C137="", "", _xll.IMDP("IDX",$C137,H$6,$D$4,"Fill=true, Per="&amp;filter!$R$1) )</f>
        <v>18524</v>
      </c>
      <c r="I137" s="43">
        <f t="array" aca="1" ref="I137" ca="1">IF( $C137="", "", _xll.IMDP("IDX",$C137,I$6,$D$4,"Fill=true, Per="&amp;filter!$R$1) )</f>
        <v>1610819</v>
      </c>
      <c r="J137" s="34">
        <f t="array" aca="1" ref="J137" ca="1">IF( $C137="", "", _xll.IMDP("IDX",$C137,J$6,$D$4,"Fill=true, Per="&amp;filter!$R$1) )</f>
        <v>1282.8800000000001</v>
      </c>
      <c r="K137" s="38">
        <f t="array" aca="1" ref="K137" ca="1">IF( $C137="", "", _xll.IMDP("IDX",$C137,K$6,$D$4,"Fill=true, Per="&amp;filter!$R$1) )</f>
        <v>1285.79</v>
      </c>
      <c r="L137" s="39">
        <f t="array" aca="1" ref="L137" ca="1">IF( $C137="", "", _xll.IMDP("IDX",$C137,L$6,$D$4,"Fill=true, Per="&amp;filter!$R$1) )</f>
        <v>0</v>
      </c>
      <c r="M137" s="50" t="str">
        <f t="array" aca="1" ref="M137" ca="1">IF( $C137="", "", _xll.IMDP("IDX",$C137,M$6,$D$4,"Fill=true, Per="&amp;filter!$R$1) )</f>
        <v/>
      </c>
      <c r="N137" s="51" t="str">
        <f t="array" aca="1" ref="N137" ca="1">IF( $C137="", "", _xll.IMDP("IDX",$C137,N$6,$D$4,"Fill=true, Per="&amp;filter!$R$1) )</f>
        <v/>
      </c>
      <c r="O137" s="52" t="str">
        <f t="array" aca="1" ref="O137" ca="1">IF( $C137="", "", _xll.IMDP("IDX",$C137,O$6,$D$4,"Fill=true, Per="&amp;filter!$R$1) )</f>
        <v/>
      </c>
    </row>
    <row r="138" spans="2:15">
      <c r="B138" s="21">
        <f t="shared" si="1"/>
        <v>130</v>
      </c>
      <c r="C138" s="17" t="str">
        <f>IFERROR( VLOOKUP(ROWS($B$8:B137), filter!$I:$J, 2, 0), "")</f>
        <v>XGT14P</v>
      </c>
      <c r="D138" s="16" t="str" cm="1">
        <f t="array" ref="D138">IF( $C138="", "", _xll.IMDP("IDX", $C138, D$6) )</f>
        <v>KRX FactSet 디지털 인프라 지수</v>
      </c>
      <c r="E138" s="34">
        <f t="array" aca="1" ref="E138" ca="1">IF( $C138="", "", _xll.IMDP("IDX",$C138,E$6,$D$4,"Fill=true, Per="&amp;filter!$R$1) )</f>
        <v>868.08</v>
      </c>
      <c r="F138" s="38">
        <f t="array" aca="1" ref="F138" ca="1">IF( $C138="", "", _xll.IMDP("IDX",$C138,F$6,$D$4,"Fill=true, Per="&amp;filter!$R$1) )</f>
        <v>-9.5299999999999727</v>
      </c>
      <c r="G138" s="39">
        <f t="array" aca="1" ref="G138" ca="1">IF( $C138="", "", _xll.IMDP("IDX",$C138,G$6,$D$4,"Fill=true, Per="&amp;filter!$R$1) )</f>
        <v>-1.0900000000000001</v>
      </c>
      <c r="H138" s="43">
        <f t="array" aca="1" ref="H138" ca="1">IF( $C138="", "", _xll.IMDP("IDX",$C138,H$6,$D$4,"Fill=true, Per="&amp;filter!$R$1) )</f>
        <v>50079</v>
      </c>
      <c r="I138" s="43">
        <f t="array" aca="1" ref="I138" ca="1">IF( $C138="", "", _xll.IMDP("IDX",$C138,I$6,$D$4,"Fill=true, Per="&amp;filter!$R$1) )</f>
        <v>630072</v>
      </c>
      <c r="J138" s="34">
        <f t="array" aca="1" ref="J138" ca="1">IF( $C138="", "", _xll.IMDP("IDX",$C138,J$6,$D$4,"Fill=true, Per="&amp;filter!$R$1) )</f>
        <v>879.25</v>
      </c>
      <c r="K138" s="38">
        <f t="array" aca="1" ref="K138" ca="1">IF( $C138="", "", _xll.IMDP("IDX",$C138,K$6,$D$4,"Fill=true, Per="&amp;filter!$R$1) )</f>
        <v>881.61</v>
      </c>
      <c r="L138" s="39">
        <f t="array" aca="1" ref="L138" ca="1">IF( $C138="", "", _xll.IMDP("IDX",$C138,L$6,$D$4,"Fill=true, Per="&amp;filter!$R$1) )</f>
        <v>0</v>
      </c>
      <c r="M138" s="50" t="str">
        <f t="array" aca="1" ref="M138" ca="1">IF( $C138="", "", _xll.IMDP("IDX",$C138,M$6,$D$4,"Fill=true, Per="&amp;filter!$R$1) )</f>
        <v/>
      </c>
      <c r="N138" s="51" t="str">
        <f t="array" aca="1" ref="N138" ca="1">IF( $C138="", "", _xll.IMDP("IDX",$C138,N$6,$D$4,"Fill=true, Per="&amp;filter!$R$1) )</f>
        <v/>
      </c>
      <c r="O138" s="52" t="str">
        <f t="array" aca="1" ref="O138" ca="1">IF( $C138="", "", _xll.IMDP("IDX",$C138,O$6,$D$4,"Fill=true, Per="&amp;filter!$R$1) )</f>
        <v/>
      </c>
    </row>
    <row r="139" spans="2:15">
      <c r="B139" s="21">
        <f t="shared" ref="B139:B202" si="2">IF( $C139&lt;&gt;"", B138+1, "")</f>
        <v>131</v>
      </c>
      <c r="C139" s="17" t="str">
        <f>IFERROR( VLOOKUP(ROWS($B$8:B138), filter!$I:$J, 2, 0), "")</f>
        <v>XGT13P</v>
      </c>
      <c r="D139" s="16" t="str" cm="1">
        <f t="array" ref="D139">IF( $C139="", "", _xll.IMDP("IDX", $C139, D$6) )</f>
        <v>KRX FactSet 디지털 헬스케어 지</v>
      </c>
      <c r="E139" s="34">
        <f t="array" aca="1" ref="E139" ca="1">IF( $C139="", "", _xll.IMDP("IDX",$C139,E$6,$D$4,"Fill=true, Per="&amp;filter!$R$1) )</f>
        <v>1052.8499999999999</v>
      </c>
      <c r="F139" s="38">
        <f t="array" aca="1" ref="F139" ca="1">IF( $C139="", "", _xll.IMDP("IDX",$C139,F$6,$D$4,"Fill=true, Per="&amp;filter!$R$1) )</f>
        <v>-34.360000000000127</v>
      </c>
      <c r="G139" s="39">
        <f t="array" aca="1" ref="G139" ca="1">IF( $C139="", "", _xll.IMDP("IDX",$C139,G$6,$D$4,"Fill=true, Per="&amp;filter!$R$1) )</f>
        <v>-3.16</v>
      </c>
      <c r="H139" s="43">
        <f t="array" aca="1" ref="H139" ca="1">IF( $C139="", "", _xll.IMDP("IDX",$C139,H$6,$D$4,"Fill=true, Per="&amp;filter!$R$1) )</f>
        <v>13926</v>
      </c>
      <c r="I139" s="43">
        <f t="array" aca="1" ref="I139" ca="1">IF( $C139="", "", _xll.IMDP("IDX",$C139,I$6,$D$4,"Fill=true, Per="&amp;filter!$R$1) )</f>
        <v>151894</v>
      </c>
      <c r="J139" s="34">
        <f t="array" aca="1" ref="J139" ca="1">IF( $C139="", "", _xll.IMDP("IDX",$C139,J$6,$D$4,"Fill=true, Per="&amp;filter!$R$1) )</f>
        <v>1087.73</v>
      </c>
      <c r="K139" s="38">
        <f t="array" aca="1" ref="K139" ca="1">IF( $C139="", "", _xll.IMDP("IDX",$C139,K$6,$D$4,"Fill=true, Per="&amp;filter!$R$1) )</f>
        <v>1088.1199999999999</v>
      </c>
      <c r="L139" s="39">
        <f t="array" aca="1" ref="L139" ca="1">IF( $C139="", "", _xll.IMDP("IDX",$C139,L$6,$D$4,"Fill=true, Per="&amp;filter!$R$1) )</f>
        <v>0</v>
      </c>
      <c r="M139" s="50" t="str">
        <f t="array" aca="1" ref="M139" ca="1">IF( $C139="", "", _xll.IMDP("IDX",$C139,M$6,$D$4,"Fill=true, Per="&amp;filter!$R$1) )</f>
        <v/>
      </c>
      <c r="N139" s="51" t="str">
        <f t="array" aca="1" ref="N139" ca="1">IF( $C139="", "", _xll.IMDP("IDX",$C139,N$6,$D$4,"Fill=true, Per="&amp;filter!$R$1) )</f>
        <v/>
      </c>
      <c r="O139" s="52" t="str">
        <f t="array" aca="1" ref="O139" ca="1">IF( $C139="", "", _xll.IMDP("IDX",$C139,O$6,$D$4,"Fill=true, Per="&amp;filter!$R$1) )</f>
        <v/>
      </c>
    </row>
    <row r="140" spans="2:15">
      <c r="B140" s="21">
        <f t="shared" si="2"/>
        <v>132</v>
      </c>
      <c r="C140" s="17" t="str">
        <f>IFERROR( VLOOKUP(ROWS($B$8:B139), filter!$I:$J, 2, 0), "")</f>
        <v>XGT12P</v>
      </c>
      <c r="D140" s="16" t="str" cm="1">
        <f t="array" ref="D140">IF( $C140="", "", _xll.IMDP("IDX", $C140, D$6) )</f>
        <v>KRX FactSet 모빌리티 이노베이?</v>
      </c>
      <c r="E140" s="34">
        <f t="array" aca="1" ref="E140" ca="1">IF( $C140="", "", _xll.IMDP("IDX",$C140,E$6,$D$4,"Fill=true, Per="&amp;filter!$R$1) )</f>
        <v>1557.6</v>
      </c>
      <c r="F140" s="38">
        <f t="array" aca="1" ref="F140" ca="1">IF( $C140="", "", _xll.IMDP("IDX",$C140,F$6,$D$4,"Fill=true, Per="&amp;filter!$R$1) )</f>
        <v>12.919999999999845</v>
      </c>
      <c r="G140" s="39">
        <f t="array" aca="1" ref="G140" ca="1">IF( $C140="", "", _xll.IMDP("IDX",$C140,G$6,$D$4,"Fill=true, Per="&amp;filter!$R$1) )</f>
        <v>0.84</v>
      </c>
      <c r="H140" s="43">
        <f t="array" aca="1" ref="H140" ca="1">IF( $C140="", "", _xll.IMDP("IDX",$C140,H$6,$D$4,"Fill=true, Per="&amp;filter!$R$1) )</f>
        <v>37016</v>
      </c>
      <c r="I140" s="43">
        <f t="array" aca="1" ref="I140" ca="1">IF( $C140="", "", _xll.IMDP("IDX",$C140,I$6,$D$4,"Fill=true, Per="&amp;filter!$R$1) )</f>
        <v>3352217</v>
      </c>
      <c r="J140" s="34">
        <f t="array" aca="1" ref="J140" ca="1">IF( $C140="", "", _xll.IMDP("IDX",$C140,J$6,$D$4,"Fill=true, Per="&amp;filter!$R$1) )</f>
        <v>1552.23</v>
      </c>
      <c r="K140" s="38">
        <f t="array" aca="1" ref="K140" ca="1">IF( $C140="", "", _xll.IMDP("IDX",$C140,K$6,$D$4,"Fill=true, Per="&amp;filter!$R$1) )</f>
        <v>1580.13</v>
      </c>
      <c r="L140" s="39">
        <f t="array" aca="1" ref="L140" ca="1">IF( $C140="", "", _xll.IMDP("IDX",$C140,L$6,$D$4,"Fill=true, Per="&amp;filter!$R$1) )</f>
        <v>0</v>
      </c>
      <c r="M140" s="50" t="str">
        <f t="array" aca="1" ref="M140" ca="1">IF( $C140="", "", _xll.IMDP("IDX",$C140,M$6,$D$4,"Fill=true, Per="&amp;filter!$R$1) )</f>
        <v/>
      </c>
      <c r="N140" s="51" t="str">
        <f t="array" aca="1" ref="N140" ca="1">IF( $C140="", "", _xll.IMDP("IDX",$C140,N$6,$D$4,"Fill=true, Per="&amp;filter!$R$1) )</f>
        <v/>
      </c>
      <c r="O140" s="52" t="str">
        <f t="array" aca="1" ref="O140" ca="1">IF( $C140="", "", _xll.IMDP("IDX",$C140,O$6,$D$4,"Fill=true, Per="&amp;filter!$R$1) )</f>
        <v/>
      </c>
    </row>
    <row r="141" spans="2:15">
      <c r="B141" s="21">
        <f t="shared" si="2"/>
        <v>133</v>
      </c>
      <c r="C141" s="17" t="str">
        <f>IFERROR( VLOOKUP(ROWS($B$8:B140), filter!$I:$J, 2, 0), "")</f>
        <v>XGT11P</v>
      </c>
      <c r="D141" s="16" t="str" cm="1">
        <f t="array" ref="D141">IF( $C141="", "", _xll.IMDP("IDX", $C141, D$6) )</f>
        <v>KRX 반도체 Top 15 USD</v>
      </c>
      <c r="E141" s="34">
        <f t="array" aca="1" ref="E141" ca="1">IF( $C141="", "", _xll.IMDP("IDX",$C141,E$6,$D$4,"Fill=true, Per="&amp;filter!$R$1) )</f>
        <v>1937.01</v>
      </c>
      <c r="F141" s="38">
        <f t="array" aca="1" ref="F141" ca="1">IF( $C141="", "", _xll.IMDP("IDX",$C141,F$6,$D$4,"Fill=true, Per="&amp;filter!$R$1) )</f>
        <v>-75.370000000000118</v>
      </c>
      <c r="G141" s="39">
        <f t="array" aca="1" ref="G141" ca="1">IF( $C141="", "", _xll.IMDP("IDX",$C141,G$6,$D$4,"Fill=true, Per="&amp;filter!$R$1) )</f>
        <v>-3.75</v>
      </c>
      <c r="H141" s="43">
        <f t="array" aca="1" ref="H141" ca="1">IF( $C141="", "", _xll.IMDP("IDX",$C141,H$6,$D$4,"Fill=true, Per="&amp;filter!$R$1) )</f>
        <v>0</v>
      </c>
      <c r="I141" s="43">
        <f t="array" aca="1" ref="I141" ca="1">IF( $C141="", "", _xll.IMDP("IDX",$C141,I$6,$D$4,"Fill=true, Per="&amp;filter!$R$1) )</f>
        <v>0</v>
      </c>
      <c r="J141" s="34">
        <f t="array" aca="1" ref="J141" ca="1">IF( $C141="", "", _xll.IMDP("IDX",$C141,J$6,$D$4,"Fill=true, Per="&amp;filter!$R$1) )</f>
        <v>2008.09</v>
      </c>
      <c r="K141" s="38">
        <f t="array" aca="1" ref="K141" ca="1">IF( $C141="", "", _xll.IMDP("IDX",$C141,K$6,$D$4,"Fill=true, Per="&amp;filter!$R$1) )</f>
        <v>2008.47</v>
      </c>
      <c r="L141" s="39">
        <f t="array" aca="1" ref="L141" ca="1">IF( $C141="", "", _xll.IMDP("IDX",$C141,L$6,$D$4,"Fill=true, Per="&amp;filter!$R$1) )</f>
        <v>0</v>
      </c>
      <c r="M141" s="50" t="str">
        <f t="array" aca="1" ref="M141" ca="1">IF( $C141="", "", _xll.IMDP("IDX",$C141,M$6,$D$4,"Fill=true, Per="&amp;filter!$R$1) )</f>
        <v/>
      </c>
      <c r="N141" s="51" t="str">
        <f t="array" aca="1" ref="N141" ca="1">IF( $C141="", "", _xll.IMDP("IDX",$C141,N$6,$D$4,"Fill=true, Per="&amp;filter!$R$1) )</f>
        <v/>
      </c>
      <c r="O141" s="52" t="str">
        <f t="array" aca="1" ref="O141" ca="1">IF( $C141="", "", _xll.IMDP("IDX",$C141,O$6,$D$4,"Fill=true, Per="&amp;filter!$R$1) )</f>
        <v/>
      </c>
    </row>
    <row r="142" spans="2:15">
      <c r="B142" s="21">
        <f t="shared" si="2"/>
        <v>134</v>
      </c>
      <c r="C142" s="17" t="str">
        <f>IFERROR( VLOOKUP(ROWS($B$8:B141), filter!$I:$J, 2, 0), "")</f>
        <v>XGT10T</v>
      </c>
      <c r="D142" s="16" t="str" cm="1">
        <f t="array" ref="D142">IF( $C142="", "", _xll.IMDP("IDX", $C142, D$6) )</f>
        <v>KRX 반도체 Top 15 TR 지수(KRX?</v>
      </c>
      <c r="E142" s="34">
        <f t="array" aca="1" ref="E142" ca="1">IF( $C142="", "", _xll.IMDP("IDX",$C142,E$6,$D$4,"Fill=true, Per="&amp;filter!$R$1) )</f>
        <v>2692.31</v>
      </c>
      <c r="F142" s="38">
        <f t="array" aca="1" ref="F142" ca="1">IF( $C142="", "", _xll.IMDP("IDX",$C142,F$6,$D$4,"Fill=true, Per="&amp;filter!$R$1) )</f>
        <v>-92.769999999999982</v>
      </c>
      <c r="G142" s="39">
        <f t="array" aca="1" ref="G142" ca="1">IF( $C142="", "", _xll.IMDP("IDX",$C142,G$6,$D$4,"Fill=true, Per="&amp;filter!$R$1) )</f>
        <v>-3.33</v>
      </c>
      <c r="H142" s="43">
        <f t="array" aca="1" ref="H142" ca="1">IF( $C142="", "", _xll.IMDP("IDX",$C142,H$6,$D$4,"Fill=true, Per="&amp;filter!$R$1) )</f>
        <v>0</v>
      </c>
      <c r="I142" s="43">
        <f t="array" aca="1" ref="I142" ca="1">IF( $C142="", "", _xll.IMDP("IDX",$C142,I$6,$D$4,"Fill=true, Per="&amp;filter!$R$1) )</f>
        <v>0</v>
      </c>
      <c r="J142" s="34">
        <f t="array" aca="1" ref="J142" ca="1">IF( $C142="", "", _xll.IMDP("IDX",$C142,J$6,$D$4,"Fill=true, Per="&amp;filter!$R$1) )</f>
        <v>2779.14</v>
      </c>
      <c r="K142" s="38">
        <f t="array" aca="1" ref="K142" ca="1">IF( $C142="", "", _xll.IMDP("IDX",$C142,K$6,$D$4,"Fill=true, Per="&amp;filter!$R$1) )</f>
        <v>2779.66</v>
      </c>
      <c r="L142" s="39">
        <f t="array" aca="1" ref="L142" ca="1">IF( $C142="", "", _xll.IMDP("IDX",$C142,L$6,$D$4,"Fill=true, Per="&amp;filter!$R$1) )</f>
        <v>0</v>
      </c>
      <c r="M142" s="50" t="str">
        <f t="array" aca="1" ref="M142" ca="1">IF( $C142="", "", _xll.IMDP("IDX",$C142,M$6,$D$4,"Fill=true, Per="&amp;filter!$R$1) )</f>
        <v/>
      </c>
      <c r="N142" s="51" t="str">
        <f t="array" aca="1" ref="N142" ca="1">IF( $C142="", "", _xll.IMDP("IDX",$C142,N$6,$D$4,"Fill=true, Per="&amp;filter!$R$1) )</f>
        <v/>
      </c>
      <c r="O142" s="52" t="str">
        <f t="array" aca="1" ref="O142" ca="1">IF( $C142="", "", _xll.IMDP("IDX",$C142,O$6,$D$4,"Fill=true, Per="&amp;filter!$R$1) )</f>
        <v/>
      </c>
    </row>
    <row r="143" spans="2:15">
      <c r="B143" s="21">
        <f t="shared" si="2"/>
        <v>135</v>
      </c>
      <c r="C143" s="17" t="str">
        <f>IFERROR( VLOOKUP(ROWS($B$8:B142), filter!$I:$J, 2, 0), "")</f>
        <v>XGT10P</v>
      </c>
      <c r="D143" s="16" t="str" cm="1">
        <f t="array" ref="D143">IF( $C143="", "", _xll.IMDP("IDX", $C143, D$6) )</f>
        <v>KRX 반도체 Top 15</v>
      </c>
      <c r="E143" s="34">
        <f t="array" aca="1" ref="E143" ca="1">IF( $C143="", "", _xll.IMDP("IDX",$C143,E$6,$D$4,"Fill=true, Per="&amp;filter!$R$1) )</f>
        <v>2364.27</v>
      </c>
      <c r="F143" s="38">
        <f t="array" aca="1" ref="F143" ca="1">IF( $C143="", "", _xll.IMDP("IDX",$C143,F$6,$D$4,"Fill=true, Per="&amp;filter!$R$1) )</f>
        <v>-81.4699999999998</v>
      </c>
      <c r="G143" s="39">
        <f t="array" aca="1" ref="G143" ca="1">IF( $C143="", "", _xll.IMDP("IDX",$C143,G$6,$D$4,"Fill=true, Per="&amp;filter!$R$1) )</f>
        <v>-3.33</v>
      </c>
      <c r="H143" s="43">
        <f t="array" aca="1" ref="H143" ca="1">IF( $C143="", "", _xll.IMDP("IDX",$C143,H$6,$D$4,"Fill=true, Per="&amp;filter!$R$1) )</f>
        <v>42662</v>
      </c>
      <c r="I143" s="43">
        <f t="array" aca="1" ref="I143" ca="1">IF( $C143="", "", _xll.IMDP("IDX",$C143,I$6,$D$4,"Fill=true, Per="&amp;filter!$R$1) )</f>
        <v>3642505</v>
      </c>
      <c r="J143" s="34">
        <f t="array" aca="1" ref="J143" ca="1">IF( $C143="", "", _xll.IMDP("IDX",$C143,J$6,$D$4,"Fill=true, Per="&amp;filter!$R$1) )</f>
        <v>2440.52</v>
      </c>
      <c r="K143" s="38">
        <f t="array" aca="1" ref="K143" ca="1">IF( $C143="", "", _xll.IMDP("IDX",$C143,K$6,$D$4,"Fill=true, Per="&amp;filter!$R$1) )</f>
        <v>2440.98</v>
      </c>
      <c r="L143" s="39">
        <f t="array" aca="1" ref="L143" ca="1">IF( $C143="", "", _xll.IMDP("IDX",$C143,L$6,$D$4,"Fill=true, Per="&amp;filter!$R$1) )</f>
        <v>0</v>
      </c>
      <c r="M143" s="50" t="str">
        <f t="array" aca="1" ref="M143" ca="1">IF( $C143="", "", _xll.IMDP("IDX",$C143,M$6,$D$4,"Fill=true, Per="&amp;filter!$R$1) )</f>
        <v/>
      </c>
      <c r="N143" s="51" t="str">
        <f t="array" aca="1" ref="N143" ca="1">IF( $C143="", "", _xll.IMDP("IDX",$C143,N$6,$D$4,"Fill=true, Per="&amp;filter!$R$1) )</f>
        <v/>
      </c>
      <c r="O143" s="52" t="str">
        <f t="array" aca="1" ref="O143" ca="1">IF( $C143="", "", _xll.IMDP("IDX",$C143,O$6,$D$4,"Fill=true, Per="&amp;filter!$R$1) )</f>
        <v/>
      </c>
    </row>
    <row r="144" spans="2:15">
      <c r="B144" s="21">
        <f t="shared" si="2"/>
        <v>136</v>
      </c>
      <c r="C144" s="17" t="str">
        <f>IFERROR( VLOOKUP(ROWS($B$8:B143), filter!$I:$J, 2, 0), "")</f>
        <v>XGT09P</v>
      </c>
      <c r="D144" s="16" t="str" cm="1">
        <f t="array" ref="D144">IF( $C144="", "", _xll.IMDP("IDX", $C144, D$6) )</f>
        <v>KRX 전기차 Top 15 USD</v>
      </c>
      <c r="E144" s="34">
        <f t="array" aca="1" ref="E144" ca="1">IF( $C144="", "", _xll.IMDP("IDX",$C144,E$6,$D$4,"Fill=true, Per="&amp;filter!$R$1) )</f>
        <v>2148.23</v>
      </c>
      <c r="F144" s="38">
        <f t="array" aca="1" ref="F144" ca="1">IF( $C144="", "", _xll.IMDP("IDX",$C144,F$6,$D$4,"Fill=true, Per="&amp;filter!$R$1) )</f>
        <v>-0.23000000000001819</v>
      </c>
      <c r="G144" s="39">
        <f t="array" aca="1" ref="G144" ca="1">IF( $C144="", "", _xll.IMDP("IDX",$C144,G$6,$D$4,"Fill=true, Per="&amp;filter!$R$1) )</f>
        <v>-0.01</v>
      </c>
      <c r="H144" s="43">
        <f t="array" aca="1" ref="H144" ca="1">IF( $C144="", "", _xll.IMDP("IDX",$C144,H$6,$D$4,"Fill=true, Per="&amp;filter!$R$1) )</f>
        <v>0</v>
      </c>
      <c r="I144" s="43">
        <f t="array" aca="1" ref="I144" ca="1">IF( $C144="", "", _xll.IMDP("IDX",$C144,I$6,$D$4,"Fill=true, Per="&amp;filter!$R$1) )</f>
        <v>0</v>
      </c>
      <c r="J144" s="34">
        <f t="array" aca="1" ref="J144" ca="1">IF( $C144="", "", _xll.IMDP("IDX",$C144,J$6,$D$4,"Fill=true, Per="&amp;filter!$R$1) )</f>
        <v>2166.87</v>
      </c>
      <c r="K144" s="38">
        <f t="array" aca="1" ref="K144" ca="1">IF( $C144="", "", _xll.IMDP("IDX",$C144,K$6,$D$4,"Fill=true, Per="&amp;filter!$R$1) )</f>
        <v>2208.79</v>
      </c>
      <c r="L144" s="39">
        <f t="array" aca="1" ref="L144" ca="1">IF( $C144="", "", _xll.IMDP("IDX",$C144,L$6,$D$4,"Fill=true, Per="&amp;filter!$R$1) )</f>
        <v>0</v>
      </c>
      <c r="M144" s="50" t="str">
        <f t="array" aca="1" ref="M144" ca="1">IF( $C144="", "", _xll.IMDP("IDX",$C144,M$6,$D$4,"Fill=true, Per="&amp;filter!$R$1) )</f>
        <v/>
      </c>
      <c r="N144" s="51" t="str">
        <f t="array" aca="1" ref="N144" ca="1">IF( $C144="", "", _xll.IMDP("IDX",$C144,N$6,$D$4,"Fill=true, Per="&amp;filter!$R$1) )</f>
        <v/>
      </c>
      <c r="O144" s="52" t="str">
        <f t="array" aca="1" ref="O144" ca="1">IF( $C144="", "", _xll.IMDP("IDX",$C144,O$6,$D$4,"Fill=true, Per="&amp;filter!$R$1) )</f>
        <v/>
      </c>
    </row>
    <row r="145" spans="2:15">
      <c r="B145" s="21">
        <f t="shared" si="2"/>
        <v>137</v>
      </c>
      <c r="C145" s="17" t="str">
        <f>IFERROR( VLOOKUP(ROWS($B$8:B144), filter!$I:$J, 2, 0), "")</f>
        <v>XGT08T</v>
      </c>
      <c r="D145" s="16" t="str" cm="1">
        <f t="array" ref="D145">IF( $C145="", "", _xll.IMDP("IDX", $C145, D$6) )</f>
        <v>KRX 전기차 Top 15 TR 지수(KRX?</v>
      </c>
      <c r="E145" s="34">
        <f t="array" aca="1" ref="E145" ca="1">IF( $C145="", "", _xll.IMDP("IDX",$C145,E$6,$D$4,"Fill=true, Per="&amp;filter!$R$1) )</f>
        <v>3097.92</v>
      </c>
      <c r="F145" s="38">
        <f t="array" aca="1" ref="F145" ca="1">IF( $C145="", "", _xll.IMDP("IDX",$C145,F$6,$D$4,"Fill=true, Per="&amp;filter!$R$1) )</f>
        <v>12.950000000000273</v>
      </c>
      <c r="G145" s="39">
        <f t="array" aca="1" ref="G145" ca="1">IF( $C145="", "", _xll.IMDP("IDX",$C145,G$6,$D$4,"Fill=true, Per="&amp;filter!$R$1) )</f>
        <v>0.42</v>
      </c>
      <c r="H145" s="43">
        <f t="array" aca="1" ref="H145" ca="1">IF( $C145="", "", _xll.IMDP("IDX",$C145,H$6,$D$4,"Fill=true, Per="&amp;filter!$R$1) )</f>
        <v>0</v>
      </c>
      <c r="I145" s="43">
        <f t="array" aca="1" ref="I145" ca="1">IF( $C145="", "", _xll.IMDP("IDX",$C145,I$6,$D$4,"Fill=true, Per="&amp;filter!$R$1) )</f>
        <v>0</v>
      </c>
      <c r="J145" s="34">
        <f t="array" aca="1" ref="J145" ca="1">IF( $C145="", "", _xll.IMDP("IDX",$C145,J$6,$D$4,"Fill=true, Per="&amp;filter!$R$1) )</f>
        <v>3111.4</v>
      </c>
      <c r="K145" s="38">
        <f t="array" aca="1" ref="K145" ca="1">IF( $C145="", "", _xll.IMDP("IDX",$C145,K$6,$D$4,"Fill=true, Per="&amp;filter!$R$1) )</f>
        <v>3179.05</v>
      </c>
      <c r="L145" s="39">
        <f t="array" aca="1" ref="L145" ca="1">IF( $C145="", "", _xll.IMDP("IDX",$C145,L$6,$D$4,"Fill=true, Per="&amp;filter!$R$1) )</f>
        <v>0</v>
      </c>
      <c r="M145" s="50" t="str">
        <f t="array" aca="1" ref="M145" ca="1">IF( $C145="", "", _xll.IMDP("IDX",$C145,M$6,$D$4,"Fill=true, Per="&amp;filter!$R$1) )</f>
        <v/>
      </c>
      <c r="N145" s="51" t="str">
        <f t="array" aca="1" ref="N145" ca="1">IF( $C145="", "", _xll.IMDP("IDX",$C145,N$6,$D$4,"Fill=true, Per="&amp;filter!$R$1) )</f>
        <v/>
      </c>
      <c r="O145" s="52" t="str">
        <f t="array" aca="1" ref="O145" ca="1">IF( $C145="", "", _xll.IMDP("IDX",$C145,O$6,$D$4,"Fill=true, Per="&amp;filter!$R$1) )</f>
        <v/>
      </c>
    </row>
    <row r="146" spans="2:15">
      <c r="B146" s="21">
        <f t="shared" si="2"/>
        <v>138</v>
      </c>
      <c r="C146" s="17" t="str">
        <f>IFERROR( VLOOKUP(ROWS($B$8:B145), filter!$I:$J, 2, 0), "")</f>
        <v>XGT08P</v>
      </c>
      <c r="D146" s="16" t="str" cm="1">
        <f t="array" ref="D146">IF( $C146="", "", _xll.IMDP("IDX", $C146, D$6) )</f>
        <v>KRX 전기차 Top 15</v>
      </c>
      <c r="E146" s="34">
        <f t="array" aca="1" ref="E146" ca="1">IF( $C146="", "", _xll.IMDP("IDX",$C146,E$6,$D$4,"Fill=true, Per="&amp;filter!$R$1) )</f>
        <v>2622.09</v>
      </c>
      <c r="F146" s="38">
        <f t="array" aca="1" ref="F146" ca="1">IF( $C146="", "", _xll.IMDP("IDX",$C146,F$6,$D$4,"Fill=true, Per="&amp;filter!$R$1) )</f>
        <v>10.960000000000036</v>
      </c>
      <c r="G146" s="39">
        <f t="array" aca="1" ref="G146" ca="1">IF( $C146="", "", _xll.IMDP("IDX",$C146,G$6,$D$4,"Fill=true, Per="&amp;filter!$R$1) )</f>
        <v>0.42</v>
      </c>
      <c r="H146" s="43">
        <f t="array" aca="1" ref="H146" ca="1">IF( $C146="", "", _xll.IMDP("IDX",$C146,H$6,$D$4,"Fill=true, Per="&amp;filter!$R$1) )</f>
        <v>20304</v>
      </c>
      <c r="I146" s="43">
        <f t="array" aca="1" ref="I146" ca="1">IF( $C146="", "", _xll.IMDP("IDX",$C146,I$6,$D$4,"Fill=true, Per="&amp;filter!$R$1) )</f>
        <v>3720796</v>
      </c>
      <c r="J146" s="34">
        <f t="array" aca="1" ref="J146" ca="1">IF( $C146="", "", _xll.IMDP("IDX",$C146,J$6,$D$4,"Fill=true, Per="&amp;filter!$R$1) )</f>
        <v>2633.5</v>
      </c>
      <c r="K146" s="38">
        <f t="array" aca="1" ref="K146" ca="1">IF( $C146="", "", _xll.IMDP("IDX",$C146,K$6,$D$4,"Fill=true, Per="&amp;filter!$R$1) )</f>
        <v>2690.76</v>
      </c>
      <c r="L146" s="39">
        <f t="array" aca="1" ref="L146" ca="1">IF( $C146="", "", _xll.IMDP("IDX",$C146,L$6,$D$4,"Fill=true, Per="&amp;filter!$R$1) )</f>
        <v>0</v>
      </c>
      <c r="M146" s="50" t="str">
        <f t="array" aca="1" ref="M146" ca="1">IF( $C146="", "", _xll.IMDP("IDX",$C146,M$6,$D$4,"Fill=true, Per="&amp;filter!$R$1) )</f>
        <v/>
      </c>
      <c r="N146" s="51" t="str">
        <f t="array" aca="1" ref="N146" ca="1">IF( $C146="", "", _xll.IMDP("IDX",$C146,N$6,$D$4,"Fill=true, Per="&amp;filter!$R$1) )</f>
        <v/>
      </c>
      <c r="O146" s="52" t="str">
        <f t="array" aca="1" ref="O146" ca="1">IF( $C146="", "", _xll.IMDP("IDX",$C146,O$6,$D$4,"Fill=true, Per="&amp;filter!$R$1) )</f>
        <v/>
      </c>
    </row>
    <row r="147" spans="2:15">
      <c r="B147" s="21">
        <f t="shared" si="2"/>
        <v>139</v>
      </c>
      <c r="C147" s="17" t="str">
        <f>IFERROR( VLOOKUP(ROWS($B$8:B146), filter!$I:$J, 2, 0), "")</f>
        <v>XGT07P</v>
      </c>
      <c r="D147" s="16" t="str" cm="1">
        <f t="array" ref="D147">IF( $C147="", "", _xll.IMDP("IDX", $C147, D$6) )</f>
        <v>KRX 블루칩 25 USD</v>
      </c>
      <c r="E147" s="34">
        <f t="array" aca="1" ref="E147" ca="1">IF( $C147="", "", _xll.IMDP("IDX",$C147,E$6,$D$4,"Fill=true, Per="&amp;filter!$R$1) )</f>
        <v>1357.05</v>
      </c>
      <c r="F147" s="38">
        <f t="array" aca="1" ref="F147" ca="1">IF( $C147="", "", _xll.IMDP("IDX",$C147,F$6,$D$4,"Fill=true, Per="&amp;filter!$R$1) )</f>
        <v>-19.730000000000018</v>
      </c>
      <c r="G147" s="39">
        <f t="array" aca="1" ref="G147" ca="1">IF( $C147="", "", _xll.IMDP("IDX",$C147,G$6,$D$4,"Fill=true, Per="&amp;filter!$R$1) )</f>
        <v>-1.43</v>
      </c>
      <c r="H147" s="43">
        <f t="array" aca="1" ref="H147" ca="1">IF( $C147="", "", _xll.IMDP("IDX",$C147,H$6,$D$4,"Fill=true, Per="&amp;filter!$R$1) )</f>
        <v>0</v>
      </c>
      <c r="I147" s="43">
        <f t="array" aca="1" ref="I147" ca="1">IF( $C147="", "", _xll.IMDP("IDX",$C147,I$6,$D$4,"Fill=true, Per="&amp;filter!$R$1) )</f>
        <v>0</v>
      </c>
      <c r="J147" s="34">
        <f t="array" aca="1" ref="J147" ca="1">IF( $C147="", "", _xll.IMDP("IDX",$C147,J$6,$D$4,"Fill=true, Per="&amp;filter!$R$1) )</f>
        <v>1381.3</v>
      </c>
      <c r="K147" s="38">
        <f t="array" aca="1" ref="K147" ca="1">IF( $C147="", "", _xll.IMDP("IDX",$C147,K$6,$D$4,"Fill=true, Per="&amp;filter!$R$1) )</f>
        <v>1386.5</v>
      </c>
      <c r="L147" s="39">
        <f t="array" aca="1" ref="L147" ca="1">IF( $C147="", "", _xll.IMDP("IDX",$C147,L$6,$D$4,"Fill=true, Per="&amp;filter!$R$1) )</f>
        <v>0</v>
      </c>
      <c r="M147" s="50" t="str">
        <f t="array" aca="1" ref="M147" ca="1">IF( $C147="", "", _xll.IMDP("IDX",$C147,M$6,$D$4,"Fill=true, Per="&amp;filter!$R$1) )</f>
        <v/>
      </c>
      <c r="N147" s="51" t="str">
        <f t="array" aca="1" ref="N147" ca="1">IF( $C147="", "", _xll.IMDP("IDX",$C147,N$6,$D$4,"Fill=true, Per="&amp;filter!$R$1) )</f>
        <v/>
      </c>
      <c r="O147" s="52" t="str">
        <f t="array" aca="1" ref="O147" ca="1">IF( $C147="", "", _xll.IMDP("IDX",$C147,O$6,$D$4,"Fill=true, Per="&amp;filter!$R$1) )</f>
        <v/>
      </c>
    </row>
    <row r="148" spans="2:15">
      <c r="B148" s="21">
        <f t="shared" si="2"/>
        <v>140</v>
      </c>
      <c r="C148" s="17" t="str">
        <f>IFERROR( VLOOKUP(ROWS($B$8:B147), filter!$I:$J, 2, 0), "")</f>
        <v>XGT06T</v>
      </c>
      <c r="D148" s="16" t="str" cm="1">
        <f t="array" ref="D148">IF( $C148="", "", _xll.IMDP("IDX", $C148, D$6) )</f>
        <v>KRX 블루칩 25 TR 지수(KRX통합T</v>
      </c>
      <c r="E148" s="34">
        <f t="array" aca="1" ref="E148" ca="1">IF( $C148="", "", _xll.IMDP("IDX",$C148,E$6,$D$4,"Fill=true, Per="&amp;filter!$R$1) )</f>
        <v>2011.71</v>
      </c>
      <c r="F148" s="38">
        <f t="array" aca="1" ref="F148" ca="1">IF( $C148="", "", _xll.IMDP("IDX",$C148,F$6,$D$4,"Fill=true, Per="&amp;filter!$R$1) )</f>
        <v>-20.680000000000064</v>
      </c>
      <c r="G148" s="39">
        <f t="array" aca="1" ref="G148" ca="1">IF( $C148="", "", _xll.IMDP("IDX",$C148,G$6,$D$4,"Fill=true, Per="&amp;filter!$R$1) )</f>
        <v>-1.02</v>
      </c>
      <c r="H148" s="43">
        <f t="array" aca="1" ref="H148" ca="1">IF( $C148="", "", _xll.IMDP("IDX",$C148,H$6,$D$4,"Fill=true, Per="&amp;filter!$R$1) )</f>
        <v>0</v>
      </c>
      <c r="I148" s="43">
        <f t="array" aca="1" ref="I148" ca="1">IF( $C148="", "", _xll.IMDP("IDX",$C148,I$6,$D$4,"Fill=true, Per="&amp;filter!$R$1) )</f>
        <v>0</v>
      </c>
      <c r="J148" s="34">
        <f t="array" aca="1" ref="J148" ca="1">IF( $C148="", "", _xll.IMDP("IDX",$C148,J$6,$D$4,"Fill=true, Per="&amp;filter!$R$1) )</f>
        <v>2039.07</v>
      </c>
      <c r="K148" s="38">
        <f t="array" aca="1" ref="K148" ca="1">IF( $C148="", "", _xll.IMDP("IDX",$C148,K$6,$D$4,"Fill=true, Per="&amp;filter!$R$1) )</f>
        <v>2050.4699999999998</v>
      </c>
      <c r="L148" s="39">
        <f t="array" aca="1" ref="L148" ca="1">IF( $C148="", "", _xll.IMDP("IDX",$C148,L$6,$D$4,"Fill=true, Per="&amp;filter!$R$1) )</f>
        <v>0</v>
      </c>
      <c r="M148" s="50" t="str">
        <f t="array" aca="1" ref="M148" ca="1">IF( $C148="", "", _xll.IMDP("IDX",$C148,M$6,$D$4,"Fill=true, Per="&amp;filter!$R$1) )</f>
        <v/>
      </c>
      <c r="N148" s="51" t="str">
        <f t="array" aca="1" ref="N148" ca="1">IF( $C148="", "", _xll.IMDP("IDX",$C148,N$6,$D$4,"Fill=true, Per="&amp;filter!$R$1) )</f>
        <v/>
      </c>
      <c r="O148" s="52" t="str">
        <f t="array" aca="1" ref="O148" ca="1">IF( $C148="", "", _xll.IMDP("IDX",$C148,O$6,$D$4,"Fill=true, Per="&amp;filter!$R$1) )</f>
        <v/>
      </c>
    </row>
    <row r="149" spans="2:15">
      <c r="B149" s="21">
        <f t="shared" si="2"/>
        <v>141</v>
      </c>
      <c r="C149" s="17" t="str">
        <f>IFERROR( VLOOKUP(ROWS($B$8:B148), filter!$I:$J, 2, 0), "")</f>
        <v>XGT06P</v>
      </c>
      <c r="D149" s="16" t="str" cm="1">
        <f t="array" ref="D149">IF( $C149="", "", _xll.IMDP("IDX", $C149, D$6) )</f>
        <v>KRX 블루칩 25</v>
      </c>
      <c r="E149" s="34">
        <f t="array" aca="1" ref="E149" ca="1">IF( $C149="", "", _xll.IMDP("IDX",$C149,E$6,$D$4,"Fill=true, Per="&amp;filter!$R$1) )</f>
        <v>1656.39</v>
      </c>
      <c r="F149" s="38">
        <f t="array" aca="1" ref="F149" ca="1">IF( $C149="", "", _xll.IMDP("IDX",$C149,F$6,$D$4,"Fill=true, Per="&amp;filter!$R$1) )</f>
        <v>-16.879999999999882</v>
      </c>
      <c r="G149" s="39">
        <f t="array" aca="1" ref="G149" ca="1">IF( $C149="", "", _xll.IMDP("IDX",$C149,G$6,$D$4,"Fill=true, Per="&amp;filter!$R$1) )</f>
        <v>-1.01</v>
      </c>
      <c r="H149" s="43">
        <f t="array" aca="1" ref="H149" ca="1">IF( $C149="", "", _xll.IMDP("IDX",$C149,H$6,$D$4,"Fill=true, Per="&amp;filter!$R$1) )</f>
        <v>65279</v>
      </c>
      <c r="I149" s="43">
        <f t="array" aca="1" ref="I149" ca="1">IF( $C149="", "", _xll.IMDP("IDX",$C149,I$6,$D$4,"Fill=true, Per="&amp;filter!$R$1) )</f>
        <v>7907598</v>
      </c>
      <c r="J149" s="34">
        <f t="array" aca="1" ref="J149" ca="1">IF( $C149="", "", _xll.IMDP("IDX",$C149,J$6,$D$4,"Fill=true, Per="&amp;filter!$R$1) )</f>
        <v>1678.77</v>
      </c>
      <c r="K149" s="38">
        <f t="array" aca="1" ref="K149" ca="1">IF( $C149="", "", _xll.IMDP("IDX",$C149,K$6,$D$4,"Fill=true, Per="&amp;filter!$R$1) )</f>
        <v>1688.3</v>
      </c>
      <c r="L149" s="39">
        <f t="array" aca="1" ref="L149" ca="1">IF( $C149="", "", _xll.IMDP("IDX",$C149,L$6,$D$4,"Fill=true, Per="&amp;filter!$R$1) )</f>
        <v>0</v>
      </c>
      <c r="M149" s="50" t="str">
        <f t="array" aca="1" ref="M149" ca="1">IF( $C149="", "", _xll.IMDP("IDX",$C149,M$6,$D$4,"Fill=true, Per="&amp;filter!$R$1) )</f>
        <v/>
      </c>
      <c r="N149" s="51" t="str">
        <f t="array" aca="1" ref="N149" ca="1">IF( $C149="", "", _xll.IMDP("IDX",$C149,N$6,$D$4,"Fill=true, Per="&amp;filter!$R$1) )</f>
        <v/>
      </c>
      <c r="O149" s="52" t="str">
        <f t="array" aca="1" ref="O149" ca="1">IF( $C149="", "", _xll.IMDP("IDX",$C149,O$6,$D$4,"Fill=true, Per="&amp;filter!$R$1) )</f>
        <v/>
      </c>
    </row>
    <row r="150" spans="2:15">
      <c r="B150" s="21">
        <f t="shared" si="2"/>
        <v>142</v>
      </c>
      <c r="C150" s="17" t="str">
        <f>IFERROR( VLOOKUP(ROWS($B$8:B149), filter!$I:$J, 2, 0), "")</f>
        <v>XGT05P</v>
      </c>
      <c r="D150" s="16" t="str" cm="1">
        <f t="array" ref="D150">IF( $C150="", "", _xll.IMDP("IDX", $C150, D$6) )</f>
        <v>KRX 게임 TOP 10 지수</v>
      </c>
      <c r="E150" s="34">
        <f t="array" aca="1" ref="E150" ca="1">IF( $C150="", "", _xll.IMDP("IDX",$C150,E$6,$D$4,"Fill=true, Per="&amp;filter!$R$1) )</f>
        <v>673.12</v>
      </c>
      <c r="F150" s="38">
        <f t="array" aca="1" ref="F150" ca="1">IF( $C150="", "", _xll.IMDP("IDX",$C150,F$6,$D$4,"Fill=true, Per="&amp;filter!$R$1) )</f>
        <v>-15.840000000000032</v>
      </c>
      <c r="G150" s="39">
        <f t="array" aca="1" ref="G150" ca="1">IF( $C150="", "", _xll.IMDP("IDX",$C150,G$6,$D$4,"Fill=true, Per="&amp;filter!$R$1) )</f>
        <v>-2.2999999999999998</v>
      </c>
      <c r="H150" s="43">
        <f t="array" aca="1" ref="H150" ca="1">IF( $C150="", "", _xll.IMDP("IDX",$C150,H$6,$D$4,"Fill=true, Per="&amp;filter!$R$1) )</f>
        <v>6264</v>
      </c>
      <c r="I150" s="43">
        <f t="array" aca="1" ref="I150" ca="1">IF( $C150="", "", _xll.IMDP("IDX",$C150,I$6,$D$4,"Fill=true, Per="&amp;filter!$R$1) )</f>
        <v>245445</v>
      </c>
      <c r="J150" s="34">
        <f t="array" aca="1" ref="J150" ca="1">IF( $C150="", "", _xll.IMDP("IDX",$C150,J$6,$D$4,"Fill=true, Per="&amp;filter!$R$1) )</f>
        <v>686.83</v>
      </c>
      <c r="K150" s="38">
        <f t="array" aca="1" ref="K150" ca="1">IF( $C150="", "", _xll.IMDP("IDX",$C150,K$6,$D$4,"Fill=true, Per="&amp;filter!$R$1) )</f>
        <v>687.96</v>
      </c>
      <c r="L150" s="39">
        <f t="array" aca="1" ref="L150" ca="1">IF( $C150="", "", _xll.IMDP("IDX",$C150,L$6,$D$4,"Fill=true, Per="&amp;filter!$R$1) )</f>
        <v>0</v>
      </c>
      <c r="M150" s="50" t="str">
        <f t="array" aca="1" ref="M150" ca="1">IF( $C150="", "", _xll.IMDP("IDX",$C150,M$6,$D$4,"Fill=true, Per="&amp;filter!$R$1) )</f>
        <v/>
      </c>
      <c r="N150" s="51" t="str">
        <f t="array" aca="1" ref="N150" ca="1">IF( $C150="", "", _xll.IMDP("IDX",$C150,N$6,$D$4,"Fill=true, Per="&amp;filter!$R$1) )</f>
        <v/>
      </c>
      <c r="O150" s="52" t="str">
        <f t="array" aca="1" ref="O150" ca="1">IF( $C150="", "", _xll.IMDP("IDX",$C150,O$6,$D$4,"Fill=true, Per="&amp;filter!$R$1) )</f>
        <v/>
      </c>
    </row>
    <row r="151" spans="2:15">
      <c r="B151" s="21">
        <f t="shared" si="2"/>
        <v>143</v>
      </c>
      <c r="C151" s="17" t="str">
        <f>IFERROR( VLOOKUP(ROWS($B$8:B150), filter!$I:$J, 2, 0), "")</f>
        <v>XGT04P</v>
      </c>
      <c r="D151" s="16" t="str" cm="1">
        <f t="array" ref="D151">IF( $C151="", "", _xll.IMDP("IDX", $C151, D$6) )</f>
        <v>KRX 인터넷 TOP 10 지수</v>
      </c>
      <c r="E151" s="34">
        <f t="array" aca="1" ref="E151" ca="1">IF( $C151="", "", _xll.IMDP("IDX",$C151,E$6,$D$4,"Fill=true, Per="&amp;filter!$R$1) )</f>
        <v>845.78</v>
      </c>
      <c r="F151" s="38">
        <f t="array" aca="1" ref="F151" ca="1">IF( $C151="", "", _xll.IMDP("IDX",$C151,F$6,$D$4,"Fill=true, Per="&amp;filter!$R$1) )</f>
        <v>-16.629999999999995</v>
      </c>
      <c r="G151" s="39">
        <f t="array" aca="1" ref="G151" ca="1">IF( $C151="", "", _xll.IMDP("IDX",$C151,G$6,$D$4,"Fill=true, Per="&amp;filter!$R$1) )</f>
        <v>-1.93</v>
      </c>
      <c r="H151" s="43">
        <f t="array" aca="1" ref="H151" ca="1">IF( $C151="", "", _xll.IMDP("IDX",$C151,H$6,$D$4,"Fill=true, Per="&amp;filter!$R$1) )</f>
        <v>6531</v>
      </c>
      <c r="I151" s="43">
        <f t="array" aca="1" ref="I151" ca="1">IF( $C151="", "", _xll.IMDP("IDX",$C151,I$6,$D$4,"Fill=true, Per="&amp;filter!$R$1) )</f>
        <v>352217</v>
      </c>
      <c r="J151" s="34">
        <f t="array" aca="1" ref="J151" ca="1">IF( $C151="", "", _xll.IMDP("IDX",$C151,J$6,$D$4,"Fill=true, Per="&amp;filter!$R$1) )</f>
        <v>863.73</v>
      </c>
      <c r="K151" s="38">
        <f t="array" aca="1" ref="K151" ca="1">IF( $C151="", "", _xll.IMDP("IDX",$C151,K$6,$D$4,"Fill=true, Per="&amp;filter!$R$1) )</f>
        <v>878.17</v>
      </c>
      <c r="L151" s="39">
        <f t="array" aca="1" ref="L151" ca="1">IF( $C151="", "", _xll.IMDP("IDX",$C151,L$6,$D$4,"Fill=true, Per="&amp;filter!$R$1) )</f>
        <v>0</v>
      </c>
      <c r="M151" s="50" t="str">
        <f t="array" aca="1" ref="M151" ca="1">IF( $C151="", "", _xll.IMDP("IDX",$C151,M$6,$D$4,"Fill=true, Per="&amp;filter!$R$1) )</f>
        <v/>
      </c>
      <c r="N151" s="51" t="str">
        <f t="array" aca="1" ref="N151" ca="1">IF( $C151="", "", _xll.IMDP("IDX",$C151,N$6,$D$4,"Fill=true, Per="&amp;filter!$R$1) )</f>
        <v/>
      </c>
      <c r="O151" s="52" t="str">
        <f t="array" aca="1" ref="O151" ca="1">IF( $C151="", "", _xll.IMDP("IDX",$C151,O$6,$D$4,"Fill=true, Per="&amp;filter!$R$1) )</f>
        <v/>
      </c>
    </row>
    <row r="152" spans="2:15">
      <c r="B152" s="21">
        <f t="shared" si="2"/>
        <v>144</v>
      </c>
      <c r="C152" s="17" t="str">
        <f>IFERROR( VLOOKUP(ROWS($B$8:B151), filter!$I:$J, 2, 0), "")</f>
        <v>XGS17P</v>
      </c>
      <c r="D152" s="16" t="str" cm="1">
        <f t="array" ref="D152">IF( $C152="", "", _xll.IMDP("IDX", $C152, D$6) )</f>
        <v>KRX 유틸리티</v>
      </c>
      <c r="E152" s="34">
        <f t="array" aca="1" ref="E152" ca="1">IF( $C152="", "", _xll.IMDP("IDX",$C152,E$6,$D$4,"Fill=true, Per="&amp;filter!$R$1) )</f>
        <v>655.51</v>
      </c>
      <c r="F152" s="38">
        <f t="array" aca="1" ref="F152" ca="1">IF( $C152="", "", _xll.IMDP("IDX",$C152,F$6,$D$4,"Fill=true, Per="&amp;filter!$R$1) )</f>
        <v>6.6699999999999591</v>
      </c>
      <c r="G152" s="39">
        <f t="array" aca="1" ref="G152" ca="1">IF( $C152="", "", _xll.IMDP("IDX",$C152,G$6,$D$4,"Fill=true, Per="&amp;filter!$R$1) )</f>
        <v>1.03</v>
      </c>
      <c r="H152" s="43">
        <f t="array" aca="1" ref="H152" ca="1">IF( $C152="", "", _xll.IMDP("IDX",$C152,H$6,$D$4,"Fill=true, Per="&amp;filter!$R$1) )</f>
        <v>9900</v>
      </c>
      <c r="I152" s="43">
        <f t="array" aca="1" ref="I152" ca="1">IF( $C152="", "", _xll.IMDP("IDX",$C152,I$6,$D$4,"Fill=true, Per="&amp;filter!$R$1) )</f>
        <v>344390</v>
      </c>
      <c r="J152" s="34">
        <f t="array" aca="1" ref="J152" ca="1">IF( $C152="", "", _xll.IMDP("IDX",$C152,J$6,$D$4,"Fill=true, Per="&amp;filter!$R$1) )</f>
        <v>649.39</v>
      </c>
      <c r="K152" s="38">
        <f t="array" aca="1" ref="K152" ca="1">IF( $C152="", "", _xll.IMDP("IDX",$C152,K$6,$D$4,"Fill=true, Per="&amp;filter!$R$1) )</f>
        <v>660.9</v>
      </c>
      <c r="L152" s="39">
        <f t="array" aca="1" ref="L152" ca="1">IF( $C152="", "", _xll.IMDP("IDX",$C152,L$6,$D$4,"Fill=true, Per="&amp;filter!$R$1) )</f>
        <v>0</v>
      </c>
      <c r="M152" s="50" t="str">
        <f t="array" aca="1" ref="M152" ca="1">IF( $C152="", "", _xll.IMDP("IDX",$C152,M$6,$D$4,"Fill=true, Per="&amp;filter!$R$1) )</f>
        <v/>
      </c>
      <c r="N152" s="51" t="str">
        <f t="array" aca="1" ref="N152" ca="1">IF( $C152="", "", _xll.IMDP("IDX",$C152,N$6,$D$4,"Fill=true, Per="&amp;filter!$R$1) )</f>
        <v/>
      </c>
      <c r="O152" s="52" t="str">
        <f t="array" aca="1" ref="O152" ca="1">IF( $C152="", "", _xll.IMDP("IDX",$C152,O$6,$D$4,"Fill=true, Per="&amp;filter!$R$1) )</f>
        <v/>
      </c>
    </row>
    <row r="153" spans="2:15">
      <c r="B153" s="21">
        <f t="shared" si="2"/>
        <v>145</v>
      </c>
      <c r="C153" s="17" t="str">
        <f>IFERROR( VLOOKUP(ROWS($B$8:B152), filter!$I:$J, 2, 0), "")</f>
        <v>XGS16P</v>
      </c>
      <c r="D153" s="16" t="str" cm="1">
        <f t="array" ref="D153">IF( $C153="", "", _xll.IMDP("IDX", $C153, D$6) )</f>
        <v>KRX 정보기술</v>
      </c>
      <c r="E153" s="34">
        <f t="array" aca="1" ref="E153" ca="1">IF( $C153="", "", _xll.IMDP("IDX",$C153,E$6,$D$4,"Fill=true, Per="&amp;filter!$R$1) )</f>
        <v>1543.17</v>
      </c>
      <c r="F153" s="38">
        <f t="array" aca="1" ref="F153" ca="1">IF( $C153="", "", _xll.IMDP("IDX",$C153,F$6,$D$4,"Fill=true, Per="&amp;filter!$R$1) )</f>
        <v>-24.269999999999982</v>
      </c>
      <c r="G153" s="39">
        <f t="array" aca="1" ref="G153" ca="1">IF( $C153="", "", _xll.IMDP("IDX",$C153,G$6,$D$4,"Fill=true, Per="&amp;filter!$R$1) )</f>
        <v>-1.55</v>
      </c>
      <c r="H153" s="43">
        <f t="array" aca="1" ref="H153" ca="1">IF( $C153="", "", _xll.IMDP("IDX",$C153,H$6,$D$4,"Fill=true, Per="&amp;filter!$R$1) )</f>
        <v>73813</v>
      </c>
      <c r="I153" s="43">
        <f t="array" aca="1" ref="I153" ca="1">IF( $C153="", "", _xll.IMDP("IDX",$C153,I$6,$D$4,"Fill=true, Per="&amp;filter!$R$1) )</f>
        <v>5300255</v>
      </c>
      <c r="J153" s="34">
        <f t="array" aca="1" ref="J153" ca="1">IF( $C153="", "", _xll.IMDP("IDX",$C153,J$6,$D$4,"Fill=true, Per="&amp;filter!$R$1) )</f>
        <v>1567.32</v>
      </c>
      <c r="K153" s="38">
        <f t="array" aca="1" ref="K153" ca="1">IF( $C153="", "", _xll.IMDP("IDX",$C153,K$6,$D$4,"Fill=true, Per="&amp;filter!$R$1) )</f>
        <v>1584.6</v>
      </c>
      <c r="L153" s="39">
        <f t="array" aca="1" ref="L153" ca="1">IF( $C153="", "", _xll.IMDP("IDX",$C153,L$6,$D$4,"Fill=true, Per="&amp;filter!$R$1) )</f>
        <v>0</v>
      </c>
      <c r="M153" s="50" t="str">
        <f t="array" aca="1" ref="M153" ca="1">IF( $C153="", "", _xll.IMDP("IDX",$C153,M$6,$D$4,"Fill=true, Per="&amp;filter!$R$1) )</f>
        <v/>
      </c>
      <c r="N153" s="51" t="str">
        <f t="array" aca="1" ref="N153" ca="1">IF( $C153="", "", _xll.IMDP("IDX",$C153,N$6,$D$4,"Fill=true, Per="&amp;filter!$R$1) )</f>
        <v/>
      </c>
      <c r="O153" s="52" t="str">
        <f t="array" aca="1" ref="O153" ca="1">IF( $C153="", "", _xll.IMDP("IDX",$C153,O$6,$D$4,"Fill=true, Per="&amp;filter!$R$1) )</f>
        <v/>
      </c>
    </row>
    <row r="154" spans="2:15">
      <c r="B154" s="21">
        <f t="shared" si="2"/>
        <v>146</v>
      </c>
      <c r="C154" s="17" t="str">
        <f>IFERROR( VLOOKUP(ROWS($B$8:B153), filter!$I:$J, 2, 0), "")</f>
        <v>XGS15P</v>
      </c>
      <c r="D154" s="16" t="str" cm="1">
        <f t="array" ref="D154">IF( $C154="", "", _xll.IMDP("IDX", $C154, D$6) )</f>
        <v>KRX 미디어&amp;엔터테인먼트</v>
      </c>
      <c r="E154" s="34">
        <f t="array" aca="1" ref="E154" ca="1">IF( $C154="", "", _xll.IMDP("IDX",$C154,E$6,$D$4,"Fill=true, Per="&amp;filter!$R$1) )</f>
        <v>1629</v>
      </c>
      <c r="F154" s="38">
        <f t="array" aca="1" ref="F154" ca="1">IF( $C154="", "", _xll.IMDP("IDX",$C154,F$6,$D$4,"Fill=true, Per="&amp;filter!$R$1) )</f>
        <v>-35.289999999999964</v>
      </c>
      <c r="G154" s="39">
        <f t="array" aca="1" ref="G154" ca="1">IF( $C154="", "", _xll.IMDP("IDX",$C154,G$6,$D$4,"Fill=true, Per="&amp;filter!$R$1) )</f>
        <v>-2.12</v>
      </c>
      <c r="H154" s="43">
        <f t="array" aca="1" ref="H154" ca="1">IF( $C154="", "", _xll.IMDP("IDX",$C154,H$6,$D$4,"Fill=true, Per="&amp;filter!$R$1) )</f>
        <v>14145</v>
      </c>
      <c r="I154" s="43">
        <f t="array" aca="1" ref="I154" ca="1">IF( $C154="", "", _xll.IMDP("IDX",$C154,I$6,$D$4,"Fill=true, Per="&amp;filter!$R$1) )</f>
        <v>635587</v>
      </c>
      <c r="J154" s="34">
        <f t="array" aca="1" ref="J154" ca="1">IF( $C154="", "", _xll.IMDP("IDX",$C154,J$6,$D$4,"Fill=true, Per="&amp;filter!$R$1) )</f>
        <v>1662.12</v>
      </c>
      <c r="K154" s="38">
        <f t="array" aca="1" ref="K154" ca="1">IF( $C154="", "", _xll.IMDP("IDX",$C154,K$6,$D$4,"Fill=true, Per="&amp;filter!$R$1) )</f>
        <v>1663.12</v>
      </c>
      <c r="L154" s="39">
        <f t="array" aca="1" ref="L154" ca="1">IF( $C154="", "", _xll.IMDP("IDX",$C154,L$6,$D$4,"Fill=true, Per="&amp;filter!$R$1) )</f>
        <v>0</v>
      </c>
      <c r="M154" s="50" t="str">
        <f t="array" aca="1" ref="M154" ca="1">IF( $C154="", "", _xll.IMDP("IDX",$C154,M$6,$D$4,"Fill=true, Per="&amp;filter!$R$1) )</f>
        <v/>
      </c>
      <c r="N154" s="51" t="str">
        <f t="array" aca="1" ref="N154" ca="1">IF( $C154="", "", _xll.IMDP("IDX",$C154,N$6,$D$4,"Fill=true, Per="&amp;filter!$R$1) )</f>
        <v/>
      </c>
      <c r="O154" s="52" t="str">
        <f t="array" aca="1" ref="O154" ca="1">IF( $C154="", "", _xll.IMDP("IDX",$C154,O$6,$D$4,"Fill=true, Per="&amp;filter!$R$1) )</f>
        <v/>
      </c>
    </row>
    <row r="155" spans="2:15">
      <c r="B155" s="21">
        <f t="shared" si="2"/>
        <v>147</v>
      </c>
      <c r="C155" s="17" t="str">
        <f>IFERROR( VLOOKUP(ROWS($B$8:B154), filter!$I:$J, 2, 0), "")</f>
        <v>XGS14P</v>
      </c>
      <c r="D155" s="16" t="str" cm="1">
        <f t="array" ref="D155">IF( $C155="", "", _xll.IMDP("IDX", $C155, D$6) )</f>
        <v>KRX 필수소비재</v>
      </c>
      <c r="E155" s="34">
        <f t="array" aca="1" ref="E155" ca="1">IF( $C155="", "", _xll.IMDP("IDX",$C155,E$6,$D$4,"Fill=true, Per="&amp;filter!$R$1) )</f>
        <v>1195.3800000000001</v>
      </c>
      <c r="F155" s="38">
        <f t="array" aca="1" ref="F155" ca="1">IF( $C155="", "", _xll.IMDP("IDX",$C155,F$6,$D$4,"Fill=true, Per="&amp;filter!$R$1) )</f>
        <v>8.9300000000000637</v>
      </c>
      <c r="G155" s="39">
        <f t="array" aca="1" ref="G155" ca="1">IF( $C155="", "", _xll.IMDP("IDX",$C155,G$6,$D$4,"Fill=true, Per="&amp;filter!$R$1) )</f>
        <v>0.75</v>
      </c>
      <c r="H155" s="43">
        <f t="array" aca="1" ref="H155" ca="1">IF( $C155="", "", _xll.IMDP("IDX",$C155,H$6,$D$4,"Fill=true, Per="&amp;filter!$R$1) )</f>
        <v>7441</v>
      </c>
      <c r="I155" s="43">
        <f t="array" aca="1" ref="I155" ca="1">IF( $C155="", "", _xll.IMDP("IDX",$C155,I$6,$D$4,"Fill=true, Per="&amp;filter!$R$1) )</f>
        <v>563871</v>
      </c>
      <c r="J155" s="34">
        <f t="array" aca="1" ref="J155" ca="1">IF( $C155="", "", _xll.IMDP("IDX",$C155,J$6,$D$4,"Fill=true, Per="&amp;filter!$R$1) )</f>
        <v>1192.3399999999999</v>
      </c>
      <c r="K155" s="38">
        <f t="array" aca="1" ref="K155" ca="1">IF( $C155="", "", _xll.IMDP("IDX",$C155,K$6,$D$4,"Fill=true, Per="&amp;filter!$R$1) )</f>
        <v>1203.01</v>
      </c>
      <c r="L155" s="39">
        <f t="array" aca="1" ref="L155" ca="1">IF( $C155="", "", _xll.IMDP("IDX",$C155,L$6,$D$4,"Fill=true, Per="&amp;filter!$R$1) )</f>
        <v>0</v>
      </c>
      <c r="M155" s="50" t="str">
        <f t="array" aca="1" ref="M155" ca="1">IF( $C155="", "", _xll.IMDP("IDX",$C155,M$6,$D$4,"Fill=true, Per="&amp;filter!$R$1) )</f>
        <v/>
      </c>
      <c r="N155" s="51" t="str">
        <f t="array" aca="1" ref="N155" ca="1">IF( $C155="", "", _xll.IMDP("IDX",$C155,N$6,$D$4,"Fill=true, Per="&amp;filter!$R$1) )</f>
        <v/>
      </c>
      <c r="O155" s="52" t="str">
        <f t="array" aca="1" ref="O155" ca="1">IF( $C155="", "", _xll.IMDP("IDX",$C155,O$6,$D$4,"Fill=true, Per="&amp;filter!$R$1) )</f>
        <v/>
      </c>
    </row>
    <row r="156" spans="2:15">
      <c r="B156" s="21">
        <f t="shared" si="2"/>
        <v>148</v>
      </c>
      <c r="C156" s="17" t="str">
        <f>IFERROR( VLOOKUP(ROWS($B$8:B155), filter!$I:$J, 2, 0), "")</f>
        <v>XGS13P</v>
      </c>
      <c r="D156" s="16" t="str" cm="1">
        <f t="array" ref="D156">IF( $C156="", "", _xll.IMDP("IDX", $C156, D$6) )</f>
        <v>KRX 경기소비재</v>
      </c>
      <c r="E156" s="34">
        <f t="array" aca="1" ref="E156" ca="1">IF( $C156="", "", _xll.IMDP("IDX",$C156,E$6,$D$4,"Fill=true, Per="&amp;filter!$R$1) )</f>
        <v>961.75</v>
      </c>
      <c r="F156" s="38">
        <f t="array" aca="1" ref="F156" ca="1">IF( $C156="", "", _xll.IMDP("IDX",$C156,F$6,$D$4,"Fill=true, Per="&amp;filter!$R$1) )</f>
        <v>14.490000000000009</v>
      </c>
      <c r="G156" s="39">
        <f t="array" aca="1" ref="G156" ca="1">IF( $C156="", "", _xll.IMDP("IDX",$C156,G$6,$D$4,"Fill=true, Per="&amp;filter!$R$1) )</f>
        <v>1.53</v>
      </c>
      <c r="H156" s="43">
        <f t="array" aca="1" ref="H156" ca="1">IF( $C156="", "", _xll.IMDP("IDX",$C156,H$6,$D$4,"Fill=true, Per="&amp;filter!$R$1) )</f>
        <v>15231</v>
      </c>
      <c r="I156" s="43">
        <f t="array" aca="1" ref="I156" ca="1">IF( $C156="", "", _xll.IMDP("IDX",$C156,I$6,$D$4,"Fill=true, Per="&amp;filter!$R$1) )</f>
        <v>511727</v>
      </c>
      <c r="J156" s="34">
        <f t="array" aca="1" ref="J156" ca="1">IF( $C156="", "", _xll.IMDP("IDX",$C156,J$6,$D$4,"Fill=true, Per="&amp;filter!$R$1) )</f>
        <v>951.52</v>
      </c>
      <c r="K156" s="38">
        <f t="array" aca="1" ref="K156" ca="1">IF( $C156="", "", _xll.IMDP("IDX",$C156,K$6,$D$4,"Fill=true, Per="&amp;filter!$R$1) )</f>
        <v>964.69</v>
      </c>
      <c r="L156" s="39">
        <f t="array" aca="1" ref="L156" ca="1">IF( $C156="", "", _xll.IMDP("IDX",$C156,L$6,$D$4,"Fill=true, Per="&amp;filter!$R$1) )</f>
        <v>0</v>
      </c>
      <c r="M156" s="50" t="str">
        <f t="array" aca="1" ref="M156" ca="1">IF( $C156="", "", _xll.IMDP("IDX",$C156,M$6,$D$4,"Fill=true, Per="&amp;filter!$R$1) )</f>
        <v/>
      </c>
      <c r="N156" s="51" t="str">
        <f t="array" aca="1" ref="N156" ca="1">IF( $C156="", "", _xll.IMDP("IDX",$C156,N$6,$D$4,"Fill=true, Per="&amp;filter!$R$1) )</f>
        <v/>
      </c>
      <c r="O156" s="52" t="str">
        <f t="array" aca="1" ref="O156" ca="1">IF( $C156="", "", _xll.IMDP("IDX",$C156,O$6,$D$4,"Fill=true, Per="&amp;filter!$R$1) )</f>
        <v/>
      </c>
    </row>
    <row r="157" spans="2:15">
      <c r="B157" s="21">
        <f t="shared" si="2"/>
        <v>149</v>
      </c>
      <c r="C157" s="17" t="str">
        <f>IFERROR( VLOOKUP(ROWS($B$8:B156), filter!$I:$J, 2, 0), "")</f>
        <v>XGS12P</v>
      </c>
      <c r="D157" s="16" t="str" cm="1">
        <f t="array" ref="D157">IF( $C157="", "", _xll.IMDP("IDX", $C157, D$6) )</f>
        <v>KRX 운송</v>
      </c>
      <c r="E157" s="34">
        <f t="array" aca="1" ref="E157" ca="1">IF( $C157="", "", _xll.IMDP("IDX",$C157,E$6,$D$4,"Fill=true, Per="&amp;filter!$R$1) )</f>
        <v>973.52</v>
      </c>
      <c r="F157" s="38">
        <f t="array" aca="1" ref="F157" ca="1">IF( $C157="", "", _xll.IMDP("IDX",$C157,F$6,$D$4,"Fill=true, Per="&amp;filter!$R$1) )</f>
        <v>-1.0800000000000409</v>
      </c>
      <c r="G157" s="39">
        <f t="array" aca="1" ref="G157" ca="1">IF( $C157="", "", _xll.IMDP("IDX",$C157,G$6,$D$4,"Fill=true, Per="&amp;filter!$R$1) )</f>
        <v>-0.11</v>
      </c>
      <c r="H157" s="43">
        <f t="array" aca="1" ref="H157" ca="1">IF( $C157="", "", _xll.IMDP("IDX",$C157,H$6,$D$4,"Fill=true, Per="&amp;filter!$R$1) )</f>
        <v>15460</v>
      </c>
      <c r="I157" s="43">
        <f t="array" aca="1" ref="I157" ca="1">IF( $C157="", "", _xll.IMDP("IDX",$C157,I$6,$D$4,"Fill=true, Per="&amp;filter!$R$1) )</f>
        <v>142122</v>
      </c>
      <c r="J157" s="34">
        <f t="array" aca="1" ref="J157" ca="1">IF( $C157="", "", _xll.IMDP("IDX",$C157,J$6,$D$4,"Fill=true, Per="&amp;filter!$R$1) )</f>
        <v>974.47</v>
      </c>
      <c r="K157" s="38">
        <f t="array" aca="1" ref="K157" ca="1">IF( $C157="", "", _xll.IMDP("IDX",$C157,K$6,$D$4,"Fill=true, Per="&amp;filter!$R$1) )</f>
        <v>978.01</v>
      </c>
      <c r="L157" s="39">
        <f t="array" aca="1" ref="L157" ca="1">IF( $C157="", "", _xll.IMDP("IDX",$C157,L$6,$D$4,"Fill=true, Per="&amp;filter!$R$1) )</f>
        <v>0</v>
      </c>
      <c r="M157" s="50" t="str">
        <f t="array" aca="1" ref="M157" ca="1">IF( $C157="", "", _xll.IMDP("IDX",$C157,M$6,$D$4,"Fill=true, Per="&amp;filter!$R$1) )</f>
        <v/>
      </c>
      <c r="N157" s="51" t="str">
        <f t="array" aca="1" ref="N157" ca="1">IF( $C157="", "", _xll.IMDP("IDX",$C157,N$6,$D$4,"Fill=true, Per="&amp;filter!$R$1) )</f>
        <v/>
      </c>
      <c r="O157" s="52" t="str">
        <f t="array" aca="1" ref="O157" ca="1">IF( $C157="", "", _xll.IMDP("IDX",$C157,O$6,$D$4,"Fill=true, Per="&amp;filter!$R$1) )</f>
        <v/>
      </c>
    </row>
    <row r="158" spans="2:15">
      <c r="B158" s="21">
        <f t="shared" si="2"/>
        <v>150</v>
      </c>
      <c r="C158" s="17" t="str">
        <f>IFERROR( VLOOKUP(ROWS($B$8:B157), filter!$I:$J, 2, 0), "")</f>
        <v>XGS11P</v>
      </c>
      <c r="D158" s="16" t="str" cm="1">
        <f t="array" ref="D158">IF( $C158="", "", _xll.IMDP("IDX", $C158, D$6) )</f>
        <v>KRX 보험</v>
      </c>
      <c r="E158" s="34">
        <f t="array" aca="1" ref="E158" ca="1">IF( $C158="", "", _xll.IMDP("IDX",$C158,E$6,$D$4,"Fill=true, Per="&amp;filter!$R$1) )</f>
        <v>2177.91</v>
      </c>
      <c r="F158" s="38">
        <f t="array" aca="1" ref="F158" ca="1">IF( $C158="", "", _xll.IMDP("IDX",$C158,F$6,$D$4,"Fill=true, Per="&amp;filter!$R$1) )</f>
        <v>87.849999999999909</v>
      </c>
      <c r="G158" s="39">
        <f t="array" aca="1" ref="G158" ca="1">IF( $C158="", "", _xll.IMDP("IDX",$C158,G$6,$D$4,"Fill=true, Per="&amp;filter!$R$1) )</f>
        <v>4.2</v>
      </c>
      <c r="H158" s="43">
        <f t="array" aca="1" ref="H158" ca="1">IF( $C158="", "", _xll.IMDP("IDX",$C158,H$6,$D$4,"Fill=true, Per="&amp;filter!$R$1) )</f>
        <v>6570</v>
      </c>
      <c r="I158" s="43">
        <f t="array" aca="1" ref="I158" ca="1">IF( $C158="", "", _xll.IMDP("IDX",$C158,I$6,$D$4,"Fill=true, Per="&amp;filter!$R$1) )</f>
        <v>249207</v>
      </c>
      <c r="J158" s="34">
        <f t="array" aca="1" ref="J158" ca="1">IF( $C158="", "", _xll.IMDP("IDX",$C158,J$6,$D$4,"Fill=true, Per="&amp;filter!$R$1) )</f>
        <v>2090.37</v>
      </c>
      <c r="K158" s="38">
        <f t="array" aca="1" ref="K158" ca="1">IF( $C158="", "", _xll.IMDP("IDX",$C158,K$6,$D$4,"Fill=true, Per="&amp;filter!$R$1) )</f>
        <v>2205.35</v>
      </c>
      <c r="L158" s="39">
        <f t="array" aca="1" ref="L158" ca="1">IF( $C158="", "", _xll.IMDP("IDX",$C158,L$6,$D$4,"Fill=true, Per="&amp;filter!$R$1) )</f>
        <v>0</v>
      </c>
      <c r="M158" s="50" t="str">
        <f t="array" aca="1" ref="M158" ca="1">IF( $C158="", "", _xll.IMDP("IDX",$C158,M$6,$D$4,"Fill=true, Per="&amp;filter!$R$1) )</f>
        <v/>
      </c>
      <c r="N158" s="51" t="str">
        <f t="array" aca="1" ref="N158" ca="1">IF( $C158="", "", _xll.IMDP("IDX",$C158,N$6,$D$4,"Fill=true, Per="&amp;filter!$R$1) )</f>
        <v/>
      </c>
      <c r="O158" s="52" t="str">
        <f t="array" aca="1" ref="O158" ca="1">IF( $C158="", "", _xll.IMDP("IDX",$C158,O$6,$D$4,"Fill=true, Per="&amp;filter!$R$1) )</f>
        <v/>
      </c>
    </row>
    <row r="159" spans="2:15">
      <c r="B159" s="21">
        <f t="shared" si="2"/>
        <v>151</v>
      </c>
      <c r="C159" s="17" t="str">
        <f>IFERROR( VLOOKUP(ROWS($B$8:B158), filter!$I:$J, 2, 0), "")</f>
        <v>XGS10P</v>
      </c>
      <c r="D159" s="16" t="str" cm="1">
        <f t="array" ref="D159">IF( $C159="", "", _xll.IMDP("IDX", $C159, D$6) )</f>
        <v>KRX 기계장비</v>
      </c>
      <c r="E159" s="34">
        <f t="array" aca="1" ref="E159" ca="1">IF( $C159="", "", _xll.IMDP("IDX",$C159,E$6,$D$4,"Fill=true, Per="&amp;filter!$R$1) )</f>
        <v>749.52</v>
      </c>
      <c r="F159" s="38">
        <f t="array" aca="1" ref="F159" ca="1">IF( $C159="", "", _xll.IMDP("IDX",$C159,F$6,$D$4,"Fill=true, Per="&amp;filter!$R$1) )</f>
        <v>-1.0800000000000409</v>
      </c>
      <c r="G159" s="39">
        <f t="array" aca="1" ref="G159" ca="1">IF( $C159="", "", _xll.IMDP("IDX",$C159,G$6,$D$4,"Fill=true, Per="&amp;filter!$R$1) )</f>
        <v>-0.14000000000000001</v>
      </c>
      <c r="H159" s="43">
        <f t="array" aca="1" ref="H159" ca="1">IF( $C159="", "", _xll.IMDP("IDX",$C159,H$6,$D$4,"Fill=true, Per="&amp;filter!$R$1) )</f>
        <v>41746</v>
      </c>
      <c r="I159" s="43">
        <f t="array" aca="1" ref="I159" ca="1">IF( $C159="", "", _xll.IMDP("IDX",$C159,I$6,$D$4,"Fill=true, Per="&amp;filter!$R$1) )</f>
        <v>3045935</v>
      </c>
      <c r="J159" s="34">
        <f t="array" aca="1" ref="J159" ca="1">IF( $C159="", "", _xll.IMDP("IDX",$C159,J$6,$D$4,"Fill=true, Per="&amp;filter!$R$1) )</f>
        <v>755.74</v>
      </c>
      <c r="K159" s="38">
        <f t="array" aca="1" ref="K159" ca="1">IF( $C159="", "", _xll.IMDP("IDX",$C159,K$6,$D$4,"Fill=true, Per="&amp;filter!$R$1) )</f>
        <v>760.48</v>
      </c>
      <c r="L159" s="39">
        <f t="array" aca="1" ref="L159" ca="1">IF( $C159="", "", _xll.IMDP("IDX",$C159,L$6,$D$4,"Fill=true, Per="&amp;filter!$R$1) )</f>
        <v>0</v>
      </c>
      <c r="M159" s="50" t="str">
        <f t="array" aca="1" ref="M159" ca="1">IF( $C159="", "", _xll.IMDP("IDX",$C159,M$6,$D$4,"Fill=true, Per="&amp;filter!$R$1) )</f>
        <v/>
      </c>
      <c r="N159" s="51" t="str">
        <f t="array" aca="1" ref="N159" ca="1">IF( $C159="", "", _xll.IMDP("IDX",$C159,N$6,$D$4,"Fill=true, Per="&amp;filter!$R$1) )</f>
        <v/>
      </c>
      <c r="O159" s="52" t="str">
        <f t="array" aca="1" ref="O159" ca="1">IF( $C159="", "", _xll.IMDP("IDX",$C159,O$6,$D$4,"Fill=true, Per="&amp;filter!$R$1) )</f>
        <v/>
      </c>
    </row>
    <row r="160" spans="2:15">
      <c r="B160" s="21">
        <f t="shared" si="2"/>
        <v>152</v>
      </c>
      <c r="C160" s="17" t="str">
        <f>IFERROR( VLOOKUP(ROWS($B$8:B159), filter!$I:$J, 2, 0), "")</f>
        <v>XGS09P</v>
      </c>
      <c r="D160" s="16" t="str" cm="1">
        <f t="array" ref="D160">IF( $C160="", "", _xll.IMDP("IDX", $C160, D$6) )</f>
        <v>KRX 증권</v>
      </c>
      <c r="E160" s="34">
        <f t="array" aca="1" ref="E160" ca="1">IF( $C160="", "", _xll.IMDP("IDX",$C160,E$6,$D$4,"Fill=true, Per="&amp;filter!$R$1) )</f>
        <v>802.92</v>
      </c>
      <c r="F160" s="38">
        <f t="array" aca="1" ref="F160" ca="1">IF( $C160="", "", _xll.IMDP("IDX",$C160,F$6,$D$4,"Fill=true, Per="&amp;filter!$R$1) )</f>
        <v>15.42999999999995</v>
      </c>
      <c r="G160" s="39">
        <f t="array" aca="1" ref="G160" ca="1">IF( $C160="", "", _xll.IMDP("IDX",$C160,G$6,$D$4,"Fill=true, Per="&amp;filter!$R$1) )</f>
        <v>1.96</v>
      </c>
      <c r="H160" s="43">
        <f t="array" aca="1" ref="H160" ca="1">IF( $C160="", "", _xll.IMDP("IDX",$C160,H$6,$D$4,"Fill=true, Per="&amp;filter!$R$1) )</f>
        <v>11320</v>
      </c>
      <c r="I160" s="43">
        <f t="array" aca="1" ref="I160" ca="1">IF( $C160="", "", _xll.IMDP("IDX",$C160,I$6,$D$4,"Fill=true, Per="&amp;filter!$R$1) )</f>
        <v>97173</v>
      </c>
      <c r="J160" s="34">
        <f t="array" aca="1" ref="J160" ca="1">IF( $C160="", "", _xll.IMDP("IDX",$C160,J$6,$D$4,"Fill=true, Per="&amp;filter!$R$1) )</f>
        <v>789.16</v>
      </c>
      <c r="K160" s="38">
        <f t="array" aca="1" ref="K160" ca="1">IF( $C160="", "", _xll.IMDP("IDX",$C160,K$6,$D$4,"Fill=true, Per="&amp;filter!$R$1) )</f>
        <v>807.75</v>
      </c>
      <c r="L160" s="39">
        <f t="array" aca="1" ref="L160" ca="1">IF( $C160="", "", _xll.IMDP("IDX",$C160,L$6,$D$4,"Fill=true, Per="&amp;filter!$R$1) )</f>
        <v>0</v>
      </c>
      <c r="M160" s="50" t="str">
        <f t="array" aca="1" ref="M160" ca="1">IF( $C160="", "", _xll.IMDP("IDX",$C160,M$6,$D$4,"Fill=true, Per="&amp;filter!$R$1) )</f>
        <v/>
      </c>
      <c r="N160" s="51" t="str">
        <f t="array" aca="1" ref="N160" ca="1">IF( $C160="", "", _xll.IMDP("IDX",$C160,N$6,$D$4,"Fill=true, Per="&amp;filter!$R$1) )</f>
        <v/>
      </c>
      <c r="O160" s="52" t="str">
        <f t="array" aca="1" ref="O160" ca="1">IF( $C160="", "", _xll.IMDP("IDX",$C160,O$6,$D$4,"Fill=true, Per="&amp;filter!$R$1) )</f>
        <v/>
      </c>
    </row>
    <row r="161" spans="2:15">
      <c r="B161" s="21">
        <f t="shared" si="2"/>
        <v>153</v>
      </c>
      <c r="C161" s="17" t="str">
        <f>IFERROR( VLOOKUP(ROWS($B$8:B160), filter!$I:$J, 2, 0), "")</f>
        <v>XGS08P</v>
      </c>
      <c r="D161" s="16" t="str" cm="1">
        <f t="array" ref="D161">IF( $C161="", "", _xll.IMDP("IDX", $C161, D$6) )</f>
        <v>KRX 건설</v>
      </c>
      <c r="E161" s="34">
        <f t="array" aca="1" ref="E161" ca="1">IF( $C161="", "", _xll.IMDP("IDX",$C161,E$6,$D$4,"Fill=true, Per="&amp;filter!$R$1) )</f>
        <v>668.73</v>
      </c>
      <c r="F161" s="38">
        <f t="array" aca="1" ref="F161" ca="1">IF( $C161="", "", _xll.IMDP("IDX",$C161,F$6,$D$4,"Fill=true, Per="&amp;filter!$R$1) )</f>
        <v>0.78999999999996362</v>
      </c>
      <c r="G161" s="39">
        <f t="array" aca="1" ref="G161" ca="1">IF( $C161="", "", _xll.IMDP("IDX",$C161,G$6,$D$4,"Fill=true, Per="&amp;filter!$R$1) )</f>
        <v>0.12</v>
      </c>
      <c r="H161" s="43">
        <f t="array" aca="1" ref="H161" ca="1">IF( $C161="", "", _xll.IMDP("IDX",$C161,H$6,$D$4,"Fill=true, Per="&amp;filter!$R$1) )</f>
        <v>10998</v>
      </c>
      <c r="I161" s="43">
        <f t="array" aca="1" ref="I161" ca="1">IF( $C161="", "", _xll.IMDP("IDX",$C161,I$6,$D$4,"Fill=true, Per="&amp;filter!$R$1) )</f>
        <v>155277</v>
      </c>
      <c r="J161" s="34">
        <f t="array" aca="1" ref="J161" ca="1">IF( $C161="", "", _xll.IMDP("IDX",$C161,J$6,$D$4,"Fill=true, Per="&amp;filter!$R$1) )</f>
        <v>668.59</v>
      </c>
      <c r="K161" s="38">
        <f t="array" aca="1" ref="K161" ca="1">IF( $C161="", "", _xll.IMDP("IDX",$C161,K$6,$D$4,"Fill=true, Per="&amp;filter!$R$1) )</f>
        <v>671.92</v>
      </c>
      <c r="L161" s="39">
        <f t="array" aca="1" ref="L161" ca="1">IF( $C161="", "", _xll.IMDP("IDX",$C161,L$6,$D$4,"Fill=true, Per="&amp;filter!$R$1) )</f>
        <v>0</v>
      </c>
      <c r="M161" s="50" t="str">
        <f t="array" aca="1" ref="M161" ca="1">IF( $C161="", "", _xll.IMDP("IDX",$C161,M$6,$D$4,"Fill=true, Per="&amp;filter!$R$1) )</f>
        <v/>
      </c>
      <c r="N161" s="51" t="str">
        <f t="array" aca="1" ref="N161" ca="1">IF( $C161="", "", _xll.IMDP("IDX",$C161,N$6,$D$4,"Fill=true, Per="&amp;filter!$R$1) )</f>
        <v/>
      </c>
      <c r="O161" s="52" t="str">
        <f t="array" aca="1" ref="O161" ca="1">IF( $C161="", "", _xll.IMDP("IDX",$C161,O$6,$D$4,"Fill=true, Per="&amp;filter!$R$1) )</f>
        <v/>
      </c>
    </row>
    <row r="162" spans="2:15">
      <c r="B162" s="21">
        <f t="shared" si="2"/>
        <v>154</v>
      </c>
      <c r="C162" s="17" t="str">
        <f>IFERROR( VLOOKUP(ROWS($B$8:B161), filter!$I:$J, 2, 0), "")</f>
        <v>XGS07P</v>
      </c>
      <c r="D162" s="16" t="str" cm="1">
        <f t="array" ref="D162">IF( $C162="", "", _xll.IMDP("IDX", $C162, D$6) )</f>
        <v>KRX 방송통신</v>
      </c>
      <c r="E162" s="34">
        <f t="array" aca="1" ref="E162" ca="1">IF( $C162="", "", _xll.IMDP("IDX",$C162,E$6,$D$4,"Fill=true, Per="&amp;filter!$R$1) )</f>
        <v>619.57000000000005</v>
      </c>
      <c r="F162" s="38">
        <f t="array" aca="1" ref="F162" ca="1">IF( $C162="", "", _xll.IMDP("IDX",$C162,F$6,$D$4,"Fill=true, Per="&amp;filter!$R$1) )</f>
        <v>14.879999999999995</v>
      </c>
      <c r="G162" s="39">
        <f t="array" aca="1" ref="G162" ca="1">IF( $C162="", "", _xll.IMDP("IDX",$C162,G$6,$D$4,"Fill=true, Per="&amp;filter!$R$1) )</f>
        <v>2.46</v>
      </c>
      <c r="H162" s="43">
        <f t="array" aca="1" ref="H162" ca="1">IF( $C162="", "", _xll.IMDP("IDX",$C162,H$6,$D$4,"Fill=true, Per="&amp;filter!$R$1) )</f>
        <v>4241</v>
      </c>
      <c r="I162" s="43">
        <f t="array" aca="1" ref="I162" ca="1">IF( $C162="", "", _xll.IMDP("IDX",$C162,I$6,$D$4,"Fill=true, Per="&amp;filter!$R$1) )</f>
        <v>119677</v>
      </c>
      <c r="J162" s="34">
        <f t="array" aca="1" ref="J162" ca="1">IF( $C162="", "", _xll.IMDP("IDX",$C162,J$6,$D$4,"Fill=true, Per="&amp;filter!$R$1) )</f>
        <v>607.24</v>
      </c>
      <c r="K162" s="38">
        <f t="array" aca="1" ref="K162" ca="1">IF( $C162="", "", _xll.IMDP("IDX",$C162,K$6,$D$4,"Fill=true, Per="&amp;filter!$R$1) )</f>
        <v>620.70000000000005</v>
      </c>
      <c r="L162" s="39">
        <f t="array" aca="1" ref="L162" ca="1">IF( $C162="", "", _xll.IMDP("IDX",$C162,L$6,$D$4,"Fill=true, Per="&amp;filter!$R$1) )</f>
        <v>0</v>
      </c>
      <c r="M162" s="50" t="str">
        <f t="array" aca="1" ref="M162" ca="1">IF( $C162="", "", _xll.IMDP("IDX",$C162,M$6,$D$4,"Fill=true, Per="&amp;filter!$R$1) )</f>
        <v/>
      </c>
      <c r="N162" s="51" t="str">
        <f t="array" aca="1" ref="N162" ca="1">IF( $C162="", "", _xll.IMDP("IDX",$C162,N$6,$D$4,"Fill=true, Per="&amp;filter!$R$1) )</f>
        <v/>
      </c>
      <c r="O162" s="52" t="str">
        <f t="array" aca="1" ref="O162" ca="1">IF( $C162="", "", _xll.IMDP("IDX",$C162,O$6,$D$4,"Fill=true, Per="&amp;filter!$R$1) )</f>
        <v/>
      </c>
    </row>
    <row r="163" spans="2:15">
      <c r="B163" s="21">
        <f t="shared" si="2"/>
        <v>155</v>
      </c>
      <c r="C163" s="17" t="str">
        <f>IFERROR( VLOOKUP(ROWS($B$8:B162), filter!$I:$J, 2, 0), "")</f>
        <v>XGS06P</v>
      </c>
      <c r="D163" s="16" t="str" cm="1">
        <f t="array" ref="D163">IF( $C163="", "", _xll.IMDP("IDX", $C163, D$6) )</f>
        <v>KRX 철강</v>
      </c>
      <c r="E163" s="34">
        <f t="array" aca="1" ref="E163" ca="1">IF( $C163="", "", _xll.IMDP("IDX",$C163,E$6,$D$4,"Fill=true, Per="&amp;filter!$R$1) )</f>
        <v>1631.05</v>
      </c>
      <c r="F163" s="38">
        <f t="array" aca="1" ref="F163" ca="1">IF( $C163="", "", _xll.IMDP("IDX",$C163,F$6,$D$4,"Fill=true, Per="&amp;filter!$R$1) )</f>
        <v>57.399999999999864</v>
      </c>
      <c r="G163" s="39">
        <f t="array" aca="1" ref="G163" ca="1">IF( $C163="", "", _xll.IMDP("IDX",$C163,G$6,$D$4,"Fill=true, Per="&amp;filter!$R$1) )</f>
        <v>3.65</v>
      </c>
      <c r="H163" s="43">
        <f t="array" aca="1" ref="H163" ca="1">IF( $C163="", "", _xll.IMDP("IDX",$C163,H$6,$D$4,"Fill=true, Per="&amp;filter!$R$1) )</f>
        <v>13854</v>
      </c>
      <c r="I163" s="43">
        <f t="array" aca="1" ref="I163" ca="1">IF( $C163="", "", _xll.IMDP("IDX",$C163,I$6,$D$4,"Fill=true, Per="&amp;filter!$R$1) )</f>
        <v>603491</v>
      </c>
      <c r="J163" s="34">
        <f t="array" aca="1" ref="J163" ca="1">IF( $C163="", "", _xll.IMDP("IDX",$C163,J$6,$D$4,"Fill=true, Per="&amp;filter!$R$1) )</f>
        <v>1579.28</v>
      </c>
      <c r="K163" s="38">
        <f t="array" aca="1" ref="K163" ca="1">IF( $C163="", "", _xll.IMDP("IDX",$C163,K$6,$D$4,"Fill=true, Per="&amp;filter!$R$1) )</f>
        <v>1647.95</v>
      </c>
      <c r="L163" s="39">
        <f t="array" aca="1" ref="L163" ca="1">IF( $C163="", "", _xll.IMDP("IDX",$C163,L$6,$D$4,"Fill=true, Per="&amp;filter!$R$1) )</f>
        <v>0</v>
      </c>
      <c r="M163" s="50" t="str">
        <f t="array" aca="1" ref="M163" ca="1">IF( $C163="", "", _xll.IMDP("IDX",$C163,M$6,$D$4,"Fill=true, Per="&amp;filter!$R$1) )</f>
        <v/>
      </c>
      <c r="N163" s="51" t="str">
        <f t="array" aca="1" ref="N163" ca="1">IF( $C163="", "", _xll.IMDP("IDX",$C163,N$6,$D$4,"Fill=true, Per="&amp;filter!$R$1) )</f>
        <v/>
      </c>
      <c r="O163" s="52" t="str">
        <f t="array" aca="1" ref="O163" ca="1">IF( $C163="", "", _xll.IMDP("IDX",$C163,O$6,$D$4,"Fill=true, Per="&amp;filter!$R$1) )</f>
        <v/>
      </c>
    </row>
    <row r="164" spans="2:15">
      <c r="B164" s="21">
        <f t="shared" si="2"/>
        <v>156</v>
      </c>
      <c r="C164" s="17" t="str">
        <f>IFERROR( VLOOKUP(ROWS($B$8:B163), filter!$I:$J, 2, 0), "")</f>
        <v>XGS05P</v>
      </c>
      <c r="D164" s="16" t="str" cm="1">
        <f t="array" ref="D164">IF( $C164="", "", _xll.IMDP("IDX", $C164, D$6) )</f>
        <v>KRX 에너지화학</v>
      </c>
      <c r="E164" s="34">
        <f t="array" aca="1" ref="E164" ca="1">IF( $C164="", "", _xll.IMDP("IDX",$C164,E$6,$D$4,"Fill=true, Per="&amp;filter!$R$1) )</f>
        <v>2455.14</v>
      </c>
      <c r="F164" s="38">
        <f t="array" aca="1" ref="F164" ca="1">IF( $C164="", "", _xll.IMDP("IDX",$C164,F$6,$D$4,"Fill=true, Per="&amp;filter!$R$1) )</f>
        <v>32.7199999999998</v>
      </c>
      <c r="G164" s="39">
        <f t="array" aca="1" ref="G164" ca="1">IF( $C164="", "", _xll.IMDP("IDX",$C164,G$6,$D$4,"Fill=true, Per="&amp;filter!$R$1) )</f>
        <v>1.35</v>
      </c>
      <c r="H164" s="43">
        <f t="array" aca="1" ref="H164" ca="1">IF( $C164="", "", _xll.IMDP("IDX",$C164,H$6,$D$4,"Fill=true, Per="&amp;filter!$R$1) )</f>
        <v>22630</v>
      </c>
      <c r="I164" s="43">
        <f t="array" aca="1" ref="I164" ca="1">IF( $C164="", "", _xll.IMDP("IDX",$C164,I$6,$D$4,"Fill=true, Per="&amp;filter!$R$1) )</f>
        <v>1503528</v>
      </c>
      <c r="J164" s="34">
        <f t="array" aca="1" ref="J164" ca="1">IF( $C164="", "", _xll.IMDP("IDX",$C164,J$6,$D$4,"Fill=true, Per="&amp;filter!$R$1) )</f>
        <v>2433.4299999999998</v>
      </c>
      <c r="K164" s="38">
        <f t="array" aca="1" ref="K164" ca="1">IF( $C164="", "", _xll.IMDP("IDX",$C164,K$6,$D$4,"Fill=true, Per="&amp;filter!$R$1) )</f>
        <v>2490.1</v>
      </c>
      <c r="L164" s="39">
        <f t="array" aca="1" ref="L164" ca="1">IF( $C164="", "", _xll.IMDP("IDX",$C164,L$6,$D$4,"Fill=true, Per="&amp;filter!$R$1) )</f>
        <v>0</v>
      </c>
      <c r="M164" s="50" t="str">
        <f t="array" aca="1" ref="M164" ca="1">IF( $C164="", "", _xll.IMDP("IDX",$C164,M$6,$D$4,"Fill=true, Per="&amp;filter!$R$1) )</f>
        <v/>
      </c>
      <c r="N164" s="51" t="str">
        <f t="array" aca="1" ref="N164" ca="1">IF( $C164="", "", _xll.IMDP("IDX",$C164,N$6,$D$4,"Fill=true, Per="&amp;filter!$R$1) )</f>
        <v/>
      </c>
      <c r="O164" s="52" t="str">
        <f t="array" aca="1" ref="O164" ca="1">IF( $C164="", "", _xll.IMDP("IDX",$C164,O$6,$D$4,"Fill=true, Per="&amp;filter!$R$1) )</f>
        <v/>
      </c>
    </row>
    <row r="165" spans="2:15">
      <c r="B165" s="21">
        <f t="shared" si="2"/>
        <v>157</v>
      </c>
      <c r="C165" s="17" t="str">
        <f>IFERROR( VLOOKUP(ROWS($B$8:B164), filter!$I:$J, 2, 0), "")</f>
        <v>XGS04P</v>
      </c>
      <c r="D165" s="16" t="str" cm="1">
        <f t="array" ref="D165">IF( $C165="", "", _xll.IMDP("IDX", $C165, D$6) )</f>
        <v>KRX 은행</v>
      </c>
      <c r="E165" s="34">
        <f t="array" aca="1" ref="E165" ca="1">IF( $C165="", "", _xll.IMDP("IDX",$C165,E$6,$D$4,"Fill=true, Per="&amp;filter!$R$1) )</f>
        <v>899.55</v>
      </c>
      <c r="F165" s="38">
        <f t="array" aca="1" ref="F165" ca="1">IF( $C165="", "", _xll.IMDP("IDX",$C165,F$6,$D$4,"Fill=true, Per="&amp;filter!$R$1) )</f>
        <v>12.42999999999995</v>
      </c>
      <c r="G165" s="39">
        <f t="array" aca="1" ref="G165" ca="1">IF( $C165="", "", _xll.IMDP("IDX",$C165,G$6,$D$4,"Fill=true, Per="&amp;filter!$R$1) )</f>
        <v>1.4</v>
      </c>
      <c r="H165" s="43">
        <f t="array" aca="1" ref="H165" ca="1">IF( $C165="", "", _xll.IMDP("IDX",$C165,H$6,$D$4,"Fill=true, Per="&amp;filter!$R$1) )</f>
        <v>14031</v>
      </c>
      <c r="I165" s="43">
        <f t="array" aca="1" ref="I165" ca="1">IF( $C165="", "", _xll.IMDP("IDX",$C165,I$6,$D$4,"Fill=true, Per="&amp;filter!$R$1) )</f>
        <v>492462</v>
      </c>
      <c r="J165" s="34">
        <f t="array" aca="1" ref="J165" ca="1">IF( $C165="", "", _xll.IMDP("IDX",$C165,J$6,$D$4,"Fill=true, Per="&amp;filter!$R$1) )</f>
        <v>890.84</v>
      </c>
      <c r="K165" s="38">
        <f t="array" aca="1" ref="K165" ca="1">IF( $C165="", "", _xll.IMDP("IDX",$C165,K$6,$D$4,"Fill=true, Per="&amp;filter!$R$1) )</f>
        <v>908.21</v>
      </c>
      <c r="L165" s="39">
        <f t="array" aca="1" ref="L165" ca="1">IF( $C165="", "", _xll.IMDP("IDX",$C165,L$6,$D$4,"Fill=true, Per="&amp;filter!$R$1) )</f>
        <v>0</v>
      </c>
      <c r="M165" s="50" t="str">
        <f t="array" aca="1" ref="M165" ca="1">IF( $C165="", "", _xll.IMDP("IDX",$C165,M$6,$D$4,"Fill=true, Per="&amp;filter!$R$1) )</f>
        <v/>
      </c>
      <c r="N165" s="51" t="str">
        <f t="array" aca="1" ref="N165" ca="1">IF( $C165="", "", _xll.IMDP("IDX",$C165,N$6,$D$4,"Fill=true, Per="&amp;filter!$R$1) )</f>
        <v/>
      </c>
      <c r="O165" s="52" t="str">
        <f t="array" aca="1" ref="O165" ca="1">IF( $C165="", "", _xll.IMDP("IDX",$C165,O$6,$D$4,"Fill=true, Per="&amp;filter!$R$1) )</f>
        <v/>
      </c>
    </row>
    <row r="166" spans="2:15">
      <c r="B166" s="21">
        <f t="shared" si="2"/>
        <v>158</v>
      </c>
      <c r="C166" s="17" t="str">
        <f>IFERROR( VLOOKUP(ROWS($B$8:B165), filter!$I:$J, 2, 0), "")</f>
        <v>XGS03P</v>
      </c>
      <c r="D166" s="16" t="str" cm="1">
        <f t="array" ref="D166">IF( $C166="", "", _xll.IMDP("IDX", $C166, D$6) )</f>
        <v>KRX 건강</v>
      </c>
      <c r="E166" s="34">
        <f t="array" aca="1" ref="E166" ca="1">IF( $C166="", "", _xll.IMDP("IDX",$C166,E$6,$D$4,"Fill=true, Per="&amp;filter!$R$1) )</f>
        <v>3931.64</v>
      </c>
      <c r="F166" s="38">
        <f t="array" aca="1" ref="F166" ca="1">IF( $C166="", "", _xll.IMDP("IDX",$C166,F$6,$D$4,"Fill=true, Per="&amp;filter!$R$1) )</f>
        <v>-77.760000000000218</v>
      </c>
      <c r="G166" s="39">
        <f t="array" aca="1" ref="G166" ca="1">IF( $C166="", "", _xll.IMDP("IDX",$C166,G$6,$D$4,"Fill=true, Per="&amp;filter!$R$1) )</f>
        <v>-1.94</v>
      </c>
      <c r="H166" s="43">
        <f t="array" aca="1" ref="H166" ca="1">IF( $C166="", "", _xll.IMDP("IDX",$C166,H$6,$D$4,"Fill=true, Per="&amp;filter!$R$1) )</f>
        <v>65552</v>
      </c>
      <c r="I166" s="43">
        <f t="array" aca="1" ref="I166" ca="1">IF( $C166="", "", _xll.IMDP("IDX",$C166,I$6,$D$4,"Fill=true, Per="&amp;filter!$R$1) )</f>
        <v>4118302</v>
      </c>
      <c r="J166" s="34">
        <f t="array" aca="1" ref="J166" ca="1">IF( $C166="", "", _xll.IMDP("IDX",$C166,J$6,$D$4,"Fill=true, Per="&amp;filter!$R$1) )</f>
        <v>4029.63</v>
      </c>
      <c r="K166" s="38">
        <f t="array" aca="1" ref="K166" ca="1">IF( $C166="", "", _xll.IMDP("IDX",$C166,K$6,$D$4,"Fill=true, Per="&amp;filter!$R$1) )</f>
        <v>4031.04</v>
      </c>
      <c r="L166" s="39">
        <f t="array" aca="1" ref="L166" ca="1">IF( $C166="", "", _xll.IMDP("IDX",$C166,L$6,$D$4,"Fill=true, Per="&amp;filter!$R$1) )</f>
        <v>0</v>
      </c>
      <c r="M166" s="50" t="str">
        <f t="array" aca="1" ref="M166" ca="1">IF( $C166="", "", _xll.IMDP("IDX",$C166,M$6,$D$4,"Fill=true, Per="&amp;filter!$R$1) )</f>
        <v/>
      </c>
      <c r="N166" s="51" t="str">
        <f t="array" aca="1" ref="N166" ca="1">IF( $C166="", "", _xll.IMDP("IDX",$C166,N$6,$D$4,"Fill=true, Per="&amp;filter!$R$1) )</f>
        <v/>
      </c>
      <c r="O166" s="52" t="str">
        <f t="array" aca="1" ref="O166" ca="1">IF( $C166="", "", _xll.IMDP("IDX",$C166,O$6,$D$4,"Fill=true, Per="&amp;filter!$R$1) )</f>
        <v/>
      </c>
    </row>
    <row r="167" spans="2:15">
      <c r="B167" s="21">
        <f t="shared" si="2"/>
        <v>159</v>
      </c>
      <c r="C167" s="17" t="str">
        <f>IFERROR( VLOOKUP(ROWS($B$8:B166), filter!$I:$J, 2, 0), "")</f>
        <v>XGS02P</v>
      </c>
      <c r="D167" s="16" t="str" cm="1">
        <f t="array" ref="D167">IF( $C167="", "", _xll.IMDP("IDX", $C167, D$6) )</f>
        <v>KRX 반도체</v>
      </c>
      <c r="E167" s="34">
        <f t="array" aca="1" ref="E167" ca="1">IF( $C167="", "", _xll.IMDP("IDX",$C167,E$6,$D$4,"Fill=true, Per="&amp;filter!$R$1) )</f>
        <v>3495.1</v>
      </c>
      <c r="F167" s="38">
        <f t="array" aca="1" ref="F167" ca="1">IF( $C167="", "", _xll.IMDP("IDX",$C167,F$6,$D$4,"Fill=true, Per="&amp;filter!$R$1) )</f>
        <v>-125.13000000000011</v>
      </c>
      <c r="G167" s="39">
        <f t="array" aca="1" ref="G167" ca="1">IF( $C167="", "", _xll.IMDP("IDX",$C167,G$6,$D$4,"Fill=true, Per="&amp;filter!$R$1) )</f>
        <v>-3.46</v>
      </c>
      <c r="H167" s="43">
        <f t="array" aca="1" ref="H167" ca="1">IF( $C167="", "", _xll.IMDP("IDX",$C167,H$6,$D$4,"Fill=true, Per="&amp;filter!$R$1) )</f>
        <v>81624</v>
      </c>
      <c r="I167" s="43">
        <f t="array" aca="1" ref="I167" ca="1">IF( $C167="", "", _xll.IMDP("IDX",$C167,I$6,$D$4,"Fill=true, Per="&amp;filter!$R$1) )</f>
        <v>3961805</v>
      </c>
      <c r="J167" s="34">
        <f t="array" aca="1" ref="J167" ca="1">IF( $C167="", "", _xll.IMDP("IDX",$C167,J$6,$D$4,"Fill=true, Per="&amp;filter!$R$1) )</f>
        <v>3609.21</v>
      </c>
      <c r="K167" s="38">
        <f t="array" aca="1" ref="K167" ca="1">IF( $C167="", "", _xll.IMDP("IDX",$C167,K$6,$D$4,"Fill=true, Per="&amp;filter!$R$1) )</f>
        <v>3609.21</v>
      </c>
      <c r="L167" s="39">
        <f t="array" aca="1" ref="L167" ca="1">IF( $C167="", "", _xll.IMDP("IDX",$C167,L$6,$D$4,"Fill=true, Per="&amp;filter!$R$1) )</f>
        <v>0</v>
      </c>
      <c r="M167" s="50" t="str">
        <f t="array" aca="1" ref="M167" ca="1">IF( $C167="", "", _xll.IMDP("IDX",$C167,M$6,$D$4,"Fill=true, Per="&amp;filter!$R$1) )</f>
        <v/>
      </c>
      <c r="N167" s="51" t="str">
        <f t="array" aca="1" ref="N167" ca="1">IF( $C167="", "", _xll.IMDP("IDX",$C167,N$6,$D$4,"Fill=true, Per="&amp;filter!$R$1) )</f>
        <v/>
      </c>
      <c r="O167" s="52" t="str">
        <f t="array" aca="1" ref="O167" ca="1">IF( $C167="", "", _xll.IMDP("IDX",$C167,O$6,$D$4,"Fill=true, Per="&amp;filter!$R$1) )</f>
        <v/>
      </c>
    </row>
    <row r="168" spans="2:15">
      <c r="B168" s="21">
        <f t="shared" si="2"/>
        <v>160</v>
      </c>
      <c r="C168" s="17" t="str">
        <f>IFERROR( VLOOKUP(ROWS($B$8:B167), filter!$I:$J, 2, 0), "")</f>
        <v>XGS01P</v>
      </c>
      <c r="D168" s="16" t="str" cm="1">
        <f t="array" ref="D168">IF( $C168="", "", _xll.IMDP("IDX", $C168, D$6) )</f>
        <v>KRX 자동차</v>
      </c>
      <c r="E168" s="34">
        <f t="array" aca="1" ref="E168" ca="1">IF( $C168="", "", _xll.IMDP("IDX",$C168,E$6,$D$4,"Fill=true, Per="&amp;filter!$R$1) )</f>
        <v>1907.89</v>
      </c>
      <c r="F168" s="38">
        <f t="array" aca="1" ref="F168" ca="1">IF( $C168="", "", _xll.IMDP("IDX",$C168,F$6,$D$4,"Fill=true, Per="&amp;filter!$R$1) )</f>
        <v>-82.079999999999927</v>
      </c>
      <c r="G168" s="39">
        <f t="array" aca="1" ref="G168" ca="1">IF( $C168="", "", _xll.IMDP("IDX",$C168,G$6,$D$4,"Fill=true, Per="&amp;filter!$R$1) )</f>
        <v>-4.12</v>
      </c>
      <c r="H168" s="43">
        <f t="array" aca="1" ref="H168" ca="1">IF( $C168="", "", _xll.IMDP("IDX",$C168,H$6,$D$4,"Fill=true, Per="&amp;filter!$R$1) )</f>
        <v>14804</v>
      </c>
      <c r="I168" s="43">
        <f t="array" aca="1" ref="I168" ca="1">IF( $C168="", "", _xll.IMDP("IDX",$C168,I$6,$D$4,"Fill=true, Per="&amp;filter!$R$1) )</f>
        <v>914205</v>
      </c>
      <c r="J168" s="34">
        <f t="array" aca="1" ref="J168" ca="1">IF( $C168="", "", _xll.IMDP("IDX",$C168,J$6,$D$4,"Fill=true, Per="&amp;filter!$R$1) )</f>
        <v>1992.73</v>
      </c>
      <c r="K168" s="38">
        <f t="array" aca="1" ref="K168" ca="1">IF( $C168="", "", _xll.IMDP("IDX",$C168,K$6,$D$4,"Fill=true, Per="&amp;filter!$R$1) )</f>
        <v>1995.04</v>
      </c>
      <c r="L168" s="39">
        <f t="array" aca="1" ref="L168" ca="1">IF( $C168="", "", _xll.IMDP("IDX",$C168,L$6,$D$4,"Fill=true, Per="&amp;filter!$R$1) )</f>
        <v>0</v>
      </c>
      <c r="M168" s="50" t="str">
        <f t="array" aca="1" ref="M168" ca="1">IF( $C168="", "", _xll.IMDP("IDX",$C168,M$6,$D$4,"Fill=true, Per="&amp;filter!$R$1) )</f>
        <v/>
      </c>
      <c r="N168" s="51" t="str">
        <f t="array" aca="1" ref="N168" ca="1">IF( $C168="", "", _xll.IMDP("IDX",$C168,N$6,$D$4,"Fill=true, Per="&amp;filter!$R$1) )</f>
        <v/>
      </c>
      <c r="O168" s="52" t="str">
        <f t="array" aca="1" ref="O168" ca="1">IF( $C168="", "", _xll.IMDP("IDX",$C168,O$6,$D$4,"Fill=true, Per="&amp;filter!$R$1) )</f>
        <v/>
      </c>
    </row>
    <row r="169" spans="2:15">
      <c r="B169" s="21">
        <f t="shared" si="2"/>
        <v>161</v>
      </c>
      <c r="C169" s="17" t="str">
        <f>IFERROR( VLOOKUP(ROWS($B$8:B168), filter!$I:$J, 2, 0), "")</f>
        <v>XGE05P</v>
      </c>
      <c r="D169" s="16" t="str" cm="1">
        <f t="array" ref="D169">IF( $C169="", "", _xll.IMDP("IDX", $C169, D$6) )</f>
        <v>KRX 기후변화 솔루션 지수</v>
      </c>
      <c r="E169" s="34">
        <f t="array" aca="1" ref="E169" ca="1">IF( $C169="", "", _xll.IMDP("IDX",$C169,E$6,$D$4,"Fill=true, Per="&amp;filter!$R$1) )</f>
        <v>2119.94</v>
      </c>
      <c r="F169" s="38">
        <f t="array" aca="1" ref="F169" ca="1">IF( $C169="", "", _xll.IMDP("IDX",$C169,F$6,$D$4,"Fill=true, Per="&amp;filter!$R$1) )</f>
        <v>2.2800000000002001</v>
      </c>
      <c r="G169" s="39">
        <f t="array" aca="1" ref="G169" ca="1">IF( $C169="", "", _xll.IMDP("IDX",$C169,G$6,$D$4,"Fill=true, Per="&amp;filter!$R$1) )</f>
        <v>0.11</v>
      </c>
      <c r="H169" s="43">
        <f t="array" aca="1" ref="H169" ca="1">IF( $C169="", "", _xll.IMDP("IDX",$C169,H$6,$D$4,"Fill=true, Per="&amp;filter!$R$1) )</f>
        <v>73688</v>
      </c>
      <c r="I169" s="43">
        <f t="array" aca="1" ref="I169" ca="1">IF( $C169="", "", _xll.IMDP("IDX",$C169,I$6,$D$4,"Fill=true, Per="&amp;filter!$R$1) )</f>
        <v>6643804</v>
      </c>
      <c r="J169" s="34">
        <f t="array" aca="1" ref="J169" ca="1">IF( $C169="", "", _xll.IMDP("IDX",$C169,J$6,$D$4,"Fill=true, Per="&amp;filter!$R$1) )</f>
        <v>2124.42</v>
      </c>
      <c r="K169" s="38">
        <f t="array" aca="1" ref="K169" ca="1">IF( $C169="", "", _xll.IMDP("IDX",$C169,K$6,$D$4,"Fill=true, Per="&amp;filter!$R$1) )</f>
        <v>2160.98</v>
      </c>
      <c r="L169" s="39">
        <f t="array" aca="1" ref="L169" ca="1">IF( $C169="", "", _xll.IMDP("IDX",$C169,L$6,$D$4,"Fill=true, Per="&amp;filter!$R$1) )</f>
        <v>0</v>
      </c>
      <c r="M169" s="50" t="str">
        <f t="array" aca="1" ref="M169" ca="1">IF( $C169="", "", _xll.IMDP("IDX",$C169,M$6,$D$4,"Fill=true, Per="&amp;filter!$R$1) )</f>
        <v/>
      </c>
      <c r="N169" s="51" t="str">
        <f t="array" aca="1" ref="N169" ca="1">IF( $C169="", "", _xll.IMDP("IDX",$C169,N$6,$D$4,"Fill=true, Per="&amp;filter!$R$1) )</f>
        <v/>
      </c>
      <c r="O169" s="52" t="str">
        <f t="array" aca="1" ref="O169" ca="1">IF( $C169="", "", _xll.IMDP("IDX",$C169,O$6,$D$4,"Fill=true, Per="&amp;filter!$R$1) )</f>
        <v/>
      </c>
    </row>
    <row r="170" spans="2:15">
      <c r="B170" s="21">
        <f t="shared" si="2"/>
        <v>162</v>
      </c>
      <c r="C170" s="17" t="str">
        <f>IFERROR( VLOOKUP(ROWS($B$8:B169), filter!$I:$J, 2, 0), "")</f>
        <v>O2X01P</v>
      </c>
      <c r="D170" s="16" t="str" cm="1">
        <f t="array" ref="D170">IF( $C170="", "", _xll.IMDP("IDX", $C170, D$6) )</f>
        <v>코스피 200 커버드콜 ATM 레버리</v>
      </c>
      <c r="E170" s="34">
        <f t="array" aca="1" ref="E170" ca="1">IF( $C170="", "", _xll.IMDP("IDX",$C170,E$6,$D$4,"Fill=true, Per="&amp;filter!$R$1) )</f>
        <v>961.38</v>
      </c>
      <c r="F170" s="38">
        <f t="array" aca="1" ref="F170" ca="1">IF( $C170="", "", _xll.IMDP("IDX",$C170,F$6,$D$4,"Fill=true, Per="&amp;filter!$R$1) )</f>
        <v>3.25</v>
      </c>
      <c r="G170" s="39">
        <f t="array" aca="1" ref="G170" ca="1">IF( $C170="", "", _xll.IMDP("IDX",$C170,G$6,$D$4,"Fill=true, Per="&amp;filter!$R$1) )</f>
        <v>0.34</v>
      </c>
      <c r="H170" s="43">
        <f t="array" aca="1" ref="H170" ca="1">IF( $C170="", "", _xll.IMDP("IDX",$C170,H$6,$D$4,"Fill=true, Per="&amp;filter!$R$1) )</f>
        <v>0</v>
      </c>
      <c r="I170" s="43">
        <f t="array" aca="1" ref="I170" ca="1">IF( $C170="", "", _xll.IMDP("IDX",$C170,I$6,$D$4,"Fill=true, Per="&amp;filter!$R$1) )</f>
        <v>0</v>
      </c>
      <c r="J170" s="34">
        <f t="array" aca="1" ref="J170" ca="1">IF( $C170="", "", _xll.IMDP("IDX",$C170,J$6,$D$4,"Fill=true, Per="&amp;filter!$R$1) )</f>
        <v>958.39</v>
      </c>
      <c r="K170" s="38">
        <f t="array" aca="1" ref="K170" ca="1">IF( $C170="", "", _xll.IMDP("IDX",$C170,K$6,$D$4,"Fill=true, Per="&amp;filter!$R$1) )</f>
        <v>975.69</v>
      </c>
      <c r="L170" s="39">
        <f t="array" aca="1" ref="L170" ca="1">IF( $C170="", "", _xll.IMDP("IDX",$C170,L$6,$D$4,"Fill=true, Per="&amp;filter!$R$1) )</f>
        <v>0</v>
      </c>
      <c r="M170" s="50" t="str">
        <f t="array" aca="1" ref="M170" ca="1">IF( $C170="", "", _xll.IMDP("IDX",$C170,M$6,$D$4,"Fill=true, Per="&amp;filter!$R$1) )</f>
        <v/>
      </c>
      <c r="N170" s="51" t="str">
        <f t="array" aca="1" ref="N170" ca="1">IF( $C170="", "", _xll.IMDP("IDX",$C170,N$6,$D$4,"Fill=true, Per="&amp;filter!$R$1) )</f>
        <v/>
      </c>
      <c r="O170" s="52" t="str">
        <f t="array" aca="1" ref="O170" ca="1">IF( $C170="", "", _xll.IMDP("IDX",$C170,O$6,$D$4,"Fill=true, Per="&amp;filter!$R$1) )</f>
        <v/>
      </c>
    </row>
    <row r="171" spans="2:15">
      <c r="B171" s="21">
        <f t="shared" si="2"/>
        <v>163</v>
      </c>
      <c r="C171" s="17" t="str">
        <f>IFERROR( VLOOKUP(ROWS($B$8:B170), filter!$I:$J, 2, 0), "")</f>
        <v>XGE04P</v>
      </c>
      <c r="D171" s="16" t="str" cm="1">
        <f t="array" ref="D171">IF( $C171="", "", _xll.IMDP("IDX", $C171, D$6) )</f>
        <v>KRX 사회책임경영지수(S)</v>
      </c>
      <c r="E171" s="34">
        <f t="array" aca="1" ref="E171" ca="1">IF( $C171="", "", _xll.IMDP("IDX",$C171,E$6,$D$4,"Fill=true, Per="&amp;filter!$R$1) )</f>
        <v>2083.6</v>
      </c>
      <c r="F171" s="38">
        <f t="array" aca="1" ref="F171" ca="1">IF( $C171="", "", _xll.IMDP("IDX",$C171,F$6,$D$4,"Fill=true, Per="&amp;filter!$R$1) )</f>
        <v>5.4400000000000546</v>
      </c>
      <c r="G171" s="39">
        <f t="array" aca="1" ref="G171" ca="1">IF( $C171="", "", _xll.IMDP("IDX",$C171,G$6,$D$4,"Fill=true, Per="&amp;filter!$R$1) )</f>
        <v>0.26</v>
      </c>
      <c r="H171" s="43">
        <f t="array" aca="1" ref="H171" ca="1">IF( $C171="", "", _xll.IMDP("IDX",$C171,H$6,$D$4,"Fill=true, Per="&amp;filter!$R$1) )</f>
        <v>98315</v>
      </c>
      <c r="I171" s="43">
        <f t="array" aca="1" ref="I171" ca="1">IF( $C171="", "", _xll.IMDP("IDX",$C171,I$6,$D$4,"Fill=true, Per="&amp;filter!$R$1) )</f>
        <v>5189316</v>
      </c>
      <c r="J171" s="34">
        <f t="array" aca="1" ref="J171" ca="1">IF( $C171="", "", _xll.IMDP("IDX",$C171,J$6,$D$4,"Fill=true, Per="&amp;filter!$R$1) )</f>
        <v>2085.0100000000002</v>
      </c>
      <c r="K171" s="38">
        <f t="array" aca="1" ref="K171" ca="1">IF( $C171="", "", _xll.IMDP("IDX",$C171,K$6,$D$4,"Fill=true, Per="&amp;filter!$R$1) )</f>
        <v>2104.73</v>
      </c>
      <c r="L171" s="39">
        <f t="array" aca="1" ref="L171" ca="1">IF( $C171="", "", _xll.IMDP("IDX",$C171,L$6,$D$4,"Fill=true, Per="&amp;filter!$R$1) )</f>
        <v>0</v>
      </c>
      <c r="M171" s="50" t="str">
        <f t="array" aca="1" ref="M171" ca="1">IF( $C171="", "", _xll.IMDP("IDX",$C171,M$6,$D$4,"Fill=true, Per="&amp;filter!$R$1) )</f>
        <v/>
      </c>
      <c r="N171" s="51" t="str">
        <f t="array" aca="1" ref="N171" ca="1">IF( $C171="", "", _xll.IMDP("IDX",$C171,N$6,$D$4,"Fill=true, Per="&amp;filter!$R$1) )</f>
        <v/>
      </c>
      <c r="O171" s="52" t="str">
        <f t="array" aca="1" ref="O171" ca="1">IF( $C171="", "", _xll.IMDP("IDX",$C171,O$6,$D$4,"Fill=true, Per="&amp;filter!$R$1) )</f>
        <v/>
      </c>
    </row>
    <row r="172" spans="2:15">
      <c r="B172" s="21">
        <f t="shared" si="2"/>
        <v>164</v>
      </c>
      <c r="C172" s="17" t="str">
        <f>IFERROR( VLOOKUP(ROWS($B$8:B171), filter!$I:$J, 2, 0), "")</f>
        <v>XGE03P</v>
      </c>
      <c r="D172" s="16" t="str" cm="1">
        <f t="array" ref="D172">IF( $C172="", "", _xll.IMDP("IDX", $C172, D$6) )</f>
        <v>KRX Governance Leaders 100</v>
      </c>
      <c r="E172" s="34">
        <f t="array" aca="1" ref="E172" ca="1">IF( $C172="", "", _xll.IMDP("IDX",$C172,E$6,$D$4,"Fill=true, Per="&amp;filter!$R$1) )</f>
        <v>2025.79</v>
      </c>
      <c r="F172" s="38">
        <f t="array" aca="1" ref="F172" ca="1">IF( $C172="", "", _xll.IMDP("IDX",$C172,F$6,$D$4,"Fill=true, Per="&amp;filter!$R$1) )</f>
        <v>11.940000000000055</v>
      </c>
      <c r="G172" s="39">
        <f t="array" aca="1" ref="G172" ca="1">IF( $C172="", "", _xll.IMDP("IDX",$C172,G$6,$D$4,"Fill=true, Per="&amp;filter!$R$1) )</f>
        <v>0.59</v>
      </c>
      <c r="H172" s="43">
        <f t="array" aca="1" ref="H172" ca="1">IF( $C172="", "", _xll.IMDP("IDX",$C172,H$6,$D$4,"Fill=true, Per="&amp;filter!$R$1) )</f>
        <v>86455</v>
      </c>
      <c r="I172" s="43">
        <f t="array" aca="1" ref="I172" ca="1">IF( $C172="", "", _xll.IMDP("IDX",$C172,I$6,$D$4,"Fill=true, Per="&amp;filter!$R$1) )</f>
        <v>6657117</v>
      </c>
      <c r="J172" s="34">
        <f t="array" aca="1" ref="J172" ca="1">IF( $C172="", "", _xll.IMDP("IDX",$C172,J$6,$D$4,"Fill=true, Per="&amp;filter!$R$1) )</f>
        <v>2019.71</v>
      </c>
      <c r="K172" s="38">
        <f t="array" aca="1" ref="K172" ca="1">IF( $C172="", "", _xll.IMDP("IDX",$C172,K$6,$D$4,"Fill=true, Per="&amp;filter!$R$1) )</f>
        <v>2031.66</v>
      </c>
      <c r="L172" s="39">
        <f t="array" aca="1" ref="L172" ca="1">IF( $C172="", "", _xll.IMDP("IDX",$C172,L$6,$D$4,"Fill=true, Per="&amp;filter!$R$1) )</f>
        <v>0</v>
      </c>
      <c r="M172" s="50" t="str">
        <f t="array" aca="1" ref="M172" ca="1">IF( $C172="", "", _xll.IMDP("IDX",$C172,M$6,$D$4,"Fill=true, Per="&amp;filter!$R$1) )</f>
        <v/>
      </c>
      <c r="N172" s="51" t="str">
        <f t="array" aca="1" ref="N172" ca="1">IF( $C172="", "", _xll.IMDP("IDX",$C172,N$6,$D$4,"Fill=true, Per="&amp;filter!$R$1) )</f>
        <v/>
      </c>
      <c r="O172" s="52" t="str">
        <f t="array" aca="1" ref="O172" ca="1">IF( $C172="", "", _xll.IMDP("IDX",$C172,O$6,$D$4,"Fill=true, Per="&amp;filter!$R$1) )</f>
        <v/>
      </c>
    </row>
    <row r="173" spans="2:15">
      <c r="B173" s="21">
        <f t="shared" si="2"/>
        <v>165</v>
      </c>
      <c r="C173" s="17" t="str">
        <f>IFERROR( VLOOKUP(ROWS($B$8:B172), filter!$I:$J, 2, 0), "")</f>
        <v>XGE02P</v>
      </c>
      <c r="D173" s="16" t="str" cm="1">
        <f t="array" ref="D173">IF( $C173="", "", _xll.IMDP("IDX", $C173, D$6) )</f>
        <v>KRX Eco Leaders 100</v>
      </c>
      <c r="E173" s="34">
        <f t="array" aca="1" ref="E173" ca="1">IF( $C173="", "", _xll.IMDP("IDX",$C173,E$6,$D$4,"Fill=true, Per="&amp;filter!$R$1) )</f>
        <v>2084.44</v>
      </c>
      <c r="F173" s="38">
        <f t="array" aca="1" ref="F173" ca="1">IF( $C173="", "", _xll.IMDP("IDX",$C173,F$6,$D$4,"Fill=true, Per="&amp;filter!$R$1) )</f>
        <v>8.7699999999999818</v>
      </c>
      <c r="G173" s="39">
        <f t="array" aca="1" ref="G173" ca="1">IF( $C173="", "", _xll.IMDP("IDX",$C173,G$6,$D$4,"Fill=true, Per="&amp;filter!$R$1) )</f>
        <v>0.42</v>
      </c>
      <c r="H173" s="43">
        <f t="array" aca="1" ref="H173" ca="1">IF( $C173="", "", _xll.IMDP("IDX",$C173,H$6,$D$4,"Fill=true, Per="&amp;filter!$R$1) )</f>
        <v>117625</v>
      </c>
      <c r="I173" s="43">
        <f t="array" aca="1" ref="I173" ca="1">IF( $C173="", "", _xll.IMDP("IDX",$C173,I$6,$D$4,"Fill=true, Per="&amp;filter!$R$1) )</f>
        <v>8480747</v>
      </c>
      <c r="J173" s="34">
        <f t="array" aca="1" ref="J173" ca="1">IF( $C173="", "", _xll.IMDP("IDX",$C173,J$6,$D$4,"Fill=true, Per="&amp;filter!$R$1) )</f>
        <v>2082.34</v>
      </c>
      <c r="K173" s="38">
        <f t="array" aca="1" ref="K173" ca="1">IF( $C173="", "", _xll.IMDP("IDX",$C173,K$6,$D$4,"Fill=true, Per="&amp;filter!$R$1) )</f>
        <v>2093.44</v>
      </c>
      <c r="L173" s="39">
        <f t="array" aca="1" ref="L173" ca="1">IF( $C173="", "", _xll.IMDP("IDX",$C173,L$6,$D$4,"Fill=true, Per="&amp;filter!$R$1) )</f>
        <v>0</v>
      </c>
      <c r="M173" s="50" t="str">
        <f t="array" aca="1" ref="M173" ca="1">IF( $C173="", "", _xll.IMDP("IDX",$C173,M$6,$D$4,"Fill=true, Per="&amp;filter!$R$1) )</f>
        <v/>
      </c>
      <c r="N173" s="51" t="str">
        <f t="array" aca="1" ref="N173" ca="1">IF( $C173="", "", _xll.IMDP("IDX",$C173,N$6,$D$4,"Fill=true, Per="&amp;filter!$R$1) )</f>
        <v/>
      </c>
      <c r="O173" s="52" t="str">
        <f t="array" aca="1" ref="O173" ca="1">IF( $C173="", "", _xll.IMDP("IDX",$C173,O$6,$D$4,"Fill=true, Per="&amp;filter!$R$1) )</f>
        <v/>
      </c>
    </row>
    <row r="174" spans="2:15">
      <c r="B174" s="21">
        <f t="shared" si="2"/>
        <v>166</v>
      </c>
      <c r="C174" s="17" t="str">
        <f>IFERROR( VLOOKUP(ROWS($B$8:B173), filter!$I:$J, 2, 0), "")</f>
        <v>XGE01P</v>
      </c>
      <c r="D174" s="16" t="str" cm="1">
        <f t="array" ref="D174">IF( $C174="", "", _xll.IMDP("IDX", $C174, D$6) )</f>
        <v>KRX ESG Leaders 150</v>
      </c>
      <c r="E174" s="34">
        <f t="array" aca="1" ref="E174" ca="1">IF( $C174="", "", _xll.IMDP("IDX",$C174,E$6,$D$4,"Fill=true, Per="&amp;filter!$R$1) )</f>
        <v>1726.99</v>
      </c>
      <c r="F174" s="38">
        <f t="array" aca="1" ref="F174" ca="1">IF( $C174="", "", _xll.IMDP("IDX",$C174,F$6,$D$4,"Fill=true, Per="&amp;filter!$R$1) )</f>
        <v>5.9600000000000364</v>
      </c>
      <c r="G174" s="39">
        <f t="array" aca="1" ref="G174" ca="1">IF( $C174="", "", _xll.IMDP("IDX",$C174,G$6,$D$4,"Fill=true, Per="&amp;filter!$R$1) )</f>
        <v>0.35</v>
      </c>
      <c r="H174" s="43">
        <f t="array" aca="1" ref="H174" ca="1">IF( $C174="", "", _xll.IMDP("IDX",$C174,H$6,$D$4,"Fill=true, Per="&amp;filter!$R$1) )</f>
        <v>172699</v>
      </c>
      <c r="I174" s="43">
        <f t="array" aca="1" ref="I174" ca="1">IF( $C174="", "", _xll.IMDP("IDX",$C174,I$6,$D$4,"Fill=true, Per="&amp;filter!$R$1) )</f>
        <v>12045265</v>
      </c>
      <c r="J174" s="34">
        <f t="array" aca="1" ref="J174" ca="1">IF( $C174="", "", _xll.IMDP("IDX",$C174,J$6,$D$4,"Fill=true, Per="&amp;filter!$R$1) )</f>
        <v>1727.07</v>
      </c>
      <c r="K174" s="38">
        <f t="array" aca="1" ref="K174" ca="1">IF( $C174="", "", _xll.IMDP("IDX",$C174,K$6,$D$4,"Fill=true, Per="&amp;filter!$R$1) )</f>
        <v>1737.32</v>
      </c>
      <c r="L174" s="39">
        <f t="array" aca="1" ref="L174" ca="1">IF( $C174="", "", _xll.IMDP("IDX",$C174,L$6,$D$4,"Fill=true, Per="&amp;filter!$R$1) )</f>
        <v>0</v>
      </c>
      <c r="M174" s="50" t="str">
        <f t="array" aca="1" ref="M174" ca="1">IF( $C174="", "", _xll.IMDP("IDX",$C174,M$6,$D$4,"Fill=true, Per="&amp;filter!$R$1) )</f>
        <v/>
      </c>
      <c r="N174" s="51" t="str">
        <f t="array" aca="1" ref="N174" ca="1">IF( $C174="", "", _xll.IMDP("IDX",$C174,N$6,$D$4,"Fill=true, Per="&amp;filter!$R$1) )</f>
        <v/>
      </c>
      <c r="O174" s="52" t="str">
        <f t="array" aca="1" ref="O174" ca="1">IF( $C174="", "", _xll.IMDP("IDX",$C174,O$6,$D$4,"Fill=true, Per="&amp;filter!$R$1) )</f>
        <v/>
      </c>
    </row>
    <row r="175" spans="2:15">
      <c r="B175" s="21">
        <f t="shared" si="2"/>
        <v>167</v>
      </c>
      <c r="C175" s="17" t="str">
        <f>IFERROR( VLOOKUP(ROWS($B$8:B174), filter!$I:$J, 2, 0), "")</f>
        <v>XGD02P</v>
      </c>
      <c r="D175" s="16" t="str" cm="1">
        <f t="array" ref="D175">IF( $C175="", "", _xll.IMDP("IDX", $C175, D$6) )</f>
        <v>KRX 부동산리츠인프라 지수</v>
      </c>
      <c r="E175" s="34">
        <f t="array" aca="1" ref="E175" ca="1">IF( $C175="", "", _xll.IMDP("IDX",$C175,E$6,$D$4,"Fill=true, Per="&amp;filter!$R$1) )</f>
        <v>1464.57</v>
      </c>
      <c r="F175" s="38">
        <f t="array" aca="1" ref="F175" ca="1">IF( $C175="", "", _xll.IMDP("IDX",$C175,F$6,$D$4,"Fill=true, Per="&amp;filter!$R$1) )</f>
        <v>-3.3300000000001546</v>
      </c>
      <c r="G175" s="39">
        <f t="array" aca="1" ref="G175" ca="1">IF( $C175="", "", _xll.IMDP("IDX",$C175,G$6,$D$4,"Fill=true, Per="&amp;filter!$R$1) )</f>
        <v>-0.23</v>
      </c>
      <c r="H175" s="43">
        <f t="array" aca="1" ref="H175" ca="1">IF( $C175="", "", _xll.IMDP("IDX",$C175,H$6,$D$4,"Fill=true, Per="&amp;filter!$R$1) )</f>
        <v>4279</v>
      </c>
      <c r="I175" s="43">
        <f t="array" aca="1" ref="I175" ca="1">IF( $C175="", "", _xll.IMDP("IDX",$C175,I$6,$D$4,"Fill=true, Per="&amp;filter!$R$1) )</f>
        <v>28216</v>
      </c>
      <c r="J175" s="34">
        <f t="array" aca="1" ref="J175" ca="1">IF( $C175="", "", _xll.IMDP("IDX",$C175,J$6,$D$4,"Fill=true, Per="&amp;filter!$R$1) )</f>
        <v>1467.32</v>
      </c>
      <c r="K175" s="38">
        <f t="array" aca="1" ref="K175" ca="1">IF( $C175="", "", _xll.IMDP("IDX",$C175,K$6,$D$4,"Fill=true, Per="&amp;filter!$R$1) )</f>
        <v>1467.32</v>
      </c>
      <c r="L175" s="39">
        <f t="array" aca="1" ref="L175" ca="1">IF( $C175="", "", _xll.IMDP("IDX",$C175,L$6,$D$4,"Fill=true, Per="&amp;filter!$R$1) )</f>
        <v>0</v>
      </c>
      <c r="M175" s="50" t="str">
        <f t="array" aca="1" ref="M175" ca="1">IF( $C175="", "", _xll.IMDP("IDX",$C175,M$6,$D$4,"Fill=true, Per="&amp;filter!$R$1) )</f>
        <v/>
      </c>
      <c r="N175" s="51" t="str">
        <f t="array" aca="1" ref="N175" ca="1">IF( $C175="", "", _xll.IMDP("IDX",$C175,N$6,$D$4,"Fill=true, Per="&amp;filter!$R$1) )</f>
        <v/>
      </c>
      <c r="O175" s="52" t="str">
        <f t="array" aca="1" ref="O175" ca="1">IF( $C175="", "", _xll.IMDP("IDX",$C175,O$6,$D$4,"Fill=true, Per="&amp;filter!$R$1) )</f>
        <v/>
      </c>
    </row>
    <row r="176" spans="2:15">
      <c r="B176" s="21">
        <f t="shared" si="2"/>
        <v>168</v>
      </c>
      <c r="C176" s="17" t="str">
        <f>IFERROR( VLOOKUP(ROWS($B$8:B175), filter!$I:$J, 2, 0), "")</f>
        <v>XGB05P</v>
      </c>
      <c r="D176" s="16" t="str" cm="1">
        <f t="array" ref="D176">IF( $C176="", "", _xll.IMDP("IDX", $C176, D$6) )</f>
        <v>KRX 최소변동성지수</v>
      </c>
      <c r="E176" s="34">
        <f t="array" aca="1" ref="E176" ca="1">IF( $C176="", "", _xll.IMDP("IDX",$C176,E$6,$D$4,"Fill=true, Per="&amp;filter!$R$1) )</f>
        <v>6600.05</v>
      </c>
      <c r="F176" s="38">
        <f t="array" aca="1" ref="F176" ca="1">IF( $C176="", "", _xll.IMDP("IDX",$C176,F$6,$D$4,"Fill=true, Per="&amp;filter!$R$1) )</f>
        <v>25.670000000000073</v>
      </c>
      <c r="G176" s="39">
        <f t="array" aca="1" ref="G176" ca="1">IF( $C176="", "", _xll.IMDP("IDX",$C176,G$6,$D$4,"Fill=true, Per="&amp;filter!$R$1) )</f>
        <v>0.39</v>
      </c>
      <c r="H176" s="43">
        <f t="array" aca="1" ref="H176" ca="1">IF( $C176="", "", _xll.IMDP("IDX",$C176,H$6,$D$4,"Fill=true, Per="&amp;filter!$R$1) )</f>
        <v>133465</v>
      </c>
      <c r="I176" s="43">
        <f t="array" aca="1" ref="I176" ca="1">IF( $C176="", "", _xll.IMDP("IDX",$C176,I$6,$D$4,"Fill=true, Per="&amp;filter!$R$1) )</f>
        <v>8199265</v>
      </c>
      <c r="J176" s="34">
        <f t="array" aca="1" ref="J176" ca="1">IF( $C176="", "", _xll.IMDP("IDX",$C176,J$6,$D$4,"Fill=true, Per="&amp;filter!$R$1) )</f>
        <v>6586.12</v>
      </c>
      <c r="K176" s="38">
        <f t="array" aca="1" ref="K176" ca="1">IF( $C176="", "", _xll.IMDP("IDX",$C176,K$6,$D$4,"Fill=true, Per="&amp;filter!$R$1) )</f>
        <v>6650.1</v>
      </c>
      <c r="L176" s="39">
        <f t="array" aca="1" ref="L176" ca="1">IF( $C176="", "", _xll.IMDP("IDX",$C176,L$6,$D$4,"Fill=true, Per="&amp;filter!$R$1) )</f>
        <v>0</v>
      </c>
      <c r="M176" s="50" t="str">
        <f t="array" aca="1" ref="M176" ca="1">IF( $C176="", "", _xll.IMDP("IDX",$C176,M$6,$D$4,"Fill=true, Per="&amp;filter!$R$1) )</f>
        <v/>
      </c>
      <c r="N176" s="51" t="str">
        <f t="array" aca="1" ref="N176" ca="1">IF( $C176="", "", _xll.IMDP("IDX",$C176,N$6,$D$4,"Fill=true, Per="&amp;filter!$R$1) )</f>
        <v/>
      </c>
      <c r="O176" s="52" t="str">
        <f t="array" aca="1" ref="O176" ca="1">IF( $C176="", "", _xll.IMDP("IDX",$C176,O$6,$D$4,"Fill=true, Per="&amp;filter!$R$1) )</f>
        <v/>
      </c>
    </row>
    <row r="177" spans="2:15">
      <c r="B177" s="21">
        <f t="shared" si="2"/>
        <v>169</v>
      </c>
      <c r="C177" s="17" t="str">
        <f>IFERROR( VLOOKUP(ROWS($B$8:B176), filter!$I:$J, 2, 0), "")</f>
        <v>XG904P</v>
      </c>
      <c r="D177" s="16" t="str" cm="1">
        <f t="array" ref="D177">IF( $C177="", "", _xll.IMDP("IDX", $C177, D$6) )</f>
        <v>KRX 포스트IPO 지수</v>
      </c>
      <c r="E177" s="34">
        <f t="array" aca="1" ref="E177" ca="1">IF( $C177="", "", _xll.IMDP("IDX",$C177,E$6,$D$4,"Fill=true, Per="&amp;filter!$R$1) )</f>
        <v>820.22</v>
      </c>
      <c r="F177" s="38">
        <f t="array" aca="1" ref="F177" ca="1">IF( $C177="", "", _xll.IMDP("IDX",$C177,F$6,$D$4,"Fill=true, Per="&amp;filter!$R$1) )</f>
        <v>16.080000000000041</v>
      </c>
      <c r="G177" s="39">
        <f t="array" aca="1" ref="G177" ca="1">IF( $C177="", "", _xll.IMDP("IDX",$C177,G$6,$D$4,"Fill=true, Per="&amp;filter!$R$1) )</f>
        <v>2</v>
      </c>
      <c r="H177" s="43">
        <f t="array" aca="1" ref="H177" ca="1">IF( $C177="", "", _xll.IMDP("IDX",$C177,H$6,$D$4,"Fill=true, Per="&amp;filter!$R$1) )</f>
        <v>115839</v>
      </c>
      <c r="I177" s="43">
        <f t="array" aca="1" ref="I177" ca="1">IF( $C177="", "", _xll.IMDP("IDX",$C177,I$6,$D$4,"Fill=true, Per="&amp;filter!$R$1) )</f>
        <v>1598161</v>
      </c>
      <c r="J177" s="34">
        <f t="array" aca="1" ref="J177" ca="1">IF( $C177="", "", _xll.IMDP("IDX",$C177,J$6,$D$4,"Fill=true, Per="&amp;filter!$R$1) )</f>
        <v>813.25</v>
      </c>
      <c r="K177" s="38">
        <f t="array" aca="1" ref="K177" ca="1">IF( $C177="", "", _xll.IMDP("IDX",$C177,K$6,$D$4,"Fill=true, Per="&amp;filter!$R$1) )</f>
        <v>829.86</v>
      </c>
      <c r="L177" s="39">
        <f t="array" aca="1" ref="L177" ca="1">IF( $C177="", "", _xll.IMDP("IDX",$C177,L$6,$D$4,"Fill=true, Per="&amp;filter!$R$1) )</f>
        <v>0</v>
      </c>
      <c r="M177" s="50" t="str">
        <f t="array" aca="1" ref="M177" ca="1">IF( $C177="", "", _xll.IMDP("IDX",$C177,M$6,$D$4,"Fill=true, Per="&amp;filter!$R$1) )</f>
        <v/>
      </c>
      <c r="N177" s="51" t="str">
        <f t="array" aca="1" ref="N177" ca="1">IF( $C177="", "", _xll.IMDP("IDX",$C177,N$6,$D$4,"Fill=true, Per="&amp;filter!$R$1) )</f>
        <v/>
      </c>
      <c r="O177" s="52" t="str">
        <f t="array" aca="1" ref="O177" ca="1">IF( $C177="", "", _xll.IMDP("IDX",$C177,O$6,$D$4,"Fill=true, Per="&amp;filter!$R$1) )</f>
        <v/>
      </c>
    </row>
    <row r="178" spans="2:15">
      <c r="B178" s="21">
        <f t="shared" si="2"/>
        <v>170</v>
      </c>
      <c r="C178" s="17" t="str">
        <f>IFERROR( VLOOKUP(ROWS($B$8:B177), filter!$I:$J, 2, 0), "")</f>
        <v>XG903P</v>
      </c>
      <c r="D178" s="16" t="str" cm="1">
        <f t="array" ref="D178">IF( $C178="", "", _xll.IMDP("IDX", $C178, D$6) )</f>
        <v>코스피200 코스닥150 고정비중 3</v>
      </c>
      <c r="E178" s="34">
        <f t="array" aca="1" ref="E178" ca="1">IF( $C178="", "", _xll.IMDP("IDX",$C178,E$6,$D$4,"Fill=true, Per="&amp;filter!$R$1) )</f>
        <v>1448.85</v>
      </c>
      <c r="F178" s="38">
        <f t="array" aca="1" ref="F178" ca="1">IF( $C178="", "", _xll.IMDP("IDX",$C178,F$6,$D$4,"Fill=true, Per="&amp;filter!$R$1) )</f>
        <v>-14.160000000000082</v>
      </c>
      <c r="G178" s="39">
        <f t="array" aca="1" ref="G178" ca="1">IF( $C178="", "", _xll.IMDP("IDX",$C178,G$6,$D$4,"Fill=true, Per="&amp;filter!$R$1) )</f>
        <v>-0.97</v>
      </c>
      <c r="H178" s="43">
        <f t="array" aca="1" ref="H178" ca="1">IF( $C178="", "", _xll.IMDP("IDX",$C178,H$6,$D$4,"Fill=true, Per="&amp;filter!$R$1) )</f>
        <v>0</v>
      </c>
      <c r="I178" s="43">
        <f t="array" aca="1" ref="I178" ca="1">IF( $C178="", "", _xll.IMDP("IDX",$C178,I$6,$D$4,"Fill=true, Per="&amp;filter!$R$1) )</f>
        <v>0</v>
      </c>
      <c r="J178" s="34">
        <f t="array" aca="1" ref="J178" ca="1">IF( $C178="", "", _xll.IMDP("IDX",$C178,J$6,$D$4,"Fill=true, Per="&amp;filter!$R$1) )</f>
        <v>1467.02</v>
      </c>
      <c r="K178" s="38">
        <f t="array" aca="1" ref="K178" ca="1">IF( $C178="", "", _xll.IMDP("IDX",$C178,K$6,$D$4,"Fill=true, Per="&amp;filter!$R$1) )</f>
        <v>1476.92</v>
      </c>
      <c r="L178" s="39">
        <f t="array" aca="1" ref="L178" ca="1">IF( $C178="", "", _xll.IMDP("IDX",$C178,L$6,$D$4,"Fill=true, Per="&amp;filter!$R$1) )</f>
        <v>0</v>
      </c>
      <c r="M178" s="50" t="str">
        <f t="array" aca="1" ref="M178" ca="1">IF( $C178="", "", _xll.IMDP("IDX",$C178,M$6,$D$4,"Fill=true, Per="&amp;filter!$R$1) )</f>
        <v/>
      </c>
      <c r="N178" s="51" t="str">
        <f t="array" aca="1" ref="N178" ca="1">IF( $C178="", "", _xll.IMDP("IDX",$C178,N$6,$D$4,"Fill=true, Per="&amp;filter!$R$1) )</f>
        <v/>
      </c>
      <c r="O178" s="52" t="str">
        <f t="array" aca="1" ref="O178" ca="1">IF( $C178="", "", _xll.IMDP("IDX",$C178,O$6,$D$4,"Fill=true, Per="&amp;filter!$R$1) )</f>
        <v/>
      </c>
    </row>
    <row r="179" spans="2:15">
      <c r="B179" s="21">
        <f t="shared" si="2"/>
        <v>171</v>
      </c>
      <c r="C179" s="17" t="str">
        <f>IFERROR( VLOOKUP(ROWS($B$8:B178), filter!$I:$J, 2, 0), "")</f>
        <v>XG902P</v>
      </c>
      <c r="D179" s="16" t="str" cm="1">
        <f t="array" ref="D179">IF( $C179="", "", _xll.IMDP("IDX", $C179, D$6) )</f>
        <v>코스피200 코스닥150 고정비중 7</v>
      </c>
      <c r="E179" s="34">
        <f t="array" aca="1" ref="E179" ca="1">IF( $C179="", "", _xll.IMDP("IDX",$C179,E$6,$D$4,"Fill=true, Per="&amp;filter!$R$1) )</f>
        <v>1585.91</v>
      </c>
      <c r="F179" s="38">
        <f t="array" aca="1" ref="F179" ca="1">IF( $C179="", "", _xll.IMDP("IDX",$C179,F$6,$D$4,"Fill=true, Per="&amp;filter!$R$1) )</f>
        <v>-13.579999999999927</v>
      </c>
      <c r="G179" s="39">
        <f t="array" aca="1" ref="G179" ca="1">IF( $C179="", "", _xll.IMDP("IDX",$C179,G$6,$D$4,"Fill=true, Per="&amp;filter!$R$1) )</f>
        <v>-0.85</v>
      </c>
      <c r="H179" s="43">
        <f t="array" aca="1" ref="H179" ca="1">IF( $C179="", "", _xll.IMDP("IDX",$C179,H$6,$D$4,"Fill=true, Per="&amp;filter!$R$1) )</f>
        <v>0</v>
      </c>
      <c r="I179" s="43">
        <f t="array" aca="1" ref="I179" ca="1">IF( $C179="", "", _xll.IMDP("IDX",$C179,I$6,$D$4,"Fill=true, Per="&amp;filter!$R$1) )</f>
        <v>0</v>
      </c>
      <c r="J179" s="34">
        <f t="array" aca="1" ref="J179" ca="1">IF( $C179="", "", _xll.IMDP("IDX",$C179,J$6,$D$4,"Fill=true, Per="&amp;filter!$R$1) )</f>
        <v>1603.67</v>
      </c>
      <c r="K179" s="38">
        <f t="array" aca="1" ref="K179" ca="1">IF( $C179="", "", _xll.IMDP("IDX",$C179,K$6,$D$4,"Fill=true, Per="&amp;filter!$R$1) )</f>
        <v>1611.43</v>
      </c>
      <c r="L179" s="39">
        <f t="array" aca="1" ref="L179" ca="1">IF( $C179="", "", _xll.IMDP("IDX",$C179,L$6,$D$4,"Fill=true, Per="&amp;filter!$R$1) )</f>
        <v>0</v>
      </c>
      <c r="M179" s="50" t="str">
        <f t="array" aca="1" ref="M179" ca="1">IF( $C179="", "", _xll.IMDP("IDX",$C179,M$6,$D$4,"Fill=true, Per="&amp;filter!$R$1) )</f>
        <v/>
      </c>
      <c r="N179" s="51" t="str">
        <f t="array" aca="1" ref="N179" ca="1">IF( $C179="", "", _xll.IMDP("IDX",$C179,N$6,$D$4,"Fill=true, Per="&amp;filter!$R$1) )</f>
        <v/>
      </c>
      <c r="O179" s="52" t="str">
        <f t="array" aca="1" ref="O179" ca="1">IF( $C179="", "", _xll.IMDP("IDX",$C179,O$6,$D$4,"Fill=true, Per="&amp;filter!$R$1) )</f>
        <v/>
      </c>
    </row>
    <row r="180" spans="2:15">
      <c r="B180" s="21">
        <f t="shared" si="2"/>
        <v>172</v>
      </c>
      <c r="C180" s="17" t="str">
        <f>IFERROR( VLOOKUP(ROWS($B$8:B179), filter!$I:$J, 2, 0), "")</f>
        <v>XG901P</v>
      </c>
      <c r="D180" s="16" t="str" cm="1">
        <f t="array" ref="D180">IF( $C180="", "", _xll.IMDP("IDX", $C180, D$6) )</f>
        <v>코스피200 코스닥150 고정비중 5</v>
      </c>
      <c r="E180" s="34">
        <f t="array" aca="1" ref="E180" ca="1">IF( $C180="", "", _xll.IMDP("IDX",$C180,E$6,$D$4,"Fill=true, Per="&amp;filter!$R$1) )</f>
        <v>1531.62</v>
      </c>
      <c r="F180" s="38">
        <f t="array" aca="1" ref="F180" ca="1">IF( $C180="", "", _xll.IMDP("IDX",$C180,F$6,$D$4,"Fill=true, Per="&amp;filter!$R$1) )</f>
        <v>-14.040000000000191</v>
      </c>
      <c r="G180" s="39">
        <f t="array" aca="1" ref="G180" ca="1">IF( $C180="", "", _xll.IMDP("IDX",$C180,G$6,$D$4,"Fill=true, Per="&amp;filter!$R$1) )</f>
        <v>-0.91</v>
      </c>
      <c r="H180" s="43">
        <f t="array" aca="1" ref="H180" ca="1">IF( $C180="", "", _xll.IMDP("IDX",$C180,H$6,$D$4,"Fill=true, Per="&amp;filter!$R$1) )</f>
        <v>0</v>
      </c>
      <c r="I180" s="43">
        <f t="array" aca="1" ref="I180" ca="1">IF( $C180="", "", _xll.IMDP("IDX",$C180,I$6,$D$4,"Fill=true, Per="&amp;filter!$R$1) )</f>
        <v>0</v>
      </c>
      <c r="J180" s="34">
        <f t="array" aca="1" ref="J180" ca="1">IF( $C180="", "", _xll.IMDP("IDX",$C180,J$6,$D$4,"Fill=true, Per="&amp;filter!$R$1) )</f>
        <v>1549.8</v>
      </c>
      <c r="K180" s="38">
        <f t="array" aca="1" ref="K180" ca="1">IF( $C180="", "", _xll.IMDP("IDX",$C180,K$6,$D$4,"Fill=true, Per="&amp;filter!$R$1) )</f>
        <v>1558.5</v>
      </c>
      <c r="L180" s="39">
        <f t="array" aca="1" ref="L180" ca="1">IF( $C180="", "", _xll.IMDP("IDX",$C180,L$6,$D$4,"Fill=true, Per="&amp;filter!$R$1) )</f>
        <v>0</v>
      </c>
      <c r="M180" s="50" t="str">
        <f t="array" aca="1" ref="M180" ca="1">IF( $C180="", "", _xll.IMDP("IDX",$C180,M$6,$D$4,"Fill=true, Per="&amp;filter!$R$1) )</f>
        <v/>
      </c>
      <c r="N180" s="51" t="str">
        <f t="array" aca="1" ref="N180" ca="1">IF( $C180="", "", _xll.IMDP("IDX",$C180,N$6,$D$4,"Fill=true, Per="&amp;filter!$R$1) )</f>
        <v/>
      </c>
      <c r="O180" s="52" t="str">
        <f t="array" aca="1" ref="O180" ca="1">IF( $C180="", "", _xll.IMDP("IDX",$C180,O$6,$D$4,"Fill=true, Per="&amp;filter!$R$1) )</f>
        <v/>
      </c>
    </row>
    <row r="181" spans="2:15">
      <c r="B181" s="21">
        <f t="shared" si="2"/>
        <v>173</v>
      </c>
      <c r="C181" s="17" t="str">
        <f>IFERROR( VLOOKUP(ROWS($B$8:B180), filter!$I:$J, 2, 0), "")</f>
        <v>X3X01P</v>
      </c>
      <c r="D181" s="16" t="str" cm="1">
        <f t="array" ref="D181">IF( $C181="", "", _xll.IMDP("IDX", $C181, D$6) )</f>
        <v>KRX 300 레버리지지수</v>
      </c>
      <c r="E181" s="34">
        <f t="array" aca="1" ref="E181" ca="1">IF( $C181="", "", _xll.IMDP("IDX",$C181,E$6,$D$4,"Fill=true, Per="&amp;filter!$R$1) )</f>
        <v>883.89</v>
      </c>
      <c r="F181" s="38">
        <f t="array" aca="1" ref="F181" ca="1">IF( $C181="", "", _xll.IMDP("IDX",$C181,F$6,$D$4,"Fill=true, Per="&amp;filter!$R$1) )</f>
        <v>-14.310000000000059</v>
      </c>
      <c r="G181" s="39">
        <f t="array" aca="1" ref="G181" ca="1">IF( $C181="", "", _xll.IMDP("IDX",$C181,G$6,$D$4,"Fill=true, Per="&amp;filter!$R$1) )</f>
        <v>-1.59</v>
      </c>
      <c r="H181" s="43">
        <f t="array" aca="1" ref="H181" ca="1">IF( $C181="", "", _xll.IMDP("IDX",$C181,H$6,$D$4,"Fill=true, Per="&amp;filter!$R$1) )</f>
        <v>0</v>
      </c>
      <c r="I181" s="43">
        <f t="array" aca="1" ref="I181" ca="1">IF( $C181="", "", _xll.IMDP("IDX",$C181,I$6,$D$4,"Fill=true, Per="&amp;filter!$R$1) )</f>
        <v>0</v>
      </c>
      <c r="J181" s="34">
        <f t="array" aca="1" ref="J181" ca="1">IF( $C181="", "", _xll.IMDP("IDX",$C181,J$6,$D$4,"Fill=true, Per="&amp;filter!$R$1) )</f>
        <v>902.86</v>
      </c>
      <c r="K181" s="38">
        <f t="array" aca="1" ref="K181" ca="1">IF( $C181="", "", _xll.IMDP("IDX",$C181,K$6,$D$4,"Fill=true, Per="&amp;filter!$R$1) )</f>
        <v>910.08</v>
      </c>
      <c r="L181" s="39">
        <f t="array" aca="1" ref="L181" ca="1">IF( $C181="", "", _xll.IMDP("IDX",$C181,L$6,$D$4,"Fill=true, Per="&amp;filter!$R$1) )</f>
        <v>0</v>
      </c>
      <c r="M181" s="50" t="str">
        <f t="array" aca="1" ref="M181" ca="1">IF( $C181="", "", _xll.IMDP("IDX",$C181,M$6,$D$4,"Fill=true, Per="&amp;filter!$R$1) )</f>
        <v/>
      </c>
      <c r="N181" s="51" t="str">
        <f t="array" aca="1" ref="N181" ca="1">IF( $C181="", "", _xll.IMDP("IDX",$C181,N$6,$D$4,"Fill=true, Per="&amp;filter!$R$1) )</f>
        <v/>
      </c>
      <c r="O181" s="52" t="str">
        <f t="array" aca="1" ref="O181" ca="1">IF( $C181="", "", _xll.IMDP("IDX",$C181,O$6,$D$4,"Fill=true, Per="&amp;filter!$R$1) )</f>
        <v/>
      </c>
    </row>
    <row r="182" spans="2:15">
      <c r="B182" s="21">
        <f t="shared" si="2"/>
        <v>174</v>
      </c>
      <c r="C182" s="17" t="str">
        <f>IFERROR( VLOOKUP(ROWS($B$8:B181), filter!$I:$J, 2, 0), "")</f>
        <v>X3S08P</v>
      </c>
      <c r="D182" s="16" t="str" cm="1">
        <f t="array" ref="D182">IF( $C182="", "", _xll.IMDP("IDX", $C182, D$6) )</f>
        <v>KRX 300 커뮤니케이션서비스</v>
      </c>
      <c r="E182" s="34">
        <f t="array" aca="1" ref="E182" ca="1">IF( $C182="", "", _xll.IMDP("IDX",$C182,E$6,$D$4,"Fill=true, Per="&amp;filter!$R$1) )</f>
        <v>1344.2</v>
      </c>
      <c r="F182" s="38">
        <f t="array" aca="1" ref="F182" ca="1">IF( $C182="", "", _xll.IMDP("IDX",$C182,F$6,$D$4,"Fill=true, Per="&amp;filter!$R$1) )</f>
        <v>-10.289999999999964</v>
      </c>
      <c r="G182" s="39">
        <f t="array" aca="1" ref="G182" ca="1">IF( $C182="", "", _xll.IMDP("IDX",$C182,G$6,$D$4,"Fill=true, Per="&amp;filter!$R$1) )</f>
        <v>-0.76</v>
      </c>
      <c r="H182" s="43">
        <f t="array" aca="1" ref="H182" ca="1">IF( $C182="", "", _xll.IMDP("IDX",$C182,H$6,$D$4,"Fill=true, Per="&amp;filter!$R$1) )</f>
        <v>14820</v>
      </c>
      <c r="I182" s="43">
        <f t="array" aca="1" ref="I182" ca="1">IF( $C182="", "", _xll.IMDP("IDX",$C182,I$6,$D$4,"Fill=true, Per="&amp;filter!$R$1) )</f>
        <v>711731</v>
      </c>
      <c r="J182" s="34">
        <f t="array" aca="1" ref="J182" ca="1">IF( $C182="", "", _xll.IMDP("IDX",$C182,J$6,$D$4,"Fill=true, Per="&amp;filter!$R$1) )</f>
        <v>1354.62</v>
      </c>
      <c r="K182" s="38">
        <f t="array" aca="1" ref="K182" ca="1">IF( $C182="", "", _xll.IMDP("IDX",$C182,K$6,$D$4,"Fill=true, Per="&amp;filter!$R$1) )</f>
        <v>1358.75</v>
      </c>
      <c r="L182" s="39">
        <f t="array" aca="1" ref="L182" ca="1">IF( $C182="", "", _xll.IMDP("IDX",$C182,L$6,$D$4,"Fill=true, Per="&amp;filter!$R$1) )</f>
        <v>0</v>
      </c>
      <c r="M182" s="50" t="str">
        <f t="array" aca="1" ref="M182" ca="1">IF( $C182="", "", _xll.IMDP("IDX",$C182,M$6,$D$4,"Fill=true, Per="&amp;filter!$R$1) )</f>
        <v/>
      </c>
      <c r="N182" s="51" t="str">
        <f t="array" aca="1" ref="N182" ca="1">IF( $C182="", "", _xll.IMDP("IDX",$C182,N$6,$D$4,"Fill=true, Per="&amp;filter!$R$1) )</f>
        <v/>
      </c>
      <c r="O182" s="52" t="str">
        <f t="array" aca="1" ref="O182" ca="1">IF( $C182="", "", _xll.IMDP("IDX",$C182,O$6,$D$4,"Fill=true, Per="&amp;filter!$R$1) )</f>
        <v/>
      </c>
    </row>
    <row r="183" spans="2:15">
      <c r="B183" s="21">
        <f t="shared" si="2"/>
        <v>175</v>
      </c>
      <c r="C183" s="17" t="str">
        <f>IFERROR( VLOOKUP(ROWS($B$8:B182), filter!$I:$J, 2, 0), "")</f>
        <v>X3S07P</v>
      </c>
      <c r="D183" s="16" t="str" cm="1">
        <f t="array" ref="D183">IF( $C183="", "", _xll.IMDP("IDX", $C183, D$6) )</f>
        <v>KRX 300 필수소비재</v>
      </c>
      <c r="E183" s="34">
        <f t="array" aca="1" ref="E183" ca="1">IF( $C183="", "", _xll.IMDP("IDX",$C183,E$6,$D$4,"Fill=true, Per="&amp;filter!$R$1) )</f>
        <v>1183.02</v>
      </c>
      <c r="F183" s="38">
        <f t="array" aca="1" ref="F183" ca="1">IF( $C183="", "", _xll.IMDP("IDX",$C183,F$6,$D$4,"Fill=true, Per="&amp;filter!$R$1) )</f>
        <v>8.9000000000000909</v>
      </c>
      <c r="G183" s="39">
        <f t="array" aca="1" ref="G183" ca="1">IF( $C183="", "", _xll.IMDP("IDX",$C183,G$6,$D$4,"Fill=true, Per="&amp;filter!$R$1) )</f>
        <v>0.76</v>
      </c>
      <c r="H183" s="43">
        <f t="array" aca="1" ref="H183" ca="1">IF( $C183="", "", _xll.IMDP("IDX",$C183,H$6,$D$4,"Fill=true, Per="&amp;filter!$R$1) )</f>
        <v>5526</v>
      </c>
      <c r="I183" s="43">
        <f t="array" aca="1" ref="I183" ca="1">IF( $C183="", "", _xll.IMDP("IDX",$C183,I$6,$D$4,"Fill=true, Per="&amp;filter!$R$1) )</f>
        <v>507758</v>
      </c>
      <c r="J183" s="34">
        <f t="array" aca="1" ref="J183" ca="1">IF( $C183="", "", _xll.IMDP("IDX",$C183,J$6,$D$4,"Fill=true, Per="&amp;filter!$R$1) )</f>
        <v>1180.07</v>
      </c>
      <c r="K183" s="38">
        <f t="array" aca="1" ref="K183" ca="1">IF( $C183="", "", _xll.IMDP("IDX",$C183,K$6,$D$4,"Fill=true, Per="&amp;filter!$R$1) )</f>
        <v>1189.99</v>
      </c>
      <c r="L183" s="39">
        <f t="array" aca="1" ref="L183" ca="1">IF( $C183="", "", _xll.IMDP("IDX",$C183,L$6,$D$4,"Fill=true, Per="&amp;filter!$R$1) )</f>
        <v>0</v>
      </c>
      <c r="M183" s="50" t="str">
        <f t="array" aca="1" ref="M183" ca="1">IF( $C183="", "", _xll.IMDP("IDX",$C183,M$6,$D$4,"Fill=true, Per="&amp;filter!$R$1) )</f>
        <v/>
      </c>
      <c r="N183" s="51" t="str">
        <f t="array" aca="1" ref="N183" ca="1">IF( $C183="", "", _xll.IMDP("IDX",$C183,N$6,$D$4,"Fill=true, Per="&amp;filter!$R$1) )</f>
        <v/>
      </c>
      <c r="O183" s="52" t="str">
        <f t="array" aca="1" ref="O183" ca="1">IF( $C183="", "", _xll.IMDP("IDX",$C183,O$6,$D$4,"Fill=true, Per="&amp;filter!$R$1) )</f>
        <v/>
      </c>
    </row>
    <row r="184" spans="2:15">
      <c r="B184" s="21">
        <f t="shared" si="2"/>
        <v>176</v>
      </c>
      <c r="C184" s="17" t="str">
        <f>IFERROR( VLOOKUP(ROWS($B$8:B183), filter!$I:$J, 2, 0), "")</f>
        <v>X3S06P</v>
      </c>
      <c r="D184" s="16" t="str" cm="1">
        <f t="array" ref="D184">IF( $C184="", "", _xll.IMDP("IDX", $C184, D$6) )</f>
        <v>KRX 300 소재</v>
      </c>
      <c r="E184" s="34">
        <f t="array" aca="1" ref="E184" ca="1">IF( $C184="", "", _xll.IMDP("IDX",$C184,E$6,$D$4,"Fill=true, Per="&amp;filter!$R$1) )</f>
        <v>1440.82</v>
      </c>
      <c r="F184" s="38">
        <f t="array" aca="1" ref="F184" ca="1">IF( $C184="", "", _xll.IMDP("IDX",$C184,F$6,$D$4,"Fill=true, Per="&amp;filter!$R$1) )</f>
        <v>39.169999999999845</v>
      </c>
      <c r="G184" s="39">
        <f t="array" aca="1" ref="G184" ca="1">IF( $C184="", "", _xll.IMDP("IDX",$C184,G$6,$D$4,"Fill=true, Per="&amp;filter!$R$1) )</f>
        <v>2.79</v>
      </c>
      <c r="H184" s="43">
        <f t="array" aca="1" ref="H184" ca="1">IF( $C184="", "", _xll.IMDP("IDX",$C184,H$6,$D$4,"Fill=true, Per="&amp;filter!$R$1) )</f>
        <v>26029</v>
      </c>
      <c r="I184" s="43">
        <f t="array" aca="1" ref="I184" ca="1">IF( $C184="", "", _xll.IMDP("IDX",$C184,I$6,$D$4,"Fill=true, Per="&amp;filter!$R$1) )</f>
        <v>1678012</v>
      </c>
      <c r="J184" s="34">
        <f t="array" aca="1" ref="J184" ca="1">IF( $C184="", "", _xll.IMDP("IDX",$C184,J$6,$D$4,"Fill=true, Per="&amp;filter!$R$1) )</f>
        <v>1411.82</v>
      </c>
      <c r="K184" s="38">
        <f t="array" aca="1" ref="K184" ca="1">IF( $C184="", "", _xll.IMDP("IDX",$C184,K$6,$D$4,"Fill=true, Per="&amp;filter!$R$1) )</f>
        <v>1465.52</v>
      </c>
      <c r="L184" s="39">
        <f t="array" aca="1" ref="L184" ca="1">IF( $C184="", "", _xll.IMDP("IDX",$C184,L$6,$D$4,"Fill=true, Per="&amp;filter!$R$1) )</f>
        <v>0</v>
      </c>
      <c r="M184" s="50" t="str">
        <f t="array" aca="1" ref="M184" ca="1">IF( $C184="", "", _xll.IMDP("IDX",$C184,M$6,$D$4,"Fill=true, Per="&amp;filter!$R$1) )</f>
        <v/>
      </c>
      <c r="N184" s="51" t="str">
        <f t="array" aca="1" ref="N184" ca="1">IF( $C184="", "", _xll.IMDP("IDX",$C184,N$6,$D$4,"Fill=true, Per="&amp;filter!$R$1) )</f>
        <v/>
      </c>
      <c r="O184" s="52" t="str">
        <f t="array" aca="1" ref="O184" ca="1">IF( $C184="", "", _xll.IMDP("IDX",$C184,O$6,$D$4,"Fill=true, Per="&amp;filter!$R$1) )</f>
        <v/>
      </c>
    </row>
    <row r="185" spans="2:15">
      <c r="B185" s="21">
        <f t="shared" si="2"/>
        <v>177</v>
      </c>
      <c r="C185" s="17" t="str">
        <f>IFERROR( VLOOKUP(ROWS($B$8:B184), filter!$I:$J, 2, 0), "")</f>
        <v>X3S05P</v>
      </c>
      <c r="D185" s="16" t="str" cm="1">
        <f t="array" ref="D185">IF( $C185="", "", _xll.IMDP("IDX", $C185, D$6) )</f>
        <v>KRX 300 정보기술</v>
      </c>
      <c r="E185" s="34">
        <f t="array" aca="1" ref="E185" ca="1">IF( $C185="", "", _xll.IMDP("IDX",$C185,E$6,$D$4,"Fill=true, Per="&amp;filter!$R$1) )</f>
        <v>2553.92</v>
      </c>
      <c r="F185" s="38">
        <f t="array" aca="1" ref="F185" ca="1">IF( $C185="", "", _xll.IMDP("IDX",$C185,F$6,$D$4,"Fill=true, Per="&amp;filter!$R$1) )</f>
        <v>-34.509999999999764</v>
      </c>
      <c r="G185" s="39">
        <f t="array" aca="1" ref="G185" ca="1">IF( $C185="", "", _xll.IMDP("IDX",$C185,G$6,$D$4,"Fill=true, Per="&amp;filter!$R$1) )</f>
        <v>-1.33</v>
      </c>
      <c r="H185" s="43">
        <f t="array" aca="1" ref="H185" ca="1">IF( $C185="", "", _xll.IMDP("IDX",$C185,H$6,$D$4,"Fill=true, Per="&amp;filter!$R$1) )</f>
        <v>72816</v>
      </c>
      <c r="I185" s="43">
        <f t="array" aca="1" ref="I185" ca="1">IF( $C185="", "", _xll.IMDP("IDX",$C185,I$6,$D$4,"Fill=true, Per="&amp;filter!$R$1) )</f>
        <v>5276538</v>
      </c>
      <c r="J185" s="34">
        <f t="array" aca="1" ref="J185" ca="1">IF( $C185="", "", _xll.IMDP("IDX",$C185,J$6,$D$4,"Fill=true, Per="&amp;filter!$R$1) )</f>
        <v>2589.9699999999998</v>
      </c>
      <c r="K185" s="38">
        <f t="array" aca="1" ref="K185" ca="1">IF( $C185="", "", _xll.IMDP("IDX",$C185,K$6,$D$4,"Fill=true, Per="&amp;filter!$R$1) )</f>
        <v>2617.38</v>
      </c>
      <c r="L185" s="39">
        <f t="array" aca="1" ref="L185" ca="1">IF( $C185="", "", _xll.IMDP("IDX",$C185,L$6,$D$4,"Fill=true, Per="&amp;filter!$R$1) )</f>
        <v>0</v>
      </c>
      <c r="M185" s="50" t="str">
        <f t="array" aca="1" ref="M185" ca="1">IF( $C185="", "", _xll.IMDP("IDX",$C185,M$6,$D$4,"Fill=true, Per="&amp;filter!$R$1) )</f>
        <v/>
      </c>
      <c r="N185" s="51" t="str">
        <f t="array" aca="1" ref="N185" ca="1">IF( $C185="", "", _xll.IMDP("IDX",$C185,N$6,$D$4,"Fill=true, Per="&amp;filter!$R$1) )</f>
        <v/>
      </c>
      <c r="O185" s="52" t="str">
        <f t="array" aca="1" ref="O185" ca="1">IF( $C185="", "", _xll.IMDP("IDX",$C185,O$6,$D$4,"Fill=true, Per="&amp;filter!$R$1) )</f>
        <v/>
      </c>
    </row>
    <row r="186" spans="2:15">
      <c r="B186" s="21">
        <f t="shared" si="2"/>
        <v>178</v>
      </c>
      <c r="C186" s="17" t="str">
        <f>IFERROR( VLOOKUP(ROWS($B$8:B185), filter!$I:$J, 2, 0), "")</f>
        <v>X3S04P</v>
      </c>
      <c r="D186" s="16" t="str" cm="1">
        <f t="array" ref="D186">IF( $C186="", "", _xll.IMDP("IDX", $C186, D$6) )</f>
        <v>KRX 300 금융</v>
      </c>
      <c r="E186" s="34">
        <f t="array" aca="1" ref="E186" ca="1">IF( $C186="", "", _xll.IMDP("IDX",$C186,E$6,$D$4,"Fill=true, Per="&amp;filter!$R$1) )</f>
        <v>1115.26</v>
      </c>
      <c r="F186" s="38">
        <f t="array" aca="1" ref="F186" ca="1">IF( $C186="", "", _xll.IMDP("IDX",$C186,F$6,$D$4,"Fill=true, Per="&amp;filter!$R$1) )</f>
        <v>24.8900000000001</v>
      </c>
      <c r="G186" s="39">
        <f t="array" aca="1" ref="G186" ca="1">IF( $C186="", "", _xll.IMDP("IDX",$C186,G$6,$D$4,"Fill=true, Per="&amp;filter!$R$1) )</f>
        <v>2.2799999999999998</v>
      </c>
      <c r="H186" s="43">
        <f t="array" aca="1" ref="H186" ca="1">IF( $C186="", "", _xll.IMDP("IDX",$C186,H$6,$D$4,"Fill=true, Per="&amp;filter!$R$1) )</f>
        <v>22433</v>
      </c>
      <c r="I186" s="43">
        <f t="array" aca="1" ref="I186" ca="1">IF( $C186="", "", _xll.IMDP("IDX",$C186,I$6,$D$4,"Fill=true, Per="&amp;filter!$R$1) )</f>
        <v>850841</v>
      </c>
      <c r="J186" s="34">
        <f t="array" aca="1" ref="J186" ca="1">IF( $C186="", "", _xll.IMDP("IDX",$C186,J$6,$D$4,"Fill=true, Per="&amp;filter!$R$1) )</f>
        <v>1093.4100000000001</v>
      </c>
      <c r="K186" s="38">
        <f t="array" aca="1" ref="K186" ca="1">IF( $C186="", "", _xll.IMDP("IDX",$C186,K$6,$D$4,"Fill=true, Per="&amp;filter!$R$1) )</f>
        <v>1123.46</v>
      </c>
      <c r="L186" s="39">
        <f t="array" aca="1" ref="L186" ca="1">IF( $C186="", "", _xll.IMDP("IDX",$C186,L$6,$D$4,"Fill=true, Per="&amp;filter!$R$1) )</f>
        <v>0</v>
      </c>
      <c r="M186" s="50" t="str">
        <f t="array" aca="1" ref="M186" ca="1">IF( $C186="", "", _xll.IMDP("IDX",$C186,M$6,$D$4,"Fill=true, Per="&amp;filter!$R$1) )</f>
        <v/>
      </c>
      <c r="N186" s="51" t="str">
        <f t="array" aca="1" ref="N186" ca="1">IF( $C186="", "", _xll.IMDP("IDX",$C186,N$6,$D$4,"Fill=true, Per="&amp;filter!$R$1) )</f>
        <v/>
      </c>
      <c r="O186" s="52" t="str">
        <f t="array" aca="1" ref="O186" ca="1">IF( $C186="", "", _xll.IMDP("IDX",$C186,O$6,$D$4,"Fill=true, Per="&amp;filter!$R$1) )</f>
        <v/>
      </c>
    </row>
    <row r="187" spans="2:15">
      <c r="B187" s="21">
        <f t="shared" si="2"/>
        <v>179</v>
      </c>
      <c r="C187" s="17" t="str">
        <f>IFERROR( VLOOKUP(ROWS($B$8:B186), filter!$I:$J, 2, 0), "")</f>
        <v>X3S03P</v>
      </c>
      <c r="D187" s="16" t="str" cm="1">
        <f t="array" ref="D187">IF( $C187="", "", _xll.IMDP("IDX", $C187, D$6) )</f>
        <v>KRX 300 헬스케어</v>
      </c>
      <c r="E187" s="34">
        <f t="array" aca="1" ref="E187" ca="1">IF( $C187="", "", _xll.IMDP("IDX",$C187,E$6,$D$4,"Fill=true, Per="&amp;filter!$R$1) )</f>
        <v>3552.85</v>
      </c>
      <c r="F187" s="38">
        <f t="array" aca="1" ref="F187" ca="1">IF( $C187="", "", _xll.IMDP("IDX",$C187,F$6,$D$4,"Fill=true, Per="&amp;filter!$R$1) )</f>
        <v>-67.619999999999891</v>
      </c>
      <c r="G187" s="39">
        <f t="array" aca="1" ref="G187" ca="1">IF( $C187="", "", _xll.IMDP("IDX",$C187,G$6,$D$4,"Fill=true, Per="&amp;filter!$R$1) )</f>
        <v>-1.87</v>
      </c>
      <c r="H187" s="43">
        <f t="array" aca="1" ref="H187" ca="1">IF( $C187="", "", _xll.IMDP("IDX",$C187,H$6,$D$4,"Fill=true, Per="&amp;filter!$R$1) )</f>
        <v>44919</v>
      </c>
      <c r="I187" s="43">
        <f t="array" aca="1" ref="I187" ca="1">IF( $C187="", "", _xll.IMDP("IDX",$C187,I$6,$D$4,"Fill=true, Per="&amp;filter!$R$1) )</f>
        <v>3886693</v>
      </c>
      <c r="J187" s="34">
        <f t="array" aca="1" ref="J187" ca="1">IF( $C187="", "", _xll.IMDP("IDX",$C187,J$6,$D$4,"Fill=true, Per="&amp;filter!$R$1) )</f>
        <v>3641</v>
      </c>
      <c r="K187" s="38">
        <f t="array" aca="1" ref="K187" ca="1">IF( $C187="", "", _xll.IMDP("IDX",$C187,K$6,$D$4,"Fill=true, Per="&amp;filter!$R$1) )</f>
        <v>3642.16</v>
      </c>
      <c r="L187" s="39">
        <f t="array" aca="1" ref="L187" ca="1">IF( $C187="", "", _xll.IMDP("IDX",$C187,L$6,$D$4,"Fill=true, Per="&amp;filter!$R$1) )</f>
        <v>0</v>
      </c>
      <c r="M187" s="50" t="str">
        <f t="array" aca="1" ref="M187" ca="1">IF( $C187="", "", _xll.IMDP("IDX",$C187,M$6,$D$4,"Fill=true, Per="&amp;filter!$R$1) )</f>
        <v/>
      </c>
      <c r="N187" s="51" t="str">
        <f t="array" aca="1" ref="N187" ca="1">IF( $C187="", "", _xll.IMDP("IDX",$C187,N$6,$D$4,"Fill=true, Per="&amp;filter!$R$1) )</f>
        <v/>
      </c>
      <c r="O187" s="52" t="str">
        <f t="array" aca="1" ref="O187" ca="1">IF( $C187="", "", _xll.IMDP("IDX",$C187,O$6,$D$4,"Fill=true, Per="&amp;filter!$R$1) )</f>
        <v/>
      </c>
    </row>
    <row r="188" spans="2:15">
      <c r="B188" s="21">
        <f t="shared" si="2"/>
        <v>180</v>
      </c>
      <c r="C188" s="17" t="str">
        <f>IFERROR( VLOOKUP(ROWS($B$8:B187), filter!$I:$J, 2, 0), "")</f>
        <v>X3S02P</v>
      </c>
      <c r="D188" s="16" t="str" cm="1">
        <f t="array" ref="D188">IF( $C188="", "", _xll.IMDP("IDX", $C188, D$6) )</f>
        <v>KRX 300 자유소비재</v>
      </c>
      <c r="E188" s="34">
        <f t="array" aca="1" ref="E188" ca="1">IF( $C188="", "", _xll.IMDP("IDX",$C188,E$6,$D$4,"Fill=true, Per="&amp;filter!$R$1) )</f>
        <v>1483.65</v>
      </c>
      <c r="F188" s="38">
        <f t="array" aca="1" ref="F188" ca="1">IF( $C188="", "", _xll.IMDP("IDX",$C188,F$6,$D$4,"Fill=true, Per="&amp;filter!$R$1) )</f>
        <v>-38.9699999999998</v>
      </c>
      <c r="G188" s="39">
        <f t="array" aca="1" ref="G188" ca="1">IF( $C188="", "", _xll.IMDP("IDX",$C188,G$6,$D$4,"Fill=true, Per="&amp;filter!$R$1) )</f>
        <v>-2.56</v>
      </c>
      <c r="H188" s="43">
        <f t="array" aca="1" ref="H188" ca="1">IF( $C188="", "", _xll.IMDP("IDX",$C188,H$6,$D$4,"Fill=true, Per="&amp;filter!$R$1) )</f>
        <v>18221</v>
      </c>
      <c r="I188" s="43">
        <f t="array" aca="1" ref="I188" ca="1">IF( $C188="", "", _xll.IMDP("IDX",$C188,I$6,$D$4,"Fill=true, Per="&amp;filter!$R$1) )</f>
        <v>1119255</v>
      </c>
      <c r="J188" s="34">
        <f t="array" aca="1" ref="J188" ca="1">IF( $C188="", "", _xll.IMDP("IDX",$C188,J$6,$D$4,"Fill=true, Per="&amp;filter!$R$1) )</f>
        <v>1524.85</v>
      </c>
      <c r="K188" s="38">
        <f t="array" aca="1" ref="K188" ca="1">IF( $C188="", "", _xll.IMDP("IDX",$C188,K$6,$D$4,"Fill=true, Per="&amp;filter!$R$1) )</f>
        <v>1527.03</v>
      </c>
      <c r="L188" s="39">
        <f t="array" aca="1" ref="L188" ca="1">IF( $C188="", "", _xll.IMDP("IDX",$C188,L$6,$D$4,"Fill=true, Per="&amp;filter!$R$1) )</f>
        <v>0</v>
      </c>
      <c r="M188" s="50" t="str">
        <f t="array" aca="1" ref="M188" ca="1">IF( $C188="", "", _xll.IMDP("IDX",$C188,M$6,$D$4,"Fill=true, Per="&amp;filter!$R$1) )</f>
        <v/>
      </c>
      <c r="N188" s="51" t="str">
        <f t="array" aca="1" ref="N188" ca="1">IF( $C188="", "", _xll.IMDP("IDX",$C188,N$6,$D$4,"Fill=true, Per="&amp;filter!$R$1) )</f>
        <v/>
      </c>
      <c r="O188" s="52" t="str">
        <f t="array" aca="1" ref="O188" ca="1">IF( $C188="", "", _xll.IMDP("IDX",$C188,O$6,$D$4,"Fill=true, Per="&amp;filter!$R$1) )</f>
        <v/>
      </c>
    </row>
    <row r="189" spans="2:15">
      <c r="B189" s="21">
        <f t="shared" si="2"/>
        <v>181</v>
      </c>
      <c r="C189" s="17" t="str">
        <f>IFERROR( VLOOKUP(ROWS($B$8:B188), filter!$I:$J, 2, 0), "")</f>
        <v>X3S01P</v>
      </c>
      <c r="D189" s="16" t="str" cm="1">
        <f t="array" ref="D189">IF( $C189="", "", _xll.IMDP("IDX", $C189, D$6) )</f>
        <v>KRX 300 산업재</v>
      </c>
      <c r="E189" s="34">
        <f t="array" aca="1" ref="E189" ca="1">IF( $C189="", "", _xll.IMDP("IDX",$C189,E$6,$D$4,"Fill=true, Per="&amp;filter!$R$1) )</f>
        <v>751.74</v>
      </c>
      <c r="F189" s="38">
        <f t="array" aca="1" ref="F189" ca="1">IF( $C189="", "", _xll.IMDP("IDX",$C189,F$6,$D$4,"Fill=true, Per="&amp;filter!$R$1) )</f>
        <v>8.1399999999999864</v>
      </c>
      <c r="G189" s="39">
        <f t="array" aca="1" ref="G189" ca="1">IF( $C189="", "", _xll.IMDP("IDX",$C189,G$6,$D$4,"Fill=true, Per="&amp;filter!$R$1) )</f>
        <v>1.0900000000000001</v>
      </c>
      <c r="H189" s="43">
        <f t="array" aca="1" ref="H189" ca="1">IF( $C189="", "", _xll.IMDP("IDX",$C189,H$6,$D$4,"Fill=true, Per="&amp;filter!$R$1) )</f>
        <v>71922</v>
      </c>
      <c r="I189" s="43">
        <f t="array" aca="1" ref="I189" ca="1">IF( $C189="", "", _xll.IMDP("IDX",$C189,I$6,$D$4,"Fill=true, Per="&amp;filter!$R$1) )</f>
        <v>4396437</v>
      </c>
      <c r="J189" s="34">
        <f t="array" aca="1" ref="J189" ca="1">IF( $C189="", "", _xll.IMDP("IDX",$C189,J$6,$D$4,"Fill=true, Per="&amp;filter!$R$1) )</f>
        <v>746.79</v>
      </c>
      <c r="K189" s="38">
        <f t="array" aca="1" ref="K189" ca="1">IF( $C189="", "", _xll.IMDP("IDX",$C189,K$6,$D$4,"Fill=true, Per="&amp;filter!$R$1) )</f>
        <v>754.8</v>
      </c>
      <c r="L189" s="39">
        <f t="array" aca="1" ref="L189" ca="1">IF( $C189="", "", _xll.IMDP("IDX",$C189,L$6,$D$4,"Fill=true, Per="&amp;filter!$R$1) )</f>
        <v>0</v>
      </c>
      <c r="M189" s="50" t="str">
        <f t="array" aca="1" ref="M189" ca="1">IF( $C189="", "", _xll.IMDP("IDX",$C189,M$6,$D$4,"Fill=true, Per="&amp;filter!$R$1) )</f>
        <v/>
      </c>
      <c r="N189" s="51" t="str">
        <f t="array" aca="1" ref="N189" ca="1">IF( $C189="", "", _xll.IMDP("IDX",$C189,N$6,$D$4,"Fill=true, Per="&amp;filter!$R$1) )</f>
        <v/>
      </c>
      <c r="O189" s="52" t="str">
        <f t="array" aca="1" ref="O189" ca="1">IF( $C189="", "", _xll.IMDP("IDX",$C189,O$6,$D$4,"Fill=true, Per="&amp;filter!$R$1) )</f>
        <v/>
      </c>
    </row>
    <row r="190" spans="2:15">
      <c r="B190" s="21">
        <f t="shared" si="2"/>
        <v>182</v>
      </c>
      <c r="C190" s="17" t="str">
        <f>IFERROR( VLOOKUP(ROWS($B$8:B189), filter!$I:$J, 2, 0), "")</f>
        <v>X3G01T</v>
      </c>
      <c r="D190" s="16" t="str" cm="1">
        <f t="array" ref="D190">IF( $C190="", "", _xll.IMDP("IDX", $C190, D$6) )</f>
        <v>KRX 300 TR</v>
      </c>
      <c r="E190" s="34">
        <f t="array" aca="1" ref="E190" ca="1">IF( $C190="", "", _xll.IMDP("IDX",$C190,E$6,$D$4,"Fill=true, Per="&amp;filter!$R$1) )</f>
        <v>2102.84</v>
      </c>
      <c r="F190" s="38">
        <f t="array" aca="1" ref="F190" ca="1">IF( $C190="", "", _xll.IMDP("IDX",$C190,F$6,$D$4,"Fill=true, Per="&amp;filter!$R$1) )</f>
        <v>-16.569999999999709</v>
      </c>
      <c r="G190" s="39">
        <f t="array" aca="1" ref="G190" ca="1">IF( $C190="", "", _xll.IMDP("IDX",$C190,G$6,$D$4,"Fill=true, Per="&amp;filter!$R$1) )</f>
        <v>-0.78</v>
      </c>
      <c r="H190" s="43">
        <f t="array" aca="1" ref="H190" ca="1">IF( $C190="", "", _xll.IMDP("IDX",$C190,H$6,$D$4,"Fill=true, Per="&amp;filter!$R$1) )</f>
        <v>0</v>
      </c>
      <c r="I190" s="43">
        <f t="array" aca="1" ref="I190" ca="1">IF( $C190="", "", _xll.IMDP("IDX",$C190,I$6,$D$4,"Fill=true, Per="&amp;filter!$R$1) )</f>
        <v>0</v>
      </c>
      <c r="J190" s="34">
        <f t="array" aca="1" ref="J190" ca="1">IF( $C190="", "", _xll.IMDP("IDX",$C190,J$6,$D$4,"Fill=true, Per="&amp;filter!$R$1) )</f>
        <v>2125.21</v>
      </c>
      <c r="K190" s="38">
        <f t="array" aca="1" ref="K190" ca="1">IF( $C190="", "", _xll.IMDP("IDX",$C190,K$6,$D$4,"Fill=true, Per="&amp;filter!$R$1) )</f>
        <v>2133.69</v>
      </c>
      <c r="L190" s="39">
        <f t="array" aca="1" ref="L190" ca="1">IF( $C190="", "", _xll.IMDP("IDX",$C190,L$6,$D$4,"Fill=true, Per="&amp;filter!$R$1) )</f>
        <v>0</v>
      </c>
      <c r="M190" s="50" t="str">
        <f t="array" aca="1" ref="M190" ca="1">IF( $C190="", "", _xll.IMDP("IDX",$C190,M$6,$D$4,"Fill=true, Per="&amp;filter!$R$1) )</f>
        <v/>
      </c>
      <c r="N190" s="51" t="str">
        <f t="array" aca="1" ref="N190" ca="1">IF( $C190="", "", _xll.IMDP("IDX",$C190,N$6,$D$4,"Fill=true, Per="&amp;filter!$R$1) )</f>
        <v/>
      </c>
      <c r="O190" s="52" t="str">
        <f t="array" aca="1" ref="O190" ca="1">IF( $C190="", "", _xll.IMDP("IDX",$C190,O$6,$D$4,"Fill=true, Per="&amp;filter!$R$1) )</f>
        <v/>
      </c>
    </row>
    <row r="191" spans="2:15">
      <c r="B191" s="21">
        <f t="shared" si="2"/>
        <v>183</v>
      </c>
      <c r="C191" s="17" t="str">
        <f>IFERROR( VLOOKUP(ROWS($B$8:B190), filter!$I:$J, 2, 0), "")</f>
        <v>X3E01P</v>
      </c>
      <c r="D191" s="16" t="str" cm="1">
        <f t="array" ref="D191">IF( $C191="", "", _xll.IMDP("IDX", $C191, D$6) )</f>
        <v>KRX 300 기후변화지수</v>
      </c>
      <c r="E191" s="34">
        <f t="array" aca="1" ref="E191" ca="1">IF( $C191="", "", _xll.IMDP("IDX",$C191,E$6,$D$4,"Fill=true, Per="&amp;filter!$R$1) )</f>
        <v>1628.41</v>
      </c>
      <c r="F191" s="38">
        <f t="array" aca="1" ref="F191" ca="1">IF( $C191="", "", _xll.IMDP("IDX",$C191,F$6,$D$4,"Fill=true, Per="&amp;filter!$R$1) )</f>
        <v>-5.8399999999999181</v>
      </c>
      <c r="G191" s="39">
        <f t="array" aca="1" ref="G191" ca="1">IF( $C191="", "", _xll.IMDP("IDX",$C191,G$6,$D$4,"Fill=true, Per="&amp;filter!$R$1) )</f>
        <v>-0.36</v>
      </c>
      <c r="H191" s="43">
        <f t="array" aca="1" ref="H191" ca="1">IF( $C191="", "", _xll.IMDP("IDX",$C191,H$6,$D$4,"Fill=true, Per="&amp;filter!$R$1) )</f>
        <v>269641</v>
      </c>
      <c r="I191" s="43">
        <f t="array" aca="1" ref="I191" ca="1">IF( $C191="", "", _xll.IMDP("IDX",$C191,I$6,$D$4,"Fill=true, Per="&amp;filter!$R$1) )</f>
        <v>18144943</v>
      </c>
      <c r="J191" s="34">
        <f t="array" aca="1" ref="J191" ca="1">IF( $C191="", "", _xll.IMDP("IDX",$C191,J$6,$D$4,"Fill=true, Per="&amp;filter!$R$1) )</f>
        <v>1640.15</v>
      </c>
      <c r="K191" s="38">
        <f t="array" aca="1" ref="K191" ca="1">IF( $C191="", "", _xll.IMDP("IDX",$C191,K$6,$D$4,"Fill=true, Per="&amp;filter!$R$1) )</f>
        <v>1652.29</v>
      </c>
      <c r="L191" s="39">
        <f t="array" aca="1" ref="L191" ca="1">IF( $C191="", "", _xll.IMDP("IDX",$C191,L$6,$D$4,"Fill=true, Per="&amp;filter!$R$1) )</f>
        <v>0</v>
      </c>
      <c r="M191" s="50" t="str">
        <f t="array" aca="1" ref="M191" ca="1">IF( $C191="", "", _xll.IMDP("IDX",$C191,M$6,$D$4,"Fill=true, Per="&amp;filter!$R$1) )</f>
        <v/>
      </c>
      <c r="N191" s="51" t="str">
        <f t="array" aca="1" ref="N191" ca="1">IF( $C191="", "", _xll.IMDP("IDX",$C191,N$6,$D$4,"Fill=true, Per="&amp;filter!$R$1) )</f>
        <v/>
      </c>
      <c r="O191" s="52" t="str">
        <f t="array" aca="1" ref="O191" ca="1">IF( $C191="", "", _xll.IMDP("IDX",$C191,O$6,$D$4,"Fill=true, Per="&amp;filter!$R$1) )</f>
        <v/>
      </c>
    </row>
    <row r="192" spans="2:15">
      <c r="B192" s="21">
        <f t="shared" si="2"/>
        <v>184</v>
      </c>
      <c r="C192" s="17" t="str">
        <f>IFERROR( VLOOKUP(ROWS($B$8:B191), filter!$I:$J, 2, 0), "")</f>
        <v>TGX01P</v>
      </c>
      <c r="D192" s="16" t="str" cm="1">
        <f t="array" ref="D192">IF( $C192="", "", _xll.IMDP("IDX", $C192, D$6) )</f>
        <v>KRX 금현물 레버리지 지수</v>
      </c>
      <c r="E192" s="34">
        <f t="array" aca="1" ref="E192" ca="1">IF( $C192="", "", _xll.IMDP("IDX",$C192,E$6,$D$4,"Fill=true, Per="&amp;filter!$R$1) )</f>
        <v>4607.97</v>
      </c>
      <c r="F192" s="38">
        <f t="array" aca="1" ref="F192" ca="1">IF( $C192="", "", _xll.IMDP("IDX",$C192,F$6,$D$4,"Fill=true, Per="&amp;filter!$R$1) )</f>
        <v>-1.8499999999994543</v>
      </c>
      <c r="G192" s="39">
        <f t="array" aca="1" ref="G192" ca="1">IF( $C192="", "", _xll.IMDP("IDX",$C192,G$6,$D$4,"Fill=true, Per="&amp;filter!$R$1) )</f>
        <v>-0.04</v>
      </c>
      <c r="H192" s="43">
        <f t="array" aca="1" ref="H192" ca="1">IF( $C192="", "", _xll.IMDP("IDX",$C192,H$6,$D$4,"Fill=true, Per="&amp;filter!$R$1) )</f>
        <v>0</v>
      </c>
      <c r="I192" s="43">
        <f t="array" aca="1" ref="I192" ca="1">IF( $C192="", "", _xll.IMDP("IDX",$C192,I$6,$D$4,"Fill=true, Per="&amp;filter!$R$1) )</f>
        <v>0</v>
      </c>
      <c r="J192" s="34">
        <f t="array" aca="1" ref="J192" ca="1">IF( $C192="", "", _xll.IMDP("IDX",$C192,J$6,$D$4,"Fill=true, Per="&amp;filter!$R$1) )</f>
        <v>4610.99</v>
      </c>
      <c r="K192" s="38">
        <f t="array" aca="1" ref="K192" ca="1">IF( $C192="", "", _xll.IMDP("IDX",$C192,K$6,$D$4,"Fill=true, Per="&amp;filter!$R$1) )</f>
        <v>4632.6099999999997</v>
      </c>
      <c r="L192" s="39">
        <f t="array" aca="1" ref="L192" ca="1">IF( $C192="", "", _xll.IMDP("IDX",$C192,L$6,$D$4,"Fill=true, Per="&amp;filter!$R$1) )</f>
        <v>0</v>
      </c>
      <c r="M192" s="50" t="str">
        <f t="array" aca="1" ref="M192" ca="1">IF( $C192="", "", _xll.IMDP("IDX",$C192,M$6,$D$4,"Fill=true, Per="&amp;filter!$R$1) )</f>
        <v/>
      </c>
      <c r="N192" s="51" t="str">
        <f t="array" aca="1" ref="N192" ca="1">IF( $C192="", "", _xll.IMDP("IDX",$C192,N$6,$D$4,"Fill=true, Per="&amp;filter!$R$1) )</f>
        <v/>
      </c>
      <c r="O192" s="52" t="str">
        <f t="array" aca="1" ref="O192" ca="1">IF( $C192="", "", _xll.IMDP("IDX",$C192,O$6,$D$4,"Fill=true, Per="&amp;filter!$R$1) )</f>
        <v/>
      </c>
    </row>
    <row r="193" spans="2:15">
      <c r="B193" s="21">
        <f t="shared" si="2"/>
        <v>185</v>
      </c>
      <c r="C193" s="17" t="str">
        <f>IFERROR( VLOOKUP(ROWS($B$8:B192), filter!$I:$J, 2, 0), "")</f>
        <v>TGG02P</v>
      </c>
      <c r="D193" s="16" t="str" cm="1">
        <f t="array" ref="D193">IF( $C193="", "", _xll.IMDP("IDX", $C193, D$6) )</f>
        <v>KRX 금현물지수(달러화)</v>
      </c>
      <c r="E193" s="34">
        <f t="array" aca="1" ref="E193" ca="1">IF( $C193="", "", _xll.IMDP("IDX",$C193,E$6,$D$4,"Fill=true, Per="&amp;filter!$R$1) )</f>
        <v>2091.63</v>
      </c>
      <c r="F193" s="38">
        <f t="array" aca="1" ref="F193" ca="1">IF( $C193="", "", _xll.IMDP("IDX",$C193,F$6,$D$4,"Fill=true, Per="&amp;filter!$R$1) )</f>
        <v>-9.0299999999997453</v>
      </c>
      <c r="G193" s="39">
        <f t="array" aca="1" ref="G193" ca="1">IF( $C193="", "", _xll.IMDP("IDX",$C193,G$6,$D$4,"Fill=true, Per="&amp;filter!$R$1) )</f>
        <v>-0.43</v>
      </c>
      <c r="H193" s="43">
        <f t="array" aca="1" ref="H193" ca="1">IF( $C193="", "", _xll.IMDP("IDX",$C193,H$6,$D$4,"Fill=true, Per="&amp;filter!$R$1) )</f>
        <v>66</v>
      </c>
      <c r="I193" s="43">
        <f t="array" aca="1" ref="I193" ca="1">IF( $C193="", "", _xll.IMDP("IDX",$C193,I$6,$D$4,"Fill=true, Per="&amp;filter!$R$1) )</f>
        <v>5</v>
      </c>
      <c r="J193" s="34">
        <f t="array" aca="1" ref="J193" ca="1">IF( $C193="", "", _xll.IMDP("IDX",$C193,J$6,$D$4,"Fill=true, Per="&amp;filter!$R$1) )</f>
        <v>2101.2199999999998</v>
      </c>
      <c r="K193" s="38">
        <f t="array" aca="1" ref="K193" ca="1">IF( $C193="", "", _xll.IMDP("IDX",$C193,K$6,$D$4,"Fill=true, Per="&amp;filter!$R$1) )</f>
        <v>2102.2399999999998</v>
      </c>
      <c r="L193" s="39">
        <f t="array" aca="1" ref="L193" ca="1">IF( $C193="", "", _xll.IMDP("IDX",$C193,L$6,$D$4,"Fill=true, Per="&amp;filter!$R$1) )</f>
        <v>0</v>
      </c>
      <c r="M193" s="50" t="str">
        <f t="array" aca="1" ref="M193" ca="1">IF( $C193="", "", _xll.IMDP("IDX",$C193,M$6,$D$4,"Fill=true, Per="&amp;filter!$R$1) )</f>
        <v/>
      </c>
      <c r="N193" s="51" t="str">
        <f t="array" aca="1" ref="N193" ca="1">IF( $C193="", "", _xll.IMDP("IDX",$C193,N$6,$D$4,"Fill=true, Per="&amp;filter!$R$1) )</f>
        <v/>
      </c>
      <c r="O193" s="52" t="str">
        <f t="array" aca="1" ref="O193" ca="1">IF( $C193="", "", _xll.IMDP("IDX",$C193,O$6,$D$4,"Fill=true, Per="&amp;filter!$R$1) )</f>
        <v/>
      </c>
    </row>
    <row r="194" spans="2:15">
      <c r="B194" s="21">
        <f t="shared" si="2"/>
        <v>186</v>
      </c>
      <c r="C194" s="17" t="str">
        <f>IFERROR( VLOOKUP(ROWS($B$8:B193), filter!$I:$J, 2, 0), "")</f>
        <v>TGG01P</v>
      </c>
      <c r="D194" s="16" t="str" cm="1">
        <f t="array" ref="D194">IF( $C194="", "", _xll.IMDP("IDX", $C194, D$6) )</f>
        <v>KRX 금현물지수</v>
      </c>
      <c r="E194" s="34">
        <f t="array" aca="1" ref="E194" ca="1">IF( $C194="", "", _xll.IMDP("IDX",$C194,E$6,$D$4,"Fill=true, Per="&amp;filter!$R$1) )</f>
        <v>2543.3000000000002</v>
      </c>
      <c r="F194" s="38">
        <f t="array" aca="1" ref="F194" ca="1">IF( $C194="", "", _xll.IMDP("IDX",$C194,F$6,$D$4,"Fill=true, Per="&amp;filter!$R$1) )</f>
        <v>-1.999999999998181E-2</v>
      </c>
      <c r="G194" s="39">
        <f t="array" aca="1" ref="G194" ca="1">IF( $C194="", "", _xll.IMDP("IDX",$C194,G$6,$D$4,"Fill=true, Per="&amp;filter!$R$1) )</f>
        <v>0</v>
      </c>
      <c r="H194" s="43">
        <f t="array" aca="1" ref="H194" ca="1">IF( $C194="", "", _xll.IMDP("IDX",$C194,H$6,$D$4,"Fill=true, Per="&amp;filter!$R$1) )</f>
        <v>66</v>
      </c>
      <c r="I194" s="43">
        <f t="array" aca="1" ref="I194" ca="1">IF( $C194="", "", _xll.IMDP("IDX",$C194,I$6,$D$4,"Fill=true, Per="&amp;filter!$R$1) )</f>
        <v>7290</v>
      </c>
      <c r="J194" s="34">
        <f t="array" aca="1" ref="J194" ca="1">IF( $C194="", "", _xll.IMDP("IDX",$C194,J$6,$D$4,"Fill=true, Per="&amp;filter!$R$1) )</f>
        <v>2544.0100000000002</v>
      </c>
      <c r="K194" s="38">
        <f t="array" aca="1" ref="K194" ca="1">IF( $C194="", "", _xll.IMDP("IDX",$C194,K$6,$D$4,"Fill=true, Per="&amp;filter!$R$1) )</f>
        <v>2550.1</v>
      </c>
      <c r="L194" s="39">
        <f t="array" aca="1" ref="L194" ca="1">IF( $C194="", "", _xll.IMDP("IDX",$C194,L$6,$D$4,"Fill=true, Per="&amp;filter!$R$1) )</f>
        <v>0</v>
      </c>
      <c r="M194" s="50" t="str">
        <f t="array" aca="1" ref="M194" ca="1">IF( $C194="", "", _xll.IMDP("IDX",$C194,M$6,$D$4,"Fill=true, Per="&amp;filter!$R$1) )</f>
        <v/>
      </c>
      <c r="N194" s="51" t="str">
        <f t="array" aca="1" ref="N194" ca="1">IF( $C194="", "", _xll.IMDP("IDX",$C194,N$6,$D$4,"Fill=true, Per="&amp;filter!$R$1) )</f>
        <v/>
      </c>
      <c r="O194" s="52" t="str">
        <f t="array" aca="1" ref="O194" ca="1">IF( $C194="", "", _xll.IMDP("IDX",$C194,O$6,$D$4,"Fill=true, Per="&amp;filter!$R$1) )</f>
        <v/>
      </c>
    </row>
    <row r="195" spans="2:15">
      <c r="B195" s="21">
        <f t="shared" si="2"/>
        <v>187</v>
      </c>
      <c r="C195" s="17" t="str">
        <f>IFERROR( VLOOKUP(ROWS($B$8:B194), filter!$I:$J, 2, 0), "")</f>
        <v>KGD02P</v>
      </c>
      <c r="D195" s="16" t="str" cm="1">
        <f t="array" ref="D195">IF( $C195="", "", _xll.IMDP("IDX", $C195, D$6) )</f>
        <v>코스피 고배당 50</v>
      </c>
      <c r="E195" s="34">
        <f t="array" aca="1" ref="E195" ca="1">IF( $C195="", "", _xll.IMDP("IDX",$C195,E$6,$D$4,"Fill=true, Per="&amp;filter!$R$1) )</f>
        <v>3069.8</v>
      </c>
      <c r="F195" s="38">
        <f t="array" aca="1" ref="F195" ca="1">IF( $C195="", "", _xll.IMDP("IDX",$C195,F$6,$D$4,"Fill=true, Per="&amp;filter!$R$1) )</f>
        <v>37.050000000000182</v>
      </c>
      <c r="G195" s="39">
        <f t="array" aca="1" ref="G195" ca="1">IF( $C195="", "", _xll.IMDP("IDX",$C195,G$6,$D$4,"Fill=true, Per="&amp;filter!$R$1) )</f>
        <v>1.22</v>
      </c>
      <c r="H195" s="43">
        <f t="array" aca="1" ref="H195" ca="1">IF( $C195="", "", _xll.IMDP("IDX",$C195,H$6,$D$4,"Fill=true, Per="&amp;filter!$R$1) )</f>
        <v>61634</v>
      </c>
      <c r="I195" s="43">
        <f t="array" aca="1" ref="I195" ca="1">IF( $C195="", "", _xll.IMDP("IDX",$C195,I$6,$D$4,"Fill=true, Per="&amp;filter!$R$1) )</f>
        <v>3689263</v>
      </c>
      <c r="J195" s="34">
        <f t="array" aca="1" ref="J195" ca="1">IF( $C195="", "", _xll.IMDP("IDX",$C195,J$6,$D$4,"Fill=true, Per="&amp;filter!$R$1) )</f>
        <v>3037.27</v>
      </c>
      <c r="K195" s="38">
        <f t="array" aca="1" ref="K195" ca="1">IF( $C195="", "", _xll.IMDP("IDX",$C195,K$6,$D$4,"Fill=true, Per="&amp;filter!$R$1) )</f>
        <v>3079.13</v>
      </c>
      <c r="L195" s="39">
        <f t="array" aca="1" ref="L195" ca="1">IF( $C195="", "", _xll.IMDP("IDX",$C195,L$6,$D$4,"Fill=true, Per="&amp;filter!$R$1) )</f>
        <v>0</v>
      </c>
      <c r="M195" s="50" t="str">
        <f t="array" aca="1" ref="M195" ca="1">IF( $C195="", "", _xll.IMDP("IDX",$C195,M$6,$D$4,"Fill=true, Per="&amp;filter!$R$1) )</f>
        <v/>
      </c>
      <c r="N195" s="51" t="str">
        <f t="array" aca="1" ref="N195" ca="1">IF( $C195="", "", _xll.IMDP("IDX",$C195,N$6,$D$4,"Fill=true, Per="&amp;filter!$R$1) )</f>
        <v/>
      </c>
      <c r="O195" s="52" t="str">
        <f t="array" aca="1" ref="O195" ca="1">IF( $C195="", "", _xll.IMDP("IDX",$C195,O$6,$D$4,"Fill=true, Per="&amp;filter!$R$1) )</f>
        <v/>
      </c>
    </row>
    <row r="196" spans="2:15">
      <c r="B196" s="21">
        <f t="shared" si="2"/>
        <v>188</v>
      </c>
      <c r="C196" s="17" t="str">
        <f>IFERROR( VLOOKUP(ROWS($B$8:B195), filter!$I:$J, 2, 0), "")</f>
        <v>Q5S08P</v>
      </c>
      <c r="D196" s="16" t="str" cm="1">
        <f t="array" ref="D196">IF( $C196="", "", _xll.IMDP("IDX", $C196, D$6) )</f>
        <v>코스닥 150 자유소비재</v>
      </c>
      <c r="E196" s="34">
        <f t="array" aca="1" ref="E196" ca="1">IF( $C196="", "", _xll.IMDP("IDX",$C196,E$6,$D$4,"Fill=true, Per="&amp;filter!$R$1) )</f>
        <v>561.70000000000005</v>
      </c>
      <c r="F196" s="38">
        <f t="array" aca="1" ref="F196" ca="1">IF( $C196="", "", _xll.IMDP("IDX",$C196,F$6,$D$4,"Fill=true, Per="&amp;filter!$R$1) )</f>
        <v>19.440000000000055</v>
      </c>
      <c r="G196" s="39">
        <f t="array" aca="1" ref="G196" ca="1">IF( $C196="", "", _xll.IMDP("IDX",$C196,G$6,$D$4,"Fill=true, Per="&amp;filter!$R$1) )</f>
        <v>3.58</v>
      </c>
      <c r="H196" s="43">
        <f t="array" aca="1" ref="H196" ca="1">IF( $C196="", "", _xll.IMDP("IDX",$C196,H$6,$D$4,"Fill=true, Per="&amp;filter!$R$1) )</f>
        <v>9699</v>
      </c>
      <c r="I196" s="43">
        <f t="array" aca="1" ref="I196" ca="1">IF( $C196="", "", _xll.IMDP("IDX",$C196,I$6,$D$4,"Fill=true, Per="&amp;filter!$R$1) )</f>
        <v>302786</v>
      </c>
      <c r="J196" s="34">
        <f t="array" aca="1" ref="J196" ca="1">IF( $C196="", "", _xll.IMDP("IDX",$C196,J$6,$D$4,"Fill=true, Per="&amp;filter!$R$1) )</f>
        <v>554.42999999999995</v>
      </c>
      <c r="K196" s="38">
        <f t="array" aca="1" ref="K196" ca="1">IF( $C196="", "", _xll.IMDP("IDX",$C196,K$6,$D$4,"Fill=true, Per="&amp;filter!$R$1) )</f>
        <v>570.89</v>
      </c>
      <c r="L196" s="39">
        <f t="array" aca="1" ref="L196" ca="1">IF( $C196="", "", _xll.IMDP("IDX",$C196,L$6,$D$4,"Fill=true, Per="&amp;filter!$R$1) )</f>
        <v>0</v>
      </c>
      <c r="M196" s="50" t="str">
        <f t="array" aca="1" ref="M196" ca="1">IF( $C196="", "", _xll.IMDP("IDX",$C196,M$6,$D$4,"Fill=true, Per="&amp;filter!$R$1) )</f>
        <v/>
      </c>
      <c r="N196" s="51" t="str">
        <f t="array" aca="1" ref="N196" ca="1">IF( $C196="", "", _xll.IMDP("IDX",$C196,N$6,$D$4,"Fill=true, Per="&amp;filter!$R$1) )</f>
        <v/>
      </c>
      <c r="O196" s="52" t="str">
        <f t="array" aca="1" ref="O196" ca="1">IF( $C196="", "", _xll.IMDP("IDX",$C196,O$6,$D$4,"Fill=true, Per="&amp;filter!$R$1) )</f>
        <v/>
      </c>
    </row>
    <row r="197" spans="2:15">
      <c r="B197" s="21">
        <f t="shared" si="2"/>
        <v>189</v>
      </c>
      <c r="C197" s="17" t="str">
        <f>IFERROR( VLOOKUP(ROWS($B$8:B196), filter!$I:$J, 2, 0), "")</f>
        <v>Q5S07P</v>
      </c>
      <c r="D197" s="16" t="str" cm="1">
        <f t="array" ref="D197">IF( $C197="", "", _xll.IMDP("IDX", $C197, D$6) )</f>
        <v>코스닥 150 필수소비재</v>
      </c>
      <c r="E197" s="34">
        <f t="array" aca="1" ref="E197" ca="1">IF( $C197="", "", _xll.IMDP("IDX",$C197,E$6,$D$4,"Fill=true, Per="&amp;filter!$R$1) )</f>
        <v>380.62</v>
      </c>
      <c r="F197" s="38">
        <f t="array" aca="1" ref="F197" ca="1">IF( $C197="", "", _xll.IMDP("IDX",$C197,F$6,$D$4,"Fill=true, Per="&amp;filter!$R$1) )</f>
        <v>4.7400000000000091</v>
      </c>
      <c r="G197" s="39">
        <f t="array" aca="1" ref="G197" ca="1">IF( $C197="", "", _xll.IMDP("IDX",$C197,G$6,$D$4,"Fill=true, Per="&amp;filter!$R$1) )</f>
        <v>1.26</v>
      </c>
      <c r="H197" s="43">
        <f t="array" aca="1" ref="H197" ca="1">IF( $C197="", "", _xll.IMDP("IDX",$C197,H$6,$D$4,"Fill=true, Per="&amp;filter!$R$1) )</f>
        <v>3687</v>
      </c>
      <c r="I197" s="43">
        <f t="array" aca="1" ref="I197" ca="1">IF( $C197="", "", _xll.IMDP("IDX",$C197,I$6,$D$4,"Fill=true, Per="&amp;filter!$R$1) )</f>
        <v>108431</v>
      </c>
      <c r="J197" s="34">
        <f t="array" aca="1" ref="J197" ca="1">IF( $C197="", "", _xll.IMDP("IDX",$C197,J$6,$D$4,"Fill=true, Per="&amp;filter!$R$1) )</f>
        <v>381.73</v>
      </c>
      <c r="K197" s="38">
        <f t="array" aca="1" ref="K197" ca="1">IF( $C197="", "", _xll.IMDP("IDX",$C197,K$6,$D$4,"Fill=true, Per="&amp;filter!$R$1) )</f>
        <v>388.47</v>
      </c>
      <c r="L197" s="39">
        <f t="array" aca="1" ref="L197" ca="1">IF( $C197="", "", _xll.IMDP("IDX",$C197,L$6,$D$4,"Fill=true, Per="&amp;filter!$R$1) )</f>
        <v>0</v>
      </c>
      <c r="M197" s="50" t="str">
        <f t="array" aca="1" ref="M197" ca="1">IF( $C197="", "", _xll.IMDP("IDX",$C197,M$6,$D$4,"Fill=true, Per="&amp;filter!$R$1) )</f>
        <v/>
      </c>
      <c r="N197" s="51" t="str">
        <f t="array" aca="1" ref="N197" ca="1">IF( $C197="", "", _xll.IMDP("IDX",$C197,N$6,$D$4,"Fill=true, Per="&amp;filter!$R$1) )</f>
        <v/>
      </c>
      <c r="O197" s="52" t="str">
        <f t="array" aca="1" ref="O197" ca="1">IF( $C197="", "", _xll.IMDP("IDX",$C197,O$6,$D$4,"Fill=true, Per="&amp;filter!$R$1) )</f>
        <v/>
      </c>
    </row>
    <row r="198" spans="2:15">
      <c r="B198" s="21">
        <f t="shared" si="2"/>
        <v>190</v>
      </c>
      <c r="C198" s="17" t="str">
        <f>IFERROR( VLOOKUP(ROWS($B$8:B197), filter!$I:$J, 2, 0), "")</f>
        <v>Q5S06P</v>
      </c>
      <c r="D198" s="16" t="str" cm="1">
        <f t="array" ref="D198">IF( $C198="", "", _xll.IMDP("IDX", $C198, D$6) )</f>
        <v>코스닥 150 산업재</v>
      </c>
      <c r="E198" s="34">
        <f t="array" aca="1" ref="E198" ca="1">IF( $C198="", "", _xll.IMDP("IDX",$C198,E$6,$D$4,"Fill=true, Per="&amp;filter!$R$1) )</f>
        <v>279.89</v>
      </c>
      <c r="F198" s="38">
        <f t="array" aca="1" ref="F198" ca="1">IF( $C198="", "", _xll.IMDP("IDX",$C198,F$6,$D$4,"Fill=true, Per="&amp;filter!$R$1) )</f>
        <v>3.6100000000000136</v>
      </c>
      <c r="G198" s="39">
        <f t="array" aca="1" ref="G198" ca="1">IF( $C198="", "", _xll.IMDP("IDX",$C198,G$6,$D$4,"Fill=true, Per="&amp;filter!$R$1) )</f>
        <v>1.31</v>
      </c>
      <c r="H198" s="43">
        <f t="array" aca="1" ref="H198" ca="1">IF( $C198="", "", _xll.IMDP("IDX",$C198,H$6,$D$4,"Fill=true, Per="&amp;filter!$R$1) )</f>
        <v>13820</v>
      </c>
      <c r="I198" s="43">
        <f t="array" aca="1" ref="I198" ca="1">IF( $C198="", "", _xll.IMDP("IDX",$C198,I$6,$D$4,"Fill=true, Per="&amp;filter!$R$1) )</f>
        <v>899869</v>
      </c>
      <c r="J198" s="34">
        <f t="array" aca="1" ref="J198" ca="1">IF( $C198="", "", _xll.IMDP("IDX",$C198,J$6,$D$4,"Fill=true, Per="&amp;filter!$R$1) )</f>
        <v>277.12</v>
      </c>
      <c r="K198" s="38">
        <f t="array" aca="1" ref="K198" ca="1">IF( $C198="", "", _xll.IMDP("IDX",$C198,K$6,$D$4,"Fill=true, Per="&amp;filter!$R$1) )</f>
        <v>288.37</v>
      </c>
      <c r="L198" s="39">
        <f t="array" aca="1" ref="L198" ca="1">IF( $C198="", "", _xll.IMDP("IDX",$C198,L$6,$D$4,"Fill=true, Per="&amp;filter!$R$1) )</f>
        <v>0</v>
      </c>
      <c r="M198" s="50" t="str">
        <f t="array" aca="1" ref="M198" ca="1">IF( $C198="", "", _xll.IMDP("IDX",$C198,M$6,$D$4,"Fill=true, Per="&amp;filter!$R$1) )</f>
        <v/>
      </c>
      <c r="N198" s="51" t="str">
        <f t="array" aca="1" ref="N198" ca="1">IF( $C198="", "", _xll.IMDP("IDX",$C198,N$6,$D$4,"Fill=true, Per="&amp;filter!$R$1) )</f>
        <v/>
      </c>
      <c r="O198" s="52" t="str">
        <f t="array" aca="1" ref="O198" ca="1">IF( $C198="", "", _xll.IMDP("IDX",$C198,O$6,$D$4,"Fill=true, Per="&amp;filter!$R$1) )</f>
        <v/>
      </c>
    </row>
    <row r="199" spans="2:15">
      <c r="B199" s="21">
        <f t="shared" si="2"/>
        <v>191</v>
      </c>
      <c r="C199" s="17" t="str">
        <f>IFERROR( VLOOKUP(ROWS($B$8:B198), filter!$I:$J, 2, 0), "")</f>
        <v>Q5S05P</v>
      </c>
      <c r="D199" s="16" t="str" cm="1">
        <f t="array" ref="D199">IF( $C199="", "", _xll.IMDP("IDX", $C199, D$6) )</f>
        <v>코스닥 150 소재</v>
      </c>
      <c r="E199" s="34">
        <f t="array" aca="1" ref="E199" ca="1">IF( $C199="", "", _xll.IMDP("IDX",$C199,E$6,$D$4,"Fill=true, Per="&amp;filter!$R$1) )</f>
        <v>3680.73</v>
      </c>
      <c r="F199" s="38">
        <f t="array" aca="1" ref="F199" ca="1">IF( $C199="", "", _xll.IMDP("IDX",$C199,F$6,$D$4,"Fill=true, Per="&amp;filter!$R$1) )</f>
        <v>56.409999999999854</v>
      </c>
      <c r="G199" s="39">
        <f t="array" aca="1" ref="G199" ca="1">IF( $C199="", "", _xll.IMDP("IDX",$C199,G$6,$D$4,"Fill=true, Per="&amp;filter!$R$1) )</f>
        <v>1.56</v>
      </c>
      <c r="H199" s="43">
        <f t="array" aca="1" ref="H199" ca="1">IF( $C199="", "", _xll.IMDP("IDX",$C199,H$6,$D$4,"Fill=true, Per="&amp;filter!$R$1) )</f>
        <v>11899</v>
      </c>
      <c r="I199" s="43">
        <f t="array" aca="1" ref="I199" ca="1">IF( $C199="", "", _xll.IMDP("IDX",$C199,I$6,$D$4,"Fill=true, Per="&amp;filter!$R$1) )</f>
        <v>416782</v>
      </c>
      <c r="J199" s="34">
        <f t="array" aca="1" ref="J199" ca="1">IF( $C199="", "", _xll.IMDP("IDX",$C199,J$6,$D$4,"Fill=true, Per="&amp;filter!$R$1) )</f>
        <v>3627.46</v>
      </c>
      <c r="K199" s="38">
        <f t="array" aca="1" ref="K199" ca="1">IF( $C199="", "", _xll.IMDP("IDX",$C199,K$6,$D$4,"Fill=true, Per="&amp;filter!$R$1) )</f>
        <v>3806.98</v>
      </c>
      <c r="L199" s="39">
        <f t="array" aca="1" ref="L199" ca="1">IF( $C199="", "", _xll.IMDP("IDX",$C199,L$6,$D$4,"Fill=true, Per="&amp;filter!$R$1) )</f>
        <v>0</v>
      </c>
      <c r="M199" s="50" t="str">
        <f t="array" aca="1" ref="M199" ca="1">IF( $C199="", "", _xll.IMDP("IDX",$C199,M$6,$D$4,"Fill=true, Per="&amp;filter!$R$1) )</f>
        <v/>
      </c>
      <c r="N199" s="51" t="str">
        <f t="array" aca="1" ref="N199" ca="1">IF( $C199="", "", _xll.IMDP("IDX",$C199,N$6,$D$4,"Fill=true, Per="&amp;filter!$R$1) )</f>
        <v/>
      </c>
      <c r="O199" s="52" t="str">
        <f t="array" aca="1" ref="O199" ca="1">IF( $C199="", "", _xll.IMDP("IDX",$C199,O$6,$D$4,"Fill=true, Per="&amp;filter!$R$1) )</f>
        <v/>
      </c>
    </row>
    <row r="200" spans="2:15">
      <c r="B200" s="21">
        <f t="shared" si="2"/>
        <v>192</v>
      </c>
      <c r="C200" s="17" t="str">
        <f>IFERROR( VLOOKUP(ROWS($B$8:B199), filter!$I:$J, 2, 0), "")</f>
        <v>Q5S04P</v>
      </c>
      <c r="D200" s="16" t="str" cm="1">
        <f t="array" ref="D200">IF( $C200="", "", _xll.IMDP("IDX", $C200, D$6) )</f>
        <v>코스닥 150 커뮤니케이션서비스</v>
      </c>
      <c r="E200" s="34">
        <f t="array" aca="1" ref="E200" ca="1">IF( $C200="", "", _xll.IMDP("IDX",$C200,E$6,$D$4,"Fill=true, Per="&amp;filter!$R$1) )</f>
        <v>1914.01</v>
      </c>
      <c r="F200" s="38">
        <f t="array" aca="1" ref="F200" ca="1">IF( $C200="", "", _xll.IMDP("IDX",$C200,F$6,$D$4,"Fill=true, Per="&amp;filter!$R$1) )</f>
        <v>-29.789999999999964</v>
      </c>
      <c r="G200" s="39">
        <f t="array" aca="1" ref="G200" ca="1">IF( $C200="", "", _xll.IMDP("IDX",$C200,G$6,$D$4,"Fill=true, Per="&amp;filter!$R$1) )</f>
        <v>-1.53</v>
      </c>
      <c r="H200" s="43">
        <f t="array" aca="1" ref="H200" ca="1">IF( $C200="", "", _xll.IMDP("IDX",$C200,H$6,$D$4,"Fill=true, Per="&amp;filter!$R$1) )</f>
        <v>7053</v>
      </c>
      <c r="I200" s="43">
        <f t="array" aca="1" ref="I200" ca="1">IF( $C200="", "", _xll.IMDP("IDX",$C200,I$6,$D$4,"Fill=true, Per="&amp;filter!$R$1) )</f>
        <v>194171</v>
      </c>
      <c r="J200" s="34">
        <f t="array" aca="1" ref="J200" ca="1">IF( $C200="", "", _xll.IMDP("IDX",$C200,J$6,$D$4,"Fill=true, Per="&amp;filter!$R$1) )</f>
        <v>1944.55</v>
      </c>
      <c r="K200" s="38">
        <f t="array" aca="1" ref="K200" ca="1">IF( $C200="", "", _xll.IMDP("IDX",$C200,K$6,$D$4,"Fill=true, Per="&amp;filter!$R$1) )</f>
        <v>1946.01</v>
      </c>
      <c r="L200" s="39">
        <f t="array" aca="1" ref="L200" ca="1">IF( $C200="", "", _xll.IMDP("IDX",$C200,L$6,$D$4,"Fill=true, Per="&amp;filter!$R$1) )</f>
        <v>0</v>
      </c>
      <c r="M200" s="50" t="str">
        <f t="array" aca="1" ref="M200" ca="1">IF( $C200="", "", _xll.IMDP("IDX",$C200,M$6,$D$4,"Fill=true, Per="&amp;filter!$R$1) )</f>
        <v/>
      </c>
      <c r="N200" s="51" t="str">
        <f t="array" aca="1" ref="N200" ca="1">IF( $C200="", "", _xll.IMDP("IDX",$C200,N$6,$D$4,"Fill=true, Per="&amp;filter!$R$1) )</f>
        <v/>
      </c>
      <c r="O200" s="52" t="str">
        <f t="array" aca="1" ref="O200" ca="1">IF( $C200="", "", _xll.IMDP("IDX",$C200,O$6,$D$4,"Fill=true, Per="&amp;filter!$R$1) )</f>
        <v/>
      </c>
    </row>
    <row r="201" spans="2:15">
      <c r="B201" s="21">
        <f t="shared" si="2"/>
        <v>193</v>
      </c>
      <c r="C201" s="17" t="str">
        <f>IFERROR( VLOOKUP(ROWS($B$8:B200), filter!$I:$J, 2, 0), "")</f>
        <v>Q5S03P</v>
      </c>
      <c r="D201" s="16" t="str" cm="1">
        <f t="array" ref="D201">IF( $C201="", "", _xll.IMDP("IDX", $C201, D$6) )</f>
        <v>코스닥 150 헬스케어</v>
      </c>
      <c r="E201" s="34">
        <f t="array" aca="1" ref="E201" ca="1">IF( $C201="", "", _xll.IMDP("IDX",$C201,E$6,$D$4,"Fill=true, Per="&amp;filter!$R$1) )</f>
        <v>4338.76</v>
      </c>
      <c r="F201" s="38">
        <f t="array" aca="1" ref="F201" ca="1">IF( $C201="", "", _xll.IMDP("IDX",$C201,F$6,$D$4,"Fill=true, Per="&amp;filter!$R$1) )</f>
        <v>-94.319999999999709</v>
      </c>
      <c r="G201" s="39">
        <f t="array" aca="1" ref="G201" ca="1">IF( $C201="", "", _xll.IMDP("IDX",$C201,G$6,$D$4,"Fill=true, Per="&amp;filter!$R$1) )</f>
        <v>-2.13</v>
      </c>
      <c r="H201" s="43">
        <f t="array" aca="1" ref="H201" ca="1">IF( $C201="", "", _xll.IMDP("IDX",$C201,H$6,$D$4,"Fill=true, Per="&amp;filter!$R$1) )</f>
        <v>36105</v>
      </c>
      <c r="I201" s="43">
        <f t="array" aca="1" ref="I201" ca="1">IF( $C201="", "", _xll.IMDP("IDX",$C201,I$6,$D$4,"Fill=true, Per="&amp;filter!$R$1) )</f>
        <v>1933635</v>
      </c>
      <c r="J201" s="34">
        <f t="array" aca="1" ref="J201" ca="1">IF( $C201="", "", _xll.IMDP("IDX",$C201,J$6,$D$4,"Fill=true, Per="&amp;filter!$R$1) )</f>
        <v>4445.84</v>
      </c>
      <c r="K201" s="38">
        <f t="array" aca="1" ref="K201" ca="1">IF( $C201="", "", _xll.IMDP("IDX",$C201,K$6,$D$4,"Fill=true, Per="&amp;filter!$R$1) )</f>
        <v>4456.22</v>
      </c>
      <c r="L201" s="39">
        <f t="array" aca="1" ref="L201" ca="1">IF( $C201="", "", _xll.IMDP("IDX",$C201,L$6,$D$4,"Fill=true, Per="&amp;filter!$R$1) )</f>
        <v>0</v>
      </c>
      <c r="M201" s="50" t="str">
        <f t="array" aca="1" ref="M201" ca="1">IF( $C201="", "", _xll.IMDP("IDX",$C201,M$6,$D$4,"Fill=true, Per="&amp;filter!$R$1) )</f>
        <v/>
      </c>
      <c r="N201" s="51" t="str">
        <f t="array" aca="1" ref="N201" ca="1">IF( $C201="", "", _xll.IMDP("IDX",$C201,N$6,$D$4,"Fill=true, Per="&amp;filter!$R$1) )</f>
        <v/>
      </c>
      <c r="O201" s="52" t="str">
        <f t="array" aca="1" ref="O201" ca="1">IF( $C201="", "", _xll.IMDP("IDX",$C201,O$6,$D$4,"Fill=true, Per="&amp;filter!$R$1) )</f>
        <v/>
      </c>
    </row>
    <row r="202" spans="2:15">
      <c r="B202" s="21">
        <f t="shared" si="2"/>
        <v>194</v>
      </c>
      <c r="C202" s="17" t="str">
        <f>IFERROR( VLOOKUP(ROWS($B$8:B201), filter!$I:$J, 2, 0), "")</f>
        <v>Q5S02P</v>
      </c>
      <c r="D202" s="16" t="str" cm="1">
        <f t="array" ref="D202">IF( $C202="", "", _xll.IMDP("IDX", $C202, D$6) )</f>
        <v>코스닥 150 정보기술</v>
      </c>
      <c r="E202" s="34">
        <f t="array" aca="1" ref="E202" ca="1">IF( $C202="", "", _xll.IMDP("IDX",$C202,E$6,$D$4,"Fill=true, Per="&amp;filter!$R$1) )</f>
        <v>637.96</v>
      </c>
      <c r="F202" s="38">
        <f t="array" aca="1" ref="F202" ca="1">IF( $C202="", "", _xll.IMDP("IDX",$C202,F$6,$D$4,"Fill=true, Per="&amp;filter!$R$1) )</f>
        <v>-26.959999999999923</v>
      </c>
      <c r="G202" s="39">
        <f t="array" aca="1" ref="G202" ca="1">IF( $C202="", "", _xll.IMDP("IDX",$C202,G$6,$D$4,"Fill=true, Per="&amp;filter!$R$1) )</f>
        <v>-4.05</v>
      </c>
      <c r="H202" s="43">
        <f t="array" aca="1" ref="H202" ca="1">IF( $C202="", "", _xll.IMDP("IDX",$C202,H$6,$D$4,"Fill=true, Per="&amp;filter!$R$1) )</f>
        <v>24628</v>
      </c>
      <c r="I202" s="43">
        <f t="array" aca="1" ref="I202" ca="1">IF( $C202="", "", _xll.IMDP("IDX",$C202,I$6,$D$4,"Fill=true, Per="&amp;filter!$R$1) )</f>
        <v>688219</v>
      </c>
      <c r="J202" s="34">
        <f t="array" aca="1" ref="J202" ca="1">IF( $C202="", "", _xll.IMDP("IDX",$C202,J$6,$D$4,"Fill=true, Per="&amp;filter!$R$1) )</f>
        <v>663.35</v>
      </c>
      <c r="K202" s="38">
        <f t="array" aca="1" ref="K202" ca="1">IF( $C202="", "", _xll.IMDP("IDX",$C202,K$6,$D$4,"Fill=true, Per="&amp;filter!$R$1) )</f>
        <v>663.35</v>
      </c>
      <c r="L202" s="39">
        <f t="array" aca="1" ref="L202" ca="1">IF( $C202="", "", _xll.IMDP("IDX",$C202,L$6,$D$4,"Fill=true, Per="&amp;filter!$R$1) )</f>
        <v>0</v>
      </c>
      <c r="M202" s="50" t="str">
        <f t="array" aca="1" ref="M202" ca="1">IF( $C202="", "", _xll.IMDP("IDX",$C202,M$6,$D$4,"Fill=true, Per="&amp;filter!$R$1) )</f>
        <v/>
      </c>
      <c r="N202" s="51" t="str">
        <f t="array" aca="1" ref="N202" ca="1">IF( $C202="", "", _xll.IMDP("IDX",$C202,N$6,$D$4,"Fill=true, Per="&amp;filter!$R$1) )</f>
        <v/>
      </c>
      <c r="O202" s="52" t="str">
        <f t="array" aca="1" ref="O202" ca="1">IF( $C202="", "", _xll.IMDP("IDX",$C202,O$6,$D$4,"Fill=true, Per="&amp;filter!$R$1) )</f>
        <v/>
      </c>
    </row>
    <row r="203" spans="2:15">
      <c r="B203" s="21">
        <f t="shared" ref="B203:B266" si="3">IF( $C203&lt;&gt;"", B202+1, "")</f>
        <v>195</v>
      </c>
      <c r="C203" s="17" t="str">
        <f>IFERROR( VLOOKUP(ROWS($B$8:B202), filter!$I:$J, 2, 0), "")</f>
        <v>Q5G01T</v>
      </c>
      <c r="D203" s="16" t="str" cm="1">
        <f t="array" ref="D203">IF( $C203="", "", _xll.IMDP("IDX", $C203, D$6) )</f>
        <v>코스닥 150 TR(KOSDAQ통합TR)</v>
      </c>
      <c r="E203" s="34">
        <f t="array" aca="1" ref="E203" ca="1">IF( $C203="", "", _xll.IMDP("IDX",$C203,E$6,$D$4,"Fill=true, Per="&amp;filter!$R$1) )</f>
        <v>1370.27</v>
      </c>
      <c r="F203" s="38">
        <f t="array" aca="1" ref="F203" ca="1">IF( $C203="", "", _xll.IMDP("IDX",$C203,F$6,$D$4,"Fill=true, Per="&amp;filter!$R$1) )</f>
        <v>-14.769999999999982</v>
      </c>
      <c r="G203" s="39">
        <f t="array" aca="1" ref="G203" ca="1">IF( $C203="", "", _xll.IMDP("IDX",$C203,G$6,$D$4,"Fill=true, Per="&amp;filter!$R$1) )</f>
        <v>-1.07</v>
      </c>
      <c r="H203" s="43">
        <f t="array" aca="1" ref="H203" ca="1">IF( $C203="", "", _xll.IMDP("IDX",$C203,H$6,$D$4,"Fill=true, Per="&amp;filter!$R$1) )</f>
        <v>0</v>
      </c>
      <c r="I203" s="43">
        <f t="array" aca="1" ref="I203" ca="1">IF( $C203="", "", _xll.IMDP("IDX",$C203,I$6,$D$4,"Fill=true, Per="&amp;filter!$R$1) )</f>
        <v>0</v>
      </c>
      <c r="J203" s="34">
        <f t="array" aca="1" ref="J203" ca="1">IF( $C203="", "", _xll.IMDP("IDX",$C203,J$6,$D$4,"Fill=true, Per="&amp;filter!$R$1) )</f>
        <v>1388.61</v>
      </c>
      <c r="K203" s="38">
        <f t="array" aca="1" ref="K203" ca="1">IF( $C203="", "", _xll.IMDP("IDX",$C203,K$6,$D$4,"Fill=true, Per="&amp;filter!$R$1) )</f>
        <v>1400.55</v>
      </c>
      <c r="L203" s="39">
        <f t="array" aca="1" ref="L203" ca="1">IF( $C203="", "", _xll.IMDP("IDX",$C203,L$6,$D$4,"Fill=true, Per="&amp;filter!$R$1) )</f>
        <v>0</v>
      </c>
      <c r="M203" s="50" t="str">
        <f t="array" aca="1" ref="M203" ca="1">IF( $C203="", "", _xll.IMDP("IDX",$C203,M$6,$D$4,"Fill=true, Per="&amp;filter!$R$1) )</f>
        <v/>
      </c>
      <c r="N203" s="51" t="str">
        <f t="array" aca="1" ref="N203" ca="1">IF( $C203="", "", _xll.IMDP("IDX",$C203,N$6,$D$4,"Fill=true, Per="&amp;filter!$R$1) )</f>
        <v/>
      </c>
      <c r="O203" s="52" t="str">
        <f t="array" aca="1" ref="O203" ca="1">IF( $C203="", "", _xll.IMDP("IDX",$C203,O$6,$D$4,"Fill=true, Per="&amp;filter!$R$1) )</f>
        <v/>
      </c>
    </row>
    <row r="204" spans="2:15">
      <c r="B204" s="21">
        <f t="shared" si="3"/>
        <v>196</v>
      </c>
      <c r="C204" s="17" t="str">
        <f>IFERROR( VLOOKUP(ROWS($B$8:B203), filter!$I:$J, 2, 0), "")</f>
        <v>Q5E01P</v>
      </c>
      <c r="D204" s="16" t="str" cm="1">
        <f t="array" ref="D204">IF( $C204="", "", _xll.IMDP("IDX", $C204, D$6) )</f>
        <v>코스닥 150 거버넌스 지수</v>
      </c>
      <c r="E204" s="34">
        <f t="array" aca="1" ref="E204" ca="1">IF( $C204="", "", _xll.IMDP("IDX",$C204,E$6,$D$4,"Fill=true, Per="&amp;filter!$R$1) )</f>
        <v>1482.55</v>
      </c>
      <c r="F204" s="38">
        <f t="array" aca="1" ref="F204" ca="1">IF( $C204="", "", _xll.IMDP("IDX",$C204,F$6,$D$4,"Fill=true, Per="&amp;filter!$R$1) )</f>
        <v>-33.580000000000155</v>
      </c>
      <c r="G204" s="39">
        <f t="array" aca="1" ref="G204" ca="1">IF( $C204="", "", _xll.IMDP("IDX",$C204,G$6,$D$4,"Fill=true, Per="&amp;filter!$R$1) )</f>
        <v>-2.21</v>
      </c>
      <c r="H204" s="43">
        <f t="array" aca="1" ref="H204" ca="1">IF( $C204="", "", _xll.IMDP("IDX",$C204,H$6,$D$4,"Fill=true, Per="&amp;filter!$R$1) )</f>
        <v>25075</v>
      </c>
      <c r="I204" s="43">
        <f t="array" aca="1" ref="I204" ca="1">IF( $C204="", "", _xll.IMDP("IDX",$C204,I$6,$D$4,"Fill=true, Per="&amp;filter!$R$1) )</f>
        <v>850349</v>
      </c>
      <c r="J204" s="34">
        <f t="array" aca="1" ref="J204" ca="1">IF( $C204="", "", _xll.IMDP("IDX",$C204,J$6,$D$4,"Fill=true, Per="&amp;filter!$R$1) )</f>
        <v>1512.12</v>
      </c>
      <c r="K204" s="38">
        <f t="array" aca="1" ref="K204" ca="1">IF( $C204="", "", _xll.IMDP("IDX",$C204,K$6,$D$4,"Fill=true, Per="&amp;filter!$R$1) )</f>
        <v>1514.64</v>
      </c>
      <c r="L204" s="39">
        <f t="array" aca="1" ref="L204" ca="1">IF( $C204="", "", _xll.IMDP("IDX",$C204,L$6,$D$4,"Fill=true, Per="&amp;filter!$R$1) )</f>
        <v>0</v>
      </c>
      <c r="M204" s="50" t="str">
        <f t="array" aca="1" ref="M204" ca="1">IF( $C204="", "", _xll.IMDP("IDX",$C204,M$6,$D$4,"Fill=true, Per="&amp;filter!$R$1) )</f>
        <v/>
      </c>
      <c r="N204" s="51" t="str">
        <f t="array" aca="1" ref="N204" ca="1">IF( $C204="", "", _xll.IMDP("IDX",$C204,N$6,$D$4,"Fill=true, Per="&amp;filter!$R$1) )</f>
        <v/>
      </c>
      <c r="O204" s="52" t="str">
        <f t="array" aca="1" ref="O204" ca="1">IF( $C204="", "", _xll.IMDP("IDX",$C204,O$6,$D$4,"Fill=true, Per="&amp;filter!$R$1) )</f>
        <v/>
      </c>
    </row>
    <row r="205" spans="2:15">
      <c r="B205" s="21">
        <f t="shared" si="3"/>
        <v>197</v>
      </c>
      <c r="C205" s="17" t="str">
        <f>IFERROR( VLOOKUP(ROWS($B$8:B204), filter!$I:$J, 2, 0), "")</f>
        <v>OG914P</v>
      </c>
      <c r="D205" s="16" t="str" cm="1">
        <f t="array" ref="D205">IF( $C205="", "", _xll.IMDP("IDX", $C205, D$6) )</f>
        <v>코스피 고배당 위클리 콜매도 AT</v>
      </c>
      <c r="E205" s="34">
        <f t="array" aca="1" ref="E205" ca="1">IF( $C205="", "", _xll.IMDP("IDX",$C205,E$6,$D$4,"Fill=true, Per="&amp;filter!$R$1) )</f>
        <v>1772.45</v>
      </c>
      <c r="F205" s="38">
        <f t="array" aca="1" ref="F205" ca="1">IF( $C205="", "", _xll.IMDP("IDX",$C205,F$6,$D$4,"Fill=true, Per="&amp;filter!$R$1) )</f>
        <v>39.009999999999991</v>
      </c>
      <c r="G205" s="39">
        <f t="array" aca="1" ref="G205" ca="1">IF( $C205="", "", _xll.IMDP("IDX",$C205,G$6,$D$4,"Fill=true, Per="&amp;filter!$R$1) )</f>
        <v>2.25</v>
      </c>
      <c r="H205" s="43">
        <f t="array" aca="1" ref="H205" ca="1">IF( $C205="", "", _xll.IMDP("IDX",$C205,H$6,$D$4,"Fill=true, Per="&amp;filter!$R$1) )</f>
        <v>0</v>
      </c>
      <c r="I205" s="43">
        <f t="array" aca="1" ref="I205" ca="1">IF( $C205="", "", _xll.IMDP("IDX",$C205,I$6,$D$4,"Fill=true, Per="&amp;filter!$R$1) )</f>
        <v>0</v>
      </c>
      <c r="J205" s="34">
        <f t="array" aca="1" ref="J205" ca="1">IF( $C205="", "", _xll.IMDP("IDX",$C205,J$6,$D$4,"Fill=true, Per="&amp;filter!$R$1) )</f>
        <v>1735.66</v>
      </c>
      <c r="K205" s="38">
        <f t="array" aca="1" ref="K205" ca="1">IF( $C205="", "", _xll.IMDP("IDX",$C205,K$6,$D$4,"Fill=true, Per="&amp;filter!$R$1) )</f>
        <v>1778.34</v>
      </c>
      <c r="L205" s="39">
        <f t="array" aca="1" ref="L205" ca="1">IF( $C205="", "", _xll.IMDP("IDX",$C205,L$6,$D$4,"Fill=true, Per="&amp;filter!$R$1) )</f>
        <v>0</v>
      </c>
      <c r="M205" s="50" t="str">
        <f t="array" aca="1" ref="M205" ca="1">IF( $C205="", "", _xll.IMDP("IDX",$C205,M$6,$D$4,"Fill=true, Per="&amp;filter!$R$1) )</f>
        <v/>
      </c>
      <c r="N205" s="51" t="str">
        <f t="array" aca="1" ref="N205" ca="1">IF( $C205="", "", _xll.IMDP("IDX",$C205,N$6,$D$4,"Fill=true, Per="&amp;filter!$R$1) )</f>
        <v/>
      </c>
      <c r="O205" s="52" t="str">
        <f t="array" aca="1" ref="O205" ca="1">IF( $C205="", "", _xll.IMDP("IDX",$C205,O$6,$D$4,"Fill=true, Per="&amp;filter!$R$1) )</f>
        <v/>
      </c>
    </row>
    <row r="206" spans="2:15">
      <c r="B206" s="21">
        <f t="shared" si="3"/>
        <v>198</v>
      </c>
      <c r="C206" s="17" t="str">
        <f>IFERROR( VLOOKUP(ROWS($B$8:B205), filter!$I:$J, 2, 0), "")</f>
        <v>OG913P</v>
      </c>
      <c r="D206" s="16" t="str" cm="1">
        <f t="array" ref="D206">IF( $C206="", "", _xll.IMDP("IDX", $C206, D$6) )</f>
        <v>KRX Cboe 코스피 200 풋매도 지?</v>
      </c>
      <c r="E206" s="34">
        <f t="array" aca="1" ref="E206" ca="1">IF( $C206="", "", _xll.IMDP("IDX",$C206,E$6,$D$4,"Fill=true, Per="&amp;filter!$R$1) )</f>
        <v>215.33</v>
      </c>
      <c r="F206" s="38">
        <f t="array" aca="1" ref="F206" ca="1">IF( $C206="", "", _xll.IMDP("IDX",$C206,F$6,$D$4,"Fill=true, Per="&amp;filter!$R$1) )</f>
        <v>-5.8599999999999852</v>
      </c>
      <c r="G206" s="39">
        <f t="array" aca="1" ref="G206" ca="1">IF( $C206="", "", _xll.IMDP("IDX",$C206,G$6,$D$4,"Fill=true, Per="&amp;filter!$R$1) )</f>
        <v>-2.65</v>
      </c>
      <c r="H206" s="43">
        <f t="array" aca="1" ref="H206" ca="1">IF( $C206="", "", _xll.IMDP("IDX",$C206,H$6,$D$4,"Fill=true, Per="&amp;filter!$R$1) )</f>
        <v>0</v>
      </c>
      <c r="I206" s="43">
        <f t="array" aca="1" ref="I206" ca="1">IF( $C206="", "", _xll.IMDP("IDX",$C206,I$6,$D$4,"Fill=true, Per="&amp;filter!$R$1) )</f>
        <v>0</v>
      </c>
      <c r="J206" s="34">
        <f t="array" aca="1" ref="J206" ca="1">IF( $C206="", "", _xll.IMDP("IDX",$C206,J$6,$D$4,"Fill=true, Per="&amp;filter!$R$1) )</f>
        <v>220.41</v>
      </c>
      <c r="K206" s="38">
        <f t="array" aca="1" ref="K206" ca="1">IF( $C206="", "", _xll.IMDP("IDX",$C206,K$6,$D$4,"Fill=true, Per="&amp;filter!$R$1) )</f>
        <v>221.73</v>
      </c>
      <c r="L206" s="39">
        <f t="array" aca="1" ref="L206" ca="1">IF( $C206="", "", _xll.IMDP("IDX",$C206,L$6,$D$4,"Fill=true, Per="&amp;filter!$R$1) )</f>
        <v>0</v>
      </c>
      <c r="M206" s="50" t="str">
        <f t="array" aca="1" ref="M206" ca="1">IF( $C206="", "", _xll.IMDP("IDX",$C206,M$6,$D$4,"Fill=true, Per="&amp;filter!$R$1) )</f>
        <v/>
      </c>
      <c r="N206" s="51" t="str">
        <f t="array" aca="1" ref="N206" ca="1">IF( $C206="", "", _xll.IMDP("IDX",$C206,N$6,$D$4,"Fill=true, Per="&amp;filter!$R$1) )</f>
        <v/>
      </c>
      <c r="O206" s="52" t="str">
        <f t="array" aca="1" ref="O206" ca="1">IF( $C206="", "", _xll.IMDP("IDX",$C206,O$6,$D$4,"Fill=true, Per="&amp;filter!$R$1) )</f>
        <v/>
      </c>
    </row>
    <row r="207" spans="2:15">
      <c r="B207" s="21">
        <f t="shared" si="3"/>
        <v>199</v>
      </c>
      <c r="C207" s="17" t="str">
        <f>IFERROR( VLOOKUP(ROWS($B$8:B206), filter!$I:$J, 2, 0), "")</f>
        <v>OG912P</v>
      </c>
      <c r="D207" s="16" t="str" cm="1">
        <f t="array" ref="D207">IF( $C207="", "", _xll.IMDP("IDX", $C207, D$6) )</f>
        <v>코스피 커버드풋 5% OTM 선물지?</v>
      </c>
      <c r="E207" s="34">
        <f t="array" aca="1" ref="E207" ca="1">IF( $C207="", "", _xll.IMDP("IDX",$C207,E$6,$D$4,"Fill=true, Per="&amp;filter!$R$1) )</f>
        <v>906.72</v>
      </c>
      <c r="F207" s="38">
        <f t="array" aca="1" ref="F207" ca="1">IF( $C207="", "", _xll.IMDP("IDX",$C207,F$6,$D$4,"Fill=true, Per="&amp;filter!$R$1) )</f>
        <v>8.8899999999999864</v>
      </c>
      <c r="G207" s="39">
        <f t="array" aca="1" ref="G207" ca="1">IF( $C207="", "", _xll.IMDP("IDX",$C207,G$6,$D$4,"Fill=true, Per="&amp;filter!$R$1) )</f>
        <v>0.99</v>
      </c>
      <c r="H207" s="43">
        <f t="array" aca="1" ref="H207" ca="1">IF( $C207="", "", _xll.IMDP("IDX",$C207,H$6,$D$4,"Fill=true, Per="&amp;filter!$R$1) )</f>
        <v>0</v>
      </c>
      <c r="I207" s="43">
        <f t="array" aca="1" ref="I207" ca="1">IF( $C207="", "", _xll.IMDP("IDX",$C207,I$6,$D$4,"Fill=true, Per="&amp;filter!$R$1) )</f>
        <v>0</v>
      </c>
      <c r="J207" s="34">
        <f t="array" aca="1" ref="J207" ca="1">IF( $C207="", "", _xll.IMDP("IDX",$C207,J$6,$D$4,"Fill=true, Per="&amp;filter!$R$1) )</f>
        <v>898.32</v>
      </c>
      <c r="K207" s="38">
        <f t="array" aca="1" ref="K207" ca="1">IF( $C207="", "", _xll.IMDP("IDX",$C207,K$6,$D$4,"Fill=true, Per="&amp;filter!$R$1) )</f>
        <v>908.67</v>
      </c>
      <c r="L207" s="39">
        <f t="array" aca="1" ref="L207" ca="1">IF( $C207="", "", _xll.IMDP("IDX",$C207,L$6,$D$4,"Fill=true, Per="&amp;filter!$R$1) )</f>
        <v>0</v>
      </c>
      <c r="M207" s="50" t="str">
        <f t="array" aca="1" ref="M207" ca="1">IF( $C207="", "", _xll.IMDP("IDX",$C207,M$6,$D$4,"Fill=true, Per="&amp;filter!$R$1) )</f>
        <v/>
      </c>
      <c r="N207" s="51" t="str">
        <f t="array" aca="1" ref="N207" ca="1">IF( $C207="", "", _xll.IMDP("IDX",$C207,N$6,$D$4,"Fill=true, Per="&amp;filter!$R$1) )</f>
        <v/>
      </c>
      <c r="O207" s="52" t="str">
        <f t="array" aca="1" ref="O207" ca="1">IF( $C207="", "", _xll.IMDP("IDX",$C207,O$6,$D$4,"Fill=true, Per="&amp;filter!$R$1) )</f>
        <v/>
      </c>
    </row>
    <row r="208" spans="2:15">
      <c r="B208" s="21">
        <f t="shared" si="3"/>
        <v>200</v>
      </c>
      <c r="C208" s="17" t="str">
        <f>IFERROR( VLOOKUP(ROWS($B$8:B207), filter!$I:$J, 2, 0), "")</f>
        <v>OG909P</v>
      </c>
      <c r="D208" s="16" t="str" cm="1">
        <f t="array" ref="D208">IF( $C208="", "", _xll.IMDP("IDX", $C208, D$6) )</f>
        <v>코스피 커버드콜 5% OTM 선물지?</v>
      </c>
      <c r="E208" s="34">
        <f t="array" aca="1" ref="E208" ca="1">IF( $C208="", "", _xll.IMDP("IDX",$C208,E$6,$D$4,"Fill=true, Per="&amp;filter!$R$1) )</f>
        <v>1391.17</v>
      </c>
      <c r="F208" s="38">
        <f t="array" aca="1" ref="F208" ca="1">IF( $C208="", "", _xll.IMDP("IDX",$C208,F$6,$D$4,"Fill=true, Per="&amp;filter!$R$1) )</f>
        <v>-6.1999999999998181</v>
      </c>
      <c r="G208" s="39">
        <f t="array" aca="1" ref="G208" ca="1">IF( $C208="", "", _xll.IMDP("IDX",$C208,G$6,$D$4,"Fill=true, Per="&amp;filter!$R$1) )</f>
        <v>-0.44</v>
      </c>
      <c r="H208" s="43">
        <f t="array" aca="1" ref="H208" ca="1">IF( $C208="", "", _xll.IMDP("IDX",$C208,H$6,$D$4,"Fill=true, Per="&amp;filter!$R$1) )</f>
        <v>0</v>
      </c>
      <c r="I208" s="43">
        <f t="array" aca="1" ref="I208" ca="1">IF( $C208="", "", _xll.IMDP("IDX",$C208,I$6,$D$4,"Fill=true, Per="&amp;filter!$R$1) )</f>
        <v>0</v>
      </c>
      <c r="J208" s="34">
        <f t="array" aca="1" ref="J208" ca="1">IF( $C208="", "", _xll.IMDP("IDX",$C208,J$6,$D$4,"Fill=true, Per="&amp;filter!$R$1) )</f>
        <v>1398.1</v>
      </c>
      <c r="K208" s="38">
        <f t="array" aca="1" ref="K208" ca="1">IF( $C208="", "", _xll.IMDP("IDX",$C208,K$6,$D$4,"Fill=true, Per="&amp;filter!$R$1) )</f>
        <v>1402.07</v>
      </c>
      <c r="L208" s="39">
        <f t="array" aca="1" ref="L208" ca="1">IF( $C208="", "", _xll.IMDP("IDX",$C208,L$6,$D$4,"Fill=true, Per="&amp;filter!$R$1) )</f>
        <v>0</v>
      </c>
      <c r="M208" s="50" t="str">
        <f t="array" aca="1" ref="M208" ca="1">IF( $C208="", "", _xll.IMDP("IDX",$C208,M$6,$D$4,"Fill=true, Per="&amp;filter!$R$1) )</f>
        <v/>
      </c>
      <c r="N208" s="51" t="str">
        <f t="array" aca="1" ref="N208" ca="1">IF( $C208="", "", _xll.IMDP("IDX",$C208,N$6,$D$4,"Fill=true, Per="&amp;filter!$R$1) )</f>
        <v/>
      </c>
      <c r="O208" s="52" t="str">
        <f t="array" aca="1" ref="O208" ca="1">IF( $C208="", "", _xll.IMDP("IDX",$C208,O$6,$D$4,"Fill=true, Per="&amp;filter!$R$1) )</f>
        <v/>
      </c>
    </row>
    <row r="209" spans="2:15">
      <c r="B209" s="21">
        <f t="shared" si="3"/>
        <v>201</v>
      </c>
      <c r="C209" s="17" t="str">
        <f>IFERROR( VLOOKUP(ROWS($B$8:B208), filter!$I:$J, 2, 0), "")</f>
        <v>K2W04P</v>
      </c>
      <c r="D209" s="16" t="str" cm="1">
        <f t="array" ref="D209">IF( $C209="", "", _xll.IMDP("IDX", $C209, D$6) )</f>
        <v>코스피 200 Top 10 지수</v>
      </c>
      <c r="E209" s="34">
        <f t="array" aca="1" ref="E209" ca="1">IF( $C209="", "", _xll.IMDP("IDX",$C209,E$6,$D$4,"Fill=true, Per="&amp;filter!$R$1) )</f>
        <v>1312.72</v>
      </c>
      <c r="F209" s="38">
        <f t="array" aca="1" ref="F209" ca="1">IF( $C209="", "", _xll.IMDP("IDX",$C209,F$6,$D$4,"Fill=true, Per="&amp;filter!$R$1) )</f>
        <v>-11.019999999999982</v>
      </c>
      <c r="G209" s="39">
        <f t="array" aca="1" ref="G209" ca="1">IF( $C209="", "", _xll.IMDP("IDX",$C209,G$6,$D$4,"Fill=true, Per="&amp;filter!$R$1) )</f>
        <v>-0.83</v>
      </c>
      <c r="H209" s="43">
        <f t="array" aca="1" ref="H209" ca="1">IF( $C209="", "", _xll.IMDP("IDX",$C209,H$6,$D$4,"Fill=true, Per="&amp;filter!$R$1) )</f>
        <v>45040</v>
      </c>
      <c r="I209" s="43">
        <f t="array" aca="1" ref="I209" ca="1">IF( $C209="", "", _xll.IMDP("IDX",$C209,I$6,$D$4,"Fill=true, Per="&amp;filter!$R$1) )</f>
        <v>5592393</v>
      </c>
      <c r="J209" s="34">
        <f t="array" aca="1" ref="J209" ca="1">IF( $C209="", "", _xll.IMDP("IDX",$C209,J$6,$D$4,"Fill=true, Per="&amp;filter!$R$1) )</f>
        <v>1332.3</v>
      </c>
      <c r="K209" s="38">
        <f t="array" aca="1" ref="K209" ca="1">IF( $C209="", "", _xll.IMDP("IDX",$C209,K$6,$D$4,"Fill=true, Per="&amp;filter!$R$1) )</f>
        <v>1338.26</v>
      </c>
      <c r="L209" s="39">
        <f t="array" aca="1" ref="L209" ca="1">IF( $C209="", "", _xll.IMDP("IDX",$C209,L$6,$D$4,"Fill=true, Per="&amp;filter!$R$1) )</f>
        <v>0</v>
      </c>
      <c r="M209" s="50" t="str">
        <f t="array" aca="1" ref="M209" ca="1">IF( $C209="", "", _xll.IMDP("IDX",$C209,M$6,$D$4,"Fill=true, Per="&amp;filter!$R$1) )</f>
        <v/>
      </c>
      <c r="N209" s="51" t="str">
        <f t="array" aca="1" ref="N209" ca="1">IF( $C209="", "", _xll.IMDP("IDX",$C209,N$6,$D$4,"Fill=true, Per="&amp;filter!$R$1) )</f>
        <v/>
      </c>
      <c r="O209" s="52" t="str">
        <f t="array" aca="1" ref="O209" ca="1">IF( $C209="", "", _xll.IMDP("IDX",$C209,O$6,$D$4,"Fill=true, Per="&amp;filter!$R$1) )</f>
        <v/>
      </c>
    </row>
    <row r="210" spans="2:15">
      <c r="B210" s="21">
        <f t="shared" si="3"/>
        <v>202</v>
      </c>
      <c r="C210" s="17" t="str">
        <f>IFERROR( VLOOKUP(ROWS($B$8:B209), filter!$I:$J, 2, 0), "")</f>
        <v>FRG01P</v>
      </c>
      <c r="D210" s="16" t="str" cm="1">
        <f t="array" ref="D210">IF( $C210="", "", _xll.IMDP("IDX", $C210, D$6) )</f>
        <v>미국달러 선물지수</v>
      </c>
      <c r="E210" s="34">
        <f t="array" aca="1" ref="E210" ca="1">IF( $C210="", "", _xll.IMDP("IDX",$C210,E$6,$D$4,"Fill=true, Per="&amp;filter!$R$1) )</f>
        <v>1451.79</v>
      </c>
      <c r="F210" s="38">
        <f t="array" aca="1" ref="F210" ca="1">IF( $C210="", "", _xll.IMDP("IDX",$C210,F$6,$D$4,"Fill=true, Per="&amp;filter!$R$1) )</f>
        <v>6.2799999999999727</v>
      </c>
      <c r="G210" s="39">
        <f t="array" aca="1" ref="G210" ca="1">IF( $C210="", "", _xll.IMDP("IDX",$C210,G$6,$D$4,"Fill=true, Per="&amp;filter!$R$1) )</f>
        <v>0.43</v>
      </c>
      <c r="H210" s="43">
        <f t="array" aca="1" ref="H210" ca="1">IF( $C210="", "", _xll.IMDP("IDX",$C210,H$6,$D$4,"Fill=true, Per="&amp;filter!$R$1) )</f>
        <v>0</v>
      </c>
      <c r="I210" s="43">
        <f t="array" aca="1" ref="I210" ca="1">IF( $C210="", "", _xll.IMDP("IDX",$C210,I$6,$D$4,"Fill=true, Per="&amp;filter!$R$1) )</f>
        <v>0</v>
      </c>
      <c r="J210" s="34">
        <f t="array" aca="1" ref="J210" ca="1">IF( $C210="", "", _xll.IMDP("IDX",$C210,J$6,$D$4,"Fill=true, Per="&amp;filter!$R$1) )</f>
        <v>1448.22</v>
      </c>
      <c r="K210" s="38">
        <f t="array" aca="1" ref="K210" ca="1">IF( $C210="", "", _xll.IMDP("IDX",$C210,K$6,$D$4,"Fill=true, Per="&amp;filter!$R$1) )</f>
        <v>1455.48</v>
      </c>
      <c r="L210" s="39">
        <f t="array" aca="1" ref="L210" ca="1">IF( $C210="", "", _xll.IMDP("IDX",$C210,L$6,$D$4,"Fill=true, Per="&amp;filter!$R$1) )</f>
        <v>0</v>
      </c>
      <c r="M210" s="50" t="str">
        <f t="array" aca="1" ref="M210" ca="1">IF( $C210="", "", _xll.IMDP("IDX",$C210,M$6,$D$4,"Fill=true, Per="&amp;filter!$R$1) )</f>
        <v/>
      </c>
      <c r="N210" s="51" t="str">
        <f t="array" aca="1" ref="N210" ca="1">IF( $C210="", "", _xll.IMDP("IDX",$C210,N$6,$D$4,"Fill=true, Per="&amp;filter!$R$1) )</f>
        <v/>
      </c>
      <c r="O210" s="52" t="str">
        <f t="array" aca="1" ref="O210" ca="1">IF( $C210="", "", _xll.IMDP("IDX",$C210,O$6,$D$4,"Fill=true, Per="&amp;filter!$R$1) )</f>
        <v/>
      </c>
    </row>
    <row r="211" spans="2:15">
      <c r="B211" s="21">
        <f t="shared" si="3"/>
        <v>203</v>
      </c>
      <c r="C211" s="17" t="str">
        <f>IFERROR( VLOOKUP(ROWS($B$8:B210), filter!$I:$J, 2, 0), "")</f>
        <v>F2902T</v>
      </c>
      <c r="D211" s="16" t="str" cm="1">
        <f t="array" ref="D211">IF( $C211="", "", _xll.IMDP("IDX", $C211, D$6) )</f>
        <v>코스피 200 선물 TWAP 0.5X 지수</v>
      </c>
      <c r="E211" s="34">
        <f t="array" aca="1" ref="E211" ca="1">IF( $C211="", "", _xll.IMDP("IDX",$C211,E$6,$D$4,"Fill=true, Per="&amp;filter!$R$1) )</f>
        <v>2170.87</v>
      </c>
      <c r="F211" s="38">
        <f t="array" aca="1" ref="F211" ca="1">IF( $C211="", "", _xll.IMDP("IDX",$C211,F$6,$D$4,"Fill=true, Per="&amp;filter!$R$1) )</f>
        <v>-9.8900000000003274</v>
      </c>
      <c r="G211" s="39">
        <f t="array" aca="1" ref="G211" ca="1">IF( $C211="", "", _xll.IMDP("IDX",$C211,G$6,$D$4,"Fill=true, Per="&amp;filter!$R$1) )</f>
        <v>-0.45</v>
      </c>
      <c r="H211" s="43">
        <f t="array" aca="1" ref="H211" ca="1">IF( $C211="", "", _xll.IMDP("IDX",$C211,H$6,$D$4,"Fill=true, Per="&amp;filter!$R$1) )</f>
        <v>0</v>
      </c>
      <c r="I211" s="43">
        <f t="array" aca="1" ref="I211" ca="1">IF( $C211="", "", _xll.IMDP("IDX",$C211,I$6,$D$4,"Fill=true, Per="&amp;filter!$R$1) )</f>
        <v>0</v>
      </c>
      <c r="J211" s="34">
        <f t="array" aca="1" ref="J211" ca="1">IF( $C211="", "", _xll.IMDP("IDX",$C211,J$6,$D$4,"Fill=true, Per="&amp;filter!$R$1) )</f>
        <v>2181.0500000000002</v>
      </c>
      <c r="K211" s="38">
        <f t="array" aca="1" ref="K211" ca="1">IF( $C211="", "", _xll.IMDP("IDX",$C211,K$6,$D$4,"Fill=true, Per="&amp;filter!$R$1) )</f>
        <v>2185.15</v>
      </c>
      <c r="L211" s="39">
        <f t="array" aca="1" ref="L211" ca="1">IF( $C211="", "", _xll.IMDP("IDX",$C211,L$6,$D$4,"Fill=true, Per="&amp;filter!$R$1) )</f>
        <v>0</v>
      </c>
      <c r="M211" s="50" t="str">
        <f t="array" aca="1" ref="M211" ca="1">IF( $C211="", "", _xll.IMDP("IDX",$C211,M$6,$D$4,"Fill=true, Per="&amp;filter!$R$1) )</f>
        <v/>
      </c>
      <c r="N211" s="51" t="str">
        <f t="array" aca="1" ref="N211" ca="1">IF( $C211="", "", _xll.IMDP("IDX",$C211,N$6,$D$4,"Fill=true, Per="&amp;filter!$R$1) )</f>
        <v/>
      </c>
      <c r="O211" s="52" t="str">
        <f t="array" aca="1" ref="O211" ca="1">IF( $C211="", "", _xll.IMDP("IDX",$C211,O$6,$D$4,"Fill=true, Per="&amp;filter!$R$1) )</f>
        <v/>
      </c>
    </row>
    <row r="212" spans="2:15">
      <c r="B212" s="21">
        <f t="shared" si="3"/>
        <v>204</v>
      </c>
      <c r="C212" s="17" t="str">
        <f>IFERROR( VLOOKUP(ROWS($B$8:B211), filter!$I:$J, 2, 0), "")</f>
        <v>F2G01P</v>
      </c>
      <c r="D212" s="16" t="str" cm="1">
        <f t="array" ref="D212">IF( $C212="", "", _xll.IMDP("IDX", $C212, D$6) )</f>
        <v>코스피200 선물지수</v>
      </c>
      <c r="E212" s="34">
        <f t="array" aca="1" ref="E212" ca="1">IF( $C212="", "", _xll.IMDP("IDX",$C212,E$6,$D$4,"Fill=true, Per="&amp;filter!$R$1) )</f>
        <v>1784.73</v>
      </c>
      <c r="F212" s="38">
        <f t="array" aca="1" ref="F212" ca="1">IF( $C212="", "", _xll.IMDP("IDX",$C212,F$6,$D$4,"Fill=true, Per="&amp;filter!$R$1) )</f>
        <v>-17.629999999999882</v>
      </c>
      <c r="G212" s="39">
        <f t="array" aca="1" ref="G212" ca="1">IF( $C212="", "", _xll.IMDP("IDX",$C212,G$6,$D$4,"Fill=true, Per="&amp;filter!$R$1) )</f>
        <v>-0.98</v>
      </c>
      <c r="H212" s="43">
        <f t="array" aca="1" ref="H212" ca="1">IF( $C212="", "", _xll.IMDP("IDX",$C212,H$6,$D$4,"Fill=true, Per="&amp;filter!$R$1) )</f>
        <v>0</v>
      </c>
      <c r="I212" s="43">
        <f t="array" aca="1" ref="I212" ca="1">IF( $C212="", "", _xll.IMDP("IDX",$C212,I$6,$D$4,"Fill=true, Per="&amp;filter!$R$1) )</f>
        <v>0</v>
      </c>
      <c r="J212" s="34">
        <f t="array" aca="1" ref="J212" ca="1">IF( $C212="", "", _xll.IMDP("IDX",$C212,J$6,$D$4,"Fill=true, Per="&amp;filter!$R$1) )</f>
        <v>1801.86</v>
      </c>
      <c r="K212" s="38">
        <f t="array" aca="1" ref="K212" ca="1">IF( $C212="", "", _xll.IMDP("IDX",$C212,K$6,$D$4,"Fill=true, Per="&amp;filter!$R$1) )</f>
        <v>1808.32</v>
      </c>
      <c r="L212" s="39">
        <f t="array" aca="1" ref="L212" ca="1">IF( $C212="", "", _xll.IMDP("IDX",$C212,L$6,$D$4,"Fill=true, Per="&amp;filter!$R$1) )</f>
        <v>0</v>
      </c>
      <c r="M212" s="50" t="str">
        <f t="array" aca="1" ref="M212" ca="1">IF( $C212="", "", _xll.IMDP("IDX",$C212,M$6,$D$4,"Fill=true, Per="&amp;filter!$R$1) )</f>
        <v/>
      </c>
      <c r="N212" s="51" t="str">
        <f t="array" aca="1" ref="N212" ca="1">IF( $C212="", "", _xll.IMDP("IDX",$C212,N$6,$D$4,"Fill=true, Per="&amp;filter!$R$1) )</f>
        <v/>
      </c>
      <c r="O212" s="52" t="str">
        <f t="array" aca="1" ref="O212" ca="1">IF( $C212="", "", _xll.IMDP("IDX",$C212,O$6,$D$4,"Fill=true, Per="&amp;filter!$R$1) )</f>
        <v/>
      </c>
    </row>
    <row r="213" spans="2:15">
      <c r="B213" s="21">
        <f t="shared" si="3"/>
        <v>205</v>
      </c>
      <c r="C213" s="17" t="str">
        <f>IFERROR( VLOOKUP(ROWS($B$8:B212), filter!$I:$J, 2, 0), "")</f>
        <v>F2G02P</v>
      </c>
      <c r="D213" s="16" t="str" cm="1">
        <f t="array" ref="D213">IF( $C213="", "", _xll.IMDP("IDX", $C213, D$6) )</f>
        <v>미니코스피200 선물 지수</v>
      </c>
      <c r="E213" s="34">
        <f t="array" aca="1" ref="E213" ca="1">IF( $C213="", "", _xll.IMDP("IDX",$C213,E$6,$D$4,"Fill=true, Per="&amp;filter!$R$1) )</f>
        <v>1500.52</v>
      </c>
      <c r="F213" s="38">
        <f t="array" aca="1" ref="F213" ca="1">IF( $C213="", "", _xll.IMDP("IDX",$C213,F$6,$D$4,"Fill=true, Per="&amp;filter!$R$1) )</f>
        <v>-14.950000000000045</v>
      </c>
      <c r="G213" s="39">
        <f t="array" aca="1" ref="G213" ca="1">IF( $C213="", "", _xll.IMDP("IDX",$C213,G$6,$D$4,"Fill=true, Per="&amp;filter!$R$1) )</f>
        <v>-0.99</v>
      </c>
      <c r="H213" s="43">
        <f t="array" aca="1" ref="H213" ca="1">IF( $C213="", "", _xll.IMDP("IDX",$C213,H$6,$D$4,"Fill=true, Per="&amp;filter!$R$1) )</f>
        <v>0</v>
      </c>
      <c r="I213" s="43">
        <f t="array" aca="1" ref="I213" ca="1">IF( $C213="", "", _xll.IMDP("IDX",$C213,I$6,$D$4,"Fill=true, Per="&amp;filter!$R$1) )</f>
        <v>0</v>
      </c>
      <c r="J213" s="34">
        <f t="array" aca="1" ref="J213" ca="1">IF( $C213="", "", _xll.IMDP("IDX",$C213,J$6,$D$4,"Fill=true, Per="&amp;filter!$R$1) )</f>
        <v>1514.8</v>
      </c>
      <c r="K213" s="38">
        <f t="array" aca="1" ref="K213" ca="1">IF( $C213="", "", _xll.IMDP("IDX",$C213,K$6,$D$4,"Fill=true, Per="&amp;filter!$R$1) )</f>
        <v>1520.32</v>
      </c>
      <c r="L213" s="39">
        <f t="array" aca="1" ref="L213" ca="1">IF( $C213="", "", _xll.IMDP("IDX",$C213,L$6,$D$4,"Fill=true, Per="&amp;filter!$R$1) )</f>
        <v>0</v>
      </c>
      <c r="M213" s="50" t="str">
        <f t="array" aca="1" ref="M213" ca="1">IF( $C213="", "", _xll.IMDP("IDX",$C213,M$6,$D$4,"Fill=true, Per="&amp;filter!$R$1) )</f>
        <v/>
      </c>
      <c r="N213" s="51" t="str">
        <f t="array" aca="1" ref="N213" ca="1">IF( $C213="", "", _xll.IMDP("IDX",$C213,N$6,$D$4,"Fill=true, Per="&amp;filter!$R$1) )</f>
        <v/>
      </c>
      <c r="O213" s="52" t="str">
        <f t="array" aca="1" ref="O213" ca="1">IF( $C213="", "", _xll.IMDP("IDX",$C213,O$6,$D$4,"Fill=true, Per="&amp;filter!$R$1) )</f>
        <v/>
      </c>
    </row>
    <row r="214" spans="2:15">
      <c r="B214" s="21">
        <f t="shared" si="3"/>
        <v>206</v>
      </c>
      <c r="C214" s="17" t="str">
        <f>IFERROR( VLOOKUP(ROWS($B$8:B213), filter!$I:$J, 2, 0), "")</f>
        <v>F2S01P</v>
      </c>
      <c r="D214" s="16" t="str" cm="1">
        <f t="array" ref="D214">IF( $C214="", "", _xll.IMDP("IDX", $C214, D$6) )</f>
        <v>코스피 200 에너지/화학 선물지?</v>
      </c>
      <c r="E214" s="34">
        <f t="array" aca="1" ref="E214" ca="1">IF( $C214="", "", _xll.IMDP("IDX",$C214,E$6,$D$4,"Fill=true, Per="&amp;filter!$R$1) )</f>
        <v>947.23</v>
      </c>
      <c r="F214" s="38">
        <f t="array" aca="1" ref="F214" ca="1">IF( $C214="", "", _xll.IMDP("IDX",$C214,F$6,$D$4,"Fill=true, Per="&amp;filter!$R$1) )</f>
        <v>10.25</v>
      </c>
      <c r="G214" s="39">
        <f t="array" aca="1" ref="G214" ca="1">IF( $C214="", "", _xll.IMDP("IDX",$C214,G$6,$D$4,"Fill=true, Per="&amp;filter!$R$1) )</f>
        <v>1.0900000000000001</v>
      </c>
      <c r="H214" s="43">
        <f t="array" aca="1" ref="H214" ca="1">IF( $C214="", "", _xll.IMDP("IDX",$C214,H$6,$D$4,"Fill=true, Per="&amp;filter!$R$1) )</f>
        <v>0</v>
      </c>
      <c r="I214" s="43">
        <f t="array" aca="1" ref="I214" ca="1">IF( $C214="", "", _xll.IMDP("IDX",$C214,I$6,$D$4,"Fill=true, Per="&amp;filter!$R$1) )</f>
        <v>0</v>
      </c>
      <c r="J214" s="34">
        <f t="array" aca="1" ref="J214" ca="1">IF( $C214="", "", _xll.IMDP("IDX",$C214,J$6,$D$4,"Fill=true, Per="&amp;filter!$R$1) )</f>
        <v>936.98</v>
      </c>
      <c r="K214" s="38">
        <f t="array" aca="1" ref="K214" ca="1">IF( $C214="", "", _xll.IMDP("IDX",$C214,K$6,$D$4,"Fill=true, Per="&amp;filter!$R$1) )</f>
        <v>952.86</v>
      </c>
      <c r="L214" s="39">
        <f t="array" aca="1" ref="L214" ca="1">IF( $C214="", "", _xll.IMDP("IDX",$C214,L$6,$D$4,"Fill=true, Per="&amp;filter!$R$1) )</f>
        <v>0</v>
      </c>
      <c r="M214" s="50" t="str">
        <f t="array" aca="1" ref="M214" ca="1">IF( $C214="", "", _xll.IMDP("IDX",$C214,M$6,$D$4,"Fill=true, Per="&amp;filter!$R$1) )</f>
        <v/>
      </c>
      <c r="N214" s="51" t="str">
        <f t="array" aca="1" ref="N214" ca="1">IF( $C214="", "", _xll.IMDP("IDX",$C214,N$6,$D$4,"Fill=true, Per="&amp;filter!$R$1) )</f>
        <v/>
      </c>
      <c r="O214" s="52" t="str">
        <f t="array" aca="1" ref="O214" ca="1">IF( $C214="", "", _xll.IMDP("IDX",$C214,O$6,$D$4,"Fill=true, Per="&amp;filter!$R$1) )</f>
        <v/>
      </c>
    </row>
    <row r="215" spans="2:15">
      <c r="B215" s="21">
        <f t="shared" si="3"/>
        <v>207</v>
      </c>
      <c r="C215" s="17" t="str">
        <f>IFERROR( VLOOKUP(ROWS($B$8:B214), filter!$I:$J, 2, 0), "")</f>
        <v>F2S02P</v>
      </c>
      <c r="D215" s="16" t="str" cm="1">
        <f t="array" ref="D215">IF( $C215="", "", _xll.IMDP("IDX", $C215, D$6) )</f>
        <v>코스피 200 정보기술 선물지수</v>
      </c>
      <c r="E215" s="34">
        <f t="array" aca="1" ref="E215" ca="1">IF( $C215="", "", _xll.IMDP("IDX",$C215,E$6,$D$4,"Fill=true, Per="&amp;filter!$R$1) )</f>
        <v>2020.85</v>
      </c>
      <c r="F215" s="38">
        <f t="array" aca="1" ref="F215" ca="1">IF( $C215="", "", _xll.IMDP("IDX",$C215,F$6,$D$4,"Fill=true, Per="&amp;filter!$R$1) )</f>
        <v>2.4900000000000091</v>
      </c>
      <c r="G215" s="39">
        <f t="array" aca="1" ref="G215" ca="1">IF( $C215="", "", _xll.IMDP("IDX",$C215,G$6,$D$4,"Fill=true, Per="&amp;filter!$R$1) )</f>
        <v>0.12</v>
      </c>
      <c r="H215" s="43">
        <f t="array" aca="1" ref="H215" ca="1">IF( $C215="", "", _xll.IMDP("IDX",$C215,H$6,$D$4,"Fill=true, Per="&amp;filter!$R$1) )</f>
        <v>0</v>
      </c>
      <c r="I215" s="43">
        <f t="array" aca="1" ref="I215" ca="1">IF( $C215="", "", _xll.IMDP("IDX",$C215,I$6,$D$4,"Fill=true, Per="&amp;filter!$R$1) )</f>
        <v>0</v>
      </c>
      <c r="J215" s="34">
        <f t="array" aca="1" ref="J215" ca="1">IF( $C215="", "", _xll.IMDP("IDX",$C215,J$6,$D$4,"Fill=true, Per="&amp;filter!$R$1) )</f>
        <v>2018.36</v>
      </c>
      <c r="K215" s="38">
        <f t="array" aca="1" ref="K215" ca="1">IF( $C215="", "", _xll.IMDP("IDX",$C215,K$6,$D$4,"Fill=true, Per="&amp;filter!$R$1) )</f>
        <v>2040.75</v>
      </c>
      <c r="L215" s="39">
        <f t="array" aca="1" ref="L215" ca="1">IF( $C215="", "", _xll.IMDP("IDX",$C215,L$6,$D$4,"Fill=true, Per="&amp;filter!$R$1) )</f>
        <v>0</v>
      </c>
      <c r="M215" s="50" t="str">
        <f t="array" aca="1" ref="M215" ca="1">IF( $C215="", "", _xll.IMDP("IDX",$C215,M$6,$D$4,"Fill=true, Per="&amp;filter!$R$1) )</f>
        <v/>
      </c>
      <c r="N215" s="51" t="str">
        <f t="array" aca="1" ref="N215" ca="1">IF( $C215="", "", _xll.IMDP("IDX",$C215,N$6,$D$4,"Fill=true, Per="&amp;filter!$R$1) )</f>
        <v/>
      </c>
      <c r="O215" s="52" t="str">
        <f t="array" aca="1" ref="O215" ca="1">IF( $C215="", "", _xll.IMDP("IDX",$C215,O$6,$D$4,"Fill=true, Per="&amp;filter!$R$1) )</f>
        <v/>
      </c>
    </row>
    <row r="216" spans="2:15">
      <c r="B216" s="21">
        <f t="shared" si="3"/>
        <v>208</v>
      </c>
      <c r="C216" s="17" t="str">
        <f>IFERROR( VLOOKUP(ROWS($B$8:B215), filter!$I:$J, 2, 0), "")</f>
        <v>F2S03P</v>
      </c>
      <c r="D216" s="16" t="str" cm="1">
        <f t="array" ref="D216">IF( $C216="", "", _xll.IMDP("IDX", $C216, D$6) )</f>
        <v>코스피 200 금융 선물지수</v>
      </c>
      <c r="E216" s="34">
        <f t="array" aca="1" ref="E216" ca="1">IF( $C216="", "", _xll.IMDP("IDX",$C216,E$6,$D$4,"Fill=true, Per="&amp;filter!$R$1) )</f>
        <v>1502.9</v>
      </c>
      <c r="F216" s="38">
        <f t="array" aca="1" ref="F216" ca="1">IF( $C216="", "", _xll.IMDP("IDX",$C216,F$6,$D$4,"Fill=true, Per="&amp;filter!$R$1) )</f>
        <v>28.1400000000001</v>
      </c>
      <c r="G216" s="39">
        <f t="array" aca="1" ref="G216" ca="1">IF( $C216="", "", _xll.IMDP("IDX",$C216,G$6,$D$4,"Fill=true, Per="&amp;filter!$R$1) )</f>
        <v>1.91</v>
      </c>
      <c r="H216" s="43">
        <f t="array" aca="1" ref="H216" ca="1">IF( $C216="", "", _xll.IMDP("IDX",$C216,H$6,$D$4,"Fill=true, Per="&amp;filter!$R$1) )</f>
        <v>0</v>
      </c>
      <c r="I216" s="43">
        <f t="array" aca="1" ref="I216" ca="1">IF( $C216="", "", _xll.IMDP("IDX",$C216,I$6,$D$4,"Fill=true, Per="&amp;filter!$R$1) )</f>
        <v>0</v>
      </c>
      <c r="J216" s="34">
        <f t="array" aca="1" ref="J216" ca="1">IF( $C216="", "", _xll.IMDP("IDX",$C216,J$6,$D$4,"Fill=true, Per="&amp;filter!$R$1) )</f>
        <v>1474.76</v>
      </c>
      <c r="K216" s="38">
        <f t="array" aca="1" ref="K216" ca="1">IF( $C216="", "", _xll.IMDP("IDX",$C216,K$6,$D$4,"Fill=true, Per="&amp;filter!$R$1) )</f>
        <v>1513.62</v>
      </c>
      <c r="L216" s="39">
        <f t="array" aca="1" ref="L216" ca="1">IF( $C216="", "", _xll.IMDP("IDX",$C216,L$6,$D$4,"Fill=true, Per="&amp;filter!$R$1) )</f>
        <v>0</v>
      </c>
      <c r="M216" s="50" t="str">
        <f t="array" aca="1" ref="M216" ca="1">IF( $C216="", "", _xll.IMDP("IDX",$C216,M$6,$D$4,"Fill=true, Per="&amp;filter!$R$1) )</f>
        <v/>
      </c>
      <c r="N216" s="51" t="str">
        <f t="array" aca="1" ref="N216" ca="1">IF( $C216="", "", _xll.IMDP("IDX",$C216,N$6,$D$4,"Fill=true, Per="&amp;filter!$R$1) )</f>
        <v/>
      </c>
      <c r="O216" s="52" t="str">
        <f t="array" aca="1" ref="O216" ca="1">IF( $C216="", "", _xll.IMDP("IDX",$C216,O$6,$D$4,"Fill=true, Per="&amp;filter!$R$1) )</f>
        <v/>
      </c>
    </row>
    <row r="217" spans="2:15">
      <c r="B217" s="21">
        <f t="shared" si="3"/>
        <v>209</v>
      </c>
      <c r="C217" s="17" t="str">
        <f>IFERROR( VLOOKUP(ROWS($B$8:B216), filter!$I:$J, 2, 0), "")</f>
        <v>F2S04P</v>
      </c>
      <c r="D217" s="16" t="str" cm="1">
        <f t="array" ref="D217">IF( $C217="", "", _xll.IMDP("IDX", $C217, D$6) )</f>
        <v>코스피 200 경기소비재 선물지수</v>
      </c>
      <c r="E217" s="34">
        <f t="array" aca="1" ref="E217" ca="1">IF( $C217="", "", _xll.IMDP("IDX",$C217,E$6,$D$4,"Fill=true, Per="&amp;filter!$R$1) )</f>
        <v>1032.22</v>
      </c>
      <c r="F217" s="38">
        <f t="array" aca="1" ref="F217" ca="1">IF( $C217="", "", _xll.IMDP("IDX",$C217,F$6,$D$4,"Fill=true, Per="&amp;filter!$R$1) )</f>
        <v>-41.769999999999982</v>
      </c>
      <c r="G217" s="39">
        <f t="array" aca="1" ref="G217" ca="1">IF( $C217="", "", _xll.IMDP("IDX",$C217,G$6,$D$4,"Fill=true, Per="&amp;filter!$R$1) )</f>
        <v>-3.89</v>
      </c>
      <c r="H217" s="43">
        <f t="array" aca="1" ref="H217" ca="1">IF( $C217="", "", _xll.IMDP("IDX",$C217,H$6,$D$4,"Fill=true, Per="&amp;filter!$R$1) )</f>
        <v>0</v>
      </c>
      <c r="I217" s="43">
        <f t="array" aca="1" ref="I217" ca="1">IF( $C217="", "", _xll.IMDP("IDX",$C217,I$6,$D$4,"Fill=true, Per="&amp;filter!$R$1) )</f>
        <v>0</v>
      </c>
      <c r="J217" s="34">
        <f t="array" aca="1" ref="J217" ca="1">IF( $C217="", "", _xll.IMDP("IDX",$C217,J$6,$D$4,"Fill=true, Per="&amp;filter!$R$1) )</f>
        <v>1073.99</v>
      </c>
      <c r="K217" s="38">
        <f t="array" aca="1" ref="K217" ca="1">IF( $C217="", "", _xll.IMDP("IDX",$C217,K$6,$D$4,"Fill=true, Per="&amp;filter!$R$1) )</f>
        <v>1073.99</v>
      </c>
      <c r="L217" s="39">
        <f t="array" aca="1" ref="L217" ca="1">IF( $C217="", "", _xll.IMDP("IDX",$C217,L$6,$D$4,"Fill=true, Per="&amp;filter!$R$1) )</f>
        <v>0</v>
      </c>
      <c r="M217" s="50" t="str">
        <f t="array" aca="1" ref="M217" ca="1">IF( $C217="", "", _xll.IMDP("IDX",$C217,M$6,$D$4,"Fill=true, Per="&amp;filter!$R$1) )</f>
        <v/>
      </c>
      <c r="N217" s="51" t="str">
        <f t="array" aca="1" ref="N217" ca="1">IF( $C217="", "", _xll.IMDP("IDX",$C217,N$6,$D$4,"Fill=true, Per="&amp;filter!$R$1) )</f>
        <v/>
      </c>
      <c r="O217" s="52" t="str">
        <f t="array" aca="1" ref="O217" ca="1">IF( $C217="", "", _xll.IMDP("IDX",$C217,O$6,$D$4,"Fill=true, Per="&amp;filter!$R$1) )</f>
        <v/>
      </c>
    </row>
    <row r="218" spans="2:15">
      <c r="B218" s="21">
        <f t="shared" si="3"/>
        <v>210</v>
      </c>
      <c r="C218" s="17" t="str">
        <f>IFERROR( VLOOKUP(ROWS($B$8:B217), filter!$I:$J, 2, 0), "")</f>
        <v>F2S05P</v>
      </c>
      <c r="D218" s="16" t="str" cm="1">
        <f t="array" ref="D218">IF( $C218="", "", _xll.IMDP("IDX", $C218, D$6) )</f>
        <v>코스피 200 건설 선물지수</v>
      </c>
      <c r="E218" s="34">
        <f t="array" aca="1" ref="E218" ca="1">IF( $C218="", "", _xll.IMDP("IDX",$C218,E$6,$D$4,"Fill=true, Per="&amp;filter!$R$1) )</f>
        <v>1209.6199999999999</v>
      </c>
      <c r="F218" s="38">
        <f t="array" aca="1" ref="F218" ca="1">IF( $C218="", "", _xll.IMDP("IDX",$C218,F$6,$D$4,"Fill=true, Per="&amp;filter!$R$1) )</f>
        <v>11.199999999999818</v>
      </c>
      <c r="G218" s="39">
        <f t="array" aca="1" ref="G218" ca="1">IF( $C218="", "", _xll.IMDP("IDX",$C218,G$6,$D$4,"Fill=true, Per="&amp;filter!$R$1) )</f>
        <v>0.93</v>
      </c>
      <c r="H218" s="43">
        <f t="array" aca="1" ref="H218" ca="1">IF( $C218="", "", _xll.IMDP("IDX",$C218,H$6,$D$4,"Fill=true, Per="&amp;filter!$R$1) )</f>
        <v>0</v>
      </c>
      <c r="I218" s="43">
        <f t="array" aca="1" ref="I218" ca="1">IF( $C218="", "", _xll.IMDP("IDX",$C218,I$6,$D$4,"Fill=true, Per="&amp;filter!$R$1) )</f>
        <v>0</v>
      </c>
      <c r="J218" s="34">
        <f t="array" aca="1" ref="J218" ca="1">IF( $C218="", "", _xll.IMDP("IDX",$C218,J$6,$D$4,"Fill=true, Per="&amp;filter!$R$1) )</f>
        <v>1198.42</v>
      </c>
      <c r="K218" s="38">
        <f t="array" aca="1" ref="K218" ca="1">IF( $C218="", "", _xll.IMDP("IDX",$C218,K$6,$D$4,"Fill=true, Per="&amp;filter!$R$1) )</f>
        <v>1210.3599999999999</v>
      </c>
      <c r="L218" s="39">
        <f t="array" aca="1" ref="L218" ca="1">IF( $C218="", "", _xll.IMDP("IDX",$C218,L$6,$D$4,"Fill=true, Per="&amp;filter!$R$1) )</f>
        <v>0</v>
      </c>
      <c r="M218" s="50" t="str">
        <f t="array" aca="1" ref="M218" ca="1">IF( $C218="", "", _xll.IMDP("IDX",$C218,M$6,$D$4,"Fill=true, Per="&amp;filter!$R$1) )</f>
        <v/>
      </c>
      <c r="N218" s="51" t="str">
        <f t="array" aca="1" ref="N218" ca="1">IF( $C218="", "", _xll.IMDP("IDX",$C218,N$6,$D$4,"Fill=true, Per="&amp;filter!$R$1) )</f>
        <v/>
      </c>
      <c r="O218" s="52" t="str">
        <f t="array" aca="1" ref="O218" ca="1">IF( $C218="", "", _xll.IMDP("IDX",$C218,O$6,$D$4,"Fill=true, Per="&amp;filter!$R$1) )</f>
        <v/>
      </c>
    </row>
    <row r="219" spans="2:15">
      <c r="B219" s="21">
        <f t="shared" si="3"/>
        <v>211</v>
      </c>
      <c r="C219" s="17" t="str">
        <f>IFERROR( VLOOKUP(ROWS($B$8:B218), filter!$I:$J, 2, 0), "")</f>
        <v>F2S06P</v>
      </c>
      <c r="D219" s="16" t="str" cm="1">
        <f t="array" ref="D219">IF( $C219="", "", _xll.IMDP("IDX", $C219, D$6) )</f>
        <v>코스피 200 중공업 선물지수</v>
      </c>
      <c r="E219" s="34">
        <f t="array" aca="1" ref="E219" ca="1">IF( $C219="", "", _xll.IMDP("IDX",$C219,E$6,$D$4,"Fill=true, Per="&amp;filter!$R$1) )</f>
        <v>1327.19</v>
      </c>
      <c r="F219" s="38">
        <f t="array" aca="1" ref="F219" ca="1">IF( $C219="", "", _xll.IMDP("IDX",$C219,F$6,$D$4,"Fill=true, Per="&amp;filter!$R$1) )</f>
        <v>-34.349999999999909</v>
      </c>
      <c r="G219" s="39">
        <f t="array" aca="1" ref="G219" ca="1">IF( $C219="", "", _xll.IMDP("IDX",$C219,G$6,$D$4,"Fill=true, Per="&amp;filter!$R$1) )</f>
        <v>-2.52</v>
      </c>
      <c r="H219" s="43">
        <f t="array" aca="1" ref="H219" ca="1">IF( $C219="", "", _xll.IMDP("IDX",$C219,H$6,$D$4,"Fill=true, Per="&amp;filter!$R$1) )</f>
        <v>0</v>
      </c>
      <c r="I219" s="43">
        <f t="array" aca="1" ref="I219" ca="1">IF( $C219="", "", _xll.IMDP("IDX",$C219,I$6,$D$4,"Fill=true, Per="&amp;filter!$R$1) )</f>
        <v>0</v>
      </c>
      <c r="J219" s="34">
        <f t="array" aca="1" ref="J219" ca="1">IF( $C219="", "", _xll.IMDP("IDX",$C219,J$6,$D$4,"Fill=true, Per="&amp;filter!$R$1) )</f>
        <v>1361.54</v>
      </c>
      <c r="K219" s="38">
        <f t="array" aca="1" ref="K219" ca="1">IF( $C219="", "", _xll.IMDP("IDX",$C219,K$6,$D$4,"Fill=true, Per="&amp;filter!$R$1) )</f>
        <v>1361.54</v>
      </c>
      <c r="L219" s="39">
        <f t="array" aca="1" ref="L219" ca="1">IF( $C219="", "", _xll.IMDP("IDX",$C219,L$6,$D$4,"Fill=true, Per="&amp;filter!$R$1) )</f>
        <v>0</v>
      </c>
      <c r="M219" s="50" t="str">
        <f t="array" aca="1" ref="M219" ca="1">IF( $C219="", "", _xll.IMDP("IDX",$C219,M$6,$D$4,"Fill=true, Per="&amp;filter!$R$1) )</f>
        <v/>
      </c>
      <c r="N219" s="51" t="str">
        <f t="array" aca="1" ref="N219" ca="1">IF( $C219="", "", _xll.IMDP("IDX",$C219,N$6,$D$4,"Fill=true, Per="&amp;filter!$R$1) )</f>
        <v/>
      </c>
      <c r="O219" s="52" t="str">
        <f t="array" aca="1" ref="O219" ca="1">IF( $C219="", "", _xll.IMDP("IDX",$C219,O$6,$D$4,"Fill=true, Per="&amp;filter!$R$1) )</f>
        <v/>
      </c>
    </row>
    <row r="220" spans="2:15">
      <c r="B220" s="21">
        <f t="shared" si="3"/>
        <v>212</v>
      </c>
      <c r="C220" s="17" t="str">
        <f>IFERROR( VLOOKUP(ROWS($B$8:B219), filter!$I:$J, 2, 0), "")</f>
        <v>F2S07P</v>
      </c>
      <c r="D220" s="16" t="str" cm="1">
        <f t="array" ref="D220">IF( $C220="", "", _xll.IMDP("IDX", $C220, D$6) )</f>
        <v>코스피 200 헬스케어 선물지수</v>
      </c>
      <c r="E220" s="34">
        <f t="array" aca="1" ref="E220" ca="1">IF( $C220="", "", _xll.IMDP("IDX",$C220,E$6,$D$4,"Fill=true, Per="&amp;filter!$R$1) )</f>
        <v>1171.74</v>
      </c>
      <c r="F220" s="38">
        <f t="array" aca="1" ref="F220" ca="1">IF( $C220="", "", _xll.IMDP("IDX",$C220,F$6,$D$4,"Fill=true, Per="&amp;filter!$R$1) )</f>
        <v>-20.579999999999927</v>
      </c>
      <c r="G220" s="39">
        <f t="array" aca="1" ref="G220" ca="1">IF( $C220="", "", _xll.IMDP("IDX",$C220,G$6,$D$4,"Fill=true, Per="&amp;filter!$R$1) )</f>
        <v>-1.73</v>
      </c>
      <c r="H220" s="43">
        <f t="array" aca="1" ref="H220" ca="1">IF( $C220="", "", _xll.IMDP("IDX",$C220,H$6,$D$4,"Fill=true, Per="&amp;filter!$R$1) )</f>
        <v>0</v>
      </c>
      <c r="I220" s="43">
        <f t="array" aca="1" ref="I220" ca="1">IF( $C220="", "", _xll.IMDP("IDX",$C220,I$6,$D$4,"Fill=true, Per="&amp;filter!$R$1) )</f>
        <v>0</v>
      </c>
      <c r="J220" s="34">
        <f t="array" aca="1" ref="J220" ca="1">IF( $C220="", "", _xll.IMDP("IDX",$C220,J$6,$D$4,"Fill=true, Per="&amp;filter!$R$1) )</f>
        <v>1192.32</v>
      </c>
      <c r="K220" s="38">
        <f t="array" aca="1" ref="K220" ca="1">IF( $C220="", "", _xll.IMDP("IDX",$C220,K$6,$D$4,"Fill=true, Per="&amp;filter!$R$1) )</f>
        <v>1192.32</v>
      </c>
      <c r="L220" s="39">
        <f t="array" aca="1" ref="L220" ca="1">IF( $C220="", "", _xll.IMDP("IDX",$C220,L$6,$D$4,"Fill=true, Per="&amp;filter!$R$1) )</f>
        <v>0</v>
      </c>
      <c r="M220" s="50" t="str">
        <f t="array" aca="1" ref="M220" ca="1">IF( $C220="", "", _xll.IMDP("IDX",$C220,M$6,$D$4,"Fill=true, Per="&amp;filter!$R$1) )</f>
        <v/>
      </c>
      <c r="N220" s="51" t="str">
        <f t="array" aca="1" ref="N220" ca="1">IF( $C220="", "", _xll.IMDP("IDX",$C220,N$6,$D$4,"Fill=true, Per="&amp;filter!$R$1) )</f>
        <v/>
      </c>
      <c r="O220" s="52" t="str">
        <f t="array" aca="1" ref="O220" ca="1">IF( $C220="", "", _xll.IMDP("IDX",$C220,O$6,$D$4,"Fill=true, Per="&amp;filter!$R$1) )</f>
        <v/>
      </c>
    </row>
    <row r="221" spans="2:15">
      <c r="B221" s="21">
        <f t="shared" si="3"/>
        <v>213</v>
      </c>
      <c r="C221" s="17" t="str">
        <f>IFERROR( VLOOKUP(ROWS($B$8:B220), filter!$I:$J, 2, 0), "")</f>
        <v>F2S08P</v>
      </c>
      <c r="D221" s="16" t="str" cm="1">
        <f t="array" ref="D221">IF( $C221="", "", _xll.IMDP("IDX", $C221, D$6) )</f>
        <v>코스피 200 생활소비재 선물지수</v>
      </c>
      <c r="E221" s="34">
        <f t="array" aca="1" ref="E221" ca="1">IF( $C221="", "", _xll.IMDP("IDX",$C221,E$6,$D$4,"Fill=true, Per="&amp;filter!$R$1) )</f>
        <v>692.57</v>
      </c>
      <c r="F221" s="38">
        <f t="array" aca="1" ref="F221" ca="1">IF( $C221="", "", _xll.IMDP("IDX",$C221,F$6,$D$4,"Fill=true, Per="&amp;filter!$R$1) )</f>
        <v>5.1700000000000728</v>
      </c>
      <c r="G221" s="39">
        <f t="array" aca="1" ref="G221" ca="1">IF( $C221="", "", _xll.IMDP("IDX",$C221,G$6,$D$4,"Fill=true, Per="&amp;filter!$R$1) )</f>
        <v>0.75</v>
      </c>
      <c r="H221" s="43">
        <f t="array" aca="1" ref="H221" ca="1">IF( $C221="", "", _xll.IMDP("IDX",$C221,H$6,$D$4,"Fill=true, Per="&amp;filter!$R$1) )</f>
        <v>0</v>
      </c>
      <c r="I221" s="43">
        <f t="array" aca="1" ref="I221" ca="1">IF( $C221="", "", _xll.IMDP("IDX",$C221,I$6,$D$4,"Fill=true, Per="&amp;filter!$R$1) )</f>
        <v>0</v>
      </c>
      <c r="J221" s="34">
        <f t="array" aca="1" ref="J221" ca="1">IF( $C221="", "", _xll.IMDP("IDX",$C221,J$6,$D$4,"Fill=true, Per="&amp;filter!$R$1) )</f>
        <v>687.4</v>
      </c>
      <c r="K221" s="38">
        <f t="array" aca="1" ref="K221" ca="1">IF( $C221="", "", _xll.IMDP("IDX",$C221,K$6,$D$4,"Fill=true, Per="&amp;filter!$R$1) )</f>
        <v>694.92</v>
      </c>
      <c r="L221" s="39">
        <f t="array" aca="1" ref="L221" ca="1">IF( $C221="", "", _xll.IMDP("IDX",$C221,L$6,$D$4,"Fill=true, Per="&amp;filter!$R$1) )</f>
        <v>0</v>
      </c>
      <c r="M221" s="50" t="str">
        <f t="array" aca="1" ref="M221" ca="1">IF( $C221="", "", _xll.IMDP("IDX",$C221,M$6,$D$4,"Fill=true, Per="&amp;filter!$R$1) )</f>
        <v/>
      </c>
      <c r="N221" s="51" t="str">
        <f t="array" aca="1" ref="N221" ca="1">IF( $C221="", "", _xll.IMDP("IDX",$C221,N$6,$D$4,"Fill=true, Per="&amp;filter!$R$1) )</f>
        <v/>
      </c>
      <c r="O221" s="52" t="str">
        <f t="array" aca="1" ref="O221" ca="1">IF( $C221="", "", _xll.IMDP("IDX",$C221,O$6,$D$4,"Fill=true, Per="&amp;filter!$R$1) )</f>
        <v/>
      </c>
    </row>
    <row r="222" spans="2:15">
      <c r="B222" s="21">
        <f t="shared" si="3"/>
        <v>214</v>
      </c>
      <c r="C222" s="17" t="str">
        <f>IFERROR( VLOOKUP(ROWS($B$8:B221), filter!$I:$J, 2, 0), "")</f>
        <v>F2S09P</v>
      </c>
      <c r="D222" s="16" t="str" cm="1">
        <f t="array" ref="D222">IF( $C222="", "", _xll.IMDP("IDX", $C222, D$6) )</f>
        <v>코스피 200 철강/소재 선물지수</v>
      </c>
      <c r="E222" s="34">
        <f t="array" aca="1" ref="E222" ca="1">IF( $C222="", "", _xll.IMDP("IDX",$C222,E$6,$D$4,"Fill=true, Per="&amp;filter!$R$1) )</f>
        <v>802.7</v>
      </c>
      <c r="F222" s="38">
        <f t="array" aca="1" ref="F222" ca="1">IF( $C222="", "", _xll.IMDP("IDX",$C222,F$6,$D$4,"Fill=true, Per="&amp;filter!$R$1) )</f>
        <v>29.960000000000036</v>
      </c>
      <c r="G222" s="39">
        <f t="array" aca="1" ref="G222" ca="1">IF( $C222="", "", _xll.IMDP("IDX",$C222,G$6,$D$4,"Fill=true, Per="&amp;filter!$R$1) )</f>
        <v>3.88</v>
      </c>
      <c r="H222" s="43">
        <f t="array" aca="1" ref="H222" ca="1">IF( $C222="", "", _xll.IMDP("IDX",$C222,H$6,$D$4,"Fill=true, Per="&amp;filter!$R$1) )</f>
        <v>0</v>
      </c>
      <c r="I222" s="43">
        <f t="array" aca="1" ref="I222" ca="1">IF( $C222="", "", _xll.IMDP("IDX",$C222,I$6,$D$4,"Fill=true, Per="&amp;filter!$R$1) )</f>
        <v>0</v>
      </c>
      <c r="J222" s="34">
        <f t="array" aca="1" ref="J222" ca="1">IF( $C222="", "", _xll.IMDP("IDX",$C222,J$6,$D$4,"Fill=true, Per="&amp;filter!$R$1) )</f>
        <v>772.74</v>
      </c>
      <c r="K222" s="38">
        <f t="array" aca="1" ref="K222" ca="1">IF( $C222="", "", _xll.IMDP("IDX",$C222,K$6,$D$4,"Fill=true, Per="&amp;filter!$R$1) )</f>
        <v>810.08</v>
      </c>
      <c r="L222" s="39">
        <f t="array" aca="1" ref="L222" ca="1">IF( $C222="", "", _xll.IMDP("IDX",$C222,L$6,$D$4,"Fill=true, Per="&amp;filter!$R$1) )</f>
        <v>0</v>
      </c>
      <c r="M222" s="50" t="str">
        <f t="array" aca="1" ref="M222" ca="1">IF( $C222="", "", _xll.IMDP("IDX",$C222,M$6,$D$4,"Fill=true, Per="&amp;filter!$R$1) )</f>
        <v/>
      </c>
      <c r="N222" s="51" t="str">
        <f t="array" aca="1" ref="N222" ca="1">IF( $C222="", "", _xll.IMDP("IDX",$C222,N$6,$D$4,"Fill=true, Per="&amp;filter!$R$1) )</f>
        <v/>
      </c>
      <c r="O222" s="52" t="str">
        <f t="array" aca="1" ref="O222" ca="1">IF( $C222="", "", _xll.IMDP("IDX",$C222,O$6,$D$4,"Fill=true, Per="&amp;filter!$R$1) )</f>
        <v/>
      </c>
    </row>
    <row r="223" spans="2:15">
      <c r="B223" s="21">
        <f t="shared" si="3"/>
        <v>215</v>
      </c>
      <c r="C223" s="17" t="str">
        <f>IFERROR( VLOOKUP(ROWS($B$8:B222), filter!$I:$J, 2, 0), "")</f>
        <v>F2S10P</v>
      </c>
      <c r="D223" s="16" t="str" cm="1">
        <f t="array" ref="D223">IF( $C223="", "", _xll.IMDP("IDX", $C223, D$6) )</f>
        <v>코스피 200 산업재 선물지수</v>
      </c>
      <c r="E223" s="34">
        <f t="array" aca="1" ref="E223" ca="1">IF( $C223="", "", _xll.IMDP("IDX",$C223,E$6,$D$4,"Fill=true, Per="&amp;filter!$R$1) )</f>
        <v>1047.8399999999999</v>
      </c>
      <c r="F223" s="38">
        <f t="array" aca="1" ref="F223" ca="1">IF( $C223="", "", _xll.IMDP("IDX",$C223,F$6,$D$4,"Fill=true, Per="&amp;filter!$R$1) )</f>
        <v>16.230000000000018</v>
      </c>
      <c r="G223" s="39">
        <f t="array" aca="1" ref="G223" ca="1">IF( $C223="", "", _xll.IMDP("IDX",$C223,G$6,$D$4,"Fill=true, Per="&amp;filter!$R$1) )</f>
        <v>1.57</v>
      </c>
      <c r="H223" s="43">
        <f t="array" aca="1" ref="H223" ca="1">IF( $C223="", "", _xll.IMDP("IDX",$C223,H$6,$D$4,"Fill=true, Per="&amp;filter!$R$1) )</f>
        <v>0</v>
      </c>
      <c r="I223" s="43">
        <f t="array" aca="1" ref="I223" ca="1">IF( $C223="", "", _xll.IMDP("IDX",$C223,I$6,$D$4,"Fill=true, Per="&amp;filter!$R$1) )</f>
        <v>0</v>
      </c>
      <c r="J223" s="34">
        <f t="array" aca="1" ref="J223" ca="1">IF( $C223="", "", _xll.IMDP("IDX",$C223,J$6,$D$4,"Fill=true, Per="&amp;filter!$R$1) )</f>
        <v>1031.6099999999999</v>
      </c>
      <c r="K223" s="38">
        <f t="array" aca="1" ref="K223" ca="1">IF( $C223="", "", _xll.IMDP("IDX",$C223,K$6,$D$4,"Fill=true, Per="&amp;filter!$R$1) )</f>
        <v>1056.44</v>
      </c>
      <c r="L223" s="39">
        <f t="array" aca="1" ref="L223" ca="1">IF( $C223="", "", _xll.IMDP("IDX",$C223,L$6,$D$4,"Fill=true, Per="&amp;filter!$R$1) )</f>
        <v>0</v>
      </c>
      <c r="M223" s="50" t="str">
        <f t="array" aca="1" ref="M223" ca="1">IF( $C223="", "", _xll.IMDP("IDX",$C223,M$6,$D$4,"Fill=true, Per="&amp;filter!$R$1) )</f>
        <v/>
      </c>
      <c r="N223" s="51" t="str">
        <f t="array" aca="1" ref="N223" ca="1">IF( $C223="", "", _xll.IMDP("IDX",$C223,N$6,$D$4,"Fill=true, Per="&amp;filter!$R$1) )</f>
        <v/>
      </c>
      <c r="O223" s="52" t="str">
        <f t="array" aca="1" ref="O223" ca="1">IF( $C223="", "", _xll.IMDP("IDX",$C223,O$6,$D$4,"Fill=true, Per="&amp;filter!$R$1) )</f>
        <v/>
      </c>
    </row>
    <row r="224" spans="2:15">
      <c r="B224" s="21">
        <f t="shared" si="3"/>
        <v>216</v>
      </c>
      <c r="C224" s="17" t="str">
        <f>IFERROR( VLOOKUP(ROWS($B$8:B223), filter!$I:$J, 2, 0), "")</f>
        <v>F2V02P</v>
      </c>
      <c r="D224" s="16" t="str" cm="1">
        <f t="array" ref="D224">IF( $C224="", "", _xll.IMDP("IDX", $C224, D$6) )</f>
        <v>코스피 200 현선물 목표변동성 2</v>
      </c>
      <c r="E224" s="34">
        <f t="array" aca="1" ref="E224" ca="1">IF( $C224="", "", _xll.IMDP("IDX",$C224,E$6,$D$4,"Fill=true, Per="&amp;filter!$R$1) )</f>
        <v>1341.07</v>
      </c>
      <c r="F224" s="38">
        <f t="array" aca="1" ref="F224" ca="1">IF( $C224="", "", _xll.IMDP("IDX",$C224,F$6,$D$4,"Fill=true, Per="&amp;filter!$R$1) )</f>
        <v>-4.7000000000000455</v>
      </c>
      <c r="G224" s="39">
        <f t="array" aca="1" ref="G224" ca="1">IF( $C224="", "", _xll.IMDP("IDX",$C224,G$6,$D$4,"Fill=true, Per="&amp;filter!$R$1) )</f>
        <v>-0.35</v>
      </c>
      <c r="H224" s="43">
        <f t="array" aca="1" ref="H224" ca="1">IF( $C224="", "", _xll.IMDP("IDX",$C224,H$6,$D$4,"Fill=true, Per="&amp;filter!$R$1) )</f>
        <v>0</v>
      </c>
      <c r="I224" s="43">
        <f t="array" aca="1" ref="I224" ca="1">IF( $C224="", "", _xll.IMDP("IDX",$C224,I$6,$D$4,"Fill=true, Per="&amp;filter!$R$1) )</f>
        <v>0</v>
      </c>
      <c r="J224" s="34">
        <f t="array" aca="1" ref="J224" ca="1">IF( $C224="", "", _xll.IMDP("IDX",$C224,J$6,$D$4,"Fill=true, Per="&amp;filter!$R$1) )</f>
        <v>1346</v>
      </c>
      <c r="K224" s="38">
        <f t="array" aca="1" ref="K224" ca="1">IF( $C224="", "", _xll.IMDP("IDX",$C224,K$6,$D$4,"Fill=true, Per="&amp;filter!$R$1) )</f>
        <v>1352.77</v>
      </c>
      <c r="L224" s="39">
        <f t="array" aca="1" ref="L224" ca="1">IF( $C224="", "", _xll.IMDP("IDX",$C224,L$6,$D$4,"Fill=true, Per="&amp;filter!$R$1) )</f>
        <v>0</v>
      </c>
      <c r="M224" s="50" t="str">
        <f t="array" aca="1" ref="M224" ca="1">IF( $C224="", "", _xll.IMDP("IDX",$C224,M$6,$D$4,"Fill=true, Per="&amp;filter!$R$1) )</f>
        <v/>
      </c>
      <c r="N224" s="51" t="str">
        <f t="array" aca="1" ref="N224" ca="1">IF( $C224="", "", _xll.IMDP("IDX",$C224,N$6,$D$4,"Fill=true, Per="&amp;filter!$R$1) )</f>
        <v/>
      </c>
      <c r="O224" s="52" t="str">
        <f t="array" aca="1" ref="O224" ca="1">IF( $C224="", "", _xll.IMDP("IDX",$C224,O$6,$D$4,"Fill=true, Per="&amp;filter!$R$1) )</f>
        <v/>
      </c>
    </row>
    <row r="225" spans="2:15">
      <c r="B225" s="21">
        <f t="shared" si="3"/>
        <v>217</v>
      </c>
      <c r="C225" s="17" t="str">
        <f>IFERROR( VLOOKUP(ROWS($B$8:B224), filter!$I:$J, 2, 0), "")</f>
        <v>F2X01P</v>
      </c>
      <c r="D225" s="16" t="str" cm="1">
        <f t="array" ref="D225">IF( $C225="", "", _xll.IMDP("IDX", $C225, D$6) )</f>
        <v>코스피 200 선물 레버리지지수</v>
      </c>
      <c r="E225" s="34">
        <f t="array" aca="1" ref="E225" ca="1">IF( $C225="", "", _xll.IMDP("IDX",$C225,E$6,$D$4,"Fill=true, Per="&amp;filter!$R$1) )</f>
        <v>2377.79</v>
      </c>
      <c r="F225" s="38">
        <f t="array" aca="1" ref="F225" ca="1">IF( $C225="", "", _xll.IMDP("IDX",$C225,F$6,$D$4,"Fill=true, Per="&amp;filter!$R$1) )</f>
        <v>-46.740000000000236</v>
      </c>
      <c r="G225" s="39">
        <f t="array" aca="1" ref="G225" ca="1">IF( $C225="", "", _xll.IMDP("IDX",$C225,G$6,$D$4,"Fill=true, Per="&amp;filter!$R$1) )</f>
        <v>-1.93</v>
      </c>
      <c r="H225" s="43">
        <f t="array" aca="1" ref="H225" ca="1">IF( $C225="", "", _xll.IMDP("IDX",$C225,H$6,$D$4,"Fill=true, Per="&amp;filter!$R$1) )</f>
        <v>0</v>
      </c>
      <c r="I225" s="43">
        <f t="array" aca="1" ref="I225" ca="1">IF( $C225="", "", _xll.IMDP("IDX",$C225,I$6,$D$4,"Fill=true, Per="&amp;filter!$R$1) )</f>
        <v>0</v>
      </c>
      <c r="J225" s="34">
        <f t="array" aca="1" ref="J225" ca="1">IF( $C225="", "", _xll.IMDP("IDX",$C225,J$6,$D$4,"Fill=true, Per="&amp;filter!$R$1) )</f>
        <v>2423.6999999999998</v>
      </c>
      <c r="K225" s="38">
        <f t="array" aca="1" ref="K225" ca="1">IF( $C225="", "", _xll.IMDP("IDX",$C225,K$6,$D$4,"Fill=true, Per="&amp;filter!$R$1) )</f>
        <v>2441.25</v>
      </c>
      <c r="L225" s="39">
        <f t="array" aca="1" ref="L225" ca="1">IF( $C225="", "", _xll.IMDP("IDX",$C225,L$6,$D$4,"Fill=true, Per="&amp;filter!$R$1) )</f>
        <v>0</v>
      </c>
      <c r="M225" s="50" t="str">
        <f t="array" aca="1" ref="M225" ca="1">IF( $C225="", "", _xll.IMDP("IDX",$C225,M$6,$D$4,"Fill=true, Per="&amp;filter!$R$1) )</f>
        <v/>
      </c>
      <c r="N225" s="51" t="str">
        <f t="array" aca="1" ref="N225" ca="1">IF( $C225="", "", _xll.IMDP("IDX",$C225,N$6,$D$4,"Fill=true, Per="&amp;filter!$R$1) )</f>
        <v/>
      </c>
      <c r="O225" s="52" t="str">
        <f t="array" aca="1" ref="O225" ca="1">IF( $C225="", "", _xll.IMDP("IDX",$C225,O$6,$D$4,"Fill=true, Per="&amp;filter!$R$1) )</f>
        <v/>
      </c>
    </row>
    <row r="226" spans="2:15">
      <c r="B226" s="21">
        <f t="shared" si="3"/>
        <v>218</v>
      </c>
      <c r="C226" s="17" t="str">
        <f>IFERROR( VLOOKUP(ROWS($B$8:B225), filter!$I:$J, 2, 0), "")</f>
        <v>F2X02P</v>
      </c>
      <c r="D226" s="16" t="str" cm="1">
        <f t="array" ref="D226">IF( $C226="", "", _xll.IMDP("IDX", $C226, D$6) )</f>
        <v>코스피200 선물 인버스지수</v>
      </c>
      <c r="E226" s="34">
        <f t="array" aca="1" ref="E226" ca="1">IF( $C226="", "", _xll.IMDP("IDX",$C226,E$6,$D$4,"Fill=true, Per="&amp;filter!$R$1) )</f>
        <v>547.67999999999995</v>
      </c>
      <c r="F226" s="38">
        <f t="array" aca="1" ref="F226" ca="1">IF( $C226="", "", _xll.IMDP("IDX",$C226,F$6,$D$4,"Fill=true, Per="&amp;filter!$R$1) )</f>
        <v>5.4899999999998954</v>
      </c>
      <c r="G226" s="39">
        <f t="array" aca="1" ref="G226" ca="1">IF( $C226="", "", _xll.IMDP("IDX",$C226,G$6,$D$4,"Fill=true, Per="&amp;filter!$R$1) )</f>
        <v>1.01</v>
      </c>
      <c r="H226" s="43">
        <f t="array" aca="1" ref="H226" ca="1">IF( $C226="", "", _xll.IMDP("IDX",$C226,H$6,$D$4,"Fill=true, Per="&amp;filter!$R$1) )</f>
        <v>0</v>
      </c>
      <c r="I226" s="43">
        <f t="array" aca="1" ref="I226" ca="1">IF( $C226="", "", _xll.IMDP("IDX",$C226,I$6,$D$4,"Fill=true, Per="&amp;filter!$R$1) )</f>
        <v>0</v>
      </c>
      <c r="J226" s="34">
        <f t="array" aca="1" ref="J226" ca="1">IF( $C226="", "", _xll.IMDP("IDX",$C226,J$6,$D$4,"Fill=true, Per="&amp;filter!$R$1) )</f>
        <v>542.47</v>
      </c>
      <c r="K226" s="38">
        <f t="array" aca="1" ref="K226" ca="1">IF( $C226="", "", _xll.IMDP("IDX",$C226,K$6,$D$4,"Fill=true, Per="&amp;filter!$R$1) )</f>
        <v>548.97</v>
      </c>
      <c r="L226" s="39">
        <f t="array" aca="1" ref="L226" ca="1">IF( $C226="", "", _xll.IMDP("IDX",$C226,L$6,$D$4,"Fill=true, Per="&amp;filter!$R$1) )</f>
        <v>0</v>
      </c>
      <c r="M226" s="50" t="str">
        <f t="array" aca="1" ref="M226" ca="1">IF( $C226="", "", _xll.IMDP("IDX",$C226,M$6,$D$4,"Fill=true, Per="&amp;filter!$R$1) )</f>
        <v/>
      </c>
      <c r="N226" s="51" t="str">
        <f t="array" aca="1" ref="N226" ca="1">IF( $C226="", "", _xll.IMDP("IDX",$C226,N$6,$D$4,"Fill=true, Per="&amp;filter!$R$1) )</f>
        <v/>
      </c>
      <c r="O226" s="52" t="str">
        <f t="array" aca="1" ref="O226" ca="1">IF( $C226="", "", _xll.IMDP("IDX",$C226,O$6,$D$4,"Fill=true, Per="&amp;filter!$R$1) )</f>
        <v/>
      </c>
    </row>
    <row r="227" spans="2:15">
      <c r="B227" s="21">
        <f t="shared" si="3"/>
        <v>219</v>
      </c>
      <c r="C227" s="17" t="str">
        <f>IFERROR( VLOOKUP(ROWS($B$8:B226), filter!$I:$J, 2, 0), "")</f>
        <v>F2X03P</v>
      </c>
      <c r="D227" s="16" t="str" cm="1">
        <f t="array" ref="D227">IF( $C227="", "", _xll.IMDP("IDX", $C227, D$6) )</f>
        <v>코스피 200 선물 인버스-2X지수</v>
      </c>
      <c r="E227" s="34">
        <f t="array" aca="1" ref="E227" ca="1">IF( $C227="", "", _xll.IMDP("IDX",$C227,E$6,$D$4,"Fill=true, Per="&amp;filter!$R$1) )</f>
        <v>247.33</v>
      </c>
      <c r="F227" s="38">
        <f t="array" aca="1" ref="F227" ca="1">IF( $C227="", "", _xll.IMDP("IDX",$C227,F$6,$D$4,"Fill=true, Per="&amp;filter!$R$1) )</f>
        <v>4.8200000000000216</v>
      </c>
      <c r="G227" s="39">
        <f t="array" aca="1" ref="G227" ca="1">IF( $C227="", "", _xll.IMDP("IDX",$C227,G$6,$D$4,"Fill=true, Per="&amp;filter!$R$1) )</f>
        <v>1.99</v>
      </c>
      <c r="H227" s="43">
        <f t="array" aca="1" ref="H227" ca="1">IF( $C227="", "", _xll.IMDP("IDX",$C227,H$6,$D$4,"Fill=true, Per="&amp;filter!$R$1) )</f>
        <v>0</v>
      </c>
      <c r="I227" s="43">
        <f t="array" aca="1" ref="I227" ca="1">IF( $C227="", "", _xll.IMDP("IDX",$C227,I$6,$D$4,"Fill=true, Per="&amp;filter!$R$1) )</f>
        <v>0</v>
      </c>
      <c r="J227" s="34">
        <f t="array" aca="1" ref="J227" ca="1">IF( $C227="", "", _xll.IMDP("IDX",$C227,J$6,$D$4,"Fill=true, Per="&amp;filter!$R$1) )</f>
        <v>242.7</v>
      </c>
      <c r="K227" s="38">
        <f t="array" aca="1" ref="K227" ca="1">IF( $C227="", "", _xll.IMDP("IDX",$C227,K$6,$D$4,"Fill=true, Per="&amp;filter!$R$1) )</f>
        <v>248.51</v>
      </c>
      <c r="L227" s="39">
        <f t="array" aca="1" ref="L227" ca="1">IF( $C227="", "", _xll.IMDP("IDX",$C227,L$6,$D$4,"Fill=true, Per="&amp;filter!$R$1) )</f>
        <v>0</v>
      </c>
      <c r="M227" s="50" t="str">
        <f t="array" aca="1" ref="M227" ca="1">IF( $C227="", "", _xll.IMDP("IDX",$C227,M$6,$D$4,"Fill=true, Per="&amp;filter!$R$1) )</f>
        <v/>
      </c>
      <c r="N227" s="51" t="str">
        <f t="array" aca="1" ref="N227" ca="1">IF( $C227="", "", _xll.IMDP("IDX",$C227,N$6,$D$4,"Fill=true, Per="&amp;filter!$R$1) )</f>
        <v/>
      </c>
      <c r="O227" s="52" t="str">
        <f t="array" aca="1" ref="O227" ca="1">IF( $C227="", "", _xll.IMDP("IDX",$C227,O$6,$D$4,"Fill=true, Per="&amp;filter!$R$1) )</f>
        <v/>
      </c>
    </row>
    <row r="228" spans="2:15">
      <c r="B228" s="21">
        <f t="shared" si="3"/>
        <v>220</v>
      </c>
      <c r="C228" s="17" t="str">
        <f>IFERROR( VLOOKUP(ROWS($B$8:B227), filter!$I:$J, 2, 0), "")</f>
        <v>F2X04P</v>
      </c>
      <c r="D228" s="16" t="str" cm="1">
        <f t="array" ref="D228">IF( $C228="", "", _xll.IMDP("IDX", $C228, D$6) )</f>
        <v>코스피 200 선물 인버스-3X지수</v>
      </c>
      <c r="E228" s="34">
        <f t="array" aca="1" ref="E228" ca="1">IF( $C228="", "", _xll.IMDP("IDX",$C228,E$6,$D$4,"Fill=true, Per="&amp;filter!$R$1) )</f>
        <v>64.87</v>
      </c>
      <c r="F228" s="38">
        <f t="array" aca="1" ref="F228" ca="1">IF( $C228="", "", _xll.IMDP("IDX",$C228,F$6,$D$4,"Fill=true, Per="&amp;filter!$R$1) )</f>
        <v>1.8600000000000065</v>
      </c>
      <c r="G228" s="39">
        <f t="array" aca="1" ref="G228" ca="1">IF( $C228="", "", _xll.IMDP("IDX",$C228,G$6,$D$4,"Fill=true, Per="&amp;filter!$R$1) )</f>
        <v>2.95</v>
      </c>
      <c r="H228" s="43">
        <f t="array" aca="1" ref="H228" ca="1">IF( $C228="", "", _xll.IMDP("IDX",$C228,H$6,$D$4,"Fill=true, Per="&amp;filter!$R$1) )</f>
        <v>0</v>
      </c>
      <c r="I228" s="43">
        <f t="array" aca="1" ref="I228" ca="1">IF( $C228="", "", _xll.IMDP("IDX",$C228,I$6,$D$4,"Fill=true, Per="&amp;filter!$R$1) )</f>
        <v>0</v>
      </c>
      <c r="J228" s="34">
        <f t="array" aca="1" ref="J228" ca="1">IF( $C228="", "", _xll.IMDP("IDX",$C228,J$6,$D$4,"Fill=true, Per="&amp;filter!$R$1) )</f>
        <v>63.07</v>
      </c>
      <c r="K228" s="38">
        <f t="array" aca="1" ref="K228" ca="1">IF( $C228="", "", _xll.IMDP("IDX",$C228,K$6,$D$4,"Fill=true, Per="&amp;filter!$R$1) )</f>
        <v>65.34</v>
      </c>
      <c r="L228" s="39">
        <f t="array" aca="1" ref="L228" ca="1">IF( $C228="", "", _xll.IMDP("IDX",$C228,L$6,$D$4,"Fill=true, Per="&amp;filter!$R$1) )</f>
        <v>0</v>
      </c>
      <c r="M228" s="50" t="str">
        <f t="array" aca="1" ref="M228" ca="1">IF( $C228="", "", _xll.IMDP("IDX",$C228,M$6,$D$4,"Fill=true, Per="&amp;filter!$R$1) )</f>
        <v/>
      </c>
      <c r="N228" s="51" t="str">
        <f t="array" aca="1" ref="N228" ca="1">IF( $C228="", "", _xll.IMDP("IDX",$C228,N$6,$D$4,"Fill=true, Per="&amp;filter!$R$1) )</f>
        <v/>
      </c>
      <c r="O228" s="52" t="str">
        <f t="array" aca="1" ref="O228" ca="1">IF( $C228="", "", _xll.IMDP("IDX",$C228,O$6,$D$4,"Fill=true, Per="&amp;filter!$R$1) )</f>
        <v/>
      </c>
    </row>
    <row r="229" spans="2:15">
      <c r="B229" s="21">
        <f t="shared" si="3"/>
        <v>221</v>
      </c>
      <c r="C229" s="17" t="str">
        <f>IFERROR( VLOOKUP(ROWS($B$8:B228), filter!$I:$J, 2, 0), "")</f>
        <v>F2X05T</v>
      </c>
      <c r="D229" s="16" t="str" cm="1">
        <f t="array" ref="D229">IF( $C229="", "", _xll.IMDP("IDX", $C229, D$6) )</f>
        <v>코스피 200 선물 TWAP 인버스지?</v>
      </c>
      <c r="E229" s="34">
        <f t="array" aca="1" ref="E229" ca="1">IF( $C229="", "", _xll.IMDP("IDX",$C229,E$6,$D$4,"Fill=true, Per="&amp;filter!$R$1) )</f>
        <v>2532.23</v>
      </c>
      <c r="F229" s="38">
        <f t="array" aca="1" ref="F229" ca="1">IF( $C229="", "", _xll.IMDP("IDX",$C229,F$6,$D$4,"Fill=true, Per="&amp;filter!$R$1) )</f>
        <v>25.389999999999873</v>
      </c>
      <c r="G229" s="39">
        <f t="array" aca="1" ref="G229" ca="1">IF( $C229="", "", _xll.IMDP("IDX",$C229,G$6,$D$4,"Fill=true, Per="&amp;filter!$R$1) )</f>
        <v>1.01</v>
      </c>
      <c r="H229" s="43">
        <f t="array" aca="1" ref="H229" ca="1">IF( $C229="", "", _xll.IMDP("IDX",$C229,H$6,$D$4,"Fill=true, Per="&amp;filter!$R$1) )</f>
        <v>0</v>
      </c>
      <c r="I229" s="43">
        <f t="array" aca="1" ref="I229" ca="1">IF( $C229="", "", _xll.IMDP("IDX",$C229,I$6,$D$4,"Fill=true, Per="&amp;filter!$R$1) )</f>
        <v>0</v>
      </c>
      <c r="J229" s="34">
        <f t="array" aca="1" ref="J229" ca="1">IF( $C229="", "", _xll.IMDP("IDX",$C229,J$6,$D$4,"Fill=true, Per="&amp;filter!$R$1) )</f>
        <v>2508.16</v>
      </c>
      <c r="K229" s="38">
        <f t="array" aca="1" ref="K229" ca="1">IF( $C229="", "", _xll.IMDP("IDX",$C229,K$6,$D$4,"Fill=true, Per="&amp;filter!$R$1) )</f>
        <v>2538.21</v>
      </c>
      <c r="L229" s="39">
        <f t="array" aca="1" ref="L229" ca="1">IF( $C229="", "", _xll.IMDP("IDX",$C229,L$6,$D$4,"Fill=true, Per="&amp;filter!$R$1) )</f>
        <v>0</v>
      </c>
      <c r="M229" s="50" t="str">
        <f t="array" aca="1" ref="M229" ca="1">IF( $C229="", "", _xll.IMDP("IDX",$C229,M$6,$D$4,"Fill=true, Per="&amp;filter!$R$1) )</f>
        <v/>
      </c>
      <c r="N229" s="51" t="str">
        <f t="array" aca="1" ref="N229" ca="1">IF( $C229="", "", _xll.IMDP("IDX",$C229,N$6,$D$4,"Fill=true, Per="&amp;filter!$R$1) )</f>
        <v/>
      </c>
      <c r="O229" s="52" t="str">
        <f t="array" aca="1" ref="O229" ca="1">IF( $C229="", "", _xll.IMDP("IDX",$C229,O$6,$D$4,"Fill=true, Per="&amp;filter!$R$1) )</f>
        <v/>
      </c>
    </row>
    <row r="230" spans="2:15">
      <c r="B230" s="21">
        <f t="shared" si="3"/>
        <v>222</v>
      </c>
      <c r="C230" s="17" t="str">
        <f>IFERROR( VLOOKUP(ROWS($B$8:B229), filter!$I:$J, 2, 0), "")</f>
        <v>F2X06P</v>
      </c>
      <c r="D230" s="16" t="str" cm="1">
        <f t="array" ref="D230">IF( $C230="", "", _xll.IMDP("IDX", $C230, D$6) )</f>
        <v>코스피 200 현선물레버리지 1.5X</v>
      </c>
      <c r="E230" s="34">
        <f t="array" aca="1" ref="E230" ca="1">IF( $C230="", "", _xll.IMDP("IDX",$C230,E$6,$D$4,"Fill=true, Per="&amp;filter!$R$1) )</f>
        <v>1977.16</v>
      </c>
      <c r="F230" s="38">
        <f t="array" aca="1" ref="F230" ca="1">IF( $C230="", "", _xll.IMDP("IDX",$C230,F$6,$D$4,"Fill=true, Per="&amp;filter!$R$1) )</f>
        <v>-25.039999999999964</v>
      </c>
      <c r="G230" s="39">
        <f t="array" aca="1" ref="G230" ca="1">IF( $C230="", "", _xll.IMDP("IDX",$C230,G$6,$D$4,"Fill=true, Per="&amp;filter!$R$1) )</f>
        <v>-1.25</v>
      </c>
      <c r="H230" s="43">
        <f t="array" aca="1" ref="H230" ca="1">IF( $C230="", "", _xll.IMDP("IDX",$C230,H$6,$D$4,"Fill=true, Per="&amp;filter!$R$1) )</f>
        <v>0</v>
      </c>
      <c r="I230" s="43">
        <f t="array" aca="1" ref="I230" ca="1">IF( $C230="", "", _xll.IMDP("IDX",$C230,I$6,$D$4,"Fill=true, Per="&amp;filter!$R$1) )</f>
        <v>0</v>
      </c>
      <c r="J230" s="34">
        <f t="array" aca="1" ref="J230" ca="1">IF( $C230="", "", _xll.IMDP("IDX",$C230,J$6,$D$4,"Fill=true, Per="&amp;filter!$R$1) )</f>
        <v>2001.79</v>
      </c>
      <c r="K230" s="38">
        <f t="array" aca="1" ref="K230" ca="1">IF( $C230="", "", _xll.IMDP("IDX",$C230,K$6,$D$4,"Fill=true, Per="&amp;filter!$R$1) )</f>
        <v>2018.11</v>
      </c>
      <c r="L230" s="39">
        <f t="array" aca="1" ref="L230" ca="1">IF( $C230="", "", _xll.IMDP("IDX",$C230,L$6,$D$4,"Fill=true, Per="&amp;filter!$R$1) )</f>
        <v>0</v>
      </c>
      <c r="M230" s="50" t="str">
        <f t="array" aca="1" ref="M230" ca="1">IF( $C230="", "", _xll.IMDP("IDX",$C230,M$6,$D$4,"Fill=true, Per="&amp;filter!$R$1) )</f>
        <v/>
      </c>
      <c r="N230" s="51" t="str">
        <f t="array" aca="1" ref="N230" ca="1">IF( $C230="", "", _xll.IMDP("IDX",$C230,N$6,$D$4,"Fill=true, Per="&amp;filter!$R$1) )</f>
        <v/>
      </c>
      <c r="O230" s="52" t="str">
        <f t="array" aca="1" ref="O230" ca="1">IF( $C230="", "", _xll.IMDP("IDX",$C230,O$6,$D$4,"Fill=true, Per="&amp;filter!$R$1) )</f>
        <v/>
      </c>
    </row>
    <row r="231" spans="2:15">
      <c r="B231" s="21">
        <f t="shared" si="3"/>
        <v>223</v>
      </c>
      <c r="C231" s="17" t="str">
        <f>IFERROR( VLOOKUP(ROWS($B$8:B230), filter!$I:$J, 2, 0), "")</f>
        <v>F2X07P</v>
      </c>
      <c r="D231" s="16" t="str" cm="1">
        <f t="array" ref="D231">IF( $C231="", "", _xll.IMDP("IDX", $C231, D$6) )</f>
        <v>미니코스피200 선물 레버리지 지</v>
      </c>
      <c r="E231" s="34">
        <f t="array" aca="1" ref="E231" ca="1">IF( $C231="", "", _xll.IMDP("IDX",$C231,E$6,$D$4,"Fill=true, Per="&amp;filter!$R$1) )</f>
        <v>1923.39</v>
      </c>
      <c r="F231" s="38">
        <f t="array" aca="1" ref="F231" ca="1">IF( $C231="", "", _xll.IMDP("IDX",$C231,F$6,$D$4,"Fill=true, Per="&amp;filter!$R$1) )</f>
        <v>-38.139999999999873</v>
      </c>
      <c r="G231" s="39">
        <f t="array" aca="1" ref="G231" ca="1">IF( $C231="", "", _xll.IMDP("IDX",$C231,G$6,$D$4,"Fill=true, Per="&amp;filter!$R$1) )</f>
        <v>-1.94</v>
      </c>
      <c r="H231" s="43">
        <f t="array" aca="1" ref="H231" ca="1">IF( $C231="", "", _xll.IMDP("IDX",$C231,H$6,$D$4,"Fill=true, Per="&amp;filter!$R$1) )</f>
        <v>0</v>
      </c>
      <c r="I231" s="43">
        <f t="array" aca="1" ref="I231" ca="1">IF( $C231="", "", _xll.IMDP("IDX",$C231,I$6,$D$4,"Fill=true, Per="&amp;filter!$R$1) )</f>
        <v>0</v>
      </c>
      <c r="J231" s="34">
        <f t="array" aca="1" ref="J231" ca="1">IF( $C231="", "", _xll.IMDP("IDX",$C231,J$6,$D$4,"Fill=true, Per="&amp;filter!$R$1) )</f>
        <v>1960.21</v>
      </c>
      <c r="K231" s="38">
        <f t="array" aca="1" ref="K231" ca="1">IF( $C231="", "", _xll.IMDP("IDX",$C231,K$6,$D$4,"Fill=true, Per="&amp;filter!$R$1) )</f>
        <v>1974.64</v>
      </c>
      <c r="L231" s="39">
        <f t="array" aca="1" ref="L231" ca="1">IF( $C231="", "", _xll.IMDP("IDX",$C231,L$6,$D$4,"Fill=true, Per="&amp;filter!$R$1) )</f>
        <v>0</v>
      </c>
      <c r="M231" s="50" t="str">
        <f t="array" aca="1" ref="M231" ca="1">IF( $C231="", "", _xll.IMDP("IDX",$C231,M$6,$D$4,"Fill=true, Per="&amp;filter!$R$1) )</f>
        <v/>
      </c>
      <c r="N231" s="51" t="str">
        <f t="array" aca="1" ref="N231" ca="1">IF( $C231="", "", _xll.IMDP("IDX",$C231,N$6,$D$4,"Fill=true, Per="&amp;filter!$R$1) )</f>
        <v/>
      </c>
      <c r="O231" s="52" t="str">
        <f t="array" aca="1" ref="O231" ca="1">IF( $C231="", "", _xll.IMDP("IDX",$C231,O$6,$D$4,"Fill=true, Per="&amp;filter!$R$1) )</f>
        <v/>
      </c>
    </row>
    <row r="232" spans="2:15">
      <c r="B232" s="21">
        <f t="shared" si="3"/>
        <v>224</v>
      </c>
      <c r="C232" s="17" t="str">
        <f>IFERROR( VLOOKUP(ROWS($B$8:B231), filter!$I:$J, 2, 0), "")</f>
        <v>F2X08P</v>
      </c>
      <c r="D232" s="16" t="str" cm="1">
        <f t="array" ref="D232">IF( $C232="", "", _xll.IMDP("IDX", $C232, D$6) )</f>
        <v>미니코스피200 선물 인버스 지수</v>
      </c>
      <c r="E232" s="34">
        <f t="array" aca="1" ref="E232" ca="1">IF( $C232="", "", _xll.IMDP("IDX",$C232,E$6,$D$4,"Fill=true, Per="&amp;filter!$R$1) )</f>
        <v>578.67999999999995</v>
      </c>
      <c r="F232" s="38">
        <f t="array" aca="1" ref="F232" ca="1">IF( $C232="", "", _xll.IMDP("IDX",$C232,F$6,$D$4,"Fill=true, Per="&amp;filter!$R$1) )</f>
        <v>5.8399999999999181</v>
      </c>
      <c r="G232" s="39">
        <f t="array" aca="1" ref="G232" ca="1">IF( $C232="", "", _xll.IMDP("IDX",$C232,G$6,$D$4,"Fill=true, Per="&amp;filter!$R$1) )</f>
        <v>1.02</v>
      </c>
      <c r="H232" s="43">
        <f t="array" aca="1" ref="H232" ca="1">IF( $C232="", "", _xll.IMDP("IDX",$C232,H$6,$D$4,"Fill=true, Per="&amp;filter!$R$1) )</f>
        <v>0</v>
      </c>
      <c r="I232" s="43">
        <f t="array" aca="1" ref="I232" ca="1">IF( $C232="", "", _xll.IMDP("IDX",$C232,I$6,$D$4,"Fill=true, Per="&amp;filter!$R$1) )</f>
        <v>0</v>
      </c>
      <c r="J232" s="34">
        <f t="array" aca="1" ref="J232" ca="1">IF( $C232="", "", _xll.IMDP("IDX",$C232,J$6,$D$4,"Fill=true, Per="&amp;filter!$R$1) )</f>
        <v>573.24</v>
      </c>
      <c r="K232" s="38">
        <f t="array" aca="1" ref="K232" ca="1">IF( $C232="", "", _xll.IMDP("IDX",$C232,K$6,$D$4,"Fill=true, Per="&amp;filter!$R$1) )</f>
        <v>580.03</v>
      </c>
      <c r="L232" s="39">
        <f t="array" aca="1" ref="L232" ca="1">IF( $C232="", "", _xll.IMDP("IDX",$C232,L$6,$D$4,"Fill=true, Per="&amp;filter!$R$1) )</f>
        <v>0</v>
      </c>
      <c r="M232" s="50" t="str">
        <f t="array" aca="1" ref="M232" ca="1">IF( $C232="", "", _xll.IMDP("IDX",$C232,M$6,$D$4,"Fill=true, Per="&amp;filter!$R$1) )</f>
        <v/>
      </c>
      <c r="N232" s="51" t="str">
        <f t="array" aca="1" ref="N232" ca="1">IF( $C232="", "", _xll.IMDP("IDX",$C232,N$6,$D$4,"Fill=true, Per="&amp;filter!$R$1) )</f>
        <v/>
      </c>
      <c r="O232" s="52" t="str">
        <f t="array" aca="1" ref="O232" ca="1">IF( $C232="", "", _xll.IMDP("IDX",$C232,O$6,$D$4,"Fill=true, Per="&amp;filter!$R$1) )</f>
        <v/>
      </c>
    </row>
    <row r="233" spans="2:15">
      <c r="B233" s="21">
        <f t="shared" si="3"/>
        <v>225</v>
      </c>
      <c r="C233" s="17" t="str">
        <f>IFERROR( VLOOKUP(ROWS($B$8:B232), filter!$I:$J, 2, 0), "")</f>
        <v>F2X09P</v>
      </c>
      <c r="D233" s="16" t="str" cm="1">
        <f t="array" ref="D233">IF( $C233="", "", _xll.IMDP("IDX", $C233, D$6) )</f>
        <v>미니코스피200 선물 인버스-2X ?</v>
      </c>
      <c r="E233" s="34">
        <f t="array" aca="1" ref="E233" ca="1">IF( $C233="", "", _xll.IMDP("IDX",$C233,E$6,$D$4,"Fill=true, Per="&amp;filter!$R$1) )</f>
        <v>207.88</v>
      </c>
      <c r="F233" s="38">
        <f t="array" aca="1" ref="F233" ca="1">IF( $C233="", "", _xll.IMDP("IDX",$C233,F$6,$D$4,"Fill=true, Per="&amp;filter!$R$1) )</f>
        <v>4.0900000000000034</v>
      </c>
      <c r="G233" s="39">
        <f t="array" aca="1" ref="G233" ca="1">IF( $C233="", "", _xll.IMDP("IDX",$C233,G$6,$D$4,"Fill=true, Per="&amp;filter!$R$1) )</f>
        <v>2.0099999999999998</v>
      </c>
      <c r="H233" s="43">
        <f t="array" aca="1" ref="H233" ca="1">IF( $C233="", "", _xll.IMDP("IDX",$C233,H$6,$D$4,"Fill=true, Per="&amp;filter!$R$1) )</f>
        <v>0</v>
      </c>
      <c r="I233" s="43">
        <f t="array" aca="1" ref="I233" ca="1">IF( $C233="", "", _xll.IMDP("IDX",$C233,I$6,$D$4,"Fill=true, Per="&amp;filter!$R$1) )</f>
        <v>0</v>
      </c>
      <c r="J233" s="34">
        <f t="array" aca="1" ref="J233" ca="1">IF( $C233="", "", _xll.IMDP("IDX",$C233,J$6,$D$4,"Fill=true, Per="&amp;filter!$R$1) )</f>
        <v>204.01</v>
      </c>
      <c r="K233" s="38">
        <f t="array" aca="1" ref="K233" ca="1">IF( $C233="", "", _xll.IMDP("IDX",$C233,K$6,$D$4,"Fill=true, Per="&amp;filter!$R$1) )</f>
        <v>208.84</v>
      </c>
      <c r="L233" s="39">
        <f t="array" aca="1" ref="L233" ca="1">IF( $C233="", "", _xll.IMDP("IDX",$C233,L$6,$D$4,"Fill=true, Per="&amp;filter!$R$1) )</f>
        <v>0</v>
      </c>
      <c r="M233" s="50" t="str">
        <f t="array" aca="1" ref="M233" ca="1">IF( $C233="", "", _xll.IMDP("IDX",$C233,M$6,$D$4,"Fill=true, Per="&amp;filter!$R$1) )</f>
        <v/>
      </c>
      <c r="N233" s="51" t="str">
        <f t="array" aca="1" ref="N233" ca="1">IF( $C233="", "", _xll.IMDP("IDX",$C233,N$6,$D$4,"Fill=true, Per="&amp;filter!$R$1) )</f>
        <v/>
      </c>
      <c r="O233" s="52" t="str">
        <f t="array" aca="1" ref="O233" ca="1">IF( $C233="", "", _xll.IMDP("IDX",$C233,O$6,$D$4,"Fill=true, Per="&amp;filter!$R$1) )</f>
        <v/>
      </c>
    </row>
    <row r="234" spans="2:15">
      <c r="B234" s="21">
        <f t="shared" si="3"/>
        <v>226</v>
      </c>
      <c r="C234" s="17" t="str">
        <f>IFERROR( VLOOKUP(ROWS($B$8:B233), filter!$I:$J, 2, 0), "")</f>
        <v>F2X10P</v>
      </c>
      <c r="D234" s="16" t="str" cm="1">
        <f t="array" ref="D234">IF( $C234="", "", _xll.IMDP("IDX", $C234, D$6) )</f>
        <v>코스피 200 에너지/화학 선물 레</v>
      </c>
      <c r="E234" s="34">
        <f t="array" aca="1" ref="E234" ca="1">IF( $C234="", "", _xll.IMDP("IDX",$C234,E$6,$D$4,"Fill=true, Per="&amp;filter!$R$1) )</f>
        <v>636.63</v>
      </c>
      <c r="F234" s="38">
        <f t="array" aca="1" ref="F234" ca="1">IF( $C234="", "", _xll.IMDP("IDX",$C234,F$6,$D$4,"Fill=true, Per="&amp;filter!$R$1) )</f>
        <v>13.799999999999955</v>
      </c>
      <c r="G234" s="39">
        <f t="array" aca="1" ref="G234" ca="1">IF( $C234="", "", _xll.IMDP("IDX",$C234,G$6,$D$4,"Fill=true, Per="&amp;filter!$R$1) )</f>
        <v>2.2200000000000002</v>
      </c>
      <c r="H234" s="43">
        <f t="array" aca="1" ref="H234" ca="1">IF( $C234="", "", _xll.IMDP("IDX",$C234,H$6,$D$4,"Fill=true, Per="&amp;filter!$R$1) )</f>
        <v>0</v>
      </c>
      <c r="I234" s="43">
        <f t="array" aca="1" ref="I234" ca="1">IF( $C234="", "", _xll.IMDP("IDX",$C234,I$6,$D$4,"Fill=true, Per="&amp;filter!$R$1) )</f>
        <v>0</v>
      </c>
      <c r="J234" s="34">
        <f t="array" aca="1" ref="J234" ca="1">IF( $C234="", "", _xll.IMDP("IDX",$C234,J$6,$D$4,"Fill=true, Per="&amp;filter!$R$1) )</f>
        <v>622.95000000000005</v>
      </c>
      <c r="K234" s="38">
        <f t="array" aca="1" ref="K234" ca="1">IF( $C234="", "", _xll.IMDP("IDX",$C234,K$6,$D$4,"Fill=true, Per="&amp;filter!$R$1) )</f>
        <v>644.19000000000005</v>
      </c>
      <c r="L234" s="39">
        <f t="array" aca="1" ref="L234" ca="1">IF( $C234="", "", _xll.IMDP("IDX",$C234,L$6,$D$4,"Fill=true, Per="&amp;filter!$R$1) )</f>
        <v>0</v>
      </c>
      <c r="M234" s="50" t="str">
        <f t="array" aca="1" ref="M234" ca="1">IF( $C234="", "", _xll.IMDP("IDX",$C234,M$6,$D$4,"Fill=true, Per="&amp;filter!$R$1) )</f>
        <v/>
      </c>
      <c r="N234" s="51" t="str">
        <f t="array" aca="1" ref="N234" ca="1">IF( $C234="", "", _xll.IMDP("IDX",$C234,N$6,$D$4,"Fill=true, Per="&amp;filter!$R$1) )</f>
        <v/>
      </c>
      <c r="O234" s="52" t="str">
        <f t="array" aca="1" ref="O234" ca="1">IF( $C234="", "", _xll.IMDP("IDX",$C234,O$6,$D$4,"Fill=true, Per="&amp;filter!$R$1) )</f>
        <v/>
      </c>
    </row>
    <row r="235" spans="2:15">
      <c r="B235" s="21">
        <f t="shared" si="3"/>
        <v>227</v>
      </c>
      <c r="C235" s="17" t="str">
        <f>IFERROR( VLOOKUP(ROWS($B$8:B234), filter!$I:$J, 2, 0), "")</f>
        <v>F2X11P</v>
      </c>
      <c r="D235" s="16" t="str" cm="1">
        <f t="array" ref="D235">IF( $C235="", "", _xll.IMDP("IDX", $C235, D$6) )</f>
        <v>코스피 200 정보기술 선물 레버?</v>
      </c>
      <c r="E235" s="34">
        <f t="array" aca="1" ref="E235" ca="1">IF( $C235="", "", _xll.IMDP("IDX",$C235,E$6,$D$4,"Fill=true, Per="&amp;filter!$R$1) )</f>
        <v>3059.87</v>
      </c>
      <c r="F235" s="38">
        <f t="array" aca="1" ref="F235" ca="1">IF( $C235="", "", _xll.IMDP("IDX",$C235,F$6,$D$4,"Fill=true, Per="&amp;filter!$R$1) )</f>
        <v>7.9200000000000728</v>
      </c>
      <c r="G235" s="39">
        <f t="array" aca="1" ref="G235" ca="1">IF( $C235="", "", _xll.IMDP("IDX",$C235,G$6,$D$4,"Fill=true, Per="&amp;filter!$R$1) )</f>
        <v>0.26</v>
      </c>
      <c r="H235" s="43">
        <f t="array" aca="1" ref="H235" ca="1">IF( $C235="", "", _xll.IMDP("IDX",$C235,H$6,$D$4,"Fill=true, Per="&amp;filter!$R$1) )</f>
        <v>0</v>
      </c>
      <c r="I235" s="43">
        <f t="array" aca="1" ref="I235" ca="1">IF( $C235="", "", _xll.IMDP("IDX",$C235,I$6,$D$4,"Fill=true, Per="&amp;filter!$R$1) )</f>
        <v>0</v>
      </c>
      <c r="J235" s="34">
        <f t="array" aca="1" ref="J235" ca="1">IF( $C235="", "", _xll.IMDP("IDX",$C235,J$6,$D$4,"Fill=true, Per="&amp;filter!$R$1) )</f>
        <v>3052.49</v>
      </c>
      <c r="K235" s="38">
        <f t="array" aca="1" ref="K235" ca="1">IF( $C235="", "", _xll.IMDP("IDX",$C235,K$6,$D$4,"Fill=true, Per="&amp;filter!$R$1) )</f>
        <v>3120.53</v>
      </c>
      <c r="L235" s="39">
        <f t="array" aca="1" ref="L235" ca="1">IF( $C235="", "", _xll.IMDP("IDX",$C235,L$6,$D$4,"Fill=true, Per="&amp;filter!$R$1) )</f>
        <v>0</v>
      </c>
      <c r="M235" s="50" t="str">
        <f t="array" aca="1" ref="M235" ca="1">IF( $C235="", "", _xll.IMDP("IDX",$C235,M$6,$D$4,"Fill=true, Per="&amp;filter!$R$1) )</f>
        <v/>
      </c>
      <c r="N235" s="51" t="str">
        <f t="array" aca="1" ref="N235" ca="1">IF( $C235="", "", _xll.IMDP("IDX",$C235,N$6,$D$4,"Fill=true, Per="&amp;filter!$R$1) )</f>
        <v/>
      </c>
      <c r="O235" s="52" t="str">
        <f t="array" aca="1" ref="O235" ca="1">IF( $C235="", "", _xll.IMDP("IDX",$C235,O$6,$D$4,"Fill=true, Per="&amp;filter!$R$1) )</f>
        <v/>
      </c>
    </row>
    <row r="236" spans="2:15">
      <c r="B236" s="21">
        <f t="shared" si="3"/>
        <v>228</v>
      </c>
      <c r="C236" s="17" t="str">
        <f>IFERROR( VLOOKUP(ROWS($B$8:B235), filter!$I:$J, 2, 0), "")</f>
        <v>F2X12P</v>
      </c>
      <c r="D236" s="16" t="str" cm="1">
        <f t="array" ref="D236">IF( $C236="", "", _xll.IMDP("IDX", $C236, D$6) )</f>
        <v>코스피 200 금융 선물 레버리지</v>
      </c>
      <c r="E236" s="34">
        <f t="array" aca="1" ref="E236" ca="1">IF( $C236="", "", _xll.IMDP("IDX",$C236,E$6,$D$4,"Fill=true, Per="&amp;filter!$R$1) )</f>
        <v>1718.93</v>
      </c>
      <c r="F236" s="38">
        <f t="array" aca="1" ref="F236" ca="1">IF( $C236="", "", _xll.IMDP("IDX",$C236,F$6,$D$4,"Fill=true, Per="&amp;filter!$R$1) )</f>
        <v>63.860000000000127</v>
      </c>
      <c r="G236" s="39">
        <f t="array" aca="1" ref="G236" ca="1">IF( $C236="", "", _xll.IMDP("IDX",$C236,G$6,$D$4,"Fill=true, Per="&amp;filter!$R$1) )</f>
        <v>3.86</v>
      </c>
      <c r="H236" s="43">
        <f t="array" aca="1" ref="H236" ca="1">IF( $C236="", "", _xll.IMDP("IDX",$C236,H$6,$D$4,"Fill=true, Per="&amp;filter!$R$1) )</f>
        <v>0</v>
      </c>
      <c r="I236" s="43">
        <f t="array" aca="1" ref="I236" ca="1">IF( $C236="", "", _xll.IMDP("IDX",$C236,I$6,$D$4,"Fill=true, Per="&amp;filter!$R$1) )</f>
        <v>0</v>
      </c>
      <c r="J236" s="34">
        <f t="array" aca="1" ref="J236" ca="1">IF( $C236="", "", _xll.IMDP("IDX",$C236,J$6,$D$4,"Fill=true, Per="&amp;filter!$R$1) )</f>
        <v>1655.37</v>
      </c>
      <c r="K236" s="38">
        <f t="array" aca="1" ref="K236" ca="1">IF( $C236="", "", _xll.IMDP("IDX",$C236,K$6,$D$4,"Fill=true, Per="&amp;filter!$R$1) )</f>
        <v>1743.19</v>
      </c>
      <c r="L236" s="39">
        <f t="array" aca="1" ref="L236" ca="1">IF( $C236="", "", _xll.IMDP("IDX",$C236,L$6,$D$4,"Fill=true, Per="&amp;filter!$R$1) )</f>
        <v>0</v>
      </c>
      <c r="M236" s="50" t="str">
        <f t="array" aca="1" ref="M236" ca="1">IF( $C236="", "", _xll.IMDP("IDX",$C236,M$6,$D$4,"Fill=true, Per="&amp;filter!$R$1) )</f>
        <v/>
      </c>
      <c r="N236" s="51" t="str">
        <f t="array" aca="1" ref="N236" ca="1">IF( $C236="", "", _xll.IMDP("IDX",$C236,N$6,$D$4,"Fill=true, Per="&amp;filter!$R$1) )</f>
        <v/>
      </c>
      <c r="O236" s="52" t="str">
        <f t="array" aca="1" ref="O236" ca="1">IF( $C236="", "", _xll.IMDP("IDX",$C236,O$6,$D$4,"Fill=true, Per="&amp;filter!$R$1) )</f>
        <v/>
      </c>
    </row>
    <row r="237" spans="2:15">
      <c r="B237" s="21">
        <f t="shared" si="3"/>
        <v>229</v>
      </c>
      <c r="C237" s="17" t="str">
        <f>IFERROR( VLOOKUP(ROWS($B$8:B236), filter!$I:$J, 2, 0), "")</f>
        <v>F2X13P</v>
      </c>
      <c r="D237" s="16" t="str" cm="1">
        <f t="array" ref="D237">IF( $C237="", "", _xll.IMDP("IDX", $C237, D$6) )</f>
        <v>코스피 200 경기소비재 선물 레?</v>
      </c>
      <c r="E237" s="34">
        <f t="array" aca="1" ref="E237" ca="1">IF( $C237="", "", _xll.IMDP("IDX",$C237,E$6,$D$4,"Fill=true, Per="&amp;filter!$R$1) )</f>
        <v>836.65</v>
      </c>
      <c r="F237" s="38">
        <f t="array" aca="1" ref="F237" ca="1">IF( $C237="", "", _xll.IMDP("IDX",$C237,F$6,$D$4,"Fill=true, Per="&amp;filter!$R$1) )</f>
        <v>-69.560000000000059</v>
      </c>
      <c r="G237" s="39">
        <f t="array" aca="1" ref="G237" ca="1">IF( $C237="", "", _xll.IMDP("IDX",$C237,G$6,$D$4,"Fill=true, Per="&amp;filter!$R$1) )</f>
        <v>-7.68</v>
      </c>
      <c r="H237" s="43">
        <f t="array" aca="1" ref="H237" ca="1">IF( $C237="", "", _xll.IMDP("IDX",$C237,H$6,$D$4,"Fill=true, Per="&amp;filter!$R$1) )</f>
        <v>0</v>
      </c>
      <c r="I237" s="43">
        <f t="array" aca="1" ref="I237" ca="1">IF( $C237="", "", _xll.IMDP("IDX",$C237,I$6,$D$4,"Fill=true, Per="&amp;filter!$R$1) )</f>
        <v>0</v>
      </c>
      <c r="J237" s="34">
        <f t="array" aca="1" ref="J237" ca="1">IF( $C237="", "", _xll.IMDP("IDX",$C237,J$6,$D$4,"Fill=true, Per="&amp;filter!$R$1) )</f>
        <v>906.4</v>
      </c>
      <c r="K237" s="38">
        <f t="array" aca="1" ref="K237" ca="1">IF( $C237="", "", _xll.IMDP("IDX",$C237,K$6,$D$4,"Fill=true, Per="&amp;filter!$R$1) )</f>
        <v>906.4</v>
      </c>
      <c r="L237" s="39">
        <f t="array" aca="1" ref="L237" ca="1">IF( $C237="", "", _xll.IMDP("IDX",$C237,L$6,$D$4,"Fill=true, Per="&amp;filter!$R$1) )</f>
        <v>0</v>
      </c>
      <c r="M237" s="50" t="str">
        <f t="array" aca="1" ref="M237" ca="1">IF( $C237="", "", _xll.IMDP("IDX",$C237,M$6,$D$4,"Fill=true, Per="&amp;filter!$R$1) )</f>
        <v/>
      </c>
      <c r="N237" s="51" t="str">
        <f t="array" aca="1" ref="N237" ca="1">IF( $C237="", "", _xll.IMDP("IDX",$C237,N$6,$D$4,"Fill=true, Per="&amp;filter!$R$1) )</f>
        <v/>
      </c>
      <c r="O237" s="52" t="str">
        <f t="array" aca="1" ref="O237" ca="1">IF( $C237="", "", _xll.IMDP("IDX",$C237,O$6,$D$4,"Fill=true, Per="&amp;filter!$R$1) )</f>
        <v/>
      </c>
    </row>
    <row r="238" spans="2:15">
      <c r="B238" s="21">
        <f t="shared" si="3"/>
        <v>230</v>
      </c>
      <c r="C238" s="17" t="str">
        <f>IFERROR( VLOOKUP(ROWS($B$8:B237), filter!$I:$J, 2, 0), "")</f>
        <v>F2X14P</v>
      </c>
      <c r="D238" s="16" t="str" cm="1">
        <f t="array" ref="D238">IF( $C238="", "", _xll.IMDP("IDX", $C238, D$6) )</f>
        <v>코스피 200 건설 선물 레버리지</v>
      </c>
      <c r="E238" s="34">
        <f t="array" aca="1" ref="E238" ca="1">IF( $C238="", "", _xll.IMDP("IDX",$C238,E$6,$D$4,"Fill=true, Per="&amp;filter!$R$1) )</f>
        <v>941.4</v>
      </c>
      <c r="F238" s="38">
        <f t="array" aca="1" ref="F238" ca="1">IF( $C238="", "", _xll.IMDP("IDX",$C238,F$6,$D$4,"Fill=true, Per="&amp;filter!$R$1) )</f>
        <v>17.309999999999945</v>
      </c>
      <c r="G238" s="39">
        <f t="array" aca="1" ref="G238" ca="1">IF( $C238="", "", _xll.IMDP("IDX",$C238,G$6,$D$4,"Fill=true, Per="&amp;filter!$R$1) )</f>
        <v>1.87</v>
      </c>
      <c r="H238" s="43">
        <f t="array" aca="1" ref="H238" ca="1">IF( $C238="", "", _xll.IMDP("IDX",$C238,H$6,$D$4,"Fill=true, Per="&amp;filter!$R$1) )</f>
        <v>0</v>
      </c>
      <c r="I238" s="43">
        <f t="array" aca="1" ref="I238" ca="1">IF( $C238="", "", _xll.IMDP("IDX",$C238,I$6,$D$4,"Fill=true, Per="&amp;filter!$R$1) )</f>
        <v>0</v>
      </c>
      <c r="J238" s="34">
        <f t="array" aca="1" ref="J238" ca="1">IF( $C238="", "", _xll.IMDP("IDX",$C238,J$6,$D$4,"Fill=true, Per="&amp;filter!$R$1) )</f>
        <v>924.25</v>
      </c>
      <c r="K238" s="38">
        <f t="array" aca="1" ref="K238" ca="1">IF( $C238="", "", _xll.IMDP("IDX",$C238,K$6,$D$4,"Fill=true, Per="&amp;filter!$R$1) )</f>
        <v>942.53</v>
      </c>
      <c r="L238" s="39">
        <f t="array" aca="1" ref="L238" ca="1">IF( $C238="", "", _xll.IMDP("IDX",$C238,L$6,$D$4,"Fill=true, Per="&amp;filter!$R$1) )</f>
        <v>0</v>
      </c>
      <c r="M238" s="50" t="str">
        <f t="array" aca="1" ref="M238" ca="1">IF( $C238="", "", _xll.IMDP("IDX",$C238,M$6,$D$4,"Fill=true, Per="&amp;filter!$R$1) )</f>
        <v/>
      </c>
      <c r="N238" s="51" t="str">
        <f t="array" aca="1" ref="N238" ca="1">IF( $C238="", "", _xll.IMDP("IDX",$C238,N$6,$D$4,"Fill=true, Per="&amp;filter!$R$1) )</f>
        <v/>
      </c>
      <c r="O238" s="52" t="str">
        <f t="array" aca="1" ref="O238" ca="1">IF( $C238="", "", _xll.IMDP("IDX",$C238,O$6,$D$4,"Fill=true, Per="&amp;filter!$R$1) )</f>
        <v/>
      </c>
    </row>
    <row r="239" spans="2:15">
      <c r="B239" s="21">
        <f t="shared" si="3"/>
        <v>231</v>
      </c>
      <c r="C239" s="17" t="str">
        <f>IFERROR( VLOOKUP(ROWS($B$8:B238), filter!$I:$J, 2, 0), "")</f>
        <v>F2X15P</v>
      </c>
      <c r="D239" s="16" t="str" cm="1">
        <f t="array" ref="D239">IF( $C239="", "", _xll.IMDP("IDX", $C239, D$6) )</f>
        <v>코스피 200 중공업 선물 레버리?</v>
      </c>
      <c r="E239" s="34">
        <f t="array" aca="1" ref="E239" ca="1">IF( $C239="", "", _xll.IMDP("IDX",$C239,E$6,$D$4,"Fill=true, Per="&amp;filter!$R$1) )</f>
        <v>977</v>
      </c>
      <c r="F239" s="38">
        <f t="array" aca="1" ref="F239" ca="1">IF( $C239="", "", _xll.IMDP("IDX",$C239,F$6,$D$4,"Fill=true, Per="&amp;filter!$R$1) )</f>
        <v>-51.5</v>
      </c>
      <c r="G239" s="39">
        <f t="array" aca="1" ref="G239" ca="1">IF( $C239="", "", _xll.IMDP("IDX",$C239,G$6,$D$4,"Fill=true, Per="&amp;filter!$R$1) )</f>
        <v>-5.01</v>
      </c>
      <c r="H239" s="43">
        <f t="array" aca="1" ref="H239" ca="1">IF( $C239="", "", _xll.IMDP("IDX",$C239,H$6,$D$4,"Fill=true, Per="&amp;filter!$R$1) )</f>
        <v>0</v>
      </c>
      <c r="I239" s="43">
        <f t="array" aca="1" ref="I239" ca="1">IF( $C239="", "", _xll.IMDP("IDX",$C239,I$6,$D$4,"Fill=true, Per="&amp;filter!$R$1) )</f>
        <v>0</v>
      </c>
      <c r="J239" s="34">
        <f t="array" aca="1" ref="J239" ca="1">IF( $C239="", "", _xll.IMDP("IDX",$C239,J$6,$D$4,"Fill=true, Per="&amp;filter!$R$1) )</f>
        <v>1028.67</v>
      </c>
      <c r="K239" s="38">
        <f t="array" aca="1" ref="K239" ca="1">IF( $C239="", "", _xll.IMDP("IDX",$C239,K$6,$D$4,"Fill=true, Per="&amp;filter!$R$1) )</f>
        <v>1028.67</v>
      </c>
      <c r="L239" s="39">
        <f t="array" aca="1" ref="L239" ca="1">IF( $C239="", "", _xll.IMDP("IDX",$C239,L$6,$D$4,"Fill=true, Per="&amp;filter!$R$1) )</f>
        <v>0</v>
      </c>
      <c r="M239" s="50" t="str">
        <f t="array" aca="1" ref="M239" ca="1">IF( $C239="", "", _xll.IMDP("IDX",$C239,M$6,$D$4,"Fill=true, Per="&amp;filter!$R$1) )</f>
        <v/>
      </c>
      <c r="N239" s="51" t="str">
        <f t="array" aca="1" ref="N239" ca="1">IF( $C239="", "", _xll.IMDP("IDX",$C239,N$6,$D$4,"Fill=true, Per="&amp;filter!$R$1) )</f>
        <v/>
      </c>
      <c r="O239" s="52" t="str">
        <f t="array" aca="1" ref="O239" ca="1">IF( $C239="", "", _xll.IMDP("IDX",$C239,O$6,$D$4,"Fill=true, Per="&amp;filter!$R$1) )</f>
        <v/>
      </c>
    </row>
    <row r="240" spans="2:15">
      <c r="B240" s="21">
        <f t="shared" si="3"/>
        <v>232</v>
      </c>
      <c r="C240" s="17" t="str">
        <f>IFERROR( VLOOKUP(ROWS($B$8:B239), filter!$I:$J, 2, 0), "")</f>
        <v>F2X16P</v>
      </c>
      <c r="D240" s="16" t="str" cm="1">
        <f t="array" ref="D240">IF( $C240="", "", _xll.IMDP("IDX", $C240, D$6) )</f>
        <v>코스피 200 헬스케어 선물 레버?</v>
      </c>
      <c r="E240" s="34">
        <f t="array" aca="1" ref="E240" ca="1">IF( $C240="", "", _xll.IMDP("IDX",$C240,E$6,$D$4,"Fill=true, Per="&amp;filter!$R$1) )</f>
        <v>889.11</v>
      </c>
      <c r="F240" s="38">
        <f t="array" aca="1" ref="F240" ca="1">IF( $C240="", "", _xll.IMDP("IDX",$C240,F$6,$D$4,"Fill=true, Per="&amp;filter!$R$1) )</f>
        <v>-31.669999999999959</v>
      </c>
      <c r="G240" s="39">
        <f t="array" aca="1" ref="G240" ca="1">IF( $C240="", "", _xll.IMDP("IDX",$C240,G$6,$D$4,"Fill=true, Per="&amp;filter!$R$1) )</f>
        <v>-3.44</v>
      </c>
      <c r="H240" s="43">
        <f t="array" aca="1" ref="H240" ca="1">IF( $C240="", "", _xll.IMDP("IDX",$C240,H$6,$D$4,"Fill=true, Per="&amp;filter!$R$1) )</f>
        <v>0</v>
      </c>
      <c r="I240" s="43">
        <f t="array" aca="1" ref="I240" ca="1">IF( $C240="", "", _xll.IMDP("IDX",$C240,I$6,$D$4,"Fill=true, Per="&amp;filter!$R$1) )</f>
        <v>0</v>
      </c>
      <c r="J240" s="34">
        <f t="array" aca="1" ref="J240" ca="1">IF( $C240="", "", _xll.IMDP("IDX",$C240,J$6,$D$4,"Fill=true, Per="&amp;filter!$R$1) )</f>
        <v>920.96</v>
      </c>
      <c r="K240" s="38">
        <f t="array" aca="1" ref="K240" ca="1">IF( $C240="", "", _xll.IMDP("IDX",$C240,K$6,$D$4,"Fill=true, Per="&amp;filter!$R$1) )</f>
        <v>920.96</v>
      </c>
      <c r="L240" s="39">
        <f t="array" aca="1" ref="L240" ca="1">IF( $C240="", "", _xll.IMDP("IDX",$C240,L$6,$D$4,"Fill=true, Per="&amp;filter!$R$1) )</f>
        <v>0</v>
      </c>
      <c r="M240" s="50" t="str">
        <f t="array" aca="1" ref="M240" ca="1">IF( $C240="", "", _xll.IMDP("IDX",$C240,M$6,$D$4,"Fill=true, Per="&amp;filter!$R$1) )</f>
        <v/>
      </c>
      <c r="N240" s="51" t="str">
        <f t="array" aca="1" ref="N240" ca="1">IF( $C240="", "", _xll.IMDP("IDX",$C240,N$6,$D$4,"Fill=true, Per="&amp;filter!$R$1) )</f>
        <v/>
      </c>
      <c r="O240" s="52" t="str">
        <f t="array" aca="1" ref="O240" ca="1">IF( $C240="", "", _xll.IMDP("IDX",$C240,O$6,$D$4,"Fill=true, Per="&amp;filter!$R$1) )</f>
        <v/>
      </c>
    </row>
    <row r="241" spans="2:15">
      <c r="B241" s="21">
        <f t="shared" si="3"/>
        <v>233</v>
      </c>
      <c r="C241" s="17" t="str">
        <f>IFERROR( VLOOKUP(ROWS($B$8:B240), filter!$I:$J, 2, 0), "")</f>
        <v>F2X17P</v>
      </c>
      <c r="D241" s="16" t="str" cm="1">
        <f t="array" ref="D241">IF( $C241="", "", _xll.IMDP("IDX", $C241, D$6) )</f>
        <v>코스피 200 생활소비재 선물 레?</v>
      </c>
      <c r="E241" s="34">
        <f t="array" aca="1" ref="E241" ca="1">IF( $C241="", "", _xll.IMDP("IDX",$C241,E$6,$D$4,"Fill=true, Per="&amp;filter!$R$1) )</f>
        <v>443.68</v>
      </c>
      <c r="F241" s="38">
        <f t="array" aca="1" ref="F241" ca="1">IF( $C241="", "", _xll.IMDP("IDX",$C241,F$6,$D$4,"Fill=true, Per="&amp;filter!$R$1) )</f>
        <v>6.6100000000000136</v>
      </c>
      <c r="G241" s="39">
        <f t="array" aca="1" ref="G241" ca="1">IF( $C241="", "", _xll.IMDP("IDX",$C241,G$6,$D$4,"Fill=true, Per="&amp;filter!$R$1) )</f>
        <v>1.51</v>
      </c>
      <c r="H241" s="43">
        <f t="array" aca="1" ref="H241" ca="1">IF( $C241="", "", _xll.IMDP("IDX",$C241,H$6,$D$4,"Fill=true, Per="&amp;filter!$R$1) )</f>
        <v>0</v>
      </c>
      <c r="I241" s="43">
        <f t="array" aca="1" ref="I241" ca="1">IF( $C241="", "", _xll.IMDP("IDX",$C241,I$6,$D$4,"Fill=true, Per="&amp;filter!$R$1) )</f>
        <v>0</v>
      </c>
      <c r="J241" s="34">
        <f t="array" aca="1" ref="J241" ca="1">IF( $C241="", "", _xll.IMDP("IDX",$C241,J$6,$D$4,"Fill=true, Per="&amp;filter!$R$1) )</f>
        <v>437.17</v>
      </c>
      <c r="K241" s="38">
        <f t="array" aca="1" ref="K241" ca="1">IF( $C241="", "", _xll.IMDP("IDX",$C241,K$6,$D$4,"Fill=true, Per="&amp;filter!$R$1) )</f>
        <v>446.64</v>
      </c>
      <c r="L241" s="39">
        <f t="array" aca="1" ref="L241" ca="1">IF( $C241="", "", _xll.IMDP("IDX",$C241,L$6,$D$4,"Fill=true, Per="&amp;filter!$R$1) )</f>
        <v>0</v>
      </c>
      <c r="M241" s="50" t="str">
        <f t="array" aca="1" ref="M241" ca="1">IF( $C241="", "", _xll.IMDP("IDX",$C241,M$6,$D$4,"Fill=true, Per="&amp;filter!$R$1) )</f>
        <v/>
      </c>
      <c r="N241" s="51" t="str">
        <f t="array" aca="1" ref="N241" ca="1">IF( $C241="", "", _xll.IMDP("IDX",$C241,N$6,$D$4,"Fill=true, Per="&amp;filter!$R$1) )</f>
        <v/>
      </c>
      <c r="O241" s="52" t="str">
        <f t="array" aca="1" ref="O241" ca="1">IF( $C241="", "", _xll.IMDP("IDX",$C241,O$6,$D$4,"Fill=true, Per="&amp;filter!$R$1) )</f>
        <v/>
      </c>
    </row>
    <row r="242" spans="2:15">
      <c r="B242" s="21">
        <f t="shared" si="3"/>
        <v>234</v>
      </c>
      <c r="C242" s="17" t="str">
        <f>IFERROR( VLOOKUP(ROWS($B$8:B241), filter!$I:$J, 2, 0), "")</f>
        <v>F2X18P</v>
      </c>
      <c r="D242" s="16" t="str" cm="1">
        <f t="array" ref="D242">IF( $C242="", "", _xll.IMDP("IDX", $C242, D$6) )</f>
        <v>코스피 200 철강/소재 선물 레버</v>
      </c>
      <c r="E242" s="34">
        <f t="array" aca="1" ref="E242" ca="1">IF( $C242="", "", _xll.IMDP("IDX",$C242,E$6,$D$4,"Fill=true, Per="&amp;filter!$R$1) )</f>
        <v>426.77</v>
      </c>
      <c r="F242" s="38">
        <f t="array" aca="1" ref="F242" ca="1">IF( $C242="", "", _xll.IMDP("IDX",$C242,F$6,$D$4,"Fill=true, Per="&amp;filter!$R$1) )</f>
        <v>30.990000000000009</v>
      </c>
      <c r="G242" s="39">
        <f t="array" aca="1" ref="G242" ca="1">IF( $C242="", "", _xll.IMDP("IDX",$C242,G$6,$D$4,"Fill=true, Per="&amp;filter!$R$1) )</f>
        <v>7.83</v>
      </c>
      <c r="H242" s="43">
        <f t="array" aca="1" ref="H242" ca="1">IF( $C242="", "", _xll.IMDP("IDX",$C242,H$6,$D$4,"Fill=true, Per="&amp;filter!$R$1) )</f>
        <v>0</v>
      </c>
      <c r="I242" s="43">
        <f t="array" aca="1" ref="I242" ca="1">IF( $C242="", "", _xll.IMDP("IDX",$C242,I$6,$D$4,"Fill=true, Per="&amp;filter!$R$1) )</f>
        <v>0</v>
      </c>
      <c r="J242" s="34">
        <f t="array" aca="1" ref="J242" ca="1">IF( $C242="", "", _xll.IMDP("IDX",$C242,J$6,$D$4,"Fill=true, Per="&amp;filter!$R$1) )</f>
        <v>395.86</v>
      </c>
      <c r="K242" s="38">
        <f t="array" aca="1" ref="K242" ca="1">IF( $C242="", "", _xll.IMDP("IDX",$C242,K$6,$D$4,"Fill=true, Per="&amp;filter!$R$1) )</f>
        <v>434.55</v>
      </c>
      <c r="L242" s="39">
        <f t="array" aca="1" ref="L242" ca="1">IF( $C242="", "", _xll.IMDP("IDX",$C242,L$6,$D$4,"Fill=true, Per="&amp;filter!$R$1) )</f>
        <v>0</v>
      </c>
      <c r="M242" s="50" t="str">
        <f t="array" aca="1" ref="M242" ca="1">IF( $C242="", "", _xll.IMDP("IDX",$C242,M$6,$D$4,"Fill=true, Per="&amp;filter!$R$1) )</f>
        <v/>
      </c>
      <c r="N242" s="51" t="str">
        <f t="array" aca="1" ref="N242" ca="1">IF( $C242="", "", _xll.IMDP("IDX",$C242,N$6,$D$4,"Fill=true, Per="&amp;filter!$R$1) )</f>
        <v/>
      </c>
      <c r="O242" s="52" t="str">
        <f t="array" aca="1" ref="O242" ca="1">IF( $C242="", "", _xll.IMDP("IDX",$C242,O$6,$D$4,"Fill=true, Per="&amp;filter!$R$1) )</f>
        <v/>
      </c>
    </row>
    <row r="243" spans="2:15">
      <c r="B243" s="21">
        <f t="shared" si="3"/>
        <v>235</v>
      </c>
      <c r="C243" s="17" t="str">
        <f>IFERROR( VLOOKUP(ROWS($B$8:B242), filter!$I:$J, 2, 0), "")</f>
        <v>F2X19P</v>
      </c>
      <c r="D243" s="16" t="str" cm="1">
        <f t="array" ref="D243">IF( $C243="", "", _xll.IMDP("IDX", $C243, D$6) )</f>
        <v>코스피 200 산업재 선물 레버리?</v>
      </c>
      <c r="E243" s="34">
        <f t="array" aca="1" ref="E243" ca="1">IF( $C243="", "", _xll.IMDP("IDX",$C243,E$6,$D$4,"Fill=true, Per="&amp;filter!$R$1) )</f>
        <v>881.74</v>
      </c>
      <c r="F243" s="38">
        <f t="array" aca="1" ref="F243" ca="1">IF( $C243="", "", _xll.IMDP("IDX",$C243,F$6,$D$4,"Fill=true, Per="&amp;filter!$R$1) )</f>
        <v>27.110000000000014</v>
      </c>
      <c r="G243" s="39">
        <f t="array" aca="1" ref="G243" ca="1">IF( $C243="", "", _xll.IMDP("IDX",$C243,G$6,$D$4,"Fill=true, Per="&amp;filter!$R$1) )</f>
        <v>3.17</v>
      </c>
      <c r="H243" s="43">
        <f t="array" aca="1" ref="H243" ca="1">IF( $C243="", "", _xll.IMDP("IDX",$C243,H$6,$D$4,"Fill=true, Per="&amp;filter!$R$1) )</f>
        <v>0</v>
      </c>
      <c r="I243" s="43">
        <f t="array" aca="1" ref="I243" ca="1">IF( $C243="", "", _xll.IMDP("IDX",$C243,I$6,$D$4,"Fill=true, Per="&amp;filter!$R$1) )</f>
        <v>0</v>
      </c>
      <c r="J243" s="34">
        <f t="array" aca="1" ref="J243" ca="1">IF( $C243="", "", _xll.IMDP("IDX",$C243,J$6,$D$4,"Fill=true, Per="&amp;filter!$R$1) )</f>
        <v>854.81</v>
      </c>
      <c r="K243" s="38">
        <f t="array" aca="1" ref="K243" ca="1">IF( $C243="", "", _xll.IMDP("IDX",$C243,K$6,$D$4,"Fill=true, Per="&amp;filter!$R$1) )</f>
        <v>896.23</v>
      </c>
      <c r="L243" s="39">
        <f t="array" aca="1" ref="L243" ca="1">IF( $C243="", "", _xll.IMDP("IDX",$C243,L$6,$D$4,"Fill=true, Per="&amp;filter!$R$1) )</f>
        <v>0</v>
      </c>
      <c r="M243" s="50" t="str">
        <f t="array" aca="1" ref="M243" ca="1">IF( $C243="", "", _xll.IMDP("IDX",$C243,M$6,$D$4,"Fill=true, Per="&amp;filter!$R$1) )</f>
        <v/>
      </c>
      <c r="N243" s="51" t="str">
        <f t="array" aca="1" ref="N243" ca="1">IF( $C243="", "", _xll.IMDP("IDX",$C243,N$6,$D$4,"Fill=true, Per="&amp;filter!$R$1) )</f>
        <v/>
      </c>
      <c r="O243" s="52" t="str">
        <f t="array" aca="1" ref="O243" ca="1">IF( $C243="", "", _xll.IMDP("IDX",$C243,O$6,$D$4,"Fill=true, Per="&amp;filter!$R$1) )</f>
        <v/>
      </c>
    </row>
    <row r="244" spans="2:15">
      <c r="B244" s="21">
        <f t="shared" si="3"/>
        <v>236</v>
      </c>
      <c r="C244" s="17" t="str">
        <f>IFERROR( VLOOKUP(ROWS($B$8:B243), filter!$I:$J, 2, 0), "")</f>
        <v>F2X20P</v>
      </c>
      <c r="D244" s="16" t="str" cm="1">
        <f t="array" ref="D244">IF( $C244="", "", _xll.IMDP("IDX", $C244, D$6) )</f>
        <v>코스피 200 에너지/화학 선물 인</v>
      </c>
      <c r="E244" s="34">
        <f t="array" aca="1" ref="E244" ca="1">IF( $C244="", "", _xll.IMDP("IDX",$C244,E$6,$D$4,"Fill=true, Per="&amp;filter!$R$1) )</f>
        <v>761.12</v>
      </c>
      <c r="F244" s="38">
        <f t="array" aca="1" ref="F244" ca="1">IF( $C244="", "", _xll.IMDP("IDX",$C244,F$6,$D$4,"Fill=true, Per="&amp;filter!$R$1) )</f>
        <v>-8.1499999999999773</v>
      </c>
      <c r="G244" s="39">
        <f t="array" aca="1" ref="G244" ca="1">IF( $C244="", "", _xll.IMDP("IDX",$C244,G$6,$D$4,"Fill=true, Per="&amp;filter!$R$1) )</f>
        <v>-1.06</v>
      </c>
      <c r="H244" s="43">
        <f t="array" aca="1" ref="H244" ca="1">IF( $C244="", "", _xll.IMDP("IDX",$C244,H$6,$D$4,"Fill=true, Per="&amp;filter!$R$1) )</f>
        <v>0</v>
      </c>
      <c r="I244" s="43">
        <f t="array" aca="1" ref="I244" ca="1">IF( $C244="", "", _xll.IMDP("IDX",$C244,I$6,$D$4,"Fill=true, Per="&amp;filter!$R$1) )</f>
        <v>0</v>
      </c>
      <c r="J244" s="34">
        <f t="array" aca="1" ref="J244" ca="1">IF( $C244="", "", _xll.IMDP("IDX",$C244,J$6,$D$4,"Fill=true, Per="&amp;filter!$R$1) )</f>
        <v>769.46</v>
      </c>
      <c r="K244" s="38">
        <f t="array" aca="1" ref="K244" ca="1">IF( $C244="", "", _xll.IMDP("IDX",$C244,K$6,$D$4,"Fill=true, Per="&amp;filter!$R$1) )</f>
        <v>769.87</v>
      </c>
      <c r="L244" s="39">
        <f t="array" aca="1" ref="L244" ca="1">IF( $C244="", "", _xll.IMDP("IDX",$C244,L$6,$D$4,"Fill=true, Per="&amp;filter!$R$1) )</f>
        <v>0</v>
      </c>
      <c r="M244" s="50" t="str">
        <f t="array" aca="1" ref="M244" ca="1">IF( $C244="", "", _xll.IMDP("IDX",$C244,M$6,$D$4,"Fill=true, Per="&amp;filter!$R$1) )</f>
        <v/>
      </c>
      <c r="N244" s="51" t="str">
        <f t="array" aca="1" ref="N244" ca="1">IF( $C244="", "", _xll.IMDP("IDX",$C244,N$6,$D$4,"Fill=true, Per="&amp;filter!$R$1) )</f>
        <v/>
      </c>
      <c r="O244" s="52" t="str">
        <f t="array" aca="1" ref="O244" ca="1">IF( $C244="", "", _xll.IMDP("IDX",$C244,O$6,$D$4,"Fill=true, Per="&amp;filter!$R$1) )</f>
        <v/>
      </c>
    </row>
    <row r="245" spans="2:15">
      <c r="B245" s="21">
        <f t="shared" si="3"/>
        <v>237</v>
      </c>
      <c r="C245" s="17" t="str">
        <f>IFERROR( VLOOKUP(ROWS($B$8:B244), filter!$I:$J, 2, 0), "")</f>
        <v>F2X21P</v>
      </c>
      <c r="D245" s="16" t="str" cm="1">
        <f t="array" ref="D245">IF( $C245="", "", _xll.IMDP("IDX", $C245, D$6) )</f>
        <v>코스피 200 정보기술 선물 인버?</v>
      </c>
      <c r="E245" s="34">
        <f t="array" aca="1" ref="E245" ca="1">IF( $C245="", "", _xll.IMDP("IDX",$C245,E$6,$D$4,"Fill=true, Per="&amp;filter!$R$1) )</f>
        <v>377.61</v>
      </c>
      <c r="F245" s="38">
        <f t="array" aca="1" ref="F245" ca="1">IF( $C245="", "", _xll.IMDP("IDX",$C245,F$6,$D$4,"Fill=true, Per="&amp;filter!$R$1) )</f>
        <v>-0.37999999999999545</v>
      </c>
      <c r="G245" s="39">
        <f t="array" aca="1" ref="G245" ca="1">IF( $C245="", "", _xll.IMDP("IDX",$C245,G$6,$D$4,"Fill=true, Per="&amp;filter!$R$1) )</f>
        <v>-0.1</v>
      </c>
      <c r="H245" s="43">
        <f t="array" aca="1" ref="H245" ca="1">IF( $C245="", "", _xll.IMDP("IDX",$C245,H$6,$D$4,"Fill=true, Per="&amp;filter!$R$1) )</f>
        <v>0</v>
      </c>
      <c r="I245" s="43">
        <f t="array" aca="1" ref="I245" ca="1">IF( $C245="", "", _xll.IMDP("IDX",$C245,I$6,$D$4,"Fill=true, Per="&amp;filter!$R$1) )</f>
        <v>0</v>
      </c>
      <c r="J245" s="34">
        <f t="array" aca="1" ref="J245" ca="1">IF( $C245="", "", _xll.IMDP("IDX",$C245,J$6,$D$4,"Fill=true, Per="&amp;filter!$R$1) )</f>
        <v>378.08</v>
      </c>
      <c r="K245" s="38">
        <f t="array" aca="1" ref="K245" ca="1">IF( $C245="", "", _xll.IMDP("IDX",$C245,K$6,$D$4,"Fill=true, Per="&amp;filter!$R$1) )</f>
        <v>378.08</v>
      </c>
      <c r="L245" s="39">
        <f t="array" aca="1" ref="L245" ca="1">IF( $C245="", "", _xll.IMDP("IDX",$C245,L$6,$D$4,"Fill=true, Per="&amp;filter!$R$1) )</f>
        <v>0</v>
      </c>
      <c r="M245" s="50" t="str">
        <f t="array" aca="1" ref="M245" ca="1">IF( $C245="", "", _xll.IMDP("IDX",$C245,M$6,$D$4,"Fill=true, Per="&amp;filter!$R$1) )</f>
        <v/>
      </c>
      <c r="N245" s="51" t="str">
        <f t="array" aca="1" ref="N245" ca="1">IF( $C245="", "", _xll.IMDP("IDX",$C245,N$6,$D$4,"Fill=true, Per="&amp;filter!$R$1) )</f>
        <v/>
      </c>
      <c r="O245" s="52" t="str">
        <f t="array" aca="1" ref="O245" ca="1">IF( $C245="", "", _xll.IMDP("IDX",$C245,O$6,$D$4,"Fill=true, Per="&amp;filter!$R$1) )</f>
        <v/>
      </c>
    </row>
    <row r="246" spans="2:15">
      <c r="B246" s="21">
        <f t="shared" si="3"/>
        <v>238</v>
      </c>
      <c r="C246" s="17" t="str">
        <f>IFERROR( VLOOKUP(ROWS($B$8:B245), filter!$I:$J, 2, 0), "")</f>
        <v>F2X22P</v>
      </c>
      <c r="D246" s="16" t="str" cm="1">
        <f t="array" ref="D246">IF( $C246="", "", _xll.IMDP("IDX", $C246, D$6) )</f>
        <v>코스피 200 금융 선물 인버스 지</v>
      </c>
      <c r="E246" s="34">
        <f t="array" aca="1" ref="E246" ca="1">IF( $C246="", "", _xll.IMDP("IDX",$C246,E$6,$D$4,"Fill=true, Per="&amp;filter!$R$1) )</f>
        <v>514.11</v>
      </c>
      <c r="F246" s="38">
        <f t="array" aca="1" ref="F246" ca="1">IF( $C246="", "", _xll.IMDP("IDX",$C246,F$6,$D$4,"Fill=true, Per="&amp;filter!$R$1) )</f>
        <v>-9.7400000000000091</v>
      </c>
      <c r="G246" s="39">
        <f t="array" aca="1" ref="G246" ca="1">IF( $C246="", "", _xll.IMDP("IDX",$C246,G$6,$D$4,"Fill=true, Per="&amp;filter!$R$1) )</f>
        <v>-1.86</v>
      </c>
      <c r="H246" s="43">
        <f t="array" aca="1" ref="H246" ca="1">IF( $C246="", "", _xll.IMDP("IDX",$C246,H$6,$D$4,"Fill=true, Per="&amp;filter!$R$1) )</f>
        <v>0</v>
      </c>
      <c r="I246" s="43">
        <f t="array" aca="1" ref="I246" ca="1">IF( $C246="", "", _xll.IMDP("IDX",$C246,I$6,$D$4,"Fill=true, Per="&amp;filter!$R$1) )</f>
        <v>0</v>
      </c>
      <c r="J246" s="34">
        <f t="array" aca="1" ref="J246" ca="1">IF( $C246="", "", _xll.IMDP("IDX",$C246,J$6,$D$4,"Fill=true, Per="&amp;filter!$R$1) )</f>
        <v>523.97</v>
      </c>
      <c r="K246" s="38">
        <f t="array" aca="1" ref="K246" ca="1">IF( $C246="", "", _xll.IMDP("IDX",$C246,K$6,$D$4,"Fill=true, Per="&amp;filter!$R$1) )</f>
        <v>529.91999999999996</v>
      </c>
      <c r="L246" s="39">
        <f t="array" aca="1" ref="L246" ca="1">IF( $C246="", "", _xll.IMDP("IDX",$C246,L$6,$D$4,"Fill=true, Per="&amp;filter!$R$1) )</f>
        <v>0</v>
      </c>
      <c r="M246" s="50" t="str">
        <f t="array" aca="1" ref="M246" ca="1">IF( $C246="", "", _xll.IMDP("IDX",$C246,M$6,$D$4,"Fill=true, Per="&amp;filter!$R$1) )</f>
        <v/>
      </c>
      <c r="N246" s="51" t="str">
        <f t="array" aca="1" ref="N246" ca="1">IF( $C246="", "", _xll.IMDP("IDX",$C246,N$6,$D$4,"Fill=true, Per="&amp;filter!$R$1) )</f>
        <v/>
      </c>
      <c r="O246" s="52" t="str">
        <f t="array" aca="1" ref="O246" ca="1">IF( $C246="", "", _xll.IMDP("IDX",$C246,O$6,$D$4,"Fill=true, Per="&amp;filter!$R$1) )</f>
        <v/>
      </c>
    </row>
    <row r="247" spans="2:15">
      <c r="B247" s="21">
        <f t="shared" si="3"/>
        <v>239</v>
      </c>
      <c r="C247" s="17" t="str">
        <f>IFERROR( VLOOKUP(ROWS($B$8:B246), filter!$I:$J, 2, 0), "")</f>
        <v>F2X23P</v>
      </c>
      <c r="D247" s="16" t="str" cm="1">
        <f t="array" ref="D247">IF( $C247="", "", _xll.IMDP("IDX", $C247, D$6) )</f>
        <v>코스피 200 경기소비재 선물 인?</v>
      </c>
      <c r="E247" s="34">
        <f t="array" aca="1" ref="E247" ca="1">IF( $C247="", "", _xll.IMDP("IDX",$C247,E$6,$D$4,"Fill=true, Per="&amp;filter!$R$1) )</f>
        <v>766.99</v>
      </c>
      <c r="F247" s="38">
        <f t="array" aca="1" ref="F247" ca="1">IF( $C247="", "", _xll.IMDP("IDX",$C247,F$6,$D$4,"Fill=true, Per="&amp;filter!$R$1) )</f>
        <v>29.5</v>
      </c>
      <c r="G247" s="39">
        <f t="array" aca="1" ref="G247" ca="1">IF( $C247="", "", _xll.IMDP("IDX",$C247,G$6,$D$4,"Fill=true, Per="&amp;filter!$R$1) )</f>
        <v>4</v>
      </c>
      <c r="H247" s="43">
        <f t="array" aca="1" ref="H247" ca="1">IF( $C247="", "", _xll.IMDP("IDX",$C247,H$6,$D$4,"Fill=true, Per="&amp;filter!$R$1) )</f>
        <v>0</v>
      </c>
      <c r="I247" s="43">
        <f t="array" aca="1" ref="I247" ca="1">IF( $C247="", "", _xll.IMDP("IDX",$C247,I$6,$D$4,"Fill=true, Per="&amp;filter!$R$1) )</f>
        <v>0</v>
      </c>
      <c r="J247" s="34">
        <f t="array" aca="1" ref="J247" ca="1">IF( $C247="", "", _xll.IMDP("IDX",$C247,J$6,$D$4,"Fill=true, Per="&amp;filter!$R$1) )</f>
        <v>737.67</v>
      </c>
      <c r="K247" s="38">
        <f t="array" aca="1" ref="K247" ca="1">IF( $C247="", "", _xll.IMDP("IDX",$C247,K$6,$D$4,"Fill=true, Per="&amp;filter!$R$1) )</f>
        <v>768.96</v>
      </c>
      <c r="L247" s="39">
        <f t="array" aca="1" ref="L247" ca="1">IF( $C247="", "", _xll.IMDP("IDX",$C247,L$6,$D$4,"Fill=true, Per="&amp;filter!$R$1) )</f>
        <v>0</v>
      </c>
      <c r="M247" s="50" t="str">
        <f t="array" aca="1" ref="M247" ca="1">IF( $C247="", "", _xll.IMDP("IDX",$C247,M$6,$D$4,"Fill=true, Per="&amp;filter!$R$1) )</f>
        <v/>
      </c>
      <c r="N247" s="51" t="str">
        <f t="array" aca="1" ref="N247" ca="1">IF( $C247="", "", _xll.IMDP("IDX",$C247,N$6,$D$4,"Fill=true, Per="&amp;filter!$R$1) )</f>
        <v/>
      </c>
      <c r="O247" s="52" t="str">
        <f t="array" aca="1" ref="O247" ca="1">IF( $C247="", "", _xll.IMDP("IDX",$C247,O$6,$D$4,"Fill=true, Per="&amp;filter!$R$1) )</f>
        <v/>
      </c>
    </row>
    <row r="248" spans="2:15">
      <c r="B248" s="21">
        <f t="shared" si="3"/>
        <v>240</v>
      </c>
      <c r="C248" s="17" t="str">
        <f>IFERROR( VLOOKUP(ROWS($B$8:B247), filter!$I:$J, 2, 0), "")</f>
        <v>F2X24P</v>
      </c>
      <c r="D248" s="16" t="str" cm="1">
        <f t="array" ref="D248">IF( $C248="", "", _xll.IMDP("IDX", $C248, D$6) )</f>
        <v>코스피 200 건설 선물 인버스 지</v>
      </c>
      <c r="E248" s="34">
        <f t="array" aca="1" ref="E248" ca="1">IF( $C248="", "", _xll.IMDP("IDX",$C248,E$6,$D$4,"Fill=true, Per="&amp;filter!$R$1) )</f>
        <v>545.80999999999995</v>
      </c>
      <c r="F248" s="38">
        <f t="array" aca="1" ref="F248" ca="1">IF( $C248="", "", _xll.IMDP("IDX",$C248,F$6,$D$4,"Fill=true, Per="&amp;filter!$R$1) )</f>
        <v>-5.0900000000000318</v>
      </c>
      <c r="G248" s="39">
        <f t="array" aca="1" ref="G248" ca="1">IF( $C248="", "", _xll.IMDP("IDX",$C248,G$6,$D$4,"Fill=true, Per="&amp;filter!$R$1) )</f>
        <v>-0.92</v>
      </c>
      <c r="H248" s="43">
        <f t="array" aca="1" ref="H248" ca="1">IF( $C248="", "", _xll.IMDP("IDX",$C248,H$6,$D$4,"Fill=true, Per="&amp;filter!$R$1) )</f>
        <v>0</v>
      </c>
      <c r="I248" s="43">
        <f t="array" aca="1" ref="I248" ca="1">IF( $C248="", "", _xll.IMDP("IDX",$C248,I$6,$D$4,"Fill=true, Per="&amp;filter!$R$1) )</f>
        <v>0</v>
      </c>
      <c r="J248" s="34">
        <f t="array" aca="1" ref="J248" ca="1">IF( $C248="", "", _xll.IMDP("IDX",$C248,J$6,$D$4,"Fill=true, Per="&amp;filter!$R$1) )</f>
        <v>551.03</v>
      </c>
      <c r="K248" s="38">
        <f t="array" aca="1" ref="K248" ca="1">IF( $C248="", "", _xll.IMDP("IDX",$C248,K$6,$D$4,"Fill=true, Per="&amp;filter!$R$1) )</f>
        <v>556.86</v>
      </c>
      <c r="L248" s="39">
        <f t="array" aca="1" ref="L248" ca="1">IF( $C248="", "", _xll.IMDP("IDX",$C248,L$6,$D$4,"Fill=true, Per="&amp;filter!$R$1) )</f>
        <v>0</v>
      </c>
      <c r="M248" s="50" t="str">
        <f t="array" aca="1" ref="M248" ca="1">IF( $C248="", "", _xll.IMDP("IDX",$C248,M$6,$D$4,"Fill=true, Per="&amp;filter!$R$1) )</f>
        <v/>
      </c>
      <c r="N248" s="51" t="str">
        <f t="array" aca="1" ref="N248" ca="1">IF( $C248="", "", _xll.IMDP("IDX",$C248,N$6,$D$4,"Fill=true, Per="&amp;filter!$R$1) )</f>
        <v/>
      </c>
      <c r="O248" s="52" t="str">
        <f t="array" aca="1" ref="O248" ca="1">IF( $C248="", "", _xll.IMDP("IDX",$C248,O$6,$D$4,"Fill=true, Per="&amp;filter!$R$1) )</f>
        <v/>
      </c>
    </row>
    <row r="249" spans="2:15">
      <c r="B249" s="21">
        <f t="shared" si="3"/>
        <v>241</v>
      </c>
      <c r="C249" s="17" t="str">
        <f>IFERROR( VLOOKUP(ROWS($B$8:B248), filter!$I:$J, 2, 0), "")</f>
        <v>F2X25P</v>
      </c>
      <c r="D249" s="16" t="str" cm="1">
        <f t="array" ref="D249">IF( $C249="", "", _xll.IMDP("IDX", $C249, D$6) )</f>
        <v>코스피 200 중공업 선물 인버스</v>
      </c>
      <c r="E249" s="34">
        <f t="array" aca="1" ref="E249" ca="1">IF( $C249="", "", _xll.IMDP("IDX",$C249,E$6,$D$4,"Fill=true, Per="&amp;filter!$R$1) )</f>
        <v>430.49</v>
      </c>
      <c r="F249" s="38">
        <f t="array" aca="1" ref="F249" ca="1">IF( $C249="", "", _xll.IMDP("IDX",$C249,F$6,$D$4,"Fill=true, Per="&amp;filter!$R$1) )</f>
        <v>10.79000000000002</v>
      </c>
      <c r="G249" s="39">
        <f t="array" aca="1" ref="G249" ca="1">IF( $C249="", "", _xll.IMDP("IDX",$C249,G$6,$D$4,"Fill=true, Per="&amp;filter!$R$1) )</f>
        <v>2.57</v>
      </c>
      <c r="H249" s="43">
        <f t="array" aca="1" ref="H249" ca="1">IF( $C249="", "", _xll.IMDP("IDX",$C249,H$6,$D$4,"Fill=true, Per="&amp;filter!$R$1) )</f>
        <v>0</v>
      </c>
      <c r="I249" s="43">
        <f t="array" aca="1" ref="I249" ca="1">IF( $C249="", "", _xll.IMDP("IDX",$C249,I$6,$D$4,"Fill=true, Per="&amp;filter!$R$1) )</f>
        <v>0</v>
      </c>
      <c r="J249" s="34">
        <f t="array" aca="1" ref="J249" ca="1">IF( $C249="", "", _xll.IMDP("IDX",$C249,J$6,$D$4,"Fill=true, Per="&amp;filter!$R$1) )</f>
        <v>419.79</v>
      </c>
      <c r="K249" s="38">
        <f t="array" aca="1" ref="K249" ca="1">IF( $C249="", "", _xll.IMDP("IDX",$C249,K$6,$D$4,"Fill=true, Per="&amp;filter!$R$1) )</f>
        <v>433.11</v>
      </c>
      <c r="L249" s="39">
        <f t="array" aca="1" ref="L249" ca="1">IF( $C249="", "", _xll.IMDP("IDX",$C249,L$6,$D$4,"Fill=true, Per="&amp;filter!$R$1) )</f>
        <v>0</v>
      </c>
      <c r="M249" s="50" t="str">
        <f t="array" aca="1" ref="M249" ca="1">IF( $C249="", "", _xll.IMDP("IDX",$C249,M$6,$D$4,"Fill=true, Per="&amp;filter!$R$1) )</f>
        <v/>
      </c>
      <c r="N249" s="51" t="str">
        <f t="array" aca="1" ref="N249" ca="1">IF( $C249="", "", _xll.IMDP("IDX",$C249,N$6,$D$4,"Fill=true, Per="&amp;filter!$R$1) )</f>
        <v/>
      </c>
      <c r="O249" s="52" t="str">
        <f t="array" aca="1" ref="O249" ca="1">IF( $C249="", "", _xll.IMDP("IDX",$C249,O$6,$D$4,"Fill=true, Per="&amp;filter!$R$1) )</f>
        <v/>
      </c>
    </row>
    <row r="250" spans="2:15">
      <c r="B250" s="21">
        <f t="shared" si="3"/>
        <v>242</v>
      </c>
      <c r="C250" s="17" t="str">
        <f>IFERROR( VLOOKUP(ROWS($B$8:B249), filter!$I:$J, 2, 0), "")</f>
        <v>F2X26P</v>
      </c>
      <c r="D250" s="16" t="str" cm="1">
        <f t="array" ref="D250">IF( $C250="", "", _xll.IMDP("IDX", $C250, D$6) )</f>
        <v>코스피 200 헬스케어 선물 인버?</v>
      </c>
      <c r="E250" s="34">
        <f t="array" aca="1" ref="E250" ca="1">IF( $C250="", "", _xll.IMDP("IDX",$C250,E$6,$D$4,"Fill=true, Per="&amp;filter!$R$1) )</f>
        <v>566.65</v>
      </c>
      <c r="F250" s="38">
        <f t="array" aca="1" ref="F250" ca="1">IF( $C250="", "", _xll.IMDP("IDX",$C250,F$6,$D$4,"Fill=true, Per="&amp;filter!$R$1) )</f>
        <v>9.7200000000000273</v>
      </c>
      <c r="G250" s="39">
        <f t="array" aca="1" ref="G250" ca="1">IF( $C250="", "", _xll.IMDP("IDX",$C250,G$6,$D$4,"Fill=true, Per="&amp;filter!$R$1) )</f>
        <v>1.75</v>
      </c>
      <c r="H250" s="43">
        <f t="array" aca="1" ref="H250" ca="1">IF( $C250="", "", _xll.IMDP("IDX",$C250,H$6,$D$4,"Fill=true, Per="&amp;filter!$R$1) )</f>
        <v>0</v>
      </c>
      <c r="I250" s="43">
        <f t="array" aca="1" ref="I250" ca="1">IF( $C250="", "", _xll.IMDP("IDX",$C250,I$6,$D$4,"Fill=true, Per="&amp;filter!$R$1) )</f>
        <v>0</v>
      </c>
      <c r="J250" s="34">
        <f t="array" aca="1" ref="J250" ca="1">IF( $C250="", "", _xll.IMDP("IDX",$C250,J$6,$D$4,"Fill=true, Per="&amp;filter!$R$1) )</f>
        <v>557.05999999999995</v>
      </c>
      <c r="K250" s="38">
        <f t="array" aca="1" ref="K250" ca="1">IF( $C250="", "", _xll.IMDP("IDX",$C250,K$6,$D$4,"Fill=true, Per="&amp;filter!$R$1) )</f>
        <v>575.41999999999996</v>
      </c>
      <c r="L250" s="39">
        <f t="array" aca="1" ref="L250" ca="1">IF( $C250="", "", _xll.IMDP("IDX",$C250,L$6,$D$4,"Fill=true, Per="&amp;filter!$R$1) )</f>
        <v>0</v>
      </c>
      <c r="M250" s="50" t="str">
        <f t="array" aca="1" ref="M250" ca="1">IF( $C250="", "", _xll.IMDP("IDX",$C250,M$6,$D$4,"Fill=true, Per="&amp;filter!$R$1) )</f>
        <v/>
      </c>
      <c r="N250" s="51" t="str">
        <f t="array" aca="1" ref="N250" ca="1">IF( $C250="", "", _xll.IMDP("IDX",$C250,N$6,$D$4,"Fill=true, Per="&amp;filter!$R$1) )</f>
        <v/>
      </c>
      <c r="O250" s="52" t="str">
        <f t="array" aca="1" ref="O250" ca="1">IF( $C250="", "", _xll.IMDP("IDX",$C250,O$6,$D$4,"Fill=true, Per="&amp;filter!$R$1) )</f>
        <v/>
      </c>
    </row>
    <row r="251" spans="2:15">
      <c r="B251" s="21">
        <f t="shared" si="3"/>
        <v>243</v>
      </c>
      <c r="C251" s="17" t="str">
        <f>IFERROR( VLOOKUP(ROWS($B$8:B250), filter!$I:$J, 2, 0), "")</f>
        <v>F2X27P</v>
      </c>
      <c r="D251" s="16" t="str" cm="1">
        <f t="array" ref="D251">IF( $C251="", "", _xll.IMDP("IDX", $C251, D$6) )</f>
        <v>코스피 200 생활소비재 선물 인?</v>
      </c>
      <c r="E251" s="34">
        <f t="array" aca="1" ref="E251" ca="1">IF( $C251="", "", _xll.IMDP("IDX",$C251,E$6,$D$4,"Fill=true, Per="&amp;filter!$R$1) )</f>
        <v>1354.29</v>
      </c>
      <c r="F251" s="38">
        <f t="array" aca="1" ref="F251" ca="1">IF( $C251="", "", _xll.IMDP("IDX",$C251,F$6,$D$4,"Fill=true, Per="&amp;filter!$R$1) )</f>
        <v>-10.100000000000136</v>
      </c>
      <c r="G251" s="39">
        <f t="array" aca="1" ref="G251" ca="1">IF( $C251="", "", _xll.IMDP("IDX",$C251,G$6,$D$4,"Fill=true, Per="&amp;filter!$R$1) )</f>
        <v>-0.74</v>
      </c>
      <c r="H251" s="43">
        <f t="array" aca="1" ref="H251" ca="1">IF( $C251="", "", _xll.IMDP("IDX",$C251,H$6,$D$4,"Fill=true, Per="&amp;filter!$R$1) )</f>
        <v>0</v>
      </c>
      <c r="I251" s="43">
        <f t="array" aca="1" ref="I251" ca="1">IF( $C251="", "", _xll.IMDP("IDX",$C251,I$6,$D$4,"Fill=true, Per="&amp;filter!$R$1) )</f>
        <v>0</v>
      </c>
      <c r="J251" s="34">
        <f t="array" aca="1" ref="J251" ca="1">IF( $C251="", "", _xll.IMDP("IDX",$C251,J$6,$D$4,"Fill=true, Per="&amp;filter!$R$1) )</f>
        <v>1364.74</v>
      </c>
      <c r="K251" s="38">
        <f t="array" aca="1" ref="K251" ca="1">IF( $C251="", "", _xll.IMDP("IDX",$C251,K$6,$D$4,"Fill=true, Per="&amp;filter!$R$1) )</f>
        <v>1383.71</v>
      </c>
      <c r="L251" s="39">
        <f t="array" aca="1" ref="L251" ca="1">IF( $C251="", "", _xll.IMDP("IDX",$C251,L$6,$D$4,"Fill=true, Per="&amp;filter!$R$1) )</f>
        <v>0</v>
      </c>
      <c r="M251" s="50" t="str">
        <f t="array" aca="1" ref="M251" ca="1">IF( $C251="", "", _xll.IMDP("IDX",$C251,M$6,$D$4,"Fill=true, Per="&amp;filter!$R$1) )</f>
        <v/>
      </c>
      <c r="N251" s="51" t="str">
        <f t="array" aca="1" ref="N251" ca="1">IF( $C251="", "", _xll.IMDP("IDX",$C251,N$6,$D$4,"Fill=true, Per="&amp;filter!$R$1) )</f>
        <v/>
      </c>
      <c r="O251" s="52" t="str">
        <f t="array" aca="1" ref="O251" ca="1">IF( $C251="", "", _xll.IMDP("IDX",$C251,O$6,$D$4,"Fill=true, Per="&amp;filter!$R$1) )</f>
        <v/>
      </c>
    </row>
    <row r="252" spans="2:15">
      <c r="B252" s="21">
        <f t="shared" si="3"/>
        <v>244</v>
      </c>
      <c r="C252" s="17" t="str">
        <f>IFERROR( VLOOKUP(ROWS($B$8:B251), filter!$I:$J, 2, 0), "")</f>
        <v>F2X28P</v>
      </c>
      <c r="D252" s="16" t="str" cm="1">
        <f t="array" ref="D252">IF( $C252="", "", _xll.IMDP("IDX", $C252, D$6) )</f>
        <v>코스피 200 철강/소재 선물 인버</v>
      </c>
      <c r="E252" s="34">
        <f t="array" aca="1" ref="E252" ca="1">IF( $C252="", "", _xll.IMDP("IDX",$C252,E$6,$D$4,"Fill=true, Per="&amp;filter!$R$1) )</f>
        <v>842.87</v>
      </c>
      <c r="F252" s="38">
        <f t="array" aca="1" ref="F252" ca="1">IF( $C252="", "", _xll.IMDP("IDX",$C252,F$6,$D$4,"Fill=true, Per="&amp;filter!$R$1) )</f>
        <v>-33.279999999999973</v>
      </c>
      <c r="G252" s="39">
        <f t="array" aca="1" ref="G252" ca="1">IF( $C252="", "", _xll.IMDP("IDX",$C252,G$6,$D$4,"Fill=true, Per="&amp;filter!$R$1) )</f>
        <v>-3.8</v>
      </c>
      <c r="H252" s="43">
        <f t="array" aca="1" ref="H252" ca="1">IF( $C252="", "", _xll.IMDP("IDX",$C252,H$6,$D$4,"Fill=true, Per="&amp;filter!$R$1) )</f>
        <v>0</v>
      </c>
      <c r="I252" s="43">
        <f t="array" aca="1" ref="I252" ca="1">IF( $C252="", "", _xll.IMDP("IDX",$C252,I$6,$D$4,"Fill=true, Per="&amp;filter!$R$1) )</f>
        <v>0</v>
      </c>
      <c r="J252" s="34">
        <f t="array" aca="1" ref="J252" ca="1">IF( $C252="", "", _xll.IMDP("IDX",$C252,J$6,$D$4,"Fill=true, Per="&amp;filter!$R$1) )</f>
        <v>876.36</v>
      </c>
      <c r="K252" s="38">
        <f t="array" aca="1" ref="K252" ca="1">IF( $C252="", "", _xll.IMDP("IDX",$C252,K$6,$D$4,"Fill=true, Per="&amp;filter!$R$1) )</f>
        <v>876.36</v>
      </c>
      <c r="L252" s="39">
        <f t="array" aca="1" ref="L252" ca="1">IF( $C252="", "", _xll.IMDP("IDX",$C252,L$6,$D$4,"Fill=true, Per="&amp;filter!$R$1) )</f>
        <v>0</v>
      </c>
      <c r="M252" s="50" t="str">
        <f t="array" aca="1" ref="M252" ca="1">IF( $C252="", "", _xll.IMDP("IDX",$C252,M$6,$D$4,"Fill=true, Per="&amp;filter!$R$1) )</f>
        <v/>
      </c>
      <c r="N252" s="51" t="str">
        <f t="array" aca="1" ref="N252" ca="1">IF( $C252="", "", _xll.IMDP("IDX",$C252,N$6,$D$4,"Fill=true, Per="&amp;filter!$R$1) )</f>
        <v/>
      </c>
      <c r="O252" s="52" t="str">
        <f t="array" aca="1" ref="O252" ca="1">IF( $C252="", "", _xll.IMDP("IDX",$C252,O$6,$D$4,"Fill=true, Per="&amp;filter!$R$1) )</f>
        <v/>
      </c>
    </row>
    <row r="253" spans="2:15">
      <c r="B253" s="21">
        <f t="shared" si="3"/>
        <v>245</v>
      </c>
      <c r="C253" s="17" t="str">
        <f>IFERROR( VLOOKUP(ROWS($B$8:B252), filter!$I:$J, 2, 0), "")</f>
        <v>F2X29P</v>
      </c>
      <c r="D253" s="16" t="str" cm="1">
        <f t="array" ref="D253">IF( $C253="", "", _xll.IMDP("IDX", $C253, D$6) )</f>
        <v>코스피 200 산업재 선물 선물 인</v>
      </c>
      <c r="E253" s="34">
        <f t="array" aca="1" ref="E253" ca="1">IF( $C253="", "", _xll.IMDP("IDX",$C253,E$6,$D$4,"Fill=true, Per="&amp;filter!$R$1) )</f>
        <v>776.89</v>
      </c>
      <c r="F253" s="38">
        <f t="array" aca="1" ref="F253" ca="1">IF( $C253="", "", _xll.IMDP("IDX",$C253,F$6,$D$4,"Fill=true, Per="&amp;filter!$R$1) )</f>
        <v>-12.169999999999959</v>
      </c>
      <c r="G253" s="39">
        <f t="array" aca="1" ref="G253" ca="1">IF( $C253="", "", _xll.IMDP("IDX",$C253,G$6,$D$4,"Fill=true, Per="&amp;filter!$R$1) )</f>
        <v>-1.54</v>
      </c>
      <c r="H253" s="43">
        <f t="array" aca="1" ref="H253" ca="1">IF( $C253="", "", _xll.IMDP("IDX",$C253,H$6,$D$4,"Fill=true, Per="&amp;filter!$R$1) )</f>
        <v>0</v>
      </c>
      <c r="I253" s="43">
        <f t="array" aca="1" ref="I253" ca="1">IF( $C253="", "", _xll.IMDP("IDX",$C253,I$6,$D$4,"Fill=true, Per="&amp;filter!$R$1) )</f>
        <v>0</v>
      </c>
      <c r="J253" s="34">
        <f t="array" aca="1" ref="J253" ca="1">IF( $C253="", "", _xll.IMDP("IDX",$C253,J$6,$D$4,"Fill=true, Per="&amp;filter!$R$1) )</f>
        <v>789.26</v>
      </c>
      <c r="K253" s="38">
        <f t="array" aca="1" ref="K253" ca="1">IF( $C253="", "", _xll.IMDP("IDX",$C253,K$6,$D$4,"Fill=true, Per="&amp;filter!$R$1) )</f>
        <v>789.26</v>
      </c>
      <c r="L253" s="39">
        <f t="array" aca="1" ref="L253" ca="1">IF( $C253="", "", _xll.IMDP("IDX",$C253,L$6,$D$4,"Fill=true, Per="&amp;filter!$R$1) )</f>
        <v>0</v>
      </c>
      <c r="M253" s="50" t="str">
        <f t="array" aca="1" ref="M253" ca="1">IF( $C253="", "", _xll.IMDP("IDX",$C253,M$6,$D$4,"Fill=true, Per="&amp;filter!$R$1) )</f>
        <v/>
      </c>
      <c r="N253" s="51" t="str">
        <f t="array" aca="1" ref="N253" ca="1">IF( $C253="", "", _xll.IMDP("IDX",$C253,N$6,$D$4,"Fill=true, Per="&amp;filter!$R$1) )</f>
        <v/>
      </c>
      <c r="O253" s="52" t="str">
        <f t="array" aca="1" ref="O253" ca="1">IF( $C253="", "", _xll.IMDP("IDX",$C253,O$6,$D$4,"Fill=true, Per="&amp;filter!$R$1) )</f>
        <v/>
      </c>
    </row>
    <row r="254" spans="2:15">
      <c r="B254" s="21">
        <f t="shared" si="3"/>
        <v>246</v>
      </c>
      <c r="C254" s="17" t="str">
        <f>IFERROR( VLOOKUP(ROWS($B$8:B253), filter!$I:$J, 2, 0), "")</f>
        <v>F2X30P</v>
      </c>
      <c r="D254" s="16" t="str" cm="1">
        <f t="array" ref="D254">IF( $C254="", "", _xll.IMDP("IDX", $C254, D$6) )</f>
        <v>코스피 200 에너지/화학 선물 인</v>
      </c>
      <c r="E254" s="34">
        <f t="array" aca="1" ref="E254" ca="1">IF( $C254="", "", _xll.IMDP("IDX",$C254,E$6,$D$4,"Fill=true, Per="&amp;filter!$R$1) )</f>
        <v>309.69</v>
      </c>
      <c r="F254" s="38">
        <f t="array" aca="1" ref="F254" ca="1">IF( $C254="", "", _xll.IMDP("IDX",$C254,F$6,$D$4,"Fill=true, Per="&amp;filter!$R$1) )</f>
        <v>-6.8199999999999932</v>
      </c>
      <c r="G254" s="39">
        <f t="array" aca="1" ref="G254" ca="1">IF( $C254="", "", _xll.IMDP("IDX",$C254,G$6,$D$4,"Fill=true, Per="&amp;filter!$R$1) )</f>
        <v>-2.15</v>
      </c>
      <c r="H254" s="43">
        <f t="array" aca="1" ref="H254" ca="1">IF( $C254="", "", _xll.IMDP("IDX",$C254,H$6,$D$4,"Fill=true, Per="&amp;filter!$R$1) )</f>
        <v>0</v>
      </c>
      <c r="I254" s="43">
        <f t="array" aca="1" ref="I254" ca="1">IF( $C254="", "", _xll.IMDP("IDX",$C254,I$6,$D$4,"Fill=true, Per="&amp;filter!$R$1) )</f>
        <v>0</v>
      </c>
      <c r="J254" s="34">
        <f t="array" aca="1" ref="J254" ca="1">IF( $C254="", "", _xll.IMDP("IDX",$C254,J$6,$D$4,"Fill=true, Per="&amp;filter!$R$1) )</f>
        <v>316.57</v>
      </c>
      <c r="K254" s="38">
        <f t="array" aca="1" ref="K254" ca="1">IF( $C254="", "", _xll.IMDP("IDX",$C254,K$6,$D$4,"Fill=true, Per="&amp;filter!$R$1) )</f>
        <v>316.92</v>
      </c>
      <c r="L254" s="39">
        <f t="array" aca="1" ref="L254" ca="1">IF( $C254="", "", _xll.IMDP("IDX",$C254,L$6,$D$4,"Fill=true, Per="&amp;filter!$R$1) )</f>
        <v>0</v>
      </c>
      <c r="M254" s="50" t="str">
        <f t="array" aca="1" ref="M254" ca="1">IF( $C254="", "", _xll.IMDP("IDX",$C254,M$6,$D$4,"Fill=true, Per="&amp;filter!$R$1) )</f>
        <v/>
      </c>
      <c r="N254" s="51" t="str">
        <f t="array" aca="1" ref="N254" ca="1">IF( $C254="", "", _xll.IMDP("IDX",$C254,N$6,$D$4,"Fill=true, Per="&amp;filter!$R$1) )</f>
        <v/>
      </c>
      <c r="O254" s="52" t="str">
        <f t="array" aca="1" ref="O254" ca="1">IF( $C254="", "", _xll.IMDP("IDX",$C254,O$6,$D$4,"Fill=true, Per="&amp;filter!$R$1) )</f>
        <v/>
      </c>
    </row>
    <row r="255" spans="2:15">
      <c r="B255" s="21">
        <f t="shared" si="3"/>
        <v>247</v>
      </c>
      <c r="C255" s="17" t="str">
        <f>IFERROR( VLOOKUP(ROWS($B$8:B254), filter!$I:$J, 2, 0), "")</f>
        <v>F2X31P</v>
      </c>
      <c r="D255" s="16" t="str" cm="1">
        <f t="array" ref="D255">IF( $C255="", "", _xll.IMDP("IDX", $C255, D$6) )</f>
        <v>코스피 200 정보기술 선물 인버?</v>
      </c>
      <c r="E255" s="34">
        <f t="array" aca="1" ref="E255" ca="1">IF( $C255="", "", _xll.IMDP("IDX",$C255,E$6,$D$4,"Fill=true, Per="&amp;filter!$R$1) )</f>
        <v>81.010000000000005</v>
      </c>
      <c r="F255" s="38">
        <f t="array" aca="1" ref="F255" ca="1">IF( $C255="", "", _xll.IMDP("IDX",$C255,F$6,$D$4,"Fill=true, Per="&amp;filter!$R$1) )</f>
        <v>-0.20999999999999375</v>
      </c>
      <c r="G255" s="39">
        <f t="array" aca="1" ref="G255" ca="1">IF( $C255="", "", _xll.IMDP("IDX",$C255,G$6,$D$4,"Fill=true, Per="&amp;filter!$R$1) )</f>
        <v>-0.26</v>
      </c>
      <c r="H255" s="43">
        <f t="array" aca="1" ref="H255" ca="1">IF( $C255="", "", _xll.IMDP("IDX",$C255,H$6,$D$4,"Fill=true, Per="&amp;filter!$R$1) )</f>
        <v>0</v>
      </c>
      <c r="I255" s="43">
        <f t="array" aca="1" ref="I255" ca="1">IF( $C255="", "", _xll.IMDP("IDX",$C255,I$6,$D$4,"Fill=true, Per="&amp;filter!$R$1) )</f>
        <v>0</v>
      </c>
      <c r="J255" s="34">
        <f t="array" aca="1" ref="J255" ca="1">IF( $C255="", "", _xll.IMDP("IDX",$C255,J$6,$D$4,"Fill=true, Per="&amp;filter!$R$1) )</f>
        <v>81.23</v>
      </c>
      <c r="K255" s="38">
        <f t="array" aca="1" ref="K255" ca="1">IF( $C255="", "", _xll.IMDP("IDX",$C255,K$6,$D$4,"Fill=true, Per="&amp;filter!$R$1) )</f>
        <v>81.23</v>
      </c>
      <c r="L255" s="39">
        <f t="array" aca="1" ref="L255" ca="1">IF( $C255="", "", _xll.IMDP("IDX",$C255,L$6,$D$4,"Fill=true, Per="&amp;filter!$R$1) )</f>
        <v>0</v>
      </c>
      <c r="M255" s="50" t="str">
        <f t="array" aca="1" ref="M255" ca="1">IF( $C255="", "", _xll.IMDP("IDX",$C255,M$6,$D$4,"Fill=true, Per="&amp;filter!$R$1) )</f>
        <v/>
      </c>
      <c r="N255" s="51" t="str">
        <f t="array" aca="1" ref="N255" ca="1">IF( $C255="", "", _xll.IMDP("IDX",$C255,N$6,$D$4,"Fill=true, Per="&amp;filter!$R$1) )</f>
        <v/>
      </c>
      <c r="O255" s="52" t="str">
        <f t="array" aca="1" ref="O255" ca="1">IF( $C255="", "", _xll.IMDP("IDX",$C255,O$6,$D$4,"Fill=true, Per="&amp;filter!$R$1) )</f>
        <v/>
      </c>
    </row>
    <row r="256" spans="2:15">
      <c r="B256" s="21">
        <f t="shared" si="3"/>
        <v>248</v>
      </c>
      <c r="C256" s="17" t="str">
        <f>IFERROR( VLOOKUP(ROWS($B$8:B255), filter!$I:$J, 2, 0), "")</f>
        <v>F2X32P</v>
      </c>
      <c r="D256" s="16" t="str" cm="1">
        <f t="array" ref="D256">IF( $C256="", "", _xll.IMDP("IDX", $C256, D$6) )</f>
        <v>코스피 200 금융 선물 인버스-2X</v>
      </c>
      <c r="E256" s="34">
        <f t="array" aca="1" ref="E256" ca="1">IF( $C256="", "", _xll.IMDP("IDX",$C256,E$6,$D$4,"Fill=true, Per="&amp;filter!$R$1) )</f>
        <v>151.51</v>
      </c>
      <c r="F256" s="38">
        <f t="array" aca="1" ref="F256" ca="1">IF( $C256="", "", _xll.IMDP("IDX",$C256,F$6,$D$4,"Fill=true, Per="&amp;filter!$R$1) )</f>
        <v>-5.8900000000000148</v>
      </c>
      <c r="G256" s="39">
        <f t="array" aca="1" ref="G256" ca="1">IF( $C256="", "", _xll.IMDP("IDX",$C256,G$6,$D$4,"Fill=true, Per="&amp;filter!$R$1) )</f>
        <v>-3.74</v>
      </c>
      <c r="H256" s="43">
        <f t="array" aca="1" ref="H256" ca="1">IF( $C256="", "", _xll.IMDP("IDX",$C256,H$6,$D$4,"Fill=true, Per="&amp;filter!$R$1) )</f>
        <v>0</v>
      </c>
      <c r="I256" s="43">
        <f t="array" aca="1" ref="I256" ca="1">IF( $C256="", "", _xll.IMDP("IDX",$C256,I$6,$D$4,"Fill=true, Per="&amp;filter!$R$1) )</f>
        <v>0</v>
      </c>
      <c r="J256" s="34">
        <f t="array" aca="1" ref="J256" ca="1">IF( $C256="", "", _xll.IMDP("IDX",$C256,J$6,$D$4,"Fill=true, Per="&amp;filter!$R$1) )</f>
        <v>157.43</v>
      </c>
      <c r="K256" s="38">
        <f t="array" aca="1" ref="K256" ca="1">IF( $C256="", "", _xll.IMDP("IDX",$C256,K$6,$D$4,"Fill=true, Per="&amp;filter!$R$1) )</f>
        <v>161</v>
      </c>
      <c r="L256" s="39">
        <f t="array" aca="1" ref="L256" ca="1">IF( $C256="", "", _xll.IMDP("IDX",$C256,L$6,$D$4,"Fill=true, Per="&amp;filter!$R$1) )</f>
        <v>0</v>
      </c>
      <c r="M256" s="50" t="str">
        <f t="array" aca="1" ref="M256" ca="1">IF( $C256="", "", _xll.IMDP("IDX",$C256,M$6,$D$4,"Fill=true, Per="&amp;filter!$R$1) )</f>
        <v/>
      </c>
      <c r="N256" s="51" t="str">
        <f t="array" aca="1" ref="N256" ca="1">IF( $C256="", "", _xll.IMDP("IDX",$C256,N$6,$D$4,"Fill=true, Per="&amp;filter!$R$1) )</f>
        <v/>
      </c>
      <c r="O256" s="52" t="str">
        <f t="array" aca="1" ref="O256" ca="1">IF( $C256="", "", _xll.IMDP("IDX",$C256,O$6,$D$4,"Fill=true, Per="&amp;filter!$R$1) )</f>
        <v/>
      </c>
    </row>
    <row r="257" spans="2:15">
      <c r="B257" s="21">
        <f t="shared" si="3"/>
        <v>249</v>
      </c>
      <c r="C257" s="17" t="str">
        <f>IFERROR( VLOOKUP(ROWS($B$8:B256), filter!$I:$J, 2, 0), "")</f>
        <v>F2X33P</v>
      </c>
      <c r="D257" s="16" t="str" cm="1">
        <f t="array" ref="D257">IF( $C257="", "", _xll.IMDP("IDX", $C257, D$6) )</f>
        <v>코스피 200 경기소비재 선물 인?</v>
      </c>
      <c r="E257" s="34">
        <f t="array" aca="1" ref="E257" ca="1">IF( $C257="", "", _xll.IMDP("IDX",$C257,E$6,$D$4,"Fill=true, Per="&amp;filter!$R$1) )</f>
        <v>342.36</v>
      </c>
      <c r="F257" s="38">
        <f t="array" aca="1" ref="F257" ca="1">IF( $C257="", "", _xll.IMDP("IDX",$C257,F$6,$D$4,"Fill=true, Per="&amp;filter!$R$1) )</f>
        <v>25.460000000000036</v>
      </c>
      <c r="G257" s="39">
        <f t="array" aca="1" ref="G257" ca="1">IF( $C257="", "", _xll.IMDP("IDX",$C257,G$6,$D$4,"Fill=true, Per="&amp;filter!$R$1) )</f>
        <v>8.0299999999999994</v>
      </c>
      <c r="H257" s="43">
        <f t="array" aca="1" ref="H257" ca="1">IF( $C257="", "", _xll.IMDP("IDX",$C257,H$6,$D$4,"Fill=true, Per="&amp;filter!$R$1) )</f>
        <v>0</v>
      </c>
      <c r="I257" s="43">
        <f t="array" aca="1" ref="I257" ca="1">IF( $C257="", "", _xll.IMDP("IDX",$C257,I$6,$D$4,"Fill=true, Per="&amp;filter!$R$1) )</f>
        <v>0</v>
      </c>
      <c r="J257" s="34">
        <f t="array" aca="1" ref="J257" ca="1">IF( $C257="", "", _xll.IMDP("IDX",$C257,J$6,$D$4,"Fill=true, Per="&amp;filter!$R$1) )</f>
        <v>316.97000000000003</v>
      </c>
      <c r="K257" s="38">
        <f t="array" aca="1" ref="K257" ca="1">IF( $C257="", "", _xll.IMDP("IDX",$C257,K$6,$D$4,"Fill=true, Per="&amp;filter!$R$1) )</f>
        <v>344.1</v>
      </c>
      <c r="L257" s="39">
        <f t="array" aca="1" ref="L257" ca="1">IF( $C257="", "", _xll.IMDP("IDX",$C257,L$6,$D$4,"Fill=true, Per="&amp;filter!$R$1) )</f>
        <v>0</v>
      </c>
      <c r="M257" s="50" t="str">
        <f t="array" aca="1" ref="M257" ca="1">IF( $C257="", "", _xll.IMDP("IDX",$C257,M$6,$D$4,"Fill=true, Per="&amp;filter!$R$1) )</f>
        <v/>
      </c>
      <c r="N257" s="51" t="str">
        <f t="array" aca="1" ref="N257" ca="1">IF( $C257="", "", _xll.IMDP("IDX",$C257,N$6,$D$4,"Fill=true, Per="&amp;filter!$R$1) )</f>
        <v/>
      </c>
      <c r="O257" s="52" t="str">
        <f t="array" aca="1" ref="O257" ca="1">IF( $C257="", "", _xll.IMDP("IDX",$C257,O$6,$D$4,"Fill=true, Per="&amp;filter!$R$1) )</f>
        <v/>
      </c>
    </row>
    <row r="258" spans="2:15">
      <c r="B258" s="21">
        <f t="shared" si="3"/>
        <v>250</v>
      </c>
      <c r="C258" s="17" t="str">
        <f>IFERROR( VLOOKUP(ROWS($B$8:B257), filter!$I:$J, 2, 0), "")</f>
        <v>F2X34P</v>
      </c>
      <c r="D258" s="16" t="str" cm="1">
        <f t="array" ref="D258">IF( $C258="", "", _xll.IMDP("IDX", $C258, D$6) )</f>
        <v>코스피 200 건설 선물 인버스-2X</v>
      </c>
      <c r="E258" s="34">
        <f t="array" aca="1" ref="E258" ca="1">IF( $C258="", "", _xll.IMDP("IDX",$C258,E$6,$D$4,"Fill=true, Per="&amp;filter!$R$1) )</f>
        <v>146.74</v>
      </c>
      <c r="F258" s="38">
        <f t="array" aca="1" ref="F258" ca="1">IF( $C258="", "", _xll.IMDP("IDX",$C258,F$6,$D$4,"Fill=true, Per="&amp;filter!$R$1) )</f>
        <v>-2.8499999999999943</v>
      </c>
      <c r="G258" s="39">
        <f t="array" aca="1" ref="G258" ca="1">IF( $C258="", "", _xll.IMDP("IDX",$C258,G$6,$D$4,"Fill=true, Per="&amp;filter!$R$1) )</f>
        <v>-1.91</v>
      </c>
      <c r="H258" s="43">
        <f t="array" aca="1" ref="H258" ca="1">IF( $C258="", "", _xll.IMDP("IDX",$C258,H$6,$D$4,"Fill=true, Per="&amp;filter!$R$1) )</f>
        <v>0</v>
      </c>
      <c r="I258" s="43">
        <f t="array" aca="1" ref="I258" ca="1">IF( $C258="", "", _xll.IMDP("IDX",$C258,I$6,$D$4,"Fill=true, Per="&amp;filter!$R$1) )</f>
        <v>0</v>
      </c>
      <c r="J258" s="34">
        <f t="array" aca="1" ref="J258" ca="1">IF( $C258="", "", _xll.IMDP("IDX",$C258,J$6,$D$4,"Fill=true, Per="&amp;filter!$R$1) )</f>
        <v>149.62</v>
      </c>
      <c r="K258" s="38">
        <f t="array" aca="1" ref="K258" ca="1">IF( $C258="", "", _xll.IMDP("IDX",$C258,K$6,$D$4,"Fill=true, Per="&amp;filter!$R$1) )</f>
        <v>152.78</v>
      </c>
      <c r="L258" s="39">
        <f t="array" aca="1" ref="L258" ca="1">IF( $C258="", "", _xll.IMDP("IDX",$C258,L$6,$D$4,"Fill=true, Per="&amp;filter!$R$1) )</f>
        <v>0</v>
      </c>
      <c r="M258" s="50" t="str">
        <f t="array" aca="1" ref="M258" ca="1">IF( $C258="", "", _xll.IMDP("IDX",$C258,M$6,$D$4,"Fill=true, Per="&amp;filter!$R$1) )</f>
        <v/>
      </c>
      <c r="N258" s="51" t="str">
        <f t="array" aca="1" ref="N258" ca="1">IF( $C258="", "", _xll.IMDP("IDX",$C258,N$6,$D$4,"Fill=true, Per="&amp;filter!$R$1) )</f>
        <v/>
      </c>
      <c r="O258" s="52" t="str">
        <f t="array" aca="1" ref="O258" ca="1">IF( $C258="", "", _xll.IMDP("IDX",$C258,O$6,$D$4,"Fill=true, Per="&amp;filter!$R$1) )</f>
        <v/>
      </c>
    </row>
    <row r="259" spans="2:15">
      <c r="B259" s="21">
        <f t="shared" si="3"/>
        <v>251</v>
      </c>
      <c r="C259" s="17" t="str">
        <f>IFERROR( VLOOKUP(ROWS($B$8:B258), filter!$I:$J, 2, 0), "")</f>
        <v>F2X35P</v>
      </c>
      <c r="D259" s="16" t="str" cm="1">
        <f t="array" ref="D259">IF( $C259="", "", _xll.IMDP("IDX", $C259, D$6) )</f>
        <v>코스피 200 중공업 선물 인버스-</v>
      </c>
      <c r="E259" s="34">
        <f t="array" aca="1" ref="E259" ca="1">IF( $C259="", "", _xll.IMDP("IDX",$C259,E$6,$D$4,"Fill=true, Per="&amp;filter!$R$1) )</f>
        <v>78.92</v>
      </c>
      <c r="F259" s="38">
        <f t="array" aca="1" ref="F259" ca="1">IF( $C259="", "", _xll.IMDP("IDX",$C259,F$6,$D$4,"Fill=true, Per="&amp;filter!$R$1) )</f>
        <v>3.8400000000000034</v>
      </c>
      <c r="G259" s="39">
        <f t="array" aca="1" ref="G259" ca="1">IF( $C259="", "", _xll.IMDP("IDX",$C259,G$6,$D$4,"Fill=true, Per="&amp;filter!$R$1) )</f>
        <v>5.1100000000000003</v>
      </c>
      <c r="H259" s="43">
        <f t="array" aca="1" ref="H259" ca="1">IF( $C259="", "", _xll.IMDP("IDX",$C259,H$6,$D$4,"Fill=true, Per="&amp;filter!$R$1) )</f>
        <v>0</v>
      </c>
      <c r="I259" s="43">
        <f t="array" aca="1" ref="I259" ca="1">IF( $C259="", "", _xll.IMDP("IDX",$C259,I$6,$D$4,"Fill=true, Per="&amp;filter!$R$1) )</f>
        <v>0</v>
      </c>
      <c r="J259" s="34">
        <f t="array" aca="1" ref="J259" ca="1">IF( $C259="", "", _xll.IMDP("IDX",$C259,J$6,$D$4,"Fill=true, Per="&amp;filter!$R$1) )</f>
        <v>75.09</v>
      </c>
      <c r="K259" s="38">
        <f t="array" aca="1" ref="K259" ca="1">IF( $C259="", "", _xll.IMDP("IDX",$C259,K$6,$D$4,"Fill=true, Per="&amp;filter!$R$1) )</f>
        <v>79.88</v>
      </c>
      <c r="L259" s="39">
        <f t="array" aca="1" ref="L259" ca="1">IF( $C259="", "", _xll.IMDP("IDX",$C259,L$6,$D$4,"Fill=true, Per="&amp;filter!$R$1) )</f>
        <v>0</v>
      </c>
      <c r="M259" s="50" t="str">
        <f t="array" aca="1" ref="M259" ca="1">IF( $C259="", "", _xll.IMDP("IDX",$C259,M$6,$D$4,"Fill=true, Per="&amp;filter!$R$1) )</f>
        <v/>
      </c>
      <c r="N259" s="51" t="str">
        <f t="array" aca="1" ref="N259" ca="1">IF( $C259="", "", _xll.IMDP("IDX",$C259,N$6,$D$4,"Fill=true, Per="&amp;filter!$R$1) )</f>
        <v/>
      </c>
      <c r="O259" s="52" t="str">
        <f t="array" aca="1" ref="O259" ca="1">IF( $C259="", "", _xll.IMDP("IDX",$C259,O$6,$D$4,"Fill=true, Per="&amp;filter!$R$1) )</f>
        <v/>
      </c>
    </row>
    <row r="260" spans="2:15">
      <c r="B260" s="21">
        <f t="shared" si="3"/>
        <v>252</v>
      </c>
      <c r="C260" s="17" t="str">
        <f>IFERROR( VLOOKUP(ROWS($B$8:B259), filter!$I:$J, 2, 0), "")</f>
        <v>F2X36P</v>
      </c>
      <c r="D260" s="16" t="str" cm="1">
        <f t="array" ref="D260">IF( $C260="", "", _xll.IMDP("IDX", $C260, D$6) )</f>
        <v>코스피 200 헬스케어 선물 인버?</v>
      </c>
      <c r="E260" s="34">
        <f t="array" aca="1" ref="E260" ca="1">IF( $C260="", "", _xll.IMDP("IDX",$C260,E$6,$D$4,"Fill=true, Per="&amp;filter!$R$1) )</f>
        <v>159.47999999999999</v>
      </c>
      <c r="F260" s="38">
        <f t="array" aca="1" ref="F260" ca="1">IF( $C260="", "", _xll.IMDP("IDX",$C260,F$6,$D$4,"Fill=true, Per="&amp;filter!$R$1) )</f>
        <v>5.2999999999999829</v>
      </c>
      <c r="G260" s="39">
        <f t="array" aca="1" ref="G260" ca="1">IF( $C260="", "", _xll.IMDP("IDX",$C260,G$6,$D$4,"Fill=true, Per="&amp;filter!$R$1) )</f>
        <v>3.44</v>
      </c>
      <c r="H260" s="43">
        <f t="array" aca="1" ref="H260" ca="1">IF( $C260="", "", _xll.IMDP("IDX",$C260,H$6,$D$4,"Fill=true, Per="&amp;filter!$R$1) )</f>
        <v>0</v>
      </c>
      <c r="I260" s="43">
        <f t="array" aca="1" ref="I260" ca="1">IF( $C260="", "", _xll.IMDP("IDX",$C260,I$6,$D$4,"Fill=true, Per="&amp;filter!$R$1) )</f>
        <v>0</v>
      </c>
      <c r="J260" s="34">
        <f t="array" aca="1" ref="J260" ca="1">IF( $C260="", "", _xll.IMDP("IDX",$C260,J$6,$D$4,"Fill=true, Per="&amp;filter!$R$1) )</f>
        <v>154.21</v>
      </c>
      <c r="K260" s="38">
        <f t="array" aca="1" ref="K260" ca="1">IF( $C260="", "", _xll.IMDP("IDX",$C260,K$6,$D$4,"Fill=true, Per="&amp;filter!$R$1) )</f>
        <v>164.37</v>
      </c>
      <c r="L260" s="39">
        <f t="array" aca="1" ref="L260" ca="1">IF( $C260="", "", _xll.IMDP("IDX",$C260,L$6,$D$4,"Fill=true, Per="&amp;filter!$R$1) )</f>
        <v>0</v>
      </c>
      <c r="M260" s="50" t="str">
        <f t="array" aca="1" ref="M260" ca="1">IF( $C260="", "", _xll.IMDP("IDX",$C260,M$6,$D$4,"Fill=true, Per="&amp;filter!$R$1) )</f>
        <v/>
      </c>
      <c r="N260" s="51" t="str">
        <f t="array" aca="1" ref="N260" ca="1">IF( $C260="", "", _xll.IMDP("IDX",$C260,N$6,$D$4,"Fill=true, Per="&amp;filter!$R$1) )</f>
        <v/>
      </c>
      <c r="O260" s="52" t="str">
        <f t="array" aca="1" ref="O260" ca="1">IF( $C260="", "", _xll.IMDP("IDX",$C260,O$6,$D$4,"Fill=true, Per="&amp;filter!$R$1) )</f>
        <v/>
      </c>
    </row>
    <row r="261" spans="2:15">
      <c r="B261" s="21">
        <f t="shared" si="3"/>
        <v>253</v>
      </c>
      <c r="C261" s="17" t="str">
        <f>IFERROR( VLOOKUP(ROWS($B$8:B260), filter!$I:$J, 2, 0), "")</f>
        <v>F2X37P</v>
      </c>
      <c r="D261" s="16" t="str" cm="1">
        <f t="array" ref="D261">IF( $C261="", "", _xll.IMDP("IDX", $C261, D$6) )</f>
        <v>코스피 200 생활소비재 선물 인?</v>
      </c>
      <c r="E261" s="34">
        <f t="array" aca="1" ref="E261" ca="1">IF( $C261="", "", _xll.IMDP("IDX",$C261,E$6,$D$4,"Fill=true, Per="&amp;filter!$R$1) )</f>
        <v>1280.29</v>
      </c>
      <c r="F261" s="38">
        <f t="array" aca="1" ref="F261" ca="1">IF( $C261="", "", _xll.IMDP("IDX",$C261,F$6,$D$4,"Fill=true, Per="&amp;filter!$R$1) )</f>
        <v>-20.029999999999973</v>
      </c>
      <c r="G261" s="39">
        <f t="array" aca="1" ref="G261" ca="1">IF( $C261="", "", _xll.IMDP("IDX",$C261,G$6,$D$4,"Fill=true, Per="&amp;filter!$R$1) )</f>
        <v>-1.54</v>
      </c>
      <c r="H261" s="43">
        <f t="array" aca="1" ref="H261" ca="1">IF( $C261="", "", _xll.IMDP("IDX",$C261,H$6,$D$4,"Fill=true, Per="&amp;filter!$R$1) )</f>
        <v>0</v>
      </c>
      <c r="I261" s="43">
        <f t="array" aca="1" ref="I261" ca="1">IF( $C261="", "", _xll.IMDP("IDX",$C261,I$6,$D$4,"Fill=true, Per="&amp;filter!$R$1) )</f>
        <v>0</v>
      </c>
      <c r="J261" s="34">
        <f t="array" aca="1" ref="J261" ca="1">IF( $C261="", "", _xll.IMDP("IDX",$C261,J$6,$D$4,"Fill=true, Per="&amp;filter!$R$1) )</f>
        <v>1300.6099999999999</v>
      </c>
      <c r="K261" s="38">
        <f t="array" aca="1" ref="K261" ca="1">IF( $C261="", "", _xll.IMDP("IDX",$C261,K$6,$D$4,"Fill=true, Per="&amp;filter!$R$1) )</f>
        <v>1336.78</v>
      </c>
      <c r="L261" s="39">
        <f t="array" aca="1" ref="L261" ca="1">IF( $C261="", "", _xll.IMDP("IDX",$C261,L$6,$D$4,"Fill=true, Per="&amp;filter!$R$1) )</f>
        <v>0</v>
      </c>
      <c r="M261" s="50" t="str">
        <f t="array" aca="1" ref="M261" ca="1">IF( $C261="", "", _xll.IMDP("IDX",$C261,M$6,$D$4,"Fill=true, Per="&amp;filter!$R$1) )</f>
        <v/>
      </c>
      <c r="N261" s="51" t="str">
        <f t="array" aca="1" ref="N261" ca="1">IF( $C261="", "", _xll.IMDP("IDX",$C261,N$6,$D$4,"Fill=true, Per="&amp;filter!$R$1) )</f>
        <v/>
      </c>
      <c r="O261" s="52" t="str">
        <f t="array" aca="1" ref="O261" ca="1">IF( $C261="", "", _xll.IMDP("IDX",$C261,O$6,$D$4,"Fill=true, Per="&amp;filter!$R$1) )</f>
        <v/>
      </c>
    </row>
    <row r="262" spans="2:15">
      <c r="B262" s="21">
        <f t="shared" si="3"/>
        <v>254</v>
      </c>
      <c r="C262" s="17" t="str">
        <f>IFERROR( VLOOKUP(ROWS($B$8:B261), filter!$I:$J, 2, 0), "")</f>
        <v>F2X38P</v>
      </c>
      <c r="D262" s="16" t="str" cm="1">
        <f t="array" ref="D262">IF( $C262="", "", _xll.IMDP("IDX", $C262, D$6) )</f>
        <v>코스피 200 철강/소재 선물 인버</v>
      </c>
      <c r="E262" s="34">
        <f t="array" aca="1" ref="E262" ca="1">IF( $C262="", "", _xll.IMDP("IDX",$C262,E$6,$D$4,"Fill=true, Per="&amp;filter!$R$1) )</f>
        <v>358.22</v>
      </c>
      <c r="F262" s="38">
        <f t="array" aca="1" ref="F262" ca="1">IF( $C262="", "", _xll.IMDP("IDX",$C262,F$6,$D$4,"Fill=true, Per="&amp;filter!$R$1) )</f>
        <v>-29.409999999999968</v>
      </c>
      <c r="G262" s="39">
        <f t="array" aca="1" ref="G262" ca="1">IF( $C262="", "", _xll.IMDP("IDX",$C262,G$6,$D$4,"Fill=true, Per="&amp;filter!$R$1) )</f>
        <v>-7.59</v>
      </c>
      <c r="H262" s="43">
        <f t="array" aca="1" ref="H262" ca="1">IF( $C262="", "", _xll.IMDP("IDX",$C262,H$6,$D$4,"Fill=true, Per="&amp;filter!$R$1) )</f>
        <v>0</v>
      </c>
      <c r="I262" s="43">
        <f t="array" aca="1" ref="I262" ca="1">IF( $C262="", "", _xll.IMDP("IDX",$C262,I$6,$D$4,"Fill=true, Per="&amp;filter!$R$1) )</f>
        <v>0</v>
      </c>
      <c r="J262" s="34">
        <f t="array" aca="1" ref="J262" ca="1">IF( $C262="", "", _xll.IMDP("IDX",$C262,J$6,$D$4,"Fill=true, Per="&amp;filter!$R$1) )</f>
        <v>387.71</v>
      </c>
      <c r="K262" s="38">
        <f t="array" aca="1" ref="K262" ca="1">IF( $C262="", "", _xll.IMDP("IDX",$C262,K$6,$D$4,"Fill=true, Per="&amp;filter!$R$1) )</f>
        <v>387.71</v>
      </c>
      <c r="L262" s="39">
        <f t="array" aca="1" ref="L262" ca="1">IF( $C262="", "", _xll.IMDP("IDX",$C262,L$6,$D$4,"Fill=true, Per="&amp;filter!$R$1) )</f>
        <v>0</v>
      </c>
      <c r="M262" s="50" t="str">
        <f t="array" aca="1" ref="M262" ca="1">IF( $C262="", "", _xll.IMDP("IDX",$C262,M$6,$D$4,"Fill=true, Per="&amp;filter!$R$1) )</f>
        <v/>
      </c>
      <c r="N262" s="51" t="str">
        <f t="array" aca="1" ref="N262" ca="1">IF( $C262="", "", _xll.IMDP("IDX",$C262,N$6,$D$4,"Fill=true, Per="&amp;filter!$R$1) )</f>
        <v/>
      </c>
      <c r="O262" s="52" t="str">
        <f t="array" aca="1" ref="O262" ca="1">IF( $C262="", "", _xll.IMDP("IDX",$C262,O$6,$D$4,"Fill=true, Per="&amp;filter!$R$1) )</f>
        <v/>
      </c>
    </row>
    <row r="263" spans="2:15">
      <c r="B263" s="21">
        <f t="shared" si="3"/>
        <v>255</v>
      </c>
      <c r="C263" s="17" t="str">
        <f>IFERROR( VLOOKUP(ROWS($B$8:B262), filter!$I:$J, 2, 0), "")</f>
        <v>F2X39P</v>
      </c>
      <c r="D263" s="16" t="str" cm="1">
        <f t="array" ref="D263">IF( $C263="", "", _xll.IMDP("IDX", $C263, D$6) )</f>
        <v>코스피 200 산업재 선물 인버스-</v>
      </c>
      <c r="E263" s="34">
        <f t="array" aca="1" ref="E263" ca="1">IF( $C263="", "", _xll.IMDP("IDX",$C263,E$6,$D$4,"Fill=true, Per="&amp;filter!$R$1) )</f>
        <v>364.63</v>
      </c>
      <c r="F263" s="38">
        <f t="array" aca="1" ref="F263" ca="1">IF( $C263="", "", _xll.IMDP("IDX",$C263,F$6,$D$4,"Fill=true, Per="&amp;filter!$R$1) )</f>
        <v>-11.759999999999991</v>
      </c>
      <c r="G263" s="39">
        <f t="array" aca="1" ref="G263" ca="1">IF( $C263="", "", _xll.IMDP("IDX",$C263,G$6,$D$4,"Fill=true, Per="&amp;filter!$R$1) )</f>
        <v>-3.12</v>
      </c>
      <c r="H263" s="43">
        <f t="array" aca="1" ref="H263" ca="1">IF( $C263="", "", _xll.IMDP("IDX",$C263,H$6,$D$4,"Fill=true, Per="&amp;filter!$R$1) )</f>
        <v>0</v>
      </c>
      <c r="I263" s="43">
        <f t="array" aca="1" ref="I263" ca="1">IF( $C263="", "", _xll.IMDP("IDX",$C263,I$6,$D$4,"Fill=true, Per="&amp;filter!$R$1) )</f>
        <v>0</v>
      </c>
      <c r="J263" s="34">
        <f t="array" aca="1" ref="J263" ca="1">IF( $C263="", "", _xll.IMDP("IDX",$C263,J$6,$D$4,"Fill=true, Per="&amp;filter!$R$1) )</f>
        <v>376.47</v>
      </c>
      <c r="K263" s="38">
        <f t="array" aca="1" ref="K263" ca="1">IF( $C263="", "", _xll.IMDP("IDX",$C263,K$6,$D$4,"Fill=true, Per="&amp;filter!$R$1) )</f>
        <v>376.47</v>
      </c>
      <c r="L263" s="39">
        <f t="array" aca="1" ref="L263" ca="1">IF( $C263="", "", _xll.IMDP("IDX",$C263,L$6,$D$4,"Fill=true, Per="&amp;filter!$R$1) )</f>
        <v>0</v>
      </c>
      <c r="M263" s="50" t="str">
        <f t="array" aca="1" ref="M263" ca="1">IF( $C263="", "", _xll.IMDP("IDX",$C263,M$6,$D$4,"Fill=true, Per="&amp;filter!$R$1) )</f>
        <v/>
      </c>
      <c r="N263" s="51" t="str">
        <f t="array" aca="1" ref="N263" ca="1">IF( $C263="", "", _xll.IMDP("IDX",$C263,N$6,$D$4,"Fill=true, Per="&amp;filter!$R$1) )</f>
        <v/>
      </c>
      <c r="O263" s="52" t="str">
        <f t="array" aca="1" ref="O263" ca="1">IF( $C263="", "", _xll.IMDP("IDX",$C263,O$6,$D$4,"Fill=true, Per="&amp;filter!$R$1) )</f>
        <v/>
      </c>
    </row>
    <row r="264" spans="2:15">
      <c r="B264" s="21">
        <f t="shared" si="3"/>
        <v>256</v>
      </c>
      <c r="C264" s="17" t="str">
        <f>IFERROR( VLOOKUP(ROWS($B$8:B263), filter!$I:$J, 2, 0), "")</f>
        <v>F2X40T</v>
      </c>
      <c r="D264" s="16" t="str" cm="1">
        <f t="array" ref="D264">IF( $C264="", "", _xll.IMDP("IDX", $C264, D$6) )</f>
        <v>코스피 200 선물 TWAP 레버리지?</v>
      </c>
      <c r="E264" s="34">
        <f t="array" aca="1" ref="E264" ca="1">IF( $C264="", "", _xll.IMDP("IDX",$C264,E$6,$D$4,"Fill=true, Per="&amp;filter!$R$1) )</f>
        <v>1428.87</v>
      </c>
      <c r="F264" s="38">
        <f t="array" aca="1" ref="F264" ca="1">IF( $C264="", "", _xll.IMDP("IDX",$C264,F$6,$D$4,"Fill=true, Per="&amp;filter!$R$1) )</f>
        <v>-28.100000000000136</v>
      </c>
      <c r="G264" s="39">
        <f t="array" aca="1" ref="G264" ca="1">IF( $C264="", "", _xll.IMDP("IDX",$C264,G$6,$D$4,"Fill=true, Per="&amp;filter!$R$1) )</f>
        <v>-1.93</v>
      </c>
      <c r="H264" s="43">
        <f t="array" aca="1" ref="H264" ca="1">IF( $C264="", "", _xll.IMDP("IDX",$C264,H$6,$D$4,"Fill=true, Per="&amp;filter!$R$1) )</f>
        <v>0</v>
      </c>
      <c r="I264" s="43">
        <f t="array" aca="1" ref="I264" ca="1">IF( $C264="", "", _xll.IMDP("IDX",$C264,I$6,$D$4,"Fill=true, Per="&amp;filter!$R$1) )</f>
        <v>0</v>
      </c>
      <c r="J264" s="34">
        <f t="array" aca="1" ref="J264" ca="1">IF( $C264="", "", _xll.IMDP("IDX",$C264,J$6,$D$4,"Fill=true, Per="&amp;filter!$R$1) )</f>
        <v>1456.47</v>
      </c>
      <c r="K264" s="38">
        <f t="array" aca="1" ref="K264" ca="1">IF( $C264="", "", _xll.IMDP("IDX",$C264,K$6,$D$4,"Fill=true, Per="&amp;filter!$R$1) )</f>
        <v>1467.01</v>
      </c>
      <c r="L264" s="39">
        <f t="array" aca="1" ref="L264" ca="1">IF( $C264="", "", _xll.IMDP("IDX",$C264,L$6,$D$4,"Fill=true, Per="&amp;filter!$R$1) )</f>
        <v>0</v>
      </c>
      <c r="M264" s="50" t="str">
        <f t="array" aca="1" ref="M264" ca="1">IF( $C264="", "", _xll.IMDP("IDX",$C264,M$6,$D$4,"Fill=true, Per="&amp;filter!$R$1) )</f>
        <v/>
      </c>
      <c r="N264" s="51" t="str">
        <f t="array" aca="1" ref="N264" ca="1">IF( $C264="", "", _xll.IMDP("IDX",$C264,N$6,$D$4,"Fill=true, Per="&amp;filter!$R$1) )</f>
        <v/>
      </c>
      <c r="O264" s="52" t="str">
        <f t="array" aca="1" ref="O264" ca="1">IF( $C264="", "", _xll.IMDP("IDX",$C264,O$6,$D$4,"Fill=true, Per="&amp;filter!$R$1) )</f>
        <v/>
      </c>
    </row>
    <row r="265" spans="2:15">
      <c r="B265" s="21">
        <f t="shared" si="3"/>
        <v>257</v>
      </c>
      <c r="C265" s="17" t="str">
        <f>IFERROR( VLOOKUP(ROWS($B$8:B264), filter!$I:$J, 2, 0), "")</f>
        <v>F2X41T</v>
      </c>
      <c r="D265" s="16" t="str" cm="1">
        <f t="array" ref="D265">IF( $C265="", "", _xll.IMDP("IDX", $C265, D$6) )</f>
        <v>코스피 200 선물 TWAP 인버스-2X</v>
      </c>
      <c r="E265" s="34">
        <f t="array" aca="1" ref="E265" ca="1">IF( $C265="", "", _xll.IMDP("IDX",$C265,E$6,$D$4,"Fill=true, Per="&amp;filter!$R$1) )</f>
        <v>2438.7199999999998</v>
      </c>
      <c r="F265" s="38">
        <f t="array" aca="1" ref="F265" ca="1">IF( $C265="", "", _xll.IMDP("IDX",$C265,F$6,$D$4,"Fill=true, Per="&amp;filter!$R$1) )</f>
        <v>47.519999999999982</v>
      </c>
      <c r="G265" s="39">
        <f t="array" aca="1" ref="G265" ca="1">IF( $C265="", "", _xll.IMDP("IDX",$C265,G$6,$D$4,"Fill=true, Per="&amp;filter!$R$1) )</f>
        <v>1.99</v>
      </c>
      <c r="H265" s="43">
        <f t="array" aca="1" ref="H265" ca="1">IF( $C265="", "", _xll.IMDP("IDX",$C265,H$6,$D$4,"Fill=true, Per="&amp;filter!$R$1) )</f>
        <v>0</v>
      </c>
      <c r="I265" s="43">
        <f t="array" aca="1" ref="I265" ca="1">IF( $C265="", "", _xll.IMDP("IDX",$C265,I$6,$D$4,"Fill=true, Per="&amp;filter!$R$1) )</f>
        <v>0</v>
      </c>
      <c r="J265" s="34">
        <f t="array" aca="1" ref="J265" ca="1">IF( $C265="", "", _xll.IMDP("IDX",$C265,J$6,$D$4,"Fill=true, Per="&amp;filter!$R$1) )</f>
        <v>2393.0300000000002</v>
      </c>
      <c r="K265" s="38">
        <f t="array" aca="1" ref="K265" ca="1">IF( $C265="", "", _xll.IMDP("IDX",$C265,K$6,$D$4,"Fill=true, Per="&amp;filter!$R$1) )</f>
        <v>2450.36</v>
      </c>
      <c r="L265" s="39">
        <f t="array" aca="1" ref="L265" ca="1">IF( $C265="", "", _xll.IMDP("IDX",$C265,L$6,$D$4,"Fill=true, Per="&amp;filter!$R$1) )</f>
        <v>0</v>
      </c>
      <c r="M265" s="50" t="str">
        <f t="array" aca="1" ref="M265" ca="1">IF( $C265="", "", _xll.IMDP("IDX",$C265,M$6,$D$4,"Fill=true, Per="&amp;filter!$R$1) )</f>
        <v/>
      </c>
      <c r="N265" s="51" t="str">
        <f t="array" aca="1" ref="N265" ca="1">IF( $C265="", "", _xll.IMDP("IDX",$C265,N$6,$D$4,"Fill=true, Per="&amp;filter!$R$1) )</f>
        <v/>
      </c>
      <c r="O265" s="52" t="str">
        <f t="array" aca="1" ref="O265" ca="1">IF( $C265="", "", _xll.IMDP("IDX",$C265,O$6,$D$4,"Fill=true, Per="&amp;filter!$R$1) )</f>
        <v/>
      </c>
    </row>
    <row r="266" spans="2:15">
      <c r="B266" s="21">
        <f t="shared" si="3"/>
        <v>258</v>
      </c>
      <c r="C266" s="17" t="str">
        <f>IFERROR( VLOOKUP(ROWS($B$8:B265), filter!$I:$J, 2, 0), "")</f>
        <v>F2X42T</v>
      </c>
      <c r="D266" s="16" t="str" cm="1">
        <f t="array" ref="D266">IF( $C266="", "", _xll.IMDP("IDX", $C266, D$6) )</f>
        <v>코스피 200 선물 레버리지 1.5X</v>
      </c>
      <c r="E266" s="34">
        <f t="array" aca="1" ref="E266" ca="1">IF( $C266="", "", _xll.IMDP("IDX",$C266,E$6,$D$4,"Fill=true, Per="&amp;filter!$R$1) )</f>
        <v>2324.15</v>
      </c>
      <c r="F266" s="38">
        <f t="array" aca="1" ref="F266" ca="1">IF( $C266="", "", _xll.IMDP("IDX",$C266,F$6,$D$4,"Fill=true, Per="&amp;filter!$R$1) )</f>
        <v>-33.880000000000109</v>
      </c>
      <c r="G266" s="39">
        <f t="array" aca="1" ref="G266" ca="1">IF( $C266="", "", _xll.IMDP("IDX",$C266,G$6,$D$4,"Fill=true, Per="&amp;filter!$R$1) )</f>
        <v>-1.44</v>
      </c>
      <c r="H266" s="43">
        <f t="array" aca="1" ref="H266" ca="1">IF( $C266="", "", _xll.IMDP("IDX",$C266,H$6,$D$4,"Fill=true, Per="&amp;filter!$R$1) )</f>
        <v>0</v>
      </c>
      <c r="I266" s="43">
        <f t="array" aca="1" ref="I266" ca="1">IF( $C266="", "", _xll.IMDP("IDX",$C266,I$6,$D$4,"Fill=true, Per="&amp;filter!$R$1) )</f>
        <v>0</v>
      </c>
      <c r="J266" s="34">
        <f t="array" aca="1" ref="J266" ca="1">IF( $C266="", "", _xll.IMDP("IDX",$C266,J$6,$D$4,"Fill=true, Per="&amp;filter!$R$1) )</f>
        <v>2357.59</v>
      </c>
      <c r="K266" s="38">
        <f t="array" aca="1" ref="K266" ca="1">IF( $C266="", "", _xll.IMDP("IDX",$C266,K$6,$D$4,"Fill=true, Per="&amp;filter!$R$1) )</f>
        <v>2370.4499999999998</v>
      </c>
      <c r="L266" s="39">
        <f t="array" aca="1" ref="L266" ca="1">IF( $C266="", "", _xll.IMDP("IDX",$C266,L$6,$D$4,"Fill=true, Per="&amp;filter!$R$1) )</f>
        <v>0</v>
      </c>
      <c r="M266" s="50" t="str">
        <f t="array" aca="1" ref="M266" ca="1">IF( $C266="", "", _xll.IMDP("IDX",$C266,M$6,$D$4,"Fill=true, Per="&amp;filter!$R$1) )</f>
        <v/>
      </c>
      <c r="N266" s="51" t="str">
        <f t="array" aca="1" ref="N266" ca="1">IF( $C266="", "", _xll.IMDP("IDX",$C266,N$6,$D$4,"Fill=true, Per="&amp;filter!$R$1) )</f>
        <v/>
      </c>
      <c r="O266" s="52" t="str">
        <f t="array" aca="1" ref="O266" ca="1">IF( $C266="", "", _xll.IMDP("IDX",$C266,O$6,$D$4,"Fill=true, Per="&amp;filter!$R$1) )</f>
        <v/>
      </c>
    </row>
    <row r="267" spans="2:15">
      <c r="B267" s="21">
        <f t="shared" ref="B267:B330" si="4">IF( $C267&lt;&gt;"", B266+1, "")</f>
        <v>259</v>
      </c>
      <c r="C267" s="17" t="str">
        <f>IFERROR( VLOOKUP(ROWS($B$8:B266), filter!$I:$J, 2, 0), "")</f>
        <v>F2X43T</v>
      </c>
      <c r="D267" s="16" t="str" cm="1">
        <f t="array" ref="D267">IF( $C267="", "", _xll.IMDP("IDX", $C267, D$6) )</f>
        <v>코스피 200 선물 TWAP 월간 레버</v>
      </c>
      <c r="E267" s="34">
        <f t="array" aca="1" ref="E267" ca="1">IF( $C267="", "", _xll.IMDP("IDX",$C267,E$6,$D$4,"Fill=true, Per="&amp;filter!$R$1) )</f>
        <v>1442.26</v>
      </c>
      <c r="F267" s="38">
        <f t="array" aca="1" ref="F267" ca="1">IF( $C267="", "", _xll.IMDP("IDX",$C267,F$6,$D$4,"Fill=true, Per="&amp;filter!$R$1) )</f>
        <v>-27.069999999999936</v>
      </c>
      <c r="G267" s="39">
        <f t="array" aca="1" ref="G267" ca="1">IF( $C267="", "", _xll.IMDP("IDX",$C267,G$6,$D$4,"Fill=true, Per="&amp;filter!$R$1) )</f>
        <v>-1.84</v>
      </c>
      <c r="H267" s="43">
        <f t="array" aca="1" ref="H267" ca="1">IF( $C267="", "", _xll.IMDP("IDX",$C267,H$6,$D$4,"Fill=true, Per="&amp;filter!$R$1) )</f>
        <v>0</v>
      </c>
      <c r="I267" s="43">
        <f t="array" aca="1" ref="I267" ca="1">IF( $C267="", "", _xll.IMDP("IDX",$C267,I$6,$D$4,"Fill=true, Per="&amp;filter!$R$1) )</f>
        <v>0</v>
      </c>
      <c r="J267" s="34">
        <f t="array" aca="1" ref="J267" ca="1">IF( $C267="", "", _xll.IMDP("IDX",$C267,J$6,$D$4,"Fill=true, Per="&amp;filter!$R$1) )</f>
        <v>1468.84</v>
      </c>
      <c r="K267" s="38">
        <f t="array" aca="1" ref="K267" ca="1">IF( $C267="", "", _xll.IMDP("IDX",$C267,K$6,$D$4,"Fill=true, Per="&amp;filter!$R$1) )</f>
        <v>1478.98</v>
      </c>
      <c r="L267" s="39">
        <f t="array" aca="1" ref="L267" ca="1">IF( $C267="", "", _xll.IMDP("IDX",$C267,L$6,$D$4,"Fill=true, Per="&amp;filter!$R$1) )</f>
        <v>0</v>
      </c>
      <c r="M267" s="50" t="str">
        <f t="array" aca="1" ref="M267" ca="1">IF( $C267="", "", _xll.IMDP("IDX",$C267,M$6,$D$4,"Fill=true, Per="&amp;filter!$R$1) )</f>
        <v/>
      </c>
      <c r="N267" s="51" t="str">
        <f t="array" aca="1" ref="N267" ca="1">IF( $C267="", "", _xll.IMDP("IDX",$C267,N$6,$D$4,"Fill=true, Per="&amp;filter!$R$1) )</f>
        <v/>
      </c>
      <c r="O267" s="52" t="str">
        <f t="array" aca="1" ref="O267" ca="1">IF( $C267="", "", _xll.IMDP("IDX",$C267,O$6,$D$4,"Fill=true, Per="&amp;filter!$R$1) )</f>
        <v/>
      </c>
    </row>
    <row r="268" spans="2:15">
      <c r="B268" s="21">
        <f t="shared" si="4"/>
        <v>260</v>
      </c>
      <c r="C268" s="17" t="str">
        <f>IFERROR( VLOOKUP(ROWS($B$8:B267), filter!$I:$J, 2, 0), "")</f>
        <v>F2X44T</v>
      </c>
      <c r="D268" s="16" t="str" cm="1">
        <f t="array" ref="D268">IF( $C268="", "", _xll.IMDP("IDX", $C268, D$6) )</f>
        <v>코스피 200 선물 TWAP 월간 인버</v>
      </c>
      <c r="E268" s="34">
        <f t="array" aca="1" ref="E268" ca="1">IF( $C268="", "", _xll.IMDP("IDX",$C268,E$6,$D$4,"Fill=true, Per="&amp;filter!$R$1) )</f>
        <v>2561.4</v>
      </c>
      <c r="F268" s="38">
        <f t="array" aca="1" ref="F268" ca="1">IF( $C268="", "", _xll.IMDP("IDX",$C268,F$6,$D$4,"Fill=true, Per="&amp;filter!$R$1) )</f>
        <v>57.559999999999945</v>
      </c>
      <c r="G268" s="39">
        <f t="array" aca="1" ref="G268" ca="1">IF( $C268="", "", _xll.IMDP("IDX",$C268,G$6,$D$4,"Fill=true, Per="&amp;filter!$R$1) )</f>
        <v>2.2999999999999998</v>
      </c>
      <c r="H268" s="43">
        <f t="array" aca="1" ref="H268" ca="1">IF( $C268="", "", _xll.IMDP("IDX",$C268,H$6,$D$4,"Fill=true, Per="&amp;filter!$R$1) )</f>
        <v>0</v>
      </c>
      <c r="I268" s="43">
        <f t="array" aca="1" ref="I268" ca="1">IF( $C268="", "", _xll.IMDP("IDX",$C268,I$6,$D$4,"Fill=true, Per="&amp;filter!$R$1) )</f>
        <v>0</v>
      </c>
      <c r="J268" s="34">
        <f t="array" aca="1" ref="J268" ca="1">IF( $C268="", "", _xll.IMDP("IDX",$C268,J$6,$D$4,"Fill=true, Per="&amp;filter!$R$1) )</f>
        <v>2506.04</v>
      </c>
      <c r="K268" s="38">
        <f t="array" aca="1" ref="K268" ca="1">IF( $C268="", "", _xll.IMDP("IDX",$C268,K$6,$D$4,"Fill=true, Per="&amp;filter!$R$1) )</f>
        <v>2575.58</v>
      </c>
      <c r="L268" s="39">
        <f t="array" aca="1" ref="L268" ca="1">IF( $C268="", "", _xll.IMDP("IDX",$C268,L$6,$D$4,"Fill=true, Per="&amp;filter!$R$1) )</f>
        <v>0</v>
      </c>
      <c r="M268" s="50" t="str">
        <f t="array" aca="1" ref="M268" ca="1">IF( $C268="", "", _xll.IMDP("IDX",$C268,M$6,$D$4,"Fill=true, Per="&amp;filter!$R$1) )</f>
        <v/>
      </c>
      <c r="N268" s="51" t="str">
        <f t="array" aca="1" ref="N268" ca="1">IF( $C268="", "", _xll.IMDP("IDX",$C268,N$6,$D$4,"Fill=true, Per="&amp;filter!$R$1) )</f>
        <v/>
      </c>
      <c r="O268" s="52" t="str">
        <f t="array" aca="1" ref="O268" ca="1">IF( $C268="", "", _xll.IMDP("IDX",$C268,O$6,$D$4,"Fill=true, Per="&amp;filter!$R$1) )</f>
        <v/>
      </c>
    </row>
    <row r="269" spans="2:15">
      <c r="B269" s="21">
        <f t="shared" si="4"/>
        <v>261</v>
      </c>
      <c r="C269" s="17" t="str">
        <f>IFERROR( VLOOKUP(ROWS($B$8:B268), filter!$I:$J, 2, 0), "")</f>
        <v>F3G01P</v>
      </c>
      <c r="D269" s="16" t="str" cm="1">
        <f t="array" ref="D269">IF( $C269="", "", _xll.IMDP("IDX", $C269, D$6) )</f>
        <v>KRX 300 선물지수</v>
      </c>
      <c r="E269" s="34">
        <f t="array" aca="1" ref="E269" ca="1">IF( $C269="", "", _xll.IMDP("IDX",$C269,E$6,$D$4,"Fill=true, Per="&amp;filter!$R$1) )</f>
        <v>1092.06</v>
      </c>
      <c r="F269" s="38">
        <f t="array" aca="1" ref="F269" ca="1">IF( $C269="", "", _xll.IMDP("IDX",$C269,F$6,$D$4,"Fill=true, Per="&amp;filter!$R$1) )</f>
        <v>-10.240000000000009</v>
      </c>
      <c r="G269" s="39">
        <f t="array" aca="1" ref="G269" ca="1">IF( $C269="", "", _xll.IMDP("IDX",$C269,G$6,$D$4,"Fill=true, Per="&amp;filter!$R$1) )</f>
        <v>-0.93</v>
      </c>
      <c r="H269" s="43">
        <f t="array" aca="1" ref="H269" ca="1">IF( $C269="", "", _xll.IMDP("IDX",$C269,H$6,$D$4,"Fill=true, Per="&amp;filter!$R$1) )</f>
        <v>0</v>
      </c>
      <c r="I269" s="43">
        <f t="array" aca="1" ref="I269" ca="1">IF( $C269="", "", _xll.IMDP("IDX",$C269,I$6,$D$4,"Fill=true, Per="&amp;filter!$R$1) )</f>
        <v>0</v>
      </c>
      <c r="J269" s="34">
        <f t="array" aca="1" ref="J269" ca="1">IF( $C269="", "", _xll.IMDP("IDX",$C269,J$6,$D$4,"Fill=true, Per="&amp;filter!$R$1) )</f>
        <v>1102.3</v>
      </c>
      <c r="K269" s="38">
        <f t="array" aca="1" ref="K269" ca="1">IF( $C269="", "", _xll.IMDP("IDX",$C269,K$6,$D$4,"Fill=true, Per="&amp;filter!$R$1) )</f>
        <v>1103.74</v>
      </c>
      <c r="L269" s="39">
        <f t="array" aca="1" ref="L269" ca="1">IF( $C269="", "", _xll.IMDP("IDX",$C269,L$6,$D$4,"Fill=true, Per="&amp;filter!$R$1) )</f>
        <v>0</v>
      </c>
      <c r="M269" s="50" t="str">
        <f t="array" aca="1" ref="M269" ca="1">IF( $C269="", "", _xll.IMDP("IDX",$C269,M$6,$D$4,"Fill=true, Per="&amp;filter!$R$1) )</f>
        <v/>
      </c>
      <c r="N269" s="51" t="str">
        <f t="array" aca="1" ref="N269" ca="1">IF( $C269="", "", _xll.IMDP("IDX",$C269,N$6,$D$4,"Fill=true, Per="&amp;filter!$R$1) )</f>
        <v/>
      </c>
      <c r="O269" s="52" t="str">
        <f t="array" aca="1" ref="O269" ca="1">IF( $C269="", "", _xll.IMDP("IDX",$C269,O$6,$D$4,"Fill=true, Per="&amp;filter!$R$1) )</f>
        <v/>
      </c>
    </row>
    <row r="270" spans="2:15">
      <c r="B270" s="21">
        <f t="shared" si="4"/>
        <v>262</v>
      </c>
      <c r="C270" s="17" t="str">
        <f>IFERROR( VLOOKUP(ROWS($B$8:B269), filter!$I:$J, 2, 0), "")</f>
        <v>F3X01T</v>
      </c>
      <c r="D270" s="16" t="str" cm="1">
        <f t="array" ref="D270">IF( $C270="", "", _xll.IMDP("IDX", $C270, D$6) )</f>
        <v>KRX 300 선물 레버리지지수</v>
      </c>
      <c r="E270" s="34">
        <f t="array" aca="1" ref="E270" ca="1">IF( $C270="", "", _xll.IMDP("IDX",$C270,E$6,$D$4,"Fill=true, Per="&amp;filter!$R$1) )</f>
        <v>1038.1099999999999</v>
      </c>
      <c r="F270" s="38">
        <f t="array" aca="1" ref="F270" ca="1">IF( $C270="", "", _xll.IMDP("IDX",$C270,F$6,$D$4,"Fill=true, Per="&amp;filter!$R$1) )</f>
        <v>-19.400000000000091</v>
      </c>
      <c r="G270" s="39">
        <f t="array" aca="1" ref="G270" ca="1">IF( $C270="", "", _xll.IMDP("IDX",$C270,G$6,$D$4,"Fill=true, Per="&amp;filter!$R$1) )</f>
        <v>-1.83</v>
      </c>
      <c r="H270" s="43">
        <f t="array" aca="1" ref="H270" ca="1">IF( $C270="", "", _xll.IMDP("IDX",$C270,H$6,$D$4,"Fill=true, Per="&amp;filter!$R$1) )</f>
        <v>0</v>
      </c>
      <c r="I270" s="43">
        <f t="array" aca="1" ref="I270" ca="1">IF( $C270="", "", _xll.IMDP("IDX",$C270,I$6,$D$4,"Fill=true, Per="&amp;filter!$R$1) )</f>
        <v>0</v>
      </c>
      <c r="J270" s="34">
        <f t="array" aca="1" ref="J270" ca="1">IF( $C270="", "", _xll.IMDP("IDX",$C270,J$6,$D$4,"Fill=true, Per="&amp;filter!$R$1) )</f>
        <v>1057.72</v>
      </c>
      <c r="K270" s="38">
        <f t="array" aca="1" ref="K270" ca="1">IF( $C270="", "", _xll.IMDP("IDX",$C270,K$6,$D$4,"Fill=true, Per="&amp;filter!$R$1) )</f>
        <v>1060.55</v>
      </c>
      <c r="L270" s="39">
        <f t="array" aca="1" ref="L270" ca="1">IF( $C270="", "", _xll.IMDP("IDX",$C270,L$6,$D$4,"Fill=true, Per="&amp;filter!$R$1) )</f>
        <v>0</v>
      </c>
      <c r="M270" s="50" t="str">
        <f t="array" aca="1" ref="M270" ca="1">IF( $C270="", "", _xll.IMDP("IDX",$C270,M$6,$D$4,"Fill=true, Per="&amp;filter!$R$1) )</f>
        <v/>
      </c>
      <c r="N270" s="51" t="str">
        <f t="array" aca="1" ref="N270" ca="1">IF( $C270="", "", _xll.IMDP("IDX",$C270,N$6,$D$4,"Fill=true, Per="&amp;filter!$R$1) )</f>
        <v/>
      </c>
      <c r="O270" s="52" t="str">
        <f t="array" aca="1" ref="O270" ca="1">IF( $C270="", "", _xll.IMDP("IDX",$C270,O$6,$D$4,"Fill=true, Per="&amp;filter!$R$1) )</f>
        <v/>
      </c>
    </row>
    <row r="271" spans="2:15">
      <c r="B271" s="21">
        <f t="shared" si="4"/>
        <v>263</v>
      </c>
      <c r="C271" s="17" t="str">
        <f>IFERROR( VLOOKUP(ROWS($B$8:B270), filter!$I:$J, 2, 0), "")</f>
        <v>F3X02P</v>
      </c>
      <c r="D271" s="16" t="str" cm="1">
        <f t="array" ref="D271">IF( $C271="", "", _xll.IMDP("IDX", $C271, D$6) )</f>
        <v>KRX 300 선물 인버스지수</v>
      </c>
      <c r="E271" s="34">
        <f t="array" aca="1" ref="E271" ca="1">IF( $C271="", "", _xll.IMDP("IDX",$C271,E$6,$D$4,"Fill=true, Per="&amp;filter!$R$1) )</f>
        <v>808.69</v>
      </c>
      <c r="F271" s="38">
        <f t="array" aca="1" ref="F271" ca="1">IF( $C271="", "", _xll.IMDP("IDX",$C271,F$6,$D$4,"Fill=true, Per="&amp;filter!$R$1) )</f>
        <v>7.6800000000000637</v>
      </c>
      <c r="G271" s="39">
        <f t="array" aca="1" ref="G271" ca="1">IF( $C271="", "", _xll.IMDP("IDX",$C271,G$6,$D$4,"Fill=true, Per="&amp;filter!$R$1) )</f>
        <v>0.96</v>
      </c>
      <c r="H271" s="43">
        <f t="array" aca="1" ref="H271" ca="1">IF( $C271="", "", _xll.IMDP("IDX",$C271,H$6,$D$4,"Fill=true, Per="&amp;filter!$R$1) )</f>
        <v>0</v>
      </c>
      <c r="I271" s="43">
        <f t="array" aca="1" ref="I271" ca="1">IF( $C271="", "", _xll.IMDP("IDX",$C271,I$6,$D$4,"Fill=true, Per="&amp;filter!$R$1) )</f>
        <v>0</v>
      </c>
      <c r="J271" s="34">
        <f t="array" aca="1" ref="J271" ca="1">IF( $C271="", "", _xll.IMDP("IDX",$C271,J$6,$D$4,"Fill=true, Per="&amp;filter!$R$1) )</f>
        <v>801.2</v>
      </c>
      <c r="K271" s="38">
        <f t="array" aca="1" ref="K271" ca="1">IF( $C271="", "", _xll.IMDP("IDX",$C271,K$6,$D$4,"Fill=true, Per="&amp;filter!$R$1) )</f>
        <v>808.69</v>
      </c>
      <c r="L271" s="39">
        <f t="array" aca="1" ref="L271" ca="1">IF( $C271="", "", _xll.IMDP("IDX",$C271,L$6,$D$4,"Fill=true, Per="&amp;filter!$R$1) )</f>
        <v>0</v>
      </c>
      <c r="M271" s="50" t="str">
        <f t="array" aca="1" ref="M271" ca="1">IF( $C271="", "", _xll.IMDP("IDX",$C271,M$6,$D$4,"Fill=true, Per="&amp;filter!$R$1) )</f>
        <v/>
      </c>
      <c r="N271" s="51" t="str">
        <f t="array" aca="1" ref="N271" ca="1">IF( $C271="", "", _xll.IMDP("IDX",$C271,N$6,$D$4,"Fill=true, Per="&amp;filter!$R$1) )</f>
        <v/>
      </c>
      <c r="O271" s="52" t="str">
        <f t="array" aca="1" ref="O271" ca="1">IF( $C271="", "", _xll.IMDP("IDX",$C271,O$6,$D$4,"Fill=true, Per="&amp;filter!$R$1) )</f>
        <v/>
      </c>
    </row>
    <row r="272" spans="2:15">
      <c r="B272" s="21">
        <f t="shared" si="4"/>
        <v>264</v>
      </c>
      <c r="C272" s="17" t="str">
        <f>IFERROR( VLOOKUP(ROWS($B$8:B271), filter!$I:$J, 2, 0), "")</f>
        <v>F3X03T</v>
      </c>
      <c r="D272" s="16" t="str" cm="1">
        <f t="array" ref="D272">IF( $C272="", "", _xll.IMDP("IDX", $C272, D$6) )</f>
        <v>KRX 300 선물 인버스-2X지수</v>
      </c>
      <c r="E272" s="34">
        <f t="array" aca="1" ref="E272" ca="1">IF( $C272="", "", _xll.IMDP("IDX",$C272,E$6,$D$4,"Fill=true, Per="&amp;filter!$R$1) )</f>
        <v>446.66</v>
      </c>
      <c r="F272" s="38">
        <f t="array" aca="1" ref="F272" ca="1">IF( $C272="", "", _xll.IMDP("IDX",$C272,F$6,$D$4,"Fill=true, Per="&amp;filter!$R$1) )</f>
        <v>8.2300000000000182</v>
      </c>
      <c r="G272" s="39">
        <f t="array" aca="1" ref="G272" ca="1">IF( $C272="", "", _xll.IMDP("IDX",$C272,G$6,$D$4,"Fill=true, Per="&amp;filter!$R$1) )</f>
        <v>1.88</v>
      </c>
      <c r="H272" s="43">
        <f t="array" aca="1" ref="H272" ca="1">IF( $C272="", "", _xll.IMDP("IDX",$C272,H$6,$D$4,"Fill=true, Per="&amp;filter!$R$1) )</f>
        <v>0</v>
      </c>
      <c r="I272" s="43">
        <f t="array" aca="1" ref="I272" ca="1">IF( $C272="", "", _xll.IMDP("IDX",$C272,I$6,$D$4,"Fill=true, Per="&amp;filter!$R$1) )</f>
        <v>0</v>
      </c>
      <c r="J272" s="34">
        <f t="array" aca="1" ref="J272" ca="1">IF( $C272="", "", _xll.IMDP("IDX",$C272,J$6,$D$4,"Fill=true, Per="&amp;filter!$R$1) )</f>
        <v>438.52</v>
      </c>
      <c r="K272" s="38">
        <f t="array" aca="1" ref="K272" ca="1">IF( $C272="", "", _xll.IMDP("IDX",$C272,K$6,$D$4,"Fill=true, Per="&amp;filter!$R$1) )</f>
        <v>446.66</v>
      </c>
      <c r="L272" s="39">
        <f t="array" aca="1" ref="L272" ca="1">IF( $C272="", "", _xll.IMDP("IDX",$C272,L$6,$D$4,"Fill=true, Per="&amp;filter!$R$1) )</f>
        <v>0</v>
      </c>
      <c r="M272" s="50" t="str">
        <f t="array" aca="1" ref="M272" ca="1">IF( $C272="", "", _xll.IMDP("IDX",$C272,M$6,$D$4,"Fill=true, Per="&amp;filter!$R$1) )</f>
        <v/>
      </c>
      <c r="N272" s="51" t="str">
        <f t="array" aca="1" ref="N272" ca="1">IF( $C272="", "", _xll.IMDP("IDX",$C272,N$6,$D$4,"Fill=true, Per="&amp;filter!$R$1) )</f>
        <v/>
      </c>
      <c r="O272" s="52" t="str">
        <f t="array" aca="1" ref="O272" ca="1">IF( $C272="", "", _xll.IMDP("IDX",$C272,O$6,$D$4,"Fill=true, Per="&amp;filter!$R$1) )</f>
        <v/>
      </c>
    </row>
    <row r="273" spans="2:15">
      <c r="B273" s="21">
        <f t="shared" si="4"/>
        <v>265</v>
      </c>
      <c r="C273" s="17" t="str">
        <f>IFERROR( VLOOKUP(ROWS($B$8:B272), filter!$I:$J, 2, 0), "")</f>
        <v>F5901P</v>
      </c>
      <c r="D273" s="16" t="str" cm="1">
        <f t="array" ref="D273">IF( $C273="", "", _xll.IMDP("IDX", $C273, D$6) )</f>
        <v>코스닥 150 선물지수 TWAP형</v>
      </c>
      <c r="E273" s="34">
        <f t="array" aca="1" ref="E273" ca="1">IF( $C273="", "", _xll.IMDP("IDX",$C273,E$6,$D$4,"Fill=true, Per="&amp;filter!$R$1) )</f>
        <v>1512.34</v>
      </c>
      <c r="F273" s="38">
        <f t="array" aca="1" ref="F273" ca="1">IF( $C273="", "", _xll.IMDP("IDX",$C273,F$6,$D$4,"Fill=true, Per="&amp;filter!$R$1) )</f>
        <v>-14.509999999999991</v>
      </c>
      <c r="G273" s="39">
        <f t="array" aca="1" ref="G273" ca="1">IF( $C273="", "", _xll.IMDP("IDX",$C273,G$6,$D$4,"Fill=true, Per="&amp;filter!$R$1) )</f>
        <v>-0.95</v>
      </c>
      <c r="H273" s="43">
        <f t="array" aca="1" ref="H273" ca="1">IF( $C273="", "", _xll.IMDP("IDX",$C273,H$6,$D$4,"Fill=true, Per="&amp;filter!$R$1) )</f>
        <v>0</v>
      </c>
      <c r="I273" s="43">
        <f t="array" aca="1" ref="I273" ca="1">IF( $C273="", "", _xll.IMDP("IDX",$C273,I$6,$D$4,"Fill=true, Per="&amp;filter!$R$1) )</f>
        <v>0</v>
      </c>
      <c r="J273" s="34">
        <f t="array" aca="1" ref="J273" ca="1">IF( $C273="", "", _xll.IMDP("IDX",$C273,J$6,$D$4,"Fill=true, Per="&amp;filter!$R$1) )</f>
        <v>1529.09</v>
      </c>
      <c r="K273" s="38">
        <f t="array" aca="1" ref="K273" ca="1">IF( $C273="", "", _xll.IMDP("IDX",$C273,K$6,$D$4,"Fill=true, Per="&amp;filter!$R$1) )</f>
        <v>1546.2</v>
      </c>
      <c r="L273" s="39">
        <f t="array" aca="1" ref="L273" ca="1">IF( $C273="", "", _xll.IMDP("IDX",$C273,L$6,$D$4,"Fill=true, Per="&amp;filter!$R$1) )</f>
        <v>0</v>
      </c>
      <c r="M273" s="50" t="str">
        <f t="array" aca="1" ref="M273" ca="1">IF( $C273="", "", _xll.IMDP("IDX",$C273,M$6,$D$4,"Fill=true, Per="&amp;filter!$R$1) )</f>
        <v/>
      </c>
      <c r="N273" s="51" t="str">
        <f t="array" aca="1" ref="N273" ca="1">IF( $C273="", "", _xll.IMDP("IDX",$C273,N$6,$D$4,"Fill=true, Per="&amp;filter!$R$1) )</f>
        <v/>
      </c>
      <c r="O273" s="52" t="str">
        <f t="array" aca="1" ref="O273" ca="1">IF( $C273="", "", _xll.IMDP("IDX",$C273,O$6,$D$4,"Fill=true, Per="&amp;filter!$R$1) )</f>
        <v/>
      </c>
    </row>
    <row r="274" spans="2:15">
      <c r="B274" s="21">
        <f t="shared" si="4"/>
        <v>266</v>
      </c>
      <c r="C274" s="17" t="str">
        <f>IFERROR( VLOOKUP(ROWS($B$8:B273), filter!$I:$J, 2, 0), "")</f>
        <v>F5902T</v>
      </c>
      <c r="D274" s="16" t="str" cm="1">
        <f t="array" ref="D274">IF( $C274="", "", _xll.IMDP("IDX", $C274, D$6) )</f>
        <v>코스닥 150 선물 TWAP 0.5X 지수</v>
      </c>
      <c r="E274" s="34">
        <f t="array" aca="1" ref="E274" ca="1">IF( $C274="", "", _xll.IMDP("IDX",$C274,E$6,$D$4,"Fill=true, Per="&amp;filter!$R$1) )</f>
        <v>1729.71</v>
      </c>
      <c r="F274" s="38">
        <f t="array" aca="1" ref="F274" ca="1">IF( $C274="", "", _xll.IMDP("IDX",$C274,F$6,$D$4,"Fill=true, Per="&amp;filter!$R$1) )</f>
        <v>-7.5399999999999636</v>
      </c>
      <c r="G274" s="39">
        <f t="array" aca="1" ref="G274" ca="1">IF( $C274="", "", _xll.IMDP("IDX",$C274,G$6,$D$4,"Fill=true, Per="&amp;filter!$R$1) )</f>
        <v>-0.43</v>
      </c>
      <c r="H274" s="43">
        <f t="array" aca="1" ref="H274" ca="1">IF( $C274="", "", _xll.IMDP("IDX",$C274,H$6,$D$4,"Fill=true, Per="&amp;filter!$R$1) )</f>
        <v>0</v>
      </c>
      <c r="I274" s="43">
        <f t="array" aca="1" ref="I274" ca="1">IF( $C274="", "", _xll.IMDP("IDX",$C274,I$6,$D$4,"Fill=true, Per="&amp;filter!$R$1) )</f>
        <v>0</v>
      </c>
      <c r="J274" s="34">
        <f t="array" aca="1" ref="J274" ca="1">IF( $C274="", "", _xll.IMDP("IDX",$C274,J$6,$D$4,"Fill=true, Per="&amp;filter!$R$1) )</f>
        <v>1738.99</v>
      </c>
      <c r="K274" s="38">
        <f t="array" aca="1" ref="K274" ca="1">IF( $C274="", "", _xll.IMDP("IDX",$C274,K$6,$D$4,"Fill=true, Per="&amp;filter!$R$1) )</f>
        <v>1748.87</v>
      </c>
      <c r="L274" s="39">
        <f t="array" aca="1" ref="L274" ca="1">IF( $C274="", "", _xll.IMDP("IDX",$C274,L$6,$D$4,"Fill=true, Per="&amp;filter!$R$1) )</f>
        <v>0</v>
      </c>
      <c r="M274" s="50" t="str">
        <f t="array" aca="1" ref="M274" ca="1">IF( $C274="", "", _xll.IMDP("IDX",$C274,M$6,$D$4,"Fill=true, Per="&amp;filter!$R$1) )</f>
        <v/>
      </c>
      <c r="N274" s="51" t="str">
        <f t="array" aca="1" ref="N274" ca="1">IF( $C274="", "", _xll.IMDP("IDX",$C274,N$6,$D$4,"Fill=true, Per="&amp;filter!$R$1) )</f>
        <v/>
      </c>
      <c r="O274" s="52" t="str">
        <f t="array" aca="1" ref="O274" ca="1">IF( $C274="", "", _xll.IMDP("IDX",$C274,O$6,$D$4,"Fill=true, Per="&amp;filter!$R$1) )</f>
        <v/>
      </c>
    </row>
    <row r="275" spans="2:15">
      <c r="B275" s="21">
        <f t="shared" si="4"/>
        <v>267</v>
      </c>
      <c r="C275" s="17" t="str">
        <f>IFERROR( VLOOKUP(ROWS($B$8:B274), filter!$I:$J, 2, 0), "")</f>
        <v>F5G01P</v>
      </c>
      <c r="D275" s="16" t="str" cm="1">
        <f t="array" ref="D275">IF( $C275="", "", _xll.IMDP("IDX", $C275, D$6) )</f>
        <v>코스닥 150 선물지수</v>
      </c>
      <c r="E275" s="34">
        <f t="array" aca="1" ref="E275" ca="1">IF( $C275="", "", _xll.IMDP("IDX",$C275,E$6,$D$4,"Fill=true, Per="&amp;filter!$R$1) )</f>
        <v>1511.69</v>
      </c>
      <c r="F275" s="38">
        <f t="array" aca="1" ref="F275" ca="1">IF( $C275="", "", _xll.IMDP("IDX",$C275,F$6,$D$4,"Fill=true, Per="&amp;filter!$R$1) )</f>
        <v>-14.5</v>
      </c>
      <c r="G275" s="39">
        <f t="array" aca="1" ref="G275" ca="1">IF( $C275="", "", _xll.IMDP("IDX",$C275,G$6,$D$4,"Fill=true, Per="&amp;filter!$R$1) )</f>
        <v>-0.95</v>
      </c>
      <c r="H275" s="43">
        <f t="array" aca="1" ref="H275" ca="1">IF( $C275="", "", _xll.IMDP("IDX",$C275,H$6,$D$4,"Fill=true, Per="&amp;filter!$R$1) )</f>
        <v>0</v>
      </c>
      <c r="I275" s="43">
        <f t="array" aca="1" ref="I275" ca="1">IF( $C275="", "", _xll.IMDP("IDX",$C275,I$6,$D$4,"Fill=true, Per="&amp;filter!$R$1) )</f>
        <v>0</v>
      </c>
      <c r="J275" s="34">
        <f t="array" aca="1" ref="J275" ca="1">IF( $C275="", "", _xll.IMDP("IDX",$C275,J$6,$D$4,"Fill=true, Per="&amp;filter!$R$1) )</f>
        <v>1528.43</v>
      </c>
      <c r="K275" s="38">
        <f t="array" aca="1" ref="K275" ca="1">IF( $C275="", "", _xll.IMDP("IDX",$C275,K$6,$D$4,"Fill=true, Per="&amp;filter!$R$1) )</f>
        <v>1545.53</v>
      </c>
      <c r="L275" s="39">
        <f t="array" aca="1" ref="L275" ca="1">IF( $C275="", "", _xll.IMDP("IDX",$C275,L$6,$D$4,"Fill=true, Per="&amp;filter!$R$1) )</f>
        <v>0</v>
      </c>
      <c r="M275" s="50" t="str">
        <f t="array" aca="1" ref="M275" ca="1">IF( $C275="", "", _xll.IMDP("IDX",$C275,M$6,$D$4,"Fill=true, Per="&amp;filter!$R$1) )</f>
        <v/>
      </c>
      <c r="N275" s="51" t="str">
        <f t="array" aca="1" ref="N275" ca="1">IF( $C275="", "", _xll.IMDP("IDX",$C275,N$6,$D$4,"Fill=true, Per="&amp;filter!$R$1) )</f>
        <v/>
      </c>
      <c r="O275" s="52" t="str">
        <f t="array" aca="1" ref="O275" ca="1">IF( $C275="", "", _xll.IMDP("IDX",$C275,O$6,$D$4,"Fill=true, Per="&amp;filter!$R$1) )</f>
        <v/>
      </c>
    </row>
    <row r="276" spans="2:15">
      <c r="B276" s="21">
        <f t="shared" si="4"/>
        <v>268</v>
      </c>
      <c r="C276" s="17" t="str">
        <f>IFERROR( VLOOKUP(ROWS($B$8:B275), filter!$I:$J, 2, 0), "")</f>
        <v>F5X01T</v>
      </c>
      <c r="D276" s="16" t="str" cm="1">
        <f t="array" ref="D276">IF( $C276="", "", _xll.IMDP("IDX", $C276, D$6) )</f>
        <v>코스닥 150 선물 인버스지수</v>
      </c>
      <c r="E276" s="34">
        <f t="array" aca="1" ref="E276" ca="1">IF( $C276="", "", _xll.IMDP("IDX",$C276,E$6,$D$4,"Fill=true, Per="&amp;filter!$R$1) )</f>
        <v>391.11</v>
      </c>
      <c r="F276" s="38">
        <f t="array" aca="1" ref="F276" ca="1">IF( $C276="", "", _xll.IMDP("IDX",$C276,F$6,$D$4,"Fill=true, Per="&amp;filter!$R$1) )</f>
        <v>3.6200000000000045</v>
      </c>
      <c r="G276" s="39">
        <f t="array" aca="1" ref="G276" ca="1">IF( $C276="", "", _xll.IMDP("IDX",$C276,G$6,$D$4,"Fill=true, Per="&amp;filter!$R$1) )</f>
        <v>0.93</v>
      </c>
      <c r="H276" s="43">
        <f t="array" aca="1" ref="H276" ca="1">IF( $C276="", "", _xll.IMDP("IDX",$C276,H$6,$D$4,"Fill=true, Per="&amp;filter!$R$1) )</f>
        <v>0</v>
      </c>
      <c r="I276" s="43">
        <f t="array" aca="1" ref="I276" ca="1">IF( $C276="", "", _xll.IMDP("IDX",$C276,I$6,$D$4,"Fill=true, Per="&amp;filter!$R$1) )</f>
        <v>0</v>
      </c>
      <c r="J276" s="34">
        <f t="array" aca="1" ref="J276" ca="1">IF( $C276="", "", _xll.IMDP("IDX",$C276,J$6,$D$4,"Fill=true, Per="&amp;filter!$R$1) )</f>
        <v>387.01</v>
      </c>
      <c r="K276" s="38">
        <f t="array" aca="1" ref="K276" ca="1">IF( $C276="", "", _xll.IMDP("IDX",$C276,K$6,$D$4,"Fill=true, Per="&amp;filter!$R$1) )</f>
        <v>391.4</v>
      </c>
      <c r="L276" s="39">
        <f t="array" aca="1" ref="L276" ca="1">IF( $C276="", "", _xll.IMDP("IDX",$C276,L$6,$D$4,"Fill=true, Per="&amp;filter!$R$1) )</f>
        <v>0</v>
      </c>
      <c r="M276" s="50" t="str">
        <f t="array" aca="1" ref="M276" ca="1">IF( $C276="", "", _xll.IMDP("IDX",$C276,M$6,$D$4,"Fill=true, Per="&amp;filter!$R$1) )</f>
        <v/>
      </c>
      <c r="N276" s="51" t="str">
        <f t="array" aca="1" ref="N276" ca="1">IF( $C276="", "", _xll.IMDP("IDX",$C276,N$6,$D$4,"Fill=true, Per="&amp;filter!$R$1) )</f>
        <v/>
      </c>
      <c r="O276" s="52" t="str">
        <f t="array" aca="1" ref="O276" ca="1">IF( $C276="", "", _xll.IMDP("IDX",$C276,O$6,$D$4,"Fill=true, Per="&amp;filter!$R$1) )</f>
        <v/>
      </c>
    </row>
    <row r="277" spans="2:15">
      <c r="B277" s="21">
        <f t="shared" si="4"/>
        <v>269</v>
      </c>
      <c r="C277" s="17" t="str">
        <f>IFERROR( VLOOKUP(ROWS($B$8:B276), filter!$I:$J, 2, 0), "")</f>
        <v>F5X02T</v>
      </c>
      <c r="D277" s="16" t="str" cm="1">
        <f t="array" ref="D277">IF( $C277="", "", _xll.IMDP("IDX", $C277, D$6) )</f>
        <v>코스닥 150 선물 인버스-2X지수</v>
      </c>
      <c r="E277" s="34">
        <f t="array" aca="1" ref="E277" ca="1">IF( $C277="", "", _xll.IMDP("IDX",$C277,E$6,$D$4,"Fill=true, Per="&amp;filter!$R$1) )</f>
        <v>61.24</v>
      </c>
      <c r="F277" s="38">
        <f t="array" aca="1" ref="F277" ca="1">IF( $C277="", "", _xll.IMDP("IDX",$C277,F$6,$D$4,"Fill=true, Per="&amp;filter!$R$1) )</f>
        <v>1.0800000000000054</v>
      </c>
      <c r="G277" s="39">
        <f t="array" aca="1" ref="G277" ca="1">IF( $C277="", "", _xll.IMDP("IDX",$C277,G$6,$D$4,"Fill=true, Per="&amp;filter!$R$1) )</f>
        <v>1.8</v>
      </c>
      <c r="H277" s="43">
        <f t="array" aca="1" ref="H277" ca="1">IF( $C277="", "", _xll.IMDP("IDX",$C277,H$6,$D$4,"Fill=true, Per="&amp;filter!$R$1) )</f>
        <v>0</v>
      </c>
      <c r="I277" s="43">
        <f t="array" aca="1" ref="I277" ca="1">IF( $C277="", "", _xll.IMDP("IDX",$C277,I$6,$D$4,"Fill=true, Per="&amp;filter!$R$1) )</f>
        <v>0</v>
      </c>
      <c r="J277" s="34">
        <f t="array" aca="1" ref="J277" ca="1">IF( $C277="", "", _xll.IMDP("IDX",$C277,J$6,$D$4,"Fill=true, Per="&amp;filter!$R$1) )</f>
        <v>60</v>
      </c>
      <c r="K277" s="38">
        <f t="array" aca="1" ref="K277" ca="1">IF( $C277="", "", _xll.IMDP("IDX",$C277,K$6,$D$4,"Fill=true, Per="&amp;filter!$R$1) )</f>
        <v>61.33</v>
      </c>
      <c r="L277" s="39">
        <f t="array" aca="1" ref="L277" ca="1">IF( $C277="", "", _xll.IMDP("IDX",$C277,L$6,$D$4,"Fill=true, Per="&amp;filter!$R$1) )</f>
        <v>0</v>
      </c>
      <c r="M277" s="50" t="str">
        <f t="array" aca="1" ref="M277" ca="1">IF( $C277="", "", _xll.IMDP("IDX",$C277,M$6,$D$4,"Fill=true, Per="&amp;filter!$R$1) )</f>
        <v/>
      </c>
      <c r="N277" s="51" t="str">
        <f t="array" aca="1" ref="N277" ca="1">IF( $C277="", "", _xll.IMDP("IDX",$C277,N$6,$D$4,"Fill=true, Per="&amp;filter!$R$1) )</f>
        <v/>
      </c>
      <c r="O277" s="52" t="str">
        <f t="array" aca="1" ref="O277" ca="1">IF( $C277="", "", _xll.IMDP("IDX",$C277,O$6,$D$4,"Fill=true, Per="&amp;filter!$R$1) )</f>
        <v/>
      </c>
    </row>
    <row r="278" spans="2:15">
      <c r="B278" s="21">
        <f t="shared" si="4"/>
        <v>270</v>
      </c>
      <c r="C278" s="17" t="str">
        <f>IFERROR( VLOOKUP(ROWS($B$8:B277), filter!$I:$J, 2, 0), "")</f>
        <v>F5X03T</v>
      </c>
      <c r="D278" s="16" t="str" cm="1">
        <f t="array" ref="D278">IF( $C278="", "", _xll.IMDP("IDX", $C278, D$6) )</f>
        <v>코스닥 150 선물 인버스-3X지수</v>
      </c>
      <c r="E278" s="34">
        <f t="array" aca="1" ref="E278" ca="1">IF( $C278="", "", _xll.IMDP("IDX",$C278,E$6,$D$4,"Fill=true, Per="&amp;filter!$R$1) )</f>
        <v>4.6100000000000003</v>
      </c>
      <c r="F278" s="38">
        <f t="array" aca="1" ref="F278" ca="1">IF( $C278="", "", _xll.IMDP("IDX",$C278,F$6,$D$4,"Fill=true, Per="&amp;filter!$R$1) )</f>
        <v>0.12000000000000011</v>
      </c>
      <c r="G278" s="39">
        <f t="array" aca="1" ref="G278" ca="1">IF( $C278="", "", _xll.IMDP("IDX",$C278,G$6,$D$4,"Fill=true, Per="&amp;filter!$R$1) )</f>
        <v>2.67</v>
      </c>
      <c r="H278" s="43">
        <f t="array" aca="1" ref="H278" ca="1">IF( $C278="", "", _xll.IMDP("IDX",$C278,H$6,$D$4,"Fill=true, Per="&amp;filter!$R$1) )</f>
        <v>0</v>
      </c>
      <c r="I278" s="43">
        <f t="array" aca="1" ref="I278" ca="1">IF( $C278="", "", _xll.IMDP("IDX",$C278,I$6,$D$4,"Fill=true, Per="&amp;filter!$R$1) )</f>
        <v>0</v>
      </c>
      <c r="J278" s="34">
        <f t="array" aca="1" ref="J278" ca="1">IF( $C278="", "", _xll.IMDP("IDX",$C278,J$6,$D$4,"Fill=true, Per="&amp;filter!$R$1) )</f>
        <v>4.47</v>
      </c>
      <c r="K278" s="38">
        <f t="array" aca="1" ref="K278" ca="1">IF( $C278="", "", _xll.IMDP("IDX",$C278,K$6,$D$4,"Fill=true, Per="&amp;filter!$R$1) )</f>
        <v>4.62</v>
      </c>
      <c r="L278" s="39">
        <f t="array" aca="1" ref="L278" ca="1">IF( $C278="", "", _xll.IMDP("IDX",$C278,L$6,$D$4,"Fill=true, Per="&amp;filter!$R$1) )</f>
        <v>0</v>
      </c>
      <c r="M278" s="50" t="str">
        <f t="array" aca="1" ref="M278" ca="1">IF( $C278="", "", _xll.IMDP("IDX",$C278,M$6,$D$4,"Fill=true, Per="&amp;filter!$R$1) )</f>
        <v/>
      </c>
      <c r="N278" s="51" t="str">
        <f t="array" aca="1" ref="N278" ca="1">IF( $C278="", "", _xll.IMDP("IDX",$C278,N$6,$D$4,"Fill=true, Per="&amp;filter!$R$1) )</f>
        <v/>
      </c>
      <c r="O278" s="52" t="str">
        <f t="array" aca="1" ref="O278" ca="1">IF( $C278="", "", _xll.IMDP("IDX",$C278,O$6,$D$4,"Fill=true, Per="&amp;filter!$R$1) )</f>
        <v/>
      </c>
    </row>
    <row r="279" spans="2:15">
      <c r="B279" s="21">
        <f t="shared" si="4"/>
        <v>271</v>
      </c>
      <c r="C279" s="17" t="str">
        <f>IFERROR( VLOOKUP(ROWS($B$8:B278), filter!$I:$J, 2, 0), "")</f>
        <v>F5X04T</v>
      </c>
      <c r="D279" s="16" t="str" cm="1">
        <f t="array" ref="D279">IF( $C279="", "", _xll.IMDP("IDX", $C279, D$6) )</f>
        <v>코스닥 150선물 레버리지지수</v>
      </c>
      <c r="E279" s="34">
        <f t="array" aca="1" ref="E279" ca="1">IF( $C279="", "", _xll.IMDP("IDX",$C279,E$6,$D$4,"Fill=true, Per="&amp;filter!$R$1) )</f>
        <v>1260.3399999999999</v>
      </c>
      <c r="F279" s="38">
        <f t="array" aca="1" ref="F279" ca="1">IF( $C279="", "", _xll.IMDP("IDX",$C279,F$6,$D$4,"Fill=true, Per="&amp;filter!$R$1) )</f>
        <v>-24.710000000000036</v>
      </c>
      <c r="G279" s="39">
        <f t="array" aca="1" ref="G279" ca="1">IF( $C279="", "", _xll.IMDP("IDX",$C279,G$6,$D$4,"Fill=true, Per="&amp;filter!$R$1) )</f>
        <v>-1.92</v>
      </c>
      <c r="H279" s="43">
        <f t="array" aca="1" ref="H279" ca="1">IF( $C279="", "", _xll.IMDP("IDX",$C279,H$6,$D$4,"Fill=true, Per="&amp;filter!$R$1) )</f>
        <v>0</v>
      </c>
      <c r="I279" s="43">
        <f t="array" aca="1" ref="I279" ca="1">IF( $C279="", "", _xll.IMDP("IDX",$C279,I$6,$D$4,"Fill=true, Per="&amp;filter!$R$1) )</f>
        <v>0</v>
      </c>
      <c r="J279" s="34">
        <f t="array" aca="1" ref="J279" ca="1">IF( $C279="", "", _xll.IMDP("IDX",$C279,J$6,$D$4,"Fill=true, Per="&amp;filter!$R$1) )</f>
        <v>1289.07</v>
      </c>
      <c r="K279" s="38">
        <f t="array" aca="1" ref="K279" ca="1">IF( $C279="", "", _xll.IMDP("IDX",$C279,K$6,$D$4,"Fill=true, Per="&amp;filter!$R$1) )</f>
        <v>1317.99</v>
      </c>
      <c r="L279" s="39">
        <f t="array" aca="1" ref="L279" ca="1">IF( $C279="", "", _xll.IMDP("IDX",$C279,L$6,$D$4,"Fill=true, Per="&amp;filter!$R$1) )</f>
        <v>0</v>
      </c>
      <c r="M279" s="50" t="str">
        <f t="array" aca="1" ref="M279" ca="1">IF( $C279="", "", _xll.IMDP("IDX",$C279,M$6,$D$4,"Fill=true, Per="&amp;filter!$R$1) )</f>
        <v/>
      </c>
      <c r="N279" s="51" t="str">
        <f t="array" aca="1" ref="N279" ca="1">IF( $C279="", "", _xll.IMDP("IDX",$C279,N$6,$D$4,"Fill=true, Per="&amp;filter!$R$1) )</f>
        <v/>
      </c>
      <c r="O279" s="52" t="str">
        <f t="array" aca="1" ref="O279" ca="1">IF( $C279="", "", _xll.IMDP("IDX",$C279,O$6,$D$4,"Fill=true, Per="&amp;filter!$R$1) )</f>
        <v/>
      </c>
    </row>
    <row r="280" spans="2:15">
      <c r="B280" s="21">
        <f t="shared" si="4"/>
        <v>272</v>
      </c>
      <c r="C280" s="17" t="str">
        <f>IFERROR( VLOOKUP(ROWS($B$8:B279), filter!$I:$J, 2, 0), "")</f>
        <v>F5X05T</v>
      </c>
      <c r="D280" s="16" t="str" cm="1">
        <f t="array" ref="D280">IF( $C280="", "", _xll.IMDP("IDX", $C280, D$6) )</f>
        <v>코스닥 150 선물 TWAP 인버스지?</v>
      </c>
      <c r="E280" s="34">
        <f t="array" aca="1" ref="E280" ca="1">IF( $C280="", "", _xll.IMDP("IDX",$C280,E$6,$D$4,"Fill=true, Per="&amp;filter!$R$1) )</f>
        <v>1260.6199999999999</v>
      </c>
      <c r="F280" s="38">
        <f t="array" aca="1" ref="F280" ca="1">IF( $C280="", "", _xll.IMDP("IDX",$C280,F$6,$D$4,"Fill=true, Per="&amp;filter!$R$1) )</f>
        <v>11.679999999999836</v>
      </c>
      <c r="G280" s="39">
        <f t="array" aca="1" ref="G280" ca="1">IF( $C280="", "", _xll.IMDP("IDX",$C280,G$6,$D$4,"Fill=true, Per="&amp;filter!$R$1) )</f>
        <v>0.94</v>
      </c>
      <c r="H280" s="43">
        <f t="array" aca="1" ref="H280" ca="1">IF( $C280="", "", _xll.IMDP("IDX",$C280,H$6,$D$4,"Fill=true, Per="&amp;filter!$R$1) )</f>
        <v>0</v>
      </c>
      <c r="I280" s="43">
        <f t="array" aca="1" ref="I280" ca="1">IF( $C280="", "", _xll.IMDP("IDX",$C280,I$6,$D$4,"Fill=true, Per="&amp;filter!$R$1) )</f>
        <v>0</v>
      </c>
      <c r="J280" s="34">
        <f t="array" aca="1" ref="J280" ca="1">IF( $C280="", "", _xll.IMDP("IDX",$C280,J$6,$D$4,"Fill=true, Per="&amp;filter!$R$1) )</f>
        <v>1247.4100000000001</v>
      </c>
      <c r="K280" s="38">
        <f t="array" aca="1" ref="K280" ca="1">IF( $C280="", "", _xll.IMDP("IDX",$C280,K$6,$D$4,"Fill=true, Per="&amp;filter!$R$1) )</f>
        <v>1261.56</v>
      </c>
      <c r="L280" s="39">
        <f t="array" aca="1" ref="L280" ca="1">IF( $C280="", "", _xll.IMDP("IDX",$C280,L$6,$D$4,"Fill=true, Per="&amp;filter!$R$1) )</f>
        <v>0</v>
      </c>
      <c r="M280" s="50" t="str">
        <f t="array" aca="1" ref="M280" ca="1">IF( $C280="", "", _xll.IMDP("IDX",$C280,M$6,$D$4,"Fill=true, Per="&amp;filter!$R$1) )</f>
        <v/>
      </c>
      <c r="N280" s="51" t="str">
        <f t="array" aca="1" ref="N280" ca="1">IF( $C280="", "", _xll.IMDP("IDX",$C280,N$6,$D$4,"Fill=true, Per="&amp;filter!$R$1) )</f>
        <v/>
      </c>
      <c r="O280" s="52" t="str">
        <f t="array" aca="1" ref="O280" ca="1">IF( $C280="", "", _xll.IMDP("IDX",$C280,O$6,$D$4,"Fill=true, Per="&amp;filter!$R$1) )</f>
        <v/>
      </c>
    </row>
    <row r="281" spans="2:15">
      <c r="B281" s="21">
        <f t="shared" si="4"/>
        <v>273</v>
      </c>
      <c r="C281" s="17" t="str">
        <f>IFERROR( VLOOKUP(ROWS($B$8:B280), filter!$I:$J, 2, 0), "")</f>
        <v>F5X06T</v>
      </c>
      <c r="D281" s="16" t="str" cm="1">
        <f t="array" ref="D281">IF( $C281="", "", _xll.IMDP("IDX", $C281, D$6) )</f>
        <v>코스닥 150 선물 TWAP 레버리지?</v>
      </c>
      <c r="E281" s="34">
        <f t="array" aca="1" ref="E281" ca="1">IF( $C281="", "", _xll.IMDP("IDX",$C281,E$6,$D$4,"Fill=true, Per="&amp;filter!$R$1) )</f>
        <v>1167.3</v>
      </c>
      <c r="F281" s="38">
        <f t="array" aca="1" ref="F281" ca="1">IF( $C281="", "", _xll.IMDP("IDX",$C281,F$6,$D$4,"Fill=true, Per="&amp;filter!$R$1) )</f>
        <v>-22.8900000000001</v>
      </c>
      <c r="G281" s="39">
        <f t="array" aca="1" ref="G281" ca="1">IF( $C281="", "", _xll.IMDP("IDX",$C281,G$6,$D$4,"Fill=true, Per="&amp;filter!$R$1) )</f>
        <v>-1.92</v>
      </c>
      <c r="H281" s="43">
        <f t="array" aca="1" ref="H281" ca="1">IF( $C281="", "", _xll.IMDP("IDX",$C281,H$6,$D$4,"Fill=true, Per="&amp;filter!$R$1) )</f>
        <v>0</v>
      </c>
      <c r="I281" s="43">
        <f t="array" aca="1" ref="I281" ca="1">IF( $C281="", "", _xll.IMDP("IDX",$C281,I$6,$D$4,"Fill=true, Per="&amp;filter!$R$1) )</f>
        <v>0</v>
      </c>
      <c r="J281" s="34">
        <f t="array" aca="1" ref="J281" ca="1">IF( $C281="", "", _xll.IMDP("IDX",$C281,J$6,$D$4,"Fill=true, Per="&amp;filter!$R$1) )</f>
        <v>1193.9100000000001</v>
      </c>
      <c r="K281" s="38">
        <f t="array" aca="1" ref="K281" ca="1">IF( $C281="", "", _xll.IMDP("IDX",$C281,K$6,$D$4,"Fill=true, Per="&amp;filter!$R$1) )</f>
        <v>1220.7</v>
      </c>
      <c r="L281" s="39">
        <f t="array" aca="1" ref="L281" ca="1">IF( $C281="", "", _xll.IMDP("IDX",$C281,L$6,$D$4,"Fill=true, Per="&amp;filter!$R$1) )</f>
        <v>0</v>
      </c>
      <c r="M281" s="50" t="str">
        <f t="array" aca="1" ref="M281" ca="1">IF( $C281="", "", _xll.IMDP("IDX",$C281,M$6,$D$4,"Fill=true, Per="&amp;filter!$R$1) )</f>
        <v/>
      </c>
      <c r="N281" s="51" t="str">
        <f t="array" aca="1" ref="N281" ca="1">IF( $C281="", "", _xll.IMDP("IDX",$C281,N$6,$D$4,"Fill=true, Per="&amp;filter!$R$1) )</f>
        <v/>
      </c>
      <c r="O281" s="52" t="str">
        <f t="array" aca="1" ref="O281" ca="1">IF( $C281="", "", _xll.IMDP("IDX",$C281,O$6,$D$4,"Fill=true, Per="&amp;filter!$R$1) )</f>
        <v/>
      </c>
    </row>
    <row r="282" spans="2:15">
      <c r="B282" s="21">
        <f t="shared" si="4"/>
        <v>274</v>
      </c>
      <c r="C282" s="17" t="str">
        <f>IFERROR( VLOOKUP(ROWS($B$8:B281), filter!$I:$J, 2, 0), "")</f>
        <v>F5X07T</v>
      </c>
      <c r="D282" s="16" t="str" cm="1">
        <f t="array" ref="D282">IF( $C282="", "", _xll.IMDP("IDX", $C282, D$6) )</f>
        <v>코스닥 150 선물 TWAP 인버스-2X</v>
      </c>
      <c r="E282" s="34">
        <f t="array" aca="1" ref="E282" ca="1">IF( $C282="", "", _xll.IMDP("IDX",$C282,E$6,$D$4,"Fill=true, Per="&amp;filter!$R$1) )</f>
        <v>686.2</v>
      </c>
      <c r="F282" s="38">
        <f t="array" aca="1" ref="F282" ca="1">IF( $C282="", "", _xll.IMDP("IDX",$C282,F$6,$D$4,"Fill=true, Per="&amp;filter!$R$1) )</f>
        <v>12.030000000000086</v>
      </c>
      <c r="G282" s="39">
        <f t="array" aca="1" ref="G282" ca="1">IF( $C282="", "", _xll.IMDP("IDX",$C282,G$6,$D$4,"Fill=true, Per="&amp;filter!$R$1) )</f>
        <v>1.78</v>
      </c>
      <c r="H282" s="43">
        <f t="array" aca="1" ref="H282" ca="1">IF( $C282="", "", _xll.IMDP("IDX",$C282,H$6,$D$4,"Fill=true, Per="&amp;filter!$R$1) )</f>
        <v>0</v>
      </c>
      <c r="I282" s="43">
        <f t="array" aca="1" ref="I282" ca="1">IF( $C282="", "", _xll.IMDP("IDX",$C282,I$6,$D$4,"Fill=true, Per="&amp;filter!$R$1) )</f>
        <v>0</v>
      </c>
      <c r="J282" s="34">
        <f t="array" aca="1" ref="J282" ca="1">IF( $C282="", "", _xll.IMDP("IDX",$C282,J$6,$D$4,"Fill=true, Per="&amp;filter!$R$1) )</f>
        <v>672.32</v>
      </c>
      <c r="K282" s="38">
        <f t="array" aca="1" ref="K282" ca="1">IF( $C282="", "", _xll.IMDP("IDX",$C282,K$6,$D$4,"Fill=true, Per="&amp;filter!$R$1) )</f>
        <v>687.21</v>
      </c>
      <c r="L282" s="39">
        <f t="array" aca="1" ref="L282" ca="1">IF( $C282="", "", _xll.IMDP("IDX",$C282,L$6,$D$4,"Fill=true, Per="&amp;filter!$R$1) )</f>
        <v>0</v>
      </c>
      <c r="M282" s="50" t="str">
        <f t="array" aca="1" ref="M282" ca="1">IF( $C282="", "", _xll.IMDP("IDX",$C282,M$6,$D$4,"Fill=true, Per="&amp;filter!$R$1) )</f>
        <v/>
      </c>
      <c r="N282" s="51" t="str">
        <f t="array" aca="1" ref="N282" ca="1">IF( $C282="", "", _xll.IMDP("IDX",$C282,N$6,$D$4,"Fill=true, Per="&amp;filter!$R$1) )</f>
        <v/>
      </c>
      <c r="O282" s="52" t="str">
        <f t="array" aca="1" ref="O282" ca="1">IF( $C282="", "", _xll.IMDP("IDX",$C282,O$6,$D$4,"Fill=true, Per="&amp;filter!$R$1) )</f>
        <v/>
      </c>
    </row>
    <row r="283" spans="2:15">
      <c r="B283" s="21">
        <f t="shared" si="4"/>
        <v>275</v>
      </c>
      <c r="C283" s="17" t="str">
        <f>IFERROR( VLOOKUP(ROWS($B$8:B282), filter!$I:$J, 2, 0), "")</f>
        <v>F5X08T</v>
      </c>
      <c r="D283" s="16" t="str" cm="1">
        <f t="array" ref="D283">IF( $C283="", "", _xll.IMDP("IDX", $C283, D$6) )</f>
        <v>코스닥 150 선물 레버리지 1.5X</v>
      </c>
      <c r="E283" s="34">
        <f t="array" aca="1" ref="E283" ca="1">IF( $C283="", "", _xll.IMDP("IDX",$C283,E$6,$D$4,"Fill=true, Per="&amp;filter!$R$1) )</f>
        <v>1624.29</v>
      </c>
      <c r="F283" s="38">
        <f t="array" aca="1" ref="F283" ca="1">IF( $C283="", "", _xll.IMDP("IDX",$C283,F$6,$D$4,"Fill=true, Per="&amp;filter!$R$1) )</f>
        <v>-23.309999999999945</v>
      </c>
      <c r="G283" s="39">
        <f t="array" aca="1" ref="G283" ca="1">IF( $C283="", "", _xll.IMDP("IDX",$C283,G$6,$D$4,"Fill=true, Per="&amp;filter!$R$1) )</f>
        <v>-1.41</v>
      </c>
      <c r="H283" s="43">
        <f t="array" aca="1" ref="H283" ca="1">IF( $C283="", "", _xll.IMDP("IDX",$C283,H$6,$D$4,"Fill=true, Per="&amp;filter!$R$1) )</f>
        <v>0</v>
      </c>
      <c r="I283" s="43">
        <f t="array" aca="1" ref="I283" ca="1">IF( $C283="", "", _xll.IMDP("IDX",$C283,I$6,$D$4,"Fill=true, Per="&amp;filter!$R$1) )</f>
        <v>0</v>
      </c>
      <c r="J283" s="34">
        <f t="array" aca="1" ref="J283" ca="1">IF( $C283="", "", _xll.IMDP("IDX",$C283,J$6,$D$4,"Fill=true, Per="&amp;filter!$R$1) )</f>
        <v>1651.59</v>
      </c>
      <c r="K283" s="38">
        <f t="array" aca="1" ref="K283" ca="1">IF( $C283="", "", _xll.IMDP("IDX",$C283,K$6,$D$4,"Fill=true, Per="&amp;filter!$R$1) )</f>
        <v>1679.41</v>
      </c>
      <c r="L283" s="39">
        <f t="array" aca="1" ref="L283" ca="1">IF( $C283="", "", _xll.IMDP("IDX",$C283,L$6,$D$4,"Fill=true, Per="&amp;filter!$R$1) )</f>
        <v>0</v>
      </c>
      <c r="M283" s="50" t="str">
        <f t="array" aca="1" ref="M283" ca="1">IF( $C283="", "", _xll.IMDP("IDX",$C283,M$6,$D$4,"Fill=true, Per="&amp;filter!$R$1) )</f>
        <v/>
      </c>
      <c r="N283" s="51" t="str">
        <f t="array" aca="1" ref="N283" ca="1">IF( $C283="", "", _xll.IMDP("IDX",$C283,N$6,$D$4,"Fill=true, Per="&amp;filter!$R$1) )</f>
        <v/>
      </c>
      <c r="O283" s="52" t="str">
        <f t="array" aca="1" ref="O283" ca="1">IF( $C283="", "", _xll.IMDP("IDX",$C283,O$6,$D$4,"Fill=true, Per="&amp;filter!$R$1) )</f>
        <v/>
      </c>
    </row>
    <row r="284" spans="2:15">
      <c r="B284" s="21">
        <f t="shared" si="4"/>
        <v>276</v>
      </c>
      <c r="C284" s="17" t="str">
        <f>IFERROR( VLOOKUP(ROWS($B$8:B283), filter!$I:$J, 2, 0), "")</f>
        <v>F5X09T</v>
      </c>
      <c r="D284" s="16" t="str" cm="1">
        <f t="array" ref="D284">IF( $C284="", "", _xll.IMDP("IDX", $C284, D$6) )</f>
        <v>코스닥 150 선물 TWAP 월간 레버</v>
      </c>
      <c r="E284" s="34">
        <f t="array" aca="1" ref="E284" ca="1">IF( $C284="", "", _xll.IMDP("IDX",$C284,E$6,$D$4,"Fill=true, Per="&amp;filter!$R$1) )</f>
        <v>1272.55</v>
      </c>
      <c r="F284" s="38">
        <f t="array" aca="1" ref="F284" ca="1">IF( $C284="", "", _xll.IMDP("IDX",$C284,F$6,$D$4,"Fill=true, Per="&amp;filter!$R$1) )</f>
        <v>-23.509999999999991</v>
      </c>
      <c r="G284" s="39">
        <f t="array" aca="1" ref="G284" ca="1">IF( $C284="", "", _xll.IMDP("IDX",$C284,G$6,$D$4,"Fill=true, Per="&amp;filter!$R$1) )</f>
        <v>-1.81</v>
      </c>
      <c r="H284" s="43">
        <f t="array" aca="1" ref="H284" ca="1">IF( $C284="", "", _xll.IMDP("IDX",$C284,H$6,$D$4,"Fill=true, Per="&amp;filter!$R$1) )</f>
        <v>0</v>
      </c>
      <c r="I284" s="43">
        <f t="array" aca="1" ref="I284" ca="1">IF( $C284="", "", _xll.IMDP("IDX",$C284,I$6,$D$4,"Fill=true, Per="&amp;filter!$R$1) )</f>
        <v>0</v>
      </c>
      <c r="J284" s="34">
        <f t="array" aca="1" ref="J284" ca="1">IF( $C284="", "", _xll.IMDP("IDX",$C284,J$6,$D$4,"Fill=true, Per="&amp;filter!$R$1) )</f>
        <v>1299.97</v>
      </c>
      <c r="K284" s="38">
        <f t="array" aca="1" ref="K284" ca="1">IF( $C284="", "", _xll.IMDP("IDX",$C284,K$6,$D$4,"Fill=true, Per="&amp;filter!$R$1) )</f>
        <v>1328.15</v>
      </c>
      <c r="L284" s="39">
        <f t="array" aca="1" ref="L284" ca="1">IF( $C284="", "", _xll.IMDP("IDX",$C284,L$6,$D$4,"Fill=true, Per="&amp;filter!$R$1) )</f>
        <v>0</v>
      </c>
      <c r="M284" s="50" t="str">
        <f t="array" aca="1" ref="M284" ca="1">IF( $C284="", "", _xll.IMDP("IDX",$C284,M$6,$D$4,"Fill=true, Per="&amp;filter!$R$1) )</f>
        <v/>
      </c>
      <c r="N284" s="51" t="str">
        <f t="array" aca="1" ref="N284" ca="1">IF( $C284="", "", _xll.IMDP("IDX",$C284,N$6,$D$4,"Fill=true, Per="&amp;filter!$R$1) )</f>
        <v/>
      </c>
      <c r="O284" s="52" t="str">
        <f t="array" aca="1" ref="O284" ca="1">IF( $C284="", "", _xll.IMDP("IDX",$C284,O$6,$D$4,"Fill=true, Per="&amp;filter!$R$1) )</f>
        <v/>
      </c>
    </row>
    <row r="285" spans="2:15">
      <c r="B285" s="21">
        <f t="shared" si="4"/>
        <v>277</v>
      </c>
      <c r="C285" s="17" t="str">
        <f>IFERROR( VLOOKUP(ROWS($B$8:B284), filter!$I:$J, 2, 0), "")</f>
        <v>F5X10T</v>
      </c>
      <c r="D285" s="16" t="str" cm="1">
        <f t="array" ref="D285">IF( $C285="", "", _xll.IMDP("IDX", $C285, D$6) )</f>
        <v>코스닥 150 선물 TWAP 월간 인버</v>
      </c>
      <c r="E285" s="34">
        <f t="array" aca="1" ref="E285" ca="1">IF( $C285="", "", _xll.IMDP("IDX",$C285,E$6,$D$4,"Fill=true, Per="&amp;filter!$R$1) )</f>
        <v>922.93</v>
      </c>
      <c r="F285" s="38">
        <f t="array" aca="1" ref="F285" ca="1">IF( $C285="", "", _xll.IMDP("IDX",$C285,F$6,$D$4,"Fill=true, Per="&amp;filter!$R$1) )</f>
        <v>19.25</v>
      </c>
      <c r="G285" s="39">
        <f t="array" aca="1" ref="G285" ca="1">IF( $C285="", "", _xll.IMDP("IDX",$C285,G$6,$D$4,"Fill=true, Per="&amp;filter!$R$1) )</f>
        <v>2.13</v>
      </c>
      <c r="H285" s="43">
        <f t="array" aca="1" ref="H285" ca="1">IF( $C285="", "", _xll.IMDP("IDX",$C285,H$6,$D$4,"Fill=true, Per="&amp;filter!$R$1) )</f>
        <v>0</v>
      </c>
      <c r="I285" s="43">
        <f t="array" aca="1" ref="I285" ca="1">IF( $C285="", "", _xll.IMDP("IDX",$C285,I$6,$D$4,"Fill=true, Per="&amp;filter!$R$1) )</f>
        <v>0</v>
      </c>
      <c r="J285" s="34">
        <f t="array" aca="1" ref="J285" ca="1">IF( $C285="", "", _xll.IMDP("IDX",$C285,J$6,$D$4,"Fill=true, Per="&amp;filter!$R$1) )</f>
        <v>900.93</v>
      </c>
      <c r="K285" s="38">
        <f t="array" aca="1" ref="K285" ca="1">IF( $C285="", "", _xll.IMDP("IDX",$C285,K$6,$D$4,"Fill=true, Per="&amp;filter!$R$1) )</f>
        <v>924.48</v>
      </c>
      <c r="L285" s="39">
        <f t="array" aca="1" ref="L285" ca="1">IF( $C285="", "", _xll.IMDP("IDX",$C285,L$6,$D$4,"Fill=true, Per="&amp;filter!$R$1) )</f>
        <v>0</v>
      </c>
      <c r="M285" s="50" t="str">
        <f t="array" aca="1" ref="M285" ca="1">IF( $C285="", "", _xll.IMDP("IDX",$C285,M$6,$D$4,"Fill=true, Per="&amp;filter!$R$1) )</f>
        <v/>
      </c>
      <c r="N285" s="51" t="str">
        <f t="array" aca="1" ref="N285" ca="1">IF( $C285="", "", _xll.IMDP("IDX",$C285,N$6,$D$4,"Fill=true, Per="&amp;filter!$R$1) )</f>
        <v/>
      </c>
      <c r="O285" s="52" t="str">
        <f t="array" aca="1" ref="O285" ca="1">IF( $C285="", "", _xll.IMDP("IDX",$C285,O$6,$D$4,"Fill=true, Per="&amp;filter!$R$1) )</f>
        <v/>
      </c>
    </row>
    <row r="286" spans="2:15">
      <c r="B286" s="21">
        <f t="shared" si="4"/>
        <v>278</v>
      </c>
      <c r="C286" s="17" t="str">
        <f>IFERROR( VLOOKUP(ROWS($B$8:B285), filter!$I:$J, 2, 0), "")</f>
        <v>FG901P</v>
      </c>
      <c r="D286" s="16" t="str" cm="1">
        <f t="array" ref="D286">IF( $C286="", "", _xll.IMDP("IDX", $C286, D$6) )</f>
        <v>KRX 2차전지 TOP 10 선물 TWAP ?</v>
      </c>
      <c r="E286" s="34">
        <f t="array" aca="1" ref="E286" ca="1">IF( $C286="", "", _xll.IMDP("IDX",$C286,E$6,$D$4,"Fill=true, Per="&amp;filter!$R$1) )</f>
        <v>589.11</v>
      </c>
      <c r="F286" s="38">
        <f t="array" aca="1" ref="F286" ca="1">IF( $C286="", "", _xll.IMDP("IDX",$C286,F$6,$D$4,"Fill=true, Per="&amp;filter!$R$1) )</f>
        <v>28.879999999999995</v>
      </c>
      <c r="G286" s="39">
        <f t="array" aca="1" ref="G286" ca="1">IF( $C286="", "", _xll.IMDP("IDX",$C286,G$6,$D$4,"Fill=true, Per="&amp;filter!$R$1) )</f>
        <v>5.16</v>
      </c>
      <c r="H286" s="43">
        <f t="array" aca="1" ref="H286" ca="1">IF( $C286="", "", _xll.IMDP("IDX",$C286,H$6,$D$4,"Fill=true, Per="&amp;filter!$R$1) )</f>
        <v>0</v>
      </c>
      <c r="I286" s="43">
        <f t="array" aca="1" ref="I286" ca="1">IF( $C286="", "", _xll.IMDP("IDX",$C286,I$6,$D$4,"Fill=true, Per="&amp;filter!$R$1) )</f>
        <v>0</v>
      </c>
      <c r="J286" s="34">
        <f t="array" aca="1" ref="J286" ca="1">IF( $C286="", "", _xll.IMDP("IDX",$C286,J$6,$D$4,"Fill=true, Per="&amp;filter!$R$1) )</f>
        <v>560.23</v>
      </c>
      <c r="K286" s="38">
        <f t="array" aca="1" ref="K286" ca="1">IF( $C286="", "", _xll.IMDP("IDX",$C286,K$6,$D$4,"Fill=true, Per="&amp;filter!$R$1) )</f>
        <v>597.03</v>
      </c>
      <c r="L286" s="39">
        <f t="array" aca="1" ref="L286" ca="1">IF( $C286="", "", _xll.IMDP("IDX",$C286,L$6,$D$4,"Fill=true, Per="&amp;filter!$R$1) )</f>
        <v>0</v>
      </c>
      <c r="M286" s="50" t="str">
        <f t="array" aca="1" ref="M286" ca="1">IF( $C286="", "", _xll.IMDP("IDX",$C286,M$6,$D$4,"Fill=true, Per="&amp;filter!$R$1) )</f>
        <v/>
      </c>
      <c r="N286" s="51" t="str">
        <f t="array" aca="1" ref="N286" ca="1">IF( $C286="", "", _xll.IMDP("IDX",$C286,N$6,$D$4,"Fill=true, Per="&amp;filter!$R$1) )</f>
        <v/>
      </c>
      <c r="O286" s="52" t="str">
        <f t="array" aca="1" ref="O286" ca="1">IF( $C286="", "", _xll.IMDP("IDX",$C286,O$6,$D$4,"Fill=true, Per="&amp;filter!$R$1) )</f>
        <v/>
      </c>
    </row>
    <row r="287" spans="2:15">
      <c r="B287" s="21">
        <f t="shared" si="4"/>
        <v>279</v>
      </c>
      <c r="C287" s="17" t="str">
        <f>IFERROR( VLOOKUP(ROWS($B$8:B286), filter!$I:$J, 2, 0), "")</f>
        <v>FGA03T</v>
      </c>
      <c r="D287" s="16" t="str" cm="1">
        <f t="array" ref="D287">IF( $C287="", "", _xll.IMDP("IDX", $C287, D$6) )</f>
        <v>코스피200 롱 코스닥150 숏 선물</v>
      </c>
      <c r="E287" s="34">
        <f t="array" aca="1" ref="E287" ca="1">IF( $C287="", "", _xll.IMDP("IDX",$C287,E$6,$D$4,"Fill=true, Per="&amp;filter!$R$1) )</f>
        <v>789.83</v>
      </c>
      <c r="F287" s="38">
        <f t="array" aca="1" ref="F287" ca="1">IF( $C287="", "", _xll.IMDP("IDX",$C287,F$6,$D$4,"Fill=true, Per="&amp;filter!$R$1) )</f>
        <v>-0.30999999999994543</v>
      </c>
      <c r="G287" s="39">
        <f t="array" aca="1" ref="G287" ca="1">IF( $C287="", "", _xll.IMDP("IDX",$C287,G$6,$D$4,"Fill=true, Per="&amp;filter!$R$1) )</f>
        <v>-0.04</v>
      </c>
      <c r="H287" s="43">
        <f t="array" aca="1" ref="H287" ca="1">IF( $C287="", "", _xll.IMDP("IDX",$C287,H$6,$D$4,"Fill=true, Per="&amp;filter!$R$1) )</f>
        <v>0</v>
      </c>
      <c r="I287" s="43">
        <f t="array" aca="1" ref="I287" ca="1">IF( $C287="", "", _xll.IMDP("IDX",$C287,I$6,$D$4,"Fill=true, Per="&amp;filter!$R$1) )</f>
        <v>0</v>
      </c>
      <c r="J287" s="34">
        <f t="array" aca="1" ref="J287" ca="1">IF( $C287="", "", _xll.IMDP("IDX",$C287,J$6,$D$4,"Fill=true, Per="&amp;filter!$R$1) )</f>
        <v>788.92</v>
      </c>
      <c r="K287" s="38">
        <f t="array" aca="1" ref="K287" ca="1">IF( $C287="", "", _xll.IMDP("IDX",$C287,K$6,$D$4,"Fill=true, Per="&amp;filter!$R$1) )</f>
        <v>791.42</v>
      </c>
      <c r="L287" s="39">
        <f t="array" aca="1" ref="L287" ca="1">IF( $C287="", "", _xll.IMDP("IDX",$C287,L$6,$D$4,"Fill=true, Per="&amp;filter!$R$1) )</f>
        <v>0</v>
      </c>
      <c r="M287" s="50" t="str">
        <f t="array" aca="1" ref="M287" ca="1">IF( $C287="", "", _xll.IMDP("IDX",$C287,M$6,$D$4,"Fill=true, Per="&amp;filter!$R$1) )</f>
        <v/>
      </c>
      <c r="N287" s="51" t="str">
        <f t="array" aca="1" ref="N287" ca="1">IF( $C287="", "", _xll.IMDP("IDX",$C287,N$6,$D$4,"Fill=true, Per="&amp;filter!$R$1) )</f>
        <v/>
      </c>
      <c r="O287" s="52" t="str">
        <f t="array" aca="1" ref="O287" ca="1">IF( $C287="", "", _xll.IMDP("IDX",$C287,O$6,$D$4,"Fill=true, Per="&amp;filter!$R$1) )</f>
        <v/>
      </c>
    </row>
    <row r="288" spans="2:15">
      <c r="B288" s="21">
        <f t="shared" si="4"/>
        <v>280</v>
      </c>
      <c r="C288" s="17" t="str">
        <f>IFERROR( VLOOKUP(ROWS($B$8:B287), filter!$I:$J, 2, 0), "")</f>
        <v>FGA04T</v>
      </c>
      <c r="D288" s="16" t="str" cm="1">
        <f t="array" ref="D288">IF( $C288="", "", _xll.IMDP("IDX", $C288, D$6) )</f>
        <v>코스닥150 롱 코스피200 숏 선물</v>
      </c>
      <c r="E288" s="34">
        <f t="array" aca="1" ref="E288" ca="1">IF( $C288="", "", _xll.IMDP("IDX",$C288,E$6,$D$4,"Fill=true, Per="&amp;filter!$R$1) )</f>
        <v>1123.57</v>
      </c>
      <c r="F288" s="38">
        <f t="array" aca="1" ref="F288" ca="1">IF( $C288="", "", _xll.IMDP("IDX",$C288,F$6,$D$4,"Fill=true, Per="&amp;filter!$R$1) )</f>
        <v>0.74000000000000909</v>
      </c>
      <c r="G288" s="39">
        <f t="array" aca="1" ref="G288" ca="1">IF( $C288="", "", _xll.IMDP("IDX",$C288,G$6,$D$4,"Fill=true, Per="&amp;filter!$R$1) )</f>
        <v>7.0000000000000007E-2</v>
      </c>
      <c r="H288" s="43">
        <f t="array" aca="1" ref="H288" ca="1">IF( $C288="", "", _xll.IMDP("IDX",$C288,H$6,$D$4,"Fill=true, Per="&amp;filter!$R$1) )</f>
        <v>0</v>
      </c>
      <c r="I288" s="43">
        <f t="array" aca="1" ref="I288" ca="1">IF( $C288="", "", _xll.IMDP("IDX",$C288,I$6,$D$4,"Fill=true, Per="&amp;filter!$R$1) )</f>
        <v>0</v>
      </c>
      <c r="J288" s="34">
        <f t="array" aca="1" ref="J288" ca="1">IF( $C288="", "", _xll.IMDP("IDX",$C288,J$6,$D$4,"Fill=true, Per="&amp;filter!$R$1) )</f>
        <v>1125.02</v>
      </c>
      <c r="K288" s="38">
        <f t="array" aca="1" ref="K288" ca="1">IF( $C288="", "", _xll.IMDP("IDX",$C288,K$6,$D$4,"Fill=true, Per="&amp;filter!$R$1) )</f>
        <v>1138.21</v>
      </c>
      <c r="L288" s="39">
        <f t="array" aca="1" ref="L288" ca="1">IF( $C288="", "", _xll.IMDP("IDX",$C288,L$6,$D$4,"Fill=true, Per="&amp;filter!$R$1) )</f>
        <v>0</v>
      </c>
      <c r="M288" s="50" t="str">
        <f t="array" aca="1" ref="M288" ca="1">IF( $C288="", "", _xll.IMDP("IDX",$C288,M$6,$D$4,"Fill=true, Per="&amp;filter!$R$1) )</f>
        <v/>
      </c>
      <c r="N288" s="51" t="str">
        <f t="array" aca="1" ref="N288" ca="1">IF( $C288="", "", _xll.IMDP("IDX",$C288,N$6,$D$4,"Fill=true, Per="&amp;filter!$R$1) )</f>
        <v/>
      </c>
      <c r="O288" s="52" t="str">
        <f t="array" aca="1" ref="O288" ca="1">IF( $C288="", "", _xll.IMDP("IDX",$C288,O$6,$D$4,"Fill=true, Per="&amp;filter!$R$1) )</f>
        <v/>
      </c>
    </row>
    <row r="289" spans="2:15">
      <c r="B289" s="21">
        <f t="shared" si="4"/>
        <v>281</v>
      </c>
      <c r="C289" s="17" t="str">
        <f>IFERROR( VLOOKUP(ROWS($B$8:B288), filter!$I:$J, 2, 0), "")</f>
        <v>FGA05P</v>
      </c>
      <c r="D289" s="16" t="str" cm="1">
        <f t="array" ref="D289">IF( $C289="", "", _xll.IMDP("IDX", $C289, D$6) )</f>
        <v>코스피200 롱 코스닥150 0.5 숏</v>
      </c>
      <c r="E289" s="34">
        <f t="array" aca="1" ref="E289" ca="1">IF( $C289="", "", _xll.IMDP("IDX",$C289,E$6,$D$4,"Fill=true, Per="&amp;filter!$R$1) )</f>
        <v>1312.23</v>
      </c>
      <c r="F289" s="38">
        <f t="array" aca="1" ref="F289" ca="1">IF( $C289="", "", _xll.IMDP("IDX",$C289,F$6,$D$4,"Fill=true, Per="&amp;filter!$R$1) )</f>
        <v>-6.4100000000000819</v>
      </c>
      <c r="G289" s="39">
        <f t="array" aca="1" ref="G289" ca="1">IF( $C289="", "", _xll.IMDP("IDX",$C289,G$6,$D$4,"Fill=true, Per="&amp;filter!$R$1) )</f>
        <v>-0.49</v>
      </c>
      <c r="H289" s="43">
        <f t="array" aca="1" ref="H289" ca="1">IF( $C289="", "", _xll.IMDP("IDX",$C289,H$6,$D$4,"Fill=true, Per="&amp;filter!$R$1) )</f>
        <v>0</v>
      </c>
      <c r="I289" s="43">
        <f t="array" aca="1" ref="I289" ca="1">IF( $C289="", "", _xll.IMDP("IDX",$C289,I$6,$D$4,"Fill=true, Per="&amp;filter!$R$1) )</f>
        <v>0</v>
      </c>
      <c r="J289" s="34">
        <f t="array" aca="1" ref="J289" ca="1">IF( $C289="", "", _xll.IMDP("IDX",$C289,J$6,$D$4,"Fill=true, Per="&amp;filter!$R$1) )</f>
        <v>1317.61</v>
      </c>
      <c r="K289" s="38">
        <f t="array" aca="1" ref="K289" ca="1">IF( $C289="", "", _xll.IMDP("IDX",$C289,K$6,$D$4,"Fill=true, Per="&amp;filter!$R$1) )</f>
        <v>1319.35</v>
      </c>
      <c r="L289" s="39">
        <f t="array" aca="1" ref="L289" ca="1">IF( $C289="", "", _xll.IMDP("IDX",$C289,L$6,$D$4,"Fill=true, Per="&amp;filter!$R$1) )</f>
        <v>0</v>
      </c>
      <c r="M289" s="50" t="str">
        <f t="array" aca="1" ref="M289" ca="1">IF( $C289="", "", _xll.IMDP("IDX",$C289,M$6,$D$4,"Fill=true, Per="&amp;filter!$R$1) )</f>
        <v/>
      </c>
      <c r="N289" s="51" t="str">
        <f t="array" aca="1" ref="N289" ca="1">IF( $C289="", "", _xll.IMDP("IDX",$C289,N$6,$D$4,"Fill=true, Per="&amp;filter!$R$1) )</f>
        <v/>
      </c>
      <c r="O289" s="52" t="str">
        <f t="array" aca="1" ref="O289" ca="1">IF( $C289="", "", _xll.IMDP("IDX",$C289,O$6,$D$4,"Fill=true, Per="&amp;filter!$R$1) )</f>
        <v/>
      </c>
    </row>
    <row r="290" spans="2:15">
      <c r="B290" s="21">
        <f t="shared" si="4"/>
        <v>282</v>
      </c>
      <c r="C290" s="17" t="str">
        <f>IFERROR( VLOOKUP(ROWS($B$8:B289), filter!$I:$J, 2, 0), "")</f>
        <v>FGA06P</v>
      </c>
      <c r="D290" s="16" t="str" cm="1">
        <f t="array" ref="D290">IF( $C290="", "", _xll.IMDP("IDX", $C290, D$6) )</f>
        <v>코스닥150 롱 코스피200 0.5 숏</v>
      </c>
      <c r="E290" s="34">
        <f t="array" aca="1" ref="E290" ca="1">IF( $C290="", "", _xll.IMDP("IDX",$C290,E$6,$D$4,"Fill=true, Per="&amp;filter!$R$1) )</f>
        <v>1454.11</v>
      </c>
      <c r="F290" s="38">
        <f t="array" aca="1" ref="F290" ca="1">IF( $C290="", "", _xll.IMDP("IDX",$C290,F$6,$D$4,"Fill=true, Per="&amp;filter!$R$1) )</f>
        <v>-6.2200000000000273</v>
      </c>
      <c r="G290" s="39">
        <f t="array" aca="1" ref="G290" ca="1">IF( $C290="", "", _xll.IMDP("IDX",$C290,G$6,$D$4,"Fill=true, Per="&amp;filter!$R$1) )</f>
        <v>-0.43</v>
      </c>
      <c r="H290" s="43">
        <f t="array" aca="1" ref="H290" ca="1">IF( $C290="", "", _xll.IMDP("IDX",$C290,H$6,$D$4,"Fill=true, Per="&amp;filter!$R$1) )</f>
        <v>0</v>
      </c>
      <c r="I290" s="43">
        <f t="array" aca="1" ref="I290" ca="1">IF( $C290="", "", _xll.IMDP("IDX",$C290,I$6,$D$4,"Fill=true, Per="&amp;filter!$R$1) )</f>
        <v>0</v>
      </c>
      <c r="J290" s="34">
        <f t="array" aca="1" ref="J290" ca="1">IF( $C290="", "", _xll.IMDP("IDX",$C290,J$6,$D$4,"Fill=true, Per="&amp;filter!$R$1) )</f>
        <v>1463</v>
      </c>
      <c r="K290" s="38">
        <f t="array" aca="1" ref="K290" ca="1">IF( $C290="", "", _xll.IMDP("IDX",$C290,K$6,$D$4,"Fill=true, Per="&amp;filter!$R$1) )</f>
        <v>1477.67</v>
      </c>
      <c r="L290" s="39">
        <f t="array" aca="1" ref="L290" ca="1">IF( $C290="", "", _xll.IMDP("IDX",$C290,L$6,$D$4,"Fill=true, Per="&amp;filter!$R$1) )</f>
        <v>0</v>
      </c>
      <c r="M290" s="50" t="str">
        <f t="array" aca="1" ref="M290" ca="1">IF( $C290="", "", _xll.IMDP("IDX",$C290,M$6,$D$4,"Fill=true, Per="&amp;filter!$R$1) )</f>
        <v/>
      </c>
      <c r="N290" s="51" t="str">
        <f t="array" aca="1" ref="N290" ca="1">IF( $C290="", "", _xll.IMDP("IDX",$C290,N$6,$D$4,"Fill=true, Per="&amp;filter!$R$1) )</f>
        <v/>
      </c>
      <c r="O290" s="52" t="str">
        <f t="array" aca="1" ref="O290" ca="1">IF( $C290="", "", _xll.IMDP("IDX",$C290,O$6,$D$4,"Fill=true, Per="&amp;filter!$R$1) )</f>
        <v/>
      </c>
    </row>
    <row r="291" spans="2:15">
      <c r="B291" s="21">
        <f t="shared" si="4"/>
        <v>283</v>
      </c>
      <c r="C291" s="17" t="str">
        <f>IFERROR( VLOOKUP(ROWS($B$8:B290), filter!$I:$J, 2, 0), "")</f>
        <v>FGA07P</v>
      </c>
      <c r="D291" s="16" t="str" cm="1">
        <f t="array" ref="D291">IF( $C291="", "", _xll.IMDP("IDX", $C291, D$6) )</f>
        <v>코스피200 10년국채 선물혼합지?</v>
      </c>
      <c r="E291" s="34">
        <f t="array" aca="1" ref="E291" ca="1">IF( $C291="", "", _xll.IMDP("IDX",$C291,E$6,$D$4,"Fill=true, Per="&amp;filter!$R$1) )</f>
        <v>1948.96</v>
      </c>
      <c r="F291" s="38">
        <f t="array" aca="1" ref="F291" ca="1">IF( $C291="", "", _xll.IMDP("IDX",$C291,F$6,$D$4,"Fill=true, Per="&amp;filter!$R$1) )</f>
        <v>-13.279999999999973</v>
      </c>
      <c r="G291" s="39">
        <f t="array" aca="1" ref="G291" ca="1">IF( $C291="", "", _xll.IMDP("IDX",$C291,G$6,$D$4,"Fill=true, Per="&amp;filter!$R$1) )</f>
        <v>-0.68</v>
      </c>
      <c r="H291" s="43">
        <f t="array" aca="1" ref="H291" ca="1">IF( $C291="", "", _xll.IMDP("IDX",$C291,H$6,$D$4,"Fill=true, Per="&amp;filter!$R$1) )</f>
        <v>0</v>
      </c>
      <c r="I291" s="43">
        <f t="array" aca="1" ref="I291" ca="1">IF( $C291="", "", _xll.IMDP("IDX",$C291,I$6,$D$4,"Fill=true, Per="&amp;filter!$R$1) )</f>
        <v>0</v>
      </c>
      <c r="J291" s="34">
        <f t="array" aca="1" ref="J291" ca="1">IF( $C291="", "", _xll.IMDP("IDX",$C291,J$6,$D$4,"Fill=true, Per="&amp;filter!$R$1) )</f>
        <v>1962.48</v>
      </c>
      <c r="K291" s="38">
        <f t="array" aca="1" ref="K291" ca="1">IF( $C291="", "", _xll.IMDP("IDX",$C291,K$6,$D$4,"Fill=true, Per="&amp;filter!$R$1) )</f>
        <v>1963.7</v>
      </c>
      <c r="L291" s="39">
        <f t="array" aca="1" ref="L291" ca="1">IF( $C291="", "", _xll.IMDP("IDX",$C291,L$6,$D$4,"Fill=true, Per="&amp;filter!$R$1) )</f>
        <v>0</v>
      </c>
      <c r="M291" s="50" t="str">
        <f t="array" aca="1" ref="M291" ca="1">IF( $C291="", "", _xll.IMDP("IDX",$C291,M$6,$D$4,"Fill=true, Per="&amp;filter!$R$1) )</f>
        <v/>
      </c>
      <c r="N291" s="51" t="str">
        <f t="array" aca="1" ref="N291" ca="1">IF( $C291="", "", _xll.IMDP("IDX",$C291,N$6,$D$4,"Fill=true, Per="&amp;filter!$R$1) )</f>
        <v/>
      </c>
      <c r="O291" s="52" t="str">
        <f t="array" aca="1" ref="O291" ca="1">IF( $C291="", "", _xll.IMDP("IDX",$C291,O$6,$D$4,"Fill=true, Per="&amp;filter!$R$1) )</f>
        <v/>
      </c>
    </row>
    <row r="292" spans="2:15">
      <c r="B292" s="21">
        <f t="shared" si="4"/>
        <v>284</v>
      </c>
      <c r="C292" s="17" t="str">
        <f>IFERROR( VLOOKUP(ROWS($B$8:B291), filter!$I:$J, 2, 0), "")</f>
        <v>FGG01P</v>
      </c>
      <c r="D292" s="16" t="str" cm="1">
        <f t="array" ref="D292">IF( $C292="", "", _xll.IMDP("IDX", $C292, D$6) )</f>
        <v>KRX 나스닥 100 ETF 선물지수</v>
      </c>
      <c r="E292" s="34">
        <f t="array" aca="1" ref="E292" ca="1">IF( $C292="", "", _xll.IMDP("IDX",$C292,E$6,$D$4,"Fill=true, Per="&amp;filter!$R$1) )</f>
        <v>1466.88</v>
      </c>
      <c r="F292" s="38">
        <f t="array" aca="1" ref="F292" ca="1">IF( $C292="", "", _xll.IMDP("IDX",$C292,F$6,$D$4,"Fill=true, Per="&amp;filter!$R$1) )</f>
        <v>19.810000000000173</v>
      </c>
      <c r="G292" s="39">
        <f t="array" aca="1" ref="G292" ca="1">IF( $C292="", "", _xll.IMDP("IDX",$C292,G$6,$D$4,"Fill=true, Per="&amp;filter!$R$1) )</f>
        <v>1.37</v>
      </c>
      <c r="H292" s="43">
        <f t="array" aca="1" ref="H292" ca="1">IF( $C292="", "", _xll.IMDP("IDX",$C292,H$6,$D$4,"Fill=true, Per="&amp;filter!$R$1) )</f>
        <v>0</v>
      </c>
      <c r="I292" s="43">
        <f t="array" aca="1" ref="I292" ca="1">IF( $C292="", "", _xll.IMDP("IDX",$C292,I$6,$D$4,"Fill=true, Per="&amp;filter!$R$1) )</f>
        <v>0</v>
      </c>
      <c r="J292" s="34">
        <f t="array" aca="1" ref="J292" ca="1">IF( $C292="", "", _xll.IMDP("IDX",$C292,J$6,$D$4,"Fill=true, Per="&amp;filter!$R$1) )</f>
        <v>1447.07</v>
      </c>
      <c r="K292" s="38">
        <f t="array" aca="1" ref="K292" ca="1">IF( $C292="", "", _xll.IMDP("IDX",$C292,K$6,$D$4,"Fill=true, Per="&amp;filter!$R$1) )</f>
        <v>1471.03</v>
      </c>
      <c r="L292" s="39">
        <f t="array" aca="1" ref="L292" ca="1">IF( $C292="", "", _xll.IMDP("IDX",$C292,L$6,$D$4,"Fill=true, Per="&amp;filter!$R$1) )</f>
        <v>0</v>
      </c>
      <c r="M292" s="50" t="str">
        <f t="array" aca="1" ref="M292" ca="1">IF( $C292="", "", _xll.IMDP("IDX",$C292,M$6,$D$4,"Fill=true, Per="&amp;filter!$R$1) )</f>
        <v/>
      </c>
      <c r="N292" s="51" t="str">
        <f t="array" aca="1" ref="N292" ca="1">IF( $C292="", "", _xll.IMDP("IDX",$C292,N$6,$D$4,"Fill=true, Per="&amp;filter!$R$1) )</f>
        <v/>
      </c>
      <c r="O292" s="52" t="str">
        <f t="array" aca="1" ref="O292" ca="1">IF( $C292="", "", _xll.IMDP("IDX",$C292,O$6,$D$4,"Fill=true, Per="&amp;filter!$R$1) )</f>
        <v/>
      </c>
    </row>
    <row r="293" spans="2:15">
      <c r="B293" s="21">
        <f t="shared" si="4"/>
        <v>285</v>
      </c>
      <c r="C293" s="17" t="str">
        <f>IFERROR( VLOOKUP(ROWS($B$8:B292), filter!$I:$J, 2, 0), "")</f>
        <v>FGX01T</v>
      </c>
      <c r="D293" s="16" t="str" cm="1">
        <f t="array" ref="D293">IF( $C293="", "", _xll.IMDP("IDX", $C293, D$6) )</f>
        <v>KRX 2차전지 TOP 10 선물 TWAP ?</v>
      </c>
      <c r="E293" s="34">
        <f t="array" aca="1" ref="E293" ca="1">IF( $C293="", "", _xll.IMDP("IDX",$C293,E$6,$D$4,"Fill=true, Per="&amp;filter!$R$1) )</f>
        <v>1192.04</v>
      </c>
      <c r="F293" s="38">
        <f t="array" aca="1" ref="F293" ca="1">IF( $C293="", "", _xll.IMDP("IDX",$C293,F$6,$D$4,"Fill=true, Per="&amp;filter!$R$1) )</f>
        <v>-65.590000000000146</v>
      </c>
      <c r="G293" s="39">
        <f t="array" aca="1" ref="G293" ca="1">IF( $C293="", "", _xll.IMDP("IDX",$C293,G$6,$D$4,"Fill=true, Per="&amp;filter!$R$1) )</f>
        <v>-5.22</v>
      </c>
      <c r="H293" s="43">
        <f t="array" aca="1" ref="H293" ca="1">IF( $C293="", "", _xll.IMDP("IDX",$C293,H$6,$D$4,"Fill=true, Per="&amp;filter!$R$1) )</f>
        <v>0</v>
      </c>
      <c r="I293" s="43">
        <f t="array" aca="1" ref="I293" ca="1">IF( $C293="", "", _xll.IMDP("IDX",$C293,I$6,$D$4,"Fill=true, Per="&amp;filter!$R$1) )</f>
        <v>0</v>
      </c>
      <c r="J293" s="34">
        <f t="array" aca="1" ref="J293" ca="1">IF( $C293="", "", _xll.IMDP("IDX",$C293,J$6,$D$4,"Fill=true, Per="&amp;filter!$R$1) )</f>
        <v>1257.92</v>
      </c>
      <c r="K293" s="38">
        <f t="array" aca="1" ref="K293" ca="1">IF( $C293="", "", _xll.IMDP("IDX",$C293,K$6,$D$4,"Fill=true, Per="&amp;filter!$R$1) )</f>
        <v>1257.92</v>
      </c>
      <c r="L293" s="39">
        <f t="array" aca="1" ref="L293" ca="1">IF( $C293="", "", _xll.IMDP("IDX",$C293,L$6,$D$4,"Fill=true, Per="&amp;filter!$R$1) )</f>
        <v>0</v>
      </c>
      <c r="M293" s="50" t="str">
        <f t="array" aca="1" ref="M293" ca="1">IF( $C293="", "", _xll.IMDP("IDX",$C293,M$6,$D$4,"Fill=true, Per="&amp;filter!$R$1) )</f>
        <v/>
      </c>
      <c r="N293" s="51" t="str">
        <f t="array" aca="1" ref="N293" ca="1">IF( $C293="", "", _xll.IMDP("IDX",$C293,N$6,$D$4,"Fill=true, Per="&amp;filter!$R$1) )</f>
        <v/>
      </c>
      <c r="O293" s="52" t="str">
        <f t="array" aca="1" ref="O293" ca="1">IF( $C293="", "", _xll.IMDP("IDX",$C293,O$6,$D$4,"Fill=true, Per="&amp;filter!$R$1) )</f>
        <v/>
      </c>
    </row>
    <row r="294" spans="2:15">
      <c r="B294" s="21">
        <f t="shared" si="4"/>
        <v>286</v>
      </c>
      <c r="C294" s="17" t="str">
        <f>IFERROR( VLOOKUP(ROWS($B$8:B293), filter!$I:$J, 2, 0), "")</f>
        <v>FGX02T</v>
      </c>
      <c r="D294" s="16" t="str" cm="1">
        <f t="array" ref="D294">IF( $C294="", "", _xll.IMDP("IDX", $C294, D$6) )</f>
        <v>KRX 나스닥 100 ETF 선물 레버리</v>
      </c>
      <c r="E294" s="34">
        <f t="array" aca="1" ref="E294" ca="1">IF( $C294="", "", _xll.IMDP("IDX",$C294,E$6,$D$4,"Fill=true, Per="&amp;filter!$R$1) )</f>
        <v>2035.42</v>
      </c>
      <c r="F294" s="38">
        <f t="array" aca="1" ref="F294" ca="1">IF( $C294="", "", _xll.IMDP("IDX",$C294,F$6,$D$4,"Fill=true, Per="&amp;filter!$R$1) )</f>
        <v>54.779999999999973</v>
      </c>
      <c r="G294" s="39">
        <f t="array" aca="1" ref="G294" ca="1">IF( $C294="", "", _xll.IMDP("IDX",$C294,G$6,$D$4,"Fill=true, Per="&amp;filter!$R$1) )</f>
        <v>2.77</v>
      </c>
      <c r="H294" s="43">
        <f t="array" aca="1" ref="H294" ca="1">IF( $C294="", "", _xll.IMDP("IDX",$C294,H$6,$D$4,"Fill=true, Per="&amp;filter!$R$1) )</f>
        <v>0</v>
      </c>
      <c r="I294" s="43">
        <f t="array" aca="1" ref="I294" ca="1">IF( $C294="", "", _xll.IMDP("IDX",$C294,I$6,$D$4,"Fill=true, Per="&amp;filter!$R$1) )</f>
        <v>0</v>
      </c>
      <c r="J294" s="34">
        <f t="array" aca="1" ref="J294" ca="1">IF( $C294="", "", _xll.IMDP("IDX",$C294,J$6,$D$4,"Fill=true, Per="&amp;filter!$R$1) )</f>
        <v>1981.05</v>
      </c>
      <c r="K294" s="38">
        <f t="array" aca="1" ref="K294" ca="1">IF( $C294="", "", _xll.IMDP("IDX",$C294,K$6,$D$4,"Fill=true, Per="&amp;filter!$R$1) )</f>
        <v>2046.94</v>
      </c>
      <c r="L294" s="39">
        <f t="array" aca="1" ref="L294" ca="1">IF( $C294="", "", _xll.IMDP("IDX",$C294,L$6,$D$4,"Fill=true, Per="&amp;filter!$R$1) )</f>
        <v>0</v>
      </c>
      <c r="M294" s="50" t="str">
        <f t="array" aca="1" ref="M294" ca="1">IF( $C294="", "", _xll.IMDP("IDX",$C294,M$6,$D$4,"Fill=true, Per="&amp;filter!$R$1) )</f>
        <v/>
      </c>
      <c r="N294" s="51" t="str">
        <f t="array" aca="1" ref="N294" ca="1">IF( $C294="", "", _xll.IMDP("IDX",$C294,N$6,$D$4,"Fill=true, Per="&amp;filter!$R$1) )</f>
        <v/>
      </c>
      <c r="O294" s="52" t="str">
        <f t="array" aca="1" ref="O294" ca="1">IF( $C294="", "", _xll.IMDP("IDX",$C294,O$6,$D$4,"Fill=true, Per="&amp;filter!$R$1) )</f>
        <v/>
      </c>
    </row>
    <row r="295" spans="2:15">
      <c r="B295" s="21">
        <f t="shared" si="4"/>
        <v>287</v>
      </c>
      <c r="C295" s="17" t="str">
        <f>IFERROR( VLOOKUP(ROWS($B$8:B294), filter!$I:$J, 2, 0), "")</f>
        <v>FGX03T</v>
      </c>
      <c r="D295" s="16" t="str" cm="1">
        <f t="array" ref="D295">IF( $C295="", "", _xll.IMDP("IDX", $C295, D$6) )</f>
        <v>KRX 나스닥 100 ETF 선물 인버스</v>
      </c>
      <c r="E295" s="34">
        <f t="array" aca="1" ref="E295" ca="1">IF( $C295="", "", _xll.IMDP("IDX",$C295,E$6,$D$4,"Fill=true, Per="&amp;filter!$R$1) )</f>
        <v>651.46</v>
      </c>
      <c r="F295" s="38">
        <f t="array" aca="1" ref="F295" ca="1">IF( $C295="", "", _xll.IMDP("IDX",$C295,F$6,$D$4,"Fill=true, Per="&amp;filter!$R$1) )</f>
        <v>-8.8199999999999363</v>
      </c>
      <c r="G295" s="39">
        <f t="array" aca="1" ref="G295" ca="1">IF( $C295="", "", _xll.IMDP("IDX",$C295,G$6,$D$4,"Fill=true, Per="&amp;filter!$R$1) )</f>
        <v>-1.34</v>
      </c>
      <c r="H295" s="43">
        <f t="array" aca="1" ref="H295" ca="1">IF( $C295="", "", _xll.IMDP("IDX",$C295,H$6,$D$4,"Fill=true, Per="&amp;filter!$R$1) )</f>
        <v>0</v>
      </c>
      <c r="I295" s="43">
        <f t="array" aca="1" ref="I295" ca="1">IF( $C295="", "", _xll.IMDP("IDX",$C295,I$6,$D$4,"Fill=true, Per="&amp;filter!$R$1) )</f>
        <v>0</v>
      </c>
      <c r="J295" s="34">
        <f t="array" aca="1" ref="J295" ca="1">IF( $C295="", "", _xll.IMDP("IDX",$C295,J$6,$D$4,"Fill=true, Per="&amp;filter!$R$1) )</f>
        <v>660.44</v>
      </c>
      <c r="K295" s="38">
        <f t="array" aca="1" ref="K295" ca="1">IF( $C295="", "", _xll.IMDP("IDX",$C295,K$6,$D$4,"Fill=true, Per="&amp;filter!$R$1) )</f>
        <v>660.44</v>
      </c>
      <c r="L295" s="39">
        <f t="array" aca="1" ref="L295" ca="1">IF( $C295="", "", _xll.IMDP("IDX",$C295,L$6,$D$4,"Fill=true, Per="&amp;filter!$R$1) )</f>
        <v>0</v>
      </c>
      <c r="M295" s="50" t="str">
        <f t="array" aca="1" ref="M295" ca="1">IF( $C295="", "", _xll.IMDP("IDX",$C295,M$6,$D$4,"Fill=true, Per="&amp;filter!$R$1) )</f>
        <v/>
      </c>
      <c r="N295" s="51" t="str">
        <f t="array" aca="1" ref="N295" ca="1">IF( $C295="", "", _xll.IMDP("IDX",$C295,N$6,$D$4,"Fill=true, Per="&amp;filter!$R$1) )</f>
        <v/>
      </c>
      <c r="O295" s="52" t="str">
        <f t="array" aca="1" ref="O295" ca="1">IF( $C295="", "", _xll.IMDP("IDX",$C295,O$6,$D$4,"Fill=true, Per="&amp;filter!$R$1) )</f>
        <v/>
      </c>
    </row>
    <row r="296" spans="2:15">
      <c r="B296" s="21">
        <f t="shared" si="4"/>
        <v>288</v>
      </c>
      <c r="C296" s="17" t="str">
        <f>IFERROR( VLOOKUP(ROWS($B$8:B295), filter!$I:$J, 2, 0), "")</f>
        <v>FGX04T</v>
      </c>
      <c r="D296" s="16" t="str" cm="1">
        <f t="array" ref="D296">IF( $C296="", "", _xll.IMDP("IDX", $C296, D$6) )</f>
        <v>KRX 나스닥 100 ETF 선물 인버스</v>
      </c>
      <c r="E296" s="34">
        <f t="array" aca="1" ref="E296" ca="1">IF( $C296="", "", _xll.IMDP("IDX",$C296,E$6,$D$4,"Fill=true, Per="&amp;filter!$R$1) )</f>
        <v>341.49</v>
      </c>
      <c r="F296" s="38">
        <f t="array" aca="1" ref="F296" ca="1">IF( $C296="", "", _xll.IMDP("IDX",$C296,F$6,$D$4,"Fill=true, Per="&amp;filter!$R$1) )</f>
        <v>-9.5099999999999909</v>
      </c>
      <c r="G296" s="39">
        <f t="array" aca="1" ref="G296" ca="1">IF( $C296="", "", _xll.IMDP("IDX",$C296,G$6,$D$4,"Fill=true, Per="&amp;filter!$R$1) )</f>
        <v>-2.71</v>
      </c>
      <c r="H296" s="43">
        <f t="array" aca="1" ref="H296" ca="1">IF( $C296="", "", _xll.IMDP("IDX",$C296,H$6,$D$4,"Fill=true, Per="&amp;filter!$R$1) )</f>
        <v>0</v>
      </c>
      <c r="I296" s="43">
        <f t="array" aca="1" ref="I296" ca="1">IF( $C296="", "", _xll.IMDP("IDX",$C296,I$6,$D$4,"Fill=true, Per="&amp;filter!$R$1) )</f>
        <v>0</v>
      </c>
      <c r="J296" s="34">
        <f t="array" aca="1" ref="J296" ca="1">IF( $C296="", "", _xll.IMDP("IDX",$C296,J$6,$D$4,"Fill=true, Per="&amp;filter!$R$1) )</f>
        <v>351.07</v>
      </c>
      <c r="K296" s="38">
        <f t="array" aca="1" ref="K296" ca="1">IF( $C296="", "", _xll.IMDP("IDX",$C296,K$6,$D$4,"Fill=true, Per="&amp;filter!$R$1) )</f>
        <v>351.07</v>
      </c>
      <c r="L296" s="39">
        <f t="array" aca="1" ref="L296" ca="1">IF( $C296="", "", _xll.IMDP("IDX",$C296,L$6,$D$4,"Fill=true, Per="&amp;filter!$R$1) )</f>
        <v>0</v>
      </c>
      <c r="M296" s="50" t="str">
        <f t="array" aca="1" ref="M296" ca="1">IF( $C296="", "", _xll.IMDP("IDX",$C296,M$6,$D$4,"Fill=true, Per="&amp;filter!$R$1) )</f>
        <v/>
      </c>
      <c r="N296" s="51" t="str">
        <f t="array" aca="1" ref="N296" ca="1">IF( $C296="", "", _xll.IMDP("IDX",$C296,N$6,$D$4,"Fill=true, Per="&amp;filter!$R$1) )</f>
        <v/>
      </c>
      <c r="O296" s="52" t="str">
        <f t="array" aca="1" ref="O296" ca="1">IF( $C296="", "", _xll.IMDP("IDX",$C296,O$6,$D$4,"Fill=true, Per="&amp;filter!$R$1) )</f>
        <v/>
      </c>
    </row>
    <row r="297" spans="2:15">
      <c r="B297" s="21">
        <f t="shared" si="4"/>
        <v>289</v>
      </c>
      <c r="C297" s="17" t="str">
        <f>IFERROR( VLOOKUP(ROWS($B$8:B296), filter!$I:$J, 2, 0), "")</f>
        <v>FRG01T</v>
      </c>
      <c r="D297" s="16" t="str" cm="1">
        <f t="array" ref="D297">IF( $C297="", "", _xll.IMDP("IDX", $C297, D$6) )</f>
        <v>미국달러선물 TR 지수</v>
      </c>
      <c r="E297" s="34">
        <f t="array" aca="1" ref="E297" ca="1">IF( $C297="", "", _xll.IMDP("IDX",$C297,E$6,$D$4,"Fill=true, Per="&amp;filter!$R$1) )</f>
        <v>1706.18</v>
      </c>
      <c r="F297" s="38">
        <f t="array" aca="1" ref="F297" ca="1">IF( $C297="", "", _xll.IMDP("IDX",$C297,F$6,$D$4,"Fill=true, Per="&amp;filter!$R$1) )</f>
        <v>7.9600000000000364</v>
      </c>
      <c r="G297" s="39">
        <f t="array" aca="1" ref="G297" ca="1">IF( $C297="", "", _xll.IMDP("IDX",$C297,G$6,$D$4,"Fill=true, Per="&amp;filter!$R$1) )</f>
        <v>0.47</v>
      </c>
      <c r="H297" s="43">
        <f t="array" aca="1" ref="H297" ca="1">IF( $C297="", "", _xll.IMDP("IDX",$C297,H$6,$D$4,"Fill=true, Per="&amp;filter!$R$1) )</f>
        <v>0</v>
      </c>
      <c r="I297" s="43">
        <f t="array" aca="1" ref="I297" ca="1">IF( $C297="", "", _xll.IMDP("IDX",$C297,I$6,$D$4,"Fill=true, Per="&amp;filter!$R$1) )</f>
        <v>0</v>
      </c>
      <c r="J297" s="34">
        <f t="array" aca="1" ref="J297" ca="1">IF( $C297="", "", _xll.IMDP("IDX",$C297,J$6,$D$4,"Fill=true, Per="&amp;filter!$R$1) )</f>
        <v>1701.84</v>
      </c>
      <c r="K297" s="38">
        <f t="array" aca="1" ref="K297" ca="1">IF( $C297="", "", _xll.IMDP("IDX",$C297,K$6,$D$4,"Fill=true, Per="&amp;filter!$R$1) )</f>
        <v>1710.52</v>
      </c>
      <c r="L297" s="39">
        <f t="array" aca="1" ref="L297" ca="1">IF( $C297="", "", _xll.IMDP("IDX",$C297,L$6,$D$4,"Fill=true, Per="&amp;filter!$R$1) )</f>
        <v>0</v>
      </c>
      <c r="M297" s="50" t="str">
        <f t="array" aca="1" ref="M297" ca="1">IF( $C297="", "", _xll.IMDP("IDX",$C297,M$6,$D$4,"Fill=true, Per="&amp;filter!$R$1) )</f>
        <v/>
      </c>
      <c r="N297" s="51" t="str">
        <f t="array" aca="1" ref="N297" ca="1">IF( $C297="", "", _xll.IMDP("IDX",$C297,N$6,$D$4,"Fill=true, Per="&amp;filter!$R$1) )</f>
        <v/>
      </c>
      <c r="O297" s="52" t="str">
        <f t="array" aca="1" ref="O297" ca="1">IF( $C297="", "", _xll.IMDP("IDX",$C297,O$6,$D$4,"Fill=true, Per="&amp;filter!$R$1) )</f>
        <v/>
      </c>
    </row>
    <row r="298" spans="2:15">
      <c r="B298" s="21">
        <f t="shared" si="4"/>
        <v>290</v>
      </c>
      <c r="C298" s="17" t="str">
        <f>IFERROR( VLOOKUP(ROWS($B$8:B297), filter!$I:$J, 2, 0), "")</f>
        <v>KGD01P</v>
      </c>
      <c r="D298" s="16" t="str" cm="1">
        <f t="array" ref="D298">IF( $C298="", "", _xll.IMDP("IDX", $C298, D$6) )</f>
        <v>코스피 우선주 지수</v>
      </c>
      <c r="E298" s="34">
        <f t="array" aca="1" ref="E298" ca="1">IF( $C298="", "", _xll.IMDP("IDX",$C298,E$6,$D$4,"Fill=true, Per="&amp;filter!$R$1) )</f>
        <v>3118.92</v>
      </c>
      <c r="F298" s="38">
        <f t="array" aca="1" ref="F298" ca="1">IF( $C298="", "", _xll.IMDP("IDX",$C298,F$6,$D$4,"Fill=true, Per="&amp;filter!$R$1) )</f>
        <v>-14.25</v>
      </c>
      <c r="G298" s="39">
        <f t="array" aca="1" ref="G298" ca="1">IF( $C298="", "", _xll.IMDP("IDX",$C298,G$6,$D$4,"Fill=true, Per="&amp;filter!$R$1) )</f>
        <v>-0.45</v>
      </c>
      <c r="H298" s="43">
        <f t="array" aca="1" ref="H298" ca="1">IF( $C298="", "", _xll.IMDP("IDX",$C298,H$6,$D$4,"Fill=true, Per="&amp;filter!$R$1) )</f>
        <v>4157</v>
      </c>
      <c r="I298" s="43">
        <f t="array" aca="1" ref="I298" ca="1">IF( $C298="", "", _xll.IMDP("IDX",$C298,I$6,$D$4,"Fill=true, Per="&amp;filter!$R$1) )</f>
        <v>271161</v>
      </c>
      <c r="J298" s="34">
        <f t="array" aca="1" ref="J298" ca="1">IF( $C298="", "", _xll.IMDP("IDX",$C298,J$6,$D$4,"Fill=true, Per="&amp;filter!$R$1) )</f>
        <v>3136.54</v>
      </c>
      <c r="K298" s="38">
        <f t="array" aca="1" ref="K298" ca="1">IF( $C298="", "", _xll.IMDP("IDX",$C298,K$6,$D$4,"Fill=true, Per="&amp;filter!$R$1) )</f>
        <v>3152.58</v>
      </c>
      <c r="L298" s="39">
        <f t="array" aca="1" ref="L298" ca="1">IF( $C298="", "", _xll.IMDP("IDX",$C298,L$6,$D$4,"Fill=true, Per="&amp;filter!$R$1) )</f>
        <v>0</v>
      </c>
      <c r="M298" s="50" t="str">
        <f t="array" aca="1" ref="M298" ca="1">IF( $C298="", "", _xll.IMDP("IDX",$C298,M$6,$D$4,"Fill=true, Per="&amp;filter!$R$1) )</f>
        <v/>
      </c>
      <c r="N298" s="51" t="str">
        <f t="array" aca="1" ref="N298" ca="1">IF( $C298="", "", _xll.IMDP("IDX",$C298,N$6,$D$4,"Fill=true, Per="&amp;filter!$R$1) )</f>
        <v/>
      </c>
      <c r="O298" s="52" t="str">
        <f t="array" aca="1" ref="O298" ca="1">IF( $C298="", "", _xll.IMDP("IDX",$C298,O$6,$D$4,"Fill=true, Per="&amp;filter!$R$1) )</f>
        <v/>
      </c>
    </row>
    <row r="299" spans="2:15">
      <c r="B299" s="21">
        <f t="shared" si="4"/>
        <v>291</v>
      </c>
      <c r="C299" s="17" t="str">
        <f>IFERROR( VLOOKUP(ROWS($B$8:B298), filter!$I:$J, 2, 0), "")</f>
        <v>FRG02P</v>
      </c>
      <c r="D299" s="16" t="str" cm="1">
        <f t="array" ref="D299">IF( $C299="", "", _xll.IMDP("IDX", $C299, D$6) )</f>
        <v>유로선물 지수</v>
      </c>
      <c r="E299" s="34">
        <f t="array" aca="1" ref="E299" ca="1">IF( $C299="", "", _xll.IMDP("IDX",$C299,E$6,$D$4,"Fill=true, Per="&amp;filter!$R$1) )</f>
        <v>872.49</v>
      </c>
      <c r="F299" s="38">
        <f t="array" aca="1" ref="F299" ca="1">IF( $C299="", "", _xll.IMDP("IDX",$C299,F$6,$D$4,"Fill=true, Per="&amp;filter!$R$1) )</f>
        <v>3.3500000000000227</v>
      </c>
      <c r="G299" s="39">
        <f t="array" aca="1" ref="G299" ca="1">IF( $C299="", "", _xll.IMDP("IDX",$C299,G$6,$D$4,"Fill=true, Per="&amp;filter!$R$1) )</f>
        <v>0.39</v>
      </c>
      <c r="H299" s="43">
        <f t="array" aca="1" ref="H299" ca="1">IF( $C299="", "", _xll.IMDP("IDX",$C299,H$6,$D$4,"Fill=true, Per="&amp;filter!$R$1) )</f>
        <v>0</v>
      </c>
      <c r="I299" s="43">
        <f t="array" aca="1" ref="I299" ca="1">IF( $C299="", "", _xll.IMDP("IDX",$C299,I$6,$D$4,"Fill=true, Per="&amp;filter!$R$1) )</f>
        <v>0</v>
      </c>
      <c r="J299" s="34">
        <f t="array" aca="1" ref="J299" ca="1">IF( $C299="", "", _xll.IMDP("IDX",$C299,J$6,$D$4,"Fill=true, Per="&amp;filter!$R$1) )</f>
        <v>869.14</v>
      </c>
      <c r="K299" s="38">
        <f t="array" aca="1" ref="K299" ca="1">IF( $C299="", "", _xll.IMDP("IDX",$C299,K$6,$D$4,"Fill=true, Per="&amp;filter!$R$1) )</f>
        <v>872.49</v>
      </c>
      <c r="L299" s="39">
        <f t="array" aca="1" ref="L299" ca="1">IF( $C299="", "", _xll.IMDP("IDX",$C299,L$6,$D$4,"Fill=true, Per="&amp;filter!$R$1) )</f>
        <v>0</v>
      </c>
      <c r="M299" s="50" t="str">
        <f t="array" aca="1" ref="M299" ca="1">IF( $C299="", "", _xll.IMDP("IDX",$C299,M$6,$D$4,"Fill=true, Per="&amp;filter!$R$1) )</f>
        <v/>
      </c>
      <c r="N299" s="51" t="str">
        <f t="array" aca="1" ref="N299" ca="1">IF( $C299="", "", _xll.IMDP("IDX",$C299,N$6,$D$4,"Fill=true, Per="&amp;filter!$R$1) )</f>
        <v/>
      </c>
      <c r="O299" s="52" t="str">
        <f t="array" aca="1" ref="O299" ca="1">IF( $C299="", "", _xll.IMDP("IDX",$C299,O$6,$D$4,"Fill=true, Per="&amp;filter!$R$1) )</f>
        <v/>
      </c>
    </row>
    <row r="300" spans="2:15">
      <c r="B300" s="21">
        <f t="shared" si="4"/>
        <v>292</v>
      </c>
      <c r="C300" s="17" t="str">
        <f>IFERROR( VLOOKUP(ROWS($B$8:B299), filter!$I:$J, 2, 0), "")</f>
        <v>FRG03P</v>
      </c>
      <c r="D300" s="16" t="str" cm="1">
        <f t="array" ref="D300">IF( $C300="", "", _xll.IMDP("IDX", $C300, D$6) )</f>
        <v>엔선물 지수</v>
      </c>
      <c r="E300" s="34">
        <f t="array" aca="1" ref="E300" ca="1">IF( $C300="", "", _xll.IMDP("IDX",$C300,E$6,$D$4,"Fill=true, Per="&amp;filter!$R$1) )</f>
        <v>491.92</v>
      </c>
      <c r="F300" s="38">
        <f t="array" aca="1" ref="F300" ca="1">IF( $C300="", "", _xll.IMDP("IDX",$C300,F$6,$D$4,"Fill=true, Per="&amp;filter!$R$1) )</f>
        <v>-1.6599999999999682</v>
      </c>
      <c r="G300" s="39">
        <f t="array" aca="1" ref="G300" ca="1">IF( $C300="", "", _xll.IMDP("IDX",$C300,G$6,$D$4,"Fill=true, Per="&amp;filter!$R$1) )</f>
        <v>-0.34</v>
      </c>
      <c r="H300" s="43">
        <f t="array" aca="1" ref="H300" ca="1">IF( $C300="", "", _xll.IMDP("IDX",$C300,H$6,$D$4,"Fill=true, Per="&amp;filter!$R$1) )</f>
        <v>0</v>
      </c>
      <c r="I300" s="43">
        <f t="array" aca="1" ref="I300" ca="1">IF( $C300="", "", _xll.IMDP("IDX",$C300,I$6,$D$4,"Fill=true, Per="&amp;filter!$R$1) )</f>
        <v>0</v>
      </c>
      <c r="J300" s="34">
        <f t="array" aca="1" ref="J300" ca="1">IF( $C300="", "", _xll.IMDP("IDX",$C300,J$6,$D$4,"Fill=true, Per="&amp;filter!$R$1) )</f>
        <v>490.9</v>
      </c>
      <c r="K300" s="38">
        <f t="array" aca="1" ref="K300" ca="1">IF( $C300="", "", _xll.IMDP("IDX",$C300,K$6,$D$4,"Fill=true, Per="&amp;filter!$R$1) )</f>
        <v>492.18</v>
      </c>
      <c r="L300" s="39">
        <f t="array" aca="1" ref="L300" ca="1">IF( $C300="", "", _xll.IMDP("IDX",$C300,L$6,$D$4,"Fill=true, Per="&amp;filter!$R$1) )</f>
        <v>0</v>
      </c>
      <c r="M300" s="50" t="str">
        <f t="array" aca="1" ref="M300" ca="1">IF( $C300="", "", _xll.IMDP("IDX",$C300,M$6,$D$4,"Fill=true, Per="&amp;filter!$R$1) )</f>
        <v/>
      </c>
      <c r="N300" s="51" t="str">
        <f t="array" aca="1" ref="N300" ca="1">IF( $C300="", "", _xll.IMDP("IDX",$C300,N$6,$D$4,"Fill=true, Per="&amp;filter!$R$1) )</f>
        <v/>
      </c>
      <c r="O300" s="52" t="str">
        <f t="array" aca="1" ref="O300" ca="1">IF( $C300="", "", _xll.IMDP("IDX",$C300,O$6,$D$4,"Fill=true, Per="&amp;filter!$R$1) )</f>
        <v/>
      </c>
    </row>
    <row r="301" spans="2:15">
      <c r="B301" s="21">
        <f t="shared" si="4"/>
        <v>293</v>
      </c>
      <c r="C301" s="17" t="str">
        <f>IFERROR( VLOOKUP(ROWS($B$8:B300), filter!$I:$J, 2, 0), "")</f>
        <v>FRX01P</v>
      </c>
      <c r="D301" s="16" t="str" cm="1">
        <f t="array" ref="D301">IF( $C301="", "", _xll.IMDP("IDX", $C301, D$6) )</f>
        <v>미국달러 선물 인버스지수</v>
      </c>
      <c r="E301" s="34">
        <f t="array" aca="1" ref="E301" ca="1">IF( $C301="", "", _xll.IMDP("IDX",$C301,E$6,$D$4,"Fill=true, Per="&amp;filter!$R$1) )</f>
        <v>1226.73</v>
      </c>
      <c r="F301" s="38">
        <f t="array" aca="1" ref="F301" ca="1">IF( $C301="", "", _xll.IMDP("IDX",$C301,F$6,$D$4,"Fill=true, Per="&amp;filter!$R$1) )</f>
        <v>-4.8899999999998727</v>
      </c>
      <c r="G301" s="39">
        <f t="array" aca="1" ref="G301" ca="1">IF( $C301="", "", _xll.IMDP("IDX",$C301,G$6,$D$4,"Fill=true, Per="&amp;filter!$R$1) )</f>
        <v>-0.4</v>
      </c>
      <c r="H301" s="43">
        <f t="array" aca="1" ref="H301" ca="1">IF( $C301="", "", _xll.IMDP("IDX",$C301,H$6,$D$4,"Fill=true, Per="&amp;filter!$R$1) )</f>
        <v>0</v>
      </c>
      <c r="I301" s="43">
        <f t="array" aca="1" ref="I301" ca="1">IF( $C301="", "", _xll.IMDP("IDX",$C301,I$6,$D$4,"Fill=true, Per="&amp;filter!$R$1) )</f>
        <v>0</v>
      </c>
      <c r="J301" s="34">
        <f t="array" aca="1" ref="J301" ca="1">IF( $C301="", "", _xll.IMDP("IDX",$C301,J$6,$D$4,"Fill=true, Per="&amp;filter!$R$1) )</f>
        <v>1229.6500000000001</v>
      </c>
      <c r="K301" s="38">
        <f t="array" aca="1" ref="K301" ca="1">IF( $C301="", "", _xll.IMDP("IDX",$C301,K$6,$D$4,"Fill=true, Per="&amp;filter!$R$1) )</f>
        <v>1230.95</v>
      </c>
      <c r="L301" s="39">
        <f t="array" aca="1" ref="L301" ca="1">IF( $C301="", "", _xll.IMDP("IDX",$C301,L$6,$D$4,"Fill=true, Per="&amp;filter!$R$1) )</f>
        <v>0</v>
      </c>
      <c r="M301" s="50" t="str">
        <f t="array" aca="1" ref="M301" ca="1">IF( $C301="", "", _xll.IMDP("IDX",$C301,M$6,$D$4,"Fill=true, Per="&amp;filter!$R$1) )</f>
        <v/>
      </c>
      <c r="N301" s="51" t="str">
        <f t="array" aca="1" ref="N301" ca="1">IF( $C301="", "", _xll.IMDP("IDX",$C301,N$6,$D$4,"Fill=true, Per="&amp;filter!$R$1) )</f>
        <v/>
      </c>
      <c r="O301" s="52" t="str">
        <f t="array" aca="1" ref="O301" ca="1">IF( $C301="", "", _xll.IMDP("IDX",$C301,O$6,$D$4,"Fill=true, Per="&amp;filter!$R$1) )</f>
        <v/>
      </c>
    </row>
    <row r="302" spans="2:15">
      <c r="B302" s="21">
        <f t="shared" si="4"/>
        <v>294</v>
      </c>
      <c r="C302" s="17" t="str">
        <f>IFERROR( VLOOKUP(ROWS($B$8:B301), filter!$I:$J, 2, 0), "")</f>
        <v>FRX02P</v>
      </c>
      <c r="D302" s="16" t="str" cm="1">
        <f t="array" ref="D302">IF( $C302="", "", _xll.IMDP("IDX", $C302, D$6) )</f>
        <v>미국달러선물 레버리지지수</v>
      </c>
      <c r="E302" s="34">
        <f t="array" aca="1" ref="E302" ca="1">IF( $C302="", "", _xll.IMDP("IDX",$C302,E$6,$D$4,"Fill=true, Per="&amp;filter!$R$1) )</f>
        <v>1507.33</v>
      </c>
      <c r="F302" s="38">
        <f t="array" aca="1" ref="F302" ca="1">IF( $C302="", "", _xll.IMDP("IDX",$C302,F$6,$D$4,"Fill=true, Per="&amp;filter!$R$1) )</f>
        <v>12.429999999999836</v>
      </c>
      <c r="G302" s="39">
        <f t="array" aca="1" ref="G302" ca="1">IF( $C302="", "", _xll.IMDP("IDX",$C302,G$6,$D$4,"Fill=true, Per="&amp;filter!$R$1) )</f>
        <v>0.83</v>
      </c>
      <c r="H302" s="43">
        <f t="array" aca="1" ref="H302" ca="1">IF( $C302="", "", _xll.IMDP("IDX",$C302,H$6,$D$4,"Fill=true, Per="&amp;filter!$R$1) )</f>
        <v>0</v>
      </c>
      <c r="I302" s="43">
        <f t="array" aca="1" ref="I302" ca="1">IF( $C302="", "", _xll.IMDP("IDX",$C302,I$6,$D$4,"Fill=true, Per="&amp;filter!$R$1) )</f>
        <v>0</v>
      </c>
      <c r="J302" s="34">
        <f t="array" aca="1" ref="J302" ca="1">IF( $C302="", "", _xll.IMDP("IDX",$C302,J$6,$D$4,"Fill=true, Per="&amp;filter!$R$1) )</f>
        <v>1500.07</v>
      </c>
      <c r="K302" s="38">
        <f t="array" aca="1" ref="K302" ca="1">IF( $C302="", "", _xll.IMDP("IDX",$C302,K$6,$D$4,"Fill=true, Per="&amp;filter!$R$1) )</f>
        <v>1514.97</v>
      </c>
      <c r="L302" s="39">
        <f t="array" aca="1" ref="L302" ca="1">IF( $C302="", "", _xll.IMDP("IDX",$C302,L$6,$D$4,"Fill=true, Per="&amp;filter!$R$1) )</f>
        <v>0</v>
      </c>
      <c r="M302" s="50" t="str">
        <f t="array" aca="1" ref="M302" ca="1">IF( $C302="", "", _xll.IMDP("IDX",$C302,M$6,$D$4,"Fill=true, Per="&amp;filter!$R$1) )</f>
        <v/>
      </c>
      <c r="N302" s="51" t="str">
        <f t="array" aca="1" ref="N302" ca="1">IF( $C302="", "", _xll.IMDP("IDX",$C302,N$6,$D$4,"Fill=true, Per="&amp;filter!$R$1) )</f>
        <v/>
      </c>
      <c r="O302" s="52" t="str">
        <f t="array" aca="1" ref="O302" ca="1">IF( $C302="", "", _xll.IMDP("IDX",$C302,O$6,$D$4,"Fill=true, Per="&amp;filter!$R$1) )</f>
        <v/>
      </c>
    </row>
    <row r="303" spans="2:15">
      <c r="B303" s="21">
        <f t="shared" si="4"/>
        <v>295</v>
      </c>
      <c r="C303" s="17" t="str">
        <f>IFERROR( VLOOKUP(ROWS($B$8:B302), filter!$I:$J, 2, 0), "")</f>
        <v>FRX03P</v>
      </c>
      <c r="D303" s="16" t="str" cm="1">
        <f t="array" ref="D303">IF( $C303="", "", _xll.IMDP("IDX", $C303, D$6) )</f>
        <v>미국달러선물 인버스-2X지수</v>
      </c>
      <c r="E303" s="34">
        <f t="array" aca="1" ref="E303" ca="1">IF( $C303="", "", _xll.IMDP("IDX",$C303,E$6,$D$4,"Fill=true, Per="&amp;filter!$R$1) )</f>
        <v>587.79999999999995</v>
      </c>
      <c r="F303" s="38">
        <f t="array" aca="1" ref="F303" ca="1">IF( $C303="", "", _xll.IMDP("IDX",$C303,F$6,$D$4,"Fill=true, Per="&amp;filter!$R$1) )</f>
        <v>-5.1299999999999955</v>
      </c>
      <c r="G303" s="39">
        <f t="array" aca="1" ref="G303" ca="1">IF( $C303="", "", _xll.IMDP("IDX",$C303,G$6,$D$4,"Fill=true, Per="&amp;filter!$R$1) )</f>
        <v>-0.87</v>
      </c>
      <c r="H303" s="43">
        <f t="array" aca="1" ref="H303" ca="1">IF( $C303="", "", _xll.IMDP("IDX",$C303,H$6,$D$4,"Fill=true, Per="&amp;filter!$R$1) )</f>
        <v>0</v>
      </c>
      <c r="I303" s="43">
        <f t="array" aca="1" ref="I303" ca="1">IF( $C303="", "", _xll.IMDP("IDX",$C303,I$6,$D$4,"Fill=true, Per="&amp;filter!$R$1) )</f>
        <v>0</v>
      </c>
      <c r="J303" s="34">
        <f t="array" aca="1" ref="J303" ca="1">IF( $C303="", "", _xll.IMDP("IDX",$C303,J$6,$D$4,"Fill=true, Per="&amp;filter!$R$1) )</f>
        <v>590.71</v>
      </c>
      <c r="K303" s="38">
        <f t="array" aca="1" ref="K303" ca="1">IF( $C303="", "", _xll.IMDP("IDX",$C303,K$6,$D$4,"Fill=true, Per="&amp;filter!$R$1) )</f>
        <v>591.95000000000005</v>
      </c>
      <c r="L303" s="39">
        <f t="array" aca="1" ref="L303" ca="1">IF( $C303="", "", _xll.IMDP("IDX",$C303,L$6,$D$4,"Fill=true, Per="&amp;filter!$R$1) )</f>
        <v>0</v>
      </c>
      <c r="M303" s="50" t="str">
        <f t="array" aca="1" ref="M303" ca="1">IF( $C303="", "", _xll.IMDP("IDX",$C303,M$6,$D$4,"Fill=true, Per="&amp;filter!$R$1) )</f>
        <v/>
      </c>
      <c r="N303" s="51" t="str">
        <f t="array" aca="1" ref="N303" ca="1">IF( $C303="", "", _xll.IMDP("IDX",$C303,N$6,$D$4,"Fill=true, Per="&amp;filter!$R$1) )</f>
        <v/>
      </c>
      <c r="O303" s="52" t="str">
        <f t="array" aca="1" ref="O303" ca="1">IF( $C303="", "", _xll.IMDP("IDX",$C303,O$6,$D$4,"Fill=true, Per="&amp;filter!$R$1) )</f>
        <v/>
      </c>
    </row>
    <row r="304" spans="2:15">
      <c r="B304" s="21">
        <f t="shared" si="4"/>
        <v>296</v>
      </c>
      <c r="C304" s="17" t="str">
        <f>IFERROR( VLOOKUP(ROWS($B$8:B303), filter!$I:$J, 2, 0), "")</f>
        <v>FRX04P</v>
      </c>
      <c r="D304" s="16" t="str" cm="1">
        <f t="array" ref="D304">IF( $C304="", "", _xll.IMDP("IDX", $C304, D$6) )</f>
        <v>미국달러선물 인버스-3X지수</v>
      </c>
      <c r="E304" s="34">
        <f t="array" aca="1" ref="E304" ca="1">IF( $C304="", "", _xll.IMDP("IDX",$C304,E$6,$D$4,"Fill=true, Per="&amp;filter!$R$1) )</f>
        <v>378.79</v>
      </c>
      <c r="F304" s="38">
        <f t="array" aca="1" ref="F304" ca="1">IF( $C304="", "", _xll.IMDP("IDX",$C304,F$6,$D$4,"Fill=true, Per="&amp;filter!$R$1) )</f>
        <v>-4.9799999999999613</v>
      </c>
      <c r="G304" s="39">
        <f t="array" aca="1" ref="G304" ca="1">IF( $C304="", "", _xll.IMDP("IDX",$C304,G$6,$D$4,"Fill=true, Per="&amp;filter!$R$1) )</f>
        <v>-1.3</v>
      </c>
      <c r="H304" s="43">
        <f t="array" aca="1" ref="H304" ca="1">IF( $C304="", "", _xll.IMDP("IDX",$C304,H$6,$D$4,"Fill=true, Per="&amp;filter!$R$1) )</f>
        <v>0</v>
      </c>
      <c r="I304" s="43">
        <f t="array" aca="1" ref="I304" ca="1">IF( $C304="", "", _xll.IMDP("IDX",$C304,I$6,$D$4,"Fill=true, Per="&amp;filter!$R$1) )</f>
        <v>0</v>
      </c>
      <c r="J304" s="34">
        <f t="array" aca="1" ref="J304" ca="1">IF( $C304="", "", _xll.IMDP("IDX",$C304,J$6,$D$4,"Fill=true, Per="&amp;filter!$R$1) )</f>
        <v>381.61</v>
      </c>
      <c r="K304" s="38">
        <f t="array" aca="1" ref="K304" ca="1">IF( $C304="", "", _xll.IMDP("IDX",$C304,K$6,$D$4,"Fill=true, Per="&amp;filter!$R$1) )</f>
        <v>382.82</v>
      </c>
      <c r="L304" s="39">
        <f t="array" aca="1" ref="L304" ca="1">IF( $C304="", "", _xll.IMDP("IDX",$C304,L$6,$D$4,"Fill=true, Per="&amp;filter!$R$1) )</f>
        <v>0</v>
      </c>
      <c r="M304" s="50" t="str">
        <f t="array" aca="1" ref="M304" ca="1">IF( $C304="", "", _xll.IMDP("IDX",$C304,M$6,$D$4,"Fill=true, Per="&amp;filter!$R$1) )</f>
        <v/>
      </c>
      <c r="N304" s="51" t="str">
        <f t="array" aca="1" ref="N304" ca="1">IF( $C304="", "", _xll.IMDP("IDX",$C304,N$6,$D$4,"Fill=true, Per="&amp;filter!$R$1) )</f>
        <v/>
      </c>
      <c r="O304" s="52" t="str">
        <f t="array" aca="1" ref="O304" ca="1">IF( $C304="", "", _xll.IMDP("IDX",$C304,O$6,$D$4,"Fill=true, Per="&amp;filter!$R$1) )</f>
        <v/>
      </c>
    </row>
    <row r="305" spans="2:15">
      <c r="B305" s="21">
        <f t="shared" si="4"/>
        <v>297</v>
      </c>
      <c r="C305" s="17" t="str">
        <f>IFERROR( VLOOKUP(ROWS($B$8:B304), filter!$I:$J, 2, 0), "")</f>
        <v>FRX05P</v>
      </c>
      <c r="D305" s="16" t="str" cm="1">
        <f t="array" ref="D305">IF( $C305="", "", _xll.IMDP("IDX", $C305, D$6) )</f>
        <v>유로선물 레버리지지수</v>
      </c>
      <c r="E305" s="34">
        <f t="array" aca="1" ref="E305" ca="1">IF( $C305="", "", _xll.IMDP("IDX",$C305,E$6,$D$4,"Fill=true, Per="&amp;filter!$R$1) )</f>
        <v>712.03</v>
      </c>
      <c r="F305" s="38">
        <f t="array" aca="1" ref="F305" ca="1">IF( $C305="", "", _xll.IMDP("IDX",$C305,F$6,$D$4,"Fill=true, Per="&amp;filter!$R$1) )</f>
        <v>5.17999999999995</v>
      </c>
      <c r="G305" s="39">
        <f t="array" aca="1" ref="G305" ca="1">IF( $C305="", "", _xll.IMDP("IDX",$C305,G$6,$D$4,"Fill=true, Per="&amp;filter!$R$1) )</f>
        <v>0.73</v>
      </c>
      <c r="H305" s="43">
        <f t="array" aca="1" ref="H305" ca="1">IF( $C305="", "", _xll.IMDP("IDX",$C305,H$6,$D$4,"Fill=true, Per="&amp;filter!$R$1) )</f>
        <v>0</v>
      </c>
      <c r="I305" s="43">
        <f t="array" aca="1" ref="I305" ca="1">IF( $C305="", "", _xll.IMDP("IDX",$C305,I$6,$D$4,"Fill=true, Per="&amp;filter!$R$1) )</f>
        <v>0</v>
      </c>
      <c r="J305" s="34">
        <f t="array" aca="1" ref="J305" ca="1">IF( $C305="", "", _xll.IMDP("IDX",$C305,J$6,$D$4,"Fill=true, Per="&amp;filter!$R$1) )</f>
        <v>706.65</v>
      </c>
      <c r="K305" s="38">
        <f t="array" aca="1" ref="K305" ca="1">IF( $C305="", "", _xll.IMDP("IDX",$C305,K$6,$D$4,"Fill=true, Per="&amp;filter!$R$1) )</f>
        <v>712.03</v>
      </c>
      <c r="L305" s="39">
        <f t="array" aca="1" ref="L305" ca="1">IF( $C305="", "", _xll.IMDP("IDX",$C305,L$6,$D$4,"Fill=true, Per="&amp;filter!$R$1) )</f>
        <v>0</v>
      </c>
      <c r="M305" s="50" t="str">
        <f t="array" aca="1" ref="M305" ca="1">IF( $C305="", "", _xll.IMDP("IDX",$C305,M$6,$D$4,"Fill=true, Per="&amp;filter!$R$1) )</f>
        <v/>
      </c>
      <c r="N305" s="51" t="str">
        <f t="array" aca="1" ref="N305" ca="1">IF( $C305="", "", _xll.IMDP("IDX",$C305,N$6,$D$4,"Fill=true, Per="&amp;filter!$R$1) )</f>
        <v/>
      </c>
      <c r="O305" s="52" t="str">
        <f t="array" aca="1" ref="O305" ca="1">IF( $C305="", "", _xll.IMDP("IDX",$C305,O$6,$D$4,"Fill=true, Per="&amp;filter!$R$1) )</f>
        <v/>
      </c>
    </row>
    <row r="306" spans="2:15">
      <c r="B306" s="21">
        <f t="shared" si="4"/>
        <v>298</v>
      </c>
      <c r="C306" s="17" t="str">
        <f>IFERROR( VLOOKUP(ROWS($B$8:B305), filter!$I:$J, 2, 0), "")</f>
        <v>FRX06P</v>
      </c>
      <c r="D306" s="16" t="str" cm="1">
        <f t="array" ref="D306">IF( $C306="", "", _xll.IMDP("IDX", $C306, D$6) )</f>
        <v>유로선물 인버스지수</v>
      </c>
      <c r="E306" s="34">
        <f t="array" aca="1" ref="E306" ca="1">IF( $C306="", "", _xll.IMDP("IDX",$C306,E$6,$D$4,"Fill=true, Per="&amp;filter!$R$1) )</f>
        <v>895.75</v>
      </c>
      <c r="F306" s="38">
        <f t="array" aca="1" ref="F306" ca="1">IF( $C306="", "", _xll.IMDP("IDX",$C306,F$6,$D$4,"Fill=true, Per="&amp;filter!$R$1) )</f>
        <v>-3.1299999999999955</v>
      </c>
      <c r="G306" s="39">
        <f t="array" aca="1" ref="G306" ca="1">IF( $C306="", "", _xll.IMDP("IDX",$C306,G$6,$D$4,"Fill=true, Per="&amp;filter!$R$1) )</f>
        <v>-0.35</v>
      </c>
      <c r="H306" s="43">
        <f t="array" aca="1" ref="H306" ca="1">IF( $C306="", "", _xll.IMDP("IDX",$C306,H$6,$D$4,"Fill=true, Per="&amp;filter!$R$1) )</f>
        <v>0</v>
      </c>
      <c r="I306" s="43">
        <f t="array" aca="1" ref="I306" ca="1">IF( $C306="", "", _xll.IMDP("IDX",$C306,I$6,$D$4,"Fill=true, Per="&amp;filter!$R$1) )</f>
        <v>0</v>
      </c>
      <c r="J306" s="34">
        <f t="array" aca="1" ref="J306" ca="1">IF( $C306="", "", _xll.IMDP("IDX",$C306,J$6,$D$4,"Fill=true, Per="&amp;filter!$R$1) )</f>
        <v>899.13</v>
      </c>
      <c r="K306" s="38">
        <f t="array" aca="1" ref="K306" ca="1">IF( $C306="", "", _xll.IMDP("IDX",$C306,K$6,$D$4,"Fill=true, Per="&amp;filter!$R$1) )</f>
        <v>899.8</v>
      </c>
      <c r="L306" s="39">
        <f t="array" aca="1" ref="L306" ca="1">IF( $C306="", "", _xll.IMDP("IDX",$C306,L$6,$D$4,"Fill=true, Per="&amp;filter!$R$1) )</f>
        <v>0</v>
      </c>
      <c r="M306" s="50" t="str">
        <f t="array" aca="1" ref="M306" ca="1">IF( $C306="", "", _xll.IMDP("IDX",$C306,M$6,$D$4,"Fill=true, Per="&amp;filter!$R$1) )</f>
        <v/>
      </c>
      <c r="N306" s="51" t="str">
        <f t="array" aca="1" ref="N306" ca="1">IF( $C306="", "", _xll.IMDP("IDX",$C306,N$6,$D$4,"Fill=true, Per="&amp;filter!$R$1) )</f>
        <v/>
      </c>
      <c r="O306" s="52" t="str">
        <f t="array" aca="1" ref="O306" ca="1">IF( $C306="", "", _xll.IMDP("IDX",$C306,O$6,$D$4,"Fill=true, Per="&amp;filter!$R$1) )</f>
        <v/>
      </c>
    </row>
    <row r="307" spans="2:15">
      <c r="B307" s="21">
        <f t="shared" si="4"/>
        <v>299</v>
      </c>
      <c r="C307" s="17" t="str">
        <f>IFERROR( VLOOKUP(ROWS($B$8:B306), filter!$I:$J, 2, 0), "")</f>
        <v>FRX07P</v>
      </c>
      <c r="D307" s="16" t="str" cm="1">
        <f t="array" ref="D307">IF( $C307="", "", _xll.IMDP("IDX", $C307, D$6) )</f>
        <v>유로선물 인버스-2X지수</v>
      </c>
      <c r="E307" s="34">
        <f t="array" aca="1" ref="E307" ca="1">IF( $C307="", "", _xll.IMDP("IDX",$C307,E$6,$D$4,"Fill=true, Per="&amp;filter!$R$1) )</f>
        <v>640.97</v>
      </c>
      <c r="F307" s="38">
        <f t="array" aca="1" ref="F307" ca="1">IF( $C307="", "", _xll.IMDP("IDX",$C307,F$6,$D$4,"Fill=true, Per="&amp;filter!$R$1) )</f>
        <v>-4.9700000000000273</v>
      </c>
      <c r="G307" s="39">
        <f t="array" aca="1" ref="G307" ca="1">IF( $C307="", "", _xll.IMDP("IDX",$C307,G$6,$D$4,"Fill=true, Per="&amp;filter!$R$1) )</f>
        <v>-0.77</v>
      </c>
      <c r="H307" s="43">
        <f t="array" aca="1" ref="H307" ca="1">IF( $C307="", "", _xll.IMDP("IDX",$C307,H$6,$D$4,"Fill=true, Per="&amp;filter!$R$1) )</f>
        <v>0</v>
      </c>
      <c r="I307" s="43">
        <f t="array" aca="1" ref="I307" ca="1">IF( $C307="", "", _xll.IMDP("IDX",$C307,I$6,$D$4,"Fill=true, Per="&amp;filter!$R$1) )</f>
        <v>0</v>
      </c>
      <c r="J307" s="34">
        <f t="array" aca="1" ref="J307" ca="1">IF( $C307="", "", _xll.IMDP("IDX",$C307,J$6,$D$4,"Fill=true, Per="&amp;filter!$R$1) )</f>
        <v>645.94000000000005</v>
      </c>
      <c r="K307" s="38">
        <f t="array" aca="1" ref="K307" ca="1">IF( $C307="", "", _xll.IMDP("IDX",$C307,K$6,$D$4,"Fill=true, Per="&amp;filter!$R$1) )</f>
        <v>646.91</v>
      </c>
      <c r="L307" s="39">
        <f t="array" aca="1" ref="L307" ca="1">IF( $C307="", "", _xll.IMDP("IDX",$C307,L$6,$D$4,"Fill=true, Per="&amp;filter!$R$1) )</f>
        <v>0</v>
      </c>
      <c r="M307" s="50" t="str">
        <f t="array" aca="1" ref="M307" ca="1">IF( $C307="", "", _xll.IMDP("IDX",$C307,M$6,$D$4,"Fill=true, Per="&amp;filter!$R$1) )</f>
        <v/>
      </c>
      <c r="N307" s="51" t="str">
        <f t="array" aca="1" ref="N307" ca="1">IF( $C307="", "", _xll.IMDP("IDX",$C307,N$6,$D$4,"Fill=true, Per="&amp;filter!$R$1) )</f>
        <v/>
      </c>
      <c r="O307" s="52" t="str">
        <f t="array" aca="1" ref="O307" ca="1">IF( $C307="", "", _xll.IMDP("IDX",$C307,O$6,$D$4,"Fill=true, Per="&amp;filter!$R$1) )</f>
        <v/>
      </c>
    </row>
    <row r="308" spans="2:15">
      <c r="B308" s="21">
        <f t="shared" si="4"/>
        <v>300</v>
      </c>
      <c r="C308" s="17" t="str">
        <f>IFERROR( VLOOKUP(ROWS($B$8:B307), filter!$I:$J, 2, 0), "")</f>
        <v>FRX08P</v>
      </c>
      <c r="D308" s="16" t="str" cm="1">
        <f t="array" ref="D308">IF( $C308="", "", _xll.IMDP("IDX", $C308, D$6) )</f>
        <v>유로선물 인버스-3X지수</v>
      </c>
      <c r="E308" s="34">
        <f t="array" aca="1" ref="E308" ca="1">IF( $C308="", "", _xll.IMDP("IDX",$C308,E$6,$D$4,"Fill=true, Per="&amp;filter!$R$1) )</f>
        <v>504.72</v>
      </c>
      <c r="F308" s="38">
        <f t="array" aca="1" ref="F308" ca="1">IF( $C308="", "", _xll.IMDP("IDX",$C308,F$6,$D$4,"Fill=true, Per="&amp;filter!$R$1) )</f>
        <v>-5.8899999999999864</v>
      </c>
      <c r="G308" s="39">
        <f t="array" aca="1" ref="G308" ca="1">IF( $C308="", "", _xll.IMDP("IDX",$C308,G$6,$D$4,"Fill=true, Per="&amp;filter!$R$1) )</f>
        <v>-1.1499999999999999</v>
      </c>
      <c r="H308" s="43">
        <f t="array" aca="1" ref="H308" ca="1">IF( $C308="", "", _xll.IMDP("IDX",$C308,H$6,$D$4,"Fill=true, Per="&amp;filter!$R$1) )</f>
        <v>0</v>
      </c>
      <c r="I308" s="43">
        <f t="array" aca="1" ref="I308" ca="1">IF( $C308="", "", _xll.IMDP("IDX",$C308,I$6,$D$4,"Fill=true, Per="&amp;filter!$R$1) )</f>
        <v>0</v>
      </c>
      <c r="J308" s="34">
        <f t="array" aca="1" ref="J308" ca="1">IF( $C308="", "", _xll.IMDP("IDX",$C308,J$6,$D$4,"Fill=true, Per="&amp;filter!$R$1) )</f>
        <v>510.61</v>
      </c>
      <c r="K308" s="38">
        <f t="array" aca="1" ref="K308" ca="1">IF( $C308="", "", _xll.IMDP("IDX",$C308,K$6,$D$4,"Fill=true, Per="&amp;filter!$R$1) )</f>
        <v>511.76</v>
      </c>
      <c r="L308" s="39">
        <f t="array" aca="1" ref="L308" ca="1">IF( $C308="", "", _xll.IMDP("IDX",$C308,L$6,$D$4,"Fill=true, Per="&amp;filter!$R$1) )</f>
        <v>0</v>
      </c>
      <c r="M308" s="50" t="str">
        <f t="array" aca="1" ref="M308" ca="1">IF( $C308="", "", _xll.IMDP("IDX",$C308,M$6,$D$4,"Fill=true, Per="&amp;filter!$R$1) )</f>
        <v/>
      </c>
      <c r="N308" s="51" t="str">
        <f t="array" aca="1" ref="N308" ca="1">IF( $C308="", "", _xll.IMDP("IDX",$C308,N$6,$D$4,"Fill=true, Per="&amp;filter!$R$1) )</f>
        <v/>
      </c>
      <c r="O308" s="52" t="str">
        <f t="array" aca="1" ref="O308" ca="1">IF( $C308="", "", _xll.IMDP("IDX",$C308,O$6,$D$4,"Fill=true, Per="&amp;filter!$R$1) )</f>
        <v/>
      </c>
    </row>
    <row r="309" spans="2:15">
      <c r="B309" s="21">
        <f t="shared" si="4"/>
        <v>301</v>
      </c>
      <c r="C309" s="17" t="str">
        <f>IFERROR( VLOOKUP(ROWS($B$8:B308), filter!$I:$J, 2, 0), "")</f>
        <v>FRX09P</v>
      </c>
      <c r="D309" s="16" t="str" cm="1">
        <f t="array" ref="D309">IF( $C309="", "", _xll.IMDP("IDX", $C309, D$6) )</f>
        <v>엔선물 레버리지지수</v>
      </c>
      <c r="E309" s="34">
        <f t="array" aca="1" ref="E309" ca="1">IF( $C309="", "", _xll.IMDP("IDX",$C309,E$6,$D$4,"Fill=true, Per="&amp;filter!$R$1) )</f>
        <v>300.3</v>
      </c>
      <c r="F309" s="38">
        <f t="array" aca="1" ref="F309" ca="1">IF( $C309="", "", _xll.IMDP("IDX",$C309,F$6,$D$4,"Fill=true, Per="&amp;filter!$R$1) )</f>
        <v>-2.1599999999999682</v>
      </c>
      <c r="G309" s="39">
        <f t="array" aca="1" ref="G309" ca="1">IF( $C309="", "", _xll.IMDP("IDX",$C309,G$6,$D$4,"Fill=true, Per="&amp;filter!$R$1) )</f>
        <v>-0.71</v>
      </c>
      <c r="H309" s="43">
        <f t="array" aca="1" ref="H309" ca="1">IF( $C309="", "", _xll.IMDP("IDX",$C309,H$6,$D$4,"Fill=true, Per="&amp;filter!$R$1) )</f>
        <v>0</v>
      </c>
      <c r="I309" s="43">
        <f t="array" aca="1" ref="I309" ca="1">IF( $C309="", "", _xll.IMDP("IDX",$C309,I$6,$D$4,"Fill=true, Per="&amp;filter!$R$1) )</f>
        <v>0</v>
      </c>
      <c r="J309" s="34">
        <f t="array" aca="1" ref="J309" ca="1">IF( $C309="", "", _xll.IMDP("IDX",$C309,J$6,$D$4,"Fill=true, Per="&amp;filter!$R$1) )</f>
        <v>299.08999999999997</v>
      </c>
      <c r="K309" s="38">
        <f t="array" aca="1" ref="K309" ca="1">IF( $C309="", "", _xll.IMDP("IDX",$C309,K$6,$D$4,"Fill=true, Per="&amp;filter!$R$1) )</f>
        <v>300.66000000000003</v>
      </c>
      <c r="L309" s="39">
        <f t="array" aca="1" ref="L309" ca="1">IF( $C309="", "", _xll.IMDP("IDX",$C309,L$6,$D$4,"Fill=true, Per="&amp;filter!$R$1) )</f>
        <v>0</v>
      </c>
      <c r="M309" s="50" t="str">
        <f t="array" aca="1" ref="M309" ca="1">IF( $C309="", "", _xll.IMDP("IDX",$C309,M$6,$D$4,"Fill=true, Per="&amp;filter!$R$1) )</f>
        <v/>
      </c>
      <c r="N309" s="51" t="str">
        <f t="array" aca="1" ref="N309" ca="1">IF( $C309="", "", _xll.IMDP("IDX",$C309,N$6,$D$4,"Fill=true, Per="&amp;filter!$R$1) )</f>
        <v/>
      </c>
      <c r="O309" s="52" t="str">
        <f t="array" aca="1" ref="O309" ca="1">IF( $C309="", "", _xll.IMDP("IDX",$C309,O$6,$D$4,"Fill=true, Per="&amp;filter!$R$1) )</f>
        <v/>
      </c>
    </row>
    <row r="310" spans="2:15">
      <c r="B310" s="21">
        <f t="shared" si="4"/>
        <v>302</v>
      </c>
      <c r="C310" s="17" t="str">
        <f>IFERROR( VLOOKUP(ROWS($B$8:B309), filter!$I:$J, 2, 0), "")</f>
        <v>FRX10P</v>
      </c>
      <c r="D310" s="16" t="str" cm="1">
        <f t="array" ref="D310">IF( $C310="", "", _xll.IMDP("IDX", $C310, D$6) )</f>
        <v>엔선물 인버스지수</v>
      </c>
      <c r="E310" s="34">
        <f t="array" aca="1" ref="E310" ca="1">IF( $C310="", "", _xll.IMDP("IDX",$C310,E$6,$D$4,"Fill=true, Per="&amp;filter!$R$1) )</f>
        <v>815.06</v>
      </c>
      <c r="F310" s="38">
        <f t="array" aca="1" ref="F310" ca="1">IF( $C310="", "", _xll.IMDP("IDX",$C310,F$6,$D$4,"Fill=true, Per="&amp;filter!$R$1) )</f>
        <v>2.9899999999998954</v>
      </c>
      <c r="G310" s="39">
        <f t="array" aca="1" ref="G310" ca="1">IF( $C310="", "", _xll.IMDP("IDX",$C310,G$6,$D$4,"Fill=true, Per="&amp;filter!$R$1) )</f>
        <v>0.37</v>
      </c>
      <c r="H310" s="43">
        <f t="array" aca="1" ref="H310" ca="1">IF( $C310="", "", _xll.IMDP("IDX",$C310,H$6,$D$4,"Fill=true, Per="&amp;filter!$R$1) )</f>
        <v>0</v>
      </c>
      <c r="I310" s="43">
        <f t="array" aca="1" ref="I310" ca="1">IF( $C310="", "", _xll.IMDP("IDX",$C310,I$6,$D$4,"Fill=true, Per="&amp;filter!$R$1) )</f>
        <v>0</v>
      </c>
      <c r="J310" s="34">
        <f t="array" aca="1" ref="J310" ca="1">IF( $C310="", "", _xll.IMDP("IDX",$C310,J$6,$D$4,"Fill=true, Per="&amp;filter!$R$1) )</f>
        <v>816.69</v>
      </c>
      <c r="K310" s="38">
        <f t="array" aca="1" ref="K310" ca="1">IF( $C310="", "", _xll.IMDP("IDX",$C310,K$6,$D$4,"Fill=true, Per="&amp;filter!$R$1) )</f>
        <v>821.04</v>
      </c>
      <c r="L310" s="39">
        <f t="array" aca="1" ref="L310" ca="1">IF( $C310="", "", _xll.IMDP("IDX",$C310,L$6,$D$4,"Fill=true, Per="&amp;filter!$R$1) )</f>
        <v>0</v>
      </c>
      <c r="M310" s="50" t="str">
        <f t="array" aca="1" ref="M310" ca="1">IF( $C310="", "", _xll.IMDP("IDX",$C310,M$6,$D$4,"Fill=true, Per="&amp;filter!$R$1) )</f>
        <v/>
      </c>
      <c r="N310" s="51" t="str">
        <f t="array" aca="1" ref="N310" ca="1">IF( $C310="", "", _xll.IMDP("IDX",$C310,N$6,$D$4,"Fill=true, Per="&amp;filter!$R$1) )</f>
        <v/>
      </c>
      <c r="O310" s="52" t="str">
        <f t="array" aca="1" ref="O310" ca="1">IF( $C310="", "", _xll.IMDP("IDX",$C310,O$6,$D$4,"Fill=true, Per="&amp;filter!$R$1) )</f>
        <v/>
      </c>
    </row>
    <row r="311" spans="2:15">
      <c r="B311" s="21">
        <f t="shared" si="4"/>
        <v>303</v>
      </c>
      <c r="C311" s="17" t="str">
        <f>IFERROR( VLOOKUP(ROWS($B$8:B310), filter!$I:$J, 2, 0), "")</f>
        <v>FRX11P</v>
      </c>
      <c r="D311" s="16" t="str" cm="1">
        <f t="array" ref="D311">IF( $C311="", "", _xll.IMDP("IDX", $C311, D$6) )</f>
        <v>엔선물 인버스-2X지수</v>
      </c>
      <c r="E311" s="34">
        <f t="array" aca="1" ref="E311" ca="1">IF( $C311="", "", _xll.IMDP("IDX",$C311,E$6,$D$4,"Fill=true, Per="&amp;filter!$R$1) )</f>
        <v>705.36</v>
      </c>
      <c r="F311" s="38">
        <f t="array" aca="1" ref="F311" ca="1">IF( $C311="", "", _xll.IMDP("IDX",$C311,F$6,$D$4,"Fill=true, Per="&amp;filter!$R$1) )</f>
        <v>4.6399999999999864</v>
      </c>
      <c r="G311" s="39">
        <f t="array" aca="1" ref="G311" ca="1">IF( $C311="", "", _xll.IMDP("IDX",$C311,G$6,$D$4,"Fill=true, Per="&amp;filter!$R$1) )</f>
        <v>0.66</v>
      </c>
      <c r="H311" s="43">
        <f t="array" aca="1" ref="H311" ca="1">IF( $C311="", "", _xll.IMDP("IDX",$C311,H$6,$D$4,"Fill=true, Per="&amp;filter!$R$1) )</f>
        <v>0</v>
      </c>
      <c r="I311" s="43">
        <f t="array" aca="1" ref="I311" ca="1">IF( $C311="", "", _xll.IMDP("IDX",$C311,I$6,$D$4,"Fill=true, Per="&amp;filter!$R$1) )</f>
        <v>0</v>
      </c>
      <c r="J311" s="34">
        <f t="array" aca="1" ref="J311" ca="1">IF( $C311="", "", _xll.IMDP("IDX",$C311,J$6,$D$4,"Fill=true, Per="&amp;filter!$R$1) )</f>
        <v>708.33</v>
      </c>
      <c r="K311" s="38">
        <f t="array" aca="1" ref="K311" ca="1">IF( $C311="", "", _xll.IMDP("IDX",$C311,K$6,$D$4,"Fill=true, Per="&amp;filter!$R$1) )</f>
        <v>715.74</v>
      </c>
      <c r="L311" s="39">
        <f t="array" aca="1" ref="L311" ca="1">IF( $C311="", "", _xll.IMDP("IDX",$C311,L$6,$D$4,"Fill=true, Per="&amp;filter!$R$1) )</f>
        <v>0</v>
      </c>
      <c r="M311" s="50" t="str">
        <f t="array" aca="1" ref="M311" ca="1">IF( $C311="", "", _xll.IMDP("IDX",$C311,M$6,$D$4,"Fill=true, Per="&amp;filter!$R$1) )</f>
        <v/>
      </c>
      <c r="N311" s="51" t="str">
        <f t="array" aca="1" ref="N311" ca="1">IF( $C311="", "", _xll.IMDP("IDX",$C311,N$6,$D$4,"Fill=true, Per="&amp;filter!$R$1) )</f>
        <v/>
      </c>
      <c r="O311" s="52" t="str">
        <f t="array" aca="1" ref="O311" ca="1">IF( $C311="", "", _xll.IMDP("IDX",$C311,O$6,$D$4,"Fill=true, Per="&amp;filter!$R$1) )</f>
        <v/>
      </c>
    </row>
    <row r="312" spans="2:15">
      <c r="B312" s="21">
        <f t="shared" si="4"/>
        <v>304</v>
      </c>
      <c r="C312" s="17" t="str">
        <f>IFERROR( VLOOKUP(ROWS($B$8:B311), filter!$I:$J, 2, 0), "")</f>
        <v>FRX12P</v>
      </c>
      <c r="D312" s="16" t="str" cm="1">
        <f t="array" ref="D312">IF( $C312="", "", _xll.IMDP("IDX", $C312, D$6) )</f>
        <v>엔선물 인버스-3X지수</v>
      </c>
      <c r="E312" s="34">
        <f t="array" aca="1" ref="E312" ca="1">IF( $C312="", "", _xll.IMDP("IDX",$C312,E$6,$D$4,"Fill=true, Per="&amp;filter!$R$1) )</f>
        <v>648.79999999999995</v>
      </c>
      <c r="F312" s="38">
        <f t="array" aca="1" ref="F312" ca="1">IF( $C312="", "", _xll.IMDP("IDX",$C312,F$6,$D$4,"Fill=true, Per="&amp;filter!$R$1) )</f>
        <v>6.3499999999999091</v>
      </c>
      <c r="G312" s="39">
        <f t="array" aca="1" ref="G312" ca="1">IF( $C312="", "", _xll.IMDP("IDX",$C312,G$6,$D$4,"Fill=true, Per="&amp;filter!$R$1) )</f>
        <v>0.99</v>
      </c>
      <c r="H312" s="43">
        <f t="array" aca="1" ref="H312" ca="1">IF( $C312="", "", _xll.IMDP("IDX",$C312,H$6,$D$4,"Fill=true, Per="&amp;filter!$R$1) )</f>
        <v>0</v>
      </c>
      <c r="I312" s="43">
        <f t="array" aca="1" ref="I312" ca="1">IF( $C312="", "", _xll.IMDP("IDX",$C312,I$6,$D$4,"Fill=true, Per="&amp;filter!$R$1) )</f>
        <v>0</v>
      </c>
      <c r="J312" s="34">
        <f t="array" aca="1" ref="J312" ca="1">IF( $C312="", "", _xll.IMDP("IDX",$C312,J$6,$D$4,"Fill=true, Per="&amp;filter!$R$1) )</f>
        <v>652.91</v>
      </c>
      <c r="K312" s="38">
        <f t="array" aca="1" ref="K312" ca="1">IF( $C312="", "", _xll.IMDP("IDX",$C312,K$6,$D$4,"Fill=true, Per="&amp;filter!$R$1) )</f>
        <v>663.17</v>
      </c>
      <c r="L312" s="39">
        <f t="array" aca="1" ref="L312" ca="1">IF( $C312="", "", _xll.IMDP("IDX",$C312,L$6,$D$4,"Fill=true, Per="&amp;filter!$R$1) )</f>
        <v>0</v>
      </c>
      <c r="M312" s="50" t="str">
        <f t="array" aca="1" ref="M312" ca="1">IF( $C312="", "", _xll.IMDP("IDX",$C312,M$6,$D$4,"Fill=true, Per="&amp;filter!$R$1) )</f>
        <v/>
      </c>
      <c r="N312" s="51" t="str">
        <f t="array" aca="1" ref="N312" ca="1">IF( $C312="", "", _xll.IMDP("IDX",$C312,N$6,$D$4,"Fill=true, Per="&amp;filter!$R$1) )</f>
        <v/>
      </c>
      <c r="O312" s="52" t="str">
        <f t="array" aca="1" ref="O312" ca="1">IF( $C312="", "", _xll.IMDP("IDX",$C312,O$6,$D$4,"Fill=true, Per="&amp;filter!$R$1) )</f>
        <v/>
      </c>
    </row>
    <row r="313" spans="2:15">
      <c r="B313" s="21">
        <f t="shared" si="4"/>
        <v>305</v>
      </c>
      <c r="C313" s="17" t="str">
        <f>IFERROR( VLOOKUP(ROWS($B$8:B312), filter!$I:$J, 2, 0), "")</f>
        <v>FT901P</v>
      </c>
      <c r="D313" s="16" t="str" cm="1">
        <f t="array" ref="D313">IF( $C313="", "", _xll.IMDP("IDX", $C313, D$6) )</f>
        <v>국채 3-10년 선물지수</v>
      </c>
      <c r="E313" s="34">
        <f t="array" aca="1" ref="E313" ca="1">IF( $C313="", "", _xll.IMDP("IDX",$C313,E$6,$D$4,"Fill=true, Per="&amp;filter!$R$1) )</f>
        <v>1161.46</v>
      </c>
      <c r="F313" s="38">
        <f t="array" aca="1" ref="F313" ca="1">IF( $C313="", "", _xll.IMDP("IDX",$C313,F$6,$D$4,"Fill=true, Per="&amp;filter!$R$1) )</f>
        <v>-1.6900000000000546</v>
      </c>
      <c r="G313" s="39">
        <f t="array" aca="1" ref="G313" ca="1">IF( $C313="", "", _xll.IMDP("IDX",$C313,G$6,$D$4,"Fill=true, Per="&amp;filter!$R$1) )</f>
        <v>-0.15</v>
      </c>
      <c r="H313" s="43">
        <f t="array" aca="1" ref="H313" ca="1">IF( $C313="", "", _xll.IMDP("IDX",$C313,H$6,$D$4,"Fill=true, Per="&amp;filter!$R$1) )</f>
        <v>0</v>
      </c>
      <c r="I313" s="43">
        <f t="array" aca="1" ref="I313" ca="1">IF( $C313="", "", _xll.IMDP("IDX",$C313,I$6,$D$4,"Fill=true, Per="&amp;filter!$R$1) )</f>
        <v>0</v>
      </c>
      <c r="J313" s="34">
        <f t="array" aca="1" ref="J313" ca="1">IF( $C313="", "", _xll.IMDP("IDX",$C313,J$6,$D$4,"Fill=true, Per="&amp;filter!$R$1) )</f>
        <v>1161.82</v>
      </c>
      <c r="K313" s="38">
        <f t="array" aca="1" ref="K313" ca="1">IF( $C313="", "", _xll.IMDP("IDX",$C313,K$6,$D$4,"Fill=true, Per="&amp;filter!$R$1) )</f>
        <v>1162.22</v>
      </c>
      <c r="L313" s="39">
        <f t="array" aca="1" ref="L313" ca="1">IF( $C313="", "", _xll.IMDP("IDX",$C313,L$6,$D$4,"Fill=true, Per="&amp;filter!$R$1) )</f>
        <v>0</v>
      </c>
      <c r="M313" s="50" t="str">
        <f t="array" aca="1" ref="M313" ca="1">IF( $C313="", "", _xll.IMDP("IDX",$C313,M$6,$D$4,"Fill=true, Per="&amp;filter!$R$1) )</f>
        <v/>
      </c>
      <c r="N313" s="51" t="str">
        <f t="array" aca="1" ref="N313" ca="1">IF( $C313="", "", _xll.IMDP("IDX",$C313,N$6,$D$4,"Fill=true, Per="&amp;filter!$R$1) )</f>
        <v/>
      </c>
      <c r="O313" s="52" t="str">
        <f t="array" aca="1" ref="O313" ca="1">IF( $C313="", "", _xll.IMDP("IDX",$C313,O$6,$D$4,"Fill=true, Per="&amp;filter!$R$1) )</f>
        <v/>
      </c>
    </row>
    <row r="314" spans="2:15">
      <c r="B314" s="21">
        <f t="shared" si="4"/>
        <v>306</v>
      </c>
      <c r="C314" s="17" t="str">
        <f>IFERROR( VLOOKUP(ROWS($B$8:B313), filter!$I:$J, 2, 0), "")</f>
        <v>FT904P</v>
      </c>
      <c r="D314" s="16" t="str" cm="1">
        <f t="array" ref="D314">IF( $C314="", "", _xll.IMDP("IDX", $C314, D$6) )</f>
        <v>5년 국채선물 추종 지수</v>
      </c>
      <c r="E314" s="34">
        <f t="array" aca="1" ref="E314" ca="1">IF( $C314="", "", _xll.IMDP("IDX",$C314,E$6,$D$4,"Fill=true, Per="&amp;filter!$R$1) )</f>
        <v>1015.47</v>
      </c>
      <c r="F314" s="38">
        <f t="array" aca="1" ref="F314" ca="1">IF( $C314="", "", _xll.IMDP("IDX",$C314,F$6,$D$4,"Fill=true, Per="&amp;filter!$R$1) )</f>
        <v>-1.1499999999999773</v>
      </c>
      <c r="G314" s="39">
        <f t="array" aca="1" ref="G314" ca="1">IF( $C314="", "", _xll.IMDP("IDX",$C314,G$6,$D$4,"Fill=true, Per="&amp;filter!$R$1) )</f>
        <v>-0.11</v>
      </c>
      <c r="H314" s="43">
        <f t="array" aca="1" ref="H314" ca="1">IF( $C314="", "", _xll.IMDP("IDX",$C314,H$6,$D$4,"Fill=true, Per="&amp;filter!$R$1) )</f>
        <v>0</v>
      </c>
      <c r="I314" s="43">
        <f t="array" aca="1" ref="I314" ca="1">IF( $C314="", "", _xll.IMDP("IDX",$C314,I$6,$D$4,"Fill=true, Per="&amp;filter!$R$1) )</f>
        <v>0</v>
      </c>
      <c r="J314" s="34">
        <f t="array" aca="1" ref="J314" ca="1">IF( $C314="", "", _xll.IMDP("IDX",$C314,J$6,$D$4,"Fill=true, Per="&amp;filter!$R$1) )</f>
        <v>1015.69</v>
      </c>
      <c r="K314" s="38">
        <f t="array" aca="1" ref="K314" ca="1">IF( $C314="", "", _xll.IMDP("IDX",$C314,K$6,$D$4,"Fill=true, Per="&amp;filter!$R$1) )</f>
        <v>1015.93</v>
      </c>
      <c r="L314" s="39">
        <f t="array" aca="1" ref="L314" ca="1">IF( $C314="", "", _xll.IMDP("IDX",$C314,L$6,$D$4,"Fill=true, Per="&amp;filter!$R$1) )</f>
        <v>0</v>
      </c>
      <c r="M314" s="50" t="str">
        <f t="array" aca="1" ref="M314" ca="1">IF( $C314="", "", _xll.IMDP("IDX",$C314,M$6,$D$4,"Fill=true, Per="&amp;filter!$R$1) )</f>
        <v/>
      </c>
      <c r="N314" s="51" t="str">
        <f t="array" aca="1" ref="N314" ca="1">IF( $C314="", "", _xll.IMDP("IDX",$C314,N$6,$D$4,"Fill=true, Per="&amp;filter!$R$1) )</f>
        <v/>
      </c>
      <c r="O314" s="52" t="str">
        <f t="array" aca="1" ref="O314" ca="1">IF( $C314="", "", _xll.IMDP("IDX",$C314,O$6,$D$4,"Fill=true, Per="&amp;filter!$R$1) )</f>
        <v/>
      </c>
    </row>
    <row r="315" spans="2:15">
      <c r="B315" s="21">
        <f t="shared" si="4"/>
        <v>307</v>
      </c>
      <c r="C315" s="17" t="str">
        <f>IFERROR( VLOOKUP(ROWS($B$8:B314), filter!$I:$J, 2, 0), "")</f>
        <v>FTA01P</v>
      </c>
      <c r="D315" s="16" t="str" cm="1">
        <f t="array" ref="D315">IF( $C315="", "", _xll.IMDP("IDX", $C315, D$6) )</f>
        <v>국채선물 3년-10년 일드커브 스?</v>
      </c>
      <c r="E315" s="34">
        <f t="array" aca="1" ref="E315" ca="1">IF( $C315="", "", _xll.IMDP("IDX",$C315,E$6,$D$4,"Fill=true, Per="&amp;filter!$R$1) )</f>
        <v>1368.41</v>
      </c>
      <c r="F315" s="38">
        <f t="array" aca="1" ref="F315" ca="1">IF( $C315="", "", _xll.IMDP("IDX",$C315,F$6,$D$4,"Fill=true, Per="&amp;filter!$R$1) )</f>
        <v>0.63000000000010914</v>
      </c>
      <c r="G315" s="39">
        <f t="array" aca="1" ref="G315" ca="1">IF( $C315="", "", _xll.IMDP("IDX",$C315,G$6,$D$4,"Fill=true, Per="&amp;filter!$R$1) )</f>
        <v>0.05</v>
      </c>
      <c r="H315" s="43">
        <f t="array" aca="1" ref="H315" ca="1">IF( $C315="", "", _xll.IMDP("IDX",$C315,H$6,$D$4,"Fill=true, Per="&amp;filter!$R$1) )</f>
        <v>0</v>
      </c>
      <c r="I315" s="43">
        <f t="array" aca="1" ref="I315" ca="1">IF( $C315="", "", _xll.IMDP("IDX",$C315,I$6,$D$4,"Fill=true, Per="&amp;filter!$R$1) )</f>
        <v>0</v>
      </c>
      <c r="J315" s="34">
        <f t="array" aca="1" ref="J315" ca="1">IF( $C315="", "", _xll.IMDP("IDX",$C315,J$6,$D$4,"Fill=true, Per="&amp;filter!$R$1) )</f>
        <v>1368.17</v>
      </c>
      <c r="K315" s="38">
        <f t="array" aca="1" ref="K315" ca="1">IF( $C315="", "", _xll.IMDP("IDX",$C315,K$6,$D$4,"Fill=true, Per="&amp;filter!$R$1) )</f>
        <v>1368.83</v>
      </c>
      <c r="L315" s="39">
        <f t="array" aca="1" ref="L315" ca="1">IF( $C315="", "", _xll.IMDP("IDX",$C315,L$6,$D$4,"Fill=true, Per="&amp;filter!$R$1) )</f>
        <v>0</v>
      </c>
      <c r="M315" s="50" t="str">
        <f t="array" aca="1" ref="M315" ca="1">IF( $C315="", "", _xll.IMDP("IDX",$C315,M$6,$D$4,"Fill=true, Per="&amp;filter!$R$1) )</f>
        <v/>
      </c>
      <c r="N315" s="51" t="str">
        <f t="array" aca="1" ref="N315" ca="1">IF( $C315="", "", _xll.IMDP("IDX",$C315,N$6,$D$4,"Fill=true, Per="&amp;filter!$R$1) )</f>
        <v/>
      </c>
      <c r="O315" s="52" t="str">
        <f t="array" aca="1" ref="O315" ca="1">IF( $C315="", "", _xll.IMDP("IDX",$C315,O$6,$D$4,"Fill=true, Per="&amp;filter!$R$1) )</f>
        <v/>
      </c>
    </row>
    <row r="316" spans="2:15">
      <c r="B316" s="21">
        <f t="shared" si="4"/>
        <v>308</v>
      </c>
      <c r="C316" s="17" t="str">
        <f>IFERROR( VLOOKUP(ROWS($B$8:B315), filter!$I:$J, 2, 0), "")</f>
        <v>FTA02P</v>
      </c>
      <c r="D316" s="16" t="str" cm="1">
        <f t="array" ref="D316">IF( $C316="", "", _xll.IMDP("IDX", $C316, D$6) )</f>
        <v>국채선물 3년-10년 일드커브 플?</v>
      </c>
      <c r="E316" s="34">
        <f t="array" aca="1" ref="E316" ca="1">IF( $C316="", "", _xll.IMDP("IDX",$C316,E$6,$D$4,"Fill=true, Per="&amp;filter!$R$1) )</f>
        <v>1326.23</v>
      </c>
      <c r="F316" s="38">
        <f t="array" aca="1" ref="F316" ca="1">IF( $C316="", "", _xll.IMDP("IDX",$C316,F$6,$D$4,"Fill=true, Per="&amp;filter!$R$1) )</f>
        <v>0.39000000000010004</v>
      </c>
      <c r="G316" s="39">
        <f t="array" aca="1" ref="G316" ca="1">IF( $C316="", "", _xll.IMDP("IDX",$C316,G$6,$D$4,"Fill=true, Per="&amp;filter!$R$1) )</f>
        <v>0.03</v>
      </c>
      <c r="H316" s="43">
        <f t="array" aca="1" ref="H316" ca="1">IF( $C316="", "", _xll.IMDP("IDX",$C316,H$6,$D$4,"Fill=true, Per="&amp;filter!$R$1) )</f>
        <v>0</v>
      </c>
      <c r="I316" s="43">
        <f t="array" aca="1" ref="I316" ca="1">IF( $C316="", "", _xll.IMDP("IDX",$C316,I$6,$D$4,"Fill=true, Per="&amp;filter!$R$1) )</f>
        <v>0</v>
      </c>
      <c r="J316" s="34">
        <f t="array" aca="1" ref="J316" ca="1">IF( $C316="", "", _xll.IMDP("IDX",$C316,J$6,$D$4,"Fill=true, Per="&amp;filter!$R$1) )</f>
        <v>1326.21</v>
      </c>
      <c r="K316" s="38">
        <f t="array" aca="1" ref="K316" ca="1">IF( $C316="", "", _xll.IMDP("IDX",$C316,K$6,$D$4,"Fill=true, Per="&amp;filter!$R$1) )</f>
        <v>1326.69</v>
      </c>
      <c r="L316" s="39">
        <f t="array" aca="1" ref="L316" ca="1">IF( $C316="", "", _xll.IMDP("IDX",$C316,L$6,$D$4,"Fill=true, Per="&amp;filter!$R$1) )</f>
        <v>0</v>
      </c>
      <c r="M316" s="50" t="str">
        <f t="array" aca="1" ref="M316" ca="1">IF( $C316="", "", _xll.IMDP("IDX",$C316,M$6,$D$4,"Fill=true, Per="&amp;filter!$R$1) )</f>
        <v/>
      </c>
      <c r="N316" s="51" t="str">
        <f t="array" aca="1" ref="N316" ca="1">IF( $C316="", "", _xll.IMDP("IDX",$C316,N$6,$D$4,"Fill=true, Per="&amp;filter!$R$1) )</f>
        <v/>
      </c>
      <c r="O316" s="52" t="str">
        <f t="array" aca="1" ref="O316" ca="1">IF( $C316="", "", _xll.IMDP("IDX",$C316,O$6,$D$4,"Fill=true, Per="&amp;filter!$R$1) )</f>
        <v/>
      </c>
    </row>
    <row r="317" spans="2:15">
      <c r="B317" s="21">
        <f t="shared" si="4"/>
        <v>309</v>
      </c>
      <c r="C317" s="17" t="str">
        <f>IFERROR( VLOOKUP(ROWS($B$8:B316), filter!$I:$J, 2, 0), "")</f>
        <v>FTG01P</v>
      </c>
      <c r="D317" s="16" t="str" cm="1">
        <f t="array" ref="D317">IF( $C317="", "", _xll.IMDP("IDX", $C317, D$6) )</f>
        <v>국채선물지수</v>
      </c>
      <c r="E317" s="34">
        <f t="array" aca="1" ref="E317" ca="1">IF( $C317="", "", _xll.IMDP("IDX",$C317,E$6,$D$4,"Fill=true, Per="&amp;filter!$R$1) )</f>
        <v>1233.9100000000001</v>
      </c>
      <c r="F317" s="38">
        <f t="array" aca="1" ref="F317" ca="1">IF( $C317="", "", _xll.IMDP("IDX",$C317,F$6,$D$4,"Fill=true, Per="&amp;filter!$R$1) )</f>
        <v>-0.81999999999993634</v>
      </c>
      <c r="G317" s="39">
        <f t="array" aca="1" ref="G317" ca="1">IF( $C317="", "", _xll.IMDP("IDX",$C317,G$6,$D$4,"Fill=true, Per="&amp;filter!$R$1) )</f>
        <v>-7.0000000000000007E-2</v>
      </c>
      <c r="H317" s="43">
        <f t="array" aca="1" ref="H317" ca="1">IF( $C317="", "", _xll.IMDP("IDX",$C317,H$6,$D$4,"Fill=true, Per="&amp;filter!$R$1) )</f>
        <v>0</v>
      </c>
      <c r="I317" s="43">
        <f t="array" aca="1" ref="I317" ca="1">IF( $C317="", "", _xll.IMDP("IDX",$C317,I$6,$D$4,"Fill=true, Per="&amp;filter!$R$1) )</f>
        <v>0</v>
      </c>
      <c r="J317" s="34">
        <f t="array" aca="1" ref="J317" ca="1">IF( $C317="", "", _xll.IMDP("IDX",$C317,J$6,$D$4,"Fill=true, Per="&amp;filter!$R$1) )</f>
        <v>1234.03</v>
      </c>
      <c r="K317" s="38">
        <f t="array" aca="1" ref="K317" ca="1">IF( $C317="", "", _xll.IMDP("IDX",$C317,K$6,$D$4,"Fill=true, Per="&amp;filter!$R$1) )</f>
        <v>1234.26</v>
      </c>
      <c r="L317" s="39">
        <f t="array" aca="1" ref="L317" ca="1">IF( $C317="", "", _xll.IMDP("IDX",$C317,L$6,$D$4,"Fill=true, Per="&amp;filter!$R$1) )</f>
        <v>0</v>
      </c>
      <c r="M317" s="50" t="str">
        <f t="array" aca="1" ref="M317" ca="1">IF( $C317="", "", _xll.IMDP("IDX",$C317,M$6,$D$4,"Fill=true, Per="&amp;filter!$R$1) )</f>
        <v/>
      </c>
      <c r="N317" s="51" t="str">
        <f t="array" aca="1" ref="N317" ca="1">IF( $C317="", "", _xll.IMDP("IDX",$C317,N$6,$D$4,"Fill=true, Per="&amp;filter!$R$1) )</f>
        <v/>
      </c>
      <c r="O317" s="52" t="str">
        <f t="array" aca="1" ref="O317" ca="1">IF( $C317="", "", _xll.IMDP("IDX",$C317,O$6,$D$4,"Fill=true, Per="&amp;filter!$R$1) )</f>
        <v/>
      </c>
    </row>
    <row r="318" spans="2:15">
      <c r="B318" s="21">
        <f t="shared" si="4"/>
        <v>310</v>
      </c>
      <c r="C318" s="17" t="str">
        <f>IFERROR( VLOOKUP(ROWS($B$8:B317), filter!$I:$J, 2, 0), "")</f>
        <v>FTG02P</v>
      </c>
      <c r="D318" s="16" t="str" cm="1">
        <f t="array" ref="D318">IF( $C318="", "", _xll.IMDP("IDX", $C318, D$6) )</f>
        <v>10년 국채선물지수</v>
      </c>
      <c r="E318" s="34">
        <f t="array" aca="1" ref="E318" ca="1">IF( $C318="", "", _xll.IMDP("IDX",$C318,E$6,$D$4,"Fill=true, Per="&amp;filter!$R$1) )</f>
        <v>1228.3599999999999</v>
      </c>
      <c r="F318" s="38">
        <f t="array" aca="1" ref="F318" ca="1">IF( $C318="", "", _xll.IMDP("IDX",$C318,F$6,$D$4,"Fill=true, Per="&amp;filter!$R$1) )</f>
        <v>-2.7599999999999909</v>
      </c>
      <c r="G318" s="39">
        <f t="array" aca="1" ref="G318" ca="1">IF( $C318="", "", _xll.IMDP("IDX",$C318,G$6,$D$4,"Fill=true, Per="&amp;filter!$R$1) )</f>
        <v>-0.22</v>
      </c>
      <c r="H318" s="43">
        <f t="array" aca="1" ref="H318" ca="1">IF( $C318="", "", _xll.IMDP("IDX",$C318,H$6,$D$4,"Fill=true, Per="&amp;filter!$R$1) )</f>
        <v>0</v>
      </c>
      <c r="I318" s="43">
        <f t="array" aca="1" ref="I318" ca="1">IF( $C318="", "", _xll.IMDP("IDX",$C318,I$6,$D$4,"Fill=true, Per="&amp;filter!$R$1) )</f>
        <v>0</v>
      </c>
      <c r="J318" s="34">
        <f t="array" aca="1" ref="J318" ca="1">IF( $C318="", "", _xll.IMDP("IDX",$C318,J$6,$D$4,"Fill=true, Per="&amp;filter!$R$1) )</f>
        <v>1228.8900000000001</v>
      </c>
      <c r="K318" s="38">
        <f t="array" aca="1" ref="K318" ca="1">IF( $C318="", "", _xll.IMDP("IDX",$C318,K$6,$D$4,"Fill=true, Per="&amp;filter!$R$1) )</f>
        <v>1229.8399999999999</v>
      </c>
      <c r="L318" s="39">
        <f t="array" aca="1" ref="L318" ca="1">IF( $C318="", "", _xll.IMDP("IDX",$C318,L$6,$D$4,"Fill=true, Per="&amp;filter!$R$1) )</f>
        <v>0</v>
      </c>
      <c r="M318" s="50" t="str">
        <f t="array" aca="1" ref="M318" ca="1">IF( $C318="", "", _xll.IMDP("IDX",$C318,M$6,$D$4,"Fill=true, Per="&amp;filter!$R$1) )</f>
        <v/>
      </c>
      <c r="N318" s="51" t="str">
        <f t="array" aca="1" ref="N318" ca="1">IF( $C318="", "", _xll.IMDP("IDX",$C318,N$6,$D$4,"Fill=true, Per="&amp;filter!$R$1) )</f>
        <v/>
      </c>
      <c r="O318" s="52" t="str">
        <f t="array" aca="1" ref="O318" ca="1">IF( $C318="", "", _xll.IMDP("IDX",$C318,O$6,$D$4,"Fill=true, Per="&amp;filter!$R$1) )</f>
        <v/>
      </c>
    </row>
    <row r="319" spans="2:15">
      <c r="B319" s="21">
        <f t="shared" si="4"/>
        <v>311</v>
      </c>
      <c r="C319" s="17" t="str">
        <f>IFERROR( VLOOKUP(ROWS($B$8:B318), filter!$I:$J, 2, 0), "")</f>
        <v>FTX01P</v>
      </c>
      <c r="D319" s="16" t="str" cm="1">
        <f t="array" ref="D319">IF( $C319="", "", _xll.IMDP("IDX", $C319, D$6) )</f>
        <v>국채선물 인버스지수</v>
      </c>
      <c r="E319" s="34">
        <f t="array" aca="1" ref="E319" ca="1">IF( $C319="", "", _xll.IMDP("IDX",$C319,E$6,$D$4,"Fill=true, Per="&amp;filter!$R$1) )</f>
        <v>1393.76</v>
      </c>
      <c r="F319" s="38">
        <f t="array" aca="1" ref="F319" ca="1">IF( $C319="", "", _xll.IMDP("IDX",$C319,F$6,$D$4,"Fill=true, Per="&amp;filter!$R$1) )</f>
        <v>1.4500000000000455</v>
      </c>
      <c r="G319" s="39">
        <f t="array" aca="1" ref="G319" ca="1">IF( $C319="", "", _xll.IMDP("IDX",$C319,G$6,$D$4,"Fill=true, Per="&amp;filter!$R$1) )</f>
        <v>0.1</v>
      </c>
      <c r="H319" s="43">
        <f t="array" aca="1" ref="H319" ca="1">IF( $C319="", "", _xll.IMDP("IDX",$C319,H$6,$D$4,"Fill=true, Per="&amp;filter!$R$1) )</f>
        <v>0</v>
      </c>
      <c r="I319" s="43">
        <f t="array" aca="1" ref="I319" ca="1">IF( $C319="", "", _xll.IMDP("IDX",$C319,I$6,$D$4,"Fill=true, Per="&amp;filter!$R$1) )</f>
        <v>0</v>
      </c>
      <c r="J319" s="34">
        <f t="array" aca="1" ref="J319" ca="1">IF( $C319="", "", _xll.IMDP("IDX",$C319,J$6,$D$4,"Fill=true, Per="&amp;filter!$R$1) )</f>
        <v>1393.5</v>
      </c>
      <c r="K319" s="38">
        <f t="array" aca="1" ref="K319" ca="1">IF( $C319="", "", _xll.IMDP("IDX",$C319,K$6,$D$4,"Fill=true, Per="&amp;filter!$R$1) )</f>
        <v>1394.56</v>
      </c>
      <c r="L319" s="39">
        <f t="array" aca="1" ref="L319" ca="1">IF( $C319="", "", _xll.IMDP("IDX",$C319,L$6,$D$4,"Fill=true, Per="&amp;filter!$R$1) )</f>
        <v>0</v>
      </c>
      <c r="M319" s="50" t="str">
        <f t="array" aca="1" ref="M319" ca="1">IF( $C319="", "", _xll.IMDP("IDX",$C319,M$6,$D$4,"Fill=true, Per="&amp;filter!$R$1) )</f>
        <v/>
      </c>
      <c r="N319" s="51" t="str">
        <f t="array" aca="1" ref="N319" ca="1">IF( $C319="", "", _xll.IMDP("IDX",$C319,N$6,$D$4,"Fill=true, Per="&amp;filter!$R$1) )</f>
        <v/>
      </c>
      <c r="O319" s="52" t="str">
        <f t="array" aca="1" ref="O319" ca="1">IF( $C319="", "", _xll.IMDP("IDX",$C319,O$6,$D$4,"Fill=true, Per="&amp;filter!$R$1) )</f>
        <v/>
      </c>
    </row>
    <row r="320" spans="2:15">
      <c r="B320" s="21">
        <f t="shared" si="4"/>
        <v>312</v>
      </c>
      <c r="C320" s="17" t="str">
        <f>IFERROR( VLOOKUP(ROWS($B$8:B319), filter!$I:$J, 2, 0), "")</f>
        <v>FTX02P</v>
      </c>
      <c r="D320" s="16" t="str" cm="1">
        <f t="array" ref="D320">IF( $C320="", "", _xll.IMDP("IDX", $C320, D$6) )</f>
        <v>국채 3-10년 선물레버리지지수</v>
      </c>
      <c r="E320" s="34">
        <f t="array" aca="1" ref="E320" ca="1">IF( $C320="", "", _xll.IMDP("IDX",$C320,E$6,$D$4,"Fill=true, Per="&amp;filter!$R$1) )</f>
        <v>1262.3499999999999</v>
      </c>
      <c r="F320" s="38">
        <f t="array" aca="1" ref="F320" ca="1">IF( $C320="", "", _xll.IMDP("IDX",$C320,F$6,$D$4,"Fill=true, Per="&amp;filter!$R$1) )</f>
        <v>-3.2100000000000364</v>
      </c>
      <c r="G320" s="39">
        <f t="array" aca="1" ref="G320" ca="1">IF( $C320="", "", _xll.IMDP("IDX",$C320,G$6,$D$4,"Fill=true, Per="&amp;filter!$R$1) )</f>
        <v>-0.25</v>
      </c>
      <c r="H320" s="43">
        <f t="array" aca="1" ref="H320" ca="1">IF( $C320="", "", _xll.IMDP("IDX",$C320,H$6,$D$4,"Fill=true, Per="&amp;filter!$R$1) )</f>
        <v>0</v>
      </c>
      <c r="I320" s="43">
        <f t="array" aca="1" ref="I320" ca="1">IF( $C320="", "", _xll.IMDP("IDX",$C320,I$6,$D$4,"Fill=true, Per="&amp;filter!$R$1) )</f>
        <v>0</v>
      </c>
      <c r="J320" s="34">
        <f t="array" aca="1" ref="J320" ca="1">IF( $C320="", "", _xll.IMDP("IDX",$C320,J$6,$D$4,"Fill=true, Per="&amp;filter!$R$1) )</f>
        <v>1263.02</v>
      </c>
      <c r="K320" s="38">
        <f t="array" aca="1" ref="K320" ca="1">IF( $C320="", "", _xll.IMDP("IDX",$C320,K$6,$D$4,"Fill=true, Per="&amp;filter!$R$1) )</f>
        <v>1263.8900000000001</v>
      </c>
      <c r="L320" s="39">
        <f t="array" aca="1" ref="L320" ca="1">IF( $C320="", "", _xll.IMDP("IDX",$C320,L$6,$D$4,"Fill=true, Per="&amp;filter!$R$1) )</f>
        <v>0</v>
      </c>
      <c r="M320" s="50" t="str">
        <f t="array" aca="1" ref="M320" ca="1">IF( $C320="", "", _xll.IMDP("IDX",$C320,M$6,$D$4,"Fill=true, Per="&amp;filter!$R$1) )</f>
        <v/>
      </c>
      <c r="N320" s="51" t="str">
        <f t="array" aca="1" ref="N320" ca="1">IF( $C320="", "", _xll.IMDP("IDX",$C320,N$6,$D$4,"Fill=true, Per="&amp;filter!$R$1) )</f>
        <v/>
      </c>
      <c r="O320" s="52" t="str">
        <f t="array" aca="1" ref="O320" ca="1">IF( $C320="", "", _xll.IMDP("IDX",$C320,O$6,$D$4,"Fill=true, Per="&amp;filter!$R$1) )</f>
        <v/>
      </c>
    </row>
    <row r="321" spans="2:15">
      <c r="B321" s="21">
        <f t="shared" si="4"/>
        <v>313</v>
      </c>
      <c r="C321" s="17" t="str">
        <f>IFERROR( VLOOKUP(ROWS($B$8:B320), filter!$I:$J, 2, 0), "")</f>
        <v>FTX03P</v>
      </c>
      <c r="D321" s="16" t="str" cm="1">
        <f t="array" ref="D321">IF( $C321="", "", _xll.IMDP("IDX", $C321, D$6) )</f>
        <v>국채 3-10년 선물인버스지수</v>
      </c>
      <c r="E321" s="34">
        <f t="array" aca="1" ref="E321" ca="1">IF( $C321="", "", _xll.IMDP("IDX",$C321,E$6,$D$4,"Fill=true, Per="&amp;filter!$R$1) )</f>
        <v>1493.09</v>
      </c>
      <c r="F321" s="38">
        <f t="array" aca="1" ref="F321" ca="1">IF( $C321="", "", _xll.IMDP("IDX",$C321,F$6,$D$4,"Fill=true, Per="&amp;filter!$R$1) )</f>
        <v>2.7200000000000273</v>
      </c>
      <c r="G321" s="39">
        <f t="array" aca="1" ref="G321" ca="1">IF( $C321="", "", _xll.IMDP("IDX",$C321,G$6,$D$4,"Fill=true, Per="&amp;filter!$R$1) )</f>
        <v>0.18</v>
      </c>
      <c r="H321" s="43">
        <f t="array" aca="1" ref="H321" ca="1">IF( $C321="", "", _xll.IMDP("IDX",$C321,H$6,$D$4,"Fill=true, Per="&amp;filter!$R$1) )</f>
        <v>0</v>
      </c>
      <c r="I321" s="43">
        <f t="array" aca="1" ref="I321" ca="1">IF( $C321="", "", _xll.IMDP("IDX",$C321,I$6,$D$4,"Fill=true, Per="&amp;filter!$R$1) )</f>
        <v>0</v>
      </c>
      <c r="J321" s="34">
        <f t="array" aca="1" ref="J321" ca="1">IF( $C321="", "", _xll.IMDP("IDX",$C321,J$6,$D$4,"Fill=true, Per="&amp;filter!$R$1) )</f>
        <v>1492.5</v>
      </c>
      <c r="K321" s="38">
        <f t="array" aca="1" ref="K321" ca="1">IF( $C321="", "", _xll.IMDP("IDX",$C321,K$6,$D$4,"Fill=true, Per="&amp;filter!$R$1) )</f>
        <v>1494.81</v>
      </c>
      <c r="L321" s="39">
        <f t="array" aca="1" ref="L321" ca="1">IF( $C321="", "", _xll.IMDP("IDX",$C321,L$6,$D$4,"Fill=true, Per="&amp;filter!$R$1) )</f>
        <v>0</v>
      </c>
      <c r="M321" s="50" t="str">
        <f t="array" aca="1" ref="M321" ca="1">IF( $C321="", "", _xll.IMDP("IDX",$C321,M$6,$D$4,"Fill=true, Per="&amp;filter!$R$1) )</f>
        <v/>
      </c>
      <c r="N321" s="51" t="str">
        <f t="array" aca="1" ref="N321" ca="1">IF( $C321="", "", _xll.IMDP("IDX",$C321,N$6,$D$4,"Fill=true, Per="&amp;filter!$R$1) )</f>
        <v/>
      </c>
      <c r="O321" s="52" t="str">
        <f t="array" aca="1" ref="O321" ca="1">IF( $C321="", "", _xll.IMDP("IDX",$C321,O$6,$D$4,"Fill=true, Per="&amp;filter!$R$1) )</f>
        <v/>
      </c>
    </row>
    <row r="322" spans="2:15">
      <c r="B322" s="21">
        <f t="shared" si="4"/>
        <v>314</v>
      </c>
      <c r="C322" s="17" t="str">
        <f>IFERROR( VLOOKUP(ROWS($B$8:B321), filter!$I:$J, 2, 0), "")</f>
        <v>FTX04P</v>
      </c>
      <c r="D322" s="16" t="str" cm="1">
        <f t="array" ref="D322">IF( $C322="", "", _xll.IMDP("IDX", $C322, D$6) )</f>
        <v>국채 3-10년 선물인버스-2X지수</v>
      </c>
      <c r="E322" s="34">
        <f t="array" aca="1" ref="E322" ca="1">IF( $C322="", "", _xll.IMDP("IDX",$C322,E$6,$D$4,"Fill=true, Per="&amp;filter!$R$1) )</f>
        <v>1529.71</v>
      </c>
      <c r="F322" s="38">
        <f t="array" aca="1" ref="F322" ca="1">IF( $C322="", "", _xll.IMDP("IDX",$C322,F$6,$D$4,"Fill=true, Per="&amp;filter!$R$1) )</f>
        <v>4.9900000000000091</v>
      </c>
      <c r="G322" s="39">
        <f t="array" aca="1" ref="G322" ca="1">IF( $C322="", "", _xll.IMDP("IDX",$C322,G$6,$D$4,"Fill=true, Per="&amp;filter!$R$1) )</f>
        <v>0.33</v>
      </c>
      <c r="H322" s="43">
        <f t="array" aca="1" ref="H322" ca="1">IF( $C322="", "", _xll.IMDP("IDX",$C322,H$6,$D$4,"Fill=true, Per="&amp;filter!$R$1) )</f>
        <v>0</v>
      </c>
      <c r="I322" s="43">
        <f t="array" aca="1" ref="I322" ca="1">IF( $C322="", "", _xll.IMDP("IDX",$C322,I$6,$D$4,"Fill=true, Per="&amp;filter!$R$1) )</f>
        <v>0</v>
      </c>
      <c r="J322" s="34">
        <f t="array" aca="1" ref="J322" ca="1">IF( $C322="", "", _xll.IMDP("IDX",$C322,J$6,$D$4,"Fill=true, Per="&amp;filter!$R$1) )</f>
        <v>1528.63</v>
      </c>
      <c r="K322" s="38">
        <f t="array" aca="1" ref="K322" ca="1">IF( $C322="", "", _xll.IMDP("IDX",$C322,K$6,$D$4,"Fill=true, Per="&amp;filter!$R$1) )</f>
        <v>1533.22</v>
      </c>
      <c r="L322" s="39">
        <f t="array" aca="1" ref="L322" ca="1">IF( $C322="", "", _xll.IMDP("IDX",$C322,L$6,$D$4,"Fill=true, Per="&amp;filter!$R$1) )</f>
        <v>0</v>
      </c>
      <c r="M322" s="50" t="str">
        <f t="array" aca="1" ref="M322" ca="1">IF( $C322="", "", _xll.IMDP("IDX",$C322,M$6,$D$4,"Fill=true, Per="&amp;filter!$R$1) )</f>
        <v/>
      </c>
      <c r="N322" s="51" t="str">
        <f t="array" aca="1" ref="N322" ca="1">IF( $C322="", "", _xll.IMDP("IDX",$C322,N$6,$D$4,"Fill=true, Per="&amp;filter!$R$1) )</f>
        <v/>
      </c>
      <c r="O322" s="52" t="str">
        <f t="array" aca="1" ref="O322" ca="1">IF( $C322="", "", _xll.IMDP("IDX",$C322,O$6,$D$4,"Fill=true, Per="&amp;filter!$R$1) )</f>
        <v/>
      </c>
    </row>
    <row r="323" spans="2:15">
      <c r="B323" s="21">
        <f t="shared" si="4"/>
        <v>315</v>
      </c>
      <c r="C323" s="17" t="str">
        <f>IFERROR( VLOOKUP(ROWS($B$8:B322), filter!$I:$J, 2, 0), "")</f>
        <v>FTX05P</v>
      </c>
      <c r="D323" s="16" t="str" cm="1">
        <f t="array" ref="D323">IF( $C323="", "", _xll.IMDP("IDX", $C323, D$6) )</f>
        <v>5년 국채선물 추종 인버스지수</v>
      </c>
      <c r="E323" s="34">
        <f t="array" aca="1" ref="E323" ca="1">IF( $C323="", "", _xll.IMDP("IDX",$C323,E$6,$D$4,"Fill=true, Per="&amp;filter!$R$1) )</f>
        <v>1171.1600000000001</v>
      </c>
      <c r="F323" s="38">
        <f t="array" aca="1" ref="F323" ca="1">IF( $C323="", "", _xll.IMDP("IDX",$C323,F$6,$D$4,"Fill=true, Per="&amp;filter!$R$1) )</f>
        <v>1.7699999999999818</v>
      </c>
      <c r="G323" s="39">
        <f t="array" aca="1" ref="G323" ca="1">IF( $C323="", "", _xll.IMDP("IDX",$C323,G$6,$D$4,"Fill=true, Per="&amp;filter!$R$1) )</f>
        <v>0.15</v>
      </c>
      <c r="H323" s="43">
        <f t="array" aca="1" ref="H323" ca="1">IF( $C323="", "", _xll.IMDP("IDX",$C323,H$6,$D$4,"Fill=true, Per="&amp;filter!$R$1) )</f>
        <v>0</v>
      </c>
      <c r="I323" s="43">
        <f t="array" aca="1" ref="I323" ca="1">IF( $C323="", "", _xll.IMDP("IDX",$C323,I$6,$D$4,"Fill=true, Per="&amp;filter!$R$1) )</f>
        <v>0</v>
      </c>
      <c r="J323" s="34">
        <f t="array" aca="1" ref="J323" ca="1">IF( $C323="", "", _xll.IMDP("IDX",$C323,J$6,$D$4,"Fill=true, Per="&amp;filter!$R$1) )</f>
        <v>1170.79</v>
      </c>
      <c r="K323" s="38">
        <f t="array" aca="1" ref="K323" ca="1">IF( $C323="", "", _xll.IMDP("IDX",$C323,K$6,$D$4,"Fill=true, Per="&amp;filter!$R$1) )</f>
        <v>1172.23</v>
      </c>
      <c r="L323" s="39">
        <f t="array" aca="1" ref="L323" ca="1">IF( $C323="", "", _xll.IMDP("IDX",$C323,L$6,$D$4,"Fill=true, Per="&amp;filter!$R$1) )</f>
        <v>0</v>
      </c>
      <c r="M323" s="50" t="str">
        <f t="array" aca="1" ref="M323" ca="1">IF( $C323="", "", _xll.IMDP("IDX",$C323,M$6,$D$4,"Fill=true, Per="&amp;filter!$R$1) )</f>
        <v/>
      </c>
      <c r="N323" s="51" t="str">
        <f t="array" aca="1" ref="N323" ca="1">IF( $C323="", "", _xll.IMDP("IDX",$C323,N$6,$D$4,"Fill=true, Per="&amp;filter!$R$1) )</f>
        <v/>
      </c>
      <c r="O323" s="52" t="str">
        <f t="array" aca="1" ref="O323" ca="1">IF( $C323="", "", _xll.IMDP("IDX",$C323,O$6,$D$4,"Fill=true, Per="&amp;filter!$R$1) )</f>
        <v/>
      </c>
    </row>
    <row r="324" spans="2:15">
      <c r="B324" s="21">
        <f t="shared" si="4"/>
        <v>316</v>
      </c>
      <c r="C324" s="17" t="str">
        <f>IFERROR( VLOOKUP(ROWS($B$8:B323), filter!$I:$J, 2, 0), "")</f>
        <v>FTX06T</v>
      </c>
      <c r="D324" s="16" t="str" cm="1">
        <f t="array" ref="D324">IF( $C324="", "", _xll.IMDP("IDX", $C324, D$6) )</f>
        <v>10년 국채선물 레버리지지수</v>
      </c>
      <c r="E324" s="34">
        <f t="array" aca="1" ref="E324" ca="1">IF( $C324="", "", _xll.IMDP("IDX",$C324,E$6,$D$4,"Fill=true, Per="&amp;filter!$R$1) )</f>
        <v>1932.26</v>
      </c>
      <c r="F324" s="38">
        <f t="array" aca="1" ref="F324" ca="1">IF( $C324="", "", _xll.IMDP("IDX",$C324,F$6,$D$4,"Fill=true, Per="&amp;filter!$R$1) )</f>
        <v>-8</v>
      </c>
      <c r="G324" s="39">
        <f t="array" aca="1" ref="G324" ca="1">IF( $C324="", "", _xll.IMDP("IDX",$C324,G$6,$D$4,"Fill=true, Per="&amp;filter!$R$1) )</f>
        <v>-0.41</v>
      </c>
      <c r="H324" s="43">
        <f t="array" aca="1" ref="H324" ca="1">IF( $C324="", "", _xll.IMDP("IDX",$C324,H$6,$D$4,"Fill=true, Per="&amp;filter!$R$1) )</f>
        <v>0</v>
      </c>
      <c r="I324" s="43">
        <f t="array" aca="1" ref="I324" ca="1">IF( $C324="", "", _xll.IMDP("IDX",$C324,I$6,$D$4,"Fill=true, Per="&amp;filter!$R$1) )</f>
        <v>0</v>
      </c>
      <c r="J324" s="34">
        <f t="array" aca="1" ref="J324" ca="1">IF( $C324="", "", _xll.IMDP("IDX",$C324,J$6,$D$4,"Fill=true, Per="&amp;filter!$R$1) )</f>
        <v>1933.76</v>
      </c>
      <c r="K324" s="38">
        <f t="array" aca="1" ref="K324" ca="1">IF( $C324="", "", _xll.IMDP("IDX",$C324,K$6,$D$4,"Fill=true, Per="&amp;filter!$R$1) )</f>
        <v>1936.76</v>
      </c>
      <c r="L324" s="39">
        <f t="array" aca="1" ref="L324" ca="1">IF( $C324="", "", _xll.IMDP("IDX",$C324,L$6,$D$4,"Fill=true, Per="&amp;filter!$R$1) )</f>
        <v>0</v>
      </c>
      <c r="M324" s="50" t="str">
        <f t="array" aca="1" ref="M324" ca="1">IF( $C324="", "", _xll.IMDP("IDX",$C324,M$6,$D$4,"Fill=true, Per="&amp;filter!$R$1) )</f>
        <v/>
      </c>
      <c r="N324" s="51" t="str">
        <f t="array" aca="1" ref="N324" ca="1">IF( $C324="", "", _xll.IMDP("IDX",$C324,N$6,$D$4,"Fill=true, Per="&amp;filter!$R$1) )</f>
        <v/>
      </c>
      <c r="O324" s="52" t="str">
        <f t="array" aca="1" ref="O324" ca="1">IF( $C324="", "", _xll.IMDP("IDX",$C324,O$6,$D$4,"Fill=true, Per="&amp;filter!$R$1) )</f>
        <v/>
      </c>
    </row>
    <row r="325" spans="2:15">
      <c r="B325" s="21">
        <f t="shared" si="4"/>
        <v>317</v>
      </c>
      <c r="C325" s="17" t="str">
        <f>IFERROR( VLOOKUP(ROWS($B$8:B324), filter!$I:$J, 2, 0), "")</f>
        <v>FTX07P</v>
      </c>
      <c r="D325" s="16" t="str" cm="1">
        <f t="array" ref="D325">IF( $C325="", "", _xll.IMDP("IDX", $C325, D$6) )</f>
        <v>10년 국채선물 인버스지수</v>
      </c>
      <c r="E325" s="34">
        <f t="array" aca="1" ref="E325" ca="1">IF( $C325="", "", _xll.IMDP("IDX",$C325,E$6,$D$4,"Fill=true, Per="&amp;filter!$R$1) )</f>
        <v>1156.3699999999999</v>
      </c>
      <c r="F325" s="38">
        <f t="array" aca="1" ref="F325" ca="1">IF( $C325="", "", _xll.IMDP("IDX",$C325,F$6,$D$4,"Fill=true, Per="&amp;filter!$R$1) )</f>
        <v>3.0199999999999818</v>
      </c>
      <c r="G325" s="39">
        <f t="array" aca="1" ref="G325" ca="1">IF( $C325="", "", _xll.IMDP("IDX",$C325,G$6,$D$4,"Fill=true, Per="&amp;filter!$R$1) )</f>
        <v>0.26</v>
      </c>
      <c r="H325" s="43">
        <f t="array" aca="1" ref="H325" ca="1">IF( $C325="", "", _xll.IMDP("IDX",$C325,H$6,$D$4,"Fill=true, Per="&amp;filter!$R$1) )</f>
        <v>0</v>
      </c>
      <c r="I325" s="43">
        <f t="array" aca="1" ref="I325" ca="1">IF( $C325="", "", _xll.IMDP("IDX",$C325,I$6,$D$4,"Fill=true, Per="&amp;filter!$R$1) )</f>
        <v>0</v>
      </c>
      <c r="J325" s="34">
        <f t="array" aca="1" ref="J325" ca="1">IF( $C325="", "", _xll.IMDP("IDX",$C325,J$6,$D$4,"Fill=true, Per="&amp;filter!$R$1) )</f>
        <v>1155.77</v>
      </c>
      <c r="K325" s="38">
        <f t="array" aca="1" ref="K325" ca="1">IF( $C325="", "", _xll.IMDP("IDX",$C325,K$6,$D$4,"Fill=true, Per="&amp;filter!$R$1) )</f>
        <v>1158.3599999999999</v>
      </c>
      <c r="L325" s="39">
        <f t="array" aca="1" ref="L325" ca="1">IF( $C325="", "", _xll.IMDP("IDX",$C325,L$6,$D$4,"Fill=true, Per="&amp;filter!$R$1) )</f>
        <v>0</v>
      </c>
      <c r="M325" s="50" t="str">
        <f t="array" aca="1" ref="M325" ca="1">IF( $C325="", "", _xll.IMDP("IDX",$C325,M$6,$D$4,"Fill=true, Per="&amp;filter!$R$1) )</f>
        <v/>
      </c>
      <c r="N325" s="51" t="str">
        <f t="array" aca="1" ref="N325" ca="1">IF( $C325="", "", _xll.IMDP("IDX",$C325,N$6,$D$4,"Fill=true, Per="&amp;filter!$R$1) )</f>
        <v/>
      </c>
      <c r="O325" s="52" t="str">
        <f t="array" aca="1" ref="O325" ca="1">IF( $C325="", "", _xll.IMDP("IDX",$C325,O$6,$D$4,"Fill=true, Per="&amp;filter!$R$1) )</f>
        <v/>
      </c>
    </row>
    <row r="326" spans="2:15">
      <c r="B326" s="21">
        <f t="shared" si="4"/>
        <v>318</v>
      </c>
      <c r="C326" s="17" t="str">
        <f>IFERROR( VLOOKUP(ROWS($B$8:B325), filter!$I:$J, 2, 0), "")</f>
        <v>FTX08T</v>
      </c>
      <c r="D326" s="16" t="str" cm="1">
        <f t="array" ref="D326">IF( $C326="", "", _xll.IMDP("IDX", $C326, D$6) )</f>
        <v>10년 국채선물 인버스 레버리지?</v>
      </c>
      <c r="E326" s="34">
        <f t="array" aca="1" ref="E326" ca="1">IF( $C326="", "", _xll.IMDP("IDX",$C326,E$6,$D$4,"Fill=true, Per="&amp;filter!$R$1) )</f>
        <v>783.24</v>
      </c>
      <c r="F326" s="38">
        <f t="array" aca="1" ref="F326" ca="1">IF( $C326="", "", _xll.IMDP("IDX",$C326,F$6,$D$4,"Fill=true, Per="&amp;filter!$R$1) )</f>
        <v>3.7799999999999727</v>
      </c>
      <c r="G326" s="39">
        <f t="array" aca="1" ref="G326" ca="1">IF( $C326="", "", _xll.IMDP("IDX",$C326,G$6,$D$4,"Fill=true, Per="&amp;filter!$R$1) )</f>
        <v>0.48</v>
      </c>
      <c r="H326" s="43">
        <f t="array" aca="1" ref="H326" ca="1">IF( $C326="", "", _xll.IMDP("IDX",$C326,H$6,$D$4,"Fill=true, Per="&amp;filter!$R$1) )</f>
        <v>0</v>
      </c>
      <c r="I326" s="43">
        <f t="array" aca="1" ref="I326" ca="1">IF( $C326="", "", _xll.IMDP("IDX",$C326,I$6,$D$4,"Fill=true, Per="&amp;filter!$R$1) )</f>
        <v>0</v>
      </c>
      <c r="J326" s="34">
        <f t="array" aca="1" ref="J326" ca="1">IF( $C326="", "", _xll.IMDP("IDX",$C326,J$6,$D$4,"Fill=true, Per="&amp;filter!$R$1) )</f>
        <v>782.5</v>
      </c>
      <c r="K326" s="38">
        <f t="array" aca="1" ref="K326" ca="1">IF( $C326="", "", _xll.IMDP("IDX",$C326,K$6,$D$4,"Fill=true, Per="&amp;filter!$R$1) )</f>
        <v>785.94</v>
      </c>
      <c r="L326" s="39">
        <f t="array" aca="1" ref="L326" ca="1">IF( $C326="", "", _xll.IMDP("IDX",$C326,L$6,$D$4,"Fill=true, Per="&amp;filter!$R$1) )</f>
        <v>0</v>
      </c>
      <c r="M326" s="50" t="str">
        <f t="array" aca="1" ref="M326" ca="1">IF( $C326="", "", _xll.IMDP("IDX",$C326,M$6,$D$4,"Fill=true, Per="&amp;filter!$R$1) )</f>
        <v/>
      </c>
      <c r="N326" s="51" t="str">
        <f t="array" aca="1" ref="N326" ca="1">IF( $C326="", "", _xll.IMDP("IDX",$C326,N$6,$D$4,"Fill=true, Per="&amp;filter!$R$1) )</f>
        <v/>
      </c>
      <c r="O326" s="52" t="str">
        <f t="array" aca="1" ref="O326" ca="1">IF( $C326="", "", _xll.IMDP("IDX",$C326,O$6,$D$4,"Fill=true, Per="&amp;filter!$R$1) )</f>
        <v/>
      </c>
    </row>
    <row r="327" spans="2:15">
      <c r="B327" s="21">
        <f t="shared" si="4"/>
        <v>319</v>
      </c>
      <c r="C327" s="17" t="str">
        <f>IFERROR( VLOOKUP(ROWS($B$8:B326), filter!$I:$J, 2, 0), "")</f>
        <v>FTX10P</v>
      </c>
      <c r="D327" s="16" t="str" cm="1">
        <f t="array" ref="D327">IF( $C327="", "", _xll.IMDP("IDX", $C327, D$6) )</f>
        <v>국채선물 3년-10년 일드커브 스?</v>
      </c>
      <c r="E327" s="34">
        <f t="array" aca="1" ref="E327" ca="1">IF( $C327="", "", _xll.IMDP("IDX",$C327,E$6,$D$4,"Fill=true, Per="&amp;filter!$R$1) )</f>
        <v>1380.05</v>
      </c>
      <c r="F327" s="38">
        <f t="array" aca="1" ref="F327" ca="1">IF( $C327="", "", _xll.IMDP("IDX",$C327,F$6,$D$4,"Fill=true, Per="&amp;filter!$R$1) )</f>
        <v>0.75</v>
      </c>
      <c r="G327" s="39">
        <f t="array" aca="1" ref="G327" ca="1">IF( $C327="", "", _xll.IMDP("IDX",$C327,G$6,$D$4,"Fill=true, Per="&amp;filter!$R$1) )</f>
        <v>0.05</v>
      </c>
      <c r="H327" s="43">
        <f t="array" aca="1" ref="H327" ca="1">IF( $C327="", "", _xll.IMDP("IDX",$C327,H$6,$D$4,"Fill=true, Per="&amp;filter!$R$1) )</f>
        <v>0</v>
      </c>
      <c r="I327" s="43">
        <f t="array" aca="1" ref="I327" ca="1">IF( $C327="", "", _xll.IMDP("IDX",$C327,I$6,$D$4,"Fill=true, Per="&amp;filter!$R$1) )</f>
        <v>0</v>
      </c>
      <c r="J327" s="34">
        <f t="array" aca="1" ref="J327" ca="1">IF( $C327="", "", _xll.IMDP("IDX",$C327,J$6,$D$4,"Fill=true, Per="&amp;filter!$R$1) )</f>
        <v>1379.71</v>
      </c>
      <c r="K327" s="38">
        <f t="array" aca="1" ref="K327" ca="1">IF( $C327="", "", _xll.IMDP("IDX",$C327,K$6,$D$4,"Fill=true, Per="&amp;filter!$R$1) )</f>
        <v>1380.9</v>
      </c>
      <c r="L327" s="39">
        <f t="array" aca="1" ref="L327" ca="1">IF( $C327="", "", _xll.IMDP("IDX",$C327,L$6,$D$4,"Fill=true, Per="&amp;filter!$R$1) )</f>
        <v>0</v>
      </c>
      <c r="M327" s="50" t="str">
        <f t="array" aca="1" ref="M327" ca="1">IF( $C327="", "", _xll.IMDP("IDX",$C327,M$6,$D$4,"Fill=true, Per="&amp;filter!$R$1) )</f>
        <v/>
      </c>
      <c r="N327" s="51" t="str">
        <f t="array" aca="1" ref="N327" ca="1">IF( $C327="", "", _xll.IMDP("IDX",$C327,N$6,$D$4,"Fill=true, Per="&amp;filter!$R$1) )</f>
        <v/>
      </c>
      <c r="O327" s="52" t="str">
        <f t="array" aca="1" ref="O327" ca="1">IF( $C327="", "", _xll.IMDP("IDX",$C327,O$6,$D$4,"Fill=true, Per="&amp;filter!$R$1) )</f>
        <v/>
      </c>
    </row>
    <row r="328" spans="2:15">
      <c r="B328" s="21">
        <f t="shared" si="4"/>
        <v>320</v>
      </c>
      <c r="C328" s="17" t="str">
        <f>IFERROR( VLOOKUP(ROWS($B$8:B327), filter!$I:$J, 2, 0), "")</f>
        <v>FTX11P</v>
      </c>
      <c r="D328" s="16" t="str" cm="1">
        <f t="array" ref="D328">IF( $C328="", "", _xll.IMDP("IDX", $C328, D$6) )</f>
        <v>국채선물 3년-10년 일드커브 플?</v>
      </c>
      <c r="E328" s="34">
        <f t="array" aca="1" ref="E328" ca="1">IF( $C328="", "", _xll.IMDP("IDX",$C328,E$6,$D$4,"Fill=true, Per="&amp;filter!$R$1) )</f>
        <v>1296.29</v>
      </c>
      <c r="F328" s="38">
        <f t="array" aca="1" ref="F328" ca="1">IF( $C328="", "", _xll.IMDP("IDX",$C328,F$6,$D$4,"Fill=true, Per="&amp;filter!$R$1) )</f>
        <v>0.25999999999999091</v>
      </c>
      <c r="G328" s="39">
        <f t="array" aca="1" ref="G328" ca="1">IF( $C328="", "", _xll.IMDP("IDX",$C328,G$6,$D$4,"Fill=true, Per="&amp;filter!$R$1) )</f>
        <v>0.02</v>
      </c>
      <c r="H328" s="43">
        <f t="array" aca="1" ref="H328" ca="1">IF( $C328="", "", _xll.IMDP("IDX",$C328,H$6,$D$4,"Fill=true, Per="&amp;filter!$R$1) )</f>
        <v>0</v>
      </c>
      <c r="I328" s="43">
        <f t="array" aca="1" ref="I328" ca="1">IF( $C328="", "", _xll.IMDP("IDX",$C328,I$6,$D$4,"Fill=true, Per="&amp;filter!$R$1) )</f>
        <v>0</v>
      </c>
      <c r="J328" s="34">
        <f t="array" aca="1" ref="J328" ca="1">IF( $C328="", "", _xll.IMDP("IDX",$C328,J$6,$D$4,"Fill=true, Per="&amp;filter!$R$1) )</f>
        <v>1296.3699999999999</v>
      </c>
      <c r="K328" s="38">
        <f t="array" aca="1" ref="K328" ca="1">IF( $C328="", "", _xll.IMDP("IDX",$C328,K$6,$D$4,"Fill=true, Per="&amp;filter!$R$1) )</f>
        <v>1297.29</v>
      </c>
      <c r="L328" s="39">
        <f t="array" aca="1" ref="L328" ca="1">IF( $C328="", "", _xll.IMDP("IDX",$C328,L$6,$D$4,"Fill=true, Per="&amp;filter!$R$1) )</f>
        <v>0</v>
      </c>
      <c r="M328" s="50" t="str">
        <f t="array" aca="1" ref="M328" ca="1">IF( $C328="", "", _xll.IMDP("IDX",$C328,M$6,$D$4,"Fill=true, Per="&amp;filter!$R$1) )</f>
        <v/>
      </c>
      <c r="N328" s="51" t="str">
        <f t="array" aca="1" ref="N328" ca="1">IF( $C328="", "", _xll.IMDP("IDX",$C328,N$6,$D$4,"Fill=true, Per="&amp;filter!$R$1) )</f>
        <v/>
      </c>
      <c r="O328" s="52" t="str">
        <f t="array" aca="1" ref="O328" ca="1">IF( $C328="", "", _xll.IMDP("IDX",$C328,O$6,$D$4,"Fill=true, Per="&amp;filter!$R$1) )</f>
        <v/>
      </c>
    </row>
    <row r="329" spans="2:15">
      <c r="B329" s="21">
        <f t="shared" si="4"/>
        <v>321</v>
      </c>
      <c r="C329" s="17" t="str">
        <f>IFERROR( VLOOKUP(ROWS($B$8:B328), filter!$I:$J, 2, 0), "")</f>
        <v>G2T01P</v>
      </c>
      <c r="D329" s="16" t="str" cm="1">
        <f t="array" ref="D329">IF( $C329="", "", _xll.IMDP("IDX", $C329, D$6) )</f>
        <v>KRX/S&amp;P ESG 고배당지수</v>
      </c>
      <c r="E329" s="34">
        <f t="array" aca="1" ref="E329" ca="1">IF( $C329="", "", _xll.IMDP("IDX",$C329,E$6,$D$4,"Fill=true, Per="&amp;filter!$R$1) )</f>
        <v>1510.87</v>
      </c>
      <c r="F329" s="38">
        <f t="array" aca="1" ref="F329" ca="1">IF( $C329="", "", _xll.IMDP("IDX",$C329,F$6,$D$4,"Fill=true, Per="&amp;filter!$R$1) )</f>
        <v>19.059999999999945</v>
      </c>
      <c r="G329" s="39">
        <f t="array" aca="1" ref="G329" ca="1">IF( $C329="", "", _xll.IMDP("IDX",$C329,G$6,$D$4,"Fill=true, Per="&amp;filter!$R$1) )</f>
        <v>1.28</v>
      </c>
      <c r="H329" s="43">
        <f t="array" aca="1" ref="H329" ca="1">IF( $C329="", "", _xll.IMDP("IDX",$C329,H$6,$D$4,"Fill=true, Per="&amp;filter!$R$1) )</f>
        <v>0</v>
      </c>
      <c r="I329" s="43">
        <f t="array" aca="1" ref="I329" ca="1">IF( $C329="", "", _xll.IMDP("IDX",$C329,I$6,$D$4,"Fill=true, Per="&amp;filter!$R$1) )</f>
        <v>0</v>
      </c>
      <c r="J329" s="34">
        <f t="array" aca="1" ref="J329" ca="1">IF( $C329="", "", _xll.IMDP("IDX",$C329,J$6,$D$4,"Fill=true, Per="&amp;filter!$R$1) )</f>
        <v>1494.1</v>
      </c>
      <c r="K329" s="38">
        <f t="array" aca="1" ref="K329" ca="1">IF( $C329="", "", _xll.IMDP("IDX",$C329,K$6,$D$4,"Fill=true, Per="&amp;filter!$R$1) )</f>
        <v>1513.49</v>
      </c>
      <c r="L329" s="39">
        <f t="array" aca="1" ref="L329" ca="1">IF( $C329="", "", _xll.IMDP("IDX",$C329,L$6,$D$4,"Fill=true, Per="&amp;filter!$R$1) )</f>
        <v>0</v>
      </c>
      <c r="M329" s="50" t="str">
        <f t="array" aca="1" ref="M329" ca="1">IF( $C329="", "", _xll.IMDP("IDX",$C329,M$6,$D$4,"Fill=true, Per="&amp;filter!$R$1) )</f>
        <v/>
      </c>
      <c r="N329" s="51" t="str">
        <f t="array" aca="1" ref="N329" ca="1">IF( $C329="", "", _xll.IMDP("IDX",$C329,N$6,$D$4,"Fill=true, Per="&amp;filter!$R$1) )</f>
        <v/>
      </c>
      <c r="O329" s="52" t="str">
        <f t="array" aca="1" ref="O329" ca="1">IF( $C329="", "", _xll.IMDP("IDX",$C329,O$6,$D$4,"Fill=true, Per="&amp;filter!$R$1) )</f>
        <v/>
      </c>
    </row>
    <row r="330" spans="2:15">
      <c r="B330" s="21">
        <f t="shared" si="4"/>
        <v>322</v>
      </c>
      <c r="C330" s="17" t="str">
        <f>IFERROR( VLOOKUP(ROWS($B$8:B329), filter!$I:$J, 2, 0), "")</f>
        <v>GGE01P</v>
      </c>
      <c r="D330" s="16" t="str" cm="1">
        <f t="array" ref="D330">IF( $C330="", "", _xll.IMDP("IDX", $C330, D$6) )</f>
        <v>KRX/S&amp;P 탄소효율 그린뉴딜지수</v>
      </c>
      <c r="E330" s="34">
        <f t="array" aca="1" ref="E330" ca="1">IF( $C330="", "", _xll.IMDP("IDX",$C330,E$6,$D$4,"Fill=true, Per="&amp;filter!$R$1) )</f>
        <v>1506.51</v>
      </c>
      <c r="F330" s="38">
        <f t="array" aca="1" ref="F330" ca="1">IF( $C330="", "", _xll.IMDP("IDX",$C330,F$6,$D$4,"Fill=true, Per="&amp;filter!$R$1) )</f>
        <v>-14</v>
      </c>
      <c r="G330" s="39">
        <f t="array" aca="1" ref="G330" ca="1">IF( $C330="", "", _xll.IMDP("IDX",$C330,G$6,$D$4,"Fill=true, Per="&amp;filter!$R$1) )</f>
        <v>-0.92</v>
      </c>
      <c r="H330" s="43">
        <f t="array" aca="1" ref="H330" ca="1">IF( $C330="", "", _xll.IMDP("IDX",$C330,H$6,$D$4,"Fill=true, Per="&amp;filter!$R$1) )</f>
        <v>0</v>
      </c>
      <c r="I330" s="43">
        <f t="array" aca="1" ref="I330" ca="1">IF( $C330="", "", _xll.IMDP("IDX",$C330,I$6,$D$4,"Fill=true, Per="&amp;filter!$R$1) )</f>
        <v>0</v>
      </c>
      <c r="J330" s="34">
        <f t="array" aca="1" ref="J330" ca="1">IF( $C330="", "", _xll.IMDP("IDX",$C330,J$6,$D$4,"Fill=true, Per="&amp;filter!$R$1) )</f>
        <v>1524.86</v>
      </c>
      <c r="K330" s="38">
        <f t="array" aca="1" ref="K330" ca="1">IF( $C330="", "", _xll.IMDP("IDX",$C330,K$6,$D$4,"Fill=true, Per="&amp;filter!$R$1) )</f>
        <v>1528.42</v>
      </c>
      <c r="L330" s="39">
        <f t="array" aca="1" ref="L330" ca="1">IF( $C330="", "", _xll.IMDP("IDX",$C330,L$6,$D$4,"Fill=true, Per="&amp;filter!$R$1) )</f>
        <v>0</v>
      </c>
      <c r="M330" s="50" t="str">
        <f t="array" aca="1" ref="M330" ca="1">IF( $C330="", "", _xll.IMDP("IDX",$C330,M$6,$D$4,"Fill=true, Per="&amp;filter!$R$1) )</f>
        <v/>
      </c>
      <c r="N330" s="51" t="str">
        <f t="array" aca="1" ref="N330" ca="1">IF( $C330="", "", _xll.IMDP("IDX",$C330,N$6,$D$4,"Fill=true, Per="&amp;filter!$R$1) )</f>
        <v/>
      </c>
      <c r="O330" s="52" t="str">
        <f t="array" aca="1" ref="O330" ca="1">IF( $C330="", "", _xll.IMDP("IDX",$C330,O$6,$D$4,"Fill=true, Per="&amp;filter!$R$1) )</f>
        <v/>
      </c>
    </row>
    <row r="331" spans="2:15">
      <c r="B331" s="21">
        <f t="shared" ref="B331:B385" si="5">IF( $C331&lt;&gt;"", B330+1, "")</f>
        <v>323</v>
      </c>
      <c r="C331" s="17" t="str">
        <f>IFERROR( VLOOKUP(ROWS($B$8:B330), filter!$I:$J, 2, 0), "")</f>
        <v>GGG01P</v>
      </c>
      <c r="D331" s="16" t="str" cm="1">
        <f t="array" ref="D331">IF( $C331="", "", _xll.IMDP("IDX", $C331, D$6) )</f>
        <v>S&amp;P/KRX Asia 100 Index (KRW)</v>
      </c>
      <c r="E331" s="34">
        <f t="array" aca="1" ref="E331" ca="1">IF( $C331="", "", _xll.IMDP("IDX",$C331,E$6,$D$4,"Fill=true, Per="&amp;filter!$R$1) )</f>
        <v>3158.78</v>
      </c>
      <c r="F331" s="38">
        <f t="array" aca="1" ref="F331" ca="1">IF( $C331="", "", _xll.IMDP("IDX",$C331,F$6,$D$4,"Fill=true, Per="&amp;filter!$R$1) )</f>
        <v>-29.449999999999818</v>
      </c>
      <c r="G331" s="39">
        <f t="array" aca="1" ref="G331" ca="1">IF( $C331="", "", _xll.IMDP("IDX",$C331,G$6,$D$4,"Fill=true, Per="&amp;filter!$R$1) )</f>
        <v>-0.92</v>
      </c>
      <c r="H331" s="43">
        <f t="array" aca="1" ref="H331" ca="1">IF( $C331="", "", _xll.IMDP("IDX",$C331,H$6,$D$4,"Fill=true, Per="&amp;filter!$R$1) )</f>
        <v>0</v>
      </c>
      <c r="I331" s="43">
        <f t="array" aca="1" ref="I331" ca="1">IF( $C331="", "", _xll.IMDP("IDX",$C331,I$6,$D$4,"Fill=true, Per="&amp;filter!$R$1) )</f>
        <v>0</v>
      </c>
      <c r="J331" s="34">
        <f t="array" aca="1" ref="J331" ca="1">IF( $C331="", "", _xll.IMDP("IDX",$C331,J$6,$D$4,"Fill=true, Per="&amp;filter!$R$1) )</f>
        <v>3179.12</v>
      </c>
      <c r="K331" s="38">
        <f t="array" aca="1" ref="K331" ca="1">IF( $C331="", "", _xll.IMDP("IDX",$C331,K$6,$D$4,"Fill=true, Per="&amp;filter!$R$1) )</f>
        <v>3179.12</v>
      </c>
      <c r="L331" s="39">
        <f t="array" aca="1" ref="L331" ca="1">IF( $C331="", "", _xll.IMDP("IDX",$C331,L$6,$D$4,"Fill=true, Per="&amp;filter!$R$1) )</f>
        <v>0</v>
      </c>
      <c r="M331" s="50" t="str">
        <f t="array" aca="1" ref="M331" ca="1">IF( $C331="", "", _xll.IMDP("IDX",$C331,M$6,$D$4,"Fill=true, Per="&amp;filter!$R$1) )</f>
        <v/>
      </c>
      <c r="N331" s="51" t="str">
        <f t="array" aca="1" ref="N331" ca="1">IF( $C331="", "", _xll.IMDP("IDX",$C331,N$6,$D$4,"Fill=true, Per="&amp;filter!$R$1) )</f>
        <v/>
      </c>
      <c r="O331" s="52" t="str">
        <f t="array" aca="1" ref="O331" ca="1">IF( $C331="", "", _xll.IMDP("IDX",$C331,O$6,$D$4,"Fill=true, Per="&amp;filter!$R$1) )</f>
        <v/>
      </c>
    </row>
    <row r="332" spans="2:15">
      <c r="B332" s="21">
        <f t="shared" si="5"/>
        <v>324</v>
      </c>
      <c r="C332" s="17" t="str">
        <f>IFERROR( VLOOKUP(ROWS($B$8:B331), filter!$I:$J, 2, 0), "")</f>
        <v>GGG02P</v>
      </c>
      <c r="D332" s="16" t="str" cm="1">
        <f t="array" ref="D332">IF( $C332="", "", _xll.IMDP("IDX", $C332, D$6) )</f>
        <v>S&amp;P/KRX Exchanges Index (KRW)</v>
      </c>
      <c r="E332" s="34">
        <f t="array" aca="1" ref="E332" ca="1">IF( $C332="", "", _xll.IMDP("IDX",$C332,E$6,$D$4,"Fill=true, Per="&amp;filter!$R$1) )</f>
        <v>7198.05</v>
      </c>
      <c r="F332" s="38">
        <f t="array" aca="1" ref="F332" ca="1">IF( $C332="", "", _xll.IMDP("IDX",$C332,F$6,$D$4,"Fill=true, Per="&amp;filter!$R$1) )</f>
        <v>-579.13000000000011</v>
      </c>
      <c r="G332" s="39">
        <f t="array" aca="1" ref="G332" ca="1">IF( $C332="", "", _xll.IMDP("IDX",$C332,G$6,$D$4,"Fill=true, Per="&amp;filter!$R$1) )</f>
        <v>-7.45</v>
      </c>
      <c r="H332" s="43">
        <f t="array" aca="1" ref="H332" ca="1">IF( $C332="", "", _xll.IMDP("IDX",$C332,H$6,$D$4,"Fill=true, Per="&amp;filter!$R$1) )</f>
        <v>0</v>
      </c>
      <c r="I332" s="43">
        <f t="array" aca="1" ref="I332" ca="1">IF( $C332="", "", _xll.IMDP("IDX",$C332,I$6,$D$4,"Fill=true, Per="&amp;filter!$R$1) )</f>
        <v>0</v>
      </c>
      <c r="J332" s="34">
        <f t="array" aca="1" ref="J332" ca="1">IF( $C332="", "", _xll.IMDP("IDX",$C332,J$6,$D$4,"Fill=true, Per="&amp;filter!$R$1) )</f>
        <v>7765.45</v>
      </c>
      <c r="K332" s="38">
        <f t="array" aca="1" ref="K332" ca="1">IF( $C332="", "", _xll.IMDP("IDX",$C332,K$6,$D$4,"Fill=true, Per="&amp;filter!$R$1) )</f>
        <v>7765.45</v>
      </c>
      <c r="L332" s="39">
        <f t="array" aca="1" ref="L332" ca="1">IF( $C332="", "", _xll.IMDP("IDX",$C332,L$6,$D$4,"Fill=true, Per="&amp;filter!$R$1) )</f>
        <v>0</v>
      </c>
      <c r="M332" s="50" t="str">
        <f t="array" aca="1" ref="M332" ca="1">IF( $C332="", "", _xll.IMDP("IDX",$C332,M$6,$D$4,"Fill=true, Per="&amp;filter!$R$1) )</f>
        <v/>
      </c>
      <c r="N332" s="51" t="str">
        <f t="array" aca="1" ref="N332" ca="1">IF( $C332="", "", _xll.IMDP("IDX",$C332,N$6,$D$4,"Fill=true, Per="&amp;filter!$R$1) )</f>
        <v/>
      </c>
      <c r="O332" s="52" t="str">
        <f t="array" aca="1" ref="O332" ca="1">IF( $C332="", "", _xll.IMDP("IDX",$C332,O$6,$D$4,"Fill=true, Per="&amp;filter!$R$1) )</f>
        <v/>
      </c>
    </row>
    <row r="333" spans="2:15">
      <c r="B333" s="21">
        <f t="shared" si="5"/>
        <v>325</v>
      </c>
      <c r="C333" s="17" t="str">
        <f>IFERROR( VLOOKUP(ROWS($B$8:B332), filter!$I:$J, 2, 0), "")</f>
        <v>GGG03P</v>
      </c>
      <c r="D333" s="16" t="str" cm="1">
        <f t="array" ref="D333">IF( $C333="", "", _xll.IMDP("IDX", $C333, D$6) )</f>
        <v>S&amp;P/KRX Asia 100 Index (USD)</v>
      </c>
      <c r="E333" s="34">
        <f t="array" aca="1" ref="E333" ca="1">IF( $C333="", "", _xll.IMDP("IDX",$C333,E$6,$D$4,"Fill=true, Per="&amp;filter!$R$1) )</f>
        <v>2852.9</v>
      </c>
      <c r="F333" s="38">
        <f t="array" aca="1" ref="F333" ca="1">IF( $C333="", "", _xll.IMDP("IDX",$C333,F$6,$D$4,"Fill=true, Per="&amp;filter!$R$1) )</f>
        <v>-38.920000000000073</v>
      </c>
      <c r="G333" s="39">
        <f t="array" aca="1" ref="G333" ca="1">IF( $C333="", "", _xll.IMDP("IDX",$C333,G$6,$D$4,"Fill=true, Per="&amp;filter!$R$1) )</f>
        <v>-1.35</v>
      </c>
      <c r="H333" s="43">
        <f t="array" aca="1" ref="H333" ca="1">IF( $C333="", "", _xll.IMDP("IDX",$C333,H$6,$D$4,"Fill=true, Per="&amp;filter!$R$1) )</f>
        <v>0</v>
      </c>
      <c r="I333" s="43">
        <f t="array" aca="1" ref="I333" ca="1">IF( $C333="", "", _xll.IMDP("IDX",$C333,I$6,$D$4,"Fill=true, Per="&amp;filter!$R$1) )</f>
        <v>0</v>
      </c>
      <c r="J333" s="34">
        <f t="array" aca="1" ref="J333" ca="1">IF( $C333="", "", _xll.IMDP("IDX",$C333,J$6,$D$4,"Fill=true, Per="&amp;filter!$R$1) )</f>
        <v>2873.56</v>
      </c>
      <c r="K333" s="38">
        <f t="array" aca="1" ref="K333" ca="1">IF( $C333="", "", _xll.IMDP("IDX",$C333,K$6,$D$4,"Fill=true, Per="&amp;filter!$R$1) )</f>
        <v>2873.56</v>
      </c>
      <c r="L333" s="39">
        <f t="array" aca="1" ref="L333" ca="1">IF( $C333="", "", _xll.IMDP("IDX",$C333,L$6,$D$4,"Fill=true, Per="&amp;filter!$R$1) )</f>
        <v>0</v>
      </c>
      <c r="M333" s="50" t="str">
        <f t="array" aca="1" ref="M333" ca="1">IF( $C333="", "", _xll.IMDP("IDX",$C333,M$6,$D$4,"Fill=true, Per="&amp;filter!$R$1) )</f>
        <v/>
      </c>
      <c r="N333" s="51" t="str">
        <f t="array" aca="1" ref="N333" ca="1">IF( $C333="", "", _xll.IMDP("IDX",$C333,N$6,$D$4,"Fill=true, Per="&amp;filter!$R$1) )</f>
        <v/>
      </c>
      <c r="O333" s="52" t="str">
        <f t="array" aca="1" ref="O333" ca="1">IF( $C333="", "", _xll.IMDP("IDX",$C333,O$6,$D$4,"Fill=true, Per="&amp;filter!$R$1) )</f>
        <v/>
      </c>
    </row>
    <row r="334" spans="2:15">
      <c r="B334" s="21">
        <f t="shared" si="5"/>
        <v>326</v>
      </c>
      <c r="C334" s="17" t="str">
        <f>IFERROR( VLOOKUP(ROWS($B$8:B333), filter!$I:$J, 2, 0), "")</f>
        <v>GGG04P</v>
      </c>
      <c r="D334" s="16" t="str" cm="1">
        <f t="array" ref="D334">IF( $C334="", "", _xll.IMDP("IDX", $C334, D$6) )</f>
        <v>S&amp;P/KRX Asia 100 Index (JPY)</v>
      </c>
      <c r="E334" s="34">
        <f t="array" aca="1" ref="E334" ca="1">IF( $C334="", "", _xll.IMDP("IDX",$C334,E$6,$D$4,"Fill=true, Per="&amp;filter!$R$1) )</f>
        <v>3843.22</v>
      </c>
      <c r="F334" s="38">
        <f t="array" aca="1" ref="F334" ca="1">IF( $C334="", "", _xll.IMDP("IDX",$C334,F$6,$D$4,"Fill=true, Per="&amp;filter!$R$1) )</f>
        <v>10.049999999999727</v>
      </c>
      <c r="G334" s="39">
        <f t="array" aca="1" ref="G334" ca="1">IF( $C334="", "", _xll.IMDP("IDX",$C334,G$6,$D$4,"Fill=true, Per="&amp;filter!$R$1) )</f>
        <v>0.26</v>
      </c>
      <c r="H334" s="43">
        <f t="array" aca="1" ref="H334" ca="1">IF( $C334="", "", _xll.IMDP("IDX",$C334,H$6,$D$4,"Fill=true, Per="&amp;filter!$R$1) )</f>
        <v>0</v>
      </c>
      <c r="I334" s="43">
        <f t="array" aca="1" ref="I334" ca="1">IF( $C334="", "", _xll.IMDP("IDX",$C334,I$6,$D$4,"Fill=true, Per="&amp;filter!$R$1) )</f>
        <v>0</v>
      </c>
      <c r="J334" s="34">
        <f t="array" aca="1" ref="J334" ca="1">IF( $C334="", "", _xll.IMDP("IDX",$C334,J$6,$D$4,"Fill=true, Per="&amp;filter!$R$1) )</f>
        <v>3846.84</v>
      </c>
      <c r="K334" s="38">
        <f t="array" aca="1" ref="K334" ca="1">IF( $C334="", "", _xll.IMDP("IDX",$C334,K$6,$D$4,"Fill=true, Per="&amp;filter!$R$1) )</f>
        <v>3846.84</v>
      </c>
      <c r="L334" s="39">
        <f t="array" aca="1" ref="L334" ca="1">IF( $C334="", "", _xll.IMDP("IDX",$C334,L$6,$D$4,"Fill=true, Per="&amp;filter!$R$1) )</f>
        <v>0</v>
      </c>
      <c r="M334" s="50" t="str">
        <f t="array" aca="1" ref="M334" ca="1">IF( $C334="", "", _xll.IMDP("IDX",$C334,M$6,$D$4,"Fill=true, Per="&amp;filter!$R$1) )</f>
        <v/>
      </c>
      <c r="N334" s="51" t="str">
        <f t="array" aca="1" ref="N334" ca="1">IF( $C334="", "", _xll.IMDP("IDX",$C334,N$6,$D$4,"Fill=true, Per="&amp;filter!$R$1) )</f>
        <v/>
      </c>
      <c r="O334" s="52" t="str">
        <f t="array" aca="1" ref="O334" ca="1">IF( $C334="", "", _xll.IMDP("IDX",$C334,O$6,$D$4,"Fill=true, Per="&amp;filter!$R$1) )</f>
        <v/>
      </c>
    </row>
    <row r="335" spans="2:15">
      <c r="B335" s="21">
        <f t="shared" si="5"/>
        <v>327</v>
      </c>
      <c r="C335" s="17" t="str">
        <f>IFERROR( VLOOKUP(ROWS($B$8:B334), filter!$I:$J, 2, 0), "")</f>
        <v>GGG05P</v>
      </c>
      <c r="D335" s="16" t="str" cm="1">
        <f t="array" ref="D335">IF( $C335="", "", _xll.IMDP("IDX", $C335, D$6) )</f>
        <v>S&amp;P/KRX Asia 100 Index (HKD)</v>
      </c>
      <c r="E335" s="34">
        <f t="array" aca="1" ref="E335" ca="1">IF( $C335="", "", _xll.IMDP("IDX",$C335,E$6,$D$4,"Fill=true, Per="&amp;filter!$R$1) )</f>
        <v>2865.48</v>
      </c>
      <c r="F335" s="38">
        <f t="array" aca="1" ref="F335" ca="1">IF( $C335="", "", _xll.IMDP("IDX",$C335,F$6,$D$4,"Fill=true, Per="&amp;filter!$R$1) )</f>
        <v>-38.679999999999836</v>
      </c>
      <c r="G335" s="39">
        <f t="array" aca="1" ref="G335" ca="1">IF( $C335="", "", _xll.IMDP("IDX",$C335,G$6,$D$4,"Fill=true, Per="&amp;filter!$R$1) )</f>
        <v>-1.33</v>
      </c>
      <c r="H335" s="43">
        <f t="array" aca="1" ref="H335" ca="1">IF( $C335="", "", _xll.IMDP("IDX",$C335,H$6,$D$4,"Fill=true, Per="&amp;filter!$R$1) )</f>
        <v>0</v>
      </c>
      <c r="I335" s="43">
        <f t="array" aca="1" ref="I335" ca="1">IF( $C335="", "", _xll.IMDP("IDX",$C335,I$6,$D$4,"Fill=true, Per="&amp;filter!$R$1) )</f>
        <v>0</v>
      </c>
      <c r="J335" s="34">
        <f t="array" aca="1" ref="J335" ca="1">IF( $C335="", "", _xll.IMDP("IDX",$C335,J$6,$D$4,"Fill=true, Per="&amp;filter!$R$1) )</f>
        <v>2886.54</v>
      </c>
      <c r="K335" s="38">
        <f t="array" aca="1" ref="K335" ca="1">IF( $C335="", "", _xll.IMDP("IDX",$C335,K$6,$D$4,"Fill=true, Per="&amp;filter!$R$1) )</f>
        <v>2886.54</v>
      </c>
      <c r="L335" s="39">
        <f t="array" aca="1" ref="L335" ca="1">IF( $C335="", "", _xll.IMDP("IDX",$C335,L$6,$D$4,"Fill=true, Per="&amp;filter!$R$1) )</f>
        <v>0</v>
      </c>
      <c r="M335" s="50" t="str">
        <f t="array" aca="1" ref="M335" ca="1">IF( $C335="", "", _xll.IMDP("IDX",$C335,M$6,$D$4,"Fill=true, Per="&amp;filter!$R$1) )</f>
        <v/>
      </c>
      <c r="N335" s="51" t="str">
        <f t="array" aca="1" ref="N335" ca="1">IF( $C335="", "", _xll.IMDP("IDX",$C335,N$6,$D$4,"Fill=true, Per="&amp;filter!$R$1) )</f>
        <v/>
      </c>
      <c r="O335" s="52" t="str">
        <f t="array" aca="1" ref="O335" ca="1">IF( $C335="", "", _xll.IMDP("IDX",$C335,O$6,$D$4,"Fill=true, Per="&amp;filter!$R$1) )</f>
        <v/>
      </c>
    </row>
    <row r="336" spans="2:15">
      <c r="B336" s="21">
        <f t="shared" si="5"/>
        <v>328</v>
      </c>
      <c r="C336" s="17" t="str">
        <f>IFERROR( VLOOKUP(ROWS($B$8:B335), filter!$I:$J, 2, 0), "")</f>
        <v>GGG06P</v>
      </c>
      <c r="D336" s="16" t="str" cm="1">
        <f t="array" ref="D336">IF( $C336="", "", _xll.IMDP("IDX", $C336, D$6) )</f>
        <v>S&amp;P/KRX Exchanges Index (USD)</v>
      </c>
      <c r="E336" s="34">
        <f t="array" aca="1" ref="E336" ca="1">IF( $C336="", "", _xll.IMDP("IDX",$C336,E$6,$D$4,"Fill=true, Per="&amp;filter!$R$1) )</f>
        <v>5402.51</v>
      </c>
      <c r="F336" s="38">
        <f t="array" aca="1" ref="F336" ca="1">IF( $C336="", "", _xll.IMDP("IDX",$C336,F$6,$D$4,"Fill=true, Per="&amp;filter!$R$1) )</f>
        <v>-445.59000000000015</v>
      </c>
      <c r="G336" s="39">
        <f t="array" aca="1" ref="G336" ca="1">IF( $C336="", "", _xll.IMDP("IDX",$C336,G$6,$D$4,"Fill=true, Per="&amp;filter!$R$1) )</f>
        <v>-7.62</v>
      </c>
      <c r="H336" s="43">
        <f t="array" aca="1" ref="H336" ca="1">IF( $C336="", "", _xll.IMDP("IDX",$C336,H$6,$D$4,"Fill=true, Per="&amp;filter!$R$1) )</f>
        <v>0</v>
      </c>
      <c r="I336" s="43">
        <f t="array" aca="1" ref="I336" ca="1">IF( $C336="", "", _xll.IMDP("IDX",$C336,I$6,$D$4,"Fill=true, Per="&amp;filter!$R$1) )</f>
        <v>0</v>
      </c>
      <c r="J336" s="34">
        <f t="array" aca="1" ref="J336" ca="1">IF( $C336="", "", _xll.IMDP("IDX",$C336,J$6,$D$4,"Fill=true, Per="&amp;filter!$R$1) )</f>
        <v>5828.15</v>
      </c>
      <c r="K336" s="38">
        <f t="array" aca="1" ref="K336" ca="1">IF( $C336="", "", _xll.IMDP("IDX",$C336,K$6,$D$4,"Fill=true, Per="&amp;filter!$R$1) )</f>
        <v>5828.15</v>
      </c>
      <c r="L336" s="39">
        <f t="array" aca="1" ref="L336" ca="1">IF( $C336="", "", _xll.IMDP("IDX",$C336,L$6,$D$4,"Fill=true, Per="&amp;filter!$R$1) )</f>
        <v>0</v>
      </c>
      <c r="M336" s="50" t="str">
        <f t="array" aca="1" ref="M336" ca="1">IF( $C336="", "", _xll.IMDP("IDX",$C336,M$6,$D$4,"Fill=true, Per="&amp;filter!$R$1) )</f>
        <v/>
      </c>
      <c r="N336" s="51" t="str">
        <f t="array" aca="1" ref="N336" ca="1">IF( $C336="", "", _xll.IMDP("IDX",$C336,N$6,$D$4,"Fill=true, Per="&amp;filter!$R$1) )</f>
        <v/>
      </c>
      <c r="O336" s="52" t="str">
        <f t="array" aca="1" ref="O336" ca="1">IF( $C336="", "", _xll.IMDP("IDX",$C336,O$6,$D$4,"Fill=true, Per="&amp;filter!$R$1) )</f>
        <v/>
      </c>
    </row>
    <row r="337" spans="2:15">
      <c r="B337" s="21">
        <f t="shared" si="5"/>
        <v>329</v>
      </c>
      <c r="C337" s="17" t="str">
        <f>IFERROR( VLOOKUP(ROWS($B$8:B336), filter!$I:$J, 2, 0), "")</f>
        <v>GGG07P</v>
      </c>
      <c r="D337" s="16" t="str" cm="1">
        <f t="array" ref="D337">IF( $C337="", "", _xll.IMDP("IDX", $C337, D$6) )</f>
        <v>S&amp;P/KRX Exchanges Index (JPY)</v>
      </c>
      <c r="E337" s="34">
        <f t="array" aca="1" ref="E337" ca="1">IF( $C337="", "", _xll.IMDP("IDX",$C337,E$6,$D$4,"Fill=true, Per="&amp;filter!$R$1) )</f>
        <v>7010.13</v>
      </c>
      <c r="F337" s="38">
        <f t="array" aca="1" ref="F337" ca="1">IF( $C337="", "", _xll.IMDP("IDX",$C337,F$6,$D$4,"Fill=true, Per="&amp;filter!$R$1) )</f>
        <v>-289.89999999999964</v>
      </c>
      <c r="G337" s="39">
        <f t="array" aca="1" ref="G337" ca="1">IF( $C337="", "", _xll.IMDP("IDX",$C337,G$6,$D$4,"Fill=true, Per="&amp;filter!$R$1) )</f>
        <v>-3.97</v>
      </c>
      <c r="H337" s="43">
        <f t="array" aca="1" ref="H337" ca="1">IF( $C337="", "", _xll.IMDP("IDX",$C337,H$6,$D$4,"Fill=true, Per="&amp;filter!$R$1) )</f>
        <v>0</v>
      </c>
      <c r="I337" s="43">
        <f t="array" aca="1" ref="I337" ca="1">IF( $C337="", "", _xll.IMDP("IDX",$C337,I$6,$D$4,"Fill=true, Per="&amp;filter!$R$1) )</f>
        <v>0</v>
      </c>
      <c r="J337" s="34">
        <f t="array" aca="1" ref="J337" ca="1">IF( $C337="", "", _xll.IMDP("IDX",$C337,J$6,$D$4,"Fill=true, Per="&amp;filter!$R$1) )</f>
        <v>7343.33</v>
      </c>
      <c r="K337" s="38">
        <f t="array" aca="1" ref="K337" ca="1">IF( $C337="", "", _xll.IMDP("IDX",$C337,K$6,$D$4,"Fill=true, Per="&amp;filter!$R$1) )</f>
        <v>7343.33</v>
      </c>
      <c r="L337" s="39">
        <f t="array" aca="1" ref="L337" ca="1">IF( $C337="", "", _xll.IMDP("IDX",$C337,L$6,$D$4,"Fill=true, Per="&amp;filter!$R$1) )</f>
        <v>0</v>
      </c>
      <c r="M337" s="50" t="str">
        <f t="array" aca="1" ref="M337" ca="1">IF( $C337="", "", _xll.IMDP("IDX",$C337,M$6,$D$4,"Fill=true, Per="&amp;filter!$R$1) )</f>
        <v/>
      </c>
      <c r="N337" s="51" t="str">
        <f t="array" aca="1" ref="N337" ca="1">IF( $C337="", "", _xll.IMDP("IDX",$C337,N$6,$D$4,"Fill=true, Per="&amp;filter!$R$1) )</f>
        <v/>
      </c>
      <c r="O337" s="52" t="str">
        <f t="array" aca="1" ref="O337" ca="1">IF( $C337="", "", _xll.IMDP("IDX",$C337,O$6,$D$4,"Fill=true, Per="&amp;filter!$R$1) )</f>
        <v/>
      </c>
    </row>
    <row r="338" spans="2:15">
      <c r="B338" s="21">
        <f t="shared" si="5"/>
        <v>330</v>
      </c>
      <c r="C338" s="17" t="str">
        <f>IFERROR( VLOOKUP(ROWS($B$8:B337), filter!$I:$J, 2, 0), "")</f>
        <v>GGG08P</v>
      </c>
      <c r="D338" s="16" t="str" cm="1">
        <f t="array" ref="D338">IF( $C338="", "", _xll.IMDP("IDX", $C338, D$6) )</f>
        <v>S&amp;P/KRX Exchanges Index (HKD)</v>
      </c>
      <c r="E338" s="34">
        <f t="array" aca="1" ref="E338" ca="1">IF( $C338="", "", _xll.IMDP("IDX",$C338,E$6,$D$4,"Fill=true, Per="&amp;filter!$R$1) )</f>
        <v>5450.13</v>
      </c>
      <c r="F338" s="38">
        <f t="array" aca="1" ref="F338" ca="1">IF( $C338="", "", _xll.IMDP("IDX",$C338,F$6,$D$4,"Fill=true, Per="&amp;filter!$R$1) )</f>
        <v>-433.07999999999993</v>
      </c>
      <c r="G338" s="39">
        <f t="array" aca="1" ref="G338" ca="1">IF( $C338="", "", _xll.IMDP("IDX",$C338,G$6,$D$4,"Fill=true, Per="&amp;filter!$R$1) )</f>
        <v>-7.36</v>
      </c>
      <c r="H338" s="43">
        <f t="array" aca="1" ref="H338" ca="1">IF( $C338="", "", _xll.IMDP("IDX",$C338,H$6,$D$4,"Fill=true, Per="&amp;filter!$R$1) )</f>
        <v>0</v>
      </c>
      <c r="I338" s="43">
        <f t="array" aca="1" ref="I338" ca="1">IF( $C338="", "", _xll.IMDP("IDX",$C338,I$6,$D$4,"Fill=true, Per="&amp;filter!$R$1) )</f>
        <v>0</v>
      </c>
      <c r="J338" s="34">
        <f t="array" aca="1" ref="J338" ca="1">IF( $C338="", "", _xll.IMDP("IDX",$C338,J$6,$D$4,"Fill=true, Per="&amp;filter!$R$1) )</f>
        <v>5860.47</v>
      </c>
      <c r="K338" s="38">
        <f t="array" aca="1" ref="K338" ca="1">IF( $C338="", "", _xll.IMDP("IDX",$C338,K$6,$D$4,"Fill=true, Per="&amp;filter!$R$1) )</f>
        <v>5860.47</v>
      </c>
      <c r="L338" s="39">
        <f t="array" aca="1" ref="L338" ca="1">IF( $C338="", "", _xll.IMDP("IDX",$C338,L$6,$D$4,"Fill=true, Per="&amp;filter!$R$1) )</f>
        <v>0</v>
      </c>
      <c r="M338" s="50" t="str">
        <f t="array" aca="1" ref="M338" ca="1">IF( $C338="", "", _xll.IMDP("IDX",$C338,M$6,$D$4,"Fill=true, Per="&amp;filter!$R$1) )</f>
        <v/>
      </c>
      <c r="N338" s="51" t="str">
        <f t="array" aca="1" ref="N338" ca="1">IF( $C338="", "", _xll.IMDP("IDX",$C338,N$6,$D$4,"Fill=true, Per="&amp;filter!$R$1) )</f>
        <v/>
      </c>
      <c r="O338" s="52" t="str">
        <f t="array" aca="1" ref="O338" ca="1">IF( $C338="", "", _xll.IMDP("IDX",$C338,O$6,$D$4,"Fill=true, Per="&amp;filter!$R$1) )</f>
        <v/>
      </c>
    </row>
    <row r="339" spans="2:15">
      <c r="B339" s="21">
        <f t="shared" si="5"/>
        <v>331</v>
      </c>
      <c r="C339" s="17" t="str">
        <f>IFERROR( VLOOKUP(ROWS($B$8:B338), filter!$I:$J, 2, 0), "")</f>
        <v>GGS01P</v>
      </c>
      <c r="D339" s="16" t="str" cm="1">
        <f t="array" ref="D339">IF( $C339="", "", _xll.IMDP("IDX", $C339, D$6) )</f>
        <v>한.대만 IT프리미어지수</v>
      </c>
      <c r="E339" s="34">
        <f t="array" aca="1" ref="E339" ca="1">IF( $C339="", "", _xll.IMDP("IDX",$C339,E$6,$D$4,"Fill=true, Per="&amp;filter!$R$1) )</f>
        <v>3478.96</v>
      </c>
      <c r="F339" s="38">
        <f t="array" aca="1" ref="F339" ca="1">IF( $C339="", "", _xll.IMDP("IDX",$C339,F$6,$D$4,"Fill=true, Per="&amp;filter!$R$1) )</f>
        <v>-34.170000000000073</v>
      </c>
      <c r="G339" s="39">
        <f t="array" aca="1" ref="G339" ca="1">IF( $C339="", "", _xll.IMDP("IDX",$C339,G$6,$D$4,"Fill=true, Per="&amp;filter!$R$1) )</f>
        <v>-0.97</v>
      </c>
      <c r="H339" s="43">
        <f t="array" aca="1" ref="H339" ca="1">IF( $C339="", "", _xll.IMDP("IDX",$C339,H$6,$D$4,"Fill=true, Per="&amp;filter!$R$1) )</f>
        <v>0</v>
      </c>
      <c r="I339" s="43">
        <f t="array" aca="1" ref="I339" ca="1">IF( $C339="", "", _xll.IMDP("IDX",$C339,I$6,$D$4,"Fill=true, Per="&amp;filter!$R$1) )</f>
        <v>0</v>
      </c>
      <c r="J339" s="34">
        <f t="array" aca="1" ref="J339" ca="1">IF( $C339="", "", _xll.IMDP("IDX",$C339,J$6,$D$4,"Fill=true, Per="&amp;filter!$R$1) )</f>
        <v>3513.85</v>
      </c>
      <c r="K339" s="38">
        <f t="array" aca="1" ref="K339" ca="1">IF( $C339="", "", _xll.IMDP("IDX",$C339,K$6,$D$4,"Fill=true, Per="&amp;filter!$R$1) )</f>
        <v>3530.97</v>
      </c>
      <c r="L339" s="39">
        <f t="array" aca="1" ref="L339" ca="1">IF( $C339="", "", _xll.IMDP("IDX",$C339,L$6,$D$4,"Fill=true, Per="&amp;filter!$R$1) )</f>
        <v>0</v>
      </c>
      <c r="M339" s="50" t="str">
        <f t="array" aca="1" ref="M339" ca="1">IF( $C339="", "", _xll.IMDP("IDX",$C339,M$6,$D$4,"Fill=true, Per="&amp;filter!$R$1) )</f>
        <v/>
      </c>
      <c r="N339" s="51" t="str">
        <f t="array" aca="1" ref="N339" ca="1">IF( $C339="", "", _xll.IMDP("IDX",$C339,N$6,$D$4,"Fill=true, Per="&amp;filter!$R$1) )</f>
        <v/>
      </c>
      <c r="O339" s="52" t="str">
        <f t="array" aca="1" ref="O339" ca="1">IF( $C339="", "", _xll.IMDP("IDX",$C339,O$6,$D$4,"Fill=true, Per="&amp;filter!$R$1) )</f>
        <v/>
      </c>
    </row>
    <row r="340" spans="2:15">
      <c r="B340" s="21">
        <f t="shared" si="5"/>
        <v>332</v>
      </c>
      <c r="C340" s="17" t="str">
        <f>IFERROR( VLOOKUP(ROWS($B$8:B339), filter!$I:$J, 2, 0), "")</f>
        <v>GGT01P</v>
      </c>
      <c r="D340" s="16" t="str" cm="1">
        <f t="array" ref="D340">IF( $C340="", "", _xll.IMDP("IDX", $C340, D$6) )</f>
        <v>KRX CSI 한.중 대표기업 50</v>
      </c>
      <c r="E340" s="34">
        <f t="array" aca="1" ref="E340" ca="1">IF( $C340="", "", _xll.IMDP("IDX",$C340,E$6,$D$4,"Fill=true, Per="&amp;filter!$R$1) )</f>
        <v>1635.1</v>
      </c>
      <c r="F340" s="38">
        <f t="array" aca="1" ref="F340" ca="1">IF( $C340="", "", _xll.IMDP("IDX",$C340,F$6,$D$4,"Fill=true, Per="&amp;filter!$R$1) )</f>
        <v>-17.690000000000055</v>
      </c>
      <c r="G340" s="39">
        <f t="array" aca="1" ref="G340" ca="1">IF( $C340="", "", _xll.IMDP("IDX",$C340,G$6,$D$4,"Fill=true, Per="&amp;filter!$R$1) )</f>
        <v>-1.07</v>
      </c>
      <c r="H340" s="43">
        <f t="array" aca="1" ref="H340" ca="1">IF( $C340="", "", _xll.IMDP("IDX",$C340,H$6,$D$4,"Fill=true, Per="&amp;filter!$R$1) )</f>
        <v>0</v>
      </c>
      <c r="I340" s="43">
        <f t="array" aca="1" ref="I340" ca="1">IF( $C340="", "", _xll.IMDP("IDX",$C340,I$6,$D$4,"Fill=true, Per="&amp;filter!$R$1) )</f>
        <v>0</v>
      </c>
      <c r="J340" s="34">
        <f t="array" aca="1" ref="J340" ca="1">IF( $C340="", "", _xll.IMDP("IDX",$C340,J$6,$D$4,"Fill=true, Per="&amp;filter!$R$1) )</f>
        <v>1655.19</v>
      </c>
      <c r="K340" s="38">
        <f t="array" aca="1" ref="K340" ca="1">IF( $C340="", "", _xll.IMDP("IDX",$C340,K$6,$D$4,"Fill=true, Per="&amp;filter!$R$1) )</f>
        <v>1658.04</v>
      </c>
      <c r="L340" s="39">
        <f t="array" aca="1" ref="L340" ca="1">IF( $C340="", "", _xll.IMDP("IDX",$C340,L$6,$D$4,"Fill=true, Per="&amp;filter!$R$1) )</f>
        <v>0</v>
      </c>
      <c r="M340" s="50" t="str">
        <f t="array" aca="1" ref="M340" ca="1">IF( $C340="", "", _xll.IMDP("IDX",$C340,M$6,$D$4,"Fill=true, Per="&amp;filter!$R$1) )</f>
        <v/>
      </c>
      <c r="N340" s="51" t="str">
        <f t="array" aca="1" ref="N340" ca="1">IF( $C340="", "", _xll.IMDP("IDX",$C340,N$6,$D$4,"Fill=true, Per="&amp;filter!$R$1) )</f>
        <v/>
      </c>
      <c r="O340" s="52" t="str">
        <f t="array" aca="1" ref="O340" ca="1">IF( $C340="", "", _xll.IMDP("IDX",$C340,O$6,$D$4,"Fill=true, Per="&amp;filter!$R$1) )</f>
        <v/>
      </c>
    </row>
    <row r="341" spans="2:15">
      <c r="B341" s="21">
        <f t="shared" si="5"/>
        <v>333</v>
      </c>
      <c r="C341" s="17" t="str">
        <f>IFERROR( VLOOKUP(ROWS($B$8:B340), filter!$I:$J, 2, 0), "")</f>
        <v>GGT02P</v>
      </c>
      <c r="D341" s="16" t="str" cm="1">
        <f t="array" ref="D341">IF( $C341="", "", _xll.IMDP("IDX", $C341, D$6) )</f>
        <v>KRX CSI 한.중 전기차지수</v>
      </c>
      <c r="E341" s="34">
        <f t="array" aca="1" ref="E341" ca="1">IF( $C341="", "", _xll.IMDP("IDX",$C341,E$6,$D$4,"Fill=true, Per="&amp;filter!$R$1) )</f>
        <v>3233.65</v>
      </c>
      <c r="F341" s="38">
        <f t="array" aca="1" ref="F341" ca="1">IF( $C341="", "", _xll.IMDP("IDX",$C341,F$6,$D$4,"Fill=true, Per="&amp;filter!$R$1) )</f>
        <v>-6.9999999999708962E-2</v>
      </c>
      <c r="G341" s="39">
        <f t="array" aca="1" ref="G341" ca="1">IF( $C341="", "", _xll.IMDP("IDX",$C341,G$6,$D$4,"Fill=true, Per="&amp;filter!$R$1) )</f>
        <v>0</v>
      </c>
      <c r="H341" s="43">
        <f t="array" aca="1" ref="H341" ca="1">IF( $C341="", "", _xll.IMDP("IDX",$C341,H$6,$D$4,"Fill=true, Per="&amp;filter!$R$1) )</f>
        <v>0</v>
      </c>
      <c r="I341" s="43">
        <f t="array" aca="1" ref="I341" ca="1">IF( $C341="", "", _xll.IMDP("IDX",$C341,I$6,$D$4,"Fill=true, Per="&amp;filter!$R$1) )</f>
        <v>0</v>
      </c>
      <c r="J341" s="34">
        <f t="array" aca="1" ref="J341" ca="1">IF( $C341="", "", _xll.IMDP("IDX",$C341,J$6,$D$4,"Fill=true, Per="&amp;filter!$R$1) )</f>
        <v>3245.2</v>
      </c>
      <c r="K341" s="38">
        <f t="array" aca="1" ref="K341" ca="1">IF( $C341="", "", _xll.IMDP("IDX",$C341,K$6,$D$4,"Fill=true, Per="&amp;filter!$R$1) )</f>
        <v>3287.61</v>
      </c>
      <c r="L341" s="39">
        <f t="array" aca="1" ref="L341" ca="1">IF( $C341="", "", _xll.IMDP("IDX",$C341,L$6,$D$4,"Fill=true, Per="&amp;filter!$R$1) )</f>
        <v>0</v>
      </c>
      <c r="M341" s="50" t="str">
        <f t="array" aca="1" ref="M341" ca="1">IF( $C341="", "", _xll.IMDP("IDX",$C341,M$6,$D$4,"Fill=true, Per="&amp;filter!$R$1) )</f>
        <v/>
      </c>
      <c r="N341" s="51" t="str">
        <f t="array" aca="1" ref="N341" ca="1">IF( $C341="", "", _xll.IMDP("IDX",$C341,N$6,$D$4,"Fill=true, Per="&amp;filter!$R$1) )</f>
        <v/>
      </c>
      <c r="O341" s="52" t="str">
        <f t="array" aca="1" ref="O341" ca="1">IF( $C341="", "", _xll.IMDP("IDX",$C341,O$6,$D$4,"Fill=true, Per="&amp;filter!$R$1) )</f>
        <v/>
      </c>
    </row>
    <row r="342" spans="2:15">
      <c r="B342" s="21">
        <f t="shared" si="5"/>
        <v>334</v>
      </c>
      <c r="C342" s="17" t="str">
        <f>IFERROR( VLOOKUP(ROWS($B$8:B341), filter!$I:$J, 2, 0), "")</f>
        <v>GGT03P</v>
      </c>
      <c r="D342" s="16" t="str" cm="1">
        <f t="array" ref="D342">IF( $C342="", "", _xll.IMDP("IDX", $C342, D$6) )</f>
        <v>KRX CSI 한.중 반도체지수</v>
      </c>
      <c r="E342" s="34">
        <f t="array" aca="1" ref="E342" ca="1">IF( $C342="", "", _xll.IMDP("IDX",$C342,E$6,$D$4,"Fill=true, Per="&amp;filter!$R$1) )</f>
        <v>2860.71</v>
      </c>
      <c r="F342" s="38">
        <f t="array" aca="1" ref="F342" ca="1">IF( $C342="", "", _xll.IMDP("IDX",$C342,F$6,$D$4,"Fill=true, Per="&amp;filter!$R$1) )</f>
        <v>-94.259999999999764</v>
      </c>
      <c r="G342" s="39">
        <f t="array" aca="1" ref="G342" ca="1">IF( $C342="", "", _xll.IMDP("IDX",$C342,G$6,$D$4,"Fill=true, Per="&amp;filter!$R$1) )</f>
        <v>-3.19</v>
      </c>
      <c r="H342" s="43">
        <f t="array" aca="1" ref="H342" ca="1">IF( $C342="", "", _xll.IMDP("IDX",$C342,H$6,$D$4,"Fill=true, Per="&amp;filter!$R$1) )</f>
        <v>0</v>
      </c>
      <c r="I342" s="43">
        <f t="array" aca="1" ref="I342" ca="1">IF( $C342="", "", _xll.IMDP("IDX",$C342,I$6,$D$4,"Fill=true, Per="&amp;filter!$R$1) )</f>
        <v>0</v>
      </c>
      <c r="J342" s="34">
        <f t="array" aca="1" ref="J342" ca="1">IF( $C342="", "", _xll.IMDP("IDX",$C342,J$6,$D$4,"Fill=true, Per="&amp;filter!$R$1) )</f>
        <v>2952.08</v>
      </c>
      <c r="K342" s="38">
        <f t="array" aca="1" ref="K342" ca="1">IF( $C342="", "", _xll.IMDP("IDX",$C342,K$6,$D$4,"Fill=true, Per="&amp;filter!$R$1) )</f>
        <v>2954.77</v>
      </c>
      <c r="L342" s="39">
        <f t="array" aca="1" ref="L342" ca="1">IF( $C342="", "", _xll.IMDP("IDX",$C342,L$6,$D$4,"Fill=true, Per="&amp;filter!$R$1) )</f>
        <v>0</v>
      </c>
      <c r="M342" s="50" t="str">
        <f t="array" aca="1" ref="M342" ca="1">IF( $C342="", "", _xll.IMDP("IDX",$C342,M$6,$D$4,"Fill=true, Per="&amp;filter!$R$1) )</f>
        <v/>
      </c>
      <c r="N342" s="51" t="str">
        <f t="array" aca="1" ref="N342" ca="1">IF( $C342="", "", _xll.IMDP("IDX",$C342,N$6,$D$4,"Fill=true, Per="&amp;filter!$R$1) )</f>
        <v/>
      </c>
      <c r="O342" s="52" t="str">
        <f t="array" aca="1" ref="O342" ca="1">IF( $C342="", "", _xll.IMDP("IDX",$C342,O$6,$D$4,"Fill=true, Per="&amp;filter!$R$1) )</f>
        <v/>
      </c>
    </row>
    <row r="343" spans="2:15">
      <c r="B343" s="21">
        <f t="shared" si="5"/>
        <v>335</v>
      </c>
      <c r="C343" s="17" t="str">
        <f>IFERROR( VLOOKUP(ROWS($B$8:B342), filter!$I:$J, 2, 0), "")</f>
        <v>K2901P</v>
      </c>
      <c r="D343" s="16" t="str" cm="1">
        <f t="array" ref="D343">IF( $C343="", "", _xll.IMDP("IDX", $C343, D$6) )</f>
        <v>KRX Bloomberg 코스피 200 스마?</v>
      </c>
      <c r="E343" s="34">
        <f t="array" aca="1" ref="E343" ca="1">IF( $C343="", "", _xll.IMDP("IDX",$C343,E$6,$D$4,"Fill=true, Per="&amp;filter!$R$1) )</f>
        <v>1604.06</v>
      </c>
      <c r="F343" s="38">
        <f t="array" aca="1" ref="F343" ca="1">IF( $C343="", "", _xll.IMDP("IDX",$C343,F$6,$D$4,"Fill=true, Per="&amp;filter!$R$1) )</f>
        <v>-12.299999999999955</v>
      </c>
      <c r="G343" s="39">
        <f t="array" aca="1" ref="G343" ca="1">IF( $C343="", "", _xll.IMDP("IDX",$C343,G$6,$D$4,"Fill=true, Per="&amp;filter!$R$1) )</f>
        <v>-0.76</v>
      </c>
      <c r="H343" s="43">
        <f t="array" aca="1" ref="H343" ca="1">IF( $C343="", "", _xll.IMDP("IDX",$C343,H$6,$D$4,"Fill=true, Per="&amp;filter!$R$1) )</f>
        <v>0</v>
      </c>
      <c r="I343" s="43">
        <f t="array" aca="1" ref="I343" ca="1">IF( $C343="", "", _xll.IMDP("IDX",$C343,I$6,$D$4,"Fill=true, Per="&amp;filter!$R$1) )</f>
        <v>0</v>
      </c>
      <c r="J343" s="34">
        <f t="array" aca="1" ref="J343" ca="1">IF( $C343="", "", _xll.IMDP("IDX",$C343,J$6,$D$4,"Fill=true, Per="&amp;filter!$R$1) )</f>
        <v>1620.92</v>
      </c>
      <c r="K343" s="38">
        <f t="array" aca="1" ref="K343" ca="1">IF( $C343="", "", _xll.IMDP("IDX",$C343,K$6,$D$4,"Fill=true, Per="&amp;filter!$R$1) )</f>
        <v>1626.73</v>
      </c>
      <c r="L343" s="39">
        <f t="array" aca="1" ref="L343" ca="1">IF( $C343="", "", _xll.IMDP("IDX",$C343,L$6,$D$4,"Fill=true, Per="&amp;filter!$R$1) )</f>
        <v>0</v>
      </c>
      <c r="M343" s="50" t="str">
        <f t="array" aca="1" ref="M343" ca="1">IF( $C343="", "", _xll.IMDP("IDX",$C343,M$6,$D$4,"Fill=true, Per="&amp;filter!$R$1) )</f>
        <v/>
      </c>
      <c r="N343" s="51" t="str">
        <f t="array" aca="1" ref="N343" ca="1">IF( $C343="", "", _xll.IMDP("IDX",$C343,N$6,$D$4,"Fill=true, Per="&amp;filter!$R$1) )</f>
        <v/>
      </c>
      <c r="O343" s="52" t="str">
        <f t="array" aca="1" ref="O343" ca="1">IF( $C343="", "", _xll.IMDP("IDX",$C343,O$6,$D$4,"Fill=true, Per="&amp;filter!$R$1) )</f>
        <v/>
      </c>
    </row>
    <row r="344" spans="2:15">
      <c r="B344" s="21">
        <f t="shared" si="5"/>
        <v>336</v>
      </c>
      <c r="C344" s="17" t="str">
        <f>IFERROR( VLOOKUP(ROWS($B$8:B343), filter!$I:$J, 2, 0), "")</f>
        <v>K2B03P</v>
      </c>
      <c r="D344" s="16" t="str" cm="1">
        <f t="array" ref="D344">IF( $C344="", "", _xll.IMDP("IDX", $C344, D$6) )</f>
        <v>코스피200 내재가치 지수</v>
      </c>
      <c r="E344" s="34">
        <f t="array" aca="1" ref="E344" ca="1">IF( $C344="", "", _xll.IMDP("IDX",$C344,E$6,$D$4,"Fill=true, Per="&amp;filter!$R$1) )</f>
        <v>5750.73</v>
      </c>
      <c r="F344" s="38">
        <f t="array" aca="1" ref="F344" ca="1">IF( $C344="", "", _xll.IMDP("IDX",$C344,F$6,$D$4,"Fill=true, Per="&amp;filter!$R$1) )</f>
        <v>-32.090000000000146</v>
      </c>
      <c r="G344" s="39">
        <f t="array" aca="1" ref="G344" ca="1">IF( $C344="", "", _xll.IMDP("IDX",$C344,G$6,$D$4,"Fill=true, Per="&amp;filter!$R$1) )</f>
        <v>-0.55000000000000004</v>
      </c>
      <c r="H344" s="43">
        <f t="array" aca="1" ref="H344" ca="1">IF( $C344="", "", _xll.IMDP("IDX",$C344,H$6,$D$4,"Fill=true, Per="&amp;filter!$R$1) )</f>
        <v>147971</v>
      </c>
      <c r="I344" s="43">
        <f t="array" aca="1" ref="I344" ca="1">IF( $C344="", "", _xll.IMDP("IDX",$C344,I$6,$D$4,"Fill=true, Per="&amp;filter!$R$1) )</f>
        <v>9893100</v>
      </c>
      <c r="J344" s="34">
        <f t="array" aca="1" ref="J344" ca="1">IF( $C344="", "", _xll.IMDP("IDX",$C344,J$6,$D$4,"Fill=true, Per="&amp;filter!$R$1) )</f>
        <v>5796.48</v>
      </c>
      <c r="K344" s="38">
        <f t="array" aca="1" ref="K344" ca="1">IF( $C344="", "", _xll.IMDP("IDX",$C344,K$6,$D$4,"Fill=true, Per="&amp;filter!$R$1) )</f>
        <v>5814.64</v>
      </c>
      <c r="L344" s="39">
        <f t="array" aca="1" ref="L344" ca="1">IF( $C344="", "", _xll.IMDP("IDX",$C344,L$6,$D$4,"Fill=true, Per="&amp;filter!$R$1) )</f>
        <v>0</v>
      </c>
      <c r="M344" s="50" t="str">
        <f t="array" aca="1" ref="M344" ca="1">IF( $C344="", "", _xll.IMDP("IDX",$C344,M$6,$D$4,"Fill=true, Per="&amp;filter!$R$1) )</f>
        <v/>
      </c>
      <c r="N344" s="51" t="str">
        <f t="array" aca="1" ref="N344" ca="1">IF( $C344="", "", _xll.IMDP("IDX",$C344,N$6,$D$4,"Fill=true, Per="&amp;filter!$R$1) )</f>
        <v/>
      </c>
      <c r="O344" s="52" t="str">
        <f t="array" aca="1" ref="O344" ca="1">IF( $C344="", "", _xll.IMDP("IDX",$C344,O$6,$D$4,"Fill=true, Per="&amp;filter!$R$1) )</f>
        <v/>
      </c>
    </row>
    <row r="345" spans="2:15">
      <c r="B345" s="21">
        <f t="shared" si="5"/>
        <v>337</v>
      </c>
      <c r="C345" s="17" t="str">
        <f>IFERROR( VLOOKUP(ROWS($B$8:B344), filter!$I:$J, 2, 0), "")</f>
        <v>K2D01P</v>
      </c>
      <c r="D345" s="16" t="str" cm="1">
        <f t="array" ref="D345">IF( $C345="", "", _xll.IMDP("IDX", $C345, D$6) )</f>
        <v>KRX-IHS Markit 코스피 200 예측</v>
      </c>
      <c r="E345" s="34">
        <f t="array" aca="1" ref="E345" ca="1">IF( $C345="", "", _xll.IMDP("IDX",$C345,E$6,$D$4,"Fill=true, Per="&amp;filter!$R$1) )</f>
        <v>2115.59</v>
      </c>
      <c r="F345" s="38">
        <f t="array" aca="1" ref="F345" ca="1">IF( $C345="", "", _xll.IMDP("IDX",$C345,F$6,$D$4,"Fill=true, Per="&amp;filter!$R$1) )</f>
        <v>27.090000000000146</v>
      </c>
      <c r="G345" s="39">
        <f t="array" aca="1" ref="G345" ca="1">IF( $C345="", "", _xll.IMDP("IDX",$C345,G$6,$D$4,"Fill=true, Per="&amp;filter!$R$1) )</f>
        <v>1.3</v>
      </c>
      <c r="H345" s="43">
        <f t="array" aca="1" ref="H345" ca="1">IF( $C345="", "", _xll.IMDP("IDX",$C345,H$6,$D$4,"Fill=true, Per="&amp;filter!$R$1) )</f>
        <v>31735</v>
      </c>
      <c r="I345" s="43">
        <f t="array" aca="1" ref="I345" ca="1">IF( $C345="", "", _xll.IMDP("IDX",$C345,I$6,$D$4,"Fill=true, Per="&amp;filter!$R$1) )</f>
        <v>1130892</v>
      </c>
      <c r="J345" s="34">
        <f t="array" aca="1" ref="J345" ca="1">IF( $C345="", "", _xll.IMDP("IDX",$C345,J$6,$D$4,"Fill=true, Per="&amp;filter!$R$1) )</f>
        <v>2089.8200000000002</v>
      </c>
      <c r="K345" s="38">
        <f t="array" aca="1" ref="K345" ca="1">IF( $C345="", "", _xll.IMDP("IDX",$C345,K$6,$D$4,"Fill=true, Per="&amp;filter!$R$1) )</f>
        <v>2120.67</v>
      </c>
      <c r="L345" s="39">
        <f t="array" aca="1" ref="L345" ca="1">IF( $C345="", "", _xll.IMDP("IDX",$C345,L$6,$D$4,"Fill=true, Per="&amp;filter!$R$1) )</f>
        <v>0</v>
      </c>
      <c r="M345" s="50" t="str">
        <f t="array" aca="1" ref="M345" ca="1">IF( $C345="", "", _xll.IMDP("IDX",$C345,M$6,$D$4,"Fill=true, Per="&amp;filter!$R$1) )</f>
        <v/>
      </c>
      <c r="N345" s="51" t="str">
        <f t="array" aca="1" ref="N345" ca="1">IF( $C345="", "", _xll.IMDP("IDX",$C345,N$6,$D$4,"Fill=true, Per="&amp;filter!$R$1) )</f>
        <v/>
      </c>
      <c r="O345" s="52" t="str">
        <f t="array" aca="1" ref="O345" ca="1">IF( $C345="", "", _xll.IMDP("IDX",$C345,O$6,$D$4,"Fill=true, Per="&amp;filter!$R$1) )</f>
        <v/>
      </c>
    </row>
    <row r="346" spans="2:15">
      <c r="B346" s="21">
        <f t="shared" si="5"/>
        <v>338</v>
      </c>
      <c r="C346" s="17" t="str">
        <f>IFERROR( VLOOKUP(ROWS($B$8:B345), filter!$I:$J, 2, 0), "")</f>
        <v>K2D02P</v>
      </c>
      <c r="D346" s="16" t="str" cm="1">
        <f t="array" ref="D346">IF( $C346="", "", _xll.IMDP("IDX", $C346, D$6) )</f>
        <v>KRX-IHS Markit 코스피 200 예측</v>
      </c>
      <c r="E346" s="34">
        <f t="array" aca="1" ref="E346" ca="1">IF( $C346="", "", _xll.IMDP("IDX",$C346,E$6,$D$4,"Fill=true, Per="&amp;filter!$R$1) )</f>
        <v>1812.31</v>
      </c>
      <c r="F346" s="38">
        <f t="array" aca="1" ref="F346" ca="1">IF( $C346="", "", _xll.IMDP("IDX",$C346,F$6,$D$4,"Fill=true, Per="&amp;filter!$R$1) )</f>
        <v>19.879999999999882</v>
      </c>
      <c r="G346" s="39">
        <f t="array" aca="1" ref="G346" ca="1">IF( $C346="", "", _xll.IMDP("IDX",$C346,G$6,$D$4,"Fill=true, Per="&amp;filter!$R$1) )</f>
        <v>1.1100000000000001</v>
      </c>
      <c r="H346" s="43">
        <f t="array" aca="1" ref="H346" ca="1">IF( $C346="", "", _xll.IMDP("IDX",$C346,H$6,$D$4,"Fill=true, Per="&amp;filter!$R$1) )</f>
        <v>24047</v>
      </c>
      <c r="I346" s="43">
        <f t="array" aca="1" ref="I346" ca="1">IF( $C346="", "", _xll.IMDP("IDX",$C346,I$6,$D$4,"Fill=true, Per="&amp;filter!$R$1) )</f>
        <v>1582776</v>
      </c>
      <c r="J346" s="34">
        <f t="array" aca="1" ref="J346" ca="1">IF( $C346="", "", _xll.IMDP("IDX",$C346,J$6,$D$4,"Fill=true, Per="&amp;filter!$R$1) )</f>
        <v>1795.45</v>
      </c>
      <c r="K346" s="38">
        <f t="array" aca="1" ref="K346" ca="1">IF( $C346="", "", _xll.IMDP("IDX",$C346,K$6,$D$4,"Fill=true, Per="&amp;filter!$R$1) )</f>
        <v>1817.04</v>
      </c>
      <c r="L346" s="39">
        <f t="array" aca="1" ref="L346" ca="1">IF( $C346="", "", _xll.IMDP("IDX",$C346,L$6,$D$4,"Fill=true, Per="&amp;filter!$R$1) )</f>
        <v>0</v>
      </c>
      <c r="M346" s="50" t="str">
        <f t="array" aca="1" ref="M346" ca="1">IF( $C346="", "", _xll.IMDP("IDX",$C346,M$6,$D$4,"Fill=true, Per="&amp;filter!$R$1) )</f>
        <v/>
      </c>
      <c r="N346" s="51" t="str">
        <f t="array" aca="1" ref="N346" ca="1">IF( $C346="", "", _xll.IMDP("IDX",$C346,N$6,$D$4,"Fill=true, Per="&amp;filter!$R$1) )</f>
        <v/>
      </c>
      <c r="O346" s="52" t="str">
        <f t="array" aca="1" ref="O346" ca="1">IF( $C346="", "", _xll.IMDP("IDX",$C346,O$6,$D$4,"Fill=true, Per="&amp;filter!$R$1) )</f>
        <v/>
      </c>
    </row>
    <row r="347" spans="2:15">
      <c r="B347" s="21">
        <f t="shared" si="5"/>
        <v>339</v>
      </c>
      <c r="C347" s="17" t="str">
        <f>IFERROR( VLOOKUP(ROWS($B$8:B346), filter!$I:$J, 2, 0), "")</f>
        <v>K2D03N</v>
      </c>
      <c r="D347" s="16" t="str" cm="1">
        <f t="array" ref="D347">IF( $C347="", "", _xll.IMDP("IDX", $C347, D$6) )</f>
        <v>코스피 200 NTR 고정배당 8 포인</v>
      </c>
      <c r="E347" s="34">
        <f t="array" aca="1" ref="E347" ca="1">IF( $C347="", "", _xll.IMDP("IDX",$C347,E$6,$D$4,"Fill=true, Per="&amp;filter!$R$1) )</f>
        <v>352.87</v>
      </c>
      <c r="F347" s="38">
        <f t="array" aca="1" ref="F347" ca="1">IF( $C347="", "", _xll.IMDP("IDX",$C347,F$6,$D$4,"Fill=true, Per="&amp;filter!$R$1) )</f>
        <v>-2.8199999999999932</v>
      </c>
      <c r="G347" s="39">
        <f t="array" aca="1" ref="G347" ca="1">IF( $C347="", "", _xll.IMDP("IDX",$C347,G$6,$D$4,"Fill=true, Per="&amp;filter!$R$1) )</f>
        <v>-0.79</v>
      </c>
      <c r="H347" s="43">
        <f t="array" aca="1" ref="H347" ca="1">IF( $C347="", "", _xll.IMDP("IDX",$C347,H$6,$D$4,"Fill=true, Per="&amp;filter!$R$1) )</f>
        <v>0</v>
      </c>
      <c r="I347" s="43">
        <f t="array" aca="1" ref="I347" ca="1">IF( $C347="", "", _xll.IMDP("IDX",$C347,I$6,$D$4,"Fill=true, Per="&amp;filter!$R$1) )</f>
        <v>0</v>
      </c>
      <c r="J347" s="34">
        <f t="array" aca="1" ref="J347" ca="1">IF( $C347="", "", _xll.IMDP("IDX",$C347,J$6,$D$4,"Fill=true, Per="&amp;filter!$R$1) )</f>
        <v>356.63</v>
      </c>
      <c r="K347" s="38">
        <f t="array" aca="1" ref="K347" ca="1">IF( $C347="", "", _xll.IMDP("IDX",$C347,K$6,$D$4,"Fill=true, Per="&amp;filter!$R$1) )</f>
        <v>357.86</v>
      </c>
      <c r="L347" s="39">
        <f t="array" aca="1" ref="L347" ca="1">IF( $C347="", "", _xll.IMDP("IDX",$C347,L$6,$D$4,"Fill=true, Per="&amp;filter!$R$1) )</f>
        <v>0</v>
      </c>
      <c r="M347" s="50" t="str">
        <f t="array" aca="1" ref="M347" ca="1">IF( $C347="", "", _xll.IMDP("IDX",$C347,M$6,$D$4,"Fill=true, Per="&amp;filter!$R$1) )</f>
        <v/>
      </c>
      <c r="N347" s="51" t="str">
        <f t="array" aca="1" ref="N347" ca="1">IF( $C347="", "", _xll.IMDP("IDX",$C347,N$6,$D$4,"Fill=true, Per="&amp;filter!$R$1) )</f>
        <v/>
      </c>
      <c r="O347" s="52" t="str">
        <f t="array" aca="1" ref="O347" ca="1">IF( $C347="", "", _xll.IMDP("IDX",$C347,O$6,$D$4,"Fill=true, Per="&amp;filter!$R$1) )</f>
        <v/>
      </c>
    </row>
    <row r="348" spans="2:15">
      <c r="B348" s="21">
        <f t="shared" si="5"/>
        <v>340</v>
      </c>
      <c r="C348" s="17" t="str">
        <f>IFERROR( VLOOKUP(ROWS($B$8:B347), filter!$I:$J, 2, 0), "")</f>
        <v>K2E01P</v>
      </c>
      <c r="D348" s="16" t="str" cm="1">
        <f t="array" ref="D348">IF( $C348="", "", _xll.IMDP("IDX", $C348, D$6) )</f>
        <v>코스피 200 ESG 지수</v>
      </c>
      <c r="E348" s="34">
        <f t="array" aca="1" ref="E348" ca="1">IF( $C348="", "", _xll.IMDP("IDX",$C348,E$6,$D$4,"Fill=true, Per="&amp;filter!$R$1) )</f>
        <v>405.98</v>
      </c>
      <c r="F348" s="38">
        <f t="array" aca="1" ref="F348" ca="1">IF( $C348="", "", _xll.IMDP("IDX",$C348,F$6,$D$4,"Fill=true, Per="&amp;filter!$R$1) )</f>
        <v>-0.49000000000000909</v>
      </c>
      <c r="G348" s="39">
        <f t="array" aca="1" ref="G348" ca="1">IF( $C348="", "", _xll.IMDP("IDX",$C348,G$6,$D$4,"Fill=true, Per="&amp;filter!$R$1) )</f>
        <v>-0.12</v>
      </c>
      <c r="H348" s="43">
        <f t="array" aca="1" ref="H348" ca="1">IF( $C348="", "", _xll.IMDP("IDX",$C348,H$6,$D$4,"Fill=true, Per="&amp;filter!$R$1) )</f>
        <v>119788</v>
      </c>
      <c r="I348" s="43">
        <f t="array" aca="1" ref="I348" ca="1">IF( $C348="", "", _xll.IMDP("IDX",$C348,I$6,$D$4,"Fill=true, Per="&amp;filter!$R$1) )</f>
        <v>9423937</v>
      </c>
      <c r="J348" s="34">
        <f t="array" aca="1" ref="J348" ca="1">IF( $C348="", "", _xll.IMDP("IDX",$C348,J$6,$D$4,"Fill=true, Per="&amp;filter!$R$1) )</f>
        <v>407.39</v>
      </c>
      <c r="K348" s="38">
        <f t="array" aca="1" ref="K348" ca="1">IF( $C348="", "", _xll.IMDP("IDX",$C348,K$6,$D$4,"Fill=true, Per="&amp;filter!$R$1) )</f>
        <v>410.44</v>
      </c>
      <c r="L348" s="39">
        <f t="array" aca="1" ref="L348" ca="1">IF( $C348="", "", _xll.IMDP("IDX",$C348,L$6,$D$4,"Fill=true, Per="&amp;filter!$R$1) )</f>
        <v>0</v>
      </c>
      <c r="M348" s="50" t="str">
        <f t="array" aca="1" ref="M348" ca="1">IF( $C348="", "", _xll.IMDP("IDX",$C348,M$6,$D$4,"Fill=true, Per="&amp;filter!$R$1) )</f>
        <v/>
      </c>
      <c r="N348" s="51" t="str">
        <f t="array" aca="1" ref="N348" ca="1">IF( $C348="", "", _xll.IMDP("IDX",$C348,N$6,$D$4,"Fill=true, Per="&amp;filter!$R$1) )</f>
        <v/>
      </c>
      <c r="O348" s="52" t="str">
        <f t="array" aca="1" ref="O348" ca="1">IF( $C348="", "", _xll.IMDP("IDX",$C348,O$6,$D$4,"Fill=true, Per="&amp;filter!$R$1) )</f>
        <v/>
      </c>
    </row>
    <row r="349" spans="2:15">
      <c r="B349" s="21">
        <f t="shared" si="5"/>
        <v>341</v>
      </c>
      <c r="C349" s="17" t="str">
        <f>IFERROR( VLOOKUP(ROWS($B$8:B348), filter!$I:$J, 2, 0), "")</f>
        <v>K2E02P</v>
      </c>
      <c r="D349" s="16" t="str" cm="1">
        <f t="array" ref="D349">IF( $C349="", "", _xll.IMDP("IDX", $C349, D$6) )</f>
        <v>코스피 200 기후변화지수</v>
      </c>
      <c r="E349" s="34">
        <f t="array" aca="1" ref="E349" ca="1">IF( $C349="", "", _xll.IMDP("IDX",$C349,E$6,$D$4,"Fill=true, Per="&amp;filter!$R$1) )</f>
        <v>1585.64</v>
      </c>
      <c r="F349" s="38">
        <f t="array" aca="1" ref="F349" ca="1">IF( $C349="", "", _xll.IMDP("IDX",$C349,F$6,$D$4,"Fill=true, Per="&amp;filter!$R$1) )</f>
        <v>-3.8499999999999091</v>
      </c>
      <c r="G349" s="39">
        <f t="array" aca="1" ref="G349" ca="1">IF( $C349="", "", _xll.IMDP("IDX",$C349,G$6,$D$4,"Fill=true, Per="&amp;filter!$R$1) )</f>
        <v>-0.24</v>
      </c>
      <c r="H349" s="43">
        <f t="array" aca="1" ref="H349" ca="1">IF( $C349="", "", _xll.IMDP("IDX",$C349,H$6,$D$4,"Fill=true, Per="&amp;filter!$R$1) )</f>
        <v>199247</v>
      </c>
      <c r="I349" s="43">
        <f t="array" aca="1" ref="I349" ca="1">IF( $C349="", "", _xll.IMDP("IDX",$C349,I$6,$D$4,"Fill=true, Per="&amp;filter!$R$1) )</f>
        <v>14465046</v>
      </c>
      <c r="J349" s="34">
        <f t="array" aca="1" ref="J349" ca="1">IF( $C349="", "", _xll.IMDP("IDX",$C349,J$6,$D$4,"Fill=true, Per="&amp;filter!$R$1) )</f>
        <v>1595.43</v>
      </c>
      <c r="K349" s="38">
        <f t="array" aca="1" ref="K349" ca="1">IF( $C349="", "", _xll.IMDP("IDX",$C349,K$6,$D$4,"Fill=true, Per="&amp;filter!$R$1) )</f>
        <v>1607.26</v>
      </c>
      <c r="L349" s="39">
        <f t="array" aca="1" ref="L349" ca="1">IF( $C349="", "", _xll.IMDP("IDX",$C349,L$6,$D$4,"Fill=true, Per="&amp;filter!$R$1) )</f>
        <v>0</v>
      </c>
      <c r="M349" s="50" t="str">
        <f t="array" aca="1" ref="M349" ca="1">IF( $C349="", "", _xll.IMDP("IDX",$C349,M$6,$D$4,"Fill=true, Per="&amp;filter!$R$1) )</f>
        <v/>
      </c>
      <c r="N349" s="51" t="str">
        <f t="array" aca="1" ref="N349" ca="1">IF( $C349="", "", _xll.IMDP("IDX",$C349,N$6,$D$4,"Fill=true, Per="&amp;filter!$R$1) )</f>
        <v/>
      </c>
      <c r="O349" s="52" t="str">
        <f t="array" aca="1" ref="O349" ca="1">IF( $C349="", "", _xll.IMDP("IDX",$C349,O$6,$D$4,"Fill=true, Per="&amp;filter!$R$1) )</f>
        <v/>
      </c>
    </row>
    <row r="350" spans="2:15">
      <c r="B350" s="21">
        <f t="shared" si="5"/>
        <v>342</v>
      </c>
      <c r="C350" s="17" t="str">
        <f>IFERROR( VLOOKUP(ROWS($B$8:B349), filter!$I:$J, 2, 0), "")</f>
        <v>K2G01N</v>
      </c>
      <c r="D350" s="16" t="str" cm="1">
        <f t="array" ref="D350">IF( $C350="", "", _xll.IMDP("IDX", $C350, D$6) )</f>
        <v>코스피 200 NTR</v>
      </c>
      <c r="E350" s="34">
        <f t="array" aca="1" ref="E350" ca="1">IF( $C350="", "", _xll.IMDP("IDX",$C350,E$6,$D$4,"Fill=true, Per="&amp;filter!$R$1) )</f>
        <v>441.51</v>
      </c>
      <c r="F350" s="38">
        <f t="array" aca="1" ref="F350" ca="1">IF( $C350="", "", _xll.IMDP("IDX",$C350,F$6,$D$4,"Fill=true, Per="&amp;filter!$R$1) )</f>
        <v>-3.410000000000025</v>
      </c>
      <c r="G350" s="39">
        <f t="array" aca="1" ref="G350" ca="1">IF( $C350="", "", _xll.IMDP("IDX",$C350,G$6,$D$4,"Fill=true, Per="&amp;filter!$R$1) )</f>
        <v>-0.77</v>
      </c>
      <c r="H350" s="43">
        <f t="array" aca="1" ref="H350" ca="1">IF( $C350="", "", _xll.IMDP("IDX",$C350,H$6,$D$4,"Fill=true, Per="&amp;filter!$R$1) )</f>
        <v>0</v>
      </c>
      <c r="I350" s="43">
        <f t="array" aca="1" ref="I350" ca="1">IF( $C350="", "", _xll.IMDP("IDX",$C350,I$6,$D$4,"Fill=true, Per="&amp;filter!$R$1) )</f>
        <v>0</v>
      </c>
      <c r="J350" s="34">
        <f t="array" aca="1" ref="J350" ca="1">IF( $C350="", "", _xll.IMDP("IDX",$C350,J$6,$D$4,"Fill=true, Per="&amp;filter!$R$1) )</f>
        <v>446.18</v>
      </c>
      <c r="K350" s="38">
        <f t="array" aca="1" ref="K350" ca="1">IF( $C350="", "", _xll.IMDP("IDX",$C350,K$6,$D$4,"Fill=true, Per="&amp;filter!$R$1) )</f>
        <v>447.75</v>
      </c>
      <c r="L350" s="39">
        <f t="array" aca="1" ref="L350" ca="1">IF( $C350="", "", _xll.IMDP("IDX",$C350,L$6,$D$4,"Fill=true, Per="&amp;filter!$R$1) )</f>
        <v>0</v>
      </c>
      <c r="M350" s="50" t="str">
        <f t="array" aca="1" ref="M350" ca="1">IF( $C350="", "", _xll.IMDP("IDX",$C350,M$6,$D$4,"Fill=true, Per="&amp;filter!$R$1) )</f>
        <v/>
      </c>
      <c r="N350" s="51" t="str">
        <f t="array" aca="1" ref="N350" ca="1">IF( $C350="", "", _xll.IMDP("IDX",$C350,N$6,$D$4,"Fill=true, Per="&amp;filter!$R$1) )</f>
        <v/>
      </c>
      <c r="O350" s="52" t="str">
        <f t="array" aca="1" ref="O350" ca="1">IF( $C350="", "", _xll.IMDP("IDX",$C350,O$6,$D$4,"Fill=true, Per="&amp;filter!$R$1) )</f>
        <v/>
      </c>
    </row>
    <row r="351" spans="2:15">
      <c r="B351" s="21">
        <f t="shared" si="5"/>
        <v>343</v>
      </c>
      <c r="C351" s="17" t="str">
        <f>IFERROR( VLOOKUP(ROWS($B$8:B350), filter!$I:$J, 2, 0), "")</f>
        <v>K2G01T</v>
      </c>
      <c r="D351" s="16" t="str" cm="1">
        <f t="array" ref="D351">IF( $C351="", "", _xll.IMDP("IDX", $C351, D$6) )</f>
        <v>코스피 200 TR</v>
      </c>
      <c r="E351" s="34">
        <f t="array" aca="1" ref="E351" ca="1">IF( $C351="", "", _xll.IMDP("IDX",$C351,E$6,$D$4,"Fill=true, Per="&amp;filter!$R$1) )</f>
        <v>458.99</v>
      </c>
      <c r="F351" s="38">
        <f t="array" aca="1" ref="F351" ca="1">IF( $C351="", "", _xll.IMDP("IDX",$C351,F$6,$D$4,"Fill=true, Per="&amp;filter!$R$1) )</f>
        <v>-3.5500000000000114</v>
      </c>
      <c r="G351" s="39">
        <f t="array" aca="1" ref="G351" ca="1">IF( $C351="", "", _xll.IMDP("IDX",$C351,G$6,$D$4,"Fill=true, Per="&amp;filter!$R$1) )</f>
        <v>-0.77</v>
      </c>
      <c r="H351" s="43">
        <f t="array" aca="1" ref="H351" ca="1">IF( $C351="", "", _xll.IMDP("IDX",$C351,H$6,$D$4,"Fill=true, Per="&amp;filter!$R$1) )</f>
        <v>0</v>
      </c>
      <c r="I351" s="43">
        <f t="array" aca="1" ref="I351" ca="1">IF( $C351="", "", _xll.IMDP("IDX",$C351,I$6,$D$4,"Fill=true, Per="&amp;filter!$R$1) )</f>
        <v>0</v>
      </c>
      <c r="J351" s="34">
        <f t="array" aca="1" ref="J351" ca="1">IF( $C351="", "", _xll.IMDP("IDX",$C351,J$6,$D$4,"Fill=true, Per="&amp;filter!$R$1) )</f>
        <v>463.84</v>
      </c>
      <c r="K351" s="38">
        <f t="array" aca="1" ref="K351" ca="1">IF( $C351="", "", _xll.IMDP("IDX",$C351,K$6,$D$4,"Fill=true, Per="&amp;filter!$R$1) )</f>
        <v>465.48</v>
      </c>
      <c r="L351" s="39">
        <f t="array" aca="1" ref="L351" ca="1">IF( $C351="", "", _xll.IMDP("IDX",$C351,L$6,$D$4,"Fill=true, Per="&amp;filter!$R$1) )</f>
        <v>0</v>
      </c>
      <c r="M351" s="50" t="str">
        <f t="array" aca="1" ref="M351" ca="1">IF( $C351="", "", _xll.IMDP("IDX",$C351,M$6,$D$4,"Fill=true, Per="&amp;filter!$R$1) )</f>
        <v/>
      </c>
      <c r="N351" s="51" t="str">
        <f t="array" aca="1" ref="N351" ca="1">IF( $C351="", "", _xll.IMDP("IDX",$C351,N$6,$D$4,"Fill=true, Per="&amp;filter!$R$1) )</f>
        <v/>
      </c>
      <c r="O351" s="52" t="str">
        <f t="array" aca="1" ref="O351" ca="1">IF( $C351="", "", _xll.IMDP("IDX",$C351,O$6,$D$4,"Fill=true, Per="&amp;filter!$R$1) )</f>
        <v/>
      </c>
    </row>
    <row r="352" spans="2:15">
      <c r="B352" s="21">
        <f t="shared" si="5"/>
        <v>344</v>
      </c>
      <c r="C352" s="17" t="str">
        <f>IFERROR( VLOOKUP(ROWS($B$8:B351), filter!$I:$J, 2, 0), "")</f>
        <v>K2G04P</v>
      </c>
      <c r="D352" s="16" t="str" cm="1">
        <f t="array" ref="D352">IF( $C352="", "", _xll.IMDP("IDX", $C352, D$6) )</f>
        <v>코스피지수 Ex-코스피200 지수</v>
      </c>
      <c r="E352" s="34">
        <f t="array" aca="1" ref="E352" ca="1">IF( $C352="", "", _xll.IMDP("IDX",$C352,E$6,$D$4,"Fill=true, Per="&amp;filter!$R$1) )</f>
        <v>3327.35</v>
      </c>
      <c r="F352" s="38">
        <f t="array" aca="1" ref="F352" ca="1">IF( $C352="", "", _xll.IMDP("IDX",$C352,F$6,$D$4,"Fill=true, Per="&amp;filter!$R$1) )</f>
        <v>-4.1300000000001091</v>
      </c>
      <c r="G352" s="39">
        <f t="array" aca="1" ref="G352" ca="1">IF( $C352="", "", _xll.IMDP("IDX",$C352,G$6,$D$4,"Fill=true, Per="&amp;filter!$R$1) )</f>
        <v>-0.12</v>
      </c>
      <c r="H352" s="43">
        <f t="array" aca="1" ref="H352" ca="1">IF( $C352="", "", _xll.IMDP("IDX",$C352,H$6,$D$4,"Fill=true, Per="&amp;filter!$R$1) )</f>
        <v>352373</v>
      </c>
      <c r="I352" s="43">
        <f t="array" aca="1" ref="I352" ca="1">IF( $C352="", "", _xll.IMDP("IDX",$C352,I$6,$D$4,"Fill=true, Per="&amp;filter!$R$1) )</f>
        <v>2332269</v>
      </c>
      <c r="J352" s="34">
        <f t="array" aca="1" ref="J352" ca="1">IF( $C352="", "", _xll.IMDP("IDX",$C352,J$6,$D$4,"Fill=true, Per="&amp;filter!$R$1) )</f>
        <v>3338.01</v>
      </c>
      <c r="K352" s="38">
        <f t="array" aca="1" ref="K352" ca="1">IF( $C352="", "", _xll.IMDP("IDX",$C352,K$6,$D$4,"Fill=true, Per="&amp;filter!$R$1) )</f>
        <v>3346.93</v>
      </c>
      <c r="L352" s="39">
        <f t="array" aca="1" ref="L352" ca="1">IF( $C352="", "", _xll.IMDP("IDX",$C352,L$6,$D$4,"Fill=true, Per="&amp;filter!$R$1) )</f>
        <v>0</v>
      </c>
      <c r="M352" s="50" t="str">
        <f t="array" aca="1" ref="M352" ca="1">IF( $C352="", "", _xll.IMDP("IDX",$C352,M$6,$D$4,"Fill=true, Per="&amp;filter!$R$1) )</f>
        <v/>
      </c>
      <c r="N352" s="51" t="str">
        <f t="array" aca="1" ref="N352" ca="1">IF( $C352="", "", _xll.IMDP("IDX",$C352,N$6,$D$4,"Fill=true, Per="&amp;filter!$R$1) )</f>
        <v/>
      </c>
      <c r="O352" s="52" t="str">
        <f t="array" aca="1" ref="O352" ca="1">IF( $C352="", "", _xll.IMDP("IDX",$C352,O$6,$D$4,"Fill=true, Per="&amp;filter!$R$1) )</f>
        <v/>
      </c>
    </row>
    <row r="353" spans="2:15">
      <c r="B353" s="21">
        <f t="shared" si="5"/>
        <v>345</v>
      </c>
      <c r="C353" s="17" t="str">
        <f>IFERROR( VLOOKUP(ROWS($B$8:B352), filter!$I:$J, 2, 0), "")</f>
        <v>K2G05P</v>
      </c>
      <c r="D353" s="16" t="str" cm="1">
        <f t="array" ref="D353">IF( $C353="", "", _xll.IMDP("IDX", $C353, D$6) )</f>
        <v>코스피 200 초대형제외 지수</v>
      </c>
      <c r="E353" s="34">
        <f t="array" aca="1" ref="E353" ca="1">IF( $C353="", "", _xll.IMDP("IDX",$C353,E$6,$D$4,"Fill=true, Per="&amp;filter!$R$1) )</f>
        <v>260.29000000000002</v>
      </c>
      <c r="F353" s="38">
        <f t="array" aca="1" ref="F353" ca="1">IF( $C353="", "", _xll.IMDP("IDX",$C353,F$6,$D$4,"Fill=true, Per="&amp;filter!$R$1) )</f>
        <v>-0.18999999999999773</v>
      </c>
      <c r="G353" s="39">
        <f t="array" aca="1" ref="G353" ca="1">IF( $C353="", "", _xll.IMDP("IDX",$C353,G$6,$D$4,"Fill=true, Per="&amp;filter!$R$1) )</f>
        <v>-7.0000000000000007E-2</v>
      </c>
      <c r="H353" s="43">
        <f t="array" aca="1" ref="H353" ca="1">IF( $C353="", "", _xll.IMDP("IDX",$C353,H$6,$D$4,"Fill=true, Per="&amp;filter!$R$1) )</f>
        <v>177315</v>
      </c>
      <c r="I353" s="43">
        <f t="array" aca="1" ref="I353" ca="1">IF( $C353="", "", _xll.IMDP("IDX",$C353,I$6,$D$4,"Fill=true, Per="&amp;filter!$R$1) )</f>
        <v>12723052</v>
      </c>
      <c r="J353" s="34">
        <f t="array" aca="1" ref="J353" ca="1">IF( $C353="", "", _xll.IMDP("IDX",$C353,J$6,$D$4,"Fill=true, Per="&amp;filter!$R$1) )</f>
        <v>261.08</v>
      </c>
      <c r="K353" s="38">
        <f t="array" aca="1" ref="K353" ca="1">IF( $C353="", "", _xll.IMDP("IDX",$C353,K$6,$D$4,"Fill=true, Per="&amp;filter!$R$1) )</f>
        <v>262.83999999999997</v>
      </c>
      <c r="L353" s="39">
        <f t="array" aca="1" ref="L353" ca="1">IF( $C353="", "", _xll.IMDP("IDX",$C353,L$6,$D$4,"Fill=true, Per="&amp;filter!$R$1) )</f>
        <v>0</v>
      </c>
      <c r="M353" s="50" t="str">
        <f t="array" aca="1" ref="M353" ca="1">IF( $C353="", "", _xll.IMDP("IDX",$C353,M$6,$D$4,"Fill=true, Per="&amp;filter!$R$1) )</f>
        <v/>
      </c>
      <c r="N353" s="51" t="str">
        <f t="array" aca="1" ref="N353" ca="1">IF( $C353="", "", _xll.IMDP("IDX",$C353,N$6,$D$4,"Fill=true, Per="&amp;filter!$R$1) )</f>
        <v/>
      </c>
      <c r="O353" s="52" t="str">
        <f t="array" aca="1" ref="O353" ca="1">IF( $C353="", "", _xll.IMDP("IDX",$C353,O$6,$D$4,"Fill=true, Per="&amp;filter!$R$1) )</f>
        <v/>
      </c>
    </row>
    <row r="354" spans="2:15">
      <c r="B354" s="21">
        <f t="shared" si="5"/>
        <v>346</v>
      </c>
      <c r="C354" s="17" t="str">
        <f>IFERROR( VLOOKUP(ROWS($B$8:B353), filter!$I:$J, 2, 0), "")</f>
        <v>K2G06N</v>
      </c>
      <c r="D354" s="16" t="str" cm="1">
        <f t="array" ref="D354">IF( $C354="", "", _xll.IMDP("IDX", $C354, D$6) )</f>
        <v>코스피200 비중상한 30% NTR</v>
      </c>
      <c r="E354" s="34">
        <f t="array" aca="1" ref="E354" ca="1">IF( $C354="", "", _xll.IMDP("IDX",$C354,E$6,$D$4,"Fill=true, Per="&amp;filter!$R$1) )</f>
        <v>441.12</v>
      </c>
      <c r="F354" s="38">
        <f t="array" aca="1" ref="F354" ca="1">IF( $C354="", "", _xll.IMDP("IDX",$C354,F$6,$D$4,"Fill=true, Per="&amp;filter!$R$1) )</f>
        <v>-3.3799999999999955</v>
      </c>
      <c r="G354" s="39">
        <f t="array" aca="1" ref="G354" ca="1">IF( $C354="", "", _xll.IMDP("IDX",$C354,G$6,$D$4,"Fill=true, Per="&amp;filter!$R$1) )</f>
        <v>-0.76</v>
      </c>
      <c r="H354" s="43">
        <f t="array" aca="1" ref="H354" ca="1">IF( $C354="", "", _xll.IMDP("IDX",$C354,H$6,$D$4,"Fill=true, Per="&amp;filter!$R$1) )</f>
        <v>0</v>
      </c>
      <c r="I354" s="43">
        <f t="array" aca="1" ref="I354" ca="1">IF( $C354="", "", _xll.IMDP("IDX",$C354,I$6,$D$4,"Fill=true, Per="&amp;filter!$R$1) )</f>
        <v>0</v>
      </c>
      <c r="J354" s="34">
        <f t="array" aca="1" ref="J354" ca="1">IF( $C354="", "", _xll.IMDP("IDX",$C354,J$6,$D$4,"Fill=true, Per="&amp;filter!$R$1) )</f>
        <v>445.74</v>
      </c>
      <c r="K354" s="38">
        <f t="array" aca="1" ref="K354" ca="1">IF( $C354="", "", _xll.IMDP("IDX",$C354,K$6,$D$4,"Fill=true, Per="&amp;filter!$R$1) )</f>
        <v>447.33</v>
      </c>
      <c r="L354" s="39">
        <f t="array" aca="1" ref="L354" ca="1">IF( $C354="", "", _xll.IMDP("IDX",$C354,L$6,$D$4,"Fill=true, Per="&amp;filter!$R$1) )</f>
        <v>0</v>
      </c>
      <c r="M354" s="50" t="str">
        <f t="array" aca="1" ref="M354" ca="1">IF( $C354="", "", _xll.IMDP("IDX",$C354,M$6,$D$4,"Fill=true, Per="&amp;filter!$R$1) )</f>
        <v/>
      </c>
      <c r="N354" s="51" t="str">
        <f t="array" aca="1" ref="N354" ca="1">IF( $C354="", "", _xll.IMDP("IDX",$C354,N$6,$D$4,"Fill=true, Per="&amp;filter!$R$1) )</f>
        <v/>
      </c>
      <c r="O354" s="52" t="str">
        <f t="array" aca="1" ref="O354" ca="1">IF( $C354="", "", _xll.IMDP("IDX",$C354,O$6,$D$4,"Fill=true, Per="&amp;filter!$R$1) )</f>
        <v/>
      </c>
    </row>
    <row r="355" spans="2:15">
      <c r="B355" s="21">
        <f t="shared" si="5"/>
        <v>347</v>
      </c>
      <c r="C355" s="17" t="str">
        <f>IFERROR( VLOOKUP(ROWS($B$8:B354), filter!$I:$J, 2, 0), "")</f>
        <v>K2G06P</v>
      </c>
      <c r="D355" s="16" t="str" cm="1">
        <f t="array" ref="D355">IF( $C355="", "", _xll.IMDP("IDX", $C355, D$6) )</f>
        <v>코스피200 비중상한 30% 지수</v>
      </c>
      <c r="E355" s="34">
        <f t="array" aca="1" ref="E355" ca="1">IF( $C355="", "", _xll.IMDP("IDX",$C355,E$6,$D$4,"Fill=true, Per="&amp;filter!$R$1) )</f>
        <v>358.32</v>
      </c>
      <c r="F355" s="38">
        <f t="array" aca="1" ref="F355" ca="1">IF( $C355="", "", _xll.IMDP("IDX",$C355,F$6,$D$4,"Fill=true, Per="&amp;filter!$R$1) )</f>
        <v>-2.7200000000000273</v>
      </c>
      <c r="G355" s="39">
        <f t="array" aca="1" ref="G355" ca="1">IF( $C355="", "", _xll.IMDP("IDX",$C355,G$6,$D$4,"Fill=true, Per="&amp;filter!$R$1) )</f>
        <v>-0.75</v>
      </c>
      <c r="H355" s="43">
        <f t="array" aca="1" ref="H355" ca="1">IF( $C355="", "", _xll.IMDP("IDX",$C355,H$6,$D$4,"Fill=true, Per="&amp;filter!$R$1) )</f>
        <v>206271</v>
      </c>
      <c r="I355" s="43">
        <f t="array" aca="1" ref="I355" ca="1">IF( $C355="", "", _xll.IMDP("IDX",$C355,I$6,$D$4,"Fill=true, Per="&amp;filter!$R$1) )</f>
        <v>14856199</v>
      </c>
      <c r="J355" s="34">
        <f t="array" aca="1" ref="J355" ca="1">IF( $C355="", "", _xll.IMDP("IDX",$C355,J$6,$D$4,"Fill=true, Per="&amp;filter!$R$1) )</f>
        <v>362.05</v>
      </c>
      <c r="K355" s="38">
        <f t="array" aca="1" ref="K355" ca="1">IF( $C355="", "", _xll.IMDP("IDX",$C355,K$6,$D$4,"Fill=true, Per="&amp;filter!$R$1) )</f>
        <v>363.36</v>
      </c>
      <c r="L355" s="39">
        <f t="array" aca="1" ref="L355" ca="1">IF( $C355="", "", _xll.IMDP("IDX",$C355,L$6,$D$4,"Fill=true, Per="&amp;filter!$R$1) )</f>
        <v>0</v>
      </c>
      <c r="M355" s="50" t="str">
        <f t="array" aca="1" ref="M355" ca="1">IF( $C355="", "", _xll.IMDP("IDX",$C355,M$6,$D$4,"Fill=true, Per="&amp;filter!$R$1) )</f>
        <v/>
      </c>
      <c r="N355" s="51" t="str">
        <f t="array" aca="1" ref="N355" ca="1">IF( $C355="", "", _xll.IMDP("IDX",$C355,N$6,$D$4,"Fill=true, Per="&amp;filter!$R$1) )</f>
        <v/>
      </c>
      <c r="O355" s="52" t="str">
        <f t="array" aca="1" ref="O355" ca="1">IF( $C355="", "", _xll.IMDP("IDX",$C355,O$6,$D$4,"Fill=true, Per="&amp;filter!$R$1) )</f>
        <v/>
      </c>
    </row>
    <row r="356" spans="2:15">
      <c r="B356" s="21">
        <f t="shared" si="5"/>
        <v>348</v>
      </c>
      <c r="C356" s="17" t="str">
        <f>IFERROR( VLOOKUP(ROWS($B$8:B355), filter!$I:$J, 2, 0), "")</f>
        <v>K2G06T</v>
      </c>
      <c r="D356" s="16" t="str" cm="1">
        <f t="array" ref="D356">IF( $C356="", "", _xll.IMDP("IDX", $C356, D$6) )</f>
        <v>코스피200 비중상한 30% TR</v>
      </c>
      <c r="E356" s="34">
        <f t="array" aca="1" ref="E356" ca="1">IF( $C356="", "", _xll.IMDP("IDX",$C356,E$6,$D$4,"Fill=true, Per="&amp;filter!$R$1) )</f>
        <v>458.29</v>
      </c>
      <c r="F356" s="38">
        <f t="array" aca="1" ref="F356" ca="1">IF( $C356="", "", _xll.IMDP("IDX",$C356,F$6,$D$4,"Fill=true, Per="&amp;filter!$R$1) )</f>
        <v>-3.5099999999999909</v>
      </c>
      <c r="G356" s="39">
        <f t="array" aca="1" ref="G356" ca="1">IF( $C356="", "", _xll.IMDP("IDX",$C356,G$6,$D$4,"Fill=true, Per="&amp;filter!$R$1) )</f>
        <v>-0.76</v>
      </c>
      <c r="H356" s="43">
        <f t="array" aca="1" ref="H356" ca="1">IF( $C356="", "", _xll.IMDP("IDX",$C356,H$6,$D$4,"Fill=true, Per="&amp;filter!$R$1) )</f>
        <v>0</v>
      </c>
      <c r="I356" s="43">
        <f t="array" aca="1" ref="I356" ca="1">IF( $C356="", "", _xll.IMDP("IDX",$C356,I$6,$D$4,"Fill=true, Per="&amp;filter!$R$1) )</f>
        <v>0</v>
      </c>
      <c r="J356" s="34">
        <f t="array" aca="1" ref="J356" ca="1">IF( $C356="", "", _xll.IMDP("IDX",$C356,J$6,$D$4,"Fill=true, Per="&amp;filter!$R$1) )</f>
        <v>463.09</v>
      </c>
      <c r="K356" s="38">
        <f t="array" aca="1" ref="K356" ca="1">IF( $C356="", "", _xll.IMDP("IDX",$C356,K$6,$D$4,"Fill=true, Per="&amp;filter!$R$1) )</f>
        <v>464.74</v>
      </c>
      <c r="L356" s="39">
        <f t="array" aca="1" ref="L356" ca="1">IF( $C356="", "", _xll.IMDP("IDX",$C356,L$6,$D$4,"Fill=true, Per="&amp;filter!$R$1) )</f>
        <v>0</v>
      </c>
      <c r="M356" s="50" t="str">
        <f t="array" aca="1" ref="M356" ca="1">IF( $C356="", "", _xll.IMDP("IDX",$C356,M$6,$D$4,"Fill=true, Per="&amp;filter!$R$1) )</f>
        <v/>
      </c>
      <c r="N356" s="51" t="str">
        <f t="array" aca="1" ref="N356" ca="1">IF( $C356="", "", _xll.IMDP("IDX",$C356,N$6,$D$4,"Fill=true, Per="&amp;filter!$R$1) )</f>
        <v/>
      </c>
      <c r="O356" s="52" t="str">
        <f t="array" aca="1" ref="O356" ca="1">IF( $C356="", "", _xll.IMDP("IDX",$C356,O$6,$D$4,"Fill=true, Per="&amp;filter!$R$1) )</f>
        <v/>
      </c>
    </row>
    <row r="357" spans="2:15">
      <c r="B357" s="21">
        <f t="shared" si="5"/>
        <v>349</v>
      </c>
      <c r="C357" s="17" t="str">
        <f>IFERROR( VLOOKUP(ROWS($B$8:B356), filter!$I:$J, 2, 0), "")</f>
        <v>K2G08N</v>
      </c>
      <c r="D357" s="16" t="str" cm="1">
        <f t="array" ref="D357">IF( $C357="", "", _xll.IMDP("IDX", $C357, D$6) )</f>
        <v>코스피200 비중상한 25% NTR</v>
      </c>
      <c r="E357" s="34">
        <f t="array" aca="1" ref="E357" ca="1">IF( $C357="", "", _xll.IMDP("IDX",$C357,E$6,$D$4,"Fill=true, Per="&amp;filter!$R$1) )</f>
        <v>436.92</v>
      </c>
      <c r="F357" s="38">
        <f t="array" aca="1" ref="F357" ca="1">IF( $C357="", "", _xll.IMDP("IDX",$C357,F$6,$D$4,"Fill=true, Per="&amp;filter!$R$1) )</f>
        <v>-2.8299999999999841</v>
      </c>
      <c r="G357" s="39">
        <f t="array" aca="1" ref="G357" ca="1">IF( $C357="", "", _xll.IMDP("IDX",$C357,G$6,$D$4,"Fill=true, Per="&amp;filter!$R$1) )</f>
        <v>-0.64</v>
      </c>
      <c r="H357" s="43">
        <f t="array" aca="1" ref="H357" ca="1">IF( $C357="", "", _xll.IMDP("IDX",$C357,H$6,$D$4,"Fill=true, Per="&amp;filter!$R$1) )</f>
        <v>0</v>
      </c>
      <c r="I357" s="43">
        <f t="array" aca="1" ref="I357" ca="1">IF( $C357="", "", _xll.IMDP("IDX",$C357,I$6,$D$4,"Fill=true, Per="&amp;filter!$R$1) )</f>
        <v>0</v>
      </c>
      <c r="J357" s="34">
        <f t="array" aca="1" ref="J357" ca="1">IF( $C357="", "", _xll.IMDP("IDX",$C357,J$6,$D$4,"Fill=true, Per="&amp;filter!$R$1) )</f>
        <v>440.94</v>
      </c>
      <c r="K357" s="38">
        <f t="array" aca="1" ref="K357" ca="1">IF( $C357="", "", _xll.IMDP("IDX",$C357,K$6,$D$4,"Fill=true, Per="&amp;filter!$R$1) )</f>
        <v>442.75</v>
      </c>
      <c r="L357" s="39">
        <f t="array" aca="1" ref="L357" ca="1">IF( $C357="", "", _xll.IMDP("IDX",$C357,L$6,$D$4,"Fill=true, Per="&amp;filter!$R$1) )</f>
        <v>0</v>
      </c>
      <c r="M357" s="50" t="str">
        <f t="array" aca="1" ref="M357" ca="1">IF( $C357="", "", _xll.IMDP("IDX",$C357,M$6,$D$4,"Fill=true, Per="&amp;filter!$R$1) )</f>
        <v/>
      </c>
      <c r="N357" s="51" t="str">
        <f t="array" aca="1" ref="N357" ca="1">IF( $C357="", "", _xll.IMDP("IDX",$C357,N$6,$D$4,"Fill=true, Per="&amp;filter!$R$1) )</f>
        <v/>
      </c>
      <c r="O357" s="52" t="str">
        <f t="array" aca="1" ref="O357" ca="1">IF( $C357="", "", _xll.IMDP("IDX",$C357,O$6,$D$4,"Fill=true, Per="&amp;filter!$R$1) )</f>
        <v/>
      </c>
    </row>
    <row r="358" spans="2:15">
      <c r="B358" s="21">
        <f t="shared" si="5"/>
        <v>350</v>
      </c>
      <c r="C358" s="17" t="str">
        <f>IFERROR( VLOOKUP(ROWS($B$8:B357), filter!$I:$J, 2, 0), "")</f>
        <v>K2G08P</v>
      </c>
      <c r="D358" s="16" t="str" cm="1">
        <f t="array" ref="D358">IF( $C358="", "", _xll.IMDP("IDX", $C358, D$6) )</f>
        <v>코스피200 비중상한 25% 지수</v>
      </c>
      <c r="E358" s="34">
        <f t="array" aca="1" ref="E358" ca="1">IF( $C358="", "", _xll.IMDP("IDX",$C358,E$6,$D$4,"Fill=true, Per="&amp;filter!$R$1) )</f>
        <v>354.85</v>
      </c>
      <c r="F358" s="38">
        <f t="array" aca="1" ref="F358" ca="1">IF( $C358="", "", _xll.IMDP("IDX",$C358,F$6,$D$4,"Fill=true, Per="&amp;filter!$R$1) )</f>
        <v>-2.2799999999999727</v>
      </c>
      <c r="G358" s="39">
        <f t="array" aca="1" ref="G358" ca="1">IF( $C358="", "", _xll.IMDP("IDX",$C358,G$6,$D$4,"Fill=true, Per="&amp;filter!$R$1) )</f>
        <v>-0.64</v>
      </c>
      <c r="H358" s="43">
        <f t="array" aca="1" ref="H358" ca="1">IF( $C358="", "", _xll.IMDP("IDX",$C358,H$6,$D$4,"Fill=true, Per="&amp;filter!$R$1) )</f>
        <v>206271</v>
      </c>
      <c r="I358" s="43">
        <f t="array" aca="1" ref="I358" ca="1">IF( $C358="", "", _xll.IMDP("IDX",$C358,I$6,$D$4,"Fill=true, Per="&amp;filter!$R$1) )</f>
        <v>14856199</v>
      </c>
      <c r="J358" s="34">
        <f t="array" aca="1" ref="J358" ca="1">IF( $C358="", "", _xll.IMDP("IDX",$C358,J$6,$D$4,"Fill=true, Per="&amp;filter!$R$1) )</f>
        <v>358.1</v>
      </c>
      <c r="K358" s="38">
        <f t="array" aca="1" ref="K358" ca="1">IF( $C358="", "", _xll.IMDP("IDX",$C358,K$6,$D$4,"Fill=true, Per="&amp;filter!$R$1) )</f>
        <v>359.59</v>
      </c>
      <c r="L358" s="39">
        <f t="array" aca="1" ref="L358" ca="1">IF( $C358="", "", _xll.IMDP("IDX",$C358,L$6,$D$4,"Fill=true, Per="&amp;filter!$R$1) )</f>
        <v>0</v>
      </c>
      <c r="M358" s="50" t="str">
        <f t="array" aca="1" ref="M358" ca="1">IF( $C358="", "", _xll.IMDP("IDX",$C358,M$6,$D$4,"Fill=true, Per="&amp;filter!$R$1) )</f>
        <v/>
      </c>
      <c r="N358" s="51" t="str">
        <f t="array" aca="1" ref="N358" ca="1">IF( $C358="", "", _xll.IMDP("IDX",$C358,N$6,$D$4,"Fill=true, Per="&amp;filter!$R$1) )</f>
        <v/>
      </c>
      <c r="O358" s="52" t="str">
        <f t="array" aca="1" ref="O358" ca="1">IF( $C358="", "", _xll.IMDP("IDX",$C358,O$6,$D$4,"Fill=true, Per="&amp;filter!$R$1) )</f>
        <v/>
      </c>
    </row>
    <row r="359" spans="2:15">
      <c r="B359" s="21">
        <f t="shared" si="5"/>
        <v>351</v>
      </c>
      <c r="C359" s="17" t="str">
        <f>IFERROR( VLOOKUP(ROWS($B$8:B358), filter!$I:$J, 2, 0), "")</f>
        <v>K2G08T</v>
      </c>
      <c r="D359" s="16" t="str" cm="1">
        <f t="array" ref="D359">IF( $C359="", "", _xll.IMDP("IDX", $C359, D$6) )</f>
        <v>코스피200 비중상한 25% TR</v>
      </c>
      <c r="E359" s="34">
        <f t="array" aca="1" ref="E359" ca="1">IF( $C359="", "", _xll.IMDP("IDX",$C359,E$6,$D$4,"Fill=true, Per="&amp;filter!$R$1) )</f>
        <v>454.01</v>
      </c>
      <c r="F359" s="38">
        <f t="array" aca="1" ref="F359" ca="1">IF( $C359="", "", _xll.IMDP("IDX",$C359,F$6,$D$4,"Fill=true, Per="&amp;filter!$R$1) )</f>
        <v>-2.9499999999999886</v>
      </c>
      <c r="G359" s="39">
        <f t="array" aca="1" ref="G359" ca="1">IF( $C359="", "", _xll.IMDP("IDX",$C359,G$6,$D$4,"Fill=true, Per="&amp;filter!$R$1) )</f>
        <v>-0.65</v>
      </c>
      <c r="H359" s="43">
        <f t="array" aca="1" ref="H359" ca="1">IF( $C359="", "", _xll.IMDP("IDX",$C359,H$6,$D$4,"Fill=true, Per="&amp;filter!$R$1) )</f>
        <v>0</v>
      </c>
      <c r="I359" s="43">
        <f t="array" aca="1" ref="I359" ca="1">IF( $C359="", "", _xll.IMDP("IDX",$C359,I$6,$D$4,"Fill=true, Per="&amp;filter!$R$1) )</f>
        <v>0</v>
      </c>
      <c r="J359" s="34">
        <f t="array" aca="1" ref="J359" ca="1">IF( $C359="", "", _xll.IMDP("IDX",$C359,J$6,$D$4,"Fill=true, Per="&amp;filter!$R$1) )</f>
        <v>458.2</v>
      </c>
      <c r="K359" s="38">
        <f t="array" aca="1" ref="K359" ca="1">IF( $C359="", "", _xll.IMDP("IDX",$C359,K$6,$D$4,"Fill=true, Per="&amp;filter!$R$1) )</f>
        <v>460.08</v>
      </c>
      <c r="L359" s="39">
        <f t="array" aca="1" ref="L359" ca="1">IF( $C359="", "", _xll.IMDP("IDX",$C359,L$6,$D$4,"Fill=true, Per="&amp;filter!$R$1) )</f>
        <v>0</v>
      </c>
      <c r="M359" s="50" t="str">
        <f t="array" aca="1" ref="M359" ca="1">IF( $C359="", "", _xll.IMDP("IDX",$C359,M$6,$D$4,"Fill=true, Per="&amp;filter!$R$1) )</f>
        <v/>
      </c>
      <c r="N359" s="51" t="str">
        <f t="array" aca="1" ref="N359" ca="1">IF( $C359="", "", _xll.IMDP("IDX",$C359,N$6,$D$4,"Fill=true, Per="&amp;filter!$R$1) )</f>
        <v/>
      </c>
      <c r="O359" s="52" t="str">
        <f t="array" aca="1" ref="O359" ca="1">IF( $C359="", "", _xll.IMDP("IDX",$C359,O$6,$D$4,"Fill=true, Per="&amp;filter!$R$1) )</f>
        <v/>
      </c>
    </row>
    <row r="360" spans="2:15">
      <c r="B360" s="21">
        <f t="shared" si="5"/>
        <v>352</v>
      </c>
      <c r="C360" s="17" t="str">
        <f>IFERROR( VLOOKUP(ROWS($B$8:B359), filter!$I:$J, 2, 0), "")</f>
        <v>K2G10N</v>
      </c>
      <c r="D360" s="16" t="str" cm="1">
        <f t="array" ref="D360">IF( $C360="", "", _xll.IMDP("IDX", $C360, D$6) )</f>
        <v>코스피200 비중상한 20% NTR</v>
      </c>
      <c r="E360" s="34">
        <f t="array" aca="1" ref="E360" ca="1">IF( $C360="", "", _xll.IMDP("IDX",$C360,E$6,$D$4,"Fill=true, Per="&amp;filter!$R$1) )</f>
        <v>424.18</v>
      </c>
      <c r="F360" s="38">
        <f t="array" aca="1" ref="F360" ca="1">IF( $C360="", "", _xll.IMDP("IDX",$C360,F$6,$D$4,"Fill=true, Per="&amp;filter!$R$1) )</f>
        <v>-2.2599999999999909</v>
      </c>
      <c r="G360" s="39">
        <f t="array" aca="1" ref="G360" ca="1">IF( $C360="", "", _xll.IMDP("IDX",$C360,G$6,$D$4,"Fill=true, Per="&amp;filter!$R$1) )</f>
        <v>-0.53</v>
      </c>
      <c r="H360" s="43">
        <f t="array" aca="1" ref="H360" ca="1">IF( $C360="", "", _xll.IMDP("IDX",$C360,H$6,$D$4,"Fill=true, Per="&amp;filter!$R$1) )</f>
        <v>0</v>
      </c>
      <c r="I360" s="43">
        <f t="array" aca="1" ref="I360" ca="1">IF( $C360="", "", _xll.IMDP("IDX",$C360,I$6,$D$4,"Fill=true, Per="&amp;filter!$R$1) )</f>
        <v>0</v>
      </c>
      <c r="J360" s="34">
        <f t="array" aca="1" ref="J360" ca="1">IF( $C360="", "", _xll.IMDP("IDX",$C360,J$6,$D$4,"Fill=true, Per="&amp;filter!$R$1) )</f>
        <v>427.56</v>
      </c>
      <c r="K360" s="38">
        <f t="array" aca="1" ref="K360" ca="1">IF( $C360="", "", _xll.IMDP("IDX",$C360,K$6,$D$4,"Fill=true, Per="&amp;filter!$R$1) )</f>
        <v>429.54</v>
      </c>
      <c r="L360" s="39">
        <f t="array" aca="1" ref="L360" ca="1">IF( $C360="", "", _xll.IMDP("IDX",$C360,L$6,$D$4,"Fill=true, Per="&amp;filter!$R$1) )</f>
        <v>0</v>
      </c>
      <c r="M360" s="50" t="str">
        <f t="array" aca="1" ref="M360" ca="1">IF( $C360="", "", _xll.IMDP("IDX",$C360,M$6,$D$4,"Fill=true, Per="&amp;filter!$R$1) )</f>
        <v/>
      </c>
      <c r="N360" s="51" t="str">
        <f t="array" aca="1" ref="N360" ca="1">IF( $C360="", "", _xll.IMDP("IDX",$C360,N$6,$D$4,"Fill=true, Per="&amp;filter!$R$1) )</f>
        <v/>
      </c>
      <c r="O360" s="52" t="str">
        <f t="array" aca="1" ref="O360" ca="1">IF( $C360="", "", _xll.IMDP("IDX",$C360,O$6,$D$4,"Fill=true, Per="&amp;filter!$R$1) )</f>
        <v/>
      </c>
    </row>
    <row r="361" spans="2:15">
      <c r="B361" s="21">
        <f t="shared" si="5"/>
        <v>353</v>
      </c>
      <c r="C361" s="17" t="str">
        <f>IFERROR( VLOOKUP(ROWS($B$8:B360), filter!$I:$J, 2, 0), "")</f>
        <v>K2G10P</v>
      </c>
      <c r="D361" s="16" t="str" cm="1">
        <f t="array" ref="D361">IF( $C361="", "", _xll.IMDP("IDX", $C361, D$6) )</f>
        <v>코스피200 비중상한 20% 지수</v>
      </c>
      <c r="E361" s="34">
        <f t="array" aca="1" ref="E361" ca="1">IF( $C361="", "", _xll.IMDP("IDX",$C361,E$6,$D$4,"Fill=true, Per="&amp;filter!$R$1) )</f>
        <v>344.76</v>
      </c>
      <c r="F361" s="38">
        <f t="array" aca="1" ref="F361" ca="1">IF( $C361="", "", _xll.IMDP("IDX",$C361,F$6,$D$4,"Fill=true, Per="&amp;filter!$R$1) )</f>
        <v>-1.8199999999999932</v>
      </c>
      <c r="G361" s="39">
        <f t="array" aca="1" ref="G361" ca="1">IF( $C361="", "", _xll.IMDP("IDX",$C361,G$6,$D$4,"Fill=true, Per="&amp;filter!$R$1) )</f>
        <v>-0.53</v>
      </c>
      <c r="H361" s="43">
        <f t="array" aca="1" ref="H361" ca="1">IF( $C361="", "", _xll.IMDP("IDX",$C361,H$6,$D$4,"Fill=true, Per="&amp;filter!$R$1) )</f>
        <v>206271</v>
      </c>
      <c r="I361" s="43">
        <f t="array" aca="1" ref="I361" ca="1">IF( $C361="", "", _xll.IMDP("IDX",$C361,I$6,$D$4,"Fill=true, Per="&amp;filter!$R$1) )</f>
        <v>14856199</v>
      </c>
      <c r="J361" s="34">
        <f t="array" aca="1" ref="J361" ca="1">IF( $C361="", "", _xll.IMDP("IDX",$C361,J$6,$D$4,"Fill=true, Per="&amp;filter!$R$1) )</f>
        <v>347.49</v>
      </c>
      <c r="K361" s="38">
        <f t="array" aca="1" ref="K361" ca="1">IF( $C361="", "", _xll.IMDP("IDX",$C361,K$6,$D$4,"Fill=true, Per="&amp;filter!$R$1) )</f>
        <v>349.12</v>
      </c>
      <c r="L361" s="39">
        <f t="array" aca="1" ref="L361" ca="1">IF( $C361="", "", _xll.IMDP("IDX",$C361,L$6,$D$4,"Fill=true, Per="&amp;filter!$R$1) )</f>
        <v>0</v>
      </c>
      <c r="M361" s="50" t="str">
        <f t="array" aca="1" ref="M361" ca="1">IF( $C361="", "", _xll.IMDP("IDX",$C361,M$6,$D$4,"Fill=true, Per="&amp;filter!$R$1) )</f>
        <v/>
      </c>
      <c r="N361" s="51" t="str">
        <f t="array" aca="1" ref="N361" ca="1">IF( $C361="", "", _xll.IMDP("IDX",$C361,N$6,$D$4,"Fill=true, Per="&amp;filter!$R$1) )</f>
        <v/>
      </c>
      <c r="O361" s="52" t="str">
        <f t="array" aca="1" ref="O361" ca="1">IF( $C361="", "", _xll.IMDP("IDX",$C361,O$6,$D$4,"Fill=true, Per="&amp;filter!$R$1) )</f>
        <v/>
      </c>
    </row>
    <row r="362" spans="2:15">
      <c r="B362" s="21">
        <f t="shared" si="5"/>
        <v>354</v>
      </c>
      <c r="C362" s="17" t="str">
        <f>IFERROR( VLOOKUP(ROWS($B$8:B361), filter!$I:$J, 2, 0), "")</f>
        <v>K2G10T</v>
      </c>
      <c r="D362" s="16" t="str" cm="1">
        <f t="array" ref="D362">IF( $C362="", "", _xll.IMDP("IDX", $C362, D$6) )</f>
        <v>코스피200 비중상한 20% TR</v>
      </c>
      <c r="E362" s="34">
        <f t="array" aca="1" ref="E362" ca="1">IF( $C362="", "", _xll.IMDP("IDX",$C362,E$6,$D$4,"Fill=true, Per="&amp;filter!$R$1) )</f>
        <v>440.24</v>
      </c>
      <c r="F362" s="38">
        <f t="array" aca="1" ref="F362" ca="1">IF( $C362="", "", _xll.IMDP("IDX",$C362,F$6,$D$4,"Fill=true, Per="&amp;filter!$R$1) )</f>
        <v>-2.3600000000000136</v>
      </c>
      <c r="G362" s="39">
        <f t="array" aca="1" ref="G362" ca="1">IF( $C362="", "", _xll.IMDP("IDX",$C362,G$6,$D$4,"Fill=true, Per="&amp;filter!$R$1) )</f>
        <v>-0.53</v>
      </c>
      <c r="H362" s="43">
        <f t="array" aca="1" ref="H362" ca="1">IF( $C362="", "", _xll.IMDP("IDX",$C362,H$6,$D$4,"Fill=true, Per="&amp;filter!$R$1) )</f>
        <v>0</v>
      </c>
      <c r="I362" s="43">
        <f t="array" aca="1" ref="I362" ca="1">IF( $C362="", "", _xll.IMDP("IDX",$C362,I$6,$D$4,"Fill=true, Per="&amp;filter!$R$1) )</f>
        <v>0</v>
      </c>
      <c r="J362" s="34">
        <f t="array" aca="1" ref="J362" ca="1">IF( $C362="", "", _xll.IMDP("IDX",$C362,J$6,$D$4,"Fill=true, Per="&amp;filter!$R$1) )</f>
        <v>443.76</v>
      </c>
      <c r="K362" s="38">
        <f t="array" aca="1" ref="K362" ca="1">IF( $C362="", "", _xll.IMDP("IDX",$C362,K$6,$D$4,"Fill=true, Per="&amp;filter!$R$1) )</f>
        <v>445.81</v>
      </c>
      <c r="L362" s="39">
        <f t="array" aca="1" ref="L362" ca="1">IF( $C362="", "", _xll.IMDP("IDX",$C362,L$6,$D$4,"Fill=true, Per="&amp;filter!$R$1) )</f>
        <v>0</v>
      </c>
      <c r="M362" s="50" t="str">
        <f t="array" aca="1" ref="M362" ca="1">IF( $C362="", "", _xll.IMDP("IDX",$C362,M$6,$D$4,"Fill=true, Per="&amp;filter!$R$1) )</f>
        <v/>
      </c>
      <c r="N362" s="51" t="str">
        <f t="array" aca="1" ref="N362" ca="1">IF( $C362="", "", _xll.IMDP("IDX",$C362,N$6,$D$4,"Fill=true, Per="&amp;filter!$R$1) )</f>
        <v/>
      </c>
      <c r="O362" s="52" t="str">
        <f t="array" aca="1" ref="O362" ca="1">IF( $C362="", "", _xll.IMDP("IDX",$C362,O$6,$D$4,"Fill=true, Per="&amp;filter!$R$1) )</f>
        <v/>
      </c>
    </row>
    <row r="363" spans="2:15">
      <c r="B363" s="21">
        <f t="shared" si="5"/>
        <v>355</v>
      </c>
      <c r="C363" s="17" t="str">
        <f>IFERROR( VLOOKUP(ROWS($B$8:B362), filter!$I:$J, 2, 0), "")</f>
        <v>K2S01T</v>
      </c>
      <c r="D363" s="16" t="str" cm="1">
        <f t="array" ref="D363">IF( $C363="", "", _xll.IMDP("IDX", $C363, D$6) )</f>
        <v>코스피200 헬스케어 TR</v>
      </c>
      <c r="E363" s="34">
        <f t="array" aca="1" ref="E363" ca="1">IF( $C363="", "", _xll.IMDP("IDX",$C363,E$6,$D$4,"Fill=true, Per="&amp;filter!$R$1) )</f>
        <v>2417.6799999999998</v>
      </c>
      <c r="F363" s="38">
        <f t="array" aca="1" ref="F363" ca="1">IF( $C363="", "", _xll.IMDP("IDX",$C363,F$6,$D$4,"Fill=true, Per="&amp;filter!$R$1) )</f>
        <v>-37.360000000000127</v>
      </c>
      <c r="G363" s="39">
        <f t="array" aca="1" ref="G363" ca="1">IF( $C363="", "", _xll.IMDP("IDX",$C363,G$6,$D$4,"Fill=true, Per="&amp;filter!$R$1) )</f>
        <v>-1.52</v>
      </c>
      <c r="H363" s="43">
        <f t="array" aca="1" ref="H363" ca="1">IF( $C363="", "", _xll.IMDP("IDX",$C363,H$6,$D$4,"Fill=true, Per="&amp;filter!$R$1) )</f>
        <v>0</v>
      </c>
      <c r="I363" s="43">
        <f t="array" aca="1" ref="I363" ca="1">IF( $C363="", "", _xll.IMDP("IDX",$C363,I$6,$D$4,"Fill=true, Per="&amp;filter!$R$1) )</f>
        <v>0</v>
      </c>
      <c r="J363" s="34">
        <f t="array" aca="1" ref="J363" ca="1">IF( $C363="", "", _xll.IMDP("IDX",$C363,J$6,$D$4,"Fill=true, Per="&amp;filter!$R$1) )</f>
        <v>2476.06</v>
      </c>
      <c r="K363" s="38">
        <f t="array" aca="1" ref="K363" ca="1">IF( $C363="", "", _xll.IMDP("IDX",$C363,K$6,$D$4,"Fill=true, Per="&amp;filter!$R$1) )</f>
        <v>2476.06</v>
      </c>
      <c r="L363" s="39">
        <f t="array" aca="1" ref="L363" ca="1">IF( $C363="", "", _xll.IMDP("IDX",$C363,L$6,$D$4,"Fill=true, Per="&amp;filter!$R$1) )</f>
        <v>0</v>
      </c>
      <c r="M363" s="50" t="str">
        <f t="array" aca="1" ref="M363" ca="1">IF( $C363="", "", _xll.IMDP("IDX",$C363,M$6,$D$4,"Fill=true, Per="&amp;filter!$R$1) )</f>
        <v/>
      </c>
      <c r="N363" s="51" t="str">
        <f t="array" aca="1" ref="N363" ca="1">IF( $C363="", "", _xll.IMDP("IDX",$C363,N$6,$D$4,"Fill=true, Per="&amp;filter!$R$1) )</f>
        <v/>
      </c>
      <c r="O363" s="52" t="str">
        <f t="array" aca="1" ref="O363" ca="1">IF( $C363="", "", _xll.IMDP("IDX",$C363,O$6,$D$4,"Fill=true, Per="&amp;filter!$R$1) )</f>
        <v/>
      </c>
    </row>
    <row r="364" spans="2:15">
      <c r="B364" s="21">
        <f t="shared" si="5"/>
        <v>356</v>
      </c>
      <c r="C364" s="17" t="str">
        <f>IFERROR( VLOOKUP(ROWS($B$8:B363), filter!$I:$J, 2, 0), "")</f>
        <v>K2S02T</v>
      </c>
      <c r="D364" s="16" t="str" cm="1">
        <f t="array" ref="D364">IF( $C364="", "", _xll.IMDP("IDX", $C364, D$6) )</f>
        <v>코스피200 건설 TR</v>
      </c>
      <c r="E364" s="34">
        <f t="array" aca="1" ref="E364" ca="1">IF( $C364="", "", _xll.IMDP("IDX",$C364,E$6,$D$4,"Fill=true, Per="&amp;filter!$R$1) )</f>
        <v>382.86</v>
      </c>
      <c r="F364" s="38">
        <f t="array" aca="1" ref="F364" ca="1">IF( $C364="", "", _xll.IMDP("IDX",$C364,F$6,$D$4,"Fill=true, Per="&amp;filter!$R$1) )</f>
        <v>3.7200000000000273</v>
      </c>
      <c r="G364" s="39">
        <f t="array" aca="1" ref="G364" ca="1">IF( $C364="", "", _xll.IMDP("IDX",$C364,G$6,$D$4,"Fill=true, Per="&amp;filter!$R$1) )</f>
        <v>0.98</v>
      </c>
      <c r="H364" s="43">
        <f t="array" aca="1" ref="H364" ca="1">IF( $C364="", "", _xll.IMDP("IDX",$C364,H$6,$D$4,"Fill=true, Per="&amp;filter!$R$1) )</f>
        <v>0</v>
      </c>
      <c r="I364" s="43">
        <f t="array" aca="1" ref="I364" ca="1">IF( $C364="", "", _xll.IMDP("IDX",$C364,I$6,$D$4,"Fill=true, Per="&amp;filter!$R$1) )</f>
        <v>0</v>
      </c>
      <c r="J364" s="34">
        <f t="array" aca="1" ref="J364" ca="1">IF( $C364="", "", _xll.IMDP("IDX",$C364,J$6,$D$4,"Fill=true, Per="&amp;filter!$R$1) )</f>
        <v>379.61</v>
      </c>
      <c r="K364" s="38">
        <f t="array" aca="1" ref="K364" ca="1">IF( $C364="", "", _xll.IMDP("IDX",$C364,K$6,$D$4,"Fill=true, Per="&amp;filter!$R$1) )</f>
        <v>384.12</v>
      </c>
      <c r="L364" s="39">
        <f t="array" aca="1" ref="L364" ca="1">IF( $C364="", "", _xll.IMDP("IDX",$C364,L$6,$D$4,"Fill=true, Per="&amp;filter!$R$1) )</f>
        <v>0</v>
      </c>
      <c r="M364" s="50" t="str">
        <f t="array" aca="1" ref="M364" ca="1">IF( $C364="", "", _xll.IMDP("IDX",$C364,M$6,$D$4,"Fill=true, Per="&amp;filter!$R$1) )</f>
        <v/>
      </c>
      <c r="N364" s="51" t="str">
        <f t="array" aca="1" ref="N364" ca="1">IF( $C364="", "", _xll.IMDP("IDX",$C364,N$6,$D$4,"Fill=true, Per="&amp;filter!$R$1) )</f>
        <v/>
      </c>
      <c r="O364" s="52" t="str">
        <f t="array" aca="1" ref="O364" ca="1">IF( $C364="", "", _xll.IMDP("IDX",$C364,O$6,$D$4,"Fill=true, Per="&amp;filter!$R$1) )</f>
        <v/>
      </c>
    </row>
    <row r="365" spans="2:15">
      <c r="B365" s="21">
        <f t="shared" si="5"/>
        <v>357</v>
      </c>
      <c r="C365" s="17" t="str">
        <f>IFERROR( VLOOKUP(ROWS($B$8:B364), filter!$I:$J, 2, 0), "")</f>
        <v>K2S03T</v>
      </c>
      <c r="D365" s="16" t="str" cm="1">
        <f t="array" ref="D365">IF( $C365="", "", _xll.IMDP("IDX", $C365, D$6) )</f>
        <v>코스피200 금융 TR</v>
      </c>
      <c r="E365" s="34">
        <f t="array" aca="1" ref="E365" ca="1">IF( $C365="", "", _xll.IMDP("IDX",$C365,E$6,$D$4,"Fill=true, Per="&amp;filter!$R$1) )</f>
        <v>1425.13</v>
      </c>
      <c r="F365" s="38">
        <f t="array" aca="1" ref="F365" ca="1">IF( $C365="", "", _xll.IMDP("IDX",$C365,F$6,$D$4,"Fill=true, Per="&amp;filter!$R$1) )</f>
        <v>31.870000000000118</v>
      </c>
      <c r="G365" s="39">
        <f t="array" aca="1" ref="G365" ca="1">IF( $C365="", "", _xll.IMDP("IDX",$C365,G$6,$D$4,"Fill=true, Per="&amp;filter!$R$1) )</f>
        <v>2.29</v>
      </c>
      <c r="H365" s="43">
        <f t="array" aca="1" ref="H365" ca="1">IF( $C365="", "", _xll.IMDP("IDX",$C365,H$6,$D$4,"Fill=true, Per="&amp;filter!$R$1) )</f>
        <v>0</v>
      </c>
      <c r="I365" s="43">
        <f t="array" aca="1" ref="I365" ca="1">IF( $C365="", "", _xll.IMDP("IDX",$C365,I$6,$D$4,"Fill=true, Per="&amp;filter!$R$1) )</f>
        <v>0</v>
      </c>
      <c r="J365" s="34">
        <f t="array" aca="1" ref="J365" ca="1">IF( $C365="", "", _xll.IMDP("IDX",$C365,J$6,$D$4,"Fill=true, Per="&amp;filter!$R$1) )</f>
        <v>1397.06</v>
      </c>
      <c r="K365" s="38">
        <f t="array" aca="1" ref="K365" ca="1">IF( $C365="", "", _xll.IMDP("IDX",$C365,K$6,$D$4,"Fill=true, Per="&amp;filter!$R$1) )</f>
        <v>1435.49</v>
      </c>
      <c r="L365" s="39">
        <f t="array" aca="1" ref="L365" ca="1">IF( $C365="", "", _xll.IMDP("IDX",$C365,L$6,$D$4,"Fill=true, Per="&amp;filter!$R$1) )</f>
        <v>0</v>
      </c>
      <c r="M365" s="50" t="str">
        <f t="array" aca="1" ref="M365" ca="1">IF( $C365="", "", _xll.IMDP("IDX",$C365,M$6,$D$4,"Fill=true, Per="&amp;filter!$R$1) )</f>
        <v/>
      </c>
      <c r="N365" s="51" t="str">
        <f t="array" aca="1" ref="N365" ca="1">IF( $C365="", "", _xll.IMDP("IDX",$C365,N$6,$D$4,"Fill=true, Per="&amp;filter!$R$1) )</f>
        <v/>
      </c>
      <c r="O365" s="52" t="str">
        <f t="array" aca="1" ref="O365" ca="1">IF( $C365="", "", _xll.IMDP("IDX",$C365,O$6,$D$4,"Fill=true, Per="&amp;filter!$R$1) )</f>
        <v/>
      </c>
    </row>
    <row r="366" spans="2:15">
      <c r="B366" s="21">
        <f t="shared" si="5"/>
        <v>358</v>
      </c>
      <c r="C366" s="17" t="str">
        <f>IFERROR( VLOOKUP(ROWS($B$8:B365), filter!$I:$J, 2, 0), "")</f>
        <v>K2S04T</v>
      </c>
      <c r="D366" s="16" t="str" cm="1">
        <f t="array" ref="D366">IF( $C366="", "", _xll.IMDP("IDX", $C366, D$6) )</f>
        <v>코스피200 산업재 TR</v>
      </c>
      <c r="E366" s="34">
        <f t="array" aca="1" ref="E366" ca="1">IF( $C366="", "", _xll.IMDP("IDX",$C366,E$6,$D$4,"Fill=true, Per="&amp;filter!$R$1) )</f>
        <v>786.63</v>
      </c>
      <c r="F366" s="38">
        <f t="array" aca="1" ref="F366" ca="1">IF( $C366="", "", _xll.IMDP("IDX",$C366,F$6,$D$4,"Fill=true, Per="&amp;filter!$R$1) )</f>
        <v>14.840000000000032</v>
      </c>
      <c r="G366" s="39">
        <f t="array" aca="1" ref="G366" ca="1">IF( $C366="", "", _xll.IMDP("IDX",$C366,G$6,$D$4,"Fill=true, Per="&amp;filter!$R$1) )</f>
        <v>1.92</v>
      </c>
      <c r="H366" s="43">
        <f t="array" aca="1" ref="H366" ca="1">IF( $C366="", "", _xll.IMDP("IDX",$C366,H$6,$D$4,"Fill=true, Per="&amp;filter!$R$1) )</f>
        <v>0</v>
      </c>
      <c r="I366" s="43">
        <f t="array" aca="1" ref="I366" ca="1">IF( $C366="", "", _xll.IMDP("IDX",$C366,I$6,$D$4,"Fill=true, Per="&amp;filter!$R$1) )</f>
        <v>0</v>
      </c>
      <c r="J366" s="34">
        <f t="array" aca="1" ref="J366" ca="1">IF( $C366="", "", _xll.IMDP("IDX",$C366,J$6,$D$4,"Fill=true, Per="&amp;filter!$R$1) )</f>
        <v>777.25</v>
      </c>
      <c r="K366" s="38">
        <f t="array" aca="1" ref="K366" ca="1">IF( $C366="", "", _xll.IMDP("IDX",$C366,K$6,$D$4,"Fill=true, Per="&amp;filter!$R$1) )</f>
        <v>792.89</v>
      </c>
      <c r="L366" s="39">
        <f t="array" aca="1" ref="L366" ca="1">IF( $C366="", "", _xll.IMDP("IDX",$C366,L$6,$D$4,"Fill=true, Per="&amp;filter!$R$1) )</f>
        <v>0</v>
      </c>
      <c r="M366" s="50" t="str">
        <f t="array" aca="1" ref="M366" ca="1">IF( $C366="", "", _xll.IMDP("IDX",$C366,M$6,$D$4,"Fill=true, Per="&amp;filter!$R$1) )</f>
        <v/>
      </c>
      <c r="N366" s="51" t="str">
        <f t="array" aca="1" ref="N366" ca="1">IF( $C366="", "", _xll.IMDP("IDX",$C366,N$6,$D$4,"Fill=true, Per="&amp;filter!$R$1) )</f>
        <v/>
      </c>
      <c r="O366" s="52" t="str">
        <f t="array" aca="1" ref="O366" ca="1">IF( $C366="", "", _xll.IMDP("IDX",$C366,O$6,$D$4,"Fill=true, Per="&amp;filter!$R$1) )</f>
        <v/>
      </c>
    </row>
    <row r="367" spans="2:15">
      <c r="B367" s="21">
        <f t="shared" si="5"/>
        <v>359</v>
      </c>
      <c r="C367" s="17" t="str">
        <f>IFERROR( VLOOKUP(ROWS($B$8:B366), filter!$I:$J, 2, 0), "")</f>
        <v>K2S05T</v>
      </c>
      <c r="D367" s="16" t="str" cm="1">
        <f t="array" ref="D367">IF( $C367="", "", _xll.IMDP("IDX", $C367, D$6) )</f>
        <v>코스피200 에너지화학 TR</v>
      </c>
      <c r="E367" s="34">
        <f t="array" aca="1" ref="E367" ca="1">IF( $C367="", "", _xll.IMDP("IDX",$C367,E$6,$D$4,"Fill=true, Per="&amp;filter!$R$1) )</f>
        <v>1426.73</v>
      </c>
      <c r="F367" s="38">
        <f t="array" aca="1" ref="F367" ca="1">IF( $C367="", "", _xll.IMDP("IDX",$C367,F$6,$D$4,"Fill=true, Per="&amp;filter!$R$1) )</f>
        <v>15.610000000000127</v>
      </c>
      <c r="G367" s="39">
        <f t="array" aca="1" ref="G367" ca="1">IF( $C367="", "", _xll.IMDP("IDX",$C367,G$6,$D$4,"Fill=true, Per="&amp;filter!$R$1) )</f>
        <v>1.1100000000000001</v>
      </c>
      <c r="H367" s="43">
        <f t="array" aca="1" ref="H367" ca="1">IF( $C367="", "", _xll.IMDP("IDX",$C367,H$6,$D$4,"Fill=true, Per="&amp;filter!$R$1) )</f>
        <v>0</v>
      </c>
      <c r="I367" s="43">
        <f t="array" aca="1" ref="I367" ca="1">IF( $C367="", "", _xll.IMDP("IDX",$C367,I$6,$D$4,"Fill=true, Per="&amp;filter!$R$1) )</f>
        <v>0</v>
      </c>
      <c r="J367" s="34">
        <f t="array" aca="1" ref="J367" ca="1">IF( $C367="", "", _xll.IMDP("IDX",$C367,J$6,$D$4,"Fill=true, Per="&amp;filter!$R$1) )</f>
        <v>1418.72</v>
      </c>
      <c r="K367" s="38">
        <f t="array" aca="1" ref="K367" ca="1">IF( $C367="", "", _xll.IMDP("IDX",$C367,K$6,$D$4,"Fill=true, Per="&amp;filter!$R$1) )</f>
        <v>1436.66</v>
      </c>
      <c r="L367" s="39">
        <f t="array" aca="1" ref="L367" ca="1">IF( $C367="", "", _xll.IMDP("IDX",$C367,L$6,$D$4,"Fill=true, Per="&amp;filter!$R$1) )</f>
        <v>0</v>
      </c>
      <c r="M367" s="50" t="str">
        <f t="array" aca="1" ref="M367" ca="1">IF( $C367="", "", _xll.IMDP("IDX",$C367,M$6,$D$4,"Fill=true, Per="&amp;filter!$R$1) )</f>
        <v/>
      </c>
      <c r="N367" s="51" t="str">
        <f t="array" aca="1" ref="N367" ca="1">IF( $C367="", "", _xll.IMDP("IDX",$C367,N$6,$D$4,"Fill=true, Per="&amp;filter!$R$1) )</f>
        <v/>
      </c>
      <c r="O367" s="52" t="str">
        <f t="array" aca="1" ref="O367" ca="1">IF( $C367="", "", _xll.IMDP("IDX",$C367,O$6,$D$4,"Fill=true, Per="&amp;filter!$R$1) )</f>
        <v/>
      </c>
    </row>
    <row r="368" spans="2:15">
      <c r="B368" s="21">
        <f t="shared" si="5"/>
        <v>360</v>
      </c>
      <c r="C368" s="17" t="str">
        <f>IFERROR( VLOOKUP(ROWS($B$8:B367), filter!$I:$J, 2, 0), "")</f>
        <v>K2S06T</v>
      </c>
      <c r="D368" s="16" t="str" cm="1">
        <f t="array" ref="D368">IF( $C368="", "", _xll.IMDP("IDX", $C368, D$6) )</f>
        <v>코스피200 경기소비재 TR</v>
      </c>
      <c r="E368" s="34">
        <f t="array" aca="1" ref="E368" ca="1">IF( $C368="", "", _xll.IMDP("IDX",$C368,E$6,$D$4,"Fill=true, Per="&amp;filter!$R$1) )</f>
        <v>2017.15</v>
      </c>
      <c r="F368" s="38">
        <f t="array" aca="1" ref="F368" ca="1">IF( $C368="", "", _xll.IMDP("IDX",$C368,F$6,$D$4,"Fill=true, Per="&amp;filter!$R$1) )</f>
        <v>-64.429999999999836</v>
      </c>
      <c r="G368" s="39">
        <f t="array" aca="1" ref="G368" ca="1">IF( $C368="", "", _xll.IMDP("IDX",$C368,G$6,$D$4,"Fill=true, Per="&amp;filter!$R$1) )</f>
        <v>-3.1</v>
      </c>
      <c r="H368" s="43">
        <f t="array" aca="1" ref="H368" ca="1">IF( $C368="", "", _xll.IMDP("IDX",$C368,H$6,$D$4,"Fill=true, Per="&amp;filter!$R$1) )</f>
        <v>0</v>
      </c>
      <c r="I368" s="43">
        <f t="array" aca="1" ref="I368" ca="1">IF( $C368="", "", _xll.IMDP("IDX",$C368,I$6,$D$4,"Fill=true, Per="&amp;filter!$R$1) )</f>
        <v>0</v>
      </c>
      <c r="J368" s="34">
        <f t="array" aca="1" ref="J368" ca="1">IF( $C368="", "", _xll.IMDP("IDX",$C368,J$6,$D$4,"Fill=true, Per="&amp;filter!$R$1) )</f>
        <v>2083.86</v>
      </c>
      <c r="K368" s="38">
        <f t="array" aca="1" ref="K368" ca="1">IF( $C368="", "", _xll.IMDP("IDX",$C368,K$6,$D$4,"Fill=true, Per="&amp;filter!$R$1) )</f>
        <v>2087.46</v>
      </c>
      <c r="L368" s="39">
        <f t="array" aca="1" ref="L368" ca="1">IF( $C368="", "", _xll.IMDP("IDX",$C368,L$6,$D$4,"Fill=true, Per="&amp;filter!$R$1) )</f>
        <v>0</v>
      </c>
      <c r="M368" s="50" t="str">
        <f t="array" aca="1" ref="M368" ca="1">IF( $C368="", "", _xll.IMDP("IDX",$C368,M$6,$D$4,"Fill=true, Per="&amp;filter!$R$1) )</f>
        <v/>
      </c>
      <c r="N368" s="51" t="str">
        <f t="array" aca="1" ref="N368" ca="1">IF( $C368="", "", _xll.IMDP("IDX",$C368,N$6,$D$4,"Fill=true, Per="&amp;filter!$R$1) )</f>
        <v/>
      </c>
      <c r="O368" s="52" t="str">
        <f t="array" aca="1" ref="O368" ca="1">IF( $C368="", "", _xll.IMDP("IDX",$C368,O$6,$D$4,"Fill=true, Per="&amp;filter!$R$1) )</f>
        <v/>
      </c>
    </row>
    <row r="369" spans="2:15">
      <c r="B369" s="21">
        <f t="shared" si="5"/>
        <v>361</v>
      </c>
      <c r="C369" s="17" t="str">
        <f>IFERROR( VLOOKUP(ROWS($B$8:B368), filter!$I:$J, 2, 0), "")</f>
        <v>K2S07T</v>
      </c>
      <c r="D369" s="16" t="str" cm="1">
        <f t="array" ref="D369">IF( $C369="", "", _xll.IMDP("IDX", $C369, D$6) )</f>
        <v>코스피200 정보기술 TR</v>
      </c>
      <c r="E369" s="34">
        <f t="array" aca="1" ref="E369" ca="1">IF( $C369="", "", _xll.IMDP("IDX",$C369,E$6,$D$4,"Fill=true, Per="&amp;filter!$R$1) )</f>
        <v>3752.21</v>
      </c>
      <c r="F369" s="38">
        <f t="array" aca="1" ref="F369" ca="1">IF( $C369="", "", _xll.IMDP("IDX",$C369,F$6,$D$4,"Fill=true, Per="&amp;filter!$R$1) )</f>
        <v>9.9800000000000182</v>
      </c>
      <c r="G369" s="39">
        <f t="array" aca="1" ref="G369" ca="1">IF( $C369="", "", _xll.IMDP("IDX",$C369,G$6,$D$4,"Fill=true, Per="&amp;filter!$R$1) )</f>
        <v>0.27</v>
      </c>
      <c r="H369" s="43">
        <f t="array" aca="1" ref="H369" ca="1">IF( $C369="", "", _xll.IMDP("IDX",$C369,H$6,$D$4,"Fill=true, Per="&amp;filter!$R$1) )</f>
        <v>0</v>
      </c>
      <c r="I369" s="43">
        <f t="array" aca="1" ref="I369" ca="1">IF( $C369="", "", _xll.IMDP("IDX",$C369,I$6,$D$4,"Fill=true, Per="&amp;filter!$R$1) )</f>
        <v>0</v>
      </c>
      <c r="J369" s="34">
        <f t="array" aca="1" ref="J369" ca="1">IF( $C369="", "", _xll.IMDP("IDX",$C369,J$6,$D$4,"Fill=true, Per="&amp;filter!$R$1) )</f>
        <v>3749.94</v>
      </c>
      <c r="K369" s="38">
        <f t="array" aca="1" ref="K369" ca="1">IF( $C369="", "", _xll.IMDP("IDX",$C369,K$6,$D$4,"Fill=true, Per="&amp;filter!$R$1) )</f>
        <v>3802.85</v>
      </c>
      <c r="L369" s="39">
        <f t="array" aca="1" ref="L369" ca="1">IF( $C369="", "", _xll.IMDP("IDX",$C369,L$6,$D$4,"Fill=true, Per="&amp;filter!$R$1) )</f>
        <v>0</v>
      </c>
      <c r="M369" s="50" t="str">
        <f t="array" aca="1" ref="M369" ca="1">IF( $C369="", "", _xll.IMDP("IDX",$C369,M$6,$D$4,"Fill=true, Per="&amp;filter!$R$1) )</f>
        <v/>
      </c>
      <c r="N369" s="51" t="str">
        <f t="array" aca="1" ref="N369" ca="1">IF( $C369="", "", _xll.IMDP("IDX",$C369,N$6,$D$4,"Fill=true, Per="&amp;filter!$R$1) )</f>
        <v/>
      </c>
      <c r="O369" s="52" t="str">
        <f t="array" aca="1" ref="O369" ca="1">IF( $C369="", "", _xll.IMDP("IDX",$C369,O$6,$D$4,"Fill=true, Per="&amp;filter!$R$1) )</f>
        <v/>
      </c>
    </row>
    <row r="370" spans="2:15">
      <c r="B370" s="21">
        <f t="shared" si="5"/>
        <v>362</v>
      </c>
      <c r="C370" s="17" t="str">
        <f>IFERROR( VLOOKUP(ROWS($B$8:B369), filter!$I:$J, 2, 0), "")</f>
        <v>K2S08T</v>
      </c>
      <c r="D370" s="16" t="str" cm="1">
        <f t="array" ref="D370">IF( $C370="", "", _xll.IMDP("IDX", $C370, D$6) )</f>
        <v>코스피200 중공업 TR</v>
      </c>
      <c r="E370" s="34">
        <f t="array" aca="1" ref="E370" ca="1">IF( $C370="", "", _xll.IMDP("IDX",$C370,E$6,$D$4,"Fill=true, Per="&amp;filter!$R$1) )</f>
        <v>508.13</v>
      </c>
      <c r="F370" s="38">
        <f t="array" aca="1" ref="F370" ca="1">IF( $C370="", "", _xll.IMDP("IDX",$C370,F$6,$D$4,"Fill=true, Per="&amp;filter!$R$1) )</f>
        <v>-16.269999999999982</v>
      </c>
      <c r="G370" s="39">
        <f t="array" aca="1" ref="G370" ca="1">IF( $C370="", "", _xll.IMDP("IDX",$C370,G$6,$D$4,"Fill=true, Per="&amp;filter!$R$1) )</f>
        <v>-3.1</v>
      </c>
      <c r="H370" s="43">
        <f t="array" aca="1" ref="H370" ca="1">IF( $C370="", "", _xll.IMDP("IDX",$C370,H$6,$D$4,"Fill=true, Per="&amp;filter!$R$1) )</f>
        <v>0</v>
      </c>
      <c r="I370" s="43">
        <f t="array" aca="1" ref="I370" ca="1">IF( $C370="", "", _xll.IMDP("IDX",$C370,I$6,$D$4,"Fill=true, Per="&amp;filter!$R$1) )</f>
        <v>0</v>
      </c>
      <c r="J370" s="34">
        <f t="array" aca="1" ref="J370" ca="1">IF( $C370="", "", _xll.IMDP("IDX",$C370,J$6,$D$4,"Fill=true, Per="&amp;filter!$R$1) )</f>
        <v>525.37</v>
      </c>
      <c r="K370" s="38">
        <f t="array" aca="1" ref="K370" ca="1">IF( $C370="", "", _xll.IMDP("IDX",$C370,K$6,$D$4,"Fill=true, Per="&amp;filter!$R$1) )</f>
        <v>525.37</v>
      </c>
      <c r="L370" s="39">
        <f t="array" aca="1" ref="L370" ca="1">IF( $C370="", "", _xll.IMDP("IDX",$C370,L$6,$D$4,"Fill=true, Per="&amp;filter!$R$1) )</f>
        <v>0</v>
      </c>
      <c r="M370" s="50" t="str">
        <f t="array" aca="1" ref="M370" ca="1">IF( $C370="", "", _xll.IMDP("IDX",$C370,M$6,$D$4,"Fill=true, Per="&amp;filter!$R$1) )</f>
        <v/>
      </c>
      <c r="N370" s="51" t="str">
        <f t="array" aca="1" ref="N370" ca="1">IF( $C370="", "", _xll.IMDP("IDX",$C370,N$6,$D$4,"Fill=true, Per="&amp;filter!$R$1) )</f>
        <v/>
      </c>
      <c r="O370" s="52" t="str">
        <f t="array" aca="1" ref="O370" ca="1">IF( $C370="", "", _xll.IMDP("IDX",$C370,O$6,$D$4,"Fill=true, Per="&amp;filter!$R$1) )</f>
        <v/>
      </c>
    </row>
    <row r="371" spans="2:15">
      <c r="B371" s="21">
        <f t="shared" si="5"/>
        <v>363</v>
      </c>
      <c r="C371" s="17" t="str">
        <f>IFERROR( VLOOKUP(ROWS($B$8:B370), filter!$I:$J, 2, 0), "")</f>
        <v>K2S09T</v>
      </c>
      <c r="D371" s="16" t="str" cm="1">
        <f t="array" ref="D371">IF( $C371="", "", _xll.IMDP("IDX", $C371, D$6) )</f>
        <v>코스피200 철강소재 TR</v>
      </c>
      <c r="E371" s="34">
        <f t="array" aca="1" ref="E371" ca="1">IF( $C371="", "", _xll.IMDP("IDX",$C371,E$6,$D$4,"Fill=true, Per="&amp;filter!$R$1) )</f>
        <v>1016.31</v>
      </c>
      <c r="F371" s="38">
        <f t="array" aca="1" ref="F371" ca="1">IF( $C371="", "", _xll.IMDP("IDX",$C371,F$6,$D$4,"Fill=true, Per="&amp;filter!$R$1) )</f>
        <v>36.899999999999977</v>
      </c>
      <c r="G371" s="39">
        <f t="array" aca="1" ref="G371" ca="1">IF( $C371="", "", _xll.IMDP("IDX",$C371,G$6,$D$4,"Fill=true, Per="&amp;filter!$R$1) )</f>
        <v>3.77</v>
      </c>
      <c r="H371" s="43">
        <f t="array" aca="1" ref="H371" ca="1">IF( $C371="", "", _xll.IMDP("IDX",$C371,H$6,$D$4,"Fill=true, Per="&amp;filter!$R$1) )</f>
        <v>0</v>
      </c>
      <c r="I371" s="43">
        <f t="array" aca="1" ref="I371" ca="1">IF( $C371="", "", _xll.IMDP("IDX",$C371,I$6,$D$4,"Fill=true, Per="&amp;filter!$R$1) )</f>
        <v>0</v>
      </c>
      <c r="J371" s="34">
        <f t="array" aca="1" ref="J371" ca="1">IF( $C371="", "", _xll.IMDP("IDX",$C371,J$6,$D$4,"Fill=true, Per="&amp;filter!$R$1) )</f>
        <v>982.79</v>
      </c>
      <c r="K371" s="38">
        <f t="array" aca="1" ref="K371" ca="1">IF( $C371="", "", _xll.IMDP("IDX",$C371,K$6,$D$4,"Fill=true, Per="&amp;filter!$R$1) )</f>
        <v>1027.55</v>
      </c>
      <c r="L371" s="39">
        <f t="array" aca="1" ref="L371" ca="1">IF( $C371="", "", _xll.IMDP("IDX",$C371,L$6,$D$4,"Fill=true, Per="&amp;filter!$R$1) )</f>
        <v>0</v>
      </c>
      <c r="M371" s="50" t="str">
        <f t="array" aca="1" ref="M371" ca="1">IF( $C371="", "", _xll.IMDP("IDX",$C371,M$6,$D$4,"Fill=true, Per="&amp;filter!$R$1) )</f>
        <v/>
      </c>
      <c r="N371" s="51" t="str">
        <f t="array" aca="1" ref="N371" ca="1">IF( $C371="", "", _xll.IMDP("IDX",$C371,N$6,$D$4,"Fill=true, Per="&amp;filter!$R$1) )</f>
        <v/>
      </c>
      <c r="O371" s="52" t="str">
        <f t="array" aca="1" ref="O371" ca="1">IF( $C371="", "", _xll.IMDP("IDX",$C371,O$6,$D$4,"Fill=true, Per="&amp;filter!$R$1) )</f>
        <v/>
      </c>
    </row>
    <row r="372" spans="2:15">
      <c r="B372" s="21">
        <f t="shared" si="5"/>
        <v>364</v>
      </c>
      <c r="C372" s="17" t="str">
        <f>IFERROR( VLOOKUP(ROWS($B$8:B371), filter!$I:$J, 2, 0), "")</f>
        <v>K2S10T</v>
      </c>
      <c r="D372" s="16" t="str" cm="1">
        <f t="array" ref="D372">IF( $C372="", "", _xll.IMDP("IDX", $C372, D$6) )</f>
        <v>코스피200 생활소비재 TR</v>
      </c>
      <c r="E372" s="34">
        <f t="array" aca="1" ref="E372" ca="1">IF( $C372="", "", _xll.IMDP("IDX",$C372,E$6,$D$4,"Fill=true, Per="&amp;filter!$R$1) )</f>
        <v>1152.08</v>
      </c>
      <c r="F372" s="38">
        <f t="array" aca="1" ref="F372" ca="1">IF( $C372="", "", _xll.IMDP("IDX",$C372,F$6,$D$4,"Fill=true, Per="&amp;filter!$R$1) )</f>
        <v>10.869999999999891</v>
      </c>
      <c r="G372" s="39">
        <f t="array" aca="1" ref="G372" ca="1">IF( $C372="", "", _xll.IMDP("IDX",$C372,G$6,$D$4,"Fill=true, Per="&amp;filter!$R$1) )</f>
        <v>0.95</v>
      </c>
      <c r="H372" s="43">
        <f t="array" aca="1" ref="H372" ca="1">IF( $C372="", "", _xll.IMDP("IDX",$C372,H$6,$D$4,"Fill=true, Per="&amp;filter!$R$1) )</f>
        <v>0</v>
      </c>
      <c r="I372" s="43">
        <f t="array" aca="1" ref="I372" ca="1">IF( $C372="", "", _xll.IMDP("IDX",$C372,I$6,$D$4,"Fill=true, Per="&amp;filter!$R$1) )</f>
        <v>0</v>
      </c>
      <c r="J372" s="34">
        <f t="array" aca="1" ref="J372" ca="1">IF( $C372="", "", _xll.IMDP("IDX",$C372,J$6,$D$4,"Fill=true, Per="&amp;filter!$R$1) )</f>
        <v>1144.9000000000001</v>
      </c>
      <c r="K372" s="38">
        <f t="array" aca="1" ref="K372" ca="1">IF( $C372="", "", _xll.IMDP("IDX",$C372,K$6,$D$4,"Fill=true, Per="&amp;filter!$R$1) )</f>
        <v>1160.02</v>
      </c>
      <c r="L372" s="39">
        <f t="array" aca="1" ref="L372" ca="1">IF( $C372="", "", _xll.IMDP("IDX",$C372,L$6,$D$4,"Fill=true, Per="&amp;filter!$R$1) )</f>
        <v>0</v>
      </c>
      <c r="M372" s="50" t="str">
        <f t="array" aca="1" ref="M372" ca="1">IF( $C372="", "", _xll.IMDP("IDX",$C372,M$6,$D$4,"Fill=true, Per="&amp;filter!$R$1) )</f>
        <v/>
      </c>
      <c r="N372" s="51" t="str">
        <f t="array" aca="1" ref="N372" ca="1">IF( $C372="", "", _xll.IMDP("IDX",$C372,N$6,$D$4,"Fill=true, Per="&amp;filter!$R$1) )</f>
        <v/>
      </c>
      <c r="O372" s="52" t="str">
        <f t="array" aca="1" ref="O372" ca="1">IF( $C372="", "", _xll.IMDP("IDX",$C372,O$6,$D$4,"Fill=true, Per="&amp;filter!$R$1) )</f>
        <v/>
      </c>
    </row>
    <row r="373" spans="2:15">
      <c r="B373" s="21">
        <f t="shared" si="5"/>
        <v>365</v>
      </c>
      <c r="C373" s="17" t="str">
        <f>IFERROR( VLOOKUP(ROWS($B$8:B372), filter!$I:$J, 2, 0), "")</f>
        <v>K2S11T</v>
      </c>
      <c r="D373" s="16" t="str" cm="1">
        <f t="array" ref="D373">IF( $C373="", "", _xll.IMDP("IDX", $C373, D$6) )</f>
        <v>코스피200 커뮤니케이션서비스 T</v>
      </c>
      <c r="E373" s="34">
        <f t="array" aca="1" ref="E373" ca="1">IF( $C373="", "", _xll.IMDP("IDX",$C373,E$6,$D$4,"Fill=true, Per="&amp;filter!$R$1) )</f>
        <v>2153.8200000000002</v>
      </c>
      <c r="F373" s="38">
        <f t="array" aca="1" ref="F373" ca="1">IF( $C373="", "", _xll.IMDP("IDX",$C373,F$6,$D$4,"Fill=true, Per="&amp;filter!$R$1) )</f>
        <v>-13.239999999999782</v>
      </c>
      <c r="G373" s="39">
        <f t="array" aca="1" ref="G373" ca="1">IF( $C373="", "", _xll.IMDP("IDX",$C373,G$6,$D$4,"Fill=true, Per="&amp;filter!$R$1) )</f>
        <v>-0.61</v>
      </c>
      <c r="H373" s="43">
        <f t="array" aca="1" ref="H373" ca="1">IF( $C373="", "", _xll.IMDP("IDX",$C373,H$6,$D$4,"Fill=true, Per="&amp;filter!$R$1) )</f>
        <v>0</v>
      </c>
      <c r="I373" s="43">
        <f t="array" aca="1" ref="I373" ca="1">IF( $C373="", "", _xll.IMDP("IDX",$C373,I$6,$D$4,"Fill=true, Per="&amp;filter!$R$1) )</f>
        <v>0</v>
      </c>
      <c r="J373" s="34">
        <f t="array" aca="1" ref="J373" ca="1">IF( $C373="", "", _xll.IMDP("IDX",$C373,J$6,$D$4,"Fill=true, Per="&amp;filter!$R$1) )</f>
        <v>2167.19</v>
      </c>
      <c r="K373" s="38">
        <f t="array" aca="1" ref="K373" ca="1">IF( $C373="", "", _xll.IMDP("IDX",$C373,K$6,$D$4,"Fill=true, Per="&amp;filter!$R$1) )</f>
        <v>2174.23</v>
      </c>
      <c r="L373" s="39">
        <f t="array" aca="1" ref="L373" ca="1">IF( $C373="", "", _xll.IMDP("IDX",$C373,L$6,$D$4,"Fill=true, Per="&amp;filter!$R$1) )</f>
        <v>0</v>
      </c>
      <c r="M373" s="50" t="str">
        <f t="array" aca="1" ref="M373" ca="1">IF( $C373="", "", _xll.IMDP("IDX",$C373,M$6,$D$4,"Fill=true, Per="&amp;filter!$R$1) )</f>
        <v/>
      </c>
      <c r="N373" s="51" t="str">
        <f t="array" aca="1" ref="N373" ca="1">IF( $C373="", "", _xll.IMDP("IDX",$C373,N$6,$D$4,"Fill=true, Per="&amp;filter!$R$1) )</f>
        <v/>
      </c>
      <c r="O373" s="52" t="str">
        <f t="array" aca="1" ref="O373" ca="1">IF( $C373="", "", _xll.IMDP("IDX",$C373,O$6,$D$4,"Fill=true, Per="&amp;filter!$R$1) )</f>
        <v/>
      </c>
    </row>
    <row r="374" spans="2:15">
      <c r="B374" s="21">
        <f t="shared" si="5"/>
        <v>366</v>
      </c>
      <c r="C374" s="17" t="str">
        <f>IFERROR( VLOOKUP(ROWS($B$8:B373), filter!$I:$J, 2, 0), "")</f>
        <v>K2T01P</v>
      </c>
      <c r="D374" s="16" t="str" cm="1">
        <f t="array" ref="D374">IF( $C374="", "", _xll.IMDP("IDX", $C374, D$6) )</f>
        <v>코스피 200 경기방어소비재</v>
      </c>
      <c r="E374" s="34">
        <f t="array" aca="1" ref="E374" ca="1">IF( $C374="", "", _xll.IMDP("IDX",$C374,E$6,$D$4,"Fill=true, Per="&amp;filter!$R$1) )</f>
        <v>1016.44</v>
      </c>
      <c r="F374" s="38">
        <f t="array" aca="1" ref="F374" ca="1">IF( $C374="", "", _xll.IMDP("IDX",$C374,F$6,$D$4,"Fill=true, Per="&amp;filter!$R$1) )</f>
        <v>-1.8199999999999363</v>
      </c>
      <c r="G374" s="39">
        <f t="array" aca="1" ref="G374" ca="1">IF( $C374="", "", _xll.IMDP("IDX",$C374,G$6,$D$4,"Fill=true, Per="&amp;filter!$R$1) )</f>
        <v>-0.18</v>
      </c>
      <c r="H374" s="43">
        <f t="array" aca="1" ref="H374" ca="1">IF( $C374="", "", _xll.IMDP("IDX",$C374,H$6,$D$4,"Fill=true, Per="&amp;filter!$R$1) )</f>
        <v>33383</v>
      </c>
      <c r="I374" s="43">
        <f t="array" aca="1" ref="I374" ca="1">IF( $C374="", "", _xll.IMDP("IDX",$C374,I$6,$D$4,"Fill=true, Per="&amp;filter!$R$1) )</f>
        <v>3061124</v>
      </c>
      <c r="J374" s="34">
        <f t="array" aca="1" ref="J374" ca="1">IF( $C374="", "", _xll.IMDP("IDX",$C374,J$6,$D$4,"Fill=true, Per="&amp;filter!$R$1) )</f>
        <v>1023.44</v>
      </c>
      <c r="K374" s="38">
        <f t="array" aca="1" ref="K374" ca="1">IF( $C374="", "", _xll.IMDP("IDX",$C374,K$6,$D$4,"Fill=true, Per="&amp;filter!$R$1) )</f>
        <v>1025.3</v>
      </c>
      <c r="L374" s="39">
        <f t="array" aca="1" ref="L374" ca="1">IF( $C374="", "", _xll.IMDP("IDX",$C374,L$6,$D$4,"Fill=true, Per="&amp;filter!$R$1) )</f>
        <v>0</v>
      </c>
      <c r="M374" s="50" t="str">
        <f t="array" aca="1" ref="M374" ca="1">IF( $C374="", "", _xll.IMDP("IDX",$C374,M$6,$D$4,"Fill=true, Per="&amp;filter!$R$1) )</f>
        <v/>
      </c>
      <c r="N374" s="51" t="str">
        <f t="array" aca="1" ref="N374" ca="1">IF( $C374="", "", _xll.IMDP("IDX",$C374,N$6,$D$4,"Fill=true, Per="&amp;filter!$R$1) )</f>
        <v/>
      </c>
      <c r="O374" s="52" t="str">
        <f t="array" aca="1" ref="O374" ca="1">IF( $C374="", "", _xll.IMDP("IDX",$C374,O$6,$D$4,"Fill=true, Per="&amp;filter!$R$1) )</f>
        <v/>
      </c>
    </row>
    <row r="375" spans="2:15">
      <c r="B375" s="21">
        <f t="shared" si="5"/>
        <v>367</v>
      </c>
      <c r="C375" s="17" t="str">
        <f>IFERROR( VLOOKUP(ROWS($B$8:B374), filter!$I:$J, 2, 0), "")</f>
        <v>K2V01P</v>
      </c>
      <c r="D375" s="16" t="str" cm="1">
        <f t="array" ref="D375">IF( $C375="", "", _xll.IMDP("IDX", $C375, D$6) )</f>
        <v>코스피200리스크컨트롤 6%지수</v>
      </c>
      <c r="E375" s="34">
        <f t="array" aca="1" ref="E375" ca="1">IF( $C375="", "", _xll.IMDP("IDX",$C375,E$6,$D$4,"Fill=true, Per="&amp;filter!$R$1) )</f>
        <v>1606.33</v>
      </c>
      <c r="F375" s="38">
        <f t="array" aca="1" ref="F375" ca="1">IF( $C375="", "", _xll.IMDP("IDX",$C375,F$6,$D$4,"Fill=true, Per="&amp;filter!$R$1) )</f>
        <v>-1.0399999999999636</v>
      </c>
      <c r="G375" s="39">
        <f t="array" aca="1" ref="G375" ca="1">IF( $C375="", "", _xll.IMDP("IDX",$C375,G$6,$D$4,"Fill=true, Per="&amp;filter!$R$1) )</f>
        <v>-0.06</v>
      </c>
      <c r="H375" s="43">
        <f t="array" aca="1" ref="H375" ca="1">IF( $C375="", "", _xll.IMDP("IDX",$C375,H$6,$D$4,"Fill=true, Per="&amp;filter!$R$1) )</f>
        <v>0</v>
      </c>
      <c r="I375" s="43">
        <f t="array" aca="1" ref="I375" ca="1">IF( $C375="", "", _xll.IMDP("IDX",$C375,I$6,$D$4,"Fill=true, Per="&amp;filter!$R$1) )</f>
        <v>0</v>
      </c>
      <c r="J375" s="34">
        <f t="array" aca="1" ref="J375" ca="1">IF( $C375="", "", _xll.IMDP("IDX",$C375,J$6,$D$4,"Fill=true, Per="&amp;filter!$R$1) )</f>
        <v>1608.3</v>
      </c>
      <c r="K375" s="38">
        <f t="array" aca="1" ref="K375" ca="1">IF( $C375="", "", _xll.IMDP("IDX",$C375,K$6,$D$4,"Fill=true, Per="&amp;filter!$R$1) )</f>
        <v>1609.25</v>
      </c>
      <c r="L375" s="39">
        <f t="array" aca="1" ref="L375" ca="1">IF( $C375="", "", _xll.IMDP("IDX",$C375,L$6,$D$4,"Fill=true, Per="&amp;filter!$R$1) )</f>
        <v>0</v>
      </c>
      <c r="M375" s="50" t="str">
        <f t="array" aca="1" ref="M375" ca="1">IF( $C375="", "", _xll.IMDP("IDX",$C375,M$6,$D$4,"Fill=true, Per="&amp;filter!$R$1) )</f>
        <v/>
      </c>
      <c r="N375" s="51" t="str">
        <f t="array" aca="1" ref="N375" ca="1">IF( $C375="", "", _xll.IMDP("IDX",$C375,N$6,$D$4,"Fill=true, Per="&amp;filter!$R$1) )</f>
        <v/>
      </c>
      <c r="O375" s="52" t="str">
        <f t="array" aca="1" ref="O375" ca="1">IF( $C375="", "", _xll.IMDP("IDX",$C375,O$6,$D$4,"Fill=true, Per="&amp;filter!$R$1) )</f>
        <v/>
      </c>
    </row>
    <row r="376" spans="2:15">
      <c r="B376" s="21">
        <f t="shared" si="5"/>
        <v>368</v>
      </c>
      <c r="C376" s="17" t="str">
        <f>IFERROR( VLOOKUP(ROWS($B$8:B375), filter!$I:$J, 2, 0), "")</f>
        <v>K2V02P</v>
      </c>
      <c r="D376" s="16" t="str" cm="1">
        <f t="array" ref="D376">IF( $C376="", "", _xll.IMDP("IDX", $C376, D$6) )</f>
        <v>코스피200리스크컨트롤 8%지수</v>
      </c>
      <c r="E376" s="34">
        <f t="array" aca="1" ref="E376" ca="1">IF( $C376="", "", _xll.IMDP("IDX",$C376,E$6,$D$4,"Fill=true, Per="&amp;filter!$R$1) )</f>
        <v>1572.6</v>
      </c>
      <c r="F376" s="38">
        <f t="array" aca="1" ref="F376" ca="1">IF( $C376="", "", _xll.IMDP("IDX",$C376,F$6,$D$4,"Fill=true, Per="&amp;filter!$R$1) )</f>
        <v>-1.5300000000002001</v>
      </c>
      <c r="G376" s="39">
        <f t="array" aca="1" ref="G376" ca="1">IF( $C376="", "", _xll.IMDP("IDX",$C376,G$6,$D$4,"Fill=true, Per="&amp;filter!$R$1) )</f>
        <v>-0.1</v>
      </c>
      <c r="H376" s="43">
        <f t="array" aca="1" ref="H376" ca="1">IF( $C376="", "", _xll.IMDP("IDX",$C376,H$6,$D$4,"Fill=true, Per="&amp;filter!$R$1) )</f>
        <v>0</v>
      </c>
      <c r="I376" s="43">
        <f t="array" aca="1" ref="I376" ca="1">IF( $C376="", "", _xll.IMDP("IDX",$C376,I$6,$D$4,"Fill=true, Per="&amp;filter!$R$1) )</f>
        <v>0</v>
      </c>
      <c r="J376" s="34">
        <f t="array" aca="1" ref="J376" ca="1">IF( $C376="", "", _xll.IMDP("IDX",$C376,J$6,$D$4,"Fill=true, Per="&amp;filter!$R$1) )</f>
        <v>1575.18</v>
      </c>
      <c r="K376" s="38">
        <f t="array" aca="1" ref="K376" ca="1">IF( $C376="", "", _xll.IMDP("IDX",$C376,K$6,$D$4,"Fill=true, Per="&amp;filter!$R$1) )</f>
        <v>1576.35</v>
      </c>
      <c r="L376" s="39">
        <f t="array" aca="1" ref="L376" ca="1">IF( $C376="", "", _xll.IMDP("IDX",$C376,L$6,$D$4,"Fill=true, Per="&amp;filter!$R$1) )</f>
        <v>0</v>
      </c>
      <c r="M376" s="50" t="str">
        <f t="array" aca="1" ref="M376" ca="1">IF( $C376="", "", _xll.IMDP("IDX",$C376,M$6,$D$4,"Fill=true, Per="&amp;filter!$R$1) )</f>
        <v/>
      </c>
      <c r="N376" s="51" t="str">
        <f t="array" aca="1" ref="N376" ca="1">IF( $C376="", "", _xll.IMDP("IDX",$C376,N$6,$D$4,"Fill=true, Per="&amp;filter!$R$1) )</f>
        <v/>
      </c>
      <c r="O376" s="52" t="str">
        <f t="array" aca="1" ref="O376" ca="1">IF( $C376="", "", _xll.IMDP("IDX",$C376,O$6,$D$4,"Fill=true, Per="&amp;filter!$R$1) )</f>
        <v/>
      </c>
    </row>
    <row r="377" spans="2:15">
      <c r="B377" s="21">
        <f t="shared" si="5"/>
        <v>369</v>
      </c>
      <c r="C377" s="17" t="str">
        <f>IFERROR( VLOOKUP(ROWS($B$8:B376), filter!$I:$J, 2, 0), "")</f>
        <v>K2V03P</v>
      </c>
      <c r="D377" s="16" t="str" cm="1">
        <f t="array" ref="D377">IF( $C377="", "", _xll.IMDP("IDX", $C377, D$6) )</f>
        <v>코스피200리스크컨트롤 10%지수</v>
      </c>
      <c r="E377" s="34">
        <f t="array" aca="1" ref="E377" ca="1">IF( $C377="", "", _xll.IMDP("IDX",$C377,E$6,$D$4,"Fill=true, Per="&amp;filter!$R$1) )</f>
        <v>1525.14</v>
      </c>
      <c r="F377" s="38">
        <f t="array" aca="1" ref="F377" ca="1">IF( $C377="", "", _xll.IMDP("IDX",$C377,F$6,$D$4,"Fill=true, Per="&amp;filter!$R$1) )</f>
        <v>-2.0899999999999181</v>
      </c>
      <c r="G377" s="39">
        <f t="array" aca="1" ref="G377" ca="1">IF( $C377="", "", _xll.IMDP("IDX",$C377,G$6,$D$4,"Fill=true, Per="&amp;filter!$R$1) )</f>
        <v>-0.14000000000000001</v>
      </c>
      <c r="H377" s="43">
        <f t="array" aca="1" ref="H377" ca="1">IF( $C377="", "", _xll.IMDP("IDX",$C377,H$6,$D$4,"Fill=true, Per="&amp;filter!$R$1) )</f>
        <v>0</v>
      </c>
      <c r="I377" s="43">
        <f t="array" aca="1" ref="I377" ca="1">IF( $C377="", "", _xll.IMDP("IDX",$C377,I$6,$D$4,"Fill=true, Per="&amp;filter!$R$1) )</f>
        <v>0</v>
      </c>
      <c r="J377" s="34">
        <f t="array" aca="1" ref="J377" ca="1">IF( $C377="", "", _xll.IMDP("IDX",$C377,J$6,$D$4,"Fill=true, Per="&amp;filter!$R$1) )</f>
        <v>1528.42</v>
      </c>
      <c r="K377" s="38">
        <f t="array" aca="1" ref="K377" ca="1">IF( $C377="", "", _xll.IMDP("IDX",$C377,K$6,$D$4,"Fill=true, Per="&amp;filter!$R$1) )</f>
        <v>1529.85</v>
      </c>
      <c r="L377" s="39">
        <f t="array" aca="1" ref="L377" ca="1">IF( $C377="", "", _xll.IMDP("IDX",$C377,L$6,$D$4,"Fill=true, Per="&amp;filter!$R$1) )</f>
        <v>0</v>
      </c>
      <c r="M377" s="50" t="str">
        <f t="array" aca="1" ref="M377" ca="1">IF( $C377="", "", _xll.IMDP("IDX",$C377,M$6,$D$4,"Fill=true, Per="&amp;filter!$R$1) )</f>
        <v/>
      </c>
      <c r="N377" s="51" t="str">
        <f t="array" aca="1" ref="N377" ca="1">IF( $C377="", "", _xll.IMDP("IDX",$C377,N$6,$D$4,"Fill=true, Per="&amp;filter!$R$1) )</f>
        <v/>
      </c>
      <c r="O377" s="52" t="str">
        <f t="array" aca="1" ref="O377" ca="1">IF( $C377="", "", _xll.IMDP("IDX",$C377,O$6,$D$4,"Fill=true, Per="&amp;filter!$R$1) )</f>
        <v/>
      </c>
    </row>
    <row r="378" spans="2:15">
      <c r="B378" s="21">
        <f t="shared" si="5"/>
        <v>370</v>
      </c>
      <c r="C378" s="17" t="str">
        <f>IFERROR( VLOOKUP(ROWS($B$8:B377), filter!$I:$J, 2, 0), "")</f>
        <v>K2V04P</v>
      </c>
      <c r="D378" s="16" t="str" cm="1">
        <f t="array" ref="D378">IF( $C378="", "", _xll.IMDP("IDX", $C378, D$6) )</f>
        <v>코스피200리스크컨트롤 12%지수</v>
      </c>
      <c r="E378" s="34">
        <f t="array" aca="1" ref="E378" ca="1">IF( $C378="", "", _xll.IMDP("IDX",$C378,E$6,$D$4,"Fill=true, Per="&amp;filter!$R$1) )</f>
        <v>1473.55</v>
      </c>
      <c r="F378" s="38">
        <f t="array" aca="1" ref="F378" ca="1">IF( $C378="", "", _xll.IMDP("IDX",$C378,F$6,$D$4,"Fill=true, Per="&amp;filter!$R$1) )</f>
        <v>-2.4900000000000091</v>
      </c>
      <c r="G378" s="39">
        <f t="array" aca="1" ref="G378" ca="1">IF( $C378="", "", _xll.IMDP("IDX",$C378,G$6,$D$4,"Fill=true, Per="&amp;filter!$R$1) )</f>
        <v>-0.17</v>
      </c>
      <c r="H378" s="43">
        <f t="array" aca="1" ref="H378" ca="1">IF( $C378="", "", _xll.IMDP("IDX",$C378,H$6,$D$4,"Fill=true, Per="&amp;filter!$R$1) )</f>
        <v>0</v>
      </c>
      <c r="I378" s="43">
        <f t="array" aca="1" ref="I378" ca="1">IF( $C378="", "", _xll.IMDP("IDX",$C378,I$6,$D$4,"Fill=true, Per="&amp;filter!$R$1) )</f>
        <v>0</v>
      </c>
      <c r="J378" s="34">
        <f t="array" aca="1" ref="J378" ca="1">IF( $C378="", "", _xll.IMDP("IDX",$C378,J$6,$D$4,"Fill=true, Per="&amp;filter!$R$1) )</f>
        <v>1477.32</v>
      </c>
      <c r="K378" s="38">
        <f t="array" aca="1" ref="K378" ca="1">IF( $C378="", "", _xll.IMDP("IDX",$C378,K$6,$D$4,"Fill=true, Per="&amp;filter!$R$1) )</f>
        <v>1478.92</v>
      </c>
      <c r="L378" s="39">
        <f t="array" aca="1" ref="L378" ca="1">IF( $C378="", "", _xll.IMDP("IDX",$C378,L$6,$D$4,"Fill=true, Per="&amp;filter!$R$1) )</f>
        <v>0</v>
      </c>
      <c r="M378" s="50" t="str">
        <f t="array" aca="1" ref="M378" ca="1">IF( $C378="", "", _xll.IMDP("IDX",$C378,M$6,$D$4,"Fill=true, Per="&amp;filter!$R$1) )</f>
        <v/>
      </c>
      <c r="N378" s="51" t="str">
        <f t="array" aca="1" ref="N378" ca="1">IF( $C378="", "", _xll.IMDP("IDX",$C378,N$6,$D$4,"Fill=true, Per="&amp;filter!$R$1) )</f>
        <v/>
      </c>
      <c r="O378" s="52" t="str">
        <f t="array" aca="1" ref="O378" ca="1">IF( $C378="", "", _xll.IMDP("IDX",$C378,O$6,$D$4,"Fill=true, Per="&amp;filter!$R$1) )</f>
        <v/>
      </c>
    </row>
    <row r="379" spans="2:15">
      <c r="B379" s="21">
        <f t="shared" si="5"/>
        <v>371</v>
      </c>
      <c r="C379" s="17" t="str">
        <f>IFERROR( VLOOKUP(ROWS($B$8:B378), filter!$I:$J, 2, 0), "")</f>
        <v>F2901P</v>
      </c>
      <c r="D379" s="16" t="str" cm="1">
        <f t="array" ref="D379">IF( $C379="", "", _xll.IMDP("IDX", $C379, D$6) )</f>
        <v>코스피 200 선물지수 TWAP형</v>
      </c>
      <c r="E379" s="34">
        <f t="array" aca="1" ref="E379" ca="1">IF( $C379="", "", _xll.IMDP("IDX",$C379,E$6,$D$4,"Fill=true, Per="&amp;filter!$R$1) )</f>
        <v>1785.97</v>
      </c>
      <c r="F379" s="38">
        <f t="array" aca="1" ref="F379" ca="1">IF( $C379="", "", _xll.IMDP("IDX",$C379,F$6,$D$4,"Fill=true, Per="&amp;filter!$R$1) )</f>
        <v>-17.649999999999864</v>
      </c>
      <c r="G379" s="39">
        <f t="array" aca="1" ref="G379" ca="1">IF( $C379="", "", _xll.IMDP("IDX",$C379,G$6,$D$4,"Fill=true, Per="&amp;filter!$R$1) )</f>
        <v>-0.98</v>
      </c>
      <c r="H379" s="43">
        <f t="array" aca="1" ref="H379" ca="1">IF( $C379="", "", _xll.IMDP("IDX",$C379,H$6,$D$4,"Fill=true, Per="&amp;filter!$R$1) )</f>
        <v>0</v>
      </c>
      <c r="I379" s="43">
        <f t="array" aca="1" ref="I379" ca="1">IF( $C379="", "", _xll.IMDP("IDX",$C379,I$6,$D$4,"Fill=true, Per="&amp;filter!$R$1) )</f>
        <v>0</v>
      </c>
      <c r="J379" s="34">
        <f t="array" aca="1" ref="J379" ca="1">IF( $C379="", "", _xll.IMDP("IDX",$C379,J$6,$D$4,"Fill=true, Per="&amp;filter!$R$1) )</f>
        <v>1803.12</v>
      </c>
      <c r="K379" s="38">
        <f t="array" aca="1" ref="K379" ca="1">IF( $C379="", "", _xll.IMDP("IDX",$C379,K$6,$D$4,"Fill=true, Per="&amp;filter!$R$1) )</f>
        <v>1809.58</v>
      </c>
      <c r="L379" s="39">
        <f t="array" aca="1" ref="L379" ca="1">IF( $C379="", "", _xll.IMDP("IDX",$C379,L$6,$D$4,"Fill=true, Per="&amp;filter!$R$1) )</f>
        <v>0</v>
      </c>
      <c r="M379" s="50" t="str">
        <f t="array" aca="1" ref="M379" ca="1">IF( $C379="", "", _xll.IMDP("IDX",$C379,M$6,$D$4,"Fill=true, Per="&amp;filter!$R$1) )</f>
        <v/>
      </c>
      <c r="N379" s="51" t="str">
        <f t="array" aca="1" ref="N379" ca="1">IF( $C379="", "", _xll.IMDP("IDX",$C379,N$6,$D$4,"Fill=true, Per="&amp;filter!$R$1) )</f>
        <v/>
      </c>
      <c r="O379" s="52" t="str">
        <f t="array" aca="1" ref="O379" ca="1">IF( $C379="", "", _xll.IMDP("IDX",$C379,O$6,$D$4,"Fill=true, Per="&amp;filter!$R$1) )</f>
        <v/>
      </c>
    </row>
    <row r="380" spans="2:15">
      <c r="B380" s="21">
        <f t="shared" si="5"/>
        <v>372</v>
      </c>
      <c r="C380" s="17" t="str">
        <f>IFERROR( VLOOKUP(ROWS($B$8:B379), filter!$I:$J, 2, 0), "")</f>
        <v>K2X11P</v>
      </c>
      <c r="D380" s="16" t="str" cm="1">
        <f t="array" ref="D380">IF( $C380="", "", _xll.IMDP("IDX", $C380, D$6) )</f>
        <v>코스피 200 Top 10 레버리지 지?</v>
      </c>
      <c r="E380" s="34">
        <f t="array" aca="1" ref="E380" ca="1">IF( $C380="", "", _xll.IMDP("IDX",$C380,E$6,$D$4,"Fill=true, Per="&amp;filter!$R$1) )</f>
        <v>1010.92</v>
      </c>
      <c r="F380" s="38">
        <f t="array" aca="1" ref="F380" ca="1">IF( $C380="", "", _xll.IMDP("IDX",$C380,F$6,$D$4,"Fill=true, Per="&amp;filter!$R$1) )</f>
        <v>-17.740000000000123</v>
      </c>
      <c r="G380" s="39">
        <f t="array" aca="1" ref="G380" ca="1">IF( $C380="", "", _xll.IMDP("IDX",$C380,G$6,$D$4,"Fill=true, Per="&amp;filter!$R$1) )</f>
        <v>-1.72</v>
      </c>
      <c r="H380" s="43">
        <f t="array" aca="1" ref="H380" ca="1">IF( $C380="", "", _xll.IMDP("IDX",$C380,H$6,$D$4,"Fill=true, Per="&amp;filter!$R$1) )</f>
        <v>0</v>
      </c>
      <c r="I380" s="43">
        <f t="array" aca="1" ref="I380" ca="1">IF( $C380="", "", _xll.IMDP("IDX",$C380,I$6,$D$4,"Fill=true, Per="&amp;filter!$R$1) )</f>
        <v>0</v>
      </c>
      <c r="J380" s="34">
        <f t="array" aca="1" ref="J380" ca="1">IF( $C380="", "", _xll.IMDP("IDX",$C380,J$6,$D$4,"Fill=true, Per="&amp;filter!$R$1) )</f>
        <v>1041.67</v>
      </c>
      <c r="K380" s="38">
        <f t="array" aca="1" ref="K380" ca="1">IF( $C380="", "", _xll.IMDP("IDX",$C380,K$6,$D$4,"Fill=true, Per="&amp;filter!$R$1) )</f>
        <v>1050.8800000000001</v>
      </c>
      <c r="L380" s="39">
        <f t="array" aca="1" ref="L380" ca="1">IF( $C380="", "", _xll.IMDP("IDX",$C380,L$6,$D$4,"Fill=true, Per="&amp;filter!$R$1) )</f>
        <v>0</v>
      </c>
      <c r="M380" s="50" t="str">
        <f t="array" aca="1" ref="M380" ca="1">IF( $C380="", "", _xll.IMDP("IDX",$C380,M$6,$D$4,"Fill=true, Per="&amp;filter!$R$1) )</f>
        <v/>
      </c>
      <c r="N380" s="51" t="str">
        <f t="array" aca="1" ref="N380" ca="1">IF( $C380="", "", _xll.IMDP("IDX",$C380,N$6,$D$4,"Fill=true, Per="&amp;filter!$R$1) )</f>
        <v/>
      </c>
      <c r="O380" s="52" t="str">
        <f t="array" aca="1" ref="O380" ca="1">IF( $C380="", "", _xll.IMDP("IDX",$C380,O$6,$D$4,"Fill=true, Per="&amp;filter!$R$1) )</f>
        <v/>
      </c>
    </row>
    <row r="381" spans="2:15">
      <c r="B381" s="21">
        <f t="shared" si="5"/>
        <v>373</v>
      </c>
      <c r="C381" s="17" t="str">
        <f>IFERROR( VLOOKUP(ROWS($B$8:B380), filter!$I:$J, 2, 0), "")</f>
        <v>K2X12N</v>
      </c>
      <c r="D381" s="16" t="str" cm="1">
        <f t="array" ref="D381">IF( $C381="", "", _xll.IMDP("IDX", $C381, D$6) )</f>
        <v>코스피 200 NTR 월간 레버리지 ?</v>
      </c>
      <c r="E381" s="34">
        <f t="array" aca="1" ref="E381" ca="1">IF( $C381="", "", _xll.IMDP("IDX",$C381,E$6,$D$4,"Fill=true, Per="&amp;filter!$R$1) )</f>
        <v>1832.42</v>
      </c>
      <c r="F381" s="38">
        <f t="array" aca="1" ref="F381" ca="1">IF( $C381="", "", _xll.IMDP("IDX",$C381,F$6,$D$4,"Fill=true, Per="&amp;filter!$R$1) )</f>
        <v>-28.1099999999999</v>
      </c>
      <c r="G381" s="39">
        <f t="array" aca="1" ref="G381" ca="1">IF( $C381="", "", _xll.IMDP("IDX",$C381,G$6,$D$4,"Fill=true, Per="&amp;filter!$R$1) )</f>
        <v>-1.51</v>
      </c>
      <c r="H381" s="43">
        <f t="array" aca="1" ref="H381" ca="1">IF( $C381="", "", _xll.IMDP("IDX",$C381,H$6,$D$4,"Fill=true, Per="&amp;filter!$R$1) )</f>
        <v>0</v>
      </c>
      <c r="I381" s="43">
        <f t="array" aca="1" ref="I381" ca="1">IF( $C381="", "", _xll.IMDP("IDX",$C381,I$6,$D$4,"Fill=true, Per="&amp;filter!$R$1) )</f>
        <v>0</v>
      </c>
      <c r="J381" s="34">
        <f t="array" aca="1" ref="J381" ca="1">IF( $C381="", "", _xll.IMDP("IDX",$C381,J$6,$D$4,"Fill=true, Per="&amp;filter!$R$1) )</f>
        <v>1870.17</v>
      </c>
      <c r="K381" s="38">
        <f t="array" aca="1" ref="K381" ca="1">IF( $C381="", "", _xll.IMDP("IDX",$C381,K$6,$D$4,"Fill=true, Per="&amp;filter!$R$1) )</f>
        <v>1882.64</v>
      </c>
      <c r="L381" s="39">
        <f t="array" aca="1" ref="L381" ca="1">IF( $C381="", "", _xll.IMDP("IDX",$C381,L$6,$D$4,"Fill=true, Per="&amp;filter!$R$1) )</f>
        <v>0</v>
      </c>
      <c r="M381" s="50" t="str">
        <f t="array" aca="1" ref="M381" ca="1">IF( $C381="", "", _xll.IMDP("IDX",$C381,M$6,$D$4,"Fill=true, Per="&amp;filter!$R$1) )</f>
        <v/>
      </c>
      <c r="N381" s="51" t="str">
        <f t="array" aca="1" ref="N381" ca="1">IF( $C381="", "", _xll.IMDP("IDX",$C381,N$6,$D$4,"Fill=true, Per="&amp;filter!$R$1) )</f>
        <v/>
      </c>
      <c r="O381" s="52" t="str">
        <f t="array" aca="1" ref="O381" ca="1">IF( $C381="", "", _xll.IMDP("IDX",$C381,O$6,$D$4,"Fill=true, Per="&amp;filter!$R$1) )</f>
        <v/>
      </c>
    </row>
    <row r="382" spans="2:15">
      <c r="B382" s="21">
        <f t="shared" si="5"/>
        <v>374</v>
      </c>
      <c r="C382" s="17" t="str">
        <f>IFERROR( VLOOKUP(ROWS($B$8:B381), filter!$I:$J, 2, 0), "")</f>
        <v>K2Z01P</v>
      </c>
      <c r="D382" s="16" t="str" cm="1">
        <f t="array" ref="D382">IF( $C382="", "", _xll.IMDP("IDX", $C382, D$6) )</f>
        <v>코스피 200 중소형주지수</v>
      </c>
      <c r="E382" s="34">
        <f t="array" aca="1" ref="E382" ca="1">IF( $C382="", "", _xll.IMDP("IDX",$C382,E$6,$D$4,"Fill=true, Per="&amp;filter!$R$1) )</f>
        <v>1309.1500000000001</v>
      </c>
      <c r="F382" s="38">
        <f t="array" aca="1" ref="F382" ca="1">IF( $C382="", "", _xll.IMDP("IDX",$C382,F$6,$D$4,"Fill=true, Per="&amp;filter!$R$1) )</f>
        <v>-6.5499999999999545</v>
      </c>
      <c r="G382" s="39">
        <f t="array" aca="1" ref="G382" ca="1">IF( $C382="", "", _xll.IMDP("IDX",$C382,G$6,$D$4,"Fill=true, Per="&amp;filter!$R$1) )</f>
        <v>-0.5</v>
      </c>
      <c r="H382" s="43">
        <f t="array" aca="1" ref="H382" ca="1">IF( $C382="", "", _xll.IMDP("IDX",$C382,H$6,$D$4,"Fill=true, Per="&amp;filter!$R$1) )</f>
        <v>52155</v>
      </c>
      <c r="I382" s="43">
        <f t="array" aca="1" ref="I382" ca="1">IF( $C382="", "", _xll.IMDP("IDX",$C382,I$6,$D$4,"Fill=true, Per="&amp;filter!$R$1) )</f>
        <v>2178114</v>
      </c>
      <c r="J382" s="34">
        <f t="array" aca="1" ref="J382" ca="1">IF( $C382="", "", _xll.IMDP("IDX",$C382,J$6,$D$4,"Fill=true, Per="&amp;filter!$R$1) )</f>
        <v>1318.62</v>
      </c>
      <c r="K382" s="38">
        <f t="array" aca="1" ref="K382" ca="1">IF( $C382="", "", _xll.IMDP("IDX",$C382,K$6,$D$4,"Fill=true, Per="&amp;filter!$R$1) )</f>
        <v>1318.62</v>
      </c>
      <c r="L382" s="39">
        <f t="array" aca="1" ref="L382" ca="1">IF( $C382="", "", _xll.IMDP("IDX",$C382,L$6,$D$4,"Fill=true, Per="&amp;filter!$R$1) )</f>
        <v>0</v>
      </c>
      <c r="M382" s="50" t="str">
        <f t="array" aca="1" ref="M382" ca="1">IF( $C382="", "", _xll.IMDP("IDX",$C382,M$6,$D$4,"Fill=true, Per="&amp;filter!$R$1) )</f>
        <v/>
      </c>
      <c r="N382" s="51" t="str">
        <f t="array" aca="1" ref="N382" ca="1">IF( $C382="", "", _xll.IMDP("IDX",$C382,N$6,$D$4,"Fill=true, Per="&amp;filter!$R$1) )</f>
        <v/>
      </c>
      <c r="O382" s="52" t="str">
        <f t="array" aca="1" ref="O382" ca="1">IF( $C382="", "", _xll.IMDP("IDX",$C382,O$6,$D$4,"Fill=true, Per="&amp;filter!$R$1) )</f>
        <v/>
      </c>
    </row>
    <row r="383" spans="2:15">
      <c r="B383" s="21">
        <f t="shared" si="5"/>
        <v>375</v>
      </c>
      <c r="C383" s="17" t="str">
        <f>IFERROR( VLOOKUP(ROWS($B$8:B382), filter!$I:$J, 2, 0), "")</f>
        <v>KGA01P</v>
      </c>
      <c r="D383" s="16" t="str" cm="1">
        <f t="array" ref="D383">IF( $C383="", "", _xll.IMDP("IDX", $C383, D$6) )</f>
        <v>코스피 USD 현물 지수</v>
      </c>
      <c r="E383" s="34">
        <f t="array" aca="1" ref="E383" ca="1">IF( $C383="", "", _xll.IMDP("IDX",$C383,E$6,$D$4,"Fill=true, Per="&amp;filter!$R$1) )</f>
        <v>3180.32</v>
      </c>
      <c r="F383" s="38">
        <f t="array" aca="1" ref="F383" ca="1">IF( $C383="", "", _xll.IMDP("IDX",$C383,F$6,$D$4,"Fill=true, Per="&amp;filter!$R$1) )</f>
        <v>2.3600000000001273</v>
      </c>
      <c r="G383" s="39">
        <f t="array" aca="1" ref="G383" ca="1">IF( $C383="", "", _xll.IMDP("IDX",$C383,G$6,$D$4,"Fill=true, Per="&amp;filter!$R$1) )</f>
        <v>7.0000000000000007E-2</v>
      </c>
      <c r="H383" s="43">
        <f t="array" aca="1" ref="H383" ca="1">IF( $C383="", "", _xll.IMDP("IDX",$C383,H$6,$D$4,"Fill=true, Per="&amp;filter!$R$1) )</f>
        <v>0</v>
      </c>
      <c r="I383" s="43">
        <f t="array" aca="1" ref="I383" ca="1">IF( $C383="", "", _xll.IMDP("IDX",$C383,I$6,$D$4,"Fill=true, Per="&amp;filter!$R$1) )</f>
        <v>0</v>
      </c>
      <c r="J383" s="34">
        <f t="array" aca="1" ref="J383" ca="1">IF( $C383="", "", _xll.IMDP("IDX",$C383,J$6,$D$4,"Fill=true, Per="&amp;filter!$R$1) )</f>
        <v>3190.81</v>
      </c>
      <c r="K383" s="38">
        <f t="array" aca="1" ref="K383" ca="1">IF( $C383="", "", _xll.IMDP("IDX",$C383,K$6,$D$4,"Fill=true, Per="&amp;filter!$R$1) )</f>
        <v>3210.54</v>
      </c>
      <c r="L383" s="39">
        <f t="array" aca="1" ref="L383" ca="1">IF( $C383="", "", _xll.IMDP("IDX",$C383,L$6,$D$4,"Fill=true, Per="&amp;filter!$R$1) )</f>
        <v>0</v>
      </c>
      <c r="M383" s="50" t="str">
        <f t="array" aca="1" ref="M383" ca="1">IF( $C383="", "", _xll.IMDP("IDX",$C383,M$6,$D$4,"Fill=true, Per="&amp;filter!$R$1) )</f>
        <v/>
      </c>
      <c r="N383" s="51" t="str">
        <f t="array" aca="1" ref="N383" ca="1">IF( $C383="", "", _xll.IMDP("IDX",$C383,N$6,$D$4,"Fill=true, Per="&amp;filter!$R$1) )</f>
        <v/>
      </c>
      <c r="O383" s="52" t="str">
        <f t="array" aca="1" ref="O383" ca="1">IF( $C383="", "", _xll.IMDP("IDX",$C383,O$6,$D$4,"Fill=true, Per="&amp;filter!$R$1) )</f>
        <v/>
      </c>
    </row>
    <row r="384" spans="2:15">
      <c r="B384" s="21" t="str">
        <f t="shared" si="5"/>
        <v/>
      </c>
      <c r="C384" s="17" t="str">
        <f>IFERROR( VLOOKUP(ROWS($B$8:B383), filter!$I:$J, 2, 0), "")</f>
        <v/>
      </c>
      <c r="D384" s="16" t="str" cm="1">
        <f t="array" ref="D384">IF( $C384="", "", _xll.IMDP("IDX", $C384, D$6) )</f>
        <v/>
      </c>
      <c r="E384" s="34" t="str">
        <f t="array" ref="E384">IF( $C384="", "", _xll.IMDP("IDX",$C384,E$6,$D$4,"Fill=true, Per="&amp;filter!$R$1) )</f>
        <v/>
      </c>
      <c r="F384" s="38" t="str">
        <f t="array" ref="F384">IF( $C384="", "", _xll.IMDP("IDX",$C384,F$6,$D$4,"Fill=true, Per="&amp;filter!$R$1) )</f>
        <v/>
      </c>
      <c r="G384" s="39" t="str">
        <f t="array" ref="G384">IF( $C384="", "", _xll.IMDP("IDX",$C384,G$6,$D$4,"Fill=true, Per="&amp;filter!$R$1) )</f>
        <v/>
      </c>
      <c r="H384" s="43" t="str">
        <f t="array" ref="H384">IF( $C384="", "", _xll.IMDP("IDX",$C384,H$6,$D$4,"Fill=true, Per="&amp;filter!$R$1) )</f>
        <v/>
      </c>
      <c r="I384" s="43" t="str">
        <f t="array" ref="I384">IF( $C384="", "", _xll.IMDP("IDX",$C384,I$6,$D$4,"Fill=true, Per="&amp;filter!$R$1) )</f>
        <v/>
      </c>
      <c r="J384" s="34" t="str">
        <f t="array" ref="J384">IF( $C384="", "", _xll.IMDP("IDX",$C384,J$6,$D$4,"Fill=true, Per="&amp;filter!$R$1) )</f>
        <v/>
      </c>
      <c r="K384" s="38" t="str">
        <f t="array" ref="K384">IF( $C384="", "", _xll.IMDP("IDX",$C384,K$6,$D$4,"Fill=true, Per="&amp;filter!$R$1) )</f>
        <v/>
      </c>
      <c r="L384" s="39" t="str">
        <f t="array" ref="L384">IF( $C384="", "", _xll.IMDP("IDX",$C384,L$6,$D$4,"Fill=true, Per="&amp;filter!$R$1) )</f>
        <v/>
      </c>
      <c r="M384" s="50" t="str">
        <f t="array" ref="M384">IF( $C384="", "", _xll.IMDP("IDX",$C384,M$6,$D$4,"Fill=true, Per="&amp;filter!$R$1) )</f>
        <v/>
      </c>
      <c r="N384" s="51" t="str">
        <f t="array" ref="N384">IF( $C384="", "", _xll.IMDP("IDX",$C384,N$6,$D$4,"Fill=true, Per="&amp;filter!$R$1) )</f>
        <v/>
      </c>
      <c r="O384" s="52" t="str">
        <f t="array" ref="O384">IF( $C384="", "", _xll.IMDP("IDX",$C384,O$6,$D$4,"Fill=true, Per="&amp;filter!$R$1) )</f>
        <v/>
      </c>
    </row>
    <row r="385" spans="2:15" ht="14.25" thickBot="1">
      <c r="B385" s="22" t="str">
        <f t="shared" si="5"/>
        <v/>
      </c>
      <c r="C385" s="23" t="str">
        <f>IFERROR( VLOOKUP(ROWS($B$8:B384), filter!$I:$J, 2, 0), "")</f>
        <v/>
      </c>
      <c r="D385" s="24" t="str" cm="1">
        <f t="array" ref="D385">IF( $C385="", "", _xll.IMDP("IDX", $C385, D$6) )</f>
        <v/>
      </c>
      <c r="E385" s="35" t="str">
        <f t="array" ref="E385">IF( $C385="", "", _xll.IMDP("IDX",$C385,E$6,$D$4,"Fill=true, Per="&amp;filter!$R$1) )</f>
        <v/>
      </c>
      <c r="F385" s="40" t="str">
        <f t="array" ref="F385">IF( $C385="", "", _xll.IMDP("IDX",$C385,F$6,$D$4,"Fill=true, Per="&amp;filter!$R$1) )</f>
        <v/>
      </c>
      <c r="G385" s="41" t="str">
        <f t="array" ref="G385">IF( $C385="", "", _xll.IMDP("IDX",$C385,G$6,$D$4,"Fill=true, Per="&amp;filter!$R$1) )</f>
        <v/>
      </c>
      <c r="H385" s="44" t="str">
        <f t="array" ref="H385">IF( $C385="", "", _xll.IMDP("IDX",$C385,H$6,$D$4,"Fill=true, Per="&amp;filter!$R$1) )</f>
        <v/>
      </c>
      <c r="I385" s="44" t="str">
        <f t="array" ref="I385">IF( $C385="", "", _xll.IMDP("IDX",$C385,I$6,$D$4,"Fill=true, Per="&amp;filter!$R$1) )</f>
        <v/>
      </c>
      <c r="J385" s="35" t="str">
        <f t="array" ref="J385">IF( $C385="", "", _xll.IMDP("IDX",$C385,J$6,$D$4,"Fill=true, Per="&amp;filter!$R$1) )</f>
        <v/>
      </c>
      <c r="K385" s="40" t="str">
        <f t="array" ref="K385">IF( $C385="", "", _xll.IMDP("IDX",$C385,K$6,$D$4,"Fill=true, Per="&amp;filter!$R$1) )</f>
        <v/>
      </c>
      <c r="L385" s="41" t="str">
        <f t="array" ref="L385">IF( $C385="", "", _xll.IMDP("IDX",$C385,L$6,$D$4,"Fill=true, Per="&amp;filter!$R$1) )</f>
        <v/>
      </c>
      <c r="M385" s="53" t="str">
        <f t="array" ref="M385">IF( $C385="", "", _xll.IMDP("IDX",$C385,M$6,$D$4,"Fill=true, Per="&amp;filter!$R$1) )</f>
        <v/>
      </c>
      <c r="N385" s="54" t="str">
        <f t="array" ref="N385">IF( $C385="", "", _xll.IMDP("IDX",$C385,N$6,$D$4,"Fill=true, Per="&amp;filter!$R$1) )</f>
        <v/>
      </c>
      <c r="O385" s="55" t="str">
        <f t="array" ref="O385">IF( $C385="", "", _xll.IMDP("IDX",$C385,O$6,$D$4,"Fill=true, Per="&amp;filter!$R$1) )</f>
        <v/>
      </c>
    </row>
    <row r="386" spans="2:15"/>
    <row r="387" spans="2:15"/>
    <row r="388" spans="2:15"/>
    <row r="389" spans="2:15"/>
    <row r="390" spans="2:15"/>
  </sheetData>
  <mergeCells count="3">
    <mergeCell ref="M7:O7"/>
    <mergeCell ref="B4:C4"/>
    <mergeCell ref="E4:F4"/>
  </mergeCells>
  <phoneticPr fontId="8" type="noConversion"/>
  <conditionalFormatting sqref="D9:G385">
    <cfRule type="expression" dxfId="2" priority="1">
      <formula>$C9=""</formula>
    </cfRule>
    <cfRule type="expression" dxfId="1" priority="2">
      <formula>$F9&gt;0</formula>
    </cfRule>
    <cfRule type="expression" dxfId="0" priority="3">
      <formula>$F9&lt;0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filter</vt:lpstr>
      <vt:lpstr>KRX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 Jung</dc:creator>
  <cp:lastModifiedBy>infomax</cp:lastModifiedBy>
  <dcterms:created xsi:type="dcterms:W3CDTF">2024-07-02T02:15:13Z</dcterms:created>
  <dcterms:modified xsi:type="dcterms:W3CDTF">2024-09-04T00:03:10Z</dcterms:modified>
</cp:coreProperties>
</file>