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24720" windowHeight="12045" tabRatio="918"/>
  </bookViews>
  <sheets>
    <sheet name="개별종목정보" sheetId="1" r:id="rId1"/>
    <sheet name="Sheet2" sheetId="2" state="hidden" r:id="rId2"/>
  </sheets>
  <calcPr calcId="125725"/>
</workbook>
</file>

<file path=xl/calcChain.xml><?xml version="1.0" encoding="utf-8"?>
<calcChain xmlns="http://schemas.openxmlformats.org/spreadsheetml/2006/main">
  <c r="A92" i="1"/>
  <c r="A90"/>
  <c r="A5" l="1"/>
  <c r="AK9"/>
  <c r="AK11"/>
  <c r="AK13"/>
  <c r="AK10"/>
  <c r="AU6"/>
  <c r="AK12"/>
  <c r="AK14"/>
  <c r="AK6"/>
  <c r="AK8"/>
  <c r="AK7"/>
  <c r="DW7" l="1"/>
  <c r="DW8"/>
  <c r="DW9"/>
  <c r="DW10"/>
  <c r="DW11"/>
  <c r="DW12"/>
  <c r="DW13"/>
  <c r="DW14"/>
  <c r="DW15"/>
  <c r="DW16"/>
  <c r="DW17"/>
  <c r="DW18"/>
  <c r="DW19"/>
  <c r="DW20"/>
  <c r="DW21"/>
  <c r="DW22"/>
  <c r="DW23"/>
  <c r="DW24"/>
  <c r="DW25"/>
  <c r="DW26"/>
  <c r="DW27"/>
  <c r="DW28"/>
  <c r="DW6"/>
  <c r="DV7"/>
  <c r="DV8"/>
  <c r="DV9"/>
  <c r="DV10"/>
  <c r="DV11"/>
  <c r="DV12"/>
  <c r="DV13"/>
  <c r="DV14"/>
  <c r="DV15"/>
  <c r="DV16"/>
  <c r="DV17"/>
  <c r="DV18"/>
  <c r="DV19"/>
  <c r="DV20"/>
  <c r="DV21"/>
  <c r="DV22"/>
  <c r="DV23"/>
  <c r="DV24"/>
  <c r="DV25"/>
  <c r="DV26"/>
  <c r="DV27"/>
  <c r="DV28"/>
  <c r="DU7"/>
  <c r="DU8"/>
  <c r="DU9"/>
  <c r="DU10"/>
  <c r="DU11"/>
  <c r="DU12"/>
  <c r="DU13"/>
  <c r="DU14"/>
  <c r="DU15"/>
  <c r="DU16"/>
  <c r="DU17"/>
  <c r="DU18"/>
  <c r="DU19"/>
  <c r="DU20"/>
  <c r="DU21"/>
  <c r="DU22"/>
  <c r="DU23"/>
  <c r="DU24"/>
  <c r="DU25"/>
  <c r="DU26"/>
  <c r="DU27"/>
  <c r="DU28"/>
  <c r="DV6"/>
  <c r="DU6"/>
  <c r="A81"/>
  <c r="A82" s="1"/>
  <c r="DH2"/>
  <c r="DH1"/>
  <c r="DF1"/>
  <c r="DF2"/>
  <c r="DE3"/>
  <c r="W11"/>
  <c r="W14"/>
  <c r="CZ15"/>
  <c r="W6"/>
  <c r="CZ5"/>
  <c r="CZ18"/>
  <c r="CZ8"/>
  <c r="CZ16"/>
  <c r="J13"/>
  <c r="W8"/>
  <c r="W12"/>
  <c r="W7"/>
  <c r="W9"/>
  <c r="W10"/>
  <c r="CZ17"/>
  <c r="A84"/>
  <c r="CZ7"/>
  <c r="J10"/>
  <c r="CZ14"/>
  <c r="W13"/>
  <c r="J7"/>
  <c r="CZ6"/>
  <c r="J11"/>
  <c r="CZ10"/>
  <c r="CZ12"/>
  <c r="CZ9"/>
  <c r="CZ11"/>
  <c r="A2"/>
  <c r="K4"/>
  <c r="CZ13"/>
  <c r="J14"/>
  <c r="J9"/>
  <c r="J12"/>
  <c r="J8"/>
  <c r="J6"/>
  <c r="DJ4"/>
  <c r="DI4"/>
  <c r="DH4"/>
  <c r="DQ4"/>
  <c r="DL4"/>
  <c r="C80" l="1"/>
  <c r="A3"/>
  <c r="AK80"/>
  <c r="G80"/>
  <c r="Q80"/>
  <c r="V80"/>
  <c r="AA80"/>
  <c r="AF80"/>
  <c r="AZ80"/>
  <c r="L80"/>
  <c r="AU80"/>
  <c r="AY12"/>
  <c r="A4"/>
  <c r="AY9"/>
  <c r="AY7"/>
  <c r="AP80"/>
  <c r="AY6"/>
  <c r="AY8"/>
  <c r="DE4"/>
  <c r="DG4"/>
  <c r="AY14"/>
  <c r="AY13"/>
  <c r="AY10"/>
  <c r="AY11"/>
  <c r="C81" l="1"/>
  <c r="DG3"/>
  <c r="AK81"/>
  <c r="G81"/>
  <c r="L81"/>
  <c r="Q81"/>
  <c r="V81"/>
  <c r="AA81"/>
  <c r="AF81"/>
  <c r="AU81"/>
  <c r="AZ81"/>
  <c r="AP81"/>
  <c r="C82" l="1"/>
  <c r="AK82"/>
  <c r="G82"/>
  <c r="L82"/>
  <c r="Q82"/>
  <c r="V82"/>
  <c r="AA82"/>
  <c r="AF82"/>
  <c r="AZ82"/>
  <c r="AP82"/>
  <c r="AU82"/>
  <c r="C83" l="1"/>
  <c r="AK83"/>
  <c r="G83"/>
  <c r="L83"/>
  <c r="Q83"/>
  <c r="V83"/>
  <c r="AA83"/>
  <c r="AF83"/>
  <c r="AU83"/>
  <c r="AZ83"/>
  <c r="AP83"/>
  <c r="C84" l="1"/>
  <c r="AK84"/>
  <c r="G84"/>
  <c r="L84"/>
  <c r="Q84"/>
  <c r="V84"/>
  <c r="AA84"/>
  <c r="AF84"/>
  <c r="AZ84"/>
  <c r="AP84"/>
  <c r="AU84"/>
  <c r="C85" l="1"/>
  <c r="AK85"/>
  <c r="G85"/>
  <c r="L85"/>
  <c r="Q85"/>
  <c r="V85"/>
  <c r="AA85"/>
  <c r="AF85"/>
  <c r="AP85"/>
  <c r="AU85"/>
  <c r="AZ85"/>
  <c r="C86" l="1"/>
  <c r="AK86"/>
  <c r="G86"/>
  <c r="L86"/>
  <c r="Q86"/>
  <c r="V86"/>
  <c r="AA86"/>
  <c r="AF86"/>
  <c r="AZ86"/>
  <c r="AP86"/>
  <c r="AU86"/>
  <c r="C87" l="1"/>
  <c r="AK87"/>
  <c r="G87"/>
  <c r="L87"/>
  <c r="Q87"/>
  <c r="V87"/>
  <c r="AA87"/>
  <c r="AF87"/>
  <c r="AZ87"/>
  <c r="AU87"/>
  <c r="AP87"/>
</calcChain>
</file>

<file path=xl/sharedStrings.xml><?xml version="1.0" encoding="utf-8"?>
<sst xmlns="http://schemas.openxmlformats.org/spreadsheetml/2006/main" count="520" uniqueCount="398">
  <si>
    <t>KOSPI</t>
  </si>
  <si>
    <t>종목명</t>
  </si>
  <si>
    <t>구분</t>
  </si>
  <si>
    <t>코드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</si>
  <si>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</si>
  <si>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</si>
  <si>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</si>
  <si>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</si>
  <si>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</si>
  <si>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</si>
  <si>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</si>
  <si>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</si>
  <si>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</si>
  <si>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</si>
  <si>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</si>
  <si>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</si>
  <si>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</si>
  <si>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</si>
  <si>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</si>
  <si>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</si>
  <si>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</si>
  <si>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</si>
  <si>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024</t>
  </si>
  <si>
    <t>025</t>
  </si>
  <si>
    <t>026</t>
  </si>
  <si>
    <t>027</t>
  </si>
  <si>
    <t>201</t>
  </si>
  <si>
    <t>202</t>
  </si>
  <si>
    <t>203</t>
  </si>
  <si>
    <t>204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</si>
  <si>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</si>
  <si>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</si>
  <si>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</si>
  <si>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</si>
  <si>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</si>
  <si>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</si>
  <si>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</si>
  <si>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</si>
  <si>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</si>
  <si>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</si>
  <si>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</si>
  <si>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234</t>
  </si>
  <si>
    <t>250</t>
  </si>
  <si>
    <t>251</t>
  </si>
  <si>
    <t>252</t>
  </si>
  <si>
    <t>253</t>
  </si>
  <si>
    <t>801</t>
  </si>
  <si>
    <t>802</t>
  </si>
  <si>
    <t>803</t>
  </si>
  <si>
    <t>804</t>
  </si>
  <si>
    <t>805</t>
  </si>
  <si>
    <t>812</t>
  </si>
  <si>
    <t>824</t>
  </si>
  <si>
    <t>826</t>
  </si>
  <si>
    <t>827</t>
  </si>
  <si>
    <t>829</t>
  </si>
  <si>
    <t>831</t>
  </si>
  <si>
    <t>837</t>
  </si>
  <si>
    <t>856</t>
  </si>
  <si>
    <t>858</t>
  </si>
  <si>
    <t>862</t>
  </si>
  <si>
    <t>863</t>
  </si>
  <si>
    <t>865</t>
  </si>
  <si>
    <t>866</t>
  </si>
  <si>
    <t>867</t>
  </si>
  <si>
    <t>868</t>
  </si>
  <si>
    <t>870</t>
  </si>
  <si>
    <t>872</t>
  </si>
  <si>
    <t>874</t>
  </si>
  <si>
    <t>875</t>
  </si>
  <si>
    <t>877</t>
  </si>
  <si>
    <t>KOSPI200</t>
  </si>
  <si>
    <t>IDX</t>
  </si>
  <si>
    <t>KTOP 30</t>
  </si>
  <si>
    <t>K200 건설</t>
  </si>
  <si>
    <t>K200 중공업</t>
  </si>
  <si>
    <t>K200 철강소재</t>
  </si>
  <si>
    <t>K200 에너지화학</t>
  </si>
  <si>
    <t>K200 금융</t>
  </si>
  <si>
    <t>K200 생활소비재</t>
  </si>
  <si>
    <t>K200 경기소비재</t>
  </si>
  <si>
    <t>KOSPI100</t>
  </si>
  <si>
    <t>KOSPI50</t>
  </si>
  <si>
    <t>K200 중소형주지수</t>
  </si>
  <si>
    <t>K200 산업재</t>
  </si>
  <si>
    <t>KOSDAQ</t>
  </si>
  <si>
    <t>우량기업부</t>
  </si>
  <si>
    <t>벤처기업부</t>
  </si>
  <si>
    <t>중견기업부</t>
  </si>
  <si>
    <t>기술성장기업부</t>
  </si>
  <si>
    <t>981</t>
  </si>
  <si>
    <t>982</t>
  </si>
  <si>
    <t>983</t>
  </si>
  <si>
    <t>코스닥150</t>
  </si>
  <si>
    <t>986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</si>
  <si>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</si>
  <si>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</si>
  <si>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</si>
  <si>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</si>
  <si>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</si>
  <si>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</si>
  <si>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</si>
  <si>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</si>
  <si>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</si>
  <si>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</si>
  <si>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</si>
  <si>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</si>
  <si>
    <t>현재가</t>
    <phoneticPr fontId="2" type="noConversion"/>
  </si>
  <si>
    <t>누적거래량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</si>
  <si>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</si>
  <si>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</si>
  <si>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</si>
  <si>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초</t>
    <phoneticPr fontId="2" type="noConversion"/>
  </si>
  <si>
    <t>전일대비</t>
    <phoneticPr fontId="2" type="noConversion"/>
  </si>
  <si>
    <t>등락률</t>
    <phoneticPr fontId="2" type="noConversion"/>
  </si>
  <si>
    <t>외국인보유율(당일)</t>
    <phoneticPr fontId="2" type="noConversion"/>
  </si>
  <si>
    <t>시가총액비중</t>
    <phoneticPr fontId="2" type="noConversion"/>
  </si>
  <si>
    <t>전년기준배당수익률</t>
    <phoneticPr fontId="2" type="noConversion"/>
  </si>
  <si>
    <t>외국인보유율(전일대비증감)</t>
    <phoneticPr fontId="2" type="noConversion"/>
  </si>
  <si>
    <t>시가총액</t>
    <phoneticPr fontId="2" type="noConversion"/>
  </si>
  <si>
    <t>5일최고가</t>
    <phoneticPr fontId="2" type="noConversion"/>
  </si>
  <si>
    <t>5일최저가</t>
    <phoneticPr fontId="2" type="noConversion"/>
  </si>
  <si>
    <t>20일최저가</t>
    <phoneticPr fontId="2" type="noConversion"/>
  </si>
  <si>
    <t>52주최저가</t>
    <phoneticPr fontId="2" type="noConversion"/>
  </si>
  <si>
    <t>52주최고가</t>
    <phoneticPr fontId="2" type="noConversion"/>
  </si>
  <si>
    <t>STK</t>
    <phoneticPr fontId="2" type="noConversion"/>
  </si>
  <si>
    <t>기관순매수금액</t>
  </si>
  <si>
    <t>개인순매수금액</t>
  </si>
  <si>
    <t>증권/선물순매수금액</t>
  </si>
  <si>
    <t>투신순매수금액</t>
  </si>
  <si>
    <t>사모펀드순매수금액</t>
  </si>
  <si>
    <t>은행순매수금액</t>
  </si>
  <si>
    <t>보험순매수금액</t>
  </si>
  <si>
    <t>종신금순매수금액</t>
  </si>
  <si>
    <t>연기금순매수금액</t>
  </si>
  <si>
    <t>기타순매수금액</t>
  </si>
  <si>
    <t>외인기타순매수금액</t>
  </si>
  <si>
    <t>국가/지방순매수금액</t>
  </si>
  <si>
    <t>20일최고가</t>
    <phoneticPr fontId="2" type="noConversion"/>
  </si>
  <si>
    <t>ROE</t>
    <phoneticPr fontId="2" type="noConversion"/>
  </si>
  <si>
    <t>영업이익률</t>
    <phoneticPr fontId="2" type="noConversion"/>
  </si>
  <si>
    <t>매출액(영업수익)</t>
    <phoneticPr fontId="2" type="noConversion"/>
  </si>
  <si>
    <t>영업이익</t>
    <phoneticPr fontId="2" type="noConversion"/>
  </si>
  <si>
    <t>PBR</t>
    <phoneticPr fontId="2" type="noConversion"/>
  </si>
  <si>
    <t>당기순이익(포괄손익계산서)</t>
    <phoneticPr fontId="2" type="noConversion"/>
  </si>
  <si>
    <t>매출액(영업수익)증가율</t>
    <phoneticPr fontId="2" type="noConversion"/>
  </si>
  <si>
    <t>구분</t>
    <phoneticPr fontId="2" type="noConversion"/>
  </si>
  <si>
    <t>매출액</t>
    <phoneticPr fontId="2" type="noConversion"/>
  </si>
  <si>
    <t>매출액증가율</t>
    <phoneticPr fontId="2" type="noConversion"/>
  </si>
  <si>
    <t>영업이익</t>
    <phoneticPr fontId="2" type="noConversion"/>
  </si>
  <si>
    <t>영업이익률</t>
    <phoneticPr fontId="2" type="noConversion"/>
  </si>
  <si>
    <t>당기순이익</t>
    <phoneticPr fontId="2" type="noConversion"/>
  </si>
  <si>
    <t>PBR</t>
    <phoneticPr fontId="2" type="noConversion"/>
  </si>
  <si>
    <t>ROE</t>
    <phoneticPr fontId="2" type="noConversion"/>
  </si>
  <si>
    <t>종목대차잔고금액</t>
    <phoneticPr fontId="2" type="noConversion"/>
  </si>
  <si>
    <t>종목대차잔고금액증감</t>
    <phoneticPr fontId="2" type="noConversion"/>
  </si>
  <si>
    <t>종목대차잔고율</t>
    <phoneticPr fontId="2" type="noConversion"/>
  </si>
  <si>
    <t>IDX</t>
    <phoneticPr fontId="2" type="noConversion"/>
  </si>
  <si>
    <t>공매도수량</t>
    <phoneticPr fontId="2" type="noConversion"/>
  </si>
  <si>
    <t>공매도금액</t>
    <phoneticPr fontId="2" type="noConversion"/>
  </si>
  <si>
    <t>공매도평균단가</t>
    <phoneticPr fontId="2" type="noConversion"/>
  </si>
  <si>
    <t>종목신용잔고</t>
    <phoneticPr fontId="2" type="noConversion"/>
  </si>
  <si>
    <t>종목신용잔고금액</t>
    <phoneticPr fontId="2" type="noConversion"/>
  </si>
  <si>
    <t>종목신용잔고율</t>
    <phoneticPr fontId="2" type="noConversion"/>
  </si>
  <si>
    <t>거래종목수</t>
    <phoneticPr fontId="2" type="noConversion"/>
  </si>
  <si>
    <t>공매도거래량</t>
    <phoneticPr fontId="2" type="noConversion"/>
  </si>
  <si>
    <t>공매도거래량비중</t>
    <phoneticPr fontId="2" type="noConversion"/>
  </si>
  <si>
    <t>공매도거래대금</t>
    <phoneticPr fontId="2" type="noConversion"/>
  </si>
  <si>
    <t>공매도거래대금비중</t>
    <phoneticPr fontId="2" type="noConversion"/>
  </si>
  <si>
    <t>업종대차잔고</t>
    <phoneticPr fontId="2" type="noConversion"/>
  </si>
  <si>
    <t>업종대차잔고금액</t>
    <phoneticPr fontId="2" type="noConversion"/>
  </si>
  <si>
    <t>업종대차잔고율</t>
    <phoneticPr fontId="2" type="noConversion"/>
  </si>
  <si>
    <t>업종신용잔고</t>
    <phoneticPr fontId="2" type="noConversion"/>
  </si>
  <si>
    <t>업종신용잔고대금</t>
    <phoneticPr fontId="2" type="noConversion"/>
  </si>
  <si>
    <t>업종신용잔고율</t>
    <phoneticPr fontId="2" type="noConversion"/>
  </si>
  <si>
    <t>외국인보유시총</t>
    <phoneticPr fontId="2" type="noConversion"/>
  </si>
  <si>
    <t>외국인보유비중(시총)</t>
    <phoneticPr fontId="2" type="noConversion"/>
  </si>
  <si>
    <t>상승종목수</t>
    <phoneticPr fontId="2" type="noConversion"/>
  </si>
  <si>
    <t>하락종목수</t>
    <phoneticPr fontId="2" type="noConversion"/>
  </si>
  <si>
    <t>보합종목수</t>
    <phoneticPr fontId="2" type="noConversion"/>
  </si>
  <si>
    <t>종목대차잔고</t>
    <phoneticPr fontId="2" type="noConversion"/>
  </si>
  <si>
    <t>종목대차찬고증감</t>
    <phoneticPr fontId="2" type="noConversion"/>
  </si>
  <si>
    <t>종목코드</t>
    <phoneticPr fontId="2" type="noConversion"/>
  </si>
  <si>
    <t>001</t>
    <phoneticPr fontId="2" type="noConversion"/>
  </si>
  <si>
    <t>틱</t>
    <phoneticPr fontId="2" type="noConversion"/>
  </si>
  <si>
    <t>기관</t>
    <phoneticPr fontId="2" type="noConversion"/>
  </si>
  <si>
    <t>현재가</t>
    <phoneticPr fontId="2" type="noConversion"/>
  </si>
  <si>
    <t>누적거래량</t>
    <phoneticPr fontId="2" type="noConversion"/>
  </si>
  <si>
    <t>시간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</si>
  <si>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</si>
  <si>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</si>
  <si>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</si>
  <si>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종가</t>
    <phoneticPr fontId="2" type="noConversion"/>
  </si>
  <si>
    <t>일자</t>
    <phoneticPr fontId="2" type="noConversion"/>
  </si>
  <si>
    <t>기관순매수금액</t>
    <phoneticPr fontId="2" type="noConversion"/>
  </si>
  <si>
    <t>외국인합순매수금액</t>
    <phoneticPr fontId="2" type="noConversion"/>
  </si>
  <si>
    <t>개인순매수금액</t>
    <phoneticPr fontId="2" type="noConversion"/>
  </si>
  <si>
    <t>기관</t>
    <phoneticPr fontId="2" type="noConversion"/>
  </si>
  <si>
    <t>외국인</t>
    <phoneticPr fontId="2" type="noConversion"/>
  </si>
  <si>
    <t>개인</t>
    <phoneticPr fontId="2" type="noConversion"/>
  </si>
  <si>
    <t>외국인합</t>
    <phoneticPr fontId="2" type="noConversion"/>
  </si>
  <si>
    <t>기타</t>
    <phoneticPr fontId="2" type="noConversion"/>
  </si>
  <si>
    <t>증권/선물</t>
    <phoneticPr fontId="2" type="noConversion"/>
  </si>
  <si>
    <t>투신</t>
    <phoneticPr fontId="2" type="noConversion"/>
  </si>
  <si>
    <t>사모펀드</t>
    <phoneticPr fontId="2" type="noConversion"/>
  </si>
  <si>
    <t>은행</t>
    <phoneticPr fontId="2" type="noConversion"/>
  </si>
  <si>
    <t>보험</t>
    <phoneticPr fontId="2" type="noConversion"/>
  </si>
  <si>
    <t>종금/저축</t>
    <phoneticPr fontId="2" type="noConversion"/>
  </si>
  <si>
    <t>연기금</t>
    <phoneticPr fontId="2" type="noConversion"/>
  </si>
  <si>
    <t>국가/지방</t>
    <phoneticPr fontId="2" type="noConversion"/>
  </si>
  <si>
    <t>외인기타</t>
    <phoneticPr fontId="2" type="noConversion"/>
  </si>
  <si>
    <t>외국인순매수금액</t>
    <phoneticPr fontId="2" type="noConversion"/>
  </si>
  <si>
    <r>
      <rPr>
        <b/>
        <sz val="12"/>
        <color theme="4" tint="-0.249977111117893"/>
        <rFont val="맑은 고딕"/>
        <family val="3"/>
        <charset val="129"/>
        <scheme val="minor"/>
      </rPr>
      <t>◆</t>
    </r>
    <r>
      <rPr>
        <b/>
        <sz val="12"/>
        <color theme="1" tint="0.249977111117893"/>
        <rFont val="맑은 고딕"/>
        <family val="3"/>
        <charset val="129"/>
        <scheme val="minor"/>
      </rPr>
      <t xml:space="preserve"> 개별 종목정보</t>
    </r>
    <phoneticPr fontId="2" type="noConversion"/>
  </si>
  <si>
    <r>
      <rPr>
        <b/>
        <sz val="12"/>
        <color theme="4" tint="-0.249977111117893"/>
        <rFont val="맑은 고딕"/>
        <family val="3"/>
        <charset val="129"/>
        <scheme val="minor"/>
      </rPr>
      <t>◆</t>
    </r>
    <r>
      <rPr>
        <b/>
        <sz val="12"/>
        <color theme="1" tint="0.249977111117893"/>
        <rFont val="맑은 고딕"/>
        <family val="3"/>
        <charset val="129"/>
        <scheme val="minor"/>
      </rPr>
      <t xml:space="preserve"> 주요 재무제표</t>
    </r>
    <phoneticPr fontId="2" type="noConversion"/>
  </si>
  <si>
    <r>
      <rPr>
        <b/>
        <sz val="12"/>
        <color theme="4" tint="-0.249977111117893"/>
        <rFont val="맑은 고딕"/>
        <family val="3"/>
        <charset val="129"/>
        <scheme val="minor"/>
      </rPr>
      <t>◆</t>
    </r>
    <r>
      <rPr>
        <b/>
        <sz val="12"/>
        <color theme="1" tint="0.249977111117893"/>
        <rFont val="맑은 고딕"/>
        <family val="3"/>
        <charset val="129"/>
        <scheme val="minor"/>
      </rPr>
      <t xml:space="preserve"> Chart Book</t>
    </r>
    <phoneticPr fontId="2" type="noConversion"/>
  </si>
  <si>
    <t>현재가</t>
    <phoneticPr fontId="2" type="noConversion"/>
  </si>
  <si>
    <t>전일대비</t>
    <phoneticPr fontId="2" type="noConversion"/>
  </si>
  <si>
    <t>등락률</t>
    <phoneticPr fontId="2" type="noConversion"/>
  </si>
  <si>
    <t>거래량</t>
    <phoneticPr fontId="2" type="noConversion"/>
  </si>
  <si>
    <t>외국인지분율</t>
    <phoneticPr fontId="2" type="noConversion"/>
  </si>
  <si>
    <t>증감</t>
    <phoneticPr fontId="2" type="noConversion"/>
  </si>
  <si>
    <t>시가총액(억원)</t>
    <phoneticPr fontId="2" type="noConversion"/>
  </si>
  <si>
    <t>시가총액비중</t>
    <phoneticPr fontId="2" type="noConversion"/>
  </si>
  <si>
    <t>배당수익률</t>
    <phoneticPr fontId="2" type="noConversion"/>
  </si>
  <si>
    <t>시가</t>
    <phoneticPr fontId="2" type="noConversion"/>
  </si>
  <si>
    <t>업종지수</t>
    <phoneticPr fontId="2" type="noConversion"/>
  </si>
  <si>
    <t>등락종목수</t>
    <phoneticPr fontId="2" type="noConversion"/>
  </si>
  <si>
    <t>상      승</t>
    <phoneticPr fontId="2" type="noConversion"/>
  </si>
  <si>
    <t>하      락</t>
    <phoneticPr fontId="2" type="noConversion"/>
  </si>
  <si>
    <t>보      합</t>
    <phoneticPr fontId="2" type="noConversion"/>
  </si>
  <si>
    <t>보유 비중</t>
    <phoneticPr fontId="2" type="noConversion"/>
  </si>
  <si>
    <t>거래종목수</t>
    <phoneticPr fontId="2" type="noConversion"/>
  </si>
  <si>
    <t>거  래  량</t>
    <phoneticPr fontId="2" type="noConversion"/>
  </si>
  <si>
    <t>고가</t>
    <phoneticPr fontId="2" type="noConversion"/>
  </si>
  <si>
    <t>저가</t>
    <phoneticPr fontId="2" type="noConversion"/>
  </si>
  <si>
    <t>5일 최고</t>
    <phoneticPr fontId="2" type="noConversion"/>
  </si>
  <si>
    <t>5일 최저</t>
    <phoneticPr fontId="2" type="noConversion"/>
  </si>
  <si>
    <t>20일 최고</t>
    <phoneticPr fontId="2" type="noConversion"/>
  </si>
  <si>
    <t>20일 최저</t>
    <phoneticPr fontId="2" type="noConversion"/>
  </si>
  <si>
    <t>52주 최고</t>
    <phoneticPr fontId="2" type="noConversion"/>
  </si>
  <si>
    <t>52주 최저</t>
    <phoneticPr fontId="2" type="noConversion"/>
  </si>
  <si>
    <t>수     량</t>
    <phoneticPr fontId="2" type="noConversion"/>
  </si>
  <si>
    <r>
      <t>금액</t>
    </r>
    <r>
      <rPr>
        <b/>
        <sz val="8"/>
        <color theme="1" tint="0.249977111117893"/>
        <rFont val="맑은 고딕"/>
        <family val="3"/>
        <charset val="129"/>
        <scheme val="minor"/>
      </rPr>
      <t>(백만)</t>
    </r>
    <phoneticPr fontId="2" type="noConversion"/>
  </si>
  <si>
    <t>평균단가</t>
    <phoneticPr fontId="2" type="noConversion"/>
  </si>
  <si>
    <t>대차잔고</t>
    <phoneticPr fontId="2" type="noConversion"/>
  </si>
  <si>
    <t>잔 고 율</t>
    <phoneticPr fontId="2" type="noConversion"/>
  </si>
  <si>
    <t>신용잔고</t>
    <phoneticPr fontId="2" type="noConversion"/>
  </si>
  <si>
    <r>
      <t>금  액</t>
    </r>
    <r>
      <rPr>
        <b/>
        <sz val="8"/>
        <color theme="1" tint="0.249977111117893"/>
        <rFont val="맑은 고딕"/>
        <family val="3"/>
        <charset val="129"/>
        <scheme val="minor"/>
      </rPr>
      <t>(원)</t>
    </r>
    <phoneticPr fontId="2" type="noConversion"/>
  </si>
  <si>
    <t xml:space="preserve">잔 고  율  </t>
    <phoneticPr fontId="2" type="noConversion"/>
  </si>
  <si>
    <r>
      <t>외국인</t>
    </r>
    <r>
      <rPr>
        <b/>
        <sz val="8"/>
        <color theme="1" tint="0.249977111117893"/>
        <rFont val="맑은 고딕"/>
        <family val="3"/>
        <charset val="129"/>
        <scheme val="minor"/>
      </rPr>
      <t>(전일)</t>
    </r>
    <phoneticPr fontId="2" type="noConversion"/>
  </si>
  <si>
    <r>
      <t>보유 시총</t>
    </r>
    <r>
      <rPr>
        <b/>
        <sz val="8"/>
        <color theme="1" tint="0.249977111117893"/>
        <rFont val="맑은 고딕"/>
        <family val="3"/>
        <charset val="129"/>
        <scheme val="minor"/>
      </rPr>
      <t>(백만)</t>
    </r>
    <phoneticPr fontId="2" type="noConversion"/>
  </si>
  <si>
    <r>
      <t>공매도</t>
    </r>
    <r>
      <rPr>
        <b/>
        <sz val="8"/>
        <color theme="1" tint="0.249977111117893"/>
        <rFont val="맑은 고딕"/>
        <family val="3"/>
        <charset val="129"/>
        <scheme val="minor"/>
      </rPr>
      <t>(전일)</t>
    </r>
    <phoneticPr fontId="2" type="noConversion"/>
  </si>
  <si>
    <r>
      <t>거래대금</t>
    </r>
    <r>
      <rPr>
        <b/>
        <sz val="8"/>
        <color theme="1" tint="0.249977111117893"/>
        <rFont val="맑은 고딕"/>
        <family val="3"/>
        <charset val="129"/>
        <scheme val="minor"/>
      </rPr>
      <t>(원)</t>
    </r>
    <phoneticPr fontId="2" type="noConversion"/>
  </si>
  <si>
    <r>
      <t>공매도</t>
    </r>
    <r>
      <rPr>
        <b/>
        <sz val="8"/>
        <color theme="1" tint="0.249977111117893"/>
        <rFont val="맑은 고딕"/>
        <family val="3"/>
        <charset val="129"/>
        <scheme val="minor"/>
      </rPr>
      <t>(전일)</t>
    </r>
    <phoneticPr fontId="2" type="noConversion"/>
  </si>
  <si>
    <t>인포맥스EPS</t>
    <phoneticPr fontId="2" type="noConversion"/>
  </si>
  <si>
    <t>결산EPS</t>
    <phoneticPr fontId="2" type="noConversion"/>
  </si>
  <si>
    <t>인포맥스PER</t>
    <phoneticPr fontId="2" type="noConversion"/>
  </si>
  <si>
    <t>결산PER</t>
    <phoneticPr fontId="2" type="noConversion"/>
  </si>
  <si>
    <t>순이익증가율</t>
    <phoneticPr fontId="2" type="noConversion"/>
  </si>
  <si>
    <t>순이익 증가율(YoY)</t>
    <phoneticPr fontId="2" type="noConversion"/>
  </si>
  <si>
    <t>001</t>
  </si>
  <si>
    <t>코스피 IT 서비스</t>
  </si>
  <si>
    <t>046</t>
  </si>
  <si>
    <t>코스피 건설</t>
  </si>
  <si>
    <t>코스피 금융</t>
  </si>
  <si>
    <t>코스피 보험</t>
  </si>
  <si>
    <t>코스피 은행</t>
  </si>
  <si>
    <t>코스피 증권</t>
  </si>
  <si>
    <t>코스피 부동산</t>
  </si>
  <si>
    <t>045</t>
  </si>
  <si>
    <t>코스피 오락/문화</t>
  </si>
  <si>
    <t>047</t>
  </si>
  <si>
    <t>코스피 운송/창고</t>
  </si>
  <si>
    <t>코스피 유통</t>
  </si>
  <si>
    <t>코스피 일반서비스</t>
  </si>
  <si>
    <t>코스피 전기/가스</t>
  </si>
  <si>
    <t>코스피 제조</t>
  </si>
  <si>
    <t>코스피 금속</t>
  </si>
  <si>
    <t>코스피 기계/장비</t>
  </si>
  <si>
    <t>코스피 비금속</t>
  </si>
  <si>
    <t>코스피 섬유/의류</t>
  </si>
  <si>
    <t>코스피 운송장비/부품</t>
  </si>
  <si>
    <t>코스피 음식료/담배</t>
  </si>
  <si>
    <t>코스피 의료/정밀기기</t>
  </si>
  <si>
    <t>코스피 전기/전자</t>
  </si>
  <si>
    <t>코스피 제약</t>
  </si>
  <si>
    <t>코스피 종이/목재</t>
  </si>
  <si>
    <t>코스피 화학</t>
  </si>
  <si>
    <t>코스피 통신</t>
  </si>
  <si>
    <t>KOSPI 대형주</t>
  </si>
  <si>
    <t>KOSPI 중형주</t>
  </si>
  <si>
    <t>KOSPI 소형주</t>
  </si>
  <si>
    <t>K200제외 코스피지수</t>
  </si>
  <si>
    <t>205</t>
  </si>
  <si>
    <t>K200 정보기술</t>
  </si>
  <si>
    <t>K200 커뮤니케이션서비스</t>
  </si>
  <si>
    <t>220</t>
  </si>
  <si>
    <t>K200 레버리지</t>
  </si>
  <si>
    <t>K200 경기방어소비재</t>
  </si>
  <si>
    <t>K200 헬스케어</t>
  </si>
  <si>
    <t>K200 에너지화학 레버리지지수</t>
  </si>
  <si>
    <t>260</t>
  </si>
  <si>
    <t>K200 정보기술 레버리지지수</t>
  </si>
  <si>
    <t>261</t>
  </si>
  <si>
    <t>K200 금융 레버리지지수</t>
  </si>
  <si>
    <t>262</t>
  </si>
  <si>
    <t>K200 경기소비재 레버리지지수</t>
  </si>
  <si>
    <t>263</t>
  </si>
  <si>
    <t>K200 건설 레버리지지수</t>
  </si>
  <si>
    <t>264</t>
  </si>
  <si>
    <t>K200 중공업 레버리지지수</t>
  </si>
  <si>
    <t>265</t>
  </si>
  <si>
    <t>K200 헬스케어 레버리지지수</t>
  </si>
  <si>
    <t>266</t>
  </si>
  <si>
    <t>코스피 200 Top 10</t>
  </si>
  <si>
    <t>270</t>
  </si>
  <si>
    <t>코스피 200 Top 10 레버리지</t>
  </si>
  <si>
    <t>271</t>
  </si>
  <si>
    <t>KTOP 30 레버리지지수</t>
  </si>
  <si>
    <t>280</t>
  </si>
  <si>
    <t>K200 정보기술 TR</t>
  </si>
  <si>
    <t>281</t>
  </si>
  <si>
    <t>K200 금융 TR</t>
  </si>
  <si>
    <t>282</t>
  </si>
  <si>
    <t>K200 경기소비재 TR</t>
  </si>
  <si>
    <t>283</t>
  </si>
  <si>
    <t>K200 에너지화학 TR</t>
  </si>
  <si>
    <t>284</t>
  </si>
  <si>
    <t>K200 생활소비재 TR</t>
  </si>
  <si>
    <t>285</t>
  </si>
  <si>
    <t>K200 건설 TR</t>
  </si>
  <si>
    <t>286</t>
  </si>
  <si>
    <t>K200 중공업 TR</t>
  </si>
  <si>
    <t>287</t>
  </si>
  <si>
    <t>K200 철강소재 TR</t>
  </si>
  <si>
    <t>288</t>
  </si>
  <si>
    <t>K200 산업재 TR</t>
  </si>
  <si>
    <t>289</t>
  </si>
  <si>
    <t>K200 헬스케어 TR</t>
  </si>
  <si>
    <t>290</t>
  </si>
  <si>
    <t>K200 커뮤니케이션서비스 TR</t>
  </si>
  <si>
    <t>291</t>
  </si>
  <si>
    <t>코스닥 IT 서비스</t>
  </si>
  <si>
    <t>888</t>
  </si>
  <si>
    <t>코스닥 광업</t>
  </si>
  <si>
    <t>823</t>
  </si>
  <si>
    <t>코스닥 건설</t>
  </si>
  <si>
    <t>코스닥 금융</t>
  </si>
  <si>
    <t>코스닥 보험</t>
  </si>
  <si>
    <t>893</t>
  </si>
  <si>
    <t>코스닥 기타금융</t>
  </si>
  <si>
    <t>894</t>
  </si>
  <si>
    <t>코스닥 농/임/어업</t>
  </si>
  <si>
    <t>821</t>
  </si>
  <si>
    <t>코스닥 부동산</t>
  </si>
  <si>
    <t>832</t>
  </si>
  <si>
    <t>코스닥 오락/문화</t>
  </si>
  <si>
    <t>코스닥 운송/창고</t>
  </si>
  <si>
    <t>코스닥 유통</t>
  </si>
  <si>
    <t>코스닥 일반서비스</t>
  </si>
  <si>
    <t>코스닥 전기/가스</t>
  </si>
  <si>
    <t>814</t>
  </si>
  <si>
    <t>코스닥 제조</t>
  </si>
  <si>
    <t>코스닥 금속</t>
  </si>
  <si>
    <t>코스닥 기계/장비</t>
  </si>
  <si>
    <t>코스닥 기타제조</t>
  </si>
  <si>
    <t>코스닥 비금속</t>
  </si>
  <si>
    <t>코스닥 섬유/의류</t>
  </si>
  <si>
    <t>코스닥 운송장비/부품</t>
  </si>
  <si>
    <t>코스닥 음식료/담배</t>
  </si>
  <si>
    <t>코스닥 의료/정밀기기</t>
  </si>
  <si>
    <t>코스닥 전기/전자</t>
  </si>
  <si>
    <t>코스닥 제약</t>
  </si>
  <si>
    <t>코스닥 종이/목재</t>
  </si>
  <si>
    <t>코스닥 출판/매체복제</t>
  </si>
  <si>
    <t>코스닥 화학</t>
  </si>
  <si>
    <t>코스닥 통신</t>
  </si>
  <si>
    <t>884</t>
  </si>
  <si>
    <t>코스닥 글로벌</t>
  </si>
  <si>
    <t>807</t>
  </si>
  <si>
    <t>KOSDAQ 대형주</t>
  </si>
  <si>
    <t>KOSDAQ 중형주</t>
  </si>
  <si>
    <t>KOSDAQ 소형주</t>
  </si>
  <si>
    <t>코스닥150 소재</t>
  </si>
  <si>
    <t>991</t>
  </si>
  <si>
    <t>코스닥150 산업재</t>
  </si>
  <si>
    <t>992</t>
  </si>
  <si>
    <t>코스닥150 필수소비재</t>
  </si>
  <si>
    <t>993</t>
  </si>
  <si>
    <t>코스닥150 자유소비재</t>
  </si>
  <si>
    <t>994</t>
  </si>
  <si>
    <t>코스닥150 정보기술</t>
  </si>
  <si>
    <t>995</t>
  </si>
  <si>
    <t>코스닥150 헬스케어</t>
  </si>
  <si>
    <t>996</t>
  </si>
  <si>
    <t>코스닥150 커뮤니케이션서비스</t>
  </si>
  <si>
    <t>997</t>
  </si>
  <si>
    <t>005930</t>
    <phoneticPr fontId="2" type="noConversion"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</si>
</sst>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7" formatCode="0_ "/>
    <numFmt numFmtId="180" formatCode="#,##0_ "/>
    <numFmt numFmtId="182" formatCode="#,##0.00_ "/>
  </numFmts>
  <fonts count="1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6"/>
      <color theme="0"/>
      <name val="맑은 고딕"/>
      <family val="2"/>
      <charset val="129"/>
      <scheme val="minor"/>
    </font>
    <font>
      <sz val="6"/>
      <color theme="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0.34998626667073579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8"/>
      <color theme="1" tint="0.249977111117893"/>
      <name val="맑은 고딕"/>
      <family val="3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  <font>
      <b/>
      <sz val="12"/>
      <color theme="1" tint="0.249977111117893"/>
      <name val="맑은 고딕"/>
      <family val="3"/>
      <charset val="129"/>
      <scheme val="minor"/>
    </font>
    <font>
      <b/>
      <sz val="12"/>
      <color theme="4" tint="-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5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2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14" fontId="12" fillId="0" borderId="0" xfId="0" applyNumberFormat="1" applyFont="1">
      <alignment vertical="center"/>
    </xf>
    <xf numFmtId="14" fontId="12" fillId="0" borderId="0" xfId="0" applyNumberFormat="1" applyFont="1" applyAlignment="1">
      <alignment horizontal="right" vertical="center"/>
    </xf>
    <xf numFmtId="0" fontId="12" fillId="0" borderId="0" xfId="0" applyNumberFormat="1" applyFont="1">
      <alignment vertical="center"/>
    </xf>
    <xf numFmtId="0" fontId="14" fillId="5" borderId="2" xfId="0" applyFont="1" applyFill="1" applyBorder="1">
      <alignment vertical="center"/>
    </xf>
    <xf numFmtId="0" fontId="14" fillId="5" borderId="3" xfId="0" applyFont="1" applyFill="1" applyBorder="1">
      <alignment vertical="center"/>
    </xf>
    <xf numFmtId="0" fontId="14" fillId="5" borderId="4" xfId="0" applyFont="1" applyFill="1" applyBorder="1">
      <alignment vertical="center"/>
    </xf>
    <xf numFmtId="0" fontId="14" fillId="5" borderId="5" xfId="0" applyFont="1" applyFill="1" applyBorder="1">
      <alignment vertical="center"/>
    </xf>
    <xf numFmtId="0" fontId="14" fillId="5" borderId="0" xfId="0" applyFont="1" applyFill="1" applyBorder="1">
      <alignment vertical="center"/>
    </xf>
    <xf numFmtId="0" fontId="14" fillId="5" borderId="6" xfId="0" applyFont="1" applyFill="1" applyBorder="1">
      <alignment vertical="center"/>
    </xf>
    <xf numFmtId="0" fontId="14" fillId="5" borderId="7" xfId="0" applyFont="1" applyFill="1" applyBorder="1">
      <alignment vertical="center"/>
    </xf>
    <xf numFmtId="0" fontId="14" fillId="5" borderId="8" xfId="0" applyFont="1" applyFill="1" applyBorder="1">
      <alignment vertical="center"/>
    </xf>
    <xf numFmtId="0" fontId="14" fillId="5" borderId="9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>
      <alignment vertical="center"/>
    </xf>
    <xf numFmtId="0" fontId="16" fillId="0" borderId="0" xfId="0" applyFont="1" applyFill="1">
      <alignment vertical="center"/>
    </xf>
    <xf numFmtId="0" fontId="9" fillId="0" borderId="0" xfId="0" applyFont="1" applyFill="1">
      <alignment vertical="center"/>
    </xf>
    <xf numFmtId="14" fontId="9" fillId="0" borderId="0" xfId="0" applyNumberFormat="1" applyFont="1" applyFill="1">
      <alignment vertical="center"/>
    </xf>
    <xf numFmtId="49" fontId="10" fillId="0" borderId="0" xfId="0" applyNumberFormat="1" applyFont="1" applyFill="1">
      <alignment vertical="center"/>
    </xf>
    <xf numFmtId="0" fontId="10" fillId="0" borderId="0" xfId="0" applyNumberFormat="1" applyFont="1" applyFill="1">
      <alignment vertical="center"/>
    </xf>
    <xf numFmtId="0" fontId="10" fillId="0" borderId="0" xfId="0" quotePrefix="1" applyNumberFormat="1" applyFont="1" applyFill="1">
      <alignment vertical="center"/>
    </xf>
    <xf numFmtId="0" fontId="10" fillId="0" borderId="0" xfId="0" applyFont="1" applyFill="1" applyAlignment="1">
      <alignment horizontal="left" vertical="center"/>
    </xf>
    <xf numFmtId="21" fontId="10" fillId="0" borderId="0" xfId="0" applyNumberFormat="1" applyFont="1" applyFill="1">
      <alignment vertical="center"/>
    </xf>
    <xf numFmtId="177" fontId="10" fillId="0" borderId="0" xfId="0" applyNumberFormat="1" applyFont="1" applyFill="1">
      <alignment vertical="center"/>
    </xf>
    <xf numFmtId="41" fontId="0" fillId="0" borderId="1" xfId="3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49" fontId="13" fillId="3" borderId="10" xfId="0" applyNumberFormat="1" applyFont="1" applyFill="1" applyBorder="1" applyAlignment="1">
      <alignment horizontal="center" vertical="center"/>
    </xf>
    <xf numFmtId="49" fontId="13" fillId="3" borderId="11" xfId="0" applyNumberFormat="1" applyFont="1" applyFill="1" applyBorder="1" applyAlignment="1">
      <alignment horizontal="center" vertical="center"/>
    </xf>
    <xf numFmtId="49" fontId="13" fillId="3" borderId="12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80" fontId="7" fillId="0" borderId="2" xfId="0" applyNumberFormat="1" applyFont="1" applyBorder="1" applyAlignment="1">
      <alignment horizontal="right" vertical="center"/>
    </xf>
    <xf numFmtId="49" fontId="1" fillId="0" borderId="0" xfId="4" applyNumberFormat="1">
      <alignment vertical="center"/>
    </xf>
    <xf numFmtId="180" fontId="7" fillId="0" borderId="3" xfId="0" applyNumberFormat="1" applyFont="1" applyBorder="1" applyAlignment="1">
      <alignment horizontal="right" vertical="center"/>
    </xf>
    <xf numFmtId="180" fontId="7" fillId="0" borderId="4" xfId="0" applyNumberFormat="1" applyFont="1" applyBorder="1" applyAlignment="1">
      <alignment horizontal="right" vertical="center"/>
    </xf>
    <xf numFmtId="180" fontId="7" fillId="0" borderId="5" xfId="0" applyNumberFormat="1" applyFont="1" applyBorder="1" applyAlignment="1">
      <alignment horizontal="right" vertical="center"/>
    </xf>
    <xf numFmtId="180" fontId="7" fillId="0" borderId="0" xfId="0" applyNumberFormat="1" applyFont="1" applyBorder="1" applyAlignment="1">
      <alignment horizontal="right" vertical="center"/>
    </xf>
    <xf numFmtId="180" fontId="7" fillId="0" borderId="6" xfId="0" applyNumberFormat="1" applyFont="1" applyBorder="1" applyAlignment="1">
      <alignment horizontal="right" vertical="center"/>
    </xf>
    <xf numFmtId="180" fontId="7" fillId="0" borderId="7" xfId="0" applyNumberFormat="1" applyFont="1" applyBorder="1" applyAlignment="1">
      <alignment horizontal="right" vertical="center"/>
    </xf>
    <xf numFmtId="180" fontId="7" fillId="0" borderId="8" xfId="0" applyNumberFormat="1" applyFont="1" applyBorder="1" applyAlignment="1">
      <alignment horizontal="right" vertical="center"/>
    </xf>
    <xf numFmtId="180" fontId="7" fillId="0" borderId="9" xfId="0" applyNumberFormat="1" applyFont="1" applyBorder="1" applyAlignment="1">
      <alignment horizontal="right" vertical="center"/>
    </xf>
    <xf numFmtId="180" fontId="7" fillId="0" borderId="2" xfId="3" applyNumberFormat="1" applyFont="1" applyBorder="1" applyAlignment="1">
      <alignment horizontal="right" vertical="center"/>
    </xf>
    <xf numFmtId="180" fontId="7" fillId="0" borderId="3" xfId="3" applyNumberFormat="1" applyFont="1" applyBorder="1" applyAlignment="1">
      <alignment horizontal="right" vertical="center"/>
    </xf>
    <xf numFmtId="180" fontId="7" fillId="0" borderId="4" xfId="3" applyNumberFormat="1" applyFont="1" applyBorder="1" applyAlignment="1">
      <alignment horizontal="right" vertical="center"/>
    </xf>
    <xf numFmtId="180" fontId="7" fillId="0" borderId="5" xfId="3" applyNumberFormat="1" applyFont="1" applyBorder="1" applyAlignment="1">
      <alignment horizontal="right" vertical="center"/>
    </xf>
    <xf numFmtId="180" fontId="7" fillId="0" borderId="0" xfId="3" applyNumberFormat="1" applyFont="1" applyBorder="1" applyAlignment="1">
      <alignment horizontal="right" vertical="center"/>
    </xf>
    <xf numFmtId="180" fontId="7" fillId="0" borderId="6" xfId="3" applyNumberFormat="1" applyFont="1" applyBorder="1" applyAlignment="1">
      <alignment horizontal="right" vertical="center"/>
    </xf>
    <xf numFmtId="182" fontId="7" fillId="0" borderId="5" xfId="0" applyNumberFormat="1" applyFont="1" applyBorder="1" applyAlignment="1">
      <alignment horizontal="right" vertical="center"/>
    </xf>
    <xf numFmtId="182" fontId="7" fillId="0" borderId="0" xfId="0" applyNumberFormat="1" applyFont="1" applyBorder="1" applyAlignment="1">
      <alignment horizontal="right" vertical="center"/>
    </xf>
    <xf numFmtId="182" fontId="7" fillId="0" borderId="6" xfId="0" applyNumberFormat="1" applyFont="1" applyBorder="1" applyAlignment="1">
      <alignment horizontal="right" vertical="center"/>
    </xf>
    <xf numFmtId="182" fontId="7" fillId="0" borderId="7" xfId="0" applyNumberFormat="1" applyFont="1" applyBorder="1" applyAlignment="1">
      <alignment horizontal="right" vertical="center"/>
    </xf>
    <xf numFmtId="182" fontId="7" fillId="0" borderId="8" xfId="0" applyNumberFormat="1" applyFont="1" applyBorder="1" applyAlignment="1">
      <alignment horizontal="right" vertical="center"/>
    </xf>
    <xf numFmtId="182" fontId="7" fillId="0" borderId="9" xfId="0" applyNumberFormat="1" applyFont="1" applyBorder="1" applyAlignment="1">
      <alignment horizontal="right" vertical="center"/>
    </xf>
    <xf numFmtId="182" fontId="7" fillId="0" borderId="2" xfId="0" applyNumberFormat="1" applyFont="1" applyBorder="1" applyAlignment="1">
      <alignment horizontal="right" vertical="center"/>
    </xf>
    <xf numFmtId="182" fontId="7" fillId="0" borderId="3" xfId="0" applyNumberFormat="1" applyFont="1" applyBorder="1" applyAlignment="1">
      <alignment horizontal="right" vertical="center"/>
    </xf>
    <xf numFmtId="182" fontId="7" fillId="0" borderId="4" xfId="0" applyNumberFormat="1" applyFon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82" fontId="0" fillId="0" borderId="10" xfId="0" applyNumberFormat="1" applyBorder="1" applyAlignment="1">
      <alignment horizontal="right" vertical="center"/>
    </xf>
    <xf numFmtId="182" fontId="0" fillId="0" borderId="11" xfId="0" applyNumberFormat="1" applyBorder="1" applyAlignment="1">
      <alignment horizontal="right" vertical="center"/>
    </xf>
    <xf numFmtId="182" fontId="0" fillId="0" borderId="12" xfId="0" applyNumberFormat="1" applyBorder="1" applyAlignment="1">
      <alignment horizontal="right" vertical="center"/>
    </xf>
    <xf numFmtId="182" fontId="0" fillId="0" borderId="0" xfId="0" applyNumberFormat="1">
      <alignment vertical="center"/>
    </xf>
    <xf numFmtId="180" fontId="0" fillId="0" borderId="1" xfId="3" applyNumberFormat="1" applyFont="1" applyBorder="1" applyAlignment="1">
      <alignment horizontal="right" vertical="center"/>
    </xf>
  </cellXfs>
  <cellStyles count="5">
    <cellStyle name="쉼표 [0]" xfId="3" builtinId="6"/>
    <cellStyle name="쉼표 [0] 2" xfId="2"/>
    <cellStyle name="표준" xfId="0" builtinId="0"/>
    <cellStyle name="표준 2" xfId="1"/>
    <cellStyle name="표준 3" xfId="4"/>
  </cellStyles>
  <dxfs count="0"/>
  <tableStyles count="0" defaultTableStyle="TableStyleMedium9" defaultPivotStyle="PivotStyleLight16"/>
  <colors>
    <mruColors>
      <color rgb="FF336699"/>
      <color rgb="FF3366CC"/>
      <color rgb="FF0066FF"/>
      <color rgb="FF99CCFF"/>
      <color rgb="FFFF9966"/>
      <color rgb="FFCCECFF"/>
      <color rgb="FF0168FF"/>
      <color rgb="FF6666FF"/>
      <color rgb="FFCCCCFF"/>
      <color rgb="FFFF3399"/>
    </mruColors>
  </colors>
</styleSheet>
</file>

<file path=xl/volatileDependencies.xml><?xml version="1.0" encoding="utf-8"?>
<volTypes xmlns="http://schemas.openxmlformats.org/spreadsheetml/2006/main">
  <volType type="realTimeData">
    <main first="infomax.xlrtd">
      <tp>
        <v>70</v>
        <stp/>
        <stp>P</stp>
        <stp>0</stp>
        <stp>IDX</stp>
        <stp>013</stp>
        <stp>거래종목수</stp>
        <stp>45791</stp>
        <stp/>
        <tr r="AY13" s="1"/>
      </tp>
      <tp>
        <v>470.99</v>
        <stp/>
        <stp>P</stp>
        <stp>0</stp>
        <stp>STK</stp>
        <stp>005930</stp>
        <stp>순이익증가율</stp>
        <stp>45473</stp>
        <stp>CONS=연결우선,COMP=순,TRAI=연속</stp>
        <tr r="AF83" s="1"/>
      </tp>
      <tp>
        <v>72.84</v>
        <stp/>
        <stp>P</stp>
        <stp>0</stp>
        <stp>STK</stp>
        <stp>005930</stp>
        <stp>순이익증가율</stp>
        <stp>45565</stp>
        <stp>CONS=연결우선,COMP=순,TRAI=연속</stp>
        <tr r="AF82" s="1"/>
      </tp>
      <tp>
        <v>22.22</v>
        <stp/>
        <stp>P</stp>
        <stp>0</stp>
        <stp>STK</stp>
        <stp>005930</stp>
        <stp>순이익증가율</stp>
        <stp>45657</stp>
        <stp>CONS=연결우선,COMP=순,TRAI=연속</stp>
        <tr r="AF81" s="1"/>
      </tp>
      <tp t="s">
        <v/>
        <stp/>
        <stp>P</stp>
        <stp>0</stp>
        <stp>STK</stp>
        <stp>005930</stp>
        <stp>순이익증가율</stp>
        <stp>45747</stp>
        <stp>CONS=연결우선,COMP=순,TRAI=연속</stp>
        <tr r="AF80" s="1"/>
      </tp>
      <tp>
        <v>0.62640200000000001</v>
        <stp/>
        <stp>P</stp>
        <stp>0</stp>
        <stp>STK</stp>
        <stp>005930</stp>
        <stp>전년기준배당수익률</stp>
        <stp/>
        <stp/>
        <tr r="J14" s="1"/>
      </tp>
      <tp>
        <v>-84.47</v>
        <stp/>
        <stp>P</stp>
        <stp>0</stp>
        <stp>STK</stp>
        <stp>005930</stp>
        <stp>순이익증가율</stp>
        <stp>45107</stp>
        <stp>CONS=연결우선,COMP=순,TRAI=연속</stp>
        <tr r="AF87" s="1"/>
      </tp>
      <tp>
        <v>30</v>
        <stp/>
        <stp>P</stp>
        <stp>0</stp>
        <stp>IDX</stp>
        <stp>013</stp>
        <stp>상승종목수</stp>
        <stp/>
        <stp/>
        <tr r="AY7" s="1"/>
      </tp>
      <tp>
        <v>20250331</v>
        <stp/>
        <stp>P</stp>
        <stp>0</stp>
        <stp>STK</stp>
        <stp>005930</stp>
        <stp>매출액(영업수익)</stp>
        <stp/>
        <stp>FILL=TRUE,CONS=연결우선,COMP=순,TRAI=연속,DISP=DATE</stp>
        <tr r="A84" s="1"/>
      </tp>
      <tp>
        <v>-37.76</v>
        <stp/>
        <stp>P</stp>
        <stp>0</stp>
        <stp>STK</stp>
        <stp>005930</stp>
        <stp>순이익증가율</stp>
        <stp>45199</stp>
        <stp>CONS=연결우선,COMP=순,TRAI=연속</stp>
        <tr r="AF86" s="1"/>
      </tp>
      <tp>
        <v>-73.39</v>
        <stp/>
        <stp>P</stp>
        <stp>0</stp>
        <stp>STK</stp>
        <stp>005930</stp>
        <stp>순이익증가율</stp>
        <stp>45291</stp>
        <stp>CONS=연결우선,COMP=순,TRAI=연속</stp>
        <tr r="AF85" s="1"/>
      </tp>
      <tp>
        <v>328.98</v>
        <stp/>
        <stp>P</stp>
        <stp>0</stp>
        <stp>STK</stp>
        <stp>005930</stp>
        <stp>순이익증가율</stp>
        <stp>45382</stp>
        <stp>CONS=연결우선,COMP=순,TRAI=연속</stp>
        <tr r="AF84" s="1"/>
      </tp>
      <tp>
        <v>7754394000</v>
        <stp/>
        <stp>P</stp>
        <stp>0</stp>
        <stp>STK</stp>
        <stp>005930</stp>
        <stp>당기순이익(포괄손익계산서)</stp>
        <stp>45657</stp>
        <stp>CONS=연결우선,COMP=순,TRAI=연속</stp>
        <tr r="AA81" s="1"/>
      </tp>
      <tp>
        <v>8222900000</v>
        <stp/>
        <stp>P</stp>
        <stp>0</stp>
        <stp>STK</stp>
        <stp>005930</stp>
        <stp>당기순이익(포괄손익계산서)</stp>
        <stp>45747</stp>
        <stp>CONS=연결우선,COMP=순,TRAI=연속</stp>
        <tr r="AA80" s="1"/>
      </tp>
      <tp>
        <v>9841345000</v>
        <stp/>
        <stp>P</stp>
        <stp>0</stp>
        <stp>STK</stp>
        <stp>005930</stp>
        <stp>당기순이익(포괄손익계산서)</stp>
        <stp>45473</stp>
        <stp>CONS=연결우선,COMP=순,TRAI=연속</stp>
        <tr r="AA83" s="1"/>
      </tp>
      <tp>
        <v>10100904000</v>
        <stp/>
        <stp>P</stp>
        <stp>0</stp>
        <stp>STK</stp>
        <stp>005930</stp>
        <stp>당기순이익(포괄손익계산서)</stp>
        <stp>45565</stp>
        <stp>CONS=연결우선,COMP=순,TRAI=연속</stp>
        <tr r="AA82" s="1"/>
      </tp>
      <tp>
        <v>-10690841</v>
        <stp/>
        <stp>P</stp>
        <stp>0</stp>
        <stp>STK</stp>
        <stp>005930</stp>
        <stp>연기금순매수금액</stp>
        <stp/>
        <stp/>
        <tr r="CZ15" s="1"/>
      </tp>
      <tp>
        <v>1723571000</v>
        <stp/>
        <stp>P</stp>
        <stp>0</stp>
        <stp>STK</stp>
        <stp>005930</stp>
        <stp>당기순이익(포괄손익계산서)</stp>
        <stp>45107</stp>
        <stp>CONS=연결우선,COMP=순,TRAI=연속</stp>
        <tr r="AA87" s="1"/>
      </tp>
      <tp>
        <v>0</v>
        <stp/>
        <stp>H</stp>
        <stp>x1.0sq41</stp>
        <stp>22</stp>
        <stp>140172</stp>
        <tr r="DJ4" s="1"/>
      </tp>
      <tp>
        <v>0</v>
        <stp/>
        <stp>H</stp>
        <stp>x2.0sq41</stp>
        <stp>23</stp>
        <stp>140172</stp>
        <tr r="DI4" s="1"/>
      </tp>
      <tp>
        <v>0</v>
        <stp/>
        <stp>H</stp>
        <stp>x4.0sq41</stp>
        <stp>24</stp>
        <stp>140172</stp>
        <tr r="DQ4" s="1"/>
      </tp>
      <tp>
        <v>0</v>
        <stp/>
        <stp>H</stp>
        <stp>x5.0sq41</stp>
        <stp>25</stp>
        <stp>140172</stp>
        <tr r="DL4" s="1"/>
      </tp>
      <tp>
        <v>0</v>
        <stp/>
        <stp>H</stp>
        <stp>x6.0sq41</stp>
        <stp>27</stp>
        <stp>140172</stp>
        <tr r="DE4" s="1"/>
      </tp>
      <tp>
        <v>0</v>
        <stp/>
        <stp>H</stp>
        <stp>x7.0sq41</stp>
        <stp>28</stp>
        <stp>140172</stp>
        <tr r="DG4" s="1"/>
      </tp>
      <tp t="s">
        <v>삼성전자</v>
        <stp/>
        <stp>P</stp>
        <stp>0</stp>
        <stp>STK</stp>
        <stp>005930</stp>
        <stp>한글종목명</stp>
        <stp/>
        <stp/>
        <tr r="K4" s="1"/>
      </tp>
      <tp>
        <v>-9467831</v>
        <stp/>
        <stp>P</stp>
        <stp>0</stp>
        <stp>STK</stp>
        <stp>005930</stp>
        <stp>외국인순매수금액</stp>
        <stp/>
        <stp/>
        <tr r="CZ18" s="1"/>
      </tp>
      <tp>
        <v>3</v>
        <stp/>
        <stp>P</stp>
        <stp>0</stp>
        <stp>IDX</stp>
        <stp>013</stp>
        <stp>보합종목수</stp>
        <stp/>
        <stp/>
        <tr r="AY9" s="1"/>
      </tp>
      <tp>
        <v>-301521</v>
        <stp/>
        <stp>P</stp>
        <stp>0</stp>
        <stp>STK</stp>
        <stp>005930</stp>
        <stp>종신금순매수금액</stp>
        <stp/>
        <stp/>
        <tr r="CZ14" s="1"/>
      </tp>
      <tp>
        <v>-123630</v>
        <stp/>
        <stp>P</stp>
        <stp>0</stp>
        <stp>STK</stp>
        <stp>005930</stp>
        <stp>외인기타순매수금액</stp>
        <stp/>
        <stp/>
        <tr r="CZ17" s="1"/>
      </tp>
      <tp>
        <v>6344758000</v>
        <stp/>
        <stp>P</stp>
        <stp>0</stp>
        <stp>STK</stp>
        <stp>005930</stp>
        <stp>당기순이익(포괄손익계산서)</stp>
        <stp>45291</stp>
        <stp>CONS=연결우선,COMP=순,TRAI=연속</stp>
        <tr r="AA85" s="1"/>
      </tp>
      <tp>
        <v>5844171000</v>
        <stp/>
        <stp>P</stp>
        <stp>0</stp>
        <stp>STK</stp>
        <stp>005930</stp>
        <stp>당기순이익(포괄손익계산서)</stp>
        <stp>45199</stp>
        <stp>CONS=연결우선,COMP=순,TRAI=연속</stp>
        <tr r="AA86" s="1"/>
      </tp>
      <tp>
        <v>6754708000</v>
        <stp/>
        <stp>P</stp>
        <stp>0</stp>
        <stp>STK</stp>
        <stp>005930</stp>
        <stp>당기순이익(포괄손익계산서)</stp>
        <stp>45382</stp>
        <stp>CONS=연결우선,COMP=순,TRAI=연속</stp>
        <tr r="AA84" s="1"/>
      </tp>
      <tp>
        <v>0.96</v>
        <stp/>
        <stp>P</stp>
        <stp>0</stp>
        <stp>STK</stp>
        <stp>005930</stp>
        <stp>등락률</stp>
        <stp/>
        <stp/>
        <tr r="J8" s="1"/>
      </tp>
      <tp>
        <v>0</v>
        <stp/>
        <stp>P</stp>
        <stp>0</stp>
        <stp>STK</stp>
        <stp>005930</stp>
        <stp>외국인보유율(전일대비증감)</stp>
        <stp/>
        <stp/>
        <tr r="J11" s="1"/>
      </tp>
      <tp t="s">
        <v>코스피 전기/전자</v>
        <stp/>
        <stp>P</stp>
        <stp>0</stp>
        <stp>STK</stp>
        <stp>005930</stp>
        <stp>업종코드</stp>
        <stp/>
        <stp/>
        <tr r="A2" s="1"/>
        <tr r="AU6" s="1"/>
      </tp>
      <tp>
        <v>58600</v>
        <stp/>
        <stp>P</stp>
        <stp>0</stp>
        <stp>STK</stp>
        <stp>005930</stp>
        <stp>고가</stp>
        <stp/>
        <stp/>
        <tr r="W7" s="1"/>
      </tp>
      <tp>
        <v>57150</v>
        <stp/>
        <stp>P</stp>
        <stp>0</stp>
        <stp>STK</stp>
        <stp>005930</stp>
        <stp>저가</stp>
        <stp/>
        <stp/>
        <tr r="W8" s="1"/>
      </tp>
      <tp>
        <v>57400</v>
        <stp/>
        <stp>P</stp>
        <stp>0</stp>
        <stp>STK</stp>
        <stp>005930</stp>
        <stp>시가</stp>
        <stp/>
        <stp/>
        <tr r="W6" s="1"/>
      </tp>
      <tp>
        <v>23305.759999999998</v>
        <stp/>
        <stp>P</stp>
        <stp>0</stp>
        <stp>IDX</stp>
        <stp>013</stp>
        <stp>현재가</stp>
        <stp/>
        <stp/>
        <tr r="AY6" s="1"/>
        <tr r="A4" s="1"/>
        <tr r="AY12" s="1"/>
      </tp>
      <tp>
        <v>-9591461</v>
        <stp/>
        <stp>P</stp>
        <stp>0</stp>
        <stp>STK</stp>
        <stp>005930</stp>
        <stp>외국인합순매수금액</stp>
        <stp/>
        <stp/>
        <tr r="CZ6" s="1"/>
      </tp>
      <tp>
        <v>0.24</v>
        <stp/>
        <stp>P</stp>
        <stp>0</stp>
        <stp>STK</stp>
        <stp>005930</stp>
        <stp>종목신용잔고율</stp>
        <stp/>
        <stp/>
        <tr r="AK14" s="1"/>
      </tp>
      <tp>
        <v>42.59</v>
        <stp/>
        <stp>P</stp>
        <stp>0</stp>
        <stp>IDX</stp>
        <stp>013</stp>
        <stp>외국인보유비중(시총)</stp>
        <stp>45791</stp>
        <stp/>
        <tr r="AY11" s="1"/>
      </tp>
      <tp>
        <v>57950</v>
        <stp/>
        <stp>P</stp>
        <stp>0</stp>
        <stp>STK</stp>
        <stp>005930</stp>
        <stp>현재가</stp>
        <stp/>
        <stp/>
        <tr r="J6" s="1"/>
      </tp>
      <tp>
        <v>34862169700</v>
        <stp/>
        <stp>P</stp>
        <stp>0</stp>
        <stp>STK</stp>
        <stp>005930</stp>
        <stp>공매도금액</stp>
        <stp>45791</stp>
        <stp/>
        <tr r="AK7" s="1"/>
      </tp>
      <tp>
        <v>607315</v>
        <stp/>
        <stp>P</stp>
        <stp>0</stp>
        <stp>STK</stp>
        <stp>005930</stp>
        <stp>공매도수량</stp>
        <stp>45791</stp>
        <stp/>
        <tr r="AK6" s="1"/>
      </tp>
      <tp>
        <v>5066863</v>
        <stp/>
        <stp>P</stp>
        <stp>0</stp>
        <stp>STK</stp>
        <stp>005930</stp>
        <stp>누적거래량</stp>
        <stp/>
        <stp/>
        <tr r="J9" s="1"/>
      </tp>
      <tp>
        <v>0</v>
        <stp/>
        <stp>H</stp>
        <stp>x3.0sq41</stp>
        <stp>3</stp>
        <stp>140172</stp>
        <tr r="DH4" s="1"/>
      </tp>
      <tp>
        <v>5640516960400</v>
        <stp/>
        <stp>P</stp>
        <stp>0</stp>
        <stp>STK</stp>
        <stp>005930</stp>
        <stp>종목대차잔고금액</stp>
        <stp/>
        <stp/>
        <tr r="AK10" s="1"/>
      </tp>
      <tp>
        <v>668547000</v>
        <stp/>
        <stp>P</stp>
        <stp>0</stp>
        <stp>STK</stp>
        <stp>005930</stp>
        <stp>영업이익</stp>
        <stp>45107</stp>
        <stp>CONS=연결우선,COMP=순,TRAI=연속</stp>
        <tr r="Q87" s="1"/>
      </tp>
      <tp>
        <v>10443878000</v>
        <stp/>
        <stp>P</stp>
        <stp>0</stp>
        <stp>STK</stp>
        <stp>005930</stp>
        <stp>영업이익</stp>
        <stp>45473</stp>
        <stp>CONS=연결우선,COMP=순,TRAI=연속</stp>
        <tr r="Q83" s="1"/>
      </tp>
      <tp>
        <v>9183371000</v>
        <stp/>
        <stp>P</stp>
        <stp>0</stp>
        <stp>STK</stp>
        <stp>005930</stp>
        <stp>영업이익</stp>
        <stp>45565</stp>
        <stp>CONS=연결우선,COMP=순,TRAI=연속</stp>
        <tr r="Q82" s="1"/>
      </tp>
      <tp>
        <v>6492703000</v>
        <stp/>
        <stp>P</stp>
        <stp>0</stp>
        <stp>STK</stp>
        <stp>005930</stp>
        <stp>영업이익</stp>
        <stp>45657</stp>
        <stp>CONS=연결우선,COMP=순,TRAI=연속</stp>
        <tr r="Q81" s="1"/>
      </tp>
      <tp>
        <v>6685300000</v>
        <stp/>
        <stp>P</stp>
        <stp>0</stp>
        <stp>STK</stp>
        <stp>005930</stp>
        <stp>영업이익</stp>
        <stp>45747</stp>
        <stp>CONS=연결우선,COMP=순,TRAI=연속</stp>
        <tr r="Q80" s="1"/>
      </tp>
      <tp>
        <v>2433534000</v>
        <stp/>
        <stp>P</stp>
        <stp>0</stp>
        <stp>STK</stp>
        <stp>005930</stp>
        <stp>영업이익</stp>
        <stp>45199</stp>
        <stp>CONS=연결우선,COMP=순,TRAI=연속</stp>
        <tr r="Q86" s="1"/>
      </tp>
      <tp>
        <v>2824717000</v>
        <stp/>
        <stp>P</stp>
        <stp>0</stp>
        <stp>STK</stp>
        <stp>005930</stp>
        <stp>영업이익</stp>
        <stp>45291</stp>
        <stp>CONS=연결우선,COMP=순,TRAI=연속</stp>
        <tr r="Q85" s="1"/>
      </tp>
      <tp>
        <v>6606009000</v>
        <stp/>
        <stp>P</stp>
        <stp>0</stp>
        <stp>STK</stp>
        <stp>005930</stp>
        <stp>영업이익</stp>
        <stp>45382</stp>
        <stp>CONS=연결우선,COMP=순,TRAI=연속</stp>
        <tr r="Q84" s="1"/>
      </tp>
      <tp>
        <v>2602804</v>
        <stp/>
        <stp>P</stp>
        <stp>0</stp>
        <stp>IDX</stp>
        <stp>013</stp>
        <stp>공매도거래량</stp>
        <stp>45791</stp>
        <stp/>
        <tr r="AY14" s="1"/>
      </tp>
      <tp>
        <v>72049188</v>
        <stp/>
        <stp>P</stp>
        <stp>0</stp>
        <stp>STK</stp>
        <stp>005930</stp>
        <stp>증권/선물순매수금액</stp>
        <stp/>
        <stp/>
        <tr r="CZ9" s="1"/>
      </tp>
      <tp>
        <v>5579550</v>
        <stp/>
        <stp>P</stp>
        <stp>0</stp>
        <stp>STK</stp>
        <stp>005930</stp>
        <stp>사모펀드순매수금액</stp>
        <stp/>
        <stp/>
        <tr r="CZ11" s="1"/>
      </tp>
      <tp>
        <v>-58807014</v>
        <stp/>
        <stp>P</stp>
        <stp>0</stp>
        <stp>STK</stp>
        <stp>005930</stp>
        <stp>개인순매수금액</stp>
        <stp/>
        <stp/>
        <tr r="CZ7" s="1"/>
      </tp>
      <tp>
        <v>-2431213</v>
        <stp/>
        <stp>P</stp>
        <stp>0</stp>
        <stp>STK</stp>
        <stp>005930</stp>
        <stp>기타순매수금액</stp>
        <stp/>
        <stp/>
        <tr r="CZ8" s="1"/>
      </tp>
      <tp>
        <v>70829690</v>
        <stp/>
        <stp>P</stp>
        <stp>0</stp>
        <stp>STK</stp>
        <stp>005930</stp>
        <stp>기관순매수금액</stp>
        <stp/>
        <stp/>
        <tr r="CZ5" s="1"/>
      </tp>
      <tp>
        <v>6425</v>
        <stp/>
        <stp>P</stp>
        <stp>0</stp>
        <stp>STK</stp>
        <stp>005930</stp>
        <stp>보험순매수금액</stp>
        <stp/>
        <stp/>
        <tr r="CZ13" s="1"/>
      </tp>
      <tp>
        <v>2865484</v>
        <stp/>
        <stp>P</stp>
        <stp>0</stp>
        <stp>STK</stp>
        <stp>005930</stp>
        <stp>은행순매수금액</stp>
        <stp/>
        <stp/>
        <tr r="CZ12" s="1"/>
      </tp>
      <tp>
        <v>1321405</v>
        <stp/>
        <stp>P</stp>
        <stp>0</stp>
        <stp>STK</stp>
        <stp>005930</stp>
        <stp>투신순매수금액</stp>
        <stp/>
        <stp/>
        <tr r="CZ10" s="1"/>
      </tp>
      <tp>
        <v>343043017579900</v>
        <stp/>
        <stp>P</stp>
        <stp>0</stp>
        <stp>STK</stp>
        <stp>005930</stp>
        <stp>시가총액</stp>
        <stp/>
        <stp/>
        <tr r="J12" s="1"/>
      </tp>
      <tp>
        <v>60005533000</v>
        <stp/>
        <stp>P</stp>
        <stp>0</stp>
        <stp>STK</stp>
        <stp>005930</stp>
        <stp>매출액(영업수익)</stp>
        <stp>45107</stp>
        <stp>CONS=연결우선,COMP=순,TRAI=연속</stp>
        <tr r="G87" s="1"/>
      </tp>
      <tp>
        <v>0</v>
        <stp/>
        <stp>P</stp>
        <stp>0</stp>
        <stp>STK</stp>
        <stp>005930</stp>
        <stp>외국인보유율(당일)</stp>
        <stp/>
        <stp/>
        <tr r="J10" s="1"/>
      </tp>
      <tp>
        <v>79140500000</v>
        <stp/>
        <stp>P</stp>
        <stp>0</stp>
        <stp>STK</stp>
        <stp>005930</stp>
        <stp>매출액(영업수익)</stp>
        <stp>45747</stp>
        <stp>CONS=연결우선,COMP=순,TRAI=연속</stp>
        <tr r="G80" s="1"/>
      </tp>
      <tp>
        <v>75788269000</v>
        <stp/>
        <stp>P</stp>
        <stp>0</stp>
        <stp>STK</stp>
        <stp>005930</stp>
        <stp>매출액(영업수익)</stp>
        <stp>45657</stp>
        <stp>CONS=연결우선,COMP=순,TRAI=연속</stp>
        <tr r="G81" s="1"/>
      </tp>
      <tp>
        <v>79098731000</v>
        <stp/>
        <stp>P</stp>
        <stp>0</stp>
        <stp>STK</stp>
        <stp>005930</stp>
        <stp>매출액(영업수익)</stp>
        <stp>45565</stp>
        <stp>CONS=연결우선,COMP=순,TRAI=연속</stp>
        <tr r="G82" s="1"/>
      </tp>
      <tp>
        <v>74068302000</v>
        <stp/>
        <stp>P</stp>
        <stp>0</stp>
        <stp>STK</stp>
        <stp>005930</stp>
        <stp>매출액(영업수익)</stp>
        <stp>45473</stp>
        <stp>CONS=연결우선,COMP=순,TRAI=연속</stp>
        <tr r="G83" s="1"/>
      </tp>
      <tp>
        <v>71915601000</v>
        <stp/>
        <stp>P</stp>
        <stp>0</stp>
        <stp>STK</stp>
        <stp>005930</stp>
        <stp>매출액(영업수익)</stp>
        <stp>45382</stp>
        <stp>CONS=연결우선,COMP=순,TRAI=연속</stp>
        <tr r="G84" s="1"/>
      </tp>
      <tp>
        <v>67779938000</v>
        <stp/>
        <stp>P</stp>
        <stp>0</stp>
        <stp>STK</stp>
        <stp>005930</stp>
        <stp>매출액(영업수익)</stp>
        <stp>45291</stp>
        <stp>CONS=연결우선,COMP=순,TRAI=연속</stp>
        <tr r="G85" s="1"/>
      </tp>
      <tp>
        <v>67404652000</v>
        <stp/>
        <stp>P</stp>
        <stp>0</stp>
        <stp>STK</stp>
        <stp>005930</stp>
        <stp>매출액(영업수익)</stp>
        <stp>45199</stp>
        <stp>CONS=연결우선,COMP=순,TRAI=연속</stp>
        <tr r="G86" s="1"/>
      </tp>
      <tp>
        <v>12.82</v>
        <stp/>
        <stp>P</stp>
        <stp>0</stp>
        <stp>STK</stp>
        <stp>005930</stp>
        <stp>매출액(영업수익)증가율</stp>
        <stp>45382</stp>
        <stp>CONS=연결우선,COMP=순,TRAI=연속</stp>
        <tr r="L84" s="1"/>
      </tp>
      <tp>
        <v>307069705204062</v>
        <stp/>
        <stp>P</stp>
        <stp>0</stp>
        <stp>IDX</stp>
        <stp>013</stp>
        <stp>외국인보유시총</stp>
        <stp>45791</stp>
        <stp/>
        <tr r="AY10" s="1"/>
      </tp>
      <tp>
        <v>58600</v>
        <stp/>
        <stp>P</stp>
        <stp>0</stp>
        <stp>STK</stp>
        <stp>005930</stp>
        <stp>5일최고가</stp>
        <stp/>
        <stp/>
        <tr r="W9" s="1"/>
      </tp>
      <tp>
        <v>54400</v>
        <stp/>
        <stp>P</stp>
        <stp>0</stp>
        <stp>STK</stp>
        <stp>005930</stp>
        <stp>5일최저가</stp>
        <stp/>
        <stp/>
        <tr r="W10" s="1"/>
      </tp>
      <tp>
        <v>-3.81</v>
        <stp/>
        <stp>P</stp>
        <stp>0</stp>
        <stp>STK</stp>
        <stp>005930</stp>
        <stp>매출액(영업수익)증가율</stp>
        <stp>45291</stp>
        <stp>CONS=연결우선,COMP=순,TRAI=연속</stp>
        <tr r="L85" s="1"/>
      </tp>
      <tp>
        <v>-12.21</v>
        <stp/>
        <stp>P</stp>
        <stp>0</stp>
        <stp>STK</stp>
        <stp>005930</stp>
        <stp>매출액(영업수익)증가율</stp>
        <stp>45199</stp>
        <stp>CONS=연결우선,COMP=순,TRAI=연속</stp>
        <tr r="L86" s="1"/>
      </tp>
      <tp>
        <v>550</v>
        <stp/>
        <stp>P</stp>
        <stp>0</stp>
        <stp>STK</stp>
        <stp>005930</stp>
        <stp>전일대비</stp>
        <stp/>
        <stp/>
        <tr r="J7" s="1"/>
      </tp>
      <tp>
        <v>1.66</v>
        <stp/>
        <stp>P</stp>
        <stp>0</stp>
        <stp>STK</stp>
        <stp>005930</stp>
        <stp>종목대차잔고율</stp>
        <stp/>
        <stp/>
        <tr r="AK11" s="1"/>
      </tp>
      <tp>
        <v>-22.28</v>
        <stp/>
        <stp>P</stp>
        <stp>0</stp>
        <stp>STK</stp>
        <stp>005930</stp>
        <stp>매출액(영업수익)증가율</stp>
        <stp>45107</stp>
        <stp>CONS=연결우선,COMP=순,TRAI=연속</stp>
        <tr r="L87" s="1"/>
      </tp>
      <tp>
        <v>17.350000000000001</v>
        <stp/>
        <stp>P</stp>
        <stp>0</stp>
        <stp>STK</stp>
        <stp>005930</stp>
        <stp>매출액(영업수익)증가율</stp>
        <stp>45565</stp>
        <stp>CONS=연결우선,COMP=순,TRAI=연속</stp>
        <tr r="L82" s="1"/>
      </tp>
      <tp>
        <v>23.44</v>
        <stp/>
        <stp>P</stp>
        <stp>0</stp>
        <stp>STK</stp>
        <stp>005930</stp>
        <stp>매출액(영업수익)증가율</stp>
        <stp>45473</stp>
        <stp>CONS=연결우선,COMP=순,TRAI=연속</stp>
        <tr r="L83" s="1"/>
      </tp>
      <tp t="s">
        <v/>
        <stp/>
        <stp>P</stp>
        <stp>0</stp>
        <stp>STK</stp>
        <stp>005930</stp>
        <stp>매출액(영업수익)증가율</stp>
        <stp>45747</stp>
        <stp>CONS=연결우선,COMP=순,TRAI=연속</stp>
        <tr r="L80" s="1"/>
      </tp>
      <tp>
        <v>11.82</v>
        <stp/>
        <stp>P</stp>
        <stp>0</stp>
        <stp>STK</stp>
        <stp>005930</stp>
        <stp>매출액(영업수익)증가율</stp>
        <stp>45657</stp>
        <stp>CONS=연결우선,COMP=순,TRAI=연속</stp>
        <tr r="L81" s="1"/>
      </tp>
      <tp>
        <v>14651619</v>
        <stp/>
        <stp>P</stp>
        <stp>0</stp>
        <stp>STK</stp>
        <stp>005930</stp>
        <stp>종목신용잔고</stp>
        <stp/>
        <stp/>
        <tr r="AK12" s="1"/>
      </tp>
      <tp>
        <v>0.94</v>
        <stp/>
        <stp>P</stp>
        <stp>0</stp>
        <stp>STK</stp>
        <stp>005930</stp>
        <stp>PBR</stp>
        <stp>45657</stp>
        <stp>FILL=TRUE,CONS=연결우선,COMP=순,TRAI=연속</stp>
        <tr r="AU81" s="1"/>
      </tp>
      <tp>
        <v>0.97</v>
        <stp/>
        <stp>P</stp>
        <stp>0</stp>
        <stp>STK</stp>
        <stp>005930</stp>
        <stp>PBR</stp>
        <stp>45747</stp>
        <stp>FILL=TRUE,CONS=연결우선,COMP=순,TRAI=연속</stp>
        <tr r="AU80" s="1"/>
      </tp>
      <tp>
        <v>1.49</v>
        <stp/>
        <stp>P</stp>
        <stp>0</stp>
        <stp>STK</stp>
        <stp>005930</stp>
        <stp>PBR</stp>
        <stp>45473</stp>
        <stp>FILL=TRUE,CONS=연결우선,COMP=순,TRAI=연속</stp>
        <tr r="AU83" s="1"/>
      </tp>
      <tp>
        <v>1.0900000000000001</v>
        <stp/>
        <stp>P</stp>
        <stp>0</stp>
        <stp>STK</stp>
        <stp>005930</stp>
        <stp>PBR</stp>
        <stp>45565</stp>
        <stp>FILL=TRUE,CONS=연결우선,COMP=순,TRAI=연속</stp>
        <tr r="AU82" s="1"/>
      </tp>
      <tp>
        <v>1.55</v>
        <stp/>
        <stp>P</stp>
        <stp>0</stp>
        <stp>STK</stp>
        <stp>005930</stp>
        <stp>PBR</stp>
        <stp>45291</stp>
        <stp>FILL=TRUE,CONS=연결우선,COMP=순,TRAI=연속</stp>
        <tr r="AU85" s="1"/>
      </tp>
      <tp>
        <v>1.54</v>
        <stp/>
        <stp>P</stp>
        <stp>0</stp>
        <stp>STK</stp>
        <stp>005930</stp>
        <stp>PBR</stp>
        <stp>45382</stp>
        <stp>FILL=TRUE,CONS=연결우선,COMP=순,TRAI=연속</stp>
        <tr r="AU84" s="1"/>
      </tp>
      <tp>
        <v>1.42</v>
        <stp/>
        <stp>P</stp>
        <stp>0</stp>
        <stp>STK</stp>
        <stp>005930</stp>
        <stp>PBR</stp>
        <stp>45107</stp>
        <stp>FILL=TRUE,CONS=연결우선,COMP=순,TRAI=연속</stp>
        <tr r="AU87" s="1"/>
      </tp>
      <tp>
        <v>1.35</v>
        <stp/>
        <stp>P</stp>
        <stp>0</stp>
        <stp>STK</stp>
        <stp>005930</stp>
        <stp>PBR</stp>
        <stp>45199</stp>
        <stp>FILL=TRUE,CONS=연결우선,COMP=순,TRAI=연속</stp>
        <tr r="AU86" s="1"/>
      </tp>
      <tp>
        <v>27</v>
        <stp/>
        <stp>P</stp>
        <stp>0</stp>
        <stp>STK</stp>
        <stp>005930</stp>
        <stp>ROE</stp>
        <stp>45107</stp>
        <stp>FILL=TRUE,CONS=연결우선,COMP=순,TRAI=연속</stp>
        <tr r="AZ87" s="1"/>
      </tp>
      <tp>
        <v>51.71</v>
        <stp/>
        <stp>P</stp>
        <stp>0</stp>
        <stp>STK</stp>
        <stp>005930</stp>
        <stp>ROE</stp>
        <stp>45199</stp>
        <stp>FILL=TRUE,CONS=연결우선,COMP=순,TRAI=연속</stp>
        <tr r="AZ86" s="1"/>
      </tp>
      <tp>
        <v>283.05</v>
        <stp/>
        <stp>P</stp>
        <stp>0</stp>
        <stp>STK</stp>
        <stp>005930</stp>
        <stp>ROE</stp>
        <stp>45382</stp>
        <stp>FILL=TRUE,CONS=연결우선,COMP=순,TRAI=연속</stp>
        <tr r="AZ84" s="1"/>
      </tp>
      <tp>
        <v>312.27999999999997</v>
        <stp/>
        <stp>P</stp>
        <stp>0</stp>
        <stp>STK</stp>
        <stp>005930</stp>
        <stp>ROE</stp>
        <stp>45291</stp>
        <stp>FILL=TRUE,CONS=연결우선,COMP=순,TRAI=연속</stp>
        <tr r="AZ85" s="1"/>
      </tp>
      <tp>
        <v>283.05</v>
        <stp/>
        <stp>P</stp>
        <stp>0</stp>
        <stp>STK</stp>
        <stp>005930</stp>
        <stp>ROE</stp>
        <stp>45565</stp>
        <stp>FILL=TRUE,CONS=연결우선,COMP=순,TRAI=연속</stp>
        <tr r="AZ82" s="1"/>
      </tp>
      <tp>
        <v>283.05</v>
        <stp/>
        <stp>P</stp>
        <stp>0</stp>
        <stp>STK</stp>
        <stp>005930</stp>
        <stp>ROE</stp>
        <stp>45473</stp>
        <stp>FILL=TRUE,CONS=연결우선,COMP=순,TRAI=연속</stp>
        <tr r="AZ83" s="1"/>
      </tp>
      <tp>
        <v>283.05</v>
        <stp/>
        <stp>P</stp>
        <stp>0</stp>
        <stp>STK</stp>
        <stp>005930</stp>
        <stp>ROE</stp>
        <stp>45657</stp>
        <stp>FILL=TRUE,CONS=연결우선,COMP=순,TRAI=연속</stp>
        <tr r="AZ81" s="1"/>
      </tp>
      <tp>
        <v>49900</v>
        <stp/>
        <stp>P</stp>
        <stp>0</stp>
        <stp>STK</stp>
        <stp>005930</stp>
        <stp>52주최저가</stp>
        <stp/>
        <stp/>
        <tr r="W14" s="1"/>
      </tp>
      <tp>
        <v>88800</v>
        <stp/>
        <stp>P</stp>
        <stp>0</stp>
        <stp>STK</stp>
        <stp>005930</stp>
        <stp>52주최고가</stp>
        <stp/>
        <stp/>
        <tr r="W13" s="1"/>
      </tp>
      <tp>
        <v>98266846</v>
        <stp/>
        <stp>P</stp>
        <stp>0</stp>
        <stp>STK</stp>
        <stp>005930</stp>
        <stp>종목대차잔고</stp>
        <stp/>
        <stp/>
        <tr r="AK9" s="1"/>
      </tp>
      <tp>
        <v>9.19</v>
        <stp/>
        <stp>P</stp>
        <stp>0</stp>
        <stp>STK</stp>
        <stp>005930</stp>
        <stp>영업이익률</stp>
        <stp>45382</stp>
        <stp>CONS=연결우선,COMP=순,TRAI=연속</stp>
        <tr r="V84" s="1"/>
      </tp>
      <tp>
        <v>3.61</v>
        <stp/>
        <stp>P</stp>
        <stp>0</stp>
        <stp>STK</stp>
        <stp>005930</stp>
        <stp>영업이익률</stp>
        <stp>45199</stp>
        <stp>CONS=연결우선,COMP=순,TRAI=연속</stp>
        <tr r="V86" s="1"/>
      </tp>
      <tp>
        <v>4.17</v>
        <stp/>
        <stp>P</stp>
        <stp>0</stp>
        <stp>STK</stp>
        <stp>005930</stp>
        <stp>영업이익률</stp>
        <stp>45291</stp>
        <stp>CONS=연결우선,COMP=순,TRAI=연속</stp>
        <tr r="V85" s="1"/>
      </tp>
      <tp t="s">
        <v/>
        <stp/>
        <stp>P</stp>
        <stp>0</stp>
        <stp>STK</stp>
        <stp>005930</stp>
        <stp>영업이익률</stp>
        <stp>45747</stp>
        <stp>CONS=연결우선,COMP=순,TRAI=연속</stp>
        <tr r="V80" s="1"/>
      </tp>
      <tp>
        <v>8.57</v>
        <stp/>
        <stp>P</stp>
        <stp>0</stp>
        <stp>STK</stp>
        <stp>005930</stp>
        <stp>영업이익률</stp>
        <stp>45657</stp>
        <stp>CONS=연결우선,COMP=순,TRAI=연속</stp>
        <tr r="V81" s="1"/>
      </tp>
      <tp>
        <v>11.61</v>
        <stp/>
        <stp>P</stp>
        <stp>0</stp>
        <stp>STK</stp>
        <stp>005930</stp>
        <stp>영업이익률</stp>
        <stp>45565</stp>
        <stp>CONS=연결우선,COMP=순,TRAI=연속</stp>
        <tr r="V82" s="1"/>
      </tp>
      <tp>
        <v>14.1</v>
        <stp/>
        <stp>P</stp>
        <stp>0</stp>
        <stp>STK</stp>
        <stp>005930</stp>
        <stp>영업이익률</stp>
        <stp>45473</stp>
        <stp>CONS=연결우선,COMP=순,TRAI=연속</stp>
        <tr r="V83" s="1"/>
      </tp>
      <tp>
        <v>1.1100000000000001</v>
        <stp/>
        <stp>P</stp>
        <stp>0</stp>
        <stp>STK</stp>
        <stp>005930</stp>
        <stp>영업이익률</stp>
        <stp>45107</stp>
        <stp>CONS=연결우선,COMP=순,TRAI=연속</stp>
        <tr r="V87" s="1"/>
      </tp>
      <tp>
        <v>54200</v>
        <stp/>
        <stp>P</stp>
        <stp>0</stp>
        <stp>STK</stp>
        <stp>005930</stp>
        <stp>20일최저가</stp>
        <stp/>
        <stp/>
        <tr r="W12" s="1"/>
      </tp>
      <tp>
        <v>58600</v>
        <stp/>
        <stp>P</stp>
        <stp>0</stp>
        <stp>STK</stp>
        <stp>005930</stp>
        <stp>20일최고가</stp>
        <stp/>
        <stp/>
        <tr r="W11" s="1"/>
      </tp>
      <tp t="s">
        <v/>
        <stp/>
        <stp>P</stp>
        <stp>0</stp>
        <stp>STK</stp>
        <stp>005930</stp>
        <stp>ROE</stp>
        <stp>45747</stp>
        <stp>CONS=연결우선,COMP=순,TRAI=연속</stp>
        <tr r="AZ80" s="1"/>
      </tp>
      <tp>
        <v>57403.768555000002</v>
        <stp/>
        <stp>P</stp>
        <stp>0</stp>
        <stp>STK</stp>
        <stp>005930</stp>
        <stp>공매도평균단가</stp>
        <stp>45791</stp>
        <stp/>
        <tr r="AK8" s="1"/>
      </tp>
      <tp>
        <v>81359667</v>
        <stp/>
        <stp>P</stp>
        <stp>0</stp>
        <stp>STK</stp>
        <stp>005930</stp>
        <stp>종목신용잔고금액</stp>
        <stp/>
        <stp/>
        <tr r="AK13" s="1"/>
      </tp>
      <tp>
        <v>15.829841</v>
        <stp/>
        <stp>P</stp>
        <stp>0</stp>
        <stp>STK</stp>
        <stp>005930</stp>
        <stp>시가총액비중</stp>
        <stp/>
        <stp/>
        <tr r="J13" s="1"/>
      </tp>
      <tp>
        <v>11.71</v>
        <stp/>
        <stp>P</stp>
        <stp>0</stp>
        <stp>STK</stp>
        <stp>005930</stp>
        <stp>인포맥스PER</stp>
        <stp>45107</stp>
        <stp>FILL=TRUE,CONS=연결우선,COMP=순,TRAI=연속</stp>
        <tr r="AP87" s="1"/>
      </tp>
      <tp>
        <v>11.1</v>
        <stp/>
        <stp>P</stp>
        <stp>0</stp>
        <stp>STK</stp>
        <stp>005930</stp>
        <stp>인포맥스PER</stp>
        <stp>45199</stp>
        <stp>FILL=TRUE,CONS=연결우선,COMP=순,TRAI=연속</stp>
        <tr r="AP86" s="1"/>
      </tp>
      <tp>
        <v>38.67</v>
        <stp/>
        <stp>P</stp>
        <stp>0</stp>
        <stp>STK</stp>
        <stp>005930</stp>
        <stp>인포맥스PER</stp>
        <stp>45382</stp>
        <stp>FILL=TRUE,CONS=연결우선,COMP=순,TRAI=연속</stp>
        <tr r="AP84" s="1"/>
      </tp>
      <tp>
        <v>12.74</v>
        <stp/>
        <stp>P</stp>
        <stp>0</stp>
        <stp>STK</stp>
        <stp>005930</stp>
        <stp>인포맥스PER</stp>
        <stp>45291</stp>
        <stp>FILL=TRUE,CONS=연결우선,COMP=순,TRAI=연속</stp>
        <tr r="AP85" s="1"/>
      </tp>
      <tp>
        <v>15.03</v>
        <stp/>
        <stp>P</stp>
        <stp>0</stp>
        <stp>STK</stp>
        <stp>005930</stp>
        <stp>인포맥스PER</stp>
        <stp>45565</stp>
        <stp>FILL=TRUE,CONS=연결우선,COMP=순,TRAI=연속</stp>
        <tr r="AP82" s="1"/>
      </tp>
      <tp>
        <v>28.11</v>
        <stp/>
        <stp>P</stp>
        <stp>0</stp>
        <stp>STK</stp>
        <stp>005930</stp>
        <stp>인포맥스PER</stp>
        <stp>45473</stp>
        <stp>FILL=TRUE,CONS=연결우선,COMP=순,TRAI=연속</stp>
        <tr r="AP83" s="1"/>
      </tp>
      <tp>
        <v>11.68</v>
        <stp/>
        <stp>P</stp>
        <stp>0</stp>
        <stp>STK</stp>
        <stp>005930</stp>
        <stp>인포맥스PER</stp>
        <stp>45747</stp>
        <stp>FILL=TRUE,CONS=연결우선,COMP=순,TRAI=연속</stp>
        <tr r="AP80" s="1"/>
      </tp>
      <tp>
        <v>11.27</v>
        <stp/>
        <stp>P</stp>
        <stp>0</stp>
        <stp>STK</stp>
        <stp>005930</stp>
        <stp>인포맥스PER</stp>
        <stp>45657</stp>
        <stp>FILL=TRUE,CONS=연결우선,COMP=순,TRAI=연속</stp>
        <tr r="AP81" s="1"/>
      </tp>
      <tp>
        <v>44</v>
        <stp/>
        <stp>P</stp>
        <stp>0</stp>
        <stp>IDX</stp>
        <stp>013</stp>
        <stp>하락종목수</stp>
        <stp/>
        <stp/>
        <tr r="AY8" s="1"/>
      </tp>
      <tp>
        <v>5240.16</v>
        <stp/>
        <stp>P</stp>
        <stp>0</stp>
        <stp>STK</stp>
        <stp>005930</stp>
        <stp>인포맥스EPS</stp>
        <stp>45107</stp>
        <stp>FILL=TRUE,CONS=연결우선,COMP=순,TRAI=연속</stp>
        <tr r="AK87" s="1"/>
      </tp>
      <tp>
        <v>4703.91</v>
        <stp/>
        <stp>P</stp>
        <stp>0</stp>
        <stp>STK</stp>
        <stp>005930</stp>
        <stp>인포맥스EPS</stp>
        <stp>45199</stp>
        <stp>FILL=TRUE,CONS=연결우선,COMP=순,TRAI=연속</stp>
        <tr r="AK86" s="1"/>
      </tp>
      <tp>
        <v>2130.7399999999998</v>
        <stp/>
        <stp>P</stp>
        <stp>0</stp>
        <stp>STK</stp>
        <stp>005930</stp>
        <stp>인포맥스EPS</stp>
        <stp>45291</stp>
        <stp>FILL=TRUE,CONS=연결우선,COMP=순,TRAI=연속</stp>
        <tr r="AK85" s="1"/>
      </tp>
      <tp>
        <v>2899.18</v>
        <stp/>
        <stp>P</stp>
        <stp>0</stp>
        <stp>STK</stp>
        <stp>005930</stp>
        <stp>인포맥스EPS</stp>
        <stp>45382</stp>
        <stp>FILL=TRUE,CONS=연결우선,COMP=순,TRAI=연속</stp>
        <tr r="AK84" s="1"/>
      </tp>
      <tp>
        <v>2899.18</v>
        <stp/>
        <stp>P</stp>
        <stp>0</stp>
        <stp>STK</stp>
        <stp>005930</stp>
        <stp>인포맥스EPS</stp>
        <stp>45473</stp>
        <stp>FILL=TRUE,CONS=연결우선,COMP=순,TRAI=연속</stp>
        <tr r="AK83" s="1"/>
      </tp>
      <tp>
        <v>4091</v>
        <stp/>
        <stp>P</stp>
        <stp>0</stp>
        <stp>STK</stp>
        <stp>005930</stp>
        <stp>인포맥스EPS</stp>
        <stp>45565</stp>
        <stp>FILL=TRUE,CONS=연결우선,COMP=순,TRAI=연속</stp>
        <tr r="AK82" s="1"/>
      </tp>
      <tp>
        <v>4721.13</v>
        <stp/>
        <stp>P</stp>
        <stp>0</stp>
        <stp>STK</stp>
        <stp>005930</stp>
        <stp>인포맥스EPS</stp>
        <stp>45657</stp>
        <stp>FILL=TRUE,CONS=연결우선,COMP=순,TRAI=연속</stp>
        <tr r="AK81" s="1"/>
      </tp>
      <tp>
        <v>4949.6499999999996</v>
        <stp/>
        <stp>P</stp>
        <stp>0</stp>
        <stp>STK</stp>
        <stp>005930</stp>
        <stp>인포맥스EPS</stp>
        <stp>45747</stp>
        <stp>FILL=TRUE,CONS=연결우선,COMP=순,TRAI=연속</stp>
        <tr r="AK80" s="1"/>
      </tp>
      <tp>
        <v>0</v>
        <stp/>
        <stp>P</stp>
        <stp>0</stp>
        <stp>STK</stp>
        <stp>005930</stp>
        <stp>국가/지방순매수금액</stp>
        <stp/>
        <stp/>
        <tr r="CZ1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개별종목정보!$DE$4</c:f>
              <c:strCache>
                <c:ptCount val="1"/>
                <c:pt idx="0">
                  <c:v>삼성전자</c:v>
                </c:pt>
              </c:strCache>
            </c:strRef>
          </c:tx>
          <c:spPr>
            <a:ln w="25400">
              <a:solidFill>
                <a:srgbClr val="0168FF"/>
              </a:solidFill>
            </a:ln>
          </c:spPr>
          <c:marker>
            <c:symbol val="none"/>
          </c:marke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개별종목정보!$DF$6:$DF$253</c:f>
              <c:numCache>
                <c:formatCode>General</c:formatCode>
                <c:ptCount val="248"/>
                <c:pt idx="0">
                  <c:v>57400</c:v>
                </c:pt>
                <c:pt idx="1">
                  <c:v>56900</c:v>
                </c:pt>
                <c:pt idx="2">
                  <c:v>57600</c:v>
                </c:pt>
                <c:pt idx="3">
                  <c:v>54800</c:v>
                </c:pt>
                <c:pt idx="4">
                  <c:v>54600</c:v>
                </c:pt>
                <c:pt idx="5">
                  <c:v>54600</c:v>
                </c:pt>
                <c:pt idx="6">
                  <c:v>54300</c:v>
                </c:pt>
                <c:pt idx="7">
                  <c:v>55500</c:v>
                </c:pt>
                <c:pt idx="8">
                  <c:v>55800</c:v>
                </c:pt>
                <c:pt idx="9">
                  <c:v>55800</c:v>
                </c:pt>
                <c:pt idx="10">
                  <c:v>55700</c:v>
                </c:pt>
                <c:pt idx="11">
                  <c:v>55700</c:v>
                </c:pt>
                <c:pt idx="12">
                  <c:v>55700</c:v>
                </c:pt>
                <c:pt idx="13">
                  <c:v>55000</c:v>
                </c:pt>
                <c:pt idx="14">
                  <c:v>55400</c:v>
                </c:pt>
                <c:pt idx="15">
                  <c:v>55300</c:v>
                </c:pt>
                <c:pt idx="16">
                  <c:v>55100</c:v>
                </c:pt>
                <c:pt idx="17">
                  <c:v>54700</c:v>
                </c:pt>
                <c:pt idx="18">
                  <c:v>56600</c:v>
                </c:pt>
                <c:pt idx="19">
                  <c:v>56200</c:v>
                </c:pt>
                <c:pt idx="20">
                  <c:v>55200</c:v>
                </c:pt>
                <c:pt idx="21">
                  <c:v>56400</c:v>
                </c:pt>
                <c:pt idx="22">
                  <c:v>53000</c:v>
                </c:pt>
                <c:pt idx="23">
                  <c:v>53500</c:v>
                </c:pt>
                <c:pt idx="24">
                  <c:v>53200</c:v>
                </c:pt>
                <c:pt idx="25">
                  <c:v>56100</c:v>
                </c:pt>
                <c:pt idx="26">
                  <c:v>57600</c:v>
                </c:pt>
                <c:pt idx="27">
                  <c:v>58800</c:v>
                </c:pt>
                <c:pt idx="28">
                  <c:v>58800</c:v>
                </c:pt>
                <c:pt idx="29">
                  <c:v>57800</c:v>
                </c:pt>
                <c:pt idx="30">
                  <c:v>60200</c:v>
                </c:pt>
                <c:pt idx="31">
                  <c:v>61800</c:v>
                </c:pt>
                <c:pt idx="32">
                  <c:v>61400</c:v>
                </c:pt>
                <c:pt idx="33">
                  <c:v>59800</c:v>
                </c:pt>
                <c:pt idx="34">
                  <c:v>60500</c:v>
                </c:pt>
                <c:pt idx="35">
                  <c:v>61700</c:v>
                </c:pt>
                <c:pt idx="36">
                  <c:v>60200</c:v>
                </c:pt>
                <c:pt idx="37">
                  <c:v>58500</c:v>
                </c:pt>
                <c:pt idx="38">
                  <c:v>57600</c:v>
                </c:pt>
                <c:pt idx="39">
                  <c:v>57600</c:v>
                </c:pt>
                <c:pt idx="40">
                  <c:v>54700</c:v>
                </c:pt>
                <c:pt idx="41">
                  <c:v>54700</c:v>
                </c:pt>
                <c:pt idx="42">
                  <c:v>54900</c:v>
                </c:pt>
                <c:pt idx="43">
                  <c:v>53600</c:v>
                </c:pt>
                <c:pt idx="44">
                  <c:v>53700</c:v>
                </c:pt>
                <c:pt idx="45">
                  <c:v>53700</c:v>
                </c:pt>
                <c:pt idx="46">
                  <c:v>54300</c:v>
                </c:pt>
                <c:pt idx="47">
                  <c:v>54000</c:v>
                </c:pt>
                <c:pt idx="48">
                  <c:v>54500</c:v>
                </c:pt>
                <c:pt idx="49">
                  <c:v>54500</c:v>
                </c:pt>
                <c:pt idx="50">
                  <c:v>56300</c:v>
                </c:pt>
                <c:pt idx="51">
                  <c:v>56600</c:v>
                </c:pt>
                <c:pt idx="52">
                  <c:v>57200</c:v>
                </c:pt>
                <c:pt idx="53">
                  <c:v>57300</c:v>
                </c:pt>
                <c:pt idx="54">
                  <c:v>58200</c:v>
                </c:pt>
                <c:pt idx="55">
                  <c:v>58400</c:v>
                </c:pt>
                <c:pt idx="56">
                  <c:v>58700</c:v>
                </c:pt>
                <c:pt idx="57">
                  <c:v>56900</c:v>
                </c:pt>
                <c:pt idx="58">
                  <c:v>56000</c:v>
                </c:pt>
                <c:pt idx="59">
                  <c:v>56000</c:v>
                </c:pt>
                <c:pt idx="60">
                  <c:v>55800</c:v>
                </c:pt>
                <c:pt idx="61">
                  <c:v>55800</c:v>
                </c:pt>
                <c:pt idx="62">
                  <c:v>55700</c:v>
                </c:pt>
                <c:pt idx="63">
                  <c:v>55600</c:v>
                </c:pt>
                <c:pt idx="64">
                  <c:v>53700</c:v>
                </c:pt>
                <c:pt idx="65">
                  <c:v>54000</c:v>
                </c:pt>
                <c:pt idx="66">
                  <c:v>52900</c:v>
                </c:pt>
                <c:pt idx="67">
                  <c:v>52700</c:v>
                </c:pt>
                <c:pt idx="68">
                  <c:v>51000</c:v>
                </c:pt>
                <c:pt idx="69">
                  <c:v>52400</c:v>
                </c:pt>
                <c:pt idx="70">
                  <c:v>53700</c:v>
                </c:pt>
                <c:pt idx="71">
                  <c:v>53700</c:v>
                </c:pt>
                <c:pt idx="72">
                  <c:v>54300</c:v>
                </c:pt>
                <c:pt idx="73">
                  <c:v>53500</c:v>
                </c:pt>
                <c:pt idx="74">
                  <c:v>53400</c:v>
                </c:pt>
                <c:pt idx="75">
                  <c:v>53700</c:v>
                </c:pt>
                <c:pt idx="76">
                  <c:v>54300</c:v>
                </c:pt>
                <c:pt idx="77">
                  <c:v>53700</c:v>
                </c:pt>
                <c:pt idx="78">
                  <c:v>53900</c:v>
                </c:pt>
                <c:pt idx="79">
                  <c:v>54100</c:v>
                </c:pt>
                <c:pt idx="80">
                  <c:v>55300</c:v>
                </c:pt>
                <c:pt idx="81">
                  <c:v>56100</c:v>
                </c:pt>
                <c:pt idx="82">
                  <c:v>57300</c:v>
                </c:pt>
                <c:pt idx="83">
                  <c:v>55400</c:v>
                </c:pt>
                <c:pt idx="84">
                  <c:v>55900</c:v>
                </c:pt>
                <c:pt idx="85">
                  <c:v>54400</c:v>
                </c:pt>
                <c:pt idx="86">
                  <c:v>53400</c:v>
                </c:pt>
                <c:pt idx="87">
                  <c:v>53200</c:v>
                </c:pt>
                <c:pt idx="88">
                  <c:v>53700</c:v>
                </c:pt>
                <c:pt idx="89">
                  <c:v>53600</c:v>
                </c:pt>
                <c:pt idx="90">
                  <c:v>54400</c:v>
                </c:pt>
                <c:pt idx="91">
                  <c:v>53500</c:v>
                </c:pt>
                <c:pt idx="92">
                  <c:v>53000</c:v>
                </c:pt>
                <c:pt idx="93">
                  <c:v>53100</c:v>
                </c:pt>
                <c:pt idx="94">
                  <c:v>54900</c:v>
                </c:pt>
                <c:pt idx="95">
                  <c:v>54200</c:v>
                </c:pt>
                <c:pt idx="96">
                  <c:v>55600</c:v>
                </c:pt>
                <c:pt idx="97">
                  <c:v>56100</c:v>
                </c:pt>
                <c:pt idx="98">
                  <c:v>55900</c:v>
                </c:pt>
                <c:pt idx="99">
                  <c:v>54000</c:v>
                </c:pt>
                <c:pt idx="100">
                  <c:v>54000</c:v>
                </c:pt>
                <c:pt idx="101">
                  <c:v>53400</c:v>
                </c:pt>
                <c:pt idx="102">
                  <c:v>54100</c:v>
                </c:pt>
                <c:pt idx="103">
                  <c:v>53700</c:v>
                </c:pt>
                <c:pt idx="104">
                  <c:v>53100</c:v>
                </c:pt>
                <c:pt idx="105">
                  <c:v>53600</c:v>
                </c:pt>
                <c:pt idx="106">
                  <c:v>53600</c:v>
                </c:pt>
                <c:pt idx="107">
                  <c:v>54200</c:v>
                </c:pt>
                <c:pt idx="108">
                  <c:v>55500</c:v>
                </c:pt>
                <c:pt idx="109">
                  <c:v>56300</c:v>
                </c:pt>
                <c:pt idx="110">
                  <c:v>58300</c:v>
                </c:pt>
                <c:pt idx="111">
                  <c:v>57900</c:v>
                </c:pt>
                <c:pt idx="112">
                  <c:v>56000</c:v>
                </c:pt>
                <c:pt idx="113">
                  <c:v>56400</c:v>
                </c:pt>
                <c:pt idx="114">
                  <c:v>55300</c:v>
                </c:pt>
                <c:pt idx="115">
                  <c:v>56300</c:v>
                </c:pt>
                <c:pt idx="116">
                  <c:v>56700</c:v>
                </c:pt>
                <c:pt idx="117">
                  <c:v>53500</c:v>
                </c:pt>
                <c:pt idx="118">
                  <c:v>49900</c:v>
                </c:pt>
                <c:pt idx="119">
                  <c:v>50600</c:v>
                </c:pt>
                <c:pt idx="120">
                  <c:v>53000</c:v>
                </c:pt>
                <c:pt idx="121">
                  <c:v>55000</c:v>
                </c:pt>
                <c:pt idx="122">
                  <c:v>57000</c:v>
                </c:pt>
                <c:pt idx="123">
                  <c:v>57500</c:v>
                </c:pt>
                <c:pt idx="124">
                  <c:v>57300</c:v>
                </c:pt>
                <c:pt idx="125">
                  <c:v>57600</c:v>
                </c:pt>
                <c:pt idx="126">
                  <c:v>58700</c:v>
                </c:pt>
                <c:pt idx="127">
                  <c:v>58300</c:v>
                </c:pt>
                <c:pt idx="128">
                  <c:v>59200</c:v>
                </c:pt>
                <c:pt idx="129">
                  <c:v>59100</c:v>
                </c:pt>
                <c:pt idx="130">
                  <c:v>59600</c:v>
                </c:pt>
                <c:pt idx="131">
                  <c:v>58100</c:v>
                </c:pt>
                <c:pt idx="132">
                  <c:v>55900</c:v>
                </c:pt>
                <c:pt idx="133">
                  <c:v>56600</c:v>
                </c:pt>
                <c:pt idx="134">
                  <c:v>59100</c:v>
                </c:pt>
                <c:pt idx="135">
                  <c:v>57700</c:v>
                </c:pt>
                <c:pt idx="136">
                  <c:v>59000</c:v>
                </c:pt>
                <c:pt idx="137">
                  <c:v>59200</c:v>
                </c:pt>
                <c:pt idx="138">
                  <c:v>59700</c:v>
                </c:pt>
                <c:pt idx="139">
                  <c:v>59500</c:v>
                </c:pt>
                <c:pt idx="140">
                  <c:v>61000</c:v>
                </c:pt>
                <c:pt idx="141">
                  <c:v>60800</c:v>
                </c:pt>
                <c:pt idx="142">
                  <c:v>59300</c:v>
                </c:pt>
                <c:pt idx="143">
                  <c:v>58900</c:v>
                </c:pt>
                <c:pt idx="144">
                  <c:v>60300</c:v>
                </c:pt>
                <c:pt idx="145">
                  <c:v>61000</c:v>
                </c:pt>
                <c:pt idx="146">
                  <c:v>60600</c:v>
                </c:pt>
                <c:pt idx="147">
                  <c:v>61300</c:v>
                </c:pt>
                <c:pt idx="148">
                  <c:v>61500</c:v>
                </c:pt>
                <c:pt idx="149">
                  <c:v>64200</c:v>
                </c:pt>
                <c:pt idx="150">
                  <c:v>64700</c:v>
                </c:pt>
                <c:pt idx="151">
                  <c:v>62200</c:v>
                </c:pt>
                <c:pt idx="152">
                  <c:v>63200</c:v>
                </c:pt>
                <c:pt idx="153">
                  <c:v>62600</c:v>
                </c:pt>
                <c:pt idx="154">
                  <c:v>63000</c:v>
                </c:pt>
                <c:pt idx="155">
                  <c:v>63100</c:v>
                </c:pt>
                <c:pt idx="156">
                  <c:v>64400</c:v>
                </c:pt>
                <c:pt idx="157">
                  <c:v>66300</c:v>
                </c:pt>
                <c:pt idx="158">
                  <c:v>64900</c:v>
                </c:pt>
                <c:pt idx="159">
                  <c:v>66200</c:v>
                </c:pt>
                <c:pt idx="160">
                  <c:v>67500</c:v>
                </c:pt>
                <c:pt idx="161">
                  <c:v>68900</c:v>
                </c:pt>
                <c:pt idx="162">
                  <c:v>69000</c:v>
                </c:pt>
                <c:pt idx="163">
                  <c:v>70000</c:v>
                </c:pt>
                <c:pt idx="164">
                  <c:v>72500</c:v>
                </c:pt>
                <c:pt idx="165">
                  <c:v>74400</c:v>
                </c:pt>
                <c:pt idx="166">
                  <c:v>74300</c:v>
                </c:pt>
                <c:pt idx="167">
                  <c:v>74000</c:v>
                </c:pt>
                <c:pt idx="168">
                  <c:v>76400</c:v>
                </c:pt>
                <c:pt idx="169">
                  <c:v>75800</c:v>
                </c:pt>
                <c:pt idx="170">
                  <c:v>76100</c:v>
                </c:pt>
                <c:pt idx="171">
                  <c:v>77700</c:v>
                </c:pt>
                <c:pt idx="172">
                  <c:v>78300</c:v>
                </c:pt>
                <c:pt idx="173">
                  <c:v>78300</c:v>
                </c:pt>
                <c:pt idx="174">
                  <c:v>78900</c:v>
                </c:pt>
                <c:pt idx="175">
                  <c:v>78300</c:v>
                </c:pt>
                <c:pt idx="176">
                  <c:v>80200</c:v>
                </c:pt>
                <c:pt idx="177">
                  <c:v>77200</c:v>
                </c:pt>
                <c:pt idx="178">
                  <c:v>76100</c:v>
                </c:pt>
                <c:pt idx="179">
                  <c:v>75500</c:v>
                </c:pt>
                <c:pt idx="180">
                  <c:v>74700</c:v>
                </c:pt>
                <c:pt idx="181">
                  <c:v>73400</c:v>
                </c:pt>
                <c:pt idx="182">
                  <c:v>74700</c:v>
                </c:pt>
                <c:pt idx="183">
                  <c:v>72500</c:v>
                </c:pt>
                <c:pt idx="184">
                  <c:v>71400</c:v>
                </c:pt>
                <c:pt idx="185">
                  <c:v>79600</c:v>
                </c:pt>
                <c:pt idx="186">
                  <c:v>83100</c:v>
                </c:pt>
                <c:pt idx="187">
                  <c:v>83900</c:v>
                </c:pt>
                <c:pt idx="188">
                  <c:v>81000</c:v>
                </c:pt>
                <c:pt idx="189">
                  <c:v>81200</c:v>
                </c:pt>
                <c:pt idx="190">
                  <c:v>80900</c:v>
                </c:pt>
                <c:pt idx="191">
                  <c:v>80400</c:v>
                </c:pt>
                <c:pt idx="192">
                  <c:v>82000</c:v>
                </c:pt>
                <c:pt idx="193">
                  <c:v>83900</c:v>
                </c:pt>
                <c:pt idx="194">
                  <c:v>83000</c:v>
                </c:pt>
                <c:pt idx="195">
                  <c:v>84400</c:v>
                </c:pt>
                <c:pt idx="196">
                  <c:v>86900</c:v>
                </c:pt>
                <c:pt idx="197">
                  <c:v>86700</c:v>
                </c:pt>
                <c:pt idx="198">
                  <c:v>87700</c:v>
                </c:pt>
                <c:pt idx="199">
                  <c:v>86700</c:v>
                </c:pt>
                <c:pt idx="200">
                  <c:v>84400</c:v>
                </c:pt>
                <c:pt idx="201">
                  <c:v>87600</c:v>
                </c:pt>
                <c:pt idx="202">
                  <c:v>87800</c:v>
                </c:pt>
                <c:pt idx="203">
                  <c:v>87800</c:v>
                </c:pt>
                <c:pt idx="204">
                  <c:v>87400</c:v>
                </c:pt>
                <c:pt idx="205">
                  <c:v>87100</c:v>
                </c:pt>
                <c:pt idx="206">
                  <c:v>84600</c:v>
                </c:pt>
                <c:pt idx="207">
                  <c:v>81800</c:v>
                </c:pt>
                <c:pt idx="208">
                  <c:v>81800</c:v>
                </c:pt>
                <c:pt idx="209">
                  <c:v>81800</c:v>
                </c:pt>
                <c:pt idx="210">
                  <c:v>81500</c:v>
                </c:pt>
                <c:pt idx="211">
                  <c:v>81600</c:v>
                </c:pt>
                <c:pt idx="212">
                  <c:v>81300</c:v>
                </c:pt>
                <c:pt idx="213">
                  <c:v>80800</c:v>
                </c:pt>
                <c:pt idx="214">
                  <c:v>80600</c:v>
                </c:pt>
                <c:pt idx="215">
                  <c:v>80000</c:v>
                </c:pt>
                <c:pt idx="216">
                  <c:v>81600</c:v>
                </c:pt>
                <c:pt idx="217">
                  <c:v>81200</c:v>
                </c:pt>
                <c:pt idx="218">
                  <c:v>79800</c:v>
                </c:pt>
                <c:pt idx="219">
                  <c:v>78100</c:v>
                </c:pt>
                <c:pt idx="220">
                  <c:v>79600</c:v>
                </c:pt>
                <c:pt idx="221">
                  <c:v>78600</c:v>
                </c:pt>
                <c:pt idx="222">
                  <c:v>76500</c:v>
                </c:pt>
                <c:pt idx="223">
                  <c:v>75200</c:v>
                </c:pt>
                <c:pt idx="224">
                  <c:v>75700</c:v>
                </c:pt>
                <c:pt idx="225">
                  <c:v>77300</c:v>
                </c:pt>
                <c:pt idx="226">
                  <c:v>77400</c:v>
                </c:pt>
                <c:pt idx="227">
                  <c:v>75300</c:v>
                </c:pt>
                <c:pt idx="228">
                  <c:v>75700</c:v>
                </c:pt>
                <c:pt idx="229">
                  <c:v>73500</c:v>
                </c:pt>
                <c:pt idx="230">
                  <c:v>73500</c:v>
                </c:pt>
                <c:pt idx="231">
                  <c:v>75200</c:v>
                </c:pt>
                <c:pt idx="232">
                  <c:v>77600</c:v>
                </c:pt>
                <c:pt idx="233">
                  <c:v>77200</c:v>
                </c:pt>
                <c:pt idx="234">
                  <c:v>75900</c:v>
                </c:pt>
                <c:pt idx="235">
                  <c:v>78300</c:v>
                </c:pt>
                <c:pt idx="236">
                  <c:v>77700</c:v>
                </c:pt>
                <c:pt idx="237">
                  <c:v>78400</c:v>
                </c:pt>
                <c:pt idx="238">
                  <c:v>78900</c:v>
                </c:pt>
                <c:pt idx="239">
                  <c:v>77400</c:v>
                </c:pt>
                <c:pt idx="240">
                  <c:v>78200</c:v>
                </c:pt>
              </c:numCache>
            </c:numRef>
          </c:val>
        </c:ser>
        <c:dLbls/>
        <c:marker val="1"/>
        <c:axId val="151945984"/>
        <c:axId val="151947520"/>
      </c:lineChart>
      <c:lineChart>
        <c:grouping val="standard"/>
        <c:ser>
          <c:idx val="1"/>
          <c:order val="1"/>
          <c:tx>
            <c:strRef>
              <c:f>개별종목정보!$DG$4</c:f>
              <c:strCache>
                <c:ptCount val="1"/>
                <c:pt idx="0">
                  <c:v>코스피 전기/전자</c:v>
                </c:pt>
              </c:strCache>
            </c:strRef>
          </c:tx>
          <c:spPr>
            <a:ln w="25400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개별종목정보!$DG$6:$DG$253</c:f>
              <c:numCache>
                <c:formatCode>General</c:formatCode>
                <c:ptCount val="248"/>
                <c:pt idx="0">
                  <c:v>23132.76</c:v>
                </c:pt>
                <c:pt idx="1">
                  <c:v>22796.78</c:v>
                </c:pt>
                <c:pt idx="2">
                  <c:v>22932.46</c:v>
                </c:pt>
                <c:pt idx="3">
                  <c:v>22136.28</c:v>
                </c:pt>
                <c:pt idx="4">
                  <c:v>22215.23</c:v>
                </c:pt>
                <c:pt idx="5">
                  <c:v>22140.49</c:v>
                </c:pt>
                <c:pt idx="6">
                  <c:v>21908.99</c:v>
                </c:pt>
                <c:pt idx="7">
                  <c:v>21917.200000000001</c:v>
                </c:pt>
                <c:pt idx="8">
                  <c:v>22354.35</c:v>
                </c:pt>
                <c:pt idx="9">
                  <c:v>22298.06</c:v>
                </c:pt>
                <c:pt idx="10">
                  <c:v>22321.55</c:v>
                </c:pt>
                <c:pt idx="11">
                  <c:v>22095.33</c:v>
                </c:pt>
                <c:pt idx="12">
                  <c:v>22270.12</c:v>
                </c:pt>
                <c:pt idx="13">
                  <c:v>21685.27</c:v>
                </c:pt>
                <c:pt idx="14">
                  <c:v>21910.77</c:v>
                </c:pt>
                <c:pt idx="15">
                  <c:v>21905.62</c:v>
                </c:pt>
                <c:pt idx="16">
                  <c:v>21885.38</c:v>
                </c:pt>
                <c:pt idx="17">
                  <c:v>21714.639999999999</c:v>
                </c:pt>
                <c:pt idx="18">
                  <c:v>22359.66</c:v>
                </c:pt>
                <c:pt idx="19">
                  <c:v>22193.32</c:v>
                </c:pt>
                <c:pt idx="20">
                  <c:v>21892.23</c:v>
                </c:pt>
                <c:pt idx="21">
                  <c:v>22312.86</c:v>
                </c:pt>
                <c:pt idx="22">
                  <c:v>20566.759999999998</c:v>
                </c:pt>
                <c:pt idx="23">
                  <c:v>20900.939999999999</c:v>
                </c:pt>
                <c:pt idx="24">
                  <c:v>20748.43</c:v>
                </c:pt>
                <c:pt idx="25">
                  <c:v>22096.91</c:v>
                </c:pt>
                <c:pt idx="26">
                  <c:v>22536.73</c:v>
                </c:pt>
                <c:pt idx="27">
                  <c:v>23056.38</c:v>
                </c:pt>
                <c:pt idx="28">
                  <c:v>23101.05</c:v>
                </c:pt>
                <c:pt idx="29">
                  <c:v>22755.83</c:v>
                </c:pt>
                <c:pt idx="30">
                  <c:v>23790.29</c:v>
                </c:pt>
                <c:pt idx="31">
                  <c:v>24396.22</c:v>
                </c:pt>
                <c:pt idx="32">
                  <c:v>24663.63</c:v>
                </c:pt>
                <c:pt idx="33">
                  <c:v>23944.86</c:v>
                </c:pt>
                <c:pt idx="34">
                  <c:v>24151.62</c:v>
                </c:pt>
                <c:pt idx="35">
                  <c:v>24489.64</c:v>
                </c:pt>
                <c:pt idx="36">
                  <c:v>24186.2</c:v>
                </c:pt>
                <c:pt idx="37">
                  <c:v>23682.49</c:v>
                </c:pt>
                <c:pt idx="38">
                  <c:v>23396.26</c:v>
                </c:pt>
                <c:pt idx="39">
                  <c:v>23466.66</c:v>
                </c:pt>
                <c:pt idx="40">
                  <c:v>22774.53</c:v>
                </c:pt>
                <c:pt idx="41">
                  <c:v>22777.87</c:v>
                </c:pt>
                <c:pt idx="42">
                  <c:v>22923.19</c:v>
                </c:pt>
                <c:pt idx="43">
                  <c:v>22311.18</c:v>
                </c:pt>
                <c:pt idx="44">
                  <c:v>22451.47</c:v>
                </c:pt>
                <c:pt idx="45">
                  <c:v>22452.54</c:v>
                </c:pt>
                <c:pt idx="46">
                  <c:v>22518.25</c:v>
                </c:pt>
                <c:pt idx="47">
                  <c:v>22521.45</c:v>
                </c:pt>
                <c:pt idx="48">
                  <c:v>22366.2</c:v>
                </c:pt>
                <c:pt idx="49">
                  <c:v>22684.59</c:v>
                </c:pt>
                <c:pt idx="50">
                  <c:v>23629.41</c:v>
                </c:pt>
                <c:pt idx="51">
                  <c:v>23859.98</c:v>
                </c:pt>
                <c:pt idx="52">
                  <c:v>23873.65</c:v>
                </c:pt>
                <c:pt idx="53">
                  <c:v>24199.67</c:v>
                </c:pt>
                <c:pt idx="54">
                  <c:v>24425.77</c:v>
                </c:pt>
                <c:pt idx="55">
                  <c:v>24493.99</c:v>
                </c:pt>
                <c:pt idx="56">
                  <c:v>24650.799999999999</c:v>
                </c:pt>
                <c:pt idx="57">
                  <c:v>23880.97</c:v>
                </c:pt>
                <c:pt idx="58">
                  <c:v>23693.29</c:v>
                </c:pt>
                <c:pt idx="59">
                  <c:v>23601.23</c:v>
                </c:pt>
                <c:pt idx="60">
                  <c:v>23616.91</c:v>
                </c:pt>
                <c:pt idx="61">
                  <c:v>23118.45</c:v>
                </c:pt>
                <c:pt idx="62">
                  <c:v>23060.42</c:v>
                </c:pt>
                <c:pt idx="63">
                  <c:v>23007.42</c:v>
                </c:pt>
                <c:pt idx="64">
                  <c:v>22656.07</c:v>
                </c:pt>
                <c:pt idx="65">
                  <c:v>22816.95</c:v>
                </c:pt>
                <c:pt idx="66">
                  <c:v>22447.599999999999</c:v>
                </c:pt>
                <c:pt idx="67">
                  <c:v>22074.42</c:v>
                </c:pt>
                <c:pt idx="68">
                  <c:v>21713.98</c:v>
                </c:pt>
                <c:pt idx="69">
                  <c:v>22531.34</c:v>
                </c:pt>
                <c:pt idx="70">
                  <c:v>23453.63</c:v>
                </c:pt>
                <c:pt idx="71">
                  <c:v>23332.59</c:v>
                </c:pt>
                <c:pt idx="72">
                  <c:v>23715.43</c:v>
                </c:pt>
                <c:pt idx="73">
                  <c:v>23217.14</c:v>
                </c:pt>
                <c:pt idx="74">
                  <c:v>23243.29</c:v>
                </c:pt>
                <c:pt idx="75">
                  <c:v>23221.439999999999</c:v>
                </c:pt>
                <c:pt idx="76">
                  <c:v>23211.55</c:v>
                </c:pt>
                <c:pt idx="77">
                  <c:v>22740.18</c:v>
                </c:pt>
                <c:pt idx="78">
                  <c:v>22762.7</c:v>
                </c:pt>
                <c:pt idx="79">
                  <c:v>22625.51</c:v>
                </c:pt>
                <c:pt idx="80">
                  <c:v>23154.19</c:v>
                </c:pt>
                <c:pt idx="81">
                  <c:v>23495.72</c:v>
                </c:pt>
                <c:pt idx="82">
                  <c:v>23593.27</c:v>
                </c:pt>
                <c:pt idx="83">
                  <c:v>23100.6</c:v>
                </c:pt>
                <c:pt idx="84">
                  <c:v>23296.98</c:v>
                </c:pt>
                <c:pt idx="85">
                  <c:v>22432.57</c:v>
                </c:pt>
                <c:pt idx="86">
                  <c:v>21811.75</c:v>
                </c:pt>
                <c:pt idx="87">
                  <c:v>21839.66</c:v>
                </c:pt>
                <c:pt idx="88">
                  <c:v>21966.78</c:v>
                </c:pt>
                <c:pt idx="89">
                  <c:v>21850.67</c:v>
                </c:pt>
                <c:pt idx="90">
                  <c:v>22076.19</c:v>
                </c:pt>
                <c:pt idx="91">
                  <c:v>22016.959999999999</c:v>
                </c:pt>
                <c:pt idx="92">
                  <c:v>21761.26</c:v>
                </c:pt>
                <c:pt idx="93">
                  <c:v>22149.63</c:v>
                </c:pt>
                <c:pt idx="94">
                  <c:v>22872.959999999999</c:v>
                </c:pt>
                <c:pt idx="95">
                  <c:v>22706.75</c:v>
                </c:pt>
                <c:pt idx="96">
                  <c:v>23093.87</c:v>
                </c:pt>
                <c:pt idx="97">
                  <c:v>23072.92</c:v>
                </c:pt>
                <c:pt idx="98">
                  <c:v>23052.48</c:v>
                </c:pt>
                <c:pt idx="99">
                  <c:v>22264.05</c:v>
                </c:pt>
                <c:pt idx="100">
                  <c:v>22207.43</c:v>
                </c:pt>
                <c:pt idx="101">
                  <c:v>21893.27</c:v>
                </c:pt>
                <c:pt idx="102">
                  <c:v>22182.03</c:v>
                </c:pt>
                <c:pt idx="103">
                  <c:v>22213.17</c:v>
                </c:pt>
                <c:pt idx="104">
                  <c:v>22073.35</c:v>
                </c:pt>
                <c:pt idx="105">
                  <c:v>22227.439999999999</c:v>
                </c:pt>
                <c:pt idx="106">
                  <c:v>21941.53</c:v>
                </c:pt>
                <c:pt idx="107">
                  <c:v>22047.07</c:v>
                </c:pt>
                <c:pt idx="108">
                  <c:v>22649.61</c:v>
                </c:pt>
                <c:pt idx="109">
                  <c:v>22964.57</c:v>
                </c:pt>
                <c:pt idx="110">
                  <c:v>23723.81</c:v>
                </c:pt>
                <c:pt idx="111">
                  <c:v>23801.62</c:v>
                </c:pt>
                <c:pt idx="112">
                  <c:v>23152.71</c:v>
                </c:pt>
                <c:pt idx="113">
                  <c:v>22972.34</c:v>
                </c:pt>
                <c:pt idx="114">
                  <c:v>22819.360000000001</c:v>
                </c:pt>
                <c:pt idx="115">
                  <c:v>22966.23</c:v>
                </c:pt>
                <c:pt idx="116">
                  <c:v>22975.82</c:v>
                </c:pt>
                <c:pt idx="117">
                  <c:v>22326.68</c:v>
                </c:pt>
                <c:pt idx="118">
                  <c:v>22060.48</c:v>
                </c:pt>
                <c:pt idx="119">
                  <c:v>22321.34</c:v>
                </c:pt>
                <c:pt idx="120">
                  <c:v>23173.15</c:v>
                </c:pt>
                <c:pt idx="121">
                  <c:v>23712.77</c:v>
                </c:pt>
                <c:pt idx="122">
                  <c:v>24221.919999999998</c:v>
                </c:pt>
                <c:pt idx="123">
                  <c:v>24090.48</c:v>
                </c:pt>
                <c:pt idx="124">
                  <c:v>24067.35</c:v>
                </c:pt>
                <c:pt idx="125">
                  <c:v>24418.48</c:v>
                </c:pt>
                <c:pt idx="126">
                  <c:v>24780.2</c:v>
                </c:pt>
                <c:pt idx="127">
                  <c:v>24166.94</c:v>
                </c:pt>
                <c:pt idx="128">
                  <c:v>24422.67</c:v>
                </c:pt>
                <c:pt idx="129">
                  <c:v>24714.9</c:v>
                </c:pt>
                <c:pt idx="130">
                  <c:v>24747.38</c:v>
                </c:pt>
                <c:pt idx="131">
                  <c:v>24649.8</c:v>
                </c:pt>
                <c:pt idx="132">
                  <c:v>24094.92</c:v>
                </c:pt>
                <c:pt idx="133">
                  <c:v>24234.240000000002</c:v>
                </c:pt>
                <c:pt idx="134">
                  <c:v>24741.68</c:v>
                </c:pt>
                <c:pt idx="135">
                  <c:v>23956.560000000001</c:v>
                </c:pt>
                <c:pt idx="136">
                  <c:v>24471.06</c:v>
                </c:pt>
                <c:pt idx="137">
                  <c:v>24386.240000000002</c:v>
                </c:pt>
                <c:pt idx="138">
                  <c:v>24824.37</c:v>
                </c:pt>
                <c:pt idx="139">
                  <c:v>24642.44</c:v>
                </c:pt>
                <c:pt idx="140">
                  <c:v>25112.63</c:v>
                </c:pt>
                <c:pt idx="141">
                  <c:v>25034.59</c:v>
                </c:pt>
                <c:pt idx="142">
                  <c:v>24729.66</c:v>
                </c:pt>
                <c:pt idx="143">
                  <c:v>24836.48</c:v>
                </c:pt>
                <c:pt idx="144">
                  <c:v>25018.12</c:v>
                </c:pt>
                <c:pt idx="145">
                  <c:v>25280.77</c:v>
                </c:pt>
                <c:pt idx="146">
                  <c:v>24694.36</c:v>
                </c:pt>
                <c:pt idx="147">
                  <c:v>24778.89</c:v>
                </c:pt>
                <c:pt idx="148">
                  <c:v>25083.27</c:v>
                </c:pt>
                <c:pt idx="149">
                  <c:v>25907.17</c:v>
                </c:pt>
                <c:pt idx="150">
                  <c:v>25996.38</c:v>
                </c:pt>
                <c:pt idx="151">
                  <c:v>24928.58</c:v>
                </c:pt>
                <c:pt idx="152">
                  <c:v>25169.439999999999</c:v>
                </c:pt>
                <c:pt idx="153">
                  <c:v>24795.360000000001</c:v>
                </c:pt>
                <c:pt idx="154">
                  <c:v>24657.72</c:v>
                </c:pt>
                <c:pt idx="155">
                  <c:v>24490.51</c:v>
                </c:pt>
                <c:pt idx="156">
                  <c:v>24949.75</c:v>
                </c:pt>
                <c:pt idx="157">
                  <c:v>25584.09</c:v>
                </c:pt>
                <c:pt idx="158">
                  <c:v>24762.54</c:v>
                </c:pt>
                <c:pt idx="159">
                  <c:v>24649.96</c:v>
                </c:pt>
                <c:pt idx="160">
                  <c:v>25184.18</c:v>
                </c:pt>
                <c:pt idx="161">
                  <c:v>25376.39</c:v>
                </c:pt>
                <c:pt idx="162">
                  <c:v>25781.16</c:v>
                </c:pt>
                <c:pt idx="163">
                  <c:v>25806.48</c:v>
                </c:pt>
                <c:pt idx="164">
                  <c:v>26906.73</c:v>
                </c:pt>
                <c:pt idx="165">
                  <c:v>27512.93</c:v>
                </c:pt>
                <c:pt idx="166">
                  <c:v>27178.44</c:v>
                </c:pt>
                <c:pt idx="167">
                  <c:v>26999.96</c:v>
                </c:pt>
                <c:pt idx="168">
                  <c:v>27526.79</c:v>
                </c:pt>
                <c:pt idx="169">
                  <c:v>27382.22</c:v>
                </c:pt>
                <c:pt idx="170">
                  <c:v>27547.33</c:v>
                </c:pt>
                <c:pt idx="171">
                  <c:v>27872.27</c:v>
                </c:pt>
                <c:pt idx="172">
                  <c:v>28196.51</c:v>
                </c:pt>
                <c:pt idx="173">
                  <c:v>28097.78</c:v>
                </c:pt>
                <c:pt idx="174">
                  <c:v>28155.47</c:v>
                </c:pt>
                <c:pt idx="175">
                  <c:v>27829.14</c:v>
                </c:pt>
                <c:pt idx="176">
                  <c:v>28524.639999999999</c:v>
                </c:pt>
                <c:pt idx="177">
                  <c:v>27519.35</c:v>
                </c:pt>
                <c:pt idx="178">
                  <c:v>27041.08</c:v>
                </c:pt>
                <c:pt idx="179">
                  <c:v>26864.87</c:v>
                </c:pt>
                <c:pt idx="180">
                  <c:v>26434.42</c:v>
                </c:pt>
                <c:pt idx="181">
                  <c:v>25870.78</c:v>
                </c:pt>
                <c:pt idx="182">
                  <c:v>26437.54</c:v>
                </c:pt>
                <c:pt idx="183">
                  <c:v>25879.34</c:v>
                </c:pt>
                <c:pt idx="184">
                  <c:v>25136</c:v>
                </c:pt>
                <c:pt idx="185">
                  <c:v>27795.9</c:v>
                </c:pt>
                <c:pt idx="186">
                  <c:v>29188.19</c:v>
                </c:pt>
                <c:pt idx="187">
                  <c:v>29195.09</c:v>
                </c:pt>
                <c:pt idx="188">
                  <c:v>28560.27</c:v>
                </c:pt>
                <c:pt idx="189">
                  <c:v>28799.89</c:v>
                </c:pt>
                <c:pt idx="190">
                  <c:v>28619.31</c:v>
                </c:pt>
                <c:pt idx="191">
                  <c:v>28653.4</c:v>
                </c:pt>
                <c:pt idx="192">
                  <c:v>29512.35</c:v>
                </c:pt>
                <c:pt idx="193">
                  <c:v>29847.79</c:v>
                </c:pt>
                <c:pt idx="194">
                  <c:v>29599.08</c:v>
                </c:pt>
                <c:pt idx="195">
                  <c:v>30333.86</c:v>
                </c:pt>
                <c:pt idx="196">
                  <c:v>30781.279999999999</c:v>
                </c:pt>
                <c:pt idx="197">
                  <c:v>31004.240000000002</c:v>
                </c:pt>
                <c:pt idx="198">
                  <c:v>31699.49</c:v>
                </c:pt>
                <c:pt idx="199">
                  <c:v>31578</c:v>
                </c:pt>
                <c:pt idx="200">
                  <c:v>31305.18</c:v>
                </c:pt>
                <c:pt idx="201">
                  <c:v>32221.23</c:v>
                </c:pt>
                <c:pt idx="202">
                  <c:v>32020.73</c:v>
                </c:pt>
                <c:pt idx="203">
                  <c:v>32006.02</c:v>
                </c:pt>
                <c:pt idx="204">
                  <c:v>31724.57</c:v>
                </c:pt>
                <c:pt idx="205">
                  <c:v>31712.91</c:v>
                </c:pt>
                <c:pt idx="206">
                  <c:v>31026.49</c:v>
                </c:pt>
                <c:pt idx="207">
                  <c:v>30571.11</c:v>
                </c:pt>
                <c:pt idx="208">
                  <c:v>30282.720000000001</c:v>
                </c:pt>
                <c:pt idx="209">
                  <c:v>30473.38</c:v>
                </c:pt>
                <c:pt idx="210">
                  <c:v>30249.119999999999</c:v>
                </c:pt>
                <c:pt idx="211">
                  <c:v>30250.29</c:v>
                </c:pt>
                <c:pt idx="212">
                  <c:v>30232.06</c:v>
                </c:pt>
                <c:pt idx="213">
                  <c:v>29812.97</c:v>
                </c:pt>
                <c:pt idx="214">
                  <c:v>29768.01</c:v>
                </c:pt>
                <c:pt idx="215">
                  <c:v>30000.99</c:v>
                </c:pt>
                <c:pt idx="216">
                  <c:v>30464.15</c:v>
                </c:pt>
                <c:pt idx="217">
                  <c:v>30327.63</c:v>
                </c:pt>
                <c:pt idx="218">
                  <c:v>29864.67</c:v>
                </c:pt>
                <c:pt idx="219">
                  <c:v>29300.799999999999</c:v>
                </c:pt>
                <c:pt idx="220">
                  <c:v>29666.799999999999</c:v>
                </c:pt>
                <c:pt idx="221">
                  <c:v>29663.94</c:v>
                </c:pt>
                <c:pt idx="222">
                  <c:v>28969.56</c:v>
                </c:pt>
                <c:pt idx="223">
                  <c:v>28668.12</c:v>
                </c:pt>
                <c:pt idx="224">
                  <c:v>28636.25</c:v>
                </c:pt>
                <c:pt idx="225">
                  <c:v>28960.03</c:v>
                </c:pt>
                <c:pt idx="226">
                  <c:v>28502.04</c:v>
                </c:pt>
                <c:pt idx="227">
                  <c:v>27917.26</c:v>
                </c:pt>
                <c:pt idx="228">
                  <c:v>27998.19</c:v>
                </c:pt>
                <c:pt idx="229">
                  <c:v>27415.55</c:v>
                </c:pt>
                <c:pt idx="230">
                  <c:v>27552.63</c:v>
                </c:pt>
                <c:pt idx="231">
                  <c:v>28283.17</c:v>
                </c:pt>
                <c:pt idx="232">
                  <c:v>29020.240000000002</c:v>
                </c:pt>
                <c:pt idx="233">
                  <c:v>28901.77</c:v>
                </c:pt>
                <c:pt idx="234">
                  <c:v>28360.65</c:v>
                </c:pt>
                <c:pt idx="235">
                  <c:v>28938.27</c:v>
                </c:pt>
                <c:pt idx="236">
                  <c:v>28757.05</c:v>
                </c:pt>
                <c:pt idx="237">
                  <c:v>28802.74</c:v>
                </c:pt>
                <c:pt idx="238">
                  <c:v>29025.35</c:v>
                </c:pt>
                <c:pt idx="239">
                  <c:v>28724.92</c:v>
                </c:pt>
                <c:pt idx="240">
                  <c:v>29083.75</c:v>
                </c:pt>
              </c:numCache>
            </c:numRef>
          </c:val>
        </c:ser>
        <c:dLbls/>
        <c:marker val="1"/>
        <c:axId val="151967232"/>
        <c:axId val="151965696"/>
      </c:lineChart>
      <c:dateAx>
        <c:axId val="151945984"/>
        <c:scaling>
          <c:orientation val="minMax"/>
        </c:scaling>
        <c:axPos val="b"/>
        <c:numFmt formatCode="yyyy/mm/dd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1947520"/>
        <c:crosses val="autoZero"/>
        <c:auto val="1"/>
        <c:lblOffset val="100"/>
        <c:baseTimeUnit val="days"/>
      </c:dateAx>
      <c:valAx>
        <c:axId val="15194752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1945984"/>
        <c:crosses val="autoZero"/>
        <c:crossBetween val="between"/>
      </c:valAx>
      <c:valAx>
        <c:axId val="1519656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1967232"/>
        <c:crosses val="max"/>
        <c:crossBetween val="between"/>
      </c:valAx>
      <c:dateAx>
        <c:axId val="151967232"/>
        <c:scaling>
          <c:orientation val="minMax"/>
        </c:scaling>
        <c:delete val="1"/>
        <c:axPos val="b"/>
        <c:numFmt formatCode="yyyy/mm/dd" sourceLinked="1"/>
        <c:tickLblPos val="none"/>
        <c:crossAx val="151965696"/>
        <c:crosses val="autoZero"/>
        <c:auto val="1"/>
        <c:lblOffset val="100"/>
        <c:baseTimeUnit val="days"/>
      </c:dateAx>
    </c:plotArea>
    <c:legend>
      <c:legendPos val="t"/>
      <c:layout/>
      <c:spPr>
        <a:noFill/>
      </c:spPr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</c:chart>
  <c:spPr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개별종목정보!$DE$4</c:f>
              <c:strCache>
                <c:ptCount val="1"/>
                <c:pt idx="0">
                  <c:v>삼성전자</c:v>
                </c:pt>
              </c:strCache>
            </c:strRef>
          </c:tx>
          <c:spPr>
            <a:ln w="25400">
              <a:solidFill>
                <a:srgbClr val="0168FF"/>
              </a:solidFill>
            </a:ln>
          </c:spPr>
          <c:marker>
            <c:symbol val="none"/>
          </c:marke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개별종목정보!$DF$6:$DF$253</c:f>
              <c:numCache>
                <c:formatCode>General</c:formatCode>
                <c:ptCount val="248"/>
                <c:pt idx="0">
                  <c:v>57400</c:v>
                </c:pt>
                <c:pt idx="1">
                  <c:v>56900</c:v>
                </c:pt>
                <c:pt idx="2">
                  <c:v>57600</c:v>
                </c:pt>
                <c:pt idx="3">
                  <c:v>54800</c:v>
                </c:pt>
                <c:pt idx="4">
                  <c:v>54600</c:v>
                </c:pt>
                <c:pt idx="5">
                  <c:v>54600</c:v>
                </c:pt>
                <c:pt idx="6">
                  <c:v>54300</c:v>
                </c:pt>
                <c:pt idx="7">
                  <c:v>55500</c:v>
                </c:pt>
                <c:pt idx="8">
                  <c:v>55800</c:v>
                </c:pt>
                <c:pt idx="9">
                  <c:v>55800</c:v>
                </c:pt>
                <c:pt idx="10">
                  <c:v>55700</c:v>
                </c:pt>
                <c:pt idx="11">
                  <c:v>55700</c:v>
                </c:pt>
                <c:pt idx="12">
                  <c:v>55700</c:v>
                </c:pt>
                <c:pt idx="13">
                  <c:v>55000</c:v>
                </c:pt>
                <c:pt idx="14">
                  <c:v>55400</c:v>
                </c:pt>
                <c:pt idx="15">
                  <c:v>55300</c:v>
                </c:pt>
                <c:pt idx="16">
                  <c:v>55100</c:v>
                </c:pt>
                <c:pt idx="17">
                  <c:v>54700</c:v>
                </c:pt>
                <c:pt idx="18">
                  <c:v>56600</c:v>
                </c:pt>
                <c:pt idx="19">
                  <c:v>56200</c:v>
                </c:pt>
                <c:pt idx="20">
                  <c:v>55200</c:v>
                </c:pt>
                <c:pt idx="21">
                  <c:v>56400</c:v>
                </c:pt>
                <c:pt idx="22">
                  <c:v>53000</c:v>
                </c:pt>
                <c:pt idx="23">
                  <c:v>53500</c:v>
                </c:pt>
                <c:pt idx="24">
                  <c:v>53200</c:v>
                </c:pt>
                <c:pt idx="25">
                  <c:v>56100</c:v>
                </c:pt>
                <c:pt idx="26">
                  <c:v>57600</c:v>
                </c:pt>
                <c:pt idx="27">
                  <c:v>58800</c:v>
                </c:pt>
                <c:pt idx="28">
                  <c:v>58800</c:v>
                </c:pt>
                <c:pt idx="29">
                  <c:v>57800</c:v>
                </c:pt>
                <c:pt idx="30">
                  <c:v>60200</c:v>
                </c:pt>
                <c:pt idx="31">
                  <c:v>61800</c:v>
                </c:pt>
                <c:pt idx="32">
                  <c:v>61400</c:v>
                </c:pt>
                <c:pt idx="33">
                  <c:v>59800</c:v>
                </c:pt>
                <c:pt idx="34">
                  <c:v>60500</c:v>
                </c:pt>
                <c:pt idx="35">
                  <c:v>61700</c:v>
                </c:pt>
                <c:pt idx="36">
                  <c:v>60200</c:v>
                </c:pt>
                <c:pt idx="37">
                  <c:v>58500</c:v>
                </c:pt>
                <c:pt idx="38">
                  <c:v>57600</c:v>
                </c:pt>
                <c:pt idx="39">
                  <c:v>57600</c:v>
                </c:pt>
                <c:pt idx="40">
                  <c:v>54700</c:v>
                </c:pt>
                <c:pt idx="41">
                  <c:v>54700</c:v>
                </c:pt>
                <c:pt idx="42">
                  <c:v>54900</c:v>
                </c:pt>
                <c:pt idx="43">
                  <c:v>53600</c:v>
                </c:pt>
                <c:pt idx="44">
                  <c:v>53700</c:v>
                </c:pt>
                <c:pt idx="45">
                  <c:v>53700</c:v>
                </c:pt>
                <c:pt idx="46">
                  <c:v>54300</c:v>
                </c:pt>
                <c:pt idx="47">
                  <c:v>54000</c:v>
                </c:pt>
                <c:pt idx="48">
                  <c:v>54500</c:v>
                </c:pt>
                <c:pt idx="49">
                  <c:v>54500</c:v>
                </c:pt>
                <c:pt idx="50">
                  <c:v>56300</c:v>
                </c:pt>
                <c:pt idx="51">
                  <c:v>56600</c:v>
                </c:pt>
                <c:pt idx="52">
                  <c:v>57200</c:v>
                </c:pt>
                <c:pt idx="53">
                  <c:v>57300</c:v>
                </c:pt>
                <c:pt idx="54">
                  <c:v>58200</c:v>
                </c:pt>
                <c:pt idx="55">
                  <c:v>58400</c:v>
                </c:pt>
                <c:pt idx="56">
                  <c:v>58700</c:v>
                </c:pt>
                <c:pt idx="57">
                  <c:v>56900</c:v>
                </c:pt>
                <c:pt idx="58">
                  <c:v>56000</c:v>
                </c:pt>
                <c:pt idx="59">
                  <c:v>56000</c:v>
                </c:pt>
                <c:pt idx="60">
                  <c:v>55800</c:v>
                </c:pt>
                <c:pt idx="61">
                  <c:v>55800</c:v>
                </c:pt>
                <c:pt idx="62">
                  <c:v>55700</c:v>
                </c:pt>
                <c:pt idx="63">
                  <c:v>55600</c:v>
                </c:pt>
                <c:pt idx="64">
                  <c:v>53700</c:v>
                </c:pt>
                <c:pt idx="65">
                  <c:v>54000</c:v>
                </c:pt>
                <c:pt idx="66">
                  <c:v>52900</c:v>
                </c:pt>
                <c:pt idx="67">
                  <c:v>52700</c:v>
                </c:pt>
                <c:pt idx="68">
                  <c:v>51000</c:v>
                </c:pt>
                <c:pt idx="69">
                  <c:v>52400</c:v>
                </c:pt>
                <c:pt idx="70">
                  <c:v>53700</c:v>
                </c:pt>
                <c:pt idx="71">
                  <c:v>53700</c:v>
                </c:pt>
                <c:pt idx="72">
                  <c:v>54300</c:v>
                </c:pt>
                <c:pt idx="73">
                  <c:v>53500</c:v>
                </c:pt>
                <c:pt idx="74">
                  <c:v>53400</c:v>
                </c:pt>
                <c:pt idx="75">
                  <c:v>53700</c:v>
                </c:pt>
                <c:pt idx="76">
                  <c:v>54300</c:v>
                </c:pt>
                <c:pt idx="77">
                  <c:v>53700</c:v>
                </c:pt>
                <c:pt idx="78">
                  <c:v>53900</c:v>
                </c:pt>
                <c:pt idx="79">
                  <c:v>54100</c:v>
                </c:pt>
                <c:pt idx="80">
                  <c:v>55300</c:v>
                </c:pt>
                <c:pt idx="81">
                  <c:v>56100</c:v>
                </c:pt>
                <c:pt idx="82">
                  <c:v>57300</c:v>
                </c:pt>
                <c:pt idx="83">
                  <c:v>55400</c:v>
                </c:pt>
                <c:pt idx="84">
                  <c:v>55900</c:v>
                </c:pt>
                <c:pt idx="85">
                  <c:v>54400</c:v>
                </c:pt>
                <c:pt idx="86">
                  <c:v>53400</c:v>
                </c:pt>
                <c:pt idx="87">
                  <c:v>53200</c:v>
                </c:pt>
                <c:pt idx="88">
                  <c:v>53700</c:v>
                </c:pt>
                <c:pt idx="89">
                  <c:v>53600</c:v>
                </c:pt>
                <c:pt idx="90">
                  <c:v>54400</c:v>
                </c:pt>
                <c:pt idx="91">
                  <c:v>53500</c:v>
                </c:pt>
                <c:pt idx="92">
                  <c:v>53000</c:v>
                </c:pt>
                <c:pt idx="93">
                  <c:v>53100</c:v>
                </c:pt>
                <c:pt idx="94">
                  <c:v>54900</c:v>
                </c:pt>
                <c:pt idx="95">
                  <c:v>54200</c:v>
                </c:pt>
                <c:pt idx="96">
                  <c:v>55600</c:v>
                </c:pt>
                <c:pt idx="97">
                  <c:v>56100</c:v>
                </c:pt>
                <c:pt idx="98">
                  <c:v>55900</c:v>
                </c:pt>
                <c:pt idx="99">
                  <c:v>54000</c:v>
                </c:pt>
                <c:pt idx="100">
                  <c:v>54000</c:v>
                </c:pt>
                <c:pt idx="101">
                  <c:v>53400</c:v>
                </c:pt>
                <c:pt idx="102">
                  <c:v>54100</c:v>
                </c:pt>
                <c:pt idx="103">
                  <c:v>53700</c:v>
                </c:pt>
                <c:pt idx="104">
                  <c:v>53100</c:v>
                </c:pt>
                <c:pt idx="105">
                  <c:v>53600</c:v>
                </c:pt>
                <c:pt idx="106">
                  <c:v>53600</c:v>
                </c:pt>
                <c:pt idx="107">
                  <c:v>54200</c:v>
                </c:pt>
                <c:pt idx="108">
                  <c:v>55500</c:v>
                </c:pt>
                <c:pt idx="109">
                  <c:v>56300</c:v>
                </c:pt>
                <c:pt idx="110">
                  <c:v>58300</c:v>
                </c:pt>
                <c:pt idx="111">
                  <c:v>57900</c:v>
                </c:pt>
                <c:pt idx="112">
                  <c:v>56000</c:v>
                </c:pt>
                <c:pt idx="113">
                  <c:v>56400</c:v>
                </c:pt>
                <c:pt idx="114">
                  <c:v>55300</c:v>
                </c:pt>
                <c:pt idx="115">
                  <c:v>56300</c:v>
                </c:pt>
                <c:pt idx="116">
                  <c:v>56700</c:v>
                </c:pt>
                <c:pt idx="117">
                  <c:v>53500</c:v>
                </c:pt>
                <c:pt idx="118">
                  <c:v>49900</c:v>
                </c:pt>
                <c:pt idx="119">
                  <c:v>50600</c:v>
                </c:pt>
                <c:pt idx="120">
                  <c:v>53000</c:v>
                </c:pt>
                <c:pt idx="121">
                  <c:v>55000</c:v>
                </c:pt>
                <c:pt idx="122">
                  <c:v>57000</c:v>
                </c:pt>
                <c:pt idx="123">
                  <c:v>57500</c:v>
                </c:pt>
                <c:pt idx="124">
                  <c:v>57300</c:v>
                </c:pt>
                <c:pt idx="125">
                  <c:v>57600</c:v>
                </c:pt>
                <c:pt idx="126">
                  <c:v>58700</c:v>
                </c:pt>
                <c:pt idx="127">
                  <c:v>58300</c:v>
                </c:pt>
                <c:pt idx="128">
                  <c:v>59200</c:v>
                </c:pt>
                <c:pt idx="129">
                  <c:v>59100</c:v>
                </c:pt>
                <c:pt idx="130">
                  <c:v>59600</c:v>
                </c:pt>
                <c:pt idx="131">
                  <c:v>58100</c:v>
                </c:pt>
                <c:pt idx="132">
                  <c:v>55900</c:v>
                </c:pt>
                <c:pt idx="133">
                  <c:v>56600</c:v>
                </c:pt>
                <c:pt idx="134">
                  <c:v>59100</c:v>
                </c:pt>
                <c:pt idx="135">
                  <c:v>57700</c:v>
                </c:pt>
                <c:pt idx="136">
                  <c:v>59000</c:v>
                </c:pt>
                <c:pt idx="137">
                  <c:v>59200</c:v>
                </c:pt>
                <c:pt idx="138">
                  <c:v>59700</c:v>
                </c:pt>
                <c:pt idx="139">
                  <c:v>59500</c:v>
                </c:pt>
                <c:pt idx="140">
                  <c:v>61000</c:v>
                </c:pt>
                <c:pt idx="141">
                  <c:v>60800</c:v>
                </c:pt>
                <c:pt idx="142">
                  <c:v>59300</c:v>
                </c:pt>
                <c:pt idx="143">
                  <c:v>58900</c:v>
                </c:pt>
                <c:pt idx="144">
                  <c:v>60300</c:v>
                </c:pt>
                <c:pt idx="145">
                  <c:v>61000</c:v>
                </c:pt>
                <c:pt idx="146">
                  <c:v>60600</c:v>
                </c:pt>
                <c:pt idx="147">
                  <c:v>61300</c:v>
                </c:pt>
                <c:pt idx="148">
                  <c:v>61500</c:v>
                </c:pt>
                <c:pt idx="149">
                  <c:v>64200</c:v>
                </c:pt>
                <c:pt idx="150">
                  <c:v>64700</c:v>
                </c:pt>
                <c:pt idx="151">
                  <c:v>62200</c:v>
                </c:pt>
                <c:pt idx="152">
                  <c:v>63200</c:v>
                </c:pt>
                <c:pt idx="153">
                  <c:v>62600</c:v>
                </c:pt>
                <c:pt idx="154">
                  <c:v>63000</c:v>
                </c:pt>
                <c:pt idx="155">
                  <c:v>63100</c:v>
                </c:pt>
                <c:pt idx="156">
                  <c:v>64400</c:v>
                </c:pt>
                <c:pt idx="157">
                  <c:v>66300</c:v>
                </c:pt>
                <c:pt idx="158">
                  <c:v>64900</c:v>
                </c:pt>
                <c:pt idx="159">
                  <c:v>66200</c:v>
                </c:pt>
                <c:pt idx="160">
                  <c:v>67500</c:v>
                </c:pt>
                <c:pt idx="161">
                  <c:v>68900</c:v>
                </c:pt>
                <c:pt idx="162">
                  <c:v>69000</c:v>
                </c:pt>
                <c:pt idx="163">
                  <c:v>70000</c:v>
                </c:pt>
                <c:pt idx="164">
                  <c:v>72500</c:v>
                </c:pt>
                <c:pt idx="165">
                  <c:v>74400</c:v>
                </c:pt>
                <c:pt idx="166">
                  <c:v>74300</c:v>
                </c:pt>
                <c:pt idx="167">
                  <c:v>74000</c:v>
                </c:pt>
                <c:pt idx="168">
                  <c:v>76400</c:v>
                </c:pt>
                <c:pt idx="169">
                  <c:v>75800</c:v>
                </c:pt>
                <c:pt idx="170">
                  <c:v>76100</c:v>
                </c:pt>
                <c:pt idx="171">
                  <c:v>77700</c:v>
                </c:pt>
                <c:pt idx="172">
                  <c:v>78300</c:v>
                </c:pt>
                <c:pt idx="173">
                  <c:v>78300</c:v>
                </c:pt>
                <c:pt idx="174">
                  <c:v>78900</c:v>
                </c:pt>
                <c:pt idx="175">
                  <c:v>78300</c:v>
                </c:pt>
                <c:pt idx="176">
                  <c:v>80200</c:v>
                </c:pt>
                <c:pt idx="177">
                  <c:v>77200</c:v>
                </c:pt>
                <c:pt idx="178">
                  <c:v>76100</c:v>
                </c:pt>
                <c:pt idx="179">
                  <c:v>75500</c:v>
                </c:pt>
                <c:pt idx="180">
                  <c:v>74700</c:v>
                </c:pt>
                <c:pt idx="181">
                  <c:v>73400</c:v>
                </c:pt>
                <c:pt idx="182">
                  <c:v>74700</c:v>
                </c:pt>
                <c:pt idx="183">
                  <c:v>72500</c:v>
                </c:pt>
                <c:pt idx="184">
                  <c:v>71400</c:v>
                </c:pt>
                <c:pt idx="185">
                  <c:v>79600</c:v>
                </c:pt>
                <c:pt idx="186">
                  <c:v>83100</c:v>
                </c:pt>
                <c:pt idx="187">
                  <c:v>83900</c:v>
                </c:pt>
                <c:pt idx="188">
                  <c:v>81000</c:v>
                </c:pt>
                <c:pt idx="189">
                  <c:v>81200</c:v>
                </c:pt>
                <c:pt idx="190">
                  <c:v>80900</c:v>
                </c:pt>
                <c:pt idx="191">
                  <c:v>80400</c:v>
                </c:pt>
                <c:pt idx="192">
                  <c:v>82000</c:v>
                </c:pt>
                <c:pt idx="193">
                  <c:v>83900</c:v>
                </c:pt>
                <c:pt idx="194">
                  <c:v>83000</c:v>
                </c:pt>
                <c:pt idx="195">
                  <c:v>84400</c:v>
                </c:pt>
                <c:pt idx="196">
                  <c:v>86900</c:v>
                </c:pt>
                <c:pt idx="197">
                  <c:v>86700</c:v>
                </c:pt>
                <c:pt idx="198">
                  <c:v>87700</c:v>
                </c:pt>
                <c:pt idx="199">
                  <c:v>86700</c:v>
                </c:pt>
                <c:pt idx="200">
                  <c:v>84400</c:v>
                </c:pt>
                <c:pt idx="201">
                  <c:v>87600</c:v>
                </c:pt>
                <c:pt idx="202">
                  <c:v>87800</c:v>
                </c:pt>
                <c:pt idx="203">
                  <c:v>87800</c:v>
                </c:pt>
                <c:pt idx="204">
                  <c:v>87400</c:v>
                </c:pt>
                <c:pt idx="205">
                  <c:v>87100</c:v>
                </c:pt>
                <c:pt idx="206">
                  <c:v>84600</c:v>
                </c:pt>
                <c:pt idx="207">
                  <c:v>81800</c:v>
                </c:pt>
                <c:pt idx="208">
                  <c:v>81800</c:v>
                </c:pt>
                <c:pt idx="209">
                  <c:v>81800</c:v>
                </c:pt>
                <c:pt idx="210">
                  <c:v>81500</c:v>
                </c:pt>
                <c:pt idx="211">
                  <c:v>81600</c:v>
                </c:pt>
                <c:pt idx="212">
                  <c:v>81300</c:v>
                </c:pt>
                <c:pt idx="213">
                  <c:v>80800</c:v>
                </c:pt>
                <c:pt idx="214">
                  <c:v>80600</c:v>
                </c:pt>
                <c:pt idx="215">
                  <c:v>80000</c:v>
                </c:pt>
                <c:pt idx="216">
                  <c:v>81600</c:v>
                </c:pt>
                <c:pt idx="217">
                  <c:v>81200</c:v>
                </c:pt>
                <c:pt idx="218">
                  <c:v>79800</c:v>
                </c:pt>
                <c:pt idx="219">
                  <c:v>78100</c:v>
                </c:pt>
                <c:pt idx="220">
                  <c:v>79600</c:v>
                </c:pt>
                <c:pt idx="221">
                  <c:v>78600</c:v>
                </c:pt>
                <c:pt idx="222">
                  <c:v>76500</c:v>
                </c:pt>
                <c:pt idx="223">
                  <c:v>75200</c:v>
                </c:pt>
                <c:pt idx="224">
                  <c:v>75700</c:v>
                </c:pt>
                <c:pt idx="225">
                  <c:v>77300</c:v>
                </c:pt>
                <c:pt idx="226">
                  <c:v>77400</c:v>
                </c:pt>
                <c:pt idx="227">
                  <c:v>75300</c:v>
                </c:pt>
                <c:pt idx="228">
                  <c:v>75700</c:v>
                </c:pt>
                <c:pt idx="229">
                  <c:v>73500</c:v>
                </c:pt>
                <c:pt idx="230">
                  <c:v>73500</c:v>
                </c:pt>
                <c:pt idx="231">
                  <c:v>75200</c:v>
                </c:pt>
                <c:pt idx="232">
                  <c:v>77600</c:v>
                </c:pt>
                <c:pt idx="233">
                  <c:v>77200</c:v>
                </c:pt>
                <c:pt idx="234">
                  <c:v>75900</c:v>
                </c:pt>
                <c:pt idx="235">
                  <c:v>78300</c:v>
                </c:pt>
                <c:pt idx="236">
                  <c:v>77700</c:v>
                </c:pt>
                <c:pt idx="237">
                  <c:v>78400</c:v>
                </c:pt>
                <c:pt idx="238">
                  <c:v>78900</c:v>
                </c:pt>
                <c:pt idx="239">
                  <c:v>77400</c:v>
                </c:pt>
                <c:pt idx="240">
                  <c:v>78200</c:v>
                </c:pt>
              </c:numCache>
            </c:numRef>
          </c:val>
        </c:ser>
        <c:dLbls/>
        <c:marker val="1"/>
        <c:axId val="202984832"/>
        <c:axId val="202990720"/>
      </c:lineChart>
      <c:lineChart>
        <c:grouping val="standard"/>
        <c:ser>
          <c:idx val="1"/>
          <c:order val="1"/>
          <c:tx>
            <c:strRef>
              <c:f>개별종목정보!$DH$4</c:f>
              <c:strCache>
                <c:ptCount val="1"/>
                <c:pt idx="0">
                  <c:v>KOSPI</c:v>
                </c:pt>
              </c:strCache>
            </c:strRef>
          </c:tx>
          <c:spPr>
            <a:ln w="25400">
              <a:solidFill>
                <a:srgbClr val="FF3399"/>
              </a:solidFill>
            </a:ln>
          </c:spPr>
          <c:marker>
            <c:symbol val="none"/>
          </c:marke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개별종목정보!$DH$6:$DH$253</c:f>
              <c:numCache>
                <c:formatCode>General</c:formatCode>
                <c:ptCount val="248"/>
                <c:pt idx="0">
                  <c:v>2640.57</c:v>
                </c:pt>
                <c:pt idx="1">
                  <c:v>2608.42</c:v>
                </c:pt>
                <c:pt idx="2">
                  <c:v>2607.33</c:v>
                </c:pt>
                <c:pt idx="3">
                  <c:v>2577.27</c:v>
                </c:pt>
                <c:pt idx="4">
                  <c:v>2579.48</c:v>
                </c:pt>
                <c:pt idx="5">
                  <c:v>2573.8000000000002</c:v>
                </c:pt>
                <c:pt idx="6">
                  <c:v>2559.79</c:v>
                </c:pt>
                <c:pt idx="7">
                  <c:v>2556.61</c:v>
                </c:pt>
                <c:pt idx="8">
                  <c:v>2565.42</c:v>
                </c:pt>
                <c:pt idx="9">
                  <c:v>2548.86</c:v>
                </c:pt>
                <c:pt idx="10">
                  <c:v>2546.3000000000002</c:v>
                </c:pt>
                <c:pt idx="11">
                  <c:v>2522.33</c:v>
                </c:pt>
                <c:pt idx="12">
                  <c:v>2525.56</c:v>
                </c:pt>
                <c:pt idx="13">
                  <c:v>2486.64</c:v>
                </c:pt>
                <c:pt idx="14">
                  <c:v>2488.42</c:v>
                </c:pt>
                <c:pt idx="15">
                  <c:v>2483.42</c:v>
                </c:pt>
                <c:pt idx="16">
                  <c:v>2470.41</c:v>
                </c:pt>
                <c:pt idx="17">
                  <c:v>2447.4299999999998</c:v>
                </c:pt>
                <c:pt idx="18">
                  <c:v>2477.41</c:v>
                </c:pt>
                <c:pt idx="19">
                  <c:v>2455.89</c:v>
                </c:pt>
                <c:pt idx="20">
                  <c:v>2432.7199999999998</c:v>
                </c:pt>
                <c:pt idx="21">
                  <c:v>2445.06</c:v>
                </c:pt>
                <c:pt idx="22">
                  <c:v>2293.6999999999998</c:v>
                </c:pt>
                <c:pt idx="23">
                  <c:v>2334.23</c:v>
                </c:pt>
                <c:pt idx="24">
                  <c:v>2328.1999999999998</c:v>
                </c:pt>
                <c:pt idx="25">
                  <c:v>2465.42</c:v>
                </c:pt>
                <c:pt idx="26">
                  <c:v>2486.6999999999998</c:v>
                </c:pt>
                <c:pt idx="27">
                  <c:v>2505.86</c:v>
                </c:pt>
                <c:pt idx="28">
                  <c:v>2521.39</c:v>
                </c:pt>
                <c:pt idx="29">
                  <c:v>2481.12</c:v>
                </c:pt>
                <c:pt idx="30">
                  <c:v>2557.98</c:v>
                </c:pt>
                <c:pt idx="31">
                  <c:v>2607.15</c:v>
                </c:pt>
                <c:pt idx="32">
                  <c:v>2643.94</c:v>
                </c:pt>
                <c:pt idx="33">
                  <c:v>2615.81</c:v>
                </c:pt>
                <c:pt idx="34">
                  <c:v>2632.07</c:v>
                </c:pt>
                <c:pt idx="35">
                  <c:v>2643.13</c:v>
                </c:pt>
                <c:pt idx="36">
                  <c:v>2637.1</c:v>
                </c:pt>
                <c:pt idx="37">
                  <c:v>2628.62</c:v>
                </c:pt>
                <c:pt idx="38">
                  <c:v>2612.34</c:v>
                </c:pt>
                <c:pt idx="39">
                  <c:v>2610.69</c:v>
                </c:pt>
                <c:pt idx="40">
                  <c:v>2566.36</c:v>
                </c:pt>
                <c:pt idx="41">
                  <c:v>2573.64</c:v>
                </c:pt>
                <c:pt idx="42">
                  <c:v>2574.8200000000002</c:v>
                </c:pt>
                <c:pt idx="43">
                  <c:v>2537.6</c:v>
                </c:pt>
                <c:pt idx="44">
                  <c:v>2570.39</c:v>
                </c:pt>
                <c:pt idx="45">
                  <c:v>2563.48</c:v>
                </c:pt>
                <c:pt idx="46">
                  <c:v>2576.16</c:v>
                </c:pt>
                <c:pt idx="47">
                  <c:v>2558.13</c:v>
                </c:pt>
                <c:pt idx="48">
                  <c:v>2528.92</c:v>
                </c:pt>
                <c:pt idx="49">
                  <c:v>2532.7800000000002</c:v>
                </c:pt>
                <c:pt idx="50">
                  <c:v>2621.75</c:v>
                </c:pt>
                <c:pt idx="51">
                  <c:v>2641.09</c:v>
                </c:pt>
                <c:pt idx="52">
                  <c:v>2630.29</c:v>
                </c:pt>
                <c:pt idx="53">
                  <c:v>2645.27</c:v>
                </c:pt>
                <c:pt idx="54">
                  <c:v>2654.58</c:v>
                </c:pt>
                <c:pt idx="55">
                  <c:v>2654.06</c:v>
                </c:pt>
                <c:pt idx="56">
                  <c:v>2671.52</c:v>
                </c:pt>
                <c:pt idx="57">
                  <c:v>2626.81</c:v>
                </c:pt>
                <c:pt idx="58">
                  <c:v>2610.42</c:v>
                </c:pt>
                <c:pt idx="59">
                  <c:v>2591.0500000000002</c:v>
                </c:pt>
                <c:pt idx="60">
                  <c:v>2583.17</c:v>
                </c:pt>
                <c:pt idx="61">
                  <c:v>2548.39</c:v>
                </c:pt>
                <c:pt idx="62">
                  <c:v>2539.0500000000002</c:v>
                </c:pt>
                <c:pt idx="63">
                  <c:v>2521.27</c:v>
                </c:pt>
                <c:pt idx="64">
                  <c:v>2521.92</c:v>
                </c:pt>
                <c:pt idx="65">
                  <c:v>2536.75</c:v>
                </c:pt>
                <c:pt idx="66">
                  <c:v>2509.27</c:v>
                </c:pt>
                <c:pt idx="67">
                  <c:v>2481.69</c:v>
                </c:pt>
                <c:pt idx="68">
                  <c:v>2453.9499999999998</c:v>
                </c:pt>
                <c:pt idx="69">
                  <c:v>2517.37</c:v>
                </c:pt>
                <c:pt idx="70">
                  <c:v>2536.8000000000002</c:v>
                </c:pt>
                <c:pt idx="71">
                  <c:v>2515.4899999999998</c:v>
                </c:pt>
                <c:pt idx="72">
                  <c:v>2547.06</c:v>
                </c:pt>
                <c:pt idx="73">
                  <c:v>2518.0300000000002</c:v>
                </c:pt>
                <c:pt idx="74">
                  <c:v>2520.0500000000002</c:v>
                </c:pt>
                <c:pt idx="75">
                  <c:v>2523.5500000000002</c:v>
                </c:pt>
                <c:pt idx="76">
                  <c:v>2527.4899999999998</c:v>
                </c:pt>
                <c:pt idx="77">
                  <c:v>2496.81</c:v>
                </c:pt>
                <c:pt idx="78">
                  <c:v>2497.4</c:v>
                </c:pt>
                <c:pt idx="79">
                  <c:v>2489.56</c:v>
                </c:pt>
                <c:pt idx="80">
                  <c:v>2515.7800000000002</c:v>
                </c:pt>
                <c:pt idx="81">
                  <c:v>2521.9</c:v>
                </c:pt>
                <c:pt idx="82">
                  <c:v>2521.0500000000002</c:v>
                </c:pt>
                <c:pt idx="83">
                  <c:v>2492.1</c:v>
                </c:pt>
                <c:pt idx="84">
                  <c:v>2488.64</c:v>
                </c:pt>
                <c:pt idx="85">
                  <c:v>2441.92</c:v>
                </c:pt>
                <c:pt idx="86">
                  <c:v>2398.94</c:v>
                </c:pt>
                <c:pt idx="87">
                  <c:v>2399.4899999999998</c:v>
                </c:pt>
                <c:pt idx="88">
                  <c:v>2404.77</c:v>
                </c:pt>
                <c:pt idx="89">
                  <c:v>2429.67</c:v>
                </c:pt>
                <c:pt idx="90">
                  <c:v>2440.52</c:v>
                </c:pt>
                <c:pt idx="91">
                  <c:v>2442.0100000000002</c:v>
                </c:pt>
                <c:pt idx="92">
                  <c:v>2404.15</c:v>
                </c:pt>
                <c:pt idx="93">
                  <c:v>2435.9299999999998</c:v>
                </c:pt>
                <c:pt idx="94">
                  <c:v>2484.4299999999998</c:v>
                </c:pt>
                <c:pt idx="95">
                  <c:v>2456.81</c:v>
                </c:pt>
                <c:pt idx="96">
                  <c:v>2488.9699999999998</c:v>
                </c:pt>
                <c:pt idx="97">
                  <c:v>2494.46</c:v>
                </c:pt>
                <c:pt idx="98">
                  <c:v>2482.12</c:v>
                </c:pt>
                <c:pt idx="99">
                  <c:v>2442.5100000000002</c:v>
                </c:pt>
                <c:pt idx="100">
                  <c:v>2417.84</c:v>
                </c:pt>
                <c:pt idx="101">
                  <c:v>2360.58</c:v>
                </c:pt>
                <c:pt idx="102">
                  <c:v>2428.16</c:v>
                </c:pt>
                <c:pt idx="103">
                  <c:v>2441.85</c:v>
                </c:pt>
                <c:pt idx="104">
                  <c:v>2464</c:v>
                </c:pt>
                <c:pt idx="105">
                  <c:v>2500.1</c:v>
                </c:pt>
                <c:pt idx="106">
                  <c:v>2454.48</c:v>
                </c:pt>
                <c:pt idx="107">
                  <c:v>2455.91</c:v>
                </c:pt>
                <c:pt idx="108">
                  <c:v>2504.67</c:v>
                </c:pt>
                <c:pt idx="109">
                  <c:v>2503.06</c:v>
                </c:pt>
                <c:pt idx="110">
                  <c:v>2520.36</c:v>
                </c:pt>
                <c:pt idx="111">
                  <c:v>2534.34</c:v>
                </c:pt>
                <c:pt idx="112">
                  <c:v>2501.2399999999998</c:v>
                </c:pt>
                <c:pt idx="113">
                  <c:v>2480.63</c:v>
                </c:pt>
                <c:pt idx="114">
                  <c:v>2482.29</c:v>
                </c:pt>
                <c:pt idx="115">
                  <c:v>2471.9499999999998</c:v>
                </c:pt>
                <c:pt idx="116">
                  <c:v>2469.0700000000002</c:v>
                </c:pt>
                <c:pt idx="117">
                  <c:v>2416.86</c:v>
                </c:pt>
                <c:pt idx="118">
                  <c:v>2418.86</c:v>
                </c:pt>
                <c:pt idx="119">
                  <c:v>2417.08</c:v>
                </c:pt>
                <c:pt idx="120">
                  <c:v>2482.5700000000002</c:v>
                </c:pt>
                <c:pt idx="121">
                  <c:v>2531.66</c:v>
                </c:pt>
                <c:pt idx="122">
                  <c:v>2561.15</c:v>
                </c:pt>
                <c:pt idx="123">
                  <c:v>2564.63</c:v>
                </c:pt>
                <c:pt idx="124">
                  <c:v>2563.5100000000002</c:v>
                </c:pt>
                <c:pt idx="125">
                  <c:v>2576.88</c:v>
                </c:pt>
                <c:pt idx="126">
                  <c:v>2588.9699999999998</c:v>
                </c:pt>
                <c:pt idx="127">
                  <c:v>2542.36</c:v>
                </c:pt>
                <c:pt idx="128">
                  <c:v>2556.15</c:v>
                </c:pt>
                <c:pt idx="129">
                  <c:v>2593.79</c:v>
                </c:pt>
                <c:pt idx="130">
                  <c:v>2617.8000000000002</c:v>
                </c:pt>
                <c:pt idx="131">
                  <c:v>2612.4299999999998</c:v>
                </c:pt>
                <c:pt idx="132">
                  <c:v>2583.27</c:v>
                </c:pt>
                <c:pt idx="133">
                  <c:v>2581.0300000000002</c:v>
                </c:pt>
                <c:pt idx="134">
                  <c:v>2599.62</c:v>
                </c:pt>
                <c:pt idx="135">
                  <c:v>2570.6999999999998</c:v>
                </c:pt>
                <c:pt idx="136">
                  <c:v>2604.92</c:v>
                </c:pt>
                <c:pt idx="137">
                  <c:v>2593.8200000000002</c:v>
                </c:pt>
                <c:pt idx="138">
                  <c:v>2609.3000000000002</c:v>
                </c:pt>
                <c:pt idx="139">
                  <c:v>2610.36</c:v>
                </c:pt>
                <c:pt idx="140">
                  <c:v>2633.45</c:v>
                </c:pt>
                <c:pt idx="141">
                  <c:v>2623.29</c:v>
                </c:pt>
                <c:pt idx="142">
                  <c:v>2596.91</c:v>
                </c:pt>
                <c:pt idx="143">
                  <c:v>2599.16</c:v>
                </c:pt>
                <c:pt idx="144">
                  <c:v>2594.36</c:v>
                </c:pt>
                <c:pt idx="145">
                  <c:v>2610.38</c:v>
                </c:pt>
                <c:pt idx="146">
                  <c:v>2569.71</c:v>
                </c:pt>
                <c:pt idx="147">
                  <c:v>2561.69</c:v>
                </c:pt>
                <c:pt idx="148">
                  <c:v>2593.27</c:v>
                </c:pt>
                <c:pt idx="149">
                  <c:v>2649.78</c:v>
                </c:pt>
                <c:pt idx="150">
                  <c:v>2671.57</c:v>
                </c:pt>
                <c:pt idx="151">
                  <c:v>2596.3200000000002</c:v>
                </c:pt>
                <c:pt idx="152">
                  <c:v>2631.68</c:v>
                </c:pt>
                <c:pt idx="153">
                  <c:v>2602.0100000000002</c:v>
                </c:pt>
                <c:pt idx="154">
                  <c:v>2593.37</c:v>
                </c:pt>
                <c:pt idx="155">
                  <c:v>2580.8000000000002</c:v>
                </c:pt>
                <c:pt idx="156">
                  <c:v>2575.41</c:v>
                </c:pt>
                <c:pt idx="157">
                  <c:v>2572.09</c:v>
                </c:pt>
                <c:pt idx="158">
                  <c:v>2513.37</c:v>
                </c:pt>
                <c:pt idx="159">
                  <c:v>2523.4299999999998</c:v>
                </c:pt>
                <c:pt idx="160">
                  <c:v>2535.9299999999998</c:v>
                </c:pt>
                <c:pt idx="161">
                  <c:v>2544.2800000000002</c:v>
                </c:pt>
                <c:pt idx="162">
                  <c:v>2575.5</c:v>
                </c:pt>
                <c:pt idx="163">
                  <c:v>2580.8000000000002</c:v>
                </c:pt>
                <c:pt idx="164">
                  <c:v>2664.63</c:v>
                </c:pt>
                <c:pt idx="165">
                  <c:v>2681</c:v>
                </c:pt>
                <c:pt idx="166">
                  <c:v>2674.31</c:v>
                </c:pt>
                <c:pt idx="167">
                  <c:v>2662.28</c:v>
                </c:pt>
                <c:pt idx="168">
                  <c:v>2689.83</c:v>
                </c:pt>
                <c:pt idx="169">
                  <c:v>2689.25</c:v>
                </c:pt>
                <c:pt idx="170">
                  <c:v>2698.01</c:v>
                </c:pt>
                <c:pt idx="171">
                  <c:v>2701.69</c:v>
                </c:pt>
                <c:pt idx="172">
                  <c:v>2707.67</c:v>
                </c:pt>
                <c:pt idx="173">
                  <c:v>2701.13</c:v>
                </c:pt>
                <c:pt idx="174">
                  <c:v>2696.63</c:v>
                </c:pt>
                <c:pt idx="175">
                  <c:v>2674.36</c:v>
                </c:pt>
                <c:pt idx="176">
                  <c:v>2697.23</c:v>
                </c:pt>
                <c:pt idx="177">
                  <c:v>2644.5</c:v>
                </c:pt>
                <c:pt idx="178">
                  <c:v>2621.5</c:v>
                </c:pt>
                <c:pt idx="179">
                  <c:v>2618.3000000000002</c:v>
                </c:pt>
                <c:pt idx="180">
                  <c:v>2588.4299999999998</c:v>
                </c:pt>
                <c:pt idx="181">
                  <c:v>2556.73</c:v>
                </c:pt>
                <c:pt idx="182">
                  <c:v>2568.41</c:v>
                </c:pt>
                <c:pt idx="183">
                  <c:v>2522.15</c:v>
                </c:pt>
                <c:pt idx="184">
                  <c:v>2441.5500000000002</c:v>
                </c:pt>
                <c:pt idx="185">
                  <c:v>2676.19</c:v>
                </c:pt>
                <c:pt idx="186">
                  <c:v>2777.68</c:v>
                </c:pt>
                <c:pt idx="187">
                  <c:v>2770.69</c:v>
                </c:pt>
                <c:pt idx="188">
                  <c:v>2738.19</c:v>
                </c:pt>
                <c:pt idx="189">
                  <c:v>2765.53</c:v>
                </c:pt>
                <c:pt idx="190">
                  <c:v>2731.9</c:v>
                </c:pt>
                <c:pt idx="191">
                  <c:v>2710.65</c:v>
                </c:pt>
                <c:pt idx="192">
                  <c:v>2758.71</c:v>
                </c:pt>
                <c:pt idx="193">
                  <c:v>2774.29</c:v>
                </c:pt>
                <c:pt idx="194">
                  <c:v>2763.51</c:v>
                </c:pt>
                <c:pt idx="195">
                  <c:v>2795.46</c:v>
                </c:pt>
                <c:pt idx="196">
                  <c:v>2824.35</c:v>
                </c:pt>
                <c:pt idx="197">
                  <c:v>2843.29</c:v>
                </c:pt>
                <c:pt idx="198">
                  <c:v>2866.09</c:v>
                </c:pt>
                <c:pt idx="199">
                  <c:v>2860.92</c:v>
                </c:pt>
                <c:pt idx="200">
                  <c:v>2857</c:v>
                </c:pt>
                <c:pt idx="201">
                  <c:v>2891.35</c:v>
                </c:pt>
                <c:pt idx="202">
                  <c:v>2867.99</c:v>
                </c:pt>
                <c:pt idx="203">
                  <c:v>2867.38</c:v>
                </c:pt>
                <c:pt idx="204">
                  <c:v>2857.76</c:v>
                </c:pt>
                <c:pt idx="205">
                  <c:v>2862.23</c:v>
                </c:pt>
                <c:pt idx="206">
                  <c:v>2824.94</c:v>
                </c:pt>
                <c:pt idx="207">
                  <c:v>2794.01</c:v>
                </c:pt>
                <c:pt idx="208">
                  <c:v>2780.86</c:v>
                </c:pt>
                <c:pt idx="209">
                  <c:v>2804.31</c:v>
                </c:pt>
                <c:pt idx="210">
                  <c:v>2797.82</c:v>
                </c:pt>
                <c:pt idx="211">
                  <c:v>2784.06</c:v>
                </c:pt>
                <c:pt idx="212">
                  <c:v>2792.05</c:v>
                </c:pt>
                <c:pt idx="213">
                  <c:v>2774.39</c:v>
                </c:pt>
                <c:pt idx="214">
                  <c:v>2764.73</c:v>
                </c:pt>
                <c:pt idx="215">
                  <c:v>2784.26</c:v>
                </c:pt>
                <c:pt idx="216">
                  <c:v>2807.63</c:v>
                </c:pt>
                <c:pt idx="217">
                  <c:v>2797.33</c:v>
                </c:pt>
                <c:pt idx="218">
                  <c:v>2763.92</c:v>
                </c:pt>
                <c:pt idx="219">
                  <c:v>2744.1</c:v>
                </c:pt>
                <c:pt idx="220">
                  <c:v>2758.42</c:v>
                </c:pt>
                <c:pt idx="221">
                  <c:v>2754.89</c:v>
                </c:pt>
                <c:pt idx="222">
                  <c:v>2728.17</c:v>
                </c:pt>
                <c:pt idx="223">
                  <c:v>2705.32</c:v>
                </c:pt>
                <c:pt idx="224">
                  <c:v>2701.17</c:v>
                </c:pt>
                <c:pt idx="225">
                  <c:v>2722.67</c:v>
                </c:pt>
                <c:pt idx="226">
                  <c:v>2689.5</c:v>
                </c:pt>
                <c:pt idx="227">
                  <c:v>2662.1</c:v>
                </c:pt>
                <c:pt idx="228">
                  <c:v>2682.52</c:v>
                </c:pt>
                <c:pt idx="229">
                  <c:v>2636.52</c:v>
                </c:pt>
                <c:pt idx="230">
                  <c:v>2635.44</c:v>
                </c:pt>
                <c:pt idx="231">
                  <c:v>2677.3</c:v>
                </c:pt>
                <c:pt idx="232">
                  <c:v>2722.85</c:v>
                </c:pt>
                <c:pt idx="233">
                  <c:v>2722.99</c:v>
                </c:pt>
                <c:pt idx="234">
                  <c:v>2687.6</c:v>
                </c:pt>
                <c:pt idx="235">
                  <c:v>2721.81</c:v>
                </c:pt>
                <c:pt idx="236">
                  <c:v>2723.46</c:v>
                </c:pt>
                <c:pt idx="237">
                  <c:v>2724.18</c:v>
                </c:pt>
                <c:pt idx="238">
                  <c:v>2742.14</c:v>
                </c:pt>
                <c:pt idx="239">
                  <c:v>2724.62</c:v>
                </c:pt>
                <c:pt idx="240">
                  <c:v>2753</c:v>
                </c:pt>
              </c:numCache>
            </c:numRef>
          </c:val>
        </c:ser>
        <c:dLbls/>
        <c:marker val="1"/>
        <c:axId val="203006336"/>
        <c:axId val="202992256"/>
      </c:lineChart>
      <c:dateAx>
        <c:axId val="202984832"/>
        <c:scaling>
          <c:orientation val="minMax"/>
        </c:scaling>
        <c:axPos val="b"/>
        <c:numFmt formatCode="yyyy/mm/dd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2990720"/>
        <c:crosses val="autoZero"/>
        <c:auto val="1"/>
        <c:lblOffset val="100"/>
        <c:baseTimeUnit val="days"/>
      </c:dateAx>
      <c:valAx>
        <c:axId val="20299072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2984832"/>
        <c:crosses val="autoZero"/>
        <c:crossBetween val="between"/>
      </c:valAx>
      <c:valAx>
        <c:axId val="20299225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3006336"/>
        <c:crosses val="max"/>
        <c:crossBetween val="between"/>
      </c:valAx>
      <c:dateAx>
        <c:axId val="203006336"/>
        <c:scaling>
          <c:orientation val="minMax"/>
        </c:scaling>
        <c:delete val="1"/>
        <c:axPos val="b"/>
        <c:numFmt formatCode="yyyy/mm/dd" sourceLinked="1"/>
        <c:tickLblPos val="none"/>
        <c:crossAx val="202992256"/>
        <c:crosses val="autoZero"/>
        <c:auto val="1"/>
        <c:lblOffset val="100"/>
        <c:baseTimeUnit val="days"/>
      </c:dateAx>
    </c:plotArea>
    <c:legend>
      <c:legendPos val="t"/>
      <c:layout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</c:chart>
  <c:spPr>
    <a:ln>
      <a:solidFill>
        <a:schemeClr val="bg1">
          <a:lumMod val="75000"/>
        </a:schemeClr>
      </a:solidFill>
    </a:ln>
    <a:effectLst/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areaChart>
        <c:grouping val="standard"/>
        <c:ser>
          <c:idx val="1"/>
          <c:order val="0"/>
          <c:tx>
            <c:strRef>
              <c:f>개별종목정보!$DI$4</c:f>
              <c:strCache>
                <c:ptCount val="1"/>
                <c:pt idx="0">
                  <c:v>거래량</c:v>
                </c:pt>
              </c:strCache>
            </c:strRef>
          </c:tx>
          <c:spPr>
            <a:solidFill>
              <a:srgbClr val="99CCFF"/>
            </a:solidFill>
            <a:effectLst/>
          </c:spP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개별종목정보!$DI$6:$DI$253</c:f>
              <c:numCache>
                <c:formatCode>General</c:formatCode>
                <c:ptCount val="248"/>
                <c:pt idx="0">
                  <c:v>12468089</c:v>
                </c:pt>
                <c:pt idx="1">
                  <c:v>16842801</c:v>
                </c:pt>
                <c:pt idx="2">
                  <c:v>15414702</c:v>
                </c:pt>
                <c:pt idx="3">
                  <c:v>7814322</c:v>
                </c:pt>
                <c:pt idx="4">
                  <c:v>16320532</c:v>
                </c:pt>
                <c:pt idx="5">
                  <c:v>17136991</c:v>
                </c:pt>
                <c:pt idx="6">
                  <c:v>22454204</c:v>
                </c:pt>
                <c:pt idx="7">
                  <c:v>13014189</c:v>
                </c:pt>
                <c:pt idx="8">
                  <c:v>10295518</c:v>
                </c:pt>
                <c:pt idx="9">
                  <c:v>9341518</c:v>
                </c:pt>
                <c:pt idx="10">
                  <c:v>12183303</c:v>
                </c:pt>
                <c:pt idx="11">
                  <c:v>10580377</c:v>
                </c:pt>
                <c:pt idx="12">
                  <c:v>11148692</c:v>
                </c:pt>
                <c:pt idx="13">
                  <c:v>9532469</c:v>
                </c:pt>
                <c:pt idx="14">
                  <c:v>5941847</c:v>
                </c:pt>
                <c:pt idx="15">
                  <c:v>5848342</c:v>
                </c:pt>
                <c:pt idx="16">
                  <c:v>10867069</c:v>
                </c:pt>
                <c:pt idx="17">
                  <c:v>14437025</c:v>
                </c:pt>
                <c:pt idx="18">
                  <c:v>8998640</c:v>
                </c:pt>
                <c:pt idx="19">
                  <c:v>12852613</c:v>
                </c:pt>
                <c:pt idx="20">
                  <c:v>13930480</c:v>
                </c:pt>
                <c:pt idx="21">
                  <c:v>22948172</c:v>
                </c:pt>
                <c:pt idx="22">
                  <c:v>20576960</c:v>
                </c:pt>
                <c:pt idx="23">
                  <c:v>25532845</c:v>
                </c:pt>
                <c:pt idx="24">
                  <c:v>31998883</c:v>
                </c:pt>
                <c:pt idx="25">
                  <c:v>23527139</c:v>
                </c:pt>
                <c:pt idx="26">
                  <c:v>19508076</c:v>
                </c:pt>
                <c:pt idx="27">
                  <c:v>14402297</c:v>
                </c:pt>
                <c:pt idx="28">
                  <c:v>13841706</c:v>
                </c:pt>
                <c:pt idx="29">
                  <c:v>17633494</c:v>
                </c:pt>
                <c:pt idx="30">
                  <c:v>16282514</c:v>
                </c:pt>
                <c:pt idx="31">
                  <c:v>20389790</c:v>
                </c:pt>
                <c:pt idx="32">
                  <c:v>16431645</c:v>
                </c:pt>
                <c:pt idx="33">
                  <c:v>17259455</c:v>
                </c:pt>
                <c:pt idx="34">
                  <c:v>14088094</c:v>
                </c:pt>
                <c:pt idx="35">
                  <c:v>40155612</c:v>
                </c:pt>
                <c:pt idx="36">
                  <c:v>34989004</c:v>
                </c:pt>
                <c:pt idx="37">
                  <c:v>29421759</c:v>
                </c:pt>
                <c:pt idx="38">
                  <c:v>28138594</c:v>
                </c:pt>
                <c:pt idx="39">
                  <c:v>35559021</c:v>
                </c:pt>
                <c:pt idx="40">
                  <c:v>10845154</c:v>
                </c:pt>
                <c:pt idx="41">
                  <c:v>24132151</c:v>
                </c:pt>
                <c:pt idx="42">
                  <c:v>17973221</c:v>
                </c:pt>
                <c:pt idx="43">
                  <c:v>17740891</c:v>
                </c:pt>
                <c:pt idx="44">
                  <c:v>12921670</c:v>
                </c:pt>
                <c:pt idx="45">
                  <c:v>14274992</c:v>
                </c:pt>
                <c:pt idx="46">
                  <c:v>12258101</c:v>
                </c:pt>
                <c:pt idx="47">
                  <c:v>16578817</c:v>
                </c:pt>
                <c:pt idx="48">
                  <c:v>18553933</c:v>
                </c:pt>
                <c:pt idx="49">
                  <c:v>28036698</c:v>
                </c:pt>
                <c:pt idx="50">
                  <c:v>14975356</c:v>
                </c:pt>
                <c:pt idx="51">
                  <c:v>18117091</c:v>
                </c:pt>
                <c:pt idx="52">
                  <c:v>14625181</c:v>
                </c:pt>
                <c:pt idx="53">
                  <c:v>14138471</c:v>
                </c:pt>
                <c:pt idx="54">
                  <c:v>22198428</c:v>
                </c:pt>
                <c:pt idx="55">
                  <c:v>21589059</c:v>
                </c:pt>
                <c:pt idx="56">
                  <c:v>25395151</c:v>
                </c:pt>
                <c:pt idx="57">
                  <c:v>22131007</c:v>
                </c:pt>
                <c:pt idx="58">
                  <c:v>11916027</c:v>
                </c:pt>
                <c:pt idx="59">
                  <c:v>23979779</c:v>
                </c:pt>
                <c:pt idx="60">
                  <c:v>22448377</c:v>
                </c:pt>
                <c:pt idx="61">
                  <c:v>26428596</c:v>
                </c:pt>
                <c:pt idx="62">
                  <c:v>24596196</c:v>
                </c:pt>
                <c:pt idx="63">
                  <c:v>27577591</c:v>
                </c:pt>
                <c:pt idx="64">
                  <c:v>14476866</c:v>
                </c:pt>
                <c:pt idx="65">
                  <c:v>16466025</c:v>
                </c:pt>
                <c:pt idx="66">
                  <c:v>15974885</c:v>
                </c:pt>
                <c:pt idx="67">
                  <c:v>27214851</c:v>
                </c:pt>
                <c:pt idx="68">
                  <c:v>32344897</c:v>
                </c:pt>
                <c:pt idx="69">
                  <c:v>42186279</c:v>
                </c:pt>
                <c:pt idx="70">
                  <c:v>11867631</c:v>
                </c:pt>
                <c:pt idx="71">
                  <c:v>15588067</c:v>
                </c:pt>
                <c:pt idx="72">
                  <c:v>18341991</c:v>
                </c:pt>
                <c:pt idx="73">
                  <c:v>13535702</c:v>
                </c:pt>
                <c:pt idx="74">
                  <c:v>11822531</c:v>
                </c:pt>
                <c:pt idx="75">
                  <c:v>18805344</c:v>
                </c:pt>
                <c:pt idx="76">
                  <c:v>18627298</c:v>
                </c:pt>
                <c:pt idx="77">
                  <c:v>18625025</c:v>
                </c:pt>
                <c:pt idx="78">
                  <c:v>17465926</c:v>
                </c:pt>
                <c:pt idx="79">
                  <c:v>16868600</c:v>
                </c:pt>
                <c:pt idx="80">
                  <c:v>16059223</c:v>
                </c:pt>
                <c:pt idx="81">
                  <c:v>24490592</c:v>
                </c:pt>
                <c:pt idx="82">
                  <c:v>26593553</c:v>
                </c:pt>
                <c:pt idx="83">
                  <c:v>17030235</c:v>
                </c:pt>
                <c:pt idx="84">
                  <c:v>19034284</c:v>
                </c:pt>
                <c:pt idx="85">
                  <c:v>19318046</c:v>
                </c:pt>
                <c:pt idx="86">
                  <c:v>16630538</c:v>
                </c:pt>
                <c:pt idx="87">
                  <c:v>12624702</c:v>
                </c:pt>
                <c:pt idx="88">
                  <c:v>10747196</c:v>
                </c:pt>
                <c:pt idx="89">
                  <c:v>10517075</c:v>
                </c:pt>
                <c:pt idx="90">
                  <c:v>11634677</c:v>
                </c:pt>
                <c:pt idx="91">
                  <c:v>13672650</c:v>
                </c:pt>
                <c:pt idx="92">
                  <c:v>24674774</c:v>
                </c:pt>
                <c:pt idx="93">
                  <c:v>22481925</c:v>
                </c:pt>
                <c:pt idx="94">
                  <c:v>13698937</c:v>
                </c:pt>
                <c:pt idx="95">
                  <c:v>20215230</c:v>
                </c:pt>
                <c:pt idx="96">
                  <c:v>15277277</c:v>
                </c:pt>
                <c:pt idx="97">
                  <c:v>15908823</c:v>
                </c:pt>
                <c:pt idx="98">
                  <c:v>33476698</c:v>
                </c:pt>
                <c:pt idx="99">
                  <c:v>14565947</c:v>
                </c:pt>
                <c:pt idx="100">
                  <c:v>20783970</c:v>
                </c:pt>
                <c:pt idx="101">
                  <c:v>26227680</c:v>
                </c:pt>
                <c:pt idx="102">
                  <c:v>22861874</c:v>
                </c:pt>
                <c:pt idx="103">
                  <c:v>23588277</c:v>
                </c:pt>
                <c:pt idx="104">
                  <c:v>29004766</c:v>
                </c:pt>
                <c:pt idx="105">
                  <c:v>23374603</c:v>
                </c:pt>
                <c:pt idx="106">
                  <c:v>22044867</c:v>
                </c:pt>
                <c:pt idx="107">
                  <c:v>24513531</c:v>
                </c:pt>
                <c:pt idx="108">
                  <c:v>20001134</c:v>
                </c:pt>
                <c:pt idx="109">
                  <c:v>21808387</c:v>
                </c:pt>
                <c:pt idx="110">
                  <c:v>23209405</c:v>
                </c:pt>
                <c:pt idx="111">
                  <c:v>36237325</c:v>
                </c:pt>
                <c:pt idx="112">
                  <c:v>15281543</c:v>
                </c:pt>
                <c:pt idx="113">
                  <c:v>19096850</c:v>
                </c:pt>
                <c:pt idx="114">
                  <c:v>20864667</c:v>
                </c:pt>
                <c:pt idx="115">
                  <c:v>31539632</c:v>
                </c:pt>
                <c:pt idx="116">
                  <c:v>48095234</c:v>
                </c:pt>
                <c:pt idx="117">
                  <c:v>46774485</c:v>
                </c:pt>
                <c:pt idx="118">
                  <c:v>48510715</c:v>
                </c:pt>
                <c:pt idx="119">
                  <c:v>52527995</c:v>
                </c:pt>
                <c:pt idx="120">
                  <c:v>37962881</c:v>
                </c:pt>
                <c:pt idx="121">
                  <c:v>29811326</c:v>
                </c:pt>
                <c:pt idx="122">
                  <c:v>13877396</c:v>
                </c:pt>
                <c:pt idx="123">
                  <c:v>17043102</c:v>
                </c:pt>
                <c:pt idx="124">
                  <c:v>22092218</c:v>
                </c:pt>
                <c:pt idx="125">
                  <c:v>17484474</c:v>
                </c:pt>
                <c:pt idx="126">
                  <c:v>15586947</c:v>
                </c:pt>
                <c:pt idx="127">
                  <c:v>19083180</c:v>
                </c:pt>
                <c:pt idx="128">
                  <c:v>35809196</c:v>
                </c:pt>
                <c:pt idx="129">
                  <c:v>19838511</c:v>
                </c:pt>
                <c:pt idx="130">
                  <c:v>28369314</c:v>
                </c:pt>
                <c:pt idx="131">
                  <c:v>27775009</c:v>
                </c:pt>
                <c:pt idx="132">
                  <c:v>25829315</c:v>
                </c:pt>
                <c:pt idx="133">
                  <c:v>31499922</c:v>
                </c:pt>
                <c:pt idx="134">
                  <c:v>27300780</c:v>
                </c:pt>
                <c:pt idx="135">
                  <c:v>27582527</c:v>
                </c:pt>
                <c:pt idx="136">
                  <c:v>18514905</c:v>
                </c:pt>
                <c:pt idx="137">
                  <c:v>14420260</c:v>
                </c:pt>
                <c:pt idx="138">
                  <c:v>23372873</c:v>
                </c:pt>
                <c:pt idx="139">
                  <c:v>23303268</c:v>
                </c:pt>
                <c:pt idx="140">
                  <c:v>22715239</c:v>
                </c:pt>
                <c:pt idx="141">
                  <c:v>20886249</c:v>
                </c:pt>
                <c:pt idx="142">
                  <c:v>29623969</c:v>
                </c:pt>
                <c:pt idx="143">
                  <c:v>45262214</c:v>
                </c:pt>
                <c:pt idx="144">
                  <c:v>27411786</c:v>
                </c:pt>
                <c:pt idx="145">
                  <c:v>35066533</c:v>
                </c:pt>
                <c:pt idx="146">
                  <c:v>24247578</c:v>
                </c:pt>
                <c:pt idx="147">
                  <c:v>28473536</c:v>
                </c:pt>
                <c:pt idx="148">
                  <c:v>32694163</c:v>
                </c:pt>
                <c:pt idx="149">
                  <c:v>28433030</c:v>
                </c:pt>
                <c:pt idx="150">
                  <c:v>37566015</c:v>
                </c:pt>
                <c:pt idx="151">
                  <c:v>28652438</c:v>
                </c:pt>
                <c:pt idx="152">
                  <c:v>26957500</c:v>
                </c:pt>
                <c:pt idx="153">
                  <c:v>28542376</c:v>
                </c:pt>
                <c:pt idx="154">
                  <c:v>32746056</c:v>
                </c:pt>
                <c:pt idx="155">
                  <c:v>49402713</c:v>
                </c:pt>
                <c:pt idx="156">
                  <c:v>25045135</c:v>
                </c:pt>
                <c:pt idx="157">
                  <c:v>35884106</c:v>
                </c:pt>
                <c:pt idx="158">
                  <c:v>35809707</c:v>
                </c:pt>
                <c:pt idx="159">
                  <c:v>30651376</c:v>
                </c:pt>
                <c:pt idx="160">
                  <c:v>23263298</c:v>
                </c:pt>
                <c:pt idx="161">
                  <c:v>19022299</c:v>
                </c:pt>
                <c:pt idx="162">
                  <c:v>25686769</c:v>
                </c:pt>
                <c:pt idx="163">
                  <c:v>27366563</c:v>
                </c:pt>
                <c:pt idx="164">
                  <c:v>16314599</c:v>
                </c:pt>
                <c:pt idx="165">
                  <c:v>12641376</c:v>
                </c:pt>
                <c:pt idx="166">
                  <c:v>16358520</c:v>
                </c:pt>
                <c:pt idx="167">
                  <c:v>16884479</c:v>
                </c:pt>
                <c:pt idx="168">
                  <c:v>9794514</c:v>
                </c:pt>
                <c:pt idx="169">
                  <c:v>11130145</c:v>
                </c:pt>
                <c:pt idx="170">
                  <c:v>15655938</c:v>
                </c:pt>
                <c:pt idx="171">
                  <c:v>9420306</c:v>
                </c:pt>
                <c:pt idx="172">
                  <c:v>8149101</c:v>
                </c:pt>
                <c:pt idx="173">
                  <c:v>7805598</c:v>
                </c:pt>
                <c:pt idx="174">
                  <c:v>10683836</c:v>
                </c:pt>
                <c:pt idx="175">
                  <c:v>14146565</c:v>
                </c:pt>
                <c:pt idx="176">
                  <c:v>22061478</c:v>
                </c:pt>
                <c:pt idx="177">
                  <c:v>13246168</c:v>
                </c:pt>
                <c:pt idx="178">
                  <c:v>10716261</c:v>
                </c:pt>
                <c:pt idx="179">
                  <c:v>9839259</c:v>
                </c:pt>
                <c:pt idx="180">
                  <c:v>16388222</c:v>
                </c:pt>
                <c:pt idx="181">
                  <c:v>28414729</c:v>
                </c:pt>
                <c:pt idx="182">
                  <c:v>32710428</c:v>
                </c:pt>
                <c:pt idx="183">
                  <c:v>47295226</c:v>
                </c:pt>
                <c:pt idx="184">
                  <c:v>54608790</c:v>
                </c:pt>
                <c:pt idx="185">
                  <c:v>25800275</c:v>
                </c:pt>
                <c:pt idx="186">
                  <c:v>20900338</c:v>
                </c:pt>
                <c:pt idx="187">
                  <c:v>20744323</c:v>
                </c:pt>
                <c:pt idx="188">
                  <c:v>13169636</c:v>
                </c:pt>
                <c:pt idx="189">
                  <c:v>12797136</c:v>
                </c:pt>
                <c:pt idx="190">
                  <c:v>14508334</c:v>
                </c:pt>
                <c:pt idx="191">
                  <c:v>20323811</c:v>
                </c:pt>
                <c:pt idx="192">
                  <c:v>16939083</c:v>
                </c:pt>
                <c:pt idx="193">
                  <c:v>15766389</c:v>
                </c:pt>
                <c:pt idx="194">
                  <c:v>18987560</c:v>
                </c:pt>
                <c:pt idx="195">
                  <c:v>18569122</c:v>
                </c:pt>
                <c:pt idx="196">
                  <c:v>24721790</c:v>
                </c:pt>
                <c:pt idx="197">
                  <c:v>18186490</c:v>
                </c:pt>
                <c:pt idx="198">
                  <c:v>16166688</c:v>
                </c:pt>
                <c:pt idx="199">
                  <c:v>25193080</c:v>
                </c:pt>
                <c:pt idx="200">
                  <c:v>26344386</c:v>
                </c:pt>
                <c:pt idx="201">
                  <c:v>24677608</c:v>
                </c:pt>
                <c:pt idx="202">
                  <c:v>17813847</c:v>
                </c:pt>
                <c:pt idx="203">
                  <c:v>21336201</c:v>
                </c:pt>
                <c:pt idx="204">
                  <c:v>24035809</c:v>
                </c:pt>
                <c:pt idx="205">
                  <c:v>45791193</c:v>
                </c:pt>
                <c:pt idx="206">
                  <c:v>43857229</c:v>
                </c:pt>
                <c:pt idx="207">
                  <c:v>11440328</c:v>
                </c:pt>
                <c:pt idx="208">
                  <c:v>14471904</c:v>
                </c:pt>
                <c:pt idx="209">
                  <c:v>11317202</c:v>
                </c:pt>
                <c:pt idx="210">
                  <c:v>9455929</c:v>
                </c:pt>
                <c:pt idx="211">
                  <c:v>11739720</c:v>
                </c:pt>
                <c:pt idx="212">
                  <c:v>17783242</c:v>
                </c:pt>
                <c:pt idx="213">
                  <c:v>19088458</c:v>
                </c:pt>
                <c:pt idx="214">
                  <c:v>15454227</c:v>
                </c:pt>
                <c:pt idx="215">
                  <c:v>17907523</c:v>
                </c:pt>
                <c:pt idx="216">
                  <c:v>20288913</c:v>
                </c:pt>
                <c:pt idx="217">
                  <c:v>24168863</c:v>
                </c:pt>
                <c:pt idx="218">
                  <c:v>18207598</c:v>
                </c:pt>
                <c:pt idx="219">
                  <c:v>16123051</c:v>
                </c:pt>
                <c:pt idx="220">
                  <c:v>22926612</c:v>
                </c:pt>
                <c:pt idx="221">
                  <c:v>33763804</c:v>
                </c:pt>
                <c:pt idx="222">
                  <c:v>19246725</c:v>
                </c:pt>
                <c:pt idx="223">
                  <c:v>16971175</c:v>
                </c:pt>
                <c:pt idx="224">
                  <c:v>14598755</c:v>
                </c:pt>
                <c:pt idx="225">
                  <c:v>21189349</c:v>
                </c:pt>
                <c:pt idx="226">
                  <c:v>23177968</c:v>
                </c:pt>
                <c:pt idx="227">
                  <c:v>14098053</c:v>
                </c:pt>
                <c:pt idx="228">
                  <c:v>15706268</c:v>
                </c:pt>
                <c:pt idx="229">
                  <c:v>26198776</c:v>
                </c:pt>
                <c:pt idx="230">
                  <c:v>28551273</c:v>
                </c:pt>
                <c:pt idx="231">
                  <c:v>30244875</c:v>
                </c:pt>
                <c:pt idx="232">
                  <c:v>18539072</c:v>
                </c:pt>
                <c:pt idx="233">
                  <c:v>43825202</c:v>
                </c:pt>
                <c:pt idx="234">
                  <c:v>27891278</c:v>
                </c:pt>
                <c:pt idx="235">
                  <c:v>18728087</c:v>
                </c:pt>
                <c:pt idx="236">
                  <c:v>19521506</c:v>
                </c:pt>
                <c:pt idx="237">
                  <c:v>13690583</c:v>
                </c:pt>
                <c:pt idx="238">
                  <c:v>19456783</c:v>
                </c:pt>
                <c:pt idx="239">
                  <c:v>15918201</c:v>
                </c:pt>
                <c:pt idx="240">
                  <c:v>20989778</c:v>
                </c:pt>
              </c:numCache>
            </c:numRef>
          </c:val>
        </c:ser>
        <c:dLbls/>
        <c:axId val="209996800"/>
        <c:axId val="209995264"/>
      </c:areaChart>
      <c:lineChart>
        <c:grouping val="standard"/>
        <c:ser>
          <c:idx val="0"/>
          <c:order val="1"/>
          <c:tx>
            <c:strRef>
              <c:f>개별종목정보!$DF$5</c:f>
              <c:strCache>
                <c:ptCount val="1"/>
                <c:pt idx="0">
                  <c:v>현재가</c:v>
                </c:pt>
              </c:strCache>
            </c:strRef>
          </c:tx>
          <c:spPr>
            <a:ln w="25400">
              <a:solidFill>
                <a:srgbClr val="0168FF"/>
              </a:solidFill>
            </a:ln>
            <a:effectLst/>
          </c:spPr>
          <c:marker>
            <c:symbol val="none"/>
          </c:marker>
          <c:cat>
            <c:numRef>
              <c:f>개별종목정보!$DE$6:$DE$253</c:f>
              <c:numCache>
                <c:formatCode>yyyy/mm/dd</c:formatCode>
                <c:ptCount val="248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  <c:pt idx="23">
                  <c:v>45755</c:v>
                </c:pt>
                <c:pt idx="24">
                  <c:v>45754</c:v>
                </c:pt>
                <c:pt idx="25">
                  <c:v>45751</c:v>
                </c:pt>
                <c:pt idx="26">
                  <c:v>45750</c:v>
                </c:pt>
                <c:pt idx="27">
                  <c:v>45749</c:v>
                </c:pt>
                <c:pt idx="28">
                  <c:v>45748</c:v>
                </c:pt>
                <c:pt idx="29">
                  <c:v>45747</c:v>
                </c:pt>
                <c:pt idx="30">
                  <c:v>45744</c:v>
                </c:pt>
                <c:pt idx="31">
                  <c:v>45743</c:v>
                </c:pt>
                <c:pt idx="32">
                  <c:v>45742</c:v>
                </c:pt>
                <c:pt idx="33">
                  <c:v>45741</c:v>
                </c:pt>
                <c:pt idx="34">
                  <c:v>45740</c:v>
                </c:pt>
                <c:pt idx="35">
                  <c:v>45737</c:v>
                </c:pt>
                <c:pt idx="36">
                  <c:v>45736</c:v>
                </c:pt>
                <c:pt idx="37">
                  <c:v>45735</c:v>
                </c:pt>
                <c:pt idx="38">
                  <c:v>45734</c:v>
                </c:pt>
                <c:pt idx="39">
                  <c:v>45733</c:v>
                </c:pt>
                <c:pt idx="40">
                  <c:v>45730</c:v>
                </c:pt>
                <c:pt idx="41">
                  <c:v>45729</c:v>
                </c:pt>
                <c:pt idx="42">
                  <c:v>45728</c:v>
                </c:pt>
                <c:pt idx="43">
                  <c:v>45727</c:v>
                </c:pt>
                <c:pt idx="44">
                  <c:v>45726</c:v>
                </c:pt>
                <c:pt idx="45">
                  <c:v>45723</c:v>
                </c:pt>
                <c:pt idx="46">
                  <c:v>45722</c:v>
                </c:pt>
                <c:pt idx="47">
                  <c:v>45721</c:v>
                </c:pt>
                <c:pt idx="48">
                  <c:v>45720</c:v>
                </c:pt>
                <c:pt idx="49">
                  <c:v>45716</c:v>
                </c:pt>
                <c:pt idx="50">
                  <c:v>45715</c:v>
                </c:pt>
                <c:pt idx="51">
                  <c:v>45714</c:v>
                </c:pt>
                <c:pt idx="52">
                  <c:v>45713</c:v>
                </c:pt>
                <c:pt idx="53">
                  <c:v>45712</c:v>
                </c:pt>
                <c:pt idx="54">
                  <c:v>45709</c:v>
                </c:pt>
                <c:pt idx="55">
                  <c:v>45708</c:v>
                </c:pt>
                <c:pt idx="56">
                  <c:v>45707</c:v>
                </c:pt>
                <c:pt idx="57">
                  <c:v>45706</c:v>
                </c:pt>
                <c:pt idx="58">
                  <c:v>45705</c:v>
                </c:pt>
                <c:pt idx="59">
                  <c:v>45702</c:v>
                </c:pt>
                <c:pt idx="60">
                  <c:v>45701</c:v>
                </c:pt>
                <c:pt idx="61">
                  <c:v>45700</c:v>
                </c:pt>
                <c:pt idx="62">
                  <c:v>45699</c:v>
                </c:pt>
                <c:pt idx="63">
                  <c:v>45698</c:v>
                </c:pt>
                <c:pt idx="64">
                  <c:v>45695</c:v>
                </c:pt>
                <c:pt idx="65">
                  <c:v>45694</c:v>
                </c:pt>
                <c:pt idx="66">
                  <c:v>45693</c:v>
                </c:pt>
                <c:pt idx="67">
                  <c:v>45692</c:v>
                </c:pt>
                <c:pt idx="68">
                  <c:v>45691</c:v>
                </c:pt>
                <c:pt idx="69">
                  <c:v>45688</c:v>
                </c:pt>
                <c:pt idx="70">
                  <c:v>45681</c:v>
                </c:pt>
                <c:pt idx="71">
                  <c:v>45680</c:v>
                </c:pt>
                <c:pt idx="72">
                  <c:v>45679</c:v>
                </c:pt>
                <c:pt idx="73">
                  <c:v>45678</c:v>
                </c:pt>
                <c:pt idx="74">
                  <c:v>45677</c:v>
                </c:pt>
                <c:pt idx="75">
                  <c:v>45674</c:v>
                </c:pt>
                <c:pt idx="76">
                  <c:v>45673</c:v>
                </c:pt>
                <c:pt idx="77">
                  <c:v>45672</c:v>
                </c:pt>
                <c:pt idx="78">
                  <c:v>45671</c:v>
                </c:pt>
                <c:pt idx="79">
                  <c:v>45670</c:v>
                </c:pt>
                <c:pt idx="80">
                  <c:v>45667</c:v>
                </c:pt>
                <c:pt idx="81">
                  <c:v>45666</c:v>
                </c:pt>
                <c:pt idx="82">
                  <c:v>45665</c:v>
                </c:pt>
                <c:pt idx="83">
                  <c:v>45664</c:v>
                </c:pt>
                <c:pt idx="84">
                  <c:v>45663</c:v>
                </c:pt>
                <c:pt idx="85">
                  <c:v>45660</c:v>
                </c:pt>
                <c:pt idx="86">
                  <c:v>45659</c:v>
                </c:pt>
                <c:pt idx="87">
                  <c:v>45656</c:v>
                </c:pt>
                <c:pt idx="88">
                  <c:v>45653</c:v>
                </c:pt>
                <c:pt idx="89">
                  <c:v>45652</c:v>
                </c:pt>
                <c:pt idx="90">
                  <c:v>45650</c:v>
                </c:pt>
                <c:pt idx="91">
                  <c:v>45649</c:v>
                </c:pt>
                <c:pt idx="92">
                  <c:v>45646</c:v>
                </c:pt>
                <c:pt idx="93">
                  <c:v>45645</c:v>
                </c:pt>
                <c:pt idx="94">
                  <c:v>45644</c:v>
                </c:pt>
                <c:pt idx="95">
                  <c:v>45643</c:v>
                </c:pt>
                <c:pt idx="96">
                  <c:v>45642</c:v>
                </c:pt>
                <c:pt idx="97">
                  <c:v>45639</c:v>
                </c:pt>
                <c:pt idx="98">
                  <c:v>45638</c:v>
                </c:pt>
                <c:pt idx="99">
                  <c:v>45637</c:v>
                </c:pt>
                <c:pt idx="100">
                  <c:v>45636</c:v>
                </c:pt>
                <c:pt idx="101">
                  <c:v>45635</c:v>
                </c:pt>
                <c:pt idx="102">
                  <c:v>45632</c:v>
                </c:pt>
                <c:pt idx="103">
                  <c:v>45631</c:v>
                </c:pt>
                <c:pt idx="104">
                  <c:v>45630</c:v>
                </c:pt>
                <c:pt idx="105">
                  <c:v>45629</c:v>
                </c:pt>
                <c:pt idx="106">
                  <c:v>45628</c:v>
                </c:pt>
                <c:pt idx="107">
                  <c:v>45625</c:v>
                </c:pt>
                <c:pt idx="108">
                  <c:v>45624</c:v>
                </c:pt>
                <c:pt idx="109">
                  <c:v>45623</c:v>
                </c:pt>
                <c:pt idx="110">
                  <c:v>45622</c:v>
                </c:pt>
                <c:pt idx="111">
                  <c:v>45621</c:v>
                </c:pt>
                <c:pt idx="112">
                  <c:v>45618</c:v>
                </c:pt>
                <c:pt idx="113">
                  <c:v>45617</c:v>
                </c:pt>
                <c:pt idx="114">
                  <c:v>45616</c:v>
                </c:pt>
                <c:pt idx="115">
                  <c:v>45615</c:v>
                </c:pt>
                <c:pt idx="116">
                  <c:v>45614</c:v>
                </c:pt>
                <c:pt idx="117">
                  <c:v>45611</c:v>
                </c:pt>
                <c:pt idx="118">
                  <c:v>45610</c:v>
                </c:pt>
                <c:pt idx="119">
                  <c:v>45609</c:v>
                </c:pt>
                <c:pt idx="120">
                  <c:v>45608</c:v>
                </c:pt>
                <c:pt idx="121">
                  <c:v>45607</c:v>
                </c:pt>
                <c:pt idx="122">
                  <c:v>45604</c:v>
                </c:pt>
                <c:pt idx="123">
                  <c:v>45603</c:v>
                </c:pt>
                <c:pt idx="124">
                  <c:v>45602</c:v>
                </c:pt>
                <c:pt idx="125">
                  <c:v>45601</c:v>
                </c:pt>
                <c:pt idx="126">
                  <c:v>45600</c:v>
                </c:pt>
                <c:pt idx="127">
                  <c:v>45597</c:v>
                </c:pt>
                <c:pt idx="128">
                  <c:v>45596</c:v>
                </c:pt>
                <c:pt idx="129">
                  <c:v>45595</c:v>
                </c:pt>
                <c:pt idx="130">
                  <c:v>45594</c:v>
                </c:pt>
                <c:pt idx="131">
                  <c:v>45593</c:v>
                </c:pt>
                <c:pt idx="132">
                  <c:v>45590</c:v>
                </c:pt>
                <c:pt idx="133">
                  <c:v>45589</c:v>
                </c:pt>
                <c:pt idx="134">
                  <c:v>45588</c:v>
                </c:pt>
                <c:pt idx="135">
                  <c:v>45587</c:v>
                </c:pt>
                <c:pt idx="136">
                  <c:v>45586</c:v>
                </c:pt>
                <c:pt idx="137">
                  <c:v>45583</c:v>
                </c:pt>
                <c:pt idx="138">
                  <c:v>45582</c:v>
                </c:pt>
                <c:pt idx="139">
                  <c:v>45581</c:v>
                </c:pt>
                <c:pt idx="140">
                  <c:v>45580</c:v>
                </c:pt>
                <c:pt idx="141">
                  <c:v>45579</c:v>
                </c:pt>
                <c:pt idx="142">
                  <c:v>45576</c:v>
                </c:pt>
                <c:pt idx="143">
                  <c:v>45575</c:v>
                </c:pt>
                <c:pt idx="144">
                  <c:v>45573</c:v>
                </c:pt>
                <c:pt idx="145">
                  <c:v>45572</c:v>
                </c:pt>
                <c:pt idx="146">
                  <c:v>45569</c:v>
                </c:pt>
                <c:pt idx="147">
                  <c:v>45567</c:v>
                </c:pt>
                <c:pt idx="148">
                  <c:v>45565</c:v>
                </c:pt>
                <c:pt idx="149">
                  <c:v>45562</c:v>
                </c:pt>
                <c:pt idx="150">
                  <c:v>45561</c:v>
                </c:pt>
                <c:pt idx="151">
                  <c:v>45560</c:v>
                </c:pt>
                <c:pt idx="152">
                  <c:v>45559</c:v>
                </c:pt>
                <c:pt idx="153">
                  <c:v>45558</c:v>
                </c:pt>
                <c:pt idx="154">
                  <c:v>45555</c:v>
                </c:pt>
                <c:pt idx="155">
                  <c:v>45554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45541</c:v>
                </c:pt>
                <c:pt idx="162">
                  <c:v>45540</c:v>
                </c:pt>
                <c:pt idx="163">
                  <c:v>45539</c:v>
                </c:pt>
                <c:pt idx="164">
                  <c:v>45538</c:v>
                </c:pt>
                <c:pt idx="165">
                  <c:v>45537</c:v>
                </c:pt>
                <c:pt idx="166">
                  <c:v>45534</c:v>
                </c:pt>
                <c:pt idx="167">
                  <c:v>45533</c:v>
                </c:pt>
                <c:pt idx="168">
                  <c:v>45532</c:v>
                </c:pt>
                <c:pt idx="169">
                  <c:v>45531</c:v>
                </c:pt>
                <c:pt idx="170">
                  <c:v>45530</c:v>
                </c:pt>
                <c:pt idx="171">
                  <c:v>45527</c:v>
                </c:pt>
                <c:pt idx="172">
                  <c:v>45526</c:v>
                </c:pt>
                <c:pt idx="173">
                  <c:v>45525</c:v>
                </c:pt>
                <c:pt idx="174">
                  <c:v>45524</c:v>
                </c:pt>
                <c:pt idx="175">
                  <c:v>45523</c:v>
                </c:pt>
                <c:pt idx="176">
                  <c:v>45520</c:v>
                </c:pt>
                <c:pt idx="177">
                  <c:v>45518</c:v>
                </c:pt>
                <c:pt idx="178">
                  <c:v>45517</c:v>
                </c:pt>
                <c:pt idx="179">
                  <c:v>45516</c:v>
                </c:pt>
                <c:pt idx="180">
                  <c:v>45513</c:v>
                </c:pt>
                <c:pt idx="181">
                  <c:v>45512</c:v>
                </c:pt>
                <c:pt idx="182">
                  <c:v>45511</c:v>
                </c:pt>
                <c:pt idx="183">
                  <c:v>45510</c:v>
                </c:pt>
                <c:pt idx="184">
                  <c:v>45509</c:v>
                </c:pt>
                <c:pt idx="185">
                  <c:v>45506</c:v>
                </c:pt>
                <c:pt idx="186">
                  <c:v>45505</c:v>
                </c:pt>
                <c:pt idx="187">
                  <c:v>45504</c:v>
                </c:pt>
                <c:pt idx="188">
                  <c:v>45503</c:v>
                </c:pt>
                <c:pt idx="189">
                  <c:v>45502</c:v>
                </c:pt>
                <c:pt idx="190">
                  <c:v>45499</c:v>
                </c:pt>
                <c:pt idx="191">
                  <c:v>45498</c:v>
                </c:pt>
                <c:pt idx="192">
                  <c:v>45497</c:v>
                </c:pt>
                <c:pt idx="193">
                  <c:v>45496</c:v>
                </c:pt>
                <c:pt idx="194">
                  <c:v>45495</c:v>
                </c:pt>
                <c:pt idx="195">
                  <c:v>45492</c:v>
                </c:pt>
                <c:pt idx="196">
                  <c:v>45491</c:v>
                </c:pt>
                <c:pt idx="197">
                  <c:v>45490</c:v>
                </c:pt>
                <c:pt idx="198">
                  <c:v>45489</c:v>
                </c:pt>
                <c:pt idx="199">
                  <c:v>45488</c:v>
                </c:pt>
                <c:pt idx="200">
                  <c:v>45485</c:v>
                </c:pt>
                <c:pt idx="201">
                  <c:v>45484</c:v>
                </c:pt>
                <c:pt idx="202">
                  <c:v>45483</c:v>
                </c:pt>
                <c:pt idx="203">
                  <c:v>45482</c:v>
                </c:pt>
                <c:pt idx="204">
                  <c:v>45481</c:v>
                </c:pt>
                <c:pt idx="205">
                  <c:v>45478</c:v>
                </c:pt>
                <c:pt idx="206">
                  <c:v>45477</c:v>
                </c:pt>
                <c:pt idx="207">
                  <c:v>45476</c:v>
                </c:pt>
                <c:pt idx="208">
                  <c:v>45475</c:v>
                </c:pt>
                <c:pt idx="209">
                  <c:v>45474</c:v>
                </c:pt>
                <c:pt idx="210">
                  <c:v>45471</c:v>
                </c:pt>
                <c:pt idx="211">
                  <c:v>45470</c:v>
                </c:pt>
                <c:pt idx="212">
                  <c:v>45469</c:v>
                </c:pt>
                <c:pt idx="213">
                  <c:v>45468</c:v>
                </c:pt>
                <c:pt idx="214">
                  <c:v>45467</c:v>
                </c:pt>
                <c:pt idx="215">
                  <c:v>45464</c:v>
                </c:pt>
                <c:pt idx="216">
                  <c:v>45463</c:v>
                </c:pt>
                <c:pt idx="217">
                  <c:v>45462</c:v>
                </c:pt>
                <c:pt idx="218">
                  <c:v>45461</c:v>
                </c:pt>
                <c:pt idx="219">
                  <c:v>45460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45450</c:v>
                </c:pt>
                <c:pt idx="226">
                  <c:v>45448</c:v>
                </c:pt>
                <c:pt idx="227">
                  <c:v>45447</c:v>
                </c:pt>
                <c:pt idx="228">
                  <c:v>45446</c:v>
                </c:pt>
                <c:pt idx="229">
                  <c:v>45443</c:v>
                </c:pt>
                <c:pt idx="230">
                  <c:v>45442</c:v>
                </c:pt>
                <c:pt idx="231">
                  <c:v>45441</c:v>
                </c:pt>
                <c:pt idx="232">
                  <c:v>45440</c:v>
                </c:pt>
                <c:pt idx="233">
                  <c:v>45439</c:v>
                </c:pt>
                <c:pt idx="234">
                  <c:v>45436</c:v>
                </c:pt>
                <c:pt idx="235">
                  <c:v>45435</c:v>
                </c:pt>
                <c:pt idx="236">
                  <c:v>45434</c:v>
                </c:pt>
                <c:pt idx="237">
                  <c:v>45433</c:v>
                </c:pt>
                <c:pt idx="238">
                  <c:v>45432</c:v>
                </c:pt>
                <c:pt idx="239">
                  <c:v>45429</c:v>
                </c:pt>
                <c:pt idx="240">
                  <c:v>45428</c:v>
                </c:pt>
              </c:numCache>
            </c:numRef>
          </c:cat>
          <c:val>
            <c:numRef>
              <c:f>개별종목정보!$DF$6:$DF$253</c:f>
              <c:numCache>
                <c:formatCode>General</c:formatCode>
                <c:ptCount val="248"/>
                <c:pt idx="0">
                  <c:v>57400</c:v>
                </c:pt>
                <c:pt idx="1">
                  <c:v>56900</c:v>
                </c:pt>
                <c:pt idx="2">
                  <c:v>57600</c:v>
                </c:pt>
                <c:pt idx="3">
                  <c:v>54800</c:v>
                </c:pt>
                <c:pt idx="4">
                  <c:v>54600</c:v>
                </c:pt>
                <c:pt idx="5">
                  <c:v>54600</c:v>
                </c:pt>
                <c:pt idx="6">
                  <c:v>54300</c:v>
                </c:pt>
                <c:pt idx="7">
                  <c:v>55500</c:v>
                </c:pt>
                <c:pt idx="8">
                  <c:v>55800</c:v>
                </c:pt>
                <c:pt idx="9">
                  <c:v>55800</c:v>
                </c:pt>
                <c:pt idx="10">
                  <c:v>55700</c:v>
                </c:pt>
                <c:pt idx="11">
                  <c:v>55700</c:v>
                </c:pt>
                <c:pt idx="12">
                  <c:v>55700</c:v>
                </c:pt>
                <c:pt idx="13">
                  <c:v>55000</c:v>
                </c:pt>
                <c:pt idx="14">
                  <c:v>55400</c:v>
                </c:pt>
                <c:pt idx="15">
                  <c:v>55300</c:v>
                </c:pt>
                <c:pt idx="16">
                  <c:v>55100</c:v>
                </c:pt>
                <c:pt idx="17">
                  <c:v>54700</c:v>
                </c:pt>
                <c:pt idx="18">
                  <c:v>56600</c:v>
                </c:pt>
                <c:pt idx="19">
                  <c:v>56200</c:v>
                </c:pt>
                <c:pt idx="20">
                  <c:v>55200</c:v>
                </c:pt>
                <c:pt idx="21">
                  <c:v>56400</c:v>
                </c:pt>
                <c:pt idx="22">
                  <c:v>53000</c:v>
                </c:pt>
                <c:pt idx="23">
                  <c:v>53500</c:v>
                </c:pt>
                <c:pt idx="24">
                  <c:v>53200</c:v>
                </c:pt>
                <c:pt idx="25">
                  <c:v>56100</c:v>
                </c:pt>
                <c:pt idx="26">
                  <c:v>57600</c:v>
                </c:pt>
                <c:pt idx="27">
                  <c:v>58800</c:v>
                </c:pt>
                <c:pt idx="28">
                  <c:v>58800</c:v>
                </c:pt>
                <c:pt idx="29">
                  <c:v>57800</c:v>
                </c:pt>
                <c:pt idx="30">
                  <c:v>60200</c:v>
                </c:pt>
                <c:pt idx="31">
                  <c:v>61800</c:v>
                </c:pt>
                <c:pt idx="32">
                  <c:v>61400</c:v>
                </c:pt>
                <c:pt idx="33">
                  <c:v>59800</c:v>
                </c:pt>
                <c:pt idx="34">
                  <c:v>60500</c:v>
                </c:pt>
                <c:pt idx="35">
                  <c:v>61700</c:v>
                </c:pt>
                <c:pt idx="36">
                  <c:v>60200</c:v>
                </c:pt>
                <c:pt idx="37">
                  <c:v>58500</c:v>
                </c:pt>
                <c:pt idx="38">
                  <c:v>57600</c:v>
                </c:pt>
                <c:pt idx="39">
                  <c:v>57600</c:v>
                </c:pt>
                <c:pt idx="40">
                  <c:v>54700</c:v>
                </c:pt>
                <c:pt idx="41">
                  <c:v>54700</c:v>
                </c:pt>
                <c:pt idx="42">
                  <c:v>54900</c:v>
                </c:pt>
                <c:pt idx="43">
                  <c:v>53600</c:v>
                </c:pt>
                <c:pt idx="44">
                  <c:v>53700</c:v>
                </c:pt>
                <c:pt idx="45">
                  <c:v>53700</c:v>
                </c:pt>
                <c:pt idx="46">
                  <c:v>54300</c:v>
                </c:pt>
                <c:pt idx="47">
                  <c:v>54000</c:v>
                </c:pt>
                <c:pt idx="48">
                  <c:v>54500</c:v>
                </c:pt>
                <c:pt idx="49">
                  <c:v>54500</c:v>
                </c:pt>
                <c:pt idx="50">
                  <c:v>56300</c:v>
                </c:pt>
                <c:pt idx="51">
                  <c:v>56600</c:v>
                </c:pt>
                <c:pt idx="52">
                  <c:v>57200</c:v>
                </c:pt>
                <c:pt idx="53">
                  <c:v>57300</c:v>
                </c:pt>
                <c:pt idx="54">
                  <c:v>58200</c:v>
                </c:pt>
                <c:pt idx="55">
                  <c:v>58400</c:v>
                </c:pt>
                <c:pt idx="56">
                  <c:v>58700</c:v>
                </c:pt>
                <c:pt idx="57">
                  <c:v>56900</c:v>
                </c:pt>
                <c:pt idx="58">
                  <c:v>56000</c:v>
                </c:pt>
                <c:pt idx="59">
                  <c:v>56000</c:v>
                </c:pt>
                <c:pt idx="60">
                  <c:v>55800</c:v>
                </c:pt>
                <c:pt idx="61">
                  <c:v>55800</c:v>
                </c:pt>
                <c:pt idx="62">
                  <c:v>55700</c:v>
                </c:pt>
                <c:pt idx="63">
                  <c:v>55600</c:v>
                </c:pt>
                <c:pt idx="64">
                  <c:v>53700</c:v>
                </c:pt>
                <c:pt idx="65">
                  <c:v>54000</c:v>
                </c:pt>
                <c:pt idx="66">
                  <c:v>52900</c:v>
                </c:pt>
                <c:pt idx="67">
                  <c:v>52700</c:v>
                </c:pt>
                <c:pt idx="68">
                  <c:v>51000</c:v>
                </c:pt>
                <c:pt idx="69">
                  <c:v>52400</c:v>
                </c:pt>
                <c:pt idx="70">
                  <c:v>53700</c:v>
                </c:pt>
                <c:pt idx="71">
                  <c:v>53700</c:v>
                </c:pt>
                <c:pt idx="72">
                  <c:v>54300</c:v>
                </c:pt>
                <c:pt idx="73">
                  <c:v>53500</c:v>
                </c:pt>
                <c:pt idx="74">
                  <c:v>53400</c:v>
                </c:pt>
                <c:pt idx="75">
                  <c:v>53700</c:v>
                </c:pt>
                <c:pt idx="76">
                  <c:v>54300</c:v>
                </c:pt>
                <c:pt idx="77">
                  <c:v>53700</c:v>
                </c:pt>
                <c:pt idx="78">
                  <c:v>53900</c:v>
                </c:pt>
                <c:pt idx="79">
                  <c:v>54100</c:v>
                </c:pt>
                <c:pt idx="80">
                  <c:v>55300</c:v>
                </c:pt>
                <c:pt idx="81">
                  <c:v>56100</c:v>
                </c:pt>
                <c:pt idx="82">
                  <c:v>57300</c:v>
                </c:pt>
                <c:pt idx="83">
                  <c:v>55400</c:v>
                </c:pt>
                <c:pt idx="84">
                  <c:v>55900</c:v>
                </c:pt>
                <c:pt idx="85">
                  <c:v>54400</c:v>
                </c:pt>
                <c:pt idx="86">
                  <c:v>53400</c:v>
                </c:pt>
                <c:pt idx="87">
                  <c:v>53200</c:v>
                </c:pt>
                <c:pt idx="88">
                  <c:v>53700</c:v>
                </c:pt>
                <c:pt idx="89">
                  <c:v>53600</c:v>
                </c:pt>
                <c:pt idx="90">
                  <c:v>54400</c:v>
                </c:pt>
                <c:pt idx="91">
                  <c:v>53500</c:v>
                </c:pt>
                <c:pt idx="92">
                  <c:v>53000</c:v>
                </c:pt>
                <c:pt idx="93">
                  <c:v>53100</c:v>
                </c:pt>
                <c:pt idx="94">
                  <c:v>54900</c:v>
                </c:pt>
                <c:pt idx="95">
                  <c:v>54200</c:v>
                </c:pt>
                <c:pt idx="96">
                  <c:v>55600</c:v>
                </c:pt>
                <c:pt idx="97">
                  <c:v>56100</c:v>
                </c:pt>
                <c:pt idx="98">
                  <c:v>55900</c:v>
                </c:pt>
                <c:pt idx="99">
                  <c:v>54000</c:v>
                </c:pt>
                <c:pt idx="100">
                  <c:v>54000</c:v>
                </c:pt>
                <c:pt idx="101">
                  <c:v>53400</c:v>
                </c:pt>
                <c:pt idx="102">
                  <c:v>54100</c:v>
                </c:pt>
                <c:pt idx="103">
                  <c:v>53700</c:v>
                </c:pt>
                <c:pt idx="104">
                  <c:v>53100</c:v>
                </c:pt>
                <c:pt idx="105">
                  <c:v>53600</c:v>
                </c:pt>
                <c:pt idx="106">
                  <c:v>53600</c:v>
                </c:pt>
                <c:pt idx="107">
                  <c:v>54200</c:v>
                </c:pt>
                <c:pt idx="108">
                  <c:v>55500</c:v>
                </c:pt>
                <c:pt idx="109">
                  <c:v>56300</c:v>
                </c:pt>
                <c:pt idx="110">
                  <c:v>58300</c:v>
                </c:pt>
                <c:pt idx="111">
                  <c:v>57900</c:v>
                </c:pt>
                <c:pt idx="112">
                  <c:v>56000</c:v>
                </c:pt>
                <c:pt idx="113">
                  <c:v>56400</c:v>
                </c:pt>
                <c:pt idx="114">
                  <c:v>55300</c:v>
                </c:pt>
                <c:pt idx="115">
                  <c:v>56300</c:v>
                </c:pt>
                <c:pt idx="116">
                  <c:v>56700</c:v>
                </c:pt>
                <c:pt idx="117">
                  <c:v>53500</c:v>
                </c:pt>
                <c:pt idx="118">
                  <c:v>49900</c:v>
                </c:pt>
                <c:pt idx="119">
                  <c:v>50600</c:v>
                </c:pt>
                <c:pt idx="120">
                  <c:v>53000</c:v>
                </c:pt>
                <c:pt idx="121">
                  <c:v>55000</c:v>
                </c:pt>
                <c:pt idx="122">
                  <c:v>57000</c:v>
                </c:pt>
                <c:pt idx="123">
                  <c:v>57500</c:v>
                </c:pt>
                <c:pt idx="124">
                  <c:v>57300</c:v>
                </c:pt>
                <c:pt idx="125">
                  <c:v>57600</c:v>
                </c:pt>
                <c:pt idx="126">
                  <c:v>58700</c:v>
                </c:pt>
                <c:pt idx="127">
                  <c:v>58300</c:v>
                </c:pt>
                <c:pt idx="128">
                  <c:v>59200</c:v>
                </c:pt>
                <c:pt idx="129">
                  <c:v>59100</c:v>
                </c:pt>
                <c:pt idx="130">
                  <c:v>59600</c:v>
                </c:pt>
                <c:pt idx="131">
                  <c:v>58100</c:v>
                </c:pt>
                <c:pt idx="132">
                  <c:v>55900</c:v>
                </c:pt>
                <c:pt idx="133">
                  <c:v>56600</c:v>
                </c:pt>
                <c:pt idx="134">
                  <c:v>59100</c:v>
                </c:pt>
                <c:pt idx="135">
                  <c:v>57700</c:v>
                </c:pt>
                <c:pt idx="136">
                  <c:v>59000</c:v>
                </c:pt>
                <c:pt idx="137">
                  <c:v>59200</c:v>
                </c:pt>
                <c:pt idx="138">
                  <c:v>59700</c:v>
                </c:pt>
                <c:pt idx="139">
                  <c:v>59500</c:v>
                </c:pt>
                <c:pt idx="140">
                  <c:v>61000</c:v>
                </c:pt>
                <c:pt idx="141">
                  <c:v>60800</c:v>
                </c:pt>
                <c:pt idx="142">
                  <c:v>59300</c:v>
                </c:pt>
                <c:pt idx="143">
                  <c:v>58900</c:v>
                </c:pt>
                <c:pt idx="144">
                  <c:v>60300</c:v>
                </c:pt>
                <c:pt idx="145">
                  <c:v>61000</c:v>
                </c:pt>
                <c:pt idx="146">
                  <c:v>60600</c:v>
                </c:pt>
                <c:pt idx="147">
                  <c:v>61300</c:v>
                </c:pt>
                <c:pt idx="148">
                  <c:v>61500</c:v>
                </c:pt>
                <c:pt idx="149">
                  <c:v>64200</c:v>
                </c:pt>
                <c:pt idx="150">
                  <c:v>64700</c:v>
                </c:pt>
                <c:pt idx="151">
                  <c:v>62200</c:v>
                </c:pt>
                <c:pt idx="152">
                  <c:v>63200</c:v>
                </c:pt>
                <c:pt idx="153">
                  <c:v>62600</c:v>
                </c:pt>
                <c:pt idx="154">
                  <c:v>63000</c:v>
                </c:pt>
                <c:pt idx="155">
                  <c:v>63100</c:v>
                </c:pt>
                <c:pt idx="156">
                  <c:v>64400</c:v>
                </c:pt>
                <c:pt idx="157">
                  <c:v>66300</c:v>
                </c:pt>
                <c:pt idx="158">
                  <c:v>64900</c:v>
                </c:pt>
                <c:pt idx="159">
                  <c:v>66200</c:v>
                </c:pt>
                <c:pt idx="160">
                  <c:v>67500</c:v>
                </c:pt>
                <c:pt idx="161">
                  <c:v>68900</c:v>
                </c:pt>
                <c:pt idx="162">
                  <c:v>69000</c:v>
                </c:pt>
                <c:pt idx="163">
                  <c:v>70000</c:v>
                </c:pt>
                <c:pt idx="164">
                  <c:v>72500</c:v>
                </c:pt>
                <c:pt idx="165">
                  <c:v>74400</c:v>
                </c:pt>
                <c:pt idx="166">
                  <c:v>74300</c:v>
                </c:pt>
                <c:pt idx="167">
                  <c:v>74000</c:v>
                </c:pt>
                <c:pt idx="168">
                  <c:v>76400</c:v>
                </c:pt>
                <c:pt idx="169">
                  <c:v>75800</c:v>
                </c:pt>
                <c:pt idx="170">
                  <c:v>76100</c:v>
                </c:pt>
                <c:pt idx="171">
                  <c:v>77700</c:v>
                </c:pt>
                <c:pt idx="172">
                  <c:v>78300</c:v>
                </c:pt>
                <c:pt idx="173">
                  <c:v>78300</c:v>
                </c:pt>
                <c:pt idx="174">
                  <c:v>78900</c:v>
                </c:pt>
                <c:pt idx="175">
                  <c:v>78300</c:v>
                </c:pt>
                <c:pt idx="176">
                  <c:v>80200</c:v>
                </c:pt>
                <c:pt idx="177">
                  <c:v>77200</c:v>
                </c:pt>
                <c:pt idx="178">
                  <c:v>76100</c:v>
                </c:pt>
                <c:pt idx="179">
                  <c:v>75500</c:v>
                </c:pt>
                <c:pt idx="180">
                  <c:v>74700</c:v>
                </c:pt>
                <c:pt idx="181">
                  <c:v>73400</c:v>
                </c:pt>
                <c:pt idx="182">
                  <c:v>74700</c:v>
                </c:pt>
                <c:pt idx="183">
                  <c:v>72500</c:v>
                </c:pt>
                <c:pt idx="184">
                  <c:v>71400</c:v>
                </c:pt>
                <c:pt idx="185">
                  <c:v>79600</c:v>
                </c:pt>
                <c:pt idx="186">
                  <c:v>83100</c:v>
                </c:pt>
                <c:pt idx="187">
                  <c:v>83900</c:v>
                </c:pt>
                <c:pt idx="188">
                  <c:v>81000</c:v>
                </c:pt>
                <c:pt idx="189">
                  <c:v>81200</c:v>
                </c:pt>
                <c:pt idx="190">
                  <c:v>80900</c:v>
                </c:pt>
                <c:pt idx="191">
                  <c:v>80400</c:v>
                </c:pt>
                <c:pt idx="192">
                  <c:v>82000</c:v>
                </c:pt>
                <c:pt idx="193">
                  <c:v>83900</c:v>
                </c:pt>
                <c:pt idx="194">
                  <c:v>83000</c:v>
                </c:pt>
                <c:pt idx="195">
                  <c:v>84400</c:v>
                </c:pt>
                <c:pt idx="196">
                  <c:v>86900</c:v>
                </c:pt>
                <c:pt idx="197">
                  <c:v>86700</c:v>
                </c:pt>
                <c:pt idx="198">
                  <c:v>87700</c:v>
                </c:pt>
                <c:pt idx="199">
                  <c:v>86700</c:v>
                </c:pt>
                <c:pt idx="200">
                  <c:v>84400</c:v>
                </c:pt>
                <c:pt idx="201">
                  <c:v>87600</c:v>
                </c:pt>
                <c:pt idx="202">
                  <c:v>87800</c:v>
                </c:pt>
                <c:pt idx="203">
                  <c:v>87800</c:v>
                </c:pt>
                <c:pt idx="204">
                  <c:v>87400</c:v>
                </c:pt>
                <c:pt idx="205">
                  <c:v>87100</c:v>
                </c:pt>
                <c:pt idx="206">
                  <c:v>84600</c:v>
                </c:pt>
                <c:pt idx="207">
                  <c:v>81800</c:v>
                </c:pt>
                <c:pt idx="208">
                  <c:v>81800</c:v>
                </c:pt>
                <c:pt idx="209">
                  <c:v>81800</c:v>
                </c:pt>
                <c:pt idx="210">
                  <c:v>81500</c:v>
                </c:pt>
                <c:pt idx="211">
                  <c:v>81600</c:v>
                </c:pt>
                <c:pt idx="212">
                  <c:v>81300</c:v>
                </c:pt>
                <c:pt idx="213">
                  <c:v>80800</c:v>
                </c:pt>
                <c:pt idx="214">
                  <c:v>80600</c:v>
                </c:pt>
                <c:pt idx="215">
                  <c:v>80000</c:v>
                </c:pt>
                <c:pt idx="216">
                  <c:v>81600</c:v>
                </c:pt>
                <c:pt idx="217">
                  <c:v>81200</c:v>
                </c:pt>
                <c:pt idx="218">
                  <c:v>79800</c:v>
                </c:pt>
                <c:pt idx="219">
                  <c:v>78100</c:v>
                </c:pt>
                <c:pt idx="220">
                  <c:v>79600</c:v>
                </c:pt>
                <c:pt idx="221">
                  <c:v>78600</c:v>
                </c:pt>
                <c:pt idx="222">
                  <c:v>76500</c:v>
                </c:pt>
                <c:pt idx="223">
                  <c:v>75200</c:v>
                </c:pt>
                <c:pt idx="224">
                  <c:v>75700</c:v>
                </c:pt>
                <c:pt idx="225">
                  <c:v>77300</c:v>
                </c:pt>
                <c:pt idx="226">
                  <c:v>77400</c:v>
                </c:pt>
                <c:pt idx="227">
                  <c:v>75300</c:v>
                </c:pt>
                <c:pt idx="228">
                  <c:v>75700</c:v>
                </c:pt>
                <c:pt idx="229">
                  <c:v>73500</c:v>
                </c:pt>
                <c:pt idx="230">
                  <c:v>73500</c:v>
                </c:pt>
                <c:pt idx="231">
                  <c:v>75200</c:v>
                </c:pt>
                <c:pt idx="232">
                  <c:v>77600</c:v>
                </c:pt>
                <c:pt idx="233">
                  <c:v>77200</c:v>
                </c:pt>
                <c:pt idx="234">
                  <c:v>75900</c:v>
                </c:pt>
                <c:pt idx="235">
                  <c:v>78300</c:v>
                </c:pt>
                <c:pt idx="236">
                  <c:v>77700</c:v>
                </c:pt>
                <c:pt idx="237">
                  <c:v>78400</c:v>
                </c:pt>
                <c:pt idx="238">
                  <c:v>78900</c:v>
                </c:pt>
                <c:pt idx="239">
                  <c:v>77400</c:v>
                </c:pt>
                <c:pt idx="240">
                  <c:v>78200</c:v>
                </c:pt>
              </c:numCache>
            </c:numRef>
          </c:val>
        </c:ser>
        <c:dLbls/>
        <c:marker val="1"/>
        <c:axId val="209987840"/>
        <c:axId val="209993728"/>
      </c:lineChart>
      <c:dateAx>
        <c:axId val="209987840"/>
        <c:scaling>
          <c:orientation val="minMax"/>
        </c:scaling>
        <c:axPos val="b"/>
        <c:numFmt formatCode="yyyy/mm/dd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9993728"/>
        <c:crosses val="autoZero"/>
        <c:auto val="1"/>
        <c:lblOffset val="100"/>
        <c:baseTimeUnit val="days"/>
      </c:dateAx>
      <c:valAx>
        <c:axId val="20999372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9987840"/>
        <c:crosses val="autoZero"/>
        <c:crossBetween val="between"/>
      </c:valAx>
      <c:valAx>
        <c:axId val="20999526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9996800"/>
        <c:crosses val="max"/>
        <c:crossBetween val="between"/>
      </c:valAx>
      <c:dateAx>
        <c:axId val="209996800"/>
        <c:scaling>
          <c:orientation val="minMax"/>
        </c:scaling>
        <c:delete val="1"/>
        <c:axPos val="b"/>
        <c:numFmt formatCode="yyyy/mm/dd" sourceLinked="1"/>
        <c:tickLblPos val="none"/>
        <c:crossAx val="209995264"/>
        <c:crosses val="autoZero"/>
        <c:auto val="1"/>
        <c:lblOffset val="100"/>
        <c:baseTimeUnit val="days"/>
      </c:dateAx>
      <c:spPr>
        <a:effectLst/>
      </c:spPr>
    </c:plotArea>
    <c:legend>
      <c:legendPos val="t"/>
      <c:layout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000"/>
            </a:pPr>
            <a:r>
              <a:rPr lang="en-US" altLang="ko-KR" sz="1000" baseline="0"/>
              <a:t>10sec Chart</a:t>
            </a:r>
            <a:endParaRPr lang="ko-KR" altLang="en-US" sz="1000"/>
          </a:p>
        </c:rich>
      </c:tx>
      <c:layout/>
      <c:overlay val="1"/>
    </c:title>
    <c:plotArea>
      <c:layout/>
      <c:lineChart>
        <c:grouping val="standard"/>
        <c:ser>
          <c:idx val="0"/>
          <c:order val="0"/>
          <c:tx>
            <c:strRef>
              <c:f>개별종목정보!$DK$4</c:f>
              <c:strCache>
                <c:ptCount val="1"/>
                <c:pt idx="0">
                  <c:v>틱</c:v>
                </c:pt>
              </c:strCache>
            </c:strRef>
          </c:tx>
          <c:spPr>
            <a:ln w="15875">
              <a:solidFill>
                <a:srgbClr val="0168FF"/>
              </a:solidFill>
            </a:ln>
          </c:spPr>
          <c:marker>
            <c:symbol val="none"/>
          </c:marker>
          <c:cat>
            <c:numRef>
              <c:f>개별종목정보!$DJ$6:$DJ$2170</c:f>
              <c:numCache>
                <c:formatCode>hh:mm:ss</c:formatCode>
                <c:ptCount val="2165"/>
                <c:pt idx="0">
                  <c:v>0.42812499999999998</c:v>
                </c:pt>
                <c:pt idx="1">
                  <c:v>0.42800925925925926</c:v>
                </c:pt>
                <c:pt idx="2">
                  <c:v>0.42789351851851848</c:v>
                </c:pt>
                <c:pt idx="3">
                  <c:v>0.42777777777777776</c:v>
                </c:pt>
                <c:pt idx="4">
                  <c:v>0.42766203703703703</c:v>
                </c:pt>
                <c:pt idx="5">
                  <c:v>0.42754629629629626</c:v>
                </c:pt>
                <c:pt idx="6">
                  <c:v>0.42743055555555554</c:v>
                </c:pt>
                <c:pt idx="7">
                  <c:v>0.42731481481481481</c:v>
                </c:pt>
                <c:pt idx="8">
                  <c:v>0.42719907407407404</c:v>
                </c:pt>
                <c:pt idx="9">
                  <c:v>0.42708333333333331</c:v>
                </c:pt>
                <c:pt idx="10">
                  <c:v>0.42696759259259259</c:v>
                </c:pt>
                <c:pt idx="11">
                  <c:v>0.42685185185185182</c:v>
                </c:pt>
                <c:pt idx="12">
                  <c:v>0.42673611111111109</c:v>
                </c:pt>
                <c:pt idx="13">
                  <c:v>0.42662037037037037</c:v>
                </c:pt>
                <c:pt idx="14">
                  <c:v>0.42650462962962959</c:v>
                </c:pt>
                <c:pt idx="15">
                  <c:v>0.42638888888888887</c:v>
                </c:pt>
                <c:pt idx="16">
                  <c:v>0.42627314814814815</c:v>
                </c:pt>
                <c:pt idx="17">
                  <c:v>0.42615740740740737</c:v>
                </c:pt>
                <c:pt idx="18">
                  <c:v>0.42604166666666665</c:v>
                </c:pt>
                <c:pt idx="19">
                  <c:v>0.42592592592592593</c:v>
                </c:pt>
                <c:pt idx="20">
                  <c:v>0.42581018518518515</c:v>
                </c:pt>
                <c:pt idx="21">
                  <c:v>0.42569444444444443</c:v>
                </c:pt>
                <c:pt idx="22">
                  <c:v>0.42557870370370371</c:v>
                </c:pt>
                <c:pt idx="23">
                  <c:v>0.42546296296296293</c:v>
                </c:pt>
                <c:pt idx="24">
                  <c:v>0.42534722222222221</c:v>
                </c:pt>
                <c:pt idx="25">
                  <c:v>0.42523148148148149</c:v>
                </c:pt>
                <c:pt idx="26">
                  <c:v>0.42511574074074071</c:v>
                </c:pt>
                <c:pt idx="27">
                  <c:v>0.42499999999999999</c:v>
                </c:pt>
                <c:pt idx="28">
                  <c:v>0.42488425925925921</c:v>
                </c:pt>
                <c:pt idx="29">
                  <c:v>0.42476851851851849</c:v>
                </c:pt>
                <c:pt idx="30">
                  <c:v>0.42465277777777777</c:v>
                </c:pt>
                <c:pt idx="31">
                  <c:v>0.42453703703703699</c:v>
                </c:pt>
                <c:pt idx="32">
                  <c:v>0.42442129629629627</c:v>
                </c:pt>
                <c:pt idx="33">
                  <c:v>0.42430555555555555</c:v>
                </c:pt>
                <c:pt idx="34">
                  <c:v>0.42418981481481477</c:v>
                </c:pt>
                <c:pt idx="35">
                  <c:v>0.42407407407407405</c:v>
                </c:pt>
                <c:pt idx="36">
                  <c:v>0.42395833333333333</c:v>
                </c:pt>
                <c:pt idx="37">
                  <c:v>0.42384259259259255</c:v>
                </c:pt>
                <c:pt idx="38">
                  <c:v>0.42372685185185183</c:v>
                </c:pt>
                <c:pt idx="39">
                  <c:v>0.4236111111111111</c:v>
                </c:pt>
                <c:pt idx="40">
                  <c:v>0.42349537037037033</c:v>
                </c:pt>
                <c:pt idx="41">
                  <c:v>0.42337962962962961</c:v>
                </c:pt>
                <c:pt idx="42">
                  <c:v>0.42326388888888888</c:v>
                </c:pt>
                <c:pt idx="43">
                  <c:v>0.42314814814814811</c:v>
                </c:pt>
                <c:pt idx="44">
                  <c:v>0.42303240740740738</c:v>
                </c:pt>
                <c:pt idx="45">
                  <c:v>0.42291666666666666</c:v>
                </c:pt>
                <c:pt idx="46">
                  <c:v>0.42280092592592589</c:v>
                </c:pt>
                <c:pt idx="47">
                  <c:v>0.42268518518518516</c:v>
                </c:pt>
                <c:pt idx="48">
                  <c:v>0.42256944444444444</c:v>
                </c:pt>
                <c:pt idx="49">
                  <c:v>0.42245370370370366</c:v>
                </c:pt>
                <c:pt idx="50">
                  <c:v>0.42233796296296294</c:v>
                </c:pt>
                <c:pt idx="51">
                  <c:v>0.42222222222222222</c:v>
                </c:pt>
                <c:pt idx="52">
                  <c:v>0.42210648148148144</c:v>
                </c:pt>
                <c:pt idx="53">
                  <c:v>0.42199074074074072</c:v>
                </c:pt>
                <c:pt idx="54">
                  <c:v>0.421875</c:v>
                </c:pt>
                <c:pt idx="55">
                  <c:v>0.42175925925925922</c:v>
                </c:pt>
                <c:pt idx="56">
                  <c:v>0.4216435185185185</c:v>
                </c:pt>
                <c:pt idx="57">
                  <c:v>0.42152777777777778</c:v>
                </c:pt>
                <c:pt idx="58">
                  <c:v>0.421412037037037</c:v>
                </c:pt>
                <c:pt idx="59">
                  <c:v>0.42129629629629628</c:v>
                </c:pt>
                <c:pt idx="60">
                  <c:v>0.42118055555555556</c:v>
                </c:pt>
                <c:pt idx="61">
                  <c:v>0.42106481481481478</c:v>
                </c:pt>
                <c:pt idx="62">
                  <c:v>0.42094907407407406</c:v>
                </c:pt>
                <c:pt idx="63">
                  <c:v>0.42083333333333334</c:v>
                </c:pt>
                <c:pt idx="64">
                  <c:v>0.42071759259259256</c:v>
                </c:pt>
                <c:pt idx="65">
                  <c:v>0.42060185185185184</c:v>
                </c:pt>
                <c:pt idx="66">
                  <c:v>0.42048611111111112</c:v>
                </c:pt>
                <c:pt idx="67">
                  <c:v>0.42037037037037034</c:v>
                </c:pt>
                <c:pt idx="68">
                  <c:v>0.42025462962962962</c:v>
                </c:pt>
                <c:pt idx="69">
                  <c:v>0.4201388888888889</c:v>
                </c:pt>
                <c:pt idx="70">
                  <c:v>0.42002314814814812</c:v>
                </c:pt>
                <c:pt idx="71">
                  <c:v>0.4199074074074074</c:v>
                </c:pt>
                <c:pt idx="72">
                  <c:v>0.41979166666666662</c:v>
                </c:pt>
                <c:pt idx="73">
                  <c:v>0.4196759259259259</c:v>
                </c:pt>
                <c:pt idx="74">
                  <c:v>0.41956018518518517</c:v>
                </c:pt>
                <c:pt idx="75">
                  <c:v>0.4194444444444444</c:v>
                </c:pt>
                <c:pt idx="76">
                  <c:v>0.41932870370370368</c:v>
                </c:pt>
                <c:pt idx="77">
                  <c:v>0.41921296296296295</c:v>
                </c:pt>
                <c:pt idx="78">
                  <c:v>0.41909722222222218</c:v>
                </c:pt>
                <c:pt idx="79">
                  <c:v>0.41898148148148145</c:v>
                </c:pt>
                <c:pt idx="80">
                  <c:v>0.41886574074074073</c:v>
                </c:pt>
                <c:pt idx="81">
                  <c:v>0.41874999999999996</c:v>
                </c:pt>
                <c:pt idx="82">
                  <c:v>0.41863425925925923</c:v>
                </c:pt>
                <c:pt idx="83">
                  <c:v>0.41851851851851851</c:v>
                </c:pt>
                <c:pt idx="84">
                  <c:v>0.41840277777777773</c:v>
                </c:pt>
                <c:pt idx="85">
                  <c:v>0.41828703703703701</c:v>
                </c:pt>
                <c:pt idx="86">
                  <c:v>0.41817129629629629</c:v>
                </c:pt>
                <c:pt idx="87">
                  <c:v>0.41805555555555551</c:v>
                </c:pt>
                <c:pt idx="88">
                  <c:v>0.41793981481481479</c:v>
                </c:pt>
                <c:pt idx="89">
                  <c:v>0.41782407407407407</c:v>
                </c:pt>
                <c:pt idx="90">
                  <c:v>0.41770833333333329</c:v>
                </c:pt>
                <c:pt idx="91">
                  <c:v>0.41759259259259257</c:v>
                </c:pt>
                <c:pt idx="92">
                  <c:v>0.41747685185185185</c:v>
                </c:pt>
                <c:pt idx="93">
                  <c:v>0.41736111111111107</c:v>
                </c:pt>
                <c:pt idx="94">
                  <c:v>0.41724537037037035</c:v>
                </c:pt>
                <c:pt idx="95">
                  <c:v>0.41712962962962963</c:v>
                </c:pt>
                <c:pt idx="96">
                  <c:v>0.41701388888888885</c:v>
                </c:pt>
                <c:pt idx="97">
                  <c:v>0.41689814814814813</c:v>
                </c:pt>
                <c:pt idx="98">
                  <c:v>0.41678240740740741</c:v>
                </c:pt>
                <c:pt idx="99">
                  <c:v>0.41666666666666663</c:v>
                </c:pt>
                <c:pt idx="100">
                  <c:v>0.41655092592592591</c:v>
                </c:pt>
                <c:pt idx="101">
                  <c:v>0.41643518518518519</c:v>
                </c:pt>
                <c:pt idx="102">
                  <c:v>0.41631944444444441</c:v>
                </c:pt>
                <c:pt idx="103">
                  <c:v>0.41620370370370369</c:v>
                </c:pt>
                <c:pt idx="104">
                  <c:v>0.41608796296296297</c:v>
                </c:pt>
                <c:pt idx="105">
                  <c:v>0.41597222222222219</c:v>
                </c:pt>
                <c:pt idx="106">
                  <c:v>0.41585648148148147</c:v>
                </c:pt>
                <c:pt idx="107">
                  <c:v>0.41574074074074074</c:v>
                </c:pt>
                <c:pt idx="108">
                  <c:v>0.41562499999999997</c:v>
                </c:pt>
                <c:pt idx="109">
                  <c:v>0.41550925925925924</c:v>
                </c:pt>
                <c:pt idx="110">
                  <c:v>0.41539351851851852</c:v>
                </c:pt>
                <c:pt idx="111">
                  <c:v>0.41527777777777775</c:v>
                </c:pt>
                <c:pt idx="112">
                  <c:v>0.41516203703703702</c:v>
                </c:pt>
                <c:pt idx="113">
                  <c:v>0.4150462962962963</c:v>
                </c:pt>
                <c:pt idx="114">
                  <c:v>0.41493055555555552</c:v>
                </c:pt>
                <c:pt idx="115">
                  <c:v>0.4148148148148148</c:v>
                </c:pt>
                <c:pt idx="116">
                  <c:v>0.41469907407407408</c:v>
                </c:pt>
                <c:pt idx="117">
                  <c:v>0.4145833333333333</c:v>
                </c:pt>
                <c:pt idx="118">
                  <c:v>0.41446759259259258</c:v>
                </c:pt>
                <c:pt idx="119">
                  <c:v>0.4143518518518518</c:v>
                </c:pt>
                <c:pt idx="120">
                  <c:v>0.41423611111111108</c:v>
                </c:pt>
                <c:pt idx="121">
                  <c:v>0.41412037037037036</c:v>
                </c:pt>
                <c:pt idx="122">
                  <c:v>0.41400462962962958</c:v>
                </c:pt>
                <c:pt idx="123">
                  <c:v>0.41388888888888886</c:v>
                </c:pt>
                <c:pt idx="124">
                  <c:v>0.41377314814814814</c:v>
                </c:pt>
                <c:pt idx="125">
                  <c:v>0.41365740740740736</c:v>
                </c:pt>
                <c:pt idx="126">
                  <c:v>0.41354166666666664</c:v>
                </c:pt>
                <c:pt idx="127">
                  <c:v>0.41342592592592592</c:v>
                </c:pt>
                <c:pt idx="128">
                  <c:v>0.41331018518518514</c:v>
                </c:pt>
                <c:pt idx="129">
                  <c:v>0.41319444444444442</c:v>
                </c:pt>
                <c:pt idx="130">
                  <c:v>0.4130787037037037</c:v>
                </c:pt>
                <c:pt idx="131">
                  <c:v>0.41296296296296292</c:v>
                </c:pt>
                <c:pt idx="132">
                  <c:v>0.4128472222222222</c:v>
                </c:pt>
                <c:pt idx="133">
                  <c:v>0.41273148148148148</c:v>
                </c:pt>
                <c:pt idx="134">
                  <c:v>0.4126157407407407</c:v>
                </c:pt>
                <c:pt idx="135">
                  <c:v>0.41249999999999998</c:v>
                </c:pt>
                <c:pt idx="136">
                  <c:v>0.41238425925925926</c:v>
                </c:pt>
                <c:pt idx="137">
                  <c:v>0.41226851851851848</c:v>
                </c:pt>
                <c:pt idx="138">
                  <c:v>0.41215277777777776</c:v>
                </c:pt>
                <c:pt idx="139">
                  <c:v>0.41203703703703703</c:v>
                </c:pt>
                <c:pt idx="140">
                  <c:v>0.41192129629629626</c:v>
                </c:pt>
                <c:pt idx="141">
                  <c:v>0.41180555555555554</c:v>
                </c:pt>
                <c:pt idx="142">
                  <c:v>0.41168981481481481</c:v>
                </c:pt>
                <c:pt idx="143">
                  <c:v>0.41157407407407404</c:v>
                </c:pt>
                <c:pt idx="144">
                  <c:v>0.41145833333333331</c:v>
                </c:pt>
                <c:pt idx="145">
                  <c:v>0.41134259259259259</c:v>
                </c:pt>
                <c:pt idx="146">
                  <c:v>0.41122685185185182</c:v>
                </c:pt>
                <c:pt idx="147">
                  <c:v>0.41111111111111109</c:v>
                </c:pt>
                <c:pt idx="148">
                  <c:v>0.41099537037037037</c:v>
                </c:pt>
                <c:pt idx="149">
                  <c:v>0.41087962962962959</c:v>
                </c:pt>
                <c:pt idx="150">
                  <c:v>0.41076388888888887</c:v>
                </c:pt>
                <c:pt idx="151">
                  <c:v>0.41064814814814815</c:v>
                </c:pt>
                <c:pt idx="152">
                  <c:v>0.41053240740740737</c:v>
                </c:pt>
                <c:pt idx="153">
                  <c:v>0.41041666666666665</c:v>
                </c:pt>
                <c:pt idx="154">
                  <c:v>0.41030092592592593</c:v>
                </c:pt>
                <c:pt idx="155">
                  <c:v>0.41018518518518515</c:v>
                </c:pt>
                <c:pt idx="156">
                  <c:v>0.41006944444444443</c:v>
                </c:pt>
                <c:pt idx="157">
                  <c:v>0.40995370370370371</c:v>
                </c:pt>
                <c:pt idx="158">
                  <c:v>0.40983796296296293</c:v>
                </c:pt>
                <c:pt idx="159">
                  <c:v>0.40972222222222221</c:v>
                </c:pt>
                <c:pt idx="160">
                  <c:v>0.40960648148148149</c:v>
                </c:pt>
                <c:pt idx="161">
                  <c:v>0.40949074074074071</c:v>
                </c:pt>
                <c:pt idx="162">
                  <c:v>0.40937499999999999</c:v>
                </c:pt>
                <c:pt idx="163">
                  <c:v>0.40925925925925921</c:v>
                </c:pt>
                <c:pt idx="164">
                  <c:v>0.40914351851851849</c:v>
                </c:pt>
                <c:pt idx="165">
                  <c:v>0.40902777777777777</c:v>
                </c:pt>
                <c:pt idx="166">
                  <c:v>0.40891203703703699</c:v>
                </c:pt>
                <c:pt idx="167">
                  <c:v>0.40879629629629627</c:v>
                </c:pt>
                <c:pt idx="168">
                  <c:v>0.40868055555555555</c:v>
                </c:pt>
                <c:pt idx="169">
                  <c:v>0.40856481481481477</c:v>
                </c:pt>
                <c:pt idx="170">
                  <c:v>0.40844907407407405</c:v>
                </c:pt>
                <c:pt idx="171">
                  <c:v>0.40833333333333333</c:v>
                </c:pt>
                <c:pt idx="172">
                  <c:v>0.40821759259259255</c:v>
                </c:pt>
                <c:pt idx="173">
                  <c:v>0.40810185185185183</c:v>
                </c:pt>
                <c:pt idx="174">
                  <c:v>0.4079861111111111</c:v>
                </c:pt>
                <c:pt idx="175">
                  <c:v>0.40787037037037033</c:v>
                </c:pt>
                <c:pt idx="176">
                  <c:v>0.40775462962962961</c:v>
                </c:pt>
                <c:pt idx="177">
                  <c:v>0.40763888888888888</c:v>
                </c:pt>
                <c:pt idx="178">
                  <c:v>0.40752314814814811</c:v>
                </c:pt>
                <c:pt idx="179">
                  <c:v>0.40740740740740738</c:v>
                </c:pt>
                <c:pt idx="180">
                  <c:v>0.40729166666666666</c:v>
                </c:pt>
                <c:pt idx="181">
                  <c:v>0.40717592592592589</c:v>
                </c:pt>
                <c:pt idx="182">
                  <c:v>0.40706018518518516</c:v>
                </c:pt>
                <c:pt idx="183">
                  <c:v>0.40694444444444444</c:v>
                </c:pt>
                <c:pt idx="184">
                  <c:v>0.40682870370370366</c:v>
                </c:pt>
                <c:pt idx="185">
                  <c:v>0.40671296296296294</c:v>
                </c:pt>
                <c:pt idx="186">
                  <c:v>0.40659722222222222</c:v>
                </c:pt>
                <c:pt idx="187">
                  <c:v>0.40648148148148144</c:v>
                </c:pt>
                <c:pt idx="188">
                  <c:v>0.40636574074074072</c:v>
                </c:pt>
                <c:pt idx="189">
                  <c:v>0.40625</c:v>
                </c:pt>
                <c:pt idx="190">
                  <c:v>0.40613425925925922</c:v>
                </c:pt>
                <c:pt idx="191">
                  <c:v>0.4060185185185185</c:v>
                </c:pt>
                <c:pt idx="192">
                  <c:v>0.40590277777777778</c:v>
                </c:pt>
                <c:pt idx="193">
                  <c:v>0.405787037037037</c:v>
                </c:pt>
                <c:pt idx="194">
                  <c:v>0.40567129629629628</c:v>
                </c:pt>
                <c:pt idx="195">
                  <c:v>0.40555555555555556</c:v>
                </c:pt>
                <c:pt idx="196">
                  <c:v>0.40543981481481478</c:v>
                </c:pt>
                <c:pt idx="197">
                  <c:v>0.40532407407407406</c:v>
                </c:pt>
                <c:pt idx="198">
                  <c:v>0.40520833333333334</c:v>
                </c:pt>
                <c:pt idx="199">
                  <c:v>0.40509259259259256</c:v>
                </c:pt>
                <c:pt idx="200">
                  <c:v>0.40497685185185184</c:v>
                </c:pt>
                <c:pt idx="201">
                  <c:v>0.40486111111111112</c:v>
                </c:pt>
                <c:pt idx="202">
                  <c:v>0.40474537037037034</c:v>
                </c:pt>
                <c:pt idx="203">
                  <c:v>0.40462962962962962</c:v>
                </c:pt>
                <c:pt idx="204">
                  <c:v>0.4045138888888889</c:v>
                </c:pt>
                <c:pt idx="205">
                  <c:v>0.40439814814814812</c:v>
                </c:pt>
                <c:pt idx="206">
                  <c:v>0.4042824074074074</c:v>
                </c:pt>
                <c:pt idx="207">
                  <c:v>0.40416666666666667</c:v>
                </c:pt>
                <c:pt idx="208">
                  <c:v>0.4040509259259259</c:v>
                </c:pt>
                <c:pt idx="209">
                  <c:v>0.40393518518518517</c:v>
                </c:pt>
                <c:pt idx="210">
                  <c:v>0.4038194444444444</c:v>
                </c:pt>
                <c:pt idx="211">
                  <c:v>0.40370370370370368</c:v>
                </c:pt>
                <c:pt idx="212">
                  <c:v>0.40358796296296295</c:v>
                </c:pt>
                <c:pt idx="213">
                  <c:v>0.40347222222222218</c:v>
                </c:pt>
                <c:pt idx="214">
                  <c:v>0.40335648148148145</c:v>
                </c:pt>
                <c:pt idx="215">
                  <c:v>0.40324074074074073</c:v>
                </c:pt>
                <c:pt idx="216">
                  <c:v>0.40312499999999996</c:v>
                </c:pt>
                <c:pt idx="217">
                  <c:v>0.40300925925925923</c:v>
                </c:pt>
                <c:pt idx="218">
                  <c:v>0.40289351851851851</c:v>
                </c:pt>
                <c:pt idx="219">
                  <c:v>0.40277777777777773</c:v>
                </c:pt>
                <c:pt idx="220">
                  <c:v>0.40266203703703701</c:v>
                </c:pt>
                <c:pt idx="221">
                  <c:v>0.40254629629629629</c:v>
                </c:pt>
                <c:pt idx="222">
                  <c:v>0.40243055555555551</c:v>
                </c:pt>
                <c:pt idx="223">
                  <c:v>0.40231481481481479</c:v>
                </c:pt>
                <c:pt idx="224">
                  <c:v>0.40219907407407407</c:v>
                </c:pt>
                <c:pt idx="225">
                  <c:v>0.40208333333333329</c:v>
                </c:pt>
                <c:pt idx="226">
                  <c:v>0.40196759259259257</c:v>
                </c:pt>
                <c:pt idx="227">
                  <c:v>0.40185185185185185</c:v>
                </c:pt>
                <c:pt idx="228">
                  <c:v>0.40173611111111107</c:v>
                </c:pt>
                <c:pt idx="229">
                  <c:v>0.40162037037037035</c:v>
                </c:pt>
                <c:pt idx="230">
                  <c:v>0.40150462962962963</c:v>
                </c:pt>
                <c:pt idx="231">
                  <c:v>0.40138888888888885</c:v>
                </c:pt>
                <c:pt idx="232">
                  <c:v>0.40127314814814813</c:v>
                </c:pt>
                <c:pt idx="233">
                  <c:v>0.40115740740740741</c:v>
                </c:pt>
                <c:pt idx="234">
                  <c:v>0.40104166666666663</c:v>
                </c:pt>
                <c:pt idx="235">
                  <c:v>0.40092592592592591</c:v>
                </c:pt>
                <c:pt idx="236">
                  <c:v>0.40081018518518519</c:v>
                </c:pt>
                <c:pt idx="237">
                  <c:v>0.40069444444444441</c:v>
                </c:pt>
                <c:pt idx="238">
                  <c:v>0.40057870370370369</c:v>
                </c:pt>
                <c:pt idx="239">
                  <c:v>0.40046296296296297</c:v>
                </c:pt>
                <c:pt idx="240">
                  <c:v>0.40034722222222219</c:v>
                </c:pt>
                <c:pt idx="241">
                  <c:v>0.40023148148148147</c:v>
                </c:pt>
                <c:pt idx="242">
                  <c:v>0.40011574074074074</c:v>
                </c:pt>
                <c:pt idx="243">
                  <c:v>0.39999999999999997</c:v>
                </c:pt>
                <c:pt idx="244">
                  <c:v>0.39988425925925924</c:v>
                </c:pt>
                <c:pt idx="245">
                  <c:v>0.39976851851851852</c:v>
                </c:pt>
                <c:pt idx="246">
                  <c:v>0.39965277777777775</c:v>
                </c:pt>
                <c:pt idx="247">
                  <c:v>0.39953703703703702</c:v>
                </c:pt>
                <c:pt idx="248">
                  <c:v>0.3994212962962963</c:v>
                </c:pt>
                <c:pt idx="249">
                  <c:v>0.39930555555555552</c:v>
                </c:pt>
                <c:pt idx="250">
                  <c:v>0.3991898148148148</c:v>
                </c:pt>
                <c:pt idx="251">
                  <c:v>0.39907407407407408</c:v>
                </c:pt>
                <c:pt idx="252">
                  <c:v>0.3989583333333333</c:v>
                </c:pt>
                <c:pt idx="253">
                  <c:v>0.39884259259259258</c:v>
                </c:pt>
                <c:pt idx="254">
                  <c:v>0.3987268518518518</c:v>
                </c:pt>
                <c:pt idx="255">
                  <c:v>0.39861111111111108</c:v>
                </c:pt>
                <c:pt idx="256">
                  <c:v>0.39849537037037036</c:v>
                </c:pt>
                <c:pt idx="257">
                  <c:v>0.39837962962962958</c:v>
                </c:pt>
                <c:pt idx="258">
                  <c:v>0.39826388888888886</c:v>
                </c:pt>
                <c:pt idx="259">
                  <c:v>0.39814814814814814</c:v>
                </c:pt>
                <c:pt idx="260">
                  <c:v>0.39803240740740736</c:v>
                </c:pt>
                <c:pt idx="261">
                  <c:v>0.39791666666666664</c:v>
                </c:pt>
                <c:pt idx="262">
                  <c:v>0.39780092592592592</c:v>
                </c:pt>
                <c:pt idx="263">
                  <c:v>0.39768518518518514</c:v>
                </c:pt>
                <c:pt idx="264">
                  <c:v>0.39756944444444442</c:v>
                </c:pt>
                <c:pt idx="265">
                  <c:v>0.3974537037037037</c:v>
                </c:pt>
                <c:pt idx="266">
                  <c:v>0.39733796296296292</c:v>
                </c:pt>
                <c:pt idx="267">
                  <c:v>0.3972222222222222</c:v>
                </c:pt>
                <c:pt idx="268">
                  <c:v>0.39710648148148148</c:v>
                </c:pt>
                <c:pt idx="269">
                  <c:v>0.3969907407407407</c:v>
                </c:pt>
                <c:pt idx="270">
                  <c:v>0.39687499999999998</c:v>
                </c:pt>
                <c:pt idx="271">
                  <c:v>0.39675925925925926</c:v>
                </c:pt>
                <c:pt idx="272">
                  <c:v>0.39664351851851848</c:v>
                </c:pt>
                <c:pt idx="273">
                  <c:v>0.39652777777777776</c:v>
                </c:pt>
                <c:pt idx="274">
                  <c:v>0.39641203703703703</c:v>
                </c:pt>
                <c:pt idx="275">
                  <c:v>0.39629629629629626</c:v>
                </c:pt>
                <c:pt idx="276">
                  <c:v>0.39618055555555554</c:v>
                </c:pt>
                <c:pt idx="277">
                  <c:v>0.39606481481481481</c:v>
                </c:pt>
                <c:pt idx="278">
                  <c:v>0.39594907407407404</c:v>
                </c:pt>
                <c:pt idx="279">
                  <c:v>0.39583333333333331</c:v>
                </c:pt>
                <c:pt idx="280">
                  <c:v>0.39571759259259259</c:v>
                </c:pt>
                <c:pt idx="281">
                  <c:v>0.39560185185185182</c:v>
                </c:pt>
                <c:pt idx="282">
                  <c:v>0.39548611111111109</c:v>
                </c:pt>
                <c:pt idx="283">
                  <c:v>0.39537037037037037</c:v>
                </c:pt>
                <c:pt idx="284">
                  <c:v>0.39525462962962959</c:v>
                </c:pt>
                <c:pt idx="285">
                  <c:v>0.39513888888888887</c:v>
                </c:pt>
                <c:pt idx="286">
                  <c:v>0.39502314814814815</c:v>
                </c:pt>
                <c:pt idx="287">
                  <c:v>0.39490740740740737</c:v>
                </c:pt>
                <c:pt idx="288">
                  <c:v>0.39479166666666665</c:v>
                </c:pt>
                <c:pt idx="289">
                  <c:v>0.39467592592592593</c:v>
                </c:pt>
                <c:pt idx="290">
                  <c:v>0.39456018518518515</c:v>
                </c:pt>
                <c:pt idx="291">
                  <c:v>0.39444444444444443</c:v>
                </c:pt>
                <c:pt idx="292">
                  <c:v>0.39432870370370371</c:v>
                </c:pt>
                <c:pt idx="293">
                  <c:v>0.39421296296296293</c:v>
                </c:pt>
                <c:pt idx="294">
                  <c:v>0.39409722222222221</c:v>
                </c:pt>
                <c:pt idx="295">
                  <c:v>0.39398148148148149</c:v>
                </c:pt>
                <c:pt idx="296">
                  <c:v>0.39386574074074071</c:v>
                </c:pt>
                <c:pt idx="297">
                  <c:v>0.39374999999999999</c:v>
                </c:pt>
                <c:pt idx="298">
                  <c:v>0.39363425925925927</c:v>
                </c:pt>
                <c:pt idx="299">
                  <c:v>0.39351851851851849</c:v>
                </c:pt>
                <c:pt idx="300">
                  <c:v>0.39340277777777777</c:v>
                </c:pt>
                <c:pt idx="301">
                  <c:v>0.39328703703703699</c:v>
                </c:pt>
                <c:pt idx="302">
                  <c:v>0.39317129629629627</c:v>
                </c:pt>
                <c:pt idx="303">
                  <c:v>0.39305555555555555</c:v>
                </c:pt>
                <c:pt idx="304">
                  <c:v>0.39293981481481477</c:v>
                </c:pt>
                <c:pt idx="305">
                  <c:v>0.39282407407407405</c:v>
                </c:pt>
                <c:pt idx="306">
                  <c:v>0.39270833333333333</c:v>
                </c:pt>
                <c:pt idx="307">
                  <c:v>0.39259259259259255</c:v>
                </c:pt>
                <c:pt idx="308">
                  <c:v>0.39247685185185183</c:v>
                </c:pt>
                <c:pt idx="309">
                  <c:v>0.3923611111111111</c:v>
                </c:pt>
                <c:pt idx="310">
                  <c:v>0.39224537037037033</c:v>
                </c:pt>
                <c:pt idx="311">
                  <c:v>0.39212962962962961</c:v>
                </c:pt>
                <c:pt idx="312">
                  <c:v>0.39201388888888888</c:v>
                </c:pt>
                <c:pt idx="313">
                  <c:v>0.39189814814814811</c:v>
                </c:pt>
                <c:pt idx="314">
                  <c:v>0.39178240740740738</c:v>
                </c:pt>
                <c:pt idx="315">
                  <c:v>0.39166666666666666</c:v>
                </c:pt>
                <c:pt idx="316">
                  <c:v>0.39155092592592589</c:v>
                </c:pt>
                <c:pt idx="317">
                  <c:v>0.39143518518518516</c:v>
                </c:pt>
                <c:pt idx="318">
                  <c:v>0.39131944444444444</c:v>
                </c:pt>
                <c:pt idx="319">
                  <c:v>0.39120370370370366</c:v>
                </c:pt>
                <c:pt idx="320">
                  <c:v>0.39108796296296294</c:v>
                </c:pt>
                <c:pt idx="321">
                  <c:v>0.39097222222222222</c:v>
                </c:pt>
                <c:pt idx="322">
                  <c:v>0.39085648148148144</c:v>
                </c:pt>
                <c:pt idx="323">
                  <c:v>0.39074074074074072</c:v>
                </c:pt>
                <c:pt idx="324">
                  <c:v>0.390625</c:v>
                </c:pt>
                <c:pt idx="325">
                  <c:v>0.39050925925925922</c:v>
                </c:pt>
                <c:pt idx="326">
                  <c:v>0.3903935185185185</c:v>
                </c:pt>
                <c:pt idx="327">
                  <c:v>0.39027777777777778</c:v>
                </c:pt>
                <c:pt idx="328">
                  <c:v>0.390162037037037</c:v>
                </c:pt>
                <c:pt idx="329">
                  <c:v>0.39004629629629628</c:v>
                </c:pt>
                <c:pt idx="330">
                  <c:v>0.38993055555555556</c:v>
                </c:pt>
                <c:pt idx="331">
                  <c:v>0.38981481481481478</c:v>
                </c:pt>
                <c:pt idx="332">
                  <c:v>0.38969907407407406</c:v>
                </c:pt>
                <c:pt idx="333">
                  <c:v>0.38958333333333334</c:v>
                </c:pt>
                <c:pt idx="334">
                  <c:v>0.38946759259259256</c:v>
                </c:pt>
                <c:pt idx="335">
                  <c:v>0.38935185185185184</c:v>
                </c:pt>
                <c:pt idx="336">
                  <c:v>0.38923611111111112</c:v>
                </c:pt>
                <c:pt idx="337">
                  <c:v>0.38912037037037034</c:v>
                </c:pt>
                <c:pt idx="338">
                  <c:v>0.38900462962962962</c:v>
                </c:pt>
                <c:pt idx="339">
                  <c:v>0.3888888888888889</c:v>
                </c:pt>
                <c:pt idx="340">
                  <c:v>0.38877314814814812</c:v>
                </c:pt>
                <c:pt idx="341">
                  <c:v>0.3886574074074074</c:v>
                </c:pt>
                <c:pt idx="342">
                  <c:v>0.38854166666666667</c:v>
                </c:pt>
                <c:pt idx="343">
                  <c:v>0.3884259259259259</c:v>
                </c:pt>
                <c:pt idx="344">
                  <c:v>0.38831018518518517</c:v>
                </c:pt>
                <c:pt idx="345">
                  <c:v>0.3881944444444444</c:v>
                </c:pt>
                <c:pt idx="346">
                  <c:v>0.38807870370370368</c:v>
                </c:pt>
                <c:pt idx="347">
                  <c:v>0.38796296296296295</c:v>
                </c:pt>
                <c:pt idx="348">
                  <c:v>0.38784722222222218</c:v>
                </c:pt>
                <c:pt idx="349">
                  <c:v>0.38773148148148145</c:v>
                </c:pt>
                <c:pt idx="350">
                  <c:v>0.38761574074074073</c:v>
                </c:pt>
                <c:pt idx="351">
                  <c:v>0.38749999999999996</c:v>
                </c:pt>
                <c:pt idx="352">
                  <c:v>0.38738425925925923</c:v>
                </c:pt>
                <c:pt idx="353">
                  <c:v>0.38726851851851851</c:v>
                </c:pt>
                <c:pt idx="354">
                  <c:v>0.38715277777777773</c:v>
                </c:pt>
                <c:pt idx="355">
                  <c:v>0.38703703703703701</c:v>
                </c:pt>
                <c:pt idx="356">
                  <c:v>0.38692129629629629</c:v>
                </c:pt>
                <c:pt idx="357">
                  <c:v>0.38680555555555551</c:v>
                </c:pt>
                <c:pt idx="358">
                  <c:v>0.38668981481481479</c:v>
                </c:pt>
                <c:pt idx="359">
                  <c:v>0.38657407407407407</c:v>
                </c:pt>
                <c:pt idx="360">
                  <c:v>0.38645833333333329</c:v>
                </c:pt>
                <c:pt idx="361">
                  <c:v>0.38634259259259257</c:v>
                </c:pt>
                <c:pt idx="362">
                  <c:v>0.38622685185185185</c:v>
                </c:pt>
                <c:pt idx="363">
                  <c:v>0.38611111111111107</c:v>
                </c:pt>
                <c:pt idx="364">
                  <c:v>0.38599537037037035</c:v>
                </c:pt>
                <c:pt idx="365">
                  <c:v>0.38587962962962963</c:v>
                </c:pt>
                <c:pt idx="366">
                  <c:v>0.38576388888888885</c:v>
                </c:pt>
                <c:pt idx="367">
                  <c:v>0.38564814814814813</c:v>
                </c:pt>
                <c:pt idx="368">
                  <c:v>0.38553240740740741</c:v>
                </c:pt>
                <c:pt idx="369">
                  <c:v>0.38541666666666663</c:v>
                </c:pt>
                <c:pt idx="370">
                  <c:v>0.38530092592592591</c:v>
                </c:pt>
                <c:pt idx="371">
                  <c:v>0.38518518518518519</c:v>
                </c:pt>
                <c:pt idx="372">
                  <c:v>0.38506944444444441</c:v>
                </c:pt>
                <c:pt idx="373">
                  <c:v>0.38495370370370369</c:v>
                </c:pt>
                <c:pt idx="374">
                  <c:v>0.38483796296296297</c:v>
                </c:pt>
                <c:pt idx="375">
                  <c:v>0.38472222222222219</c:v>
                </c:pt>
                <c:pt idx="376">
                  <c:v>0.38460648148148147</c:v>
                </c:pt>
                <c:pt idx="377">
                  <c:v>0.38449074074074074</c:v>
                </c:pt>
                <c:pt idx="378">
                  <c:v>0.38437499999999997</c:v>
                </c:pt>
                <c:pt idx="379">
                  <c:v>0.38425925925925924</c:v>
                </c:pt>
                <c:pt idx="380">
                  <c:v>0.38414351851851852</c:v>
                </c:pt>
                <c:pt idx="381">
                  <c:v>0.38402777777777775</c:v>
                </c:pt>
                <c:pt idx="382">
                  <c:v>0.38391203703703702</c:v>
                </c:pt>
                <c:pt idx="383">
                  <c:v>0.3837962962962963</c:v>
                </c:pt>
                <c:pt idx="384">
                  <c:v>0.38368055555555552</c:v>
                </c:pt>
                <c:pt idx="385">
                  <c:v>0.3835648148148148</c:v>
                </c:pt>
                <c:pt idx="386">
                  <c:v>0.38344907407407408</c:v>
                </c:pt>
                <c:pt idx="387">
                  <c:v>0.3833333333333333</c:v>
                </c:pt>
                <c:pt idx="388">
                  <c:v>0.38321759259259258</c:v>
                </c:pt>
                <c:pt idx="389">
                  <c:v>0.38310185185185186</c:v>
                </c:pt>
                <c:pt idx="390">
                  <c:v>0.38298611111111108</c:v>
                </c:pt>
                <c:pt idx="391">
                  <c:v>0.38287037037037036</c:v>
                </c:pt>
                <c:pt idx="392">
                  <c:v>0.38275462962962958</c:v>
                </c:pt>
                <c:pt idx="393">
                  <c:v>0.38263888888888886</c:v>
                </c:pt>
                <c:pt idx="394">
                  <c:v>0.38252314814814814</c:v>
                </c:pt>
                <c:pt idx="395">
                  <c:v>0.38240740740740736</c:v>
                </c:pt>
                <c:pt idx="396">
                  <c:v>0.38229166666666664</c:v>
                </c:pt>
                <c:pt idx="397">
                  <c:v>0.38217592592592592</c:v>
                </c:pt>
                <c:pt idx="398">
                  <c:v>0.38206018518518514</c:v>
                </c:pt>
                <c:pt idx="399">
                  <c:v>0.38194444444444442</c:v>
                </c:pt>
                <c:pt idx="400">
                  <c:v>0.3818287037037037</c:v>
                </c:pt>
                <c:pt idx="401">
                  <c:v>0.38171296296296292</c:v>
                </c:pt>
                <c:pt idx="402">
                  <c:v>0.3815972222222222</c:v>
                </c:pt>
                <c:pt idx="403">
                  <c:v>0.38148148148148148</c:v>
                </c:pt>
                <c:pt idx="404">
                  <c:v>0.3813657407407407</c:v>
                </c:pt>
                <c:pt idx="405">
                  <c:v>0.38124999999999998</c:v>
                </c:pt>
                <c:pt idx="406">
                  <c:v>0.38113425925925926</c:v>
                </c:pt>
                <c:pt idx="407">
                  <c:v>0.38101851851851848</c:v>
                </c:pt>
                <c:pt idx="408">
                  <c:v>0.38090277777777776</c:v>
                </c:pt>
                <c:pt idx="409">
                  <c:v>0.38078703703703703</c:v>
                </c:pt>
                <c:pt idx="410">
                  <c:v>0.38067129629629626</c:v>
                </c:pt>
                <c:pt idx="411">
                  <c:v>0.38055555555555554</c:v>
                </c:pt>
                <c:pt idx="412">
                  <c:v>0.38043981481481481</c:v>
                </c:pt>
                <c:pt idx="413">
                  <c:v>0.38032407407407404</c:v>
                </c:pt>
                <c:pt idx="414">
                  <c:v>0.38020833333333331</c:v>
                </c:pt>
                <c:pt idx="415">
                  <c:v>0.38009259259259259</c:v>
                </c:pt>
                <c:pt idx="416">
                  <c:v>0.37997685185185182</c:v>
                </c:pt>
                <c:pt idx="417">
                  <c:v>0.37986111111111109</c:v>
                </c:pt>
                <c:pt idx="418">
                  <c:v>0.37974537037037037</c:v>
                </c:pt>
                <c:pt idx="419">
                  <c:v>0.37962962962962959</c:v>
                </c:pt>
                <c:pt idx="420">
                  <c:v>0.37951388888888887</c:v>
                </c:pt>
                <c:pt idx="421">
                  <c:v>0.37939814814814815</c:v>
                </c:pt>
                <c:pt idx="422">
                  <c:v>0.37928240740740737</c:v>
                </c:pt>
                <c:pt idx="423">
                  <c:v>0.37916666666666665</c:v>
                </c:pt>
                <c:pt idx="424">
                  <c:v>0.37905092592592593</c:v>
                </c:pt>
                <c:pt idx="425">
                  <c:v>0.37893518518518515</c:v>
                </c:pt>
                <c:pt idx="426">
                  <c:v>0.37881944444444443</c:v>
                </c:pt>
                <c:pt idx="427">
                  <c:v>0.37870370370370371</c:v>
                </c:pt>
                <c:pt idx="428">
                  <c:v>0.37858796296296293</c:v>
                </c:pt>
                <c:pt idx="429">
                  <c:v>0.37847222222222221</c:v>
                </c:pt>
                <c:pt idx="430">
                  <c:v>0.37835648148148149</c:v>
                </c:pt>
                <c:pt idx="431">
                  <c:v>0.37824074074074071</c:v>
                </c:pt>
                <c:pt idx="432">
                  <c:v>0.37812499999999999</c:v>
                </c:pt>
                <c:pt idx="433">
                  <c:v>0.37800925925925927</c:v>
                </c:pt>
                <c:pt idx="434">
                  <c:v>0.37789351851851849</c:v>
                </c:pt>
                <c:pt idx="435">
                  <c:v>0.37777777777777777</c:v>
                </c:pt>
                <c:pt idx="436">
                  <c:v>0.37766203703703699</c:v>
                </c:pt>
                <c:pt idx="437">
                  <c:v>0.37754629629629627</c:v>
                </c:pt>
                <c:pt idx="438">
                  <c:v>0.37743055555555555</c:v>
                </c:pt>
                <c:pt idx="439">
                  <c:v>0.37731481481481477</c:v>
                </c:pt>
                <c:pt idx="440">
                  <c:v>0.37719907407407405</c:v>
                </c:pt>
                <c:pt idx="441">
                  <c:v>0.37708333333333333</c:v>
                </c:pt>
                <c:pt idx="442">
                  <c:v>0.37696759259259255</c:v>
                </c:pt>
                <c:pt idx="443">
                  <c:v>0.37685185185185183</c:v>
                </c:pt>
                <c:pt idx="444">
                  <c:v>0.3767361111111111</c:v>
                </c:pt>
                <c:pt idx="445">
                  <c:v>0.37662037037037033</c:v>
                </c:pt>
                <c:pt idx="446">
                  <c:v>0.37650462962962961</c:v>
                </c:pt>
                <c:pt idx="447">
                  <c:v>0.37638888888888888</c:v>
                </c:pt>
                <c:pt idx="448">
                  <c:v>0.37627314814814811</c:v>
                </c:pt>
                <c:pt idx="449">
                  <c:v>0.37615740740740738</c:v>
                </c:pt>
                <c:pt idx="450">
                  <c:v>0.37604166666666666</c:v>
                </c:pt>
                <c:pt idx="451">
                  <c:v>0.37592592592592589</c:v>
                </c:pt>
                <c:pt idx="452">
                  <c:v>0.37581018518518516</c:v>
                </c:pt>
                <c:pt idx="453">
                  <c:v>0.37569444444444444</c:v>
                </c:pt>
                <c:pt idx="454">
                  <c:v>0.37557870370370366</c:v>
                </c:pt>
                <c:pt idx="455">
                  <c:v>0.37546296296296294</c:v>
                </c:pt>
                <c:pt idx="456">
                  <c:v>0.37534722222222222</c:v>
                </c:pt>
                <c:pt idx="457">
                  <c:v>0.37523148148148144</c:v>
                </c:pt>
                <c:pt idx="458">
                  <c:v>0.37511574074074072</c:v>
                </c:pt>
              </c:numCache>
            </c:numRef>
          </c:cat>
          <c:val>
            <c:numRef>
              <c:f>개별종목정보!$DK$6:$DK$2170</c:f>
              <c:numCache>
                <c:formatCode>General</c:formatCode>
                <c:ptCount val="2165"/>
                <c:pt idx="0">
                  <c:v>58000</c:v>
                </c:pt>
                <c:pt idx="1">
                  <c:v>58000</c:v>
                </c:pt>
                <c:pt idx="2">
                  <c:v>58000</c:v>
                </c:pt>
                <c:pt idx="3">
                  <c:v>57950</c:v>
                </c:pt>
                <c:pt idx="4">
                  <c:v>58000</c:v>
                </c:pt>
                <c:pt idx="5">
                  <c:v>57950</c:v>
                </c:pt>
                <c:pt idx="6">
                  <c:v>57950</c:v>
                </c:pt>
                <c:pt idx="7">
                  <c:v>58000</c:v>
                </c:pt>
                <c:pt idx="8">
                  <c:v>58000</c:v>
                </c:pt>
                <c:pt idx="9">
                  <c:v>58000</c:v>
                </c:pt>
                <c:pt idx="10">
                  <c:v>57950</c:v>
                </c:pt>
                <c:pt idx="11">
                  <c:v>58000</c:v>
                </c:pt>
                <c:pt idx="12">
                  <c:v>57950</c:v>
                </c:pt>
                <c:pt idx="13">
                  <c:v>58000</c:v>
                </c:pt>
                <c:pt idx="14">
                  <c:v>58000</c:v>
                </c:pt>
                <c:pt idx="15">
                  <c:v>58000</c:v>
                </c:pt>
                <c:pt idx="16">
                  <c:v>58000</c:v>
                </c:pt>
                <c:pt idx="17">
                  <c:v>58000</c:v>
                </c:pt>
                <c:pt idx="18">
                  <c:v>58000</c:v>
                </c:pt>
                <c:pt idx="19">
                  <c:v>58000</c:v>
                </c:pt>
                <c:pt idx="20">
                  <c:v>57950</c:v>
                </c:pt>
                <c:pt idx="21">
                  <c:v>58000</c:v>
                </c:pt>
                <c:pt idx="22">
                  <c:v>57950</c:v>
                </c:pt>
                <c:pt idx="23">
                  <c:v>57950</c:v>
                </c:pt>
                <c:pt idx="24">
                  <c:v>57950</c:v>
                </c:pt>
                <c:pt idx="25">
                  <c:v>57950</c:v>
                </c:pt>
                <c:pt idx="26">
                  <c:v>58000</c:v>
                </c:pt>
                <c:pt idx="27">
                  <c:v>58000</c:v>
                </c:pt>
                <c:pt idx="28">
                  <c:v>58000</c:v>
                </c:pt>
                <c:pt idx="29">
                  <c:v>58000</c:v>
                </c:pt>
                <c:pt idx="30">
                  <c:v>58000</c:v>
                </c:pt>
                <c:pt idx="31">
                  <c:v>58000</c:v>
                </c:pt>
                <c:pt idx="32">
                  <c:v>58000</c:v>
                </c:pt>
                <c:pt idx="33">
                  <c:v>58000</c:v>
                </c:pt>
                <c:pt idx="34">
                  <c:v>57950</c:v>
                </c:pt>
                <c:pt idx="35">
                  <c:v>58000</c:v>
                </c:pt>
                <c:pt idx="36">
                  <c:v>58000</c:v>
                </c:pt>
                <c:pt idx="37">
                  <c:v>58000</c:v>
                </c:pt>
                <c:pt idx="38">
                  <c:v>58000</c:v>
                </c:pt>
                <c:pt idx="39">
                  <c:v>57900</c:v>
                </c:pt>
                <c:pt idx="40">
                  <c:v>57900</c:v>
                </c:pt>
                <c:pt idx="41">
                  <c:v>57950</c:v>
                </c:pt>
                <c:pt idx="42">
                  <c:v>57950</c:v>
                </c:pt>
                <c:pt idx="43">
                  <c:v>57900</c:v>
                </c:pt>
                <c:pt idx="44">
                  <c:v>57950</c:v>
                </c:pt>
                <c:pt idx="45">
                  <c:v>57900</c:v>
                </c:pt>
                <c:pt idx="46">
                  <c:v>57950</c:v>
                </c:pt>
                <c:pt idx="47">
                  <c:v>57900</c:v>
                </c:pt>
                <c:pt idx="48">
                  <c:v>57950</c:v>
                </c:pt>
                <c:pt idx="49">
                  <c:v>57950</c:v>
                </c:pt>
                <c:pt idx="50">
                  <c:v>57900</c:v>
                </c:pt>
                <c:pt idx="51">
                  <c:v>57950</c:v>
                </c:pt>
                <c:pt idx="52">
                  <c:v>57900</c:v>
                </c:pt>
                <c:pt idx="53">
                  <c:v>57950</c:v>
                </c:pt>
                <c:pt idx="54">
                  <c:v>57900</c:v>
                </c:pt>
                <c:pt idx="55">
                  <c:v>57900</c:v>
                </c:pt>
                <c:pt idx="56">
                  <c:v>58000</c:v>
                </c:pt>
                <c:pt idx="57">
                  <c:v>58000</c:v>
                </c:pt>
                <c:pt idx="58">
                  <c:v>57900</c:v>
                </c:pt>
                <c:pt idx="59">
                  <c:v>58000</c:v>
                </c:pt>
                <c:pt idx="60">
                  <c:v>57900</c:v>
                </c:pt>
                <c:pt idx="61">
                  <c:v>57900</c:v>
                </c:pt>
                <c:pt idx="62">
                  <c:v>58000</c:v>
                </c:pt>
                <c:pt idx="63">
                  <c:v>57900</c:v>
                </c:pt>
                <c:pt idx="64">
                  <c:v>57900</c:v>
                </c:pt>
                <c:pt idx="65">
                  <c:v>57950</c:v>
                </c:pt>
                <c:pt idx="66">
                  <c:v>57900</c:v>
                </c:pt>
                <c:pt idx="67">
                  <c:v>57950</c:v>
                </c:pt>
                <c:pt idx="68">
                  <c:v>57950</c:v>
                </c:pt>
                <c:pt idx="69">
                  <c:v>57900</c:v>
                </c:pt>
                <c:pt idx="70">
                  <c:v>57950</c:v>
                </c:pt>
                <c:pt idx="71">
                  <c:v>57900</c:v>
                </c:pt>
                <c:pt idx="72">
                  <c:v>58000</c:v>
                </c:pt>
                <c:pt idx="73">
                  <c:v>57900</c:v>
                </c:pt>
                <c:pt idx="74">
                  <c:v>58000</c:v>
                </c:pt>
                <c:pt idx="75">
                  <c:v>57950</c:v>
                </c:pt>
                <c:pt idx="76">
                  <c:v>58000</c:v>
                </c:pt>
                <c:pt idx="77">
                  <c:v>57900</c:v>
                </c:pt>
                <c:pt idx="78">
                  <c:v>58000</c:v>
                </c:pt>
                <c:pt idx="79">
                  <c:v>58000</c:v>
                </c:pt>
                <c:pt idx="80">
                  <c:v>58000</c:v>
                </c:pt>
                <c:pt idx="81">
                  <c:v>58000</c:v>
                </c:pt>
                <c:pt idx="82">
                  <c:v>58000</c:v>
                </c:pt>
                <c:pt idx="83">
                  <c:v>58000</c:v>
                </c:pt>
                <c:pt idx="84">
                  <c:v>58000</c:v>
                </c:pt>
                <c:pt idx="85">
                  <c:v>58000</c:v>
                </c:pt>
                <c:pt idx="86">
                  <c:v>57950</c:v>
                </c:pt>
                <c:pt idx="87">
                  <c:v>57950</c:v>
                </c:pt>
                <c:pt idx="88">
                  <c:v>57950</c:v>
                </c:pt>
                <c:pt idx="89">
                  <c:v>58000</c:v>
                </c:pt>
                <c:pt idx="90">
                  <c:v>57950</c:v>
                </c:pt>
                <c:pt idx="91">
                  <c:v>57950</c:v>
                </c:pt>
                <c:pt idx="92">
                  <c:v>57950</c:v>
                </c:pt>
                <c:pt idx="93">
                  <c:v>58000</c:v>
                </c:pt>
                <c:pt idx="94">
                  <c:v>58000</c:v>
                </c:pt>
                <c:pt idx="95">
                  <c:v>57900</c:v>
                </c:pt>
                <c:pt idx="96">
                  <c:v>57950</c:v>
                </c:pt>
                <c:pt idx="97">
                  <c:v>57950</c:v>
                </c:pt>
                <c:pt idx="98">
                  <c:v>57900</c:v>
                </c:pt>
                <c:pt idx="99">
                  <c:v>57950</c:v>
                </c:pt>
                <c:pt idx="100">
                  <c:v>57950</c:v>
                </c:pt>
                <c:pt idx="101">
                  <c:v>57950</c:v>
                </c:pt>
                <c:pt idx="102">
                  <c:v>57950</c:v>
                </c:pt>
                <c:pt idx="103">
                  <c:v>57900</c:v>
                </c:pt>
                <c:pt idx="104">
                  <c:v>57900</c:v>
                </c:pt>
                <c:pt idx="105">
                  <c:v>57850</c:v>
                </c:pt>
                <c:pt idx="106">
                  <c:v>57850</c:v>
                </c:pt>
                <c:pt idx="107">
                  <c:v>57900</c:v>
                </c:pt>
                <c:pt idx="108">
                  <c:v>57900</c:v>
                </c:pt>
                <c:pt idx="109">
                  <c:v>57900</c:v>
                </c:pt>
                <c:pt idx="110">
                  <c:v>57800</c:v>
                </c:pt>
                <c:pt idx="111">
                  <c:v>57900</c:v>
                </c:pt>
                <c:pt idx="112">
                  <c:v>57900</c:v>
                </c:pt>
                <c:pt idx="113">
                  <c:v>57850</c:v>
                </c:pt>
                <c:pt idx="114">
                  <c:v>57900</c:v>
                </c:pt>
                <c:pt idx="115">
                  <c:v>57900</c:v>
                </c:pt>
                <c:pt idx="116">
                  <c:v>57800</c:v>
                </c:pt>
                <c:pt idx="117">
                  <c:v>57850</c:v>
                </c:pt>
                <c:pt idx="118">
                  <c:v>57850</c:v>
                </c:pt>
                <c:pt idx="119">
                  <c:v>57850</c:v>
                </c:pt>
                <c:pt idx="120">
                  <c:v>57900</c:v>
                </c:pt>
                <c:pt idx="121">
                  <c:v>57850</c:v>
                </c:pt>
                <c:pt idx="122">
                  <c:v>57900</c:v>
                </c:pt>
                <c:pt idx="123">
                  <c:v>57900</c:v>
                </c:pt>
                <c:pt idx="124">
                  <c:v>57900</c:v>
                </c:pt>
                <c:pt idx="125">
                  <c:v>57850</c:v>
                </c:pt>
                <c:pt idx="126">
                  <c:v>57850</c:v>
                </c:pt>
                <c:pt idx="127">
                  <c:v>57850</c:v>
                </c:pt>
                <c:pt idx="128">
                  <c:v>57900</c:v>
                </c:pt>
                <c:pt idx="129">
                  <c:v>57900</c:v>
                </c:pt>
                <c:pt idx="130">
                  <c:v>57900</c:v>
                </c:pt>
                <c:pt idx="131">
                  <c:v>57800</c:v>
                </c:pt>
                <c:pt idx="132">
                  <c:v>57900</c:v>
                </c:pt>
                <c:pt idx="133">
                  <c:v>57900</c:v>
                </c:pt>
                <c:pt idx="134">
                  <c:v>57900</c:v>
                </c:pt>
                <c:pt idx="135">
                  <c:v>58000</c:v>
                </c:pt>
                <c:pt idx="136">
                  <c:v>57900</c:v>
                </c:pt>
                <c:pt idx="137">
                  <c:v>57850</c:v>
                </c:pt>
                <c:pt idx="138">
                  <c:v>57900</c:v>
                </c:pt>
                <c:pt idx="139">
                  <c:v>57900</c:v>
                </c:pt>
                <c:pt idx="140">
                  <c:v>57850</c:v>
                </c:pt>
                <c:pt idx="141">
                  <c:v>57900</c:v>
                </c:pt>
                <c:pt idx="142">
                  <c:v>57800</c:v>
                </c:pt>
                <c:pt idx="143">
                  <c:v>57850</c:v>
                </c:pt>
                <c:pt idx="144">
                  <c:v>57800</c:v>
                </c:pt>
                <c:pt idx="145">
                  <c:v>57800</c:v>
                </c:pt>
                <c:pt idx="146">
                  <c:v>57800</c:v>
                </c:pt>
                <c:pt idx="147">
                  <c:v>57800</c:v>
                </c:pt>
                <c:pt idx="148">
                  <c:v>57850</c:v>
                </c:pt>
                <c:pt idx="149">
                  <c:v>57800</c:v>
                </c:pt>
                <c:pt idx="150">
                  <c:v>57800</c:v>
                </c:pt>
                <c:pt idx="151">
                  <c:v>57850</c:v>
                </c:pt>
                <c:pt idx="152">
                  <c:v>57800</c:v>
                </c:pt>
                <c:pt idx="153">
                  <c:v>57800</c:v>
                </c:pt>
                <c:pt idx="154">
                  <c:v>57900</c:v>
                </c:pt>
                <c:pt idx="155">
                  <c:v>57900</c:v>
                </c:pt>
                <c:pt idx="156">
                  <c:v>57900</c:v>
                </c:pt>
                <c:pt idx="157">
                  <c:v>57950</c:v>
                </c:pt>
                <c:pt idx="158">
                  <c:v>57900</c:v>
                </c:pt>
                <c:pt idx="159">
                  <c:v>57900</c:v>
                </c:pt>
                <c:pt idx="160">
                  <c:v>57900</c:v>
                </c:pt>
                <c:pt idx="161">
                  <c:v>57900</c:v>
                </c:pt>
                <c:pt idx="162">
                  <c:v>57900</c:v>
                </c:pt>
                <c:pt idx="163">
                  <c:v>57900</c:v>
                </c:pt>
                <c:pt idx="164">
                  <c:v>57900</c:v>
                </c:pt>
                <c:pt idx="165">
                  <c:v>57950</c:v>
                </c:pt>
                <c:pt idx="166">
                  <c:v>57950</c:v>
                </c:pt>
                <c:pt idx="167">
                  <c:v>58000</c:v>
                </c:pt>
                <c:pt idx="168">
                  <c:v>58000</c:v>
                </c:pt>
                <c:pt idx="169">
                  <c:v>57950</c:v>
                </c:pt>
                <c:pt idx="170">
                  <c:v>58000</c:v>
                </c:pt>
                <c:pt idx="171">
                  <c:v>58100</c:v>
                </c:pt>
                <c:pt idx="172">
                  <c:v>58100</c:v>
                </c:pt>
                <c:pt idx="173">
                  <c:v>58000</c:v>
                </c:pt>
                <c:pt idx="174">
                  <c:v>58100</c:v>
                </c:pt>
                <c:pt idx="175">
                  <c:v>58000</c:v>
                </c:pt>
                <c:pt idx="176">
                  <c:v>58000</c:v>
                </c:pt>
                <c:pt idx="177">
                  <c:v>58100</c:v>
                </c:pt>
                <c:pt idx="178">
                  <c:v>58000</c:v>
                </c:pt>
                <c:pt idx="179">
                  <c:v>58000</c:v>
                </c:pt>
                <c:pt idx="180">
                  <c:v>58000</c:v>
                </c:pt>
                <c:pt idx="181">
                  <c:v>58100</c:v>
                </c:pt>
                <c:pt idx="182">
                  <c:v>58050</c:v>
                </c:pt>
                <c:pt idx="183">
                  <c:v>58100</c:v>
                </c:pt>
                <c:pt idx="184">
                  <c:v>58000</c:v>
                </c:pt>
                <c:pt idx="185">
                  <c:v>58100</c:v>
                </c:pt>
                <c:pt idx="186">
                  <c:v>58100</c:v>
                </c:pt>
                <c:pt idx="187">
                  <c:v>58100</c:v>
                </c:pt>
                <c:pt idx="188">
                  <c:v>58050</c:v>
                </c:pt>
                <c:pt idx="189">
                  <c:v>58100</c:v>
                </c:pt>
                <c:pt idx="190">
                  <c:v>58050</c:v>
                </c:pt>
                <c:pt idx="191">
                  <c:v>58100</c:v>
                </c:pt>
                <c:pt idx="192">
                  <c:v>58100</c:v>
                </c:pt>
                <c:pt idx="193">
                  <c:v>58100</c:v>
                </c:pt>
                <c:pt idx="194">
                  <c:v>58100</c:v>
                </c:pt>
                <c:pt idx="195">
                  <c:v>58100</c:v>
                </c:pt>
                <c:pt idx="196">
                  <c:v>58000</c:v>
                </c:pt>
                <c:pt idx="197">
                  <c:v>58050</c:v>
                </c:pt>
                <c:pt idx="198">
                  <c:v>58100</c:v>
                </c:pt>
                <c:pt idx="199">
                  <c:v>58100</c:v>
                </c:pt>
                <c:pt idx="200">
                  <c:v>58100</c:v>
                </c:pt>
                <c:pt idx="201">
                  <c:v>58100</c:v>
                </c:pt>
                <c:pt idx="202">
                  <c:v>58100</c:v>
                </c:pt>
                <c:pt idx="203">
                  <c:v>58100</c:v>
                </c:pt>
                <c:pt idx="204">
                  <c:v>58050</c:v>
                </c:pt>
                <c:pt idx="205">
                  <c:v>58100</c:v>
                </c:pt>
                <c:pt idx="206">
                  <c:v>58000</c:v>
                </c:pt>
                <c:pt idx="207">
                  <c:v>58100</c:v>
                </c:pt>
                <c:pt idx="208">
                  <c:v>58000</c:v>
                </c:pt>
                <c:pt idx="209">
                  <c:v>58050</c:v>
                </c:pt>
                <c:pt idx="210">
                  <c:v>58000</c:v>
                </c:pt>
                <c:pt idx="211">
                  <c:v>58000</c:v>
                </c:pt>
                <c:pt idx="212">
                  <c:v>58000</c:v>
                </c:pt>
                <c:pt idx="213">
                  <c:v>58000</c:v>
                </c:pt>
                <c:pt idx="214">
                  <c:v>58000</c:v>
                </c:pt>
                <c:pt idx="215">
                  <c:v>58000</c:v>
                </c:pt>
                <c:pt idx="216">
                  <c:v>58000</c:v>
                </c:pt>
                <c:pt idx="217">
                  <c:v>58000</c:v>
                </c:pt>
                <c:pt idx="218">
                  <c:v>58100</c:v>
                </c:pt>
                <c:pt idx="219">
                  <c:v>58100</c:v>
                </c:pt>
                <c:pt idx="220">
                  <c:v>58000</c:v>
                </c:pt>
                <c:pt idx="221">
                  <c:v>58100</c:v>
                </c:pt>
                <c:pt idx="222">
                  <c:v>58100</c:v>
                </c:pt>
                <c:pt idx="223">
                  <c:v>58000</c:v>
                </c:pt>
                <c:pt idx="224">
                  <c:v>58100</c:v>
                </c:pt>
                <c:pt idx="225">
                  <c:v>58050</c:v>
                </c:pt>
                <c:pt idx="226">
                  <c:v>58000</c:v>
                </c:pt>
                <c:pt idx="227">
                  <c:v>58000</c:v>
                </c:pt>
                <c:pt idx="228">
                  <c:v>58000</c:v>
                </c:pt>
                <c:pt idx="229">
                  <c:v>58000</c:v>
                </c:pt>
                <c:pt idx="230">
                  <c:v>58000</c:v>
                </c:pt>
                <c:pt idx="231">
                  <c:v>58050</c:v>
                </c:pt>
                <c:pt idx="232">
                  <c:v>58000</c:v>
                </c:pt>
                <c:pt idx="233">
                  <c:v>58000</c:v>
                </c:pt>
                <c:pt idx="234">
                  <c:v>58000</c:v>
                </c:pt>
                <c:pt idx="235">
                  <c:v>58000</c:v>
                </c:pt>
                <c:pt idx="236">
                  <c:v>58100</c:v>
                </c:pt>
                <c:pt idx="237">
                  <c:v>58100</c:v>
                </c:pt>
                <c:pt idx="238">
                  <c:v>58100</c:v>
                </c:pt>
                <c:pt idx="239">
                  <c:v>58150</c:v>
                </c:pt>
                <c:pt idx="240">
                  <c:v>58100</c:v>
                </c:pt>
                <c:pt idx="241">
                  <c:v>58100</c:v>
                </c:pt>
                <c:pt idx="242">
                  <c:v>58200</c:v>
                </c:pt>
                <c:pt idx="243">
                  <c:v>58100</c:v>
                </c:pt>
                <c:pt idx="244">
                  <c:v>58100</c:v>
                </c:pt>
                <c:pt idx="245">
                  <c:v>58200</c:v>
                </c:pt>
                <c:pt idx="246">
                  <c:v>58150</c:v>
                </c:pt>
                <c:pt idx="247">
                  <c:v>58150</c:v>
                </c:pt>
                <c:pt idx="248">
                  <c:v>58100</c:v>
                </c:pt>
                <c:pt idx="249">
                  <c:v>58200</c:v>
                </c:pt>
                <c:pt idx="250">
                  <c:v>58100</c:v>
                </c:pt>
                <c:pt idx="251">
                  <c:v>58000</c:v>
                </c:pt>
                <c:pt idx="252">
                  <c:v>58100</c:v>
                </c:pt>
                <c:pt idx="253">
                  <c:v>58100</c:v>
                </c:pt>
                <c:pt idx="254">
                  <c:v>58050</c:v>
                </c:pt>
                <c:pt idx="255">
                  <c:v>58150</c:v>
                </c:pt>
                <c:pt idx="256">
                  <c:v>58100</c:v>
                </c:pt>
                <c:pt idx="257">
                  <c:v>58150</c:v>
                </c:pt>
                <c:pt idx="258">
                  <c:v>58150</c:v>
                </c:pt>
                <c:pt idx="259">
                  <c:v>58100</c:v>
                </c:pt>
                <c:pt idx="260">
                  <c:v>58200</c:v>
                </c:pt>
                <c:pt idx="261">
                  <c:v>58100</c:v>
                </c:pt>
                <c:pt idx="262">
                  <c:v>58150</c:v>
                </c:pt>
                <c:pt idx="263">
                  <c:v>58200</c:v>
                </c:pt>
                <c:pt idx="264">
                  <c:v>58100</c:v>
                </c:pt>
                <c:pt idx="265">
                  <c:v>58100</c:v>
                </c:pt>
                <c:pt idx="266">
                  <c:v>58100</c:v>
                </c:pt>
                <c:pt idx="267">
                  <c:v>58200</c:v>
                </c:pt>
                <c:pt idx="268">
                  <c:v>58200</c:v>
                </c:pt>
                <c:pt idx="269">
                  <c:v>58200</c:v>
                </c:pt>
                <c:pt idx="270">
                  <c:v>58100</c:v>
                </c:pt>
                <c:pt idx="271">
                  <c:v>58050</c:v>
                </c:pt>
                <c:pt idx="272">
                  <c:v>58100</c:v>
                </c:pt>
                <c:pt idx="273">
                  <c:v>58050</c:v>
                </c:pt>
                <c:pt idx="274">
                  <c:v>57900</c:v>
                </c:pt>
                <c:pt idx="275">
                  <c:v>58000</c:v>
                </c:pt>
                <c:pt idx="276">
                  <c:v>58000</c:v>
                </c:pt>
                <c:pt idx="277">
                  <c:v>58000</c:v>
                </c:pt>
                <c:pt idx="278">
                  <c:v>58050</c:v>
                </c:pt>
                <c:pt idx="279">
                  <c:v>58000</c:v>
                </c:pt>
                <c:pt idx="280">
                  <c:v>58000</c:v>
                </c:pt>
                <c:pt idx="281">
                  <c:v>58000</c:v>
                </c:pt>
                <c:pt idx="282">
                  <c:v>58000</c:v>
                </c:pt>
                <c:pt idx="283">
                  <c:v>58000</c:v>
                </c:pt>
                <c:pt idx="284">
                  <c:v>58000</c:v>
                </c:pt>
                <c:pt idx="285">
                  <c:v>58000</c:v>
                </c:pt>
                <c:pt idx="286">
                  <c:v>58100</c:v>
                </c:pt>
                <c:pt idx="287">
                  <c:v>58100</c:v>
                </c:pt>
                <c:pt idx="288">
                  <c:v>58100</c:v>
                </c:pt>
                <c:pt idx="289">
                  <c:v>58100</c:v>
                </c:pt>
                <c:pt idx="290">
                  <c:v>58200</c:v>
                </c:pt>
                <c:pt idx="291">
                  <c:v>58100</c:v>
                </c:pt>
                <c:pt idx="292">
                  <c:v>58100</c:v>
                </c:pt>
                <c:pt idx="293">
                  <c:v>58100</c:v>
                </c:pt>
                <c:pt idx="294">
                  <c:v>58100</c:v>
                </c:pt>
                <c:pt idx="295">
                  <c:v>58100</c:v>
                </c:pt>
                <c:pt idx="296">
                  <c:v>58100</c:v>
                </c:pt>
                <c:pt idx="297">
                  <c:v>58100</c:v>
                </c:pt>
                <c:pt idx="298">
                  <c:v>58150</c:v>
                </c:pt>
                <c:pt idx="299">
                  <c:v>58150</c:v>
                </c:pt>
                <c:pt idx="300">
                  <c:v>58200</c:v>
                </c:pt>
                <c:pt idx="301">
                  <c:v>58250</c:v>
                </c:pt>
                <c:pt idx="302">
                  <c:v>58300</c:v>
                </c:pt>
                <c:pt idx="303">
                  <c:v>58350</c:v>
                </c:pt>
                <c:pt idx="304">
                  <c:v>58350</c:v>
                </c:pt>
                <c:pt idx="305">
                  <c:v>58300</c:v>
                </c:pt>
                <c:pt idx="306">
                  <c:v>58300</c:v>
                </c:pt>
                <c:pt idx="307">
                  <c:v>58400</c:v>
                </c:pt>
                <c:pt idx="308">
                  <c:v>58400</c:v>
                </c:pt>
                <c:pt idx="309">
                  <c:v>58300</c:v>
                </c:pt>
                <c:pt idx="310">
                  <c:v>58400</c:v>
                </c:pt>
                <c:pt idx="311">
                  <c:v>58300</c:v>
                </c:pt>
                <c:pt idx="312">
                  <c:v>58300</c:v>
                </c:pt>
                <c:pt idx="313">
                  <c:v>58200</c:v>
                </c:pt>
                <c:pt idx="314">
                  <c:v>58300</c:v>
                </c:pt>
                <c:pt idx="315">
                  <c:v>58200</c:v>
                </c:pt>
                <c:pt idx="316">
                  <c:v>58400</c:v>
                </c:pt>
                <c:pt idx="317">
                  <c:v>58300</c:v>
                </c:pt>
                <c:pt idx="318">
                  <c:v>58300</c:v>
                </c:pt>
                <c:pt idx="319">
                  <c:v>58300</c:v>
                </c:pt>
                <c:pt idx="320">
                  <c:v>58400</c:v>
                </c:pt>
                <c:pt idx="321">
                  <c:v>58400</c:v>
                </c:pt>
                <c:pt idx="322">
                  <c:v>58300</c:v>
                </c:pt>
                <c:pt idx="323">
                  <c:v>58400</c:v>
                </c:pt>
                <c:pt idx="324">
                  <c:v>58450</c:v>
                </c:pt>
                <c:pt idx="325">
                  <c:v>58400</c:v>
                </c:pt>
                <c:pt idx="326">
                  <c:v>58500</c:v>
                </c:pt>
                <c:pt idx="327">
                  <c:v>58500</c:v>
                </c:pt>
                <c:pt idx="328">
                  <c:v>58400</c:v>
                </c:pt>
                <c:pt idx="329">
                  <c:v>58400</c:v>
                </c:pt>
                <c:pt idx="330">
                  <c:v>58100</c:v>
                </c:pt>
                <c:pt idx="331">
                  <c:v>58100</c:v>
                </c:pt>
                <c:pt idx="332">
                  <c:v>58100</c:v>
                </c:pt>
                <c:pt idx="333">
                  <c:v>58050</c:v>
                </c:pt>
                <c:pt idx="334">
                  <c:v>58100</c:v>
                </c:pt>
                <c:pt idx="335">
                  <c:v>58000</c:v>
                </c:pt>
                <c:pt idx="336">
                  <c:v>57950</c:v>
                </c:pt>
                <c:pt idx="337">
                  <c:v>58000</c:v>
                </c:pt>
                <c:pt idx="338">
                  <c:v>57850</c:v>
                </c:pt>
                <c:pt idx="339">
                  <c:v>57800</c:v>
                </c:pt>
                <c:pt idx="340">
                  <c:v>57900</c:v>
                </c:pt>
                <c:pt idx="341">
                  <c:v>57900</c:v>
                </c:pt>
                <c:pt idx="342">
                  <c:v>57900</c:v>
                </c:pt>
                <c:pt idx="343">
                  <c:v>57900</c:v>
                </c:pt>
                <c:pt idx="344">
                  <c:v>57850</c:v>
                </c:pt>
                <c:pt idx="345">
                  <c:v>57850</c:v>
                </c:pt>
                <c:pt idx="346">
                  <c:v>57800</c:v>
                </c:pt>
                <c:pt idx="347">
                  <c:v>57800</c:v>
                </c:pt>
                <c:pt idx="348">
                  <c:v>57800</c:v>
                </c:pt>
                <c:pt idx="349">
                  <c:v>57800</c:v>
                </c:pt>
                <c:pt idx="350">
                  <c:v>57800</c:v>
                </c:pt>
                <c:pt idx="351">
                  <c:v>57800</c:v>
                </c:pt>
                <c:pt idx="352">
                  <c:v>57800</c:v>
                </c:pt>
                <c:pt idx="353">
                  <c:v>57750</c:v>
                </c:pt>
                <c:pt idx="354">
                  <c:v>57800</c:v>
                </c:pt>
                <c:pt idx="355">
                  <c:v>57750</c:v>
                </c:pt>
                <c:pt idx="356">
                  <c:v>57800</c:v>
                </c:pt>
                <c:pt idx="357">
                  <c:v>57800</c:v>
                </c:pt>
                <c:pt idx="358">
                  <c:v>57800</c:v>
                </c:pt>
                <c:pt idx="359">
                  <c:v>57800</c:v>
                </c:pt>
                <c:pt idx="360">
                  <c:v>57700</c:v>
                </c:pt>
                <c:pt idx="361">
                  <c:v>57700</c:v>
                </c:pt>
                <c:pt idx="362">
                  <c:v>57700</c:v>
                </c:pt>
                <c:pt idx="363">
                  <c:v>57700</c:v>
                </c:pt>
                <c:pt idx="364">
                  <c:v>57600</c:v>
                </c:pt>
                <c:pt idx="365">
                  <c:v>57600</c:v>
                </c:pt>
                <c:pt idx="366">
                  <c:v>57600</c:v>
                </c:pt>
                <c:pt idx="367">
                  <c:v>57600</c:v>
                </c:pt>
                <c:pt idx="368">
                  <c:v>57600</c:v>
                </c:pt>
                <c:pt idx="369">
                  <c:v>57600</c:v>
                </c:pt>
                <c:pt idx="370">
                  <c:v>57600</c:v>
                </c:pt>
                <c:pt idx="371">
                  <c:v>57600</c:v>
                </c:pt>
                <c:pt idx="372">
                  <c:v>57550</c:v>
                </c:pt>
                <c:pt idx="373">
                  <c:v>57550</c:v>
                </c:pt>
                <c:pt idx="374">
                  <c:v>57550</c:v>
                </c:pt>
                <c:pt idx="375">
                  <c:v>57500</c:v>
                </c:pt>
                <c:pt idx="376">
                  <c:v>57500</c:v>
                </c:pt>
                <c:pt idx="377">
                  <c:v>57500</c:v>
                </c:pt>
                <c:pt idx="378">
                  <c:v>57500</c:v>
                </c:pt>
                <c:pt idx="379">
                  <c:v>57500</c:v>
                </c:pt>
                <c:pt idx="380">
                  <c:v>57500</c:v>
                </c:pt>
                <c:pt idx="381">
                  <c:v>57500</c:v>
                </c:pt>
                <c:pt idx="382">
                  <c:v>57500</c:v>
                </c:pt>
                <c:pt idx="383">
                  <c:v>57400</c:v>
                </c:pt>
                <c:pt idx="384">
                  <c:v>57500</c:v>
                </c:pt>
                <c:pt idx="385">
                  <c:v>57400</c:v>
                </c:pt>
                <c:pt idx="386">
                  <c:v>57400</c:v>
                </c:pt>
                <c:pt idx="387">
                  <c:v>57500</c:v>
                </c:pt>
                <c:pt idx="388">
                  <c:v>57400</c:v>
                </c:pt>
                <c:pt idx="389">
                  <c:v>57400</c:v>
                </c:pt>
                <c:pt idx="390">
                  <c:v>57300</c:v>
                </c:pt>
                <c:pt idx="391">
                  <c:v>57400</c:v>
                </c:pt>
                <c:pt idx="392">
                  <c:v>57300</c:v>
                </c:pt>
                <c:pt idx="393">
                  <c:v>57400</c:v>
                </c:pt>
                <c:pt idx="394">
                  <c:v>57400</c:v>
                </c:pt>
                <c:pt idx="395">
                  <c:v>57400</c:v>
                </c:pt>
                <c:pt idx="396">
                  <c:v>57300</c:v>
                </c:pt>
                <c:pt idx="397">
                  <c:v>57300</c:v>
                </c:pt>
                <c:pt idx="398">
                  <c:v>57250</c:v>
                </c:pt>
                <c:pt idx="399">
                  <c:v>57300</c:v>
                </c:pt>
                <c:pt idx="400">
                  <c:v>57250</c:v>
                </c:pt>
                <c:pt idx="401">
                  <c:v>57300</c:v>
                </c:pt>
                <c:pt idx="402">
                  <c:v>57200</c:v>
                </c:pt>
                <c:pt idx="403">
                  <c:v>57300</c:v>
                </c:pt>
                <c:pt idx="404">
                  <c:v>57200</c:v>
                </c:pt>
                <c:pt idx="405">
                  <c:v>57300</c:v>
                </c:pt>
                <c:pt idx="406">
                  <c:v>57200</c:v>
                </c:pt>
                <c:pt idx="407">
                  <c:v>57300</c:v>
                </c:pt>
                <c:pt idx="408">
                  <c:v>57300</c:v>
                </c:pt>
                <c:pt idx="409">
                  <c:v>57200</c:v>
                </c:pt>
                <c:pt idx="410">
                  <c:v>57300</c:v>
                </c:pt>
                <c:pt idx="411">
                  <c:v>57300</c:v>
                </c:pt>
                <c:pt idx="412">
                  <c:v>57200</c:v>
                </c:pt>
                <c:pt idx="413">
                  <c:v>57300</c:v>
                </c:pt>
                <c:pt idx="414">
                  <c:v>57200</c:v>
                </c:pt>
                <c:pt idx="415">
                  <c:v>57200</c:v>
                </c:pt>
                <c:pt idx="416">
                  <c:v>57300</c:v>
                </c:pt>
                <c:pt idx="417">
                  <c:v>57300</c:v>
                </c:pt>
                <c:pt idx="418">
                  <c:v>57300</c:v>
                </c:pt>
                <c:pt idx="419">
                  <c:v>57300</c:v>
                </c:pt>
                <c:pt idx="420">
                  <c:v>57200</c:v>
                </c:pt>
                <c:pt idx="421">
                  <c:v>57200</c:v>
                </c:pt>
                <c:pt idx="422">
                  <c:v>57200</c:v>
                </c:pt>
                <c:pt idx="423">
                  <c:v>57250</c:v>
                </c:pt>
                <c:pt idx="424">
                  <c:v>57200</c:v>
                </c:pt>
                <c:pt idx="425">
                  <c:v>57300</c:v>
                </c:pt>
                <c:pt idx="426">
                  <c:v>57250</c:v>
                </c:pt>
                <c:pt idx="427">
                  <c:v>57200</c:v>
                </c:pt>
                <c:pt idx="428">
                  <c:v>57200</c:v>
                </c:pt>
                <c:pt idx="429">
                  <c:v>57200</c:v>
                </c:pt>
                <c:pt idx="430">
                  <c:v>57250</c:v>
                </c:pt>
                <c:pt idx="431">
                  <c:v>57200</c:v>
                </c:pt>
                <c:pt idx="432">
                  <c:v>57200</c:v>
                </c:pt>
                <c:pt idx="433">
                  <c:v>57200</c:v>
                </c:pt>
                <c:pt idx="434">
                  <c:v>57200</c:v>
                </c:pt>
                <c:pt idx="435">
                  <c:v>57200</c:v>
                </c:pt>
                <c:pt idx="436">
                  <c:v>57200</c:v>
                </c:pt>
                <c:pt idx="437">
                  <c:v>57200</c:v>
                </c:pt>
                <c:pt idx="438">
                  <c:v>57300</c:v>
                </c:pt>
                <c:pt idx="439">
                  <c:v>57200</c:v>
                </c:pt>
                <c:pt idx="440">
                  <c:v>57200</c:v>
                </c:pt>
                <c:pt idx="441">
                  <c:v>57200</c:v>
                </c:pt>
                <c:pt idx="442">
                  <c:v>57200</c:v>
                </c:pt>
                <c:pt idx="443">
                  <c:v>57250</c:v>
                </c:pt>
                <c:pt idx="444">
                  <c:v>57200</c:v>
                </c:pt>
                <c:pt idx="445">
                  <c:v>57300</c:v>
                </c:pt>
                <c:pt idx="446">
                  <c:v>57200</c:v>
                </c:pt>
                <c:pt idx="447">
                  <c:v>57200</c:v>
                </c:pt>
                <c:pt idx="448">
                  <c:v>57200</c:v>
                </c:pt>
                <c:pt idx="449">
                  <c:v>57200</c:v>
                </c:pt>
                <c:pt idx="450">
                  <c:v>57300</c:v>
                </c:pt>
                <c:pt idx="451">
                  <c:v>57300</c:v>
                </c:pt>
                <c:pt idx="452">
                  <c:v>57350</c:v>
                </c:pt>
                <c:pt idx="453">
                  <c:v>57500</c:v>
                </c:pt>
                <c:pt idx="454">
                  <c:v>57400</c:v>
                </c:pt>
                <c:pt idx="455">
                  <c:v>57300</c:v>
                </c:pt>
                <c:pt idx="456">
                  <c:v>57300</c:v>
                </c:pt>
                <c:pt idx="457">
                  <c:v>57400</c:v>
                </c:pt>
                <c:pt idx="458">
                  <c:v>57400</c:v>
                </c:pt>
              </c:numCache>
            </c:numRef>
          </c:val>
        </c:ser>
        <c:dLbls/>
        <c:marker val="1"/>
        <c:axId val="210041472"/>
        <c:axId val="210051456"/>
      </c:lineChart>
      <c:catAx>
        <c:axId val="210041472"/>
        <c:scaling>
          <c:orientation val="maxMin"/>
        </c:scaling>
        <c:axPos val="b"/>
        <c:numFmt formatCode="hh:mm:ss" sourceLinked="1"/>
        <c:tickLblPos val="nextTo"/>
        <c:txPr>
          <a:bodyPr rot="-2700000"/>
          <a:lstStyle/>
          <a:p>
            <a:pPr>
              <a:defRPr sz="700"/>
            </a:pPr>
            <a:endParaRPr lang="ko-KR"/>
          </a:p>
        </c:txPr>
        <c:crossAx val="210051456"/>
        <c:crosses val="autoZero"/>
        <c:auto val="1"/>
        <c:lblAlgn val="ctr"/>
        <c:lblOffset val="100"/>
        <c:tickLblSkip val="60"/>
      </c:catAx>
      <c:valAx>
        <c:axId val="21005145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041472"/>
        <c:crosses val="autoZero"/>
        <c:crossBetween val="between"/>
      </c:valAx>
    </c:plotArea>
    <c:plotVisOnly val="1"/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000"/>
            </a:pPr>
            <a:r>
              <a:rPr lang="ko-KR" altLang="en-US" sz="1000"/>
              <a:t>당일투자자현할</a:t>
            </a:r>
            <a:endParaRPr lang="en-US" altLang="ko-KR" sz="1000"/>
          </a:p>
          <a:p>
            <a:pPr>
              <a:defRPr sz="1000"/>
            </a:pPr>
            <a:endParaRPr lang="ko-KR" altLang="en-US" sz="1000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0999627550729803"/>
          <c:y val="6.1403487566139121E-2"/>
          <c:w val="0.86329253918385462"/>
          <c:h val="0.90350880525320998"/>
        </c:manualLayout>
      </c:layout>
      <c:barChart>
        <c:barDir val="col"/>
        <c:grouping val="clustered"/>
        <c:ser>
          <c:idx val="0"/>
          <c:order val="0"/>
          <c:spPr>
            <a:gradFill>
              <a:gsLst>
                <a:gs pos="0">
                  <a:srgbClr val="3333CC"/>
                </a:gs>
                <a:gs pos="0">
                  <a:srgbClr val="6666FF"/>
                </a:gs>
                <a:gs pos="39999">
                  <a:srgbClr val="9999FF"/>
                </a:gs>
                <a:gs pos="70000">
                  <a:srgbClr val="CCCCFF"/>
                </a:gs>
                <a:gs pos="100000">
                  <a:schemeClr val="bg1"/>
                </a:gs>
              </a:gsLst>
              <a:lin ang="5400000" scaled="0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1"/>
          <c:cat>
            <c:strRef>
              <c:f>개별종목정보!$CY$6:$CY$16</c:f>
              <c:strCache>
                <c:ptCount val="11"/>
                <c:pt idx="0">
                  <c:v>외국인합</c:v>
                </c:pt>
                <c:pt idx="1">
                  <c:v>개인</c:v>
                </c:pt>
                <c:pt idx="2">
                  <c:v>기타</c:v>
                </c:pt>
                <c:pt idx="3">
                  <c:v>증권/선물</c:v>
                </c:pt>
                <c:pt idx="4">
                  <c:v>투신</c:v>
                </c:pt>
                <c:pt idx="5">
                  <c:v>사모펀드</c:v>
                </c:pt>
                <c:pt idx="6">
                  <c:v>은행</c:v>
                </c:pt>
                <c:pt idx="7">
                  <c:v>보험</c:v>
                </c:pt>
                <c:pt idx="8">
                  <c:v>종금/저축</c:v>
                </c:pt>
                <c:pt idx="9">
                  <c:v>연기금</c:v>
                </c:pt>
                <c:pt idx="10">
                  <c:v>국가/지방</c:v>
                </c:pt>
              </c:strCache>
            </c:strRef>
          </c:cat>
          <c:val>
            <c:numRef>
              <c:f>개별종목정보!$CZ$6:$CZ$16</c:f>
              <c:numCache>
                <c:formatCode>General</c:formatCode>
                <c:ptCount val="11"/>
                <c:pt idx="0">
                  <c:v>-9591461</c:v>
                </c:pt>
                <c:pt idx="1">
                  <c:v>-58807014</c:v>
                </c:pt>
                <c:pt idx="2">
                  <c:v>-2431213</c:v>
                </c:pt>
                <c:pt idx="3">
                  <c:v>72049188</c:v>
                </c:pt>
                <c:pt idx="4">
                  <c:v>1321405</c:v>
                </c:pt>
                <c:pt idx="5">
                  <c:v>5579550</c:v>
                </c:pt>
                <c:pt idx="6">
                  <c:v>2865484</c:v>
                </c:pt>
                <c:pt idx="7">
                  <c:v>6425</c:v>
                </c:pt>
                <c:pt idx="8">
                  <c:v>-301521</c:v>
                </c:pt>
                <c:pt idx="9">
                  <c:v>-10690841</c:v>
                </c:pt>
                <c:pt idx="10">
                  <c:v>0</c:v>
                </c:pt>
              </c:numCache>
            </c:numRef>
          </c:val>
        </c:ser>
        <c:dLbls/>
        <c:axId val="210108416"/>
        <c:axId val="210109952"/>
      </c:barChart>
      <c:catAx>
        <c:axId val="210108416"/>
        <c:scaling>
          <c:orientation val="minMax"/>
        </c:scaling>
        <c:axPos val="b"/>
        <c:tickLblPos val="nextTo"/>
        <c:txPr>
          <a:bodyPr rot="-2700000"/>
          <a:lstStyle/>
          <a:p>
            <a:pPr>
              <a:defRPr sz="800"/>
            </a:pPr>
            <a:endParaRPr lang="ko-KR"/>
          </a:p>
        </c:txPr>
        <c:crossAx val="210109952"/>
        <c:crosses val="autoZero"/>
        <c:auto val="1"/>
        <c:lblAlgn val="ctr"/>
        <c:lblOffset val="100"/>
      </c:catAx>
      <c:valAx>
        <c:axId val="21010995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108416"/>
        <c:crosses val="autoZero"/>
        <c:crossBetween val="between"/>
      </c:valAx>
    </c:plotArea>
    <c:plotVisOnly val="1"/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900"/>
            </a:pPr>
            <a:r>
              <a:rPr lang="en-US" altLang="ko-KR" sz="900"/>
              <a:t>1M </a:t>
            </a:r>
            <a:r>
              <a:rPr lang="ko-KR" altLang="en-US" sz="900"/>
              <a:t>누적순매수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2206714785651811"/>
          <c:y val="6.5040650406504072E-2"/>
          <c:w val="0.84459951881014872"/>
          <c:h val="0.79713206580884632"/>
        </c:manualLayout>
      </c:layout>
      <c:lineChart>
        <c:grouping val="standard"/>
        <c:ser>
          <c:idx val="0"/>
          <c:order val="0"/>
          <c:tx>
            <c:strRef>
              <c:f>개별종목정보!$DU$5</c:f>
              <c:strCache>
                <c:ptCount val="1"/>
                <c:pt idx="0">
                  <c:v>기관</c:v>
                </c:pt>
              </c:strCache>
            </c:strRef>
          </c:tx>
          <c:spPr>
            <a:ln w="25400">
              <a:solidFill>
                <a:srgbClr val="FF3399"/>
              </a:solidFill>
            </a:ln>
          </c:spPr>
          <c:marker>
            <c:symbol val="none"/>
          </c:marker>
          <c:cat>
            <c:numRef>
              <c:f>개별종목정보!$DQ$6:$DQ$28</c:f>
              <c:numCache>
                <c:formatCode>yyyy/mm/dd</c:formatCode>
                <c:ptCount val="23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</c:numCache>
            </c:numRef>
          </c:cat>
          <c:val>
            <c:numRef>
              <c:f>개별종목정보!$DU$6:$DU$28</c:f>
              <c:numCache>
                <c:formatCode>0_ </c:formatCode>
                <c:ptCount val="23"/>
                <c:pt idx="0">
                  <c:v>178548.77799999999</c:v>
                </c:pt>
                <c:pt idx="1">
                  <c:v>107719.088</c:v>
                </c:pt>
                <c:pt idx="2">
                  <c:v>71132.164000000004</c:v>
                </c:pt>
                <c:pt idx="3">
                  <c:v>-47673.478000000003</c:v>
                </c:pt>
                <c:pt idx="4">
                  <c:v>-13968.715</c:v>
                </c:pt>
                <c:pt idx="5">
                  <c:v>96347.403999999995</c:v>
                </c:pt>
                <c:pt idx="6">
                  <c:v>88020.911999999997</c:v>
                </c:pt>
                <c:pt idx="7">
                  <c:v>26551.169000000002</c:v>
                </c:pt>
                <c:pt idx="8">
                  <c:v>63802.699000000001</c:v>
                </c:pt>
                <c:pt idx="9">
                  <c:v>19738.054</c:v>
                </c:pt>
                <c:pt idx="10">
                  <c:v>25688.649000000001</c:v>
                </c:pt>
                <c:pt idx="11">
                  <c:v>-17538.659</c:v>
                </c:pt>
                <c:pt idx="12">
                  <c:v>28787.879000000001</c:v>
                </c:pt>
                <c:pt idx="13">
                  <c:v>-54629.654000000002</c:v>
                </c:pt>
                <c:pt idx="14">
                  <c:v>-51890.732000000004</c:v>
                </c:pt>
                <c:pt idx="15">
                  <c:v>-23900.899000000001</c:v>
                </c:pt>
                <c:pt idx="16">
                  <c:v>14096.439</c:v>
                </c:pt>
                <c:pt idx="17">
                  <c:v>-37386.830999999998</c:v>
                </c:pt>
                <c:pt idx="18">
                  <c:v>-10486.454</c:v>
                </c:pt>
                <c:pt idx="19">
                  <c:v>-23556.077000000001</c:v>
                </c:pt>
                <c:pt idx="20">
                  <c:v>-7571.009</c:v>
                </c:pt>
                <c:pt idx="21">
                  <c:v>-15411.731</c:v>
                </c:pt>
                <c:pt idx="22">
                  <c:v>-78666.794999999998</c:v>
                </c:pt>
              </c:numCache>
            </c:numRef>
          </c:val>
        </c:ser>
        <c:ser>
          <c:idx val="1"/>
          <c:order val="1"/>
          <c:tx>
            <c:strRef>
              <c:f>개별종목정보!$DV$5</c:f>
              <c:strCache>
                <c:ptCount val="1"/>
                <c:pt idx="0">
                  <c:v>외국인</c:v>
                </c:pt>
              </c:strCache>
            </c:strRef>
          </c:tx>
          <c:spPr>
            <a:ln w="25400">
              <a:solidFill>
                <a:srgbClr val="0168FF"/>
              </a:solidFill>
            </a:ln>
          </c:spPr>
          <c:marker>
            <c:symbol val="none"/>
          </c:marker>
          <c:cat>
            <c:numRef>
              <c:f>개별종목정보!$DQ$6:$DQ$28</c:f>
              <c:numCache>
                <c:formatCode>yyyy/mm/dd</c:formatCode>
                <c:ptCount val="23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</c:numCache>
            </c:numRef>
          </c:cat>
          <c:val>
            <c:numRef>
              <c:f>개별종목정보!$DV$6:$DV$28</c:f>
              <c:numCache>
                <c:formatCode>0_ </c:formatCode>
                <c:ptCount val="23"/>
                <c:pt idx="0">
                  <c:v>-1701742.0360000001</c:v>
                </c:pt>
                <c:pt idx="1">
                  <c:v>-1692150.575</c:v>
                </c:pt>
                <c:pt idx="2">
                  <c:v>-1696579.855</c:v>
                </c:pt>
                <c:pt idx="3">
                  <c:v>-1830939.58</c:v>
                </c:pt>
                <c:pt idx="4">
                  <c:v>-1830797.9450000001</c:v>
                </c:pt>
                <c:pt idx="5">
                  <c:v>-1835832.2379999999</c:v>
                </c:pt>
                <c:pt idx="6">
                  <c:v>-1707113.362</c:v>
                </c:pt>
                <c:pt idx="7">
                  <c:v>-1050874.57</c:v>
                </c:pt>
                <c:pt idx="8">
                  <c:v>-960641.304</c:v>
                </c:pt>
                <c:pt idx="9">
                  <c:v>-951398.76</c:v>
                </c:pt>
                <c:pt idx="10">
                  <c:v>-915749.51899999997</c:v>
                </c:pt>
                <c:pt idx="11">
                  <c:v>-828210.25199999998</c:v>
                </c:pt>
                <c:pt idx="12">
                  <c:v>-830983.54799999995</c:v>
                </c:pt>
                <c:pt idx="13">
                  <c:v>-748227.125</c:v>
                </c:pt>
                <c:pt idx="14">
                  <c:v>-648001</c:v>
                </c:pt>
                <c:pt idx="15">
                  <c:v>-645040.36</c:v>
                </c:pt>
                <c:pt idx="16">
                  <c:v>-672396.16500000004</c:v>
                </c:pt>
                <c:pt idx="17">
                  <c:v>-559018.93000000005</c:v>
                </c:pt>
                <c:pt idx="18">
                  <c:v>-291383.18800000002</c:v>
                </c:pt>
                <c:pt idx="19">
                  <c:v>-328861.72100000002</c:v>
                </c:pt>
                <c:pt idx="20">
                  <c:v>-380040.00599999999</c:v>
                </c:pt>
                <c:pt idx="21">
                  <c:v>-155642.386</c:v>
                </c:pt>
                <c:pt idx="22">
                  <c:v>-143646.302</c:v>
                </c:pt>
              </c:numCache>
            </c:numRef>
          </c:val>
        </c:ser>
        <c:ser>
          <c:idx val="2"/>
          <c:order val="2"/>
          <c:tx>
            <c:strRef>
              <c:f>개별종목정보!$DW$5</c:f>
              <c:strCache>
                <c:ptCount val="1"/>
                <c:pt idx="0">
                  <c:v>개인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개별종목정보!$DQ$6:$DQ$28</c:f>
              <c:numCache>
                <c:formatCode>yyyy/mm/dd</c:formatCode>
                <c:ptCount val="23"/>
                <c:pt idx="0">
                  <c:v>45791</c:v>
                </c:pt>
                <c:pt idx="1">
                  <c:v>45790</c:v>
                </c:pt>
                <c:pt idx="2">
                  <c:v>45789</c:v>
                </c:pt>
                <c:pt idx="3">
                  <c:v>45786</c:v>
                </c:pt>
                <c:pt idx="4">
                  <c:v>45785</c:v>
                </c:pt>
                <c:pt idx="5">
                  <c:v>45784</c:v>
                </c:pt>
                <c:pt idx="6">
                  <c:v>45779</c:v>
                </c:pt>
                <c:pt idx="7">
                  <c:v>45777</c:v>
                </c:pt>
                <c:pt idx="8">
                  <c:v>45776</c:v>
                </c:pt>
                <c:pt idx="9">
                  <c:v>45775</c:v>
                </c:pt>
                <c:pt idx="10">
                  <c:v>45772</c:v>
                </c:pt>
                <c:pt idx="11">
                  <c:v>45771</c:v>
                </c:pt>
                <c:pt idx="12">
                  <c:v>45770</c:v>
                </c:pt>
                <c:pt idx="13">
                  <c:v>45769</c:v>
                </c:pt>
                <c:pt idx="14">
                  <c:v>45768</c:v>
                </c:pt>
                <c:pt idx="15">
                  <c:v>45765</c:v>
                </c:pt>
                <c:pt idx="16">
                  <c:v>45764</c:v>
                </c:pt>
                <c:pt idx="17">
                  <c:v>45763</c:v>
                </c:pt>
                <c:pt idx="18">
                  <c:v>45762</c:v>
                </c:pt>
                <c:pt idx="19">
                  <c:v>45761</c:v>
                </c:pt>
                <c:pt idx="20">
                  <c:v>45758</c:v>
                </c:pt>
                <c:pt idx="21">
                  <c:v>45757</c:v>
                </c:pt>
                <c:pt idx="22">
                  <c:v>45756</c:v>
                </c:pt>
              </c:numCache>
            </c:numRef>
          </c:cat>
          <c:val>
            <c:numRef>
              <c:f>개별종목정보!$DW$6:$DW$28</c:f>
              <c:numCache>
                <c:formatCode>0_ </c:formatCode>
                <c:ptCount val="23"/>
                <c:pt idx="0">
                  <c:v>719814.11199999996</c:v>
                </c:pt>
                <c:pt idx="1">
                  <c:v>778621.12600000005</c:v>
                </c:pt>
                <c:pt idx="2">
                  <c:v>829889.60199999996</c:v>
                </c:pt>
                <c:pt idx="3">
                  <c:v>1112617.078</c:v>
                </c:pt>
                <c:pt idx="4">
                  <c:v>1109761.1969999999</c:v>
                </c:pt>
                <c:pt idx="5">
                  <c:v>1023870.0110000001</c:v>
                </c:pt>
                <c:pt idx="6">
                  <c:v>931397.31599999999</c:v>
                </c:pt>
                <c:pt idx="7">
                  <c:v>387423.85800000001</c:v>
                </c:pt>
                <c:pt idx="8">
                  <c:v>290223.44099999999</c:v>
                </c:pt>
                <c:pt idx="9">
                  <c:v>352510.51799999998</c:v>
                </c:pt>
                <c:pt idx="10">
                  <c:v>338945.98499999999</c:v>
                </c:pt>
                <c:pt idx="11">
                  <c:v>329316.12599999999</c:v>
                </c:pt>
                <c:pt idx="12">
                  <c:v>323135.03100000002</c:v>
                </c:pt>
                <c:pt idx="13">
                  <c:v>373015.05300000001</c:v>
                </c:pt>
                <c:pt idx="14">
                  <c:v>307746.87699999998</c:v>
                </c:pt>
                <c:pt idx="15">
                  <c:v>315779.33</c:v>
                </c:pt>
                <c:pt idx="16">
                  <c:v>344657.52</c:v>
                </c:pt>
                <c:pt idx="17">
                  <c:v>321990.88099999999</c:v>
                </c:pt>
                <c:pt idx="18">
                  <c:v>65332.175999999999</c:v>
                </c:pt>
                <c:pt idx="19">
                  <c:v>153753.541</c:v>
                </c:pt>
                <c:pt idx="20">
                  <c:v>226068.95300000001</c:v>
                </c:pt>
                <c:pt idx="21">
                  <c:v>66208.517999999996</c:v>
                </c:pt>
                <c:pt idx="22">
                  <c:v>157983.58300000001</c:v>
                </c:pt>
              </c:numCache>
            </c:numRef>
          </c:val>
        </c:ser>
        <c:dLbls/>
        <c:marker val="1"/>
        <c:axId val="210139008"/>
        <c:axId val="210140544"/>
      </c:lineChart>
      <c:dateAx>
        <c:axId val="210139008"/>
        <c:scaling>
          <c:orientation val="minMax"/>
        </c:scaling>
        <c:delete val="1"/>
        <c:axPos val="b"/>
        <c:numFmt formatCode="yyyy/mm/dd" sourceLinked="1"/>
        <c:tickLblPos val="none"/>
        <c:crossAx val="210140544"/>
        <c:crosses val="autoZero"/>
        <c:auto val="1"/>
        <c:lblOffset val="100"/>
        <c:baseTimeUnit val="days"/>
      </c:dateAx>
      <c:valAx>
        <c:axId val="210140544"/>
        <c:scaling>
          <c:orientation val="minMax"/>
        </c:scaling>
        <c:axPos val="l"/>
        <c:numFmt formatCode="0_ " sourceLinked="1"/>
        <c:tickLblPos val="nextTo"/>
        <c:txPr>
          <a:bodyPr/>
          <a:lstStyle/>
          <a:p>
            <a:pPr>
              <a:defRPr sz="700"/>
            </a:pPr>
            <a:endParaRPr lang="ko-KR"/>
          </a:p>
        </c:txPr>
        <c:crossAx val="210139008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47625</xdr:colOff>
      <xdr:row>16</xdr:row>
      <xdr:rowOff>95249</xdr:rowOff>
    </xdr:from>
    <xdr:to>
      <xdr:col>55</xdr:col>
      <xdr:colOff>200025</xdr:colOff>
      <xdr:row>36</xdr:row>
      <xdr:rowOff>161925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16</xdr:row>
      <xdr:rowOff>95249</xdr:rowOff>
    </xdr:from>
    <xdr:to>
      <xdr:col>27</xdr:col>
      <xdr:colOff>200025</xdr:colOff>
      <xdr:row>37</xdr:row>
      <xdr:rowOff>0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37</xdr:row>
      <xdr:rowOff>76200</xdr:rowOff>
    </xdr:from>
    <xdr:to>
      <xdr:col>27</xdr:col>
      <xdr:colOff>209550</xdr:colOff>
      <xdr:row>57</xdr:row>
      <xdr:rowOff>19050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47625</xdr:colOff>
      <xdr:row>37</xdr:row>
      <xdr:rowOff>76201</xdr:rowOff>
    </xdr:from>
    <xdr:to>
      <xdr:col>55</xdr:col>
      <xdr:colOff>200025</xdr:colOff>
      <xdr:row>57</xdr:row>
      <xdr:rowOff>28575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57</xdr:row>
      <xdr:rowOff>85724</xdr:rowOff>
    </xdr:from>
    <xdr:to>
      <xdr:col>27</xdr:col>
      <xdr:colOff>200026</xdr:colOff>
      <xdr:row>74</xdr:row>
      <xdr:rowOff>66675</xdr:rowOff>
    </xdr:to>
    <xdr:graphicFrame macro="">
      <xdr:nvGraphicFramePr>
        <xdr:cNvPr id="17" name="차트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38100</xdr:colOff>
      <xdr:row>57</xdr:row>
      <xdr:rowOff>95250</xdr:rowOff>
    </xdr:from>
    <xdr:to>
      <xdr:col>55</xdr:col>
      <xdr:colOff>200025</xdr:colOff>
      <xdr:row>74</xdr:row>
      <xdr:rowOff>66675</xdr:rowOff>
    </xdr:to>
    <xdr:graphicFrame macro="">
      <xdr:nvGraphicFramePr>
        <xdr:cNvPr id="15" name="차트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W15005"/>
  <sheetViews>
    <sheetView showGridLines="0" tabSelected="1" topLeftCell="B1" zoomScaleNormal="100" workbookViewId="0">
      <pane ySplit="4" topLeftCell="A5" activePane="bottomLeft" state="frozen"/>
      <selection activeCell="B1" sqref="B1"/>
      <selection pane="bottomLeft" activeCell="C2" sqref="C2:BD2"/>
    </sheetView>
  </sheetViews>
  <sheetFormatPr defaultRowHeight="13.5"/>
  <cols>
    <col min="1" max="1" width="27" style="3" hidden="1" customWidth="1"/>
    <col min="2" max="2" width="2.28515625" style="7" customWidth="1"/>
    <col min="3" max="39" width="3.28515625" customWidth="1"/>
    <col min="40" max="42" width="3.28515625" style="2" customWidth="1"/>
    <col min="43" max="78" width="3.28515625" style="3" customWidth="1"/>
    <col min="79" max="81" width="3.28515625" customWidth="1"/>
    <col min="82" max="82" width="3.28515625" style="2" customWidth="1"/>
    <col min="83" max="89" width="3.28515625" customWidth="1"/>
    <col min="90" max="101" width="3.28515625" style="3" customWidth="1"/>
    <col min="102" max="127" width="3.28515625" style="23" customWidth="1"/>
    <col min="128" max="154" width="3.28515625" customWidth="1"/>
  </cols>
  <sheetData>
    <row r="1" spans="1:127" ht="9.75" customHeight="1">
      <c r="DF1" s="24">
        <f ca="1">TODAY()</f>
        <v>45792</v>
      </c>
      <c r="DH1" s="24">
        <f ca="1">TODAY()</f>
        <v>45792</v>
      </c>
      <c r="DJ1" s="23">
        <v>9999</v>
      </c>
      <c r="DL1" s="23" t="s">
        <v>112</v>
      </c>
    </row>
    <row r="2" spans="1:127" ht="18" customHeight="1">
      <c r="A2" s="3" t="str">
        <f>_xll.IMDP("STK",$F$4,"업종코드")</f>
        <v>코스피 전기/전자</v>
      </c>
      <c r="C2" s="34" t="s">
        <v>212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DE2" s="23" t="s">
        <v>95</v>
      </c>
      <c r="DF2" s="24">
        <f ca="1">TODAY()-365</f>
        <v>45427</v>
      </c>
      <c r="DG2" s="23" t="s">
        <v>96</v>
      </c>
      <c r="DH2" s="24">
        <f ca="1">TODAY()-1</f>
        <v>45791</v>
      </c>
      <c r="DI2" s="23" t="s">
        <v>97</v>
      </c>
      <c r="DJ2" s="23">
        <v>365</v>
      </c>
      <c r="DK2" s="23" t="s">
        <v>98</v>
      </c>
      <c r="DL2" s="23" t="s">
        <v>99</v>
      </c>
      <c r="DM2" s="23" t="s">
        <v>100</v>
      </c>
      <c r="DN2" s="23" t="s">
        <v>101</v>
      </c>
      <c r="DO2" s="23" t="s">
        <v>102</v>
      </c>
      <c r="DP2" s="23">
        <v>0</v>
      </c>
      <c r="DQ2" s="23" t="s">
        <v>103</v>
      </c>
      <c r="DR2" s="23" t="s">
        <v>104</v>
      </c>
    </row>
    <row r="3" spans="1:127" ht="11.25" customHeight="1">
      <c r="A3" s="3" t="str">
        <f>TEXT((VLOOKUP($A$2,Sheet2!A:C,3,0)),"000")</f>
        <v>013</v>
      </c>
      <c r="DE3" s="25" t="str">
        <f>F4</f>
        <v>005930</v>
      </c>
      <c r="DG3" s="26" t="str">
        <f>A3</f>
        <v>013</v>
      </c>
      <c r="DH3" s="27" t="s">
        <v>183</v>
      </c>
    </row>
    <row r="4" spans="1:127" ht="15" customHeight="1">
      <c r="A4" s="3">
        <f>_xll.IMDP("IDX",$A$3,"현재가")</f>
        <v>23305.759999999998</v>
      </c>
      <c r="C4" s="38" t="s">
        <v>182</v>
      </c>
      <c r="D4" s="38"/>
      <c r="E4" s="39"/>
      <c r="F4" s="35" t="s">
        <v>397</v>
      </c>
      <c r="G4" s="36"/>
      <c r="H4" s="36"/>
      <c r="I4" s="37"/>
      <c r="K4" s="22" t="str">
        <f>_xll.IMDP("STK",$F$4,"한글종목명")</f>
        <v>삼성전자</v>
      </c>
      <c r="O4" s="6"/>
      <c r="P4" s="6"/>
      <c r="Q4" s="20"/>
      <c r="R4" s="20"/>
      <c r="S4" s="20"/>
      <c r="T4" s="20"/>
      <c r="U4" s="20"/>
      <c r="V4" s="20"/>
      <c r="W4" s="21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DE4" s="23" t="str">
        <f ca="1">_xll.IMDH("STK",$F$4,DE5:DF5,$DF$2,$DH$2,$DJ$2,"Per="&amp;$DL$2&amp;",sort="&amp;$DN$2&amp;",real=true,Bizday="&amp;$DP$2&amp;",Quote="&amp;$DR$2&amp;",Pos=20,Orient=V,Title="&amp;$K$4&amp;",DtFmt=1,TmFmt=1,unit=true")</f>
        <v>삼성전자</v>
      </c>
      <c r="DG4" s="23" t="str">
        <f ca="1">_xll.IMDH("IDX",$A$3,DG5,$DF$2,$DH$2,$DJ$2,"Per="&amp;$DL$2&amp;",sort="&amp;$DN$2&amp;",real=true,Bizday="&amp;$DP$2&amp;",Quote="&amp;$DR$2&amp;",Pos=20,Orient=V,Title="&amp;$A$2&amp;",DtFmt=1,TmFmt=1,unit=true")</f>
        <v>코스피 전기/전자</v>
      </c>
      <c r="DH4" s="23" t="str">
        <f ca="1">_xll.IMDH("IDX",$DH$3,DH5,$DF$2,$DH$2,$DJ$2,"Per="&amp;$DL$2&amp;",sort="&amp;$DN$2&amp;",real=true,Bizday="&amp;$DP$2&amp;",Quote="&amp;$DR$2&amp;",Pos=20,Orient=V,Title=KOSPI,DtFmt=1,TmFmt=1,unit=true")</f>
        <v>KOSPI</v>
      </c>
      <c r="DI4" s="23" t="str">
        <f ca="1">_xll.IMDH("STK",$DE$3,DI5,$DF$2,$DH$2,$DJ$2,"Per="&amp;$DL$2&amp;",sort="&amp;$DN$2&amp;",real=true,Bizday="&amp;$DP$2&amp;",Quote="&amp;$DR$2&amp;",Pos=20,Orient=V,Title=거래량,DtFmt=1,TmFmt=1,unit=true")</f>
        <v>거래량</v>
      </c>
      <c r="DJ4" s="23" t="str">
        <f ca="1">_xll.IMDH("STK",$DE$3,DJ5:DK5,$DF$1,$DH$1,$DJ$1,"CYCLE=1,Per="&amp;$DL$1&amp;",sort="&amp;$DN$2&amp;",real=true,Bizday="&amp;$DP$2&amp;",Quote="&amp;$DR$2&amp;",Pos=20,Orient=V,Title=틱,DtFmt=1,TmFmt=1,unit=true")</f>
        <v>틱</v>
      </c>
      <c r="DK4" s="23" t="s">
        <v>184</v>
      </c>
      <c r="DL4" s="23" t="str">
        <f ca="1">_xll.IMDH("STK",$DE$3,DL5:DP5,$DF$2,$DH$2,$DJ$2,"CYCLE=1,Per="&amp;$DL$2&amp;",sort="&amp;$DN$2&amp;",real=true,Bizday="&amp;$DP$2&amp;",Quote="&amp;$DR$2&amp;",Pos=20,Orient=V,Title=거래량,DtFmt=1,TmFmt=1,unit=true")</f>
        <v>거래량</v>
      </c>
      <c r="DQ4" s="23" t="str">
        <f ca="1">_xll.IMDH("STK",$DE$3,DQ5:DT5,$DF$2,$DH$2,$DJ$2,"CYCLE=1,Per="&amp;$DL$2&amp;",sort="&amp;$DN$2&amp;",real=true,Bizday="&amp;$DP$2&amp;",Quote="&amp;$DR$2&amp;",Pos=20,Orient=V,Title=1M누적순매수,DtFmt=1,TmFmt=1,unit=true")</f>
        <v>1M누적순매수</v>
      </c>
    </row>
    <row r="5" spans="1:127" ht="5.25" customHeight="1">
      <c r="A5" s="3">
        <f ca="1">WORKDAY(TODAY(),-1)</f>
        <v>45791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CX5" s="25" t="s">
        <v>126</v>
      </c>
      <c r="CY5" s="23" t="s">
        <v>185</v>
      </c>
      <c r="CZ5" s="28">
        <f>_xll.IMDP($A$7,$F$4,$CX5)</f>
        <v>70829690</v>
      </c>
      <c r="DE5" s="23" t="s">
        <v>105</v>
      </c>
      <c r="DF5" s="25" t="s">
        <v>106</v>
      </c>
      <c r="DG5" s="25" t="s">
        <v>186</v>
      </c>
      <c r="DH5" s="25" t="s">
        <v>186</v>
      </c>
      <c r="DI5" s="25" t="s">
        <v>187</v>
      </c>
      <c r="DJ5" s="25" t="s">
        <v>188</v>
      </c>
      <c r="DK5" s="25" t="s">
        <v>186</v>
      </c>
      <c r="DL5" s="25" t="s">
        <v>187</v>
      </c>
      <c r="DM5" s="25" t="s">
        <v>189</v>
      </c>
      <c r="DN5" s="25" t="s">
        <v>190</v>
      </c>
      <c r="DO5" s="25" t="s">
        <v>191</v>
      </c>
      <c r="DP5" s="25" t="s">
        <v>192</v>
      </c>
      <c r="DQ5" s="25" t="s">
        <v>193</v>
      </c>
      <c r="DR5" s="25" t="s">
        <v>194</v>
      </c>
      <c r="DS5" s="25" t="s">
        <v>195</v>
      </c>
      <c r="DT5" s="25" t="s">
        <v>196</v>
      </c>
      <c r="DU5" s="25" t="s">
        <v>197</v>
      </c>
      <c r="DV5" s="25" t="s">
        <v>198</v>
      </c>
      <c r="DW5" s="25" t="s">
        <v>199</v>
      </c>
    </row>
    <row r="6" spans="1:127">
      <c r="A6" s="3" t="s">
        <v>157</v>
      </c>
      <c r="C6" s="11" t="s">
        <v>215</v>
      </c>
      <c r="D6" s="12"/>
      <c r="E6" s="12"/>
      <c r="F6" s="12"/>
      <c r="G6" s="12"/>
      <c r="H6" s="12"/>
      <c r="I6" s="13"/>
      <c r="J6" s="41">
        <f>_xll.IMDP($A$7,$F$4,$A8)</f>
        <v>57950</v>
      </c>
      <c r="K6" s="43"/>
      <c r="L6" s="43"/>
      <c r="M6" s="43"/>
      <c r="N6" s="43"/>
      <c r="O6" s="44"/>
      <c r="P6" s="11" t="s">
        <v>224</v>
      </c>
      <c r="Q6" s="12"/>
      <c r="R6" s="12"/>
      <c r="S6" s="12"/>
      <c r="T6" s="12"/>
      <c r="U6" s="12"/>
      <c r="V6" s="13"/>
      <c r="W6" s="41">
        <f>_xll.IMDP($A$7,$F$4,$A17)</f>
        <v>57400</v>
      </c>
      <c r="X6" s="43"/>
      <c r="Y6" s="43"/>
      <c r="Z6" s="43"/>
      <c r="AA6" s="43"/>
      <c r="AB6" s="44"/>
      <c r="AC6" s="11" t="s">
        <v>253</v>
      </c>
      <c r="AD6" s="12"/>
      <c r="AE6" s="12"/>
      <c r="AF6" s="12"/>
      <c r="AG6" s="12" t="s">
        <v>241</v>
      </c>
      <c r="AH6" s="13"/>
      <c r="AI6" s="12"/>
      <c r="AJ6" s="13"/>
      <c r="AK6" s="51">
        <f ca="1">_xll.IMDP($A$7,$F$4,$A31,$A$5)</f>
        <v>607315</v>
      </c>
      <c r="AL6" s="52"/>
      <c r="AM6" s="52"/>
      <c r="AN6" s="52"/>
      <c r="AO6" s="52"/>
      <c r="AP6" s="53"/>
      <c r="AQ6" s="11" t="s">
        <v>225</v>
      </c>
      <c r="AR6" s="12"/>
      <c r="AS6" s="12"/>
      <c r="AT6" s="12"/>
      <c r="AU6" s="12" t="str">
        <f>_xll.IMDP($A$7,$F$4,"업종코드")</f>
        <v>코스피 전기/전자</v>
      </c>
      <c r="AV6" s="12"/>
      <c r="AW6" s="12"/>
      <c r="AX6" s="13"/>
      <c r="AY6" s="63">
        <f>_xll.IMDP($A$6,$A$3,$A8)</f>
        <v>23305.759999999998</v>
      </c>
      <c r="AZ6" s="64"/>
      <c r="BA6" s="64"/>
      <c r="BB6" s="64"/>
      <c r="BC6" s="64"/>
      <c r="BD6" s="65"/>
      <c r="BE6" s="20"/>
      <c r="BF6" s="5"/>
      <c r="BG6" s="5"/>
      <c r="BH6" s="5"/>
      <c r="BI6" s="5"/>
      <c r="BJ6" s="5"/>
      <c r="BK6" s="5"/>
      <c r="BL6" s="5"/>
      <c r="BM6" s="5"/>
      <c r="CX6" s="25" t="s">
        <v>195</v>
      </c>
      <c r="CY6" s="23" t="s">
        <v>200</v>
      </c>
      <c r="CZ6" s="28">
        <f>_xll.IMDP($A$7,$F$4,$CX6)</f>
        <v>-9591461</v>
      </c>
      <c r="DE6" s="24">
        <v>45791</v>
      </c>
      <c r="DF6" s="23">
        <v>57400</v>
      </c>
      <c r="DG6" s="23">
        <v>23132.76</v>
      </c>
      <c r="DH6" s="23">
        <v>2640.57</v>
      </c>
      <c r="DI6" s="26">
        <v>12468089</v>
      </c>
      <c r="DJ6" s="29">
        <v>0.42812499999999998</v>
      </c>
      <c r="DK6" s="23">
        <v>58000</v>
      </c>
      <c r="DL6" s="23">
        <v>12468089</v>
      </c>
      <c r="DM6" s="23">
        <v>57500</v>
      </c>
      <c r="DN6" s="23">
        <v>57900</v>
      </c>
      <c r="DO6" s="23">
        <v>57000</v>
      </c>
      <c r="DP6" s="23">
        <v>57400</v>
      </c>
      <c r="DQ6" s="24">
        <v>45791</v>
      </c>
      <c r="DR6" s="23">
        <v>70829690</v>
      </c>
      <c r="DS6" s="23">
        <v>-9591461</v>
      </c>
      <c r="DT6" s="23">
        <v>-58807014</v>
      </c>
      <c r="DU6" s="30">
        <f>SUM($DR6:DR$28)/1000</f>
        <v>178548.77799999999</v>
      </c>
      <c r="DV6" s="30">
        <f>SUM($DS6:DS$28)/1000</f>
        <v>-1701742.0360000001</v>
      </c>
      <c r="DW6" s="30">
        <f>SUM($DT6:DT$28)/1000</f>
        <v>719814.11199999996</v>
      </c>
    </row>
    <row r="7" spans="1:127" ht="13.5" customHeight="1">
      <c r="A7" s="3" t="s">
        <v>125</v>
      </c>
      <c r="C7" s="14" t="s">
        <v>216</v>
      </c>
      <c r="D7" s="15"/>
      <c r="E7" s="15"/>
      <c r="F7" s="15"/>
      <c r="G7" s="15"/>
      <c r="H7" s="15"/>
      <c r="I7" s="16"/>
      <c r="J7" s="45">
        <f>_xll.IMDP($A$7,$F$4,$A9)</f>
        <v>550</v>
      </c>
      <c r="K7" s="46"/>
      <c r="L7" s="46"/>
      <c r="M7" s="46"/>
      <c r="N7" s="46"/>
      <c r="O7" s="47"/>
      <c r="P7" s="14" t="s">
        <v>233</v>
      </c>
      <c r="Q7" s="15"/>
      <c r="R7" s="15"/>
      <c r="S7" s="15"/>
      <c r="T7" s="15"/>
      <c r="U7" s="15"/>
      <c r="V7" s="16"/>
      <c r="W7" s="45">
        <f>_xll.IMDP($A$7,$F$4,$A18)</f>
        <v>58600</v>
      </c>
      <c r="X7" s="46"/>
      <c r="Y7" s="46"/>
      <c r="Z7" s="46"/>
      <c r="AA7" s="46"/>
      <c r="AB7" s="47"/>
      <c r="AC7" s="14"/>
      <c r="AD7" s="15"/>
      <c r="AE7" s="15"/>
      <c r="AF7" s="15"/>
      <c r="AG7" s="15" t="s">
        <v>242</v>
      </c>
      <c r="AH7" s="15"/>
      <c r="AI7" s="15"/>
      <c r="AJ7" s="16"/>
      <c r="AK7" s="54">
        <f ca="1">_xll.IMDP($A$7,$F$4,$A32,$A$5)/1000000</f>
        <v>34862.169699999999</v>
      </c>
      <c r="AL7" s="55"/>
      <c r="AM7" s="55"/>
      <c r="AN7" s="55"/>
      <c r="AO7" s="55"/>
      <c r="AP7" s="56"/>
      <c r="AQ7" s="14" t="s">
        <v>226</v>
      </c>
      <c r="AR7" s="15"/>
      <c r="AS7" s="15"/>
      <c r="AT7" s="15"/>
      <c r="AU7" s="15" t="s">
        <v>227</v>
      </c>
      <c r="AV7" s="15"/>
      <c r="AW7" s="15"/>
      <c r="AX7" s="16"/>
      <c r="AY7" s="45">
        <f>_xll.IMDP($A$6,$A$3,$A50)</f>
        <v>30</v>
      </c>
      <c r="AZ7" s="46"/>
      <c r="BA7" s="46"/>
      <c r="BB7" s="46"/>
      <c r="BC7" s="46"/>
      <c r="BD7" s="47"/>
      <c r="BE7" s="5"/>
      <c r="CX7" s="25" t="s">
        <v>127</v>
      </c>
      <c r="CY7" s="23" t="s">
        <v>199</v>
      </c>
      <c r="CZ7" s="28">
        <f>_xll.IMDP($A$7,$F$4,$CX7)</f>
        <v>-58807014</v>
      </c>
      <c r="DE7" s="24">
        <v>45790</v>
      </c>
      <c r="DF7" s="23">
        <v>56900</v>
      </c>
      <c r="DG7" s="23">
        <v>22796.78</v>
      </c>
      <c r="DH7" s="23">
        <v>2608.42</v>
      </c>
      <c r="DI7" s="26">
        <v>16842801</v>
      </c>
      <c r="DJ7" s="29">
        <v>0.42800925925925926</v>
      </c>
      <c r="DK7" s="23">
        <v>58000</v>
      </c>
      <c r="DL7" s="23">
        <v>16842801</v>
      </c>
      <c r="DM7" s="23">
        <v>57700</v>
      </c>
      <c r="DN7" s="23">
        <v>58200</v>
      </c>
      <c r="DO7" s="23">
        <v>56800</v>
      </c>
      <c r="DP7" s="23">
        <v>56900</v>
      </c>
      <c r="DQ7" s="24">
        <v>45790</v>
      </c>
      <c r="DR7" s="23">
        <v>36586924</v>
      </c>
      <c r="DS7" s="23">
        <v>4429280</v>
      </c>
      <c r="DT7" s="23">
        <v>-51268476</v>
      </c>
      <c r="DU7" s="30">
        <f>SUM($DR7:DR$28)/1000</f>
        <v>107719.088</v>
      </c>
      <c r="DV7" s="30">
        <f>SUM($DS7:DS$28)/1000</f>
        <v>-1692150.575</v>
      </c>
      <c r="DW7" s="30">
        <f>SUM($DT7:DT$28)/1000</f>
        <v>778621.12600000005</v>
      </c>
    </row>
    <row r="8" spans="1:127">
      <c r="A8" s="3" t="s">
        <v>107</v>
      </c>
      <c r="C8" s="14" t="s">
        <v>217</v>
      </c>
      <c r="D8" s="15"/>
      <c r="E8" s="15"/>
      <c r="F8" s="15"/>
      <c r="G8" s="15"/>
      <c r="H8" s="15"/>
      <c r="I8" s="16"/>
      <c r="J8" s="57">
        <f>_xll.IMDP($A$7,$F$4,$A10)</f>
        <v>0.96</v>
      </c>
      <c r="K8" s="58"/>
      <c r="L8" s="58"/>
      <c r="M8" s="58"/>
      <c r="N8" s="58"/>
      <c r="O8" s="59"/>
      <c r="P8" s="14" t="s">
        <v>234</v>
      </c>
      <c r="Q8" s="15"/>
      <c r="R8" s="15"/>
      <c r="S8" s="15"/>
      <c r="T8" s="15"/>
      <c r="U8" s="15"/>
      <c r="V8" s="16"/>
      <c r="W8" s="45">
        <f>_xll.IMDP($A$7,$F$4,$A19)</f>
        <v>57150</v>
      </c>
      <c r="X8" s="46"/>
      <c r="Y8" s="46"/>
      <c r="Z8" s="46"/>
      <c r="AA8" s="46"/>
      <c r="AB8" s="47"/>
      <c r="AC8" s="14"/>
      <c r="AD8" s="15"/>
      <c r="AE8" s="15"/>
      <c r="AF8" s="15"/>
      <c r="AG8" s="15" t="s">
        <v>243</v>
      </c>
      <c r="AH8" s="15"/>
      <c r="AI8" s="15"/>
      <c r="AJ8" s="16"/>
      <c r="AK8" s="54">
        <f ca="1">_xll.IMDP($A$7,$F$4,$A33,$A$5)</f>
        <v>57403.768555000002</v>
      </c>
      <c r="AL8" s="55"/>
      <c r="AM8" s="55"/>
      <c r="AN8" s="55"/>
      <c r="AO8" s="55"/>
      <c r="AP8" s="56"/>
      <c r="AQ8" s="14"/>
      <c r="AR8" s="15"/>
      <c r="AS8" s="15"/>
      <c r="AT8" s="15"/>
      <c r="AU8" s="15" t="s">
        <v>228</v>
      </c>
      <c r="AV8" s="15"/>
      <c r="AW8" s="15"/>
      <c r="AX8" s="16"/>
      <c r="AY8" s="45">
        <f>_xll.IMDP($A$6,$A$3,$A51)</f>
        <v>44</v>
      </c>
      <c r="AZ8" s="46"/>
      <c r="BA8" s="46"/>
      <c r="BB8" s="46"/>
      <c r="BC8" s="46"/>
      <c r="BD8" s="47"/>
      <c r="BE8" s="5"/>
      <c r="CX8" s="25" t="s">
        <v>135</v>
      </c>
      <c r="CY8" s="23" t="s">
        <v>201</v>
      </c>
      <c r="CZ8" s="28">
        <f>_xll.IMDP($A$7,$F$4,$CX8)</f>
        <v>-2431213</v>
      </c>
      <c r="DE8" s="24">
        <v>45789</v>
      </c>
      <c r="DF8" s="23">
        <v>57600</v>
      </c>
      <c r="DG8" s="23">
        <v>22932.46</v>
      </c>
      <c r="DH8" s="23">
        <v>2607.33</v>
      </c>
      <c r="DI8" s="26">
        <v>15414702</v>
      </c>
      <c r="DJ8" s="29">
        <v>0.42789351851851848</v>
      </c>
      <c r="DK8" s="23">
        <v>58000</v>
      </c>
      <c r="DL8" s="23">
        <v>15414702</v>
      </c>
      <c r="DM8" s="23">
        <v>55200</v>
      </c>
      <c r="DN8" s="23">
        <v>57600</v>
      </c>
      <c r="DO8" s="23">
        <v>55000</v>
      </c>
      <c r="DP8" s="23">
        <v>57600</v>
      </c>
      <c r="DQ8" s="24">
        <v>45789</v>
      </c>
      <c r="DR8" s="23">
        <v>118805642</v>
      </c>
      <c r="DS8" s="23">
        <v>134359725</v>
      </c>
      <c r="DT8" s="23">
        <v>-282727476</v>
      </c>
      <c r="DU8" s="30">
        <f>SUM($DR8:DR$28)/1000</f>
        <v>71132.164000000004</v>
      </c>
      <c r="DV8" s="30">
        <f>SUM($DS8:DS$28)/1000</f>
        <v>-1696579.855</v>
      </c>
      <c r="DW8" s="30">
        <f>SUM($DT8:DT$28)/1000</f>
        <v>829889.60199999996</v>
      </c>
    </row>
    <row r="9" spans="1:127">
      <c r="A9" s="3" t="s">
        <v>113</v>
      </c>
      <c r="C9" s="14" t="s">
        <v>218</v>
      </c>
      <c r="D9" s="15"/>
      <c r="E9" s="15"/>
      <c r="F9" s="15"/>
      <c r="G9" s="15"/>
      <c r="H9" s="15"/>
      <c r="I9" s="16"/>
      <c r="J9" s="45">
        <f>_xll.IMDP($A$7,$F$4,$A11)</f>
        <v>5066863</v>
      </c>
      <c r="K9" s="46"/>
      <c r="L9" s="46"/>
      <c r="M9" s="46"/>
      <c r="N9" s="46"/>
      <c r="O9" s="47"/>
      <c r="P9" s="14" t="s">
        <v>235</v>
      </c>
      <c r="Q9" s="15"/>
      <c r="R9" s="15"/>
      <c r="S9" s="15"/>
      <c r="T9" s="15"/>
      <c r="U9" s="15"/>
      <c r="V9" s="16"/>
      <c r="W9" s="45">
        <f>_xll.IMDP($A$7,$F$4,$A20)</f>
        <v>58600</v>
      </c>
      <c r="X9" s="46"/>
      <c r="Y9" s="46"/>
      <c r="Z9" s="46"/>
      <c r="AA9" s="46"/>
      <c r="AB9" s="47"/>
      <c r="AC9" s="14" t="s">
        <v>244</v>
      </c>
      <c r="AD9" s="15"/>
      <c r="AE9" s="15"/>
      <c r="AF9" s="15"/>
      <c r="AG9" s="15" t="s">
        <v>241</v>
      </c>
      <c r="AH9" s="15"/>
      <c r="AI9" s="15"/>
      <c r="AJ9" s="16"/>
      <c r="AK9" s="54">
        <f>_xll.IMDP($A$7,$F$4,$A26)</f>
        <v>98266846</v>
      </c>
      <c r="AL9" s="55"/>
      <c r="AM9" s="55"/>
      <c r="AN9" s="55"/>
      <c r="AO9" s="55"/>
      <c r="AP9" s="56"/>
      <c r="AQ9" s="14"/>
      <c r="AR9" s="15"/>
      <c r="AS9" s="15"/>
      <c r="AT9" s="15"/>
      <c r="AU9" s="15" t="s">
        <v>229</v>
      </c>
      <c r="AV9" s="15"/>
      <c r="AW9" s="15"/>
      <c r="AX9" s="16"/>
      <c r="AY9" s="45">
        <f>_xll.IMDP($A$6,$A$3,$A52)</f>
        <v>3</v>
      </c>
      <c r="AZ9" s="46"/>
      <c r="BA9" s="46"/>
      <c r="BB9" s="46"/>
      <c r="BC9" s="46"/>
      <c r="BD9" s="47"/>
      <c r="BE9" s="5"/>
      <c r="CX9" s="25" t="s">
        <v>128</v>
      </c>
      <c r="CY9" s="23" t="s">
        <v>202</v>
      </c>
      <c r="CZ9" s="28">
        <f>_xll.IMDP($A$7,$F$4,$CX9)</f>
        <v>72049188</v>
      </c>
      <c r="DE9" s="24">
        <v>45786</v>
      </c>
      <c r="DF9" s="23">
        <v>54800</v>
      </c>
      <c r="DG9" s="23">
        <v>22136.28</v>
      </c>
      <c r="DH9" s="23">
        <v>2577.27</v>
      </c>
      <c r="DI9" s="26">
        <v>7814322</v>
      </c>
      <c r="DJ9" s="29">
        <v>0.42777777777777776</v>
      </c>
      <c r="DK9" s="23">
        <v>57950</v>
      </c>
      <c r="DL9" s="23">
        <v>7814322</v>
      </c>
      <c r="DM9" s="23">
        <v>54700</v>
      </c>
      <c r="DN9" s="23">
        <v>55000</v>
      </c>
      <c r="DO9" s="23">
        <v>54400</v>
      </c>
      <c r="DP9" s="23">
        <v>54800</v>
      </c>
      <c r="DQ9" s="24">
        <v>45786</v>
      </c>
      <c r="DR9" s="23">
        <v>-33704763</v>
      </c>
      <c r="DS9" s="23">
        <v>-141635</v>
      </c>
      <c r="DT9" s="23">
        <v>2855881</v>
      </c>
      <c r="DU9" s="30">
        <f>SUM($DR9:DR$28)/1000</f>
        <v>-47673.478000000003</v>
      </c>
      <c r="DV9" s="30">
        <f>SUM($DS9:DS$28)/1000</f>
        <v>-1830939.58</v>
      </c>
      <c r="DW9" s="30">
        <f>SUM($DT9:DT$28)/1000</f>
        <v>1112617.078</v>
      </c>
    </row>
    <row r="10" spans="1:127">
      <c r="A10" s="3" t="s">
        <v>114</v>
      </c>
      <c r="C10" s="14" t="s">
        <v>219</v>
      </c>
      <c r="D10" s="15"/>
      <c r="E10" s="15"/>
      <c r="F10" s="15"/>
      <c r="G10" s="15"/>
      <c r="H10" s="15"/>
      <c r="I10" s="16"/>
      <c r="J10" s="57">
        <f>_xll.IMDP($A$7,$F$4,$A12)</f>
        <v>0</v>
      </c>
      <c r="K10" s="58"/>
      <c r="L10" s="58"/>
      <c r="M10" s="58"/>
      <c r="N10" s="58"/>
      <c r="O10" s="59"/>
      <c r="P10" s="14" t="s">
        <v>236</v>
      </c>
      <c r="Q10" s="15"/>
      <c r="R10" s="15"/>
      <c r="S10" s="15"/>
      <c r="T10" s="15"/>
      <c r="U10" s="15"/>
      <c r="V10" s="16"/>
      <c r="W10" s="45">
        <f>_xll.IMDP($A$7,$F$4,$A21)</f>
        <v>54400</v>
      </c>
      <c r="X10" s="46"/>
      <c r="Y10" s="46"/>
      <c r="Z10" s="46"/>
      <c r="AA10" s="46"/>
      <c r="AB10" s="47"/>
      <c r="AC10" s="14"/>
      <c r="AD10" s="15"/>
      <c r="AE10" s="15"/>
      <c r="AF10" s="15"/>
      <c r="AG10" s="15" t="s">
        <v>242</v>
      </c>
      <c r="AH10" s="15"/>
      <c r="AI10" s="15"/>
      <c r="AJ10" s="16"/>
      <c r="AK10" s="54">
        <f>_xll.IMDP($A$7,$F$4,$A28)/1000000</f>
        <v>5640516.9604000002</v>
      </c>
      <c r="AL10" s="55"/>
      <c r="AM10" s="55"/>
      <c r="AN10" s="55"/>
      <c r="AO10" s="55"/>
      <c r="AP10" s="56"/>
      <c r="AQ10" s="14" t="s">
        <v>249</v>
      </c>
      <c r="AR10" s="15"/>
      <c r="AS10" s="15"/>
      <c r="AT10" s="15"/>
      <c r="AU10" s="15" t="s">
        <v>250</v>
      </c>
      <c r="AV10" s="15"/>
      <c r="AW10" s="15"/>
      <c r="AX10" s="16"/>
      <c r="AY10" s="54">
        <f ca="1">_xll.IMDP($A$6,$A$3,$A48,$A$5)/1000000</f>
        <v>307069705.20406199</v>
      </c>
      <c r="AZ10" s="55"/>
      <c r="BA10" s="55"/>
      <c r="BB10" s="55"/>
      <c r="BC10" s="55"/>
      <c r="BD10" s="56"/>
      <c r="BE10" s="5"/>
      <c r="CX10" s="25" t="s">
        <v>129</v>
      </c>
      <c r="CY10" s="23" t="s">
        <v>203</v>
      </c>
      <c r="CZ10" s="28">
        <f>_xll.IMDP($A$7,$F$4,$CX10)</f>
        <v>1321405</v>
      </c>
      <c r="DE10" s="24">
        <v>45785</v>
      </c>
      <c r="DF10" s="23">
        <v>54600</v>
      </c>
      <c r="DG10" s="23">
        <v>22215.23</v>
      </c>
      <c r="DH10" s="23">
        <v>2579.48</v>
      </c>
      <c r="DI10" s="26">
        <v>16320532</v>
      </c>
      <c r="DJ10" s="29">
        <v>0.42766203703703703</v>
      </c>
      <c r="DK10" s="23">
        <v>58000</v>
      </c>
      <c r="DL10" s="23">
        <v>16320532</v>
      </c>
      <c r="DM10" s="23">
        <v>55100</v>
      </c>
      <c r="DN10" s="23">
        <v>55500</v>
      </c>
      <c r="DO10" s="23">
        <v>54500</v>
      </c>
      <c r="DP10" s="23">
        <v>54600</v>
      </c>
      <c r="DQ10" s="24">
        <v>45785</v>
      </c>
      <c r="DR10" s="23">
        <v>-110316119</v>
      </c>
      <c r="DS10" s="23">
        <v>5034293</v>
      </c>
      <c r="DT10" s="23">
        <v>85891186</v>
      </c>
      <c r="DU10" s="30">
        <f>SUM($DR10:DR$28)/1000</f>
        <v>-13968.715</v>
      </c>
      <c r="DV10" s="30">
        <f>SUM($DS10:DS$28)/1000</f>
        <v>-1830797.9450000001</v>
      </c>
      <c r="DW10" s="30">
        <f>SUM($DT10:DT$28)/1000</f>
        <v>1109761.1969999999</v>
      </c>
    </row>
    <row r="11" spans="1:127">
      <c r="A11" s="3" t="s">
        <v>108</v>
      </c>
      <c r="C11" s="14" t="s">
        <v>220</v>
      </c>
      <c r="D11" s="15"/>
      <c r="E11" s="15"/>
      <c r="F11" s="15"/>
      <c r="G11" s="15"/>
      <c r="H11" s="15"/>
      <c r="I11" s="16"/>
      <c r="J11" s="45">
        <f>_xll.IMDP($A$7,$F$4,$A13)</f>
        <v>0</v>
      </c>
      <c r="K11" s="46"/>
      <c r="L11" s="46"/>
      <c r="M11" s="46"/>
      <c r="N11" s="46"/>
      <c r="O11" s="47"/>
      <c r="P11" s="14" t="s">
        <v>237</v>
      </c>
      <c r="Q11" s="15"/>
      <c r="R11" s="15"/>
      <c r="S11" s="15"/>
      <c r="T11" s="15"/>
      <c r="U11" s="15"/>
      <c r="V11" s="16"/>
      <c r="W11" s="45">
        <f>_xll.IMDP($A$7,$F$4,$A22)</f>
        <v>58600</v>
      </c>
      <c r="X11" s="46"/>
      <c r="Y11" s="46"/>
      <c r="Z11" s="46"/>
      <c r="AA11" s="46"/>
      <c r="AB11" s="47"/>
      <c r="AC11" s="14"/>
      <c r="AD11" s="15"/>
      <c r="AE11" s="15"/>
      <c r="AF11" s="15"/>
      <c r="AG11" s="15" t="s">
        <v>245</v>
      </c>
      <c r="AH11" s="16"/>
      <c r="AI11" s="15"/>
      <c r="AJ11" s="16"/>
      <c r="AK11" s="57">
        <f>_xll.IMDP($A$7,$F$4,$A30)</f>
        <v>1.66</v>
      </c>
      <c r="AL11" s="58"/>
      <c r="AM11" s="58"/>
      <c r="AN11" s="58"/>
      <c r="AO11" s="58"/>
      <c r="AP11" s="59"/>
      <c r="AQ11" s="14"/>
      <c r="AR11" s="15"/>
      <c r="AS11" s="15"/>
      <c r="AT11" s="15"/>
      <c r="AU11" s="15" t="s">
        <v>230</v>
      </c>
      <c r="AV11" s="15"/>
      <c r="AW11" s="15"/>
      <c r="AX11" s="16"/>
      <c r="AY11" s="57">
        <f ca="1">_xll.IMDP($A$6,$A$3,$A49,$A$5)</f>
        <v>42.59</v>
      </c>
      <c r="AZ11" s="58"/>
      <c r="BA11" s="58"/>
      <c r="BB11" s="58"/>
      <c r="BC11" s="58"/>
      <c r="BD11" s="59"/>
      <c r="BE11" s="5"/>
      <c r="CX11" s="25" t="s">
        <v>130</v>
      </c>
      <c r="CY11" s="23" t="s">
        <v>204</v>
      </c>
      <c r="CZ11" s="28">
        <f>_xll.IMDP($A$7,$F$4,$CX11)</f>
        <v>5579550</v>
      </c>
      <c r="DE11" s="24">
        <v>45784</v>
      </c>
      <c r="DF11" s="23">
        <v>54600</v>
      </c>
      <c r="DG11" s="23">
        <v>22140.49</v>
      </c>
      <c r="DH11" s="23">
        <v>2573.8000000000002</v>
      </c>
      <c r="DI11" s="26">
        <v>17136991</v>
      </c>
      <c r="DJ11" s="29">
        <v>0.42754629629629626</v>
      </c>
      <c r="DK11" s="23">
        <v>57950</v>
      </c>
      <c r="DL11" s="23">
        <v>17136991</v>
      </c>
      <c r="DM11" s="23">
        <v>54500</v>
      </c>
      <c r="DN11" s="23">
        <v>55000</v>
      </c>
      <c r="DO11" s="23">
        <v>54300</v>
      </c>
      <c r="DP11" s="23">
        <v>54600</v>
      </c>
      <c r="DQ11" s="24">
        <v>45784</v>
      </c>
      <c r="DR11" s="23">
        <v>8326492</v>
      </c>
      <c r="DS11" s="23">
        <v>-128718876</v>
      </c>
      <c r="DT11" s="23">
        <v>92472695</v>
      </c>
      <c r="DU11" s="30">
        <f>SUM($DR11:DR$28)/1000</f>
        <v>96347.403999999995</v>
      </c>
      <c r="DV11" s="30">
        <f>SUM($DS11:DS$28)/1000</f>
        <v>-1835832.2379999999</v>
      </c>
      <c r="DW11" s="30">
        <f>SUM($DT11:DT$28)/1000</f>
        <v>1023870.0110000001</v>
      </c>
    </row>
    <row r="12" spans="1:127">
      <c r="A12" s="3" t="s">
        <v>115</v>
      </c>
      <c r="C12" s="14" t="s">
        <v>221</v>
      </c>
      <c r="D12" s="15"/>
      <c r="E12" s="15"/>
      <c r="F12" s="15"/>
      <c r="G12" s="15"/>
      <c r="H12" s="15"/>
      <c r="I12" s="16"/>
      <c r="J12" s="45">
        <f>_xll.IMDP($A$7,$F$4,$A14)/100000000</f>
        <v>3430430.1757990001</v>
      </c>
      <c r="K12" s="46"/>
      <c r="L12" s="46"/>
      <c r="M12" s="46"/>
      <c r="N12" s="46"/>
      <c r="O12" s="47"/>
      <c r="P12" s="14" t="s">
        <v>238</v>
      </c>
      <c r="Q12" s="15"/>
      <c r="R12" s="15"/>
      <c r="S12" s="15"/>
      <c r="T12" s="15"/>
      <c r="U12" s="15"/>
      <c r="V12" s="16"/>
      <c r="W12" s="45">
        <f>_xll.IMDP($A$7,$F$4,$A23)</f>
        <v>54200</v>
      </c>
      <c r="X12" s="46"/>
      <c r="Y12" s="46"/>
      <c r="Z12" s="46"/>
      <c r="AA12" s="46"/>
      <c r="AB12" s="47"/>
      <c r="AC12" s="14" t="s">
        <v>246</v>
      </c>
      <c r="AD12" s="15"/>
      <c r="AE12" s="15"/>
      <c r="AF12" s="15"/>
      <c r="AG12" s="15" t="s">
        <v>241</v>
      </c>
      <c r="AH12" s="15"/>
      <c r="AI12" s="15"/>
      <c r="AJ12" s="16"/>
      <c r="AK12" s="54">
        <f>_xll.IMDP($A$7,$F$4,$A34)</f>
        <v>14651619</v>
      </c>
      <c r="AL12" s="55"/>
      <c r="AM12" s="55"/>
      <c r="AN12" s="55"/>
      <c r="AO12" s="55"/>
      <c r="AP12" s="56"/>
      <c r="AQ12" s="14" t="s">
        <v>251</v>
      </c>
      <c r="AR12" s="15"/>
      <c r="AS12" s="15"/>
      <c r="AT12" s="15"/>
      <c r="AU12" s="15" t="s">
        <v>231</v>
      </c>
      <c r="AV12" s="15"/>
      <c r="AW12" s="15"/>
      <c r="AX12" s="16"/>
      <c r="AY12" s="45">
        <f>_xll.IMDP($A$6,$A$3,$A8)</f>
        <v>23305.759999999998</v>
      </c>
      <c r="AZ12" s="46"/>
      <c r="BA12" s="46"/>
      <c r="BB12" s="46"/>
      <c r="BC12" s="46"/>
      <c r="BD12" s="47"/>
      <c r="BE12" s="5"/>
      <c r="CX12" s="25" t="s">
        <v>131</v>
      </c>
      <c r="CY12" s="23" t="s">
        <v>205</v>
      </c>
      <c r="CZ12" s="28">
        <f>_xll.IMDP($A$7,$F$4,$CX12)</f>
        <v>2865484</v>
      </c>
      <c r="DE12" s="24">
        <v>45779</v>
      </c>
      <c r="DF12" s="23">
        <v>54300</v>
      </c>
      <c r="DG12" s="23">
        <v>21908.99</v>
      </c>
      <c r="DH12" s="23">
        <v>2559.79</v>
      </c>
      <c r="DI12" s="26">
        <v>22454204</v>
      </c>
      <c r="DJ12" s="29">
        <v>0.42743055555555554</v>
      </c>
      <c r="DK12" s="23">
        <v>57950</v>
      </c>
      <c r="DL12" s="23">
        <v>22454204</v>
      </c>
      <c r="DM12" s="23">
        <v>55000</v>
      </c>
      <c r="DN12" s="23">
        <v>55500</v>
      </c>
      <c r="DO12" s="23">
        <v>54200</v>
      </c>
      <c r="DP12" s="23">
        <v>54300</v>
      </c>
      <c r="DQ12" s="24">
        <v>45779</v>
      </c>
      <c r="DR12" s="23">
        <v>61469743</v>
      </c>
      <c r="DS12" s="23">
        <v>-656238792</v>
      </c>
      <c r="DT12" s="23">
        <v>543973458</v>
      </c>
      <c r="DU12" s="30">
        <f>SUM($DR12:DR$28)/1000</f>
        <v>88020.911999999997</v>
      </c>
      <c r="DV12" s="30">
        <f>SUM($DS12:DS$28)/1000</f>
        <v>-1707113.362</v>
      </c>
      <c r="DW12" s="30">
        <f>SUM($DT12:DT$28)/1000</f>
        <v>931397.31599999999</v>
      </c>
    </row>
    <row r="13" spans="1:127">
      <c r="A13" s="3" t="s">
        <v>118</v>
      </c>
      <c r="C13" s="14" t="s">
        <v>222</v>
      </c>
      <c r="D13" s="15"/>
      <c r="E13" s="15"/>
      <c r="F13" s="15"/>
      <c r="G13" s="15"/>
      <c r="H13" s="15"/>
      <c r="I13" s="16"/>
      <c r="J13" s="57">
        <f>_xll.IMDP($A$7,$F$4,$A15)</f>
        <v>15.829841</v>
      </c>
      <c r="K13" s="58"/>
      <c r="L13" s="58"/>
      <c r="M13" s="58"/>
      <c r="N13" s="58"/>
      <c r="O13" s="59"/>
      <c r="P13" s="14" t="s">
        <v>239</v>
      </c>
      <c r="Q13" s="15"/>
      <c r="R13" s="15"/>
      <c r="S13" s="15"/>
      <c r="T13" s="15"/>
      <c r="U13" s="15"/>
      <c r="V13" s="16"/>
      <c r="W13" s="45">
        <f>_xll.IMDP($A$7,$F$4,$A24)</f>
        <v>88800</v>
      </c>
      <c r="X13" s="46"/>
      <c r="Y13" s="46"/>
      <c r="Z13" s="46"/>
      <c r="AA13" s="46"/>
      <c r="AB13" s="47"/>
      <c r="AC13" s="14"/>
      <c r="AD13" s="15"/>
      <c r="AE13" s="15"/>
      <c r="AF13" s="15"/>
      <c r="AG13" s="15" t="s">
        <v>247</v>
      </c>
      <c r="AH13" s="15"/>
      <c r="AI13" s="15"/>
      <c r="AJ13" s="16"/>
      <c r="AK13" s="54">
        <f>_xll.IMDP($A$7,$F$4,$A35)</f>
        <v>81359667</v>
      </c>
      <c r="AL13" s="55"/>
      <c r="AM13" s="55"/>
      <c r="AN13" s="55"/>
      <c r="AO13" s="55"/>
      <c r="AP13" s="56"/>
      <c r="AQ13" s="14"/>
      <c r="AR13" s="15"/>
      <c r="AS13" s="15"/>
      <c r="AT13" s="15"/>
      <c r="AU13" s="15" t="s">
        <v>232</v>
      </c>
      <c r="AV13" s="15"/>
      <c r="AW13" s="15"/>
      <c r="AX13" s="16"/>
      <c r="AY13" s="45">
        <f ca="1">_xll.IMDP($A$6,$A$3,$A37,$A$5)</f>
        <v>70</v>
      </c>
      <c r="AZ13" s="46"/>
      <c r="BA13" s="46"/>
      <c r="BB13" s="46"/>
      <c r="BC13" s="46"/>
      <c r="BD13" s="47"/>
      <c r="BE13" s="5"/>
      <c r="CX13" s="25" t="s">
        <v>132</v>
      </c>
      <c r="CY13" s="23" t="s">
        <v>206</v>
      </c>
      <c r="CZ13" s="28">
        <f>_xll.IMDP($A$7,$F$4,$CX13)</f>
        <v>6425</v>
      </c>
      <c r="DE13" s="24">
        <v>45777</v>
      </c>
      <c r="DF13" s="23">
        <v>55500</v>
      </c>
      <c r="DG13" s="23">
        <v>21917.200000000001</v>
      </c>
      <c r="DH13" s="23">
        <v>2556.61</v>
      </c>
      <c r="DI13" s="26">
        <v>13014189</v>
      </c>
      <c r="DJ13" s="29">
        <v>0.42731481481481481</v>
      </c>
      <c r="DK13" s="23">
        <v>58000</v>
      </c>
      <c r="DL13" s="23">
        <v>13014189</v>
      </c>
      <c r="DM13" s="23">
        <v>55900</v>
      </c>
      <c r="DN13" s="23">
        <v>56000</v>
      </c>
      <c r="DO13" s="23">
        <v>55300</v>
      </c>
      <c r="DP13" s="23">
        <v>55500</v>
      </c>
      <c r="DQ13" s="24">
        <v>45777</v>
      </c>
      <c r="DR13" s="23">
        <v>-37251530</v>
      </c>
      <c r="DS13" s="23">
        <v>-90233266</v>
      </c>
      <c r="DT13" s="23">
        <v>97200417</v>
      </c>
      <c r="DU13" s="30">
        <f>SUM($DR13:DR$28)/1000</f>
        <v>26551.169000000002</v>
      </c>
      <c r="DV13" s="30">
        <f>SUM($DS13:DS$28)/1000</f>
        <v>-1050874.57</v>
      </c>
      <c r="DW13" s="30">
        <f>SUM($DT13:DT$28)/1000</f>
        <v>387423.85800000001</v>
      </c>
    </row>
    <row r="14" spans="1:127">
      <c r="A14" s="3" t="s">
        <v>119</v>
      </c>
      <c r="C14" s="17" t="s">
        <v>223</v>
      </c>
      <c r="D14" s="18"/>
      <c r="E14" s="18"/>
      <c r="F14" s="18"/>
      <c r="G14" s="18"/>
      <c r="H14" s="18"/>
      <c r="I14" s="19"/>
      <c r="J14" s="60">
        <f>_xll.IMDP($A$7,$F$4,$A16)</f>
        <v>0.62640200000000001</v>
      </c>
      <c r="K14" s="61"/>
      <c r="L14" s="61"/>
      <c r="M14" s="61"/>
      <c r="N14" s="61"/>
      <c r="O14" s="62"/>
      <c r="P14" s="17" t="s">
        <v>240</v>
      </c>
      <c r="Q14" s="18"/>
      <c r="R14" s="18"/>
      <c r="S14" s="18"/>
      <c r="T14" s="18"/>
      <c r="U14" s="18"/>
      <c r="V14" s="19"/>
      <c r="W14" s="48">
        <f>_xll.IMDP($A$7,$F$4,$A25)</f>
        <v>49900</v>
      </c>
      <c r="X14" s="49"/>
      <c r="Y14" s="49"/>
      <c r="Z14" s="49"/>
      <c r="AA14" s="49"/>
      <c r="AB14" s="50"/>
      <c r="AC14" s="17"/>
      <c r="AD14" s="18"/>
      <c r="AE14" s="18"/>
      <c r="AF14" s="18"/>
      <c r="AG14" s="18" t="s">
        <v>248</v>
      </c>
      <c r="AH14" s="18"/>
      <c r="AI14" s="18"/>
      <c r="AJ14" s="19"/>
      <c r="AK14" s="60">
        <f>_xll.IMDP($A$7,$F$4,$A36)</f>
        <v>0.24</v>
      </c>
      <c r="AL14" s="61"/>
      <c r="AM14" s="61"/>
      <c r="AN14" s="61"/>
      <c r="AO14" s="61"/>
      <c r="AP14" s="62"/>
      <c r="AQ14" s="17"/>
      <c r="AR14" s="18"/>
      <c r="AS14" s="18"/>
      <c r="AT14" s="18"/>
      <c r="AU14" s="18" t="s">
        <v>252</v>
      </c>
      <c r="AV14" s="18"/>
      <c r="AW14" s="18"/>
      <c r="AX14" s="19"/>
      <c r="AY14" s="48">
        <f ca="1">_xll.IMDP($A$6,$A$3,$A38,$A$5)</f>
        <v>2602804</v>
      </c>
      <c r="AZ14" s="49"/>
      <c r="BA14" s="49"/>
      <c r="BB14" s="49"/>
      <c r="BC14" s="49"/>
      <c r="BD14" s="50"/>
      <c r="BE14" s="5"/>
      <c r="CX14" s="25" t="s">
        <v>133</v>
      </c>
      <c r="CY14" s="23" t="s">
        <v>207</v>
      </c>
      <c r="CZ14" s="28">
        <f>_xll.IMDP($A$7,$F$4,$CX14)</f>
        <v>-301521</v>
      </c>
      <c r="DE14" s="24">
        <v>45776</v>
      </c>
      <c r="DF14" s="23">
        <v>55800</v>
      </c>
      <c r="DG14" s="23">
        <v>22354.35</v>
      </c>
      <c r="DH14" s="23">
        <v>2565.42</v>
      </c>
      <c r="DI14" s="26">
        <v>10295518</v>
      </c>
      <c r="DJ14" s="29">
        <v>0.42719907407407404</v>
      </c>
      <c r="DK14" s="23">
        <v>58000</v>
      </c>
      <c r="DL14" s="23">
        <v>10295518</v>
      </c>
      <c r="DM14" s="23">
        <v>55700</v>
      </c>
      <c r="DN14" s="23">
        <v>56500</v>
      </c>
      <c r="DO14" s="23">
        <v>55600</v>
      </c>
      <c r="DP14" s="23">
        <v>55800</v>
      </c>
      <c r="DQ14" s="24">
        <v>45776</v>
      </c>
      <c r="DR14" s="23">
        <v>44064645</v>
      </c>
      <c r="DS14" s="23">
        <v>-9242544</v>
      </c>
      <c r="DT14" s="23">
        <v>-62287077</v>
      </c>
      <c r="DU14" s="30">
        <f>SUM($DR14:DR$28)/1000</f>
        <v>63802.699000000001</v>
      </c>
      <c r="DV14" s="30">
        <f>SUM($DS14:DS$28)/1000</f>
        <v>-960641.304</v>
      </c>
      <c r="DW14" s="30">
        <f>SUM($DT14:DT$28)/1000</f>
        <v>290223.44099999999</v>
      </c>
    </row>
    <row r="15" spans="1:127" ht="15.75" customHeight="1">
      <c r="A15" s="3" t="s">
        <v>116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CX15" s="25" t="s">
        <v>134</v>
      </c>
      <c r="CY15" s="23" t="s">
        <v>208</v>
      </c>
      <c r="CZ15" s="28">
        <f>_xll.IMDP($A$7,$F$4,$CX15)</f>
        <v>-10690841</v>
      </c>
      <c r="DE15" s="24">
        <v>45775</v>
      </c>
      <c r="DF15" s="23">
        <v>55800</v>
      </c>
      <c r="DG15" s="23">
        <v>22298.06</v>
      </c>
      <c r="DH15" s="23">
        <v>2548.86</v>
      </c>
      <c r="DI15" s="26">
        <v>9341518</v>
      </c>
      <c r="DJ15" s="29">
        <v>0.42708333333333331</v>
      </c>
      <c r="DK15" s="23">
        <v>58000</v>
      </c>
      <c r="DL15" s="23">
        <v>9341518</v>
      </c>
      <c r="DM15" s="23">
        <v>55800</v>
      </c>
      <c r="DN15" s="23">
        <v>55900</v>
      </c>
      <c r="DO15" s="23">
        <v>55500</v>
      </c>
      <c r="DP15" s="23">
        <v>55800</v>
      </c>
      <c r="DQ15" s="24">
        <v>45775</v>
      </c>
      <c r="DR15" s="23">
        <v>-5950595</v>
      </c>
      <c r="DS15" s="23">
        <v>-35649241</v>
      </c>
      <c r="DT15" s="23">
        <v>13564533</v>
      </c>
      <c r="DU15" s="30">
        <f>SUM($DR15:DR$28)/1000</f>
        <v>19738.054</v>
      </c>
      <c r="DV15" s="30">
        <f>SUM($DS15:DS$28)/1000</f>
        <v>-951398.76</v>
      </c>
      <c r="DW15" s="30">
        <f>SUM($DT15:DT$28)/1000</f>
        <v>352510.51799999998</v>
      </c>
    </row>
    <row r="16" spans="1:127" ht="19.5" customHeight="1">
      <c r="A16" s="3" t="s">
        <v>117</v>
      </c>
      <c r="C16" s="34" t="s">
        <v>214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5"/>
      <c r="CX16" s="25" t="s">
        <v>137</v>
      </c>
      <c r="CY16" s="23" t="s">
        <v>209</v>
      </c>
      <c r="CZ16" s="28">
        <f>_xll.IMDP($A$7,$F$4,$CX16)</f>
        <v>0</v>
      </c>
      <c r="DE16" s="24">
        <v>45772</v>
      </c>
      <c r="DF16" s="23">
        <v>55700</v>
      </c>
      <c r="DG16" s="23">
        <v>22321.55</v>
      </c>
      <c r="DH16" s="23">
        <v>2546.3000000000002</v>
      </c>
      <c r="DI16" s="26">
        <v>12183303</v>
      </c>
      <c r="DJ16" s="29">
        <v>0.42696759259259259</v>
      </c>
      <c r="DK16" s="23">
        <v>57950</v>
      </c>
      <c r="DL16" s="23">
        <v>12183303</v>
      </c>
      <c r="DM16" s="23">
        <v>56400</v>
      </c>
      <c r="DN16" s="23">
        <v>56400</v>
      </c>
      <c r="DO16" s="23">
        <v>55600</v>
      </c>
      <c r="DP16" s="23">
        <v>55700</v>
      </c>
      <c r="DQ16" s="24">
        <v>45772</v>
      </c>
      <c r="DR16" s="23">
        <v>43227308</v>
      </c>
      <c r="DS16" s="23">
        <v>-87539267</v>
      </c>
      <c r="DT16" s="23">
        <v>9629859</v>
      </c>
      <c r="DU16" s="30">
        <f>SUM($DR16:DR$28)/1000</f>
        <v>25688.649000000001</v>
      </c>
      <c r="DV16" s="30">
        <f>SUM($DS16:DS$28)/1000</f>
        <v>-915749.51899999997</v>
      </c>
      <c r="DW16" s="30">
        <f>SUM($DT16:DT$28)/1000</f>
        <v>338945.98499999999</v>
      </c>
    </row>
    <row r="17" spans="1:127" ht="9.75" customHeight="1">
      <c r="A17" s="3" t="s">
        <v>109</v>
      </c>
      <c r="BE17" s="5"/>
      <c r="CX17" s="25" t="s">
        <v>136</v>
      </c>
      <c r="CY17" s="23" t="s">
        <v>210</v>
      </c>
      <c r="CZ17" s="28">
        <f>_xll.IMDP($A$7,$F$4,$CX17)</f>
        <v>-123630</v>
      </c>
      <c r="DE17" s="24">
        <v>45771</v>
      </c>
      <c r="DF17" s="23">
        <v>55700</v>
      </c>
      <c r="DG17" s="23">
        <v>22095.33</v>
      </c>
      <c r="DH17" s="23">
        <v>2522.33</v>
      </c>
      <c r="DI17" s="26">
        <v>10580377</v>
      </c>
      <c r="DJ17" s="29">
        <v>0.42685185185185182</v>
      </c>
      <c r="DK17" s="23">
        <v>58000</v>
      </c>
      <c r="DL17" s="23">
        <v>10580377</v>
      </c>
      <c r="DM17" s="23">
        <v>55600</v>
      </c>
      <c r="DN17" s="23">
        <v>55800</v>
      </c>
      <c r="DO17" s="23">
        <v>55200</v>
      </c>
      <c r="DP17" s="23">
        <v>55700</v>
      </c>
      <c r="DQ17" s="24">
        <v>45771</v>
      </c>
      <c r="DR17" s="23">
        <v>-46326538</v>
      </c>
      <c r="DS17" s="23">
        <v>2773296</v>
      </c>
      <c r="DT17" s="23">
        <v>6181095</v>
      </c>
      <c r="DU17" s="30">
        <f>SUM($DR17:DR$28)/1000</f>
        <v>-17538.659</v>
      </c>
      <c r="DV17" s="30">
        <f>SUM($DS17:DS$28)/1000</f>
        <v>-828210.25199999998</v>
      </c>
      <c r="DW17" s="30">
        <f>SUM($DT17:DT$28)/1000</f>
        <v>329316.12599999999</v>
      </c>
    </row>
    <row r="18" spans="1:127" ht="20.25" customHeight="1">
      <c r="A18" s="3" t="s">
        <v>110</v>
      </c>
      <c r="CX18" s="25" t="s">
        <v>211</v>
      </c>
      <c r="CY18" s="23" t="s">
        <v>200</v>
      </c>
      <c r="CZ18" s="28">
        <f>_xll.IMDP($A$7,$F$4,$CX18)</f>
        <v>-9467831</v>
      </c>
      <c r="DE18" s="24">
        <v>45770</v>
      </c>
      <c r="DF18" s="23">
        <v>55700</v>
      </c>
      <c r="DG18" s="23">
        <v>22270.12</v>
      </c>
      <c r="DH18" s="23">
        <v>2525.56</v>
      </c>
      <c r="DI18" s="26">
        <v>11148692</v>
      </c>
      <c r="DJ18" s="29">
        <v>0.42673611111111109</v>
      </c>
      <c r="DK18" s="23">
        <v>57950</v>
      </c>
      <c r="DL18" s="23">
        <v>11148692</v>
      </c>
      <c r="DM18" s="23">
        <v>56000</v>
      </c>
      <c r="DN18" s="23">
        <v>56100</v>
      </c>
      <c r="DO18" s="23">
        <v>55500</v>
      </c>
      <c r="DP18" s="23">
        <v>55700</v>
      </c>
      <c r="DQ18" s="24">
        <v>45770</v>
      </c>
      <c r="DR18" s="23">
        <v>83417533</v>
      </c>
      <c r="DS18" s="23">
        <v>-82756423</v>
      </c>
      <c r="DT18" s="23">
        <v>-49880022</v>
      </c>
      <c r="DU18" s="30">
        <f>SUM($DR18:DR$28)/1000</f>
        <v>28787.879000000001</v>
      </c>
      <c r="DV18" s="30">
        <f>SUM($DS18:DS$28)/1000</f>
        <v>-830983.54799999995</v>
      </c>
      <c r="DW18" s="30">
        <f>SUM($DT18:DT$28)/1000</f>
        <v>323135.03100000002</v>
      </c>
    </row>
    <row r="19" spans="1:127" ht="7.5" customHeight="1">
      <c r="A19" s="3" t="s">
        <v>111</v>
      </c>
      <c r="DE19" s="24">
        <v>45769</v>
      </c>
      <c r="DF19" s="23">
        <v>55000</v>
      </c>
      <c r="DG19" s="23">
        <v>21685.27</v>
      </c>
      <c r="DH19" s="23">
        <v>2486.64</v>
      </c>
      <c r="DI19" s="26">
        <v>9532469</v>
      </c>
      <c r="DJ19" s="29">
        <v>0.42662037037037037</v>
      </c>
      <c r="DK19" s="23">
        <v>58000</v>
      </c>
      <c r="DL19" s="23">
        <v>9532469</v>
      </c>
      <c r="DM19" s="23">
        <v>54900</v>
      </c>
      <c r="DN19" s="23">
        <v>55500</v>
      </c>
      <c r="DO19" s="23">
        <v>54700</v>
      </c>
      <c r="DP19" s="23">
        <v>55000</v>
      </c>
      <c r="DQ19" s="24">
        <v>45769</v>
      </c>
      <c r="DR19" s="23">
        <v>-2738922</v>
      </c>
      <c r="DS19" s="23">
        <v>-100226125</v>
      </c>
      <c r="DT19" s="23">
        <v>65268176</v>
      </c>
      <c r="DU19" s="30">
        <f>SUM($DR19:DR$28)/1000</f>
        <v>-54629.654000000002</v>
      </c>
      <c r="DV19" s="30">
        <f>SUM($DS19:DS$28)/1000</f>
        <v>-748227.125</v>
      </c>
      <c r="DW19" s="30">
        <f>SUM($DT19:DT$28)/1000</f>
        <v>373015.05300000001</v>
      </c>
    </row>
    <row r="20" spans="1:127">
      <c r="A20" s="3" t="s">
        <v>120</v>
      </c>
      <c r="DE20" s="24">
        <v>45768</v>
      </c>
      <c r="DF20" s="23">
        <v>55400</v>
      </c>
      <c r="DG20" s="23">
        <v>21910.77</v>
      </c>
      <c r="DH20" s="23">
        <v>2488.42</v>
      </c>
      <c r="DI20" s="26">
        <v>5941847</v>
      </c>
      <c r="DJ20" s="29">
        <v>0.42650462962962959</v>
      </c>
      <c r="DK20" s="23">
        <v>58000</v>
      </c>
      <c r="DL20" s="23">
        <v>5941847</v>
      </c>
      <c r="DM20" s="23">
        <v>55200</v>
      </c>
      <c r="DN20" s="23">
        <v>56000</v>
      </c>
      <c r="DO20" s="23">
        <v>55100</v>
      </c>
      <c r="DP20" s="23">
        <v>55400</v>
      </c>
      <c r="DQ20" s="24">
        <v>45768</v>
      </c>
      <c r="DR20" s="23">
        <v>-27989833</v>
      </c>
      <c r="DS20" s="23">
        <v>-2960640</v>
      </c>
      <c r="DT20" s="23">
        <v>-8032453</v>
      </c>
      <c r="DU20" s="30">
        <f>SUM($DR20:DR$28)/1000</f>
        <v>-51890.732000000004</v>
      </c>
      <c r="DV20" s="30">
        <f>SUM($DS20:DS$28)/1000</f>
        <v>-648001</v>
      </c>
      <c r="DW20" s="30">
        <f>SUM($DT20:DT$28)/1000</f>
        <v>307746.87699999998</v>
      </c>
    </row>
    <row r="21" spans="1:127">
      <c r="A21" s="3" t="s">
        <v>121</v>
      </c>
      <c r="DE21" s="24">
        <v>45765</v>
      </c>
      <c r="DF21" s="23">
        <v>55300</v>
      </c>
      <c r="DG21" s="23">
        <v>21905.62</v>
      </c>
      <c r="DH21" s="23">
        <v>2483.42</v>
      </c>
      <c r="DI21" s="26">
        <v>5848342</v>
      </c>
      <c r="DJ21" s="29">
        <v>0.42638888888888887</v>
      </c>
      <c r="DK21" s="23">
        <v>58000</v>
      </c>
      <c r="DL21" s="23">
        <v>5848342</v>
      </c>
      <c r="DM21" s="23">
        <v>55300</v>
      </c>
      <c r="DN21" s="23">
        <v>55600</v>
      </c>
      <c r="DO21" s="23">
        <v>54900</v>
      </c>
      <c r="DP21" s="23">
        <v>55300</v>
      </c>
      <c r="DQ21" s="24">
        <v>45765</v>
      </c>
      <c r="DR21" s="23">
        <v>-37997338</v>
      </c>
      <c r="DS21" s="23">
        <v>27355805</v>
      </c>
      <c r="DT21" s="23">
        <v>-28878190</v>
      </c>
      <c r="DU21" s="30">
        <f>SUM($DR21:DR$28)/1000</f>
        <v>-23900.899000000001</v>
      </c>
      <c r="DV21" s="30">
        <f>SUM($DS21:DS$28)/1000</f>
        <v>-645040.36</v>
      </c>
      <c r="DW21" s="30">
        <f>SUM($DT21:DT$28)/1000</f>
        <v>315779.33</v>
      </c>
    </row>
    <row r="22" spans="1:127">
      <c r="A22" s="3" t="s">
        <v>138</v>
      </c>
      <c r="DE22" s="24">
        <v>45764</v>
      </c>
      <c r="DF22" s="23">
        <v>55100</v>
      </c>
      <c r="DG22" s="23">
        <v>21885.38</v>
      </c>
      <c r="DH22" s="23">
        <v>2470.41</v>
      </c>
      <c r="DI22" s="26">
        <v>10867069</v>
      </c>
      <c r="DJ22" s="29">
        <v>0.42627314814814815</v>
      </c>
      <c r="DK22" s="23">
        <v>58000</v>
      </c>
      <c r="DL22" s="23">
        <v>10867069</v>
      </c>
      <c r="DM22" s="23">
        <v>54700</v>
      </c>
      <c r="DN22" s="23">
        <v>55300</v>
      </c>
      <c r="DO22" s="23">
        <v>54500</v>
      </c>
      <c r="DP22" s="23">
        <v>55100</v>
      </c>
      <c r="DQ22" s="24">
        <v>45764</v>
      </c>
      <c r="DR22" s="23">
        <v>51483270</v>
      </c>
      <c r="DS22" s="23">
        <v>-113377235</v>
      </c>
      <c r="DT22" s="23">
        <v>22666639</v>
      </c>
      <c r="DU22" s="30">
        <f>SUM($DR22:DR$28)/1000</f>
        <v>14096.439</v>
      </c>
      <c r="DV22" s="30">
        <f>SUM($DS22:DS$28)/1000</f>
        <v>-672396.16500000004</v>
      </c>
      <c r="DW22" s="30">
        <f>SUM($DT22:DT$28)/1000</f>
        <v>344657.52</v>
      </c>
    </row>
    <row r="23" spans="1:127">
      <c r="A23" s="3" t="s">
        <v>122</v>
      </c>
      <c r="DE23" s="24">
        <v>45763</v>
      </c>
      <c r="DF23" s="23">
        <v>54700</v>
      </c>
      <c r="DG23" s="23">
        <v>21714.639999999999</v>
      </c>
      <c r="DH23" s="23">
        <v>2447.4299999999998</v>
      </c>
      <c r="DI23" s="26">
        <v>14437025</v>
      </c>
      <c r="DJ23" s="29">
        <v>0.42615740740740737</v>
      </c>
      <c r="DK23" s="23">
        <v>58000</v>
      </c>
      <c r="DL23" s="23">
        <v>14437025</v>
      </c>
      <c r="DM23" s="23">
        <v>56000</v>
      </c>
      <c r="DN23" s="23">
        <v>56200</v>
      </c>
      <c r="DO23" s="23">
        <v>54500</v>
      </c>
      <c r="DP23" s="23">
        <v>54700</v>
      </c>
      <c r="DQ23" s="24">
        <v>45763</v>
      </c>
      <c r="DR23" s="23">
        <v>-26900377</v>
      </c>
      <c r="DS23" s="23">
        <v>-267635742</v>
      </c>
      <c r="DT23" s="23">
        <v>256658705</v>
      </c>
      <c r="DU23" s="30">
        <f>SUM($DR23:DR$28)/1000</f>
        <v>-37386.830999999998</v>
      </c>
      <c r="DV23" s="30">
        <f>SUM($DS23:DS$28)/1000</f>
        <v>-559018.93000000005</v>
      </c>
      <c r="DW23" s="30">
        <f>SUM($DT23:DT$28)/1000</f>
        <v>321990.88099999999</v>
      </c>
    </row>
    <row r="24" spans="1:127">
      <c r="A24" s="3" t="s">
        <v>124</v>
      </c>
      <c r="DE24" s="24">
        <v>45762</v>
      </c>
      <c r="DF24" s="23">
        <v>56600</v>
      </c>
      <c r="DG24" s="23">
        <v>22359.66</v>
      </c>
      <c r="DH24" s="23">
        <v>2477.41</v>
      </c>
      <c r="DI24" s="26">
        <v>8998640</v>
      </c>
      <c r="DJ24" s="29">
        <v>0.42604166666666665</v>
      </c>
      <c r="DK24" s="23">
        <v>58000</v>
      </c>
      <c r="DL24" s="23">
        <v>8998640</v>
      </c>
      <c r="DM24" s="23">
        <v>56300</v>
      </c>
      <c r="DN24" s="23">
        <v>57100</v>
      </c>
      <c r="DO24" s="23">
        <v>56200</v>
      </c>
      <c r="DP24" s="23">
        <v>56600</v>
      </c>
      <c r="DQ24" s="24">
        <v>45762</v>
      </c>
      <c r="DR24" s="23">
        <v>13069623</v>
      </c>
      <c r="DS24" s="23">
        <v>37478533</v>
      </c>
      <c r="DT24" s="23">
        <v>-88421365</v>
      </c>
      <c r="DU24" s="30">
        <f>SUM($DR24:DR$28)/1000</f>
        <v>-10486.454</v>
      </c>
      <c r="DV24" s="30">
        <f>SUM($DS24:DS$28)/1000</f>
        <v>-291383.18800000002</v>
      </c>
      <c r="DW24" s="30">
        <f>SUM($DT24:DT$28)/1000</f>
        <v>65332.175999999999</v>
      </c>
    </row>
    <row r="25" spans="1:127">
      <c r="A25" s="3" t="s">
        <v>123</v>
      </c>
      <c r="DE25" s="24">
        <v>45761</v>
      </c>
      <c r="DF25" s="23">
        <v>56200</v>
      </c>
      <c r="DG25" s="23">
        <v>22193.32</v>
      </c>
      <c r="DH25" s="23">
        <v>2455.89</v>
      </c>
      <c r="DI25" s="26">
        <v>12852613</v>
      </c>
      <c r="DJ25" s="29">
        <v>0.42592592592592593</v>
      </c>
      <c r="DK25" s="23">
        <v>58000</v>
      </c>
      <c r="DL25" s="23">
        <v>12852613</v>
      </c>
      <c r="DM25" s="23">
        <v>56300</v>
      </c>
      <c r="DN25" s="23">
        <v>56700</v>
      </c>
      <c r="DO25" s="23">
        <v>55800</v>
      </c>
      <c r="DP25" s="23">
        <v>56200</v>
      </c>
      <c r="DQ25" s="24">
        <v>45761</v>
      </c>
      <c r="DR25" s="23">
        <v>-15985068</v>
      </c>
      <c r="DS25" s="23">
        <v>51178285</v>
      </c>
      <c r="DT25" s="23">
        <v>-72315412</v>
      </c>
      <c r="DU25" s="30">
        <f>SUM($DR25:DR$28)/1000</f>
        <v>-23556.077000000001</v>
      </c>
      <c r="DV25" s="30">
        <f>SUM($DS25:DS$28)/1000</f>
        <v>-328861.72100000002</v>
      </c>
      <c r="DW25" s="30">
        <f>SUM($DT25:DT$28)/1000</f>
        <v>153753.541</v>
      </c>
    </row>
    <row r="26" spans="1:127">
      <c r="A26" s="3" t="s">
        <v>180</v>
      </c>
      <c r="DE26" s="24">
        <v>45758</v>
      </c>
      <c r="DF26" s="23">
        <v>55200</v>
      </c>
      <c r="DG26" s="23">
        <v>21892.23</v>
      </c>
      <c r="DH26" s="23">
        <v>2432.7199999999998</v>
      </c>
      <c r="DI26" s="26">
        <v>13930480</v>
      </c>
      <c r="DJ26" s="29">
        <v>0.42581018518518515</v>
      </c>
      <c r="DK26" s="23">
        <v>57950</v>
      </c>
      <c r="DL26" s="23">
        <v>13930480</v>
      </c>
      <c r="DM26" s="23">
        <v>55600</v>
      </c>
      <c r="DN26" s="23">
        <v>55700</v>
      </c>
      <c r="DO26" s="23">
        <v>54800</v>
      </c>
      <c r="DP26" s="23">
        <v>55200</v>
      </c>
      <c r="DQ26" s="24">
        <v>45758</v>
      </c>
      <c r="DR26" s="23">
        <v>7840722</v>
      </c>
      <c r="DS26" s="23">
        <v>-224397620</v>
      </c>
      <c r="DT26" s="23">
        <v>159860435</v>
      </c>
      <c r="DU26" s="30">
        <f>SUM($DR26:DR$28)/1000</f>
        <v>-7571.009</v>
      </c>
      <c r="DV26" s="30">
        <f>SUM($DS26:DS$28)/1000</f>
        <v>-380040.00599999999</v>
      </c>
      <c r="DW26" s="30">
        <f>SUM($DT26:DT$28)/1000</f>
        <v>226068.95300000001</v>
      </c>
    </row>
    <row r="27" spans="1:127">
      <c r="A27" s="3" t="s">
        <v>181</v>
      </c>
      <c r="DE27" s="24">
        <v>45757</v>
      </c>
      <c r="DF27" s="23">
        <v>56400</v>
      </c>
      <c r="DG27" s="23">
        <v>22312.86</v>
      </c>
      <c r="DH27" s="23">
        <v>2445.06</v>
      </c>
      <c r="DI27" s="26">
        <v>22948172</v>
      </c>
      <c r="DJ27" s="29">
        <v>0.42569444444444443</v>
      </c>
      <c r="DK27" s="23">
        <v>58000</v>
      </c>
      <c r="DL27" s="23">
        <v>22948172</v>
      </c>
      <c r="DM27" s="23">
        <v>56600</v>
      </c>
      <c r="DN27" s="23">
        <v>56700</v>
      </c>
      <c r="DO27" s="23">
        <v>55000</v>
      </c>
      <c r="DP27" s="23">
        <v>56400</v>
      </c>
      <c r="DQ27" s="24">
        <v>45757</v>
      </c>
      <c r="DR27" s="23">
        <v>63255064</v>
      </c>
      <c r="DS27" s="23">
        <v>-11996084</v>
      </c>
      <c r="DT27" s="23">
        <v>-91775065</v>
      </c>
      <c r="DU27" s="30">
        <f>SUM($DR27:DR$28)/1000</f>
        <v>-15411.731</v>
      </c>
      <c r="DV27" s="30">
        <f>SUM($DS27:DS$28)/1000</f>
        <v>-155642.386</v>
      </c>
      <c r="DW27" s="30">
        <f>SUM($DT27:DT$28)/1000</f>
        <v>66208.517999999996</v>
      </c>
    </row>
    <row r="28" spans="1:127">
      <c r="A28" s="3" t="s">
        <v>154</v>
      </c>
      <c r="DE28" s="24">
        <v>45756</v>
      </c>
      <c r="DF28" s="23">
        <v>53000</v>
      </c>
      <c r="DG28" s="23">
        <v>20566.759999999998</v>
      </c>
      <c r="DH28" s="23">
        <v>2293.6999999999998</v>
      </c>
      <c r="DI28" s="26">
        <v>20576960</v>
      </c>
      <c r="DJ28" s="29">
        <v>0.42557870370370371</v>
      </c>
      <c r="DK28" s="23">
        <v>57950</v>
      </c>
      <c r="DL28" s="23">
        <v>20576960</v>
      </c>
      <c r="DM28" s="23">
        <v>53300</v>
      </c>
      <c r="DN28" s="23">
        <v>54300</v>
      </c>
      <c r="DO28" s="23">
        <v>52900</v>
      </c>
      <c r="DP28" s="23">
        <v>53000</v>
      </c>
      <c r="DQ28" s="24">
        <v>45756</v>
      </c>
      <c r="DR28" s="23">
        <v>-78666795</v>
      </c>
      <c r="DS28" s="23">
        <v>-143646302</v>
      </c>
      <c r="DT28" s="23">
        <v>157983583</v>
      </c>
      <c r="DU28" s="30">
        <f>SUM($DR28:DR$28)/1000</f>
        <v>-78666.794999999998</v>
      </c>
      <c r="DV28" s="30">
        <f>SUM($DS28:DS$28)/1000</f>
        <v>-143646.302</v>
      </c>
      <c r="DW28" s="30">
        <f>SUM($DT28:DT$28)/1000</f>
        <v>157983.58300000001</v>
      </c>
    </row>
    <row r="29" spans="1:127">
      <c r="A29" s="3" t="s">
        <v>155</v>
      </c>
      <c r="DE29" s="24">
        <v>45755</v>
      </c>
      <c r="DF29" s="23">
        <v>53500</v>
      </c>
      <c r="DG29" s="23">
        <v>20900.939999999999</v>
      </c>
      <c r="DH29" s="23">
        <v>2334.23</v>
      </c>
      <c r="DI29" s="26">
        <v>25532845</v>
      </c>
      <c r="DJ29" s="29">
        <v>0.42546296296296293</v>
      </c>
      <c r="DK29" s="23">
        <v>57950</v>
      </c>
      <c r="DL29" s="23">
        <v>25532845</v>
      </c>
      <c r="DM29" s="23">
        <v>55000</v>
      </c>
      <c r="DN29" s="23">
        <v>55300</v>
      </c>
      <c r="DO29" s="23">
        <v>53300</v>
      </c>
      <c r="DP29" s="23">
        <v>53500</v>
      </c>
      <c r="DQ29" s="24">
        <v>45755</v>
      </c>
      <c r="DR29" s="23">
        <v>-26713639</v>
      </c>
      <c r="DS29" s="23">
        <v>-220127020</v>
      </c>
      <c r="DT29" s="23">
        <v>191468642</v>
      </c>
    </row>
    <row r="30" spans="1:127">
      <c r="A30" s="3" t="s">
        <v>156</v>
      </c>
      <c r="DE30" s="24">
        <v>45754</v>
      </c>
      <c r="DF30" s="23">
        <v>53200</v>
      </c>
      <c r="DG30" s="23">
        <v>20748.43</v>
      </c>
      <c r="DH30" s="23">
        <v>2328.1999999999998</v>
      </c>
      <c r="DI30" s="26">
        <v>31998883</v>
      </c>
      <c r="DJ30" s="29">
        <v>0.42534722222222221</v>
      </c>
      <c r="DK30" s="23">
        <v>57950</v>
      </c>
      <c r="DL30" s="23">
        <v>31998883</v>
      </c>
      <c r="DM30" s="23">
        <v>53300</v>
      </c>
      <c r="DN30" s="23">
        <v>54100</v>
      </c>
      <c r="DO30" s="23">
        <v>53100</v>
      </c>
      <c r="DP30" s="23">
        <v>53200</v>
      </c>
      <c r="DQ30" s="24">
        <v>45754</v>
      </c>
      <c r="DR30" s="23">
        <v>69730121</v>
      </c>
      <c r="DS30" s="23">
        <v>-658737468</v>
      </c>
      <c r="DT30" s="23">
        <v>520940505</v>
      </c>
    </row>
    <row r="31" spans="1:127">
      <c r="A31" s="3" t="s">
        <v>158</v>
      </c>
      <c r="DE31" s="24">
        <v>45751</v>
      </c>
      <c r="DF31" s="23">
        <v>56100</v>
      </c>
      <c r="DG31" s="23">
        <v>22096.91</v>
      </c>
      <c r="DH31" s="23">
        <v>2465.42</v>
      </c>
      <c r="DI31" s="26">
        <v>23527139</v>
      </c>
      <c r="DJ31" s="29">
        <v>0.42523148148148149</v>
      </c>
      <c r="DK31" s="23">
        <v>57950</v>
      </c>
      <c r="DL31" s="23">
        <v>23527139</v>
      </c>
      <c r="DM31" s="23">
        <v>56200</v>
      </c>
      <c r="DN31" s="23">
        <v>58200</v>
      </c>
      <c r="DO31" s="23">
        <v>55700</v>
      </c>
      <c r="DP31" s="23">
        <v>56100</v>
      </c>
      <c r="DQ31" s="24">
        <v>45751</v>
      </c>
      <c r="DR31" s="23">
        <v>3244325</v>
      </c>
      <c r="DS31" s="23">
        <v>-410030097</v>
      </c>
      <c r="DT31" s="23">
        <v>348907730</v>
      </c>
    </row>
    <row r="32" spans="1:127">
      <c r="A32" s="3" t="s">
        <v>159</v>
      </c>
      <c r="DE32" s="24">
        <v>45750</v>
      </c>
      <c r="DF32" s="23">
        <v>57600</v>
      </c>
      <c r="DG32" s="23">
        <v>22536.73</v>
      </c>
      <c r="DH32" s="23">
        <v>2486.6999999999998</v>
      </c>
      <c r="DI32" s="26">
        <v>19508076</v>
      </c>
      <c r="DJ32" s="29">
        <v>0.42511574074074071</v>
      </c>
      <c r="DK32" s="23">
        <v>58000</v>
      </c>
      <c r="DL32" s="23">
        <v>19508076</v>
      </c>
      <c r="DM32" s="23">
        <v>56900</v>
      </c>
      <c r="DN32" s="23">
        <v>57800</v>
      </c>
      <c r="DO32" s="23">
        <v>56900</v>
      </c>
      <c r="DP32" s="23">
        <v>57600</v>
      </c>
      <c r="DQ32" s="24">
        <v>45750</v>
      </c>
      <c r="DR32" s="23">
        <v>-19715070</v>
      </c>
      <c r="DS32" s="23">
        <v>-304250290</v>
      </c>
      <c r="DT32" s="23">
        <v>265327293</v>
      </c>
    </row>
    <row r="33" spans="1:124">
      <c r="A33" s="3" t="s">
        <v>160</v>
      </c>
      <c r="DE33" s="24">
        <v>45749</v>
      </c>
      <c r="DF33" s="23">
        <v>58800</v>
      </c>
      <c r="DG33" s="23">
        <v>23056.38</v>
      </c>
      <c r="DH33" s="23">
        <v>2505.86</v>
      </c>
      <c r="DI33" s="26">
        <v>14402297</v>
      </c>
      <c r="DJ33" s="29">
        <v>0.42499999999999999</v>
      </c>
      <c r="DK33" s="23">
        <v>58000</v>
      </c>
      <c r="DL33" s="23">
        <v>14402297</v>
      </c>
      <c r="DM33" s="23">
        <v>58800</v>
      </c>
      <c r="DN33" s="23">
        <v>59400</v>
      </c>
      <c r="DO33" s="23">
        <v>58300</v>
      </c>
      <c r="DP33" s="23">
        <v>58800</v>
      </c>
      <c r="DQ33" s="24">
        <v>45749</v>
      </c>
      <c r="DR33" s="23">
        <v>-31738932</v>
      </c>
      <c r="DS33" s="23">
        <v>-27692515</v>
      </c>
      <c r="DT33" s="23">
        <v>5760200</v>
      </c>
    </row>
    <row r="34" spans="1:124">
      <c r="A34" s="3" t="s">
        <v>161</v>
      </c>
      <c r="DE34" s="24">
        <v>45748</v>
      </c>
      <c r="DF34" s="23">
        <v>58800</v>
      </c>
      <c r="DG34" s="23">
        <v>23101.05</v>
      </c>
      <c r="DH34" s="23">
        <v>2521.39</v>
      </c>
      <c r="DI34" s="26">
        <v>13841706</v>
      </c>
      <c r="DJ34" s="29">
        <v>0.42488425925925921</v>
      </c>
      <c r="DK34" s="23">
        <v>58000</v>
      </c>
      <c r="DL34" s="23">
        <v>13841706</v>
      </c>
      <c r="DM34" s="23">
        <v>58700</v>
      </c>
      <c r="DN34" s="23">
        <v>59600</v>
      </c>
      <c r="DO34" s="23">
        <v>57900</v>
      </c>
      <c r="DP34" s="23">
        <v>58800</v>
      </c>
      <c r="DQ34" s="24">
        <v>45748</v>
      </c>
      <c r="DR34" s="23">
        <v>1611044</v>
      </c>
      <c r="DS34" s="23">
        <v>-101220945</v>
      </c>
      <c r="DT34" s="23">
        <v>40578126</v>
      </c>
    </row>
    <row r="35" spans="1:124">
      <c r="A35" s="3" t="s">
        <v>162</v>
      </c>
      <c r="DE35" s="24">
        <v>45747</v>
      </c>
      <c r="DF35" s="23">
        <v>57800</v>
      </c>
      <c r="DG35" s="23">
        <v>22755.83</v>
      </c>
      <c r="DH35" s="23">
        <v>2481.12</v>
      </c>
      <c r="DI35" s="26">
        <v>17633494</v>
      </c>
      <c r="DJ35" s="29">
        <v>0.42476851851851849</v>
      </c>
      <c r="DK35" s="23">
        <v>58000</v>
      </c>
      <c r="DL35" s="23">
        <v>17633494</v>
      </c>
      <c r="DM35" s="23">
        <v>59500</v>
      </c>
      <c r="DN35" s="23">
        <v>59700</v>
      </c>
      <c r="DO35" s="23">
        <v>57800</v>
      </c>
      <c r="DP35" s="23">
        <v>57800</v>
      </c>
      <c r="DQ35" s="24">
        <v>45747</v>
      </c>
      <c r="DR35" s="23">
        <v>27456900</v>
      </c>
      <c r="DS35" s="23">
        <v>-208714832</v>
      </c>
      <c r="DT35" s="23">
        <v>127787126</v>
      </c>
    </row>
    <row r="36" spans="1:124">
      <c r="A36" s="3" t="s">
        <v>163</v>
      </c>
      <c r="DE36" s="24">
        <v>45744</v>
      </c>
      <c r="DF36" s="23">
        <v>60200</v>
      </c>
      <c r="DG36" s="23">
        <v>23790.29</v>
      </c>
      <c r="DH36" s="23">
        <v>2557.98</v>
      </c>
      <c r="DI36" s="26">
        <v>16282514</v>
      </c>
      <c r="DJ36" s="29">
        <v>0.42465277777777777</v>
      </c>
      <c r="DK36" s="23">
        <v>58000</v>
      </c>
      <c r="DL36" s="23">
        <v>16282514</v>
      </c>
      <c r="DM36" s="23">
        <v>60700</v>
      </c>
      <c r="DN36" s="23">
        <v>61100</v>
      </c>
      <c r="DO36" s="23">
        <v>60000</v>
      </c>
      <c r="DP36" s="23">
        <v>60200</v>
      </c>
      <c r="DQ36" s="24">
        <v>45744</v>
      </c>
      <c r="DR36" s="23">
        <v>-81015820</v>
      </c>
      <c r="DS36" s="23">
        <v>-95280055</v>
      </c>
      <c r="DT36" s="23">
        <v>120553240</v>
      </c>
    </row>
    <row r="37" spans="1:124">
      <c r="A37" s="3" t="s">
        <v>164</v>
      </c>
      <c r="DE37" s="24">
        <v>45743</v>
      </c>
      <c r="DF37" s="23">
        <v>61800</v>
      </c>
      <c r="DG37" s="23">
        <v>24396.22</v>
      </c>
      <c r="DH37" s="23">
        <v>2607.15</v>
      </c>
      <c r="DI37" s="26">
        <v>20389790</v>
      </c>
      <c r="DJ37" s="29">
        <v>0.42453703703703699</v>
      </c>
      <c r="DK37" s="23">
        <v>58000</v>
      </c>
      <c r="DL37" s="23">
        <v>20389790</v>
      </c>
      <c r="DM37" s="23">
        <v>60900</v>
      </c>
      <c r="DN37" s="23">
        <v>62000</v>
      </c>
      <c r="DO37" s="23">
        <v>60800</v>
      </c>
      <c r="DP37" s="23">
        <v>61800</v>
      </c>
      <c r="DQ37" s="24">
        <v>45743</v>
      </c>
      <c r="DR37" s="23">
        <v>-66876743</v>
      </c>
      <c r="DS37" s="23">
        <v>320504568</v>
      </c>
      <c r="DT37" s="23">
        <v>-310956879</v>
      </c>
    </row>
    <row r="38" spans="1:124">
      <c r="A38" s="3" t="s">
        <v>165</v>
      </c>
      <c r="CI38" s="2"/>
      <c r="DE38" s="24">
        <v>45742</v>
      </c>
      <c r="DF38" s="23">
        <v>61400</v>
      </c>
      <c r="DG38" s="23">
        <v>24663.63</v>
      </c>
      <c r="DH38" s="23">
        <v>2643.94</v>
      </c>
      <c r="DI38" s="26">
        <v>16431645</v>
      </c>
      <c r="DJ38" s="29">
        <v>0.42442129629629627</v>
      </c>
      <c r="DK38" s="23">
        <v>58000</v>
      </c>
      <c r="DL38" s="23">
        <v>16431645</v>
      </c>
      <c r="DM38" s="23">
        <v>59800</v>
      </c>
      <c r="DN38" s="23">
        <v>61400</v>
      </c>
      <c r="DO38" s="23">
        <v>59700</v>
      </c>
      <c r="DP38" s="23">
        <v>61400</v>
      </c>
      <c r="DQ38" s="24">
        <v>45742</v>
      </c>
      <c r="DR38" s="23">
        <v>31600507</v>
      </c>
      <c r="DS38" s="23">
        <v>142267244</v>
      </c>
      <c r="DT38" s="23">
        <v>-220606254</v>
      </c>
    </row>
    <row r="39" spans="1:124">
      <c r="A39" s="3" t="s">
        <v>166</v>
      </c>
      <c r="DE39" s="24">
        <v>45741</v>
      </c>
      <c r="DF39" s="23">
        <v>59800</v>
      </c>
      <c r="DG39" s="23">
        <v>23944.86</v>
      </c>
      <c r="DH39" s="23">
        <v>2615.81</v>
      </c>
      <c r="DI39" s="26">
        <v>17259455</v>
      </c>
      <c r="DJ39" s="29">
        <v>0.42430555555555555</v>
      </c>
      <c r="DK39" s="23">
        <v>58000</v>
      </c>
      <c r="DL39" s="23">
        <v>17259455</v>
      </c>
      <c r="DM39" s="23">
        <v>60900</v>
      </c>
      <c r="DN39" s="23">
        <v>61100</v>
      </c>
      <c r="DO39" s="23">
        <v>59500</v>
      </c>
      <c r="DP39" s="23">
        <v>59800</v>
      </c>
      <c r="DQ39" s="24">
        <v>45741</v>
      </c>
      <c r="DR39" s="23">
        <v>-18467826</v>
      </c>
      <c r="DS39" s="23">
        <v>-3326967</v>
      </c>
      <c r="DT39" s="23">
        <v>-30550781</v>
      </c>
    </row>
    <row r="40" spans="1:124">
      <c r="A40" s="3" t="s">
        <v>167</v>
      </c>
      <c r="DE40" s="24">
        <v>45740</v>
      </c>
      <c r="DF40" s="23">
        <v>60500</v>
      </c>
      <c r="DG40" s="23">
        <v>24151.62</v>
      </c>
      <c r="DH40" s="23">
        <v>2632.07</v>
      </c>
      <c r="DI40" s="26">
        <v>14088094</v>
      </c>
      <c r="DJ40" s="29">
        <v>0.42418981481481477</v>
      </c>
      <c r="DK40" s="23">
        <v>57950</v>
      </c>
      <c r="DL40" s="23">
        <v>14088094</v>
      </c>
      <c r="DM40" s="23">
        <v>61200</v>
      </c>
      <c r="DN40" s="23">
        <v>61600</v>
      </c>
      <c r="DO40" s="23">
        <v>60500</v>
      </c>
      <c r="DP40" s="23">
        <v>60500</v>
      </c>
      <c r="DQ40" s="24">
        <v>45740</v>
      </c>
      <c r="DR40" s="23">
        <v>-19216370</v>
      </c>
      <c r="DS40" s="23">
        <v>-39306264</v>
      </c>
      <c r="DT40" s="23">
        <v>5134742</v>
      </c>
    </row>
    <row r="41" spans="1:124">
      <c r="A41" s="3" t="s">
        <v>168</v>
      </c>
      <c r="DE41" s="24">
        <v>45737</v>
      </c>
      <c r="DF41" s="23">
        <v>61700</v>
      </c>
      <c r="DG41" s="23">
        <v>24489.64</v>
      </c>
      <c r="DH41" s="23">
        <v>2643.13</v>
      </c>
      <c r="DI41" s="26">
        <v>40155612</v>
      </c>
      <c r="DJ41" s="29">
        <v>0.42407407407407405</v>
      </c>
      <c r="DK41" s="23">
        <v>58000</v>
      </c>
      <c r="DL41" s="23">
        <v>40155612</v>
      </c>
      <c r="DM41" s="23">
        <v>60900</v>
      </c>
      <c r="DN41" s="23">
        <v>61700</v>
      </c>
      <c r="DO41" s="23">
        <v>60400</v>
      </c>
      <c r="DP41" s="23">
        <v>61700</v>
      </c>
      <c r="DQ41" s="24">
        <v>45737</v>
      </c>
      <c r="DR41" s="23">
        <v>-62412762</v>
      </c>
      <c r="DS41" s="23">
        <v>480766939</v>
      </c>
      <c r="DT41" s="23">
        <v>-482544355</v>
      </c>
    </row>
    <row r="42" spans="1:124">
      <c r="A42" s="3" t="s">
        <v>169</v>
      </c>
      <c r="DE42" s="24">
        <v>45736</v>
      </c>
      <c r="DF42" s="23">
        <v>60200</v>
      </c>
      <c r="DG42" s="23">
        <v>24186.2</v>
      </c>
      <c r="DH42" s="23">
        <v>2637.1</v>
      </c>
      <c r="DI42" s="26">
        <v>34989004</v>
      </c>
      <c r="DJ42" s="29">
        <v>0.42395833333333333</v>
      </c>
      <c r="DK42" s="23">
        <v>58000</v>
      </c>
      <c r="DL42" s="23">
        <v>34989004</v>
      </c>
      <c r="DM42" s="23">
        <v>59200</v>
      </c>
      <c r="DN42" s="23">
        <v>60300</v>
      </c>
      <c r="DO42" s="23">
        <v>58500</v>
      </c>
      <c r="DP42" s="23">
        <v>60200</v>
      </c>
      <c r="DQ42" s="24">
        <v>45736</v>
      </c>
      <c r="DR42" s="23">
        <v>27374738</v>
      </c>
      <c r="DS42" s="23">
        <v>501280669</v>
      </c>
      <c r="DT42" s="23">
        <v>-590076079</v>
      </c>
    </row>
    <row r="43" spans="1:124">
      <c r="A43" s="3" t="s">
        <v>170</v>
      </c>
      <c r="DE43" s="24">
        <v>45735</v>
      </c>
      <c r="DF43" s="23">
        <v>58500</v>
      </c>
      <c r="DG43" s="23">
        <v>23682.49</v>
      </c>
      <c r="DH43" s="23">
        <v>2628.62</v>
      </c>
      <c r="DI43" s="26">
        <v>29421759</v>
      </c>
      <c r="DJ43" s="29">
        <v>0.42384259259259255</v>
      </c>
      <c r="DK43" s="23">
        <v>58000</v>
      </c>
      <c r="DL43" s="23">
        <v>29421759</v>
      </c>
      <c r="DM43" s="23">
        <v>57400</v>
      </c>
      <c r="DN43" s="23">
        <v>59200</v>
      </c>
      <c r="DO43" s="23">
        <v>57400</v>
      </c>
      <c r="DP43" s="23">
        <v>58500</v>
      </c>
      <c r="DQ43" s="24">
        <v>45735</v>
      </c>
      <c r="DR43" s="23">
        <v>134229876</v>
      </c>
      <c r="DS43" s="23">
        <v>276656302</v>
      </c>
      <c r="DT43" s="23">
        <v>-478178141</v>
      </c>
    </row>
    <row r="44" spans="1:124">
      <c r="A44" s="3" t="s">
        <v>171</v>
      </c>
      <c r="DE44" s="24">
        <v>45734</v>
      </c>
      <c r="DF44" s="23">
        <v>57600</v>
      </c>
      <c r="DG44" s="23">
        <v>23396.26</v>
      </c>
      <c r="DH44" s="23">
        <v>2612.34</v>
      </c>
      <c r="DI44" s="26">
        <v>28138594</v>
      </c>
      <c r="DJ44" s="29">
        <v>0.42372685185185183</v>
      </c>
      <c r="DK44" s="23">
        <v>58000</v>
      </c>
      <c r="DL44" s="23">
        <v>28138594</v>
      </c>
      <c r="DM44" s="23">
        <v>58800</v>
      </c>
      <c r="DN44" s="23">
        <v>59000</v>
      </c>
      <c r="DO44" s="23">
        <v>57300</v>
      </c>
      <c r="DP44" s="23">
        <v>57600</v>
      </c>
      <c r="DQ44" s="24">
        <v>45734</v>
      </c>
      <c r="DR44" s="23">
        <v>-6841656</v>
      </c>
      <c r="DS44" s="23">
        <v>217272588</v>
      </c>
      <c r="DT44" s="23">
        <v>-278751822</v>
      </c>
    </row>
    <row r="45" spans="1:124">
      <c r="A45" s="3" t="s">
        <v>172</v>
      </c>
      <c r="DE45" s="24">
        <v>45733</v>
      </c>
      <c r="DF45" s="23">
        <v>57600</v>
      </c>
      <c r="DG45" s="23">
        <v>23466.66</v>
      </c>
      <c r="DH45" s="23">
        <v>2610.69</v>
      </c>
      <c r="DI45" s="26">
        <v>35559021</v>
      </c>
      <c r="DJ45" s="29">
        <v>0.4236111111111111</v>
      </c>
      <c r="DK45" s="23">
        <v>57900</v>
      </c>
      <c r="DL45" s="23">
        <v>35559021</v>
      </c>
      <c r="DM45" s="23">
        <v>55500</v>
      </c>
      <c r="DN45" s="23">
        <v>57800</v>
      </c>
      <c r="DO45" s="23">
        <v>55400</v>
      </c>
      <c r="DP45" s="23">
        <v>57600</v>
      </c>
      <c r="DQ45" s="24">
        <v>45733</v>
      </c>
      <c r="DR45" s="23">
        <v>227409471</v>
      </c>
      <c r="DS45" s="23">
        <v>489616642</v>
      </c>
      <c r="DT45" s="23">
        <v>-776339057</v>
      </c>
    </row>
    <row r="46" spans="1:124">
      <c r="A46" s="3" t="s">
        <v>173</v>
      </c>
      <c r="CF46" s="4"/>
      <c r="CG46" s="4"/>
      <c r="DE46" s="24">
        <v>45730</v>
      </c>
      <c r="DF46" s="23">
        <v>54700</v>
      </c>
      <c r="DG46" s="23">
        <v>22774.53</v>
      </c>
      <c r="DH46" s="23">
        <v>2566.36</v>
      </c>
      <c r="DI46" s="26">
        <v>10845154</v>
      </c>
      <c r="DJ46" s="29">
        <v>0.42349537037037033</v>
      </c>
      <c r="DK46" s="23">
        <v>57900</v>
      </c>
      <c r="DL46" s="23">
        <v>10845154</v>
      </c>
      <c r="DM46" s="23">
        <v>54500</v>
      </c>
      <c r="DN46" s="23">
        <v>55100</v>
      </c>
      <c r="DO46" s="23">
        <v>54400</v>
      </c>
      <c r="DP46" s="23">
        <v>54700</v>
      </c>
      <c r="DQ46" s="24">
        <v>45730</v>
      </c>
      <c r="DR46" s="23">
        <v>15548445</v>
      </c>
      <c r="DS46" s="23">
        <v>-105623110</v>
      </c>
      <c r="DT46" s="23">
        <v>22181633</v>
      </c>
    </row>
    <row r="47" spans="1:124">
      <c r="A47" s="3" t="s">
        <v>174</v>
      </c>
      <c r="CF47" s="4"/>
      <c r="CG47" s="4"/>
      <c r="DE47" s="24">
        <v>45729</v>
      </c>
      <c r="DF47" s="23">
        <v>54700</v>
      </c>
      <c r="DG47" s="23">
        <v>22777.87</v>
      </c>
      <c r="DH47" s="23">
        <v>2573.64</v>
      </c>
      <c r="DI47" s="26">
        <v>24132151</v>
      </c>
      <c r="DJ47" s="29">
        <v>0.42337962962962961</v>
      </c>
      <c r="DK47" s="23">
        <v>57950</v>
      </c>
      <c r="DL47" s="23">
        <v>24132151</v>
      </c>
      <c r="DM47" s="23">
        <v>55800</v>
      </c>
      <c r="DN47" s="23">
        <v>55900</v>
      </c>
      <c r="DO47" s="23">
        <v>54200</v>
      </c>
      <c r="DP47" s="23">
        <v>54700</v>
      </c>
      <c r="DQ47" s="24">
        <v>45729</v>
      </c>
      <c r="DR47" s="23">
        <v>101067823</v>
      </c>
      <c r="DS47" s="23">
        <v>-162604165</v>
      </c>
      <c r="DT47" s="23">
        <v>-3415779</v>
      </c>
    </row>
    <row r="48" spans="1:124">
      <c r="A48" s="3" t="s">
        <v>175</v>
      </c>
      <c r="CF48" s="4"/>
      <c r="CG48" s="4"/>
      <c r="DE48" s="24">
        <v>45728</v>
      </c>
      <c r="DF48" s="23">
        <v>54900</v>
      </c>
      <c r="DG48" s="23">
        <v>22923.19</v>
      </c>
      <c r="DH48" s="23">
        <v>2574.8200000000002</v>
      </c>
      <c r="DI48" s="26">
        <v>17973221</v>
      </c>
      <c r="DJ48" s="29">
        <v>0.42326388888888888</v>
      </c>
      <c r="DK48" s="23">
        <v>57950</v>
      </c>
      <c r="DL48" s="23">
        <v>17973221</v>
      </c>
      <c r="DM48" s="23">
        <v>53800</v>
      </c>
      <c r="DN48" s="23">
        <v>55300</v>
      </c>
      <c r="DO48" s="23">
        <v>53600</v>
      </c>
      <c r="DP48" s="23">
        <v>54900</v>
      </c>
      <c r="DQ48" s="24">
        <v>45728</v>
      </c>
      <c r="DR48" s="23">
        <v>372693</v>
      </c>
      <c r="DS48" s="23">
        <v>127254345</v>
      </c>
      <c r="DT48" s="23">
        <v>-182837723</v>
      </c>
    </row>
    <row r="49" spans="1:124">
      <c r="A49" s="3" t="s">
        <v>176</v>
      </c>
      <c r="CF49" s="4"/>
      <c r="CG49" s="4"/>
      <c r="DE49" s="24">
        <v>45727</v>
      </c>
      <c r="DF49" s="23">
        <v>53600</v>
      </c>
      <c r="DG49" s="23">
        <v>22311.18</v>
      </c>
      <c r="DH49" s="23">
        <v>2537.6</v>
      </c>
      <c r="DI49" s="26">
        <v>17740891</v>
      </c>
      <c r="DJ49" s="29">
        <v>0.42314814814814811</v>
      </c>
      <c r="DK49" s="23">
        <v>57900</v>
      </c>
      <c r="DL49" s="23">
        <v>17740891</v>
      </c>
      <c r="DM49" s="23">
        <v>52500</v>
      </c>
      <c r="DN49" s="23">
        <v>54100</v>
      </c>
      <c r="DO49" s="23">
        <v>52500</v>
      </c>
      <c r="DP49" s="23">
        <v>53600</v>
      </c>
      <c r="DQ49" s="24">
        <v>45727</v>
      </c>
      <c r="DR49" s="23">
        <v>-95342787</v>
      </c>
      <c r="DS49" s="23">
        <v>-24598717</v>
      </c>
      <c r="DT49" s="23">
        <v>51415675</v>
      </c>
    </row>
    <row r="50" spans="1:124">
      <c r="A50" s="3" t="s">
        <v>177</v>
      </c>
      <c r="CF50" s="4"/>
      <c r="CG50" s="4"/>
      <c r="DE50" s="24">
        <v>45726</v>
      </c>
      <c r="DF50" s="23">
        <v>53700</v>
      </c>
      <c r="DG50" s="23">
        <v>22451.47</v>
      </c>
      <c r="DH50" s="23">
        <v>2570.39</v>
      </c>
      <c r="DI50" s="26">
        <v>12921670</v>
      </c>
      <c r="DJ50" s="29">
        <v>0.42303240740740738</v>
      </c>
      <c r="DK50" s="23">
        <v>57950</v>
      </c>
      <c r="DL50" s="23">
        <v>12921670</v>
      </c>
      <c r="DM50" s="23">
        <v>53500</v>
      </c>
      <c r="DN50" s="23">
        <v>54800</v>
      </c>
      <c r="DO50" s="23">
        <v>53500</v>
      </c>
      <c r="DP50" s="23">
        <v>53700</v>
      </c>
      <c r="DQ50" s="24">
        <v>45726</v>
      </c>
      <c r="DR50" s="23">
        <v>-18477895</v>
      </c>
      <c r="DS50" s="23">
        <v>-78956777</v>
      </c>
      <c r="DT50" s="23">
        <v>32049403</v>
      </c>
    </row>
    <row r="51" spans="1:124">
      <c r="A51" s="3" t="s">
        <v>178</v>
      </c>
      <c r="DE51" s="24">
        <v>45723</v>
      </c>
      <c r="DF51" s="23">
        <v>53700</v>
      </c>
      <c r="DG51" s="23">
        <v>22452.54</v>
      </c>
      <c r="DH51" s="23">
        <v>2563.48</v>
      </c>
      <c r="DI51" s="26">
        <v>14274992</v>
      </c>
      <c r="DJ51" s="29">
        <v>0.42291666666666666</v>
      </c>
      <c r="DK51" s="23">
        <v>57900</v>
      </c>
      <c r="DL51" s="23">
        <v>14274992</v>
      </c>
      <c r="DM51" s="23">
        <v>53500</v>
      </c>
      <c r="DN51" s="23">
        <v>54200</v>
      </c>
      <c r="DO51" s="23">
        <v>53400</v>
      </c>
      <c r="DP51" s="23">
        <v>53700</v>
      </c>
      <c r="DQ51" s="24">
        <v>45723</v>
      </c>
      <c r="DR51" s="23">
        <v>-39312804</v>
      </c>
      <c r="DS51" s="23">
        <v>-146370389</v>
      </c>
      <c r="DT51" s="23">
        <v>111741715</v>
      </c>
    </row>
    <row r="52" spans="1:124">
      <c r="A52" s="3" t="s">
        <v>179</v>
      </c>
      <c r="DE52" s="24">
        <v>45722</v>
      </c>
      <c r="DF52" s="23">
        <v>54300</v>
      </c>
      <c r="DG52" s="23">
        <v>22518.25</v>
      </c>
      <c r="DH52" s="23">
        <v>2576.16</v>
      </c>
      <c r="DI52" s="26">
        <v>12258101</v>
      </c>
      <c r="DJ52" s="29">
        <v>0.42280092592592589</v>
      </c>
      <c r="DK52" s="23">
        <v>57950</v>
      </c>
      <c r="DL52" s="23">
        <v>12258101</v>
      </c>
      <c r="DM52" s="23">
        <v>54100</v>
      </c>
      <c r="DN52" s="23">
        <v>54500</v>
      </c>
      <c r="DO52" s="23">
        <v>54000</v>
      </c>
      <c r="DP52" s="23">
        <v>54300</v>
      </c>
      <c r="DQ52" s="24">
        <v>45722</v>
      </c>
      <c r="DR52" s="23">
        <v>-36760448</v>
      </c>
      <c r="DS52" s="23">
        <v>-62015488</v>
      </c>
      <c r="DT52" s="23">
        <v>35688994</v>
      </c>
    </row>
    <row r="53" spans="1:124">
      <c r="CF53" s="4"/>
      <c r="DE53" s="24">
        <v>45721</v>
      </c>
      <c r="DF53" s="23">
        <v>54000</v>
      </c>
      <c r="DG53" s="23">
        <v>22521.45</v>
      </c>
      <c r="DH53" s="23">
        <v>2558.13</v>
      </c>
      <c r="DI53" s="26">
        <v>16578817</v>
      </c>
      <c r="DJ53" s="29">
        <v>0.42268518518518516</v>
      </c>
      <c r="DK53" s="23">
        <v>57900</v>
      </c>
      <c r="DL53" s="23">
        <v>16578817</v>
      </c>
      <c r="DM53" s="23">
        <v>55100</v>
      </c>
      <c r="DN53" s="23">
        <v>55400</v>
      </c>
      <c r="DO53" s="23">
        <v>54000</v>
      </c>
      <c r="DP53" s="23">
        <v>54000</v>
      </c>
      <c r="DQ53" s="24">
        <v>45721</v>
      </c>
      <c r="DR53" s="23">
        <v>-140451170</v>
      </c>
      <c r="DS53" s="23">
        <v>-121662554</v>
      </c>
      <c r="DT53" s="23">
        <v>202978438</v>
      </c>
    </row>
    <row r="54" spans="1:124">
      <c r="CF54" s="4"/>
      <c r="DE54" s="24">
        <v>45720</v>
      </c>
      <c r="DF54" s="23">
        <v>54500</v>
      </c>
      <c r="DG54" s="23">
        <v>22366.2</v>
      </c>
      <c r="DH54" s="23">
        <v>2528.92</v>
      </c>
      <c r="DI54" s="26">
        <v>18553933</v>
      </c>
      <c r="DJ54" s="29">
        <v>0.42256944444444444</v>
      </c>
      <c r="DK54" s="23">
        <v>57950</v>
      </c>
      <c r="DL54" s="23">
        <v>18553933</v>
      </c>
      <c r="DM54" s="23">
        <v>53900</v>
      </c>
      <c r="DN54" s="23">
        <v>55000</v>
      </c>
      <c r="DO54" s="23">
        <v>53800</v>
      </c>
      <c r="DP54" s="23">
        <v>54500</v>
      </c>
      <c r="DQ54" s="24">
        <v>45720</v>
      </c>
      <c r="DR54" s="23">
        <v>-48124109</v>
      </c>
      <c r="DS54" s="23">
        <v>-35366422</v>
      </c>
      <c r="DT54" s="23">
        <v>16949306</v>
      </c>
    </row>
    <row r="55" spans="1:124">
      <c r="CF55" s="4"/>
      <c r="DE55" s="24">
        <v>45716</v>
      </c>
      <c r="DF55" s="23">
        <v>54500</v>
      </c>
      <c r="DG55" s="23">
        <v>22684.59</v>
      </c>
      <c r="DH55" s="23">
        <v>2532.7800000000002</v>
      </c>
      <c r="DI55" s="26">
        <v>28036698</v>
      </c>
      <c r="DJ55" s="29">
        <v>0.42245370370370366</v>
      </c>
      <c r="DK55" s="23">
        <v>57950</v>
      </c>
      <c r="DL55" s="23">
        <v>28036698</v>
      </c>
      <c r="DM55" s="23">
        <v>55400</v>
      </c>
      <c r="DN55" s="23">
        <v>55700</v>
      </c>
      <c r="DO55" s="23">
        <v>54500</v>
      </c>
      <c r="DP55" s="23">
        <v>54500</v>
      </c>
      <c r="DQ55" s="24">
        <v>45716</v>
      </c>
      <c r="DR55" s="23">
        <v>-184875697</v>
      </c>
      <c r="DS55" s="23">
        <v>-186537933</v>
      </c>
      <c r="DT55" s="23">
        <v>310457928</v>
      </c>
    </row>
    <row r="56" spans="1:124">
      <c r="CF56" s="4"/>
      <c r="DE56" s="24">
        <v>45715</v>
      </c>
      <c r="DF56" s="23">
        <v>56300</v>
      </c>
      <c r="DG56" s="23">
        <v>23629.41</v>
      </c>
      <c r="DH56" s="23">
        <v>2621.75</v>
      </c>
      <c r="DI56" s="26">
        <v>14975356</v>
      </c>
      <c r="DJ56" s="29">
        <v>0.42233796296296294</v>
      </c>
      <c r="DK56" s="23">
        <v>57900</v>
      </c>
      <c r="DL56" s="23">
        <v>14975356</v>
      </c>
      <c r="DM56" s="23">
        <v>56500</v>
      </c>
      <c r="DN56" s="23">
        <v>57100</v>
      </c>
      <c r="DO56" s="23">
        <v>56200</v>
      </c>
      <c r="DP56" s="23">
        <v>56300</v>
      </c>
      <c r="DQ56" s="24">
        <v>45715</v>
      </c>
      <c r="DR56" s="23">
        <v>-100935118</v>
      </c>
      <c r="DS56" s="23">
        <v>36550752</v>
      </c>
      <c r="DT56" s="23">
        <v>67592932</v>
      </c>
    </row>
    <row r="57" spans="1:124">
      <c r="CF57" s="4"/>
      <c r="CG57" s="4"/>
      <c r="DE57" s="24">
        <v>45714</v>
      </c>
      <c r="DF57" s="23">
        <v>56600</v>
      </c>
      <c r="DG57" s="23">
        <v>23859.98</v>
      </c>
      <c r="DH57" s="23">
        <v>2641.09</v>
      </c>
      <c r="DI57" s="26">
        <v>18117091</v>
      </c>
      <c r="DJ57" s="29">
        <v>0.42222222222222222</v>
      </c>
      <c r="DK57" s="23">
        <v>57950</v>
      </c>
      <c r="DL57" s="23">
        <v>18117091</v>
      </c>
      <c r="DM57" s="23">
        <v>57000</v>
      </c>
      <c r="DN57" s="23">
        <v>57100</v>
      </c>
      <c r="DO57" s="23">
        <v>56100</v>
      </c>
      <c r="DP57" s="23">
        <v>56600</v>
      </c>
      <c r="DQ57" s="24">
        <v>45714</v>
      </c>
      <c r="DR57" s="23">
        <v>47256355</v>
      </c>
      <c r="DS57" s="23">
        <v>-211836087</v>
      </c>
      <c r="DT57" s="23">
        <v>119471097</v>
      </c>
    </row>
    <row r="58" spans="1:124">
      <c r="CF58" s="4"/>
      <c r="DE58" s="24">
        <v>45713</v>
      </c>
      <c r="DF58" s="23">
        <v>57200</v>
      </c>
      <c r="DG58" s="23">
        <v>23873.65</v>
      </c>
      <c r="DH58" s="23">
        <v>2630.29</v>
      </c>
      <c r="DI58" s="26">
        <v>14625181</v>
      </c>
      <c r="DJ58" s="29">
        <v>0.42210648148148144</v>
      </c>
      <c r="DK58" s="23">
        <v>57900</v>
      </c>
      <c r="DL58" s="23">
        <v>14625181</v>
      </c>
      <c r="DM58" s="23">
        <v>56600</v>
      </c>
      <c r="DN58" s="23">
        <v>57800</v>
      </c>
      <c r="DO58" s="23">
        <v>56500</v>
      </c>
      <c r="DP58" s="23">
        <v>57200</v>
      </c>
      <c r="DQ58" s="24">
        <v>45713</v>
      </c>
      <c r="DR58" s="23">
        <v>-70386555</v>
      </c>
      <c r="DS58" s="23">
        <v>38361636</v>
      </c>
      <c r="DT58" s="23">
        <v>-31072624</v>
      </c>
    </row>
    <row r="59" spans="1:124">
      <c r="DE59" s="24">
        <v>45712</v>
      </c>
      <c r="DF59" s="23">
        <v>57300</v>
      </c>
      <c r="DG59" s="23">
        <v>24199.67</v>
      </c>
      <c r="DH59" s="23">
        <v>2645.27</v>
      </c>
      <c r="DI59" s="26">
        <v>14138471</v>
      </c>
      <c r="DJ59" s="29">
        <v>0.42199074074074072</v>
      </c>
      <c r="DK59" s="23">
        <v>57950</v>
      </c>
      <c r="DL59" s="23">
        <v>14138471</v>
      </c>
      <c r="DM59" s="23">
        <v>57300</v>
      </c>
      <c r="DN59" s="23">
        <v>57700</v>
      </c>
      <c r="DO59" s="23">
        <v>57200</v>
      </c>
      <c r="DP59" s="23">
        <v>57300</v>
      </c>
      <c r="DQ59" s="24">
        <v>45712</v>
      </c>
      <c r="DR59" s="23">
        <v>-89754669</v>
      </c>
      <c r="DS59" s="23">
        <v>10769042</v>
      </c>
      <c r="DT59" s="23">
        <v>21485427</v>
      </c>
    </row>
    <row r="60" spans="1:124">
      <c r="DE60" s="24">
        <v>45709</v>
      </c>
      <c r="DF60" s="23">
        <v>58200</v>
      </c>
      <c r="DG60" s="23">
        <v>24425.77</v>
      </c>
      <c r="DH60" s="23">
        <v>2654.58</v>
      </c>
      <c r="DI60" s="26">
        <v>22198428</v>
      </c>
      <c r="DJ60" s="29">
        <v>0.421875</v>
      </c>
      <c r="DK60" s="23">
        <v>57900</v>
      </c>
      <c r="DL60" s="23">
        <v>22198428</v>
      </c>
      <c r="DM60" s="23">
        <v>58400</v>
      </c>
      <c r="DN60" s="23">
        <v>58500</v>
      </c>
      <c r="DO60" s="23">
        <v>57100</v>
      </c>
      <c r="DP60" s="23">
        <v>58200</v>
      </c>
      <c r="DQ60" s="24">
        <v>45709</v>
      </c>
      <c r="DR60" s="23">
        <v>-26376079</v>
      </c>
      <c r="DS60" s="23">
        <v>-56217060</v>
      </c>
      <c r="DT60" s="23">
        <v>25258800</v>
      </c>
    </row>
    <row r="61" spans="1:124">
      <c r="DE61" s="24">
        <v>45708</v>
      </c>
      <c r="DF61" s="23">
        <v>58400</v>
      </c>
      <c r="DG61" s="23">
        <v>24493.99</v>
      </c>
      <c r="DH61" s="23">
        <v>2654.06</v>
      </c>
      <c r="DI61" s="26">
        <v>21589059</v>
      </c>
      <c r="DJ61" s="29">
        <v>0.42175925925925922</v>
      </c>
      <c r="DK61" s="23">
        <v>57900</v>
      </c>
      <c r="DL61" s="23">
        <v>21589059</v>
      </c>
      <c r="DM61" s="23">
        <v>59100</v>
      </c>
      <c r="DN61" s="23">
        <v>59100</v>
      </c>
      <c r="DO61" s="23">
        <v>58100</v>
      </c>
      <c r="DP61" s="23">
        <v>58400</v>
      </c>
      <c r="DQ61" s="24">
        <v>45708</v>
      </c>
      <c r="DR61" s="23">
        <v>-16938432</v>
      </c>
      <c r="DS61" s="23">
        <v>14482177</v>
      </c>
      <c r="DT61" s="23">
        <v>-58663236</v>
      </c>
    </row>
    <row r="62" spans="1:124">
      <c r="DE62" s="24">
        <v>45707</v>
      </c>
      <c r="DF62" s="23">
        <v>58700</v>
      </c>
      <c r="DG62" s="23">
        <v>24650.799999999999</v>
      </c>
      <c r="DH62" s="23">
        <v>2671.52</v>
      </c>
      <c r="DI62" s="26">
        <v>25395151</v>
      </c>
      <c r="DJ62" s="29">
        <v>0.4216435185185185</v>
      </c>
      <c r="DK62" s="23">
        <v>58000</v>
      </c>
      <c r="DL62" s="23">
        <v>25395151</v>
      </c>
      <c r="DM62" s="23">
        <v>57400</v>
      </c>
      <c r="DN62" s="23">
        <v>58900</v>
      </c>
      <c r="DO62" s="23">
        <v>57300</v>
      </c>
      <c r="DP62" s="23">
        <v>58700</v>
      </c>
      <c r="DQ62" s="24">
        <v>45707</v>
      </c>
      <c r="DR62" s="23">
        <v>296426043</v>
      </c>
      <c r="DS62" s="23">
        <v>110646699</v>
      </c>
      <c r="DT62" s="23">
        <v>-465091368</v>
      </c>
    </row>
    <row r="63" spans="1:124">
      <c r="DE63" s="24">
        <v>45706</v>
      </c>
      <c r="DF63" s="23">
        <v>56900</v>
      </c>
      <c r="DG63" s="23">
        <v>23880.97</v>
      </c>
      <c r="DH63" s="23">
        <v>2626.81</v>
      </c>
      <c r="DI63" s="26">
        <v>22131007</v>
      </c>
      <c r="DJ63" s="29">
        <v>0.42152777777777778</v>
      </c>
      <c r="DK63" s="23">
        <v>58000</v>
      </c>
      <c r="DL63" s="23">
        <v>22131007</v>
      </c>
      <c r="DM63" s="23">
        <v>56200</v>
      </c>
      <c r="DN63" s="23">
        <v>57200</v>
      </c>
      <c r="DO63" s="23">
        <v>55900</v>
      </c>
      <c r="DP63" s="23">
        <v>56900</v>
      </c>
      <c r="DQ63" s="24">
        <v>45706</v>
      </c>
      <c r="DR63" s="23">
        <v>56476823</v>
      </c>
      <c r="DS63" s="23">
        <v>133144362</v>
      </c>
      <c r="DT63" s="23">
        <v>-188257255</v>
      </c>
    </row>
    <row r="64" spans="1:124">
      <c r="DE64" s="24">
        <v>45705</v>
      </c>
      <c r="DF64" s="23">
        <v>56000</v>
      </c>
      <c r="DG64" s="23">
        <v>23693.29</v>
      </c>
      <c r="DH64" s="23">
        <v>2610.42</v>
      </c>
      <c r="DI64" s="26">
        <v>11916027</v>
      </c>
      <c r="DJ64" s="29">
        <v>0.421412037037037</v>
      </c>
      <c r="DK64" s="23">
        <v>57900</v>
      </c>
      <c r="DL64" s="23">
        <v>11916027</v>
      </c>
      <c r="DM64" s="23">
        <v>56100</v>
      </c>
      <c r="DN64" s="23">
        <v>56500</v>
      </c>
      <c r="DO64" s="23">
        <v>55700</v>
      </c>
      <c r="DP64" s="23">
        <v>56000</v>
      </c>
      <c r="DQ64" s="24">
        <v>45705</v>
      </c>
      <c r="DR64" s="23">
        <v>49243525</v>
      </c>
      <c r="DS64" s="23">
        <v>-71416091</v>
      </c>
      <c r="DT64" s="23">
        <v>22492322</v>
      </c>
    </row>
    <row r="65" spans="2:124">
      <c r="DE65" s="24">
        <v>45702</v>
      </c>
      <c r="DF65" s="23">
        <v>56000</v>
      </c>
      <c r="DG65" s="23">
        <v>23601.23</v>
      </c>
      <c r="DH65" s="23">
        <v>2591.0500000000002</v>
      </c>
      <c r="DI65" s="26">
        <v>23979779</v>
      </c>
      <c r="DJ65" s="29">
        <v>0.42129629629629628</v>
      </c>
      <c r="DK65" s="23">
        <v>58000</v>
      </c>
      <c r="DL65" s="23">
        <v>23979779</v>
      </c>
      <c r="DM65" s="23">
        <v>56000</v>
      </c>
      <c r="DN65" s="23">
        <v>57300</v>
      </c>
      <c r="DO65" s="23">
        <v>56000</v>
      </c>
      <c r="DP65" s="23">
        <v>56000</v>
      </c>
      <c r="DQ65" s="24">
        <v>45702</v>
      </c>
      <c r="DR65" s="23">
        <v>163619031</v>
      </c>
      <c r="DS65" s="23">
        <v>-51177779</v>
      </c>
      <c r="DT65" s="23">
        <v>-106590532</v>
      </c>
    </row>
    <row r="66" spans="2:124">
      <c r="DE66" s="24">
        <v>45701</v>
      </c>
      <c r="DF66" s="23">
        <v>55800</v>
      </c>
      <c r="DG66" s="23">
        <v>23616.91</v>
      </c>
      <c r="DH66" s="23">
        <v>2583.17</v>
      </c>
      <c r="DI66" s="26">
        <v>22448377</v>
      </c>
      <c r="DJ66" s="29">
        <v>0.42118055555555556</v>
      </c>
      <c r="DK66" s="23">
        <v>57900</v>
      </c>
      <c r="DL66" s="23">
        <v>22448377</v>
      </c>
      <c r="DM66" s="23">
        <v>56100</v>
      </c>
      <c r="DN66" s="23">
        <v>56400</v>
      </c>
      <c r="DO66" s="23">
        <v>55600</v>
      </c>
      <c r="DP66" s="23">
        <v>55800</v>
      </c>
      <c r="DQ66" s="24">
        <v>45701</v>
      </c>
      <c r="DR66" s="23">
        <v>108353145</v>
      </c>
      <c r="DS66" s="23">
        <v>-114256920</v>
      </c>
      <c r="DT66" s="23">
        <v>-26383401</v>
      </c>
    </row>
    <row r="67" spans="2:124">
      <c r="DE67" s="24">
        <v>45700</v>
      </c>
      <c r="DF67" s="23">
        <v>55800</v>
      </c>
      <c r="DG67" s="23">
        <v>23118.45</v>
      </c>
      <c r="DH67" s="23">
        <v>2548.39</v>
      </c>
      <c r="DI67" s="26">
        <v>26428596</v>
      </c>
      <c r="DJ67" s="29">
        <v>0.42106481481481478</v>
      </c>
      <c r="DK67" s="23">
        <v>57900</v>
      </c>
      <c r="DL67" s="23">
        <v>26428596</v>
      </c>
      <c r="DM67" s="23">
        <v>55100</v>
      </c>
      <c r="DN67" s="23">
        <v>55900</v>
      </c>
      <c r="DO67" s="23">
        <v>54500</v>
      </c>
      <c r="DP67" s="23">
        <v>55800</v>
      </c>
      <c r="DQ67" s="24">
        <v>45700</v>
      </c>
      <c r="DR67" s="23">
        <v>-356133813</v>
      </c>
      <c r="DS67" s="23">
        <v>381646656</v>
      </c>
      <c r="DT67" s="23">
        <v>-54173023</v>
      </c>
    </row>
    <row r="68" spans="2:124">
      <c r="DE68" s="24">
        <v>45699</v>
      </c>
      <c r="DF68" s="23">
        <v>55700</v>
      </c>
      <c r="DG68" s="23">
        <v>23060.42</v>
      </c>
      <c r="DH68" s="23">
        <v>2539.0500000000002</v>
      </c>
      <c r="DI68" s="26">
        <v>24596196</v>
      </c>
      <c r="DJ68" s="29">
        <v>0.42094907407407406</v>
      </c>
      <c r="DK68" s="23">
        <v>58000</v>
      </c>
      <c r="DL68" s="23">
        <v>24596196</v>
      </c>
      <c r="DM68" s="23">
        <v>55500</v>
      </c>
      <c r="DN68" s="23">
        <v>56300</v>
      </c>
      <c r="DO68" s="23">
        <v>55000</v>
      </c>
      <c r="DP68" s="23">
        <v>55700</v>
      </c>
      <c r="DQ68" s="24">
        <v>45699</v>
      </c>
      <c r="DR68" s="23">
        <v>151464803</v>
      </c>
      <c r="DS68" s="23">
        <v>40037166</v>
      </c>
      <c r="DT68" s="23">
        <v>-201080109</v>
      </c>
    </row>
    <row r="69" spans="2:124">
      <c r="DE69" s="24">
        <v>45698</v>
      </c>
      <c r="DF69" s="23">
        <v>55600</v>
      </c>
      <c r="DG69" s="23">
        <v>23007.42</v>
      </c>
      <c r="DH69" s="23">
        <v>2521.27</v>
      </c>
      <c r="DI69" s="26">
        <v>27577591</v>
      </c>
      <c r="DJ69" s="29">
        <v>0.42083333333333334</v>
      </c>
      <c r="DK69" s="23">
        <v>57900</v>
      </c>
      <c r="DL69" s="23">
        <v>27577591</v>
      </c>
      <c r="DM69" s="23">
        <v>53000</v>
      </c>
      <c r="DN69" s="23">
        <v>55900</v>
      </c>
      <c r="DO69" s="23">
        <v>52900</v>
      </c>
      <c r="DP69" s="23">
        <v>55600</v>
      </c>
      <c r="DQ69" s="24">
        <v>45698</v>
      </c>
      <c r="DR69" s="23">
        <v>157326703</v>
      </c>
      <c r="DS69" s="23">
        <v>41573798</v>
      </c>
      <c r="DT69" s="23">
        <v>-237903803</v>
      </c>
    </row>
    <row r="70" spans="2:124">
      <c r="DE70" s="24">
        <v>45695</v>
      </c>
      <c r="DF70" s="23">
        <v>53700</v>
      </c>
      <c r="DG70" s="23">
        <v>22656.07</v>
      </c>
      <c r="DH70" s="23">
        <v>2521.92</v>
      </c>
      <c r="DI70" s="26">
        <v>14476866</v>
      </c>
      <c r="DJ70" s="29">
        <v>0.42071759259259256</v>
      </c>
      <c r="DK70" s="23">
        <v>57900</v>
      </c>
      <c r="DL70" s="23">
        <v>14476866</v>
      </c>
      <c r="DM70" s="23">
        <v>53900</v>
      </c>
      <c r="DN70" s="23">
        <v>54200</v>
      </c>
      <c r="DO70" s="23">
        <v>53600</v>
      </c>
      <c r="DP70" s="23">
        <v>53700</v>
      </c>
      <c r="DQ70" s="24">
        <v>45695</v>
      </c>
      <c r="DR70" s="23">
        <v>73596487</v>
      </c>
      <c r="DS70" s="23">
        <v>-107456575</v>
      </c>
      <c r="DT70" s="23">
        <v>723663</v>
      </c>
    </row>
    <row r="71" spans="2:124">
      <c r="DE71" s="24">
        <v>45694</v>
      </c>
      <c r="DF71" s="23">
        <v>54000</v>
      </c>
      <c r="DG71" s="23">
        <v>22816.95</v>
      </c>
      <c r="DH71" s="23">
        <v>2536.75</v>
      </c>
      <c r="DI71" s="26">
        <v>16466025</v>
      </c>
      <c r="DJ71" s="29">
        <v>0.42060185185185184</v>
      </c>
      <c r="DK71" s="23">
        <v>57950</v>
      </c>
      <c r="DL71" s="23">
        <v>16466025</v>
      </c>
      <c r="DM71" s="23">
        <v>53400</v>
      </c>
      <c r="DN71" s="23">
        <v>54000</v>
      </c>
      <c r="DO71" s="23">
        <v>53200</v>
      </c>
      <c r="DP71" s="23">
        <v>54000</v>
      </c>
      <c r="DQ71" s="24">
        <v>45694</v>
      </c>
      <c r="DR71" s="23">
        <v>72929334</v>
      </c>
      <c r="DS71" s="23">
        <v>54603695</v>
      </c>
      <c r="DT71" s="23">
        <v>-150748123</v>
      </c>
    </row>
    <row r="72" spans="2:124"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DE72" s="24">
        <v>45693</v>
      </c>
      <c r="DF72" s="23">
        <v>52900</v>
      </c>
      <c r="DG72" s="23">
        <v>22447.599999999999</v>
      </c>
      <c r="DH72" s="23">
        <v>2509.27</v>
      </c>
      <c r="DI72" s="26">
        <v>15974885</v>
      </c>
      <c r="DJ72" s="29">
        <v>0.42048611111111112</v>
      </c>
      <c r="DK72" s="23">
        <v>57900</v>
      </c>
      <c r="DL72" s="23">
        <v>15974885</v>
      </c>
      <c r="DM72" s="23">
        <v>53600</v>
      </c>
      <c r="DN72" s="23">
        <v>53800</v>
      </c>
      <c r="DO72" s="23">
        <v>52800</v>
      </c>
      <c r="DP72" s="23">
        <v>52900</v>
      </c>
      <c r="DQ72" s="24">
        <v>45693</v>
      </c>
      <c r="DR72" s="23">
        <v>14673671</v>
      </c>
      <c r="DS72" s="23">
        <v>-115391054</v>
      </c>
      <c r="DT72" s="23">
        <v>70404987</v>
      </c>
    </row>
    <row r="73" spans="2:124">
      <c r="DE73" s="24">
        <v>45692</v>
      </c>
      <c r="DF73" s="23">
        <v>52700</v>
      </c>
      <c r="DG73" s="23">
        <v>22074.42</v>
      </c>
      <c r="DH73" s="23">
        <v>2481.69</v>
      </c>
      <c r="DI73" s="26">
        <v>27214851</v>
      </c>
      <c r="DJ73" s="29">
        <v>0.42037037037037034</v>
      </c>
      <c r="DK73" s="23">
        <v>57950</v>
      </c>
      <c r="DL73" s="23">
        <v>27214851</v>
      </c>
      <c r="DM73" s="23">
        <v>51600</v>
      </c>
      <c r="DN73" s="23">
        <v>53600</v>
      </c>
      <c r="DO73" s="23">
        <v>51500</v>
      </c>
      <c r="DP73" s="23">
        <v>52700</v>
      </c>
      <c r="DQ73" s="24">
        <v>45692</v>
      </c>
      <c r="DR73" s="23">
        <v>-9676793</v>
      </c>
      <c r="DS73" s="23">
        <v>190582196</v>
      </c>
      <c r="DT73" s="23">
        <v>-193356721</v>
      </c>
    </row>
    <row r="74" spans="2:124">
      <c r="DE74" s="24">
        <v>45691</v>
      </c>
      <c r="DF74" s="23">
        <v>51000</v>
      </c>
      <c r="DG74" s="23">
        <v>21713.98</v>
      </c>
      <c r="DH74" s="23">
        <v>2453.9499999999998</v>
      </c>
      <c r="DI74" s="26">
        <v>32344897</v>
      </c>
      <c r="DJ74" s="29">
        <v>0.42025462962962962</v>
      </c>
      <c r="DK74" s="23">
        <v>57950</v>
      </c>
      <c r="DL74" s="23">
        <v>32344897</v>
      </c>
      <c r="DM74" s="23">
        <v>51100</v>
      </c>
      <c r="DN74" s="23">
        <v>51400</v>
      </c>
      <c r="DO74" s="23">
        <v>50800</v>
      </c>
      <c r="DP74" s="23">
        <v>51000</v>
      </c>
      <c r="DQ74" s="24">
        <v>45691</v>
      </c>
      <c r="DR74" s="23">
        <v>-97205947</v>
      </c>
      <c r="DS74" s="23">
        <v>-402099935</v>
      </c>
      <c r="DT74" s="23">
        <v>446294375</v>
      </c>
    </row>
    <row r="75" spans="2:124">
      <c r="DE75" s="24">
        <v>45688</v>
      </c>
      <c r="DF75" s="23">
        <v>52400</v>
      </c>
      <c r="DG75" s="23">
        <v>22531.34</v>
      </c>
      <c r="DH75" s="23">
        <v>2517.37</v>
      </c>
      <c r="DI75" s="26">
        <v>42186279</v>
      </c>
      <c r="DJ75" s="29">
        <v>0.4201388888888889</v>
      </c>
      <c r="DK75" s="23">
        <v>57900</v>
      </c>
      <c r="DL75" s="23">
        <v>42186279</v>
      </c>
      <c r="DM75" s="23">
        <v>52200</v>
      </c>
      <c r="DN75" s="23">
        <v>53000</v>
      </c>
      <c r="DO75" s="23">
        <v>51700</v>
      </c>
      <c r="DP75" s="23">
        <v>52400</v>
      </c>
      <c r="DQ75" s="24">
        <v>45688</v>
      </c>
      <c r="DR75" s="23">
        <v>109442006</v>
      </c>
      <c r="DS75" s="23">
        <v>-700525852</v>
      </c>
      <c r="DT75" s="23">
        <v>551584721</v>
      </c>
    </row>
    <row r="76" spans="2:124">
      <c r="DE76" s="24">
        <v>45681</v>
      </c>
      <c r="DF76" s="23">
        <v>53700</v>
      </c>
      <c r="DG76" s="23">
        <v>23453.63</v>
      </c>
      <c r="DH76" s="23">
        <v>2536.8000000000002</v>
      </c>
      <c r="DI76" s="26">
        <v>11867631</v>
      </c>
      <c r="DJ76" s="29">
        <v>0.42002314814814812</v>
      </c>
      <c r="DK76" s="23">
        <v>57950</v>
      </c>
      <c r="DL76" s="23">
        <v>11867631</v>
      </c>
      <c r="DM76" s="23">
        <v>53600</v>
      </c>
      <c r="DN76" s="23">
        <v>53800</v>
      </c>
      <c r="DO76" s="23">
        <v>53200</v>
      </c>
      <c r="DP76" s="23">
        <v>53700</v>
      </c>
      <c r="DQ76" s="24">
        <v>45681</v>
      </c>
      <c r="DR76" s="23">
        <v>-5198459</v>
      </c>
      <c r="DS76" s="23">
        <v>-95987476</v>
      </c>
      <c r="DT76" s="23">
        <v>60520832</v>
      </c>
    </row>
    <row r="77" spans="2:124" ht="15" customHeight="1">
      <c r="C77" s="34" t="s">
        <v>213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DE77" s="24">
        <v>45680</v>
      </c>
      <c r="DF77" s="23">
        <v>53700</v>
      </c>
      <c r="DG77" s="23">
        <v>23332.59</v>
      </c>
      <c r="DH77" s="23">
        <v>2515.4899999999998</v>
      </c>
      <c r="DI77" s="26">
        <v>15588067</v>
      </c>
      <c r="DJ77" s="29">
        <v>0.4199074074074074</v>
      </c>
      <c r="DK77" s="23">
        <v>57900</v>
      </c>
      <c r="DL77" s="23">
        <v>15588067</v>
      </c>
      <c r="DM77" s="23">
        <v>53700</v>
      </c>
      <c r="DN77" s="23">
        <v>54100</v>
      </c>
      <c r="DO77" s="23">
        <v>53500</v>
      </c>
      <c r="DP77" s="23">
        <v>53700</v>
      </c>
      <c r="DQ77" s="24">
        <v>45680</v>
      </c>
      <c r="DR77" s="23">
        <v>12566586</v>
      </c>
      <c r="DS77" s="23">
        <v>-103819855</v>
      </c>
      <c r="DT77" s="23">
        <v>57835548</v>
      </c>
    </row>
    <row r="78" spans="2:124" ht="6" customHeight="1"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DE78" s="24">
        <v>45679</v>
      </c>
      <c r="DF78" s="23">
        <v>54300</v>
      </c>
      <c r="DG78" s="23">
        <v>23715.43</v>
      </c>
      <c r="DH78" s="23">
        <v>2547.06</v>
      </c>
      <c r="DI78" s="26">
        <v>18341991</v>
      </c>
      <c r="DJ78" s="29">
        <v>0.41979166666666662</v>
      </c>
      <c r="DK78" s="23">
        <v>58000</v>
      </c>
      <c r="DL78" s="23">
        <v>18341991</v>
      </c>
      <c r="DM78" s="23">
        <v>53400</v>
      </c>
      <c r="DN78" s="23">
        <v>54400</v>
      </c>
      <c r="DO78" s="23">
        <v>53100</v>
      </c>
      <c r="DP78" s="23">
        <v>54300</v>
      </c>
      <c r="DQ78" s="24">
        <v>45679</v>
      </c>
      <c r="DR78" s="23">
        <v>46469246</v>
      </c>
      <c r="DS78" s="23">
        <v>-70825233</v>
      </c>
      <c r="DT78" s="23">
        <v>-8940546</v>
      </c>
    </row>
    <row r="79" spans="2:124" ht="16.5" customHeight="1">
      <c r="B79" s="8"/>
      <c r="C79" s="32" t="s">
        <v>146</v>
      </c>
      <c r="D79" s="32"/>
      <c r="E79" s="32"/>
      <c r="F79" s="32"/>
      <c r="G79" s="32" t="s">
        <v>147</v>
      </c>
      <c r="H79" s="32"/>
      <c r="I79" s="32"/>
      <c r="J79" s="32"/>
      <c r="K79" s="32"/>
      <c r="L79" s="32" t="s">
        <v>148</v>
      </c>
      <c r="M79" s="32"/>
      <c r="N79" s="32"/>
      <c r="O79" s="32"/>
      <c r="P79" s="32"/>
      <c r="Q79" s="32" t="s">
        <v>149</v>
      </c>
      <c r="R79" s="32"/>
      <c r="S79" s="32"/>
      <c r="T79" s="32"/>
      <c r="U79" s="32"/>
      <c r="V79" s="32" t="s">
        <v>150</v>
      </c>
      <c r="W79" s="32"/>
      <c r="X79" s="32"/>
      <c r="Y79" s="32"/>
      <c r="Z79" s="32"/>
      <c r="AA79" s="32" t="s">
        <v>151</v>
      </c>
      <c r="AB79" s="32"/>
      <c r="AC79" s="32"/>
      <c r="AD79" s="32"/>
      <c r="AE79" s="32"/>
      <c r="AF79" s="40" t="s">
        <v>259</v>
      </c>
      <c r="AG79" s="40"/>
      <c r="AH79" s="40"/>
      <c r="AI79" s="40"/>
      <c r="AJ79" s="40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 t="s">
        <v>152</v>
      </c>
      <c r="AV79" s="32"/>
      <c r="AW79" s="32"/>
      <c r="AX79" s="32"/>
      <c r="AY79" s="32"/>
      <c r="AZ79" s="32" t="s">
        <v>153</v>
      </c>
      <c r="BA79" s="32"/>
      <c r="BB79" s="32"/>
      <c r="BC79" s="32"/>
      <c r="BD79" s="32"/>
      <c r="DE79" s="24">
        <v>45678</v>
      </c>
      <c r="DF79" s="23">
        <v>53500</v>
      </c>
      <c r="DG79" s="23">
        <v>23217.14</v>
      </c>
      <c r="DH79" s="23">
        <v>2518.0300000000002</v>
      </c>
      <c r="DI79" s="26">
        <v>13535702</v>
      </c>
      <c r="DJ79" s="29">
        <v>0.4196759259259259</v>
      </c>
      <c r="DK79" s="23">
        <v>57900</v>
      </c>
      <c r="DL79" s="23">
        <v>13535702</v>
      </c>
      <c r="DM79" s="23">
        <v>53700</v>
      </c>
      <c r="DN79" s="23">
        <v>54300</v>
      </c>
      <c r="DO79" s="23">
        <v>53300</v>
      </c>
      <c r="DP79" s="23">
        <v>53500</v>
      </c>
      <c r="DQ79" s="24">
        <v>45678</v>
      </c>
      <c r="DR79" s="23">
        <v>-8012733</v>
      </c>
      <c r="DS79" s="23">
        <v>-43502391</v>
      </c>
      <c r="DT79" s="23">
        <v>16707203</v>
      </c>
    </row>
    <row r="80" spans="2:124">
      <c r="C80" s="33">
        <f>DATE(LEFT(A84,4),MID(A84,5,2),RIGHT(A84,2))</f>
        <v>45747</v>
      </c>
      <c r="D80" s="33"/>
      <c r="E80" s="33"/>
      <c r="F80" s="33"/>
      <c r="G80" s="31">
        <f>_xll.IMDP($A$7,$F$4,$A$85,$C80,"CONS=연결우선,COMP=순,TRAI=연속")/1000</f>
        <v>79140500</v>
      </c>
      <c r="H80" s="31"/>
      <c r="I80" s="31"/>
      <c r="J80" s="31"/>
      <c r="K80" s="31"/>
      <c r="L80" s="66" t="str">
        <f>IFERROR(_xll.IMDP($A$7,$F$4,$A$86,$C80,"CONS=연결우선,COMP=순,TRAI=연속")/1000, "")</f>
        <v/>
      </c>
      <c r="M80" s="66"/>
      <c r="N80" s="66"/>
      <c r="O80" s="66"/>
      <c r="P80" s="66"/>
      <c r="Q80" s="31">
        <f>_xll.IMDP($A$7,$F$4,$A$87,$C80,"CONS=연결우선,COMP=순,TRAI=연속")/1000</f>
        <v>6685300</v>
      </c>
      <c r="R80" s="31"/>
      <c r="S80" s="31"/>
      <c r="T80" s="31"/>
      <c r="U80" s="31"/>
      <c r="V80" s="66" t="str">
        <f>_xll.IMDP($A$7,$F$4,$A$88,$C80,"CONS=연결우선,COMP=순,TRAI=연속")</f>
        <v/>
      </c>
      <c r="W80" s="66"/>
      <c r="X80" s="66"/>
      <c r="Y80" s="66"/>
      <c r="Z80" s="66"/>
      <c r="AA80" s="31">
        <f>_xll.IMDP($A$7,$F$4,$A$89,$C80,"CONS=연결우선,COMP=순,TRAI=연속")/1000</f>
        <v>8222900</v>
      </c>
      <c r="AB80" s="31"/>
      <c r="AC80" s="31"/>
      <c r="AD80" s="31"/>
      <c r="AE80" s="31"/>
      <c r="AF80" s="67" t="str">
        <f>_xll.IMDP($A$7,$F$4,$A$91,$C80,"CONS=연결우선,COMP=순,TRAI=연속")</f>
        <v/>
      </c>
      <c r="AG80" s="68"/>
      <c r="AH80" s="68"/>
      <c r="AI80" s="68"/>
      <c r="AJ80" s="69"/>
      <c r="AK80" s="71">
        <f>_xll.IMDP($A$7,$F$4,$A$90,$C80,"FILL=TRUE,CONS=연결우선,COMP=순,TRAI=연속")</f>
        <v>4949.6499999999996</v>
      </c>
      <c r="AL80" s="71"/>
      <c r="AM80" s="71"/>
      <c r="AN80" s="71"/>
      <c r="AO80" s="71"/>
      <c r="AP80" s="66">
        <f>_xll.IMDP($A$7,$F$4,$A$92,$C80,"FILL=TRUE,CONS=연결우선,COMP=순,TRAI=연속")</f>
        <v>11.68</v>
      </c>
      <c r="AQ80" s="66"/>
      <c r="AR80" s="66"/>
      <c r="AS80" s="66"/>
      <c r="AT80" s="66"/>
      <c r="AU80" s="66">
        <f>_xll.IMDP($A$7,$F$4,$A$93,$C80,"FILL=TRUE,CONS=연결우선,COMP=순,TRAI=연속")</f>
        <v>0.97</v>
      </c>
      <c r="AV80" s="66"/>
      <c r="AW80" s="66"/>
      <c r="AX80" s="66"/>
      <c r="AY80" s="66"/>
      <c r="AZ80" s="66" t="str">
        <f>_xll.IMDP($A$7,$F$4,$A$94,$C80,"CONS=연결우선,COMP=순,TRAI=연속")</f>
        <v/>
      </c>
      <c r="BA80" s="66"/>
      <c r="BB80" s="66"/>
      <c r="BC80" s="66"/>
      <c r="BD80" s="66"/>
      <c r="DE80" s="24">
        <v>45677</v>
      </c>
      <c r="DF80" s="23">
        <v>53400</v>
      </c>
      <c r="DG80" s="23">
        <v>23243.29</v>
      </c>
      <c r="DH80" s="23">
        <v>2520.0500000000002</v>
      </c>
      <c r="DI80" s="26">
        <v>11822531</v>
      </c>
      <c r="DJ80" s="29">
        <v>0.41956018518518517</v>
      </c>
      <c r="DK80" s="23">
        <v>58000</v>
      </c>
      <c r="DL80" s="23">
        <v>11822531</v>
      </c>
      <c r="DM80" s="23">
        <v>53600</v>
      </c>
      <c r="DN80" s="23">
        <v>53900</v>
      </c>
      <c r="DO80" s="23">
        <v>53300</v>
      </c>
      <c r="DP80" s="23">
        <v>53400</v>
      </c>
      <c r="DQ80" s="24">
        <v>45677</v>
      </c>
      <c r="DR80" s="23">
        <v>-16657375</v>
      </c>
      <c r="DS80" s="23">
        <v>-134954024</v>
      </c>
      <c r="DT80" s="23">
        <v>117034495</v>
      </c>
    </row>
    <row r="81" spans="1:124">
      <c r="A81" s="3">
        <f ca="1">TODAY()</f>
        <v>45792</v>
      </c>
      <c r="B81" s="9"/>
      <c r="C81" s="33">
        <f>EOMONTH(C80,-3)</f>
        <v>45657</v>
      </c>
      <c r="D81" s="33"/>
      <c r="E81" s="33"/>
      <c r="F81" s="33"/>
      <c r="G81" s="31">
        <f>_xll.IMDP($A$7,$F$4,$A$85,$C81,"CONS=연결우선,COMP=순,TRAI=연속")/1000</f>
        <v>75788269</v>
      </c>
      <c r="H81" s="31"/>
      <c r="I81" s="31"/>
      <c r="J81" s="31"/>
      <c r="K81" s="31"/>
      <c r="L81" s="66">
        <f>_xll.IMDP($A$7,$F$4,$A$86,$C81,"CONS=연결우선,COMP=순,TRAI=연속")/1000</f>
        <v>1.1820000000000001E-2</v>
      </c>
      <c r="M81" s="66"/>
      <c r="N81" s="66"/>
      <c r="O81" s="66"/>
      <c r="P81" s="66"/>
      <c r="Q81" s="31">
        <f>_xll.IMDP($A$7,$F$4,$A$87,$C81,"CONS=연결우선,COMP=순,TRAI=연속")/1000</f>
        <v>6492703</v>
      </c>
      <c r="R81" s="31"/>
      <c r="S81" s="31"/>
      <c r="T81" s="31"/>
      <c r="U81" s="31"/>
      <c r="V81" s="66">
        <f>_xll.IMDP($A$7,$F$4,$A$88,$C81,"CONS=연결우선,COMP=순,TRAI=연속")</f>
        <v>8.57</v>
      </c>
      <c r="W81" s="66"/>
      <c r="X81" s="66"/>
      <c r="Y81" s="66"/>
      <c r="Z81" s="66"/>
      <c r="AA81" s="31">
        <f>_xll.IMDP($A$7,$F$4,$A$89,$C81,"CONS=연결우선,COMP=순,TRAI=연속")/1000</f>
        <v>7754394</v>
      </c>
      <c r="AB81" s="31"/>
      <c r="AC81" s="31"/>
      <c r="AD81" s="31"/>
      <c r="AE81" s="31"/>
      <c r="AF81" s="67">
        <f>_xll.IMDP($A$7,$F$4,$A$91,$C81,"CONS=연결우선,COMP=순,TRAI=연속")</f>
        <v>22.22</v>
      </c>
      <c r="AG81" s="68"/>
      <c r="AH81" s="68"/>
      <c r="AI81" s="68"/>
      <c r="AJ81" s="69"/>
      <c r="AK81" s="71">
        <f>_xll.IMDP($A$7,$F$4,$A$90,$C81,"FILL=TRUE,CONS=연결우선,COMP=순,TRAI=연속")</f>
        <v>4721.13</v>
      </c>
      <c r="AL81" s="71"/>
      <c r="AM81" s="71"/>
      <c r="AN81" s="71"/>
      <c r="AO81" s="71"/>
      <c r="AP81" s="66">
        <f>_xll.IMDP($A$7,$F$4,$A$92,$C81,"FILL=TRUE,CONS=연결우선,COMP=순,TRAI=연속")</f>
        <v>11.27</v>
      </c>
      <c r="AQ81" s="66"/>
      <c r="AR81" s="66"/>
      <c r="AS81" s="66"/>
      <c r="AT81" s="66"/>
      <c r="AU81" s="66">
        <f>_xll.IMDP($A$7,$F$4,$A$93,$C81,"FILL=TRUE,CONS=연결우선,COMP=순,TRAI=연속")</f>
        <v>0.94</v>
      </c>
      <c r="AV81" s="66"/>
      <c r="AW81" s="66"/>
      <c r="AX81" s="66"/>
      <c r="AY81" s="66"/>
      <c r="AZ81" s="66">
        <f>_xll.IMDP($A$7,$F$4,$A$94,$C81,"FILL=TRUE,CONS=연결우선,COMP=순,TRAI=연속")</f>
        <v>283.05</v>
      </c>
      <c r="BA81" s="66"/>
      <c r="BB81" s="66"/>
      <c r="BC81" s="66"/>
      <c r="BD81" s="66"/>
      <c r="DE81" s="24">
        <v>45674</v>
      </c>
      <c r="DF81" s="23">
        <v>53700</v>
      </c>
      <c r="DG81" s="23">
        <v>23221.439999999999</v>
      </c>
      <c r="DH81" s="23">
        <v>2523.5500000000002</v>
      </c>
      <c r="DI81" s="26">
        <v>18805344</v>
      </c>
      <c r="DJ81" s="29">
        <v>0.4194444444444444</v>
      </c>
      <c r="DK81" s="23">
        <v>57950</v>
      </c>
      <c r="DL81" s="23">
        <v>18805344</v>
      </c>
      <c r="DM81" s="23">
        <v>53800</v>
      </c>
      <c r="DN81" s="23">
        <v>54100</v>
      </c>
      <c r="DO81" s="23">
        <v>53200</v>
      </c>
      <c r="DP81" s="23">
        <v>53700</v>
      </c>
      <c r="DQ81" s="24">
        <v>45674</v>
      </c>
      <c r="DR81" s="23">
        <v>-107178895</v>
      </c>
      <c r="DS81" s="23">
        <v>-271044219</v>
      </c>
      <c r="DT81" s="23">
        <v>340415858</v>
      </c>
    </row>
    <row r="82" spans="1:124">
      <c r="A82" s="3">
        <f ca="1">YEAR(A81)</f>
        <v>2025</v>
      </c>
      <c r="B82" s="9"/>
      <c r="C82" s="33">
        <f>EOMONTH(C81,-3)</f>
        <v>45565</v>
      </c>
      <c r="D82" s="33"/>
      <c r="E82" s="33"/>
      <c r="F82" s="33"/>
      <c r="G82" s="31">
        <f>_xll.IMDP($A$7,$F$4,$A$85,$C82,"CONS=연결우선,COMP=순,TRAI=연속")/1000</f>
        <v>79098731</v>
      </c>
      <c r="H82" s="31"/>
      <c r="I82" s="31"/>
      <c r="J82" s="31"/>
      <c r="K82" s="31"/>
      <c r="L82" s="66">
        <f>_xll.IMDP($A$7,$F$4,$A$86,$C82,"CONS=연결우선,COMP=순,TRAI=연속")/1000</f>
        <v>1.7350000000000001E-2</v>
      </c>
      <c r="M82" s="66"/>
      <c r="N82" s="66"/>
      <c r="O82" s="66"/>
      <c r="P82" s="66"/>
      <c r="Q82" s="31">
        <f>_xll.IMDP($A$7,$F$4,$A$87,$C82,"CONS=연결우선,COMP=순,TRAI=연속")/1000</f>
        <v>9183371</v>
      </c>
      <c r="R82" s="31"/>
      <c r="S82" s="31"/>
      <c r="T82" s="31"/>
      <c r="U82" s="31"/>
      <c r="V82" s="66">
        <f>_xll.IMDP($A$7,$F$4,$A$88,$C82,"CONS=연결우선,COMP=순,TRAI=연속")</f>
        <v>11.61</v>
      </c>
      <c r="W82" s="66"/>
      <c r="X82" s="66"/>
      <c r="Y82" s="66"/>
      <c r="Z82" s="66"/>
      <c r="AA82" s="31">
        <f>_xll.IMDP($A$7,$F$4,$A$89,$C82,"CONS=연결우선,COMP=순,TRAI=연속")/1000</f>
        <v>10100904</v>
      </c>
      <c r="AB82" s="31"/>
      <c r="AC82" s="31"/>
      <c r="AD82" s="31"/>
      <c r="AE82" s="31"/>
      <c r="AF82" s="67">
        <f>_xll.IMDP($A$7,$F$4,$A$91,$C82,"CONS=연결우선,COMP=순,TRAI=연속")</f>
        <v>72.84</v>
      </c>
      <c r="AG82" s="68"/>
      <c r="AH82" s="68"/>
      <c r="AI82" s="68"/>
      <c r="AJ82" s="69"/>
      <c r="AK82" s="71">
        <f>_xll.IMDP($A$7,$F$4,$A$90,$C82,"FILL=TRUE,CONS=연결우선,COMP=순,TRAI=연속")</f>
        <v>4091</v>
      </c>
      <c r="AL82" s="71"/>
      <c r="AM82" s="71"/>
      <c r="AN82" s="71"/>
      <c r="AO82" s="71"/>
      <c r="AP82" s="66">
        <f>_xll.IMDP($A$7,$F$4,$A$92,$C82,"FILL=TRUE,CONS=연결우선,COMP=순,TRAI=연속")</f>
        <v>15.03</v>
      </c>
      <c r="AQ82" s="66"/>
      <c r="AR82" s="66"/>
      <c r="AS82" s="66"/>
      <c r="AT82" s="66"/>
      <c r="AU82" s="66">
        <f>_xll.IMDP($A$7,$F$4,$A$93,$C82,"FILL=TRUE,CONS=연결우선,COMP=순,TRAI=연속")</f>
        <v>1.0900000000000001</v>
      </c>
      <c r="AV82" s="66"/>
      <c r="AW82" s="66"/>
      <c r="AX82" s="66"/>
      <c r="AY82" s="66"/>
      <c r="AZ82" s="66">
        <f>_xll.IMDP($A$7,$F$4,$A$94,$C82,"FILL=TRUE,CONS=연결우선,COMP=순,TRAI=연속")</f>
        <v>283.05</v>
      </c>
      <c r="BA82" s="66"/>
      <c r="BB82" s="66"/>
      <c r="BC82" s="66"/>
      <c r="BD82" s="66"/>
      <c r="DE82" s="24">
        <v>45673</v>
      </c>
      <c r="DF82" s="23">
        <v>54300</v>
      </c>
      <c r="DG82" s="23">
        <v>23211.55</v>
      </c>
      <c r="DH82" s="23">
        <v>2527.4899999999998</v>
      </c>
      <c r="DI82" s="26">
        <v>18627298</v>
      </c>
      <c r="DJ82" s="29">
        <v>0.41932870370370368</v>
      </c>
      <c r="DK82" s="23">
        <v>58000</v>
      </c>
      <c r="DL82" s="23">
        <v>18627298</v>
      </c>
      <c r="DM82" s="23">
        <v>54200</v>
      </c>
      <c r="DN82" s="23">
        <v>55000</v>
      </c>
      <c r="DO82" s="23">
        <v>54100</v>
      </c>
      <c r="DP82" s="23">
        <v>54300</v>
      </c>
      <c r="DQ82" s="24">
        <v>45673</v>
      </c>
      <c r="DR82" s="23">
        <v>-15198181</v>
      </c>
      <c r="DS82" s="23">
        <v>55219253</v>
      </c>
      <c r="DT82" s="23">
        <v>-67709318</v>
      </c>
    </row>
    <row r="83" spans="1:124">
      <c r="B83" s="9"/>
      <c r="C83" s="33">
        <f>EOMONTH(C82,-3)</f>
        <v>45473</v>
      </c>
      <c r="D83" s="33"/>
      <c r="E83" s="33"/>
      <c r="F83" s="33"/>
      <c r="G83" s="31">
        <f>_xll.IMDP($A$7,$F$4,$A$85,$C83,"CONS=연결우선,COMP=순,TRAI=연속")/1000</f>
        <v>74068302</v>
      </c>
      <c r="H83" s="31"/>
      <c r="I83" s="31"/>
      <c r="J83" s="31"/>
      <c r="K83" s="31"/>
      <c r="L83" s="66">
        <f>_xll.IMDP($A$7,$F$4,$A$86,$C83,"CONS=연결우선,COMP=순,TRAI=연속")/1000</f>
        <v>2.3440000000000003E-2</v>
      </c>
      <c r="M83" s="66"/>
      <c r="N83" s="66"/>
      <c r="O83" s="66"/>
      <c r="P83" s="66"/>
      <c r="Q83" s="31">
        <f>_xll.IMDP($A$7,$F$4,$A$87,$C83,"CONS=연결우선,COMP=순,TRAI=연속")/1000</f>
        <v>10443878</v>
      </c>
      <c r="R83" s="31"/>
      <c r="S83" s="31"/>
      <c r="T83" s="31"/>
      <c r="U83" s="31"/>
      <c r="V83" s="66">
        <f>_xll.IMDP($A$7,$F$4,$A$88,$C83,"CONS=연결우선,COMP=순,TRAI=연속")</f>
        <v>14.1</v>
      </c>
      <c r="W83" s="66"/>
      <c r="X83" s="66"/>
      <c r="Y83" s="66"/>
      <c r="Z83" s="66"/>
      <c r="AA83" s="31">
        <f>_xll.IMDP($A$7,$F$4,$A$89,$C83,"CONS=연결우선,COMP=순,TRAI=연속")/1000</f>
        <v>9841345</v>
      </c>
      <c r="AB83" s="31"/>
      <c r="AC83" s="31"/>
      <c r="AD83" s="31"/>
      <c r="AE83" s="31"/>
      <c r="AF83" s="67">
        <f>_xll.IMDP($A$7,$F$4,$A$91,$C83,"CONS=연결우선,COMP=순,TRAI=연속")</f>
        <v>470.99</v>
      </c>
      <c r="AG83" s="68"/>
      <c r="AH83" s="68"/>
      <c r="AI83" s="68"/>
      <c r="AJ83" s="69"/>
      <c r="AK83" s="71">
        <f>_xll.IMDP($A$7,$F$4,$A$90,$C83,"FILL=TRUE,CONS=연결우선,COMP=순,TRAI=연속")</f>
        <v>2899.18</v>
      </c>
      <c r="AL83" s="71"/>
      <c r="AM83" s="71"/>
      <c r="AN83" s="71"/>
      <c r="AO83" s="71"/>
      <c r="AP83" s="66">
        <f>_xll.IMDP($A$7,$F$4,$A$92,$C83,"FILL=TRUE,CONS=연결우선,COMP=순,TRAI=연속")</f>
        <v>28.11</v>
      </c>
      <c r="AQ83" s="66"/>
      <c r="AR83" s="66"/>
      <c r="AS83" s="66"/>
      <c r="AT83" s="66"/>
      <c r="AU83" s="66">
        <f>_xll.IMDP($A$7,$F$4,$A$93,$C83,"FILL=TRUE,CONS=연결우선,COMP=순,TRAI=연속")</f>
        <v>1.49</v>
      </c>
      <c r="AV83" s="66"/>
      <c r="AW83" s="66"/>
      <c r="AX83" s="66"/>
      <c r="AY83" s="66"/>
      <c r="AZ83" s="66">
        <f>_xll.IMDP($A$7,$F$4,$A$94,$C83,"FILL=TRUE,CONS=연결우선,COMP=순,TRAI=연속")</f>
        <v>283.05</v>
      </c>
      <c r="BA83" s="66"/>
      <c r="BB83" s="66"/>
      <c r="BC83" s="66"/>
      <c r="BD83" s="66"/>
      <c r="DE83" s="24">
        <v>45672</v>
      </c>
      <c r="DF83" s="23">
        <v>53700</v>
      </c>
      <c r="DG83" s="23">
        <v>22740.18</v>
      </c>
      <c r="DH83" s="23">
        <v>2496.81</v>
      </c>
      <c r="DI83" s="26">
        <v>18625025</v>
      </c>
      <c r="DJ83" s="29">
        <v>0.41921296296296295</v>
      </c>
      <c r="DK83" s="23">
        <v>57900</v>
      </c>
      <c r="DL83" s="23">
        <v>18625025</v>
      </c>
      <c r="DM83" s="23">
        <v>54100</v>
      </c>
      <c r="DN83" s="23">
        <v>54700</v>
      </c>
      <c r="DO83" s="23">
        <v>53500</v>
      </c>
      <c r="DP83" s="23">
        <v>53700</v>
      </c>
      <c r="DQ83" s="24">
        <v>45672</v>
      </c>
      <c r="DR83" s="23">
        <v>-89480553</v>
      </c>
      <c r="DS83" s="23">
        <v>-144953349</v>
      </c>
      <c r="DT83" s="23">
        <v>199695046</v>
      </c>
    </row>
    <row r="84" spans="1:124">
      <c r="A84" s="3">
        <f>_xll.IMDP($A$7,$F$4,$A85,,"FILL=TRUE,CONS=연결우선,COMP=순,TRAI=연속,DISP=DATE")</f>
        <v>20250331</v>
      </c>
      <c r="B84" s="9"/>
      <c r="C84" s="33">
        <f t="shared" ref="C84:C87" si="0">EOMONTH(C83,-3)</f>
        <v>45382</v>
      </c>
      <c r="D84" s="33"/>
      <c r="E84" s="33"/>
      <c r="F84" s="33"/>
      <c r="G84" s="31">
        <f>_xll.IMDP($A$7,$F$4,$A$85,$C84,"CONS=연결우선,COMP=순,TRAI=연속")/1000</f>
        <v>71915601</v>
      </c>
      <c r="H84" s="31"/>
      <c r="I84" s="31"/>
      <c r="J84" s="31"/>
      <c r="K84" s="31"/>
      <c r="L84" s="66">
        <f>_xll.IMDP($A$7,$F$4,$A$86,$C84,"CONS=연결우선,COMP=순,TRAI=연속")/1000</f>
        <v>1.282E-2</v>
      </c>
      <c r="M84" s="66"/>
      <c r="N84" s="66"/>
      <c r="O84" s="66"/>
      <c r="P84" s="66"/>
      <c r="Q84" s="31">
        <f>_xll.IMDP($A$7,$F$4,$A$87,$C84,"CONS=연결우선,COMP=순,TRAI=연속")/1000</f>
        <v>6606009</v>
      </c>
      <c r="R84" s="31"/>
      <c r="S84" s="31"/>
      <c r="T84" s="31"/>
      <c r="U84" s="31"/>
      <c r="V84" s="66">
        <f>_xll.IMDP($A$7,$F$4,$A$88,$C84,"CONS=연결우선,COMP=순,TRAI=연속")</f>
        <v>9.19</v>
      </c>
      <c r="W84" s="66"/>
      <c r="X84" s="66"/>
      <c r="Y84" s="66"/>
      <c r="Z84" s="66"/>
      <c r="AA84" s="31">
        <f>_xll.IMDP($A$7,$F$4,$A$89,$C84,"CONS=연결우선,COMP=순,TRAI=연속")/1000</f>
        <v>6754708</v>
      </c>
      <c r="AB84" s="31"/>
      <c r="AC84" s="31"/>
      <c r="AD84" s="31"/>
      <c r="AE84" s="31"/>
      <c r="AF84" s="67">
        <f>_xll.IMDP($A$7,$F$4,$A$91,$C84,"CONS=연결우선,COMP=순,TRAI=연속")</f>
        <v>328.98</v>
      </c>
      <c r="AG84" s="68"/>
      <c r="AH84" s="68"/>
      <c r="AI84" s="68"/>
      <c r="AJ84" s="69"/>
      <c r="AK84" s="71">
        <f>_xll.IMDP($A$7,$F$4,$A$90,$C84,"FILL=TRUE,CONS=연결우선,COMP=순,TRAI=연속")</f>
        <v>2899.18</v>
      </c>
      <c r="AL84" s="71"/>
      <c r="AM84" s="71"/>
      <c r="AN84" s="71"/>
      <c r="AO84" s="71"/>
      <c r="AP84" s="66">
        <f>_xll.IMDP($A$7,$F$4,$A$92,$C84,"FILL=TRUE,CONS=연결우선,COMP=순,TRAI=연속")</f>
        <v>38.67</v>
      </c>
      <c r="AQ84" s="66"/>
      <c r="AR84" s="66"/>
      <c r="AS84" s="66"/>
      <c r="AT84" s="66"/>
      <c r="AU84" s="66">
        <f>_xll.IMDP($A$7,$F$4,$A$93,$C84,"FILL=TRUE,CONS=연결우선,COMP=순,TRAI=연속")</f>
        <v>1.54</v>
      </c>
      <c r="AV84" s="66"/>
      <c r="AW84" s="66"/>
      <c r="AX84" s="66"/>
      <c r="AY84" s="66"/>
      <c r="AZ84" s="66">
        <f>_xll.IMDP($A$7,$F$4,$A$94,$C84,"FILL=TRUE,CONS=연결우선,COMP=순,TRAI=연속")</f>
        <v>283.05</v>
      </c>
      <c r="BA84" s="66"/>
      <c r="BB84" s="66"/>
      <c r="BC84" s="66"/>
      <c r="BD84" s="66"/>
      <c r="DE84" s="24">
        <v>45671</v>
      </c>
      <c r="DF84" s="23">
        <v>53900</v>
      </c>
      <c r="DG84" s="23">
        <v>22762.7</v>
      </c>
      <c r="DH84" s="23">
        <v>2497.4</v>
      </c>
      <c r="DI84" s="26">
        <v>17465926</v>
      </c>
      <c r="DJ84" s="29">
        <v>0.41909722222222218</v>
      </c>
      <c r="DK84" s="23">
        <v>58000</v>
      </c>
      <c r="DL84" s="23">
        <v>17465926</v>
      </c>
      <c r="DM84" s="23">
        <v>54200</v>
      </c>
      <c r="DN84" s="23">
        <v>54600</v>
      </c>
      <c r="DO84" s="23">
        <v>53700</v>
      </c>
      <c r="DP84" s="23">
        <v>53900</v>
      </c>
      <c r="DQ84" s="24">
        <v>45671</v>
      </c>
      <c r="DR84" s="23">
        <v>-212139</v>
      </c>
      <c r="DS84" s="23">
        <v>-200614064</v>
      </c>
      <c r="DT84" s="23">
        <v>180051577</v>
      </c>
    </row>
    <row r="85" spans="1:124">
      <c r="A85" s="3" t="s">
        <v>141</v>
      </c>
      <c r="B85" s="10"/>
      <c r="C85" s="33">
        <f t="shared" si="0"/>
        <v>45291</v>
      </c>
      <c r="D85" s="33"/>
      <c r="E85" s="33"/>
      <c r="F85" s="33"/>
      <c r="G85" s="31">
        <f>_xll.IMDP($A$7,$F$4,$A$85,$C85,"CONS=연결우선,COMP=순,TRAI=연속")/1000</f>
        <v>67779938</v>
      </c>
      <c r="H85" s="31"/>
      <c r="I85" s="31"/>
      <c r="J85" s="31"/>
      <c r="K85" s="31"/>
      <c r="L85" s="66">
        <f>_xll.IMDP($A$7,$F$4,$A$86,$C85,"CONS=연결우선,COMP=순,TRAI=연속")/1000</f>
        <v>-3.81E-3</v>
      </c>
      <c r="M85" s="66"/>
      <c r="N85" s="66"/>
      <c r="O85" s="66"/>
      <c r="P85" s="66"/>
      <c r="Q85" s="31">
        <f>_xll.IMDP($A$7,$F$4,$A$87,$C85,"CONS=연결우선,COMP=순,TRAI=연속")/1000</f>
        <v>2824717</v>
      </c>
      <c r="R85" s="31"/>
      <c r="S85" s="31"/>
      <c r="T85" s="31"/>
      <c r="U85" s="31"/>
      <c r="V85" s="66">
        <f>_xll.IMDP($A$7,$F$4,$A$88,$C85,"CONS=연결우선,COMP=순,TRAI=연속")</f>
        <v>4.17</v>
      </c>
      <c r="W85" s="66"/>
      <c r="X85" s="66"/>
      <c r="Y85" s="66"/>
      <c r="Z85" s="66"/>
      <c r="AA85" s="31">
        <f>_xll.IMDP($A$7,$F$4,$A$89,$C85,"CONS=연결우선,COMP=순,TRAI=연속")/1000</f>
        <v>6344758</v>
      </c>
      <c r="AB85" s="31"/>
      <c r="AC85" s="31"/>
      <c r="AD85" s="31"/>
      <c r="AE85" s="31"/>
      <c r="AF85" s="67">
        <f>_xll.IMDP($A$7,$F$4,$A$91,$C85,"CONS=연결우선,COMP=순,TRAI=연속")</f>
        <v>-73.39</v>
      </c>
      <c r="AG85" s="68"/>
      <c r="AH85" s="68"/>
      <c r="AI85" s="68"/>
      <c r="AJ85" s="69"/>
      <c r="AK85" s="71">
        <f>_xll.IMDP($A$7,$F$4,$A$90,$C85,"FILL=TRUE,CONS=연결우선,COMP=순,TRAI=연속")</f>
        <v>2130.7399999999998</v>
      </c>
      <c r="AL85" s="71"/>
      <c r="AM85" s="71"/>
      <c r="AN85" s="71"/>
      <c r="AO85" s="71"/>
      <c r="AP85" s="66">
        <f>_xll.IMDP($A$7,$F$4,$A$92,$C85,"FILL=TRUE,CONS=연결우선,COMP=순,TRAI=연속")</f>
        <v>12.74</v>
      </c>
      <c r="AQ85" s="66"/>
      <c r="AR85" s="66"/>
      <c r="AS85" s="66"/>
      <c r="AT85" s="66"/>
      <c r="AU85" s="66">
        <f>_xll.IMDP($A$7,$F$4,$A$93,$C85,"FILL=TRUE,CONS=연결우선,COMP=순,TRAI=연속")</f>
        <v>1.55</v>
      </c>
      <c r="AV85" s="66"/>
      <c r="AW85" s="66"/>
      <c r="AX85" s="66"/>
      <c r="AY85" s="66"/>
      <c r="AZ85" s="66">
        <f>_xll.IMDP($A$7,$F$4,$A$94,$C85,"FILL=TRUE,CONS=연결우선,COMP=순,TRAI=연속")</f>
        <v>312.27999999999997</v>
      </c>
      <c r="BA85" s="66"/>
      <c r="BB85" s="66"/>
      <c r="BC85" s="66"/>
      <c r="BD85" s="66"/>
      <c r="DE85" s="24">
        <v>45670</v>
      </c>
      <c r="DF85" s="23">
        <v>54100</v>
      </c>
      <c r="DG85" s="23">
        <v>22625.51</v>
      </c>
      <c r="DH85" s="23">
        <v>2489.56</v>
      </c>
      <c r="DI85" s="26">
        <v>16868600</v>
      </c>
      <c r="DJ85" s="29">
        <v>0.41898148148148145</v>
      </c>
      <c r="DK85" s="23">
        <v>58000</v>
      </c>
      <c r="DL85" s="23">
        <v>16868600</v>
      </c>
      <c r="DM85" s="23">
        <v>54600</v>
      </c>
      <c r="DN85" s="23">
        <v>55000</v>
      </c>
      <c r="DO85" s="23">
        <v>54100</v>
      </c>
      <c r="DP85" s="23">
        <v>54100</v>
      </c>
      <c r="DQ85" s="24">
        <v>45670</v>
      </c>
      <c r="DR85" s="23">
        <v>-16857618</v>
      </c>
      <c r="DS85" s="23">
        <v>-251720724</v>
      </c>
      <c r="DT85" s="23">
        <v>219262125</v>
      </c>
    </row>
    <row r="86" spans="1:124">
      <c r="A86" s="3" t="s">
        <v>145</v>
      </c>
      <c r="C86" s="33">
        <f t="shared" si="0"/>
        <v>45199</v>
      </c>
      <c r="D86" s="33"/>
      <c r="E86" s="33"/>
      <c r="F86" s="33"/>
      <c r="G86" s="31">
        <f>_xll.IMDP($A$7,$F$4,$A$85,$C86,"CONS=연결우선,COMP=순,TRAI=연속")/1000</f>
        <v>67404652</v>
      </c>
      <c r="H86" s="31"/>
      <c r="I86" s="31"/>
      <c r="J86" s="31"/>
      <c r="K86" s="31"/>
      <c r="L86" s="66">
        <f>_xll.IMDP($A$7,$F$4,$A$86,$C86,"CONS=연결우선,COMP=순,TRAI=연속")/1000</f>
        <v>-1.221E-2</v>
      </c>
      <c r="M86" s="66"/>
      <c r="N86" s="66"/>
      <c r="O86" s="66"/>
      <c r="P86" s="66"/>
      <c r="Q86" s="31">
        <f>_xll.IMDP($A$7,$F$4,$A$87,$C86,"CONS=연결우선,COMP=순,TRAI=연속")/1000</f>
        <v>2433534</v>
      </c>
      <c r="R86" s="31"/>
      <c r="S86" s="31"/>
      <c r="T86" s="31"/>
      <c r="U86" s="31"/>
      <c r="V86" s="66">
        <f>_xll.IMDP($A$7,$F$4,$A$88,$C86,"CONS=연결우선,COMP=순,TRAI=연속")</f>
        <v>3.61</v>
      </c>
      <c r="W86" s="66"/>
      <c r="X86" s="66"/>
      <c r="Y86" s="66"/>
      <c r="Z86" s="66"/>
      <c r="AA86" s="31">
        <f>_xll.IMDP($A$7,$F$4,$A$89,$C86,"CONS=연결우선,COMP=순,TRAI=연속")/1000</f>
        <v>5844171</v>
      </c>
      <c r="AB86" s="31"/>
      <c r="AC86" s="31"/>
      <c r="AD86" s="31"/>
      <c r="AE86" s="31"/>
      <c r="AF86" s="67">
        <f>_xll.IMDP($A$7,$F$4,$A$91,$C86,"CONS=연결우선,COMP=순,TRAI=연속")</f>
        <v>-37.76</v>
      </c>
      <c r="AG86" s="68"/>
      <c r="AH86" s="68"/>
      <c r="AI86" s="68"/>
      <c r="AJ86" s="69"/>
      <c r="AK86" s="71">
        <f>_xll.IMDP($A$7,$F$4,$A$90,$C86,"FILL=TRUE,CONS=연결우선,COMP=순,TRAI=연속")</f>
        <v>4703.91</v>
      </c>
      <c r="AL86" s="71"/>
      <c r="AM86" s="71"/>
      <c r="AN86" s="71"/>
      <c r="AO86" s="71"/>
      <c r="AP86" s="66">
        <f>_xll.IMDP($A$7,$F$4,$A$92,$C86,"FILL=TRUE,CONS=연결우선,COMP=순,TRAI=연속")</f>
        <v>11.1</v>
      </c>
      <c r="AQ86" s="66"/>
      <c r="AR86" s="66"/>
      <c r="AS86" s="66"/>
      <c r="AT86" s="66"/>
      <c r="AU86" s="66">
        <f>_xll.IMDP($A$7,$F$4,$A$93,$C86,"FILL=TRUE,CONS=연결우선,COMP=순,TRAI=연속")</f>
        <v>1.35</v>
      </c>
      <c r="AV86" s="66"/>
      <c r="AW86" s="66"/>
      <c r="AX86" s="66"/>
      <c r="AY86" s="66"/>
      <c r="AZ86" s="66">
        <f>_xll.IMDP($A$7,$F$4,$A$94,$C86,"FILL=TRUE,CONS=연결우선,COMP=순,TRAI=연속")</f>
        <v>51.71</v>
      </c>
      <c r="BA86" s="66"/>
      <c r="BB86" s="66"/>
      <c r="BC86" s="66"/>
      <c r="BD86" s="66"/>
      <c r="DE86" s="24">
        <v>45667</v>
      </c>
      <c r="DF86" s="23">
        <v>55300</v>
      </c>
      <c r="DG86" s="23">
        <v>23154.19</v>
      </c>
      <c r="DH86" s="23">
        <v>2515.7800000000002</v>
      </c>
      <c r="DI86" s="26">
        <v>16059223</v>
      </c>
      <c r="DJ86" s="29">
        <v>0.41886574074074073</v>
      </c>
      <c r="DK86" s="23">
        <v>58000</v>
      </c>
      <c r="DL86" s="23">
        <v>16059223</v>
      </c>
      <c r="DM86" s="23">
        <v>56100</v>
      </c>
      <c r="DN86" s="23">
        <v>56500</v>
      </c>
      <c r="DO86" s="23">
        <v>55200</v>
      </c>
      <c r="DP86" s="23">
        <v>55300</v>
      </c>
      <c r="DQ86" s="24">
        <v>45667</v>
      </c>
      <c r="DR86" s="23">
        <v>-91326577</v>
      </c>
      <c r="DS86" s="23">
        <v>-110224574</v>
      </c>
      <c r="DT86" s="23">
        <v>157218608</v>
      </c>
    </row>
    <row r="87" spans="1:124">
      <c r="A87" s="3" t="s">
        <v>142</v>
      </c>
      <c r="C87" s="33">
        <f t="shared" si="0"/>
        <v>45107</v>
      </c>
      <c r="D87" s="33"/>
      <c r="E87" s="33"/>
      <c r="F87" s="33"/>
      <c r="G87" s="31">
        <f>_xll.IMDP($A$7,$F$4,$A$85,$C87,"CONS=연결우선,COMP=순,TRAI=연속")/1000</f>
        <v>60005533</v>
      </c>
      <c r="H87" s="31"/>
      <c r="I87" s="31"/>
      <c r="J87" s="31"/>
      <c r="K87" s="31"/>
      <c r="L87" s="66">
        <f>_xll.IMDP($A$7,$F$4,$A$86,$C87,"CONS=연결우선,COMP=순,TRAI=연속")/1000</f>
        <v>-2.2280000000000001E-2</v>
      </c>
      <c r="M87" s="66"/>
      <c r="N87" s="66"/>
      <c r="O87" s="66"/>
      <c r="P87" s="66"/>
      <c r="Q87" s="31">
        <f>_xll.IMDP($A$7,$F$4,$A$87,$C87,"CONS=연결우선,COMP=순,TRAI=연속")/1000</f>
        <v>668547</v>
      </c>
      <c r="R87" s="31"/>
      <c r="S87" s="31"/>
      <c r="T87" s="31"/>
      <c r="U87" s="31"/>
      <c r="V87" s="66">
        <f>_xll.IMDP($A$7,$F$4,$A$88,$C87,"CONS=연결우선,COMP=순,TRAI=연속")</f>
        <v>1.1100000000000001</v>
      </c>
      <c r="W87" s="66"/>
      <c r="X87" s="66"/>
      <c r="Y87" s="66"/>
      <c r="Z87" s="66"/>
      <c r="AA87" s="31">
        <f>_xll.IMDP($A$7,$F$4,$A$89,$C87,"CONS=연결우선,COMP=순,TRAI=연속")/1000</f>
        <v>1723571</v>
      </c>
      <c r="AB87" s="31"/>
      <c r="AC87" s="31"/>
      <c r="AD87" s="31"/>
      <c r="AE87" s="31"/>
      <c r="AF87" s="67">
        <f>_xll.IMDP($A$7,$F$4,$A$91,$C87,"CONS=연결우선,COMP=순,TRAI=연속")</f>
        <v>-84.47</v>
      </c>
      <c r="AG87" s="68"/>
      <c r="AH87" s="68"/>
      <c r="AI87" s="68"/>
      <c r="AJ87" s="69"/>
      <c r="AK87" s="71">
        <f>_xll.IMDP($A$7,$F$4,$A$90,$C87,"FILL=TRUE,CONS=연결우선,COMP=순,TRAI=연속")</f>
        <v>5240.16</v>
      </c>
      <c r="AL87" s="71"/>
      <c r="AM87" s="71"/>
      <c r="AN87" s="71"/>
      <c r="AO87" s="71"/>
      <c r="AP87" s="66">
        <f>_xll.IMDP($A$7,$F$4,$A$92,$C87,"FILL=TRUE,CONS=연결우선,COMP=순,TRAI=연속")</f>
        <v>11.71</v>
      </c>
      <c r="AQ87" s="66"/>
      <c r="AR87" s="66"/>
      <c r="AS87" s="66"/>
      <c r="AT87" s="66"/>
      <c r="AU87" s="66">
        <f>_xll.IMDP($A$7,$F$4,$A$93,$C87,"FILL=TRUE,CONS=연결우선,COMP=순,TRAI=연속")</f>
        <v>1.42</v>
      </c>
      <c r="AV87" s="66"/>
      <c r="AW87" s="66"/>
      <c r="AX87" s="66"/>
      <c r="AY87" s="66"/>
      <c r="AZ87" s="66">
        <f>_xll.IMDP($A$7,$F$4,$A$94,$C87,"FILL=TRUE,CONS=연결우선,COMP=순,TRAI=연속")</f>
        <v>27</v>
      </c>
      <c r="BA87" s="66"/>
      <c r="BB87" s="66"/>
      <c r="BC87" s="66"/>
      <c r="BD87" s="66"/>
      <c r="DE87" s="24">
        <v>45666</v>
      </c>
      <c r="DF87" s="23">
        <v>56100</v>
      </c>
      <c r="DG87" s="23">
        <v>23495.72</v>
      </c>
      <c r="DH87" s="23">
        <v>2521.9</v>
      </c>
      <c r="DI87" s="26">
        <v>24490592</v>
      </c>
      <c r="DJ87" s="29">
        <v>0.41874999999999996</v>
      </c>
      <c r="DK87" s="23">
        <v>58000</v>
      </c>
      <c r="DL87" s="23">
        <v>24490592</v>
      </c>
      <c r="DM87" s="23">
        <v>57600</v>
      </c>
      <c r="DN87" s="23">
        <v>57700</v>
      </c>
      <c r="DO87" s="23">
        <v>56100</v>
      </c>
      <c r="DP87" s="23">
        <v>56100</v>
      </c>
      <c r="DQ87" s="24">
        <v>45666</v>
      </c>
      <c r="DR87" s="23">
        <v>-183638580</v>
      </c>
      <c r="DS87" s="23">
        <v>42830870</v>
      </c>
      <c r="DT87" s="23">
        <v>99446870</v>
      </c>
    </row>
    <row r="88" spans="1:124" ht="16.5" customHeight="1">
      <c r="A88" s="3" t="s">
        <v>140</v>
      </c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DE88" s="24">
        <v>45665</v>
      </c>
      <c r="DF88" s="23">
        <v>57300</v>
      </c>
      <c r="DG88" s="23">
        <v>23593.27</v>
      </c>
      <c r="DH88" s="23">
        <v>2521.0500000000002</v>
      </c>
      <c r="DI88" s="26">
        <v>26593553</v>
      </c>
      <c r="DJ88" s="29">
        <v>0.41863425925925923</v>
      </c>
      <c r="DK88" s="23">
        <v>58000</v>
      </c>
      <c r="DL88" s="23">
        <v>26593553</v>
      </c>
      <c r="DM88" s="23">
        <v>54800</v>
      </c>
      <c r="DN88" s="23">
        <v>57500</v>
      </c>
      <c r="DO88" s="23">
        <v>54700</v>
      </c>
      <c r="DP88" s="23">
        <v>57300</v>
      </c>
      <c r="DQ88" s="24">
        <v>45665</v>
      </c>
      <c r="DR88" s="23">
        <v>23450480</v>
      </c>
      <c r="DS88" s="23">
        <v>273346985</v>
      </c>
      <c r="DT88" s="23">
        <v>-337491569</v>
      </c>
    </row>
    <row r="89" spans="1:124">
      <c r="A89" s="3" t="s">
        <v>144</v>
      </c>
      <c r="DE89" s="24">
        <v>45664</v>
      </c>
      <c r="DF89" s="23">
        <v>55400</v>
      </c>
      <c r="DG89" s="23">
        <v>23100.6</v>
      </c>
      <c r="DH89" s="23">
        <v>2492.1</v>
      </c>
      <c r="DI89" s="26">
        <v>17030235</v>
      </c>
      <c r="DJ89" s="29">
        <v>0.41851851851851851</v>
      </c>
      <c r="DK89" s="23">
        <v>58000</v>
      </c>
      <c r="DL89" s="23">
        <v>17030235</v>
      </c>
      <c r="DM89" s="23">
        <v>56800</v>
      </c>
      <c r="DN89" s="23">
        <v>57300</v>
      </c>
      <c r="DO89" s="23">
        <v>55400</v>
      </c>
      <c r="DP89" s="23">
        <v>55400</v>
      </c>
      <c r="DQ89" s="24">
        <v>45664</v>
      </c>
      <c r="DR89" s="23">
        <v>-13323103</v>
      </c>
      <c r="DS89" s="23">
        <v>-49330400</v>
      </c>
      <c r="DT89" s="23">
        <v>4122808</v>
      </c>
    </row>
    <row r="90" spans="1:124">
      <c r="A90" s="3" t="str">
        <f>INDEX($A$97:$A$98,$A$96)</f>
        <v>인포맥스EPS</v>
      </c>
      <c r="DE90" s="24">
        <v>45663</v>
      </c>
      <c r="DF90" s="23">
        <v>55900</v>
      </c>
      <c r="DG90" s="23">
        <v>23296.98</v>
      </c>
      <c r="DH90" s="23">
        <v>2488.64</v>
      </c>
      <c r="DI90" s="26">
        <v>19034284</v>
      </c>
      <c r="DJ90" s="29">
        <v>0.41840277777777773</v>
      </c>
      <c r="DK90" s="23">
        <v>58000</v>
      </c>
      <c r="DL90" s="23">
        <v>19034284</v>
      </c>
      <c r="DM90" s="23">
        <v>54400</v>
      </c>
      <c r="DN90" s="23">
        <v>56200</v>
      </c>
      <c r="DO90" s="23">
        <v>54300</v>
      </c>
      <c r="DP90" s="23">
        <v>55900</v>
      </c>
      <c r="DQ90" s="24">
        <v>45663</v>
      </c>
      <c r="DR90" s="23">
        <v>52991255</v>
      </c>
      <c r="DS90" s="23">
        <v>94941097</v>
      </c>
      <c r="DT90" s="23">
        <v>-202252709</v>
      </c>
    </row>
    <row r="91" spans="1:124">
      <c r="A91" s="3" t="s">
        <v>258</v>
      </c>
      <c r="DE91" s="24">
        <v>45660</v>
      </c>
      <c r="DF91" s="23">
        <v>54400</v>
      </c>
      <c r="DG91" s="23">
        <v>22432.57</v>
      </c>
      <c r="DH91" s="23">
        <v>2441.92</v>
      </c>
      <c r="DI91" s="26">
        <v>19318046</v>
      </c>
      <c r="DJ91" s="29">
        <v>0.41828703703703701</v>
      </c>
      <c r="DK91" s="23">
        <v>58000</v>
      </c>
      <c r="DL91" s="23">
        <v>19318046</v>
      </c>
      <c r="DM91" s="23">
        <v>52800</v>
      </c>
      <c r="DN91" s="23">
        <v>55100</v>
      </c>
      <c r="DO91" s="23">
        <v>52800</v>
      </c>
      <c r="DP91" s="23">
        <v>54400</v>
      </c>
      <c r="DQ91" s="24">
        <v>45660</v>
      </c>
      <c r="DR91" s="23">
        <v>116408416</v>
      </c>
      <c r="DS91" s="23">
        <v>34599916</v>
      </c>
      <c r="DT91" s="23">
        <v>-204685038</v>
      </c>
    </row>
    <row r="92" spans="1:124">
      <c r="A92" s="3" t="str">
        <f>INDEX($A$101:$A$102,$A$100)</f>
        <v>인포맥스PER</v>
      </c>
      <c r="DE92" s="24">
        <v>45659</v>
      </c>
      <c r="DF92" s="23">
        <v>53400</v>
      </c>
      <c r="DG92" s="23">
        <v>21811.75</v>
      </c>
      <c r="DH92" s="23">
        <v>2398.94</v>
      </c>
      <c r="DI92" s="26">
        <v>16630538</v>
      </c>
      <c r="DJ92" s="29">
        <v>0.41817129629629629</v>
      </c>
      <c r="DK92" s="23">
        <v>57950</v>
      </c>
      <c r="DL92" s="23">
        <v>16630538</v>
      </c>
      <c r="DM92" s="23">
        <v>52700</v>
      </c>
      <c r="DN92" s="23">
        <v>53600</v>
      </c>
      <c r="DO92" s="23">
        <v>52300</v>
      </c>
      <c r="DP92" s="23">
        <v>53400</v>
      </c>
      <c r="DQ92" s="24">
        <v>45659</v>
      </c>
      <c r="DR92" s="23">
        <v>-83508752</v>
      </c>
      <c r="DS92" s="23">
        <v>-51800677</v>
      </c>
      <c r="DT92" s="23">
        <v>80049851</v>
      </c>
    </row>
    <row r="93" spans="1:124">
      <c r="A93" s="3" t="s">
        <v>143</v>
      </c>
      <c r="DE93" s="24">
        <v>45656</v>
      </c>
      <c r="DF93" s="23">
        <v>53200</v>
      </c>
      <c r="DG93" s="23">
        <v>21839.66</v>
      </c>
      <c r="DH93" s="23">
        <v>2399.4899999999998</v>
      </c>
      <c r="DI93" s="26">
        <v>12624702</v>
      </c>
      <c r="DJ93" s="29">
        <v>0.41805555555555551</v>
      </c>
      <c r="DK93" s="23">
        <v>57950</v>
      </c>
      <c r="DL93" s="23">
        <v>12624702</v>
      </c>
      <c r="DM93" s="23">
        <v>53300</v>
      </c>
      <c r="DN93" s="23">
        <v>54000</v>
      </c>
      <c r="DO93" s="23">
        <v>53100</v>
      </c>
      <c r="DP93" s="23">
        <v>53200</v>
      </c>
      <c r="DQ93" s="24">
        <v>45656</v>
      </c>
      <c r="DR93" s="23">
        <v>-3277286</v>
      </c>
      <c r="DS93" s="23">
        <v>-143037495</v>
      </c>
      <c r="DT93" s="23">
        <v>72859109</v>
      </c>
    </row>
    <row r="94" spans="1:124">
      <c r="A94" s="3" t="s">
        <v>139</v>
      </c>
      <c r="DE94" s="24">
        <v>45653</v>
      </c>
      <c r="DF94" s="23">
        <v>53700</v>
      </c>
      <c r="DG94" s="23">
        <v>21966.78</v>
      </c>
      <c r="DH94" s="23">
        <v>2404.77</v>
      </c>
      <c r="DI94" s="26">
        <v>10747196</v>
      </c>
      <c r="DJ94" s="29">
        <v>0.41793981481481479</v>
      </c>
      <c r="DK94" s="23">
        <v>57950</v>
      </c>
      <c r="DL94" s="23">
        <v>10747196</v>
      </c>
      <c r="DM94" s="23">
        <v>53500</v>
      </c>
      <c r="DN94" s="23">
        <v>54100</v>
      </c>
      <c r="DO94" s="23">
        <v>53200</v>
      </c>
      <c r="DP94" s="23">
        <v>53700</v>
      </c>
      <c r="DQ94" s="24">
        <v>45653</v>
      </c>
      <c r="DR94" s="23">
        <v>-13922534</v>
      </c>
      <c r="DS94" s="23">
        <v>-2171267</v>
      </c>
      <c r="DT94" s="23">
        <v>-39507459</v>
      </c>
    </row>
    <row r="95" spans="1:124">
      <c r="DE95" s="24">
        <v>45652</v>
      </c>
      <c r="DF95" s="23">
        <v>53600</v>
      </c>
      <c r="DG95" s="23">
        <v>21850.67</v>
      </c>
      <c r="DH95" s="23">
        <v>2429.67</v>
      </c>
      <c r="DI95" s="26">
        <v>10517075</v>
      </c>
      <c r="DJ95" s="29">
        <v>0.41782407407407407</v>
      </c>
      <c r="DK95" s="23">
        <v>58000</v>
      </c>
      <c r="DL95" s="23">
        <v>10517075</v>
      </c>
      <c r="DM95" s="23">
        <v>54500</v>
      </c>
      <c r="DN95" s="23">
        <v>54600</v>
      </c>
      <c r="DO95" s="23">
        <v>53500</v>
      </c>
      <c r="DP95" s="23">
        <v>53600</v>
      </c>
      <c r="DQ95" s="24">
        <v>45652</v>
      </c>
      <c r="DR95" s="23">
        <v>-6930760</v>
      </c>
      <c r="DS95" s="23">
        <v>-73581478</v>
      </c>
      <c r="DT95" s="23">
        <v>13274611</v>
      </c>
    </row>
    <row r="96" spans="1:124">
      <c r="A96" s="3">
        <v>1</v>
      </c>
      <c r="DE96" s="24">
        <v>45650</v>
      </c>
      <c r="DF96" s="23">
        <v>54400</v>
      </c>
      <c r="DG96" s="23">
        <v>22076.19</v>
      </c>
      <c r="DH96" s="23">
        <v>2440.52</v>
      </c>
      <c r="DI96" s="26">
        <v>11634677</v>
      </c>
      <c r="DJ96" s="29">
        <v>0.41770833333333329</v>
      </c>
      <c r="DK96" s="23">
        <v>57950</v>
      </c>
      <c r="DL96" s="23">
        <v>11634677</v>
      </c>
      <c r="DM96" s="23">
        <v>53700</v>
      </c>
      <c r="DN96" s="23">
        <v>54500</v>
      </c>
      <c r="DO96" s="23">
        <v>53600</v>
      </c>
      <c r="DP96" s="23">
        <v>54400</v>
      </c>
      <c r="DQ96" s="24">
        <v>45650</v>
      </c>
      <c r="DR96" s="23">
        <v>3599663</v>
      </c>
      <c r="DS96" s="23">
        <v>103093058</v>
      </c>
      <c r="DT96" s="23">
        <v>-168358856</v>
      </c>
    </row>
    <row r="97" spans="1:124">
      <c r="A97" s="3" t="s">
        <v>254</v>
      </c>
      <c r="DE97" s="24">
        <v>45649</v>
      </c>
      <c r="DF97" s="23">
        <v>53500</v>
      </c>
      <c r="DG97" s="23">
        <v>22016.959999999999</v>
      </c>
      <c r="DH97" s="23">
        <v>2442.0100000000002</v>
      </c>
      <c r="DI97" s="26">
        <v>13672650</v>
      </c>
      <c r="DJ97" s="29">
        <v>0.41759259259259257</v>
      </c>
      <c r="DK97" s="23">
        <v>57950</v>
      </c>
      <c r="DL97" s="23">
        <v>13672650</v>
      </c>
      <c r="DM97" s="23">
        <v>53400</v>
      </c>
      <c r="DN97" s="23">
        <v>54000</v>
      </c>
      <c r="DO97" s="23">
        <v>53300</v>
      </c>
      <c r="DP97" s="23">
        <v>53500</v>
      </c>
      <c r="DQ97" s="24">
        <v>45649</v>
      </c>
      <c r="DR97" s="23">
        <v>24961657</v>
      </c>
      <c r="DS97" s="23">
        <v>-44488166</v>
      </c>
      <c r="DT97" s="23">
        <v>-37622295</v>
      </c>
    </row>
    <row r="98" spans="1:124">
      <c r="A98" s="3" t="s">
        <v>255</v>
      </c>
      <c r="DE98" s="24">
        <v>45646</v>
      </c>
      <c r="DF98" s="23">
        <v>53000</v>
      </c>
      <c r="DG98" s="23">
        <v>21761.26</v>
      </c>
      <c r="DH98" s="23">
        <v>2404.15</v>
      </c>
      <c r="DI98" s="26">
        <v>24674774</v>
      </c>
      <c r="DJ98" s="29">
        <v>0.41747685185185185</v>
      </c>
      <c r="DK98" s="23">
        <v>57950</v>
      </c>
      <c r="DL98" s="23">
        <v>24674774</v>
      </c>
      <c r="DM98" s="23">
        <v>52700</v>
      </c>
      <c r="DN98" s="23">
        <v>53100</v>
      </c>
      <c r="DO98" s="23">
        <v>51900</v>
      </c>
      <c r="DP98" s="23">
        <v>53000</v>
      </c>
      <c r="DQ98" s="24">
        <v>45646</v>
      </c>
      <c r="DR98" s="23">
        <v>-69700336</v>
      </c>
      <c r="DS98" s="23">
        <v>-249834854</v>
      </c>
      <c r="DT98" s="23">
        <v>244320269</v>
      </c>
    </row>
    <row r="99" spans="1:124">
      <c r="DE99" s="24">
        <v>45645</v>
      </c>
      <c r="DF99" s="23">
        <v>53100</v>
      </c>
      <c r="DG99" s="23">
        <v>22149.63</v>
      </c>
      <c r="DH99" s="23">
        <v>2435.9299999999998</v>
      </c>
      <c r="DI99" s="26">
        <v>22481925</v>
      </c>
      <c r="DJ99" s="29">
        <v>0.41736111111111107</v>
      </c>
      <c r="DK99" s="23">
        <v>58000</v>
      </c>
      <c r="DL99" s="23">
        <v>22481925</v>
      </c>
      <c r="DM99" s="23">
        <v>53500</v>
      </c>
      <c r="DN99" s="23">
        <v>53800</v>
      </c>
      <c r="DO99" s="23">
        <v>53100</v>
      </c>
      <c r="DP99" s="23">
        <v>53100</v>
      </c>
      <c r="DQ99" s="24">
        <v>45645</v>
      </c>
      <c r="DR99" s="23">
        <v>-149979392</v>
      </c>
      <c r="DS99" s="23">
        <v>-327745823</v>
      </c>
      <c r="DT99" s="23">
        <v>400922766</v>
      </c>
    </row>
    <row r="100" spans="1:124">
      <c r="A100" s="3">
        <v>1</v>
      </c>
      <c r="DE100" s="24">
        <v>45644</v>
      </c>
      <c r="DF100" s="23">
        <v>54900</v>
      </c>
      <c r="DG100" s="23">
        <v>22872.959999999999</v>
      </c>
      <c r="DH100" s="23">
        <v>2484.4299999999998</v>
      </c>
      <c r="DI100" s="26">
        <v>13698937</v>
      </c>
      <c r="DJ100" s="29">
        <v>0.41724537037037035</v>
      </c>
      <c r="DK100" s="23">
        <v>58000</v>
      </c>
      <c r="DL100" s="23">
        <v>13698937</v>
      </c>
      <c r="DM100" s="23">
        <v>54100</v>
      </c>
      <c r="DN100" s="23">
        <v>55400</v>
      </c>
      <c r="DO100" s="23">
        <v>54000</v>
      </c>
      <c r="DP100" s="23">
        <v>54900</v>
      </c>
      <c r="DQ100" s="24">
        <v>45644</v>
      </c>
      <c r="DR100" s="23">
        <v>4331300</v>
      </c>
      <c r="DS100" s="23">
        <v>40920205</v>
      </c>
      <c r="DT100" s="23">
        <v>-99993665</v>
      </c>
    </row>
    <row r="101" spans="1:124">
      <c r="A101" s="3" t="s">
        <v>256</v>
      </c>
      <c r="DE101" s="24">
        <v>45643</v>
      </c>
      <c r="DF101" s="23">
        <v>54200</v>
      </c>
      <c r="DG101" s="23">
        <v>22706.75</v>
      </c>
      <c r="DH101" s="23">
        <v>2456.81</v>
      </c>
      <c r="DI101" s="26">
        <v>20215230</v>
      </c>
      <c r="DJ101" s="29">
        <v>0.41712962962962963</v>
      </c>
      <c r="DK101" s="23">
        <v>57900</v>
      </c>
      <c r="DL101" s="23">
        <v>20215230</v>
      </c>
      <c r="DM101" s="23">
        <v>54700</v>
      </c>
      <c r="DN101" s="23">
        <v>55200</v>
      </c>
      <c r="DO101" s="23">
        <v>54000</v>
      </c>
      <c r="DP101" s="23">
        <v>54200</v>
      </c>
      <c r="DQ101" s="24">
        <v>45643</v>
      </c>
      <c r="DR101" s="23">
        <v>35989792</v>
      </c>
      <c r="DS101" s="23">
        <v>-232473729</v>
      </c>
      <c r="DT101" s="23">
        <v>145868365</v>
      </c>
    </row>
    <row r="102" spans="1:124">
      <c r="A102" s="3" t="s">
        <v>257</v>
      </c>
      <c r="DE102" s="24">
        <v>45642</v>
      </c>
      <c r="DF102" s="23">
        <v>55600</v>
      </c>
      <c r="DG102" s="23">
        <v>23093.87</v>
      </c>
      <c r="DH102" s="23">
        <v>2488.9699999999998</v>
      </c>
      <c r="DI102" s="26">
        <v>15277277</v>
      </c>
      <c r="DJ102" s="29">
        <v>0.41701388888888885</v>
      </c>
      <c r="DK102" s="23">
        <v>57950</v>
      </c>
      <c r="DL102" s="23">
        <v>15277277</v>
      </c>
      <c r="DM102" s="23">
        <v>56300</v>
      </c>
      <c r="DN102" s="23">
        <v>56600</v>
      </c>
      <c r="DO102" s="23">
        <v>55200</v>
      </c>
      <c r="DP102" s="23">
        <v>55600</v>
      </c>
      <c r="DQ102" s="24">
        <v>45642</v>
      </c>
      <c r="DR102" s="23">
        <v>10045178</v>
      </c>
      <c r="DS102" s="23">
        <v>-169873143</v>
      </c>
      <c r="DT102" s="23">
        <v>104842844</v>
      </c>
    </row>
    <row r="103" spans="1:124">
      <c r="DE103" s="24">
        <v>45639</v>
      </c>
      <c r="DF103" s="23">
        <v>56100</v>
      </c>
      <c r="DG103" s="23">
        <v>23072.92</v>
      </c>
      <c r="DH103" s="23">
        <v>2494.46</v>
      </c>
      <c r="DI103" s="26">
        <v>15908823</v>
      </c>
      <c r="DJ103" s="29">
        <v>0.41689814814814813</v>
      </c>
      <c r="DK103" s="23">
        <v>57950</v>
      </c>
      <c r="DL103" s="23">
        <v>15908823</v>
      </c>
      <c r="DM103" s="23">
        <v>55800</v>
      </c>
      <c r="DN103" s="23">
        <v>56300</v>
      </c>
      <c r="DO103" s="23">
        <v>55500</v>
      </c>
      <c r="DP103" s="23">
        <v>56100</v>
      </c>
      <c r="DQ103" s="24">
        <v>45639</v>
      </c>
      <c r="DR103" s="23">
        <v>37514638</v>
      </c>
      <c r="DS103" s="23">
        <v>-110726400</v>
      </c>
      <c r="DT103" s="23">
        <v>-11540652</v>
      </c>
    </row>
    <row r="104" spans="1:124">
      <c r="DE104" s="24">
        <v>45638</v>
      </c>
      <c r="DF104" s="23">
        <v>55900</v>
      </c>
      <c r="DG104" s="23">
        <v>23052.48</v>
      </c>
      <c r="DH104" s="23">
        <v>2482.12</v>
      </c>
      <c r="DI104" s="26">
        <v>33476698</v>
      </c>
      <c r="DJ104" s="29">
        <v>0.41678240740740741</v>
      </c>
      <c r="DK104" s="23">
        <v>57900</v>
      </c>
      <c r="DL104" s="23">
        <v>33476698</v>
      </c>
      <c r="DM104" s="23">
        <v>54000</v>
      </c>
      <c r="DN104" s="23">
        <v>56500</v>
      </c>
      <c r="DO104" s="23">
        <v>53900</v>
      </c>
      <c r="DP104" s="23">
        <v>55900</v>
      </c>
      <c r="DQ104" s="24">
        <v>45638</v>
      </c>
      <c r="DR104" s="23">
        <v>152648046</v>
      </c>
      <c r="DS104" s="23">
        <v>-57638464</v>
      </c>
      <c r="DT104" s="23">
        <v>-172686718</v>
      </c>
    </row>
    <row r="105" spans="1:124">
      <c r="DE105" s="24">
        <v>45637</v>
      </c>
      <c r="DF105" s="23">
        <v>54000</v>
      </c>
      <c r="DG105" s="23">
        <v>22264.05</v>
      </c>
      <c r="DH105" s="23">
        <v>2442.5100000000002</v>
      </c>
      <c r="DI105" s="26">
        <v>14565947</v>
      </c>
      <c r="DJ105" s="29">
        <v>0.41666666666666663</v>
      </c>
      <c r="DK105" s="23">
        <v>57950</v>
      </c>
      <c r="DL105" s="23">
        <v>14565947</v>
      </c>
      <c r="DM105" s="23">
        <v>53600</v>
      </c>
      <c r="DN105" s="23">
        <v>54200</v>
      </c>
      <c r="DO105" s="23">
        <v>53400</v>
      </c>
      <c r="DP105" s="23">
        <v>54000</v>
      </c>
      <c r="DQ105" s="24">
        <v>45637</v>
      </c>
      <c r="DR105" s="23">
        <v>6822426</v>
      </c>
      <c r="DS105" s="23">
        <v>-80720291</v>
      </c>
      <c r="DT105" s="23">
        <v>-2532919</v>
      </c>
    </row>
    <row r="106" spans="1:124">
      <c r="DE106" s="24">
        <v>45636</v>
      </c>
      <c r="DF106" s="23">
        <v>54000</v>
      </c>
      <c r="DG106" s="23">
        <v>22207.43</v>
      </c>
      <c r="DH106" s="23">
        <v>2417.84</v>
      </c>
      <c r="DI106" s="26">
        <v>20783970</v>
      </c>
      <c r="DJ106" s="29">
        <v>0.41655092592592591</v>
      </c>
      <c r="DK106" s="23">
        <v>57950</v>
      </c>
      <c r="DL106" s="23">
        <v>20783970</v>
      </c>
      <c r="DM106" s="23">
        <v>54500</v>
      </c>
      <c r="DN106" s="23">
        <v>54500</v>
      </c>
      <c r="DO106" s="23">
        <v>53700</v>
      </c>
      <c r="DP106" s="23">
        <v>54000</v>
      </c>
      <c r="DQ106" s="24">
        <v>45636</v>
      </c>
      <c r="DR106" s="23">
        <v>58477374</v>
      </c>
      <c r="DS106" s="23">
        <v>-131841047</v>
      </c>
      <c r="DT106" s="23">
        <v>-5819214</v>
      </c>
    </row>
    <row r="107" spans="1:124">
      <c r="DE107" s="24">
        <v>45635</v>
      </c>
      <c r="DF107" s="23">
        <v>53400</v>
      </c>
      <c r="DG107" s="23">
        <v>21893.27</v>
      </c>
      <c r="DH107" s="23">
        <v>2360.58</v>
      </c>
      <c r="DI107" s="26">
        <v>26227680</v>
      </c>
      <c r="DJ107" s="29">
        <v>0.41643518518518519</v>
      </c>
      <c r="DK107" s="23">
        <v>57950</v>
      </c>
      <c r="DL107" s="23">
        <v>26227680</v>
      </c>
      <c r="DM107" s="23">
        <v>53500</v>
      </c>
      <c r="DN107" s="23">
        <v>54600</v>
      </c>
      <c r="DO107" s="23">
        <v>53200</v>
      </c>
      <c r="DP107" s="23">
        <v>53400</v>
      </c>
      <c r="DQ107" s="24">
        <v>45635</v>
      </c>
      <c r="DR107" s="23">
        <v>132599163</v>
      </c>
      <c r="DS107" s="23">
        <v>-73864469</v>
      </c>
      <c r="DT107" s="23">
        <v>-122811512</v>
      </c>
    </row>
    <row r="108" spans="1:124">
      <c r="DE108" s="24">
        <v>45632</v>
      </c>
      <c r="DF108" s="23">
        <v>54100</v>
      </c>
      <c r="DG108" s="23">
        <v>22182.03</v>
      </c>
      <c r="DH108" s="23">
        <v>2428.16</v>
      </c>
      <c r="DI108" s="26">
        <v>22861874</v>
      </c>
      <c r="DJ108" s="29">
        <v>0.41631944444444441</v>
      </c>
      <c r="DK108" s="23">
        <v>57950</v>
      </c>
      <c r="DL108" s="23">
        <v>22861874</v>
      </c>
      <c r="DM108" s="23">
        <v>53900</v>
      </c>
      <c r="DN108" s="23">
        <v>54400</v>
      </c>
      <c r="DO108" s="23">
        <v>52700</v>
      </c>
      <c r="DP108" s="23">
        <v>54100</v>
      </c>
      <c r="DQ108" s="24">
        <v>45632</v>
      </c>
      <c r="DR108" s="23">
        <v>169663402</v>
      </c>
      <c r="DS108" s="23">
        <v>-70955896</v>
      </c>
      <c r="DT108" s="23">
        <v>-151205191</v>
      </c>
    </row>
    <row r="109" spans="1:124">
      <c r="DE109" s="24">
        <v>45631</v>
      </c>
      <c r="DF109" s="23">
        <v>53700</v>
      </c>
      <c r="DG109" s="23">
        <v>22213.17</v>
      </c>
      <c r="DH109" s="23">
        <v>2441.85</v>
      </c>
      <c r="DI109" s="26">
        <v>23588277</v>
      </c>
      <c r="DJ109" s="29">
        <v>0.41620370370370369</v>
      </c>
      <c r="DK109" s="23">
        <v>57900</v>
      </c>
      <c r="DL109" s="23">
        <v>23588277</v>
      </c>
      <c r="DM109" s="23">
        <v>53200</v>
      </c>
      <c r="DN109" s="23">
        <v>54400</v>
      </c>
      <c r="DO109" s="23">
        <v>53200</v>
      </c>
      <c r="DP109" s="23">
        <v>53700</v>
      </c>
      <c r="DQ109" s="24">
        <v>45631</v>
      </c>
      <c r="DR109" s="23">
        <v>135073764</v>
      </c>
      <c r="DS109" s="23">
        <v>-139453891</v>
      </c>
      <c r="DT109" s="23">
        <v>-48106176</v>
      </c>
    </row>
    <row r="110" spans="1:124">
      <c r="DE110" s="24">
        <v>45630</v>
      </c>
      <c r="DF110" s="23">
        <v>53100</v>
      </c>
      <c r="DG110" s="23">
        <v>22073.35</v>
      </c>
      <c r="DH110" s="23">
        <v>2464</v>
      </c>
      <c r="DI110" s="26">
        <v>29004766</v>
      </c>
      <c r="DJ110" s="29">
        <v>0.41608796296296297</v>
      </c>
      <c r="DK110" s="23">
        <v>57900</v>
      </c>
      <c r="DL110" s="23">
        <v>29004766</v>
      </c>
      <c r="DM110" s="23">
        <v>52000</v>
      </c>
      <c r="DN110" s="23">
        <v>53400</v>
      </c>
      <c r="DO110" s="23">
        <v>52000</v>
      </c>
      <c r="DP110" s="23">
        <v>53100</v>
      </c>
      <c r="DQ110" s="24">
        <v>45630</v>
      </c>
      <c r="DR110" s="23">
        <v>-18825197</v>
      </c>
      <c r="DS110" s="23">
        <v>-75662620</v>
      </c>
      <c r="DT110" s="23">
        <v>57948704</v>
      </c>
    </row>
    <row r="111" spans="1:124">
      <c r="DE111" s="24">
        <v>45629</v>
      </c>
      <c r="DF111" s="23">
        <v>53600</v>
      </c>
      <c r="DG111" s="23">
        <v>22227.439999999999</v>
      </c>
      <c r="DH111" s="23">
        <v>2500.1</v>
      </c>
      <c r="DI111" s="26">
        <v>23374603</v>
      </c>
      <c r="DJ111" s="29">
        <v>0.41597222222222219</v>
      </c>
      <c r="DK111" s="23">
        <v>57850</v>
      </c>
      <c r="DL111" s="23">
        <v>23374603</v>
      </c>
      <c r="DM111" s="23">
        <v>53100</v>
      </c>
      <c r="DN111" s="23">
        <v>54400</v>
      </c>
      <c r="DO111" s="23">
        <v>53100</v>
      </c>
      <c r="DP111" s="23">
        <v>53600</v>
      </c>
      <c r="DQ111" s="24">
        <v>45629</v>
      </c>
      <c r="DR111" s="23">
        <v>15783608</v>
      </c>
      <c r="DS111" s="23">
        <v>-112421181</v>
      </c>
      <c r="DT111" s="23">
        <v>48277933</v>
      </c>
    </row>
    <row r="112" spans="1:124">
      <c r="DE112" s="24">
        <v>45628</v>
      </c>
      <c r="DF112" s="23">
        <v>53600</v>
      </c>
      <c r="DG112" s="23">
        <v>21941.53</v>
      </c>
      <c r="DH112" s="23">
        <v>2454.48</v>
      </c>
      <c r="DI112" s="26">
        <v>22044867</v>
      </c>
      <c r="DJ112" s="29">
        <v>0.41585648148148147</v>
      </c>
      <c r="DK112" s="23">
        <v>57850</v>
      </c>
      <c r="DL112" s="23">
        <v>22044867</v>
      </c>
      <c r="DM112" s="23">
        <v>54300</v>
      </c>
      <c r="DN112" s="23">
        <v>54400</v>
      </c>
      <c r="DO112" s="23">
        <v>53100</v>
      </c>
      <c r="DP112" s="23">
        <v>53600</v>
      </c>
      <c r="DQ112" s="24">
        <v>45628</v>
      </c>
      <c r="DR112" s="23">
        <v>109468285</v>
      </c>
      <c r="DS112" s="23">
        <v>-212591469</v>
      </c>
      <c r="DT112" s="23">
        <v>64478812</v>
      </c>
    </row>
    <row r="113" spans="109:124">
      <c r="DE113" s="24">
        <v>45625</v>
      </c>
      <c r="DF113" s="23">
        <v>54200</v>
      </c>
      <c r="DG113" s="23">
        <v>22047.07</v>
      </c>
      <c r="DH113" s="23">
        <v>2455.91</v>
      </c>
      <c r="DI113" s="26">
        <v>24513531</v>
      </c>
      <c r="DJ113" s="29">
        <v>0.41574074074074074</v>
      </c>
      <c r="DK113" s="23">
        <v>57900</v>
      </c>
      <c r="DL113" s="23">
        <v>24513531</v>
      </c>
      <c r="DM113" s="23">
        <v>55100</v>
      </c>
      <c r="DN113" s="23">
        <v>55300</v>
      </c>
      <c r="DO113" s="23">
        <v>53800</v>
      </c>
      <c r="DP113" s="23">
        <v>54200</v>
      </c>
      <c r="DQ113" s="24">
        <v>45625</v>
      </c>
      <c r="DR113" s="23">
        <v>-30113222</v>
      </c>
      <c r="DS113" s="23">
        <v>-199742346</v>
      </c>
      <c r="DT113" s="23">
        <v>169402126</v>
      </c>
    </row>
    <row r="114" spans="109:124">
      <c r="DE114" s="24">
        <v>45624</v>
      </c>
      <c r="DF114" s="23">
        <v>55500</v>
      </c>
      <c r="DG114" s="23">
        <v>22649.61</v>
      </c>
      <c r="DH114" s="23">
        <v>2504.67</v>
      </c>
      <c r="DI114" s="26">
        <v>20001134</v>
      </c>
      <c r="DJ114" s="29">
        <v>0.41562499999999997</v>
      </c>
      <c r="DK114" s="23">
        <v>57900</v>
      </c>
      <c r="DL114" s="23">
        <v>20001134</v>
      </c>
      <c r="DM114" s="23">
        <v>56000</v>
      </c>
      <c r="DN114" s="23">
        <v>56400</v>
      </c>
      <c r="DO114" s="23">
        <v>55200</v>
      </c>
      <c r="DP114" s="23">
        <v>55500</v>
      </c>
      <c r="DQ114" s="24">
        <v>45624</v>
      </c>
      <c r="DR114" s="23">
        <v>1650112</v>
      </c>
      <c r="DS114" s="23">
        <v>-187008147</v>
      </c>
      <c r="DT114" s="23">
        <v>121691221</v>
      </c>
    </row>
    <row r="115" spans="109:124">
      <c r="DE115" s="24">
        <v>45623</v>
      </c>
      <c r="DF115" s="23">
        <v>56300</v>
      </c>
      <c r="DG115" s="23">
        <v>22964.57</v>
      </c>
      <c r="DH115" s="23">
        <v>2503.06</v>
      </c>
      <c r="DI115" s="26">
        <v>21808387</v>
      </c>
      <c r="DJ115" s="29">
        <v>0.41550925925925924</v>
      </c>
      <c r="DK115" s="23">
        <v>57900</v>
      </c>
      <c r="DL115" s="23">
        <v>21808387</v>
      </c>
      <c r="DM115" s="23">
        <v>57700</v>
      </c>
      <c r="DN115" s="23">
        <v>57800</v>
      </c>
      <c r="DO115" s="23">
        <v>56000</v>
      </c>
      <c r="DP115" s="23">
        <v>56300</v>
      </c>
      <c r="DQ115" s="24">
        <v>45623</v>
      </c>
      <c r="DR115" s="23">
        <v>-21736531</v>
      </c>
      <c r="DS115" s="23">
        <v>-282253861</v>
      </c>
      <c r="DT115" s="23">
        <v>231707956</v>
      </c>
    </row>
    <row r="116" spans="109:124">
      <c r="DE116" s="24">
        <v>45622</v>
      </c>
      <c r="DF116" s="23">
        <v>58300</v>
      </c>
      <c r="DG116" s="23">
        <v>23723.81</v>
      </c>
      <c r="DH116" s="23">
        <v>2520.36</v>
      </c>
      <c r="DI116" s="26">
        <v>23209405</v>
      </c>
      <c r="DJ116" s="29">
        <v>0.41539351851851852</v>
      </c>
      <c r="DK116" s="23">
        <v>57800</v>
      </c>
      <c r="DL116" s="23">
        <v>23209405</v>
      </c>
      <c r="DM116" s="23">
        <v>57900</v>
      </c>
      <c r="DN116" s="23">
        <v>58900</v>
      </c>
      <c r="DO116" s="23">
        <v>57500</v>
      </c>
      <c r="DP116" s="23">
        <v>58300</v>
      </c>
      <c r="DQ116" s="24">
        <v>45622</v>
      </c>
      <c r="DR116" s="23">
        <v>-114267594</v>
      </c>
      <c r="DS116" s="23">
        <v>53137122</v>
      </c>
      <c r="DT116" s="23">
        <v>8328292</v>
      </c>
    </row>
    <row r="117" spans="109:124">
      <c r="DE117" s="24">
        <v>45621</v>
      </c>
      <c r="DF117" s="23">
        <v>57900</v>
      </c>
      <c r="DG117" s="23">
        <v>23801.62</v>
      </c>
      <c r="DH117" s="23">
        <v>2534.34</v>
      </c>
      <c r="DI117" s="26">
        <v>36237325</v>
      </c>
      <c r="DJ117" s="29">
        <v>0.41527777777777775</v>
      </c>
      <c r="DK117" s="23">
        <v>57900</v>
      </c>
      <c r="DL117" s="23">
        <v>36237325</v>
      </c>
      <c r="DM117" s="23">
        <v>57400</v>
      </c>
      <c r="DN117" s="23">
        <v>57900</v>
      </c>
      <c r="DO117" s="23">
        <v>56700</v>
      </c>
      <c r="DP117" s="23">
        <v>57900</v>
      </c>
      <c r="DQ117" s="24">
        <v>45621</v>
      </c>
      <c r="DR117" s="23">
        <v>129238872</v>
      </c>
      <c r="DS117" s="23">
        <v>-8935391</v>
      </c>
      <c r="DT117" s="23">
        <v>-159141720</v>
      </c>
    </row>
    <row r="118" spans="109:124">
      <c r="DE118" s="24">
        <v>45618</v>
      </c>
      <c r="DF118" s="23">
        <v>56000</v>
      </c>
      <c r="DG118" s="23">
        <v>23152.71</v>
      </c>
      <c r="DH118" s="23">
        <v>2501.2399999999998</v>
      </c>
      <c r="DI118" s="26">
        <v>15281543</v>
      </c>
      <c r="DJ118" s="29">
        <v>0.41516203703703702</v>
      </c>
      <c r="DK118" s="23">
        <v>57900</v>
      </c>
      <c r="DL118" s="23">
        <v>15281543</v>
      </c>
      <c r="DM118" s="23">
        <v>56000</v>
      </c>
      <c r="DN118" s="23">
        <v>56700</v>
      </c>
      <c r="DO118" s="23">
        <v>55900</v>
      </c>
      <c r="DP118" s="23">
        <v>56000</v>
      </c>
      <c r="DQ118" s="24">
        <v>45618</v>
      </c>
      <c r="DR118" s="23">
        <v>78954649</v>
      </c>
      <c r="DS118" s="23">
        <v>-179141329</v>
      </c>
      <c r="DT118" s="23">
        <v>42552389</v>
      </c>
    </row>
    <row r="119" spans="109:124">
      <c r="DE119" s="24">
        <v>45617</v>
      </c>
      <c r="DF119" s="23">
        <v>56400</v>
      </c>
      <c r="DG119" s="23">
        <v>22972.34</v>
      </c>
      <c r="DH119" s="23">
        <v>2480.63</v>
      </c>
      <c r="DI119" s="26">
        <v>19096850</v>
      </c>
      <c r="DJ119" s="29">
        <v>0.4150462962962963</v>
      </c>
      <c r="DK119" s="23">
        <v>57850</v>
      </c>
      <c r="DL119" s="23">
        <v>19096850</v>
      </c>
      <c r="DM119" s="23">
        <v>54900</v>
      </c>
      <c r="DN119" s="23">
        <v>56900</v>
      </c>
      <c r="DO119" s="23">
        <v>54700</v>
      </c>
      <c r="DP119" s="23">
        <v>56400</v>
      </c>
      <c r="DQ119" s="24">
        <v>45617</v>
      </c>
      <c r="DR119" s="23">
        <v>51865522</v>
      </c>
      <c r="DS119" s="23">
        <v>-39449192</v>
      </c>
      <c r="DT119" s="23">
        <v>-65993853</v>
      </c>
    </row>
    <row r="120" spans="109:124">
      <c r="DE120" s="24">
        <v>45616</v>
      </c>
      <c r="DF120" s="23">
        <v>55300</v>
      </c>
      <c r="DG120" s="23">
        <v>22819.360000000001</v>
      </c>
      <c r="DH120" s="23">
        <v>2482.29</v>
      </c>
      <c r="DI120" s="26">
        <v>20864667</v>
      </c>
      <c r="DJ120" s="29">
        <v>0.41493055555555552</v>
      </c>
      <c r="DK120" s="23">
        <v>57900</v>
      </c>
      <c r="DL120" s="23">
        <v>20864667</v>
      </c>
      <c r="DM120" s="23">
        <v>56100</v>
      </c>
      <c r="DN120" s="23">
        <v>56500</v>
      </c>
      <c r="DO120" s="23">
        <v>54800</v>
      </c>
      <c r="DP120" s="23">
        <v>55300</v>
      </c>
      <c r="DQ120" s="24">
        <v>45616</v>
      </c>
      <c r="DR120" s="23">
        <v>-14709359</v>
      </c>
      <c r="DS120" s="23">
        <v>-68500677</v>
      </c>
      <c r="DT120" s="23">
        <v>43389020</v>
      </c>
    </row>
    <row r="121" spans="109:124">
      <c r="DE121" s="24">
        <v>45615</v>
      </c>
      <c r="DF121" s="23">
        <v>56300</v>
      </c>
      <c r="DG121" s="23">
        <v>22966.23</v>
      </c>
      <c r="DH121" s="23">
        <v>2471.9499999999998</v>
      </c>
      <c r="DI121" s="26">
        <v>31539632</v>
      </c>
      <c r="DJ121" s="29">
        <v>0.4148148148148148</v>
      </c>
      <c r="DK121" s="23">
        <v>57900</v>
      </c>
      <c r="DL121" s="23">
        <v>31539632</v>
      </c>
      <c r="DM121" s="23">
        <v>56500</v>
      </c>
      <c r="DN121" s="23">
        <v>57500</v>
      </c>
      <c r="DO121" s="23">
        <v>55900</v>
      </c>
      <c r="DP121" s="23">
        <v>56300</v>
      </c>
      <c r="DQ121" s="24">
        <v>45615</v>
      </c>
      <c r="DR121" s="23">
        <v>132204202</v>
      </c>
      <c r="DS121" s="23">
        <v>-127724588</v>
      </c>
      <c r="DT121" s="23">
        <v>-9126089</v>
      </c>
    </row>
    <row r="122" spans="109:124">
      <c r="DE122" s="24">
        <v>45614</v>
      </c>
      <c r="DF122" s="23">
        <v>56700</v>
      </c>
      <c r="DG122" s="23">
        <v>22975.82</v>
      </c>
      <c r="DH122" s="23">
        <v>2469.0700000000002</v>
      </c>
      <c r="DI122" s="26">
        <v>48095234</v>
      </c>
      <c r="DJ122" s="29">
        <v>0.41469907407407408</v>
      </c>
      <c r="DK122" s="23">
        <v>57800</v>
      </c>
      <c r="DL122" s="23">
        <v>48095234</v>
      </c>
      <c r="DM122" s="23">
        <v>57000</v>
      </c>
      <c r="DN122" s="23">
        <v>57500</v>
      </c>
      <c r="DO122" s="23">
        <v>55900</v>
      </c>
      <c r="DP122" s="23">
        <v>56700</v>
      </c>
      <c r="DQ122" s="24">
        <v>45614</v>
      </c>
      <c r="DR122" s="23">
        <v>-32034674</v>
      </c>
      <c r="DS122" s="23">
        <v>-161450404</v>
      </c>
      <c r="DT122" s="23">
        <v>182502811</v>
      </c>
    </row>
    <row r="123" spans="109:124">
      <c r="DE123" s="24">
        <v>45611</v>
      </c>
      <c r="DF123" s="23">
        <v>53500</v>
      </c>
      <c r="DG123" s="23">
        <v>22326.68</v>
      </c>
      <c r="DH123" s="23">
        <v>2416.86</v>
      </c>
      <c r="DI123" s="26">
        <v>46774485</v>
      </c>
      <c r="DJ123" s="29">
        <v>0.4145833333333333</v>
      </c>
      <c r="DK123" s="23">
        <v>57850</v>
      </c>
      <c r="DL123" s="23">
        <v>46774485</v>
      </c>
      <c r="DM123" s="23">
        <v>50300</v>
      </c>
      <c r="DN123" s="23">
        <v>54200</v>
      </c>
      <c r="DO123" s="23">
        <v>50300</v>
      </c>
      <c r="DP123" s="23">
        <v>53500</v>
      </c>
      <c r="DQ123" s="24">
        <v>45611</v>
      </c>
      <c r="DR123" s="23">
        <v>53140229</v>
      </c>
      <c r="DS123" s="23">
        <v>128793491</v>
      </c>
      <c r="DT123" s="23">
        <v>-205662256</v>
      </c>
    </row>
    <row r="124" spans="109:124">
      <c r="DE124" s="24">
        <v>45610</v>
      </c>
      <c r="DF124" s="23">
        <v>49900</v>
      </c>
      <c r="DG124" s="23">
        <v>22060.48</v>
      </c>
      <c r="DH124" s="23">
        <v>2418.86</v>
      </c>
      <c r="DI124" s="26">
        <v>48510715</v>
      </c>
      <c r="DJ124" s="29">
        <v>0.41446759259259258</v>
      </c>
      <c r="DK124" s="23">
        <v>57850</v>
      </c>
      <c r="DL124" s="23">
        <v>48510715</v>
      </c>
      <c r="DM124" s="23">
        <v>50200</v>
      </c>
      <c r="DN124" s="23">
        <v>51800</v>
      </c>
      <c r="DO124" s="23">
        <v>49900</v>
      </c>
      <c r="DP124" s="23">
        <v>49900</v>
      </c>
      <c r="DQ124" s="24">
        <v>45610</v>
      </c>
      <c r="DR124" s="23">
        <v>78194113</v>
      </c>
      <c r="DS124" s="23">
        <v>-469715464</v>
      </c>
      <c r="DT124" s="23">
        <v>365528028</v>
      </c>
    </row>
    <row r="125" spans="109:124">
      <c r="DE125" s="24">
        <v>45609</v>
      </c>
      <c r="DF125" s="23">
        <v>50600</v>
      </c>
      <c r="DG125" s="23">
        <v>22321.34</v>
      </c>
      <c r="DH125" s="23">
        <v>2417.08</v>
      </c>
      <c r="DI125" s="26">
        <v>52527995</v>
      </c>
      <c r="DJ125" s="29">
        <v>0.4143518518518518</v>
      </c>
      <c r="DK125" s="23">
        <v>57850</v>
      </c>
      <c r="DL125" s="23">
        <v>52527995</v>
      </c>
      <c r="DM125" s="23">
        <v>52000</v>
      </c>
      <c r="DN125" s="23">
        <v>53000</v>
      </c>
      <c r="DO125" s="23">
        <v>50500</v>
      </c>
      <c r="DP125" s="23">
        <v>50600</v>
      </c>
      <c r="DQ125" s="24">
        <v>45609</v>
      </c>
      <c r="DR125" s="23">
        <v>71482967</v>
      </c>
      <c r="DS125" s="23">
        <v>-731946935</v>
      </c>
      <c r="DT125" s="23">
        <v>646229186</v>
      </c>
    </row>
    <row r="126" spans="109:124">
      <c r="DE126" s="24">
        <v>45608</v>
      </c>
      <c r="DF126" s="23">
        <v>53000</v>
      </c>
      <c r="DG126" s="23">
        <v>23173.15</v>
      </c>
      <c r="DH126" s="23">
        <v>2482.5700000000002</v>
      </c>
      <c r="DI126" s="26">
        <v>37962881</v>
      </c>
      <c r="DJ126" s="29">
        <v>0.41423611111111108</v>
      </c>
      <c r="DK126" s="23">
        <v>57900</v>
      </c>
      <c r="DL126" s="23">
        <v>37962881</v>
      </c>
      <c r="DM126" s="23">
        <v>54600</v>
      </c>
      <c r="DN126" s="23">
        <v>54600</v>
      </c>
      <c r="DO126" s="23">
        <v>53000</v>
      </c>
      <c r="DP126" s="23">
        <v>53000</v>
      </c>
      <c r="DQ126" s="24">
        <v>45608</v>
      </c>
      <c r="DR126" s="23">
        <v>9418381</v>
      </c>
      <c r="DS126" s="23">
        <v>-429929963</v>
      </c>
      <c r="DT126" s="23">
        <v>442767234</v>
      </c>
    </row>
    <row r="127" spans="109:124">
      <c r="DE127" s="24">
        <v>45607</v>
      </c>
      <c r="DF127" s="23">
        <v>55000</v>
      </c>
      <c r="DG127" s="23">
        <v>23712.77</v>
      </c>
      <c r="DH127" s="23">
        <v>2531.66</v>
      </c>
      <c r="DI127" s="26">
        <v>29811326</v>
      </c>
      <c r="DJ127" s="29">
        <v>0.41412037037037036</v>
      </c>
      <c r="DK127" s="23">
        <v>57850</v>
      </c>
      <c r="DL127" s="23">
        <v>29811326</v>
      </c>
      <c r="DM127" s="23">
        <v>56700</v>
      </c>
      <c r="DN127" s="23">
        <v>56800</v>
      </c>
      <c r="DO127" s="23">
        <v>55000</v>
      </c>
      <c r="DP127" s="23">
        <v>55000</v>
      </c>
      <c r="DQ127" s="24">
        <v>45607</v>
      </c>
      <c r="DR127" s="23">
        <v>-100887806</v>
      </c>
      <c r="DS127" s="23">
        <v>-539566632</v>
      </c>
      <c r="DT127" s="23">
        <v>632096434</v>
      </c>
    </row>
    <row r="128" spans="109:124">
      <c r="DE128" s="24">
        <v>45604</v>
      </c>
      <c r="DF128" s="23">
        <v>57000</v>
      </c>
      <c r="DG128" s="23">
        <v>24221.919999999998</v>
      </c>
      <c r="DH128" s="23">
        <v>2561.15</v>
      </c>
      <c r="DI128" s="26">
        <v>13877396</v>
      </c>
      <c r="DJ128" s="29">
        <v>0.41400462962962958</v>
      </c>
      <c r="DK128" s="23">
        <v>57900</v>
      </c>
      <c r="DL128" s="23">
        <v>13877396</v>
      </c>
      <c r="DM128" s="23">
        <v>58000</v>
      </c>
      <c r="DN128" s="23">
        <v>58300</v>
      </c>
      <c r="DO128" s="23">
        <v>57000</v>
      </c>
      <c r="DP128" s="23">
        <v>57000</v>
      </c>
      <c r="DQ128" s="24">
        <v>45604</v>
      </c>
      <c r="DR128" s="23">
        <v>65901395</v>
      </c>
      <c r="DS128" s="23">
        <v>-90674383</v>
      </c>
      <c r="DT128" s="23">
        <v>62301056</v>
      </c>
    </row>
    <row r="129" spans="109:124">
      <c r="DE129" s="24">
        <v>45603</v>
      </c>
      <c r="DF129" s="23">
        <v>57500</v>
      </c>
      <c r="DG129" s="23">
        <v>24090.48</v>
      </c>
      <c r="DH129" s="23">
        <v>2564.63</v>
      </c>
      <c r="DI129" s="26">
        <v>17043102</v>
      </c>
      <c r="DJ129" s="29">
        <v>0.41388888888888886</v>
      </c>
      <c r="DK129" s="23">
        <v>57900</v>
      </c>
      <c r="DL129" s="23">
        <v>17043102</v>
      </c>
      <c r="DM129" s="23">
        <v>56900</v>
      </c>
      <c r="DN129" s="23">
        <v>58100</v>
      </c>
      <c r="DO129" s="23">
        <v>56800</v>
      </c>
      <c r="DP129" s="23">
        <v>57500</v>
      </c>
      <c r="DQ129" s="24">
        <v>45603</v>
      </c>
      <c r="DR129" s="23">
        <v>3306233</v>
      </c>
      <c r="DS129" s="23">
        <v>-22294403</v>
      </c>
      <c r="DT129" s="23">
        <v>3559836</v>
      </c>
    </row>
    <row r="130" spans="109:124">
      <c r="DE130" s="24">
        <v>45602</v>
      </c>
      <c r="DF130" s="23">
        <v>57300</v>
      </c>
      <c r="DG130" s="23">
        <v>24067.35</v>
      </c>
      <c r="DH130" s="23">
        <v>2563.5100000000002</v>
      </c>
      <c r="DI130" s="26">
        <v>22092218</v>
      </c>
      <c r="DJ130" s="29">
        <v>0.41377314814814814</v>
      </c>
      <c r="DK130" s="23">
        <v>57900</v>
      </c>
      <c r="DL130" s="23">
        <v>22092218</v>
      </c>
      <c r="DM130" s="23">
        <v>57600</v>
      </c>
      <c r="DN130" s="23">
        <v>58000</v>
      </c>
      <c r="DO130" s="23">
        <v>56300</v>
      </c>
      <c r="DP130" s="23">
        <v>57300</v>
      </c>
      <c r="DQ130" s="24">
        <v>45602</v>
      </c>
      <c r="DR130" s="23">
        <v>-24710719</v>
      </c>
      <c r="DS130" s="23">
        <v>-147867649</v>
      </c>
      <c r="DT130" s="23">
        <v>161987263</v>
      </c>
    </row>
    <row r="131" spans="109:124">
      <c r="DE131" s="24">
        <v>45601</v>
      </c>
      <c r="DF131" s="23">
        <v>57600</v>
      </c>
      <c r="DG131" s="23">
        <v>24418.48</v>
      </c>
      <c r="DH131" s="23">
        <v>2576.88</v>
      </c>
      <c r="DI131" s="26">
        <v>17484474</v>
      </c>
      <c r="DJ131" s="29">
        <v>0.41365740740740736</v>
      </c>
      <c r="DK131" s="23">
        <v>57850</v>
      </c>
      <c r="DL131" s="23">
        <v>17484474</v>
      </c>
      <c r="DM131" s="23">
        <v>57800</v>
      </c>
      <c r="DN131" s="23">
        <v>58100</v>
      </c>
      <c r="DO131" s="23">
        <v>57200</v>
      </c>
      <c r="DP131" s="23">
        <v>57600</v>
      </c>
      <c r="DQ131" s="24">
        <v>45601</v>
      </c>
      <c r="DR131" s="23">
        <v>-49121325</v>
      </c>
      <c r="DS131" s="23">
        <v>-180599620</v>
      </c>
      <c r="DT131" s="23">
        <v>225948746</v>
      </c>
    </row>
    <row r="132" spans="109:124">
      <c r="DE132" s="24">
        <v>45600</v>
      </c>
      <c r="DF132" s="23">
        <v>58700</v>
      </c>
      <c r="DG132" s="23">
        <v>24780.2</v>
      </c>
      <c r="DH132" s="23">
        <v>2588.9699999999998</v>
      </c>
      <c r="DI132" s="26">
        <v>15586947</v>
      </c>
      <c r="DJ132" s="29">
        <v>0.41354166666666664</v>
      </c>
      <c r="DK132" s="23">
        <v>57850</v>
      </c>
      <c r="DL132" s="23">
        <v>15586947</v>
      </c>
      <c r="DM132" s="23">
        <v>58600</v>
      </c>
      <c r="DN132" s="23">
        <v>59400</v>
      </c>
      <c r="DO132" s="23">
        <v>58400</v>
      </c>
      <c r="DP132" s="23">
        <v>58700</v>
      </c>
      <c r="DQ132" s="24">
        <v>45600</v>
      </c>
      <c r="DR132" s="23">
        <v>74743651</v>
      </c>
      <c r="DS132" s="23">
        <v>-124410777</v>
      </c>
      <c r="DT132" s="23">
        <v>47903100</v>
      </c>
    </row>
    <row r="133" spans="109:124">
      <c r="DE133" s="24">
        <v>45597</v>
      </c>
      <c r="DF133" s="23">
        <v>58300</v>
      </c>
      <c r="DG133" s="23">
        <v>24166.94</v>
      </c>
      <c r="DH133" s="23">
        <v>2542.36</v>
      </c>
      <c r="DI133" s="26">
        <v>19083180</v>
      </c>
      <c r="DJ133" s="29">
        <v>0.41342592592592592</v>
      </c>
      <c r="DK133" s="23">
        <v>57850</v>
      </c>
      <c r="DL133" s="23">
        <v>19083180</v>
      </c>
      <c r="DM133" s="23">
        <v>59000</v>
      </c>
      <c r="DN133" s="23">
        <v>59600</v>
      </c>
      <c r="DO133" s="23">
        <v>58100</v>
      </c>
      <c r="DP133" s="23">
        <v>58300</v>
      </c>
      <c r="DQ133" s="24">
        <v>45597</v>
      </c>
      <c r="DR133" s="23">
        <v>-106474120</v>
      </c>
      <c r="DS133" s="23">
        <v>-124322557</v>
      </c>
      <c r="DT133" s="23">
        <v>226312310</v>
      </c>
    </row>
    <row r="134" spans="109:124">
      <c r="DE134" s="24">
        <v>45596</v>
      </c>
      <c r="DF134" s="23">
        <v>59200</v>
      </c>
      <c r="DG134" s="23">
        <v>24422.67</v>
      </c>
      <c r="DH134" s="23">
        <v>2556.15</v>
      </c>
      <c r="DI134" s="26">
        <v>35809196</v>
      </c>
      <c r="DJ134" s="29">
        <v>0.41331018518518514</v>
      </c>
      <c r="DK134" s="23">
        <v>57900</v>
      </c>
      <c r="DL134" s="23">
        <v>35809196</v>
      </c>
      <c r="DM134" s="23">
        <v>58500</v>
      </c>
      <c r="DN134" s="23">
        <v>61200</v>
      </c>
      <c r="DO134" s="23">
        <v>58300</v>
      </c>
      <c r="DP134" s="23">
        <v>59200</v>
      </c>
      <c r="DQ134" s="24">
        <v>45596</v>
      </c>
      <c r="DR134" s="23">
        <v>119541306</v>
      </c>
      <c r="DS134" s="23">
        <v>-116448453</v>
      </c>
      <c r="DT134" s="23">
        <v>-8300228</v>
      </c>
    </row>
    <row r="135" spans="109:124">
      <c r="DE135" s="24">
        <v>45595</v>
      </c>
      <c r="DF135" s="23">
        <v>59100</v>
      </c>
      <c r="DG135" s="23">
        <v>24714.9</v>
      </c>
      <c r="DH135" s="23">
        <v>2593.79</v>
      </c>
      <c r="DI135" s="26">
        <v>19838511</v>
      </c>
      <c r="DJ135" s="29">
        <v>0.41319444444444442</v>
      </c>
      <c r="DK135" s="23">
        <v>57900</v>
      </c>
      <c r="DL135" s="23">
        <v>19838511</v>
      </c>
      <c r="DM135" s="23">
        <v>59100</v>
      </c>
      <c r="DN135" s="23">
        <v>59800</v>
      </c>
      <c r="DO135" s="23">
        <v>58600</v>
      </c>
      <c r="DP135" s="23">
        <v>59100</v>
      </c>
      <c r="DQ135" s="24">
        <v>45595</v>
      </c>
      <c r="DR135" s="23">
        <v>51957796</v>
      </c>
      <c r="DS135" s="23">
        <v>-184204711</v>
      </c>
      <c r="DT135" s="23">
        <v>123521951</v>
      </c>
    </row>
    <row r="136" spans="109:124">
      <c r="DE136" s="24">
        <v>45594</v>
      </c>
      <c r="DF136" s="23">
        <v>59600</v>
      </c>
      <c r="DG136" s="23">
        <v>24747.38</v>
      </c>
      <c r="DH136" s="23">
        <v>2617.8000000000002</v>
      </c>
      <c r="DI136" s="26">
        <v>28369314</v>
      </c>
      <c r="DJ136" s="29">
        <v>0.4130787037037037</v>
      </c>
      <c r="DK136" s="23">
        <v>57900</v>
      </c>
      <c r="DL136" s="23">
        <v>28369314</v>
      </c>
      <c r="DM136" s="23">
        <v>58000</v>
      </c>
      <c r="DN136" s="23">
        <v>59600</v>
      </c>
      <c r="DO136" s="23">
        <v>57300</v>
      </c>
      <c r="DP136" s="23">
        <v>59600</v>
      </c>
      <c r="DQ136" s="24">
        <v>45594</v>
      </c>
      <c r="DR136" s="23">
        <v>107615448</v>
      </c>
      <c r="DS136" s="23">
        <v>8520496</v>
      </c>
      <c r="DT136" s="23">
        <v>-120322429</v>
      </c>
    </row>
    <row r="137" spans="109:124">
      <c r="DE137" s="24">
        <v>45593</v>
      </c>
      <c r="DF137" s="23">
        <v>58100</v>
      </c>
      <c r="DG137" s="23">
        <v>24649.8</v>
      </c>
      <c r="DH137" s="23">
        <v>2612.4299999999998</v>
      </c>
      <c r="DI137" s="26">
        <v>27775009</v>
      </c>
      <c r="DJ137" s="29">
        <v>0.41296296296296292</v>
      </c>
      <c r="DK137" s="23">
        <v>57800</v>
      </c>
      <c r="DL137" s="23">
        <v>27775009</v>
      </c>
      <c r="DM137" s="23">
        <v>55700</v>
      </c>
      <c r="DN137" s="23">
        <v>58500</v>
      </c>
      <c r="DO137" s="23">
        <v>55700</v>
      </c>
      <c r="DP137" s="23">
        <v>58100</v>
      </c>
      <c r="DQ137" s="24">
        <v>45593</v>
      </c>
      <c r="DR137" s="23">
        <v>153891506</v>
      </c>
      <c r="DS137" s="23">
        <v>9893353</v>
      </c>
      <c r="DT137" s="23">
        <v>-166304241</v>
      </c>
    </row>
    <row r="138" spans="109:124">
      <c r="DE138" s="24">
        <v>45590</v>
      </c>
      <c r="DF138" s="23">
        <v>55900</v>
      </c>
      <c r="DG138" s="23">
        <v>24094.92</v>
      </c>
      <c r="DH138" s="23">
        <v>2583.27</v>
      </c>
      <c r="DI138" s="26">
        <v>25829315</v>
      </c>
      <c r="DJ138" s="29">
        <v>0.4128472222222222</v>
      </c>
      <c r="DK138" s="23">
        <v>57900</v>
      </c>
      <c r="DL138" s="23">
        <v>25829315</v>
      </c>
      <c r="DM138" s="23">
        <v>56000</v>
      </c>
      <c r="DN138" s="23">
        <v>56900</v>
      </c>
      <c r="DO138" s="23">
        <v>55800</v>
      </c>
      <c r="DP138" s="23">
        <v>55900</v>
      </c>
      <c r="DQ138" s="24">
        <v>45590</v>
      </c>
      <c r="DR138" s="23">
        <v>-41201176</v>
      </c>
      <c r="DS138" s="23">
        <v>-322394846</v>
      </c>
      <c r="DT138" s="23">
        <v>357043271</v>
      </c>
    </row>
    <row r="139" spans="109:124">
      <c r="DE139" s="24">
        <v>45589</v>
      </c>
      <c r="DF139" s="23">
        <v>56600</v>
      </c>
      <c r="DG139" s="23">
        <v>24234.240000000002</v>
      </c>
      <c r="DH139" s="23">
        <v>2581.0300000000002</v>
      </c>
      <c r="DI139" s="26">
        <v>31499922</v>
      </c>
      <c r="DJ139" s="29">
        <v>0.41273148148148148</v>
      </c>
      <c r="DK139" s="23">
        <v>57900</v>
      </c>
      <c r="DL139" s="23">
        <v>31499922</v>
      </c>
      <c r="DM139" s="23">
        <v>58200</v>
      </c>
      <c r="DN139" s="23">
        <v>58500</v>
      </c>
      <c r="DO139" s="23">
        <v>56600</v>
      </c>
      <c r="DP139" s="23">
        <v>56600</v>
      </c>
      <c r="DQ139" s="24">
        <v>45589</v>
      </c>
      <c r="DR139" s="23">
        <v>-85250666</v>
      </c>
      <c r="DS139" s="23">
        <v>-654576361</v>
      </c>
      <c r="DT139" s="23">
        <v>732467485</v>
      </c>
    </row>
    <row r="140" spans="109:124">
      <c r="DE140" s="24">
        <v>45588</v>
      </c>
      <c r="DF140" s="23">
        <v>59100</v>
      </c>
      <c r="DG140" s="23">
        <v>24741.68</v>
      </c>
      <c r="DH140" s="23">
        <v>2599.62</v>
      </c>
      <c r="DI140" s="26">
        <v>27300780</v>
      </c>
      <c r="DJ140" s="29">
        <v>0.4126157407407407</v>
      </c>
      <c r="DK140" s="23">
        <v>57900</v>
      </c>
      <c r="DL140" s="23">
        <v>27300780</v>
      </c>
      <c r="DM140" s="23">
        <v>57500</v>
      </c>
      <c r="DN140" s="23">
        <v>60000</v>
      </c>
      <c r="DO140" s="23">
        <v>57100</v>
      </c>
      <c r="DP140" s="23">
        <v>59100</v>
      </c>
      <c r="DQ140" s="24">
        <v>45588</v>
      </c>
      <c r="DR140" s="23">
        <v>57771136</v>
      </c>
      <c r="DS140" s="23">
        <v>-51148895</v>
      </c>
      <c r="DT140" s="23">
        <v>-11319273</v>
      </c>
    </row>
    <row r="141" spans="109:124">
      <c r="DE141" s="24">
        <v>45587</v>
      </c>
      <c r="DF141" s="23">
        <v>57700</v>
      </c>
      <c r="DG141" s="23">
        <v>23956.560000000001</v>
      </c>
      <c r="DH141" s="23">
        <v>2570.6999999999998</v>
      </c>
      <c r="DI141" s="26">
        <v>27582527</v>
      </c>
      <c r="DJ141" s="29">
        <v>0.41249999999999998</v>
      </c>
      <c r="DK141" s="23">
        <v>58000</v>
      </c>
      <c r="DL141" s="23">
        <v>27582527</v>
      </c>
      <c r="DM141" s="23">
        <v>58800</v>
      </c>
      <c r="DN141" s="23">
        <v>58900</v>
      </c>
      <c r="DO141" s="23">
        <v>57700</v>
      </c>
      <c r="DP141" s="23">
        <v>57700</v>
      </c>
      <c r="DQ141" s="24">
        <v>45587</v>
      </c>
      <c r="DR141" s="23">
        <v>-153427518</v>
      </c>
      <c r="DS141" s="23">
        <v>-285590660</v>
      </c>
      <c r="DT141" s="23">
        <v>434483653</v>
      </c>
    </row>
    <row r="142" spans="109:124">
      <c r="DE142" s="24">
        <v>45586</v>
      </c>
      <c r="DF142" s="23">
        <v>59000</v>
      </c>
      <c r="DG142" s="23">
        <v>24471.06</v>
      </c>
      <c r="DH142" s="23">
        <v>2604.92</v>
      </c>
      <c r="DI142" s="26">
        <v>18514905</v>
      </c>
      <c r="DJ142" s="29">
        <v>0.41238425925925926</v>
      </c>
      <c r="DK142" s="23">
        <v>57900</v>
      </c>
      <c r="DL142" s="23">
        <v>18514905</v>
      </c>
      <c r="DM142" s="23">
        <v>59000</v>
      </c>
      <c r="DN142" s="23">
        <v>59600</v>
      </c>
      <c r="DO142" s="23">
        <v>58500</v>
      </c>
      <c r="DP142" s="23">
        <v>59000</v>
      </c>
      <c r="DQ142" s="24">
        <v>45586</v>
      </c>
      <c r="DR142" s="23">
        <v>-43073273</v>
      </c>
      <c r="DS142" s="23">
        <v>-41285876</v>
      </c>
      <c r="DT142" s="23">
        <v>83708361</v>
      </c>
    </row>
    <row r="143" spans="109:124">
      <c r="DE143" s="24">
        <v>45583</v>
      </c>
      <c r="DF143" s="23">
        <v>59200</v>
      </c>
      <c r="DG143" s="23">
        <v>24386.240000000002</v>
      </c>
      <c r="DH143" s="23">
        <v>2593.8200000000002</v>
      </c>
      <c r="DI143" s="26">
        <v>14420260</v>
      </c>
      <c r="DJ143" s="29">
        <v>0.41226851851851848</v>
      </c>
      <c r="DK143" s="23">
        <v>57850</v>
      </c>
      <c r="DL143" s="23">
        <v>14420260</v>
      </c>
      <c r="DM143" s="23">
        <v>59900</v>
      </c>
      <c r="DN143" s="23">
        <v>60100</v>
      </c>
      <c r="DO143" s="23">
        <v>59100</v>
      </c>
      <c r="DP143" s="23">
        <v>59200</v>
      </c>
      <c r="DQ143" s="24">
        <v>45583</v>
      </c>
      <c r="DR143" s="23">
        <v>-15791145</v>
      </c>
      <c r="DS143" s="23">
        <v>-172316665</v>
      </c>
      <c r="DT143" s="23">
        <v>185547133</v>
      </c>
    </row>
    <row r="144" spans="109:124">
      <c r="DE144" s="24">
        <v>45582</v>
      </c>
      <c r="DF144" s="23">
        <v>59700</v>
      </c>
      <c r="DG144" s="23">
        <v>24824.37</v>
      </c>
      <c r="DH144" s="23">
        <v>2609.3000000000002</v>
      </c>
      <c r="DI144" s="26">
        <v>23372873</v>
      </c>
      <c r="DJ144" s="29">
        <v>0.41215277777777776</v>
      </c>
      <c r="DK144" s="23">
        <v>57900</v>
      </c>
      <c r="DL144" s="23">
        <v>23372873</v>
      </c>
      <c r="DM144" s="23">
        <v>59400</v>
      </c>
      <c r="DN144" s="23">
        <v>60100</v>
      </c>
      <c r="DO144" s="23">
        <v>59100</v>
      </c>
      <c r="DP144" s="23">
        <v>59700</v>
      </c>
      <c r="DQ144" s="24">
        <v>45582</v>
      </c>
      <c r="DR144" s="23">
        <v>67417849</v>
      </c>
      <c r="DS144" s="23">
        <v>-278009773</v>
      </c>
      <c r="DT144" s="23">
        <v>211340296</v>
      </c>
    </row>
    <row r="145" spans="109:124">
      <c r="DE145" s="24">
        <v>45581</v>
      </c>
      <c r="DF145" s="23">
        <v>59500</v>
      </c>
      <c r="DG145" s="23">
        <v>24642.44</v>
      </c>
      <c r="DH145" s="23">
        <v>2610.36</v>
      </c>
      <c r="DI145" s="26">
        <v>23303268</v>
      </c>
      <c r="DJ145" s="29">
        <v>0.41203703703703703</v>
      </c>
      <c r="DK145" s="23">
        <v>57900</v>
      </c>
      <c r="DL145" s="23">
        <v>23303268</v>
      </c>
      <c r="DM145" s="23">
        <v>59400</v>
      </c>
      <c r="DN145" s="23">
        <v>60000</v>
      </c>
      <c r="DO145" s="23">
        <v>59200</v>
      </c>
      <c r="DP145" s="23">
        <v>59500</v>
      </c>
      <c r="DQ145" s="24">
        <v>45581</v>
      </c>
      <c r="DR145" s="23">
        <v>-46452168</v>
      </c>
      <c r="DS145" s="23">
        <v>-272614342</v>
      </c>
      <c r="DT145" s="23">
        <v>312900915</v>
      </c>
    </row>
    <row r="146" spans="109:124">
      <c r="DE146" s="24">
        <v>45580</v>
      </c>
      <c r="DF146" s="23">
        <v>61000</v>
      </c>
      <c r="DG146" s="23">
        <v>25112.63</v>
      </c>
      <c r="DH146" s="23">
        <v>2633.45</v>
      </c>
      <c r="DI146" s="26">
        <v>22715239</v>
      </c>
      <c r="DJ146" s="29">
        <v>0.41192129629629626</v>
      </c>
      <c r="DK146" s="23">
        <v>57850</v>
      </c>
      <c r="DL146" s="23">
        <v>22715239</v>
      </c>
      <c r="DM146" s="23">
        <v>61100</v>
      </c>
      <c r="DN146" s="23">
        <v>61400</v>
      </c>
      <c r="DO146" s="23">
        <v>60100</v>
      </c>
      <c r="DP146" s="23">
        <v>61000</v>
      </c>
      <c r="DQ146" s="24">
        <v>45580</v>
      </c>
      <c r="DR146" s="23">
        <v>10544778</v>
      </c>
      <c r="DS146" s="23">
        <v>-62384767</v>
      </c>
      <c r="DT146" s="23">
        <v>38631278</v>
      </c>
    </row>
    <row r="147" spans="109:124">
      <c r="DE147" s="24">
        <v>45579</v>
      </c>
      <c r="DF147" s="23">
        <v>60800</v>
      </c>
      <c r="DG147" s="23">
        <v>25034.59</v>
      </c>
      <c r="DH147" s="23">
        <v>2623.29</v>
      </c>
      <c r="DI147" s="26">
        <v>20886249</v>
      </c>
      <c r="DJ147" s="29">
        <v>0.41180555555555554</v>
      </c>
      <c r="DK147" s="23">
        <v>57900</v>
      </c>
      <c r="DL147" s="23">
        <v>20886249</v>
      </c>
      <c r="DM147" s="23">
        <v>59500</v>
      </c>
      <c r="DN147" s="23">
        <v>61200</v>
      </c>
      <c r="DO147" s="23">
        <v>59400</v>
      </c>
      <c r="DP147" s="23">
        <v>60800</v>
      </c>
      <c r="DQ147" s="24">
        <v>45579</v>
      </c>
      <c r="DR147" s="23">
        <v>152329953</v>
      </c>
      <c r="DS147" s="23">
        <v>-94073076</v>
      </c>
      <c r="DT147" s="23">
        <v>-62862707</v>
      </c>
    </row>
    <row r="148" spans="109:124">
      <c r="DE148" s="24">
        <v>45576</v>
      </c>
      <c r="DF148" s="23">
        <v>59300</v>
      </c>
      <c r="DG148" s="23">
        <v>24729.66</v>
      </c>
      <c r="DH148" s="23">
        <v>2596.91</v>
      </c>
      <c r="DI148" s="26">
        <v>29623969</v>
      </c>
      <c r="DJ148" s="29">
        <v>0.41168981481481481</v>
      </c>
      <c r="DK148" s="23">
        <v>57800</v>
      </c>
      <c r="DL148" s="23">
        <v>29623969</v>
      </c>
      <c r="DM148" s="23">
        <v>59100</v>
      </c>
      <c r="DN148" s="23">
        <v>60100</v>
      </c>
      <c r="DO148" s="23">
        <v>59000</v>
      </c>
      <c r="DP148" s="23">
        <v>59300</v>
      </c>
      <c r="DQ148" s="24">
        <v>45576</v>
      </c>
      <c r="DR148" s="23">
        <v>229041946</v>
      </c>
      <c r="DS148" s="23">
        <v>-392648685</v>
      </c>
      <c r="DT148" s="23">
        <v>157209362</v>
      </c>
    </row>
    <row r="149" spans="109:124">
      <c r="DE149" s="24">
        <v>45575</v>
      </c>
      <c r="DF149" s="23">
        <v>58900</v>
      </c>
      <c r="DG149" s="23">
        <v>24836.48</v>
      </c>
      <c r="DH149" s="23">
        <v>2599.16</v>
      </c>
      <c r="DI149" s="26">
        <v>45262214</v>
      </c>
      <c r="DJ149" s="29">
        <v>0.41157407407407404</v>
      </c>
      <c r="DK149" s="23">
        <v>57850</v>
      </c>
      <c r="DL149" s="23">
        <v>45262214</v>
      </c>
      <c r="DM149" s="23">
        <v>60100</v>
      </c>
      <c r="DN149" s="23">
        <v>60200</v>
      </c>
      <c r="DO149" s="23">
        <v>58900</v>
      </c>
      <c r="DP149" s="23">
        <v>58900</v>
      </c>
      <c r="DQ149" s="24">
        <v>45575</v>
      </c>
      <c r="DR149" s="23">
        <v>-256538279</v>
      </c>
      <c r="DS149" s="23">
        <v>-321068841</v>
      </c>
      <c r="DT149" s="23">
        <v>566328240</v>
      </c>
    </row>
    <row r="150" spans="109:124">
      <c r="DE150" s="24">
        <v>45573</v>
      </c>
      <c r="DF150" s="23">
        <v>60300</v>
      </c>
      <c r="DG150" s="23">
        <v>25018.12</v>
      </c>
      <c r="DH150" s="23">
        <v>2594.36</v>
      </c>
      <c r="DI150" s="26">
        <v>27411786</v>
      </c>
      <c r="DJ150" s="29">
        <v>0.41145833333333331</v>
      </c>
      <c r="DK150" s="23">
        <v>57800</v>
      </c>
      <c r="DL150" s="23">
        <v>27411786</v>
      </c>
      <c r="DM150" s="23">
        <v>60000</v>
      </c>
      <c r="DN150" s="23">
        <v>61000</v>
      </c>
      <c r="DO150" s="23">
        <v>59900</v>
      </c>
      <c r="DP150" s="23">
        <v>60300</v>
      </c>
      <c r="DQ150" s="24">
        <v>45573</v>
      </c>
      <c r="DR150" s="23">
        <v>-86828192</v>
      </c>
      <c r="DS150" s="23">
        <v>-250554454</v>
      </c>
      <c r="DT150" s="23">
        <v>331847697</v>
      </c>
    </row>
    <row r="151" spans="109:124">
      <c r="DE151" s="24">
        <v>45572</v>
      </c>
      <c r="DF151" s="23">
        <v>61000</v>
      </c>
      <c r="DG151" s="23">
        <v>25280.77</v>
      </c>
      <c r="DH151" s="23">
        <v>2610.38</v>
      </c>
      <c r="DI151" s="26">
        <v>35066533</v>
      </c>
      <c r="DJ151" s="29">
        <v>0.41134259259259259</v>
      </c>
      <c r="DK151" s="23">
        <v>57800</v>
      </c>
      <c r="DL151" s="23">
        <v>35066533</v>
      </c>
      <c r="DM151" s="23">
        <v>60200</v>
      </c>
      <c r="DN151" s="23">
        <v>61900</v>
      </c>
      <c r="DO151" s="23">
        <v>59500</v>
      </c>
      <c r="DP151" s="23">
        <v>61000</v>
      </c>
      <c r="DQ151" s="24">
        <v>45572</v>
      </c>
      <c r="DR151" s="23">
        <v>75153987</v>
      </c>
      <c r="DS151" s="23">
        <v>-538840976</v>
      </c>
      <c r="DT151" s="23">
        <v>459393234</v>
      </c>
    </row>
    <row r="152" spans="109:124">
      <c r="DE152" s="24">
        <v>45569</v>
      </c>
      <c r="DF152" s="23">
        <v>60600</v>
      </c>
      <c r="DG152" s="23">
        <v>24694.36</v>
      </c>
      <c r="DH152" s="23">
        <v>2569.71</v>
      </c>
      <c r="DI152" s="26">
        <v>24247578</v>
      </c>
      <c r="DJ152" s="29">
        <v>0.41122685185185182</v>
      </c>
      <c r="DK152" s="23">
        <v>57800</v>
      </c>
      <c r="DL152" s="23">
        <v>24247578</v>
      </c>
      <c r="DM152" s="23">
        <v>61000</v>
      </c>
      <c r="DN152" s="23">
        <v>61700</v>
      </c>
      <c r="DO152" s="23">
        <v>60500</v>
      </c>
      <c r="DP152" s="23">
        <v>60600</v>
      </c>
      <c r="DQ152" s="24">
        <v>45569</v>
      </c>
      <c r="DR152" s="23">
        <v>-68734183</v>
      </c>
      <c r="DS152" s="23">
        <v>-316633108</v>
      </c>
      <c r="DT152" s="23">
        <v>384050747</v>
      </c>
    </row>
    <row r="153" spans="109:124">
      <c r="DE153" s="24">
        <v>45567</v>
      </c>
      <c r="DF153" s="23">
        <v>61300</v>
      </c>
      <c r="DG153" s="23">
        <v>24778.89</v>
      </c>
      <c r="DH153" s="23">
        <v>2561.69</v>
      </c>
      <c r="DI153" s="26">
        <v>28473536</v>
      </c>
      <c r="DJ153" s="29">
        <v>0.41111111111111109</v>
      </c>
      <c r="DK153" s="23">
        <v>57800</v>
      </c>
      <c r="DL153" s="23">
        <v>28473536</v>
      </c>
      <c r="DM153" s="23">
        <v>60500</v>
      </c>
      <c r="DN153" s="23">
        <v>61900</v>
      </c>
      <c r="DO153" s="23">
        <v>59900</v>
      </c>
      <c r="DP153" s="23">
        <v>61300</v>
      </c>
      <c r="DQ153" s="24">
        <v>45567</v>
      </c>
      <c r="DR153" s="23">
        <v>-154198216</v>
      </c>
      <c r="DS153" s="23">
        <v>-110593159</v>
      </c>
      <c r="DT153" s="23">
        <v>258516450</v>
      </c>
    </row>
    <row r="154" spans="109:124">
      <c r="DE154" s="24">
        <v>45565</v>
      </c>
      <c r="DF154" s="23">
        <v>61500</v>
      </c>
      <c r="DG154" s="23">
        <v>25083.27</v>
      </c>
      <c r="DH154" s="23">
        <v>2593.27</v>
      </c>
      <c r="DI154" s="26">
        <v>32694163</v>
      </c>
      <c r="DJ154" s="29">
        <v>0.41099537037037037</v>
      </c>
      <c r="DK154" s="23">
        <v>57850</v>
      </c>
      <c r="DL154" s="23">
        <v>32694163</v>
      </c>
      <c r="DM154" s="23">
        <v>64200</v>
      </c>
      <c r="DN154" s="23">
        <v>64300</v>
      </c>
      <c r="DO154" s="23">
        <v>61500</v>
      </c>
      <c r="DP154" s="23">
        <v>61500</v>
      </c>
      <c r="DQ154" s="24">
        <v>45565</v>
      </c>
      <c r="DR154" s="23">
        <v>-144319867</v>
      </c>
      <c r="DS154" s="23">
        <v>-690514481</v>
      </c>
      <c r="DT154" s="23">
        <v>820371984</v>
      </c>
    </row>
    <row r="155" spans="109:124">
      <c r="DE155" s="24">
        <v>45562</v>
      </c>
      <c r="DF155" s="23">
        <v>64200</v>
      </c>
      <c r="DG155" s="23">
        <v>25907.17</v>
      </c>
      <c r="DH155" s="23">
        <v>2649.78</v>
      </c>
      <c r="DI155" s="26">
        <v>28433030</v>
      </c>
      <c r="DJ155" s="29">
        <v>0.41087962962962959</v>
      </c>
      <c r="DK155" s="23">
        <v>57800</v>
      </c>
      <c r="DL155" s="23">
        <v>28433030</v>
      </c>
      <c r="DM155" s="23">
        <v>64700</v>
      </c>
      <c r="DN155" s="23">
        <v>65400</v>
      </c>
      <c r="DO155" s="23">
        <v>64200</v>
      </c>
      <c r="DP155" s="23">
        <v>64200</v>
      </c>
      <c r="DQ155" s="24">
        <v>45562</v>
      </c>
      <c r="DR155" s="23">
        <v>-71554749</v>
      </c>
      <c r="DS155" s="23">
        <v>-102399739</v>
      </c>
      <c r="DT155" s="23">
        <v>188864413</v>
      </c>
    </row>
    <row r="156" spans="109:124">
      <c r="DE156" s="24">
        <v>45561</v>
      </c>
      <c r="DF156" s="23">
        <v>64700</v>
      </c>
      <c r="DG156" s="23">
        <v>25996.38</v>
      </c>
      <c r="DH156" s="23">
        <v>2671.57</v>
      </c>
      <c r="DI156" s="26">
        <v>37566015</v>
      </c>
      <c r="DJ156" s="29">
        <v>0.41076388888888887</v>
      </c>
      <c r="DK156" s="23">
        <v>57800</v>
      </c>
      <c r="DL156" s="23">
        <v>37566015</v>
      </c>
      <c r="DM156" s="23">
        <v>63900</v>
      </c>
      <c r="DN156" s="23">
        <v>64900</v>
      </c>
      <c r="DO156" s="23">
        <v>63700</v>
      </c>
      <c r="DP156" s="23">
        <v>64700</v>
      </c>
      <c r="DQ156" s="24">
        <v>45561</v>
      </c>
      <c r="DR156" s="23">
        <v>307399450</v>
      </c>
      <c r="DS156" s="23">
        <v>-239416949</v>
      </c>
      <c r="DT156" s="23">
        <v>-70190947</v>
      </c>
    </row>
    <row r="157" spans="109:124">
      <c r="DE157" s="24">
        <v>45560</v>
      </c>
      <c r="DF157" s="23">
        <v>62200</v>
      </c>
      <c r="DG157" s="23">
        <v>24928.58</v>
      </c>
      <c r="DH157" s="23">
        <v>2596.3200000000002</v>
      </c>
      <c r="DI157" s="26">
        <v>28652438</v>
      </c>
      <c r="DJ157" s="29">
        <v>0.41064814814814815</v>
      </c>
      <c r="DK157" s="23">
        <v>57850</v>
      </c>
      <c r="DL157" s="23">
        <v>28652438</v>
      </c>
      <c r="DM157" s="23">
        <v>63800</v>
      </c>
      <c r="DN157" s="23">
        <v>64200</v>
      </c>
      <c r="DO157" s="23">
        <v>62200</v>
      </c>
      <c r="DP157" s="23">
        <v>62200</v>
      </c>
      <c r="DQ157" s="24">
        <v>45560</v>
      </c>
      <c r="DR157" s="23">
        <v>201407655</v>
      </c>
      <c r="DS157" s="23">
        <v>-553519464</v>
      </c>
      <c r="DT157" s="23">
        <v>339596891</v>
      </c>
    </row>
    <row r="158" spans="109:124">
      <c r="DE158" s="24">
        <v>45559</v>
      </c>
      <c r="DF158" s="23">
        <v>63200</v>
      </c>
      <c r="DG158" s="23">
        <v>25169.439999999999</v>
      </c>
      <c r="DH158" s="23">
        <v>2631.68</v>
      </c>
      <c r="DI158" s="26">
        <v>26957500</v>
      </c>
      <c r="DJ158" s="29">
        <v>0.41053240740740737</v>
      </c>
      <c r="DK158" s="23">
        <v>57800</v>
      </c>
      <c r="DL158" s="23">
        <v>26957500</v>
      </c>
      <c r="DM158" s="23">
        <v>62800</v>
      </c>
      <c r="DN158" s="23">
        <v>63400</v>
      </c>
      <c r="DO158" s="23">
        <v>62400</v>
      </c>
      <c r="DP158" s="23">
        <v>63200</v>
      </c>
      <c r="DQ158" s="24">
        <v>45559</v>
      </c>
      <c r="DR158" s="23">
        <v>177892242</v>
      </c>
      <c r="DS158" s="23">
        <v>-476111761</v>
      </c>
      <c r="DT158" s="23">
        <v>295665576</v>
      </c>
    </row>
    <row r="159" spans="109:124">
      <c r="DE159" s="24">
        <v>45558</v>
      </c>
      <c r="DF159" s="23">
        <v>62600</v>
      </c>
      <c r="DG159" s="23">
        <v>24795.360000000001</v>
      </c>
      <c r="DH159" s="23">
        <v>2602.0100000000002</v>
      </c>
      <c r="DI159" s="26">
        <v>28542376</v>
      </c>
      <c r="DJ159" s="29">
        <v>0.41041666666666665</v>
      </c>
      <c r="DK159" s="23">
        <v>57800</v>
      </c>
      <c r="DL159" s="23">
        <v>28542376</v>
      </c>
      <c r="DM159" s="23">
        <v>62300</v>
      </c>
      <c r="DN159" s="23">
        <v>63500</v>
      </c>
      <c r="DO159" s="23">
        <v>62200</v>
      </c>
      <c r="DP159" s="23">
        <v>62600</v>
      </c>
      <c r="DQ159" s="24">
        <v>45558</v>
      </c>
      <c r="DR159" s="23">
        <v>116417383</v>
      </c>
      <c r="DS159" s="23">
        <v>-632538802</v>
      </c>
      <c r="DT159" s="23">
        <v>513328480</v>
      </c>
    </row>
    <row r="160" spans="109:124">
      <c r="DE160" s="24">
        <v>45555</v>
      </c>
      <c r="DF160" s="23">
        <v>63000</v>
      </c>
      <c r="DG160" s="23">
        <v>24657.72</v>
      </c>
      <c r="DH160" s="23">
        <v>2593.37</v>
      </c>
      <c r="DI160" s="26">
        <v>32746056</v>
      </c>
      <c r="DJ160" s="29">
        <v>0.41030092592592593</v>
      </c>
      <c r="DK160" s="23">
        <v>57900</v>
      </c>
      <c r="DL160" s="23">
        <v>32746056</v>
      </c>
      <c r="DM160" s="23">
        <v>63800</v>
      </c>
      <c r="DN160" s="23">
        <v>64700</v>
      </c>
      <c r="DO160" s="23">
        <v>63000</v>
      </c>
      <c r="DP160" s="23">
        <v>63000</v>
      </c>
      <c r="DQ160" s="24">
        <v>45555</v>
      </c>
      <c r="DR160" s="23">
        <v>79526141</v>
      </c>
      <c r="DS160" s="23">
        <v>-399901604</v>
      </c>
      <c r="DT160" s="23">
        <v>320454646</v>
      </c>
    </row>
    <row r="161" spans="109:124">
      <c r="DE161" s="24">
        <v>45554</v>
      </c>
      <c r="DF161" s="23">
        <v>63100</v>
      </c>
      <c r="DG161" s="23">
        <v>24490.51</v>
      </c>
      <c r="DH161" s="23">
        <v>2580.8000000000002</v>
      </c>
      <c r="DI161" s="26">
        <v>49402713</v>
      </c>
      <c r="DJ161" s="29">
        <v>0.41018518518518515</v>
      </c>
      <c r="DK161" s="23">
        <v>57900</v>
      </c>
      <c r="DL161" s="23">
        <v>49402713</v>
      </c>
      <c r="DM161" s="23">
        <v>64000</v>
      </c>
      <c r="DN161" s="23">
        <v>64400</v>
      </c>
      <c r="DO161" s="23">
        <v>62200</v>
      </c>
      <c r="DP161" s="23">
        <v>63100</v>
      </c>
      <c r="DQ161" s="24">
        <v>45554</v>
      </c>
      <c r="DR161" s="23">
        <v>336764307</v>
      </c>
      <c r="DS161" s="23">
        <v>-917840786</v>
      </c>
      <c r="DT161" s="23">
        <v>573958728</v>
      </c>
    </row>
    <row r="162" spans="109:124">
      <c r="DE162" s="24">
        <v>45548</v>
      </c>
      <c r="DF162" s="23">
        <v>64400</v>
      </c>
      <c r="DG162" s="23">
        <v>24949.75</v>
      </c>
      <c r="DH162" s="23">
        <v>2575.41</v>
      </c>
      <c r="DI162" s="26">
        <v>25045135</v>
      </c>
      <c r="DJ162" s="29">
        <v>0.41006944444444443</v>
      </c>
      <c r="DK162" s="23">
        <v>57900</v>
      </c>
      <c r="DL162" s="23">
        <v>25045135</v>
      </c>
      <c r="DM162" s="23">
        <v>65000</v>
      </c>
      <c r="DN162" s="23">
        <v>65500</v>
      </c>
      <c r="DO162" s="23">
        <v>64300</v>
      </c>
      <c r="DP162" s="23">
        <v>64400</v>
      </c>
      <c r="DQ162" s="24">
        <v>45548</v>
      </c>
      <c r="DR162" s="23">
        <v>31580479</v>
      </c>
      <c r="DS162" s="23">
        <v>-784564713</v>
      </c>
      <c r="DT162" s="23">
        <v>672033045</v>
      </c>
    </row>
    <row r="163" spans="109:124">
      <c r="DE163" s="24">
        <v>45547</v>
      </c>
      <c r="DF163" s="23">
        <v>66300</v>
      </c>
      <c r="DG163" s="23">
        <v>25584.09</v>
      </c>
      <c r="DH163" s="23">
        <v>2572.09</v>
      </c>
      <c r="DI163" s="26">
        <v>35884106</v>
      </c>
      <c r="DJ163" s="29">
        <v>0.40995370370370371</v>
      </c>
      <c r="DK163" s="23">
        <v>57950</v>
      </c>
      <c r="DL163" s="23">
        <v>35884106</v>
      </c>
      <c r="DM163" s="23">
        <v>66000</v>
      </c>
      <c r="DN163" s="23">
        <v>66600</v>
      </c>
      <c r="DO163" s="23">
        <v>65200</v>
      </c>
      <c r="DP163" s="23">
        <v>66300</v>
      </c>
      <c r="DQ163" s="24">
        <v>45547</v>
      </c>
      <c r="DR163" s="23">
        <v>58600626</v>
      </c>
      <c r="DS163" s="23">
        <v>-342490074</v>
      </c>
      <c r="DT163" s="23">
        <v>324859124</v>
      </c>
    </row>
    <row r="164" spans="109:124">
      <c r="DE164" s="24">
        <v>45546</v>
      </c>
      <c r="DF164" s="23">
        <v>64900</v>
      </c>
      <c r="DG164" s="23">
        <v>24762.54</v>
      </c>
      <c r="DH164" s="23">
        <v>2513.37</v>
      </c>
      <c r="DI164" s="26">
        <v>35809707</v>
      </c>
      <c r="DJ164" s="29">
        <v>0.40983796296296293</v>
      </c>
      <c r="DK164" s="23">
        <v>57900</v>
      </c>
      <c r="DL164" s="23">
        <v>35809707</v>
      </c>
      <c r="DM164" s="23">
        <v>65100</v>
      </c>
      <c r="DN164" s="23">
        <v>65500</v>
      </c>
      <c r="DO164" s="23">
        <v>64200</v>
      </c>
      <c r="DP164" s="23">
        <v>64900</v>
      </c>
      <c r="DQ164" s="24">
        <v>45546</v>
      </c>
      <c r="DR164" s="23">
        <v>-39945064</v>
      </c>
      <c r="DS164" s="23">
        <v>-905501389</v>
      </c>
      <c r="DT164" s="23">
        <v>871577800</v>
      </c>
    </row>
    <row r="165" spans="109:124">
      <c r="DE165" s="24">
        <v>45545</v>
      </c>
      <c r="DF165" s="23">
        <v>66200</v>
      </c>
      <c r="DG165" s="23">
        <v>24649.96</v>
      </c>
      <c r="DH165" s="23">
        <v>2523.4299999999998</v>
      </c>
      <c r="DI165" s="26">
        <v>30651376</v>
      </c>
      <c r="DJ165" s="29">
        <v>0.40972222222222221</v>
      </c>
      <c r="DK165" s="23">
        <v>57900</v>
      </c>
      <c r="DL165" s="23">
        <v>30651376</v>
      </c>
      <c r="DM165" s="23">
        <v>67000</v>
      </c>
      <c r="DN165" s="23">
        <v>67300</v>
      </c>
      <c r="DO165" s="23">
        <v>66000</v>
      </c>
      <c r="DP165" s="23">
        <v>66200</v>
      </c>
      <c r="DQ165" s="24">
        <v>45545</v>
      </c>
      <c r="DR165" s="23">
        <v>-85543566</v>
      </c>
      <c r="DS165" s="23">
        <v>-585688008</v>
      </c>
      <c r="DT165" s="23">
        <v>658439122</v>
      </c>
    </row>
    <row r="166" spans="109:124">
      <c r="DE166" s="24">
        <v>45544</v>
      </c>
      <c r="DF166" s="23">
        <v>67500</v>
      </c>
      <c r="DG166" s="23">
        <v>25184.18</v>
      </c>
      <c r="DH166" s="23">
        <v>2535.9299999999998</v>
      </c>
      <c r="DI166" s="26">
        <v>23263298</v>
      </c>
      <c r="DJ166" s="29">
        <v>0.40960648148148149</v>
      </c>
      <c r="DK166" s="23">
        <v>57900</v>
      </c>
      <c r="DL166" s="23">
        <v>23263298</v>
      </c>
      <c r="DM166" s="23">
        <v>66900</v>
      </c>
      <c r="DN166" s="23">
        <v>68200</v>
      </c>
      <c r="DO166" s="23">
        <v>66600</v>
      </c>
      <c r="DP166" s="23">
        <v>67500</v>
      </c>
      <c r="DQ166" s="24">
        <v>45544</v>
      </c>
      <c r="DR166" s="23">
        <v>-54417915</v>
      </c>
      <c r="DS166" s="23">
        <v>-385829882</v>
      </c>
      <c r="DT166" s="23">
        <v>426194120</v>
      </c>
    </row>
    <row r="167" spans="109:124">
      <c r="DE167" s="24">
        <v>45541</v>
      </c>
      <c r="DF167" s="23">
        <v>68900</v>
      </c>
      <c r="DG167" s="23">
        <v>25376.39</v>
      </c>
      <c r="DH167" s="23">
        <v>2544.2800000000002</v>
      </c>
      <c r="DI167" s="26">
        <v>19022299</v>
      </c>
      <c r="DJ167" s="29">
        <v>0.40949074074074071</v>
      </c>
      <c r="DK167" s="23">
        <v>57900</v>
      </c>
      <c r="DL167" s="23">
        <v>19022299</v>
      </c>
      <c r="DM167" s="23">
        <v>69100</v>
      </c>
      <c r="DN167" s="23">
        <v>69700</v>
      </c>
      <c r="DO167" s="23">
        <v>68000</v>
      </c>
      <c r="DP167" s="23">
        <v>68900</v>
      </c>
      <c r="DQ167" s="24">
        <v>45541</v>
      </c>
      <c r="DR167" s="23">
        <v>-28112452</v>
      </c>
      <c r="DS167" s="23">
        <v>-166221071</v>
      </c>
      <c r="DT167" s="23">
        <v>190500676</v>
      </c>
    </row>
    <row r="168" spans="109:124">
      <c r="DE168" s="24">
        <v>45540</v>
      </c>
      <c r="DF168" s="23">
        <v>69000</v>
      </c>
      <c r="DG168" s="23">
        <v>25781.16</v>
      </c>
      <c r="DH168" s="23">
        <v>2575.5</v>
      </c>
      <c r="DI168" s="26">
        <v>25686769</v>
      </c>
      <c r="DJ168" s="29">
        <v>0.40937499999999999</v>
      </c>
      <c r="DK168" s="23">
        <v>57900</v>
      </c>
      <c r="DL168" s="23">
        <v>25686769</v>
      </c>
      <c r="DM168" s="23">
        <v>70100</v>
      </c>
      <c r="DN168" s="23">
        <v>71200</v>
      </c>
      <c r="DO168" s="23">
        <v>69000</v>
      </c>
      <c r="DP168" s="23">
        <v>69000</v>
      </c>
      <c r="DQ168" s="24">
        <v>45540</v>
      </c>
      <c r="DR168" s="23">
        <v>-25791144</v>
      </c>
      <c r="DS168" s="23">
        <v>-606058191</v>
      </c>
      <c r="DT168" s="23">
        <v>617652261</v>
      </c>
    </row>
    <row r="169" spans="109:124">
      <c r="DE169" s="24">
        <v>45539</v>
      </c>
      <c r="DF169" s="23">
        <v>70000</v>
      </c>
      <c r="DG169" s="23">
        <v>25806.48</v>
      </c>
      <c r="DH169" s="23">
        <v>2580.8000000000002</v>
      </c>
      <c r="DI169" s="26">
        <v>27366563</v>
      </c>
      <c r="DJ169" s="29">
        <v>0.40925925925925921</v>
      </c>
      <c r="DK169" s="23">
        <v>57900</v>
      </c>
      <c r="DL169" s="23">
        <v>27366563</v>
      </c>
      <c r="DM169" s="23">
        <v>69800</v>
      </c>
      <c r="DN169" s="23">
        <v>71100</v>
      </c>
      <c r="DO169" s="23">
        <v>69800</v>
      </c>
      <c r="DP169" s="23">
        <v>70000</v>
      </c>
      <c r="DQ169" s="24">
        <v>45539</v>
      </c>
      <c r="DR169" s="23">
        <v>-283791062</v>
      </c>
      <c r="DS169" s="23">
        <v>-516520456</v>
      </c>
      <c r="DT169" s="23">
        <v>774821551</v>
      </c>
    </row>
    <row r="170" spans="109:124">
      <c r="DE170" s="24">
        <v>45538</v>
      </c>
      <c r="DF170" s="23">
        <v>72500</v>
      </c>
      <c r="DG170" s="23">
        <v>26906.73</v>
      </c>
      <c r="DH170" s="23">
        <v>2664.63</v>
      </c>
      <c r="DI170" s="26">
        <v>16314599</v>
      </c>
      <c r="DJ170" s="29">
        <v>0.40914351851851849</v>
      </c>
      <c r="DK170" s="23">
        <v>57900</v>
      </c>
      <c r="DL170" s="23">
        <v>16314599</v>
      </c>
      <c r="DM170" s="23">
        <v>74100</v>
      </c>
      <c r="DN170" s="23">
        <v>74300</v>
      </c>
      <c r="DO170" s="23">
        <v>72500</v>
      </c>
      <c r="DP170" s="23">
        <v>72500</v>
      </c>
      <c r="DQ170" s="24">
        <v>45538</v>
      </c>
      <c r="DR170" s="23">
        <v>-123372065</v>
      </c>
      <c r="DS170" s="23">
        <v>-423880793</v>
      </c>
      <c r="DT170" s="23">
        <v>535518573</v>
      </c>
    </row>
    <row r="171" spans="109:124">
      <c r="DE171" s="24">
        <v>45537</v>
      </c>
      <c r="DF171" s="23">
        <v>74400</v>
      </c>
      <c r="DG171" s="23">
        <v>27512.93</v>
      </c>
      <c r="DH171" s="23">
        <v>2681</v>
      </c>
      <c r="DI171" s="26">
        <v>12641376</v>
      </c>
      <c r="DJ171" s="29">
        <v>0.40902777777777777</v>
      </c>
      <c r="DK171" s="23">
        <v>57950</v>
      </c>
      <c r="DL171" s="23">
        <v>12641376</v>
      </c>
      <c r="DM171" s="23">
        <v>74500</v>
      </c>
      <c r="DN171" s="23">
        <v>74700</v>
      </c>
      <c r="DO171" s="23">
        <v>73500</v>
      </c>
      <c r="DP171" s="23">
        <v>74400</v>
      </c>
      <c r="DQ171" s="24">
        <v>45537</v>
      </c>
      <c r="DR171" s="23">
        <v>-175982089</v>
      </c>
      <c r="DS171" s="23">
        <v>137715832</v>
      </c>
      <c r="DT171" s="23">
        <v>33404165</v>
      </c>
    </row>
    <row r="172" spans="109:124">
      <c r="DE172" s="24">
        <v>45534</v>
      </c>
      <c r="DF172" s="23">
        <v>74300</v>
      </c>
      <c r="DG172" s="23">
        <v>27178.44</v>
      </c>
      <c r="DH172" s="23">
        <v>2674.31</v>
      </c>
      <c r="DI172" s="26">
        <v>16358520</v>
      </c>
      <c r="DJ172" s="29">
        <v>0.40891203703703699</v>
      </c>
      <c r="DK172" s="23">
        <v>57950</v>
      </c>
      <c r="DL172" s="23">
        <v>16358520</v>
      </c>
      <c r="DM172" s="23">
        <v>74400</v>
      </c>
      <c r="DN172" s="23">
        <v>75000</v>
      </c>
      <c r="DO172" s="23">
        <v>74100</v>
      </c>
      <c r="DP172" s="23">
        <v>74300</v>
      </c>
      <c r="DQ172" s="24">
        <v>45534</v>
      </c>
      <c r="DR172" s="23">
        <v>101116690</v>
      </c>
      <c r="DS172" s="23">
        <v>-187241751</v>
      </c>
      <c r="DT172" s="23">
        <v>82091557</v>
      </c>
    </row>
    <row r="173" spans="109:124">
      <c r="DE173" s="24">
        <v>45533</v>
      </c>
      <c r="DF173" s="23">
        <v>74000</v>
      </c>
      <c r="DG173" s="23">
        <v>26999.96</v>
      </c>
      <c r="DH173" s="23">
        <v>2662.28</v>
      </c>
      <c r="DI173" s="26">
        <v>16884479</v>
      </c>
      <c r="DJ173" s="29">
        <v>0.40879629629629627</v>
      </c>
      <c r="DK173" s="23">
        <v>58000</v>
      </c>
      <c r="DL173" s="23">
        <v>16884479</v>
      </c>
      <c r="DM173" s="23">
        <v>73600</v>
      </c>
      <c r="DN173" s="23">
        <v>74700</v>
      </c>
      <c r="DO173" s="23">
        <v>73500</v>
      </c>
      <c r="DP173" s="23">
        <v>74000</v>
      </c>
      <c r="DQ173" s="24">
        <v>45533</v>
      </c>
      <c r="DR173" s="23">
        <v>-161701543</v>
      </c>
      <c r="DS173" s="23">
        <v>-333962756</v>
      </c>
      <c r="DT173" s="23">
        <v>479461459</v>
      </c>
    </row>
    <row r="174" spans="109:124">
      <c r="DE174" s="24">
        <v>45532</v>
      </c>
      <c r="DF174" s="23">
        <v>76400</v>
      </c>
      <c r="DG174" s="23">
        <v>27526.79</v>
      </c>
      <c r="DH174" s="23">
        <v>2689.83</v>
      </c>
      <c r="DI174" s="26">
        <v>9794514</v>
      </c>
      <c r="DJ174" s="29">
        <v>0.40868055555555555</v>
      </c>
      <c r="DK174" s="23">
        <v>58000</v>
      </c>
      <c r="DL174" s="23">
        <v>9794514</v>
      </c>
      <c r="DM174" s="23">
        <v>75800</v>
      </c>
      <c r="DN174" s="23">
        <v>76400</v>
      </c>
      <c r="DO174" s="23">
        <v>75400</v>
      </c>
      <c r="DP174" s="23">
        <v>76400</v>
      </c>
      <c r="DQ174" s="24">
        <v>45532</v>
      </c>
      <c r="DR174" s="23">
        <v>40293400</v>
      </c>
      <c r="DS174" s="23">
        <v>-110697529</v>
      </c>
      <c r="DT174" s="23">
        <v>68073607</v>
      </c>
    </row>
    <row r="175" spans="109:124">
      <c r="DE175" s="24">
        <v>45531</v>
      </c>
      <c r="DF175" s="23">
        <v>75800</v>
      </c>
      <c r="DG175" s="23">
        <v>27382.22</v>
      </c>
      <c r="DH175" s="23">
        <v>2689.25</v>
      </c>
      <c r="DI175" s="26">
        <v>11130145</v>
      </c>
      <c r="DJ175" s="29">
        <v>0.40856481481481477</v>
      </c>
      <c r="DK175" s="23">
        <v>57950</v>
      </c>
      <c r="DL175" s="23">
        <v>11130145</v>
      </c>
      <c r="DM175" s="23">
        <v>75700</v>
      </c>
      <c r="DN175" s="23">
        <v>76500</v>
      </c>
      <c r="DO175" s="23">
        <v>75600</v>
      </c>
      <c r="DP175" s="23">
        <v>75800</v>
      </c>
      <c r="DQ175" s="24">
        <v>45531</v>
      </c>
      <c r="DR175" s="23">
        <v>23082123</v>
      </c>
      <c r="DS175" s="23">
        <v>-109625645</v>
      </c>
      <c r="DT175" s="23">
        <v>81785298</v>
      </c>
    </row>
    <row r="176" spans="109:124">
      <c r="DE176" s="24">
        <v>45530</v>
      </c>
      <c r="DF176" s="23">
        <v>76100</v>
      </c>
      <c r="DG176" s="23">
        <v>27547.33</v>
      </c>
      <c r="DH176" s="23">
        <v>2698.01</v>
      </c>
      <c r="DI176" s="26">
        <v>15655938</v>
      </c>
      <c r="DJ176" s="29">
        <v>0.40844907407407405</v>
      </c>
      <c r="DK176" s="23">
        <v>58000</v>
      </c>
      <c r="DL176" s="23">
        <v>15655938</v>
      </c>
      <c r="DM176" s="23">
        <v>78100</v>
      </c>
      <c r="DN176" s="23">
        <v>78200</v>
      </c>
      <c r="DO176" s="23">
        <v>76000</v>
      </c>
      <c r="DP176" s="23">
        <v>76100</v>
      </c>
      <c r="DQ176" s="24">
        <v>45530</v>
      </c>
      <c r="DR176" s="23">
        <v>43998466</v>
      </c>
      <c r="DS176" s="23">
        <v>-285126199</v>
      </c>
      <c r="DT176" s="23">
        <v>235032769</v>
      </c>
    </row>
    <row r="177" spans="109:124">
      <c r="DE177" s="24">
        <v>45527</v>
      </c>
      <c r="DF177" s="23">
        <v>77700</v>
      </c>
      <c r="DG177" s="23">
        <v>27872.27</v>
      </c>
      <c r="DH177" s="23">
        <v>2701.69</v>
      </c>
      <c r="DI177" s="26">
        <v>9420306</v>
      </c>
      <c r="DJ177" s="29">
        <v>0.40833333333333333</v>
      </c>
      <c r="DK177" s="23">
        <v>58100</v>
      </c>
      <c r="DL177" s="23">
        <v>9420306</v>
      </c>
      <c r="DM177" s="23">
        <v>77700</v>
      </c>
      <c r="DN177" s="23">
        <v>78400</v>
      </c>
      <c r="DO177" s="23">
        <v>77500</v>
      </c>
      <c r="DP177" s="23">
        <v>77700</v>
      </c>
      <c r="DQ177" s="24">
        <v>45527</v>
      </c>
      <c r="DR177" s="23">
        <v>58127383</v>
      </c>
      <c r="DS177" s="23">
        <v>-90096856</v>
      </c>
      <c r="DT177" s="23">
        <v>36142889</v>
      </c>
    </row>
    <row r="178" spans="109:124">
      <c r="DE178" s="24">
        <v>45526</v>
      </c>
      <c r="DF178" s="23">
        <v>78300</v>
      </c>
      <c r="DG178" s="23">
        <v>28196.51</v>
      </c>
      <c r="DH178" s="23">
        <v>2707.67</v>
      </c>
      <c r="DI178" s="26">
        <v>8149101</v>
      </c>
      <c r="DJ178" s="29">
        <v>0.40821759259259255</v>
      </c>
      <c r="DK178" s="23">
        <v>58100</v>
      </c>
      <c r="DL178" s="23">
        <v>8149101</v>
      </c>
      <c r="DM178" s="23">
        <v>78700</v>
      </c>
      <c r="DN178" s="23">
        <v>78900</v>
      </c>
      <c r="DO178" s="23">
        <v>77800</v>
      </c>
      <c r="DP178" s="23">
        <v>78300</v>
      </c>
      <c r="DQ178" s="24">
        <v>45526</v>
      </c>
      <c r="DR178" s="23">
        <v>-35367393</v>
      </c>
      <c r="DS178" s="23">
        <v>24404714</v>
      </c>
      <c r="DT178" s="23">
        <v>11878963</v>
      </c>
    </row>
    <row r="179" spans="109:124">
      <c r="DE179" s="24">
        <v>45525</v>
      </c>
      <c r="DF179" s="23">
        <v>78300</v>
      </c>
      <c r="DG179" s="23">
        <v>28097.78</v>
      </c>
      <c r="DH179" s="23">
        <v>2701.13</v>
      </c>
      <c r="DI179" s="26">
        <v>7805598</v>
      </c>
      <c r="DJ179" s="29">
        <v>0.40810185185185183</v>
      </c>
      <c r="DK179" s="23">
        <v>58000</v>
      </c>
      <c r="DL179" s="23">
        <v>7805598</v>
      </c>
      <c r="DM179" s="23">
        <v>77900</v>
      </c>
      <c r="DN179" s="23">
        <v>78600</v>
      </c>
      <c r="DO179" s="23">
        <v>77800</v>
      </c>
      <c r="DP179" s="23">
        <v>78300</v>
      </c>
      <c r="DQ179" s="24">
        <v>45525</v>
      </c>
      <c r="DR179" s="23">
        <v>13792113</v>
      </c>
      <c r="DS179" s="23">
        <v>6352023</v>
      </c>
      <c r="DT179" s="23">
        <v>-15629468</v>
      </c>
    </row>
    <row r="180" spans="109:124">
      <c r="DE180" s="24">
        <v>45524</v>
      </c>
      <c r="DF180" s="23">
        <v>78900</v>
      </c>
      <c r="DG180" s="23">
        <v>28155.47</v>
      </c>
      <c r="DH180" s="23">
        <v>2696.63</v>
      </c>
      <c r="DI180" s="26">
        <v>10683836</v>
      </c>
      <c r="DJ180" s="29">
        <v>0.4079861111111111</v>
      </c>
      <c r="DK180" s="23">
        <v>58100</v>
      </c>
      <c r="DL180" s="23">
        <v>10683836</v>
      </c>
      <c r="DM180" s="23">
        <v>79500</v>
      </c>
      <c r="DN180" s="23">
        <v>79800</v>
      </c>
      <c r="DO180" s="23">
        <v>78700</v>
      </c>
      <c r="DP180" s="23">
        <v>78900</v>
      </c>
      <c r="DQ180" s="24">
        <v>45524</v>
      </c>
      <c r="DR180" s="23">
        <v>-11292783</v>
      </c>
      <c r="DS180" s="23">
        <v>73385166</v>
      </c>
      <c r="DT180" s="23">
        <v>-62295652</v>
      </c>
    </row>
    <row r="181" spans="109:124">
      <c r="DE181" s="24">
        <v>45523</v>
      </c>
      <c r="DF181" s="23">
        <v>78300</v>
      </c>
      <c r="DG181" s="23">
        <v>27829.14</v>
      </c>
      <c r="DH181" s="23">
        <v>2674.36</v>
      </c>
      <c r="DI181" s="26">
        <v>14146565</v>
      </c>
      <c r="DJ181" s="29">
        <v>0.40787037037037033</v>
      </c>
      <c r="DK181" s="23">
        <v>58000</v>
      </c>
      <c r="DL181" s="23">
        <v>14146565</v>
      </c>
      <c r="DM181" s="23">
        <v>80100</v>
      </c>
      <c r="DN181" s="23">
        <v>80100</v>
      </c>
      <c r="DO181" s="23">
        <v>78000</v>
      </c>
      <c r="DP181" s="23">
        <v>78300</v>
      </c>
      <c r="DQ181" s="24">
        <v>45523</v>
      </c>
      <c r="DR181" s="23">
        <v>-26566875</v>
      </c>
      <c r="DS181" s="23">
        <v>-115378245</v>
      </c>
      <c r="DT181" s="23">
        <v>136433120</v>
      </c>
    </row>
    <row r="182" spans="109:124">
      <c r="DE182" s="24">
        <v>45520</v>
      </c>
      <c r="DF182" s="23">
        <v>80200</v>
      </c>
      <c r="DG182" s="23">
        <v>28524.639999999999</v>
      </c>
      <c r="DH182" s="23">
        <v>2697.23</v>
      </c>
      <c r="DI182" s="26">
        <v>22061478</v>
      </c>
      <c r="DJ182" s="29">
        <v>0.40775462962962961</v>
      </c>
      <c r="DK182" s="23">
        <v>58000</v>
      </c>
      <c r="DL182" s="23">
        <v>22061478</v>
      </c>
      <c r="DM182" s="23">
        <v>79400</v>
      </c>
      <c r="DN182" s="23">
        <v>80200</v>
      </c>
      <c r="DO182" s="23">
        <v>78700</v>
      </c>
      <c r="DP182" s="23">
        <v>80200</v>
      </c>
      <c r="DQ182" s="24">
        <v>45520</v>
      </c>
      <c r="DR182" s="23">
        <v>72520225</v>
      </c>
      <c r="DS182" s="23">
        <v>518537518</v>
      </c>
      <c r="DT182" s="23">
        <v>-581658603</v>
      </c>
    </row>
    <row r="183" spans="109:124">
      <c r="DE183" s="24">
        <v>45518</v>
      </c>
      <c r="DF183" s="23">
        <v>77200</v>
      </c>
      <c r="DG183" s="23">
        <v>27519.35</v>
      </c>
      <c r="DH183" s="23">
        <v>2644.5</v>
      </c>
      <c r="DI183" s="26">
        <v>13246168</v>
      </c>
      <c r="DJ183" s="29">
        <v>0.40763888888888888</v>
      </c>
      <c r="DK183" s="23">
        <v>58100</v>
      </c>
      <c r="DL183" s="23">
        <v>13246168</v>
      </c>
      <c r="DM183" s="23">
        <v>77400</v>
      </c>
      <c r="DN183" s="23">
        <v>77800</v>
      </c>
      <c r="DO183" s="23">
        <v>77000</v>
      </c>
      <c r="DP183" s="23">
        <v>77200</v>
      </c>
      <c r="DQ183" s="24">
        <v>45518</v>
      </c>
      <c r="DR183" s="23">
        <v>-17801174</v>
      </c>
      <c r="DS183" s="23">
        <v>158134626</v>
      </c>
      <c r="DT183" s="23">
        <v>-166638535</v>
      </c>
    </row>
    <row r="184" spans="109:124">
      <c r="DE184" s="24">
        <v>45517</v>
      </c>
      <c r="DF184" s="23">
        <v>76100</v>
      </c>
      <c r="DG184" s="23">
        <v>27041.08</v>
      </c>
      <c r="DH184" s="23">
        <v>2621.5</v>
      </c>
      <c r="DI184" s="26">
        <v>10716261</v>
      </c>
      <c r="DJ184" s="29">
        <v>0.40752314814814811</v>
      </c>
      <c r="DK184" s="23">
        <v>58000</v>
      </c>
      <c r="DL184" s="23">
        <v>10716261</v>
      </c>
      <c r="DM184" s="23">
        <v>76500</v>
      </c>
      <c r="DN184" s="23">
        <v>76600</v>
      </c>
      <c r="DO184" s="23">
        <v>75500</v>
      </c>
      <c r="DP184" s="23">
        <v>76100</v>
      </c>
      <c r="DQ184" s="24">
        <v>45517</v>
      </c>
      <c r="DR184" s="23">
        <v>-15577572</v>
      </c>
      <c r="DS184" s="23">
        <v>141393295</v>
      </c>
      <c r="DT184" s="23">
        <v>-120303693</v>
      </c>
    </row>
    <row r="185" spans="109:124">
      <c r="DE185" s="24">
        <v>45516</v>
      </c>
      <c r="DF185" s="23">
        <v>75500</v>
      </c>
      <c r="DG185" s="23">
        <v>26864.87</v>
      </c>
      <c r="DH185" s="23">
        <v>2618.3000000000002</v>
      </c>
      <c r="DI185" s="26">
        <v>9839259</v>
      </c>
      <c r="DJ185" s="29">
        <v>0.40740740740740738</v>
      </c>
      <c r="DK185" s="23">
        <v>58000</v>
      </c>
      <c r="DL185" s="23">
        <v>9839259</v>
      </c>
      <c r="DM185" s="23">
        <v>75200</v>
      </c>
      <c r="DN185" s="23">
        <v>75900</v>
      </c>
      <c r="DO185" s="23">
        <v>74800</v>
      </c>
      <c r="DP185" s="23">
        <v>75500</v>
      </c>
      <c r="DQ185" s="24">
        <v>45516</v>
      </c>
      <c r="DR185" s="23">
        <v>8510423</v>
      </c>
      <c r="DS185" s="23">
        <v>35994225</v>
      </c>
      <c r="DT185" s="23">
        <v>-40788434</v>
      </c>
    </row>
    <row r="186" spans="109:124">
      <c r="DE186" s="24">
        <v>45513</v>
      </c>
      <c r="DF186" s="23">
        <v>74700</v>
      </c>
      <c r="DG186" s="23">
        <v>26434.42</v>
      </c>
      <c r="DH186" s="23">
        <v>2588.4299999999998</v>
      </c>
      <c r="DI186" s="26">
        <v>16388222</v>
      </c>
      <c r="DJ186" s="29">
        <v>0.40729166666666666</v>
      </c>
      <c r="DK186" s="23">
        <v>58000</v>
      </c>
      <c r="DL186" s="23">
        <v>16388222</v>
      </c>
      <c r="DM186" s="23">
        <v>75700</v>
      </c>
      <c r="DN186" s="23">
        <v>75800</v>
      </c>
      <c r="DO186" s="23">
        <v>74200</v>
      </c>
      <c r="DP186" s="23">
        <v>74700</v>
      </c>
      <c r="DQ186" s="24">
        <v>45513</v>
      </c>
      <c r="DR186" s="23">
        <v>-1702228</v>
      </c>
      <c r="DS186" s="23">
        <v>42144538</v>
      </c>
      <c r="DT186" s="23">
        <v>-58498797</v>
      </c>
    </row>
    <row r="187" spans="109:124">
      <c r="DE187" s="24">
        <v>45512</v>
      </c>
      <c r="DF187" s="23">
        <v>73400</v>
      </c>
      <c r="DG187" s="23">
        <v>25870.78</v>
      </c>
      <c r="DH187" s="23">
        <v>2556.73</v>
      </c>
      <c r="DI187" s="26">
        <v>28414729</v>
      </c>
      <c r="DJ187" s="29">
        <v>0.40717592592592589</v>
      </c>
      <c r="DK187" s="23">
        <v>58100</v>
      </c>
      <c r="DL187" s="23">
        <v>28414729</v>
      </c>
      <c r="DM187" s="23">
        <v>73200</v>
      </c>
      <c r="DN187" s="23">
        <v>73900</v>
      </c>
      <c r="DO187" s="23">
        <v>72500</v>
      </c>
      <c r="DP187" s="23">
        <v>73400</v>
      </c>
      <c r="DQ187" s="24">
        <v>45512</v>
      </c>
      <c r="DR187" s="23">
        <v>-278443656</v>
      </c>
      <c r="DS187" s="23">
        <v>-240339065</v>
      </c>
      <c r="DT187" s="23">
        <v>510444314</v>
      </c>
    </row>
    <row r="188" spans="109:124">
      <c r="DE188" s="24">
        <v>45511</v>
      </c>
      <c r="DF188" s="23">
        <v>74700</v>
      </c>
      <c r="DG188" s="23">
        <v>26437.54</v>
      </c>
      <c r="DH188" s="23">
        <v>2568.41</v>
      </c>
      <c r="DI188" s="26">
        <v>32710428</v>
      </c>
      <c r="DJ188" s="29">
        <v>0.40706018518518516</v>
      </c>
      <c r="DK188" s="23">
        <v>58050</v>
      </c>
      <c r="DL188" s="23">
        <v>32710428</v>
      </c>
      <c r="DM188" s="23">
        <v>73000</v>
      </c>
      <c r="DN188" s="23">
        <v>76000</v>
      </c>
      <c r="DO188" s="23">
        <v>72800</v>
      </c>
      <c r="DP188" s="23">
        <v>74700</v>
      </c>
      <c r="DQ188" s="24">
        <v>45511</v>
      </c>
      <c r="DR188" s="23">
        <v>-156686010</v>
      </c>
      <c r="DS188" s="23">
        <v>81757546</v>
      </c>
      <c r="DT188" s="23">
        <v>63400827</v>
      </c>
    </row>
    <row r="189" spans="109:124">
      <c r="DE189" s="24">
        <v>45510</v>
      </c>
      <c r="DF189" s="23">
        <v>72500</v>
      </c>
      <c r="DG189" s="23">
        <v>25879.34</v>
      </c>
      <c r="DH189" s="23">
        <v>2522.15</v>
      </c>
      <c r="DI189" s="26">
        <v>47295226</v>
      </c>
      <c r="DJ189" s="29">
        <v>0.40694444444444444</v>
      </c>
      <c r="DK189" s="23">
        <v>58100</v>
      </c>
      <c r="DL189" s="23">
        <v>47295226</v>
      </c>
      <c r="DM189" s="23">
        <v>74900</v>
      </c>
      <c r="DN189" s="23">
        <v>75300</v>
      </c>
      <c r="DO189" s="23">
        <v>72300</v>
      </c>
      <c r="DP189" s="23">
        <v>72500</v>
      </c>
      <c r="DQ189" s="24">
        <v>45510</v>
      </c>
      <c r="DR189" s="23">
        <v>-514351203</v>
      </c>
      <c r="DS189" s="23">
        <v>-182816122</v>
      </c>
      <c r="DT189" s="23">
        <v>658368177</v>
      </c>
    </row>
    <row r="190" spans="109:124">
      <c r="DE190" s="24">
        <v>45509</v>
      </c>
      <c r="DF190" s="23">
        <v>71400</v>
      </c>
      <c r="DG190" s="23">
        <v>25136</v>
      </c>
      <c r="DH190" s="23">
        <v>2441.5500000000002</v>
      </c>
      <c r="DI190" s="26">
        <v>54608790</v>
      </c>
      <c r="DJ190" s="29">
        <v>0.40682870370370366</v>
      </c>
      <c r="DK190" s="23">
        <v>58000</v>
      </c>
      <c r="DL190" s="23">
        <v>54608790</v>
      </c>
      <c r="DM190" s="23">
        <v>76700</v>
      </c>
      <c r="DN190" s="23">
        <v>76900</v>
      </c>
      <c r="DO190" s="23">
        <v>70200</v>
      </c>
      <c r="DP190" s="23">
        <v>71400</v>
      </c>
      <c r="DQ190" s="24">
        <v>45509</v>
      </c>
      <c r="DR190" s="23">
        <v>-177815603</v>
      </c>
      <c r="DS190" s="23">
        <v>-1224837026</v>
      </c>
      <c r="DT190" s="23">
        <v>1351681198</v>
      </c>
    </row>
    <row r="191" spans="109:124">
      <c r="DE191" s="24">
        <v>45506</v>
      </c>
      <c r="DF191" s="23">
        <v>79600</v>
      </c>
      <c r="DG191" s="23">
        <v>27795.9</v>
      </c>
      <c r="DH191" s="23">
        <v>2676.19</v>
      </c>
      <c r="DI191" s="26">
        <v>25800275</v>
      </c>
      <c r="DJ191" s="29">
        <v>0.40671296296296294</v>
      </c>
      <c r="DK191" s="23">
        <v>58100</v>
      </c>
      <c r="DL191" s="23">
        <v>25800275</v>
      </c>
      <c r="DM191" s="23">
        <v>81000</v>
      </c>
      <c r="DN191" s="23">
        <v>81400</v>
      </c>
      <c r="DO191" s="23">
        <v>79500</v>
      </c>
      <c r="DP191" s="23">
        <v>79600</v>
      </c>
      <c r="DQ191" s="24">
        <v>45506</v>
      </c>
      <c r="DR191" s="23">
        <v>-252702178</v>
      </c>
      <c r="DS191" s="23">
        <v>-288083120</v>
      </c>
      <c r="DT191" s="23">
        <v>522198030</v>
      </c>
    </row>
    <row r="192" spans="109:124">
      <c r="DE192" s="24">
        <v>45505</v>
      </c>
      <c r="DF192" s="23">
        <v>83100</v>
      </c>
      <c r="DG192" s="23">
        <v>29188.19</v>
      </c>
      <c r="DH192" s="23">
        <v>2777.68</v>
      </c>
      <c r="DI192" s="26">
        <v>20900338</v>
      </c>
      <c r="DJ192" s="29">
        <v>0.40659722222222222</v>
      </c>
      <c r="DK192" s="23">
        <v>58100</v>
      </c>
      <c r="DL192" s="23">
        <v>20900338</v>
      </c>
      <c r="DM192" s="23">
        <v>86000</v>
      </c>
      <c r="DN192" s="23">
        <v>86100</v>
      </c>
      <c r="DO192" s="23">
        <v>83100</v>
      </c>
      <c r="DP192" s="23">
        <v>83100</v>
      </c>
      <c r="DQ192" s="24">
        <v>45505</v>
      </c>
      <c r="DR192" s="23">
        <v>-89657309</v>
      </c>
      <c r="DS192" s="23">
        <v>29180215</v>
      </c>
      <c r="DT192" s="23">
        <v>43115469</v>
      </c>
    </row>
    <row r="193" spans="109:124">
      <c r="DE193" s="24">
        <v>45504</v>
      </c>
      <c r="DF193" s="23">
        <v>83900</v>
      </c>
      <c r="DG193" s="23">
        <v>29195.09</v>
      </c>
      <c r="DH193" s="23">
        <v>2770.69</v>
      </c>
      <c r="DI193" s="26">
        <v>20744323</v>
      </c>
      <c r="DJ193" s="29">
        <v>0.40648148148148144</v>
      </c>
      <c r="DK193" s="23">
        <v>58100</v>
      </c>
      <c r="DL193" s="23">
        <v>20744323</v>
      </c>
      <c r="DM193" s="23">
        <v>81200</v>
      </c>
      <c r="DN193" s="23">
        <v>83900</v>
      </c>
      <c r="DO193" s="23">
        <v>80900</v>
      </c>
      <c r="DP193" s="23">
        <v>83900</v>
      </c>
      <c r="DQ193" s="24">
        <v>45504</v>
      </c>
      <c r="DR193" s="23">
        <v>78683436</v>
      </c>
      <c r="DS193" s="23">
        <v>138809753</v>
      </c>
      <c r="DT193" s="23">
        <v>-212017124</v>
      </c>
    </row>
    <row r="194" spans="109:124">
      <c r="DE194" s="24">
        <v>45503</v>
      </c>
      <c r="DF194" s="23">
        <v>81000</v>
      </c>
      <c r="DG194" s="23">
        <v>28560.27</v>
      </c>
      <c r="DH194" s="23">
        <v>2738.19</v>
      </c>
      <c r="DI194" s="26">
        <v>13169636</v>
      </c>
      <c r="DJ194" s="29">
        <v>0.40636574074074072</v>
      </c>
      <c r="DK194" s="23">
        <v>58050</v>
      </c>
      <c r="DL194" s="23">
        <v>13169636</v>
      </c>
      <c r="DM194" s="23">
        <v>80400</v>
      </c>
      <c r="DN194" s="23">
        <v>81000</v>
      </c>
      <c r="DO194" s="23">
        <v>80000</v>
      </c>
      <c r="DP194" s="23">
        <v>81000</v>
      </c>
      <c r="DQ194" s="24">
        <v>45503</v>
      </c>
      <c r="DR194" s="23">
        <v>-110867249</v>
      </c>
      <c r="DS194" s="23">
        <v>-24903453</v>
      </c>
      <c r="DT194" s="23">
        <v>131409018</v>
      </c>
    </row>
    <row r="195" spans="109:124">
      <c r="DE195" s="24">
        <v>45502</v>
      </c>
      <c r="DF195" s="23">
        <v>81200</v>
      </c>
      <c r="DG195" s="23">
        <v>28799.89</v>
      </c>
      <c r="DH195" s="23">
        <v>2765.53</v>
      </c>
      <c r="DI195" s="26">
        <v>12797136</v>
      </c>
      <c r="DJ195" s="29">
        <v>0.40625</v>
      </c>
      <c r="DK195" s="23">
        <v>58100</v>
      </c>
      <c r="DL195" s="23">
        <v>12797136</v>
      </c>
      <c r="DM195" s="23">
        <v>81600</v>
      </c>
      <c r="DN195" s="23">
        <v>82000</v>
      </c>
      <c r="DO195" s="23">
        <v>81100</v>
      </c>
      <c r="DP195" s="23">
        <v>81200</v>
      </c>
      <c r="DQ195" s="24">
        <v>45502</v>
      </c>
      <c r="DR195" s="23">
        <v>-45189538</v>
      </c>
      <c r="DS195" s="23">
        <v>4315835</v>
      </c>
      <c r="DT195" s="23">
        <v>31980330</v>
      </c>
    </row>
    <row r="196" spans="109:124">
      <c r="DE196" s="24">
        <v>45499</v>
      </c>
      <c r="DF196" s="23">
        <v>80900</v>
      </c>
      <c r="DG196" s="23">
        <v>28619.31</v>
      </c>
      <c r="DH196" s="23">
        <v>2731.9</v>
      </c>
      <c r="DI196" s="26">
        <v>14508334</v>
      </c>
      <c r="DJ196" s="29">
        <v>0.40613425925925922</v>
      </c>
      <c r="DK196" s="23">
        <v>58050</v>
      </c>
      <c r="DL196" s="23">
        <v>14508334</v>
      </c>
      <c r="DM196" s="23">
        <v>80700</v>
      </c>
      <c r="DN196" s="23">
        <v>81300</v>
      </c>
      <c r="DO196" s="23">
        <v>80400</v>
      </c>
      <c r="DP196" s="23">
        <v>80900</v>
      </c>
      <c r="DQ196" s="24">
        <v>45499</v>
      </c>
      <c r="DR196" s="23">
        <v>57864992</v>
      </c>
      <c r="DS196" s="23">
        <v>-143549638</v>
      </c>
      <c r="DT196" s="23">
        <v>83323104</v>
      </c>
    </row>
    <row r="197" spans="109:124">
      <c r="DE197" s="24">
        <v>45498</v>
      </c>
      <c r="DF197" s="23">
        <v>80400</v>
      </c>
      <c r="DG197" s="23">
        <v>28653.4</v>
      </c>
      <c r="DH197" s="23">
        <v>2710.65</v>
      </c>
      <c r="DI197" s="26">
        <v>20323811</v>
      </c>
      <c r="DJ197" s="29">
        <v>0.4060185185185185</v>
      </c>
      <c r="DK197" s="23">
        <v>58100</v>
      </c>
      <c r="DL197" s="23">
        <v>20323811</v>
      </c>
      <c r="DM197" s="23">
        <v>80400</v>
      </c>
      <c r="DN197" s="23">
        <v>81000</v>
      </c>
      <c r="DO197" s="23">
        <v>80100</v>
      </c>
      <c r="DP197" s="23">
        <v>80400</v>
      </c>
      <c r="DQ197" s="24">
        <v>45498</v>
      </c>
      <c r="DR197" s="23">
        <v>-151061318</v>
      </c>
      <c r="DS197" s="23">
        <v>15838994</v>
      </c>
      <c r="DT197" s="23">
        <v>133718151</v>
      </c>
    </row>
    <row r="198" spans="109:124">
      <c r="DE198" s="24">
        <v>45497</v>
      </c>
      <c r="DF198" s="23">
        <v>82000</v>
      </c>
      <c r="DG198" s="23">
        <v>29512.35</v>
      </c>
      <c r="DH198" s="23">
        <v>2758.71</v>
      </c>
      <c r="DI198" s="26">
        <v>16939083</v>
      </c>
      <c r="DJ198" s="29">
        <v>0.40590277777777778</v>
      </c>
      <c r="DK198" s="23">
        <v>58100</v>
      </c>
      <c r="DL198" s="23">
        <v>16939083</v>
      </c>
      <c r="DM198" s="23">
        <v>82900</v>
      </c>
      <c r="DN198" s="23">
        <v>83300</v>
      </c>
      <c r="DO198" s="23">
        <v>81900</v>
      </c>
      <c r="DP198" s="23">
        <v>82000</v>
      </c>
      <c r="DQ198" s="24">
        <v>45497</v>
      </c>
      <c r="DR198" s="23">
        <v>-40861224</v>
      </c>
      <c r="DS198" s="23">
        <v>-216076706</v>
      </c>
      <c r="DT198" s="23">
        <v>251347044</v>
      </c>
    </row>
    <row r="199" spans="109:124">
      <c r="DE199" s="24">
        <v>45496</v>
      </c>
      <c r="DF199" s="23">
        <v>83900</v>
      </c>
      <c r="DG199" s="23">
        <v>29847.79</v>
      </c>
      <c r="DH199" s="23">
        <v>2774.29</v>
      </c>
      <c r="DI199" s="26">
        <v>15766389</v>
      </c>
      <c r="DJ199" s="29">
        <v>0.405787037037037</v>
      </c>
      <c r="DK199" s="23">
        <v>58100</v>
      </c>
      <c r="DL199" s="23">
        <v>15766389</v>
      </c>
      <c r="DM199" s="23">
        <v>84200</v>
      </c>
      <c r="DN199" s="23">
        <v>84700</v>
      </c>
      <c r="DO199" s="23">
        <v>83400</v>
      </c>
      <c r="DP199" s="23">
        <v>83900</v>
      </c>
      <c r="DQ199" s="24">
        <v>45496</v>
      </c>
      <c r="DR199" s="23">
        <v>-142390673</v>
      </c>
      <c r="DS199" s="23">
        <v>208613201</v>
      </c>
      <c r="DT199" s="23">
        <v>-50779722</v>
      </c>
    </row>
    <row r="200" spans="109:124">
      <c r="DE200" s="24">
        <v>45495</v>
      </c>
      <c r="DF200" s="23">
        <v>83000</v>
      </c>
      <c r="DG200" s="23">
        <v>29599.08</v>
      </c>
      <c r="DH200" s="23">
        <v>2763.51</v>
      </c>
      <c r="DI200" s="26">
        <v>18987560</v>
      </c>
      <c r="DJ200" s="29">
        <v>0.40567129629629628</v>
      </c>
      <c r="DK200" s="23">
        <v>58100</v>
      </c>
      <c r="DL200" s="23">
        <v>18987560</v>
      </c>
      <c r="DM200" s="23">
        <v>84400</v>
      </c>
      <c r="DN200" s="23">
        <v>84900</v>
      </c>
      <c r="DO200" s="23">
        <v>82600</v>
      </c>
      <c r="DP200" s="23">
        <v>83000</v>
      </c>
      <c r="DQ200" s="24">
        <v>45495</v>
      </c>
      <c r="DR200" s="23">
        <v>-20150295</v>
      </c>
      <c r="DS200" s="23">
        <v>-29973944</v>
      </c>
      <c r="DT200" s="23">
        <v>76266042</v>
      </c>
    </row>
    <row r="201" spans="109:124">
      <c r="DE201" s="24">
        <v>45492</v>
      </c>
      <c r="DF201" s="23">
        <v>84400</v>
      </c>
      <c r="DG201" s="23">
        <v>30333.86</v>
      </c>
      <c r="DH201" s="23">
        <v>2795.46</v>
      </c>
      <c r="DI201" s="26">
        <v>18569122</v>
      </c>
      <c r="DJ201" s="29">
        <v>0.40555555555555556</v>
      </c>
      <c r="DK201" s="23">
        <v>58100</v>
      </c>
      <c r="DL201" s="23">
        <v>18569122</v>
      </c>
      <c r="DM201" s="23">
        <v>85600</v>
      </c>
      <c r="DN201" s="23">
        <v>86100</v>
      </c>
      <c r="DO201" s="23">
        <v>84100</v>
      </c>
      <c r="DP201" s="23">
        <v>84400</v>
      </c>
      <c r="DQ201" s="24">
        <v>45492</v>
      </c>
      <c r="DR201" s="23">
        <v>-148662942</v>
      </c>
      <c r="DS201" s="23">
        <v>-248075662</v>
      </c>
      <c r="DT201" s="23">
        <v>408505542</v>
      </c>
    </row>
    <row r="202" spans="109:124">
      <c r="DE202" s="24">
        <v>45491</v>
      </c>
      <c r="DF202" s="23">
        <v>86900</v>
      </c>
      <c r="DG202" s="23">
        <v>30781.279999999999</v>
      </c>
      <c r="DH202" s="23">
        <v>2824.35</v>
      </c>
      <c r="DI202" s="26">
        <v>24721790</v>
      </c>
      <c r="DJ202" s="29">
        <v>0.40543981481481478</v>
      </c>
      <c r="DK202" s="23">
        <v>58000</v>
      </c>
      <c r="DL202" s="23">
        <v>24721790</v>
      </c>
      <c r="DM202" s="23">
        <v>83800</v>
      </c>
      <c r="DN202" s="23">
        <v>86900</v>
      </c>
      <c r="DO202" s="23">
        <v>83800</v>
      </c>
      <c r="DP202" s="23">
        <v>86900</v>
      </c>
      <c r="DQ202" s="24">
        <v>45491</v>
      </c>
      <c r="DR202" s="23">
        <v>156935708</v>
      </c>
      <c r="DS202" s="23">
        <v>-76992309</v>
      </c>
      <c r="DT202" s="23">
        <v>-40990816</v>
      </c>
    </row>
    <row r="203" spans="109:124">
      <c r="DE203" s="24">
        <v>45490</v>
      </c>
      <c r="DF203" s="23">
        <v>86700</v>
      </c>
      <c r="DG203" s="23">
        <v>31004.240000000002</v>
      </c>
      <c r="DH203" s="23">
        <v>2843.29</v>
      </c>
      <c r="DI203" s="26">
        <v>18186490</v>
      </c>
      <c r="DJ203" s="29">
        <v>0.40532407407407406</v>
      </c>
      <c r="DK203" s="23">
        <v>58050</v>
      </c>
      <c r="DL203" s="23">
        <v>18186490</v>
      </c>
      <c r="DM203" s="23">
        <v>87100</v>
      </c>
      <c r="DN203" s="23">
        <v>88000</v>
      </c>
      <c r="DO203" s="23">
        <v>86400</v>
      </c>
      <c r="DP203" s="23">
        <v>86700</v>
      </c>
      <c r="DQ203" s="24">
        <v>45490</v>
      </c>
      <c r="DR203" s="23">
        <v>-27059083</v>
      </c>
      <c r="DS203" s="23">
        <v>35374269</v>
      </c>
      <c r="DT203" s="23">
        <v>-32700882</v>
      </c>
    </row>
    <row r="204" spans="109:124">
      <c r="DE204" s="24">
        <v>45489</v>
      </c>
      <c r="DF204" s="23">
        <v>87700</v>
      </c>
      <c r="DG204" s="23">
        <v>31699.49</v>
      </c>
      <c r="DH204" s="23">
        <v>2866.09</v>
      </c>
      <c r="DI204" s="26">
        <v>16166688</v>
      </c>
      <c r="DJ204" s="29">
        <v>0.40520833333333334</v>
      </c>
      <c r="DK204" s="23">
        <v>58100</v>
      </c>
      <c r="DL204" s="23">
        <v>16166688</v>
      </c>
      <c r="DM204" s="23">
        <v>86900</v>
      </c>
      <c r="DN204" s="23">
        <v>88000</v>
      </c>
      <c r="DO204" s="23">
        <v>86700</v>
      </c>
      <c r="DP204" s="23">
        <v>87700</v>
      </c>
      <c r="DQ204" s="24">
        <v>45489</v>
      </c>
      <c r="DR204" s="23">
        <v>56358280</v>
      </c>
      <c r="DS204" s="23">
        <v>178304085</v>
      </c>
      <c r="DT204" s="23">
        <v>-233677851</v>
      </c>
    </row>
    <row r="205" spans="109:124">
      <c r="DE205" s="24">
        <v>45488</v>
      </c>
      <c r="DF205" s="23">
        <v>86700</v>
      </c>
      <c r="DG205" s="23">
        <v>31578</v>
      </c>
      <c r="DH205" s="23">
        <v>2860.92</v>
      </c>
      <c r="DI205" s="26">
        <v>25193080</v>
      </c>
      <c r="DJ205" s="29">
        <v>0.40509259259259256</v>
      </c>
      <c r="DK205" s="23">
        <v>58100</v>
      </c>
      <c r="DL205" s="23">
        <v>25193080</v>
      </c>
      <c r="DM205" s="23">
        <v>84700</v>
      </c>
      <c r="DN205" s="23">
        <v>87300</v>
      </c>
      <c r="DO205" s="23">
        <v>84100</v>
      </c>
      <c r="DP205" s="23">
        <v>86700</v>
      </c>
      <c r="DQ205" s="24">
        <v>45488</v>
      </c>
      <c r="DR205" s="23">
        <v>356045019</v>
      </c>
      <c r="DS205" s="23">
        <v>-58669392</v>
      </c>
      <c r="DT205" s="23">
        <v>-280340013</v>
      </c>
    </row>
    <row r="206" spans="109:124">
      <c r="DE206" s="24">
        <v>45485</v>
      </c>
      <c r="DF206" s="23">
        <v>84400</v>
      </c>
      <c r="DG206" s="23">
        <v>31305.18</v>
      </c>
      <c r="DH206" s="23">
        <v>2857</v>
      </c>
      <c r="DI206" s="26">
        <v>26344386</v>
      </c>
      <c r="DJ206" s="29">
        <v>0.40497685185185184</v>
      </c>
      <c r="DK206" s="23">
        <v>58100</v>
      </c>
      <c r="DL206" s="23">
        <v>26344386</v>
      </c>
      <c r="DM206" s="23">
        <v>85900</v>
      </c>
      <c r="DN206" s="23">
        <v>86100</v>
      </c>
      <c r="DO206" s="23">
        <v>84100</v>
      </c>
      <c r="DP206" s="23">
        <v>84400</v>
      </c>
      <c r="DQ206" s="24">
        <v>45485</v>
      </c>
      <c r="DR206" s="23">
        <v>13333210</v>
      </c>
      <c r="DS206" s="23">
        <v>-307982725</v>
      </c>
      <c r="DT206" s="23">
        <v>290425593</v>
      </c>
    </row>
    <row r="207" spans="109:124">
      <c r="DE207" s="24">
        <v>45484</v>
      </c>
      <c r="DF207" s="23">
        <v>87600</v>
      </c>
      <c r="DG207" s="23">
        <v>32221.23</v>
      </c>
      <c r="DH207" s="23">
        <v>2891.35</v>
      </c>
      <c r="DI207" s="26">
        <v>24677608</v>
      </c>
      <c r="DJ207" s="29">
        <v>0.40486111111111112</v>
      </c>
      <c r="DK207" s="23">
        <v>58100</v>
      </c>
      <c r="DL207" s="23">
        <v>24677608</v>
      </c>
      <c r="DM207" s="23">
        <v>88500</v>
      </c>
      <c r="DN207" s="23">
        <v>88800</v>
      </c>
      <c r="DO207" s="23">
        <v>86700</v>
      </c>
      <c r="DP207" s="23">
        <v>87600</v>
      </c>
      <c r="DQ207" s="24">
        <v>45484</v>
      </c>
      <c r="DR207" s="23">
        <v>-102710653</v>
      </c>
      <c r="DS207" s="23">
        <v>205788944</v>
      </c>
      <c r="DT207" s="23">
        <v>-100399234</v>
      </c>
    </row>
    <row r="208" spans="109:124">
      <c r="DE208" s="24">
        <v>45483</v>
      </c>
      <c r="DF208" s="23">
        <v>87800</v>
      </c>
      <c r="DG208" s="23">
        <v>32020.73</v>
      </c>
      <c r="DH208" s="23">
        <v>2867.99</v>
      </c>
      <c r="DI208" s="26">
        <v>17813847</v>
      </c>
      <c r="DJ208" s="29">
        <v>0.40474537037037034</v>
      </c>
      <c r="DK208" s="23">
        <v>58100</v>
      </c>
      <c r="DL208" s="23">
        <v>17813847</v>
      </c>
      <c r="DM208" s="23">
        <v>87600</v>
      </c>
      <c r="DN208" s="23">
        <v>88000</v>
      </c>
      <c r="DO208" s="23">
        <v>87100</v>
      </c>
      <c r="DP208" s="23">
        <v>87800</v>
      </c>
      <c r="DQ208" s="24">
        <v>45483</v>
      </c>
      <c r="DR208" s="23">
        <v>-126914759</v>
      </c>
      <c r="DS208" s="23">
        <v>304149141</v>
      </c>
      <c r="DT208" s="23">
        <v>-172316140</v>
      </c>
    </row>
    <row r="209" spans="109:124">
      <c r="DE209" s="24">
        <v>45482</v>
      </c>
      <c r="DF209" s="23">
        <v>87800</v>
      </c>
      <c r="DG209" s="23">
        <v>32006.02</v>
      </c>
      <c r="DH209" s="23">
        <v>2867.38</v>
      </c>
      <c r="DI209" s="26">
        <v>21336201</v>
      </c>
      <c r="DJ209" s="29">
        <v>0.40462962962962962</v>
      </c>
      <c r="DK209" s="23">
        <v>58100</v>
      </c>
      <c r="DL209" s="23">
        <v>21336201</v>
      </c>
      <c r="DM209" s="23">
        <v>87800</v>
      </c>
      <c r="DN209" s="23">
        <v>88200</v>
      </c>
      <c r="DO209" s="23">
        <v>86900</v>
      </c>
      <c r="DP209" s="23">
        <v>87800</v>
      </c>
      <c r="DQ209" s="24">
        <v>45482</v>
      </c>
      <c r="DR209" s="23">
        <v>-483869</v>
      </c>
      <c r="DS209" s="23">
        <v>331222148</v>
      </c>
      <c r="DT209" s="23">
        <v>-356060399</v>
      </c>
    </row>
    <row r="210" spans="109:124">
      <c r="DE210" s="24">
        <v>45481</v>
      </c>
      <c r="DF210" s="23">
        <v>87400</v>
      </c>
      <c r="DG210" s="23">
        <v>31724.57</v>
      </c>
      <c r="DH210" s="23">
        <v>2857.76</v>
      </c>
      <c r="DI210" s="26">
        <v>24035809</v>
      </c>
      <c r="DJ210" s="29">
        <v>0.4045138888888889</v>
      </c>
      <c r="DK210" s="23">
        <v>58050</v>
      </c>
      <c r="DL210" s="23">
        <v>24035809</v>
      </c>
      <c r="DM210" s="23">
        <v>87900</v>
      </c>
      <c r="DN210" s="23">
        <v>88600</v>
      </c>
      <c r="DO210" s="23">
        <v>86900</v>
      </c>
      <c r="DP210" s="23">
        <v>87400</v>
      </c>
      <c r="DQ210" s="24">
        <v>45481</v>
      </c>
      <c r="DR210" s="23">
        <v>-99360698</v>
      </c>
      <c r="DS210" s="23">
        <v>343469731</v>
      </c>
      <c r="DT210" s="23">
        <v>-242353406</v>
      </c>
    </row>
    <row r="211" spans="109:124">
      <c r="DE211" s="24">
        <v>45478</v>
      </c>
      <c r="DF211" s="23">
        <v>87100</v>
      </c>
      <c r="DG211" s="23">
        <v>31712.91</v>
      </c>
      <c r="DH211" s="23">
        <v>2862.23</v>
      </c>
      <c r="DI211" s="26">
        <v>45791193</v>
      </c>
      <c r="DJ211" s="29">
        <v>0.40439814814814812</v>
      </c>
      <c r="DK211" s="23">
        <v>58100</v>
      </c>
      <c r="DL211" s="23">
        <v>45791193</v>
      </c>
      <c r="DM211" s="23">
        <v>85600</v>
      </c>
      <c r="DN211" s="23">
        <v>87100</v>
      </c>
      <c r="DO211" s="23">
        <v>85200</v>
      </c>
      <c r="DP211" s="23">
        <v>87100</v>
      </c>
      <c r="DQ211" s="24">
        <v>45478</v>
      </c>
      <c r="DR211" s="23">
        <v>586574714</v>
      </c>
      <c r="DS211" s="23">
        <v>1180606604</v>
      </c>
      <c r="DT211" s="23">
        <v>-1727210222</v>
      </c>
    </row>
    <row r="212" spans="109:124">
      <c r="DE212" s="24">
        <v>45477</v>
      </c>
      <c r="DF212" s="23">
        <v>84600</v>
      </c>
      <c r="DG212" s="23">
        <v>31026.49</v>
      </c>
      <c r="DH212" s="23">
        <v>2824.94</v>
      </c>
      <c r="DI212" s="26">
        <v>43857229</v>
      </c>
      <c r="DJ212" s="29">
        <v>0.4042824074074074</v>
      </c>
      <c r="DK212" s="23">
        <v>58000</v>
      </c>
      <c r="DL212" s="23">
        <v>43857229</v>
      </c>
      <c r="DM212" s="23">
        <v>82900</v>
      </c>
      <c r="DN212" s="23">
        <v>84700</v>
      </c>
      <c r="DO212" s="23">
        <v>82400</v>
      </c>
      <c r="DP212" s="23">
        <v>84600</v>
      </c>
      <c r="DQ212" s="24">
        <v>45477</v>
      </c>
      <c r="DR212" s="23">
        <v>587615334</v>
      </c>
      <c r="DS212" s="23">
        <v>665455742</v>
      </c>
      <c r="DT212" s="23">
        <v>-1231159490</v>
      </c>
    </row>
    <row r="213" spans="109:124">
      <c r="DE213" s="24">
        <v>45476</v>
      </c>
      <c r="DF213" s="23">
        <v>81800</v>
      </c>
      <c r="DG213" s="23">
        <v>30571.11</v>
      </c>
      <c r="DH213" s="23">
        <v>2794.01</v>
      </c>
      <c r="DI213" s="26">
        <v>11440328</v>
      </c>
      <c r="DJ213" s="29">
        <v>0.40416666666666667</v>
      </c>
      <c r="DK213" s="23">
        <v>58100</v>
      </c>
      <c r="DL213" s="23">
        <v>11440328</v>
      </c>
      <c r="DM213" s="23">
        <v>82300</v>
      </c>
      <c r="DN213" s="23">
        <v>82300</v>
      </c>
      <c r="DO213" s="23">
        <v>81000</v>
      </c>
      <c r="DP213" s="23">
        <v>81800</v>
      </c>
      <c r="DQ213" s="24">
        <v>45476</v>
      </c>
      <c r="DR213" s="23">
        <v>29905163</v>
      </c>
      <c r="DS213" s="23">
        <v>-3484657</v>
      </c>
      <c r="DT213" s="23">
        <v>-28434558</v>
      </c>
    </row>
    <row r="214" spans="109:124">
      <c r="DE214" s="24">
        <v>45475</v>
      </c>
      <c r="DF214" s="23">
        <v>81800</v>
      </c>
      <c r="DG214" s="23">
        <v>30282.720000000001</v>
      </c>
      <c r="DH214" s="23">
        <v>2780.86</v>
      </c>
      <c r="DI214" s="26">
        <v>14471904</v>
      </c>
      <c r="DJ214" s="29">
        <v>0.4040509259259259</v>
      </c>
      <c r="DK214" s="23">
        <v>58000</v>
      </c>
      <c r="DL214" s="23">
        <v>14471904</v>
      </c>
      <c r="DM214" s="23">
        <v>82500</v>
      </c>
      <c r="DN214" s="23">
        <v>82600</v>
      </c>
      <c r="DO214" s="23">
        <v>81500</v>
      </c>
      <c r="DP214" s="23">
        <v>81800</v>
      </c>
      <c r="DQ214" s="24">
        <v>45475</v>
      </c>
      <c r="DR214" s="23">
        <v>-96347973</v>
      </c>
      <c r="DS214" s="23">
        <v>180718827</v>
      </c>
      <c r="DT214" s="23">
        <v>-82778874</v>
      </c>
    </row>
    <row r="215" spans="109:124">
      <c r="DE215" s="24">
        <v>45474</v>
      </c>
      <c r="DF215" s="23">
        <v>81800</v>
      </c>
      <c r="DG215" s="23">
        <v>30473.38</v>
      </c>
      <c r="DH215" s="23">
        <v>2804.31</v>
      </c>
      <c r="DI215" s="26">
        <v>11317202</v>
      </c>
      <c r="DJ215" s="29">
        <v>0.40393518518518517</v>
      </c>
      <c r="DK215" s="23">
        <v>58050</v>
      </c>
      <c r="DL215" s="23">
        <v>11317202</v>
      </c>
      <c r="DM215" s="23">
        <v>81500</v>
      </c>
      <c r="DN215" s="23">
        <v>82100</v>
      </c>
      <c r="DO215" s="23">
        <v>81300</v>
      </c>
      <c r="DP215" s="23">
        <v>81800</v>
      </c>
      <c r="DQ215" s="24">
        <v>45474</v>
      </c>
      <c r="DR215" s="23">
        <v>36216501</v>
      </c>
      <c r="DS215" s="23">
        <v>84028009</v>
      </c>
      <c r="DT215" s="23">
        <v>-117694611</v>
      </c>
    </row>
    <row r="216" spans="109:124">
      <c r="DE216" s="24">
        <v>45471</v>
      </c>
      <c r="DF216" s="23">
        <v>81500</v>
      </c>
      <c r="DG216" s="23">
        <v>30249.119999999999</v>
      </c>
      <c r="DH216" s="23">
        <v>2797.82</v>
      </c>
      <c r="DI216" s="26">
        <v>9455929</v>
      </c>
      <c r="DJ216" s="29">
        <v>0.4038194444444444</v>
      </c>
      <c r="DK216" s="23">
        <v>58000</v>
      </c>
      <c r="DL216" s="23">
        <v>9455929</v>
      </c>
      <c r="DM216" s="23">
        <v>81900</v>
      </c>
      <c r="DN216" s="23">
        <v>81900</v>
      </c>
      <c r="DO216" s="23">
        <v>80800</v>
      </c>
      <c r="DP216" s="23">
        <v>81500</v>
      </c>
      <c r="DQ216" s="24">
        <v>45471</v>
      </c>
      <c r="DR216" s="23">
        <v>16372775</v>
      </c>
      <c r="DS216" s="23">
        <v>-77936604</v>
      </c>
      <c r="DT216" s="23">
        <v>55371339</v>
      </c>
    </row>
    <row r="217" spans="109:124">
      <c r="DE217" s="24">
        <v>45470</v>
      </c>
      <c r="DF217" s="23">
        <v>81600</v>
      </c>
      <c r="DG217" s="23">
        <v>30250.29</v>
      </c>
      <c r="DH217" s="23">
        <v>2784.06</v>
      </c>
      <c r="DI217" s="26">
        <v>11739720</v>
      </c>
      <c r="DJ217" s="29">
        <v>0.40370370370370368</v>
      </c>
      <c r="DK217" s="23">
        <v>58000</v>
      </c>
      <c r="DL217" s="23">
        <v>11739720</v>
      </c>
      <c r="DM217" s="23">
        <v>81300</v>
      </c>
      <c r="DN217" s="23">
        <v>81600</v>
      </c>
      <c r="DO217" s="23">
        <v>80500</v>
      </c>
      <c r="DP217" s="23">
        <v>81600</v>
      </c>
      <c r="DQ217" s="24">
        <v>45470</v>
      </c>
      <c r="DR217" s="23">
        <v>-281342855</v>
      </c>
      <c r="DS217" s="23">
        <v>395572786</v>
      </c>
      <c r="DT217" s="23">
        <v>-111578161</v>
      </c>
    </row>
    <row r="218" spans="109:124">
      <c r="DE218" s="24">
        <v>45469</v>
      </c>
      <c r="DF218" s="23">
        <v>81300</v>
      </c>
      <c r="DG218" s="23">
        <v>30232.06</v>
      </c>
      <c r="DH218" s="23">
        <v>2792.05</v>
      </c>
      <c r="DI218" s="26">
        <v>17783242</v>
      </c>
      <c r="DJ218" s="29">
        <v>0.40358796296296295</v>
      </c>
      <c r="DK218" s="23">
        <v>58000</v>
      </c>
      <c r="DL218" s="23">
        <v>17783242</v>
      </c>
      <c r="DM218" s="23">
        <v>80100</v>
      </c>
      <c r="DN218" s="23">
        <v>81400</v>
      </c>
      <c r="DO218" s="23">
        <v>79900</v>
      </c>
      <c r="DP218" s="23">
        <v>81300</v>
      </c>
      <c r="DQ218" s="24">
        <v>45469</v>
      </c>
      <c r="DR218" s="23">
        <v>-62753143</v>
      </c>
      <c r="DS218" s="23">
        <v>104184594</v>
      </c>
      <c r="DT218" s="23">
        <v>-44378713</v>
      </c>
    </row>
    <row r="219" spans="109:124">
      <c r="DE219" s="24">
        <v>45468</v>
      </c>
      <c r="DF219" s="23">
        <v>80800</v>
      </c>
      <c r="DG219" s="23">
        <v>29812.97</v>
      </c>
      <c r="DH219" s="23">
        <v>2774.39</v>
      </c>
      <c r="DI219" s="26">
        <v>19088458</v>
      </c>
      <c r="DJ219" s="29">
        <v>0.40347222222222218</v>
      </c>
      <c r="DK219" s="23">
        <v>58000</v>
      </c>
      <c r="DL219" s="23">
        <v>19088458</v>
      </c>
      <c r="DM219" s="23">
        <v>80600</v>
      </c>
      <c r="DN219" s="23">
        <v>81800</v>
      </c>
      <c r="DO219" s="23">
        <v>80100</v>
      </c>
      <c r="DP219" s="23">
        <v>80800</v>
      </c>
      <c r="DQ219" s="24">
        <v>45468</v>
      </c>
      <c r="DR219" s="23">
        <v>-38324717</v>
      </c>
      <c r="DS219" s="23">
        <v>228144549</v>
      </c>
      <c r="DT219" s="23">
        <v>-177959523</v>
      </c>
    </row>
    <row r="220" spans="109:124">
      <c r="DE220" s="24">
        <v>45467</v>
      </c>
      <c r="DF220" s="23">
        <v>80600</v>
      </c>
      <c r="DG220" s="23">
        <v>29768.01</v>
      </c>
      <c r="DH220" s="23">
        <v>2764.73</v>
      </c>
      <c r="DI220" s="26">
        <v>15454227</v>
      </c>
      <c r="DJ220" s="29">
        <v>0.40335648148148145</v>
      </c>
      <c r="DK220" s="23">
        <v>58000</v>
      </c>
      <c r="DL220" s="23">
        <v>15454227</v>
      </c>
      <c r="DM220" s="23">
        <v>79700</v>
      </c>
      <c r="DN220" s="23">
        <v>80900</v>
      </c>
      <c r="DO220" s="23">
        <v>79500</v>
      </c>
      <c r="DP220" s="23">
        <v>80600</v>
      </c>
      <c r="DQ220" s="24">
        <v>45467</v>
      </c>
      <c r="DR220" s="23">
        <v>23228177</v>
      </c>
      <c r="DS220" s="23">
        <v>20443610</v>
      </c>
      <c r="DT220" s="23">
        <v>-58582992</v>
      </c>
    </row>
    <row r="221" spans="109:124">
      <c r="DE221" s="24">
        <v>45464</v>
      </c>
      <c r="DF221" s="23">
        <v>80000</v>
      </c>
      <c r="DG221" s="23">
        <v>30000.99</v>
      </c>
      <c r="DH221" s="23">
        <v>2784.26</v>
      </c>
      <c r="DI221" s="26">
        <v>17907523</v>
      </c>
      <c r="DJ221" s="29">
        <v>0.40324074074074073</v>
      </c>
      <c r="DK221" s="23">
        <v>58000</v>
      </c>
      <c r="DL221" s="23">
        <v>17907523</v>
      </c>
      <c r="DM221" s="23">
        <v>80700</v>
      </c>
      <c r="DN221" s="23">
        <v>80800</v>
      </c>
      <c r="DO221" s="23">
        <v>80000</v>
      </c>
      <c r="DP221" s="23">
        <v>80000</v>
      </c>
      <c r="DQ221" s="24">
        <v>45464</v>
      </c>
      <c r="DR221" s="23">
        <v>-31724047</v>
      </c>
      <c r="DS221" s="23">
        <v>-123854131</v>
      </c>
      <c r="DT221" s="23">
        <v>174054332</v>
      </c>
    </row>
    <row r="222" spans="109:124">
      <c r="DE222" s="24">
        <v>45463</v>
      </c>
      <c r="DF222" s="23">
        <v>81600</v>
      </c>
      <c r="DG222" s="23">
        <v>30464.15</v>
      </c>
      <c r="DH222" s="23">
        <v>2807.63</v>
      </c>
      <c r="DI222" s="26">
        <v>20288913</v>
      </c>
      <c r="DJ222" s="29">
        <v>0.40312499999999996</v>
      </c>
      <c r="DK222" s="23">
        <v>58000</v>
      </c>
      <c r="DL222" s="23">
        <v>20288913</v>
      </c>
      <c r="DM222" s="23">
        <v>81500</v>
      </c>
      <c r="DN222" s="23">
        <v>82200</v>
      </c>
      <c r="DO222" s="23">
        <v>81200</v>
      </c>
      <c r="DP222" s="23">
        <v>81600</v>
      </c>
      <c r="DQ222" s="24">
        <v>45463</v>
      </c>
      <c r="DR222" s="23">
        <v>160266603</v>
      </c>
      <c r="DS222" s="23">
        <v>327246740</v>
      </c>
      <c r="DT222" s="23">
        <v>-423769698</v>
      </c>
    </row>
    <row r="223" spans="109:124">
      <c r="DE223" s="24">
        <v>45462</v>
      </c>
      <c r="DF223" s="23">
        <v>81200</v>
      </c>
      <c r="DG223" s="23">
        <v>30327.63</v>
      </c>
      <c r="DH223" s="23">
        <v>2797.33</v>
      </c>
      <c r="DI223" s="26">
        <v>24168863</v>
      </c>
      <c r="DJ223" s="29">
        <v>0.40300925925925923</v>
      </c>
      <c r="DK223" s="23">
        <v>58000</v>
      </c>
      <c r="DL223" s="23">
        <v>24168863</v>
      </c>
      <c r="DM223" s="23">
        <v>81100</v>
      </c>
      <c r="DN223" s="23">
        <v>82500</v>
      </c>
      <c r="DO223" s="23">
        <v>80500</v>
      </c>
      <c r="DP223" s="23">
        <v>81200</v>
      </c>
      <c r="DQ223" s="24">
        <v>45462</v>
      </c>
      <c r="DR223" s="23">
        <v>312686157</v>
      </c>
      <c r="DS223" s="23">
        <v>241299306</v>
      </c>
      <c r="DT223" s="23">
        <v>-502500408</v>
      </c>
    </row>
    <row r="224" spans="109:124">
      <c r="DE224" s="24">
        <v>45461</v>
      </c>
      <c r="DF224" s="23">
        <v>79800</v>
      </c>
      <c r="DG224" s="23">
        <v>29864.67</v>
      </c>
      <c r="DH224" s="23">
        <v>2763.92</v>
      </c>
      <c r="DI224" s="26">
        <v>18207598</v>
      </c>
      <c r="DJ224" s="29">
        <v>0.40289351851851851</v>
      </c>
      <c r="DK224" s="23">
        <v>58100</v>
      </c>
      <c r="DL224" s="23">
        <v>18207598</v>
      </c>
      <c r="DM224" s="23">
        <v>78700</v>
      </c>
      <c r="DN224" s="23">
        <v>80200</v>
      </c>
      <c r="DO224" s="23">
        <v>78600</v>
      </c>
      <c r="DP224" s="23">
        <v>79800</v>
      </c>
      <c r="DQ224" s="24">
        <v>45461</v>
      </c>
      <c r="DR224" s="23">
        <v>32125701</v>
      </c>
      <c r="DS224" s="23">
        <v>446484853</v>
      </c>
      <c r="DT224" s="23">
        <v>-432990812</v>
      </c>
    </row>
    <row r="225" spans="109:124">
      <c r="DE225" s="24">
        <v>45460</v>
      </c>
      <c r="DF225" s="23">
        <v>78100</v>
      </c>
      <c r="DG225" s="23">
        <v>29300.799999999999</v>
      </c>
      <c r="DH225" s="23">
        <v>2744.1</v>
      </c>
      <c r="DI225" s="26">
        <v>16123051</v>
      </c>
      <c r="DJ225" s="29">
        <v>0.40277777777777773</v>
      </c>
      <c r="DK225" s="23">
        <v>58100</v>
      </c>
      <c r="DL225" s="23">
        <v>16123051</v>
      </c>
      <c r="DM225" s="23">
        <v>79200</v>
      </c>
      <c r="DN225" s="23">
        <v>79500</v>
      </c>
      <c r="DO225" s="23">
        <v>78000</v>
      </c>
      <c r="DP225" s="23">
        <v>78100</v>
      </c>
      <c r="DQ225" s="24">
        <v>45460</v>
      </c>
      <c r="DR225" s="23">
        <v>-74200042</v>
      </c>
      <c r="DS225" s="23">
        <v>-42587258</v>
      </c>
      <c r="DT225" s="23">
        <v>112923112</v>
      </c>
    </row>
    <row r="226" spans="109:124">
      <c r="DE226" s="24">
        <v>45457</v>
      </c>
      <c r="DF226" s="23">
        <v>79600</v>
      </c>
      <c r="DG226" s="23">
        <v>29666.799999999999</v>
      </c>
      <c r="DH226" s="23">
        <v>2758.42</v>
      </c>
      <c r="DI226" s="26">
        <v>22926612</v>
      </c>
      <c r="DJ226" s="29">
        <v>0.40266203703703701</v>
      </c>
      <c r="DK226" s="23">
        <v>58000</v>
      </c>
      <c r="DL226" s="23">
        <v>22926612</v>
      </c>
      <c r="DM226" s="23">
        <v>79700</v>
      </c>
      <c r="DN226" s="23">
        <v>80500</v>
      </c>
      <c r="DO226" s="23">
        <v>79000</v>
      </c>
      <c r="DP226" s="23">
        <v>79600</v>
      </c>
      <c r="DQ226" s="24">
        <v>45457</v>
      </c>
      <c r="DR226" s="23">
        <v>-92360680</v>
      </c>
      <c r="DS226" s="23">
        <v>528958291</v>
      </c>
      <c r="DT226" s="23">
        <v>-437732492</v>
      </c>
    </row>
    <row r="227" spans="109:124">
      <c r="DE227" s="24">
        <v>45456</v>
      </c>
      <c r="DF227" s="23">
        <v>78600</v>
      </c>
      <c r="DG227" s="23">
        <v>29663.94</v>
      </c>
      <c r="DH227" s="23">
        <v>2754.89</v>
      </c>
      <c r="DI227" s="26">
        <v>33763804</v>
      </c>
      <c r="DJ227" s="29">
        <v>0.40254629629629629</v>
      </c>
      <c r="DK227" s="23">
        <v>58100</v>
      </c>
      <c r="DL227" s="23">
        <v>33763804</v>
      </c>
      <c r="DM227" s="23">
        <v>78400</v>
      </c>
      <c r="DN227" s="23">
        <v>79000</v>
      </c>
      <c r="DO227" s="23">
        <v>77800</v>
      </c>
      <c r="DP227" s="23">
        <v>78600</v>
      </c>
      <c r="DQ227" s="24">
        <v>45456</v>
      </c>
      <c r="DR227" s="23">
        <v>-28426626</v>
      </c>
      <c r="DS227" s="23">
        <v>942260518</v>
      </c>
      <c r="DT227" s="23">
        <v>-907608130</v>
      </c>
    </row>
    <row r="228" spans="109:124">
      <c r="DE228" s="24">
        <v>45455</v>
      </c>
      <c r="DF228" s="23">
        <v>76500</v>
      </c>
      <c r="DG228" s="23">
        <v>28969.56</v>
      </c>
      <c r="DH228" s="23">
        <v>2728.17</v>
      </c>
      <c r="DI228" s="26">
        <v>19246725</v>
      </c>
      <c r="DJ228" s="29">
        <v>0.40243055555555551</v>
      </c>
      <c r="DK228" s="23">
        <v>58100</v>
      </c>
      <c r="DL228" s="23">
        <v>19246725</v>
      </c>
      <c r="DM228" s="23">
        <v>75300</v>
      </c>
      <c r="DN228" s="23">
        <v>77100</v>
      </c>
      <c r="DO228" s="23">
        <v>75200</v>
      </c>
      <c r="DP228" s="23">
        <v>76500</v>
      </c>
      <c r="DQ228" s="24">
        <v>45455</v>
      </c>
      <c r="DR228" s="23">
        <v>-5323291</v>
      </c>
      <c r="DS228" s="23">
        <v>-32144700</v>
      </c>
      <c r="DT228" s="23">
        <v>30611932</v>
      </c>
    </row>
    <row r="229" spans="109:124">
      <c r="DE229" s="24">
        <v>45454</v>
      </c>
      <c r="DF229" s="23">
        <v>75200</v>
      </c>
      <c r="DG229" s="23">
        <v>28668.12</v>
      </c>
      <c r="DH229" s="23">
        <v>2705.32</v>
      </c>
      <c r="DI229" s="26">
        <v>16971175</v>
      </c>
      <c r="DJ229" s="29">
        <v>0.40231481481481479</v>
      </c>
      <c r="DK229" s="23">
        <v>58000</v>
      </c>
      <c r="DL229" s="23">
        <v>16971175</v>
      </c>
      <c r="DM229" s="23">
        <v>75900</v>
      </c>
      <c r="DN229" s="23">
        <v>76000</v>
      </c>
      <c r="DO229" s="23">
        <v>75100</v>
      </c>
      <c r="DP229" s="23">
        <v>75200</v>
      </c>
      <c r="DQ229" s="24">
        <v>45454</v>
      </c>
      <c r="DR229" s="23">
        <v>-55333066</v>
      </c>
      <c r="DS229" s="23">
        <v>-180650298</v>
      </c>
      <c r="DT229" s="23">
        <v>230591484</v>
      </c>
    </row>
    <row r="230" spans="109:124">
      <c r="DE230" s="24">
        <v>45453</v>
      </c>
      <c r="DF230" s="23">
        <v>75700</v>
      </c>
      <c r="DG230" s="23">
        <v>28636.25</v>
      </c>
      <c r="DH230" s="23">
        <v>2701.17</v>
      </c>
      <c r="DI230" s="26">
        <v>14598755</v>
      </c>
      <c r="DJ230" s="29">
        <v>0.40219907407407407</v>
      </c>
      <c r="DK230" s="23">
        <v>58100</v>
      </c>
      <c r="DL230" s="23">
        <v>14598755</v>
      </c>
      <c r="DM230" s="23">
        <v>76100</v>
      </c>
      <c r="DN230" s="23">
        <v>76600</v>
      </c>
      <c r="DO230" s="23">
        <v>75600</v>
      </c>
      <c r="DP230" s="23">
        <v>75700</v>
      </c>
      <c r="DQ230" s="24">
        <v>45453</v>
      </c>
      <c r="DR230" s="23">
        <v>-175759540</v>
      </c>
      <c r="DS230" s="23">
        <v>-143713550</v>
      </c>
      <c r="DT230" s="23">
        <v>311359057</v>
      </c>
    </row>
    <row r="231" spans="109:124">
      <c r="DE231" s="24">
        <v>45450</v>
      </c>
      <c r="DF231" s="23">
        <v>77300</v>
      </c>
      <c r="DG231" s="23">
        <v>28960.03</v>
      </c>
      <c r="DH231" s="23">
        <v>2722.67</v>
      </c>
      <c r="DI231" s="26">
        <v>21189349</v>
      </c>
      <c r="DJ231" s="29">
        <v>0.40208333333333329</v>
      </c>
      <c r="DK231" s="23">
        <v>58050</v>
      </c>
      <c r="DL231" s="23">
        <v>21189349</v>
      </c>
      <c r="DM231" s="23">
        <v>78400</v>
      </c>
      <c r="DN231" s="23">
        <v>78600</v>
      </c>
      <c r="DO231" s="23">
        <v>77100</v>
      </c>
      <c r="DP231" s="23">
        <v>77300</v>
      </c>
      <c r="DQ231" s="24">
        <v>45450</v>
      </c>
      <c r="DR231" s="23">
        <v>96150543</v>
      </c>
      <c r="DS231" s="23">
        <v>-185504489</v>
      </c>
      <c r="DT231" s="23">
        <v>83273712</v>
      </c>
    </row>
    <row r="232" spans="109:124">
      <c r="DE232" s="24">
        <v>45448</v>
      </c>
      <c r="DF232" s="23">
        <v>77400</v>
      </c>
      <c r="DG232" s="23">
        <v>28502.04</v>
      </c>
      <c r="DH232" s="23">
        <v>2689.5</v>
      </c>
      <c r="DI232" s="26">
        <v>23177968</v>
      </c>
      <c r="DJ232" s="29">
        <v>0.40196759259259257</v>
      </c>
      <c r="DK232" s="23">
        <v>58000</v>
      </c>
      <c r="DL232" s="23">
        <v>23177968</v>
      </c>
      <c r="DM232" s="23">
        <v>78000</v>
      </c>
      <c r="DN232" s="23">
        <v>78000</v>
      </c>
      <c r="DO232" s="23">
        <v>76800</v>
      </c>
      <c r="DP232" s="23">
        <v>77400</v>
      </c>
      <c r="DQ232" s="24">
        <v>45448</v>
      </c>
      <c r="DR232" s="23">
        <v>-222973255</v>
      </c>
      <c r="DS232" s="23">
        <v>398598025</v>
      </c>
      <c r="DT232" s="23">
        <v>-184686380</v>
      </c>
    </row>
    <row r="233" spans="109:124">
      <c r="DE233" s="24">
        <v>45447</v>
      </c>
      <c r="DF233" s="23">
        <v>75300</v>
      </c>
      <c r="DG233" s="23">
        <v>27917.26</v>
      </c>
      <c r="DH233" s="23">
        <v>2662.1</v>
      </c>
      <c r="DI233" s="26">
        <v>14098053</v>
      </c>
      <c r="DJ233" s="29">
        <v>0.40185185185185185</v>
      </c>
      <c r="DK233" s="23">
        <v>58000</v>
      </c>
      <c r="DL233" s="23">
        <v>14098053</v>
      </c>
      <c r="DM233" s="23">
        <v>74900</v>
      </c>
      <c r="DN233" s="23">
        <v>76100</v>
      </c>
      <c r="DO233" s="23">
        <v>74900</v>
      </c>
      <c r="DP233" s="23">
        <v>75300</v>
      </c>
      <c r="DQ233" s="24">
        <v>45447</v>
      </c>
      <c r="DR233" s="23">
        <v>-26680395</v>
      </c>
      <c r="DS233" s="23">
        <v>-28137012</v>
      </c>
      <c r="DT233" s="23">
        <v>50233294</v>
      </c>
    </row>
    <row r="234" spans="109:124">
      <c r="DE234" s="24">
        <v>45446</v>
      </c>
      <c r="DF234" s="23">
        <v>75700</v>
      </c>
      <c r="DG234" s="23">
        <v>27998.19</v>
      </c>
      <c r="DH234" s="23">
        <v>2682.52</v>
      </c>
      <c r="DI234" s="26">
        <v>15706268</v>
      </c>
      <c r="DJ234" s="29">
        <v>0.40173611111111107</v>
      </c>
      <c r="DK234" s="23">
        <v>58000</v>
      </c>
      <c r="DL234" s="23">
        <v>15706268</v>
      </c>
      <c r="DM234" s="23">
        <v>74400</v>
      </c>
      <c r="DN234" s="23">
        <v>76400</v>
      </c>
      <c r="DO234" s="23">
        <v>74200</v>
      </c>
      <c r="DP234" s="23">
        <v>75700</v>
      </c>
      <c r="DQ234" s="24">
        <v>45446</v>
      </c>
      <c r="DR234" s="23">
        <v>62255949</v>
      </c>
      <c r="DS234" s="23">
        <v>136786358</v>
      </c>
      <c r="DT234" s="23">
        <v>-201164674</v>
      </c>
    </row>
    <row r="235" spans="109:124">
      <c r="DE235" s="24">
        <v>45443</v>
      </c>
      <c r="DF235" s="23">
        <v>73500</v>
      </c>
      <c r="DG235" s="23">
        <v>27415.55</v>
      </c>
      <c r="DH235" s="23">
        <v>2636.52</v>
      </c>
      <c r="DI235" s="26">
        <v>26198776</v>
      </c>
      <c r="DJ235" s="29">
        <v>0.40162037037037035</v>
      </c>
      <c r="DK235" s="23">
        <v>58000</v>
      </c>
      <c r="DL235" s="23">
        <v>26198776</v>
      </c>
      <c r="DM235" s="23">
        <v>74500</v>
      </c>
      <c r="DN235" s="23">
        <v>74700</v>
      </c>
      <c r="DO235" s="23">
        <v>73500</v>
      </c>
      <c r="DP235" s="23">
        <v>73500</v>
      </c>
      <c r="DQ235" s="24">
        <v>45443</v>
      </c>
      <c r="DR235" s="23">
        <v>244769468</v>
      </c>
      <c r="DS235" s="23">
        <v>-452088231</v>
      </c>
      <c r="DT235" s="23">
        <v>204776086</v>
      </c>
    </row>
    <row r="236" spans="109:124">
      <c r="DE236" s="24">
        <v>45442</v>
      </c>
      <c r="DF236" s="23">
        <v>73500</v>
      </c>
      <c r="DG236" s="23">
        <v>27552.63</v>
      </c>
      <c r="DH236" s="23">
        <v>2635.44</v>
      </c>
      <c r="DI236" s="26">
        <v>28551273</v>
      </c>
      <c r="DJ236" s="29">
        <v>0.40150462962962963</v>
      </c>
      <c r="DK236" s="23">
        <v>58000</v>
      </c>
      <c r="DL236" s="23">
        <v>28551273</v>
      </c>
      <c r="DM236" s="23">
        <v>74800</v>
      </c>
      <c r="DN236" s="23">
        <v>75200</v>
      </c>
      <c r="DO236" s="23">
        <v>73500</v>
      </c>
      <c r="DP236" s="23">
        <v>73500</v>
      </c>
      <c r="DQ236" s="24">
        <v>45442</v>
      </c>
      <c r="DR236" s="23">
        <v>-160820389</v>
      </c>
      <c r="DS236" s="23">
        <v>-491660409</v>
      </c>
      <c r="DT236" s="23">
        <v>603640446</v>
      </c>
    </row>
    <row r="237" spans="109:124">
      <c r="DE237" s="24">
        <v>45441</v>
      </c>
      <c r="DF237" s="23">
        <v>75200</v>
      </c>
      <c r="DG237" s="23">
        <v>28283.17</v>
      </c>
      <c r="DH237" s="23">
        <v>2677.3</v>
      </c>
      <c r="DI237" s="26">
        <v>30244875</v>
      </c>
      <c r="DJ237" s="29">
        <v>0.40138888888888885</v>
      </c>
      <c r="DK237" s="23">
        <v>58050</v>
      </c>
      <c r="DL237" s="23">
        <v>30244875</v>
      </c>
      <c r="DM237" s="23">
        <v>77700</v>
      </c>
      <c r="DN237" s="23">
        <v>78200</v>
      </c>
      <c r="DO237" s="23">
        <v>75200</v>
      </c>
      <c r="DP237" s="23">
        <v>75200</v>
      </c>
      <c r="DQ237" s="24">
        <v>45441</v>
      </c>
      <c r="DR237" s="23">
        <v>38656333</v>
      </c>
      <c r="DS237" s="23">
        <v>-426507727</v>
      </c>
      <c r="DT237" s="23">
        <v>369329952</v>
      </c>
    </row>
    <row r="238" spans="109:124">
      <c r="DE238" s="24">
        <v>45440</v>
      </c>
      <c r="DF238" s="23">
        <v>77600</v>
      </c>
      <c r="DG238" s="23">
        <v>29020.240000000002</v>
      </c>
      <c r="DH238" s="23">
        <v>2722.85</v>
      </c>
      <c r="DI238" s="26">
        <v>18539072</v>
      </c>
      <c r="DJ238" s="29">
        <v>0.40127314814814813</v>
      </c>
      <c r="DK238" s="23">
        <v>58000</v>
      </c>
      <c r="DL238" s="23">
        <v>18539072</v>
      </c>
      <c r="DM238" s="23">
        <v>76500</v>
      </c>
      <c r="DN238" s="23">
        <v>78000</v>
      </c>
      <c r="DO238" s="23">
        <v>76200</v>
      </c>
      <c r="DP238" s="23">
        <v>77600</v>
      </c>
      <c r="DQ238" s="24">
        <v>45440</v>
      </c>
      <c r="DR238" s="23">
        <v>193409475</v>
      </c>
      <c r="DS238" s="23">
        <v>-65187086</v>
      </c>
      <c r="DT238" s="23">
        <v>-125640274</v>
      </c>
    </row>
    <row r="239" spans="109:124">
      <c r="DE239" s="24">
        <v>45439</v>
      </c>
      <c r="DF239" s="23">
        <v>77200</v>
      </c>
      <c r="DG239" s="23">
        <v>28901.77</v>
      </c>
      <c r="DH239" s="23">
        <v>2722.99</v>
      </c>
      <c r="DI239" s="26">
        <v>43825202</v>
      </c>
      <c r="DJ239" s="29">
        <v>0.40115740740740741</v>
      </c>
      <c r="DK239" s="23">
        <v>58000</v>
      </c>
      <c r="DL239" s="23">
        <v>43825202</v>
      </c>
      <c r="DM239" s="23">
        <v>75300</v>
      </c>
      <c r="DN239" s="23">
        <v>78200</v>
      </c>
      <c r="DO239" s="23">
        <v>74000</v>
      </c>
      <c r="DP239" s="23">
        <v>77200</v>
      </c>
      <c r="DQ239" s="24">
        <v>45439</v>
      </c>
      <c r="DR239" s="23">
        <v>253397038</v>
      </c>
      <c r="DS239" s="23">
        <v>-713698884</v>
      </c>
      <c r="DT239" s="23">
        <v>431264672</v>
      </c>
    </row>
    <row r="240" spans="109:124">
      <c r="DE240" s="24">
        <v>45436</v>
      </c>
      <c r="DF240" s="23">
        <v>75900</v>
      </c>
      <c r="DG240" s="23">
        <v>28360.65</v>
      </c>
      <c r="DH240" s="23">
        <v>2687.6</v>
      </c>
      <c r="DI240" s="26">
        <v>27891278</v>
      </c>
      <c r="DJ240" s="29">
        <v>0.40104166666666663</v>
      </c>
      <c r="DK240" s="23">
        <v>58000</v>
      </c>
      <c r="DL240" s="23">
        <v>27891278</v>
      </c>
      <c r="DM240" s="23">
        <v>76800</v>
      </c>
      <c r="DN240" s="23">
        <v>77000</v>
      </c>
      <c r="DO240" s="23">
        <v>75700</v>
      </c>
      <c r="DP240" s="23">
        <v>75900</v>
      </c>
      <c r="DQ240" s="24">
        <v>45436</v>
      </c>
      <c r="DR240" s="23">
        <v>-300147519</v>
      </c>
      <c r="DS240" s="23">
        <v>-564448204</v>
      </c>
      <c r="DT240" s="23">
        <v>842807252</v>
      </c>
    </row>
    <row r="241" spans="109:124">
      <c r="DE241" s="24">
        <v>45435</v>
      </c>
      <c r="DF241" s="23">
        <v>78300</v>
      </c>
      <c r="DG241" s="23">
        <v>28938.27</v>
      </c>
      <c r="DH241" s="23">
        <v>2721.81</v>
      </c>
      <c r="DI241" s="26">
        <v>18728087</v>
      </c>
      <c r="DJ241" s="29">
        <v>0.40092592592592591</v>
      </c>
      <c r="DK241" s="23">
        <v>58000</v>
      </c>
      <c r="DL241" s="23">
        <v>18728087</v>
      </c>
      <c r="DM241" s="23">
        <v>77700</v>
      </c>
      <c r="DN241" s="23">
        <v>79100</v>
      </c>
      <c r="DO241" s="23">
        <v>77100</v>
      </c>
      <c r="DP241" s="23">
        <v>78300</v>
      </c>
      <c r="DQ241" s="24">
        <v>45435</v>
      </c>
      <c r="DR241" s="23">
        <v>-79750711</v>
      </c>
      <c r="DS241" s="23">
        <v>112885863</v>
      </c>
      <c r="DT241" s="23">
        <v>-47347457</v>
      </c>
    </row>
    <row r="242" spans="109:124">
      <c r="DE242" s="24">
        <v>45434</v>
      </c>
      <c r="DF242" s="23">
        <v>77700</v>
      </c>
      <c r="DG242" s="23">
        <v>28757.05</v>
      </c>
      <c r="DH242" s="23">
        <v>2723.46</v>
      </c>
      <c r="DI242" s="26">
        <v>19521506</v>
      </c>
      <c r="DJ242" s="29">
        <v>0.40081018518518519</v>
      </c>
      <c r="DK242" s="23">
        <v>58100</v>
      </c>
      <c r="DL242" s="23">
        <v>19521506</v>
      </c>
      <c r="DM242" s="23">
        <v>78100</v>
      </c>
      <c r="DN242" s="23">
        <v>78700</v>
      </c>
      <c r="DO242" s="23">
        <v>77300</v>
      </c>
      <c r="DP242" s="23">
        <v>77700</v>
      </c>
      <c r="DQ242" s="24">
        <v>45434</v>
      </c>
      <c r="DR242" s="23">
        <v>5842300</v>
      </c>
      <c r="DS242" s="23">
        <v>-112684504</v>
      </c>
      <c r="DT242" s="23">
        <v>113617687</v>
      </c>
    </row>
    <row r="243" spans="109:124">
      <c r="DE243" s="24">
        <v>45433</v>
      </c>
      <c r="DF243" s="23">
        <v>78400</v>
      </c>
      <c r="DG243" s="23">
        <v>28802.74</v>
      </c>
      <c r="DH243" s="23">
        <v>2724.18</v>
      </c>
      <c r="DI243" s="26">
        <v>13690583</v>
      </c>
      <c r="DJ243" s="29">
        <v>0.40069444444444441</v>
      </c>
      <c r="DK243" s="23">
        <v>58100</v>
      </c>
      <c r="DL243" s="23">
        <v>13690583</v>
      </c>
      <c r="DM243" s="23">
        <v>78500</v>
      </c>
      <c r="DN243" s="23">
        <v>79000</v>
      </c>
      <c r="DO243" s="23">
        <v>78200</v>
      </c>
      <c r="DP243" s="23">
        <v>78400</v>
      </c>
      <c r="DQ243" s="24">
        <v>45433</v>
      </c>
      <c r="DR243" s="23">
        <v>-156321489</v>
      </c>
      <c r="DS243" s="23">
        <v>100608286</v>
      </c>
      <c r="DT243" s="23">
        <v>53032320</v>
      </c>
    </row>
    <row r="244" spans="109:124">
      <c r="DE244" s="24">
        <v>45432</v>
      </c>
      <c r="DF244" s="23">
        <v>78900</v>
      </c>
      <c r="DG244" s="23">
        <v>29025.35</v>
      </c>
      <c r="DH244" s="23">
        <v>2742.14</v>
      </c>
      <c r="DI244" s="26">
        <v>19456783</v>
      </c>
      <c r="DJ244" s="29">
        <v>0.40057870370370369</v>
      </c>
      <c r="DK244" s="23">
        <v>58100</v>
      </c>
      <c r="DL244" s="23">
        <v>19456783</v>
      </c>
      <c r="DM244" s="23">
        <v>78100</v>
      </c>
      <c r="DN244" s="23">
        <v>79100</v>
      </c>
      <c r="DO244" s="23">
        <v>77900</v>
      </c>
      <c r="DP244" s="23">
        <v>78900</v>
      </c>
      <c r="DQ244" s="24">
        <v>45432</v>
      </c>
      <c r="DR244" s="23">
        <v>203571880</v>
      </c>
      <c r="DS244" s="23">
        <v>13928524</v>
      </c>
      <c r="DT244" s="23">
        <v>-211740612</v>
      </c>
    </row>
    <row r="245" spans="109:124">
      <c r="DE245" s="24">
        <v>45429</v>
      </c>
      <c r="DF245" s="23">
        <v>77400</v>
      </c>
      <c r="DG245" s="23">
        <v>28724.92</v>
      </c>
      <c r="DH245" s="23">
        <v>2724.62</v>
      </c>
      <c r="DI245" s="26">
        <v>15918201</v>
      </c>
      <c r="DJ245" s="29">
        <v>0.40046296296296297</v>
      </c>
      <c r="DK245" s="23">
        <v>58150</v>
      </c>
      <c r="DL245" s="23">
        <v>15918201</v>
      </c>
      <c r="DM245" s="23">
        <v>78600</v>
      </c>
      <c r="DN245" s="23">
        <v>78800</v>
      </c>
      <c r="DO245" s="23">
        <v>77200</v>
      </c>
      <c r="DP245" s="23">
        <v>77400</v>
      </c>
      <c r="DQ245" s="24">
        <v>45429</v>
      </c>
      <c r="DR245" s="23">
        <v>-7170874</v>
      </c>
      <c r="DS245" s="23">
        <v>-262745274</v>
      </c>
      <c r="DT245" s="23">
        <v>266185186</v>
      </c>
    </row>
    <row r="246" spans="109:124">
      <c r="DE246" s="24">
        <v>45428</v>
      </c>
      <c r="DF246" s="23">
        <v>78200</v>
      </c>
      <c r="DG246" s="23">
        <v>29083.75</v>
      </c>
      <c r="DH246" s="23">
        <v>2753</v>
      </c>
      <c r="DI246" s="26">
        <v>20989778</v>
      </c>
      <c r="DJ246" s="29">
        <v>0.40034722222222219</v>
      </c>
      <c r="DK246" s="23">
        <v>58100</v>
      </c>
      <c r="DL246" s="23">
        <v>20989778</v>
      </c>
      <c r="DM246" s="23">
        <v>80200</v>
      </c>
      <c r="DN246" s="23">
        <v>80300</v>
      </c>
      <c r="DO246" s="23">
        <v>78100</v>
      </c>
      <c r="DP246" s="23">
        <v>78200</v>
      </c>
      <c r="DQ246" s="24">
        <v>45428</v>
      </c>
      <c r="DR246" s="23">
        <v>147609441</v>
      </c>
      <c r="DS246" s="23">
        <v>-297331717</v>
      </c>
      <c r="DT246" s="23">
        <v>145693520</v>
      </c>
    </row>
    <row r="247" spans="109:124">
      <c r="DE247" s="24"/>
      <c r="DI247" s="26"/>
      <c r="DJ247" s="29">
        <v>0.40023148148148147</v>
      </c>
      <c r="DK247" s="23">
        <v>58100</v>
      </c>
      <c r="DQ247" s="24"/>
    </row>
    <row r="248" spans="109:124">
      <c r="DE248" s="24"/>
      <c r="DI248" s="26"/>
      <c r="DJ248" s="29">
        <v>0.40011574074074074</v>
      </c>
      <c r="DK248" s="23">
        <v>58200</v>
      </c>
      <c r="DQ248" s="24"/>
    </row>
    <row r="249" spans="109:124">
      <c r="DE249" s="24"/>
      <c r="DI249" s="26"/>
      <c r="DJ249" s="29">
        <v>0.39999999999999997</v>
      </c>
      <c r="DK249" s="23">
        <v>58100</v>
      </c>
      <c r="DQ249" s="24"/>
    </row>
    <row r="250" spans="109:124">
      <c r="DE250" s="24"/>
      <c r="DI250" s="26"/>
      <c r="DJ250" s="29">
        <v>0.39988425925925924</v>
      </c>
      <c r="DK250" s="23">
        <v>58100</v>
      </c>
      <c r="DQ250" s="24"/>
    </row>
    <row r="251" spans="109:124">
      <c r="DE251" s="24"/>
      <c r="DI251" s="26"/>
      <c r="DJ251" s="29">
        <v>0.39976851851851852</v>
      </c>
      <c r="DK251" s="23">
        <v>58200</v>
      </c>
      <c r="DQ251" s="24"/>
    </row>
    <row r="252" spans="109:124">
      <c r="DE252" s="24"/>
      <c r="DI252" s="26"/>
      <c r="DJ252" s="29">
        <v>0.39965277777777775</v>
      </c>
      <c r="DK252" s="23">
        <v>58150</v>
      </c>
      <c r="DQ252" s="24"/>
    </row>
    <row r="253" spans="109:124">
      <c r="DE253" s="24"/>
      <c r="DI253" s="26"/>
      <c r="DJ253" s="29">
        <v>0.39953703703703702</v>
      </c>
      <c r="DK253" s="23">
        <v>58150</v>
      </c>
      <c r="DQ253" s="24"/>
    </row>
    <row r="254" spans="109:124">
      <c r="DE254" s="24"/>
      <c r="DJ254" s="29">
        <v>0.3994212962962963</v>
      </c>
      <c r="DK254" s="23">
        <v>58100</v>
      </c>
      <c r="DQ254" s="24"/>
    </row>
    <row r="255" spans="109:124">
      <c r="DE255" s="24"/>
      <c r="DJ255" s="29">
        <v>0.39930555555555552</v>
      </c>
      <c r="DK255" s="23">
        <v>58200</v>
      </c>
      <c r="DQ255" s="24"/>
    </row>
    <row r="256" spans="109:124">
      <c r="DE256" s="24"/>
      <c r="DJ256" s="29">
        <v>0.3991898148148148</v>
      </c>
      <c r="DK256" s="23">
        <v>58100</v>
      </c>
      <c r="DQ256" s="24"/>
    </row>
    <row r="257" spans="109:121">
      <c r="DE257" s="24"/>
      <c r="DJ257" s="29">
        <v>0.39907407407407408</v>
      </c>
      <c r="DK257" s="23">
        <v>58000</v>
      </c>
      <c r="DQ257" s="24"/>
    </row>
    <row r="258" spans="109:121">
      <c r="DE258" s="24"/>
      <c r="DJ258" s="29">
        <v>0.3989583333333333</v>
      </c>
      <c r="DK258" s="23">
        <v>58100</v>
      </c>
      <c r="DQ258" s="24"/>
    </row>
    <row r="259" spans="109:121">
      <c r="DE259" s="24"/>
      <c r="DJ259" s="29">
        <v>0.39884259259259258</v>
      </c>
      <c r="DK259" s="23">
        <v>58100</v>
      </c>
      <c r="DQ259" s="24"/>
    </row>
    <row r="260" spans="109:121">
      <c r="DE260" s="24"/>
      <c r="DJ260" s="29">
        <v>0.3987268518518518</v>
      </c>
      <c r="DK260" s="23">
        <v>58050</v>
      </c>
      <c r="DQ260" s="24"/>
    </row>
    <row r="261" spans="109:121">
      <c r="DE261" s="24"/>
      <c r="DJ261" s="29">
        <v>0.39861111111111108</v>
      </c>
      <c r="DK261" s="23">
        <v>58150</v>
      </c>
      <c r="DQ261" s="24"/>
    </row>
    <row r="262" spans="109:121">
      <c r="DE262" s="24"/>
      <c r="DJ262" s="29">
        <v>0.39849537037037036</v>
      </c>
      <c r="DK262" s="23">
        <v>58100</v>
      </c>
      <c r="DQ262" s="24"/>
    </row>
    <row r="263" spans="109:121">
      <c r="DE263" s="24"/>
      <c r="DJ263" s="29">
        <v>0.39837962962962958</v>
      </c>
      <c r="DK263" s="23">
        <v>58150</v>
      </c>
      <c r="DQ263" s="24"/>
    </row>
    <row r="264" spans="109:121">
      <c r="DE264" s="24"/>
      <c r="DJ264" s="29">
        <v>0.39826388888888886</v>
      </c>
      <c r="DK264" s="23">
        <v>58150</v>
      </c>
      <c r="DQ264" s="24"/>
    </row>
    <row r="265" spans="109:121">
      <c r="DE265" s="24"/>
      <c r="DJ265" s="29">
        <v>0.39814814814814814</v>
      </c>
      <c r="DK265" s="23">
        <v>58100</v>
      </c>
      <c r="DQ265" s="24"/>
    </row>
    <row r="266" spans="109:121">
      <c r="DE266" s="24"/>
      <c r="DJ266" s="29">
        <v>0.39803240740740736</v>
      </c>
      <c r="DK266" s="23">
        <v>58200</v>
      </c>
      <c r="DQ266" s="24"/>
    </row>
    <row r="267" spans="109:121">
      <c r="DE267" s="24"/>
      <c r="DJ267" s="29">
        <v>0.39791666666666664</v>
      </c>
      <c r="DK267" s="23">
        <v>58100</v>
      </c>
      <c r="DQ267" s="24"/>
    </row>
    <row r="268" spans="109:121">
      <c r="DE268" s="24"/>
      <c r="DJ268" s="29">
        <v>0.39780092592592592</v>
      </c>
      <c r="DK268" s="23">
        <v>58150</v>
      </c>
      <c r="DQ268" s="24"/>
    </row>
    <row r="269" spans="109:121">
      <c r="DE269" s="24"/>
      <c r="DJ269" s="29">
        <v>0.39768518518518514</v>
      </c>
      <c r="DK269" s="23">
        <v>58200</v>
      </c>
      <c r="DQ269" s="24"/>
    </row>
    <row r="270" spans="109:121">
      <c r="DE270" s="24"/>
      <c r="DJ270" s="29">
        <v>0.39756944444444442</v>
      </c>
      <c r="DK270" s="23">
        <v>58100</v>
      </c>
      <c r="DQ270" s="24"/>
    </row>
    <row r="271" spans="109:121">
      <c r="DE271" s="24"/>
      <c r="DJ271" s="29">
        <v>0.3974537037037037</v>
      </c>
      <c r="DK271" s="23">
        <v>58100</v>
      </c>
      <c r="DQ271" s="24"/>
    </row>
    <row r="272" spans="109:121">
      <c r="DE272" s="24"/>
      <c r="DJ272" s="29">
        <v>0.39733796296296292</v>
      </c>
      <c r="DK272" s="23">
        <v>58100</v>
      </c>
      <c r="DQ272" s="24"/>
    </row>
    <row r="273" spans="109:121">
      <c r="DE273" s="24"/>
      <c r="DJ273" s="29">
        <v>0.3972222222222222</v>
      </c>
      <c r="DK273" s="23">
        <v>58200</v>
      </c>
      <c r="DQ273" s="24"/>
    </row>
    <row r="274" spans="109:121">
      <c r="DE274" s="24"/>
      <c r="DJ274" s="29">
        <v>0.39710648148148148</v>
      </c>
      <c r="DK274" s="23">
        <v>58200</v>
      </c>
      <c r="DQ274" s="24"/>
    </row>
    <row r="275" spans="109:121">
      <c r="DE275" s="24"/>
      <c r="DJ275" s="29">
        <v>0.3969907407407407</v>
      </c>
      <c r="DK275" s="23">
        <v>58200</v>
      </c>
      <c r="DQ275" s="24"/>
    </row>
    <row r="276" spans="109:121">
      <c r="DE276" s="24"/>
      <c r="DJ276" s="29">
        <v>0.39687499999999998</v>
      </c>
      <c r="DK276" s="23">
        <v>58100</v>
      </c>
      <c r="DQ276" s="24"/>
    </row>
    <row r="277" spans="109:121">
      <c r="DE277" s="24"/>
      <c r="DJ277" s="29">
        <v>0.39675925925925926</v>
      </c>
      <c r="DK277" s="23">
        <v>58050</v>
      </c>
      <c r="DQ277" s="24"/>
    </row>
    <row r="278" spans="109:121">
      <c r="DE278" s="24"/>
      <c r="DJ278" s="29">
        <v>0.39664351851851848</v>
      </c>
      <c r="DK278" s="23">
        <v>58100</v>
      </c>
      <c r="DQ278" s="24"/>
    </row>
    <row r="279" spans="109:121">
      <c r="DE279" s="24"/>
      <c r="DJ279" s="29">
        <v>0.39652777777777776</v>
      </c>
      <c r="DK279" s="23">
        <v>58050</v>
      </c>
      <c r="DQ279" s="24"/>
    </row>
    <row r="280" spans="109:121">
      <c r="DE280" s="24"/>
      <c r="DJ280" s="29">
        <v>0.39641203703703703</v>
      </c>
      <c r="DK280" s="23">
        <v>57900</v>
      </c>
      <c r="DQ280" s="24"/>
    </row>
    <row r="281" spans="109:121">
      <c r="DE281" s="24"/>
      <c r="DJ281" s="29">
        <v>0.39629629629629626</v>
      </c>
      <c r="DK281" s="23">
        <v>58000</v>
      </c>
      <c r="DQ281" s="24"/>
    </row>
    <row r="282" spans="109:121">
      <c r="DE282" s="24"/>
      <c r="DJ282" s="29">
        <v>0.39618055555555554</v>
      </c>
      <c r="DK282" s="23">
        <v>58000</v>
      </c>
      <c r="DQ282" s="24"/>
    </row>
    <row r="283" spans="109:121">
      <c r="DE283" s="24"/>
      <c r="DJ283" s="29">
        <v>0.39606481481481481</v>
      </c>
      <c r="DK283" s="23">
        <v>58000</v>
      </c>
      <c r="DQ283" s="24"/>
    </row>
    <row r="284" spans="109:121">
      <c r="DE284" s="24"/>
      <c r="DJ284" s="29">
        <v>0.39594907407407404</v>
      </c>
      <c r="DK284" s="23">
        <v>58050</v>
      </c>
      <c r="DQ284" s="24"/>
    </row>
    <row r="285" spans="109:121">
      <c r="DE285" s="24"/>
      <c r="DJ285" s="29">
        <v>0.39583333333333331</v>
      </c>
      <c r="DK285" s="23">
        <v>58000</v>
      </c>
      <c r="DQ285" s="24"/>
    </row>
    <row r="286" spans="109:121">
      <c r="DE286" s="24"/>
      <c r="DJ286" s="29">
        <v>0.39571759259259259</v>
      </c>
      <c r="DK286" s="23">
        <v>58000</v>
      </c>
      <c r="DQ286" s="24"/>
    </row>
    <row r="287" spans="109:121">
      <c r="DE287" s="24"/>
      <c r="DJ287" s="29">
        <v>0.39560185185185182</v>
      </c>
      <c r="DK287" s="23">
        <v>58000</v>
      </c>
      <c r="DQ287" s="24"/>
    </row>
    <row r="288" spans="109:121">
      <c r="DE288" s="24"/>
      <c r="DJ288" s="29">
        <v>0.39548611111111109</v>
      </c>
      <c r="DK288" s="23">
        <v>58000</v>
      </c>
      <c r="DQ288" s="24"/>
    </row>
    <row r="289" spans="109:121">
      <c r="DE289" s="24"/>
      <c r="DJ289" s="29">
        <v>0.39537037037037037</v>
      </c>
      <c r="DK289" s="23">
        <v>58000</v>
      </c>
      <c r="DQ289" s="24"/>
    </row>
    <row r="290" spans="109:121">
      <c r="DE290" s="24"/>
      <c r="DJ290" s="29">
        <v>0.39525462962962959</v>
      </c>
      <c r="DK290" s="23">
        <v>58000</v>
      </c>
      <c r="DQ290" s="24"/>
    </row>
    <row r="291" spans="109:121">
      <c r="DE291" s="24"/>
      <c r="DJ291" s="29">
        <v>0.39513888888888887</v>
      </c>
      <c r="DK291" s="23">
        <v>58000</v>
      </c>
      <c r="DQ291" s="24"/>
    </row>
    <row r="292" spans="109:121">
      <c r="DE292" s="24"/>
      <c r="DJ292" s="29">
        <v>0.39502314814814815</v>
      </c>
      <c r="DK292" s="23">
        <v>58100</v>
      </c>
      <c r="DQ292" s="24"/>
    </row>
    <row r="293" spans="109:121">
      <c r="DE293" s="24"/>
      <c r="DJ293" s="29">
        <v>0.39490740740740737</v>
      </c>
      <c r="DK293" s="23">
        <v>58100</v>
      </c>
      <c r="DQ293" s="24"/>
    </row>
    <row r="294" spans="109:121">
      <c r="DE294" s="24"/>
      <c r="DJ294" s="29">
        <v>0.39479166666666665</v>
      </c>
      <c r="DK294" s="23">
        <v>58100</v>
      </c>
      <c r="DQ294" s="24"/>
    </row>
    <row r="295" spans="109:121">
      <c r="DE295" s="24"/>
      <c r="DJ295" s="29">
        <v>0.39467592592592593</v>
      </c>
      <c r="DK295" s="23">
        <v>58100</v>
      </c>
      <c r="DQ295" s="24"/>
    </row>
    <row r="296" spans="109:121">
      <c r="DE296" s="24"/>
      <c r="DJ296" s="29">
        <v>0.39456018518518515</v>
      </c>
      <c r="DK296" s="23">
        <v>58200</v>
      </c>
      <c r="DQ296" s="24"/>
    </row>
    <row r="297" spans="109:121">
      <c r="DE297" s="24"/>
      <c r="DJ297" s="29">
        <v>0.39444444444444443</v>
      </c>
      <c r="DK297" s="23">
        <v>58100</v>
      </c>
      <c r="DQ297" s="24"/>
    </row>
    <row r="298" spans="109:121">
      <c r="DE298" s="24"/>
      <c r="DJ298" s="29">
        <v>0.39432870370370371</v>
      </c>
      <c r="DK298" s="23">
        <v>58100</v>
      </c>
      <c r="DQ298" s="24"/>
    </row>
    <row r="299" spans="109:121">
      <c r="DE299" s="24"/>
      <c r="DJ299" s="29">
        <v>0.39421296296296293</v>
      </c>
      <c r="DK299" s="23">
        <v>58100</v>
      </c>
      <c r="DQ299" s="24"/>
    </row>
    <row r="300" spans="109:121">
      <c r="DE300" s="24"/>
      <c r="DJ300" s="29">
        <v>0.39409722222222221</v>
      </c>
      <c r="DK300" s="23">
        <v>58100</v>
      </c>
      <c r="DQ300" s="24"/>
    </row>
    <row r="301" spans="109:121">
      <c r="DE301" s="24"/>
      <c r="DJ301" s="29">
        <v>0.39398148148148149</v>
      </c>
      <c r="DK301" s="23">
        <v>58100</v>
      </c>
      <c r="DQ301" s="24"/>
    </row>
    <row r="302" spans="109:121">
      <c r="DE302" s="24"/>
      <c r="DJ302" s="29">
        <v>0.39386574074074071</v>
      </c>
      <c r="DK302" s="23">
        <v>58100</v>
      </c>
      <c r="DQ302" s="24"/>
    </row>
    <row r="303" spans="109:121">
      <c r="DE303" s="24"/>
      <c r="DJ303" s="29">
        <v>0.39374999999999999</v>
      </c>
      <c r="DK303" s="23">
        <v>58100</v>
      </c>
      <c r="DQ303" s="24"/>
    </row>
    <row r="304" spans="109:121">
      <c r="DE304" s="24"/>
      <c r="DJ304" s="29">
        <v>0.39363425925925927</v>
      </c>
      <c r="DK304" s="23">
        <v>58150</v>
      </c>
      <c r="DQ304" s="24"/>
    </row>
    <row r="305" spans="109:121">
      <c r="DE305" s="24"/>
      <c r="DJ305" s="29">
        <v>0.39351851851851849</v>
      </c>
      <c r="DK305" s="23">
        <v>58150</v>
      </c>
      <c r="DQ305" s="24"/>
    </row>
    <row r="306" spans="109:121">
      <c r="DE306" s="24"/>
      <c r="DJ306" s="29">
        <v>0.39340277777777777</v>
      </c>
      <c r="DK306" s="23">
        <v>58200</v>
      </c>
      <c r="DQ306" s="24"/>
    </row>
    <row r="307" spans="109:121">
      <c r="DE307" s="24"/>
      <c r="DJ307" s="29">
        <v>0.39328703703703699</v>
      </c>
      <c r="DK307" s="23">
        <v>58250</v>
      </c>
      <c r="DQ307" s="24"/>
    </row>
    <row r="308" spans="109:121">
      <c r="DE308" s="24"/>
      <c r="DJ308" s="29">
        <v>0.39317129629629627</v>
      </c>
      <c r="DK308" s="23">
        <v>58300</v>
      </c>
      <c r="DQ308" s="24"/>
    </row>
    <row r="309" spans="109:121">
      <c r="DE309" s="24"/>
      <c r="DJ309" s="29">
        <v>0.39305555555555555</v>
      </c>
      <c r="DK309" s="23">
        <v>58350</v>
      </c>
      <c r="DQ309" s="24"/>
    </row>
    <row r="310" spans="109:121">
      <c r="DE310" s="24"/>
      <c r="DJ310" s="29">
        <v>0.39293981481481477</v>
      </c>
      <c r="DK310" s="23">
        <v>58350</v>
      </c>
      <c r="DQ310" s="24"/>
    </row>
    <row r="311" spans="109:121">
      <c r="DE311" s="24"/>
      <c r="DJ311" s="29">
        <v>0.39282407407407405</v>
      </c>
      <c r="DK311" s="23">
        <v>58300</v>
      </c>
      <c r="DQ311" s="24"/>
    </row>
    <row r="312" spans="109:121">
      <c r="DE312" s="24"/>
      <c r="DJ312" s="29">
        <v>0.39270833333333333</v>
      </c>
      <c r="DK312" s="23">
        <v>58300</v>
      </c>
      <c r="DQ312" s="24"/>
    </row>
    <row r="313" spans="109:121">
      <c r="DE313" s="24"/>
      <c r="DJ313" s="29">
        <v>0.39259259259259255</v>
      </c>
      <c r="DK313" s="23">
        <v>58400</v>
      </c>
      <c r="DQ313" s="24"/>
    </row>
    <row r="314" spans="109:121">
      <c r="DE314" s="24"/>
      <c r="DJ314" s="29">
        <v>0.39247685185185183</v>
      </c>
      <c r="DK314" s="23">
        <v>58400</v>
      </c>
      <c r="DQ314" s="24"/>
    </row>
    <row r="315" spans="109:121">
      <c r="DE315" s="24"/>
      <c r="DJ315" s="29">
        <v>0.3923611111111111</v>
      </c>
      <c r="DK315" s="23">
        <v>58300</v>
      </c>
      <c r="DQ315" s="24"/>
    </row>
    <row r="316" spans="109:121">
      <c r="DE316" s="24"/>
      <c r="DJ316" s="29">
        <v>0.39224537037037033</v>
      </c>
      <c r="DK316" s="23">
        <v>58400</v>
      </c>
      <c r="DQ316" s="24"/>
    </row>
    <row r="317" spans="109:121">
      <c r="DE317" s="24"/>
      <c r="DJ317" s="29">
        <v>0.39212962962962961</v>
      </c>
      <c r="DK317" s="23">
        <v>58300</v>
      </c>
      <c r="DQ317" s="24"/>
    </row>
    <row r="318" spans="109:121">
      <c r="DE318" s="24"/>
      <c r="DJ318" s="29">
        <v>0.39201388888888888</v>
      </c>
      <c r="DK318" s="23">
        <v>58300</v>
      </c>
      <c r="DQ318" s="24"/>
    </row>
    <row r="319" spans="109:121">
      <c r="DE319" s="24"/>
      <c r="DJ319" s="29">
        <v>0.39189814814814811</v>
      </c>
      <c r="DK319" s="23">
        <v>58200</v>
      </c>
      <c r="DQ319" s="24"/>
    </row>
    <row r="320" spans="109:121">
      <c r="DE320" s="24"/>
      <c r="DJ320" s="29">
        <v>0.39178240740740738</v>
      </c>
      <c r="DK320" s="23">
        <v>58300</v>
      </c>
      <c r="DQ320" s="24"/>
    </row>
    <row r="321" spans="109:121">
      <c r="DE321" s="24"/>
      <c r="DJ321" s="29">
        <v>0.39166666666666666</v>
      </c>
      <c r="DK321" s="23">
        <v>58200</v>
      </c>
      <c r="DQ321" s="24"/>
    </row>
    <row r="322" spans="109:121">
      <c r="DE322" s="24"/>
      <c r="DJ322" s="29">
        <v>0.39155092592592589</v>
      </c>
      <c r="DK322" s="23">
        <v>58400</v>
      </c>
      <c r="DQ322" s="24"/>
    </row>
    <row r="323" spans="109:121">
      <c r="DE323" s="24"/>
      <c r="DJ323" s="29">
        <v>0.39143518518518516</v>
      </c>
      <c r="DK323" s="23">
        <v>58300</v>
      </c>
      <c r="DQ323" s="24"/>
    </row>
    <row r="324" spans="109:121">
      <c r="DE324" s="24"/>
      <c r="DJ324" s="29">
        <v>0.39131944444444444</v>
      </c>
      <c r="DK324" s="23">
        <v>58300</v>
      </c>
      <c r="DQ324" s="24"/>
    </row>
    <row r="325" spans="109:121">
      <c r="DE325" s="24"/>
      <c r="DJ325" s="29">
        <v>0.39120370370370366</v>
      </c>
      <c r="DK325" s="23">
        <v>58300</v>
      </c>
      <c r="DQ325" s="24"/>
    </row>
    <row r="326" spans="109:121">
      <c r="DE326" s="24"/>
      <c r="DJ326" s="29">
        <v>0.39108796296296294</v>
      </c>
      <c r="DK326" s="23">
        <v>58400</v>
      </c>
      <c r="DQ326" s="24"/>
    </row>
    <row r="327" spans="109:121">
      <c r="DE327" s="24"/>
      <c r="DJ327" s="29">
        <v>0.39097222222222222</v>
      </c>
      <c r="DK327" s="23">
        <v>58400</v>
      </c>
      <c r="DQ327" s="24"/>
    </row>
    <row r="328" spans="109:121">
      <c r="DE328" s="24"/>
      <c r="DJ328" s="29">
        <v>0.39085648148148144</v>
      </c>
      <c r="DK328" s="23">
        <v>58300</v>
      </c>
      <c r="DQ328" s="24"/>
    </row>
    <row r="329" spans="109:121">
      <c r="DE329" s="24"/>
      <c r="DJ329" s="29">
        <v>0.39074074074074072</v>
      </c>
      <c r="DK329" s="23">
        <v>58400</v>
      </c>
      <c r="DQ329" s="24"/>
    </row>
    <row r="330" spans="109:121">
      <c r="DE330" s="24"/>
      <c r="DJ330" s="29">
        <v>0.390625</v>
      </c>
      <c r="DK330" s="23">
        <v>58450</v>
      </c>
      <c r="DQ330" s="24"/>
    </row>
    <row r="331" spans="109:121">
      <c r="DE331" s="24"/>
      <c r="DJ331" s="29">
        <v>0.39050925925925922</v>
      </c>
      <c r="DK331" s="23">
        <v>58400</v>
      </c>
      <c r="DQ331" s="24"/>
    </row>
    <row r="332" spans="109:121">
      <c r="DE332" s="24"/>
      <c r="DJ332" s="29">
        <v>0.3903935185185185</v>
      </c>
      <c r="DK332" s="23">
        <v>58500</v>
      </c>
      <c r="DQ332" s="24"/>
    </row>
    <row r="333" spans="109:121">
      <c r="DE333" s="24"/>
      <c r="DJ333" s="29">
        <v>0.39027777777777778</v>
      </c>
      <c r="DK333" s="23">
        <v>58500</v>
      </c>
      <c r="DQ333" s="24"/>
    </row>
    <row r="334" spans="109:121">
      <c r="DE334" s="24"/>
      <c r="DJ334" s="29">
        <v>0.390162037037037</v>
      </c>
      <c r="DK334" s="23">
        <v>58400</v>
      </c>
      <c r="DQ334" s="24"/>
    </row>
    <row r="335" spans="109:121">
      <c r="DE335" s="24"/>
      <c r="DJ335" s="29">
        <v>0.39004629629629628</v>
      </c>
      <c r="DK335" s="23">
        <v>58400</v>
      </c>
      <c r="DQ335" s="24"/>
    </row>
    <row r="336" spans="109:121">
      <c r="DE336" s="24"/>
      <c r="DJ336" s="29">
        <v>0.38993055555555556</v>
      </c>
      <c r="DK336" s="23">
        <v>58100</v>
      </c>
      <c r="DQ336" s="24"/>
    </row>
    <row r="337" spans="109:121">
      <c r="DE337" s="24"/>
      <c r="DJ337" s="29">
        <v>0.38981481481481478</v>
      </c>
      <c r="DK337" s="23">
        <v>58100</v>
      </c>
      <c r="DQ337" s="24"/>
    </row>
    <row r="338" spans="109:121">
      <c r="DE338" s="24"/>
      <c r="DJ338" s="29">
        <v>0.38969907407407406</v>
      </c>
      <c r="DK338" s="23">
        <v>58100</v>
      </c>
      <c r="DQ338" s="24"/>
    </row>
    <row r="339" spans="109:121">
      <c r="DE339" s="24"/>
      <c r="DJ339" s="29">
        <v>0.38958333333333334</v>
      </c>
      <c r="DK339" s="23">
        <v>58050</v>
      </c>
      <c r="DQ339" s="24"/>
    </row>
    <row r="340" spans="109:121">
      <c r="DE340" s="24"/>
      <c r="DJ340" s="29">
        <v>0.38946759259259256</v>
      </c>
      <c r="DK340" s="23">
        <v>58100</v>
      </c>
      <c r="DQ340" s="24"/>
    </row>
    <row r="341" spans="109:121">
      <c r="DE341" s="24"/>
      <c r="DJ341" s="29">
        <v>0.38935185185185184</v>
      </c>
      <c r="DK341" s="23">
        <v>58000</v>
      </c>
      <c r="DQ341" s="24"/>
    </row>
    <row r="342" spans="109:121">
      <c r="DE342" s="24"/>
      <c r="DJ342" s="29">
        <v>0.38923611111111112</v>
      </c>
      <c r="DK342" s="23">
        <v>57950</v>
      </c>
      <c r="DQ342" s="24"/>
    </row>
    <row r="343" spans="109:121">
      <c r="DE343" s="24"/>
      <c r="DJ343" s="29">
        <v>0.38912037037037034</v>
      </c>
      <c r="DK343" s="23">
        <v>58000</v>
      </c>
      <c r="DQ343" s="24"/>
    </row>
    <row r="344" spans="109:121">
      <c r="DE344" s="24"/>
      <c r="DJ344" s="29">
        <v>0.38900462962962962</v>
      </c>
      <c r="DK344" s="23">
        <v>57850</v>
      </c>
      <c r="DQ344" s="24"/>
    </row>
    <row r="345" spans="109:121">
      <c r="DE345" s="24"/>
      <c r="DJ345" s="29">
        <v>0.3888888888888889</v>
      </c>
      <c r="DK345" s="23">
        <v>57800</v>
      </c>
      <c r="DQ345" s="24"/>
    </row>
    <row r="346" spans="109:121">
      <c r="DE346" s="24"/>
      <c r="DJ346" s="29">
        <v>0.38877314814814812</v>
      </c>
      <c r="DK346" s="23">
        <v>57900</v>
      </c>
      <c r="DQ346" s="24"/>
    </row>
    <row r="347" spans="109:121">
      <c r="DE347" s="24"/>
      <c r="DJ347" s="29">
        <v>0.3886574074074074</v>
      </c>
      <c r="DK347" s="23">
        <v>57900</v>
      </c>
      <c r="DQ347" s="24"/>
    </row>
    <row r="348" spans="109:121">
      <c r="DE348" s="24"/>
      <c r="DJ348" s="29">
        <v>0.38854166666666667</v>
      </c>
      <c r="DK348" s="23">
        <v>57900</v>
      </c>
      <c r="DQ348" s="24"/>
    </row>
    <row r="349" spans="109:121">
      <c r="DE349" s="24"/>
      <c r="DJ349" s="29">
        <v>0.3884259259259259</v>
      </c>
      <c r="DK349" s="23">
        <v>57900</v>
      </c>
      <c r="DQ349" s="24"/>
    </row>
    <row r="350" spans="109:121">
      <c r="DE350" s="24"/>
      <c r="DJ350" s="29">
        <v>0.38831018518518517</v>
      </c>
      <c r="DK350" s="23">
        <v>57850</v>
      </c>
      <c r="DQ350" s="24"/>
    </row>
    <row r="351" spans="109:121">
      <c r="DE351" s="24"/>
      <c r="DJ351" s="29">
        <v>0.3881944444444444</v>
      </c>
      <c r="DK351" s="23">
        <v>57850</v>
      </c>
      <c r="DQ351" s="24"/>
    </row>
    <row r="352" spans="109:121">
      <c r="DE352" s="24"/>
      <c r="DJ352" s="29">
        <v>0.38807870370370368</v>
      </c>
      <c r="DK352" s="23">
        <v>57800</v>
      </c>
      <c r="DQ352" s="24"/>
    </row>
    <row r="353" spans="109:121">
      <c r="DE353" s="24"/>
      <c r="DJ353" s="29">
        <v>0.38796296296296295</v>
      </c>
      <c r="DK353" s="23">
        <v>57800</v>
      </c>
      <c r="DQ353" s="24"/>
    </row>
    <row r="354" spans="109:121">
      <c r="DE354" s="24"/>
      <c r="DJ354" s="29">
        <v>0.38784722222222218</v>
      </c>
      <c r="DK354" s="23">
        <v>57800</v>
      </c>
      <c r="DQ354" s="24"/>
    </row>
    <row r="355" spans="109:121">
      <c r="DE355" s="24"/>
      <c r="DJ355" s="29">
        <v>0.38773148148148145</v>
      </c>
      <c r="DK355" s="23">
        <v>57800</v>
      </c>
      <c r="DQ355" s="24"/>
    </row>
    <row r="356" spans="109:121">
      <c r="DE356" s="24"/>
      <c r="DJ356" s="29">
        <v>0.38761574074074073</v>
      </c>
      <c r="DK356" s="23">
        <v>57800</v>
      </c>
      <c r="DQ356" s="24"/>
    </row>
    <row r="357" spans="109:121">
      <c r="DE357" s="24"/>
      <c r="DJ357" s="29">
        <v>0.38749999999999996</v>
      </c>
      <c r="DK357" s="23">
        <v>57800</v>
      </c>
      <c r="DQ357" s="24"/>
    </row>
    <row r="358" spans="109:121">
      <c r="DE358" s="24"/>
      <c r="DJ358" s="29">
        <v>0.38738425925925923</v>
      </c>
      <c r="DK358" s="23">
        <v>57800</v>
      </c>
      <c r="DQ358" s="24"/>
    </row>
    <row r="359" spans="109:121">
      <c r="DE359" s="24"/>
      <c r="DJ359" s="29">
        <v>0.38726851851851851</v>
      </c>
      <c r="DK359" s="23">
        <v>57750</v>
      </c>
      <c r="DQ359" s="24"/>
    </row>
    <row r="360" spans="109:121">
      <c r="DE360" s="24"/>
      <c r="DJ360" s="29">
        <v>0.38715277777777773</v>
      </c>
      <c r="DK360" s="23">
        <v>57800</v>
      </c>
      <c r="DQ360" s="24"/>
    </row>
    <row r="361" spans="109:121">
      <c r="DE361" s="24"/>
      <c r="DJ361" s="29">
        <v>0.38703703703703701</v>
      </c>
      <c r="DK361" s="23">
        <v>57750</v>
      </c>
      <c r="DQ361" s="24"/>
    </row>
    <row r="362" spans="109:121">
      <c r="DE362" s="24"/>
      <c r="DJ362" s="29">
        <v>0.38692129629629629</v>
      </c>
      <c r="DK362" s="23">
        <v>57800</v>
      </c>
      <c r="DQ362" s="24"/>
    </row>
    <row r="363" spans="109:121">
      <c r="DE363" s="24"/>
      <c r="DJ363" s="29">
        <v>0.38680555555555551</v>
      </c>
      <c r="DK363" s="23">
        <v>57800</v>
      </c>
      <c r="DQ363" s="24"/>
    </row>
    <row r="364" spans="109:121">
      <c r="DE364" s="24"/>
      <c r="DJ364" s="29">
        <v>0.38668981481481479</v>
      </c>
      <c r="DK364" s="23">
        <v>57800</v>
      </c>
      <c r="DQ364" s="24"/>
    </row>
    <row r="365" spans="109:121">
      <c r="DE365" s="24"/>
      <c r="DJ365" s="29">
        <v>0.38657407407407407</v>
      </c>
      <c r="DK365" s="23">
        <v>57800</v>
      </c>
      <c r="DQ365" s="24"/>
    </row>
    <row r="366" spans="109:121">
      <c r="DE366" s="24"/>
      <c r="DJ366" s="29">
        <v>0.38645833333333329</v>
      </c>
      <c r="DK366" s="23">
        <v>57700</v>
      </c>
      <c r="DQ366" s="24"/>
    </row>
    <row r="367" spans="109:121">
      <c r="DE367" s="24"/>
      <c r="DJ367" s="29">
        <v>0.38634259259259257</v>
      </c>
      <c r="DK367" s="23">
        <v>57700</v>
      </c>
      <c r="DQ367" s="24"/>
    </row>
    <row r="368" spans="109:121">
      <c r="DE368" s="24"/>
      <c r="DJ368" s="29">
        <v>0.38622685185185185</v>
      </c>
      <c r="DK368" s="23">
        <v>57700</v>
      </c>
      <c r="DQ368" s="24"/>
    </row>
    <row r="369" spans="109:121">
      <c r="DE369" s="24"/>
      <c r="DJ369" s="29">
        <v>0.38611111111111107</v>
      </c>
      <c r="DK369" s="23">
        <v>57700</v>
      </c>
      <c r="DQ369" s="24"/>
    </row>
    <row r="370" spans="109:121">
      <c r="DE370" s="24"/>
      <c r="DJ370" s="29">
        <v>0.38599537037037035</v>
      </c>
      <c r="DK370" s="23">
        <v>57600</v>
      </c>
      <c r="DQ370" s="24"/>
    </row>
    <row r="371" spans="109:121">
      <c r="DJ371" s="29">
        <v>0.38587962962962963</v>
      </c>
      <c r="DK371" s="23">
        <v>57600</v>
      </c>
    </row>
    <row r="372" spans="109:121">
      <c r="DJ372" s="29">
        <v>0.38576388888888885</v>
      </c>
      <c r="DK372" s="23">
        <v>57600</v>
      </c>
    </row>
    <row r="373" spans="109:121">
      <c r="DJ373" s="29">
        <v>0.38564814814814813</v>
      </c>
      <c r="DK373" s="23">
        <v>57600</v>
      </c>
    </row>
    <row r="374" spans="109:121">
      <c r="DJ374" s="29">
        <v>0.38553240740740741</v>
      </c>
      <c r="DK374" s="23">
        <v>57600</v>
      </c>
    </row>
    <row r="375" spans="109:121">
      <c r="DJ375" s="29">
        <v>0.38541666666666663</v>
      </c>
      <c r="DK375" s="23">
        <v>57600</v>
      </c>
    </row>
    <row r="376" spans="109:121">
      <c r="DJ376" s="29">
        <v>0.38530092592592591</v>
      </c>
      <c r="DK376" s="23">
        <v>57600</v>
      </c>
    </row>
    <row r="377" spans="109:121">
      <c r="DJ377" s="29">
        <v>0.38518518518518519</v>
      </c>
      <c r="DK377" s="23">
        <v>57600</v>
      </c>
    </row>
    <row r="378" spans="109:121">
      <c r="DJ378" s="29">
        <v>0.38506944444444441</v>
      </c>
      <c r="DK378" s="23">
        <v>57550</v>
      </c>
    </row>
    <row r="379" spans="109:121">
      <c r="DJ379" s="29">
        <v>0.38495370370370369</v>
      </c>
      <c r="DK379" s="23">
        <v>57550</v>
      </c>
    </row>
    <row r="380" spans="109:121">
      <c r="DJ380" s="29">
        <v>0.38483796296296297</v>
      </c>
      <c r="DK380" s="23">
        <v>57550</v>
      </c>
    </row>
    <row r="381" spans="109:121">
      <c r="DJ381" s="29">
        <v>0.38472222222222219</v>
      </c>
      <c r="DK381" s="23">
        <v>57500</v>
      </c>
    </row>
    <row r="382" spans="109:121">
      <c r="DJ382" s="29">
        <v>0.38460648148148147</v>
      </c>
      <c r="DK382" s="23">
        <v>57500</v>
      </c>
    </row>
    <row r="383" spans="109:121">
      <c r="DJ383" s="29">
        <v>0.38449074074074074</v>
      </c>
      <c r="DK383" s="23">
        <v>57500</v>
      </c>
    </row>
    <row r="384" spans="109:121">
      <c r="DJ384" s="29">
        <v>0.38437499999999997</v>
      </c>
      <c r="DK384" s="23">
        <v>57500</v>
      </c>
    </row>
    <row r="385" spans="114:115">
      <c r="DJ385" s="29">
        <v>0.38425925925925924</v>
      </c>
      <c r="DK385" s="23">
        <v>57500</v>
      </c>
    </row>
    <row r="386" spans="114:115">
      <c r="DJ386" s="29">
        <v>0.38414351851851852</v>
      </c>
      <c r="DK386" s="23">
        <v>57500</v>
      </c>
    </row>
    <row r="387" spans="114:115">
      <c r="DJ387" s="29">
        <v>0.38402777777777775</v>
      </c>
      <c r="DK387" s="23">
        <v>57500</v>
      </c>
    </row>
    <row r="388" spans="114:115">
      <c r="DJ388" s="29">
        <v>0.38391203703703702</v>
      </c>
      <c r="DK388" s="23">
        <v>57500</v>
      </c>
    </row>
    <row r="389" spans="114:115">
      <c r="DJ389" s="29">
        <v>0.3837962962962963</v>
      </c>
      <c r="DK389" s="23">
        <v>57400</v>
      </c>
    </row>
    <row r="390" spans="114:115">
      <c r="DJ390" s="29">
        <v>0.38368055555555552</v>
      </c>
      <c r="DK390" s="23">
        <v>57500</v>
      </c>
    </row>
    <row r="391" spans="114:115">
      <c r="DJ391" s="29">
        <v>0.3835648148148148</v>
      </c>
      <c r="DK391" s="23">
        <v>57400</v>
      </c>
    </row>
    <row r="392" spans="114:115">
      <c r="DJ392" s="29">
        <v>0.38344907407407408</v>
      </c>
      <c r="DK392" s="23">
        <v>57400</v>
      </c>
    </row>
    <row r="393" spans="114:115">
      <c r="DJ393" s="29">
        <v>0.3833333333333333</v>
      </c>
      <c r="DK393" s="23">
        <v>57500</v>
      </c>
    </row>
    <row r="394" spans="114:115">
      <c r="DJ394" s="29">
        <v>0.38321759259259258</v>
      </c>
      <c r="DK394" s="23">
        <v>57400</v>
      </c>
    </row>
    <row r="395" spans="114:115">
      <c r="DJ395" s="29">
        <v>0.38310185185185186</v>
      </c>
      <c r="DK395" s="23">
        <v>57400</v>
      </c>
    </row>
    <row r="396" spans="114:115">
      <c r="DJ396" s="29">
        <v>0.38298611111111108</v>
      </c>
      <c r="DK396" s="23">
        <v>57300</v>
      </c>
    </row>
    <row r="397" spans="114:115">
      <c r="DJ397" s="29">
        <v>0.38287037037037036</v>
      </c>
      <c r="DK397" s="23">
        <v>57400</v>
      </c>
    </row>
    <row r="398" spans="114:115">
      <c r="DJ398" s="29">
        <v>0.38275462962962958</v>
      </c>
      <c r="DK398" s="23">
        <v>57300</v>
      </c>
    </row>
    <row r="399" spans="114:115">
      <c r="DJ399" s="29">
        <v>0.38263888888888886</v>
      </c>
      <c r="DK399" s="23">
        <v>57400</v>
      </c>
    </row>
    <row r="400" spans="114:115">
      <c r="DJ400" s="29">
        <v>0.38252314814814814</v>
      </c>
      <c r="DK400" s="23">
        <v>57400</v>
      </c>
    </row>
    <row r="401" spans="114:115">
      <c r="DJ401" s="29">
        <v>0.38240740740740736</v>
      </c>
      <c r="DK401" s="23">
        <v>57400</v>
      </c>
    </row>
    <row r="402" spans="114:115">
      <c r="DJ402" s="29">
        <v>0.38229166666666664</v>
      </c>
      <c r="DK402" s="23">
        <v>57300</v>
      </c>
    </row>
    <row r="403" spans="114:115">
      <c r="DJ403" s="29">
        <v>0.38217592592592592</v>
      </c>
      <c r="DK403" s="23">
        <v>57300</v>
      </c>
    </row>
    <row r="404" spans="114:115">
      <c r="DJ404" s="29">
        <v>0.38206018518518514</v>
      </c>
      <c r="DK404" s="23">
        <v>57250</v>
      </c>
    </row>
    <row r="405" spans="114:115">
      <c r="DJ405" s="29">
        <v>0.38194444444444442</v>
      </c>
      <c r="DK405" s="23">
        <v>57300</v>
      </c>
    </row>
    <row r="406" spans="114:115">
      <c r="DJ406" s="29">
        <v>0.3818287037037037</v>
      </c>
      <c r="DK406" s="23">
        <v>57250</v>
      </c>
    </row>
    <row r="407" spans="114:115">
      <c r="DJ407" s="29">
        <v>0.38171296296296292</v>
      </c>
      <c r="DK407" s="23">
        <v>57300</v>
      </c>
    </row>
    <row r="408" spans="114:115">
      <c r="DJ408" s="29">
        <v>0.3815972222222222</v>
      </c>
      <c r="DK408" s="23">
        <v>57200</v>
      </c>
    </row>
    <row r="409" spans="114:115">
      <c r="DJ409" s="29">
        <v>0.38148148148148148</v>
      </c>
      <c r="DK409" s="23">
        <v>57300</v>
      </c>
    </row>
    <row r="410" spans="114:115">
      <c r="DJ410" s="29">
        <v>0.3813657407407407</v>
      </c>
      <c r="DK410" s="23">
        <v>57200</v>
      </c>
    </row>
    <row r="411" spans="114:115">
      <c r="DJ411" s="29">
        <v>0.38124999999999998</v>
      </c>
      <c r="DK411" s="23">
        <v>57300</v>
      </c>
    </row>
    <row r="412" spans="114:115">
      <c r="DJ412" s="29">
        <v>0.38113425925925926</v>
      </c>
      <c r="DK412" s="23">
        <v>57200</v>
      </c>
    </row>
    <row r="413" spans="114:115">
      <c r="DJ413" s="29">
        <v>0.38101851851851848</v>
      </c>
      <c r="DK413" s="23">
        <v>57300</v>
      </c>
    </row>
    <row r="414" spans="114:115">
      <c r="DJ414" s="29">
        <v>0.38090277777777776</v>
      </c>
      <c r="DK414" s="23">
        <v>57300</v>
      </c>
    </row>
    <row r="415" spans="114:115">
      <c r="DJ415" s="29">
        <v>0.38078703703703703</v>
      </c>
      <c r="DK415" s="23">
        <v>57200</v>
      </c>
    </row>
    <row r="416" spans="114:115">
      <c r="DJ416" s="29">
        <v>0.38067129629629626</v>
      </c>
      <c r="DK416" s="23">
        <v>57300</v>
      </c>
    </row>
    <row r="417" spans="114:115">
      <c r="DJ417" s="29">
        <v>0.38055555555555554</v>
      </c>
      <c r="DK417" s="23">
        <v>57300</v>
      </c>
    </row>
    <row r="418" spans="114:115">
      <c r="DJ418" s="29">
        <v>0.38043981481481481</v>
      </c>
      <c r="DK418" s="23">
        <v>57200</v>
      </c>
    </row>
    <row r="419" spans="114:115">
      <c r="DJ419" s="29">
        <v>0.38032407407407404</v>
      </c>
      <c r="DK419" s="23">
        <v>57300</v>
      </c>
    </row>
    <row r="420" spans="114:115">
      <c r="DJ420" s="29">
        <v>0.38020833333333331</v>
      </c>
      <c r="DK420" s="23">
        <v>57200</v>
      </c>
    </row>
    <row r="421" spans="114:115">
      <c r="DJ421" s="29">
        <v>0.38009259259259259</v>
      </c>
      <c r="DK421" s="23">
        <v>57200</v>
      </c>
    </row>
    <row r="422" spans="114:115">
      <c r="DJ422" s="29">
        <v>0.37997685185185182</v>
      </c>
      <c r="DK422" s="23">
        <v>57300</v>
      </c>
    </row>
    <row r="423" spans="114:115">
      <c r="DJ423" s="29">
        <v>0.37986111111111109</v>
      </c>
      <c r="DK423" s="23">
        <v>57300</v>
      </c>
    </row>
    <row r="424" spans="114:115">
      <c r="DJ424" s="29">
        <v>0.37974537037037037</v>
      </c>
      <c r="DK424" s="23">
        <v>57300</v>
      </c>
    </row>
    <row r="425" spans="114:115">
      <c r="DJ425" s="29">
        <v>0.37962962962962959</v>
      </c>
      <c r="DK425" s="23">
        <v>57300</v>
      </c>
    </row>
    <row r="426" spans="114:115">
      <c r="DJ426" s="29">
        <v>0.37951388888888887</v>
      </c>
      <c r="DK426" s="23">
        <v>57200</v>
      </c>
    </row>
    <row r="427" spans="114:115">
      <c r="DJ427" s="29">
        <v>0.37939814814814815</v>
      </c>
      <c r="DK427" s="23">
        <v>57200</v>
      </c>
    </row>
    <row r="428" spans="114:115">
      <c r="DJ428" s="29">
        <v>0.37928240740740737</v>
      </c>
      <c r="DK428" s="23">
        <v>57200</v>
      </c>
    </row>
    <row r="429" spans="114:115">
      <c r="DJ429" s="29">
        <v>0.37916666666666665</v>
      </c>
      <c r="DK429" s="23">
        <v>57250</v>
      </c>
    </row>
    <row r="430" spans="114:115">
      <c r="DJ430" s="29">
        <v>0.37905092592592593</v>
      </c>
      <c r="DK430" s="23">
        <v>57200</v>
      </c>
    </row>
    <row r="431" spans="114:115">
      <c r="DJ431" s="29">
        <v>0.37893518518518515</v>
      </c>
      <c r="DK431" s="23">
        <v>57300</v>
      </c>
    </row>
    <row r="432" spans="114:115">
      <c r="DJ432" s="29">
        <v>0.37881944444444443</v>
      </c>
      <c r="DK432" s="23">
        <v>57250</v>
      </c>
    </row>
    <row r="433" spans="114:115">
      <c r="DJ433" s="29">
        <v>0.37870370370370371</v>
      </c>
      <c r="DK433" s="23">
        <v>57200</v>
      </c>
    </row>
    <row r="434" spans="114:115">
      <c r="DJ434" s="29">
        <v>0.37858796296296293</v>
      </c>
      <c r="DK434" s="23">
        <v>57200</v>
      </c>
    </row>
    <row r="435" spans="114:115">
      <c r="DJ435" s="29">
        <v>0.37847222222222221</v>
      </c>
      <c r="DK435" s="23">
        <v>57200</v>
      </c>
    </row>
    <row r="436" spans="114:115">
      <c r="DJ436" s="29">
        <v>0.37835648148148149</v>
      </c>
      <c r="DK436" s="23">
        <v>57250</v>
      </c>
    </row>
    <row r="437" spans="114:115">
      <c r="DJ437" s="29">
        <v>0.37824074074074071</v>
      </c>
      <c r="DK437" s="23">
        <v>57200</v>
      </c>
    </row>
    <row r="438" spans="114:115">
      <c r="DJ438" s="29">
        <v>0.37812499999999999</v>
      </c>
      <c r="DK438" s="23">
        <v>57200</v>
      </c>
    </row>
    <row r="439" spans="114:115">
      <c r="DJ439" s="29">
        <v>0.37800925925925927</v>
      </c>
      <c r="DK439" s="23">
        <v>57200</v>
      </c>
    </row>
    <row r="440" spans="114:115">
      <c r="DJ440" s="29">
        <v>0.37789351851851849</v>
      </c>
      <c r="DK440" s="23">
        <v>57200</v>
      </c>
    </row>
    <row r="441" spans="114:115">
      <c r="DJ441" s="29">
        <v>0.37777777777777777</v>
      </c>
      <c r="DK441" s="23">
        <v>57200</v>
      </c>
    </row>
    <row r="442" spans="114:115">
      <c r="DJ442" s="29">
        <v>0.37766203703703699</v>
      </c>
      <c r="DK442" s="23">
        <v>57200</v>
      </c>
    </row>
    <row r="443" spans="114:115">
      <c r="DJ443" s="29">
        <v>0.37754629629629627</v>
      </c>
      <c r="DK443" s="23">
        <v>57200</v>
      </c>
    </row>
    <row r="444" spans="114:115">
      <c r="DJ444" s="29">
        <v>0.37743055555555555</v>
      </c>
      <c r="DK444" s="23">
        <v>57300</v>
      </c>
    </row>
    <row r="445" spans="114:115">
      <c r="DJ445" s="29">
        <v>0.37731481481481477</v>
      </c>
      <c r="DK445" s="23">
        <v>57200</v>
      </c>
    </row>
    <row r="446" spans="114:115">
      <c r="DJ446" s="29">
        <v>0.37719907407407405</v>
      </c>
      <c r="DK446" s="23">
        <v>57200</v>
      </c>
    </row>
    <row r="447" spans="114:115">
      <c r="DJ447" s="29">
        <v>0.37708333333333333</v>
      </c>
      <c r="DK447" s="23">
        <v>57200</v>
      </c>
    </row>
    <row r="448" spans="114:115">
      <c r="DJ448" s="29">
        <v>0.37696759259259255</v>
      </c>
      <c r="DK448" s="23">
        <v>57200</v>
      </c>
    </row>
    <row r="449" spans="114:115">
      <c r="DJ449" s="29">
        <v>0.37685185185185183</v>
      </c>
      <c r="DK449" s="23">
        <v>57250</v>
      </c>
    </row>
    <row r="450" spans="114:115">
      <c r="DJ450" s="29">
        <v>0.3767361111111111</v>
      </c>
      <c r="DK450" s="23">
        <v>57200</v>
      </c>
    </row>
    <row r="451" spans="114:115">
      <c r="DJ451" s="29">
        <v>0.37662037037037033</v>
      </c>
      <c r="DK451" s="23">
        <v>57300</v>
      </c>
    </row>
    <row r="452" spans="114:115">
      <c r="DJ452" s="29">
        <v>0.37650462962962961</v>
      </c>
      <c r="DK452" s="23">
        <v>57200</v>
      </c>
    </row>
    <row r="453" spans="114:115">
      <c r="DJ453" s="29">
        <v>0.37638888888888888</v>
      </c>
      <c r="DK453" s="23">
        <v>57200</v>
      </c>
    </row>
    <row r="454" spans="114:115">
      <c r="DJ454" s="29">
        <v>0.37627314814814811</v>
      </c>
      <c r="DK454" s="23">
        <v>57200</v>
      </c>
    </row>
    <row r="455" spans="114:115">
      <c r="DJ455" s="29">
        <v>0.37615740740740738</v>
      </c>
      <c r="DK455" s="23">
        <v>57200</v>
      </c>
    </row>
    <row r="456" spans="114:115">
      <c r="DJ456" s="29">
        <v>0.37604166666666666</v>
      </c>
      <c r="DK456" s="23">
        <v>57300</v>
      </c>
    </row>
    <row r="457" spans="114:115">
      <c r="DJ457" s="29">
        <v>0.37592592592592589</v>
      </c>
      <c r="DK457" s="23">
        <v>57300</v>
      </c>
    </row>
    <row r="458" spans="114:115">
      <c r="DJ458" s="29">
        <v>0.37581018518518516</v>
      </c>
      <c r="DK458" s="23">
        <v>57350</v>
      </c>
    </row>
    <row r="459" spans="114:115">
      <c r="DJ459" s="29">
        <v>0.37569444444444444</v>
      </c>
      <c r="DK459" s="23">
        <v>57500</v>
      </c>
    </row>
    <row r="460" spans="114:115">
      <c r="DJ460" s="29">
        <v>0.37557870370370366</v>
      </c>
      <c r="DK460" s="23">
        <v>57400</v>
      </c>
    </row>
    <row r="461" spans="114:115">
      <c r="DJ461" s="29">
        <v>0.37546296296296294</v>
      </c>
      <c r="DK461" s="23">
        <v>57300</v>
      </c>
    </row>
    <row r="462" spans="114:115">
      <c r="DJ462" s="29">
        <v>0.37534722222222222</v>
      </c>
      <c r="DK462" s="23">
        <v>57300</v>
      </c>
    </row>
    <row r="463" spans="114:115">
      <c r="DJ463" s="29">
        <v>0.37523148148148144</v>
      </c>
      <c r="DK463" s="23">
        <v>57400</v>
      </c>
    </row>
    <row r="464" spans="114:115">
      <c r="DJ464" s="29">
        <v>0.37511574074074072</v>
      </c>
      <c r="DK464" s="23">
        <v>57400</v>
      </c>
    </row>
    <row r="465" spans="114:114">
      <c r="DJ465" s="29"/>
    </row>
    <row r="466" spans="114:114">
      <c r="DJ466" s="29"/>
    </row>
    <row r="467" spans="114:114">
      <c r="DJ467" s="29"/>
    </row>
    <row r="468" spans="114:114">
      <c r="DJ468" s="29"/>
    </row>
    <row r="469" spans="114:114">
      <c r="DJ469" s="29"/>
    </row>
    <row r="470" spans="114:114">
      <c r="DJ470" s="29"/>
    </row>
    <row r="471" spans="114:114">
      <c r="DJ471" s="29"/>
    </row>
    <row r="472" spans="114:114">
      <c r="DJ472" s="29"/>
    </row>
    <row r="473" spans="114:114">
      <c r="DJ473" s="29"/>
    </row>
    <row r="474" spans="114:114">
      <c r="DJ474" s="29"/>
    </row>
    <row r="475" spans="114:114">
      <c r="DJ475" s="29"/>
    </row>
    <row r="476" spans="114:114">
      <c r="DJ476" s="29"/>
    </row>
    <row r="477" spans="114:114">
      <c r="DJ477" s="29"/>
    </row>
    <row r="478" spans="114:114">
      <c r="DJ478" s="29"/>
    </row>
    <row r="479" spans="114:114">
      <c r="DJ479" s="29"/>
    </row>
    <row r="480" spans="114:114">
      <c r="DJ480" s="29"/>
    </row>
    <row r="481" spans="114:114">
      <c r="DJ481" s="29"/>
    </row>
    <row r="482" spans="114:114">
      <c r="DJ482" s="29"/>
    </row>
    <row r="483" spans="114:114">
      <c r="DJ483" s="29"/>
    </row>
    <row r="484" spans="114:114">
      <c r="DJ484" s="29"/>
    </row>
    <row r="485" spans="114:114">
      <c r="DJ485" s="29"/>
    </row>
    <row r="486" spans="114:114">
      <c r="DJ486" s="29"/>
    </row>
    <row r="487" spans="114:114">
      <c r="DJ487" s="29"/>
    </row>
    <row r="488" spans="114:114">
      <c r="DJ488" s="29"/>
    </row>
    <row r="489" spans="114:114">
      <c r="DJ489" s="29"/>
    </row>
    <row r="490" spans="114:114">
      <c r="DJ490" s="29"/>
    </row>
    <row r="491" spans="114:114">
      <c r="DJ491" s="29"/>
    </row>
    <row r="492" spans="114:114">
      <c r="DJ492" s="29"/>
    </row>
    <row r="493" spans="114:114">
      <c r="DJ493" s="29"/>
    </row>
    <row r="494" spans="114:114">
      <c r="DJ494" s="29"/>
    </row>
    <row r="495" spans="114:114">
      <c r="DJ495" s="29"/>
    </row>
    <row r="496" spans="114:114">
      <c r="DJ496" s="29"/>
    </row>
    <row r="497" spans="114:114">
      <c r="DJ497" s="29"/>
    </row>
    <row r="498" spans="114:114">
      <c r="DJ498" s="29"/>
    </row>
    <row r="499" spans="114:114">
      <c r="DJ499" s="29"/>
    </row>
    <row r="500" spans="114:114">
      <c r="DJ500" s="29"/>
    </row>
    <row r="501" spans="114:114">
      <c r="DJ501" s="29"/>
    </row>
    <row r="502" spans="114:114">
      <c r="DJ502" s="29"/>
    </row>
    <row r="503" spans="114:114">
      <c r="DJ503" s="29"/>
    </row>
    <row r="504" spans="114:114">
      <c r="DJ504" s="29"/>
    </row>
    <row r="505" spans="114:114">
      <c r="DJ505" s="29"/>
    </row>
    <row r="506" spans="114:114">
      <c r="DJ506" s="29"/>
    </row>
    <row r="507" spans="114:114">
      <c r="DJ507" s="29"/>
    </row>
    <row r="508" spans="114:114">
      <c r="DJ508" s="29"/>
    </row>
    <row r="509" spans="114:114">
      <c r="DJ509" s="29"/>
    </row>
    <row r="510" spans="114:114">
      <c r="DJ510" s="29"/>
    </row>
    <row r="511" spans="114:114">
      <c r="DJ511" s="29"/>
    </row>
    <row r="512" spans="114:114">
      <c r="DJ512" s="29"/>
    </row>
    <row r="513" spans="114:114">
      <c r="DJ513" s="29"/>
    </row>
    <row r="514" spans="114:114">
      <c r="DJ514" s="29"/>
    </row>
    <row r="515" spans="114:114">
      <c r="DJ515" s="29"/>
    </row>
    <row r="516" spans="114:114">
      <c r="DJ516" s="29"/>
    </row>
    <row r="517" spans="114:114">
      <c r="DJ517" s="29"/>
    </row>
    <row r="518" spans="114:114">
      <c r="DJ518" s="29"/>
    </row>
    <row r="519" spans="114:114">
      <c r="DJ519" s="29"/>
    </row>
    <row r="520" spans="114:114">
      <c r="DJ520" s="29"/>
    </row>
    <row r="521" spans="114:114">
      <c r="DJ521" s="29"/>
    </row>
    <row r="522" spans="114:114">
      <c r="DJ522" s="29"/>
    </row>
    <row r="523" spans="114:114">
      <c r="DJ523" s="29"/>
    </row>
    <row r="524" spans="114:114">
      <c r="DJ524" s="29"/>
    </row>
    <row r="525" spans="114:114">
      <c r="DJ525" s="29"/>
    </row>
    <row r="526" spans="114:114">
      <c r="DJ526" s="29"/>
    </row>
    <row r="527" spans="114:114">
      <c r="DJ527" s="29"/>
    </row>
    <row r="528" spans="114:114">
      <c r="DJ528" s="29"/>
    </row>
    <row r="529" spans="114:114">
      <c r="DJ529" s="29"/>
    </row>
    <row r="530" spans="114:114">
      <c r="DJ530" s="29"/>
    </row>
    <row r="531" spans="114:114">
      <c r="DJ531" s="29"/>
    </row>
    <row r="532" spans="114:114">
      <c r="DJ532" s="29"/>
    </row>
    <row r="533" spans="114:114">
      <c r="DJ533" s="29"/>
    </row>
    <row r="534" spans="114:114">
      <c r="DJ534" s="29"/>
    </row>
    <row r="535" spans="114:114">
      <c r="DJ535" s="29"/>
    </row>
    <row r="536" spans="114:114">
      <c r="DJ536" s="29"/>
    </row>
    <row r="537" spans="114:114">
      <c r="DJ537" s="29"/>
    </row>
    <row r="538" spans="114:114">
      <c r="DJ538" s="29"/>
    </row>
    <row r="539" spans="114:114">
      <c r="DJ539" s="29"/>
    </row>
    <row r="540" spans="114:114">
      <c r="DJ540" s="29"/>
    </row>
    <row r="541" spans="114:114">
      <c r="DJ541" s="29"/>
    </row>
    <row r="542" spans="114:114">
      <c r="DJ542" s="29"/>
    </row>
    <row r="543" spans="114:114">
      <c r="DJ543" s="29"/>
    </row>
    <row r="544" spans="114:114">
      <c r="DJ544" s="29"/>
    </row>
    <row r="545" spans="114:114">
      <c r="DJ545" s="29"/>
    </row>
    <row r="546" spans="114:114">
      <c r="DJ546" s="29"/>
    </row>
    <row r="547" spans="114:114">
      <c r="DJ547" s="29"/>
    </row>
    <row r="548" spans="114:114">
      <c r="DJ548" s="29"/>
    </row>
    <row r="549" spans="114:114">
      <c r="DJ549" s="29"/>
    </row>
    <row r="550" spans="114:114">
      <c r="DJ550" s="29"/>
    </row>
    <row r="551" spans="114:114">
      <c r="DJ551" s="29"/>
    </row>
    <row r="552" spans="114:114">
      <c r="DJ552" s="29"/>
    </row>
    <row r="553" spans="114:114">
      <c r="DJ553" s="29"/>
    </row>
    <row r="554" spans="114:114">
      <c r="DJ554" s="29"/>
    </row>
    <row r="555" spans="114:114">
      <c r="DJ555" s="29"/>
    </row>
    <row r="556" spans="114:114">
      <c r="DJ556" s="29"/>
    </row>
    <row r="557" spans="114:114">
      <c r="DJ557" s="29"/>
    </row>
    <row r="558" spans="114:114">
      <c r="DJ558" s="29"/>
    </row>
    <row r="559" spans="114:114">
      <c r="DJ559" s="29"/>
    </row>
    <row r="560" spans="114:114">
      <c r="DJ560" s="29"/>
    </row>
    <row r="561" spans="114:114">
      <c r="DJ561" s="29"/>
    </row>
    <row r="562" spans="114:114">
      <c r="DJ562" s="29"/>
    </row>
    <row r="563" spans="114:114">
      <c r="DJ563" s="29"/>
    </row>
    <row r="564" spans="114:114">
      <c r="DJ564" s="29"/>
    </row>
    <row r="565" spans="114:114">
      <c r="DJ565" s="29"/>
    </row>
    <row r="566" spans="114:114">
      <c r="DJ566" s="29"/>
    </row>
    <row r="567" spans="114:114">
      <c r="DJ567" s="29"/>
    </row>
    <row r="568" spans="114:114">
      <c r="DJ568" s="29"/>
    </row>
    <row r="569" spans="114:114">
      <c r="DJ569" s="29"/>
    </row>
    <row r="570" spans="114:114">
      <c r="DJ570" s="29"/>
    </row>
    <row r="571" spans="114:114">
      <c r="DJ571" s="29"/>
    </row>
    <row r="572" spans="114:114">
      <c r="DJ572" s="29"/>
    </row>
    <row r="573" spans="114:114">
      <c r="DJ573" s="29"/>
    </row>
    <row r="574" spans="114:114">
      <c r="DJ574" s="29"/>
    </row>
    <row r="575" spans="114:114">
      <c r="DJ575" s="29"/>
    </row>
    <row r="576" spans="114:114">
      <c r="DJ576" s="29"/>
    </row>
    <row r="577" spans="114:114">
      <c r="DJ577" s="29"/>
    </row>
    <row r="578" spans="114:114">
      <c r="DJ578" s="29"/>
    </row>
    <row r="579" spans="114:114">
      <c r="DJ579" s="29"/>
    </row>
    <row r="580" spans="114:114">
      <c r="DJ580" s="29"/>
    </row>
    <row r="581" spans="114:114">
      <c r="DJ581" s="29"/>
    </row>
    <row r="582" spans="114:114">
      <c r="DJ582" s="29"/>
    </row>
    <row r="583" spans="114:114">
      <c r="DJ583" s="29"/>
    </row>
    <row r="584" spans="114:114">
      <c r="DJ584" s="29"/>
    </row>
    <row r="585" spans="114:114">
      <c r="DJ585" s="29"/>
    </row>
    <row r="586" spans="114:114">
      <c r="DJ586" s="29"/>
    </row>
    <row r="587" spans="114:114">
      <c r="DJ587" s="29"/>
    </row>
    <row r="588" spans="114:114">
      <c r="DJ588" s="29"/>
    </row>
    <row r="589" spans="114:114">
      <c r="DJ589" s="29"/>
    </row>
    <row r="590" spans="114:114">
      <c r="DJ590" s="29"/>
    </row>
    <row r="591" spans="114:114">
      <c r="DJ591" s="29"/>
    </row>
    <row r="592" spans="114:114">
      <c r="DJ592" s="29"/>
    </row>
    <row r="593" spans="114:114">
      <c r="DJ593" s="29"/>
    </row>
    <row r="594" spans="114:114">
      <c r="DJ594" s="29"/>
    </row>
    <row r="595" spans="114:114">
      <c r="DJ595" s="29"/>
    </row>
    <row r="596" spans="114:114">
      <c r="DJ596" s="29"/>
    </row>
    <row r="597" spans="114:114">
      <c r="DJ597" s="29"/>
    </row>
    <row r="598" spans="114:114">
      <c r="DJ598" s="29"/>
    </row>
    <row r="599" spans="114:114">
      <c r="DJ599" s="29"/>
    </row>
    <row r="600" spans="114:114">
      <c r="DJ600" s="29"/>
    </row>
    <row r="601" spans="114:114">
      <c r="DJ601" s="29"/>
    </row>
    <row r="602" spans="114:114">
      <c r="DJ602" s="29"/>
    </row>
    <row r="603" spans="114:114">
      <c r="DJ603" s="29"/>
    </row>
    <row r="604" spans="114:114">
      <c r="DJ604" s="29"/>
    </row>
    <row r="605" spans="114:114">
      <c r="DJ605" s="29"/>
    </row>
    <row r="606" spans="114:114">
      <c r="DJ606" s="29"/>
    </row>
    <row r="607" spans="114:114">
      <c r="DJ607" s="29"/>
    </row>
    <row r="608" spans="114:114">
      <c r="DJ608" s="29"/>
    </row>
    <row r="609" spans="114:114">
      <c r="DJ609" s="29"/>
    </row>
    <row r="610" spans="114:114">
      <c r="DJ610" s="29"/>
    </row>
    <row r="611" spans="114:114">
      <c r="DJ611" s="29"/>
    </row>
    <row r="612" spans="114:114">
      <c r="DJ612" s="29"/>
    </row>
    <row r="613" spans="114:114">
      <c r="DJ613" s="29"/>
    </row>
    <row r="614" spans="114:114">
      <c r="DJ614" s="29"/>
    </row>
    <row r="615" spans="114:114">
      <c r="DJ615" s="29"/>
    </row>
    <row r="616" spans="114:114">
      <c r="DJ616" s="29"/>
    </row>
    <row r="617" spans="114:114">
      <c r="DJ617" s="29"/>
    </row>
    <row r="618" spans="114:114">
      <c r="DJ618" s="29"/>
    </row>
    <row r="619" spans="114:114">
      <c r="DJ619" s="29"/>
    </row>
    <row r="620" spans="114:114">
      <c r="DJ620" s="29"/>
    </row>
    <row r="621" spans="114:114">
      <c r="DJ621" s="29"/>
    </row>
    <row r="622" spans="114:114">
      <c r="DJ622" s="29"/>
    </row>
    <row r="623" spans="114:114">
      <c r="DJ623" s="29"/>
    </row>
    <row r="624" spans="114:114">
      <c r="DJ624" s="29"/>
    </row>
    <row r="625" spans="114:114">
      <c r="DJ625" s="29"/>
    </row>
    <row r="626" spans="114:114">
      <c r="DJ626" s="29"/>
    </row>
    <row r="627" spans="114:114">
      <c r="DJ627" s="29"/>
    </row>
    <row r="628" spans="114:114">
      <c r="DJ628" s="29"/>
    </row>
    <row r="629" spans="114:114">
      <c r="DJ629" s="29"/>
    </row>
    <row r="630" spans="114:114">
      <c r="DJ630" s="29"/>
    </row>
    <row r="631" spans="114:114">
      <c r="DJ631" s="29"/>
    </row>
    <row r="632" spans="114:114">
      <c r="DJ632" s="29"/>
    </row>
    <row r="633" spans="114:114">
      <c r="DJ633" s="29"/>
    </row>
    <row r="634" spans="114:114">
      <c r="DJ634" s="29"/>
    </row>
    <row r="635" spans="114:114">
      <c r="DJ635" s="29"/>
    </row>
    <row r="636" spans="114:114">
      <c r="DJ636" s="29"/>
    </row>
    <row r="637" spans="114:114">
      <c r="DJ637" s="29"/>
    </row>
    <row r="638" spans="114:114">
      <c r="DJ638" s="29"/>
    </row>
    <row r="639" spans="114:114">
      <c r="DJ639" s="29"/>
    </row>
    <row r="640" spans="114:114">
      <c r="DJ640" s="29"/>
    </row>
    <row r="641" spans="114:114">
      <c r="DJ641" s="29"/>
    </row>
    <row r="642" spans="114:114">
      <c r="DJ642" s="29"/>
    </row>
    <row r="643" spans="114:114">
      <c r="DJ643" s="29"/>
    </row>
    <row r="644" spans="114:114">
      <c r="DJ644" s="29"/>
    </row>
    <row r="645" spans="114:114">
      <c r="DJ645" s="29"/>
    </row>
    <row r="646" spans="114:114">
      <c r="DJ646" s="29"/>
    </row>
    <row r="647" spans="114:114">
      <c r="DJ647" s="29"/>
    </row>
    <row r="648" spans="114:114">
      <c r="DJ648" s="29"/>
    </row>
    <row r="649" spans="114:114">
      <c r="DJ649" s="29"/>
    </row>
    <row r="650" spans="114:114">
      <c r="DJ650" s="29"/>
    </row>
    <row r="651" spans="114:114">
      <c r="DJ651" s="29"/>
    </row>
    <row r="652" spans="114:114">
      <c r="DJ652" s="29"/>
    </row>
    <row r="653" spans="114:114">
      <c r="DJ653" s="29"/>
    </row>
    <row r="654" spans="114:114">
      <c r="DJ654" s="29"/>
    </row>
    <row r="655" spans="114:114">
      <c r="DJ655" s="29"/>
    </row>
    <row r="656" spans="114:114">
      <c r="DJ656" s="29"/>
    </row>
    <row r="657" spans="114:114">
      <c r="DJ657" s="29"/>
    </row>
    <row r="658" spans="114:114">
      <c r="DJ658" s="29"/>
    </row>
    <row r="659" spans="114:114">
      <c r="DJ659" s="29"/>
    </row>
    <row r="660" spans="114:114">
      <c r="DJ660" s="29"/>
    </row>
    <row r="661" spans="114:114">
      <c r="DJ661" s="29"/>
    </row>
    <row r="662" spans="114:114">
      <c r="DJ662" s="29"/>
    </row>
    <row r="663" spans="114:114">
      <c r="DJ663" s="29"/>
    </row>
    <row r="664" spans="114:114">
      <c r="DJ664" s="29"/>
    </row>
    <row r="665" spans="114:114">
      <c r="DJ665" s="29"/>
    </row>
    <row r="666" spans="114:114">
      <c r="DJ666" s="29"/>
    </row>
    <row r="667" spans="114:114">
      <c r="DJ667" s="29"/>
    </row>
    <row r="668" spans="114:114">
      <c r="DJ668" s="29"/>
    </row>
    <row r="669" spans="114:114">
      <c r="DJ669" s="29"/>
    </row>
    <row r="670" spans="114:114">
      <c r="DJ670" s="29"/>
    </row>
    <row r="671" spans="114:114">
      <c r="DJ671" s="29"/>
    </row>
    <row r="672" spans="114:114">
      <c r="DJ672" s="29"/>
    </row>
    <row r="673" spans="114:114">
      <c r="DJ673" s="29"/>
    </row>
    <row r="674" spans="114:114">
      <c r="DJ674" s="29"/>
    </row>
    <row r="675" spans="114:114">
      <c r="DJ675" s="29"/>
    </row>
    <row r="676" spans="114:114">
      <c r="DJ676" s="29"/>
    </row>
    <row r="677" spans="114:114">
      <c r="DJ677" s="29"/>
    </row>
    <row r="678" spans="114:114">
      <c r="DJ678" s="29"/>
    </row>
    <row r="679" spans="114:114">
      <c r="DJ679" s="29"/>
    </row>
    <row r="680" spans="114:114">
      <c r="DJ680" s="29"/>
    </row>
    <row r="681" spans="114:114">
      <c r="DJ681" s="29"/>
    </row>
    <row r="682" spans="114:114">
      <c r="DJ682" s="29"/>
    </row>
    <row r="683" spans="114:114">
      <c r="DJ683" s="29"/>
    </row>
    <row r="684" spans="114:114">
      <c r="DJ684" s="29"/>
    </row>
    <row r="685" spans="114:114">
      <c r="DJ685" s="29"/>
    </row>
    <row r="686" spans="114:114">
      <c r="DJ686" s="29"/>
    </row>
    <row r="687" spans="114:114">
      <c r="DJ687" s="29"/>
    </row>
    <row r="688" spans="114:114">
      <c r="DJ688" s="29"/>
    </row>
    <row r="689" spans="114:114">
      <c r="DJ689" s="29"/>
    </row>
    <row r="690" spans="114:114">
      <c r="DJ690" s="29"/>
    </row>
    <row r="691" spans="114:114">
      <c r="DJ691" s="29"/>
    </row>
    <row r="692" spans="114:114">
      <c r="DJ692" s="29"/>
    </row>
    <row r="693" spans="114:114">
      <c r="DJ693" s="29"/>
    </row>
    <row r="694" spans="114:114">
      <c r="DJ694" s="29"/>
    </row>
    <row r="695" spans="114:114">
      <c r="DJ695" s="29"/>
    </row>
    <row r="696" spans="114:114">
      <c r="DJ696" s="29"/>
    </row>
    <row r="697" spans="114:114">
      <c r="DJ697" s="29"/>
    </row>
    <row r="698" spans="114:114">
      <c r="DJ698" s="29"/>
    </row>
    <row r="699" spans="114:114">
      <c r="DJ699" s="29"/>
    </row>
    <row r="700" spans="114:114">
      <c r="DJ700" s="29"/>
    </row>
    <row r="701" spans="114:114">
      <c r="DJ701" s="29"/>
    </row>
    <row r="702" spans="114:114">
      <c r="DJ702" s="29"/>
    </row>
    <row r="703" spans="114:114">
      <c r="DJ703" s="29"/>
    </row>
    <row r="704" spans="114:114">
      <c r="DJ704" s="29"/>
    </row>
    <row r="705" spans="114:114">
      <c r="DJ705" s="29"/>
    </row>
    <row r="706" spans="114:114">
      <c r="DJ706" s="29"/>
    </row>
    <row r="707" spans="114:114">
      <c r="DJ707" s="29"/>
    </row>
    <row r="708" spans="114:114">
      <c r="DJ708" s="29"/>
    </row>
    <row r="709" spans="114:114">
      <c r="DJ709" s="29"/>
    </row>
    <row r="710" spans="114:114">
      <c r="DJ710" s="29"/>
    </row>
    <row r="711" spans="114:114">
      <c r="DJ711" s="29"/>
    </row>
    <row r="712" spans="114:114">
      <c r="DJ712" s="29"/>
    </row>
    <row r="713" spans="114:114">
      <c r="DJ713" s="29"/>
    </row>
    <row r="714" spans="114:114">
      <c r="DJ714" s="29"/>
    </row>
    <row r="715" spans="114:114">
      <c r="DJ715" s="29"/>
    </row>
    <row r="716" spans="114:114">
      <c r="DJ716" s="29"/>
    </row>
    <row r="717" spans="114:114">
      <c r="DJ717" s="29"/>
    </row>
    <row r="718" spans="114:114">
      <c r="DJ718" s="29"/>
    </row>
    <row r="719" spans="114:114">
      <c r="DJ719" s="29"/>
    </row>
    <row r="720" spans="114:114">
      <c r="DJ720" s="29"/>
    </row>
    <row r="721" spans="114:114">
      <c r="DJ721" s="29"/>
    </row>
    <row r="722" spans="114:114">
      <c r="DJ722" s="29"/>
    </row>
    <row r="723" spans="114:114">
      <c r="DJ723" s="29"/>
    </row>
    <row r="724" spans="114:114">
      <c r="DJ724" s="29"/>
    </row>
    <row r="725" spans="114:114">
      <c r="DJ725" s="29"/>
    </row>
    <row r="726" spans="114:114">
      <c r="DJ726" s="29"/>
    </row>
    <row r="727" spans="114:114">
      <c r="DJ727" s="29"/>
    </row>
    <row r="728" spans="114:114">
      <c r="DJ728" s="29"/>
    </row>
    <row r="729" spans="114:114">
      <c r="DJ729" s="29"/>
    </row>
    <row r="730" spans="114:114">
      <c r="DJ730" s="29"/>
    </row>
    <row r="731" spans="114:114">
      <c r="DJ731" s="29"/>
    </row>
    <row r="732" spans="114:114">
      <c r="DJ732" s="29"/>
    </row>
    <row r="733" spans="114:114">
      <c r="DJ733" s="29"/>
    </row>
    <row r="734" spans="114:114">
      <c r="DJ734" s="29"/>
    </row>
    <row r="735" spans="114:114">
      <c r="DJ735" s="29"/>
    </row>
    <row r="736" spans="114:114">
      <c r="DJ736" s="29"/>
    </row>
    <row r="737" spans="114:114">
      <c r="DJ737" s="29"/>
    </row>
    <row r="738" spans="114:114">
      <c r="DJ738" s="29"/>
    </row>
    <row r="739" spans="114:114">
      <c r="DJ739" s="29"/>
    </row>
    <row r="740" spans="114:114">
      <c r="DJ740" s="29"/>
    </row>
    <row r="741" spans="114:114">
      <c r="DJ741" s="29"/>
    </row>
    <row r="742" spans="114:114">
      <c r="DJ742" s="29"/>
    </row>
    <row r="743" spans="114:114">
      <c r="DJ743" s="29"/>
    </row>
    <row r="744" spans="114:114">
      <c r="DJ744" s="29"/>
    </row>
    <row r="745" spans="114:114">
      <c r="DJ745" s="29"/>
    </row>
    <row r="746" spans="114:114">
      <c r="DJ746" s="29"/>
    </row>
    <row r="747" spans="114:114">
      <c r="DJ747" s="29"/>
    </row>
    <row r="748" spans="114:114">
      <c r="DJ748" s="29"/>
    </row>
    <row r="749" spans="114:114">
      <c r="DJ749" s="29"/>
    </row>
    <row r="750" spans="114:114">
      <c r="DJ750" s="29"/>
    </row>
    <row r="751" spans="114:114">
      <c r="DJ751" s="29"/>
    </row>
    <row r="752" spans="114:114">
      <c r="DJ752" s="29"/>
    </row>
    <row r="753" spans="114:114">
      <c r="DJ753" s="29"/>
    </row>
    <row r="754" spans="114:114">
      <c r="DJ754" s="29"/>
    </row>
    <row r="755" spans="114:114">
      <c r="DJ755" s="29"/>
    </row>
    <row r="756" spans="114:114">
      <c r="DJ756" s="29"/>
    </row>
    <row r="757" spans="114:114">
      <c r="DJ757" s="29"/>
    </row>
    <row r="758" spans="114:114">
      <c r="DJ758" s="29"/>
    </row>
    <row r="759" spans="114:114">
      <c r="DJ759" s="29"/>
    </row>
    <row r="760" spans="114:114">
      <c r="DJ760" s="29"/>
    </row>
    <row r="761" spans="114:114">
      <c r="DJ761" s="29"/>
    </row>
    <row r="762" spans="114:114">
      <c r="DJ762" s="29"/>
    </row>
    <row r="763" spans="114:114">
      <c r="DJ763" s="29"/>
    </row>
    <row r="764" spans="114:114">
      <c r="DJ764" s="29"/>
    </row>
    <row r="765" spans="114:114">
      <c r="DJ765" s="29"/>
    </row>
    <row r="766" spans="114:114">
      <c r="DJ766" s="29"/>
    </row>
    <row r="767" spans="114:114">
      <c r="DJ767" s="29"/>
    </row>
    <row r="768" spans="114:114">
      <c r="DJ768" s="29"/>
    </row>
    <row r="769" spans="114:114">
      <c r="DJ769" s="29"/>
    </row>
    <row r="770" spans="114:114">
      <c r="DJ770" s="29"/>
    </row>
    <row r="771" spans="114:114">
      <c r="DJ771" s="29"/>
    </row>
    <row r="772" spans="114:114">
      <c r="DJ772" s="29"/>
    </row>
    <row r="773" spans="114:114">
      <c r="DJ773" s="29"/>
    </row>
    <row r="774" spans="114:114">
      <c r="DJ774" s="29"/>
    </row>
    <row r="775" spans="114:114">
      <c r="DJ775" s="29"/>
    </row>
    <row r="776" spans="114:114">
      <c r="DJ776" s="29"/>
    </row>
    <row r="777" spans="114:114">
      <c r="DJ777" s="29"/>
    </row>
    <row r="778" spans="114:114">
      <c r="DJ778" s="29"/>
    </row>
    <row r="779" spans="114:114">
      <c r="DJ779" s="29"/>
    </row>
    <row r="780" spans="114:114">
      <c r="DJ780" s="29"/>
    </row>
    <row r="781" spans="114:114">
      <c r="DJ781" s="29"/>
    </row>
    <row r="782" spans="114:114">
      <c r="DJ782" s="29"/>
    </row>
    <row r="783" spans="114:114">
      <c r="DJ783" s="29"/>
    </row>
    <row r="784" spans="114:114">
      <c r="DJ784" s="29"/>
    </row>
    <row r="785" spans="114:114">
      <c r="DJ785" s="29"/>
    </row>
    <row r="786" spans="114:114">
      <c r="DJ786" s="29"/>
    </row>
    <row r="787" spans="114:114">
      <c r="DJ787" s="29"/>
    </row>
    <row r="788" spans="114:114">
      <c r="DJ788" s="29"/>
    </row>
    <row r="789" spans="114:114">
      <c r="DJ789" s="29"/>
    </row>
    <row r="790" spans="114:114">
      <c r="DJ790" s="29"/>
    </row>
    <row r="791" spans="114:114">
      <c r="DJ791" s="29"/>
    </row>
    <row r="792" spans="114:114">
      <c r="DJ792" s="29"/>
    </row>
    <row r="793" spans="114:114">
      <c r="DJ793" s="29"/>
    </row>
    <row r="794" spans="114:114">
      <c r="DJ794" s="29"/>
    </row>
    <row r="795" spans="114:114">
      <c r="DJ795" s="29"/>
    </row>
    <row r="796" spans="114:114">
      <c r="DJ796" s="29"/>
    </row>
    <row r="797" spans="114:114">
      <c r="DJ797" s="29"/>
    </row>
    <row r="798" spans="114:114">
      <c r="DJ798" s="29"/>
    </row>
    <row r="799" spans="114:114">
      <c r="DJ799" s="29"/>
    </row>
    <row r="800" spans="114:114">
      <c r="DJ800" s="29"/>
    </row>
    <row r="801" spans="114:114">
      <c r="DJ801" s="29"/>
    </row>
    <row r="802" spans="114:114">
      <c r="DJ802" s="29"/>
    </row>
    <row r="803" spans="114:114">
      <c r="DJ803" s="29"/>
    </row>
    <row r="804" spans="114:114">
      <c r="DJ804" s="29"/>
    </row>
    <row r="805" spans="114:114">
      <c r="DJ805" s="29"/>
    </row>
    <row r="806" spans="114:114">
      <c r="DJ806" s="29"/>
    </row>
    <row r="807" spans="114:114">
      <c r="DJ807" s="29"/>
    </row>
    <row r="808" spans="114:114">
      <c r="DJ808" s="29"/>
    </row>
    <row r="809" spans="114:114">
      <c r="DJ809" s="29"/>
    </row>
    <row r="810" spans="114:114">
      <c r="DJ810" s="29"/>
    </row>
    <row r="811" spans="114:114">
      <c r="DJ811" s="29"/>
    </row>
    <row r="812" spans="114:114">
      <c r="DJ812" s="29"/>
    </row>
    <row r="813" spans="114:114">
      <c r="DJ813" s="29"/>
    </row>
    <row r="814" spans="114:114">
      <c r="DJ814" s="29"/>
    </row>
    <row r="815" spans="114:114">
      <c r="DJ815" s="29"/>
    </row>
    <row r="816" spans="114:114">
      <c r="DJ816" s="29"/>
    </row>
    <row r="817" spans="114:114">
      <c r="DJ817" s="29"/>
    </row>
    <row r="818" spans="114:114">
      <c r="DJ818" s="29"/>
    </row>
    <row r="819" spans="114:114">
      <c r="DJ819" s="29"/>
    </row>
    <row r="820" spans="114:114">
      <c r="DJ820" s="29"/>
    </row>
    <row r="821" spans="114:114">
      <c r="DJ821" s="29"/>
    </row>
    <row r="822" spans="114:114">
      <c r="DJ822" s="29"/>
    </row>
    <row r="823" spans="114:114">
      <c r="DJ823" s="29"/>
    </row>
    <row r="824" spans="114:114">
      <c r="DJ824" s="29"/>
    </row>
    <row r="825" spans="114:114">
      <c r="DJ825" s="29"/>
    </row>
    <row r="826" spans="114:114">
      <c r="DJ826" s="29"/>
    </row>
    <row r="827" spans="114:114">
      <c r="DJ827" s="29"/>
    </row>
    <row r="828" spans="114:114">
      <c r="DJ828" s="29"/>
    </row>
    <row r="829" spans="114:114">
      <c r="DJ829" s="29"/>
    </row>
    <row r="830" spans="114:114">
      <c r="DJ830" s="29"/>
    </row>
    <row r="831" spans="114:114">
      <c r="DJ831" s="29"/>
    </row>
    <row r="832" spans="114:114">
      <c r="DJ832" s="29"/>
    </row>
    <row r="833" spans="114:114">
      <c r="DJ833" s="29"/>
    </row>
    <row r="834" spans="114:114">
      <c r="DJ834" s="29"/>
    </row>
    <row r="835" spans="114:114">
      <c r="DJ835" s="29"/>
    </row>
    <row r="836" spans="114:114">
      <c r="DJ836" s="29"/>
    </row>
    <row r="837" spans="114:114">
      <c r="DJ837" s="29"/>
    </row>
    <row r="838" spans="114:114">
      <c r="DJ838" s="29"/>
    </row>
    <row r="839" spans="114:114">
      <c r="DJ839" s="29"/>
    </row>
    <row r="840" spans="114:114">
      <c r="DJ840" s="29"/>
    </row>
    <row r="841" spans="114:114">
      <c r="DJ841" s="29"/>
    </row>
    <row r="842" spans="114:114">
      <c r="DJ842" s="29"/>
    </row>
    <row r="843" spans="114:114">
      <c r="DJ843" s="29"/>
    </row>
    <row r="844" spans="114:114">
      <c r="DJ844" s="29"/>
    </row>
    <row r="845" spans="114:114">
      <c r="DJ845" s="29"/>
    </row>
    <row r="846" spans="114:114">
      <c r="DJ846" s="29"/>
    </row>
    <row r="847" spans="114:114">
      <c r="DJ847" s="29"/>
    </row>
    <row r="848" spans="114:114">
      <c r="DJ848" s="29"/>
    </row>
    <row r="849" spans="114:114">
      <c r="DJ849" s="29"/>
    </row>
    <row r="850" spans="114:114">
      <c r="DJ850" s="29"/>
    </row>
    <row r="851" spans="114:114">
      <c r="DJ851" s="29"/>
    </row>
    <row r="852" spans="114:114">
      <c r="DJ852" s="29"/>
    </row>
    <row r="853" spans="114:114">
      <c r="DJ853" s="29"/>
    </row>
    <row r="854" spans="114:114">
      <c r="DJ854" s="29"/>
    </row>
    <row r="855" spans="114:114">
      <c r="DJ855" s="29"/>
    </row>
    <row r="856" spans="114:114">
      <c r="DJ856" s="29"/>
    </row>
    <row r="857" spans="114:114">
      <c r="DJ857" s="29"/>
    </row>
    <row r="858" spans="114:114">
      <c r="DJ858" s="29"/>
    </row>
    <row r="859" spans="114:114">
      <c r="DJ859" s="29"/>
    </row>
    <row r="860" spans="114:114">
      <c r="DJ860" s="29"/>
    </row>
    <row r="861" spans="114:114">
      <c r="DJ861" s="29"/>
    </row>
    <row r="862" spans="114:114">
      <c r="DJ862" s="29"/>
    </row>
    <row r="863" spans="114:114">
      <c r="DJ863" s="29"/>
    </row>
    <row r="864" spans="114:114">
      <c r="DJ864" s="29"/>
    </row>
    <row r="865" spans="114:114">
      <c r="DJ865" s="29"/>
    </row>
    <row r="866" spans="114:114">
      <c r="DJ866" s="29"/>
    </row>
    <row r="867" spans="114:114">
      <c r="DJ867" s="29"/>
    </row>
    <row r="868" spans="114:114">
      <c r="DJ868" s="29"/>
    </row>
    <row r="869" spans="114:114">
      <c r="DJ869" s="29"/>
    </row>
    <row r="870" spans="114:114">
      <c r="DJ870" s="29"/>
    </row>
    <row r="871" spans="114:114">
      <c r="DJ871" s="29"/>
    </row>
    <row r="872" spans="114:114">
      <c r="DJ872" s="29"/>
    </row>
    <row r="873" spans="114:114">
      <c r="DJ873" s="29"/>
    </row>
    <row r="874" spans="114:114">
      <c r="DJ874" s="29"/>
    </row>
    <row r="875" spans="114:114">
      <c r="DJ875" s="29"/>
    </row>
    <row r="876" spans="114:114">
      <c r="DJ876" s="29"/>
    </row>
    <row r="877" spans="114:114">
      <c r="DJ877" s="29"/>
    </row>
    <row r="878" spans="114:114">
      <c r="DJ878" s="29"/>
    </row>
    <row r="879" spans="114:114">
      <c r="DJ879" s="29"/>
    </row>
    <row r="880" spans="114:114">
      <c r="DJ880" s="29"/>
    </row>
    <row r="881" spans="114:114">
      <c r="DJ881" s="29"/>
    </row>
    <row r="882" spans="114:114">
      <c r="DJ882" s="29"/>
    </row>
    <row r="883" spans="114:114">
      <c r="DJ883" s="29"/>
    </row>
    <row r="884" spans="114:114">
      <c r="DJ884" s="29"/>
    </row>
    <row r="885" spans="114:114">
      <c r="DJ885" s="29"/>
    </row>
    <row r="886" spans="114:114">
      <c r="DJ886" s="29"/>
    </row>
    <row r="887" spans="114:114">
      <c r="DJ887" s="29"/>
    </row>
    <row r="888" spans="114:114">
      <c r="DJ888" s="29"/>
    </row>
    <row r="889" spans="114:114">
      <c r="DJ889" s="29"/>
    </row>
    <row r="890" spans="114:114">
      <c r="DJ890" s="29"/>
    </row>
    <row r="891" spans="114:114">
      <c r="DJ891" s="29"/>
    </row>
    <row r="892" spans="114:114">
      <c r="DJ892" s="29"/>
    </row>
    <row r="893" spans="114:114">
      <c r="DJ893" s="29"/>
    </row>
    <row r="894" spans="114:114">
      <c r="DJ894" s="29"/>
    </row>
    <row r="895" spans="114:114">
      <c r="DJ895" s="29"/>
    </row>
    <row r="896" spans="114:114">
      <c r="DJ896" s="29"/>
    </row>
    <row r="897" spans="114:114">
      <c r="DJ897" s="29"/>
    </row>
    <row r="898" spans="114:114">
      <c r="DJ898" s="29"/>
    </row>
    <row r="899" spans="114:114">
      <c r="DJ899" s="29"/>
    </row>
    <row r="900" spans="114:114">
      <c r="DJ900" s="29"/>
    </row>
    <row r="901" spans="114:114">
      <c r="DJ901" s="29"/>
    </row>
    <row r="902" spans="114:114">
      <c r="DJ902" s="29"/>
    </row>
    <row r="903" spans="114:114">
      <c r="DJ903" s="29"/>
    </row>
    <row r="904" spans="114:114">
      <c r="DJ904" s="29"/>
    </row>
    <row r="905" spans="114:114">
      <c r="DJ905" s="29"/>
    </row>
    <row r="906" spans="114:114">
      <c r="DJ906" s="29"/>
    </row>
    <row r="907" spans="114:114">
      <c r="DJ907" s="29"/>
    </row>
    <row r="908" spans="114:114">
      <c r="DJ908" s="29"/>
    </row>
    <row r="909" spans="114:114">
      <c r="DJ909" s="29"/>
    </row>
    <row r="910" spans="114:114">
      <c r="DJ910" s="29"/>
    </row>
    <row r="911" spans="114:114">
      <c r="DJ911" s="29"/>
    </row>
    <row r="912" spans="114:114">
      <c r="DJ912" s="29"/>
    </row>
    <row r="913" spans="114:114">
      <c r="DJ913" s="29"/>
    </row>
    <row r="914" spans="114:114">
      <c r="DJ914" s="29"/>
    </row>
    <row r="915" spans="114:114">
      <c r="DJ915" s="29"/>
    </row>
    <row r="916" spans="114:114">
      <c r="DJ916" s="29"/>
    </row>
    <row r="917" spans="114:114">
      <c r="DJ917" s="29"/>
    </row>
    <row r="918" spans="114:114">
      <c r="DJ918" s="29"/>
    </row>
    <row r="919" spans="114:114">
      <c r="DJ919" s="29"/>
    </row>
    <row r="920" spans="114:114">
      <c r="DJ920" s="29"/>
    </row>
    <row r="921" spans="114:114">
      <c r="DJ921" s="29"/>
    </row>
    <row r="922" spans="114:114">
      <c r="DJ922" s="29"/>
    </row>
    <row r="923" spans="114:114">
      <c r="DJ923" s="29"/>
    </row>
    <row r="924" spans="114:114">
      <c r="DJ924" s="29"/>
    </row>
    <row r="925" spans="114:114">
      <c r="DJ925" s="29"/>
    </row>
    <row r="926" spans="114:114">
      <c r="DJ926" s="29"/>
    </row>
    <row r="927" spans="114:114">
      <c r="DJ927" s="29"/>
    </row>
    <row r="928" spans="114:114">
      <c r="DJ928" s="29"/>
    </row>
    <row r="929" spans="114:114">
      <c r="DJ929" s="29"/>
    </row>
    <row r="930" spans="114:114">
      <c r="DJ930" s="29"/>
    </row>
    <row r="931" spans="114:114">
      <c r="DJ931" s="29"/>
    </row>
    <row r="932" spans="114:114">
      <c r="DJ932" s="29"/>
    </row>
    <row r="933" spans="114:114">
      <c r="DJ933" s="29"/>
    </row>
    <row r="934" spans="114:114">
      <c r="DJ934" s="29"/>
    </row>
    <row r="935" spans="114:114">
      <c r="DJ935" s="29"/>
    </row>
    <row r="936" spans="114:114">
      <c r="DJ936" s="29"/>
    </row>
    <row r="937" spans="114:114">
      <c r="DJ937" s="29"/>
    </row>
    <row r="938" spans="114:114">
      <c r="DJ938" s="29"/>
    </row>
    <row r="939" spans="114:114">
      <c r="DJ939" s="29"/>
    </row>
    <row r="940" spans="114:114">
      <c r="DJ940" s="29"/>
    </row>
    <row r="941" spans="114:114">
      <c r="DJ941" s="29"/>
    </row>
    <row r="942" spans="114:114">
      <c r="DJ942" s="29"/>
    </row>
    <row r="943" spans="114:114">
      <c r="DJ943" s="29"/>
    </row>
    <row r="944" spans="114:114">
      <c r="DJ944" s="29"/>
    </row>
    <row r="945" spans="114:114">
      <c r="DJ945" s="29"/>
    </row>
    <row r="946" spans="114:114">
      <c r="DJ946" s="29"/>
    </row>
    <row r="947" spans="114:114">
      <c r="DJ947" s="29"/>
    </row>
    <row r="948" spans="114:114">
      <c r="DJ948" s="29"/>
    </row>
    <row r="949" spans="114:114">
      <c r="DJ949" s="29"/>
    </row>
    <row r="950" spans="114:114">
      <c r="DJ950" s="29"/>
    </row>
    <row r="951" spans="114:114">
      <c r="DJ951" s="29"/>
    </row>
    <row r="952" spans="114:114">
      <c r="DJ952" s="29"/>
    </row>
    <row r="953" spans="114:114">
      <c r="DJ953" s="29"/>
    </row>
    <row r="954" spans="114:114">
      <c r="DJ954" s="29"/>
    </row>
    <row r="955" spans="114:114">
      <c r="DJ955" s="29"/>
    </row>
    <row r="956" spans="114:114">
      <c r="DJ956" s="29"/>
    </row>
    <row r="957" spans="114:114">
      <c r="DJ957" s="29"/>
    </row>
    <row r="958" spans="114:114">
      <c r="DJ958" s="29"/>
    </row>
    <row r="959" spans="114:114">
      <c r="DJ959" s="29"/>
    </row>
    <row r="960" spans="114:114">
      <c r="DJ960" s="29"/>
    </row>
    <row r="961" spans="114:114">
      <c r="DJ961" s="29"/>
    </row>
    <row r="962" spans="114:114">
      <c r="DJ962" s="29"/>
    </row>
    <row r="963" spans="114:114">
      <c r="DJ963" s="29"/>
    </row>
    <row r="964" spans="114:114">
      <c r="DJ964" s="29"/>
    </row>
    <row r="965" spans="114:114">
      <c r="DJ965" s="29"/>
    </row>
    <row r="966" spans="114:114">
      <c r="DJ966" s="29"/>
    </row>
    <row r="967" spans="114:114">
      <c r="DJ967" s="29"/>
    </row>
    <row r="968" spans="114:114">
      <c r="DJ968" s="29"/>
    </row>
    <row r="969" spans="114:114">
      <c r="DJ969" s="29"/>
    </row>
    <row r="970" spans="114:114">
      <c r="DJ970" s="29"/>
    </row>
    <row r="971" spans="114:114">
      <c r="DJ971" s="29"/>
    </row>
    <row r="972" spans="114:114">
      <c r="DJ972" s="29"/>
    </row>
    <row r="973" spans="114:114">
      <c r="DJ973" s="29"/>
    </row>
    <row r="974" spans="114:114">
      <c r="DJ974" s="29"/>
    </row>
    <row r="975" spans="114:114">
      <c r="DJ975" s="29"/>
    </row>
    <row r="976" spans="114:114">
      <c r="DJ976" s="29"/>
    </row>
    <row r="977" spans="114:114">
      <c r="DJ977" s="29"/>
    </row>
    <row r="978" spans="114:114">
      <c r="DJ978" s="29"/>
    </row>
    <row r="979" spans="114:114">
      <c r="DJ979" s="29"/>
    </row>
    <row r="980" spans="114:114">
      <c r="DJ980" s="29"/>
    </row>
    <row r="981" spans="114:114">
      <c r="DJ981" s="29"/>
    </row>
    <row r="982" spans="114:114">
      <c r="DJ982" s="29"/>
    </row>
    <row r="983" spans="114:114">
      <c r="DJ983" s="29"/>
    </row>
    <row r="984" spans="114:114">
      <c r="DJ984" s="29"/>
    </row>
    <row r="985" spans="114:114">
      <c r="DJ985" s="29"/>
    </row>
    <row r="986" spans="114:114">
      <c r="DJ986" s="29"/>
    </row>
    <row r="987" spans="114:114">
      <c r="DJ987" s="29"/>
    </row>
    <row r="988" spans="114:114">
      <c r="DJ988" s="29"/>
    </row>
    <row r="989" spans="114:114">
      <c r="DJ989" s="29"/>
    </row>
    <row r="990" spans="114:114">
      <c r="DJ990" s="29"/>
    </row>
    <row r="991" spans="114:114">
      <c r="DJ991" s="29"/>
    </row>
    <row r="992" spans="114:114">
      <c r="DJ992" s="29"/>
    </row>
    <row r="993" spans="114:114">
      <c r="DJ993" s="29"/>
    </row>
    <row r="994" spans="114:114">
      <c r="DJ994" s="29"/>
    </row>
    <row r="995" spans="114:114">
      <c r="DJ995" s="29"/>
    </row>
    <row r="996" spans="114:114">
      <c r="DJ996" s="29"/>
    </row>
    <row r="997" spans="114:114">
      <c r="DJ997" s="29"/>
    </row>
    <row r="998" spans="114:114">
      <c r="DJ998" s="29"/>
    </row>
    <row r="999" spans="114:114">
      <c r="DJ999" s="29"/>
    </row>
    <row r="1000" spans="114:114">
      <c r="DJ1000" s="29"/>
    </row>
    <row r="1001" spans="114:114">
      <c r="DJ1001" s="29"/>
    </row>
    <row r="1002" spans="114:114">
      <c r="DJ1002" s="29"/>
    </row>
    <row r="1003" spans="114:114">
      <c r="DJ1003" s="29"/>
    </row>
    <row r="1004" spans="114:114">
      <c r="DJ1004" s="29"/>
    </row>
    <row r="1005" spans="114:114">
      <c r="DJ1005" s="29"/>
    </row>
    <row r="1006" spans="114:114">
      <c r="DJ1006" s="29"/>
    </row>
    <row r="1007" spans="114:114">
      <c r="DJ1007" s="29"/>
    </row>
    <row r="1008" spans="114:114">
      <c r="DJ1008" s="29"/>
    </row>
    <row r="1009" spans="114:114">
      <c r="DJ1009" s="29"/>
    </row>
    <row r="1010" spans="114:114">
      <c r="DJ1010" s="29"/>
    </row>
    <row r="1011" spans="114:114">
      <c r="DJ1011" s="29"/>
    </row>
    <row r="1012" spans="114:114">
      <c r="DJ1012" s="29"/>
    </row>
    <row r="1013" spans="114:114">
      <c r="DJ1013" s="29"/>
    </row>
    <row r="1014" spans="114:114">
      <c r="DJ1014" s="29"/>
    </row>
    <row r="1015" spans="114:114">
      <c r="DJ1015" s="29"/>
    </row>
    <row r="1016" spans="114:114">
      <c r="DJ1016" s="29"/>
    </row>
    <row r="1017" spans="114:114">
      <c r="DJ1017" s="29"/>
    </row>
    <row r="1018" spans="114:114">
      <c r="DJ1018" s="29"/>
    </row>
    <row r="1019" spans="114:114">
      <c r="DJ1019" s="29"/>
    </row>
    <row r="1020" spans="114:114">
      <c r="DJ1020" s="29"/>
    </row>
    <row r="1021" spans="114:114">
      <c r="DJ1021" s="29"/>
    </row>
    <row r="1022" spans="114:114">
      <c r="DJ1022" s="29"/>
    </row>
    <row r="1023" spans="114:114">
      <c r="DJ1023" s="29"/>
    </row>
    <row r="1024" spans="114:114">
      <c r="DJ1024" s="29"/>
    </row>
    <row r="1025" spans="114:114">
      <c r="DJ1025" s="29"/>
    </row>
    <row r="1026" spans="114:114">
      <c r="DJ1026" s="29"/>
    </row>
    <row r="1027" spans="114:114">
      <c r="DJ1027" s="29"/>
    </row>
    <row r="1028" spans="114:114">
      <c r="DJ1028" s="29"/>
    </row>
    <row r="1029" spans="114:114">
      <c r="DJ1029" s="29"/>
    </row>
    <row r="1030" spans="114:114">
      <c r="DJ1030" s="29"/>
    </row>
    <row r="1031" spans="114:114">
      <c r="DJ1031" s="29"/>
    </row>
    <row r="1032" spans="114:114">
      <c r="DJ1032" s="29"/>
    </row>
    <row r="1033" spans="114:114">
      <c r="DJ1033" s="29"/>
    </row>
    <row r="1034" spans="114:114">
      <c r="DJ1034" s="29"/>
    </row>
    <row r="1035" spans="114:114">
      <c r="DJ1035" s="29"/>
    </row>
    <row r="1036" spans="114:114">
      <c r="DJ1036" s="29"/>
    </row>
    <row r="1037" spans="114:114">
      <c r="DJ1037" s="29"/>
    </row>
    <row r="1038" spans="114:114">
      <c r="DJ1038" s="29"/>
    </row>
    <row r="1039" spans="114:114">
      <c r="DJ1039" s="29"/>
    </row>
    <row r="1040" spans="114:114">
      <c r="DJ1040" s="29"/>
    </row>
    <row r="1041" spans="114:114">
      <c r="DJ1041" s="29"/>
    </row>
    <row r="1042" spans="114:114">
      <c r="DJ1042" s="29"/>
    </row>
    <row r="1043" spans="114:114">
      <c r="DJ1043" s="29"/>
    </row>
    <row r="1044" spans="114:114">
      <c r="DJ1044" s="29"/>
    </row>
    <row r="1045" spans="114:114">
      <c r="DJ1045" s="29"/>
    </row>
    <row r="1046" spans="114:114">
      <c r="DJ1046" s="29"/>
    </row>
    <row r="1047" spans="114:114">
      <c r="DJ1047" s="29"/>
    </row>
    <row r="1048" spans="114:114">
      <c r="DJ1048" s="29"/>
    </row>
    <row r="1049" spans="114:114">
      <c r="DJ1049" s="29"/>
    </row>
    <row r="1050" spans="114:114">
      <c r="DJ1050" s="29"/>
    </row>
    <row r="1051" spans="114:114">
      <c r="DJ1051" s="29"/>
    </row>
    <row r="1052" spans="114:114">
      <c r="DJ1052" s="29"/>
    </row>
    <row r="1053" spans="114:114">
      <c r="DJ1053" s="29"/>
    </row>
    <row r="1054" spans="114:114">
      <c r="DJ1054" s="29"/>
    </row>
    <row r="1055" spans="114:114">
      <c r="DJ1055" s="29"/>
    </row>
    <row r="1056" spans="114:114">
      <c r="DJ1056" s="29"/>
    </row>
    <row r="1057" spans="114:114">
      <c r="DJ1057" s="29"/>
    </row>
    <row r="1058" spans="114:114">
      <c r="DJ1058" s="29"/>
    </row>
    <row r="1059" spans="114:114">
      <c r="DJ1059" s="29"/>
    </row>
    <row r="1060" spans="114:114">
      <c r="DJ1060" s="29"/>
    </row>
    <row r="1061" spans="114:114">
      <c r="DJ1061" s="29"/>
    </row>
    <row r="1062" spans="114:114">
      <c r="DJ1062" s="29"/>
    </row>
    <row r="1063" spans="114:114">
      <c r="DJ1063" s="29"/>
    </row>
    <row r="1064" spans="114:114">
      <c r="DJ1064" s="29"/>
    </row>
    <row r="1065" spans="114:114">
      <c r="DJ1065" s="29"/>
    </row>
    <row r="1066" spans="114:114">
      <c r="DJ1066" s="29"/>
    </row>
    <row r="1067" spans="114:114">
      <c r="DJ1067" s="29"/>
    </row>
    <row r="1068" spans="114:114">
      <c r="DJ1068" s="29"/>
    </row>
    <row r="1069" spans="114:114">
      <c r="DJ1069" s="29"/>
    </row>
    <row r="1070" spans="114:114">
      <c r="DJ1070" s="29"/>
    </row>
    <row r="1071" spans="114:114">
      <c r="DJ1071" s="29"/>
    </row>
    <row r="1072" spans="114:114">
      <c r="DJ1072" s="29"/>
    </row>
    <row r="1073" spans="114:114">
      <c r="DJ1073" s="29"/>
    </row>
    <row r="1074" spans="114:114">
      <c r="DJ1074" s="29"/>
    </row>
    <row r="1075" spans="114:114">
      <c r="DJ1075" s="29"/>
    </row>
    <row r="1076" spans="114:114">
      <c r="DJ1076" s="29"/>
    </row>
    <row r="1077" spans="114:114">
      <c r="DJ1077" s="29"/>
    </row>
    <row r="1078" spans="114:114">
      <c r="DJ1078" s="29"/>
    </row>
    <row r="1079" spans="114:114">
      <c r="DJ1079" s="29"/>
    </row>
    <row r="1080" spans="114:114">
      <c r="DJ1080" s="29"/>
    </row>
    <row r="1081" spans="114:114">
      <c r="DJ1081" s="29"/>
    </row>
    <row r="1082" spans="114:114">
      <c r="DJ1082" s="29"/>
    </row>
    <row r="1083" spans="114:114">
      <c r="DJ1083" s="29"/>
    </row>
    <row r="1084" spans="114:114">
      <c r="DJ1084" s="29"/>
    </row>
    <row r="1085" spans="114:114">
      <c r="DJ1085" s="29"/>
    </row>
    <row r="1086" spans="114:114">
      <c r="DJ1086" s="29"/>
    </row>
    <row r="1087" spans="114:114">
      <c r="DJ1087" s="29"/>
    </row>
    <row r="1088" spans="114:114">
      <c r="DJ1088" s="29"/>
    </row>
    <row r="1089" spans="114:114">
      <c r="DJ1089" s="29"/>
    </row>
    <row r="1090" spans="114:114">
      <c r="DJ1090" s="29"/>
    </row>
    <row r="1091" spans="114:114">
      <c r="DJ1091" s="29"/>
    </row>
    <row r="1092" spans="114:114">
      <c r="DJ1092" s="29"/>
    </row>
    <row r="1093" spans="114:114">
      <c r="DJ1093" s="29"/>
    </row>
    <row r="1094" spans="114:114">
      <c r="DJ1094" s="29"/>
    </row>
    <row r="1095" spans="114:114">
      <c r="DJ1095" s="29"/>
    </row>
    <row r="1096" spans="114:114">
      <c r="DJ1096" s="29"/>
    </row>
    <row r="1097" spans="114:114">
      <c r="DJ1097" s="29"/>
    </row>
    <row r="1098" spans="114:114">
      <c r="DJ1098" s="29"/>
    </row>
    <row r="1099" spans="114:114">
      <c r="DJ1099" s="29"/>
    </row>
    <row r="1100" spans="114:114">
      <c r="DJ1100" s="29"/>
    </row>
    <row r="1101" spans="114:114">
      <c r="DJ1101" s="29"/>
    </row>
    <row r="1102" spans="114:114">
      <c r="DJ1102" s="29"/>
    </row>
    <row r="1103" spans="114:114">
      <c r="DJ1103" s="29"/>
    </row>
    <row r="1104" spans="114:114">
      <c r="DJ1104" s="29"/>
    </row>
    <row r="1105" spans="114:114">
      <c r="DJ1105" s="29"/>
    </row>
    <row r="1106" spans="114:114">
      <c r="DJ1106" s="29"/>
    </row>
    <row r="1107" spans="114:114">
      <c r="DJ1107" s="29"/>
    </row>
    <row r="1108" spans="114:114">
      <c r="DJ1108" s="29"/>
    </row>
    <row r="1109" spans="114:114">
      <c r="DJ1109" s="29"/>
    </row>
    <row r="1110" spans="114:114">
      <c r="DJ1110" s="29"/>
    </row>
    <row r="1111" spans="114:114">
      <c r="DJ1111" s="29"/>
    </row>
    <row r="1112" spans="114:114">
      <c r="DJ1112" s="29"/>
    </row>
    <row r="1113" spans="114:114">
      <c r="DJ1113" s="29"/>
    </row>
    <row r="1114" spans="114:114">
      <c r="DJ1114" s="29"/>
    </row>
    <row r="1115" spans="114:114">
      <c r="DJ1115" s="29"/>
    </row>
    <row r="1116" spans="114:114">
      <c r="DJ1116" s="29"/>
    </row>
    <row r="1117" spans="114:114">
      <c r="DJ1117" s="29"/>
    </row>
    <row r="1118" spans="114:114">
      <c r="DJ1118" s="29"/>
    </row>
    <row r="1119" spans="114:114">
      <c r="DJ1119" s="29"/>
    </row>
    <row r="1120" spans="114:114">
      <c r="DJ1120" s="29"/>
    </row>
    <row r="1121" spans="114:114">
      <c r="DJ1121" s="29"/>
    </row>
    <row r="1122" spans="114:114">
      <c r="DJ1122" s="29"/>
    </row>
    <row r="1123" spans="114:114">
      <c r="DJ1123" s="29"/>
    </row>
    <row r="1124" spans="114:114">
      <c r="DJ1124" s="29"/>
    </row>
    <row r="1125" spans="114:114">
      <c r="DJ1125" s="29"/>
    </row>
    <row r="1126" spans="114:114">
      <c r="DJ1126" s="29"/>
    </row>
    <row r="1127" spans="114:114">
      <c r="DJ1127" s="29"/>
    </row>
    <row r="1128" spans="114:114">
      <c r="DJ1128" s="29"/>
    </row>
    <row r="1129" spans="114:114">
      <c r="DJ1129" s="29"/>
    </row>
    <row r="1130" spans="114:114">
      <c r="DJ1130" s="29"/>
    </row>
    <row r="1131" spans="114:114">
      <c r="DJ1131" s="29"/>
    </row>
    <row r="1132" spans="114:114">
      <c r="DJ1132" s="29"/>
    </row>
    <row r="1133" spans="114:114">
      <c r="DJ1133" s="29"/>
    </row>
    <row r="1134" spans="114:114">
      <c r="DJ1134" s="29"/>
    </row>
    <row r="1135" spans="114:114">
      <c r="DJ1135" s="29"/>
    </row>
    <row r="1136" spans="114:114">
      <c r="DJ1136" s="29"/>
    </row>
    <row r="1137" spans="114:114">
      <c r="DJ1137" s="29"/>
    </row>
    <row r="1138" spans="114:114">
      <c r="DJ1138" s="29"/>
    </row>
    <row r="1139" spans="114:114">
      <c r="DJ1139" s="29"/>
    </row>
    <row r="1140" spans="114:114">
      <c r="DJ1140" s="29"/>
    </row>
    <row r="1141" spans="114:114">
      <c r="DJ1141" s="29"/>
    </row>
    <row r="1142" spans="114:114">
      <c r="DJ1142" s="29"/>
    </row>
    <row r="1143" spans="114:114">
      <c r="DJ1143" s="29"/>
    </row>
    <row r="1144" spans="114:114">
      <c r="DJ1144" s="29"/>
    </row>
    <row r="1145" spans="114:114">
      <c r="DJ1145" s="29"/>
    </row>
    <row r="1146" spans="114:114">
      <c r="DJ1146" s="29"/>
    </row>
    <row r="1147" spans="114:114">
      <c r="DJ1147" s="29"/>
    </row>
    <row r="1148" spans="114:114">
      <c r="DJ1148" s="29"/>
    </row>
    <row r="1149" spans="114:114">
      <c r="DJ1149" s="29"/>
    </row>
    <row r="1150" spans="114:114">
      <c r="DJ1150" s="29"/>
    </row>
    <row r="1151" spans="114:114">
      <c r="DJ1151" s="29"/>
    </row>
    <row r="1152" spans="114:114">
      <c r="DJ1152" s="29"/>
    </row>
    <row r="1153" spans="114:114">
      <c r="DJ1153" s="29"/>
    </row>
    <row r="1154" spans="114:114">
      <c r="DJ1154" s="29"/>
    </row>
    <row r="1155" spans="114:114">
      <c r="DJ1155" s="29"/>
    </row>
    <row r="1156" spans="114:114">
      <c r="DJ1156" s="29"/>
    </row>
    <row r="1157" spans="114:114">
      <c r="DJ1157" s="29"/>
    </row>
    <row r="1158" spans="114:114">
      <c r="DJ1158" s="29"/>
    </row>
    <row r="1159" spans="114:114">
      <c r="DJ1159" s="29"/>
    </row>
    <row r="1160" spans="114:114">
      <c r="DJ1160" s="29"/>
    </row>
    <row r="1161" spans="114:114">
      <c r="DJ1161" s="29"/>
    </row>
    <row r="1162" spans="114:114">
      <c r="DJ1162" s="29"/>
    </row>
    <row r="1163" spans="114:114">
      <c r="DJ1163" s="29"/>
    </row>
    <row r="1164" spans="114:114">
      <c r="DJ1164" s="29"/>
    </row>
    <row r="1165" spans="114:114">
      <c r="DJ1165" s="29"/>
    </row>
    <row r="1166" spans="114:114">
      <c r="DJ1166" s="29"/>
    </row>
    <row r="1167" spans="114:114">
      <c r="DJ1167" s="29"/>
    </row>
    <row r="1168" spans="114:114">
      <c r="DJ1168" s="29"/>
    </row>
    <row r="1169" spans="114:114">
      <c r="DJ1169" s="29"/>
    </row>
    <row r="1170" spans="114:114">
      <c r="DJ1170" s="29"/>
    </row>
    <row r="1171" spans="114:114">
      <c r="DJ1171" s="29"/>
    </row>
    <row r="1172" spans="114:114">
      <c r="DJ1172" s="29"/>
    </row>
    <row r="1173" spans="114:114">
      <c r="DJ1173" s="29"/>
    </row>
    <row r="1174" spans="114:114">
      <c r="DJ1174" s="29"/>
    </row>
    <row r="1175" spans="114:114">
      <c r="DJ1175" s="29"/>
    </row>
    <row r="1176" spans="114:114">
      <c r="DJ1176" s="29"/>
    </row>
    <row r="1177" spans="114:114">
      <c r="DJ1177" s="29"/>
    </row>
    <row r="1178" spans="114:114">
      <c r="DJ1178" s="29"/>
    </row>
    <row r="1179" spans="114:114">
      <c r="DJ1179" s="29"/>
    </row>
    <row r="1180" spans="114:114">
      <c r="DJ1180" s="29"/>
    </row>
    <row r="1181" spans="114:114">
      <c r="DJ1181" s="29"/>
    </row>
    <row r="1182" spans="114:114">
      <c r="DJ1182" s="29"/>
    </row>
    <row r="1183" spans="114:114">
      <c r="DJ1183" s="29"/>
    </row>
    <row r="1184" spans="114:114">
      <c r="DJ1184" s="29"/>
    </row>
    <row r="1185" spans="114:114">
      <c r="DJ1185" s="29"/>
    </row>
    <row r="1186" spans="114:114">
      <c r="DJ1186" s="29"/>
    </row>
    <row r="1187" spans="114:114">
      <c r="DJ1187" s="29"/>
    </row>
    <row r="1188" spans="114:114">
      <c r="DJ1188" s="29"/>
    </row>
    <row r="1189" spans="114:114">
      <c r="DJ1189" s="29"/>
    </row>
    <row r="1190" spans="114:114">
      <c r="DJ1190" s="29"/>
    </row>
    <row r="1191" spans="114:114">
      <c r="DJ1191" s="29"/>
    </row>
    <row r="1192" spans="114:114">
      <c r="DJ1192" s="29"/>
    </row>
    <row r="1193" spans="114:114">
      <c r="DJ1193" s="29"/>
    </row>
    <row r="1194" spans="114:114">
      <c r="DJ1194" s="29"/>
    </row>
    <row r="1195" spans="114:114">
      <c r="DJ1195" s="29"/>
    </row>
    <row r="1196" spans="114:114">
      <c r="DJ1196" s="29"/>
    </row>
    <row r="1197" spans="114:114">
      <c r="DJ1197" s="29"/>
    </row>
    <row r="1198" spans="114:114">
      <c r="DJ1198" s="29"/>
    </row>
    <row r="1199" spans="114:114">
      <c r="DJ1199" s="29"/>
    </row>
    <row r="1200" spans="114:114">
      <c r="DJ1200" s="29"/>
    </row>
    <row r="1201" spans="114:114">
      <c r="DJ1201" s="29"/>
    </row>
    <row r="1202" spans="114:114">
      <c r="DJ1202" s="29"/>
    </row>
    <row r="1203" spans="114:114">
      <c r="DJ1203" s="29"/>
    </row>
    <row r="1204" spans="114:114">
      <c r="DJ1204" s="29"/>
    </row>
    <row r="1205" spans="114:114">
      <c r="DJ1205" s="29"/>
    </row>
    <row r="1206" spans="114:114">
      <c r="DJ1206" s="29"/>
    </row>
    <row r="1207" spans="114:114">
      <c r="DJ1207" s="29"/>
    </row>
    <row r="1208" spans="114:114">
      <c r="DJ1208" s="29"/>
    </row>
    <row r="1209" spans="114:114">
      <c r="DJ1209" s="29"/>
    </row>
    <row r="1210" spans="114:114">
      <c r="DJ1210" s="29"/>
    </row>
    <row r="1211" spans="114:114">
      <c r="DJ1211" s="29"/>
    </row>
    <row r="1212" spans="114:114">
      <c r="DJ1212" s="29"/>
    </row>
    <row r="1213" spans="114:114">
      <c r="DJ1213" s="29"/>
    </row>
    <row r="1214" spans="114:114">
      <c r="DJ1214" s="29"/>
    </row>
    <row r="1215" spans="114:114">
      <c r="DJ1215" s="29"/>
    </row>
    <row r="1216" spans="114:114">
      <c r="DJ1216" s="29"/>
    </row>
    <row r="1217" spans="114:114">
      <c r="DJ1217" s="29"/>
    </row>
    <row r="1218" spans="114:114">
      <c r="DJ1218" s="29"/>
    </row>
    <row r="1219" spans="114:114">
      <c r="DJ1219" s="29"/>
    </row>
    <row r="1220" spans="114:114">
      <c r="DJ1220" s="29"/>
    </row>
    <row r="1221" spans="114:114">
      <c r="DJ1221" s="29"/>
    </row>
    <row r="1222" spans="114:114">
      <c r="DJ1222" s="29"/>
    </row>
    <row r="1223" spans="114:114">
      <c r="DJ1223" s="29"/>
    </row>
    <row r="1224" spans="114:114">
      <c r="DJ1224" s="29"/>
    </row>
    <row r="1225" spans="114:114">
      <c r="DJ1225" s="29"/>
    </row>
    <row r="1226" spans="114:114">
      <c r="DJ1226" s="29"/>
    </row>
    <row r="1227" spans="114:114">
      <c r="DJ1227" s="29"/>
    </row>
    <row r="1228" spans="114:114">
      <c r="DJ1228" s="29"/>
    </row>
    <row r="1229" spans="114:114">
      <c r="DJ1229" s="29"/>
    </row>
    <row r="1230" spans="114:114">
      <c r="DJ1230" s="29"/>
    </row>
    <row r="1231" spans="114:114">
      <c r="DJ1231" s="29"/>
    </row>
    <row r="1232" spans="114:114">
      <c r="DJ1232" s="29"/>
    </row>
    <row r="1233" spans="114:114">
      <c r="DJ1233" s="29"/>
    </row>
    <row r="1234" spans="114:114">
      <c r="DJ1234" s="29"/>
    </row>
    <row r="1235" spans="114:114">
      <c r="DJ1235" s="29"/>
    </row>
    <row r="1236" spans="114:114">
      <c r="DJ1236" s="29"/>
    </row>
    <row r="1237" spans="114:114">
      <c r="DJ1237" s="29"/>
    </row>
    <row r="1238" spans="114:114">
      <c r="DJ1238" s="29"/>
    </row>
    <row r="1239" spans="114:114">
      <c r="DJ1239" s="29"/>
    </row>
    <row r="1240" spans="114:114">
      <c r="DJ1240" s="29"/>
    </row>
    <row r="1241" spans="114:114">
      <c r="DJ1241" s="29"/>
    </row>
    <row r="1242" spans="114:114">
      <c r="DJ1242" s="29"/>
    </row>
    <row r="1243" spans="114:114">
      <c r="DJ1243" s="29"/>
    </row>
    <row r="1244" spans="114:114">
      <c r="DJ1244" s="29"/>
    </row>
    <row r="1245" spans="114:114">
      <c r="DJ1245" s="29"/>
    </row>
    <row r="1246" spans="114:114">
      <c r="DJ1246" s="29"/>
    </row>
    <row r="1247" spans="114:114">
      <c r="DJ1247" s="29"/>
    </row>
    <row r="1248" spans="114:114">
      <c r="DJ1248" s="29"/>
    </row>
    <row r="1249" spans="114:114">
      <c r="DJ1249" s="29"/>
    </row>
    <row r="1250" spans="114:114">
      <c r="DJ1250" s="29"/>
    </row>
    <row r="1251" spans="114:114">
      <c r="DJ1251" s="29"/>
    </row>
    <row r="1252" spans="114:114">
      <c r="DJ1252" s="29"/>
    </row>
    <row r="1253" spans="114:114">
      <c r="DJ1253" s="29"/>
    </row>
    <row r="1254" spans="114:114">
      <c r="DJ1254" s="29"/>
    </row>
    <row r="1255" spans="114:114">
      <c r="DJ1255" s="29"/>
    </row>
    <row r="1256" spans="114:114">
      <c r="DJ1256" s="29"/>
    </row>
    <row r="1257" spans="114:114">
      <c r="DJ1257" s="29"/>
    </row>
    <row r="1258" spans="114:114">
      <c r="DJ1258" s="29"/>
    </row>
    <row r="1259" spans="114:114">
      <c r="DJ1259" s="29"/>
    </row>
    <row r="1260" spans="114:114">
      <c r="DJ1260" s="29"/>
    </row>
    <row r="1261" spans="114:114">
      <c r="DJ1261" s="29"/>
    </row>
    <row r="1262" spans="114:114">
      <c r="DJ1262" s="29"/>
    </row>
    <row r="1263" spans="114:114">
      <c r="DJ1263" s="29"/>
    </row>
    <row r="1264" spans="114:114">
      <c r="DJ1264" s="29"/>
    </row>
    <row r="1265" spans="114:114">
      <c r="DJ1265" s="29"/>
    </row>
    <row r="1266" spans="114:114">
      <c r="DJ1266" s="29"/>
    </row>
    <row r="1267" spans="114:114">
      <c r="DJ1267" s="29"/>
    </row>
    <row r="1268" spans="114:114">
      <c r="DJ1268" s="29"/>
    </row>
    <row r="1269" spans="114:114">
      <c r="DJ1269" s="29"/>
    </row>
    <row r="1270" spans="114:114">
      <c r="DJ1270" s="29"/>
    </row>
    <row r="1271" spans="114:114">
      <c r="DJ1271" s="29"/>
    </row>
    <row r="1272" spans="114:114">
      <c r="DJ1272" s="29"/>
    </row>
    <row r="1273" spans="114:114">
      <c r="DJ1273" s="29"/>
    </row>
    <row r="1274" spans="114:114">
      <c r="DJ1274" s="29"/>
    </row>
    <row r="1275" spans="114:114">
      <c r="DJ1275" s="29"/>
    </row>
    <row r="1276" spans="114:114">
      <c r="DJ1276" s="29"/>
    </row>
    <row r="1277" spans="114:114">
      <c r="DJ1277" s="29"/>
    </row>
    <row r="1278" spans="114:114">
      <c r="DJ1278" s="29"/>
    </row>
    <row r="1279" spans="114:114">
      <c r="DJ1279" s="29"/>
    </row>
    <row r="1280" spans="114:114">
      <c r="DJ1280" s="29"/>
    </row>
    <row r="1281" spans="114:114">
      <c r="DJ1281" s="29"/>
    </row>
    <row r="1282" spans="114:114">
      <c r="DJ1282" s="29"/>
    </row>
    <row r="1283" spans="114:114">
      <c r="DJ1283" s="29"/>
    </row>
    <row r="1284" spans="114:114">
      <c r="DJ1284" s="29"/>
    </row>
    <row r="1285" spans="114:114">
      <c r="DJ1285" s="29"/>
    </row>
    <row r="1286" spans="114:114">
      <c r="DJ1286" s="29"/>
    </row>
    <row r="1287" spans="114:114">
      <c r="DJ1287" s="29"/>
    </row>
    <row r="1288" spans="114:114">
      <c r="DJ1288" s="29"/>
    </row>
    <row r="1289" spans="114:114">
      <c r="DJ1289" s="29"/>
    </row>
    <row r="1290" spans="114:114">
      <c r="DJ1290" s="29"/>
    </row>
    <row r="1291" spans="114:114">
      <c r="DJ1291" s="29"/>
    </row>
    <row r="1292" spans="114:114">
      <c r="DJ1292" s="29"/>
    </row>
    <row r="1293" spans="114:114">
      <c r="DJ1293" s="29"/>
    </row>
    <row r="1294" spans="114:114">
      <c r="DJ1294" s="29"/>
    </row>
    <row r="1295" spans="114:114">
      <c r="DJ1295" s="29"/>
    </row>
    <row r="1296" spans="114:114">
      <c r="DJ1296" s="29"/>
    </row>
    <row r="1297" spans="114:114">
      <c r="DJ1297" s="29"/>
    </row>
    <row r="1298" spans="114:114">
      <c r="DJ1298" s="29"/>
    </row>
    <row r="1299" spans="114:114">
      <c r="DJ1299" s="29"/>
    </row>
    <row r="1300" spans="114:114">
      <c r="DJ1300" s="29"/>
    </row>
    <row r="1301" spans="114:114">
      <c r="DJ1301" s="29"/>
    </row>
    <row r="1302" spans="114:114">
      <c r="DJ1302" s="29"/>
    </row>
    <row r="1303" spans="114:114">
      <c r="DJ1303" s="29"/>
    </row>
    <row r="1304" spans="114:114">
      <c r="DJ1304" s="29"/>
    </row>
    <row r="1305" spans="114:114">
      <c r="DJ1305" s="29"/>
    </row>
    <row r="1306" spans="114:114">
      <c r="DJ1306" s="29"/>
    </row>
    <row r="1307" spans="114:114">
      <c r="DJ1307" s="29"/>
    </row>
    <row r="1308" spans="114:114">
      <c r="DJ1308" s="29"/>
    </row>
    <row r="1309" spans="114:114">
      <c r="DJ1309" s="29"/>
    </row>
    <row r="1310" spans="114:114">
      <c r="DJ1310" s="29"/>
    </row>
    <row r="1311" spans="114:114">
      <c r="DJ1311" s="29"/>
    </row>
    <row r="1312" spans="114:114">
      <c r="DJ1312" s="29"/>
    </row>
    <row r="1313" spans="114:114">
      <c r="DJ1313" s="29"/>
    </row>
    <row r="1314" spans="114:114">
      <c r="DJ1314" s="29"/>
    </row>
    <row r="1315" spans="114:114">
      <c r="DJ1315" s="29"/>
    </row>
    <row r="1316" spans="114:114">
      <c r="DJ1316" s="29"/>
    </row>
    <row r="1317" spans="114:114">
      <c r="DJ1317" s="29"/>
    </row>
    <row r="1318" spans="114:114">
      <c r="DJ1318" s="29"/>
    </row>
    <row r="1319" spans="114:114">
      <c r="DJ1319" s="29"/>
    </row>
    <row r="1320" spans="114:114">
      <c r="DJ1320" s="29"/>
    </row>
    <row r="1321" spans="114:114">
      <c r="DJ1321" s="29"/>
    </row>
    <row r="1322" spans="114:114">
      <c r="DJ1322" s="29"/>
    </row>
    <row r="1323" spans="114:114">
      <c r="DJ1323" s="29"/>
    </row>
    <row r="1324" spans="114:114">
      <c r="DJ1324" s="29"/>
    </row>
    <row r="1325" spans="114:114">
      <c r="DJ1325" s="29"/>
    </row>
    <row r="1326" spans="114:114">
      <c r="DJ1326" s="29"/>
    </row>
    <row r="1327" spans="114:114">
      <c r="DJ1327" s="29"/>
    </row>
    <row r="1328" spans="114:114">
      <c r="DJ1328" s="29"/>
    </row>
    <row r="1329" spans="114:114">
      <c r="DJ1329" s="29"/>
    </row>
    <row r="1330" spans="114:114">
      <c r="DJ1330" s="29"/>
    </row>
    <row r="1331" spans="114:114">
      <c r="DJ1331" s="29"/>
    </row>
    <row r="1332" spans="114:114">
      <c r="DJ1332" s="29"/>
    </row>
    <row r="1333" spans="114:114">
      <c r="DJ1333" s="29"/>
    </row>
    <row r="1334" spans="114:114">
      <c r="DJ1334" s="29"/>
    </row>
    <row r="1335" spans="114:114">
      <c r="DJ1335" s="29"/>
    </row>
    <row r="1336" spans="114:114">
      <c r="DJ1336" s="29"/>
    </row>
    <row r="1337" spans="114:114">
      <c r="DJ1337" s="29"/>
    </row>
    <row r="1338" spans="114:114">
      <c r="DJ1338" s="29"/>
    </row>
    <row r="1339" spans="114:114">
      <c r="DJ1339" s="29"/>
    </row>
    <row r="1340" spans="114:114">
      <c r="DJ1340" s="29"/>
    </row>
    <row r="1341" spans="114:114">
      <c r="DJ1341" s="29"/>
    </row>
    <row r="1342" spans="114:114">
      <c r="DJ1342" s="29"/>
    </row>
    <row r="1343" spans="114:114">
      <c r="DJ1343" s="29"/>
    </row>
    <row r="1344" spans="114:114">
      <c r="DJ1344" s="29"/>
    </row>
    <row r="1345" spans="114:114">
      <c r="DJ1345" s="29"/>
    </row>
    <row r="1346" spans="114:114">
      <c r="DJ1346" s="29"/>
    </row>
    <row r="1347" spans="114:114">
      <c r="DJ1347" s="29"/>
    </row>
    <row r="1348" spans="114:114">
      <c r="DJ1348" s="29"/>
    </row>
    <row r="1349" spans="114:114">
      <c r="DJ1349" s="29"/>
    </row>
    <row r="1350" spans="114:114">
      <c r="DJ1350" s="29"/>
    </row>
    <row r="1351" spans="114:114">
      <c r="DJ1351" s="29"/>
    </row>
    <row r="1352" spans="114:114">
      <c r="DJ1352" s="29"/>
    </row>
    <row r="1353" spans="114:114">
      <c r="DJ1353" s="29"/>
    </row>
    <row r="1354" spans="114:114">
      <c r="DJ1354" s="29"/>
    </row>
    <row r="1355" spans="114:114">
      <c r="DJ1355" s="29"/>
    </row>
    <row r="1356" spans="114:114">
      <c r="DJ1356" s="29"/>
    </row>
    <row r="1357" spans="114:114">
      <c r="DJ1357" s="29"/>
    </row>
    <row r="1358" spans="114:114">
      <c r="DJ1358" s="29"/>
    </row>
    <row r="1359" spans="114:114">
      <c r="DJ1359" s="29"/>
    </row>
    <row r="1360" spans="114:114">
      <c r="DJ1360" s="29"/>
    </row>
    <row r="1361" spans="114:114">
      <c r="DJ1361" s="29"/>
    </row>
    <row r="1362" spans="114:114">
      <c r="DJ1362" s="29"/>
    </row>
    <row r="1363" spans="114:114">
      <c r="DJ1363" s="29"/>
    </row>
    <row r="1364" spans="114:114">
      <c r="DJ1364" s="29"/>
    </row>
    <row r="1365" spans="114:114">
      <c r="DJ1365" s="29"/>
    </row>
    <row r="1366" spans="114:114">
      <c r="DJ1366" s="29"/>
    </row>
    <row r="1367" spans="114:114">
      <c r="DJ1367" s="29"/>
    </row>
    <row r="1368" spans="114:114">
      <c r="DJ1368" s="29"/>
    </row>
    <row r="1369" spans="114:114">
      <c r="DJ1369" s="29"/>
    </row>
    <row r="1370" spans="114:114">
      <c r="DJ1370" s="29"/>
    </row>
    <row r="1371" spans="114:114">
      <c r="DJ1371" s="29"/>
    </row>
    <row r="1372" spans="114:114">
      <c r="DJ1372" s="29"/>
    </row>
    <row r="1373" spans="114:114">
      <c r="DJ1373" s="29"/>
    </row>
    <row r="1374" spans="114:114">
      <c r="DJ1374" s="29"/>
    </row>
    <row r="1375" spans="114:114">
      <c r="DJ1375" s="29"/>
    </row>
    <row r="1376" spans="114:114">
      <c r="DJ1376" s="29"/>
    </row>
    <row r="1377" spans="114:114">
      <c r="DJ1377" s="29"/>
    </row>
    <row r="1378" spans="114:114">
      <c r="DJ1378" s="29"/>
    </row>
    <row r="1379" spans="114:114">
      <c r="DJ1379" s="29"/>
    </row>
    <row r="1380" spans="114:114">
      <c r="DJ1380" s="29"/>
    </row>
    <row r="1381" spans="114:114">
      <c r="DJ1381" s="29"/>
    </row>
    <row r="1382" spans="114:114">
      <c r="DJ1382" s="29"/>
    </row>
    <row r="1383" spans="114:114">
      <c r="DJ1383" s="29"/>
    </row>
    <row r="1384" spans="114:114">
      <c r="DJ1384" s="29"/>
    </row>
    <row r="1385" spans="114:114">
      <c r="DJ1385" s="29"/>
    </row>
    <row r="1386" spans="114:114">
      <c r="DJ1386" s="29"/>
    </row>
    <row r="1387" spans="114:114">
      <c r="DJ1387" s="29"/>
    </row>
    <row r="1388" spans="114:114">
      <c r="DJ1388" s="29"/>
    </row>
    <row r="1389" spans="114:114">
      <c r="DJ1389" s="29"/>
    </row>
    <row r="1390" spans="114:114">
      <c r="DJ1390" s="29"/>
    </row>
    <row r="1391" spans="114:114">
      <c r="DJ1391" s="29"/>
    </row>
    <row r="1392" spans="114:114">
      <c r="DJ1392" s="29"/>
    </row>
    <row r="1393" spans="114:114">
      <c r="DJ1393" s="29"/>
    </row>
    <row r="1394" spans="114:114">
      <c r="DJ1394" s="29"/>
    </row>
    <row r="1395" spans="114:114">
      <c r="DJ1395" s="29"/>
    </row>
    <row r="1396" spans="114:114">
      <c r="DJ1396" s="29"/>
    </row>
    <row r="1397" spans="114:114">
      <c r="DJ1397" s="29"/>
    </row>
    <row r="1398" spans="114:114">
      <c r="DJ1398" s="29"/>
    </row>
    <row r="1399" spans="114:114">
      <c r="DJ1399" s="29"/>
    </row>
    <row r="1400" spans="114:114">
      <c r="DJ1400" s="29"/>
    </row>
    <row r="1401" spans="114:114">
      <c r="DJ1401" s="29"/>
    </row>
    <row r="1402" spans="114:114">
      <c r="DJ1402" s="29"/>
    </row>
    <row r="1403" spans="114:114">
      <c r="DJ1403" s="29"/>
    </row>
    <row r="1404" spans="114:114">
      <c r="DJ1404" s="29"/>
    </row>
    <row r="1405" spans="114:114">
      <c r="DJ1405" s="29"/>
    </row>
    <row r="1406" spans="114:114">
      <c r="DJ1406" s="29"/>
    </row>
    <row r="1407" spans="114:114">
      <c r="DJ1407" s="29"/>
    </row>
    <row r="1408" spans="114:114">
      <c r="DJ1408" s="29"/>
    </row>
    <row r="1409" spans="114:114">
      <c r="DJ1409" s="29"/>
    </row>
    <row r="1410" spans="114:114">
      <c r="DJ1410" s="29"/>
    </row>
    <row r="1411" spans="114:114">
      <c r="DJ1411" s="29"/>
    </row>
    <row r="1412" spans="114:114">
      <c r="DJ1412" s="29"/>
    </row>
    <row r="1413" spans="114:114">
      <c r="DJ1413" s="29"/>
    </row>
    <row r="1414" spans="114:114">
      <c r="DJ1414" s="29"/>
    </row>
    <row r="1415" spans="114:114">
      <c r="DJ1415" s="29"/>
    </row>
    <row r="1416" spans="114:114">
      <c r="DJ1416" s="29"/>
    </row>
    <row r="1417" spans="114:114">
      <c r="DJ1417" s="29"/>
    </row>
    <row r="1418" spans="114:114">
      <c r="DJ1418" s="29"/>
    </row>
    <row r="1419" spans="114:114">
      <c r="DJ1419" s="29"/>
    </row>
    <row r="1420" spans="114:114">
      <c r="DJ1420" s="29"/>
    </row>
    <row r="1421" spans="114:114">
      <c r="DJ1421" s="29"/>
    </row>
    <row r="1422" spans="114:114">
      <c r="DJ1422" s="29"/>
    </row>
    <row r="1423" spans="114:114">
      <c r="DJ1423" s="29"/>
    </row>
    <row r="1424" spans="114:114">
      <c r="DJ1424" s="29"/>
    </row>
    <row r="1425" spans="114:114">
      <c r="DJ1425" s="29"/>
    </row>
    <row r="1426" spans="114:114">
      <c r="DJ1426" s="29"/>
    </row>
    <row r="1427" spans="114:114">
      <c r="DJ1427" s="29"/>
    </row>
    <row r="1428" spans="114:114">
      <c r="DJ1428" s="29"/>
    </row>
    <row r="1429" spans="114:114">
      <c r="DJ1429" s="29"/>
    </row>
    <row r="1430" spans="114:114">
      <c r="DJ1430" s="29"/>
    </row>
    <row r="1431" spans="114:114">
      <c r="DJ1431" s="29"/>
    </row>
    <row r="1432" spans="114:114">
      <c r="DJ1432" s="29"/>
    </row>
    <row r="1433" spans="114:114">
      <c r="DJ1433" s="29"/>
    </row>
    <row r="1434" spans="114:114">
      <c r="DJ1434" s="29"/>
    </row>
    <row r="1435" spans="114:114">
      <c r="DJ1435" s="29"/>
    </row>
    <row r="1436" spans="114:114">
      <c r="DJ1436" s="29"/>
    </row>
    <row r="1437" spans="114:114">
      <c r="DJ1437" s="29"/>
    </row>
    <row r="1438" spans="114:114">
      <c r="DJ1438" s="29"/>
    </row>
    <row r="1439" spans="114:114">
      <c r="DJ1439" s="29"/>
    </row>
    <row r="1440" spans="114:114">
      <c r="DJ1440" s="29"/>
    </row>
    <row r="1441" spans="114:114">
      <c r="DJ1441" s="29"/>
    </row>
    <row r="1442" spans="114:114">
      <c r="DJ1442" s="29"/>
    </row>
    <row r="1443" spans="114:114">
      <c r="DJ1443" s="29"/>
    </row>
    <row r="1444" spans="114:114">
      <c r="DJ1444" s="29"/>
    </row>
    <row r="1445" spans="114:114">
      <c r="DJ1445" s="29"/>
    </row>
    <row r="1446" spans="114:114">
      <c r="DJ1446" s="29"/>
    </row>
    <row r="1447" spans="114:114">
      <c r="DJ1447" s="29"/>
    </row>
    <row r="1448" spans="114:114">
      <c r="DJ1448" s="29"/>
    </row>
    <row r="1449" spans="114:114">
      <c r="DJ1449" s="29"/>
    </row>
    <row r="1450" spans="114:114">
      <c r="DJ1450" s="29"/>
    </row>
    <row r="1451" spans="114:114">
      <c r="DJ1451" s="29"/>
    </row>
    <row r="1452" spans="114:114">
      <c r="DJ1452" s="29"/>
    </row>
    <row r="1453" spans="114:114">
      <c r="DJ1453" s="29"/>
    </row>
    <row r="1454" spans="114:114">
      <c r="DJ1454" s="29"/>
    </row>
    <row r="1455" spans="114:114">
      <c r="DJ1455" s="29"/>
    </row>
    <row r="1456" spans="114:114">
      <c r="DJ1456" s="29"/>
    </row>
    <row r="1457" spans="114:114">
      <c r="DJ1457" s="29"/>
    </row>
    <row r="1458" spans="114:114">
      <c r="DJ1458" s="29"/>
    </row>
    <row r="1459" spans="114:114">
      <c r="DJ1459" s="29"/>
    </row>
    <row r="1460" spans="114:114">
      <c r="DJ1460" s="29"/>
    </row>
    <row r="1461" spans="114:114">
      <c r="DJ1461" s="29"/>
    </row>
    <row r="1462" spans="114:114">
      <c r="DJ1462" s="29"/>
    </row>
    <row r="1463" spans="114:114">
      <c r="DJ1463" s="29"/>
    </row>
    <row r="1464" spans="114:114">
      <c r="DJ1464" s="29"/>
    </row>
    <row r="1465" spans="114:114">
      <c r="DJ1465" s="29"/>
    </row>
    <row r="1466" spans="114:114">
      <c r="DJ1466" s="29"/>
    </row>
    <row r="1467" spans="114:114">
      <c r="DJ1467" s="29"/>
    </row>
    <row r="1468" spans="114:114">
      <c r="DJ1468" s="29"/>
    </row>
    <row r="1469" spans="114:114">
      <c r="DJ1469" s="29"/>
    </row>
    <row r="1470" spans="114:114">
      <c r="DJ1470" s="29"/>
    </row>
    <row r="1471" spans="114:114">
      <c r="DJ1471" s="29"/>
    </row>
    <row r="1472" spans="114:114">
      <c r="DJ1472" s="29"/>
    </row>
    <row r="1473" spans="114:114">
      <c r="DJ1473" s="29"/>
    </row>
    <row r="1474" spans="114:114">
      <c r="DJ1474" s="29"/>
    </row>
    <row r="1475" spans="114:114">
      <c r="DJ1475" s="29"/>
    </row>
    <row r="1476" spans="114:114">
      <c r="DJ1476" s="29"/>
    </row>
    <row r="1477" spans="114:114">
      <c r="DJ1477" s="29"/>
    </row>
    <row r="1478" spans="114:114">
      <c r="DJ1478" s="29"/>
    </row>
    <row r="1479" spans="114:114">
      <c r="DJ1479" s="29"/>
    </row>
    <row r="1480" spans="114:114">
      <c r="DJ1480" s="29"/>
    </row>
    <row r="1481" spans="114:114">
      <c r="DJ1481" s="29"/>
    </row>
    <row r="1482" spans="114:114">
      <c r="DJ1482" s="29"/>
    </row>
    <row r="1483" spans="114:114">
      <c r="DJ1483" s="29"/>
    </row>
    <row r="1484" spans="114:114">
      <c r="DJ1484" s="29"/>
    </row>
    <row r="1485" spans="114:114">
      <c r="DJ1485" s="29"/>
    </row>
    <row r="1486" spans="114:114">
      <c r="DJ1486" s="29"/>
    </row>
    <row r="1487" spans="114:114">
      <c r="DJ1487" s="29"/>
    </row>
    <row r="1488" spans="114:114">
      <c r="DJ1488" s="29"/>
    </row>
    <row r="1489" spans="114:114">
      <c r="DJ1489" s="29"/>
    </row>
    <row r="1490" spans="114:114">
      <c r="DJ1490" s="29"/>
    </row>
    <row r="1491" spans="114:114">
      <c r="DJ1491" s="29"/>
    </row>
    <row r="1492" spans="114:114">
      <c r="DJ1492" s="29"/>
    </row>
    <row r="1493" spans="114:114">
      <c r="DJ1493" s="29"/>
    </row>
    <row r="1494" spans="114:114">
      <c r="DJ1494" s="29"/>
    </row>
    <row r="1495" spans="114:114">
      <c r="DJ1495" s="29"/>
    </row>
    <row r="1496" spans="114:114">
      <c r="DJ1496" s="29"/>
    </row>
    <row r="1497" spans="114:114">
      <c r="DJ1497" s="29"/>
    </row>
    <row r="1498" spans="114:114">
      <c r="DJ1498" s="29"/>
    </row>
    <row r="1499" spans="114:114">
      <c r="DJ1499" s="29"/>
    </row>
    <row r="1500" spans="114:114">
      <c r="DJ1500" s="29"/>
    </row>
    <row r="1501" spans="114:114">
      <c r="DJ1501" s="29"/>
    </row>
    <row r="1502" spans="114:114">
      <c r="DJ1502" s="29"/>
    </row>
    <row r="1503" spans="114:114">
      <c r="DJ1503" s="29"/>
    </row>
    <row r="1504" spans="114:114">
      <c r="DJ1504" s="29"/>
    </row>
    <row r="1505" spans="114:114">
      <c r="DJ1505" s="29"/>
    </row>
    <row r="1506" spans="114:114">
      <c r="DJ1506" s="29"/>
    </row>
    <row r="1507" spans="114:114">
      <c r="DJ1507" s="29"/>
    </row>
    <row r="1508" spans="114:114">
      <c r="DJ1508" s="29"/>
    </row>
    <row r="1509" spans="114:114">
      <c r="DJ1509" s="29"/>
    </row>
    <row r="1510" spans="114:114">
      <c r="DJ1510" s="29"/>
    </row>
    <row r="1511" spans="114:114">
      <c r="DJ1511" s="29"/>
    </row>
    <row r="1512" spans="114:114">
      <c r="DJ1512" s="29"/>
    </row>
    <row r="1513" spans="114:114">
      <c r="DJ1513" s="29"/>
    </row>
    <row r="1514" spans="114:114">
      <c r="DJ1514" s="29"/>
    </row>
    <row r="1515" spans="114:114">
      <c r="DJ1515" s="29"/>
    </row>
    <row r="1516" spans="114:114">
      <c r="DJ1516" s="29"/>
    </row>
    <row r="1517" spans="114:114">
      <c r="DJ1517" s="29"/>
    </row>
    <row r="1518" spans="114:114">
      <c r="DJ1518" s="29"/>
    </row>
    <row r="1519" spans="114:114">
      <c r="DJ1519" s="29"/>
    </row>
    <row r="1520" spans="114:114">
      <c r="DJ1520" s="29"/>
    </row>
    <row r="1521" spans="114:114">
      <c r="DJ1521" s="29"/>
    </row>
    <row r="1522" spans="114:114">
      <c r="DJ1522" s="29"/>
    </row>
    <row r="1523" spans="114:114">
      <c r="DJ1523" s="29"/>
    </row>
    <row r="1524" spans="114:114">
      <c r="DJ1524" s="29"/>
    </row>
    <row r="1525" spans="114:114">
      <c r="DJ1525" s="29"/>
    </row>
    <row r="1526" spans="114:114">
      <c r="DJ1526" s="29"/>
    </row>
    <row r="1527" spans="114:114">
      <c r="DJ1527" s="29"/>
    </row>
    <row r="1528" spans="114:114">
      <c r="DJ1528" s="29"/>
    </row>
    <row r="1529" spans="114:114">
      <c r="DJ1529" s="29"/>
    </row>
    <row r="1530" spans="114:114">
      <c r="DJ1530" s="29"/>
    </row>
    <row r="1531" spans="114:114">
      <c r="DJ1531" s="29"/>
    </row>
    <row r="1532" spans="114:114">
      <c r="DJ1532" s="29"/>
    </row>
    <row r="1533" spans="114:114">
      <c r="DJ1533" s="29"/>
    </row>
    <row r="1534" spans="114:114">
      <c r="DJ1534" s="29"/>
    </row>
    <row r="1535" spans="114:114">
      <c r="DJ1535" s="29"/>
    </row>
    <row r="1536" spans="114:114">
      <c r="DJ1536" s="29"/>
    </row>
    <row r="1537" spans="114:114">
      <c r="DJ1537" s="29"/>
    </row>
    <row r="1538" spans="114:114">
      <c r="DJ1538" s="29"/>
    </row>
    <row r="1539" spans="114:114">
      <c r="DJ1539" s="29"/>
    </row>
    <row r="1540" spans="114:114">
      <c r="DJ1540" s="29"/>
    </row>
    <row r="1541" spans="114:114">
      <c r="DJ1541" s="29"/>
    </row>
    <row r="1542" spans="114:114">
      <c r="DJ1542" s="29"/>
    </row>
    <row r="1543" spans="114:114">
      <c r="DJ1543" s="29"/>
    </row>
    <row r="1544" spans="114:114">
      <c r="DJ1544" s="29"/>
    </row>
    <row r="1545" spans="114:114">
      <c r="DJ1545" s="29"/>
    </row>
    <row r="1546" spans="114:114">
      <c r="DJ1546" s="29"/>
    </row>
    <row r="1547" spans="114:114">
      <c r="DJ1547" s="29"/>
    </row>
    <row r="1548" spans="114:114">
      <c r="DJ1548" s="29"/>
    </row>
    <row r="1549" spans="114:114">
      <c r="DJ1549" s="29"/>
    </row>
    <row r="1550" spans="114:114">
      <c r="DJ1550" s="29"/>
    </row>
    <row r="1551" spans="114:114">
      <c r="DJ1551" s="29"/>
    </row>
    <row r="1552" spans="114:114">
      <c r="DJ1552" s="29"/>
    </row>
    <row r="1553" spans="114:114">
      <c r="DJ1553" s="29"/>
    </row>
    <row r="1554" spans="114:114">
      <c r="DJ1554" s="29"/>
    </row>
    <row r="1555" spans="114:114">
      <c r="DJ1555" s="29"/>
    </row>
    <row r="1556" spans="114:114">
      <c r="DJ1556" s="29"/>
    </row>
    <row r="1557" spans="114:114">
      <c r="DJ1557" s="29"/>
    </row>
    <row r="1558" spans="114:114">
      <c r="DJ1558" s="29"/>
    </row>
    <row r="1559" spans="114:114">
      <c r="DJ1559" s="29"/>
    </row>
    <row r="1560" spans="114:114">
      <c r="DJ1560" s="29"/>
    </row>
    <row r="1561" spans="114:114">
      <c r="DJ1561" s="29"/>
    </row>
    <row r="1562" spans="114:114">
      <c r="DJ1562" s="29"/>
    </row>
    <row r="1563" spans="114:114">
      <c r="DJ1563" s="29"/>
    </row>
    <row r="1564" spans="114:114">
      <c r="DJ1564" s="29"/>
    </row>
    <row r="1565" spans="114:114">
      <c r="DJ1565" s="29"/>
    </row>
    <row r="1566" spans="114:114">
      <c r="DJ1566" s="29"/>
    </row>
    <row r="1567" spans="114:114">
      <c r="DJ1567" s="29"/>
    </row>
    <row r="1568" spans="114:114">
      <c r="DJ1568" s="29"/>
    </row>
    <row r="1569" spans="114:114">
      <c r="DJ1569" s="29"/>
    </row>
    <row r="1570" spans="114:114">
      <c r="DJ1570" s="29"/>
    </row>
    <row r="1571" spans="114:114">
      <c r="DJ1571" s="29"/>
    </row>
    <row r="1572" spans="114:114">
      <c r="DJ1572" s="29"/>
    </row>
    <row r="1573" spans="114:114">
      <c r="DJ1573" s="29"/>
    </row>
    <row r="1574" spans="114:114">
      <c r="DJ1574" s="29"/>
    </row>
    <row r="1575" spans="114:114">
      <c r="DJ1575" s="29"/>
    </row>
    <row r="1576" spans="114:114">
      <c r="DJ1576" s="29"/>
    </row>
    <row r="1577" spans="114:114">
      <c r="DJ1577" s="29"/>
    </row>
    <row r="1578" spans="114:114">
      <c r="DJ1578" s="29"/>
    </row>
    <row r="1579" spans="114:114">
      <c r="DJ1579" s="29"/>
    </row>
    <row r="1580" spans="114:114">
      <c r="DJ1580" s="29"/>
    </row>
    <row r="1581" spans="114:114">
      <c r="DJ1581" s="29"/>
    </row>
    <row r="1582" spans="114:114">
      <c r="DJ1582" s="29"/>
    </row>
    <row r="1583" spans="114:114">
      <c r="DJ1583" s="29"/>
    </row>
    <row r="1584" spans="114:114">
      <c r="DJ1584" s="29"/>
    </row>
    <row r="1585" spans="114:114">
      <c r="DJ1585" s="29"/>
    </row>
    <row r="1586" spans="114:114">
      <c r="DJ1586" s="29"/>
    </row>
    <row r="1587" spans="114:114">
      <c r="DJ1587" s="29"/>
    </row>
    <row r="1588" spans="114:114">
      <c r="DJ1588" s="29"/>
    </row>
    <row r="1589" spans="114:114">
      <c r="DJ1589" s="29"/>
    </row>
    <row r="1590" spans="114:114">
      <c r="DJ1590" s="29"/>
    </row>
    <row r="1591" spans="114:114">
      <c r="DJ1591" s="29"/>
    </row>
    <row r="1592" spans="114:114">
      <c r="DJ1592" s="29"/>
    </row>
    <row r="1593" spans="114:114">
      <c r="DJ1593" s="29"/>
    </row>
    <row r="1594" spans="114:114">
      <c r="DJ1594" s="29"/>
    </row>
    <row r="1595" spans="114:114">
      <c r="DJ1595" s="29"/>
    </row>
    <row r="1596" spans="114:114">
      <c r="DJ1596" s="29"/>
    </row>
    <row r="1597" spans="114:114">
      <c r="DJ1597" s="29"/>
    </row>
    <row r="1598" spans="114:114">
      <c r="DJ1598" s="29"/>
    </row>
    <row r="1599" spans="114:114">
      <c r="DJ1599" s="29"/>
    </row>
    <row r="1600" spans="114:114">
      <c r="DJ1600" s="29"/>
    </row>
    <row r="1601" spans="114:114">
      <c r="DJ1601" s="29"/>
    </row>
    <row r="1602" spans="114:114">
      <c r="DJ1602" s="29"/>
    </row>
    <row r="1603" spans="114:114">
      <c r="DJ1603" s="29"/>
    </row>
    <row r="1604" spans="114:114">
      <c r="DJ1604" s="29"/>
    </row>
    <row r="1605" spans="114:114">
      <c r="DJ1605" s="29"/>
    </row>
    <row r="1606" spans="114:114">
      <c r="DJ1606" s="29"/>
    </row>
    <row r="1607" spans="114:114">
      <c r="DJ1607" s="29"/>
    </row>
    <row r="1608" spans="114:114">
      <c r="DJ1608" s="29"/>
    </row>
    <row r="1609" spans="114:114">
      <c r="DJ1609" s="29"/>
    </row>
    <row r="1610" spans="114:114">
      <c r="DJ1610" s="29"/>
    </row>
    <row r="1611" spans="114:114">
      <c r="DJ1611" s="29"/>
    </row>
    <row r="1612" spans="114:114">
      <c r="DJ1612" s="29"/>
    </row>
    <row r="1613" spans="114:114">
      <c r="DJ1613" s="29"/>
    </row>
    <row r="1614" spans="114:114">
      <c r="DJ1614" s="29"/>
    </row>
    <row r="1615" spans="114:114">
      <c r="DJ1615" s="29"/>
    </row>
    <row r="1616" spans="114:114">
      <c r="DJ1616" s="29"/>
    </row>
    <row r="1617" spans="114:114">
      <c r="DJ1617" s="29"/>
    </row>
    <row r="1618" spans="114:114">
      <c r="DJ1618" s="29"/>
    </row>
    <row r="1619" spans="114:114">
      <c r="DJ1619" s="29"/>
    </row>
    <row r="1620" spans="114:114">
      <c r="DJ1620" s="29"/>
    </row>
    <row r="1621" spans="114:114">
      <c r="DJ1621" s="29"/>
    </row>
    <row r="1622" spans="114:114">
      <c r="DJ1622" s="29"/>
    </row>
    <row r="1623" spans="114:114">
      <c r="DJ1623" s="29"/>
    </row>
    <row r="1624" spans="114:114">
      <c r="DJ1624" s="29"/>
    </row>
    <row r="1625" spans="114:114">
      <c r="DJ1625" s="29"/>
    </row>
    <row r="1626" spans="114:114">
      <c r="DJ1626" s="29"/>
    </row>
    <row r="1627" spans="114:114">
      <c r="DJ1627" s="29"/>
    </row>
    <row r="1628" spans="114:114">
      <c r="DJ1628" s="29"/>
    </row>
    <row r="1629" spans="114:114">
      <c r="DJ1629" s="29"/>
    </row>
    <row r="1630" spans="114:114">
      <c r="DJ1630" s="29"/>
    </row>
    <row r="1631" spans="114:114">
      <c r="DJ1631" s="29"/>
    </row>
    <row r="1632" spans="114:114">
      <c r="DJ1632" s="29"/>
    </row>
    <row r="1633" spans="114:114">
      <c r="DJ1633" s="29"/>
    </row>
    <row r="1634" spans="114:114">
      <c r="DJ1634" s="29"/>
    </row>
    <row r="1635" spans="114:114">
      <c r="DJ1635" s="29"/>
    </row>
    <row r="1636" spans="114:114">
      <c r="DJ1636" s="29"/>
    </row>
    <row r="1637" spans="114:114">
      <c r="DJ1637" s="29"/>
    </row>
    <row r="1638" spans="114:114">
      <c r="DJ1638" s="29"/>
    </row>
    <row r="1639" spans="114:114">
      <c r="DJ1639" s="29"/>
    </row>
    <row r="1640" spans="114:114">
      <c r="DJ1640" s="29"/>
    </row>
    <row r="1641" spans="114:114">
      <c r="DJ1641" s="29"/>
    </row>
    <row r="1642" spans="114:114">
      <c r="DJ1642" s="29"/>
    </row>
    <row r="1643" spans="114:114">
      <c r="DJ1643" s="29"/>
    </row>
    <row r="1644" spans="114:114">
      <c r="DJ1644" s="29"/>
    </row>
    <row r="1645" spans="114:114">
      <c r="DJ1645" s="29"/>
    </row>
    <row r="1646" spans="114:114">
      <c r="DJ1646" s="29"/>
    </row>
    <row r="1647" spans="114:114">
      <c r="DJ1647" s="29"/>
    </row>
    <row r="1648" spans="114:114">
      <c r="DJ1648" s="29"/>
    </row>
    <row r="1649" spans="114:114">
      <c r="DJ1649" s="29"/>
    </row>
    <row r="1650" spans="114:114">
      <c r="DJ1650" s="29"/>
    </row>
    <row r="1651" spans="114:114">
      <c r="DJ1651" s="29"/>
    </row>
    <row r="1652" spans="114:114">
      <c r="DJ1652" s="29"/>
    </row>
    <row r="1653" spans="114:114">
      <c r="DJ1653" s="29"/>
    </row>
    <row r="1654" spans="114:114">
      <c r="DJ1654" s="29"/>
    </row>
    <row r="1655" spans="114:114">
      <c r="DJ1655" s="29"/>
    </row>
    <row r="1656" spans="114:114">
      <c r="DJ1656" s="29"/>
    </row>
    <row r="1657" spans="114:114">
      <c r="DJ1657" s="29"/>
    </row>
    <row r="1658" spans="114:114">
      <c r="DJ1658" s="29"/>
    </row>
    <row r="1659" spans="114:114">
      <c r="DJ1659" s="29"/>
    </row>
    <row r="1660" spans="114:114">
      <c r="DJ1660" s="29"/>
    </row>
    <row r="1661" spans="114:114">
      <c r="DJ1661" s="29"/>
    </row>
    <row r="1662" spans="114:114">
      <c r="DJ1662" s="29"/>
    </row>
    <row r="1663" spans="114:114">
      <c r="DJ1663" s="29"/>
    </row>
    <row r="1664" spans="114:114">
      <c r="DJ1664" s="29"/>
    </row>
    <row r="1665" spans="114:114">
      <c r="DJ1665" s="29"/>
    </row>
    <row r="1666" spans="114:114">
      <c r="DJ1666" s="29"/>
    </row>
    <row r="1667" spans="114:114">
      <c r="DJ1667" s="29"/>
    </row>
    <row r="1668" spans="114:114">
      <c r="DJ1668" s="29"/>
    </row>
    <row r="1669" spans="114:114">
      <c r="DJ1669" s="29"/>
    </row>
    <row r="1670" spans="114:114">
      <c r="DJ1670" s="29"/>
    </row>
    <row r="1671" spans="114:114">
      <c r="DJ1671" s="29"/>
    </row>
    <row r="1672" spans="114:114">
      <c r="DJ1672" s="29"/>
    </row>
    <row r="1673" spans="114:114">
      <c r="DJ1673" s="29"/>
    </row>
    <row r="1674" spans="114:114">
      <c r="DJ1674" s="29"/>
    </row>
    <row r="1675" spans="114:114">
      <c r="DJ1675" s="29"/>
    </row>
    <row r="1676" spans="114:114">
      <c r="DJ1676" s="29"/>
    </row>
    <row r="1677" spans="114:114">
      <c r="DJ1677" s="29"/>
    </row>
    <row r="1678" spans="114:114">
      <c r="DJ1678" s="29"/>
    </row>
    <row r="1679" spans="114:114">
      <c r="DJ1679" s="29"/>
    </row>
    <row r="1680" spans="114:114">
      <c r="DJ1680" s="29"/>
    </row>
    <row r="1681" spans="114:114">
      <c r="DJ1681" s="29"/>
    </row>
    <row r="1682" spans="114:114">
      <c r="DJ1682" s="29"/>
    </row>
    <row r="1683" spans="114:114">
      <c r="DJ1683" s="29"/>
    </row>
    <row r="1684" spans="114:114">
      <c r="DJ1684" s="29"/>
    </row>
    <row r="1685" spans="114:114">
      <c r="DJ1685" s="29"/>
    </row>
    <row r="1686" spans="114:114">
      <c r="DJ1686" s="29"/>
    </row>
    <row r="1687" spans="114:114">
      <c r="DJ1687" s="29"/>
    </row>
    <row r="1688" spans="114:114">
      <c r="DJ1688" s="29"/>
    </row>
    <row r="1689" spans="114:114">
      <c r="DJ1689" s="29"/>
    </row>
    <row r="1690" spans="114:114">
      <c r="DJ1690" s="29"/>
    </row>
    <row r="1691" spans="114:114">
      <c r="DJ1691" s="29"/>
    </row>
    <row r="1692" spans="114:114">
      <c r="DJ1692" s="29"/>
    </row>
    <row r="1693" spans="114:114">
      <c r="DJ1693" s="29"/>
    </row>
    <row r="1694" spans="114:114">
      <c r="DJ1694" s="29"/>
    </row>
    <row r="1695" spans="114:114">
      <c r="DJ1695" s="29"/>
    </row>
    <row r="1696" spans="114:114">
      <c r="DJ1696" s="29"/>
    </row>
    <row r="1697" spans="114:114">
      <c r="DJ1697" s="29"/>
    </row>
    <row r="1698" spans="114:114">
      <c r="DJ1698" s="29"/>
    </row>
    <row r="1699" spans="114:114">
      <c r="DJ1699" s="29"/>
    </row>
    <row r="1700" spans="114:114">
      <c r="DJ1700" s="29"/>
    </row>
    <row r="1701" spans="114:114">
      <c r="DJ1701" s="29"/>
    </row>
    <row r="1702" spans="114:114">
      <c r="DJ1702" s="29"/>
    </row>
    <row r="1703" spans="114:114">
      <c r="DJ1703" s="29"/>
    </row>
    <row r="1704" spans="114:114">
      <c r="DJ1704" s="29"/>
    </row>
    <row r="1705" spans="114:114">
      <c r="DJ1705" s="29"/>
    </row>
    <row r="1706" spans="114:114">
      <c r="DJ1706" s="29"/>
    </row>
    <row r="1707" spans="114:114">
      <c r="DJ1707" s="29"/>
    </row>
    <row r="1708" spans="114:114">
      <c r="DJ1708" s="29"/>
    </row>
    <row r="1709" spans="114:114">
      <c r="DJ1709" s="29"/>
    </row>
    <row r="1710" spans="114:114">
      <c r="DJ1710" s="29"/>
    </row>
    <row r="1711" spans="114:114">
      <c r="DJ1711" s="29"/>
    </row>
    <row r="1712" spans="114:114">
      <c r="DJ1712" s="29"/>
    </row>
    <row r="1713" spans="114:114">
      <c r="DJ1713" s="29"/>
    </row>
    <row r="1714" spans="114:114">
      <c r="DJ1714" s="29"/>
    </row>
    <row r="1715" spans="114:114">
      <c r="DJ1715" s="29"/>
    </row>
    <row r="1716" spans="114:114">
      <c r="DJ1716" s="29"/>
    </row>
    <row r="1717" spans="114:114">
      <c r="DJ1717" s="29"/>
    </row>
    <row r="1718" spans="114:114">
      <c r="DJ1718" s="29"/>
    </row>
    <row r="1719" spans="114:114">
      <c r="DJ1719" s="29"/>
    </row>
    <row r="1720" spans="114:114">
      <c r="DJ1720" s="29"/>
    </row>
    <row r="1721" spans="114:114">
      <c r="DJ1721" s="29"/>
    </row>
    <row r="1722" spans="114:114">
      <c r="DJ1722" s="29"/>
    </row>
    <row r="1723" spans="114:114">
      <c r="DJ1723" s="29"/>
    </row>
    <row r="1724" spans="114:114">
      <c r="DJ1724" s="29"/>
    </row>
    <row r="1725" spans="114:114">
      <c r="DJ1725" s="29"/>
    </row>
    <row r="1726" spans="114:114">
      <c r="DJ1726" s="29"/>
    </row>
    <row r="1727" spans="114:114">
      <c r="DJ1727" s="29"/>
    </row>
    <row r="1728" spans="114:114">
      <c r="DJ1728" s="29"/>
    </row>
    <row r="1729" spans="114:114">
      <c r="DJ1729" s="29"/>
    </row>
    <row r="1730" spans="114:114">
      <c r="DJ1730" s="29"/>
    </row>
    <row r="1731" spans="114:114">
      <c r="DJ1731" s="29"/>
    </row>
    <row r="1732" spans="114:114">
      <c r="DJ1732" s="29"/>
    </row>
    <row r="1733" spans="114:114">
      <c r="DJ1733" s="29"/>
    </row>
    <row r="1734" spans="114:114">
      <c r="DJ1734" s="29"/>
    </row>
    <row r="1735" spans="114:114">
      <c r="DJ1735" s="29"/>
    </row>
    <row r="1736" spans="114:114">
      <c r="DJ1736" s="29"/>
    </row>
    <row r="1737" spans="114:114">
      <c r="DJ1737" s="29"/>
    </row>
    <row r="1738" spans="114:114">
      <c r="DJ1738" s="29"/>
    </row>
    <row r="1739" spans="114:114">
      <c r="DJ1739" s="29"/>
    </row>
    <row r="1740" spans="114:114">
      <c r="DJ1740" s="29"/>
    </row>
    <row r="1741" spans="114:114">
      <c r="DJ1741" s="29"/>
    </row>
    <row r="1742" spans="114:114">
      <c r="DJ1742" s="29"/>
    </row>
    <row r="1743" spans="114:114">
      <c r="DJ1743" s="29"/>
    </row>
    <row r="1744" spans="114:114">
      <c r="DJ1744" s="29"/>
    </row>
    <row r="1745" spans="114:114">
      <c r="DJ1745" s="29"/>
    </row>
    <row r="1746" spans="114:114">
      <c r="DJ1746" s="29"/>
    </row>
    <row r="1747" spans="114:114">
      <c r="DJ1747" s="29"/>
    </row>
    <row r="1748" spans="114:114">
      <c r="DJ1748" s="29"/>
    </row>
    <row r="1749" spans="114:114">
      <c r="DJ1749" s="29"/>
    </row>
    <row r="1750" spans="114:114">
      <c r="DJ1750" s="29"/>
    </row>
    <row r="1751" spans="114:114">
      <c r="DJ1751" s="29"/>
    </row>
    <row r="1752" spans="114:114">
      <c r="DJ1752" s="29"/>
    </row>
    <row r="1753" spans="114:114">
      <c r="DJ1753" s="29"/>
    </row>
    <row r="1754" spans="114:114">
      <c r="DJ1754" s="29"/>
    </row>
    <row r="1755" spans="114:114">
      <c r="DJ1755" s="29"/>
    </row>
    <row r="1756" spans="114:114">
      <c r="DJ1756" s="29"/>
    </row>
    <row r="1757" spans="114:114">
      <c r="DJ1757" s="29"/>
    </row>
    <row r="1758" spans="114:114">
      <c r="DJ1758" s="29"/>
    </row>
    <row r="1759" spans="114:114">
      <c r="DJ1759" s="29"/>
    </row>
    <row r="1760" spans="114:114">
      <c r="DJ1760" s="29"/>
    </row>
    <row r="1761" spans="114:114">
      <c r="DJ1761" s="29"/>
    </row>
    <row r="1762" spans="114:114">
      <c r="DJ1762" s="29"/>
    </row>
    <row r="1763" spans="114:114">
      <c r="DJ1763" s="29"/>
    </row>
    <row r="1764" spans="114:114">
      <c r="DJ1764" s="29"/>
    </row>
    <row r="1765" spans="114:114">
      <c r="DJ1765" s="29"/>
    </row>
    <row r="1766" spans="114:114">
      <c r="DJ1766" s="29"/>
    </row>
    <row r="1767" spans="114:114">
      <c r="DJ1767" s="29"/>
    </row>
    <row r="1768" spans="114:114">
      <c r="DJ1768" s="29"/>
    </row>
    <row r="1769" spans="114:114">
      <c r="DJ1769" s="29"/>
    </row>
    <row r="1770" spans="114:114">
      <c r="DJ1770" s="29"/>
    </row>
    <row r="1771" spans="114:114">
      <c r="DJ1771" s="29"/>
    </row>
    <row r="1772" spans="114:114">
      <c r="DJ1772" s="29"/>
    </row>
    <row r="1773" spans="114:114">
      <c r="DJ1773" s="29"/>
    </row>
    <row r="1774" spans="114:114">
      <c r="DJ1774" s="29"/>
    </row>
    <row r="1775" spans="114:114">
      <c r="DJ1775" s="29"/>
    </row>
    <row r="1776" spans="114:114">
      <c r="DJ1776" s="29"/>
    </row>
    <row r="1777" spans="114:114">
      <c r="DJ1777" s="29"/>
    </row>
    <row r="1778" spans="114:114">
      <c r="DJ1778" s="29"/>
    </row>
    <row r="1779" spans="114:114">
      <c r="DJ1779" s="29"/>
    </row>
    <row r="1780" spans="114:114">
      <c r="DJ1780" s="29"/>
    </row>
    <row r="1781" spans="114:114">
      <c r="DJ1781" s="29"/>
    </row>
    <row r="1782" spans="114:114">
      <c r="DJ1782" s="29"/>
    </row>
    <row r="1783" spans="114:114">
      <c r="DJ1783" s="29"/>
    </row>
    <row r="1784" spans="114:114">
      <c r="DJ1784" s="29"/>
    </row>
    <row r="1785" spans="114:114">
      <c r="DJ1785" s="29"/>
    </row>
    <row r="1786" spans="114:114">
      <c r="DJ1786" s="29"/>
    </row>
    <row r="1787" spans="114:114">
      <c r="DJ1787" s="29"/>
    </row>
    <row r="1788" spans="114:114">
      <c r="DJ1788" s="29"/>
    </row>
    <row r="1789" spans="114:114">
      <c r="DJ1789" s="29"/>
    </row>
    <row r="1790" spans="114:114">
      <c r="DJ1790" s="29"/>
    </row>
    <row r="1791" spans="114:114">
      <c r="DJ1791" s="29"/>
    </row>
    <row r="1792" spans="114:114">
      <c r="DJ1792" s="29"/>
    </row>
    <row r="1793" spans="114:114">
      <c r="DJ1793" s="29"/>
    </row>
    <row r="1794" spans="114:114">
      <c r="DJ1794" s="29"/>
    </row>
    <row r="1795" spans="114:114">
      <c r="DJ1795" s="29"/>
    </row>
    <row r="1796" spans="114:114">
      <c r="DJ1796" s="29"/>
    </row>
    <row r="1797" spans="114:114">
      <c r="DJ1797" s="29"/>
    </row>
    <row r="1798" spans="114:114">
      <c r="DJ1798" s="29"/>
    </row>
    <row r="1799" spans="114:114">
      <c r="DJ1799" s="29"/>
    </row>
    <row r="1800" spans="114:114">
      <c r="DJ1800" s="29"/>
    </row>
    <row r="1801" spans="114:114">
      <c r="DJ1801" s="29"/>
    </row>
    <row r="1802" spans="114:114">
      <c r="DJ1802" s="29"/>
    </row>
    <row r="1803" spans="114:114">
      <c r="DJ1803" s="29"/>
    </row>
    <row r="1804" spans="114:114">
      <c r="DJ1804" s="29"/>
    </row>
    <row r="1805" spans="114:114">
      <c r="DJ1805" s="29"/>
    </row>
    <row r="1806" spans="114:114">
      <c r="DJ1806" s="29"/>
    </row>
    <row r="1807" spans="114:114">
      <c r="DJ1807" s="29"/>
    </row>
    <row r="1808" spans="114:114">
      <c r="DJ1808" s="29"/>
    </row>
    <row r="1809" spans="114:114">
      <c r="DJ1809" s="29"/>
    </row>
    <row r="1810" spans="114:114">
      <c r="DJ1810" s="29"/>
    </row>
    <row r="1811" spans="114:114">
      <c r="DJ1811" s="29"/>
    </row>
    <row r="1812" spans="114:114">
      <c r="DJ1812" s="29"/>
    </row>
    <row r="1813" spans="114:114">
      <c r="DJ1813" s="29"/>
    </row>
    <row r="1814" spans="114:114">
      <c r="DJ1814" s="29"/>
    </row>
    <row r="1815" spans="114:114">
      <c r="DJ1815" s="29"/>
    </row>
    <row r="1816" spans="114:114">
      <c r="DJ1816" s="29"/>
    </row>
    <row r="1817" spans="114:114">
      <c r="DJ1817" s="29"/>
    </row>
    <row r="1818" spans="114:114">
      <c r="DJ1818" s="29"/>
    </row>
    <row r="1819" spans="114:114">
      <c r="DJ1819" s="29"/>
    </row>
    <row r="1820" spans="114:114">
      <c r="DJ1820" s="29"/>
    </row>
    <row r="1821" spans="114:114">
      <c r="DJ1821" s="29"/>
    </row>
    <row r="1822" spans="114:114">
      <c r="DJ1822" s="29"/>
    </row>
    <row r="1823" spans="114:114">
      <c r="DJ1823" s="29"/>
    </row>
    <row r="1824" spans="114:114">
      <c r="DJ1824" s="29"/>
    </row>
    <row r="1825" spans="114:114">
      <c r="DJ1825" s="29"/>
    </row>
    <row r="1826" spans="114:114">
      <c r="DJ1826" s="29"/>
    </row>
    <row r="1827" spans="114:114">
      <c r="DJ1827" s="29"/>
    </row>
    <row r="1828" spans="114:114">
      <c r="DJ1828" s="29"/>
    </row>
    <row r="1829" spans="114:114">
      <c r="DJ1829" s="29"/>
    </row>
    <row r="1830" spans="114:114">
      <c r="DJ1830" s="29"/>
    </row>
    <row r="1831" spans="114:114">
      <c r="DJ1831" s="29"/>
    </row>
    <row r="1832" spans="114:114">
      <c r="DJ1832" s="29"/>
    </row>
    <row r="1833" spans="114:114">
      <c r="DJ1833" s="29"/>
    </row>
    <row r="1834" spans="114:114">
      <c r="DJ1834" s="29"/>
    </row>
    <row r="1835" spans="114:114">
      <c r="DJ1835" s="29"/>
    </row>
    <row r="1836" spans="114:114">
      <c r="DJ1836" s="29"/>
    </row>
    <row r="1837" spans="114:114">
      <c r="DJ1837" s="29"/>
    </row>
    <row r="1838" spans="114:114">
      <c r="DJ1838" s="29"/>
    </row>
    <row r="1839" spans="114:114">
      <c r="DJ1839" s="29"/>
    </row>
    <row r="1840" spans="114:114">
      <c r="DJ1840" s="29"/>
    </row>
    <row r="1841" spans="114:114">
      <c r="DJ1841" s="29"/>
    </row>
    <row r="1842" spans="114:114">
      <c r="DJ1842" s="29"/>
    </row>
    <row r="1843" spans="114:114">
      <c r="DJ1843" s="29"/>
    </row>
    <row r="1844" spans="114:114">
      <c r="DJ1844" s="29"/>
    </row>
    <row r="1845" spans="114:114">
      <c r="DJ1845" s="29"/>
    </row>
    <row r="1846" spans="114:114">
      <c r="DJ1846" s="29"/>
    </row>
    <row r="1847" spans="114:114">
      <c r="DJ1847" s="29"/>
    </row>
    <row r="1848" spans="114:114">
      <c r="DJ1848" s="29"/>
    </row>
    <row r="1849" spans="114:114">
      <c r="DJ1849" s="29"/>
    </row>
    <row r="1850" spans="114:114">
      <c r="DJ1850" s="29"/>
    </row>
    <row r="1851" spans="114:114">
      <c r="DJ1851" s="29"/>
    </row>
    <row r="1852" spans="114:114">
      <c r="DJ1852" s="29"/>
    </row>
    <row r="1853" spans="114:114">
      <c r="DJ1853" s="29"/>
    </row>
    <row r="1854" spans="114:114">
      <c r="DJ1854" s="29"/>
    </row>
    <row r="1855" spans="114:114">
      <c r="DJ1855" s="29"/>
    </row>
    <row r="1856" spans="114:114">
      <c r="DJ1856" s="29"/>
    </row>
    <row r="1857" spans="114:114">
      <c r="DJ1857" s="29"/>
    </row>
    <row r="1858" spans="114:114">
      <c r="DJ1858" s="29"/>
    </row>
    <row r="1859" spans="114:114">
      <c r="DJ1859" s="29"/>
    </row>
    <row r="1860" spans="114:114">
      <c r="DJ1860" s="29"/>
    </row>
    <row r="1861" spans="114:114">
      <c r="DJ1861" s="29"/>
    </row>
    <row r="1862" spans="114:114">
      <c r="DJ1862" s="29"/>
    </row>
    <row r="1863" spans="114:114">
      <c r="DJ1863" s="29"/>
    </row>
    <row r="1864" spans="114:114">
      <c r="DJ1864" s="29"/>
    </row>
    <row r="1865" spans="114:114">
      <c r="DJ1865" s="29"/>
    </row>
    <row r="1866" spans="114:114">
      <c r="DJ1866" s="29"/>
    </row>
    <row r="1867" spans="114:114">
      <c r="DJ1867" s="29"/>
    </row>
    <row r="1868" spans="114:114">
      <c r="DJ1868" s="29"/>
    </row>
    <row r="1869" spans="114:114">
      <c r="DJ1869" s="29"/>
    </row>
    <row r="1870" spans="114:114">
      <c r="DJ1870" s="29"/>
    </row>
    <row r="1871" spans="114:114">
      <c r="DJ1871" s="29"/>
    </row>
    <row r="1872" spans="114:114">
      <c r="DJ1872" s="29"/>
    </row>
    <row r="1873" spans="114:114">
      <c r="DJ1873" s="29"/>
    </row>
    <row r="1874" spans="114:114">
      <c r="DJ1874" s="29"/>
    </row>
    <row r="1875" spans="114:114">
      <c r="DJ1875" s="29"/>
    </row>
    <row r="1876" spans="114:114">
      <c r="DJ1876" s="29"/>
    </row>
    <row r="1877" spans="114:114">
      <c r="DJ1877" s="29"/>
    </row>
    <row r="1878" spans="114:114">
      <c r="DJ1878" s="29"/>
    </row>
    <row r="1879" spans="114:114">
      <c r="DJ1879" s="29"/>
    </row>
    <row r="1880" spans="114:114">
      <c r="DJ1880" s="29"/>
    </row>
    <row r="1881" spans="114:114">
      <c r="DJ1881" s="29"/>
    </row>
    <row r="1882" spans="114:114">
      <c r="DJ1882" s="29"/>
    </row>
    <row r="1883" spans="114:114">
      <c r="DJ1883" s="29"/>
    </row>
    <row r="1884" spans="114:114">
      <c r="DJ1884" s="29"/>
    </row>
    <row r="1885" spans="114:114">
      <c r="DJ1885" s="29"/>
    </row>
    <row r="1886" spans="114:114">
      <c r="DJ1886" s="29"/>
    </row>
    <row r="1887" spans="114:114">
      <c r="DJ1887" s="29"/>
    </row>
    <row r="1888" spans="114:114">
      <c r="DJ1888" s="29"/>
    </row>
    <row r="1889" spans="114:114">
      <c r="DJ1889" s="29"/>
    </row>
    <row r="1890" spans="114:114">
      <c r="DJ1890" s="29"/>
    </row>
    <row r="1891" spans="114:114">
      <c r="DJ1891" s="29"/>
    </row>
    <row r="1892" spans="114:114">
      <c r="DJ1892" s="29"/>
    </row>
    <row r="1893" spans="114:114">
      <c r="DJ1893" s="29"/>
    </row>
    <row r="1894" spans="114:114">
      <c r="DJ1894" s="29"/>
    </row>
    <row r="1895" spans="114:114">
      <c r="DJ1895" s="29"/>
    </row>
    <row r="1896" spans="114:114">
      <c r="DJ1896" s="29"/>
    </row>
    <row r="1897" spans="114:114">
      <c r="DJ1897" s="29"/>
    </row>
    <row r="1898" spans="114:114">
      <c r="DJ1898" s="29"/>
    </row>
    <row r="1899" spans="114:114">
      <c r="DJ1899" s="29"/>
    </row>
    <row r="1900" spans="114:114">
      <c r="DJ1900" s="29"/>
    </row>
    <row r="1901" spans="114:114">
      <c r="DJ1901" s="29"/>
    </row>
    <row r="1902" spans="114:114">
      <c r="DJ1902" s="29"/>
    </row>
    <row r="1903" spans="114:114">
      <c r="DJ1903" s="29"/>
    </row>
    <row r="1904" spans="114:114">
      <c r="DJ1904" s="29"/>
    </row>
    <row r="1905" spans="114:114">
      <c r="DJ1905" s="29"/>
    </row>
    <row r="1906" spans="114:114">
      <c r="DJ1906" s="29"/>
    </row>
    <row r="1907" spans="114:114">
      <c r="DJ1907" s="29"/>
    </row>
    <row r="1908" spans="114:114">
      <c r="DJ1908" s="29"/>
    </row>
    <row r="1909" spans="114:114">
      <c r="DJ1909" s="29"/>
    </row>
    <row r="1910" spans="114:114">
      <c r="DJ1910" s="29"/>
    </row>
    <row r="1911" spans="114:114">
      <c r="DJ1911" s="29"/>
    </row>
    <row r="1912" spans="114:114">
      <c r="DJ1912" s="29"/>
    </row>
    <row r="1913" spans="114:114">
      <c r="DJ1913" s="29"/>
    </row>
    <row r="1914" spans="114:114">
      <c r="DJ1914" s="29"/>
    </row>
    <row r="1915" spans="114:114">
      <c r="DJ1915" s="29"/>
    </row>
    <row r="1916" spans="114:114">
      <c r="DJ1916" s="29"/>
    </row>
    <row r="1917" spans="114:114">
      <c r="DJ1917" s="29"/>
    </row>
    <row r="1918" spans="114:114">
      <c r="DJ1918" s="29"/>
    </row>
    <row r="1919" spans="114:114">
      <c r="DJ1919" s="29"/>
    </row>
    <row r="1920" spans="114:114">
      <c r="DJ1920" s="29"/>
    </row>
    <row r="1921" spans="114:114">
      <c r="DJ1921" s="29"/>
    </row>
    <row r="1922" spans="114:114">
      <c r="DJ1922" s="29"/>
    </row>
    <row r="1923" spans="114:114">
      <c r="DJ1923" s="29"/>
    </row>
    <row r="1924" spans="114:114">
      <c r="DJ1924" s="29"/>
    </row>
    <row r="1925" spans="114:114">
      <c r="DJ1925" s="29"/>
    </row>
    <row r="1926" spans="114:114">
      <c r="DJ1926" s="29"/>
    </row>
    <row r="1927" spans="114:114">
      <c r="DJ1927" s="29"/>
    </row>
    <row r="1928" spans="114:114">
      <c r="DJ1928" s="29"/>
    </row>
    <row r="1929" spans="114:114">
      <c r="DJ1929" s="29"/>
    </row>
    <row r="1930" spans="114:114">
      <c r="DJ1930" s="29"/>
    </row>
    <row r="1931" spans="114:114">
      <c r="DJ1931" s="29"/>
    </row>
    <row r="1932" spans="114:114">
      <c r="DJ1932" s="29"/>
    </row>
    <row r="1933" spans="114:114">
      <c r="DJ1933" s="29"/>
    </row>
    <row r="1934" spans="114:114">
      <c r="DJ1934" s="29"/>
    </row>
    <row r="1935" spans="114:114">
      <c r="DJ1935" s="29"/>
    </row>
    <row r="1936" spans="114:114">
      <c r="DJ1936" s="29"/>
    </row>
    <row r="1937" spans="114:114">
      <c r="DJ1937" s="29"/>
    </row>
    <row r="1938" spans="114:114">
      <c r="DJ1938" s="29"/>
    </row>
    <row r="1939" spans="114:114">
      <c r="DJ1939" s="29"/>
    </row>
    <row r="1940" spans="114:114">
      <c r="DJ1940" s="29"/>
    </row>
    <row r="1941" spans="114:114">
      <c r="DJ1941" s="29"/>
    </row>
    <row r="1942" spans="114:114">
      <c r="DJ1942" s="29"/>
    </row>
    <row r="1943" spans="114:114">
      <c r="DJ1943" s="29"/>
    </row>
    <row r="1944" spans="114:114">
      <c r="DJ1944" s="29"/>
    </row>
    <row r="1945" spans="114:114">
      <c r="DJ1945" s="29"/>
    </row>
    <row r="1946" spans="114:114">
      <c r="DJ1946" s="29"/>
    </row>
    <row r="1947" spans="114:114">
      <c r="DJ1947" s="29"/>
    </row>
    <row r="1948" spans="114:114">
      <c r="DJ1948" s="29"/>
    </row>
    <row r="1949" spans="114:114">
      <c r="DJ1949" s="29"/>
    </row>
    <row r="1950" spans="114:114">
      <c r="DJ1950" s="29"/>
    </row>
    <row r="1951" spans="114:114">
      <c r="DJ1951" s="29"/>
    </row>
    <row r="1952" spans="114:114">
      <c r="DJ1952" s="29"/>
    </row>
    <row r="1953" spans="114:114">
      <c r="DJ1953" s="29"/>
    </row>
    <row r="1954" spans="114:114">
      <c r="DJ1954" s="29"/>
    </row>
    <row r="1955" spans="114:114">
      <c r="DJ1955" s="29"/>
    </row>
    <row r="1956" spans="114:114">
      <c r="DJ1956" s="29"/>
    </row>
    <row r="1957" spans="114:114">
      <c r="DJ1957" s="29"/>
    </row>
    <row r="1958" spans="114:114">
      <c r="DJ1958" s="29"/>
    </row>
    <row r="1959" spans="114:114">
      <c r="DJ1959" s="29"/>
    </row>
    <row r="1960" spans="114:114">
      <c r="DJ1960" s="29"/>
    </row>
    <row r="1961" spans="114:114">
      <c r="DJ1961" s="29"/>
    </row>
    <row r="1962" spans="114:114">
      <c r="DJ1962" s="29"/>
    </row>
    <row r="1963" spans="114:114">
      <c r="DJ1963" s="29"/>
    </row>
    <row r="1964" spans="114:114">
      <c r="DJ1964" s="29"/>
    </row>
    <row r="1965" spans="114:114">
      <c r="DJ1965" s="29"/>
    </row>
    <row r="1966" spans="114:114">
      <c r="DJ1966" s="29"/>
    </row>
    <row r="1967" spans="114:114">
      <c r="DJ1967" s="29"/>
    </row>
    <row r="1968" spans="114:114">
      <c r="DJ1968" s="29"/>
    </row>
    <row r="1969" spans="114:114">
      <c r="DJ1969" s="29"/>
    </row>
    <row r="1970" spans="114:114">
      <c r="DJ1970" s="29"/>
    </row>
    <row r="1971" spans="114:114">
      <c r="DJ1971" s="29"/>
    </row>
    <row r="1972" spans="114:114">
      <c r="DJ1972" s="29"/>
    </row>
    <row r="1973" spans="114:114">
      <c r="DJ1973" s="29"/>
    </row>
    <row r="1974" spans="114:114">
      <c r="DJ1974" s="29"/>
    </row>
    <row r="1975" spans="114:114">
      <c r="DJ1975" s="29"/>
    </row>
    <row r="1976" spans="114:114">
      <c r="DJ1976" s="29"/>
    </row>
    <row r="1977" spans="114:114">
      <c r="DJ1977" s="29"/>
    </row>
    <row r="1978" spans="114:114">
      <c r="DJ1978" s="29"/>
    </row>
    <row r="1979" spans="114:114">
      <c r="DJ1979" s="29"/>
    </row>
    <row r="1980" spans="114:114">
      <c r="DJ1980" s="29"/>
    </row>
    <row r="1981" spans="114:114">
      <c r="DJ1981" s="29"/>
    </row>
    <row r="1982" spans="114:114">
      <c r="DJ1982" s="29"/>
    </row>
    <row r="1983" spans="114:114">
      <c r="DJ1983" s="29"/>
    </row>
    <row r="1984" spans="114:114">
      <c r="DJ1984" s="29"/>
    </row>
    <row r="1985" spans="114:114">
      <c r="DJ1985" s="29"/>
    </row>
    <row r="1986" spans="114:114">
      <c r="DJ1986" s="29"/>
    </row>
    <row r="1987" spans="114:114">
      <c r="DJ1987" s="29"/>
    </row>
    <row r="1988" spans="114:114">
      <c r="DJ1988" s="29"/>
    </row>
    <row r="1989" spans="114:114">
      <c r="DJ1989" s="29"/>
    </row>
    <row r="1990" spans="114:114">
      <c r="DJ1990" s="29"/>
    </row>
    <row r="1991" spans="114:114">
      <c r="DJ1991" s="29"/>
    </row>
    <row r="1992" spans="114:114">
      <c r="DJ1992" s="29"/>
    </row>
    <row r="1993" spans="114:114">
      <c r="DJ1993" s="29"/>
    </row>
    <row r="1994" spans="114:114">
      <c r="DJ1994" s="29"/>
    </row>
    <row r="1995" spans="114:114">
      <c r="DJ1995" s="29"/>
    </row>
    <row r="1996" spans="114:114">
      <c r="DJ1996" s="29"/>
    </row>
    <row r="1997" spans="114:114">
      <c r="DJ1997" s="29"/>
    </row>
    <row r="1998" spans="114:114">
      <c r="DJ1998" s="29"/>
    </row>
    <row r="1999" spans="114:114">
      <c r="DJ1999" s="29"/>
    </row>
    <row r="2000" spans="114:114">
      <c r="DJ2000" s="29"/>
    </row>
    <row r="2001" spans="114:114">
      <c r="DJ2001" s="29"/>
    </row>
    <row r="2002" spans="114:114">
      <c r="DJ2002" s="29"/>
    </row>
    <row r="2003" spans="114:114">
      <c r="DJ2003" s="29"/>
    </row>
    <row r="2004" spans="114:114">
      <c r="DJ2004" s="29"/>
    </row>
    <row r="2005" spans="114:114">
      <c r="DJ2005" s="29"/>
    </row>
    <row r="2006" spans="114:114">
      <c r="DJ2006" s="29"/>
    </row>
    <row r="2007" spans="114:114">
      <c r="DJ2007" s="29"/>
    </row>
    <row r="2008" spans="114:114">
      <c r="DJ2008" s="29"/>
    </row>
    <row r="2009" spans="114:114">
      <c r="DJ2009" s="29"/>
    </row>
    <row r="2010" spans="114:114">
      <c r="DJ2010" s="29"/>
    </row>
    <row r="2011" spans="114:114">
      <c r="DJ2011" s="29"/>
    </row>
    <row r="2012" spans="114:114">
      <c r="DJ2012" s="29"/>
    </row>
    <row r="2013" spans="114:114">
      <c r="DJ2013" s="29"/>
    </row>
    <row r="2014" spans="114:114">
      <c r="DJ2014" s="29"/>
    </row>
    <row r="2015" spans="114:114">
      <c r="DJ2015" s="29"/>
    </row>
    <row r="2016" spans="114:114">
      <c r="DJ2016" s="29"/>
    </row>
    <row r="2017" spans="114:114">
      <c r="DJ2017" s="29"/>
    </row>
    <row r="2018" spans="114:114">
      <c r="DJ2018" s="29"/>
    </row>
    <row r="2019" spans="114:114">
      <c r="DJ2019" s="29"/>
    </row>
    <row r="2020" spans="114:114">
      <c r="DJ2020" s="29"/>
    </row>
    <row r="2021" spans="114:114">
      <c r="DJ2021" s="29"/>
    </row>
    <row r="2022" spans="114:114">
      <c r="DJ2022" s="29"/>
    </row>
    <row r="2023" spans="114:114">
      <c r="DJ2023" s="29"/>
    </row>
    <row r="2024" spans="114:114">
      <c r="DJ2024" s="29"/>
    </row>
    <row r="2025" spans="114:114">
      <c r="DJ2025" s="29"/>
    </row>
    <row r="2026" spans="114:114">
      <c r="DJ2026" s="29"/>
    </row>
    <row r="2027" spans="114:114">
      <c r="DJ2027" s="29"/>
    </row>
    <row r="2028" spans="114:114">
      <c r="DJ2028" s="29"/>
    </row>
    <row r="2029" spans="114:114">
      <c r="DJ2029" s="29"/>
    </row>
    <row r="2030" spans="114:114">
      <c r="DJ2030" s="29"/>
    </row>
    <row r="2031" spans="114:114">
      <c r="DJ2031" s="29"/>
    </row>
    <row r="2032" spans="114:114">
      <c r="DJ2032" s="29"/>
    </row>
    <row r="2033" spans="114:114">
      <c r="DJ2033" s="29"/>
    </row>
    <row r="2034" spans="114:114">
      <c r="DJ2034" s="29"/>
    </row>
    <row r="2035" spans="114:114">
      <c r="DJ2035" s="29"/>
    </row>
    <row r="2036" spans="114:114">
      <c r="DJ2036" s="29"/>
    </row>
    <row r="2037" spans="114:114">
      <c r="DJ2037" s="29"/>
    </row>
    <row r="2038" spans="114:114">
      <c r="DJ2038" s="29"/>
    </row>
    <row r="2039" spans="114:114">
      <c r="DJ2039" s="29"/>
    </row>
    <row r="2040" spans="114:114">
      <c r="DJ2040" s="29"/>
    </row>
    <row r="2041" spans="114:114">
      <c r="DJ2041" s="29"/>
    </row>
    <row r="2042" spans="114:114">
      <c r="DJ2042" s="29"/>
    </row>
    <row r="2043" spans="114:114">
      <c r="DJ2043" s="29"/>
    </row>
    <row r="2044" spans="114:114">
      <c r="DJ2044" s="29"/>
    </row>
    <row r="2045" spans="114:114">
      <c r="DJ2045" s="29"/>
    </row>
    <row r="2046" spans="114:114">
      <c r="DJ2046" s="29"/>
    </row>
    <row r="2047" spans="114:114">
      <c r="DJ2047" s="29"/>
    </row>
    <row r="2048" spans="114:114">
      <c r="DJ2048" s="29"/>
    </row>
    <row r="2049" spans="114:114">
      <c r="DJ2049" s="29"/>
    </row>
    <row r="2050" spans="114:114">
      <c r="DJ2050" s="29"/>
    </row>
    <row r="2051" spans="114:114">
      <c r="DJ2051" s="29"/>
    </row>
    <row r="2052" spans="114:114">
      <c r="DJ2052" s="29"/>
    </row>
    <row r="2053" spans="114:114">
      <c r="DJ2053" s="29"/>
    </row>
    <row r="2054" spans="114:114">
      <c r="DJ2054" s="29"/>
    </row>
    <row r="2055" spans="114:114">
      <c r="DJ2055" s="29"/>
    </row>
    <row r="2056" spans="114:114">
      <c r="DJ2056" s="29"/>
    </row>
    <row r="2057" spans="114:114">
      <c r="DJ2057" s="29"/>
    </row>
    <row r="2058" spans="114:114">
      <c r="DJ2058" s="29"/>
    </row>
    <row r="2059" spans="114:114">
      <c r="DJ2059" s="29"/>
    </row>
    <row r="2060" spans="114:114">
      <c r="DJ2060" s="29"/>
    </row>
    <row r="2061" spans="114:114">
      <c r="DJ2061" s="29"/>
    </row>
    <row r="2062" spans="114:114">
      <c r="DJ2062" s="29"/>
    </row>
    <row r="2063" spans="114:114">
      <c r="DJ2063" s="29"/>
    </row>
    <row r="2064" spans="114:114">
      <c r="DJ2064" s="29"/>
    </row>
    <row r="2065" spans="114:114">
      <c r="DJ2065" s="29"/>
    </row>
    <row r="2066" spans="114:114">
      <c r="DJ2066" s="29"/>
    </row>
    <row r="2067" spans="114:114">
      <c r="DJ2067" s="29"/>
    </row>
    <row r="2068" spans="114:114">
      <c r="DJ2068" s="29"/>
    </row>
    <row r="2069" spans="114:114">
      <c r="DJ2069" s="29"/>
    </row>
    <row r="2070" spans="114:114">
      <c r="DJ2070" s="29"/>
    </row>
    <row r="2071" spans="114:114">
      <c r="DJ2071" s="29"/>
    </row>
    <row r="2072" spans="114:114">
      <c r="DJ2072" s="29"/>
    </row>
    <row r="2073" spans="114:114">
      <c r="DJ2073" s="29"/>
    </row>
    <row r="2074" spans="114:114">
      <c r="DJ2074" s="29"/>
    </row>
    <row r="2075" spans="114:114">
      <c r="DJ2075" s="29"/>
    </row>
    <row r="2076" spans="114:114">
      <c r="DJ2076" s="29"/>
    </row>
    <row r="2077" spans="114:114">
      <c r="DJ2077" s="29"/>
    </row>
    <row r="2078" spans="114:114">
      <c r="DJ2078" s="29"/>
    </row>
    <row r="2079" spans="114:114">
      <c r="DJ2079" s="29"/>
    </row>
    <row r="2080" spans="114:114">
      <c r="DJ2080" s="29"/>
    </row>
    <row r="2081" spans="114:114">
      <c r="DJ2081" s="29"/>
    </row>
    <row r="2082" spans="114:114">
      <c r="DJ2082" s="29"/>
    </row>
    <row r="2083" spans="114:114">
      <c r="DJ2083" s="29"/>
    </row>
    <row r="2084" spans="114:114">
      <c r="DJ2084" s="29"/>
    </row>
    <row r="2085" spans="114:114">
      <c r="DJ2085" s="29"/>
    </row>
    <row r="2086" spans="114:114">
      <c r="DJ2086" s="29"/>
    </row>
    <row r="2087" spans="114:114">
      <c r="DJ2087" s="29"/>
    </row>
    <row r="2088" spans="114:114">
      <c r="DJ2088" s="29"/>
    </row>
    <row r="2089" spans="114:114">
      <c r="DJ2089" s="29"/>
    </row>
    <row r="2090" spans="114:114">
      <c r="DJ2090" s="29"/>
    </row>
    <row r="2091" spans="114:114">
      <c r="DJ2091" s="29"/>
    </row>
    <row r="2092" spans="114:114">
      <c r="DJ2092" s="29"/>
    </row>
    <row r="2093" spans="114:114">
      <c r="DJ2093" s="29"/>
    </row>
    <row r="2094" spans="114:114">
      <c r="DJ2094" s="29"/>
    </row>
    <row r="2095" spans="114:114">
      <c r="DJ2095" s="29"/>
    </row>
    <row r="2096" spans="114:114">
      <c r="DJ2096" s="29"/>
    </row>
    <row r="2097" spans="114:114">
      <c r="DJ2097" s="29"/>
    </row>
    <row r="2098" spans="114:114">
      <c r="DJ2098" s="29"/>
    </row>
    <row r="2099" spans="114:114">
      <c r="DJ2099" s="29"/>
    </row>
    <row r="2100" spans="114:114">
      <c r="DJ2100" s="29"/>
    </row>
    <row r="2101" spans="114:114">
      <c r="DJ2101" s="29"/>
    </row>
    <row r="2102" spans="114:114">
      <c r="DJ2102" s="29"/>
    </row>
    <row r="2103" spans="114:114">
      <c r="DJ2103" s="29"/>
    </row>
    <row r="2104" spans="114:114">
      <c r="DJ2104" s="29"/>
    </row>
    <row r="2105" spans="114:114">
      <c r="DJ2105" s="29"/>
    </row>
    <row r="2106" spans="114:114">
      <c r="DJ2106" s="29"/>
    </row>
    <row r="2107" spans="114:114">
      <c r="DJ2107" s="29"/>
    </row>
    <row r="2108" spans="114:114">
      <c r="DJ2108" s="29"/>
    </row>
    <row r="2109" spans="114:114">
      <c r="DJ2109" s="29"/>
    </row>
    <row r="2110" spans="114:114">
      <c r="DJ2110" s="29"/>
    </row>
    <row r="2111" spans="114:114">
      <c r="DJ2111" s="29"/>
    </row>
    <row r="2112" spans="114:114">
      <c r="DJ2112" s="29"/>
    </row>
    <row r="2113" spans="114:114">
      <c r="DJ2113" s="29"/>
    </row>
    <row r="2114" spans="114:114">
      <c r="DJ2114" s="29"/>
    </row>
    <row r="2115" spans="114:114">
      <c r="DJ2115" s="29"/>
    </row>
    <row r="2116" spans="114:114">
      <c r="DJ2116" s="29"/>
    </row>
    <row r="2117" spans="114:114">
      <c r="DJ2117" s="29"/>
    </row>
    <row r="2118" spans="114:114">
      <c r="DJ2118" s="29"/>
    </row>
    <row r="2119" spans="114:114">
      <c r="DJ2119" s="29"/>
    </row>
    <row r="2120" spans="114:114">
      <c r="DJ2120" s="29"/>
    </row>
    <row r="2121" spans="114:114">
      <c r="DJ2121" s="29"/>
    </row>
    <row r="2122" spans="114:114">
      <c r="DJ2122" s="29"/>
    </row>
    <row r="2123" spans="114:114">
      <c r="DJ2123" s="29"/>
    </row>
    <row r="2124" spans="114:114">
      <c r="DJ2124" s="29"/>
    </row>
    <row r="2125" spans="114:114">
      <c r="DJ2125" s="29"/>
    </row>
    <row r="2126" spans="114:114">
      <c r="DJ2126" s="29"/>
    </row>
    <row r="2127" spans="114:114">
      <c r="DJ2127" s="29"/>
    </row>
    <row r="2128" spans="114:114">
      <c r="DJ2128" s="29"/>
    </row>
    <row r="2129" spans="114:114">
      <c r="DJ2129" s="29"/>
    </row>
    <row r="2130" spans="114:114">
      <c r="DJ2130" s="29"/>
    </row>
    <row r="2131" spans="114:114">
      <c r="DJ2131" s="29"/>
    </row>
    <row r="2132" spans="114:114">
      <c r="DJ2132" s="29"/>
    </row>
    <row r="2133" spans="114:114">
      <c r="DJ2133" s="29"/>
    </row>
    <row r="2134" spans="114:114">
      <c r="DJ2134" s="29"/>
    </row>
    <row r="2135" spans="114:114">
      <c r="DJ2135" s="29"/>
    </row>
    <row r="2136" spans="114:114">
      <c r="DJ2136" s="29"/>
    </row>
    <row r="2137" spans="114:114">
      <c r="DJ2137" s="29"/>
    </row>
    <row r="2138" spans="114:114">
      <c r="DJ2138" s="29"/>
    </row>
    <row r="2139" spans="114:114">
      <c r="DJ2139" s="29"/>
    </row>
    <row r="2140" spans="114:114">
      <c r="DJ2140" s="29"/>
    </row>
    <row r="2141" spans="114:114">
      <c r="DJ2141" s="29"/>
    </row>
    <row r="2142" spans="114:114">
      <c r="DJ2142" s="29"/>
    </row>
    <row r="2143" spans="114:114">
      <c r="DJ2143" s="29"/>
    </row>
    <row r="2144" spans="114:114">
      <c r="DJ2144" s="29"/>
    </row>
    <row r="2145" spans="114:114">
      <c r="DJ2145" s="29"/>
    </row>
    <row r="2146" spans="114:114">
      <c r="DJ2146" s="29"/>
    </row>
    <row r="2147" spans="114:114">
      <c r="DJ2147" s="29"/>
    </row>
    <row r="2148" spans="114:114">
      <c r="DJ2148" s="29"/>
    </row>
    <row r="2149" spans="114:114">
      <c r="DJ2149" s="29"/>
    </row>
    <row r="2150" spans="114:114">
      <c r="DJ2150" s="29"/>
    </row>
    <row r="2151" spans="114:114">
      <c r="DJ2151" s="29"/>
    </row>
    <row r="2152" spans="114:114">
      <c r="DJ2152" s="29"/>
    </row>
    <row r="2153" spans="114:114">
      <c r="DJ2153" s="29"/>
    </row>
    <row r="2154" spans="114:114">
      <c r="DJ2154" s="29"/>
    </row>
    <row r="2155" spans="114:114">
      <c r="DJ2155" s="29"/>
    </row>
    <row r="2156" spans="114:114">
      <c r="DJ2156" s="29"/>
    </row>
    <row r="2157" spans="114:114">
      <c r="DJ2157" s="29"/>
    </row>
    <row r="2158" spans="114:114">
      <c r="DJ2158" s="29"/>
    </row>
    <row r="2159" spans="114:114">
      <c r="DJ2159" s="29"/>
    </row>
    <row r="2160" spans="114:114">
      <c r="DJ2160" s="29"/>
    </row>
    <row r="2161" spans="114:114">
      <c r="DJ2161" s="29"/>
    </row>
    <row r="2162" spans="114:114">
      <c r="DJ2162" s="29"/>
    </row>
    <row r="2163" spans="114:114">
      <c r="DJ2163" s="29"/>
    </row>
    <row r="2164" spans="114:114">
      <c r="DJ2164" s="29"/>
    </row>
    <row r="2165" spans="114:114">
      <c r="DJ2165" s="29"/>
    </row>
    <row r="2166" spans="114:114">
      <c r="DJ2166" s="29"/>
    </row>
    <row r="2167" spans="114:114">
      <c r="DJ2167" s="29"/>
    </row>
    <row r="2168" spans="114:114">
      <c r="DJ2168" s="29"/>
    </row>
    <row r="2169" spans="114:114">
      <c r="DJ2169" s="29"/>
    </row>
    <row r="2170" spans="114:114">
      <c r="DJ2170" s="29"/>
    </row>
    <row r="2171" spans="114:114">
      <c r="DJ2171" s="29"/>
    </row>
    <row r="2172" spans="114:114">
      <c r="DJ2172" s="29"/>
    </row>
    <row r="2173" spans="114:114">
      <c r="DJ2173" s="29"/>
    </row>
    <row r="2174" spans="114:114">
      <c r="DJ2174" s="29"/>
    </row>
    <row r="2175" spans="114:114">
      <c r="DJ2175" s="29"/>
    </row>
    <row r="2176" spans="114:114">
      <c r="DJ2176" s="29"/>
    </row>
    <row r="2177" spans="114:114">
      <c r="DJ2177" s="29"/>
    </row>
    <row r="2178" spans="114:114">
      <c r="DJ2178" s="29"/>
    </row>
    <row r="2179" spans="114:114">
      <c r="DJ2179" s="29"/>
    </row>
    <row r="2180" spans="114:114">
      <c r="DJ2180" s="29"/>
    </row>
    <row r="2181" spans="114:114">
      <c r="DJ2181" s="29"/>
    </row>
    <row r="2182" spans="114:114">
      <c r="DJ2182" s="29"/>
    </row>
    <row r="2183" spans="114:114">
      <c r="DJ2183" s="29"/>
    </row>
    <row r="2184" spans="114:114">
      <c r="DJ2184" s="29"/>
    </row>
    <row r="2185" spans="114:114">
      <c r="DJ2185" s="29"/>
    </row>
    <row r="2186" spans="114:114">
      <c r="DJ2186" s="29"/>
    </row>
    <row r="2187" spans="114:114">
      <c r="DJ2187" s="29"/>
    </row>
    <row r="2188" spans="114:114">
      <c r="DJ2188" s="29"/>
    </row>
    <row r="2189" spans="114:114">
      <c r="DJ2189" s="29"/>
    </row>
    <row r="2190" spans="114:114">
      <c r="DJ2190" s="29"/>
    </row>
    <row r="2191" spans="114:114">
      <c r="DJ2191" s="29"/>
    </row>
    <row r="2192" spans="114:114">
      <c r="DJ2192" s="29"/>
    </row>
    <row r="2193" spans="114:114">
      <c r="DJ2193" s="29"/>
    </row>
    <row r="2194" spans="114:114">
      <c r="DJ2194" s="29"/>
    </row>
    <row r="2195" spans="114:114">
      <c r="DJ2195" s="29"/>
    </row>
    <row r="2196" spans="114:114">
      <c r="DJ2196" s="29"/>
    </row>
    <row r="2197" spans="114:114">
      <c r="DJ2197" s="29"/>
    </row>
    <row r="2198" spans="114:114">
      <c r="DJ2198" s="29"/>
    </row>
    <row r="2199" spans="114:114">
      <c r="DJ2199" s="29"/>
    </row>
    <row r="2200" spans="114:114">
      <c r="DJ2200" s="29"/>
    </row>
    <row r="2201" spans="114:114">
      <c r="DJ2201" s="29"/>
    </row>
    <row r="2202" spans="114:114">
      <c r="DJ2202" s="29"/>
    </row>
    <row r="2203" spans="114:114">
      <c r="DJ2203" s="29"/>
    </row>
    <row r="2204" spans="114:114">
      <c r="DJ2204" s="29"/>
    </row>
    <row r="2205" spans="114:114">
      <c r="DJ2205" s="29"/>
    </row>
    <row r="2206" spans="114:114">
      <c r="DJ2206" s="29"/>
    </row>
    <row r="2207" spans="114:114">
      <c r="DJ2207" s="29"/>
    </row>
    <row r="2208" spans="114:114">
      <c r="DJ2208" s="29"/>
    </row>
    <row r="2209" spans="114:114">
      <c r="DJ2209" s="29"/>
    </row>
    <row r="2210" spans="114:114">
      <c r="DJ2210" s="29"/>
    </row>
    <row r="2211" spans="114:114">
      <c r="DJ2211" s="29"/>
    </row>
    <row r="2212" spans="114:114">
      <c r="DJ2212" s="29"/>
    </row>
    <row r="2213" spans="114:114">
      <c r="DJ2213" s="29"/>
    </row>
    <row r="2214" spans="114:114">
      <c r="DJ2214" s="29"/>
    </row>
    <row r="2215" spans="114:114">
      <c r="DJ2215" s="29"/>
    </row>
    <row r="2216" spans="114:114">
      <c r="DJ2216" s="29"/>
    </row>
    <row r="2217" spans="114:114">
      <c r="DJ2217" s="29"/>
    </row>
    <row r="2218" spans="114:114">
      <c r="DJ2218" s="29"/>
    </row>
    <row r="2219" spans="114:114">
      <c r="DJ2219" s="29"/>
    </row>
    <row r="2220" spans="114:114">
      <c r="DJ2220" s="29"/>
    </row>
    <row r="2221" spans="114:114">
      <c r="DJ2221" s="29"/>
    </row>
    <row r="2222" spans="114:114">
      <c r="DJ2222" s="29"/>
    </row>
    <row r="2223" spans="114:114">
      <c r="DJ2223" s="29"/>
    </row>
    <row r="2224" spans="114:114">
      <c r="DJ2224" s="29"/>
    </row>
    <row r="2225" spans="114:114">
      <c r="DJ2225" s="29"/>
    </row>
    <row r="2226" spans="114:114">
      <c r="DJ2226" s="29"/>
    </row>
    <row r="2227" spans="114:114">
      <c r="DJ2227" s="29"/>
    </row>
    <row r="2228" spans="114:114">
      <c r="DJ2228" s="29"/>
    </row>
    <row r="2229" spans="114:114">
      <c r="DJ2229" s="29"/>
    </row>
    <row r="2230" spans="114:114">
      <c r="DJ2230" s="29"/>
    </row>
    <row r="2231" spans="114:114">
      <c r="DJ2231" s="29"/>
    </row>
    <row r="2232" spans="114:114">
      <c r="DJ2232" s="29"/>
    </row>
    <row r="2233" spans="114:114">
      <c r="DJ2233" s="29"/>
    </row>
    <row r="2234" spans="114:114">
      <c r="DJ2234" s="29"/>
    </row>
    <row r="2235" spans="114:114">
      <c r="DJ2235" s="29"/>
    </row>
    <row r="2236" spans="114:114">
      <c r="DJ2236" s="29"/>
    </row>
    <row r="2237" spans="114:114">
      <c r="DJ2237" s="29"/>
    </row>
    <row r="2238" spans="114:114">
      <c r="DJ2238" s="29"/>
    </row>
    <row r="2239" spans="114:114">
      <c r="DJ2239" s="29"/>
    </row>
    <row r="2240" spans="114:114">
      <c r="DJ2240" s="29"/>
    </row>
    <row r="2241" spans="114:114">
      <c r="DJ2241" s="29"/>
    </row>
    <row r="2242" spans="114:114">
      <c r="DJ2242" s="29"/>
    </row>
    <row r="2243" spans="114:114">
      <c r="DJ2243" s="29"/>
    </row>
    <row r="2244" spans="114:114">
      <c r="DJ2244" s="29"/>
    </row>
    <row r="2245" spans="114:114">
      <c r="DJ2245" s="29"/>
    </row>
    <row r="2246" spans="114:114">
      <c r="DJ2246" s="29"/>
    </row>
    <row r="2247" spans="114:114">
      <c r="DJ2247" s="29"/>
    </row>
    <row r="2248" spans="114:114">
      <c r="DJ2248" s="29"/>
    </row>
    <row r="2249" spans="114:114">
      <c r="DJ2249" s="29"/>
    </row>
    <row r="2250" spans="114:114">
      <c r="DJ2250" s="29"/>
    </row>
    <row r="2251" spans="114:114">
      <c r="DJ2251" s="29"/>
    </row>
    <row r="2252" spans="114:114">
      <c r="DJ2252" s="29"/>
    </row>
    <row r="2253" spans="114:114">
      <c r="DJ2253" s="29"/>
    </row>
    <row r="2254" spans="114:114">
      <c r="DJ2254" s="29"/>
    </row>
    <row r="2255" spans="114:114">
      <c r="DJ2255" s="29"/>
    </row>
    <row r="2256" spans="114:114">
      <c r="DJ2256" s="29"/>
    </row>
    <row r="2257" spans="114:114">
      <c r="DJ2257" s="29"/>
    </row>
    <row r="2258" spans="114:114">
      <c r="DJ2258" s="29"/>
    </row>
    <row r="2259" spans="114:114">
      <c r="DJ2259" s="29"/>
    </row>
    <row r="2260" spans="114:114">
      <c r="DJ2260" s="29"/>
    </row>
    <row r="2261" spans="114:114">
      <c r="DJ2261" s="29"/>
    </row>
    <row r="2262" spans="114:114">
      <c r="DJ2262" s="29"/>
    </row>
    <row r="2263" spans="114:114">
      <c r="DJ2263" s="29"/>
    </row>
    <row r="2264" spans="114:114">
      <c r="DJ2264" s="29"/>
    </row>
    <row r="2265" spans="114:114">
      <c r="DJ2265" s="29"/>
    </row>
    <row r="2266" spans="114:114">
      <c r="DJ2266" s="29"/>
    </row>
    <row r="2267" spans="114:114">
      <c r="DJ2267" s="29"/>
    </row>
    <row r="2268" spans="114:114">
      <c r="DJ2268" s="29"/>
    </row>
    <row r="2269" spans="114:114">
      <c r="DJ2269" s="29"/>
    </row>
    <row r="2270" spans="114:114">
      <c r="DJ2270" s="29"/>
    </row>
    <row r="2271" spans="114:114">
      <c r="DJ2271" s="29"/>
    </row>
    <row r="2272" spans="114:114">
      <c r="DJ2272" s="29"/>
    </row>
    <row r="2273" spans="114:114">
      <c r="DJ2273" s="29"/>
    </row>
    <row r="2274" spans="114:114">
      <c r="DJ2274" s="29"/>
    </row>
    <row r="2275" spans="114:114">
      <c r="DJ2275" s="29"/>
    </row>
    <row r="2276" spans="114:114">
      <c r="DJ2276" s="29"/>
    </row>
    <row r="2277" spans="114:114">
      <c r="DJ2277" s="29"/>
    </row>
    <row r="2278" spans="114:114">
      <c r="DJ2278" s="29"/>
    </row>
    <row r="2279" spans="114:114">
      <c r="DJ2279" s="29"/>
    </row>
    <row r="2280" spans="114:114">
      <c r="DJ2280" s="29"/>
    </row>
    <row r="2281" spans="114:114">
      <c r="DJ2281" s="29"/>
    </row>
    <row r="2282" spans="114:114">
      <c r="DJ2282" s="29"/>
    </row>
    <row r="2283" spans="114:114">
      <c r="DJ2283" s="29"/>
    </row>
    <row r="2284" spans="114:114">
      <c r="DJ2284" s="29"/>
    </row>
    <row r="2285" spans="114:114">
      <c r="DJ2285" s="29"/>
    </row>
    <row r="2286" spans="114:114">
      <c r="DJ2286" s="29"/>
    </row>
    <row r="2287" spans="114:114">
      <c r="DJ2287" s="29"/>
    </row>
    <row r="2288" spans="114:114">
      <c r="DJ2288" s="29"/>
    </row>
    <row r="2289" spans="114:114">
      <c r="DJ2289" s="29"/>
    </row>
    <row r="2290" spans="114:114">
      <c r="DJ2290" s="29"/>
    </row>
    <row r="2291" spans="114:114">
      <c r="DJ2291" s="29"/>
    </row>
    <row r="2292" spans="114:114">
      <c r="DJ2292" s="29"/>
    </row>
    <row r="2293" spans="114:114">
      <c r="DJ2293" s="29"/>
    </row>
    <row r="2294" spans="114:114">
      <c r="DJ2294" s="29"/>
    </row>
    <row r="2295" spans="114:114">
      <c r="DJ2295" s="29"/>
    </row>
    <row r="2296" spans="114:114">
      <c r="DJ2296" s="29"/>
    </row>
    <row r="2297" spans="114:114">
      <c r="DJ2297" s="29"/>
    </row>
    <row r="2298" spans="114:114">
      <c r="DJ2298" s="29"/>
    </row>
    <row r="2299" spans="114:114">
      <c r="DJ2299" s="29"/>
    </row>
    <row r="2300" spans="114:114">
      <c r="DJ2300" s="29"/>
    </row>
    <row r="2301" spans="114:114">
      <c r="DJ2301" s="29"/>
    </row>
    <row r="2302" spans="114:114">
      <c r="DJ2302" s="29"/>
    </row>
    <row r="2303" spans="114:114">
      <c r="DJ2303" s="29"/>
    </row>
    <row r="2304" spans="114:114">
      <c r="DJ2304" s="29"/>
    </row>
    <row r="2305" spans="114:114">
      <c r="DJ2305" s="29"/>
    </row>
    <row r="2306" spans="114:114">
      <c r="DJ2306" s="29"/>
    </row>
    <row r="2307" spans="114:114">
      <c r="DJ2307" s="29"/>
    </row>
    <row r="2308" spans="114:114">
      <c r="DJ2308" s="29"/>
    </row>
    <row r="2309" spans="114:114">
      <c r="DJ2309" s="29"/>
    </row>
    <row r="2310" spans="114:114">
      <c r="DJ2310" s="29"/>
    </row>
    <row r="2311" spans="114:114">
      <c r="DJ2311" s="29"/>
    </row>
    <row r="2312" spans="114:114">
      <c r="DJ2312" s="29"/>
    </row>
    <row r="2313" spans="114:114">
      <c r="DJ2313" s="29"/>
    </row>
    <row r="2314" spans="114:114">
      <c r="DJ2314" s="29"/>
    </row>
    <row r="2315" spans="114:114">
      <c r="DJ2315" s="29"/>
    </row>
    <row r="2316" spans="114:114">
      <c r="DJ2316" s="29"/>
    </row>
    <row r="2317" spans="114:114">
      <c r="DJ2317" s="29"/>
    </row>
    <row r="2318" spans="114:114">
      <c r="DJ2318" s="29"/>
    </row>
    <row r="2319" spans="114:114">
      <c r="DJ2319" s="29"/>
    </row>
    <row r="2320" spans="114:114">
      <c r="DJ2320" s="29"/>
    </row>
    <row r="2321" spans="114:114">
      <c r="DJ2321" s="29"/>
    </row>
    <row r="2322" spans="114:114">
      <c r="DJ2322" s="29"/>
    </row>
    <row r="2323" spans="114:114">
      <c r="DJ2323" s="29"/>
    </row>
    <row r="2324" spans="114:114">
      <c r="DJ2324" s="29"/>
    </row>
    <row r="2325" spans="114:114">
      <c r="DJ2325" s="29"/>
    </row>
    <row r="2326" spans="114:114">
      <c r="DJ2326" s="29"/>
    </row>
    <row r="2327" spans="114:114">
      <c r="DJ2327" s="29"/>
    </row>
    <row r="2328" spans="114:114">
      <c r="DJ2328" s="29"/>
    </row>
    <row r="2329" spans="114:114">
      <c r="DJ2329" s="29"/>
    </row>
    <row r="2330" spans="114:114">
      <c r="DJ2330" s="29"/>
    </row>
    <row r="2331" spans="114:114">
      <c r="DJ2331" s="29"/>
    </row>
    <row r="2332" spans="114:114">
      <c r="DJ2332" s="29"/>
    </row>
    <row r="2333" spans="114:114">
      <c r="DJ2333" s="29"/>
    </row>
    <row r="2334" spans="114:114">
      <c r="DJ2334" s="29"/>
    </row>
    <row r="2335" spans="114:114">
      <c r="DJ2335" s="29"/>
    </row>
    <row r="2336" spans="114:114">
      <c r="DJ2336" s="29"/>
    </row>
    <row r="2337" spans="114:114">
      <c r="DJ2337" s="29"/>
    </row>
    <row r="2338" spans="114:114">
      <c r="DJ2338" s="29"/>
    </row>
    <row r="2339" spans="114:114">
      <c r="DJ2339" s="29"/>
    </row>
    <row r="2340" spans="114:114">
      <c r="DJ2340" s="29"/>
    </row>
    <row r="2341" spans="114:114">
      <c r="DJ2341" s="29"/>
    </row>
    <row r="2342" spans="114:114">
      <c r="DJ2342" s="29"/>
    </row>
    <row r="2343" spans="114:114">
      <c r="DJ2343" s="29"/>
    </row>
    <row r="2344" spans="114:114">
      <c r="DJ2344" s="29"/>
    </row>
    <row r="2345" spans="114:114">
      <c r="DJ2345" s="29"/>
    </row>
    <row r="2346" spans="114:114">
      <c r="DJ2346" s="29"/>
    </row>
    <row r="2347" spans="114:114">
      <c r="DJ2347" s="29"/>
    </row>
    <row r="2348" spans="114:114">
      <c r="DJ2348" s="29"/>
    </row>
    <row r="2349" spans="114:114">
      <c r="DJ2349" s="29"/>
    </row>
    <row r="2350" spans="114:114">
      <c r="DJ2350" s="29"/>
    </row>
    <row r="2351" spans="114:114">
      <c r="DJ2351" s="29"/>
    </row>
    <row r="2352" spans="114:114">
      <c r="DJ2352" s="29"/>
    </row>
    <row r="2353" spans="114:114">
      <c r="DJ2353" s="29"/>
    </row>
    <row r="2354" spans="114:114">
      <c r="DJ2354" s="29"/>
    </row>
    <row r="2355" spans="114:114">
      <c r="DJ2355" s="29"/>
    </row>
    <row r="2356" spans="114:114">
      <c r="DJ2356" s="29"/>
    </row>
    <row r="2357" spans="114:114">
      <c r="DJ2357" s="29"/>
    </row>
    <row r="2358" spans="114:114">
      <c r="DJ2358" s="29"/>
    </row>
    <row r="2359" spans="114:114">
      <c r="DJ2359" s="29"/>
    </row>
    <row r="2360" spans="114:114">
      <c r="DJ2360" s="29"/>
    </row>
    <row r="2361" spans="114:114">
      <c r="DJ2361" s="29"/>
    </row>
    <row r="2362" spans="114:114">
      <c r="DJ2362" s="29"/>
    </row>
    <row r="2363" spans="114:114">
      <c r="DJ2363" s="29"/>
    </row>
    <row r="2364" spans="114:114">
      <c r="DJ2364" s="29"/>
    </row>
    <row r="2365" spans="114:114">
      <c r="DJ2365" s="29"/>
    </row>
    <row r="2366" spans="114:114">
      <c r="DJ2366" s="29"/>
    </row>
    <row r="2367" spans="114:114">
      <c r="DJ2367" s="29"/>
    </row>
    <row r="2368" spans="114:114">
      <c r="DJ2368" s="29"/>
    </row>
    <row r="2369" spans="114:114">
      <c r="DJ2369" s="29"/>
    </row>
    <row r="2370" spans="114:114">
      <c r="DJ2370" s="29"/>
    </row>
    <row r="2371" spans="114:114">
      <c r="DJ2371" s="29"/>
    </row>
    <row r="2372" spans="114:114">
      <c r="DJ2372" s="29"/>
    </row>
    <row r="2373" spans="114:114">
      <c r="DJ2373" s="29"/>
    </row>
    <row r="2374" spans="114:114">
      <c r="DJ2374" s="29"/>
    </row>
    <row r="2375" spans="114:114">
      <c r="DJ2375" s="29"/>
    </row>
    <row r="2376" spans="114:114">
      <c r="DJ2376" s="29"/>
    </row>
    <row r="2377" spans="114:114">
      <c r="DJ2377" s="29"/>
    </row>
    <row r="2378" spans="114:114">
      <c r="DJ2378" s="29"/>
    </row>
    <row r="2379" spans="114:114">
      <c r="DJ2379" s="29"/>
    </row>
    <row r="2380" spans="114:114">
      <c r="DJ2380" s="29"/>
    </row>
    <row r="2381" spans="114:114">
      <c r="DJ2381" s="29"/>
    </row>
    <row r="2382" spans="114:114">
      <c r="DJ2382" s="29"/>
    </row>
    <row r="2383" spans="114:114">
      <c r="DJ2383" s="29"/>
    </row>
    <row r="2384" spans="114:114">
      <c r="DJ2384" s="29"/>
    </row>
    <row r="2385" spans="114:114">
      <c r="DJ2385" s="29"/>
    </row>
    <row r="2386" spans="114:114">
      <c r="DJ2386" s="29"/>
    </row>
    <row r="2387" spans="114:114">
      <c r="DJ2387" s="29"/>
    </row>
    <row r="2388" spans="114:114">
      <c r="DJ2388" s="29"/>
    </row>
    <row r="2389" spans="114:114">
      <c r="DJ2389" s="29"/>
    </row>
    <row r="2390" spans="114:114">
      <c r="DJ2390" s="29"/>
    </row>
    <row r="2391" spans="114:114">
      <c r="DJ2391" s="29"/>
    </row>
    <row r="2392" spans="114:114">
      <c r="DJ2392" s="29"/>
    </row>
    <row r="2393" spans="114:114">
      <c r="DJ2393" s="29"/>
    </row>
    <row r="2394" spans="114:114">
      <c r="DJ2394" s="29"/>
    </row>
    <row r="2395" spans="114:114">
      <c r="DJ2395" s="29"/>
    </row>
    <row r="2396" spans="114:114">
      <c r="DJ2396" s="29"/>
    </row>
    <row r="2397" spans="114:114">
      <c r="DJ2397" s="29"/>
    </row>
    <row r="2398" spans="114:114">
      <c r="DJ2398" s="29"/>
    </row>
    <row r="2399" spans="114:114">
      <c r="DJ2399" s="29"/>
    </row>
    <row r="2400" spans="114:114">
      <c r="DJ2400" s="29"/>
    </row>
    <row r="2401" spans="114:114">
      <c r="DJ2401" s="29"/>
    </row>
    <row r="2402" spans="114:114">
      <c r="DJ2402" s="29"/>
    </row>
    <row r="2403" spans="114:114">
      <c r="DJ2403" s="29"/>
    </row>
    <row r="2404" spans="114:114">
      <c r="DJ2404" s="29"/>
    </row>
    <row r="2405" spans="114:114">
      <c r="DJ2405" s="29"/>
    </row>
    <row r="2406" spans="114:114">
      <c r="DJ2406" s="29"/>
    </row>
    <row r="2407" spans="114:114">
      <c r="DJ2407" s="29"/>
    </row>
    <row r="2408" spans="114:114">
      <c r="DJ2408" s="29"/>
    </row>
    <row r="2409" spans="114:114">
      <c r="DJ2409" s="29"/>
    </row>
    <row r="2410" spans="114:114">
      <c r="DJ2410" s="29"/>
    </row>
    <row r="2411" spans="114:114">
      <c r="DJ2411" s="29"/>
    </row>
    <row r="2412" spans="114:114">
      <c r="DJ2412" s="29"/>
    </row>
    <row r="2413" spans="114:114">
      <c r="DJ2413" s="29"/>
    </row>
    <row r="2414" spans="114:114">
      <c r="DJ2414" s="29"/>
    </row>
    <row r="2415" spans="114:114">
      <c r="DJ2415" s="29"/>
    </row>
    <row r="2416" spans="114:114">
      <c r="DJ2416" s="29"/>
    </row>
    <row r="2417" spans="114:114">
      <c r="DJ2417" s="29"/>
    </row>
    <row r="2418" spans="114:114">
      <c r="DJ2418" s="29"/>
    </row>
    <row r="2419" spans="114:114">
      <c r="DJ2419" s="29"/>
    </row>
    <row r="2420" spans="114:114">
      <c r="DJ2420" s="29"/>
    </row>
    <row r="2421" spans="114:114">
      <c r="DJ2421" s="29"/>
    </row>
    <row r="2422" spans="114:114">
      <c r="DJ2422" s="29"/>
    </row>
    <row r="2423" spans="114:114">
      <c r="DJ2423" s="29"/>
    </row>
    <row r="2424" spans="114:114">
      <c r="DJ2424" s="29"/>
    </row>
    <row r="2425" spans="114:114">
      <c r="DJ2425" s="29"/>
    </row>
    <row r="2426" spans="114:114">
      <c r="DJ2426" s="29"/>
    </row>
    <row r="2427" spans="114:114">
      <c r="DJ2427" s="29"/>
    </row>
    <row r="2428" spans="114:114">
      <c r="DJ2428" s="29"/>
    </row>
    <row r="2429" spans="114:114">
      <c r="DJ2429" s="29"/>
    </row>
    <row r="2430" spans="114:114">
      <c r="DJ2430" s="29"/>
    </row>
    <row r="2431" spans="114:114">
      <c r="DJ2431" s="29"/>
    </row>
    <row r="2432" spans="114:114">
      <c r="DJ2432" s="29"/>
    </row>
    <row r="2433" spans="114:114">
      <c r="DJ2433" s="29"/>
    </row>
    <row r="2434" spans="114:114">
      <c r="DJ2434" s="29"/>
    </row>
    <row r="2435" spans="114:114">
      <c r="DJ2435" s="29"/>
    </row>
    <row r="2436" spans="114:114">
      <c r="DJ2436" s="29"/>
    </row>
    <row r="2437" spans="114:114">
      <c r="DJ2437" s="29"/>
    </row>
    <row r="2438" spans="114:114">
      <c r="DJ2438" s="29"/>
    </row>
    <row r="2439" spans="114:114">
      <c r="DJ2439" s="29"/>
    </row>
    <row r="2440" spans="114:114">
      <c r="DJ2440" s="29"/>
    </row>
    <row r="2441" spans="114:114">
      <c r="DJ2441" s="29"/>
    </row>
    <row r="2442" spans="114:114">
      <c r="DJ2442" s="29"/>
    </row>
    <row r="2443" spans="114:114">
      <c r="DJ2443" s="29"/>
    </row>
    <row r="2444" spans="114:114">
      <c r="DJ2444" s="29"/>
    </row>
    <row r="2445" spans="114:114">
      <c r="DJ2445" s="29"/>
    </row>
    <row r="2446" spans="114:114">
      <c r="DJ2446" s="29"/>
    </row>
    <row r="2447" spans="114:114">
      <c r="DJ2447" s="29"/>
    </row>
    <row r="2448" spans="114:114">
      <c r="DJ2448" s="29"/>
    </row>
    <row r="2449" spans="114:114">
      <c r="DJ2449" s="29"/>
    </row>
    <row r="2450" spans="114:114">
      <c r="DJ2450" s="29"/>
    </row>
    <row r="2451" spans="114:114">
      <c r="DJ2451" s="29"/>
    </row>
    <row r="2452" spans="114:114">
      <c r="DJ2452" s="29"/>
    </row>
    <row r="2453" spans="114:114">
      <c r="DJ2453" s="29"/>
    </row>
    <row r="2454" spans="114:114">
      <c r="DJ2454" s="29"/>
    </row>
    <row r="2455" spans="114:114">
      <c r="DJ2455" s="29"/>
    </row>
    <row r="2456" spans="114:114">
      <c r="DJ2456" s="29"/>
    </row>
    <row r="2457" spans="114:114">
      <c r="DJ2457" s="29"/>
    </row>
    <row r="2458" spans="114:114">
      <c r="DJ2458" s="29"/>
    </row>
    <row r="2459" spans="114:114">
      <c r="DJ2459" s="29"/>
    </row>
    <row r="2460" spans="114:114">
      <c r="DJ2460" s="29"/>
    </row>
    <row r="2461" spans="114:114">
      <c r="DJ2461" s="29"/>
    </row>
    <row r="2462" spans="114:114">
      <c r="DJ2462" s="29"/>
    </row>
    <row r="2463" spans="114:114">
      <c r="DJ2463" s="29"/>
    </row>
    <row r="2464" spans="114:114">
      <c r="DJ2464" s="29"/>
    </row>
    <row r="2465" spans="114:114">
      <c r="DJ2465" s="29"/>
    </row>
    <row r="2466" spans="114:114">
      <c r="DJ2466" s="29"/>
    </row>
    <row r="2467" spans="114:114">
      <c r="DJ2467" s="29"/>
    </row>
    <row r="2468" spans="114:114">
      <c r="DJ2468" s="29"/>
    </row>
    <row r="2469" spans="114:114">
      <c r="DJ2469" s="29"/>
    </row>
    <row r="2470" spans="114:114">
      <c r="DJ2470" s="29"/>
    </row>
    <row r="2471" spans="114:114">
      <c r="DJ2471" s="29"/>
    </row>
    <row r="2472" spans="114:114">
      <c r="DJ2472" s="29"/>
    </row>
    <row r="2473" spans="114:114">
      <c r="DJ2473" s="29"/>
    </row>
    <row r="2474" spans="114:114">
      <c r="DJ2474" s="29"/>
    </row>
    <row r="2475" spans="114:114">
      <c r="DJ2475" s="29"/>
    </row>
    <row r="2476" spans="114:114">
      <c r="DJ2476" s="29"/>
    </row>
    <row r="2477" spans="114:114">
      <c r="DJ2477" s="29"/>
    </row>
    <row r="2478" spans="114:114">
      <c r="DJ2478" s="29"/>
    </row>
    <row r="2479" spans="114:114">
      <c r="DJ2479" s="29"/>
    </row>
    <row r="2480" spans="114:114">
      <c r="DJ2480" s="29"/>
    </row>
    <row r="2481" spans="114:114">
      <c r="DJ2481" s="29"/>
    </row>
    <row r="2482" spans="114:114">
      <c r="DJ2482" s="29"/>
    </row>
    <row r="2483" spans="114:114">
      <c r="DJ2483" s="29"/>
    </row>
    <row r="2484" spans="114:114">
      <c r="DJ2484" s="29"/>
    </row>
    <row r="2485" spans="114:114">
      <c r="DJ2485" s="29"/>
    </row>
    <row r="2486" spans="114:114">
      <c r="DJ2486" s="29"/>
    </row>
    <row r="2487" spans="114:114">
      <c r="DJ2487" s="29"/>
    </row>
    <row r="2488" spans="114:114">
      <c r="DJ2488" s="29"/>
    </row>
    <row r="2489" spans="114:114">
      <c r="DJ2489" s="29"/>
    </row>
    <row r="2490" spans="114:114">
      <c r="DJ2490" s="29"/>
    </row>
    <row r="2491" spans="114:114">
      <c r="DJ2491" s="29"/>
    </row>
    <row r="2492" spans="114:114">
      <c r="DJ2492" s="29"/>
    </row>
    <row r="2493" spans="114:114">
      <c r="DJ2493" s="29"/>
    </row>
    <row r="2494" spans="114:114">
      <c r="DJ2494" s="29"/>
    </row>
    <row r="2495" spans="114:114">
      <c r="DJ2495" s="29"/>
    </row>
    <row r="2496" spans="114:114">
      <c r="DJ2496" s="29"/>
    </row>
    <row r="2497" spans="114:114">
      <c r="DJ2497" s="29"/>
    </row>
    <row r="2498" spans="114:114">
      <c r="DJ2498" s="29"/>
    </row>
    <row r="2499" spans="114:114">
      <c r="DJ2499" s="29"/>
    </row>
    <row r="2500" spans="114:114">
      <c r="DJ2500" s="29"/>
    </row>
    <row r="2501" spans="114:114">
      <c r="DJ2501" s="29"/>
    </row>
    <row r="2502" spans="114:114">
      <c r="DJ2502" s="29"/>
    </row>
    <row r="2503" spans="114:114">
      <c r="DJ2503" s="29"/>
    </row>
    <row r="2504" spans="114:114">
      <c r="DJ2504" s="29"/>
    </row>
    <row r="2505" spans="114:114">
      <c r="DJ2505" s="29"/>
    </row>
    <row r="2506" spans="114:114">
      <c r="DJ2506" s="29"/>
    </row>
    <row r="2507" spans="114:114">
      <c r="DJ2507" s="29"/>
    </row>
    <row r="2508" spans="114:114">
      <c r="DJ2508" s="29"/>
    </row>
    <row r="2509" spans="114:114">
      <c r="DJ2509" s="29"/>
    </row>
    <row r="2510" spans="114:114">
      <c r="DJ2510" s="29"/>
    </row>
    <row r="2511" spans="114:114">
      <c r="DJ2511" s="29"/>
    </row>
    <row r="2512" spans="114:114">
      <c r="DJ2512" s="29"/>
    </row>
    <row r="2513" spans="114:114">
      <c r="DJ2513" s="29"/>
    </row>
    <row r="2514" spans="114:114">
      <c r="DJ2514" s="29"/>
    </row>
    <row r="2515" spans="114:114">
      <c r="DJ2515" s="29"/>
    </row>
    <row r="2516" spans="114:114">
      <c r="DJ2516" s="29"/>
    </row>
    <row r="2517" spans="114:114">
      <c r="DJ2517" s="29"/>
    </row>
    <row r="2518" spans="114:114">
      <c r="DJ2518" s="29"/>
    </row>
    <row r="2519" spans="114:114">
      <c r="DJ2519" s="29"/>
    </row>
    <row r="2520" spans="114:114">
      <c r="DJ2520" s="29"/>
    </row>
    <row r="2521" spans="114:114">
      <c r="DJ2521" s="29"/>
    </row>
    <row r="2522" spans="114:114">
      <c r="DJ2522" s="29"/>
    </row>
    <row r="2523" spans="114:114">
      <c r="DJ2523" s="29"/>
    </row>
    <row r="2524" spans="114:114">
      <c r="DJ2524" s="29"/>
    </row>
    <row r="2525" spans="114:114">
      <c r="DJ2525" s="29"/>
    </row>
    <row r="2526" spans="114:114">
      <c r="DJ2526" s="29"/>
    </row>
    <row r="2527" spans="114:114">
      <c r="DJ2527" s="29"/>
    </row>
    <row r="2528" spans="114:114">
      <c r="DJ2528" s="29"/>
    </row>
    <row r="2529" spans="114:114">
      <c r="DJ2529" s="29"/>
    </row>
    <row r="2530" spans="114:114">
      <c r="DJ2530" s="29"/>
    </row>
    <row r="2531" spans="114:114">
      <c r="DJ2531" s="29"/>
    </row>
    <row r="2532" spans="114:114">
      <c r="DJ2532" s="29"/>
    </row>
    <row r="2533" spans="114:114">
      <c r="DJ2533" s="29"/>
    </row>
    <row r="2534" spans="114:114">
      <c r="DJ2534" s="29"/>
    </row>
    <row r="2535" spans="114:114">
      <c r="DJ2535" s="29"/>
    </row>
    <row r="2536" spans="114:114">
      <c r="DJ2536" s="29"/>
    </row>
    <row r="2537" spans="114:114">
      <c r="DJ2537" s="29"/>
    </row>
    <row r="2538" spans="114:114">
      <c r="DJ2538" s="29"/>
    </row>
    <row r="2539" spans="114:114">
      <c r="DJ2539" s="29"/>
    </row>
    <row r="2540" spans="114:114">
      <c r="DJ2540" s="29"/>
    </row>
    <row r="2541" spans="114:114">
      <c r="DJ2541" s="29"/>
    </row>
    <row r="2542" spans="114:114">
      <c r="DJ2542" s="29"/>
    </row>
    <row r="2543" spans="114:114">
      <c r="DJ2543" s="29"/>
    </row>
    <row r="2544" spans="114:114">
      <c r="DJ2544" s="29"/>
    </row>
    <row r="2545" spans="114:114">
      <c r="DJ2545" s="29"/>
    </row>
    <row r="2546" spans="114:114">
      <c r="DJ2546" s="29"/>
    </row>
    <row r="2547" spans="114:114">
      <c r="DJ2547" s="29"/>
    </row>
    <row r="2548" spans="114:114">
      <c r="DJ2548" s="29"/>
    </row>
    <row r="2549" spans="114:114">
      <c r="DJ2549" s="29"/>
    </row>
    <row r="2550" spans="114:114">
      <c r="DJ2550" s="29"/>
    </row>
    <row r="2551" spans="114:114">
      <c r="DJ2551" s="29"/>
    </row>
    <row r="2552" spans="114:114">
      <c r="DJ2552" s="29"/>
    </row>
    <row r="2553" spans="114:114">
      <c r="DJ2553" s="29"/>
    </row>
    <row r="2554" spans="114:114">
      <c r="DJ2554" s="29"/>
    </row>
    <row r="2555" spans="114:114">
      <c r="DJ2555" s="29"/>
    </row>
    <row r="2556" spans="114:114">
      <c r="DJ2556" s="29"/>
    </row>
    <row r="2557" spans="114:114">
      <c r="DJ2557" s="29"/>
    </row>
    <row r="2558" spans="114:114">
      <c r="DJ2558" s="29"/>
    </row>
    <row r="2559" spans="114:114">
      <c r="DJ2559" s="29"/>
    </row>
    <row r="2560" spans="114:114">
      <c r="DJ2560" s="29"/>
    </row>
    <row r="2561" spans="114:114">
      <c r="DJ2561" s="29"/>
    </row>
    <row r="2562" spans="114:114">
      <c r="DJ2562" s="29"/>
    </row>
    <row r="2563" spans="114:114">
      <c r="DJ2563" s="29"/>
    </row>
    <row r="2564" spans="114:114">
      <c r="DJ2564" s="29"/>
    </row>
    <row r="2565" spans="114:114">
      <c r="DJ2565" s="29"/>
    </row>
    <row r="2566" spans="114:114">
      <c r="DJ2566" s="29"/>
    </row>
    <row r="2567" spans="114:114">
      <c r="DJ2567" s="29"/>
    </row>
    <row r="2568" spans="114:114">
      <c r="DJ2568" s="29"/>
    </row>
    <row r="2569" spans="114:114">
      <c r="DJ2569" s="29"/>
    </row>
    <row r="2570" spans="114:114">
      <c r="DJ2570" s="29"/>
    </row>
    <row r="2571" spans="114:114">
      <c r="DJ2571" s="29"/>
    </row>
    <row r="2572" spans="114:114">
      <c r="DJ2572" s="29"/>
    </row>
    <row r="2573" spans="114:114">
      <c r="DJ2573" s="29"/>
    </row>
    <row r="2574" spans="114:114">
      <c r="DJ2574" s="29"/>
    </row>
    <row r="2575" spans="114:114">
      <c r="DJ2575" s="29"/>
    </row>
    <row r="2576" spans="114:114">
      <c r="DJ2576" s="29"/>
    </row>
    <row r="2577" spans="114:114">
      <c r="DJ2577" s="29"/>
    </row>
    <row r="2578" spans="114:114">
      <c r="DJ2578" s="29"/>
    </row>
    <row r="2579" spans="114:114">
      <c r="DJ2579" s="29"/>
    </row>
    <row r="2580" spans="114:114">
      <c r="DJ2580" s="29"/>
    </row>
    <row r="2581" spans="114:114">
      <c r="DJ2581" s="29"/>
    </row>
    <row r="2582" spans="114:114">
      <c r="DJ2582" s="29"/>
    </row>
    <row r="2583" spans="114:114">
      <c r="DJ2583" s="29"/>
    </row>
    <row r="2584" spans="114:114">
      <c r="DJ2584" s="29"/>
    </row>
    <row r="2585" spans="114:114">
      <c r="DJ2585" s="29"/>
    </row>
    <row r="2586" spans="114:114">
      <c r="DJ2586" s="29"/>
    </row>
    <row r="2587" spans="114:114">
      <c r="DJ2587" s="29"/>
    </row>
    <row r="2588" spans="114:114">
      <c r="DJ2588" s="29"/>
    </row>
    <row r="2589" spans="114:114">
      <c r="DJ2589" s="29"/>
    </row>
    <row r="2590" spans="114:114">
      <c r="DJ2590" s="29"/>
    </row>
    <row r="2591" spans="114:114">
      <c r="DJ2591" s="29"/>
    </row>
    <row r="2592" spans="114:114">
      <c r="DJ2592" s="29"/>
    </row>
    <row r="2593" spans="114:114">
      <c r="DJ2593" s="29"/>
    </row>
    <row r="2594" spans="114:114">
      <c r="DJ2594" s="29"/>
    </row>
    <row r="2595" spans="114:114">
      <c r="DJ2595" s="29"/>
    </row>
    <row r="2596" spans="114:114">
      <c r="DJ2596" s="29"/>
    </row>
    <row r="2597" spans="114:114">
      <c r="DJ2597" s="29"/>
    </row>
    <row r="2598" spans="114:114">
      <c r="DJ2598" s="29"/>
    </row>
    <row r="2599" spans="114:114">
      <c r="DJ2599" s="29"/>
    </row>
    <row r="2600" spans="114:114">
      <c r="DJ2600" s="29"/>
    </row>
    <row r="2601" spans="114:114">
      <c r="DJ2601" s="29"/>
    </row>
    <row r="2602" spans="114:114">
      <c r="DJ2602" s="29"/>
    </row>
    <row r="2603" spans="114:114">
      <c r="DJ2603" s="29"/>
    </row>
    <row r="2604" spans="114:114">
      <c r="DJ2604" s="29"/>
    </row>
    <row r="2605" spans="114:114">
      <c r="DJ2605" s="29"/>
    </row>
    <row r="2606" spans="114:114">
      <c r="DJ2606" s="29"/>
    </row>
    <row r="2607" spans="114:114">
      <c r="DJ2607" s="29"/>
    </row>
    <row r="2608" spans="114:114">
      <c r="DJ2608" s="29"/>
    </row>
    <row r="2609" spans="114:114">
      <c r="DJ2609" s="29"/>
    </row>
    <row r="2610" spans="114:114">
      <c r="DJ2610" s="29"/>
    </row>
    <row r="2611" spans="114:114">
      <c r="DJ2611" s="29"/>
    </row>
    <row r="2612" spans="114:114">
      <c r="DJ2612" s="29"/>
    </row>
    <row r="2613" spans="114:114">
      <c r="DJ2613" s="29"/>
    </row>
    <row r="2614" spans="114:114">
      <c r="DJ2614" s="29"/>
    </row>
    <row r="2615" spans="114:114">
      <c r="DJ2615" s="29"/>
    </row>
    <row r="2616" spans="114:114">
      <c r="DJ2616" s="29"/>
    </row>
    <row r="2617" spans="114:114">
      <c r="DJ2617" s="29"/>
    </row>
    <row r="2618" spans="114:114">
      <c r="DJ2618" s="29"/>
    </row>
    <row r="2619" spans="114:114">
      <c r="DJ2619" s="29"/>
    </row>
    <row r="2620" spans="114:114">
      <c r="DJ2620" s="29"/>
    </row>
    <row r="2621" spans="114:114">
      <c r="DJ2621" s="29"/>
    </row>
    <row r="2622" spans="114:114">
      <c r="DJ2622" s="29"/>
    </row>
    <row r="2623" spans="114:114">
      <c r="DJ2623" s="29"/>
    </row>
    <row r="2624" spans="114:114">
      <c r="DJ2624" s="29"/>
    </row>
    <row r="2625" spans="114:114">
      <c r="DJ2625" s="29"/>
    </row>
    <row r="2626" spans="114:114">
      <c r="DJ2626" s="29"/>
    </row>
    <row r="2627" spans="114:114">
      <c r="DJ2627" s="29"/>
    </row>
    <row r="2628" spans="114:114">
      <c r="DJ2628" s="29"/>
    </row>
    <row r="2629" spans="114:114">
      <c r="DJ2629" s="29"/>
    </row>
    <row r="2630" spans="114:114">
      <c r="DJ2630" s="29"/>
    </row>
    <row r="2631" spans="114:114">
      <c r="DJ2631" s="29"/>
    </row>
    <row r="2632" spans="114:114">
      <c r="DJ2632" s="29"/>
    </row>
    <row r="2633" spans="114:114">
      <c r="DJ2633" s="29"/>
    </row>
    <row r="2634" spans="114:114">
      <c r="DJ2634" s="29"/>
    </row>
    <row r="2635" spans="114:114">
      <c r="DJ2635" s="29"/>
    </row>
    <row r="2636" spans="114:114">
      <c r="DJ2636" s="29"/>
    </row>
    <row r="2637" spans="114:114">
      <c r="DJ2637" s="29"/>
    </row>
    <row r="2638" spans="114:114">
      <c r="DJ2638" s="29"/>
    </row>
    <row r="2639" spans="114:114">
      <c r="DJ2639" s="29"/>
    </row>
    <row r="2640" spans="114:114">
      <c r="DJ2640" s="29"/>
    </row>
    <row r="2641" spans="114:114">
      <c r="DJ2641" s="29"/>
    </row>
    <row r="2642" spans="114:114">
      <c r="DJ2642" s="29"/>
    </row>
    <row r="2643" spans="114:114">
      <c r="DJ2643" s="29"/>
    </row>
    <row r="2644" spans="114:114">
      <c r="DJ2644" s="29"/>
    </row>
    <row r="2645" spans="114:114">
      <c r="DJ2645" s="29"/>
    </row>
    <row r="2646" spans="114:114">
      <c r="DJ2646" s="29"/>
    </row>
    <row r="2647" spans="114:114">
      <c r="DJ2647" s="29"/>
    </row>
    <row r="2648" spans="114:114">
      <c r="DJ2648" s="29"/>
    </row>
    <row r="2649" spans="114:114">
      <c r="DJ2649" s="29"/>
    </row>
    <row r="2650" spans="114:114">
      <c r="DJ2650" s="29"/>
    </row>
    <row r="2651" spans="114:114">
      <c r="DJ2651" s="29"/>
    </row>
    <row r="2652" spans="114:114">
      <c r="DJ2652" s="29"/>
    </row>
    <row r="2653" spans="114:114">
      <c r="DJ2653" s="29"/>
    </row>
    <row r="2654" spans="114:114">
      <c r="DJ2654" s="29"/>
    </row>
    <row r="2655" spans="114:114">
      <c r="DJ2655" s="29"/>
    </row>
    <row r="2656" spans="114:114">
      <c r="DJ2656" s="29"/>
    </row>
    <row r="2657" spans="114:114">
      <c r="DJ2657" s="29"/>
    </row>
    <row r="2658" spans="114:114">
      <c r="DJ2658" s="29"/>
    </row>
    <row r="2659" spans="114:114">
      <c r="DJ2659" s="29"/>
    </row>
    <row r="2660" spans="114:114">
      <c r="DJ2660" s="29"/>
    </row>
    <row r="2661" spans="114:114">
      <c r="DJ2661" s="29"/>
    </row>
    <row r="2662" spans="114:114">
      <c r="DJ2662" s="29"/>
    </row>
    <row r="2663" spans="114:114">
      <c r="DJ2663" s="29"/>
    </row>
    <row r="2664" spans="114:114">
      <c r="DJ2664" s="29"/>
    </row>
    <row r="2665" spans="114:114">
      <c r="DJ2665" s="29"/>
    </row>
    <row r="2666" spans="114:114">
      <c r="DJ2666" s="29"/>
    </row>
    <row r="2667" spans="114:114">
      <c r="DJ2667" s="29"/>
    </row>
    <row r="2668" spans="114:114">
      <c r="DJ2668" s="29"/>
    </row>
    <row r="2669" spans="114:114">
      <c r="DJ2669" s="29"/>
    </row>
    <row r="2670" spans="114:114">
      <c r="DJ2670" s="29"/>
    </row>
    <row r="2671" spans="114:114">
      <c r="DJ2671" s="29"/>
    </row>
    <row r="2672" spans="114:114">
      <c r="DJ2672" s="29"/>
    </row>
    <row r="2673" spans="114:114">
      <c r="DJ2673" s="29"/>
    </row>
    <row r="2674" spans="114:114">
      <c r="DJ2674" s="29"/>
    </row>
    <row r="2675" spans="114:114">
      <c r="DJ2675" s="29"/>
    </row>
    <row r="2676" spans="114:114">
      <c r="DJ2676" s="29"/>
    </row>
    <row r="2677" spans="114:114">
      <c r="DJ2677" s="29"/>
    </row>
    <row r="2678" spans="114:114">
      <c r="DJ2678" s="29"/>
    </row>
    <row r="2679" spans="114:114">
      <c r="DJ2679" s="29"/>
    </row>
    <row r="2680" spans="114:114">
      <c r="DJ2680" s="29"/>
    </row>
    <row r="2681" spans="114:114">
      <c r="DJ2681" s="29"/>
    </row>
    <row r="2682" spans="114:114">
      <c r="DJ2682" s="29"/>
    </row>
    <row r="2683" spans="114:114">
      <c r="DJ2683" s="29"/>
    </row>
    <row r="2684" spans="114:114">
      <c r="DJ2684" s="29"/>
    </row>
    <row r="2685" spans="114:114">
      <c r="DJ2685" s="29"/>
    </row>
    <row r="2686" spans="114:114">
      <c r="DJ2686" s="29"/>
    </row>
    <row r="2687" spans="114:114">
      <c r="DJ2687" s="29"/>
    </row>
    <row r="2688" spans="114:114">
      <c r="DJ2688" s="29"/>
    </row>
    <row r="2689" spans="114:114">
      <c r="DJ2689" s="29"/>
    </row>
    <row r="2690" spans="114:114">
      <c r="DJ2690" s="29"/>
    </row>
    <row r="2691" spans="114:114">
      <c r="DJ2691" s="29"/>
    </row>
    <row r="2692" spans="114:114">
      <c r="DJ2692" s="29"/>
    </row>
    <row r="2693" spans="114:114">
      <c r="DJ2693" s="29"/>
    </row>
    <row r="2694" spans="114:114">
      <c r="DJ2694" s="29"/>
    </row>
    <row r="2695" spans="114:114">
      <c r="DJ2695" s="29"/>
    </row>
    <row r="2696" spans="114:114">
      <c r="DJ2696" s="29"/>
    </row>
    <row r="2697" spans="114:114">
      <c r="DJ2697" s="29"/>
    </row>
    <row r="2698" spans="114:114">
      <c r="DJ2698" s="29"/>
    </row>
    <row r="2699" spans="114:114">
      <c r="DJ2699" s="29"/>
    </row>
    <row r="2700" spans="114:114">
      <c r="DJ2700" s="29"/>
    </row>
    <row r="2701" spans="114:114">
      <c r="DJ2701" s="29"/>
    </row>
    <row r="2702" spans="114:114">
      <c r="DJ2702" s="29"/>
    </row>
    <row r="2703" spans="114:114">
      <c r="DJ2703" s="29"/>
    </row>
    <row r="2704" spans="114:114">
      <c r="DJ2704" s="29"/>
    </row>
    <row r="2705" spans="114:114">
      <c r="DJ2705" s="29"/>
    </row>
    <row r="2706" spans="114:114">
      <c r="DJ2706" s="29"/>
    </row>
    <row r="2707" spans="114:114">
      <c r="DJ2707" s="29"/>
    </row>
    <row r="2708" spans="114:114">
      <c r="DJ2708" s="29"/>
    </row>
    <row r="2709" spans="114:114">
      <c r="DJ2709" s="29"/>
    </row>
    <row r="2710" spans="114:114">
      <c r="DJ2710" s="29"/>
    </row>
    <row r="2711" spans="114:114">
      <c r="DJ2711" s="29"/>
    </row>
    <row r="2712" spans="114:114">
      <c r="DJ2712" s="29"/>
    </row>
    <row r="2713" spans="114:114">
      <c r="DJ2713" s="29"/>
    </row>
    <row r="2714" spans="114:114">
      <c r="DJ2714" s="29"/>
    </row>
    <row r="2715" spans="114:114">
      <c r="DJ2715" s="29"/>
    </row>
    <row r="2716" spans="114:114">
      <c r="DJ2716" s="29"/>
    </row>
    <row r="2717" spans="114:114">
      <c r="DJ2717" s="29"/>
    </row>
    <row r="2718" spans="114:114">
      <c r="DJ2718" s="29"/>
    </row>
    <row r="2719" spans="114:114">
      <c r="DJ2719" s="29"/>
    </row>
    <row r="2720" spans="114:114">
      <c r="DJ2720" s="29"/>
    </row>
    <row r="2721" spans="114:114">
      <c r="DJ2721" s="29"/>
    </row>
    <row r="2722" spans="114:114">
      <c r="DJ2722" s="29"/>
    </row>
    <row r="2723" spans="114:114">
      <c r="DJ2723" s="29"/>
    </row>
    <row r="2724" spans="114:114">
      <c r="DJ2724" s="29"/>
    </row>
    <row r="2725" spans="114:114">
      <c r="DJ2725" s="29"/>
    </row>
    <row r="2726" spans="114:114">
      <c r="DJ2726" s="29"/>
    </row>
    <row r="2727" spans="114:114">
      <c r="DJ2727" s="29"/>
    </row>
    <row r="2728" spans="114:114">
      <c r="DJ2728" s="29"/>
    </row>
    <row r="2729" spans="114:114">
      <c r="DJ2729" s="29"/>
    </row>
    <row r="2730" spans="114:114">
      <c r="DJ2730" s="29"/>
    </row>
    <row r="2731" spans="114:114">
      <c r="DJ2731" s="29"/>
    </row>
    <row r="2732" spans="114:114">
      <c r="DJ2732" s="29"/>
    </row>
    <row r="2733" spans="114:114">
      <c r="DJ2733" s="29"/>
    </row>
    <row r="2734" spans="114:114">
      <c r="DJ2734" s="29"/>
    </row>
    <row r="2735" spans="114:114">
      <c r="DJ2735" s="29"/>
    </row>
    <row r="2736" spans="114:114">
      <c r="DJ2736" s="29"/>
    </row>
    <row r="2737" spans="114:114">
      <c r="DJ2737" s="29"/>
    </row>
    <row r="2738" spans="114:114">
      <c r="DJ2738" s="29"/>
    </row>
    <row r="2739" spans="114:114">
      <c r="DJ2739" s="29"/>
    </row>
    <row r="2740" spans="114:114">
      <c r="DJ2740" s="29"/>
    </row>
    <row r="2741" spans="114:114">
      <c r="DJ2741" s="29"/>
    </row>
    <row r="2742" spans="114:114">
      <c r="DJ2742" s="29"/>
    </row>
    <row r="2743" spans="114:114">
      <c r="DJ2743" s="29"/>
    </row>
    <row r="2744" spans="114:114">
      <c r="DJ2744" s="29"/>
    </row>
    <row r="2745" spans="114:114">
      <c r="DJ2745" s="29"/>
    </row>
    <row r="2746" spans="114:114">
      <c r="DJ2746" s="29"/>
    </row>
    <row r="2747" spans="114:114">
      <c r="DJ2747" s="29"/>
    </row>
    <row r="2748" spans="114:114">
      <c r="DJ2748" s="29"/>
    </row>
    <row r="2749" spans="114:114">
      <c r="DJ2749" s="29"/>
    </row>
    <row r="2750" spans="114:114">
      <c r="DJ2750" s="29"/>
    </row>
    <row r="2751" spans="114:114">
      <c r="DJ2751" s="29"/>
    </row>
    <row r="2752" spans="114:114">
      <c r="DJ2752" s="29"/>
    </row>
    <row r="2753" spans="114:114">
      <c r="DJ2753" s="29"/>
    </row>
    <row r="2754" spans="114:114">
      <c r="DJ2754" s="29"/>
    </row>
    <row r="2755" spans="114:114">
      <c r="DJ2755" s="29"/>
    </row>
    <row r="2756" spans="114:114">
      <c r="DJ2756" s="29"/>
    </row>
    <row r="2757" spans="114:114">
      <c r="DJ2757" s="29"/>
    </row>
    <row r="2758" spans="114:114">
      <c r="DJ2758" s="29"/>
    </row>
    <row r="2759" spans="114:114">
      <c r="DJ2759" s="29"/>
    </row>
    <row r="2760" spans="114:114">
      <c r="DJ2760" s="29"/>
    </row>
    <row r="2761" spans="114:114">
      <c r="DJ2761" s="29"/>
    </row>
    <row r="2762" spans="114:114">
      <c r="DJ2762" s="29"/>
    </row>
    <row r="2763" spans="114:114">
      <c r="DJ2763" s="29"/>
    </row>
    <row r="2764" spans="114:114">
      <c r="DJ2764" s="29"/>
    </row>
    <row r="2765" spans="114:114">
      <c r="DJ2765" s="29"/>
    </row>
    <row r="2766" spans="114:114">
      <c r="DJ2766" s="29"/>
    </row>
    <row r="2767" spans="114:114">
      <c r="DJ2767" s="29"/>
    </row>
    <row r="2768" spans="114:114">
      <c r="DJ2768" s="29"/>
    </row>
    <row r="2769" spans="114:114">
      <c r="DJ2769" s="29"/>
    </row>
    <row r="2770" spans="114:114">
      <c r="DJ2770" s="29"/>
    </row>
    <row r="2771" spans="114:114">
      <c r="DJ2771" s="29"/>
    </row>
    <row r="2772" spans="114:114">
      <c r="DJ2772" s="29"/>
    </row>
    <row r="2773" spans="114:114">
      <c r="DJ2773" s="29"/>
    </row>
    <row r="2774" spans="114:114">
      <c r="DJ2774" s="29"/>
    </row>
    <row r="2775" spans="114:114">
      <c r="DJ2775" s="29"/>
    </row>
    <row r="2776" spans="114:114">
      <c r="DJ2776" s="29"/>
    </row>
    <row r="2777" spans="114:114">
      <c r="DJ2777" s="29"/>
    </row>
    <row r="2778" spans="114:114">
      <c r="DJ2778" s="29"/>
    </row>
    <row r="2779" spans="114:114">
      <c r="DJ2779" s="29"/>
    </row>
    <row r="2780" spans="114:114">
      <c r="DJ2780" s="29"/>
    </row>
    <row r="2781" spans="114:114">
      <c r="DJ2781" s="29"/>
    </row>
    <row r="2782" spans="114:114">
      <c r="DJ2782" s="29"/>
    </row>
    <row r="2783" spans="114:114">
      <c r="DJ2783" s="29"/>
    </row>
    <row r="2784" spans="114:114">
      <c r="DJ2784" s="29"/>
    </row>
    <row r="2785" spans="114:114">
      <c r="DJ2785" s="29"/>
    </row>
    <row r="2786" spans="114:114">
      <c r="DJ2786" s="29"/>
    </row>
    <row r="2787" spans="114:114">
      <c r="DJ2787" s="29"/>
    </row>
    <row r="2788" spans="114:114">
      <c r="DJ2788" s="29"/>
    </row>
    <row r="2789" spans="114:114">
      <c r="DJ2789" s="29"/>
    </row>
    <row r="2790" spans="114:114">
      <c r="DJ2790" s="29"/>
    </row>
    <row r="2791" spans="114:114">
      <c r="DJ2791" s="29"/>
    </row>
    <row r="2792" spans="114:114">
      <c r="DJ2792" s="29"/>
    </row>
    <row r="2793" spans="114:114">
      <c r="DJ2793" s="29"/>
    </row>
    <row r="2794" spans="114:114">
      <c r="DJ2794" s="29"/>
    </row>
    <row r="2795" spans="114:114">
      <c r="DJ2795" s="29"/>
    </row>
    <row r="2796" spans="114:114">
      <c r="DJ2796" s="29"/>
    </row>
    <row r="2797" spans="114:114">
      <c r="DJ2797" s="29"/>
    </row>
    <row r="2798" spans="114:114">
      <c r="DJ2798" s="29"/>
    </row>
    <row r="2799" spans="114:114">
      <c r="DJ2799" s="29"/>
    </row>
    <row r="2800" spans="114:114">
      <c r="DJ2800" s="29"/>
    </row>
    <row r="2801" spans="114:114">
      <c r="DJ2801" s="29"/>
    </row>
    <row r="2802" spans="114:114">
      <c r="DJ2802" s="29"/>
    </row>
    <row r="2803" spans="114:114">
      <c r="DJ2803" s="29"/>
    </row>
    <row r="2804" spans="114:114">
      <c r="DJ2804" s="29"/>
    </row>
    <row r="2805" spans="114:114">
      <c r="DJ2805" s="29"/>
    </row>
    <row r="2806" spans="114:114">
      <c r="DJ2806" s="29"/>
    </row>
    <row r="2807" spans="114:114">
      <c r="DJ2807" s="29"/>
    </row>
    <row r="2808" spans="114:114">
      <c r="DJ2808" s="29"/>
    </row>
    <row r="2809" spans="114:114">
      <c r="DJ2809" s="29"/>
    </row>
    <row r="2810" spans="114:114">
      <c r="DJ2810" s="29"/>
    </row>
    <row r="2811" spans="114:114">
      <c r="DJ2811" s="29"/>
    </row>
    <row r="2812" spans="114:114">
      <c r="DJ2812" s="29"/>
    </row>
    <row r="2813" spans="114:114">
      <c r="DJ2813" s="29"/>
    </row>
    <row r="2814" spans="114:114">
      <c r="DJ2814" s="29"/>
    </row>
    <row r="2815" spans="114:114">
      <c r="DJ2815" s="29"/>
    </row>
    <row r="2816" spans="114:114">
      <c r="DJ2816" s="29"/>
    </row>
    <row r="2817" spans="114:114">
      <c r="DJ2817" s="29"/>
    </row>
    <row r="2818" spans="114:114">
      <c r="DJ2818" s="29"/>
    </row>
    <row r="2819" spans="114:114">
      <c r="DJ2819" s="29"/>
    </row>
    <row r="2820" spans="114:114">
      <c r="DJ2820" s="29"/>
    </row>
    <row r="2821" spans="114:114">
      <c r="DJ2821" s="29"/>
    </row>
    <row r="2822" spans="114:114">
      <c r="DJ2822" s="29"/>
    </row>
    <row r="2823" spans="114:114">
      <c r="DJ2823" s="29"/>
    </row>
    <row r="2824" spans="114:114">
      <c r="DJ2824" s="29"/>
    </row>
    <row r="2825" spans="114:114">
      <c r="DJ2825" s="29"/>
    </row>
    <row r="2826" spans="114:114">
      <c r="DJ2826" s="29"/>
    </row>
    <row r="2827" spans="114:114">
      <c r="DJ2827" s="29"/>
    </row>
    <row r="2828" spans="114:114">
      <c r="DJ2828" s="29"/>
    </row>
    <row r="2829" spans="114:114">
      <c r="DJ2829" s="29"/>
    </row>
    <row r="2830" spans="114:114">
      <c r="DJ2830" s="29"/>
    </row>
    <row r="2831" spans="114:114">
      <c r="DJ2831" s="29"/>
    </row>
    <row r="2832" spans="114:114">
      <c r="DJ2832" s="29"/>
    </row>
    <row r="2833" spans="114:114">
      <c r="DJ2833" s="29"/>
    </row>
    <row r="2834" spans="114:114">
      <c r="DJ2834" s="29"/>
    </row>
    <row r="2835" spans="114:114">
      <c r="DJ2835" s="29"/>
    </row>
    <row r="2836" spans="114:114">
      <c r="DJ2836" s="29"/>
    </row>
    <row r="2837" spans="114:114">
      <c r="DJ2837" s="29"/>
    </row>
    <row r="2838" spans="114:114">
      <c r="DJ2838" s="29"/>
    </row>
    <row r="2839" spans="114:114">
      <c r="DJ2839" s="29"/>
    </row>
    <row r="2840" spans="114:114">
      <c r="DJ2840" s="29"/>
    </row>
    <row r="2841" spans="114:114">
      <c r="DJ2841" s="29"/>
    </row>
    <row r="2842" spans="114:114">
      <c r="DJ2842" s="29"/>
    </row>
    <row r="2843" spans="114:114">
      <c r="DJ2843" s="29"/>
    </row>
    <row r="2844" spans="114:114">
      <c r="DJ2844" s="29"/>
    </row>
    <row r="2845" spans="114:114">
      <c r="DJ2845" s="29"/>
    </row>
    <row r="2846" spans="114:114">
      <c r="DJ2846" s="29"/>
    </row>
    <row r="2847" spans="114:114">
      <c r="DJ2847" s="29"/>
    </row>
    <row r="2848" spans="114:114">
      <c r="DJ2848" s="29"/>
    </row>
    <row r="2849" spans="114:114">
      <c r="DJ2849" s="29"/>
    </row>
    <row r="2850" spans="114:114">
      <c r="DJ2850" s="29"/>
    </row>
    <row r="2851" spans="114:114">
      <c r="DJ2851" s="29"/>
    </row>
    <row r="2852" spans="114:114">
      <c r="DJ2852" s="29"/>
    </row>
    <row r="2853" spans="114:114">
      <c r="DJ2853" s="29"/>
    </row>
    <row r="2854" spans="114:114">
      <c r="DJ2854" s="29"/>
    </row>
    <row r="2855" spans="114:114">
      <c r="DJ2855" s="29"/>
    </row>
    <row r="2856" spans="114:114">
      <c r="DJ2856" s="29"/>
    </row>
    <row r="2857" spans="114:114">
      <c r="DJ2857" s="29"/>
    </row>
    <row r="2858" spans="114:114">
      <c r="DJ2858" s="29"/>
    </row>
    <row r="2859" spans="114:114">
      <c r="DJ2859" s="29"/>
    </row>
    <row r="2860" spans="114:114">
      <c r="DJ2860" s="29"/>
    </row>
    <row r="2861" spans="114:114">
      <c r="DJ2861" s="29"/>
    </row>
    <row r="2862" spans="114:114">
      <c r="DJ2862" s="29"/>
    </row>
    <row r="2863" spans="114:114">
      <c r="DJ2863" s="29"/>
    </row>
    <row r="2864" spans="114:114">
      <c r="DJ2864" s="29"/>
    </row>
    <row r="2865" spans="114:114">
      <c r="DJ2865" s="29"/>
    </row>
    <row r="2866" spans="114:114">
      <c r="DJ2866" s="29"/>
    </row>
    <row r="2867" spans="114:114">
      <c r="DJ2867" s="29"/>
    </row>
    <row r="2868" spans="114:114">
      <c r="DJ2868" s="29"/>
    </row>
    <row r="2869" spans="114:114">
      <c r="DJ2869" s="29"/>
    </row>
    <row r="2870" spans="114:114">
      <c r="DJ2870" s="29"/>
    </row>
    <row r="2871" spans="114:114">
      <c r="DJ2871" s="29"/>
    </row>
    <row r="2872" spans="114:114">
      <c r="DJ2872" s="29"/>
    </row>
    <row r="2873" spans="114:114">
      <c r="DJ2873" s="29"/>
    </row>
    <row r="2874" spans="114:114">
      <c r="DJ2874" s="29"/>
    </row>
    <row r="2875" spans="114:114">
      <c r="DJ2875" s="29"/>
    </row>
    <row r="2876" spans="114:114">
      <c r="DJ2876" s="29"/>
    </row>
    <row r="2877" spans="114:114">
      <c r="DJ2877" s="29"/>
    </row>
    <row r="2878" spans="114:114">
      <c r="DJ2878" s="29"/>
    </row>
    <row r="2879" spans="114:114">
      <c r="DJ2879" s="29"/>
    </row>
    <row r="2880" spans="114:114">
      <c r="DJ2880" s="29"/>
    </row>
    <row r="2881" spans="114:114">
      <c r="DJ2881" s="29"/>
    </row>
    <row r="2882" spans="114:114">
      <c r="DJ2882" s="29"/>
    </row>
    <row r="2883" spans="114:114">
      <c r="DJ2883" s="29"/>
    </row>
    <row r="2884" spans="114:114">
      <c r="DJ2884" s="29"/>
    </row>
    <row r="2885" spans="114:114">
      <c r="DJ2885" s="29"/>
    </row>
    <row r="2886" spans="114:114">
      <c r="DJ2886" s="29"/>
    </row>
    <row r="2887" spans="114:114">
      <c r="DJ2887" s="29"/>
    </row>
    <row r="2888" spans="114:114">
      <c r="DJ2888" s="29"/>
    </row>
    <row r="2889" spans="114:114">
      <c r="DJ2889" s="29"/>
    </row>
    <row r="2890" spans="114:114">
      <c r="DJ2890" s="29"/>
    </row>
    <row r="2891" spans="114:114">
      <c r="DJ2891" s="29"/>
    </row>
    <row r="2892" spans="114:114">
      <c r="DJ2892" s="29"/>
    </row>
    <row r="2893" spans="114:114">
      <c r="DJ2893" s="29"/>
    </row>
    <row r="2894" spans="114:114">
      <c r="DJ2894" s="29"/>
    </row>
    <row r="2895" spans="114:114">
      <c r="DJ2895" s="29"/>
    </row>
    <row r="2896" spans="114:114">
      <c r="DJ2896" s="29"/>
    </row>
    <row r="2897" spans="114:114">
      <c r="DJ2897" s="29"/>
    </row>
    <row r="2898" spans="114:114">
      <c r="DJ2898" s="29"/>
    </row>
    <row r="2899" spans="114:114">
      <c r="DJ2899" s="29"/>
    </row>
    <row r="2900" spans="114:114">
      <c r="DJ2900" s="29"/>
    </row>
    <row r="2901" spans="114:114">
      <c r="DJ2901" s="29"/>
    </row>
    <row r="2902" spans="114:114">
      <c r="DJ2902" s="29"/>
    </row>
    <row r="2903" spans="114:114">
      <c r="DJ2903" s="29"/>
    </row>
    <row r="2904" spans="114:114">
      <c r="DJ2904" s="29"/>
    </row>
    <row r="2905" spans="114:114">
      <c r="DJ2905" s="29"/>
    </row>
    <row r="2906" spans="114:114">
      <c r="DJ2906" s="29"/>
    </row>
    <row r="2907" spans="114:114">
      <c r="DJ2907" s="29"/>
    </row>
    <row r="2908" spans="114:114">
      <c r="DJ2908" s="29"/>
    </row>
    <row r="2909" spans="114:114">
      <c r="DJ2909" s="29"/>
    </row>
    <row r="2910" spans="114:114">
      <c r="DJ2910" s="29"/>
    </row>
    <row r="2911" spans="114:114">
      <c r="DJ2911" s="29"/>
    </row>
    <row r="2912" spans="114:114">
      <c r="DJ2912" s="29"/>
    </row>
    <row r="2913" spans="114:114">
      <c r="DJ2913" s="29"/>
    </row>
    <row r="2914" spans="114:114">
      <c r="DJ2914" s="29"/>
    </row>
    <row r="2915" spans="114:114">
      <c r="DJ2915" s="29"/>
    </row>
    <row r="2916" spans="114:114">
      <c r="DJ2916" s="29"/>
    </row>
    <row r="2917" spans="114:114">
      <c r="DJ2917" s="29"/>
    </row>
    <row r="2918" spans="114:114">
      <c r="DJ2918" s="29"/>
    </row>
    <row r="2919" spans="114:114">
      <c r="DJ2919" s="29"/>
    </row>
    <row r="2920" spans="114:114">
      <c r="DJ2920" s="29"/>
    </row>
    <row r="2921" spans="114:114">
      <c r="DJ2921" s="29"/>
    </row>
    <row r="2922" spans="114:114">
      <c r="DJ2922" s="29"/>
    </row>
    <row r="2923" spans="114:114">
      <c r="DJ2923" s="29"/>
    </row>
    <row r="2924" spans="114:114">
      <c r="DJ2924" s="29"/>
    </row>
    <row r="2925" spans="114:114">
      <c r="DJ2925" s="29"/>
    </row>
    <row r="2926" spans="114:114">
      <c r="DJ2926" s="29"/>
    </row>
    <row r="2927" spans="114:114">
      <c r="DJ2927" s="29"/>
    </row>
    <row r="2928" spans="114:114">
      <c r="DJ2928" s="29"/>
    </row>
    <row r="2929" spans="114:114">
      <c r="DJ2929" s="29"/>
    </row>
    <row r="2930" spans="114:114">
      <c r="DJ2930" s="29"/>
    </row>
    <row r="2931" spans="114:114">
      <c r="DJ2931" s="29"/>
    </row>
    <row r="2932" spans="114:114">
      <c r="DJ2932" s="29"/>
    </row>
    <row r="2933" spans="114:114">
      <c r="DJ2933" s="29"/>
    </row>
    <row r="2934" spans="114:114">
      <c r="DJ2934" s="29"/>
    </row>
    <row r="2935" spans="114:114">
      <c r="DJ2935" s="29"/>
    </row>
    <row r="2936" spans="114:114">
      <c r="DJ2936" s="29"/>
    </row>
    <row r="2937" spans="114:114">
      <c r="DJ2937" s="29"/>
    </row>
    <row r="2938" spans="114:114">
      <c r="DJ2938" s="29"/>
    </row>
    <row r="2939" spans="114:114">
      <c r="DJ2939" s="29"/>
    </row>
    <row r="2940" spans="114:114">
      <c r="DJ2940" s="29"/>
    </row>
    <row r="2941" spans="114:114">
      <c r="DJ2941" s="29"/>
    </row>
    <row r="2942" spans="114:114">
      <c r="DJ2942" s="29"/>
    </row>
    <row r="2943" spans="114:114">
      <c r="DJ2943" s="29"/>
    </row>
    <row r="2944" spans="114:114">
      <c r="DJ2944" s="29"/>
    </row>
    <row r="2945" spans="114:114">
      <c r="DJ2945" s="29"/>
    </row>
    <row r="2946" spans="114:114">
      <c r="DJ2946" s="29"/>
    </row>
    <row r="2947" spans="114:114">
      <c r="DJ2947" s="29"/>
    </row>
    <row r="2948" spans="114:114">
      <c r="DJ2948" s="29"/>
    </row>
    <row r="2949" spans="114:114">
      <c r="DJ2949" s="29"/>
    </row>
    <row r="2950" spans="114:114">
      <c r="DJ2950" s="29"/>
    </row>
    <row r="2951" spans="114:114">
      <c r="DJ2951" s="29"/>
    </row>
    <row r="2952" spans="114:114">
      <c r="DJ2952" s="29"/>
    </row>
    <row r="2953" spans="114:114">
      <c r="DJ2953" s="29"/>
    </row>
    <row r="2954" spans="114:114">
      <c r="DJ2954" s="29"/>
    </row>
    <row r="2955" spans="114:114">
      <c r="DJ2955" s="29"/>
    </row>
    <row r="2956" spans="114:114">
      <c r="DJ2956" s="29"/>
    </row>
    <row r="2957" spans="114:114">
      <c r="DJ2957" s="29"/>
    </row>
    <row r="2958" spans="114:114">
      <c r="DJ2958" s="29"/>
    </row>
    <row r="2959" spans="114:114">
      <c r="DJ2959" s="29"/>
    </row>
    <row r="2960" spans="114:114">
      <c r="DJ2960" s="29"/>
    </row>
    <row r="2961" spans="114:114">
      <c r="DJ2961" s="29"/>
    </row>
    <row r="2962" spans="114:114">
      <c r="DJ2962" s="29"/>
    </row>
    <row r="2963" spans="114:114">
      <c r="DJ2963" s="29"/>
    </row>
    <row r="2964" spans="114:114">
      <c r="DJ2964" s="29"/>
    </row>
    <row r="2965" spans="114:114">
      <c r="DJ2965" s="29"/>
    </row>
    <row r="2966" spans="114:114">
      <c r="DJ2966" s="29"/>
    </row>
    <row r="2967" spans="114:114">
      <c r="DJ2967" s="29"/>
    </row>
    <row r="2968" spans="114:114">
      <c r="DJ2968" s="29"/>
    </row>
    <row r="2969" spans="114:114">
      <c r="DJ2969" s="29"/>
    </row>
    <row r="2970" spans="114:114">
      <c r="DJ2970" s="29"/>
    </row>
    <row r="2971" spans="114:114">
      <c r="DJ2971" s="29"/>
    </row>
    <row r="2972" spans="114:114">
      <c r="DJ2972" s="29"/>
    </row>
    <row r="2973" spans="114:114">
      <c r="DJ2973" s="29"/>
    </row>
    <row r="2974" spans="114:114">
      <c r="DJ2974" s="29"/>
    </row>
    <row r="2975" spans="114:114">
      <c r="DJ2975" s="29"/>
    </row>
    <row r="2976" spans="114:114">
      <c r="DJ2976" s="29"/>
    </row>
    <row r="2977" spans="114:114">
      <c r="DJ2977" s="29"/>
    </row>
    <row r="2978" spans="114:114">
      <c r="DJ2978" s="29"/>
    </row>
    <row r="2979" spans="114:114">
      <c r="DJ2979" s="29"/>
    </row>
    <row r="2980" spans="114:114">
      <c r="DJ2980" s="29"/>
    </row>
    <row r="2981" spans="114:114">
      <c r="DJ2981" s="29"/>
    </row>
    <row r="2982" spans="114:114">
      <c r="DJ2982" s="29"/>
    </row>
    <row r="2983" spans="114:114">
      <c r="DJ2983" s="29"/>
    </row>
    <row r="2984" spans="114:114">
      <c r="DJ2984" s="29"/>
    </row>
    <row r="2985" spans="114:114">
      <c r="DJ2985" s="29"/>
    </row>
    <row r="2986" spans="114:114">
      <c r="DJ2986" s="29"/>
    </row>
    <row r="2987" spans="114:114">
      <c r="DJ2987" s="29"/>
    </row>
    <row r="2988" spans="114:114">
      <c r="DJ2988" s="29"/>
    </row>
    <row r="2989" spans="114:114">
      <c r="DJ2989" s="29"/>
    </row>
    <row r="2990" spans="114:114">
      <c r="DJ2990" s="29"/>
    </row>
    <row r="2991" spans="114:114">
      <c r="DJ2991" s="29"/>
    </row>
    <row r="2992" spans="114:114">
      <c r="DJ2992" s="29"/>
    </row>
    <row r="2993" spans="114:114">
      <c r="DJ2993" s="29"/>
    </row>
    <row r="2994" spans="114:114">
      <c r="DJ2994" s="29"/>
    </row>
    <row r="2995" spans="114:114">
      <c r="DJ2995" s="29"/>
    </row>
    <row r="2996" spans="114:114">
      <c r="DJ2996" s="29"/>
    </row>
    <row r="2997" spans="114:114">
      <c r="DJ2997" s="29"/>
    </row>
    <row r="2998" spans="114:114">
      <c r="DJ2998" s="29"/>
    </row>
    <row r="2999" spans="114:114">
      <c r="DJ2999" s="29"/>
    </row>
    <row r="3000" spans="114:114">
      <c r="DJ3000" s="29"/>
    </row>
    <row r="3001" spans="114:114">
      <c r="DJ3001" s="29"/>
    </row>
    <row r="3002" spans="114:114">
      <c r="DJ3002" s="29"/>
    </row>
    <row r="3003" spans="114:114">
      <c r="DJ3003" s="29"/>
    </row>
    <row r="3004" spans="114:114">
      <c r="DJ3004" s="29"/>
    </row>
    <row r="3005" spans="114:114">
      <c r="DJ3005" s="29"/>
    </row>
    <row r="3006" spans="114:114">
      <c r="DJ3006" s="29"/>
    </row>
    <row r="3007" spans="114:114">
      <c r="DJ3007" s="29"/>
    </row>
    <row r="3008" spans="114:114">
      <c r="DJ3008" s="29"/>
    </row>
    <row r="3009" spans="114:114">
      <c r="DJ3009" s="29"/>
    </row>
    <row r="3010" spans="114:114">
      <c r="DJ3010" s="29"/>
    </row>
    <row r="3011" spans="114:114">
      <c r="DJ3011" s="29"/>
    </row>
    <row r="3012" spans="114:114">
      <c r="DJ3012" s="29"/>
    </row>
    <row r="3013" spans="114:114">
      <c r="DJ3013" s="29"/>
    </row>
    <row r="3014" spans="114:114">
      <c r="DJ3014" s="29"/>
    </row>
    <row r="3015" spans="114:114">
      <c r="DJ3015" s="29"/>
    </row>
    <row r="3016" spans="114:114">
      <c r="DJ3016" s="29"/>
    </row>
    <row r="3017" spans="114:114">
      <c r="DJ3017" s="29"/>
    </row>
    <row r="3018" spans="114:114">
      <c r="DJ3018" s="29"/>
    </row>
    <row r="3019" spans="114:114">
      <c r="DJ3019" s="29"/>
    </row>
    <row r="3020" spans="114:114">
      <c r="DJ3020" s="29"/>
    </row>
    <row r="3021" spans="114:114">
      <c r="DJ3021" s="29"/>
    </row>
    <row r="3022" spans="114:114">
      <c r="DJ3022" s="29"/>
    </row>
    <row r="3023" spans="114:114">
      <c r="DJ3023" s="29"/>
    </row>
    <row r="3024" spans="114:114">
      <c r="DJ3024" s="29"/>
    </row>
    <row r="3025" spans="114:114">
      <c r="DJ3025" s="29"/>
    </row>
    <row r="3026" spans="114:114">
      <c r="DJ3026" s="29"/>
    </row>
    <row r="3027" spans="114:114">
      <c r="DJ3027" s="29"/>
    </row>
    <row r="3028" spans="114:114">
      <c r="DJ3028" s="29"/>
    </row>
    <row r="3029" spans="114:114">
      <c r="DJ3029" s="29"/>
    </row>
    <row r="3030" spans="114:114">
      <c r="DJ3030" s="29"/>
    </row>
    <row r="3031" spans="114:114">
      <c r="DJ3031" s="29"/>
    </row>
    <row r="3032" spans="114:114">
      <c r="DJ3032" s="29"/>
    </row>
    <row r="3033" spans="114:114">
      <c r="DJ3033" s="29"/>
    </row>
    <row r="3034" spans="114:114">
      <c r="DJ3034" s="29"/>
    </row>
    <row r="3035" spans="114:114">
      <c r="DJ3035" s="29"/>
    </row>
    <row r="3036" spans="114:114">
      <c r="DJ3036" s="29"/>
    </row>
    <row r="3037" spans="114:114">
      <c r="DJ3037" s="29"/>
    </row>
    <row r="3038" spans="114:114">
      <c r="DJ3038" s="29"/>
    </row>
    <row r="3039" spans="114:114">
      <c r="DJ3039" s="29"/>
    </row>
    <row r="3040" spans="114:114">
      <c r="DJ3040" s="29"/>
    </row>
    <row r="3041" spans="114:114">
      <c r="DJ3041" s="29"/>
    </row>
    <row r="3042" spans="114:114">
      <c r="DJ3042" s="29"/>
    </row>
    <row r="3043" spans="114:114">
      <c r="DJ3043" s="29"/>
    </row>
    <row r="3044" spans="114:114">
      <c r="DJ3044" s="29"/>
    </row>
    <row r="3045" spans="114:114">
      <c r="DJ3045" s="29"/>
    </row>
    <row r="3046" spans="114:114">
      <c r="DJ3046" s="29"/>
    </row>
    <row r="3047" spans="114:114">
      <c r="DJ3047" s="29"/>
    </row>
    <row r="3048" spans="114:114">
      <c r="DJ3048" s="29"/>
    </row>
    <row r="3049" spans="114:114">
      <c r="DJ3049" s="29"/>
    </row>
    <row r="3050" spans="114:114">
      <c r="DJ3050" s="29"/>
    </row>
    <row r="3051" spans="114:114">
      <c r="DJ3051" s="29"/>
    </row>
    <row r="3052" spans="114:114">
      <c r="DJ3052" s="29"/>
    </row>
    <row r="3053" spans="114:114">
      <c r="DJ3053" s="29"/>
    </row>
    <row r="3054" spans="114:114">
      <c r="DJ3054" s="29"/>
    </row>
    <row r="3055" spans="114:114">
      <c r="DJ3055" s="29"/>
    </row>
    <row r="3056" spans="114:114">
      <c r="DJ3056" s="29"/>
    </row>
    <row r="3057" spans="114:114">
      <c r="DJ3057" s="29"/>
    </row>
    <row r="3058" spans="114:114">
      <c r="DJ3058" s="29"/>
    </row>
    <row r="3059" spans="114:114">
      <c r="DJ3059" s="29"/>
    </row>
    <row r="3060" spans="114:114">
      <c r="DJ3060" s="29"/>
    </row>
    <row r="3061" spans="114:114">
      <c r="DJ3061" s="29"/>
    </row>
    <row r="3062" spans="114:114">
      <c r="DJ3062" s="29"/>
    </row>
    <row r="3063" spans="114:114">
      <c r="DJ3063" s="29"/>
    </row>
    <row r="3064" spans="114:114">
      <c r="DJ3064" s="29"/>
    </row>
    <row r="3065" spans="114:114">
      <c r="DJ3065" s="29"/>
    </row>
    <row r="3066" spans="114:114">
      <c r="DJ3066" s="29"/>
    </row>
    <row r="3067" spans="114:114">
      <c r="DJ3067" s="29"/>
    </row>
    <row r="3068" spans="114:114">
      <c r="DJ3068" s="29"/>
    </row>
    <row r="3069" spans="114:114">
      <c r="DJ3069" s="29"/>
    </row>
    <row r="3070" spans="114:114">
      <c r="DJ3070" s="29"/>
    </row>
    <row r="3071" spans="114:114">
      <c r="DJ3071" s="29"/>
    </row>
    <row r="3072" spans="114:114">
      <c r="DJ3072" s="29"/>
    </row>
    <row r="3073" spans="114:114">
      <c r="DJ3073" s="29"/>
    </row>
    <row r="3074" spans="114:114">
      <c r="DJ3074" s="29"/>
    </row>
    <row r="3075" spans="114:114">
      <c r="DJ3075" s="29"/>
    </row>
    <row r="3076" spans="114:114">
      <c r="DJ3076" s="29"/>
    </row>
    <row r="3077" spans="114:114">
      <c r="DJ3077" s="29"/>
    </row>
    <row r="3078" spans="114:114">
      <c r="DJ3078" s="29"/>
    </row>
    <row r="3079" spans="114:114">
      <c r="DJ3079" s="29"/>
    </row>
    <row r="3080" spans="114:114">
      <c r="DJ3080" s="29"/>
    </row>
    <row r="3081" spans="114:114">
      <c r="DJ3081" s="29"/>
    </row>
    <row r="3082" spans="114:114">
      <c r="DJ3082" s="29"/>
    </row>
    <row r="3083" spans="114:114">
      <c r="DJ3083" s="29"/>
    </row>
    <row r="3084" spans="114:114">
      <c r="DJ3084" s="29"/>
    </row>
    <row r="3085" spans="114:114">
      <c r="DJ3085" s="29"/>
    </row>
    <row r="3086" spans="114:114">
      <c r="DJ3086" s="29"/>
    </row>
    <row r="3087" spans="114:114">
      <c r="DJ3087" s="29"/>
    </row>
    <row r="3088" spans="114:114">
      <c r="DJ3088" s="29"/>
    </row>
    <row r="3089" spans="114:114">
      <c r="DJ3089" s="29"/>
    </row>
    <row r="3090" spans="114:114">
      <c r="DJ3090" s="29"/>
    </row>
    <row r="3091" spans="114:114">
      <c r="DJ3091" s="29"/>
    </row>
    <row r="3092" spans="114:114">
      <c r="DJ3092" s="29"/>
    </row>
    <row r="3093" spans="114:114">
      <c r="DJ3093" s="29"/>
    </row>
    <row r="3094" spans="114:114">
      <c r="DJ3094" s="29"/>
    </row>
    <row r="3095" spans="114:114">
      <c r="DJ3095" s="29"/>
    </row>
    <row r="3096" spans="114:114">
      <c r="DJ3096" s="29"/>
    </row>
    <row r="3097" spans="114:114">
      <c r="DJ3097" s="29"/>
    </row>
    <row r="3098" spans="114:114">
      <c r="DJ3098" s="29"/>
    </row>
    <row r="3099" spans="114:114">
      <c r="DJ3099" s="29"/>
    </row>
    <row r="3100" spans="114:114">
      <c r="DJ3100" s="29"/>
    </row>
    <row r="3101" spans="114:114">
      <c r="DJ3101" s="29"/>
    </row>
    <row r="3102" spans="114:114">
      <c r="DJ3102" s="29"/>
    </row>
    <row r="3103" spans="114:114">
      <c r="DJ3103" s="29"/>
    </row>
    <row r="3104" spans="114:114">
      <c r="DJ3104" s="29"/>
    </row>
    <row r="3105" spans="114:114">
      <c r="DJ3105" s="29"/>
    </row>
    <row r="3106" spans="114:114">
      <c r="DJ3106" s="29"/>
    </row>
    <row r="3107" spans="114:114">
      <c r="DJ3107" s="29"/>
    </row>
    <row r="3108" spans="114:114">
      <c r="DJ3108" s="29"/>
    </row>
    <row r="3109" spans="114:114">
      <c r="DJ3109" s="29"/>
    </row>
    <row r="3110" spans="114:114">
      <c r="DJ3110" s="29"/>
    </row>
    <row r="3111" spans="114:114">
      <c r="DJ3111" s="29"/>
    </row>
    <row r="3112" spans="114:114">
      <c r="DJ3112" s="29"/>
    </row>
    <row r="3113" spans="114:114">
      <c r="DJ3113" s="29"/>
    </row>
    <row r="3114" spans="114:114">
      <c r="DJ3114" s="29"/>
    </row>
    <row r="3115" spans="114:114">
      <c r="DJ3115" s="29"/>
    </row>
    <row r="3116" spans="114:114">
      <c r="DJ3116" s="29"/>
    </row>
    <row r="3117" spans="114:114">
      <c r="DJ3117" s="29"/>
    </row>
    <row r="3118" spans="114:114">
      <c r="DJ3118" s="29"/>
    </row>
    <row r="3119" spans="114:114">
      <c r="DJ3119" s="29"/>
    </row>
    <row r="3120" spans="114:114">
      <c r="DJ3120" s="29"/>
    </row>
    <row r="3121" spans="114:114">
      <c r="DJ3121" s="29"/>
    </row>
    <row r="3122" spans="114:114">
      <c r="DJ3122" s="29"/>
    </row>
    <row r="3123" spans="114:114">
      <c r="DJ3123" s="29"/>
    </row>
    <row r="3124" spans="114:114">
      <c r="DJ3124" s="29"/>
    </row>
    <row r="3125" spans="114:114">
      <c r="DJ3125" s="29"/>
    </row>
    <row r="3126" spans="114:114">
      <c r="DJ3126" s="29"/>
    </row>
    <row r="3127" spans="114:114">
      <c r="DJ3127" s="29"/>
    </row>
    <row r="3128" spans="114:114">
      <c r="DJ3128" s="29"/>
    </row>
    <row r="3129" spans="114:114">
      <c r="DJ3129" s="29"/>
    </row>
    <row r="3130" spans="114:114">
      <c r="DJ3130" s="29"/>
    </row>
    <row r="3131" spans="114:114">
      <c r="DJ3131" s="29"/>
    </row>
    <row r="3132" spans="114:114">
      <c r="DJ3132" s="29"/>
    </row>
    <row r="3133" spans="114:114">
      <c r="DJ3133" s="29"/>
    </row>
    <row r="3134" spans="114:114">
      <c r="DJ3134" s="29"/>
    </row>
    <row r="3135" spans="114:114">
      <c r="DJ3135" s="29"/>
    </row>
    <row r="3136" spans="114:114">
      <c r="DJ3136" s="29"/>
    </row>
    <row r="3137" spans="114:114">
      <c r="DJ3137" s="29"/>
    </row>
    <row r="3138" spans="114:114">
      <c r="DJ3138" s="29"/>
    </row>
    <row r="3139" spans="114:114">
      <c r="DJ3139" s="29"/>
    </row>
    <row r="3140" spans="114:114">
      <c r="DJ3140" s="29"/>
    </row>
    <row r="3141" spans="114:114">
      <c r="DJ3141" s="29"/>
    </row>
    <row r="3142" spans="114:114">
      <c r="DJ3142" s="29"/>
    </row>
    <row r="3143" spans="114:114">
      <c r="DJ3143" s="29"/>
    </row>
    <row r="3144" spans="114:114">
      <c r="DJ3144" s="29"/>
    </row>
    <row r="3145" spans="114:114">
      <c r="DJ3145" s="29"/>
    </row>
    <row r="3146" spans="114:114">
      <c r="DJ3146" s="29"/>
    </row>
    <row r="3147" spans="114:114">
      <c r="DJ3147" s="29"/>
    </row>
    <row r="3148" spans="114:114">
      <c r="DJ3148" s="29"/>
    </row>
    <row r="3149" spans="114:114">
      <c r="DJ3149" s="29"/>
    </row>
    <row r="3150" spans="114:114">
      <c r="DJ3150" s="29"/>
    </row>
    <row r="3151" spans="114:114">
      <c r="DJ3151" s="29"/>
    </row>
    <row r="3152" spans="114:114">
      <c r="DJ3152" s="29"/>
    </row>
    <row r="3153" spans="114:114">
      <c r="DJ3153" s="29"/>
    </row>
    <row r="3154" spans="114:114">
      <c r="DJ3154" s="29"/>
    </row>
    <row r="3155" spans="114:114">
      <c r="DJ3155" s="29"/>
    </row>
    <row r="3156" spans="114:114">
      <c r="DJ3156" s="29"/>
    </row>
    <row r="3157" spans="114:114">
      <c r="DJ3157" s="29"/>
    </row>
    <row r="3158" spans="114:114">
      <c r="DJ3158" s="29"/>
    </row>
    <row r="3159" spans="114:114">
      <c r="DJ3159" s="29"/>
    </row>
    <row r="3160" spans="114:114">
      <c r="DJ3160" s="29"/>
    </row>
    <row r="3161" spans="114:114">
      <c r="DJ3161" s="29"/>
    </row>
    <row r="3162" spans="114:114">
      <c r="DJ3162" s="29"/>
    </row>
    <row r="3163" spans="114:114">
      <c r="DJ3163" s="29"/>
    </row>
    <row r="3164" spans="114:114">
      <c r="DJ3164" s="29"/>
    </row>
    <row r="3165" spans="114:114">
      <c r="DJ3165" s="29"/>
    </row>
    <row r="3166" spans="114:114">
      <c r="DJ3166" s="29"/>
    </row>
    <row r="3167" spans="114:114">
      <c r="DJ3167" s="29"/>
    </row>
    <row r="3168" spans="114:114">
      <c r="DJ3168" s="29"/>
    </row>
    <row r="3169" spans="114:114">
      <c r="DJ3169" s="29"/>
    </row>
    <row r="3170" spans="114:114">
      <c r="DJ3170" s="29"/>
    </row>
    <row r="3171" spans="114:114">
      <c r="DJ3171" s="29"/>
    </row>
    <row r="3172" spans="114:114">
      <c r="DJ3172" s="29"/>
    </row>
    <row r="3173" spans="114:114">
      <c r="DJ3173" s="29"/>
    </row>
    <row r="3174" spans="114:114">
      <c r="DJ3174" s="29"/>
    </row>
    <row r="3175" spans="114:114">
      <c r="DJ3175" s="29"/>
    </row>
    <row r="3176" spans="114:114">
      <c r="DJ3176" s="29"/>
    </row>
    <row r="3177" spans="114:114">
      <c r="DJ3177" s="29"/>
    </row>
    <row r="3178" spans="114:114">
      <c r="DJ3178" s="29"/>
    </row>
    <row r="3179" spans="114:114">
      <c r="DJ3179" s="29"/>
    </row>
    <row r="3180" spans="114:114">
      <c r="DJ3180" s="29"/>
    </row>
    <row r="3181" spans="114:114">
      <c r="DJ3181" s="29"/>
    </row>
    <row r="3182" spans="114:114">
      <c r="DJ3182" s="29"/>
    </row>
    <row r="3183" spans="114:114">
      <c r="DJ3183" s="29"/>
    </row>
    <row r="3184" spans="114:114">
      <c r="DJ3184" s="29"/>
    </row>
    <row r="3185" spans="114:114">
      <c r="DJ3185" s="29"/>
    </row>
    <row r="3186" spans="114:114">
      <c r="DJ3186" s="29"/>
    </row>
    <row r="3187" spans="114:114">
      <c r="DJ3187" s="29"/>
    </row>
    <row r="3188" spans="114:114">
      <c r="DJ3188" s="29"/>
    </row>
    <row r="3189" spans="114:114">
      <c r="DJ3189" s="29"/>
    </row>
    <row r="3190" spans="114:114">
      <c r="DJ3190" s="29"/>
    </row>
    <row r="3191" spans="114:114">
      <c r="DJ3191" s="29"/>
    </row>
    <row r="3192" spans="114:114">
      <c r="DJ3192" s="29"/>
    </row>
    <row r="3193" spans="114:114">
      <c r="DJ3193" s="29"/>
    </row>
    <row r="3194" spans="114:114">
      <c r="DJ3194" s="29"/>
    </row>
    <row r="3195" spans="114:114">
      <c r="DJ3195" s="29"/>
    </row>
    <row r="3196" spans="114:114">
      <c r="DJ3196" s="29"/>
    </row>
    <row r="3197" spans="114:114">
      <c r="DJ3197" s="29"/>
    </row>
    <row r="3198" spans="114:114">
      <c r="DJ3198" s="29"/>
    </row>
    <row r="3199" spans="114:114">
      <c r="DJ3199" s="29"/>
    </row>
    <row r="3200" spans="114:114">
      <c r="DJ3200" s="29"/>
    </row>
    <row r="3201" spans="114:114">
      <c r="DJ3201" s="29"/>
    </row>
    <row r="3202" spans="114:114">
      <c r="DJ3202" s="29"/>
    </row>
    <row r="3203" spans="114:114">
      <c r="DJ3203" s="29"/>
    </row>
    <row r="3204" spans="114:114">
      <c r="DJ3204" s="29"/>
    </row>
    <row r="3205" spans="114:114">
      <c r="DJ3205" s="29"/>
    </row>
    <row r="3206" spans="114:114">
      <c r="DJ3206" s="29"/>
    </row>
    <row r="3207" spans="114:114">
      <c r="DJ3207" s="29"/>
    </row>
    <row r="3208" spans="114:114">
      <c r="DJ3208" s="29"/>
    </row>
    <row r="3209" spans="114:114">
      <c r="DJ3209" s="29"/>
    </row>
    <row r="3210" spans="114:114">
      <c r="DJ3210" s="29"/>
    </row>
    <row r="3211" spans="114:114">
      <c r="DJ3211" s="29"/>
    </row>
    <row r="3212" spans="114:114">
      <c r="DJ3212" s="29"/>
    </row>
    <row r="3213" spans="114:114">
      <c r="DJ3213" s="29"/>
    </row>
    <row r="3214" spans="114:114">
      <c r="DJ3214" s="29"/>
    </row>
    <row r="3215" spans="114:114">
      <c r="DJ3215" s="29"/>
    </row>
    <row r="3216" spans="114:114">
      <c r="DJ3216" s="29"/>
    </row>
    <row r="3217" spans="114:114">
      <c r="DJ3217" s="29"/>
    </row>
    <row r="3218" spans="114:114">
      <c r="DJ3218" s="29"/>
    </row>
    <row r="3219" spans="114:114">
      <c r="DJ3219" s="29"/>
    </row>
    <row r="3220" spans="114:114">
      <c r="DJ3220" s="29"/>
    </row>
    <row r="3221" spans="114:114">
      <c r="DJ3221" s="29"/>
    </row>
    <row r="3222" spans="114:114">
      <c r="DJ3222" s="29"/>
    </row>
    <row r="3223" spans="114:114">
      <c r="DJ3223" s="29"/>
    </row>
    <row r="3224" spans="114:114">
      <c r="DJ3224" s="29"/>
    </row>
    <row r="3225" spans="114:114">
      <c r="DJ3225" s="29"/>
    </row>
    <row r="3226" spans="114:114">
      <c r="DJ3226" s="29"/>
    </row>
    <row r="3227" spans="114:114">
      <c r="DJ3227" s="29"/>
    </row>
    <row r="3228" spans="114:114">
      <c r="DJ3228" s="29"/>
    </row>
    <row r="3229" spans="114:114">
      <c r="DJ3229" s="29"/>
    </row>
    <row r="3230" spans="114:114">
      <c r="DJ3230" s="29"/>
    </row>
    <row r="3231" spans="114:114">
      <c r="DJ3231" s="29"/>
    </row>
    <row r="3232" spans="114:114">
      <c r="DJ3232" s="29"/>
    </row>
    <row r="3233" spans="114:114">
      <c r="DJ3233" s="29"/>
    </row>
    <row r="3234" spans="114:114">
      <c r="DJ3234" s="29"/>
    </row>
    <row r="3235" spans="114:114">
      <c r="DJ3235" s="29"/>
    </row>
    <row r="3236" spans="114:114">
      <c r="DJ3236" s="29"/>
    </row>
    <row r="3237" spans="114:114">
      <c r="DJ3237" s="29"/>
    </row>
    <row r="3238" spans="114:114">
      <c r="DJ3238" s="29"/>
    </row>
    <row r="3239" spans="114:114">
      <c r="DJ3239" s="29"/>
    </row>
    <row r="3240" spans="114:114">
      <c r="DJ3240" s="29"/>
    </row>
    <row r="3241" spans="114:114">
      <c r="DJ3241" s="29"/>
    </row>
    <row r="3242" spans="114:114">
      <c r="DJ3242" s="29"/>
    </row>
    <row r="3243" spans="114:114">
      <c r="DJ3243" s="29"/>
    </row>
    <row r="3244" spans="114:114">
      <c r="DJ3244" s="29"/>
    </row>
    <row r="3245" spans="114:114">
      <c r="DJ3245" s="29"/>
    </row>
    <row r="3246" spans="114:114">
      <c r="DJ3246" s="29"/>
    </row>
    <row r="3247" spans="114:114">
      <c r="DJ3247" s="29"/>
    </row>
    <row r="3248" spans="114:114">
      <c r="DJ3248" s="29"/>
    </row>
    <row r="3249" spans="114:114">
      <c r="DJ3249" s="29"/>
    </row>
    <row r="3250" spans="114:114">
      <c r="DJ3250" s="29"/>
    </row>
    <row r="3251" spans="114:114">
      <c r="DJ3251" s="29"/>
    </row>
    <row r="3252" spans="114:114">
      <c r="DJ3252" s="29"/>
    </row>
    <row r="3253" spans="114:114">
      <c r="DJ3253" s="29"/>
    </row>
    <row r="3254" spans="114:114">
      <c r="DJ3254" s="29"/>
    </row>
    <row r="3255" spans="114:114">
      <c r="DJ3255" s="29"/>
    </row>
    <row r="3256" spans="114:114">
      <c r="DJ3256" s="29"/>
    </row>
    <row r="3257" spans="114:114">
      <c r="DJ3257" s="29"/>
    </row>
    <row r="3258" spans="114:114">
      <c r="DJ3258" s="29"/>
    </row>
    <row r="3259" spans="114:114">
      <c r="DJ3259" s="29"/>
    </row>
    <row r="3260" spans="114:114">
      <c r="DJ3260" s="29"/>
    </row>
    <row r="3261" spans="114:114">
      <c r="DJ3261" s="29"/>
    </row>
    <row r="3262" spans="114:114">
      <c r="DJ3262" s="29"/>
    </row>
    <row r="3263" spans="114:114">
      <c r="DJ3263" s="29"/>
    </row>
    <row r="3264" spans="114:114">
      <c r="DJ3264" s="29"/>
    </row>
    <row r="3265" spans="114:114">
      <c r="DJ3265" s="29"/>
    </row>
    <row r="3266" spans="114:114">
      <c r="DJ3266" s="29"/>
    </row>
    <row r="3267" spans="114:114">
      <c r="DJ3267" s="29"/>
    </row>
    <row r="3268" spans="114:114">
      <c r="DJ3268" s="29"/>
    </row>
    <row r="3269" spans="114:114">
      <c r="DJ3269" s="29"/>
    </row>
    <row r="3270" spans="114:114">
      <c r="DJ3270" s="29"/>
    </row>
    <row r="3271" spans="114:114">
      <c r="DJ3271" s="29"/>
    </row>
    <row r="3272" spans="114:114">
      <c r="DJ3272" s="29"/>
    </row>
    <row r="3273" spans="114:114">
      <c r="DJ3273" s="29"/>
    </row>
    <row r="3274" spans="114:114">
      <c r="DJ3274" s="29"/>
    </row>
    <row r="3275" spans="114:114">
      <c r="DJ3275" s="29"/>
    </row>
    <row r="3276" spans="114:114">
      <c r="DJ3276" s="29"/>
    </row>
    <row r="3277" spans="114:114">
      <c r="DJ3277" s="29"/>
    </row>
    <row r="3278" spans="114:114">
      <c r="DJ3278" s="29"/>
    </row>
    <row r="3279" spans="114:114">
      <c r="DJ3279" s="29"/>
    </row>
    <row r="3280" spans="114:114">
      <c r="DJ3280" s="29"/>
    </row>
    <row r="3281" spans="114:114">
      <c r="DJ3281" s="29"/>
    </row>
    <row r="3282" spans="114:114">
      <c r="DJ3282" s="29"/>
    </row>
    <row r="3283" spans="114:114">
      <c r="DJ3283" s="29"/>
    </row>
    <row r="3284" spans="114:114">
      <c r="DJ3284" s="29"/>
    </row>
    <row r="3285" spans="114:114">
      <c r="DJ3285" s="29"/>
    </row>
    <row r="3286" spans="114:114">
      <c r="DJ3286" s="29"/>
    </row>
    <row r="3287" spans="114:114">
      <c r="DJ3287" s="29"/>
    </row>
    <row r="3288" spans="114:114">
      <c r="DJ3288" s="29"/>
    </row>
    <row r="3289" spans="114:114">
      <c r="DJ3289" s="29"/>
    </row>
    <row r="3290" spans="114:114">
      <c r="DJ3290" s="29"/>
    </row>
    <row r="3291" spans="114:114">
      <c r="DJ3291" s="29"/>
    </row>
    <row r="3292" spans="114:114">
      <c r="DJ3292" s="29"/>
    </row>
    <row r="3293" spans="114:114">
      <c r="DJ3293" s="29"/>
    </row>
    <row r="3294" spans="114:114">
      <c r="DJ3294" s="29"/>
    </row>
    <row r="3295" spans="114:114">
      <c r="DJ3295" s="29"/>
    </row>
    <row r="3296" spans="114:114">
      <c r="DJ3296" s="29"/>
    </row>
    <row r="3297" spans="114:114">
      <c r="DJ3297" s="29"/>
    </row>
    <row r="3298" spans="114:114">
      <c r="DJ3298" s="29"/>
    </row>
    <row r="3299" spans="114:114">
      <c r="DJ3299" s="29"/>
    </row>
    <row r="3300" spans="114:114">
      <c r="DJ3300" s="29"/>
    </row>
    <row r="3301" spans="114:114">
      <c r="DJ3301" s="29"/>
    </row>
    <row r="3302" spans="114:114">
      <c r="DJ3302" s="29"/>
    </row>
    <row r="3303" spans="114:114">
      <c r="DJ3303" s="29"/>
    </row>
    <row r="3304" spans="114:114">
      <c r="DJ3304" s="29"/>
    </row>
    <row r="3305" spans="114:114">
      <c r="DJ3305" s="29"/>
    </row>
    <row r="3306" spans="114:114">
      <c r="DJ3306" s="29"/>
    </row>
    <row r="3307" spans="114:114">
      <c r="DJ3307" s="29"/>
    </row>
    <row r="3308" spans="114:114">
      <c r="DJ3308" s="29"/>
    </row>
    <row r="3309" spans="114:114">
      <c r="DJ3309" s="29"/>
    </row>
    <row r="3310" spans="114:114">
      <c r="DJ3310" s="29"/>
    </row>
    <row r="3311" spans="114:114">
      <c r="DJ3311" s="29"/>
    </row>
    <row r="3312" spans="114:114">
      <c r="DJ3312" s="29"/>
    </row>
    <row r="3313" spans="114:114">
      <c r="DJ3313" s="29"/>
    </row>
    <row r="3314" spans="114:114">
      <c r="DJ3314" s="29"/>
    </row>
    <row r="3315" spans="114:114">
      <c r="DJ3315" s="29"/>
    </row>
    <row r="3316" spans="114:114">
      <c r="DJ3316" s="29"/>
    </row>
    <row r="3317" spans="114:114">
      <c r="DJ3317" s="29"/>
    </row>
    <row r="3318" spans="114:114">
      <c r="DJ3318" s="29"/>
    </row>
    <row r="3319" spans="114:114">
      <c r="DJ3319" s="29"/>
    </row>
    <row r="3320" spans="114:114">
      <c r="DJ3320" s="29"/>
    </row>
    <row r="3321" spans="114:114">
      <c r="DJ3321" s="29"/>
    </row>
    <row r="3322" spans="114:114">
      <c r="DJ3322" s="29"/>
    </row>
    <row r="3323" spans="114:114">
      <c r="DJ3323" s="29"/>
    </row>
    <row r="3324" spans="114:114">
      <c r="DJ3324" s="29"/>
    </row>
    <row r="3325" spans="114:114">
      <c r="DJ3325" s="29"/>
    </row>
    <row r="3326" spans="114:114">
      <c r="DJ3326" s="29"/>
    </row>
    <row r="3327" spans="114:114">
      <c r="DJ3327" s="29"/>
    </row>
    <row r="3328" spans="114:114">
      <c r="DJ3328" s="29"/>
    </row>
    <row r="3329" spans="114:114">
      <c r="DJ3329" s="29"/>
    </row>
    <row r="3330" spans="114:114">
      <c r="DJ3330" s="29"/>
    </row>
    <row r="3331" spans="114:114">
      <c r="DJ3331" s="29"/>
    </row>
    <row r="3332" spans="114:114">
      <c r="DJ3332" s="29"/>
    </row>
    <row r="3333" spans="114:114">
      <c r="DJ3333" s="29"/>
    </row>
    <row r="3334" spans="114:114">
      <c r="DJ3334" s="29"/>
    </row>
    <row r="3335" spans="114:114">
      <c r="DJ3335" s="29"/>
    </row>
    <row r="3336" spans="114:114">
      <c r="DJ3336" s="29"/>
    </row>
    <row r="3337" spans="114:114">
      <c r="DJ3337" s="29"/>
    </row>
    <row r="3338" spans="114:114">
      <c r="DJ3338" s="29"/>
    </row>
    <row r="3339" spans="114:114">
      <c r="DJ3339" s="29"/>
    </row>
    <row r="3340" spans="114:114">
      <c r="DJ3340" s="29"/>
    </row>
    <row r="3341" spans="114:114">
      <c r="DJ3341" s="29"/>
    </row>
    <row r="3342" spans="114:114">
      <c r="DJ3342" s="29"/>
    </row>
    <row r="3343" spans="114:114">
      <c r="DJ3343" s="29"/>
    </row>
    <row r="3344" spans="114:114">
      <c r="DJ3344" s="29"/>
    </row>
    <row r="3345" spans="114:114">
      <c r="DJ3345" s="29"/>
    </row>
    <row r="3346" spans="114:114">
      <c r="DJ3346" s="29"/>
    </row>
    <row r="3347" spans="114:114">
      <c r="DJ3347" s="29"/>
    </row>
    <row r="3348" spans="114:114">
      <c r="DJ3348" s="29"/>
    </row>
    <row r="3349" spans="114:114">
      <c r="DJ3349" s="29"/>
    </row>
    <row r="3350" spans="114:114">
      <c r="DJ3350" s="29"/>
    </row>
    <row r="3351" spans="114:114">
      <c r="DJ3351" s="29"/>
    </row>
    <row r="3352" spans="114:114">
      <c r="DJ3352" s="29"/>
    </row>
    <row r="3353" spans="114:114">
      <c r="DJ3353" s="29"/>
    </row>
    <row r="3354" spans="114:114">
      <c r="DJ3354" s="29"/>
    </row>
    <row r="3355" spans="114:114">
      <c r="DJ3355" s="29"/>
    </row>
    <row r="3356" spans="114:114">
      <c r="DJ3356" s="29"/>
    </row>
    <row r="3357" spans="114:114">
      <c r="DJ3357" s="29"/>
    </row>
    <row r="3358" spans="114:114">
      <c r="DJ3358" s="29"/>
    </row>
    <row r="3359" spans="114:114">
      <c r="DJ3359" s="29"/>
    </row>
    <row r="3360" spans="114:114">
      <c r="DJ3360" s="29"/>
    </row>
    <row r="3361" spans="114:114">
      <c r="DJ3361" s="29"/>
    </row>
    <row r="3362" spans="114:114">
      <c r="DJ3362" s="29"/>
    </row>
    <row r="3363" spans="114:114">
      <c r="DJ3363" s="29"/>
    </row>
    <row r="3364" spans="114:114">
      <c r="DJ3364" s="29"/>
    </row>
    <row r="3365" spans="114:114">
      <c r="DJ3365" s="29"/>
    </row>
    <row r="3366" spans="114:114">
      <c r="DJ3366" s="29"/>
    </row>
    <row r="3367" spans="114:114">
      <c r="DJ3367" s="29"/>
    </row>
    <row r="3368" spans="114:114">
      <c r="DJ3368" s="29"/>
    </row>
    <row r="3369" spans="114:114">
      <c r="DJ3369" s="29"/>
    </row>
    <row r="3370" spans="114:114">
      <c r="DJ3370" s="29"/>
    </row>
    <row r="3371" spans="114:114">
      <c r="DJ3371" s="29"/>
    </row>
    <row r="3372" spans="114:114">
      <c r="DJ3372" s="29"/>
    </row>
    <row r="3373" spans="114:114">
      <c r="DJ3373" s="29"/>
    </row>
    <row r="3374" spans="114:114">
      <c r="DJ3374" s="29"/>
    </row>
    <row r="3375" spans="114:114">
      <c r="DJ3375" s="29"/>
    </row>
    <row r="3376" spans="114:114">
      <c r="DJ3376" s="29"/>
    </row>
    <row r="3377" spans="114:114">
      <c r="DJ3377" s="29"/>
    </row>
    <row r="3378" spans="114:114">
      <c r="DJ3378" s="29"/>
    </row>
    <row r="3379" spans="114:114">
      <c r="DJ3379" s="29"/>
    </row>
    <row r="3380" spans="114:114">
      <c r="DJ3380" s="29"/>
    </row>
    <row r="3381" spans="114:114">
      <c r="DJ3381" s="29"/>
    </row>
    <row r="3382" spans="114:114">
      <c r="DJ3382" s="29"/>
    </row>
    <row r="3383" spans="114:114">
      <c r="DJ3383" s="29"/>
    </row>
    <row r="3384" spans="114:114">
      <c r="DJ3384" s="29"/>
    </row>
    <row r="3385" spans="114:114">
      <c r="DJ3385" s="29"/>
    </row>
    <row r="3386" spans="114:114">
      <c r="DJ3386" s="29"/>
    </row>
    <row r="3387" spans="114:114">
      <c r="DJ3387" s="29"/>
    </row>
    <row r="3388" spans="114:114">
      <c r="DJ3388" s="29"/>
    </row>
    <row r="3389" spans="114:114">
      <c r="DJ3389" s="29"/>
    </row>
    <row r="3390" spans="114:114">
      <c r="DJ3390" s="29"/>
    </row>
    <row r="3391" spans="114:114">
      <c r="DJ3391" s="29"/>
    </row>
    <row r="3392" spans="114:114">
      <c r="DJ3392" s="29"/>
    </row>
    <row r="3393" spans="114:114">
      <c r="DJ3393" s="29"/>
    </row>
    <row r="3394" spans="114:114">
      <c r="DJ3394" s="29"/>
    </row>
    <row r="3395" spans="114:114">
      <c r="DJ3395" s="29"/>
    </row>
    <row r="3396" spans="114:114">
      <c r="DJ3396" s="29"/>
    </row>
    <row r="3397" spans="114:114">
      <c r="DJ3397" s="29"/>
    </row>
    <row r="3398" spans="114:114">
      <c r="DJ3398" s="29"/>
    </row>
    <row r="3399" spans="114:114">
      <c r="DJ3399" s="29"/>
    </row>
    <row r="3400" spans="114:114">
      <c r="DJ3400" s="29"/>
    </row>
    <row r="3401" spans="114:114">
      <c r="DJ3401" s="29"/>
    </row>
    <row r="3402" spans="114:114">
      <c r="DJ3402" s="29"/>
    </row>
    <row r="3403" spans="114:114">
      <c r="DJ3403" s="29"/>
    </row>
    <row r="3404" spans="114:114">
      <c r="DJ3404" s="29"/>
    </row>
    <row r="3405" spans="114:114">
      <c r="DJ3405" s="29"/>
    </row>
    <row r="3406" spans="114:114">
      <c r="DJ3406" s="29"/>
    </row>
    <row r="3407" spans="114:114">
      <c r="DJ3407" s="29"/>
    </row>
    <row r="3408" spans="114:114">
      <c r="DJ3408" s="29"/>
    </row>
    <row r="3409" spans="114:114">
      <c r="DJ3409" s="29"/>
    </row>
    <row r="3410" spans="114:114">
      <c r="DJ3410" s="29"/>
    </row>
    <row r="3411" spans="114:114">
      <c r="DJ3411" s="29"/>
    </row>
    <row r="3412" spans="114:114">
      <c r="DJ3412" s="29"/>
    </row>
    <row r="3413" spans="114:114">
      <c r="DJ3413" s="29"/>
    </row>
    <row r="3414" spans="114:114">
      <c r="DJ3414" s="29"/>
    </row>
    <row r="3415" spans="114:114">
      <c r="DJ3415" s="29"/>
    </row>
    <row r="3416" spans="114:114">
      <c r="DJ3416" s="29"/>
    </row>
    <row r="3417" spans="114:114">
      <c r="DJ3417" s="29"/>
    </row>
    <row r="3418" spans="114:114">
      <c r="DJ3418" s="29"/>
    </row>
    <row r="3419" spans="114:114">
      <c r="DJ3419" s="29"/>
    </row>
    <row r="3420" spans="114:114">
      <c r="DJ3420" s="29"/>
    </row>
    <row r="3421" spans="114:114">
      <c r="DJ3421" s="29"/>
    </row>
    <row r="3422" spans="114:114">
      <c r="DJ3422" s="29"/>
    </row>
    <row r="3423" spans="114:114">
      <c r="DJ3423" s="29"/>
    </row>
    <row r="3424" spans="114:114">
      <c r="DJ3424" s="29"/>
    </row>
    <row r="3425" spans="114:114">
      <c r="DJ3425" s="29"/>
    </row>
    <row r="3426" spans="114:114">
      <c r="DJ3426" s="29"/>
    </row>
    <row r="3427" spans="114:114">
      <c r="DJ3427" s="29"/>
    </row>
    <row r="3428" spans="114:114">
      <c r="DJ3428" s="29"/>
    </row>
    <row r="3429" spans="114:114">
      <c r="DJ3429" s="29"/>
    </row>
    <row r="3430" spans="114:114">
      <c r="DJ3430" s="29"/>
    </row>
    <row r="3431" spans="114:114">
      <c r="DJ3431" s="29"/>
    </row>
    <row r="3432" spans="114:114">
      <c r="DJ3432" s="29"/>
    </row>
    <row r="3433" spans="114:114">
      <c r="DJ3433" s="29"/>
    </row>
    <row r="3434" spans="114:114">
      <c r="DJ3434" s="29"/>
    </row>
    <row r="3435" spans="114:114">
      <c r="DJ3435" s="29"/>
    </row>
    <row r="3436" spans="114:114">
      <c r="DJ3436" s="29"/>
    </row>
    <row r="3437" spans="114:114">
      <c r="DJ3437" s="29"/>
    </row>
    <row r="3438" spans="114:114">
      <c r="DJ3438" s="29"/>
    </row>
    <row r="3439" spans="114:114">
      <c r="DJ3439" s="29"/>
    </row>
    <row r="3440" spans="114:114">
      <c r="DJ3440" s="29"/>
    </row>
    <row r="3441" spans="114:114">
      <c r="DJ3441" s="29"/>
    </row>
    <row r="3442" spans="114:114">
      <c r="DJ3442" s="29"/>
    </row>
    <row r="3443" spans="114:114">
      <c r="DJ3443" s="29"/>
    </row>
    <row r="3444" spans="114:114">
      <c r="DJ3444" s="29"/>
    </row>
    <row r="3445" spans="114:114">
      <c r="DJ3445" s="29"/>
    </row>
    <row r="3446" spans="114:114">
      <c r="DJ3446" s="29"/>
    </row>
    <row r="3447" spans="114:114">
      <c r="DJ3447" s="29"/>
    </row>
    <row r="3448" spans="114:114">
      <c r="DJ3448" s="29"/>
    </row>
    <row r="3449" spans="114:114">
      <c r="DJ3449" s="29"/>
    </row>
    <row r="3450" spans="114:114">
      <c r="DJ3450" s="29"/>
    </row>
    <row r="3451" spans="114:114">
      <c r="DJ3451" s="29"/>
    </row>
    <row r="3452" spans="114:114">
      <c r="DJ3452" s="29"/>
    </row>
    <row r="3453" spans="114:114">
      <c r="DJ3453" s="29"/>
    </row>
    <row r="3454" spans="114:114">
      <c r="DJ3454" s="29"/>
    </row>
    <row r="3455" spans="114:114">
      <c r="DJ3455" s="29"/>
    </row>
    <row r="3456" spans="114:114">
      <c r="DJ3456" s="29"/>
    </row>
    <row r="3457" spans="114:114">
      <c r="DJ3457" s="29"/>
    </row>
    <row r="3458" spans="114:114">
      <c r="DJ3458" s="29"/>
    </row>
    <row r="3459" spans="114:114">
      <c r="DJ3459" s="29"/>
    </row>
    <row r="3460" spans="114:114">
      <c r="DJ3460" s="29"/>
    </row>
    <row r="3461" spans="114:114">
      <c r="DJ3461" s="29"/>
    </row>
    <row r="3462" spans="114:114">
      <c r="DJ3462" s="29"/>
    </row>
    <row r="3463" spans="114:114">
      <c r="DJ3463" s="29"/>
    </row>
    <row r="3464" spans="114:114">
      <c r="DJ3464" s="29"/>
    </row>
    <row r="3465" spans="114:114">
      <c r="DJ3465" s="29"/>
    </row>
    <row r="3466" spans="114:114">
      <c r="DJ3466" s="29"/>
    </row>
    <row r="3467" spans="114:114">
      <c r="DJ3467" s="29"/>
    </row>
    <row r="3468" spans="114:114">
      <c r="DJ3468" s="29"/>
    </row>
    <row r="3469" spans="114:114">
      <c r="DJ3469" s="29"/>
    </row>
    <row r="3470" spans="114:114">
      <c r="DJ3470" s="29"/>
    </row>
    <row r="3471" spans="114:114">
      <c r="DJ3471" s="29"/>
    </row>
    <row r="3472" spans="114:114">
      <c r="DJ3472" s="29"/>
    </row>
    <row r="3473" spans="114:114">
      <c r="DJ3473" s="29"/>
    </row>
    <row r="3474" spans="114:114">
      <c r="DJ3474" s="29"/>
    </row>
    <row r="3475" spans="114:114">
      <c r="DJ3475" s="29"/>
    </row>
    <row r="3476" spans="114:114">
      <c r="DJ3476" s="29"/>
    </row>
    <row r="3477" spans="114:114">
      <c r="DJ3477" s="29"/>
    </row>
    <row r="3478" spans="114:114">
      <c r="DJ3478" s="29"/>
    </row>
    <row r="3479" spans="114:114">
      <c r="DJ3479" s="29"/>
    </row>
    <row r="3480" spans="114:114">
      <c r="DJ3480" s="29"/>
    </row>
    <row r="3481" spans="114:114">
      <c r="DJ3481" s="29"/>
    </row>
    <row r="3482" spans="114:114">
      <c r="DJ3482" s="29"/>
    </row>
    <row r="3483" spans="114:114">
      <c r="DJ3483" s="29"/>
    </row>
    <row r="3484" spans="114:114">
      <c r="DJ3484" s="29"/>
    </row>
    <row r="3485" spans="114:114">
      <c r="DJ3485" s="29"/>
    </row>
    <row r="3486" spans="114:114">
      <c r="DJ3486" s="29"/>
    </row>
    <row r="3487" spans="114:114">
      <c r="DJ3487" s="29"/>
    </row>
    <row r="3488" spans="114:114">
      <c r="DJ3488" s="29"/>
    </row>
    <row r="3489" spans="114:114">
      <c r="DJ3489" s="29"/>
    </row>
    <row r="3490" spans="114:114">
      <c r="DJ3490" s="29"/>
    </row>
    <row r="3491" spans="114:114">
      <c r="DJ3491" s="29"/>
    </row>
    <row r="3492" spans="114:114">
      <c r="DJ3492" s="29"/>
    </row>
    <row r="3493" spans="114:114">
      <c r="DJ3493" s="29"/>
    </row>
    <row r="3494" spans="114:114">
      <c r="DJ3494" s="29"/>
    </row>
    <row r="3495" spans="114:114">
      <c r="DJ3495" s="29"/>
    </row>
    <row r="3496" spans="114:114">
      <c r="DJ3496" s="29"/>
    </row>
    <row r="3497" spans="114:114">
      <c r="DJ3497" s="29"/>
    </row>
    <row r="3498" spans="114:114">
      <c r="DJ3498" s="29"/>
    </row>
    <row r="3499" spans="114:114">
      <c r="DJ3499" s="29"/>
    </row>
    <row r="3500" spans="114:114">
      <c r="DJ3500" s="29"/>
    </row>
    <row r="3501" spans="114:114">
      <c r="DJ3501" s="29"/>
    </row>
    <row r="3502" spans="114:114">
      <c r="DJ3502" s="29"/>
    </row>
    <row r="3503" spans="114:114">
      <c r="DJ3503" s="29"/>
    </row>
    <row r="3504" spans="114:114">
      <c r="DJ3504" s="29"/>
    </row>
    <row r="3505" spans="114:114">
      <c r="DJ3505" s="29"/>
    </row>
    <row r="3506" spans="114:114">
      <c r="DJ3506" s="29"/>
    </row>
    <row r="3507" spans="114:114">
      <c r="DJ3507" s="29"/>
    </row>
    <row r="3508" spans="114:114">
      <c r="DJ3508" s="29"/>
    </row>
    <row r="3509" spans="114:114">
      <c r="DJ3509" s="29"/>
    </row>
    <row r="3510" spans="114:114">
      <c r="DJ3510" s="29"/>
    </row>
    <row r="3511" spans="114:114">
      <c r="DJ3511" s="29"/>
    </row>
    <row r="3512" spans="114:114">
      <c r="DJ3512" s="29"/>
    </row>
    <row r="3513" spans="114:114">
      <c r="DJ3513" s="29"/>
    </row>
    <row r="3514" spans="114:114">
      <c r="DJ3514" s="29"/>
    </row>
    <row r="3515" spans="114:114">
      <c r="DJ3515" s="29"/>
    </row>
    <row r="3516" spans="114:114">
      <c r="DJ3516" s="29"/>
    </row>
    <row r="3517" spans="114:114">
      <c r="DJ3517" s="29"/>
    </row>
    <row r="3518" spans="114:114">
      <c r="DJ3518" s="29"/>
    </row>
    <row r="3519" spans="114:114">
      <c r="DJ3519" s="29"/>
    </row>
    <row r="3520" spans="114:114">
      <c r="DJ3520" s="29"/>
    </row>
    <row r="3521" spans="114:114">
      <c r="DJ3521" s="29"/>
    </row>
    <row r="3522" spans="114:114">
      <c r="DJ3522" s="29"/>
    </row>
    <row r="3523" spans="114:114">
      <c r="DJ3523" s="29"/>
    </row>
    <row r="3524" spans="114:114">
      <c r="DJ3524" s="29"/>
    </row>
    <row r="3525" spans="114:114">
      <c r="DJ3525" s="29"/>
    </row>
    <row r="3526" spans="114:114">
      <c r="DJ3526" s="29"/>
    </row>
    <row r="3527" spans="114:114">
      <c r="DJ3527" s="29"/>
    </row>
    <row r="3528" spans="114:114">
      <c r="DJ3528" s="29"/>
    </row>
    <row r="3529" spans="114:114">
      <c r="DJ3529" s="29"/>
    </row>
    <row r="3530" spans="114:114">
      <c r="DJ3530" s="29"/>
    </row>
    <row r="3531" spans="114:114">
      <c r="DJ3531" s="29"/>
    </row>
    <row r="3532" spans="114:114">
      <c r="DJ3532" s="29"/>
    </row>
    <row r="3533" spans="114:114">
      <c r="DJ3533" s="29"/>
    </row>
    <row r="3534" spans="114:114">
      <c r="DJ3534" s="29"/>
    </row>
    <row r="3535" spans="114:114">
      <c r="DJ3535" s="29"/>
    </row>
    <row r="3536" spans="114:114">
      <c r="DJ3536" s="29"/>
    </row>
    <row r="3537" spans="114:114">
      <c r="DJ3537" s="29"/>
    </row>
    <row r="3538" spans="114:114">
      <c r="DJ3538" s="29"/>
    </row>
    <row r="3539" spans="114:114">
      <c r="DJ3539" s="29"/>
    </row>
    <row r="3540" spans="114:114">
      <c r="DJ3540" s="29"/>
    </row>
    <row r="3541" spans="114:114">
      <c r="DJ3541" s="29"/>
    </row>
    <row r="3542" spans="114:114">
      <c r="DJ3542" s="29"/>
    </row>
    <row r="3543" spans="114:114">
      <c r="DJ3543" s="29"/>
    </row>
    <row r="3544" spans="114:114">
      <c r="DJ3544" s="29"/>
    </row>
    <row r="3545" spans="114:114">
      <c r="DJ3545" s="29"/>
    </row>
    <row r="3546" spans="114:114">
      <c r="DJ3546" s="29"/>
    </row>
    <row r="3547" spans="114:114">
      <c r="DJ3547" s="29"/>
    </row>
    <row r="3548" spans="114:114">
      <c r="DJ3548" s="29"/>
    </row>
    <row r="3549" spans="114:114">
      <c r="DJ3549" s="29"/>
    </row>
    <row r="3550" spans="114:114">
      <c r="DJ3550" s="29"/>
    </row>
    <row r="3551" spans="114:114">
      <c r="DJ3551" s="29"/>
    </row>
    <row r="3552" spans="114:114">
      <c r="DJ3552" s="29"/>
    </row>
    <row r="3553" spans="114:114">
      <c r="DJ3553" s="29"/>
    </row>
    <row r="3554" spans="114:114">
      <c r="DJ3554" s="29"/>
    </row>
    <row r="3555" spans="114:114">
      <c r="DJ3555" s="29"/>
    </row>
    <row r="3556" spans="114:114">
      <c r="DJ3556" s="29"/>
    </row>
    <row r="3557" spans="114:114">
      <c r="DJ3557" s="29"/>
    </row>
    <row r="3558" spans="114:114">
      <c r="DJ3558" s="29"/>
    </row>
    <row r="3559" spans="114:114">
      <c r="DJ3559" s="29"/>
    </row>
    <row r="3560" spans="114:114">
      <c r="DJ3560" s="29"/>
    </row>
    <row r="3561" spans="114:114">
      <c r="DJ3561" s="29"/>
    </row>
    <row r="3562" spans="114:114">
      <c r="DJ3562" s="29"/>
    </row>
    <row r="3563" spans="114:114">
      <c r="DJ3563" s="29"/>
    </row>
    <row r="3564" spans="114:114">
      <c r="DJ3564" s="29"/>
    </row>
    <row r="3565" spans="114:114">
      <c r="DJ3565" s="29"/>
    </row>
    <row r="3566" spans="114:114">
      <c r="DJ3566" s="29"/>
    </row>
    <row r="3567" spans="114:114">
      <c r="DJ3567" s="29"/>
    </row>
    <row r="3568" spans="114:114">
      <c r="DJ3568" s="29"/>
    </row>
    <row r="3569" spans="114:114">
      <c r="DJ3569" s="29"/>
    </row>
    <row r="3570" spans="114:114">
      <c r="DJ3570" s="29"/>
    </row>
    <row r="3571" spans="114:114">
      <c r="DJ3571" s="29"/>
    </row>
    <row r="3572" spans="114:114">
      <c r="DJ3572" s="29"/>
    </row>
    <row r="3573" spans="114:114">
      <c r="DJ3573" s="29"/>
    </row>
    <row r="3574" spans="114:114">
      <c r="DJ3574" s="29"/>
    </row>
    <row r="3575" spans="114:114">
      <c r="DJ3575" s="29"/>
    </row>
    <row r="3576" spans="114:114">
      <c r="DJ3576" s="29"/>
    </row>
    <row r="3577" spans="114:114">
      <c r="DJ3577" s="29"/>
    </row>
    <row r="3578" spans="114:114">
      <c r="DJ3578" s="29"/>
    </row>
    <row r="3579" spans="114:114">
      <c r="DJ3579" s="29"/>
    </row>
    <row r="3580" spans="114:114">
      <c r="DJ3580" s="29"/>
    </row>
    <row r="3581" spans="114:114">
      <c r="DJ3581" s="29"/>
    </row>
    <row r="3582" spans="114:114">
      <c r="DJ3582" s="29"/>
    </row>
    <row r="3583" spans="114:114">
      <c r="DJ3583" s="29"/>
    </row>
    <row r="3584" spans="114:114">
      <c r="DJ3584" s="29"/>
    </row>
    <row r="3585" spans="114:114">
      <c r="DJ3585" s="29"/>
    </row>
    <row r="3586" spans="114:114">
      <c r="DJ3586" s="29"/>
    </row>
    <row r="3587" spans="114:114">
      <c r="DJ3587" s="29"/>
    </row>
    <row r="3588" spans="114:114">
      <c r="DJ3588" s="29"/>
    </row>
    <row r="3589" spans="114:114">
      <c r="DJ3589" s="29"/>
    </row>
    <row r="3590" spans="114:114">
      <c r="DJ3590" s="29"/>
    </row>
    <row r="3591" spans="114:114">
      <c r="DJ3591" s="29"/>
    </row>
    <row r="3592" spans="114:114">
      <c r="DJ3592" s="29"/>
    </row>
    <row r="3593" spans="114:114">
      <c r="DJ3593" s="29"/>
    </row>
    <row r="3594" spans="114:114">
      <c r="DJ3594" s="29"/>
    </row>
    <row r="3595" spans="114:114">
      <c r="DJ3595" s="29"/>
    </row>
    <row r="3596" spans="114:114">
      <c r="DJ3596" s="29"/>
    </row>
    <row r="3597" spans="114:114">
      <c r="DJ3597" s="29"/>
    </row>
    <row r="3598" spans="114:114">
      <c r="DJ3598" s="29"/>
    </row>
    <row r="3599" spans="114:114">
      <c r="DJ3599" s="29"/>
    </row>
    <row r="3600" spans="114:114">
      <c r="DJ3600" s="29"/>
    </row>
    <row r="3601" spans="114:114">
      <c r="DJ3601" s="29"/>
    </row>
    <row r="3602" spans="114:114">
      <c r="DJ3602" s="29"/>
    </row>
    <row r="3603" spans="114:114">
      <c r="DJ3603" s="29"/>
    </row>
    <row r="3604" spans="114:114">
      <c r="DJ3604" s="29"/>
    </row>
    <row r="3605" spans="114:114">
      <c r="DJ3605" s="29"/>
    </row>
    <row r="3606" spans="114:114">
      <c r="DJ3606" s="29"/>
    </row>
    <row r="3607" spans="114:114">
      <c r="DJ3607" s="29"/>
    </row>
    <row r="3608" spans="114:114">
      <c r="DJ3608" s="29"/>
    </row>
    <row r="3609" spans="114:114">
      <c r="DJ3609" s="29"/>
    </row>
    <row r="3610" spans="114:114">
      <c r="DJ3610" s="29"/>
    </row>
    <row r="3611" spans="114:114">
      <c r="DJ3611" s="29"/>
    </row>
    <row r="3612" spans="114:114">
      <c r="DJ3612" s="29"/>
    </row>
    <row r="3613" spans="114:114">
      <c r="DJ3613" s="29"/>
    </row>
    <row r="3614" spans="114:114">
      <c r="DJ3614" s="29"/>
    </row>
    <row r="3615" spans="114:114">
      <c r="DJ3615" s="29"/>
    </row>
    <row r="3616" spans="114:114">
      <c r="DJ3616" s="29"/>
    </row>
    <row r="3617" spans="114:114">
      <c r="DJ3617" s="29"/>
    </row>
    <row r="3618" spans="114:114">
      <c r="DJ3618" s="29"/>
    </row>
    <row r="3619" spans="114:114">
      <c r="DJ3619" s="29"/>
    </row>
    <row r="3620" spans="114:114">
      <c r="DJ3620" s="29"/>
    </row>
    <row r="3621" spans="114:114">
      <c r="DJ3621" s="29"/>
    </row>
    <row r="3622" spans="114:114">
      <c r="DJ3622" s="29"/>
    </row>
    <row r="3623" spans="114:114">
      <c r="DJ3623" s="29"/>
    </row>
    <row r="3624" spans="114:114">
      <c r="DJ3624" s="29"/>
    </row>
    <row r="3625" spans="114:114">
      <c r="DJ3625" s="29"/>
    </row>
    <row r="3626" spans="114:114">
      <c r="DJ3626" s="29"/>
    </row>
    <row r="3627" spans="114:114">
      <c r="DJ3627" s="29"/>
    </row>
    <row r="3628" spans="114:114">
      <c r="DJ3628" s="29"/>
    </row>
    <row r="3629" spans="114:114">
      <c r="DJ3629" s="29"/>
    </row>
    <row r="3630" spans="114:114">
      <c r="DJ3630" s="29"/>
    </row>
    <row r="3631" spans="114:114">
      <c r="DJ3631" s="29"/>
    </row>
    <row r="3632" spans="114:114">
      <c r="DJ3632" s="29"/>
    </row>
    <row r="3633" spans="114:114">
      <c r="DJ3633" s="29"/>
    </row>
    <row r="3634" spans="114:114">
      <c r="DJ3634" s="29"/>
    </row>
    <row r="3635" spans="114:114">
      <c r="DJ3635" s="29"/>
    </row>
    <row r="3636" spans="114:114">
      <c r="DJ3636" s="29"/>
    </row>
    <row r="3637" spans="114:114">
      <c r="DJ3637" s="29"/>
    </row>
    <row r="3638" spans="114:114">
      <c r="DJ3638" s="29"/>
    </row>
    <row r="3639" spans="114:114">
      <c r="DJ3639" s="29"/>
    </row>
    <row r="3640" spans="114:114">
      <c r="DJ3640" s="29"/>
    </row>
    <row r="3641" spans="114:114">
      <c r="DJ3641" s="29"/>
    </row>
    <row r="3642" spans="114:114">
      <c r="DJ3642" s="29"/>
    </row>
    <row r="3643" spans="114:114">
      <c r="DJ3643" s="29"/>
    </row>
    <row r="3644" spans="114:114">
      <c r="DJ3644" s="29"/>
    </row>
    <row r="3645" spans="114:114">
      <c r="DJ3645" s="29"/>
    </row>
    <row r="3646" spans="114:114">
      <c r="DJ3646" s="29"/>
    </row>
    <row r="3647" spans="114:114">
      <c r="DJ3647" s="29"/>
    </row>
    <row r="3648" spans="114:114">
      <c r="DJ3648" s="29"/>
    </row>
    <row r="3649" spans="114:114">
      <c r="DJ3649" s="29"/>
    </row>
    <row r="3650" spans="114:114">
      <c r="DJ3650" s="29"/>
    </row>
    <row r="3651" spans="114:114">
      <c r="DJ3651" s="29"/>
    </row>
    <row r="3652" spans="114:114">
      <c r="DJ3652" s="29"/>
    </row>
    <row r="3653" spans="114:114">
      <c r="DJ3653" s="29"/>
    </row>
    <row r="3654" spans="114:114">
      <c r="DJ3654" s="29"/>
    </row>
    <row r="3655" spans="114:114">
      <c r="DJ3655" s="29"/>
    </row>
    <row r="3656" spans="114:114">
      <c r="DJ3656" s="29"/>
    </row>
    <row r="3657" spans="114:114">
      <c r="DJ3657" s="29"/>
    </row>
    <row r="3658" spans="114:114">
      <c r="DJ3658" s="29"/>
    </row>
    <row r="3659" spans="114:114">
      <c r="DJ3659" s="29"/>
    </row>
    <row r="3660" spans="114:114">
      <c r="DJ3660" s="29"/>
    </row>
    <row r="3661" spans="114:114">
      <c r="DJ3661" s="29"/>
    </row>
    <row r="3662" spans="114:114">
      <c r="DJ3662" s="29"/>
    </row>
    <row r="3663" spans="114:114">
      <c r="DJ3663" s="29"/>
    </row>
    <row r="3664" spans="114:114">
      <c r="DJ3664" s="29"/>
    </row>
    <row r="3665" spans="114:114">
      <c r="DJ3665" s="29"/>
    </row>
    <row r="3666" spans="114:114">
      <c r="DJ3666" s="29"/>
    </row>
    <row r="3667" spans="114:114">
      <c r="DJ3667" s="29"/>
    </row>
    <row r="3668" spans="114:114">
      <c r="DJ3668" s="29"/>
    </row>
    <row r="3669" spans="114:114">
      <c r="DJ3669" s="29"/>
    </row>
    <row r="3670" spans="114:114">
      <c r="DJ3670" s="29"/>
    </row>
    <row r="3671" spans="114:114">
      <c r="DJ3671" s="29"/>
    </row>
    <row r="3672" spans="114:114">
      <c r="DJ3672" s="29"/>
    </row>
    <row r="3673" spans="114:114">
      <c r="DJ3673" s="29"/>
    </row>
    <row r="3674" spans="114:114">
      <c r="DJ3674" s="29"/>
    </row>
    <row r="3675" spans="114:114">
      <c r="DJ3675" s="29"/>
    </row>
    <row r="3676" spans="114:114">
      <c r="DJ3676" s="29"/>
    </row>
    <row r="3677" spans="114:114">
      <c r="DJ3677" s="29"/>
    </row>
    <row r="3678" spans="114:114">
      <c r="DJ3678" s="29"/>
    </row>
    <row r="3679" spans="114:114">
      <c r="DJ3679" s="29"/>
    </row>
    <row r="3680" spans="114:114">
      <c r="DJ3680" s="29"/>
    </row>
    <row r="3681" spans="114:114">
      <c r="DJ3681" s="29"/>
    </row>
    <row r="3682" spans="114:114">
      <c r="DJ3682" s="29"/>
    </row>
    <row r="3683" spans="114:114">
      <c r="DJ3683" s="29"/>
    </row>
    <row r="3684" spans="114:114">
      <c r="DJ3684" s="29"/>
    </row>
    <row r="3685" spans="114:114">
      <c r="DJ3685" s="29"/>
    </row>
    <row r="3686" spans="114:114">
      <c r="DJ3686" s="29"/>
    </row>
    <row r="3687" spans="114:114">
      <c r="DJ3687" s="29"/>
    </row>
    <row r="3688" spans="114:114">
      <c r="DJ3688" s="29"/>
    </row>
    <row r="3689" spans="114:114">
      <c r="DJ3689" s="29"/>
    </row>
    <row r="3690" spans="114:114">
      <c r="DJ3690" s="29"/>
    </row>
    <row r="3691" spans="114:114">
      <c r="DJ3691" s="29"/>
    </row>
    <row r="3692" spans="114:114">
      <c r="DJ3692" s="29"/>
    </row>
    <row r="3693" spans="114:114">
      <c r="DJ3693" s="29"/>
    </row>
    <row r="3694" spans="114:114">
      <c r="DJ3694" s="29"/>
    </row>
    <row r="3695" spans="114:114">
      <c r="DJ3695" s="29"/>
    </row>
    <row r="3696" spans="114:114">
      <c r="DJ3696" s="29"/>
    </row>
    <row r="3697" spans="114:114">
      <c r="DJ3697" s="29"/>
    </row>
    <row r="3698" spans="114:114">
      <c r="DJ3698" s="29"/>
    </row>
    <row r="3699" spans="114:114">
      <c r="DJ3699" s="29"/>
    </row>
    <row r="3700" spans="114:114">
      <c r="DJ3700" s="29"/>
    </row>
    <row r="3701" spans="114:114">
      <c r="DJ3701" s="29"/>
    </row>
    <row r="3702" spans="114:114">
      <c r="DJ3702" s="29"/>
    </row>
    <row r="3703" spans="114:114">
      <c r="DJ3703" s="29"/>
    </row>
    <row r="3704" spans="114:114">
      <c r="DJ3704" s="29"/>
    </row>
    <row r="3705" spans="114:114">
      <c r="DJ3705" s="29"/>
    </row>
    <row r="3706" spans="114:114">
      <c r="DJ3706" s="29"/>
    </row>
    <row r="3707" spans="114:114">
      <c r="DJ3707" s="29"/>
    </row>
    <row r="3708" spans="114:114">
      <c r="DJ3708" s="29"/>
    </row>
    <row r="3709" spans="114:114">
      <c r="DJ3709" s="29"/>
    </row>
    <row r="3710" spans="114:114">
      <c r="DJ3710" s="29"/>
    </row>
    <row r="3711" spans="114:114">
      <c r="DJ3711" s="29"/>
    </row>
    <row r="3712" spans="114:114">
      <c r="DJ3712" s="29"/>
    </row>
    <row r="3713" spans="114:114">
      <c r="DJ3713" s="29"/>
    </row>
    <row r="3714" spans="114:114">
      <c r="DJ3714" s="29"/>
    </row>
    <row r="3715" spans="114:114">
      <c r="DJ3715" s="29"/>
    </row>
    <row r="3716" spans="114:114">
      <c r="DJ3716" s="29"/>
    </row>
    <row r="3717" spans="114:114">
      <c r="DJ3717" s="29"/>
    </row>
    <row r="3718" spans="114:114">
      <c r="DJ3718" s="29"/>
    </row>
    <row r="3719" spans="114:114">
      <c r="DJ3719" s="29"/>
    </row>
    <row r="3720" spans="114:114">
      <c r="DJ3720" s="29"/>
    </row>
    <row r="3721" spans="114:114">
      <c r="DJ3721" s="29"/>
    </row>
    <row r="3722" spans="114:114">
      <c r="DJ3722" s="29"/>
    </row>
    <row r="3723" spans="114:114">
      <c r="DJ3723" s="29"/>
    </row>
    <row r="3724" spans="114:114">
      <c r="DJ3724" s="29"/>
    </row>
    <row r="3725" spans="114:114">
      <c r="DJ3725" s="29"/>
    </row>
    <row r="3726" spans="114:114">
      <c r="DJ3726" s="29"/>
    </row>
    <row r="3727" spans="114:114">
      <c r="DJ3727" s="29"/>
    </row>
    <row r="3728" spans="114:114">
      <c r="DJ3728" s="29"/>
    </row>
    <row r="3729" spans="114:114">
      <c r="DJ3729" s="29"/>
    </row>
    <row r="3730" spans="114:114">
      <c r="DJ3730" s="29"/>
    </row>
    <row r="3731" spans="114:114">
      <c r="DJ3731" s="29"/>
    </row>
    <row r="3732" spans="114:114">
      <c r="DJ3732" s="29"/>
    </row>
    <row r="3733" spans="114:114">
      <c r="DJ3733" s="29"/>
    </row>
    <row r="3734" spans="114:114">
      <c r="DJ3734" s="29"/>
    </row>
    <row r="3735" spans="114:114">
      <c r="DJ3735" s="29"/>
    </row>
    <row r="3736" spans="114:114">
      <c r="DJ3736" s="29"/>
    </row>
    <row r="3737" spans="114:114">
      <c r="DJ3737" s="29"/>
    </row>
    <row r="3738" spans="114:114">
      <c r="DJ3738" s="29"/>
    </row>
    <row r="3739" spans="114:114">
      <c r="DJ3739" s="29"/>
    </row>
    <row r="3740" spans="114:114">
      <c r="DJ3740" s="29"/>
    </row>
    <row r="3741" spans="114:114">
      <c r="DJ3741" s="29"/>
    </row>
    <row r="3742" spans="114:114">
      <c r="DJ3742" s="29"/>
    </row>
    <row r="3743" spans="114:114">
      <c r="DJ3743" s="29"/>
    </row>
    <row r="3744" spans="114:114">
      <c r="DJ3744" s="29"/>
    </row>
    <row r="3745" spans="114:114">
      <c r="DJ3745" s="29"/>
    </row>
    <row r="3746" spans="114:114">
      <c r="DJ3746" s="29"/>
    </row>
    <row r="3747" spans="114:114">
      <c r="DJ3747" s="29"/>
    </row>
    <row r="3748" spans="114:114">
      <c r="DJ3748" s="29"/>
    </row>
    <row r="3749" spans="114:114">
      <c r="DJ3749" s="29"/>
    </row>
    <row r="3750" spans="114:114">
      <c r="DJ3750" s="29"/>
    </row>
    <row r="3751" spans="114:114">
      <c r="DJ3751" s="29"/>
    </row>
    <row r="3752" spans="114:114">
      <c r="DJ3752" s="29"/>
    </row>
    <row r="3753" spans="114:114">
      <c r="DJ3753" s="29"/>
    </row>
    <row r="3754" spans="114:114">
      <c r="DJ3754" s="29"/>
    </row>
    <row r="3755" spans="114:114">
      <c r="DJ3755" s="29"/>
    </row>
    <row r="3756" spans="114:114">
      <c r="DJ3756" s="29"/>
    </row>
    <row r="3757" spans="114:114">
      <c r="DJ3757" s="29"/>
    </row>
    <row r="3758" spans="114:114">
      <c r="DJ3758" s="29"/>
    </row>
    <row r="3759" spans="114:114">
      <c r="DJ3759" s="29"/>
    </row>
    <row r="3760" spans="114:114">
      <c r="DJ3760" s="29"/>
    </row>
    <row r="3761" spans="114:114">
      <c r="DJ3761" s="29"/>
    </row>
    <row r="3762" spans="114:114">
      <c r="DJ3762" s="29"/>
    </row>
    <row r="3763" spans="114:114">
      <c r="DJ3763" s="29"/>
    </row>
    <row r="3764" spans="114:114">
      <c r="DJ3764" s="29"/>
    </row>
    <row r="3765" spans="114:114">
      <c r="DJ3765" s="29"/>
    </row>
    <row r="3766" spans="114:114">
      <c r="DJ3766" s="29"/>
    </row>
    <row r="3767" spans="114:114">
      <c r="DJ3767" s="29"/>
    </row>
    <row r="3768" spans="114:114">
      <c r="DJ3768" s="29"/>
    </row>
    <row r="3769" spans="114:114">
      <c r="DJ3769" s="29"/>
    </row>
    <row r="3770" spans="114:114">
      <c r="DJ3770" s="29"/>
    </row>
    <row r="3771" spans="114:114">
      <c r="DJ3771" s="29"/>
    </row>
    <row r="3772" spans="114:114">
      <c r="DJ3772" s="29"/>
    </row>
    <row r="3773" spans="114:114">
      <c r="DJ3773" s="29"/>
    </row>
    <row r="3774" spans="114:114">
      <c r="DJ3774" s="29"/>
    </row>
    <row r="3775" spans="114:114">
      <c r="DJ3775" s="29"/>
    </row>
    <row r="3776" spans="114:114">
      <c r="DJ3776" s="29"/>
    </row>
    <row r="3777" spans="114:114">
      <c r="DJ3777" s="29"/>
    </row>
    <row r="3778" spans="114:114">
      <c r="DJ3778" s="29"/>
    </row>
    <row r="3779" spans="114:114">
      <c r="DJ3779" s="29"/>
    </row>
    <row r="3780" spans="114:114">
      <c r="DJ3780" s="29"/>
    </row>
    <row r="3781" spans="114:114">
      <c r="DJ3781" s="29"/>
    </row>
    <row r="3782" spans="114:114">
      <c r="DJ3782" s="29"/>
    </row>
    <row r="3783" spans="114:114">
      <c r="DJ3783" s="29"/>
    </row>
    <row r="3784" spans="114:114">
      <c r="DJ3784" s="29"/>
    </row>
    <row r="3785" spans="114:114">
      <c r="DJ3785" s="29"/>
    </row>
    <row r="3786" spans="114:114">
      <c r="DJ3786" s="29"/>
    </row>
    <row r="3787" spans="114:114">
      <c r="DJ3787" s="29"/>
    </row>
    <row r="3788" spans="114:114">
      <c r="DJ3788" s="29"/>
    </row>
    <row r="3789" spans="114:114">
      <c r="DJ3789" s="29"/>
    </row>
    <row r="3790" spans="114:114">
      <c r="DJ3790" s="29"/>
    </row>
    <row r="3791" spans="114:114">
      <c r="DJ3791" s="29"/>
    </row>
    <row r="3792" spans="114:114">
      <c r="DJ3792" s="29"/>
    </row>
    <row r="3793" spans="114:114">
      <c r="DJ3793" s="29"/>
    </row>
    <row r="3794" spans="114:114">
      <c r="DJ3794" s="29"/>
    </row>
    <row r="3795" spans="114:114">
      <c r="DJ3795" s="29"/>
    </row>
    <row r="3796" spans="114:114">
      <c r="DJ3796" s="29"/>
    </row>
    <row r="3797" spans="114:114">
      <c r="DJ3797" s="29"/>
    </row>
    <row r="3798" spans="114:114">
      <c r="DJ3798" s="29"/>
    </row>
    <row r="3799" spans="114:114">
      <c r="DJ3799" s="29"/>
    </row>
    <row r="3800" spans="114:114">
      <c r="DJ3800" s="29"/>
    </row>
    <row r="3801" spans="114:114">
      <c r="DJ3801" s="29"/>
    </row>
    <row r="3802" spans="114:114">
      <c r="DJ3802" s="29"/>
    </row>
    <row r="3803" spans="114:114">
      <c r="DJ3803" s="29"/>
    </row>
    <row r="3804" spans="114:114">
      <c r="DJ3804" s="29"/>
    </row>
    <row r="3805" spans="114:114">
      <c r="DJ3805" s="29"/>
    </row>
    <row r="3806" spans="114:114">
      <c r="DJ3806" s="29"/>
    </row>
    <row r="3807" spans="114:114">
      <c r="DJ3807" s="29"/>
    </row>
    <row r="3808" spans="114:114">
      <c r="DJ3808" s="29"/>
    </row>
    <row r="3809" spans="114:114">
      <c r="DJ3809" s="29"/>
    </row>
    <row r="3810" spans="114:114">
      <c r="DJ3810" s="29"/>
    </row>
    <row r="3811" spans="114:114">
      <c r="DJ3811" s="29"/>
    </row>
    <row r="3812" spans="114:114">
      <c r="DJ3812" s="29"/>
    </row>
    <row r="3813" spans="114:114">
      <c r="DJ3813" s="29"/>
    </row>
    <row r="3814" spans="114:114">
      <c r="DJ3814" s="29"/>
    </row>
    <row r="3815" spans="114:114">
      <c r="DJ3815" s="29"/>
    </row>
    <row r="3816" spans="114:114">
      <c r="DJ3816" s="29"/>
    </row>
    <row r="3817" spans="114:114">
      <c r="DJ3817" s="29"/>
    </row>
    <row r="3818" spans="114:114">
      <c r="DJ3818" s="29"/>
    </row>
    <row r="3819" spans="114:114">
      <c r="DJ3819" s="29"/>
    </row>
    <row r="3820" spans="114:114">
      <c r="DJ3820" s="29"/>
    </row>
    <row r="3821" spans="114:114">
      <c r="DJ3821" s="29"/>
    </row>
    <row r="3822" spans="114:114">
      <c r="DJ3822" s="29"/>
    </row>
    <row r="3823" spans="114:114">
      <c r="DJ3823" s="29"/>
    </row>
    <row r="3824" spans="114:114">
      <c r="DJ3824" s="29"/>
    </row>
    <row r="3825" spans="114:114">
      <c r="DJ3825" s="29"/>
    </row>
    <row r="3826" spans="114:114">
      <c r="DJ3826" s="29"/>
    </row>
    <row r="3827" spans="114:114">
      <c r="DJ3827" s="29"/>
    </row>
    <row r="3828" spans="114:114">
      <c r="DJ3828" s="29"/>
    </row>
    <row r="3829" spans="114:114">
      <c r="DJ3829" s="29"/>
    </row>
    <row r="3830" spans="114:114">
      <c r="DJ3830" s="29"/>
    </row>
    <row r="3831" spans="114:114">
      <c r="DJ3831" s="29"/>
    </row>
    <row r="3832" spans="114:114">
      <c r="DJ3832" s="29"/>
    </row>
    <row r="3833" spans="114:114">
      <c r="DJ3833" s="29"/>
    </row>
    <row r="3834" spans="114:114">
      <c r="DJ3834" s="29"/>
    </row>
    <row r="3835" spans="114:114">
      <c r="DJ3835" s="29"/>
    </row>
    <row r="3836" spans="114:114">
      <c r="DJ3836" s="29"/>
    </row>
    <row r="3837" spans="114:114">
      <c r="DJ3837" s="29"/>
    </row>
    <row r="3838" spans="114:114">
      <c r="DJ3838" s="29"/>
    </row>
    <row r="3839" spans="114:114">
      <c r="DJ3839" s="29"/>
    </row>
    <row r="3840" spans="114:114">
      <c r="DJ3840" s="29"/>
    </row>
    <row r="3841" spans="114:114">
      <c r="DJ3841" s="29"/>
    </row>
    <row r="3842" spans="114:114">
      <c r="DJ3842" s="29"/>
    </row>
    <row r="3843" spans="114:114">
      <c r="DJ3843" s="29"/>
    </row>
    <row r="3844" spans="114:114">
      <c r="DJ3844" s="29"/>
    </row>
    <row r="3845" spans="114:114">
      <c r="DJ3845" s="29"/>
    </row>
    <row r="3846" spans="114:114">
      <c r="DJ3846" s="29"/>
    </row>
    <row r="3847" spans="114:114">
      <c r="DJ3847" s="29"/>
    </row>
    <row r="3848" spans="114:114">
      <c r="DJ3848" s="29"/>
    </row>
    <row r="3849" spans="114:114">
      <c r="DJ3849" s="29"/>
    </row>
    <row r="3850" spans="114:114">
      <c r="DJ3850" s="29"/>
    </row>
    <row r="3851" spans="114:114">
      <c r="DJ3851" s="29"/>
    </row>
    <row r="3852" spans="114:114">
      <c r="DJ3852" s="29"/>
    </row>
    <row r="3853" spans="114:114">
      <c r="DJ3853" s="29"/>
    </row>
    <row r="3854" spans="114:114">
      <c r="DJ3854" s="29"/>
    </row>
    <row r="3855" spans="114:114">
      <c r="DJ3855" s="29"/>
    </row>
    <row r="3856" spans="114:114">
      <c r="DJ3856" s="29"/>
    </row>
    <row r="3857" spans="114:114">
      <c r="DJ3857" s="29"/>
    </row>
    <row r="3858" spans="114:114">
      <c r="DJ3858" s="29"/>
    </row>
    <row r="3859" spans="114:114">
      <c r="DJ3859" s="29"/>
    </row>
    <row r="3860" spans="114:114">
      <c r="DJ3860" s="29"/>
    </row>
    <row r="3861" spans="114:114">
      <c r="DJ3861" s="29"/>
    </row>
    <row r="3862" spans="114:114">
      <c r="DJ3862" s="29"/>
    </row>
    <row r="3863" spans="114:114">
      <c r="DJ3863" s="29"/>
    </row>
    <row r="3864" spans="114:114">
      <c r="DJ3864" s="29"/>
    </row>
    <row r="3865" spans="114:114">
      <c r="DJ3865" s="29"/>
    </row>
    <row r="3866" spans="114:114">
      <c r="DJ3866" s="29"/>
    </row>
    <row r="3867" spans="114:114">
      <c r="DJ3867" s="29"/>
    </row>
    <row r="3868" spans="114:114">
      <c r="DJ3868" s="29"/>
    </row>
    <row r="3869" spans="114:114">
      <c r="DJ3869" s="29"/>
    </row>
    <row r="3870" spans="114:114">
      <c r="DJ3870" s="29"/>
    </row>
    <row r="3871" spans="114:114">
      <c r="DJ3871" s="29"/>
    </row>
    <row r="3872" spans="114:114">
      <c r="DJ3872" s="29"/>
    </row>
    <row r="3873" spans="114:114">
      <c r="DJ3873" s="29"/>
    </row>
    <row r="3874" spans="114:114">
      <c r="DJ3874" s="29"/>
    </row>
    <row r="3875" spans="114:114">
      <c r="DJ3875" s="29"/>
    </row>
    <row r="3876" spans="114:114">
      <c r="DJ3876" s="29"/>
    </row>
    <row r="3877" spans="114:114">
      <c r="DJ3877" s="29"/>
    </row>
    <row r="3878" spans="114:114">
      <c r="DJ3878" s="29"/>
    </row>
    <row r="3879" spans="114:114">
      <c r="DJ3879" s="29"/>
    </row>
    <row r="3880" spans="114:114">
      <c r="DJ3880" s="29"/>
    </row>
    <row r="3881" spans="114:114">
      <c r="DJ3881" s="29"/>
    </row>
    <row r="3882" spans="114:114">
      <c r="DJ3882" s="29"/>
    </row>
    <row r="3883" spans="114:114">
      <c r="DJ3883" s="29"/>
    </row>
    <row r="3884" spans="114:114">
      <c r="DJ3884" s="29"/>
    </row>
    <row r="3885" spans="114:114">
      <c r="DJ3885" s="29"/>
    </row>
    <row r="3886" spans="114:114">
      <c r="DJ3886" s="29"/>
    </row>
    <row r="3887" spans="114:114">
      <c r="DJ3887" s="29"/>
    </row>
    <row r="3888" spans="114:114">
      <c r="DJ3888" s="29"/>
    </row>
    <row r="3889" spans="114:114">
      <c r="DJ3889" s="29"/>
    </row>
    <row r="3890" spans="114:114">
      <c r="DJ3890" s="29"/>
    </row>
    <row r="3891" spans="114:114">
      <c r="DJ3891" s="29"/>
    </row>
    <row r="3892" spans="114:114">
      <c r="DJ3892" s="29"/>
    </row>
    <row r="3893" spans="114:114">
      <c r="DJ3893" s="29"/>
    </row>
    <row r="3894" spans="114:114">
      <c r="DJ3894" s="29"/>
    </row>
    <row r="3895" spans="114:114">
      <c r="DJ3895" s="29"/>
    </row>
    <row r="3896" spans="114:114">
      <c r="DJ3896" s="29"/>
    </row>
    <row r="3897" spans="114:114">
      <c r="DJ3897" s="29"/>
    </row>
    <row r="3898" spans="114:114">
      <c r="DJ3898" s="29"/>
    </row>
    <row r="3899" spans="114:114">
      <c r="DJ3899" s="29"/>
    </row>
    <row r="3900" spans="114:114">
      <c r="DJ3900" s="29"/>
    </row>
    <row r="3901" spans="114:114">
      <c r="DJ3901" s="29"/>
    </row>
    <row r="3902" spans="114:114">
      <c r="DJ3902" s="29"/>
    </row>
    <row r="3903" spans="114:114">
      <c r="DJ3903" s="29"/>
    </row>
    <row r="3904" spans="114:114">
      <c r="DJ3904" s="29"/>
    </row>
    <row r="3905" spans="114:114">
      <c r="DJ3905" s="29"/>
    </row>
    <row r="3906" spans="114:114">
      <c r="DJ3906" s="29"/>
    </row>
    <row r="3907" spans="114:114">
      <c r="DJ3907" s="29"/>
    </row>
    <row r="3908" spans="114:114">
      <c r="DJ3908" s="29"/>
    </row>
    <row r="3909" spans="114:114">
      <c r="DJ3909" s="29"/>
    </row>
    <row r="3910" spans="114:114">
      <c r="DJ3910" s="29"/>
    </row>
    <row r="3911" spans="114:114">
      <c r="DJ3911" s="29"/>
    </row>
    <row r="3912" spans="114:114">
      <c r="DJ3912" s="29"/>
    </row>
    <row r="3913" spans="114:114">
      <c r="DJ3913" s="29"/>
    </row>
    <row r="3914" spans="114:114">
      <c r="DJ3914" s="29"/>
    </row>
    <row r="3915" spans="114:114">
      <c r="DJ3915" s="29"/>
    </row>
    <row r="3916" spans="114:114">
      <c r="DJ3916" s="29"/>
    </row>
    <row r="3917" spans="114:114">
      <c r="DJ3917" s="29"/>
    </row>
    <row r="3918" spans="114:114">
      <c r="DJ3918" s="29"/>
    </row>
    <row r="3919" spans="114:114">
      <c r="DJ3919" s="29"/>
    </row>
    <row r="3920" spans="114:114">
      <c r="DJ3920" s="29"/>
    </row>
    <row r="3921" spans="114:114">
      <c r="DJ3921" s="29"/>
    </row>
    <row r="3922" spans="114:114">
      <c r="DJ3922" s="29"/>
    </row>
    <row r="3923" spans="114:114">
      <c r="DJ3923" s="29"/>
    </row>
    <row r="3924" spans="114:114">
      <c r="DJ3924" s="29"/>
    </row>
    <row r="3925" spans="114:114">
      <c r="DJ3925" s="29"/>
    </row>
    <row r="3926" spans="114:114">
      <c r="DJ3926" s="29"/>
    </row>
    <row r="3927" spans="114:114">
      <c r="DJ3927" s="29"/>
    </row>
    <row r="3928" spans="114:114">
      <c r="DJ3928" s="29"/>
    </row>
    <row r="3929" spans="114:114">
      <c r="DJ3929" s="29"/>
    </row>
    <row r="3930" spans="114:114">
      <c r="DJ3930" s="29"/>
    </row>
    <row r="3931" spans="114:114">
      <c r="DJ3931" s="29"/>
    </row>
    <row r="3932" spans="114:114">
      <c r="DJ3932" s="29"/>
    </row>
    <row r="3933" spans="114:114">
      <c r="DJ3933" s="29"/>
    </row>
    <row r="3934" spans="114:114">
      <c r="DJ3934" s="29"/>
    </row>
    <row r="3935" spans="114:114">
      <c r="DJ3935" s="29"/>
    </row>
    <row r="3936" spans="114:114">
      <c r="DJ3936" s="29"/>
    </row>
    <row r="3937" spans="114:114">
      <c r="DJ3937" s="29"/>
    </row>
    <row r="3938" spans="114:114">
      <c r="DJ3938" s="29"/>
    </row>
    <row r="3939" spans="114:114">
      <c r="DJ3939" s="29"/>
    </row>
    <row r="3940" spans="114:114">
      <c r="DJ3940" s="29"/>
    </row>
    <row r="3941" spans="114:114">
      <c r="DJ3941" s="29"/>
    </row>
    <row r="3942" spans="114:114">
      <c r="DJ3942" s="29"/>
    </row>
    <row r="3943" spans="114:114">
      <c r="DJ3943" s="29"/>
    </row>
    <row r="3944" spans="114:114">
      <c r="DJ3944" s="29"/>
    </row>
    <row r="3945" spans="114:114">
      <c r="DJ3945" s="29"/>
    </row>
    <row r="3946" spans="114:114">
      <c r="DJ3946" s="29"/>
    </row>
    <row r="3947" spans="114:114">
      <c r="DJ3947" s="29"/>
    </row>
    <row r="3948" spans="114:114">
      <c r="DJ3948" s="29"/>
    </row>
    <row r="3949" spans="114:114">
      <c r="DJ3949" s="29"/>
    </row>
    <row r="3950" spans="114:114">
      <c r="DJ3950" s="29"/>
    </row>
    <row r="3951" spans="114:114">
      <c r="DJ3951" s="29"/>
    </row>
    <row r="3952" spans="114:114">
      <c r="DJ3952" s="29"/>
    </row>
    <row r="3953" spans="114:114">
      <c r="DJ3953" s="29"/>
    </row>
    <row r="3954" spans="114:114">
      <c r="DJ3954" s="29"/>
    </row>
    <row r="3955" spans="114:114">
      <c r="DJ3955" s="29"/>
    </row>
    <row r="3956" spans="114:114">
      <c r="DJ3956" s="29"/>
    </row>
    <row r="3957" spans="114:114">
      <c r="DJ3957" s="29"/>
    </row>
    <row r="3958" spans="114:114">
      <c r="DJ3958" s="29"/>
    </row>
    <row r="3959" spans="114:114">
      <c r="DJ3959" s="29"/>
    </row>
    <row r="3960" spans="114:114">
      <c r="DJ3960" s="29"/>
    </row>
    <row r="3961" spans="114:114">
      <c r="DJ3961" s="29"/>
    </row>
    <row r="3962" spans="114:114">
      <c r="DJ3962" s="29"/>
    </row>
    <row r="3963" spans="114:114">
      <c r="DJ3963" s="29"/>
    </row>
    <row r="3964" spans="114:114">
      <c r="DJ3964" s="29"/>
    </row>
    <row r="3965" spans="114:114">
      <c r="DJ3965" s="29"/>
    </row>
    <row r="3966" spans="114:114">
      <c r="DJ3966" s="29"/>
    </row>
    <row r="3967" spans="114:114">
      <c r="DJ3967" s="29"/>
    </row>
    <row r="3968" spans="114:114">
      <c r="DJ3968" s="29"/>
    </row>
    <row r="3969" spans="114:114">
      <c r="DJ3969" s="29"/>
    </row>
    <row r="3970" spans="114:114">
      <c r="DJ3970" s="29"/>
    </row>
    <row r="3971" spans="114:114">
      <c r="DJ3971" s="29"/>
    </row>
    <row r="3972" spans="114:114">
      <c r="DJ3972" s="29"/>
    </row>
    <row r="3973" spans="114:114">
      <c r="DJ3973" s="29"/>
    </row>
    <row r="3974" spans="114:114">
      <c r="DJ3974" s="29"/>
    </row>
    <row r="3975" spans="114:114">
      <c r="DJ3975" s="29"/>
    </row>
    <row r="3976" spans="114:114">
      <c r="DJ3976" s="29"/>
    </row>
    <row r="3977" spans="114:114">
      <c r="DJ3977" s="29"/>
    </row>
    <row r="3978" spans="114:114">
      <c r="DJ3978" s="29"/>
    </row>
    <row r="3979" spans="114:114">
      <c r="DJ3979" s="29"/>
    </row>
    <row r="3980" spans="114:114">
      <c r="DJ3980" s="29"/>
    </row>
    <row r="3981" spans="114:114">
      <c r="DJ3981" s="29"/>
    </row>
    <row r="3982" spans="114:114">
      <c r="DJ3982" s="29"/>
    </row>
    <row r="3983" spans="114:114">
      <c r="DJ3983" s="29"/>
    </row>
    <row r="3984" spans="114:114">
      <c r="DJ3984" s="29"/>
    </row>
    <row r="3985" spans="114:114">
      <c r="DJ3985" s="29"/>
    </row>
    <row r="3986" spans="114:114">
      <c r="DJ3986" s="29"/>
    </row>
    <row r="3987" spans="114:114">
      <c r="DJ3987" s="29"/>
    </row>
    <row r="3988" spans="114:114">
      <c r="DJ3988" s="29"/>
    </row>
    <row r="3989" spans="114:114">
      <c r="DJ3989" s="29"/>
    </row>
    <row r="3990" spans="114:114">
      <c r="DJ3990" s="29"/>
    </row>
    <row r="3991" spans="114:114">
      <c r="DJ3991" s="29"/>
    </row>
    <row r="3992" spans="114:114">
      <c r="DJ3992" s="29"/>
    </row>
    <row r="3993" spans="114:114">
      <c r="DJ3993" s="29"/>
    </row>
    <row r="3994" spans="114:114">
      <c r="DJ3994" s="29"/>
    </row>
    <row r="3995" spans="114:114">
      <c r="DJ3995" s="29"/>
    </row>
    <row r="3996" spans="114:114">
      <c r="DJ3996" s="29"/>
    </row>
    <row r="3997" spans="114:114">
      <c r="DJ3997" s="29"/>
    </row>
    <row r="3998" spans="114:114">
      <c r="DJ3998" s="29"/>
    </row>
    <row r="3999" spans="114:114">
      <c r="DJ3999" s="29"/>
    </row>
    <row r="4000" spans="114:114">
      <c r="DJ4000" s="29"/>
    </row>
    <row r="4001" spans="114:114">
      <c r="DJ4001" s="29"/>
    </row>
    <row r="4002" spans="114:114">
      <c r="DJ4002" s="29"/>
    </row>
    <row r="4003" spans="114:114">
      <c r="DJ4003" s="29"/>
    </row>
    <row r="4004" spans="114:114">
      <c r="DJ4004" s="29"/>
    </row>
    <row r="4005" spans="114:114">
      <c r="DJ4005" s="29"/>
    </row>
    <row r="4006" spans="114:114">
      <c r="DJ4006" s="29"/>
    </row>
    <row r="4007" spans="114:114">
      <c r="DJ4007" s="29"/>
    </row>
    <row r="4008" spans="114:114">
      <c r="DJ4008" s="29"/>
    </row>
    <row r="4009" spans="114:114">
      <c r="DJ4009" s="29"/>
    </row>
    <row r="4010" spans="114:114">
      <c r="DJ4010" s="29"/>
    </row>
    <row r="4011" spans="114:114">
      <c r="DJ4011" s="29"/>
    </row>
    <row r="4012" spans="114:114">
      <c r="DJ4012" s="29"/>
    </row>
    <row r="4013" spans="114:114">
      <c r="DJ4013" s="29"/>
    </row>
    <row r="4014" spans="114:114">
      <c r="DJ4014" s="29"/>
    </row>
    <row r="4015" spans="114:114">
      <c r="DJ4015" s="29"/>
    </row>
    <row r="4016" spans="114:114">
      <c r="DJ4016" s="29"/>
    </row>
    <row r="4017" spans="114:114">
      <c r="DJ4017" s="29"/>
    </row>
    <row r="4018" spans="114:114">
      <c r="DJ4018" s="29"/>
    </row>
    <row r="4019" spans="114:114">
      <c r="DJ4019" s="29"/>
    </row>
    <row r="4020" spans="114:114">
      <c r="DJ4020" s="29"/>
    </row>
    <row r="4021" spans="114:114">
      <c r="DJ4021" s="29"/>
    </row>
    <row r="4022" spans="114:114">
      <c r="DJ4022" s="29"/>
    </row>
    <row r="4023" spans="114:114">
      <c r="DJ4023" s="29"/>
    </row>
    <row r="4024" spans="114:114">
      <c r="DJ4024" s="29"/>
    </row>
    <row r="4025" spans="114:114">
      <c r="DJ4025" s="29"/>
    </row>
    <row r="4026" spans="114:114">
      <c r="DJ4026" s="29"/>
    </row>
    <row r="4027" spans="114:114">
      <c r="DJ4027" s="29"/>
    </row>
    <row r="4028" spans="114:114">
      <c r="DJ4028" s="29"/>
    </row>
    <row r="4029" spans="114:114">
      <c r="DJ4029" s="29"/>
    </row>
    <row r="4030" spans="114:114">
      <c r="DJ4030" s="29"/>
    </row>
    <row r="4031" spans="114:114">
      <c r="DJ4031" s="29"/>
    </row>
    <row r="4032" spans="114:114">
      <c r="DJ4032" s="29"/>
    </row>
    <row r="4033" spans="114:114">
      <c r="DJ4033" s="29"/>
    </row>
    <row r="4034" spans="114:114">
      <c r="DJ4034" s="29"/>
    </row>
    <row r="4035" spans="114:114">
      <c r="DJ4035" s="29"/>
    </row>
    <row r="4036" spans="114:114">
      <c r="DJ4036" s="29"/>
    </row>
    <row r="4037" spans="114:114">
      <c r="DJ4037" s="29"/>
    </row>
    <row r="4038" spans="114:114">
      <c r="DJ4038" s="29"/>
    </row>
    <row r="4039" spans="114:114">
      <c r="DJ4039" s="29"/>
    </row>
    <row r="4040" spans="114:114">
      <c r="DJ4040" s="29"/>
    </row>
    <row r="4041" spans="114:114">
      <c r="DJ4041" s="29"/>
    </row>
    <row r="4042" spans="114:114">
      <c r="DJ4042" s="29"/>
    </row>
    <row r="4043" spans="114:114">
      <c r="DJ4043" s="29"/>
    </row>
    <row r="4044" spans="114:114">
      <c r="DJ4044" s="29"/>
    </row>
    <row r="4045" spans="114:114">
      <c r="DJ4045" s="29"/>
    </row>
    <row r="4046" spans="114:114">
      <c r="DJ4046" s="29"/>
    </row>
    <row r="4047" spans="114:114">
      <c r="DJ4047" s="29"/>
    </row>
    <row r="4048" spans="114:114">
      <c r="DJ4048" s="29"/>
    </row>
    <row r="4049" spans="114:114">
      <c r="DJ4049" s="29"/>
    </row>
    <row r="4050" spans="114:114">
      <c r="DJ4050" s="29"/>
    </row>
    <row r="4051" spans="114:114">
      <c r="DJ4051" s="29"/>
    </row>
    <row r="4052" spans="114:114">
      <c r="DJ4052" s="29"/>
    </row>
    <row r="4053" spans="114:114">
      <c r="DJ4053" s="29"/>
    </row>
    <row r="4054" spans="114:114">
      <c r="DJ4054" s="29"/>
    </row>
    <row r="4055" spans="114:114">
      <c r="DJ4055" s="29"/>
    </row>
    <row r="4056" spans="114:114">
      <c r="DJ4056" s="29"/>
    </row>
    <row r="4057" spans="114:114">
      <c r="DJ4057" s="29"/>
    </row>
    <row r="4058" spans="114:114">
      <c r="DJ4058" s="29"/>
    </row>
    <row r="4059" spans="114:114">
      <c r="DJ4059" s="29"/>
    </row>
    <row r="4060" spans="114:114">
      <c r="DJ4060" s="29"/>
    </row>
    <row r="4061" spans="114:114">
      <c r="DJ4061" s="29"/>
    </row>
    <row r="4062" spans="114:114">
      <c r="DJ4062" s="29"/>
    </row>
    <row r="4063" spans="114:114">
      <c r="DJ4063" s="29"/>
    </row>
    <row r="4064" spans="114:114">
      <c r="DJ4064" s="29"/>
    </row>
    <row r="4065" spans="114:114">
      <c r="DJ4065" s="29"/>
    </row>
    <row r="4066" spans="114:114">
      <c r="DJ4066" s="29"/>
    </row>
    <row r="4067" spans="114:114">
      <c r="DJ4067" s="29"/>
    </row>
    <row r="4068" spans="114:114">
      <c r="DJ4068" s="29"/>
    </row>
    <row r="4069" spans="114:114">
      <c r="DJ4069" s="29"/>
    </row>
    <row r="4070" spans="114:114">
      <c r="DJ4070" s="29"/>
    </row>
    <row r="4071" spans="114:114">
      <c r="DJ4071" s="29"/>
    </row>
    <row r="4072" spans="114:114">
      <c r="DJ4072" s="29"/>
    </row>
    <row r="4073" spans="114:114">
      <c r="DJ4073" s="29"/>
    </row>
    <row r="4074" spans="114:114">
      <c r="DJ4074" s="29"/>
    </row>
    <row r="4075" spans="114:114">
      <c r="DJ4075" s="29"/>
    </row>
    <row r="4076" spans="114:114">
      <c r="DJ4076" s="29"/>
    </row>
    <row r="4077" spans="114:114">
      <c r="DJ4077" s="29"/>
    </row>
    <row r="4078" spans="114:114">
      <c r="DJ4078" s="29"/>
    </row>
    <row r="4079" spans="114:114">
      <c r="DJ4079" s="29"/>
    </row>
    <row r="4080" spans="114:114">
      <c r="DJ4080" s="29"/>
    </row>
    <row r="4081" spans="114:114">
      <c r="DJ4081" s="29"/>
    </row>
    <row r="4082" spans="114:114">
      <c r="DJ4082" s="29"/>
    </row>
    <row r="4083" spans="114:114">
      <c r="DJ4083" s="29"/>
    </row>
    <row r="4084" spans="114:114">
      <c r="DJ4084" s="29"/>
    </row>
    <row r="4085" spans="114:114">
      <c r="DJ4085" s="29"/>
    </row>
    <row r="4086" spans="114:114">
      <c r="DJ4086" s="29"/>
    </row>
    <row r="4087" spans="114:114">
      <c r="DJ4087" s="29"/>
    </row>
    <row r="4088" spans="114:114">
      <c r="DJ4088" s="29"/>
    </row>
    <row r="4089" spans="114:114">
      <c r="DJ4089" s="29"/>
    </row>
    <row r="4090" spans="114:114">
      <c r="DJ4090" s="29"/>
    </row>
    <row r="4091" spans="114:114">
      <c r="DJ4091" s="29"/>
    </row>
    <row r="4092" spans="114:114">
      <c r="DJ4092" s="29"/>
    </row>
    <row r="4093" spans="114:114">
      <c r="DJ4093" s="29"/>
    </row>
    <row r="4094" spans="114:114">
      <c r="DJ4094" s="29"/>
    </row>
    <row r="4095" spans="114:114">
      <c r="DJ4095" s="29"/>
    </row>
    <row r="4096" spans="114:114">
      <c r="DJ4096" s="29"/>
    </row>
    <row r="4097" spans="114:114">
      <c r="DJ4097" s="29"/>
    </row>
    <row r="4098" spans="114:114">
      <c r="DJ4098" s="29"/>
    </row>
    <row r="4099" spans="114:114">
      <c r="DJ4099" s="29"/>
    </row>
    <row r="4100" spans="114:114">
      <c r="DJ4100" s="29"/>
    </row>
    <row r="4101" spans="114:114">
      <c r="DJ4101" s="29"/>
    </row>
    <row r="4102" spans="114:114">
      <c r="DJ4102" s="29"/>
    </row>
    <row r="4103" spans="114:114">
      <c r="DJ4103" s="29"/>
    </row>
    <row r="4104" spans="114:114">
      <c r="DJ4104" s="29"/>
    </row>
    <row r="4105" spans="114:114">
      <c r="DJ4105" s="29"/>
    </row>
    <row r="4106" spans="114:114">
      <c r="DJ4106" s="29"/>
    </row>
    <row r="4107" spans="114:114">
      <c r="DJ4107" s="29"/>
    </row>
    <row r="4108" spans="114:114">
      <c r="DJ4108" s="29"/>
    </row>
    <row r="4109" spans="114:114">
      <c r="DJ4109" s="29"/>
    </row>
    <row r="4110" spans="114:114">
      <c r="DJ4110" s="29"/>
    </row>
    <row r="4111" spans="114:114">
      <c r="DJ4111" s="29"/>
    </row>
    <row r="4112" spans="114:114">
      <c r="DJ4112" s="29"/>
    </row>
    <row r="4113" spans="114:114">
      <c r="DJ4113" s="29"/>
    </row>
    <row r="4114" spans="114:114">
      <c r="DJ4114" s="29"/>
    </row>
    <row r="4115" spans="114:114">
      <c r="DJ4115" s="29"/>
    </row>
    <row r="4116" spans="114:114">
      <c r="DJ4116" s="29"/>
    </row>
    <row r="4117" spans="114:114">
      <c r="DJ4117" s="29"/>
    </row>
    <row r="4118" spans="114:114">
      <c r="DJ4118" s="29"/>
    </row>
    <row r="4119" spans="114:114">
      <c r="DJ4119" s="29"/>
    </row>
    <row r="4120" spans="114:114">
      <c r="DJ4120" s="29"/>
    </row>
    <row r="4121" spans="114:114">
      <c r="DJ4121" s="29"/>
    </row>
    <row r="4122" spans="114:114">
      <c r="DJ4122" s="29"/>
    </row>
    <row r="4123" spans="114:114">
      <c r="DJ4123" s="29"/>
    </row>
    <row r="4124" spans="114:114">
      <c r="DJ4124" s="29"/>
    </row>
    <row r="4125" spans="114:114">
      <c r="DJ4125" s="29"/>
    </row>
    <row r="4126" spans="114:114">
      <c r="DJ4126" s="29"/>
    </row>
    <row r="4127" spans="114:114">
      <c r="DJ4127" s="29"/>
    </row>
    <row r="4128" spans="114:114">
      <c r="DJ4128" s="29"/>
    </row>
    <row r="4129" spans="114:114">
      <c r="DJ4129" s="29"/>
    </row>
    <row r="4130" spans="114:114">
      <c r="DJ4130" s="29"/>
    </row>
    <row r="4131" spans="114:114">
      <c r="DJ4131" s="29"/>
    </row>
    <row r="4132" spans="114:114">
      <c r="DJ4132" s="29"/>
    </row>
    <row r="4133" spans="114:114">
      <c r="DJ4133" s="29"/>
    </row>
    <row r="4134" spans="114:114">
      <c r="DJ4134" s="29"/>
    </row>
    <row r="4135" spans="114:114">
      <c r="DJ4135" s="29"/>
    </row>
    <row r="4136" spans="114:114">
      <c r="DJ4136" s="29"/>
    </row>
    <row r="4137" spans="114:114">
      <c r="DJ4137" s="29"/>
    </row>
    <row r="4138" spans="114:114">
      <c r="DJ4138" s="29"/>
    </row>
    <row r="4139" spans="114:114">
      <c r="DJ4139" s="29"/>
    </row>
    <row r="4140" spans="114:114">
      <c r="DJ4140" s="29"/>
    </row>
    <row r="4141" spans="114:114">
      <c r="DJ4141" s="29"/>
    </row>
    <row r="4142" spans="114:114">
      <c r="DJ4142" s="29"/>
    </row>
    <row r="4143" spans="114:114">
      <c r="DJ4143" s="29"/>
    </row>
    <row r="4144" spans="114:114">
      <c r="DJ4144" s="29"/>
    </row>
    <row r="4145" spans="114:114">
      <c r="DJ4145" s="29"/>
    </row>
    <row r="4146" spans="114:114">
      <c r="DJ4146" s="29"/>
    </row>
    <row r="4147" spans="114:114">
      <c r="DJ4147" s="29"/>
    </row>
    <row r="4148" spans="114:114">
      <c r="DJ4148" s="29"/>
    </row>
    <row r="4149" spans="114:114">
      <c r="DJ4149" s="29"/>
    </row>
    <row r="4150" spans="114:114">
      <c r="DJ4150" s="29"/>
    </row>
    <row r="4151" spans="114:114">
      <c r="DJ4151" s="29"/>
    </row>
    <row r="4152" spans="114:114">
      <c r="DJ4152" s="29"/>
    </row>
    <row r="4153" spans="114:114">
      <c r="DJ4153" s="29"/>
    </row>
    <row r="4154" spans="114:114">
      <c r="DJ4154" s="29"/>
    </row>
    <row r="4155" spans="114:114">
      <c r="DJ4155" s="29"/>
    </row>
    <row r="4156" spans="114:114">
      <c r="DJ4156" s="29"/>
    </row>
    <row r="4157" spans="114:114">
      <c r="DJ4157" s="29"/>
    </row>
    <row r="4158" spans="114:114">
      <c r="DJ4158" s="29"/>
    </row>
    <row r="4159" spans="114:114">
      <c r="DJ4159" s="29"/>
    </row>
    <row r="4160" spans="114:114">
      <c r="DJ4160" s="29"/>
    </row>
    <row r="4161" spans="114:114">
      <c r="DJ4161" s="29"/>
    </row>
    <row r="4162" spans="114:114">
      <c r="DJ4162" s="29"/>
    </row>
    <row r="4163" spans="114:114">
      <c r="DJ4163" s="29"/>
    </row>
    <row r="4164" spans="114:114">
      <c r="DJ4164" s="29"/>
    </row>
    <row r="4165" spans="114:114">
      <c r="DJ4165" s="29"/>
    </row>
    <row r="4166" spans="114:114">
      <c r="DJ4166" s="29"/>
    </row>
    <row r="4167" spans="114:114">
      <c r="DJ4167" s="29"/>
    </row>
    <row r="4168" spans="114:114">
      <c r="DJ4168" s="29"/>
    </row>
    <row r="4169" spans="114:114">
      <c r="DJ4169" s="29"/>
    </row>
    <row r="4170" spans="114:114">
      <c r="DJ4170" s="29"/>
    </row>
    <row r="4171" spans="114:114">
      <c r="DJ4171" s="29"/>
    </row>
    <row r="4172" spans="114:114">
      <c r="DJ4172" s="29"/>
    </row>
    <row r="4173" spans="114:114">
      <c r="DJ4173" s="29"/>
    </row>
    <row r="4174" spans="114:114">
      <c r="DJ4174" s="29"/>
    </row>
    <row r="4175" spans="114:114">
      <c r="DJ4175" s="29"/>
    </row>
    <row r="4176" spans="114:114">
      <c r="DJ4176" s="29"/>
    </row>
    <row r="4177" spans="114:114">
      <c r="DJ4177" s="29"/>
    </row>
    <row r="4178" spans="114:114">
      <c r="DJ4178" s="29"/>
    </row>
    <row r="4179" spans="114:114">
      <c r="DJ4179" s="29"/>
    </row>
    <row r="4180" spans="114:114">
      <c r="DJ4180" s="29"/>
    </row>
    <row r="4181" spans="114:114">
      <c r="DJ4181" s="29"/>
    </row>
    <row r="4182" spans="114:114">
      <c r="DJ4182" s="29"/>
    </row>
    <row r="4183" spans="114:114">
      <c r="DJ4183" s="29"/>
    </row>
    <row r="4184" spans="114:114">
      <c r="DJ4184" s="29"/>
    </row>
    <row r="4185" spans="114:114">
      <c r="DJ4185" s="29"/>
    </row>
    <row r="4186" spans="114:114">
      <c r="DJ4186" s="29"/>
    </row>
    <row r="4187" spans="114:114">
      <c r="DJ4187" s="29"/>
    </row>
    <row r="4188" spans="114:114">
      <c r="DJ4188" s="29"/>
    </row>
    <row r="4189" spans="114:114">
      <c r="DJ4189" s="29"/>
    </row>
    <row r="4190" spans="114:114">
      <c r="DJ4190" s="29"/>
    </row>
    <row r="4191" spans="114:114">
      <c r="DJ4191" s="29"/>
    </row>
    <row r="4192" spans="114:114">
      <c r="DJ4192" s="29"/>
    </row>
    <row r="4193" spans="114:114">
      <c r="DJ4193" s="29"/>
    </row>
    <row r="4194" spans="114:114">
      <c r="DJ4194" s="29"/>
    </row>
    <row r="4195" spans="114:114">
      <c r="DJ4195" s="29"/>
    </row>
    <row r="4196" spans="114:114">
      <c r="DJ4196" s="29"/>
    </row>
    <row r="4197" spans="114:114">
      <c r="DJ4197" s="29"/>
    </row>
    <row r="4198" spans="114:114">
      <c r="DJ4198" s="29"/>
    </row>
    <row r="4199" spans="114:114">
      <c r="DJ4199" s="29"/>
    </row>
    <row r="4200" spans="114:114">
      <c r="DJ4200" s="29"/>
    </row>
    <row r="4201" spans="114:114">
      <c r="DJ4201" s="29"/>
    </row>
    <row r="4202" spans="114:114">
      <c r="DJ4202" s="29"/>
    </row>
    <row r="4203" spans="114:114">
      <c r="DJ4203" s="29"/>
    </row>
    <row r="4204" spans="114:114">
      <c r="DJ4204" s="29"/>
    </row>
    <row r="4205" spans="114:114">
      <c r="DJ4205" s="29"/>
    </row>
    <row r="4206" spans="114:114">
      <c r="DJ4206" s="29"/>
    </row>
    <row r="4207" spans="114:114">
      <c r="DJ4207" s="29"/>
    </row>
    <row r="4208" spans="114:114">
      <c r="DJ4208" s="29"/>
    </row>
    <row r="4209" spans="114:114">
      <c r="DJ4209" s="29"/>
    </row>
    <row r="4210" spans="114:114">
      <c r="DJ4210" s="29"/>
    </row>
    <row r="4211" spans="114:114">
      <c r="DJ4211" s="29"/>
    </row>
    <row r="4212" spans="114:114">
      <c r="DJ4212" s="29"/>
    </row>
    <row r="4213" spans="114:114">
      <c r="DJ4213" s="29"/>
    </row>
    <row r="4214" spans="114:114">
      <c r="DJ4214" s="29"/>
    </row>
    <row r="4215" spans="114:114">
      <c r="DJ4215" s="29"/>
    </row>
    <row r="4216" spans="114:114">
      <c r="DJ4216" s="29"/>
    </row>
    <row r="4217" spans="114:114">
      <c r="DJ4217" s="29"/>
    </row>
    <row r="4218" spans="114:114">
      <c r="DJ4218" s="29"/>
    </row>
    <row r="4219" spans="114:114">
      <c r="DJ4219" s="29"/>
    </row>
    <row r="4220" spans="114:114">
      <c r="DJ4220" s="29"/>
    </row>
    <row r="4221" spans="114:114">
      <c r="DJ4221" s="29"/>
    </row>
    <row r="4222" spans="114:114">
      <c r="DJ4222" s="29"/>
    </row>
    <row r="4223" spans="114:114">
      <c r="DJ4223" s="29"/>
    </row>
    <row r="4224" spans="114:114">
      <c r="DJ4224" s="29"/>
    </row>
    <row r="4225" spans="114:114">
      <c r="DJ4225" s="29"/>
    </row>
    <row r="4226" spans="114:114">
      <c r="DJ4226" s="29"/>
    </row>
    <row r="4227" spans="114:114">
      <c r="DJ4227" s="29"/>
    </row>
    <row r="4228" spans="114:114">
      <c r="DJ4228" s="29"/>
    </row>
    <row r="4229" spans="114:114">
      <c r="DJ4229" s="29"/>
    </row>
    <row r="4230" spans="114:114">
      <c r="DJ4230" s="29"/>
    </row>
    <row r="4231" spans="114:114">
      <c r="DJ4231" s="29"/>
    </row>
    <row r="4232" spans="114:114">
      <c r="DJ4232" s="29"/>
    </row>
    <row r="4233" spans="114:114">
      <c r="DJ4233" s="29"/>
    </row>
    <row r="4234" spans="114:114">
      <c r="DJ4234" s="29"/>
    </row>
    <row r="4235" spans="114:114">
      <c r="DJ4235" s="29"/>
    </row>
    <row r="4236" spans="114:114">
      <c r="DJ4236" s="29"/>
    </row>
    <row r="4237" spans="114:114">
      <c r="DJ4237" s="29"/>
    </row>
    <row r="4238" spans="114:114">
      <c r="DJ4238" s="29"/>
    </row>
    <row r="4239" spans="114:114">
      <c r="DJ4239" s="29"/>
    </row>
    <row r="4240" spans="114:114">
      <c r="DJ4240" s="29"/>
    </row>
    <row r="4241" spans="114:114">
      <c r="DJ4241" s="29"/>
    </row>
    <row r="4242" spans="114:114">
      <c r="DJ4242" s="29"/>
    </row>
    <row r="4243" spans="114:114">
      <c r="DJ4243" s="29"/>
    </row>
    <row r="4244" spans="114:114">
      <c r="DJ4244" s="29"/>
    </row>
    <row r="4245" spans="114:114">
      <c r="DJ4245" s="29"/>
    </row>
    <row r="4246" spans="114:114">
      <c r="DJ4246" s="29"/>
    </row>
    <row r="4247" spans="114:114">
      <c r="DJ4247" s="29"/>
    </row>
    <row r="4248" spans="114:114">
      <c r="DJ4248" s="29"/>
    </row>
    <row r="4249" spans="114:114">
      <c r="DJ4249" s="29"/>
    </row>
    <row r="4250" spans="114:114">
      <c r="DJ4250" s="29"/>
    </row>
    <row r="4251" spans="114:114">
      <c r="DJ4251" s="29"/>
    </row>
    <row r="4252" spans="114:114">
      <c r="DJ4252" s="29"/>
    </row>
    <row r="4253" spans="114:114">
      <c r="DJ4253" s="29"/>
    </row>
    <row r="4254" spans="114:114">
      <c r="DJ4254" s="29"/>
    </row>
    <row r="4255" spans="114:114">
      <c r="DJ4255" s="29"/>
    </row>
    <row r="4256" spans="114:114">
      <c r="DJ4256" s="29"/>
    </row>
    <row r="4257" spans="114:114">
      <c r="DJ4257" s="29"/>
    </row>
    <row r="4258" spans="114:114">
      <c r="DJ4258" s="29"/>
    </row>
    <row r="4259" spans="114:114">
      <c r="DJ4259" s="29"/>
    </row>
    <row r="4260" spans="114:114">
      <c r="DJ4260" s="29"/>
    </row>
    <row r="4261" spans="114:114">
      <c r="DJ4261" s="29"/>
    </row>
    <row r="4262" spans="114:114">
      <c r="DJ4262" s="29"/>
    </row>
    <row r="4263" spans="114:114">
      <c r="DJ4263" s="29"/>
    </row>
    <row r="4264" spans="114:114">
      <c r="DJ4264" s="29"/>
    </row>
    <row r="4265" spans="114:114">
      <c r="DJ4265" s="29"/>
    </row>
    <row r="4266" spans="114:114">
      <c r="DJ4266" s="29"/>
    </row>
    <row r="4267" spans="114:114">
      <c r="DJ4267" s="29"/>
    </row>
    <row r="4268" spans="114:114">
      <c r="DJ4268" s="29"/>
    </row>
    <row r="4269" spans="114:114">
      <c r="DJ4269" s="29"/>
    </row>
    <row r="4270" spans="114:114">
      <c r="DJ4270" s="29"/>
    </row>
    <row r="4271" spans="114:114">
      <c r="DJ4271" s="29"/>
    </row>
    <row r="4272" spans="114:114">
      <c r="DJ4272" s="29"/>
    </row>
    <row r="4273" spans="114:114">
      <c r="DJ4273" s="29"/>
    </row>
    <row r="4274" spans="114:114">
      <c r="DJ4274" s="29"/>
    </row>
    <row r="4275" spans="114:114">
      <c r="DJ4275" s="29"/>
    </row>
    <row r="4276" spans="114:114">
      <c r="DJ4276" s="29"/>
    </row>
    <row r="4277" spans="114:114">
      <c r="DJ4277" s="29"/>
    </row>
    <row r="4278" spans="114:114">
      <c r="DJ4278" s="29"/>
    </row>
    <row r="4279" spans="114:114">
      <c r="DJ4279" s="29"/>
    </row>
    <row r="4280" spans="114:114">
      <c r="DJ4280" s="29"/>
    </row>
    <row r="4281" spans="114:114">
      <c r="DJ4281" s="29"/>
    </row>
    <row r="4282" spans="114:114">
      <c r="DJ4282" s="29"/>
    </row>
    <row r="4283" spans="114:114">
      <c r="DJ4283" s="29"/>
    </row>
    <row r="4284" spans="114:114">
      <c r="DJ4284" s="29"/>
    </row>
    <row r="4285" spans="114:114">
      <c r="DJ4285" s="29"/>
    </row>
    <row r="4286" spans="114:114">
      <c r="DJ4286" s="29"/>
    </row>
    <row r="4287" spans="114:114">
      <c r="DJ4287" s="29"/>
    </row>
    <row r="4288" spans="114:114">
      <c r="DJ4288" s="29"/>
    </row>
    <row r="4289" spans="114:114">
      <c r="DJ4289" s="29"/>
    </row>
    <row r="4290" spans="114:114">
      <c r="DJ4290" s="29"/>
    </row>
    <row r="4291" spans="114:114">
      <c r="DJ4291" s="29"/>
    </row>
    <row r="4292" spans="114:114">
      <c r="DJ4292" s="29"/>
    </row>
    <row r="4293" spans="114:114">
      <c r="DJ4293" s="29"/>
    </row>
    <row r="4294" spans="114:114">
      <c r="DJ4294" s="29"/>
    </row>
    <row r="4295" spans="114:114">
      <c r="DJ4295" s="29"/>
    </row>
    <row r="4296" spans="114:114">
      <c r="DJ4296" s="29"/>
    </row>
    <row r="4297" spans="114:114">
      <c r="DJ4297" s="29"/>
    </row>
    <row r="4298" spans="114:114">
      <c r="DJ4298" s="29"/>
    </row>
    <row r="4299" spans="114:114">
      <c r="DJ4299" s="29"/>
    </row>
    <row r="4300" spans="114:114">
      <c r="DJ4300" s="29"/>
    </row>
    <row r="4301" spans="114:114">
      <c r="DJ4301" s="29"/>
    </row>
    <row r="4302" spans="114:114">
      <c r="DJ4302" s="29"/>
    </row>
    <row r="4303" spans="114:114">
      <c r="DJ4303" s="29"/>
    </row>
    <row r="4304" spans="114:114">
      <c r="DJ4304" s="29"/>
    </row>
    <row r="4305" spans="114:114">
      <c r="DJ4305" s="29"/>
    </row>
    <row r="4306" spans="114:114">
      <c r="DJ4306" s="29"/>
    </row>
    <row r="4307" spans="114:114">
      <c r="DJ4307" s="29"/>
    </row>
    <row r="4308" spans="114:114">
      <c r="DJ4308" s="29"/>
    </row>
    <row r="4309" spans="114:114">
      <c r="DJ4309" s="29"/>
    </row>
    <row r="4310" spans="114:114">
      <c r="DJ4310" s="29"/>
    </row>
    <row r="4311" spans="114:114">
      <c r="DJ4311" s="29"/>
    </row>
    <row r="4312" spans="114:114">
      <c r="DJ4312" s="29"/>
    </row>
    <row r="4313" spans="114:114">
      <c r="DJ4313" s="29"/>
    </row>
    <row r="4314" spans="114:114">
      <c r="DJ4314" s="29"/>
    </row>
    <row r="4315" spans="114:114">
      <c r="DJ4315" s="29"/>
    </row>
    <row r="4316" spans="114:114">
      <c r="DJ4316" s="29"/>
    </row>
    <row r="4317" spans="114:114">
      <c r="DJ4317" s="29"/>
    </row>
    <row r="4318" spans="114:114">
      <c r="DJ4318" s="29"/>
    </row>
    <row r="4319" spans="114:114">
      <c r="DJ4319" s="29"/>
    </row>
    <row r="4320" spans="114:114">
      <c r="DJ4320" s="29"/>
    </row>
    <row r="4321" spans="114:114">
      <c r="DJ4321" s="29"/>
    </row>
    <row r="4322" spans="114:114">
      <c r="DJ4322" s="29"/>
    </row>
    <row r="4323" spans="114:114">
      <c r="DJ4323" s="29"/>
    </row>
    <row r="4324" spans="114:114">
      <c r="DJ4324" s="29"/>
    </row>
    <row r="4325" spans="114:114">
      <c r="DJ4325" s="29"/>
    </row>
    <row r="4326" spans="114:114">
      <c r="DJ4326" s="29"/>
    </row>
    <row r="4327" spans="114:114">
      <c r="DJ4327" s="29"/>
    </row>
    <row r="4328" spans="114:114">
      <c r="DJ4328" s="29"/>
    </row>
    <row r="4329" spans="114:114">
      <c r="DJ4329" s="29"/>
    </row>
    <row r="4330" spans="114:114">
      <c r="DJ4330" s="29"/>
    </row>
    <row r="4331" spans="114:114">
      <c r="DJ4331" s="29"/>
    </row>
    <row r="4332" spans="114:114">
      <c r="DJ4332" s="29"/>
    </row>
    <row r="4333" spans="114:114">
      <c r="DJ4333" s="29"/>
    </row>
    <row r="4334" spans="114:114">
      <c r="DJ4334" s="29"/>
    </row>
    <row r="4335" spans="114:114">
      <c r="DJ4335" s="29"/>
    </row>
    <row r="4336" spans="114:114">
      <c r="DJ4336" s="29"/>
    </row>
    <row r="4337" spans="114:114">
      <c r="DJ4337" s="29"/>
    </row>
    <row r="4338" spans="114:114">
      <c r="DJ4338" s="29"/>
    </row>
    <row r="4339" spans="114:114">
      <c r="DJ4339" s="29"/>
    </row>
    <row r="4340" spans="114:114">
      <c r="DJ4340" s="29"/>
    </row>
    <row r="4341" spans="114:114">
      <c r="DJ4341" s="29"/>
    </row>
    <row r="4342" spans="114:114">
      <c r="DJ4342" s="29"/>
    </row>
    <row r="4343" spans="114:114">
      <c r="DJ4343" s="29"/>
    </row>
    <row r="4344" spans="114:114">
      <c r="DJ4344" s="29"/>
    </row>
    <row r="4345" spans="114:114">
      <c r="DJ4345" s="29"/>
    </row>
    <row r="4346" spans="114:114">
      <c r="DJ4346" s="29"/>
    </row>
    <row r="4347" spans="114:114">
      <c r="DJ4347" s="29"/>
    </row>
    <row r="4348" spans="114:114">
      <c r="DJ4348" s="29"/>
    </row>
    <row r="4349" spans="114:114">
      <c r="DJ4349" s="29"/>
    </row>
    <row r="4350" spans="114:114">
      <c r="DJ4350" s="29"/>
    </row>
    <row r="4351" spans="114:114">
      <c r="DJ4351" s="29"/>
    </row>
    <row r="4352" spans="114:114">
      <c r="DJ4352" s="29"/>
    </row>
    <row r="4353" spans="114:114">
      <c r="DJ4353" s="29"/>
    </row>
    <row r="4354" spans="114:114">
      <c r="DJ4354" s="29"/>
    </row>
    <row r="4355" spans="114:114">
      <c r="DJ4355" s="29"/>
    </row>
    <row r="4356" spans="114:114">
      <c r="DJ4356" s="29"/>
    </row>
    <row r="4357" spans="114:114">
      <c r="DJ4357" s="29"/>
    </row>
    <row r="4358" spans="114:114">
      <c r="DJ4358" s="29"/>
    </row>
    <row r="4359" spans="114:114">
      <c r="DJ4359" s="29"/>
    </row>
    <row r="4360" spans="114:114">
      <c r="DJ4360" s="29"/>
    </row>
    <row r="4361" spans="114:114">
      <c r="DJ4361" s="29"/>
    </row>
    <row r="4362" spans="114:114">
      <c r="DJ4362" s="29"/>
    </row>
    <row r="4363" spans="114:114">
      <c r="DJ4363" s="29"/>
    </row>
    <row r="4364" spans="114:114">
      <c r="DJ4364" s="29"/>
    </row>
    <row r="4365" spans="114:114">
      <c r="DJ4365" s="29"/>
    </row>
    <row r="4366" spans="114:114">
      <c r="DJ4366" s="29"/>
    </row>
    <row r="4367" spans="114:114">
      <c r="DJ4367" s="29"/>
    </row>
    <row r="4368" spans="114:114">
      <c r="DJ4368" s="29"/>
    </row>
    <row r="4369" spans="114:114">
      <c r="DJ4369" s="29"/>
    </row>
    <row r="4370" spans="114:114">
      <c r="DJ4370" s="29"/>
    </row>
    <row r="4371" spans="114:114">
      <c r="DJ4371" s="29"/>
    </row>
    <row r="4372" spans="114:114">
      <c r="DJ4372" s="29"/>
    </row>
    <row r="4373" spans="114:114">
      <c r="DJ4373" s="29"/>
    </row>
    <row r="4374" spans="114:114">
      <c r="DJ4374" s="29"/>
    </row>
    <row r="4375" spans="114:114">
      <c r="DJ4375" s="29"/>
    </row>
    <row r="4376" spans="114:114">
      <c r="DJ4376" s="29"/>
    </row>
    <row r="4377" spans="114:114">
      <c r="DJ4377" s="29"/>
    </row>
    <row r="4378" spans="114:114">
      <c r="DJ4378" s="29"/>
    </row>
    <row r="4379" spans="114:114">
      <c r="DJ4379" s="29"/>
    </row>
    <row r="4380" spans="114:114">
      <c r="DJ4380" s="29"/>
    </row>
    <row r="4381" spans="114:114">
      <c r="DJ4381" s="29"/>
    </row>
    <row r="4382" spans="114:114">
      <c r="DJ4382" s="29"/>
    </row>
    <row r="4383" spans="114:114">
      <c r="DJ4383" s="29"/>
    </row>
    <row r="4384" spans="114:114">
      <c r="DJ4384" s="29"/>
    </row>
    <row r="4385" spans="114:114">
      <c r="DJ4385" s="29"/>
    </row>
    <row r="4386" spans="114:114">
      <c r="DJ4386" s="29"/>
    </row>
    <row r="4387" spans="114:114">
      <c r="DJ4387" s="29"/>
    </row>
    <row r="4388" spans="114:114">
      <c r="DJ4388" s="29"/>
    </row>
    <row r="4389" spans="114:114">
      <c r="DJ4389" s="29"/>
    </row>
    <row r="4390" spans="114:114">
      <c r="DJ4390" s="29"/>
    </row>
    <row r="4391" spans="114:114">
      <c r="DJ4391" s="29"/>
    </row>
    <row r="4392" spans="114:114">
      <c r="DJ4392" s="29"/>
    </row>
    <row r="4393" spans="114:114">
      <c r="DJ4393" s="29"/>
    </row>
    <row r="4394" spans="114:114">
      <c r="DJ4394" s="29"/>
    </row>
    <row r="4395" spans="114:114">
      <c r="DJ4395" s="29"/>
    </row>
    <row r="4396" spans="114:114">
      <c r="DJ4396" s="29"/>
    </row>
    <row r="4397" spans="114:114">
      <c r="DJ4397" s="29"/>
    </row>
    <row r="4398" spans="114:114">
      <c r="DJ4398" s="29"/>
    </row>
    <row r="4399" spans="114:114">
      <c r="DJ4399" s="29"/>
    </row>
    <row r="4400" spans="114:114">
      <c r="DJ4400" s="29"/>
    </row>
    <row r="4401" spans="114:114">
      <c r="DJ4401" s="29"/>
    </row>
    <row r="4402" spans="114:114">
      <c r="DJ4402" s="29"/>
    </row>
    <row r="4403" spans="114:114">
      <c r="DJ4403" s="29"/>
    </row>
    <row r="4404" spans="114:114">
      <c r="DJ4404" s="29"/>
    </row>
    <row r="4405" spans="114:114">
      <c r="DJ4405" s="29"/>
    </row>
    <row r="4406" spans="114:114">
      <c r="DJ4406" s="29"/>
    </row>
    <row r="4407" spans="114:114">
      <c r="DJ4407" s="29"/>
    </row>
    <row r="4408" spans="114:114">
      <c r="DJ4408" s="29"/>
    </row>
    <row r="4409" spans="114:114">
      <c r="DJ4409" s="29"/>
    </row>
    <row r="4410" spans="114:114">
      <c r="DJ4410" s="29"/>
    </row>
    <row r="4411" spans="114:114">
      <c r="DJ4411" s="29"/>
    </row>
    <row r="4412" spans="114:114">
      <c r="DJ4412" s="29"/>
    </row>
    <row r="4413" spans="114:114">
      <c r="DJ4413" s="29"/>
    </row>
    <row r="4414" spans="114:114">
      <c r="DJ4414" s="29"/>
    </row>
    <row r="4415" spans="114:114">
      <c r="DJ4415" s="29"/>
    </row>
    <row r="4416" spans="114:114">
      <c r="DJ4416" s="29"/>
    </row>
    <row r="4417" spans="114:114">
      <c r="DJ4417" s="29"/>
    </row>
    <row r="4418" spans="114:114">
      <c r="DJ4418" s="29"/>
    </row>
    <row r="4419" spans="114:114">
      <c r="DJ4419" s="29"/>
    </row>
    <row r="4420" spans="114:114">
      <c r="DJ4420" s="29"/>
    </row>
    <row r="4421" spans="114:114">
      <c r="DJ4421" s="29"/>
    </row>
    <row r="4422" spans="114:114">
      <c r="DJ4422" s="29"/>
    </row>
    <row r="4423" spans="114:114">
      <c r="DJ4423" s="29"/>
    </row>
    <row r="4424" spans="114:114">
      <c r="DJ4424" s="29"/>
    </row>
    <row r="4425" spans="114:114">
      <c r="DJ4425" s="29"/>
    </row>
    <row r="4426" spans="114:114">
      <c r="DJ4426" s="29"/>
    </row>
    <row r="4427" spans="114:114">
      <c r="DJ4427" s="29"/>
    </row>
    <row r="4428" spans="114:114">
      <c r="DJ4428" s="29"/>
    </row>
    <row r="4429" spans="114:114">
      <c r="DJ4429" s="29"/>
    </row>
    <row r="4430" spans="114:114">
      <c r="DJ4430" s="29"/>
    </row>
    <row r="4431" spans="114:114">
      <c r="DJ4431" s="29"/>
    </row>
    <row r="4432" spans="114:114">
      <c r="DJ4432" s="29"/>
    </row>
    <row r="4433" spans="114:114">
      <c r="DJ4433" s="29"/>
    </row>
    <row r="4434" spans="114:114">
      <c r="DJ4434" s="29"/>
    </row>
    <row r="4435" spans="114:114">
      <c r="DJ4435" s="29"/>
    </row>
    <row r="4436" spans="114:114">
      <c r="DJ4436" s="29"/>
    </row>
    <row r="4437" spans="114:114">
      <c r="DJ4437" s="29"/>
    </row>
    <row r="4438" spans="114:114">
      <c r="DJ4438" s="29"/>
    </row>
    <row r="4439" spans="114:114">
      <c r="DJ4439" s="29"/>
    </row>
    <row r="4440" spans="114:114">
      <c r="DJ4440" s="29"/>
    </row>
    <row r="4441" spans="114:114">
      <c r="DJ4441" s="29"/>
    </row>
    <row r="4442" spans="114:114">
      <c r="DJ4442" s="29"/>
    </row>
    <row r="4443" spans="114:114">
      <c r="DJ4443" s="29"/>
    </row>
    <row r="4444" spans="114:114">
      <c r="DJ4444" s="29"/>
    </row>
    <row r="4445" spans="114:114">
      <c r="DJ4445" s="29"/>
    </row>
    <row r="4446" spans="114:114">
      <c r="DJ4446" s="29"/>
    </row>
    <row r="4447" spans="114:114">
      <c r="DJ4447" s="29"/>
    </row>
    <row r="4448" spans="114:114">
      <c r="DJ4448" s="29"/>
    </row>
    <row r="4449" spans="114:114">
      <c r="DJ4449" s="29"/>
    </row>
    <row r="4450" spans="114:114">
      <c r="DJ4450" s="29"/>
    </row>
    <row r="4451" spans="114:114">
      <c r="DJ4451" s="29"/>
    </row>
    <row r="4452" spans="114:114">
      <c r="DJ4452" s="29"/>
    </row>
    <row r="4453" spans="114:114">
      <c r="DJ4453" s="29"/>
    </row>
    <row r="4454" spans="114:114">
      <c r="DJ4454" s="29"/>
    </row>
    <row r="4455" spans="114:114">
      <c r="DJ4455" s="29"/>
    </row>
    <row r="4456" spans="114:114">
      <c r="DJ4456" s="29"/>
    </row>
    <row r="4457" spans="114:114">
      <c r="DJ4457" s="29"/>
    </row>
    <row r="4458" spans="114:114">
      <c r="DJ4458" s="29"/>
    </row>
    <row r="4459" spans="114:114">
      <c r="DJ4459" s="29"/>
    </row>
    <row r="4460" spans="114:114">
      <c r="DJ4460" s="29"/>
    </row>
    <row r="4461" spans="114:114">
      <c r="DJ4461" s="29"/>
    </row>
    <row r="4462" spans="114:114">
      <c r="DJ4462" s="29"/>
    </row>
    <row r="4463" spans="114:114">
      <c r="DJ4463" s="29"/>
    </row>
    <row r="4464" spans="114:114">
      <c r="DJ4464" s="29"/>
    </row>
    <row r="4465" spans="114:114">
      <c r="DJ4465" s="29"/>
    </row>
    <row r="4466" spans="114:114">
      <c r="DJ4466" s="29"/>
    </row>
    <row r="4467" spans="114:114">
      <c r="DJ4467" s="29"/>
    </row>
    <row r="4468" spans="114:114">
      <c r="DJ4468" s="29"/>
    </row>
    <row r="4469" spans="114:114">
      <c r="DJ4469" s="29"/>
    </row>
    <row r="4470" spans="114:114">
      <c r="DJ4470" s="29"/>
    </row>
    <row r="4471" spans="114:114">
      <c r="DJ4471" s="29"/>
    </row>
    <row r="4472" spans="114:114">
      <c r="DJ4472" s="29"/>
    </row>
    <row r="4473" spans="114:114">
      <c r="DJ4473" s="29"/>
    </row>
    <row r="4474" spans="114:114">
      <c r="DJ4474" s="29"/>
    </row>
    <row r="4475" spans="114:114">
      <c r="DJ4475" s="29"/>
    </row>
    <row r="4476" spans="114:114">
      <c r="DJ4476" s="29"/>
    </row>
    <row r="4477" spans="114:114">
      <c r="DJ4477" s="29"/>
    </row>
    <row r="4478" spans="114:114">
      <c r="DJ4478" s="29"/>
    </row>
    <row r="4479" spans="114:114">
      <c r="DJ4479" s="29"/>
    </row>
    <row r="4480" spans="114:114">
      <c r="DJ4480" s="29"/>
    </row>
    <row r="4481" spans="114:114">
      <c r="DJ4481" s="29"/>
    </row>
    <row r="4482" spans="114:114">
      <c r="DJ4482" s="29"/>
    </row>
    <row r="4483" spans="114:114">
      <c r="DJ4483" s="29"/>
    </row>
    <row r="4484" spans="114:114">
      <c r="DJ4484" s="29"/>
    </row>
    <row r="4485" spans="114:114">
      <c r="DJ4485" s="29"/>
    </row>
    <row r="4486" spans="114:114">
      <c r="DJ4486" s="29"/>
    </row>
    <row r="4487" spans="114:114">
      <c r="DJ4487" s="29"/>
    </row>
    <row r="4488" spans="114:114">
      <c r="DJ4488" s="29"/>
    </row>
    <row r="4489" spans="114:114">
      <c r="DJ4489" s="29"/>
    </row>
    <row r="4490" spans="114:114">
      <c r="DJ4490" s="29"/>
    </row>
    <row r="4491" spans="114:114">
      <c r="DJ4491" s="29"/>
    </row>
    <row r="4492" spans="114:114">
      <c r="DJ4492" s="29"/>
    </row>
    <row r="4493" spans="114:114">
      <c r="DJ4493" s="29"/>
    </row>
    <row r="4494" spans="114:114">
      <c r="DJ4494" s="29"/>
    </row>
    <row r="4495" spans="114:114">
      <c r="DJ4495" s="29"/>
    </row>
    <row r="4496" spans="114:114">
      <c r="DJ4496" s="29"/>
    </row>
    <row r="4497" spans="114:114">
      <c r="DJ4497" s="29"/>
    </row>
    <row r="4498" spans="114:114">
      <c r="DJ4498" s="29"/>
    </row>
    <row r="4499" spans="114:114">
      <c r="DJ4499" s="29"/>
    </row>
    <row r="4500" spans="114:114">
      <c r="DJ4500" s="29"/>
    </row>
    <row r="4501" spans="114:114">
      <c r="DJ4501" s="29"/>
    </row>
    <row r="4502" spans="114:114">
      <c r="DJ4502" s="29"/>
    </row>
    <row r="4503" spans="114:114">
      <c r="DJ4503" s="29"/>
    </row>
    <row r="4504" spans="114:114">
      <c r="DJ4504" s="29"/>
    </row>
    <row r="4505" spans="114:114">
      <c r="DJ4505" s="29"/>
    </row>
    <row r="4506" spans="114:114">
      <c r="DJ4506" s="29"/>
    </row>
    <row r="4507" spans="114:114">
      <c r="DJ4507" s="29"/>
    </row>
    <row r="4508" spans="114:114">
      <c r="DJ4508" s="29"/>
    </row>
    <row r="4509" spans="114:114">
      <c r="DJ4509" s="29"/>
    </row>
    <row r="4510" spans="114:114">
      <c r="DJ4510" s="29"/>
    </row>
    <row r="4511" spans="114:114">
      <c r="DJ4511" s="29"/>
    </row>
    <row r="4512" spans="114:114">
      <c r="DJ4512" s="29"/>
    </row>
    <row r="4513" spans="114:114">
      <c r="DJ4513" s="29"/>
    </row>
    <row r="4514" spans="114:114">
      <c r="DJ4514" s="29"/>
    </row>
    <row r="4515" spans="114:114">
      <c r="DJ4515" s="29"/>
    </row>
    <row r="4516" spans="114:114">
      <c r="DJ4516" s="29"/>
    </row>
    <row r="4517" spans="114:114">
      <c r="DJ4517" s="29"/>
    </row>
    <row r="4518" spans="114:114">
      <c r="DJ4518" s="29"/>
    </row>
    <row r="4519" spans="114:114">
      <c r="DJ4519" s="29"/>
    </row>
    <row r="4520" spans="114:114">
      <c r="DJ4520" s="29"/>
    </row>
    <row r="4521" spans="114:114">
      <c r="DJ4521" s="29"/>
    </row>
    <row r="4522" spans="114:114">
      <c r="DJ4522" s="29"/>
    </row>
    <row r="4523" spans="114:114">
      <c r="DJ4523" s="29"/>
    </row>
    <row r="4524" spans="114:114">
      <c r="DJ4524" s="29"/>
    </row>
    <row r="4525" spans="114:114">
      <c r="DJ4525" s="29"/>
    </row>
    <row r="4526" spans="114:114">
      <c r="DJ4526" s="29"/>
    </row>
    <row r="4527" spans="114:114">
      <c r="DJ4527" s="29"/>
    </row>
    <row r="4528" spans="114:114">
      <c r="DJ4528" s="29"/>
    </row>
    <row r="4529" spans="114:114">
      <c r="DJ4529" s="29"/>
    </row>
    <row r="4530" spans="114:114">
      <c r="DJ4530" s="29"/>
    </row>
    <row r="4531" spans="114:114">
      <c r="DJ4531" s="29"/>
    </row>
    <row r="4532" spans="114:114">
      <c r="DJ4532" s="29"/>
    </row>
    <row r="4533" spans="114:114">
      <c r="DJ4533" s="29"/>
    </row>
    <row r="4534" spans="114:114">
      <c r="DJ4534" s="29"/>
    </row>
    <row r="4535" spans="114:114">
      <c r="DJ4535" s="29"/>
    </row>
    <row r="4536" spans="114:114">
      <c r="DJ4536" s="29"/>
    </row>
    <row r="4537" spans="114:114">
      <c r="DJ4537" s="29"/>
    </row>
    <row r="4538" spans="114:114">
      <c r="DJ4538" s="29"/>
    </row>
    <row r="4539" spans="114:114">
      <c r="DJ4539" s="29"/>
    </row>
    <row r="4540" spans="114:114">
      <c r="DJ4540" s="29"/>
    </row>
    <row r="4541" spans="114:114">
      <c r="DJ4541" s="29"/>
    </row>
    <row r="4542" spans="114:114">
      <c r="DJ4542" s="29"/>
    </row>
    <row r="4543" spans="114:114">
      <c r="DJ4543" s="29"/>
    </row>
    <row r="4544" spans="114:114">
      <c r="DJ4544" s="29"/>
    </row>
    <row r="4545" spans="114:114">
      <c r="DJ4545" s="29"/>
    </row>
    <row r="4546" spans="114:114">
      <c r="DJ4546" s="29"/>
    </row>
    <row r="4547" spans="114:114">
      <c r="DJ4547" s="29"/>
    </row>
    <row r="4548" spans="114:114">
      <c r="DJ4548" s="29"/>
    </row>
    <row r="4549" spans="114:114">
      <c r="DJ4549" s="29"/>
    </row>
    <row r="4550" spans="114:114">
      <c r="DJ4550" s="29"/>
    </row>
    <row r="4551" spans="114:114">
      <c r="DJ4551" s="29"/>
    </row>
    <row r="4552" spans="114:114">
      <c r="DJ4552" s="29"/>
    </row>
    <row r="4553" spans="114:114">
      <c r="DJ4553" s="29"/>
    </row>
    <row r="4554" spans="114:114">
      <c r="DJ4554" s="29"/>
    </row>
    <row r="4555" spans="114:114">
      <c r="DJ4555" s="29"/>
    </row>
    <row r="4556" spans="114:114">
      <c r="DJ4556" s="29"/>
    </row>
    <row r="4557" spans="114:114">
      <c r="DJ4557" s="29"/>
    </row>
    <row r="4558" spans="114:114">
      <c r="DJ4558" s="29"/>
    </row>
    <row r="4559" spans="114:114">
      <c r="DJ4559" s="29"/>
    </row>
    <row r="4560" spans="114:114">
      <c r="DJ4560" s="29"/>
    </row>
    <row r="4561" spans="114:114">
      <c r="DJ4561" s="29"/>
    </row>
    <row r="4562" spans="114:114">
      <c r="DJ4562" s="29"/>
    </row>
    <row r="4563" spans="114:114">
      <c r="DJ4563" s="29"/>
    </row>
    <row r="4564" spans="114:114">
      <c r="DJ4564" s="29"/>
    </row>
    <row r="4565" spans="114:114">
      <c r="DJ4565" s="29"/>
    </row>
    <row r="4566" spans="114:114">
      <c r="DJ4566" s="29"/>
    </row>
    <row r="4567" spans="114:114">
      <c r="DJ4567" s="29"/>
    </row>
    <row r="4568" spans="114:114">
      <c r="DJ4568" s="29"/>
    </row>
    <row r="4569" spans="114:114">
      <c r="DJ4569" s="29"/>
    </row>
    <row r="4570" spans="114:114">
      <c r="DJ4570" s="29"/>
    </row>
    <row r="4571" spans="114:114">
      <c r="DJ4571" s="29"/>
    </row>
    <row r="4572" spans="114:114">
      <c r="DJ4572" s="29"/>
    </row>
    <row r="4573" spans="114:114">
      <c r="DJ4573" s="29"/>
    </row>
    <row r="4574" spans="114:114">
      <c r="DJ4574" s="29"/>
    </row>
    <row r="4575" spans="114:114">
      <c r="DJ4575" s="29"/>
    </row>
    <row r="4576" spans="114:114">
      <c r="DJ4576" s="29"/>
    </row>
    <row r="4577" spans="114:114">
      <c r="DJ4577" s="29"/>
    </row>
    <row r="4578" spans="114:114">
      <c r="DJ4578" s="29"/>
    </row>
    <row r="4579" spans="114:114">
      <c r="DJ4579" s="29"/>
    </row>
    <row r="4580" spans="114:114">
      <c r="DJ4580" s="29"/>
    </row>
    <row r="4581" spans="114:114">
      <c r="DJ4581" s="29"/>
    </row>
    <row r="4582" spans="114:114">
      <c r="DJ4582" s="29"/>
    </row>
    <row r="4583" spans="114:114">
      <c r="DJ4583" s="29"/>
    </row>
    <row r="4584" spans="114:114">
      <c r="DJ4584" s="29"/>
    </row>
    <row r="4585" spans="114:114">
      <c r="DJ4585" s="29"/>
    </row>
    <row r="4586" spans="114:114">
      <c r="DJ4586" s="29"/>
    </row>
    <row r="4587" spans="114:114">
      <c r="DJ4587" s="29"/>
    </row>
    <row r="4588" spans="114:114">
      <c r="DJ4588" s="29"/>
    </row>
    <row r="4589" spans="114:114">
      <c r="DJ4589" s="29"/>
    </row>
    <row r="4590" spans="114:114">
      <c r="DJ4590" s="29"/>
    </row>
    <row r="4591" spans="114:114">
      <c r="DJ4591" s="29"/>
    </row>
    <row r="4592" spans="114:114">
      <c r="DJ4592" s="29"/>
    </row>
    <row r="4593" spans="114:114">
      <c r="DJ4593" s="29"/>
    </row>
    <row r="4594" spans="114:114">
      <c r="DJ4594" s="29"/>
    </row>
    <row r="4595" spans="114:114">
      <c r="DJ4595" s="29"/>
    </row>
    <row r="4596" spans="114:114">
      <c r="DJ4596" s="29"/>
    </row>
    <row r="4597" spans="114:114">
      <c r="DJ4597" s="29"/>
    </row>
    <row r="4598" spans="114:114">
      <c r="DJ4598" s="29"/>
    </row>
    <row r="4599" spans="114:114">
      <c r="DJ4599" s="29"/>
    </row>
    <row r="4600" spans="114:114">
      <c r="DJ4600" s="29"/>
    </row>
    <row r="4601" spans="114:114">
      <c r="DJ4601" s="29"/>
    </row>
    <row r="4602" spans="114:114">
      <c r="DJ4602" s="29"/>
    </row>
    <row r="4603" spans="114:114">
      <c r="DJ4603" s="29"/>
    </row>
    <row r="4604" spans="114:114">
      <c r="DJ4604" s="29"/>
    </row>
    <row r="4605" spans="114:114">
      <c r="DJ4605" s="29"/>
    </row>
    <row r="4606" spans="114:114">
      <c r="DJ4606" s="29"/>
    </row>
    <row r="4607" spans="114:114">
      <c r="DJ4607" s="29"/>
    </row>
    <row r="4608" spans="114:114">
      <c r="DJ4608" s="29"/>
    </row>
    <row r="4609" spans="114:114">
      <c r="DJ4609" s="29"/>
    </row>
    <row r="4610" spans="114:114">
      <c r="DJ4610" s="29"/>
    </row>
    <row r="4611" spans="114:114">
      <c r="DJ4611" s="29"/>
    </row>
    <row r="4612" spans="114:114">
      <c r="DJ4612" s="29"/>
    </row>
    <row r="4613" spans="114:114">
      <c r="DJ4613" s="29"/>
    </row>
    <row r="4614" spans="114:114">
      <c r="DJ4614" s="29"/>
    </row>
    <row r="4615" spans="114:114">
      <c r="DJ4615" s="29"/>
    </row>
    <row r="4616" spans="114:114">
      <c r="DJ4616" s="29"/>
    </row>
    <row r="4617" spans="114:114">
      <c r="DJ4617" s="29"/>
    </row>
    <row r="4618" spans="114:114">
      <c r="DJ4618" s="29"/>
    </row>
    <row r="4619" spans="114:114">
      <c r="DJ4619" s="29"/>
    </row>
    <row r="4620" spans="114:114">
      <c r="DJ4620" s="29"/>
    </row>
    <row r="4621" spans="114:114">
      <c r="DJ4621" s="29"/>
    </row>
    <row r="4622" spans="114:114">
      <c r="DJ4622" s="29"/>
    </row>
    <row r="4623" spans="114:114">
      <c r="DJ4623" s="29"/>
    </row>
    <row r="4624" spans="114:114">
      <c r="DJ4624" s="29"/>
    </row>
    <row r="4625" spans="114:114">
      <c r="DJ4625" s="29"/>
    </row>
    <row r="4626" spans="114:114">
      <c r="DJ4626" s="29"/>
    </row>
    <row r="4627" spans="114:114">
      <c r="DJ4627" s="29"/>
    </row>
    <row r="4628" spans="114:114">
      <c r="DJ4628" s="29"/>
    </row>
    <row r="4629" spans="114:114">
      <c r="DJ4629" s="29"/>
    </row>
    <row r="4630" spans="114:114">
      <c r="DJ4630" s="29"/>
    </row>
    <row r="4631" spans="114:114">
      <c r="DJ4631" s="29"/>
    </row>
    <row r="4632" spans="114:114">
      <c r="DJ4632" s="29"/>
    </row>
    <row r="4633" spans="114:114">
      <c r="DJ4633" s="29"/>
    </row>
    <row r="4634" spans="114:114">
      <c r="DJ4634" s="29"/>
    </row>
    <row r="4635" spans="114:114">
      <c r="DJ4635" s="29"/>
    </row>
    <row r="4636" spans="114:114">
      <c r="DJ4636" s="29"/>
    </row>
    <row r="4637" spans="114:114">
      <c r="DJ4637" s="29"/>
    </row>
    <row r="4638" spans="114:114">
      <c r="DJ4638" s="29"/>
    </row>
    <row r="4639" spans="114:114">
      <c r="DJ4639" s="29"/>
    </row>
    <row r="4640" spans="114:114">
      <c r="DJ4640" s="29"/>
    </row>
    <row r="4641" spans="114:114">
      <c r="DJ4641" s="29"/>
    </row>
    <row r="4642" spans="114:114">
      <c r="DJ4642" s="29"/>
    </row>
    <row r="4643" spans="114:114">
      <c r="DJ4643" s="29"/>
    </row>
    <row r="4644" spans="114:114">
      <c r="DJ4644" s="29"/>
    </row>
    <row r="4645" spans="114:114">
      <c r="DJ4645" s="29"/>
    </row>
    <row r="4646" spans="114:114">
      <c r="DJ4646" s="29"/>
    </row>
    <row r="4647" spans="114:114">
      <c r="DJ4647" s="29"/>
    </row>
    <row r="4648" spans="114:114">
      <c r="DJ4648" s="29"/>
    </row>
    <row r="4649" spans="114:114">
      <c r="DJ4649" s="29"/>
    </row>
    <row r="4650" spans="114:114">
      <c r="DJ4650" s="29"/>
    </row>
    <row r="4651" spans="114:114">
      <c r="DJ4651" s="29"/>
    </row>
    <row r="4652" spans="114:114">
      <c r="DJ4652" s="29"/>
    </row>
    <row r="4653" spans="114:114">
      <c r="DJ4653" s="29"/>
    </row>
    <row r="4654" spans="114:114">
      <c r="DJ4654" s="29"/>
    </row>
    <row r="4655" spans="114:114">
      <c r="DJ4655" s="29"/>
    </row>
    <row r="4656" spans="114:114">
      <c r="DJ4656" s="29"/>
    </row>
    <row r="4657" spans="114:114">
      <c r="DJ4657" s="29"/>
    </row>
    <row r="4658" spans="114:114">
      <c r="DJ4658" s="29"/>
    </row>
    <row r="4659" spans="114:114">
      <c r="DJ4659" s="29"/>
    </row>
    <row r="4660" spans="114:114">
      <c r="DJ4660" s="29"/>
    </row>
    <row r="4661" spans="114:114">
      <c r="DJ4661" s="29"/>
    </row>
    <row r="4662" spans="114:114">
      <c r="DJ4662" s="29"/>
    </row>
    <row r="4663" spans="114:114">
      <c r="DJ4663" s="29"/>
    </row>
    <row r="4664" spans="114:114">
      <c r="DJ4664" s="29"/>
    </row>
    <row r="4665" spans="114:114">
      <c r="DJ4665" s="29"/>
    </row>
    <row r="4666" spans="114:114">
      <c r="DJ4666" s="29"/>
    </row>
    <row r="4667" spans="114:114">
      <c r="DJ4667" s="29"/>
    </row>
    <row r="4668" spans="114:114">
      <c r="DJ4668" s="29"/>
    </row>
    <row r="4669" spans="114:114">
      <c r="DJ4669" s="29"/>
    </row>
    <row r="4670" spans="114:114">
      <c r="DJ4670" s="29"/>
    </row>
    <row r="4671" spans="114:114">
      <c r="DJ4671" s="29"/>
    </row>
    <row r="4672" spans="114:114">
      <c r="DJ4672" s="29"/>
    </row>
    <row r="4673" spans="114:114">
      <c r="DJ4673" s="29"/>
    </row>
    <row r="4674" spans="114:114">
      <c r="DJ4674" s="29"/>
    </row>
    <row r="4675" spans="114:114">
      <c r="DJ4675" s="29"/>
    </row>
    <row r="4676" spans="114:114">
      <c r="DJ4676" s="29"/>
    </row>
    <row r="4677" spans="114:114">
      <c r="DJ4677" s="29"/>
    </row>
    <row r="4678" spans="114:114">
      <c r="DJ4678" s="29"/>
    </row>
    <row r="4679" spans="114:114">
      <c r="DJ4679" s="29"/>
    </row>
    <row r="4680" spans="114:114">
      <c r="DJ4680" s="29"/>
    </row>
    <row r="4681" spans="114:114">
      <c r="DJ4681" s="29"/>
    </row>
    <row r="4682" spans="114:114">
      <c r="DJ4682" s="29"/>
    </row>
    <row r="4683" spans="114:114">
      <c r="DJ4683" s="29"/>
    </row>
    <row r="4684" spans="114:114">
      <c r="DJ4684" s="29"/>
    </row>
    <row r="4685" spans="114:114">
      <c r="DJ4685" s="29"/>
    </row>
    <row r="4686" spans="114:114">
      <c r="DJ4686" s="29"/>
    </row>
    <row r="4687" spans="114:114">
      <c r="DJ4687" s="29"/>
    </row>
    <row r="4688" spans="114:114">
      <c r="DJ4688" s="29"/>
    </row>
    <row r="4689" spans="114:114">
      <c r="DJ4689" s="29"/>
    </row>
    <row r="4690" spans="114:114">
      <c r="DJ4690" s="29"/>
    </row>
    <row r="4691" spans="114:114">
      <c r="DJ4691" s="29"/>
    </row>
    <row r="4692" spans="114:114">
      <c r="DJ4692" s="29"/>
    </row>
    <row r="4693" spans="114:114">
      <c r="DJ4693" s="29"/>
    </row>
    <row r="4694" spans="114:114">
      <c r="DJ4694" s="29"/>
    </row>
    <row r="4695" spans="114:114">
      <c r="DJ4695" s="29"/>
    </row>
    <row r="4696" spans="114:114">
      <c r="DJ4696" s="29"/>
    </row>
    <row r="4697" spans="114:114">
      <c r="DJ4697" s="29"/>
    </row>
    <row r="4698" spans="114:114">
      <c r="DJ4698" s="29"/>
    </row>
    <row r="4699" spans="114:114">
      <c r="DJ4699" s="29"/>
    </row>
    <row r="4700" spans="114:114">
      <c r="DJ4700" s="29"/>
    </row>
    <row r="4701" spans="114:114">
      <c r="DJ4701" s="29"/>
    </row>
    <row r="4702" spans="114:114">
      <c r="DJ4702" s="29"/>
    </row>
    <row r="4703" spans="114:114">
      <c r="DJ4703" s="29"/>
    </row>
    <row r="4704" spans="114:114">
      <c r="DJ4704" s="29"/>
    </row>
    <row r="4705" spans="114:114">
      <c r="DJ4705" s="29"/>
    </row>
    <row r="4706" spans="114:114">
      <c r="DJ4706" s="29"/>
    </row>
    <row r="4707" spans="114:114">
      <c r="DJ4707" s="29"/>
    </row>
    <row r="4708" spans="114:114">
      <c r="DJ4708" s="29"/>
    </row>
    <row r="4709" spans="114:114">
      <c r="DJ4709" s="29"/>
    </row>
    <row r="4710" spans="114:114">
      <c r="DJ4710" s="29"/>
    </row>
    <row r="4711" spans="114:114">
      <c r="DJ4711" s="29"/>
    </row>
    <row r="4712" spans="114:114">
      <c r="DJ4712" s="29"/>
    </row>
    <row r="4713" spans="114:114">
      <c r="DJ4713" s="29"/>
    </row>
    <row r="4714" spans="114:114">
      <c r="DJ4714" s="29"/>
    </row>
    <row r="4715" spans="114:114">
      <c r="DJ4715" s="29"/>
    </row>
    <row r="4716" spans="114:114">
      <c r="DJ4716" s="29"/>
    </row>
    <row r="4717" spans="114:114">
      <c r="DJ4717" s="29"/>
    </row>
    <row r="4718" spans="114:114">
      <c r="DJ4718" s="29"/>
    </row>
    <row r="4719" spans="114:114">
      <c r="DJ4719" s="29"/>
    </row>
    <row r="4720" spans="114:114">
      <c r="DJ4720" s="29"/>
    </row>
    <row r="4721" spans="114:114">
      <c r="DJ4721" s="29"/>
    </row>
    <row r="4722" spans="114:114">
      <c r="DJ4722" s="29"/>
    </row>
    <row r="4723" spans="114:114">
      <c r="DJ4723" s="29"/>
    </row>
    <row r="4724" spans="114:114">
      <c r="DJ4724" s="29"/>
    </row>
    <row r="4725" spans="114:114">
      <c r="DJ4725" s="29"/>
    </row>
    <row r="4726" spans="114:114">
      <c r="DJ4726" s="29"/>
    </row>
    <row r="4727" spans="114:114">
      <c r="DJ4727" s="29"/>
    </row>
    <row r="4728" spans="114:114">
      <c r="DJ4728" s="29"/>
    </row>
    <row r="4729" spans="114:114">
      <c r="DJ4729" s="29"/>
    </row>
    <row r="4730" spans="114:114">
      <c r="DJ4730" s="29"/>
    </row>
    <row r="4731" spans="114:114">
      <c r="DJ4731" s="29"/>
    </row>
    <row r="4732" spans="114:114">
      <c r="DJ4732" s="29"/>
    </row>
    <row r="4733" spans="114:114">
      <c r="DJ4733" s="29"/>
    </row>
    <row r="4734" spans="114:114">
      <c r="DJ4734" s="29"/>
    </row>
    <row r="4735" spans="114:114">
      <c r="DJ4735" s="29"/>
    </row>
    <row r="4736" spans="114:114">
      <c r="DJ4736" s="29"/>
    </row>
    <row r="4737" spans="114:114">
      <c r="DJ4737" s="29"/>
    </row>
    <row r="4738" spans="114:114">
      <c r="DJ4738" s="29"/>
    </row>
    <row r="4739" spans="114:114">
      <c r="DJ4739" s="29"/>
    </row>
    <row r="4740" spans="114:114">
      <c r="DJ4740" s="29"/>
    </row>
    <row r="4741" spans="114:114">
      <c r="DJ4741" s="29"/>
    </row>
    <row r="4742" spans="114:114">
      <c r="DJ4742" s="29"/>
    </row>
    <row r="4743" spans="114:114">
      <c r="DJ4743" s="29"/>
    </row>
    <row r="4744" spans="114:114">
      <c r="DJ4744" s="29"/>
    </row>
    <row r="4745" spans="114:114">
      <c r="DJ4745" s="29"/>
    </row>
    <row r="4746" spans="114:114">
      <c r="DJ4746" s="29"/>
    </row>
    <row r="4747" spans="114:114">
      <c r="DJ4747" s="29"/>
    </row>
    <row r="4748" spans="114:114">
      <c r="DJ4748" s="29"/>
    </row>
    <row r="4749" spans="114:114">
      <c r="DJ4749" s="29"/>
    </row>
    <row r="4750" spans="114:114">
      <c r="DJ4750" s="29"/>
    </row>
    <row r="4751" spans="114:114">
      <c r="DJ4751" s="29"/>
    </row>
    <row r="4752" spans="114:114">
      <c r="DJ4752" s="29"/>
    </row>
    <row r="4753" spans="114:114">
      <c r="DJ4753" s="29"/>
    </row>
    <row r="4754" spans="114:114">
      <c r="DJ4754" s="29"/>
    </row>
    <row r="4755" spans="114:114">
      <c r="DJ4755" s="29"/>
    </row>
    <row r="4756" spans="114:114">
      <c r="DJ4756" s="29"/>
    </row>
    <row r="4757" spans="114:114">
      <c r="DJ4757" s="29"/>
    </row>
    <row r="4758" spans="114:114">
      <c r="DJ4758" s="29"/>
    </row>
    <row r="4759" spans="114:114">
      <c r="DJ4759" s="29"/>
    </row>
    <row r="4760" spans="114:114">
      <c r="DJ4760" s="29"/>
    </row>
    <row r="4761" spans="114:114">
      <c r="DJ4761" s="29"/>
    </row>
    <row r="4762" spans="114:114">
      <c r="DJ4762" s="29"/>
    </row>
    <row r="4763" spans="114:114">
      <c r="DJ4763" s="29"/>
    </row>
    <row r="4764" spans="114:114">
      <c r="DJ4764" s="29"/>
    </row>
    <row r="4765" spans="114:114">
      <c r="DJ4765" s="29"/>
    </row>
    <row r="4766" spans="114:114">
      <c r="DJ4766" s="29"/>
    </row>
    <row r="4767" spans="114:114">
      <c r="DJ4767" s="29"/>
    </row>
    <row r="4768" spans="114:114">
      <c r="DJ4768" s="29"/>
    </row>
    <row r="4769" spans="114:114">
      <c r="DJ4769" s="29"/>
    </row>
    <row r="4770" spans="114:114">
      <c r="DJ4770" s="29"/>
    </row>
    <row r="4771" spans="114:114">
      <c r="DJ4771" s="29"/>
    </row>
    <row r="4772" spans="114:114">
      <c r="DJ4772" s="29"/>
    </row>
    <row r="4773" spans="114:114">
      <c r="DJ4773" s="29"/>
    </row>
    <row r="4774" spans="114:114">
      <c r="DJ4774" s="29"/>
    </row>
    <row r="4775" spans="114:114">
      <c r="DJ4775" s="29"/>
    </row>
    <row r="4776" spans="114:114">
      <c r="DJ4776" s="29"/>
    </row>
    <row r="4777" spans="114:114">
      <c r="DJ4777" s="29"/>
    </row>
    <row r="4778" spans="114:114">
      <c r="DJ4778" s="29"/>
    </row>
    <row r="4779" spans="114:114">
      <c r="DJ4779" s="29"/>
    </row>
    <row r="4780" spans="114:114">
      <c r="DJ4780" s="29"/>
    </row>
    <row r="4781" spans="114:114">
      <c r="DJ4781" s="29"/>
    </row>
    <row r="4782" spans="114:114">
      <c r="DJ4782" s="29"/>
    </row>
    <row r="4783" spans="114:114">
      <c r="DJ4783" s="29"/>
    </row>
    <row r="4784" spans="114:114">
      <c r="DJ4784" s="29"/>
    </row>
    <row r="4785" spans="114:114">
      <c r="DJ4785" s="29"/>
    </row>
    <row r="4786" spans="114:114">
      <c r="DJ4786" s="29"/>
    </row>
    <row r="4787" spans="114:114">
      <c r="DJ4787" s="29"/>
    </row>
    <row r="4788" spans="114:114">
      <c r="DJ4788" s="29"/>
    </row>
    <row r="4789" spans="114:114">
      <c r="DJ4789" s="29"/>
    </row>
    <row r="4790" spans="114:114">
      <c r="DJ4790" s="29"/>
    </row>
    <row r="4791" spans="114:114">
      <c r="DJ4791" s="29"/>
    </row>
    <row r="4792" spans="114:114">
      <c r="DJ4792" s="29"/>
    </row>
    <row r="4793" spans="114:114">
      <c r="DJ4793" s="29"/>
    </row>
    <row r="4794" spans="114:114">
      <c r="DJ4794" s="29"/>
    </row>
    <row r="4795" spans="114:114">
      <c r="DJ4795" s="29"/>
    </row>
    <row r="4796" spans="114:114">
      <c r="DJ4796" s="29"/>
    </row>
    <row r="4797" spans="114:114">
      <c r="DJ4797" s="29"/>
    </row>
    <row r="4798" spans="114:114">
      <c r="DJ4798" s="29"/>
    </row>
    <row r="4799" spans="114:114">
      <c r="DJ4799" s="29"/>
    </row>
    <row r="4800" spans="114:114">
      <c r="DJ4800" s="29"/>
    </row>
    <row r="4801" spans="114:114">
      <c r="DJ4801" s="29"/>
    </row>
    <row r="4802" spans="114:114">
      <c r="DJ4802" s="29"/>
    </row>
    <row r="4803" spans="114:114">
      <c r="DJ4803" s="29"/>
    </row>
    <row r="4804" spans="114:114">
      <c r="DJ4804" s="29"/>
    </row>
    <row r="4805" spans="114:114">
      <c r="DJ4805" s="29"/>
    </row>
    <row r="4806" spans="114:114">
      <c r="DJ4806" s="29"/>
    </row>
    <row r="4807" spans="114:114">
      <c r="DJ4807" s="29"/>
    </row>
    <row r="4808" spans="114:114">
      <c r="DJ4808" s="29"/>
    </row>
    <row r="4809" spans="114:114">
      <c r="DJ4809" s="29"/>
    </row>
    <row r="4810" spans="114:114">
      <c r="DJ4810" s="29"/>
    </row>
    <row r="4811" spans="114:114">
      <c r="DJ4811" s="29"/>
    </row>
    <row r="4812" spans="114:114">
      <c r="DJ4812" s="29"/>
    </row>
    <row r="4813" spans="114:114">
      <c r="DJ4813" s="29"/>
    </row>
    <row r="4814" spans="114:114">
      <c r="DJ4814" s="29"/>
    </row>
    <row r="4815" spans="114:114">
      <c r="DJ4815" s="29"/>
    </row>
    <row r="4816" spans="114:114">
      <c r="DJ4816" s="29"/>
    </row>
    <row r="4817" spans="114:114">
      <c r="DJ4817" s="29"/>
    </row>
    <row r="4818" spans="114:114">
      <c r="DJ4818" s="29"/>
    </row>
    <row r="4819" spans="114:114">
      <c r="DJ4819" s="29"/>
    </row>
    <row r="4820" spans="114:114">
      <c r="DJ4820" s="29"/>
    </row>
    <row r="4821" spans="114:114">
      <c r="DJ4821" s="29"/>
    </row>
    <row r="4822" spans="114:114">
      <c r="DJ4822" s="29"/>
    </row>
    <row r="4823" spans="114:114">
      <c r="DJ4823" s="29"/>
    </row>
    <row r="4824" spans="114:114">
      <c r="DJ4824" s="29"/>
    </row>
    <row r="4825" spans="114:114">
      <c r="DJ4825" s="29"/>
    </row>
    <row r="4826" spans="114:114">
      <c r="DJ4826" s="29"/>
    </row>
    <row r="4827" spans="114:114">
      <c r="DJ4827" s="29"/>
    </row>
    <row r="4828" spans="114:114">
      <c r="DJ4828" s="29"/>
    </row>
    <row r="4829" spans="114:114">
      <c r="DJ4829" s="29"/>
    </row>
    <row r="4830" spans="114:114">
      <c r="DJ4830" s="29"/>
    </row>
    <row r="4831" spans="114:114">
      <c r="DJ4831" s="29"/>
    </row>
    <row r="4832" spans="114:114">
      <c r="DJ4832" s="29"/>
    </row>
    <row r="4833" spans="114:114">
      <c r="DJ4833" s="29"/>
    </row>
    <row r="4834" spans="114:114">
      <c r="DJ4834" s="29"/>
    </row>
    <row r="4835" spans="114:114">
      <c r="DJ4835" s="29"/>
    </row>
    <row r="4836" spans="114:114">
      <c r="DJ4836" s="29"/>
    </row>
    <row r="4837" spans="114:114">
      <c r="DJ4837" s="29"/>
    </row>
    <row r="4838" spans="114:114">
      <c r="DJ4838" s="29"/>
    </row>
    <row r="4839" spans="114:114">
      <c r="DJ4839" s="29"/>
    </row>
    <row r="4840" spans="114:114">
      <c r="DJ4840" s="29"/>
    </row>
    <row r="4841" spans="114:114">
      <c r="DJ4841" s="29"/>
    </row>
    <row r="4842" spans="114:114">
      <c r="DJ4842" s="29"/>
    </row>
    <row r="4843" spans="114:114">
      <c r="DJ4843" s="29"/>
    </row>
    <row r="4844" spans="114:114">
      <c r="DJ4844" s="29"/>
    </row>
    <row r="4845" spans="114:114">
      <c r="DJ4845" s="29"/>
    </row>
    <row r="4846" spans="114:114">
      <c r="DJ4846" s="29"/>
    </row>
    <row r="4847" spans="114:114">
      <c r="DJ4847" s="29"/>
    </row>
    <row r="4848" spans="114:114">
      <c r="DJ4848" s="29"/>
    </row>
    <row r="4849" spans="114:114">
      <c r="DJ4849" s="29"/>
    </row>
    <row r="4850" spans="114:114">
      <c r="DJ4850" s="29"/>
    </row>
    <row r="4851" spans="114:114">
      <c r="DJ4851" s="29"/>
    </row>
    <row r="4852" spans="114:114">
      <c r="DJ4852" s="29"/>
    </row>
    <row r="4853" spans="114:114">
      <c r="DJ4853" s="29"/>
    </row>
    <row r="4854" spans="114:114">
      <c r="DJ4854" s="29"/>
    </row>
    <row r="4855" spans="114:114">
      <c r="DJ4855" s="29"/>
    </row>
    <row r="4856" spans="114:114">
      <c r="DJ4856" s="29"/>
    </row>
    <row r="4857" spans="114:114">
      <c r="DJ4857" s="29"/>
    </row>
    <row r="4858" spans="114:114">
      <c r="DJ4858" s="29"/>
    </row>
    <row r="4859" spans="114:114">
      <c r="DJ4859" s="29"/>
    </row>
    <row r="4860" spans="114:114">
      <c r="DJ4860" s="29"/>
    </row>
    <row r="4861" spans="114:114">
      <c r="DJ4861" s="29"/>
    </row>
    <row r="4862" spans="114:114">
      <c r="DJ4862" s="29"/>
    </row>
    <row r="4863" spans="114:114">
      <c r="DJ4863" s="29"/>
    </row>
    <row r="4864" spans="114:114">
      <c r="DJ4864" s="29"/>
    </row>
    <row r="4865" spans="114:114">
      <c r="DJ4865" s="29"/>
    </row>
    <row r="4866" spans="114:114">
      <c r="DJ4866" s="29"/>
    </row>
    <row r="4867" spans="114:114">
      <c r="DJ4867" s="29"/>
    </row>
    <row r="4868" spans="114:114">
      <c r="DJ4868" s="29"/>
    </row>
    <row r="4869" spans="114:114">
      <c r="DJ4869" s="29"/>
    </row>
    <row r="4870" spans="114:114">
      <c r="DJ4870" s="29"/>
    </row>
    <row r="4871" spans="114:114">
      <c r="DJ4871" s="29"/>
    </row>
    <row r="4872" spans="114:114">
      <c r="DJ4872" s="29"/>
    </row>
    <row r="4873" spans="114:114">
      <c r="DJ4873" s="29"/>
    </row>
    <row r="4874" spans="114:114">
      <c r="DJ4874" s="29"/>
    </row>
    <row r="4875" spans="114:114">
      <c r="DJ4875" s="29"/>
    </row>
    <row r="4876" spans="114:114">
      <c r="DJ4876" s="29"/>
    </row>
    <row r="4877" spans="114:114">
      <c r="DJ4877" s="29"/>
    </row>
    <row r="4878" spans="114:114">
      <c r="DJ4878" s="29"/>
    </row>
    <row r="4879" spans="114:114">
      <c r="DJ4879" s="29"/>
    </row>
    <row r="4880" spans="114:114">
      <c r="DJ4880" s="29"/>
    </row>
    <row r="4881" spans="114:114">
      <c r="DJ4881" s="29"/>
    </row>
    <row r="4882" spans="114:114">
      <c r="DJ4882" s="29"/>
    </row>
    <row r="4883" spans="114:114">
      <c r="DJ4883" s="29"/>
    </row>
    <row r="4884" spans="114:114">
      <c r="DJ4884" s="29"/>
    </row>
    <row r="4885" spans="114:114">
      <c r="DJ4885" s="29"/>
    </row>
    <row r="4886" spans="114:114">
      <c r="DJ4886" s="29"/>
    </row>
    <row r="4887" spans="114:114">
      <c r="DJ4887" s="29"/>
    </row>
    <row r="4888" spans="114:114">
      <c r="DJ4888" s="29"/>
    </row>
    <row r="4889" spans="114:114">
      <c r="DJ4889" s="29"/>
    </row>
    <row r="4890" spans="114:114">
      <c r="DJ4890" s="29"/>
    </row>
    <row r="4891" spans="114:114">
      <c r="DJ4891" s="29"/>
    </row>
    <row r="4892" spans="114:114">
      <c r="DJ4892" s="29"/>
    </row>
    <row r="4893" spans="114:114">
      <c r="DJ4893" s="29"/>
    </row>
    <row r="4894" spans="114:114">
      <c r="DJ4894" s="29"/>
    </row>
    <row r="4895" spans="114:114">
      <c r="DJ4895" s="29"/>
    </row>
    <row r="4896" spans="114:114">
      <c r="DJ4896" s="29"/>
    </row>
    <row r="4897" spans="114:114">
      <c r="DJ4897" s="29"/>
    </row>
    <row r="4898" spans="114:114">
      <c r="DJ4898" s="29"/>
    </row>
    <row r="4899" spans="114:114">
      <c r="DJ4899" s="29"/>
    </row>
    <row r="4900" spans="114:114">
      <c r="DJ4900" s="29"/>
    </row>
    <row r="4901" spans="114:114">
      <c r="DJ4901" s="29"/>
    </row>
    <row r="4902" spans="114:114">
      <c r="DJ4902" s="29"/>
    </row>
    <row r="4903" spans="114:114">
      <c r="DJ4903" s="29"/>
    </row>
    <row r="4904" spans="114:114">
      <c r="DJ4904" s="29"/>
    </row>
    <row r="4905" spans="114:114">
      <c r="DJ4905" s="29"/>
    </row>
    <row r="4906" spans="114:114">
      <c r="DJ4906" s="29"/>
    </row>
    <row r="4907" spans="114:114">
      <c r="DJ4907" s="29"/>
    </row>
    <row r="4908" spans="114:114">
      <c r="DJ4908" s="29"/>
    </row>
    <row r="4909" spans="114:114">
      <c r="DJ4909" s="29"/>
    </row>
    <row r="4910" spans="114:114">
      <c r="DJ4910" s="29"/>
    </row>
    <row r="4911" spans="114:114">
      <c r="DJ4911" s="29"/>
    </row>
    <row r="4912" spans="114:114">
      <c r="DJ4912" s="29"/>
    </row>
    <row r="4913" spans="114:114">
      <c r="DJ4913" s="29"/>
    </row>
    <row r="4914" spans="114:114">
      <c r="DJ4914" s="29"/>
    </row>
    <row r="4915" spans="114:114">
      <c r="DJ4915" s="29"/>
    </row>
    <row r="4916" spans="114:114">
      <c r="DJ4916" s="29"/>
    </row>
    <row r="4917" spans="114:114">
      <c r="DJ4917" s="29"/>
    </row>
    <row r="4918" spans="114:114">
      <c r="DJ4918" s="29"/>
    </row>
    <row r="4919" spans="114:114">
      <c r="DJ4919" s="29"/>
    </row>
    <row r="4920" spans="114:114">
      <c r="DJ4920" s="29"/>
    </row>
    <row r="4921" spans="114:114">
      <c r="DJ4921" s="29"/>
    </row>
    <row r="4922" spans="114:114">
      <c r="DJ4922" s="29"/>
    </row>
    <row r="4923" spans="114:114">
      <c r="DJ4923" s="29"/>
    </row>
    <row r="4924" spans="114:114">
      <c r="DJ4924" s="29"/>
    </row>
    <row r="4925" spans="114:114">
      <c r="DJ4925" s="29"/>
    </row>
    <row r="4926" spans="114:114">
      <c r="DJ4926" s="29"/>
    </row>
    <row r="4927" spans="114:114">
      <c r="DJ4927" s="29"/>
    </row>
    <row r="4928" spans="114:114">
      <c r="DJ4928" s="29"/>
    </row>
    <row r="4929" spans="114:114">
      <c r="DJ4929" s="29"/>
    </row>
    <row r="4930" spans="114:114">
      <c r="DJ4930" s="29"/>
    </row>
    <row r="4931" spans="114:114">
      <c r="DJ4931" s="29"/>
    </row>
    <row r="4932" spans="114:114">
      <c r="DJ4932" s="29"/>
    </row>
    <row r="4933" spans="114:114">
      <c r="DJ4933" s="29"/>
    </row>
    <row r="4934" spans="114:114">
      <c r="DJ4934" s="29"/>
    </row>
    <row r="4935" spans="114:114">
      <c r="DJ4935" s="29"/>
    </row>
    <row r="4936" spans="114:114">
      <c r="DJ4936" s="29"/>
    </row>
    <row r="4937" spans="114:114">
      <c r="DJ4937" s="29"/>
    </row>
    <row r="4938" spans="114:114">
      <c r="DJ4938" s="29"/>
    </row>
    <row r="4939" spans="114:114">
      <c r="DJ4939" s="29"/>
    </row>
    <row r="4940" spans="114:114">
      <c r="DJ4940" s="29"/>
    </row>
    <row r="4941" spans="114:114">
      <c r="DJ4941" s="29"/>
    </row>
    <row r="4942" spans="114:114">
      <c r="DJ4942" s="29"/>
    </row>
    <row r="4943" spans="114:114">
      <c r="DJ4943" s="29"/>
    </row>
    <row r="4944" spans="114:114">
      <c r="DJ4944" s="29"/>
    </row>
    <row r="4945" spans="114:114">
      <c r="DJ4945" s="29"/>
    </row>
    <row r="4946" spans="114:114">
      <c r="DJ4946" s="29"/>
    </row>
    <row r="4947" spans="114:114">
      <c r="DJ4947" s="29"/>
    </row>
    <row r="4948" spans="114:114">
      <c r="DJ4948" s="29"/>
    </row>
    <row r="4949" spans="114:114">
      <c r="DJ4949" s="29"/>
    </row>
    <row r="4950" spans="114:114">
      <c r="DJ4950" s="29"/>
    </row>
    <row r="4951" spans="114:114">
      <c r="DJ4951" s="29"/>
    </row>
    <row r="4952" spans="114:114">
      <c r="DJ4952" s="29"/>
    </row>
    <row r="4953" spans="114:114">
      <c r="DJ4953" s="29"/>
    </row>
    <row r="4954" spans="114:114">
      <c r="DJ4954" s="29"/>
    </row>
    <row r="4955" spans="114:114">
      <c r="DJ4955" s="29"/>
    </row>
    <row r="4956" spans="114:114">
      <c r="DJ4956" s="29"/>
    </row>
    <row r="4957" spans="114:114">
      <c r="DJ4957" s="29"/>
    </row>
    <row r="4958" spans="114:114">
      <c r="DJ4958" s="29"/>
    </row>
    <row r="4959" spans="114:114">
      <c r="DJ4959" s="29"/>
    </row>
    <row r="4960" spans="114:114">
      <c r="DJ4960" s="29"/>
    </row>
    <row r="4961" spans="114:114">
      <c r="DJ4961" s="29"/>
    </row>
    <row r="4962" spans="114:114">
      <c r="DJ4962" s="29"/>
    </row>
    <row r="4963" spans="114:114">
      <c r="DJ4963" s="29"/>
    </row>
    <row r="4964" spans="114:114">
      <c r="DJ4964" s="29"/>
    </row>
    <row r="4965" spans="114:114">
      <c r="DJ4965" s="29"/>
    </row>
    <row r="4966" spans="114:114">
      <c r="DJ4966" s="29"/>
    </row>
    <row r="4967" spans="114:114">
      <c r="DJ4967" s="29"/>
    </row>
    <row r="4968" spans="114:114">
      <c r="DJ4968" s="29"/>
    </row>
    <row r="4969" spans="114:114">
      <c r="DJ4969" s="29"/>
    </row>
    <row r="4970" spans="114:114">
      <c r="DJ4970" s="29"/>
    </row>
    <row r="4971" spans="114:114">
      <c r="DJ4971" s="29"/>
    </row>
    <row r="4972" spans="114:114">
      <c r="DJ4972" s="29"/>
    </row>
    <row r="4973" spans="114:114">
      <c r="DJ4973" s="29"/>
    </row>
    <row r="4974" spans="114:114">
      <c r="DJ4974" s="29"/>
    </row>
    <row r="4975" spans="114:114">
      <c r="DJ4975" s="29"/>
    </row>
    <row r="4976" spans="114:114">
      <c r="DJ4976" s="29"/>
    </row>
    <row r="4977" spans="114:114">
      <c r="DJ4977" s="29"/>
    </row>
    <row r="4978" spans="114:114">
      <c r="DJ4978" s="29"/>
    </row>
    <row r="4979" spans="114:114">
      <c r="DJ4979" s="29"/>
    </row>
    <row r="4980" spans="114:114">
      <c r="DJ4980" s="29"/>
    </row>
    <row r="4981" spans="114:114">
      <c r="DJ4981" s="29"/>
    </row>
    <row r="4982" spans="114:114">
      <c r="DJ4982" s="29"/>
    </row>
    <row r="4983" spans="114:114">
      <c r="DJ4983" s="29"/>
    </row>
    <row r="4984" spans="114:114">
      <c r="DJ4984" s="29"/>
    </row>
    <row r="4985" spans="114:114">
      <c r="DJ4985" s="29"/>
    </row>
    <row r="4986" spans="114:114">
      <c r="DJ4986" s="29"/>
    </row>
    <row r="4987" spans="114:114">
      <c r="DJ4987" s="29"/>
    </row>
    <row r="4988" spans="114:114">
      <c r="DJ4988" s="29"/>
    </row>
    <row r="4989" spans="114:114">
      <c r="DJ4989" s="29"/>
    </row>
    <row r="4990" spans="114:114">
      <c r="DJ4990" s="29"/>
    </row>
    <row r="4991" spans="114:114">
      <c r="DJ4991" s="29"/>
    </row>
    <row r="4992" spans="114:114">
      <c r="DJ4992" s="29"/>
    </row>
    <row r="4993" spans="114:114">
      <c r="DJ4993" s="29"/>
    </row>
    <row r="4994" spans="114:114">
      <c r="DJ4994" s="29"/>
    </row>
    <row r="4995" spans="114:114">
      <c r="DJ4995" s="29"/>
    </row>
    <row r="4996" spans="114:114">
      <c r="DJ4996" s="29"/>
    </row>
    <row r="4997" spans="114:114">
      <c r="DJ4997" s="29"/>
    </row>
    <row r="4998" spans="114:114">
      <c r="DJ4998" s="29"/>
    </row>
    <row r="4999" spans="114:114">
      <c r="DJ4999" s="29"/>
    </row>
    <row r="5000" spans="114:114">
      <c r="DJ5000" s="29"/>
    </row>
    <row r="5001" spans="114:114">
      <c r="DJ5001" s="29"/>
    </row>
    <row r="5002" spans="114:114">
      <c r="DJ5002" s="29"/>
    </row>
    <row r="5003" spans="114:114">
      <c r="DJ5003" s="29"/>
    </row>
    <row r="5004" spans="114:114">
      <c r="DJ5004" s="29"/>
    </row>
    <row r="5005" spans="114:114">
      <c r="DJ5005" s="29"/>
    </row>
    <row r="5006" spans="114:114">
      <c r="DJ5006" s="29"/>
    </row>
    <row r="5007" spans="114:114">
      <c r="DJ5007" s="29"/>
    </row>
    <row r="5008" spans="114:114">
      <c r="DJ5008" s="29"/>
    </row>
    <row r="5009" spans="114:114">
      <c r="DJ5009" s="29"/>
    </row>
    <row r="5010" spans="114:114">
      <c r="DJ5010" s="29"/>
    </row>
    <row r="5011" spans="114:114">
      <c r="DJ5011" s="29"/>
    </row>
    <row r="5012" spans="114:114">
      <c r="DJ5012" s="29"/>
    </row>
    <row r="5013" spans="114:114">
      <c r="DJ5013" s="29"/>
    </row>
    <row r="5014" spans="114:114">
      <c r="DJ5014" s="29"/>
    </row>
    <row r="5015" spans="114:114">
      <c r="DJ5015" s="29"/>
    </row>
    <row r="5016" spans="114:114">
      <c r="DJ5016" s="29"/>
    </row>
    <row r="5017" spans="114:114">
      <c r="DJ5017" s="29"/>
    </row>
    <row r="5018" spans="114:114">
      <c r="DJ5018" s="29"/>
    </row>
    <row r="5019" spans="114:114">
      <c r="DJ5019" s="29"/>
    </row>
    <row r="5020" spans="114:114">
      <c r="DJ5020" s="29"/>
    </row>
    <row r="5021" spans="114:114">
      <c r="DJ5021" s="29"/>
    </row>
    <row r="5022" spans="114:114">
      <c r="DJ5022" s="29"/>
    </row>
    <row r="5023" spans="114:114">
      <c r="DJ5023" s="29"/>
    </row>
    <row r="5024" spans="114:114">
      <c r="DJ5024" s="29"/>
    </row>
    <row r="5025" spans="114:114">
      <c r="DJ5025" s="29"/>
    </row>
    <row r="5026" spans="114:114">
      <c r="DJ5026" s="29"/>
    </row>
    <row r="5027" spans="114:114">
      <c r="DJ5027" s="29"/>
    </row>
    <row r="5028" spans="114:114">
      <c r="DJ5028" s="29"/>
    </row>
    <row r="5029" spans="114:114">
      <c r="DJ5029" s="29"/>
    </row>
    <row r="5030" spans="114:114">
      <c r="DJ5030" s="29"/>
    </row>
    <row r="5031" spans="114:114">
      <c r="DJ5031" s="29"/>
    </row>
    <row r="5032" spans="114:114">
      <c r="DJ5032" s="29"/>
    </row>
    <row r="5033" spans="114:114">
      <c r="DJ5033" s="29"/>
    </row>
    <row r="5034" spans="114:114">
      <c r="DJ5034" s="29"/>
    </row>
    <row r="5035" spans="114:114">
      <c r="DJ5035" s="29"/>
    </row>
    <row r="5036" spans="114:114">
      <c r="DJ5036" s="29"/>
    </row>
    <row r="5037" spans="114:114">
      <c r="DJ5037" s="29"/>
    </row>
    <row r="5038" spans="114:114">
      <c r="DJ5038" s="29"/>
    </row>
    <row r="5039" spans="114:114">
      <c r="DJ5039" s="29"/>
    </row>
    <row r="5040" spans="114:114">
      <c r="DJ5040" s="29"/>
    </row>
    <row r="5041" spans="114:114">
      <c r="DJ5041" s="29"/>
    </row>
    <row r="5042" spans="114:114">
      <c r="DJ5042" s="29"/>
    </row>
    <row r="5043" spans="114:114">
      <c r="DJ5043" s="29"/>
    </row>
    <row r="5044" spans="114:114">
      <c r="DJ5044" s="29"/>
    </row>
    <row r="5045" spans="114:114">
      <c r="DJ5045" s="29"/>
    </row>
    <row r="5046" spans="114:114">
      <c r="DJ5046" s="29"/>
    </row>
    <row r="5047" spans="114:114">
      <c r="DJ5047" s="29"/>
    </row>
    <row r="5048" spans="114:114">
      <c r="DJ5048" s="29"/>
    </row>
    <row r="5049" spans="114:114">
      <c r="DJ5049" s="29"/>
    </row>
    <row r="5050" spans="114:114">
      <c r="DJ5050" s="29"/>
    </row>
    <row r="5051" spans="114:114">
      <c r="DJ5051" s="29"/>
    </row>
    <row r="5052" spans="114:114">
      <c r="DJ5052" s="29"/>
    </row>
    <row r="5053" spans="114:114">
      <c r="DJ5053" s="29"/>
    </row>
    <row r="5054" spans="114:114">
      <c r="DJ5054" s="29"/>
    </row>
    <row r="5055" spans="114:114">
      <c r="DJ5055" s="29"/>
    </row>
    <row r="5056" spans="114:114">
      <c r="DJ5056" s="29"/>
    </row>
    <row r="5057" spans="114:114">
      <c r="DJ5057" s="29"/>
    </row>
    <row r="5058" spans="114:114">
      <c r="DJ5058" s="29"/>
    </row>
    <row r="5059" spans="114:114">
      <c r="DJ5059" s="29"/>
    </row>
    <row r="5060" spans="114:114">
      <c r="DJ5060" s="29"/>
    </row>
    <row r="5061" spans="114:114">
      <c r="DJ5061" s="29"/>
    </row>
    <row r="5062" spans="114:114">
      <c r="DJ5062" s="29"/>
    </row>
    <row r="5063" spans="114:114">
      <c r="DJ5063" s="29"/>
    </row>
    <row r="5064" spans="114:114">
      <c r="DJ5064" s="29"/>
    </row>
    <row r="5065" spans="114:114">
      <c r="DJ5065" s="29"/>
    </row>
    <row r="5066" spans="114:114">
      <c r="DJ5066" s="29"/>
    </row>
    <row r="5067" spans="114:114">
      <c r="DJ5067" s="29"/>
    </row>
    <row r="5068" spans="114:114">
      <c r="DJ5068" s="29"/>
    </row>
    <row r="5069" spans="114:114">
      <c r="DJ5069" s="29"/>
    </row>
    <row r="5070" spans="114:114">
      <c r="DJ5070" s="29"/>
    </row>
    <row r="5071" spans="114:114">
      <c r="DJ5071" s="29"/>
    </row>
    <row r="5072" spans="114:114">
      <c r="DJ5072" s="29"/>
    </row>
    <row r="5073" spans="114:114">
      <c r="DJ5073" s="29"/>
    </row>
    <row r="5074" spans="114:114">
      <c r="DJ5074" s="29"/>
    </row>
    <row r="5075" spans="114:114">
      <c r="DJ5075" s="29"/>
    </row>
    <row r="5076" spans="114:114">
      <c r="DJ5076" s="29"/>
    </row>
    <row r="5077" spans="114:114">
      <c r="DJ5077" s="29"/>
    </row>
    <row r="5078" spans="114:114">
      <c r="DJ5078" s="29"/>
    </row>
    <row r="5079" spans="114:114">
      <c r="DJ5079" s="29"/>
    </row>
    <row r="5080" spans="114:114">
      <c r="DJ5080" s="29"/>
    </row>
    <row r="5081" spans="114:114">
      <c r="DJ5081" s="29"/>
    </row>
    <row r="5082" spans="114:114">
      <c r="DJ5082" s="29"/>
    </row>
    <row r="5083" spans="114:114">
      <c r="DJ5083" s="29"/>
    </row>
    <row r="5084" spans="114:114">
      <c r="DJ5084" s="29"/>
    </row>
    <row r="5085" spans="114:114">
      <c r="DJ5085" s="29"/>
    </row>
    <row r="5086" spans="114:114">
      <c r="DJ5086" s="29"/>
    </row>
    <row r="5087" spans="114:114">
      <c r="DJ5087" s="29"/>
    </row>
    <row r="5088" spans="114:114">
      <c r="DJ5088" s="29"/>
    </row>
    <row r="5089" spans="114:114">
      <c r="DJ5089" s="29"/>
    </row>
    <row r="5090" spans="114:114">
      <c r="DJ5090" s="29"/>
    </row>
    <row r="5091" spans="114:114">
      <c r="DJ5091" s="29"/>
    </row>
    <row r="5092" spans="114:114">
      <c r="DJ5092" s="29"/>
    </row>
    <row r="5093" spans="114:114">
      <c r="DJ5093" s="29"/>
    </row>
    <row r="5094" spans="114:114">
      <c r="DJ5094" s="29"/>
    </row>
    <row r="5095" spans="114:114">
      <c r="DJ5095" s="29"/>
    </row>
    <row r="5096" spans="114:114">
      <c r="DJ5096" s="29"/>
    </row>
    <row r="5097" spans="114:114">
      <c r="DJ5097" s="29"/>
    </row>
    <row r="5098" spans="114:114">
      <c r="DJ5098" s="29"/>
    </row>
    <row r="5099" spans="114:114">
      <c r="DJ5099" s="29"/>
    </row>
    <row r="5100" spans="114:114">
      <c r="DJ5100" s="29"/>
    </row>
    <row r="5101" spans="114:114">
      <c r="DJ5101" s="29"/>
    </row>
    <row r="5102" spans="114:114">
      <c r="DJ5102" s="29"/>
    </row>
    <row r="5103" spans="114:114">
      <c r="DJ5103" s="29"/>
    </row>
    <row r="5104" spans="114:114">
      <c r="DJ5104" s="29"/>
    </row>
    <row r="5105" spans="114:114">
      <c r="DJ5105" s="29"/>
    </row>
    <row r="5106" spans="114:114">
      <c r="DJ5106" s="29"/>
    </row>
    <row r="5107" spans="114:114">
      <c r="DJ5107" s="29"/>
    </row>
    <row r="5108" spans="114:114">
      <c r="DJ5108" s="29"/>
    </row>
    <row r="5109" spans="114:114">
      <c r="DJ5109" s="29"/>
    </row>
    <row r="5110" spans="114:114">
      <c r="DJ5110" s="29"/>
    </row>
    <row r="5111" spans="114:114">
      <c r="DJ5111" s="29"/>
    </row>
    <row r="5112" spans="114:114">
      <c r="DJ5112" s="29"/>
    </row>
    <row r="5113" spans="114:114">
      <c r="DJ5113" s="29"/>
    </row>
    <row r="5114" spans="114:114">
      <c r="DJ5114" s="29"/>
    </row>
    <row r="5115" spans="114:114">
      <c r="DJ5115" s="29"/>
    </row>
    <row r="5116" spans="114:114">
      <c r="DJ5116" s="29"/>
    </row>
    <row r="5117" spans="114:114">
      <c r="DJ5117" s="29"/>
    </row>
    <row r="5118" spans="114:114">
      <c r="DJ5118" s="29"/>
    </row>
    <row r="5119" spans="114:114">
      <c r="DJ5119" s="29"/>
    </row>
    <row r="5120" spans="114:114">
      <c r="DJ5120" s="29"/>
    </row>
    <row r="5121" spans="114:114">
      <c r="DJ5121" s="29"/>
    </row>
    <row r="5122" spans="114:114">
      <c r="DJ5122" s="29"/>
    </row>
    <row r="5123" spans="114:114">
      <c r="DJ5123" s="29"/>
    </row>
    <row r="5124" spans="114:114">
      <c r="DJ5124" s="29"/>
    </row>
    <row r="5125" spans="114:114">
      <c r="DJ5125" s="29"/>
    </row>
    <row r="5126" spans="114:114">
      <c r="DJ5126" s="29"/>
    </row>
    <row r="5127" spans="114:114">
      <c r="DJ5127" s="29"/>
    </row>
    <row r="5128" spans="114:114">
      <c r="DJ5128" s="29"/>
    </row>
    <row r="5129" spans="114:114">
      <c r="DJ5129" s="29"/>
    </row>
    <row r="5130" spans="114:114">
      <c r="DJ5130" s="29"/>
    </row>
    <row r="5131" spans="114:114">
      <c r="DJ5131" s="29"/>
    </row>
    <row r="5132" spans="114:114">
      <c r="DJ5132" s="29"/>
    </row>
    <row r="5133" spans="114:114">
      <c r="DJ5133" s="29"/>
    </row>
    <row r="5134" spans="114:114">
      <c r="DJ5134" s="29"/>
    </row>
    <row r="5135" spans="114:114">
      <c r="DJ5135" s="29"/>
    </row>
    <row r="5136" spans="114:114">
      <c r="DJ5136" s="29"/>
    </row>
    <row r="5137" spans="114:114">
      <c r="DJ5137" s="29"/>
    </row>
    <row r="5138" spans="114:114">
      <c r="DJ5138" s="29"/>
    </row>
    <row r="5139" spans="114:114">
      <c r="DJ5139" s="29"/>
    </row>
    <row r="5140" spans="114:114">
      <c r="DJ5140" s="29"/>
    </row>
    <row r="5141" spans="114:114">
      <c r="DJ5141" s="29"/>
    </row>
    <row r="5142" spans="114:114">
      <c r="DJ5142" s="29"/>
    </row>
    <row r="5143" spans="114:114">
      <c r="DJ5143" s="29"/>
    </row>
    <row r="5144" spans="114:114">
      <c r="DJ5144" s="29"/>
    </row>
    <row r="5145" spans="114:114">
      <c r="DJ5145" s="29"/>
    </row>
    <row r="5146" spans="114:114">
      <c r="DJ5146" s="29"/>
    </row>
    <row r="5147" spans="114:114">
      <c r="DJ5147" s="29"/>
    </row>
    <row r="5148" spans="114:114">
      <c r="DJ5148" s="29"/>
    </row>
    <row r="5149" spans="114:114">
      <c r="DJ5149" s="29"/>
    </row>
    <row r="5150" spans="114:114">
      <c r="DJ5150" s="29"/>
    </row>
    <row r="5151" spans="114:114">
      <c r="DJ5151" s="29"/>
    </row>
    <row r="5152" spans="114:114">
      <c r="DJ5152" s="29"/>
    </row>
    <row r="5153" spans="114:114">
      <c r="DJ5153" s="29"/>
    </row>
    <row r="5154" spans="114:114">
      <c r="DJ5154" s="29"/>
    </row>
    <row r="5155" spans="114:114">
      <c r="DJ5155" s="29"/>
    </row>
    <row r="5156" spans="114:114">
      <c r="DJ5156" s="29"/>
    </row>
    <row r="5157" spans="114:114">
      <c r="DJ5157" s="29"/>
    </row>
    <row r="5158" spans="114:114">
      <c r="DJ5158" s="29"/>
    </row>
    <row r="5159" spans="114:114">
      <c r="DJ5159" s="29"/>
    </row>
    <row r="5160" spans="114:114">
      <c r="DJ5160" s="29"/>
    </row>
    <row r="5161" spans="114:114">
      <c r="DJ5161" s="29"/>
    </row>
    <row r="5162" spans="114:114">
      <c r="DJ5162" s="29"/>
    </row>
    <row r="5163" spans="114:114">
      <c r="DJ5163" s="29"/>
    </row>
    <row r="5164" spans="114:114">
      <c r="DJ5164" s="29"/>
    </row>
    <row r="5165" spans="114:114">
      <c r="DJ5165" s="29"/>
    </row>
    <row r="5166" spans="114:114">
      <c r="DJ5166" s="29"/>
    </row>
    <row r="5167" spans="114:114">
      <c r="DJ5167" s="29"/>
    </row>
    <row r="5168" spans="114:114">
      <c r="DJ5168" s="29"/>
    </row>
    <row r="5169" spans="114:114">
      <c r="DJ5169" s="29"/>
    </row>
    <row r="5170" spans="114:114">
      <c r="DJ5170" s="29"/>
    </row>
    <row r="5171" spans="114:114">
      <c r="DJ5171" s="29"/>
    </row>
    <row r="5172" spans="114:114">
      <c r="DJ5172" s="29"/>
    </row>
    <row r="5173" spans="114:114">
      <c r="DJ5173" s="29"/>
    </row>
    <row r="5174" spans="114:114">
      <c r="DJ5174" s="29"/>
    </row>
    <row r="5175" spans="114:114">
      <c r="DJ5175" s="29"/>
    </row>
    <row r="5176" spans="114:114">
      <c r="DJ5176" s="29"/>
    </row>
    <row r="5177" spans="114:114">
      <c r="DJ5177" s="29"/>
    </row>
    <row r="5178" spans="114:114">
      <c r="DJ5178" s="29"/>
    </row>
    <row r="5179" spans="114:114">
      <c r="DJ5179" s="29"/>
    </row>
    <row r="5180" spans="114:114">
      <c r="DJ5180" s="29"/>
    </row>
    <row r="5181" spans="114:114">
      <c r="DJ5181" s="29"/>
    </row>
    <row r="5182" spans="114:114">
      <c r="DJ5182" s="29"/>
    </row>
    <row r="5183" spans="114:114">
      <c r="DJ5183" s="29"/>
    </row>
    <row r="5184" spans="114:114">
      <c r="DJ5184" s="29"/>
    </row>
    <row r="5185" spans="114:114">
      <c r="DJ5185" s="29"/>
    </row>
    <row r="5186" spans="114:114">
      <c r="DJ5186" s="29"/>
    </row>
    <row r="5187" spans="114:114">
      <c r="DJ5187" s="29"/>
    </row>
    <row r="5188" spans="114:114">
      <c r="DJ5188" s="29"/>
    </row>
    <row r="5189" spans="114:114">
      <c r="DJ5189" s="29"/>
    </row>
    <row r="5190" spans="114:114">
      <c r="DJ5190" s="29"/>
    </row>
    <row r="5191" spans="114:114">
      <c r="DJ5191" s="29"/>
    </row>
    <row r="5192" spans="114:114">
      <c r="DJ5192" s="29"/>
    </row>
    <row r="5193" spans="114:114">
      <c r="DJ5193" s="29"/>
    </row>
    <row r="5194" spans="114:114">
      <c r="DJ5194" s="29"/>
    </row>
    <row r="5195" spans="114:114">
      <c r="DJ5195" s="29"/>
    </row>
    <row r="5196" spans="114:114">
      <c r="DJ5196" s="29"/>
    </row>
    <row r="5197" spans="114:114">
      <c r="DJ5197" s="29"/>
    </row>
    <row r="5198" spans="114:114">
      <c r="DJ5198" s="29"/>
    </row>
    <row r="5199" spans="114:114">
      <c r="DJ5199" s="29"/>
    </row>
    <row r="5200" spans="114:114">
      <c r="DJ5200" s="29"/>
    </row>
    <row r="5201" spans="114:114">
      <c r="DJ5201" s="29"/>
    </row>
    <row r="5202" spans="114:114">
      <c r="DJ5202" s="29"/>
    </row>
    <row r="5203" spans="114:114">
      <c r="DJ5203" s="29"/>
    </row>
    <row r="5204" spans="114:114">
      <c r="DJ5204" s="29"/>
    </row>
    <row r="5205" spans="114:114">
      <c r="DJ5205" s="29"/>
    </row>
    <row r="5206" spans="114:114">
      <c r="DJ5206" s="29"/>
    </row>
    <row r="5207" spans="114:114">
      <c r="DJ5207" s="29"/>
    </row>
    <row r="5208" spans="114:114">
      <c r="DJ5208" s="29"/>
    </row>
    <row r="5209" spans="114:114">
      <c r="DJ5209" s="29"/>
    </row>
    <row r="5210" spans="114:114">
      <c r="DJ5210" s="29"/>
    </row>
    <row r="5211" spans="114:114">
      <c r="DJ5211" s="29"/>
    </row>
    <row r="5212" spans="114:114">
      <c r="DJ5212" s="29"/>
    </row>
    <row r="5213" spans="114:114">
      <c r="DJ5213" s="29"/>
    </row>
    <row r="5214" spans="114:114">
      <c r="DJ5214" s="29"/>
    </row>
    <row r="5215" spans="114:114">
      <c r="DJ5215" s="29"/>
    </row>
    <row r="5216" spans="114:114">
      <c r="DJ5216" s="29"/>
    </row>
    <row r="5217" spans="114:114">
      <c r="DJ5217" s="29"/>
    </row>
    <row r="5218" spans="114:114">
      <c r="DJ5218" s="29"/>
    </row>
    <row r="5219" spans="114:114">
      <c r="DJ5219" s="29"/>
    </row>
    <row r="5220" spans="114:114">
      <c r="DJ5220" s="29"/>
    </row>
    <row r="5221" spans="114:114">
      <c r="DJ5221" s="29"/>
    </row>
    <row r="5222" spans="114:114">
      <c r="DJ5222" s="29"/>
    </row>
    <row r="5223" spans="114:114">
      <c r="DJ5223" s="29"/>
    </row>
    <row r="5224" spans="114:114">
      <c r="DJ5224" s="29"/>
    </row>
    <row r="5225" spans="114:114">
      <c r="DJ5225" s="29"/>
    </row>
    <row r="5226" spans="114:114">
      <c r="DJ5226" s="29"/>
    </row>
    <row r="5227" spans="114:114">
      <c r="DJ5227" s="29"/>
    </row>
    <row r="5228" spans="114:114">
      <c r="DJ5228" s="29"/>
    </row>
    <row r="5229" spans="114:114">
      <c r="DJ5229" s="29"/>
    </row>
    <row r="5230" spans="114:114">
      <c r="DJ5230" s="29"/>
    </row>
    <row r="5231" spans="114:114">
      <c r="DJ5231" s="29"/>
    </row>
    <row r="5232" spans="114:114">
      <c r="DJ5232" s="29"/>
    </row>
    <row r="5233" spans="114:114">
      <c r="DJ5233" s="29"/>
    </row>
    <row r="5234" spans="114:114">
      <c r="DJ5234" s="29"/>
    </row>
    <row r="5235" spans="114:114">
      <c r="DJ5235" s="29"/>
    </row>
    <row r="5236" spans="114:114">
      <c r="DJ5236" s="29"/>
    </row>
    <row r="5237" spans="114:114">
      <c r="DJ5237" s="29"/>
    </row>
    <row r="5238" spans="114:114">
      <c r="DJ5238" s="29"/>
    </row>
    <row r="5239" spans="114:114">
      <c r="DJ5239" s="29"/>
    </row>
    <row r="5240" spans="114:114">
      <c r="DJ5240" s="29"/>
    </row>
    <row r="5241" spans="114:114">
      <c r="DJ5241" s="29"/>
    </row>
    <row r="5242" spans="114:114">
      <c r="DJ5242" s="29"/>
    </row>
    <row r="5243" spans="114:114">
      <c r="DJ5243" s="29"/>
    </row>
    <row r="5244" spans="114:114">
      <c r="DJ5244" s="29"/>
    </row>
    <row r="5245" spans="114:114">
      <c r="DJ5245" s="29"/>
    </row>
    <row r="5246" spans="114:114">
      <c r="DJ5246" s="29"/>
    </row>
    <row r="5247" spans="114:114">
      <c r="DJ5247" s="29"/>
    </row>
    <row r="5248" spans="114:114">
      <c r="DJ5248" s="29"/>
    </row>
    <row r="5249" spans="114:114">
      <c r="DJ5249" s="29"/>
    </row>
    <row r="5250" spans="114:114">
      <c r="DJ5250" s="29"/>
    </row>
    <row r="5251" spans="114:114">
      <c r="DJ5251" s="29"/>
    </row>
    <row r="5252" spans="114:114">
      <c r="DJ5252" s="29"/>
    </row>
    <row r="5253" spans="114:114">
      <c r="DJ5253" s="29"/>
    </row>
    <row r="5254" spans="114:114">
      <c r="DJ5254" s="29"/>
    </row>
    <row r="5255" spans="114:114">
      <c r="DJ5255" s="29"/>
    </row>
    <row r="5256" spans="114:114">
      <c r="DJ5256" s="29"/>
    </row>
    <row r="5257" spans="114:114">
      <c r="DJ5257" s="29"/>
    </row>
    <row r="5258" spans="114:114">
      <c r="DJ5258" s="29"/>
    </row>
    <row r="5259" spans="114:114">
      <c r="DJ5259" s="29"/>
    </row>
    <row r="5260" spans="114:114">
      <c r="DJ5260" s="29"/>
    </row>
    <row r="5261" spans="114:114">
      <c r="DJ5261" s="29"/>
    </row>
    <row r="5262" spans="114:114">
      <c r="DJ5262" s="29"/>
    </row>
    <row r="5263" spans="114:114">
      <c r="DJ5263" s="29"/>
    </row>
    <row r="5264" spans="114:114">
      <c r="DJ5264" s="29"/>
    </row>
    <row r="5265" spans="114:114">
      <c r="DJ5265" s="29"/>
    </row>
    <row r="5266" spans="114:114">
      <c r="DJ5266" s="29"/>
    </row>
    <row r="5267" spans="114:114">
      <c r="DJ5267" s="29"/>
    </row>
    <row r="5268" spans="114:114">
      <c r="DJ5268" s="29"/>
    </row>
    <row r="5269" spans="114:114">
      <c r="DJ5269" s="29"/>
    </row>
    <row r="5270" spans="114:114">
      <c r="DJ5270" s="29"/>
    </row>
    <row r="5271" spans="114:114">
      <c r="DJ5271" s="29"/>
    </row>
    <row r="5272" spans="114:114">
      <c r="DJ5272" s="29"/>
    </row>
    <row r="5273" spans="114:114">
      <c r="DJ5273" s="29"/>
    </row>
    <row r="5274" spans="114:114">
      <c r="DJ5274" s="29"/>
    </row>
    <row r="5275" spans="114:114">
      <c r="DJ5275" s="29"/>
    </row>
    <row r="5276" spans="114:114">
      <c r="DJ5276" s="29"/>
    </row>
    <row r="5277" spans="114:114">
      <c r="DJ5277" s="29"/>
    </row>
    <row r="5278" spans="114:114">
      <c r="DJ5278" s="29"/>
    </row>
    <row r="5279" spans="114:114">
      <c r="DJ5279" s="29"/>
    </row>
    <row r="5280" spans="114:114">
      <c r="DJ5280" s="29"/>
    </row>
    <row r="5281" spans="114:114">
      <c r="DJ5281" s="29"/>
    </row>
    <row r="5282" spans="114:114">
      <c r="DJ5282" s="29"/>
    </row>
    <row r="5283" spans="114:114">
      <c r="DJ5283" s="29"/>
    </row>
    <row r="5284" spans="114:114">
      <c r="DJ5284" s="29"/>
    </row>
    <row r="5285" spans="114:114">
      <c r="DJ5285" s="29"/>
    </row>
    <row r="5286" spans="114:114">
      <c r="DJ5286" s="29"/>
    </row>
    <row r="5287" spans="114:114">
      <c r="DJ5287" s="29"/>
    </row>
    <row r="5288" spans="114:114">
      <c r="DJ5288" s="29"/>
    </row>
    <row r="5289" spans="114:114">
      <c r="DJ5289" s="29"/>
    </row>
    <row r="5290" spans="114:114">
      <c r="DJ5290" s="29"/>
    </row>
    <row r="5291" spans="114:114">
      <c r="DJ5291" s="29"/>
    </row>
    <row r="5292" spans="114:114">
      <c r="DJ5292" s="29"/>
    </row>
    <row r="5293" spans="114:114">
      <c r="DJ5293" s="29"/>
    </row>
    <row r="5294" spans="114:114">
      <c r="DJ5294" s="29"/>
    </row>
    <row r="5295" spans="114:114">
      <c r="DJ5295" s="29"/>
    </row>
    <row r="5296" spans="114:114">
      <c r="DJ5296" s="29"/>
    </row>
    <row r="5297" spans="114:114">
      <c r="DJ5297" s="29"/>
    </row>
    <row r="5298" spans="114:114">
      <c r="DJ5298" s="29"/>
    </row>
    <row r="5299" spans="114:114">
      <c r="DJ5299" s="29"/>
    </row>
    <row r="5300" spans="114:114">
      <c r="DJ5300" s="29"/>
    </row>
    <row r="5301" spans="114:114">
      <c r="DJ5301" s="29"/>
    </row>
    <row r="5302" spans="114:114">
      <c r="DJ5302" s="29"/>
    </row>
    <row r="5303" spans="114:114">
      <c r="DJ5303" s="29"/>
    </row>
    <row r="5304" spans="114:114">
      <c r="DJ5304" s="29"/>
    </row>
    <row r="5305" spans="114:114">
      <c r="DJ5305" s="29"/>
    </row>
    <row r="5306" spans="114:114">
      <c r="DJ5306" s="29"/>
    </row>
    <row r="5307" spans="114:114">
      <c r="DJ5307" s="29"/>
    </row>
    <row r="5308" spans="114:114">
      <c r="DJ5308" s="29"/>
    </row>
    <row r="5309" spans="114:114">
      <c r="DJ5309" s="29"/>
    </row>
    <row r="5310" spans="114:114">
      <c r="DJ5310" s="29"/>
    </row>
    <row r="5311" spans="114:114">
      <c r="DJ5311" s="29"/>
    </row>
    <row r="5312" spans="114:114">
      <c r="DJ5312" s="29"/>
    </row>
    <row r="5313" spans="114:114">
      <c r="DJ5313" s="29"/>
    </row>
    <row r="5314" spans="114:114">
      <c r="DJ5314" s="29"/>
    </row>
    <row r="5315" spans="114:114">
      <c r="DJ5315" s="29"/>
    </row>
    <row r="5316" spans="114:114">
      <c r="DJ5316" s="29"/>
    </row>
    <row r="5317" spans="114:114">
      <c r="DJ5317" s="29"/>
    </row>
    <row r="5318" spans="114:114">
      <c r="DJ5318" s="29"/>
    </row>
    <row r="5319" spans="114:114">
      <c r="DJ5319" s="29"/>
    </row>
    <row r="5320" spans="114:114">
      <c r="DJ5320" s="29"/>
    </row>
    <row r="5321" spans="114:114">
      <c r="DJ5321" s="29"/>
    </row>
    <row r="5322" spans="114:114">
      <c r="DJ5322" s="29"/>
    </row>
    <row r="5323" spans="114:114">
      <c r="DJ5323" s="29"/>
    </row>
    <row r="5324" spans="114:114">
      <c r="DJ5324" s="29"/>
    </row>
    <row r="5325" spans="114:114">
      <c r="DJ5325" s="29"/>
    </row>
    <row r="5326" spans="114:114">
      <c r="DJ5326" s="29"/>
    </row>
    <row r="5327" spans="114:114">
      <c r="DJ5327" s="29"/>
    </row>
    <row r="5328" spans="114:114">
      <c r="DJ5328" s="29"/>
    </row>
    <row r="5329" spans="114:114">
      <c r="DJ5329" s="29"/>
    </row>
    <row r="5330" spans="114:114">
      <c r="DJ5330" s="29"/>
    </row>
    <row r="5331" spans="114:114">
      <c r="DJ5331" s="29"/>
    </row>
    <row r="5332" spans="114:114">
      <c r="DJ5332" s="29"/>
    </row>
    <row r="5333" spans="114:114">
      <c r="DJ5333" s="29"/>
    </row>
    <row r="5334" spans="114:114">
      <c r="DJ5334" s="29"/>
    </row>
    <row r="5335" spans="114:114">
      <c r="DJ5335" s="29"/>
    </row>
    <row r="5336" spans="114:114">
      <c r="DJ5336" s="29"/>
    </row>
    <row r="5337" spans="114:114">
      <c r="DJ5337" s="29"/>
    </row>
    <row r="5338" spans="114:114">
      <c r="DJ5338" s="29"/>
    </row>
    <row r="5339" spans="114:114">
      <c r="DJ5339" s="29"/>
    </row>
    <row r="5340" spans="114:114">
      <c r="DJ5340" s="29"/>
    </row>
    <row r="5341" spans="114:114">
      <c r="DJ5341" s="29"/>
    </row>
    <row r="5342" spans="114:114">
      <c r="DJ5342" s="29"/>
    </row>
    <row r="5343" spans="114:114">
      <c r="DJ5343" s="29"/>
    </row>
    <row r="5344" spans="114:114">
      <c r="DJ5344" s="29"/>
    </row>
    <row r="5345" spans="114:114">
      <c r="DJ5345" s="29"/>
    </row>
    <row r="5346" spans="114:114">
      <c r="DJ5346" s="29"/>
    </row>
    <row r="5347" spans="114:114">
      <c r="DJ5347" s="29"/>
    </row>
    <row r="5348" spans="114:114">
      <c r="DJ5348" s="29"/>
    </row>
    <row r="5349" spans="114:114">
      <c r="DJ5349" s="29"/>
    </row>
    <row r="5350" spans="114:114">
      <c r="DJ5350" s="29"/>
    </row>
    <row r="5351" spans="114:114">
      <c r="DJ5351" s="29"/>
    </row>
    <row r="5352" spans="114:114">
      <c r="DJ5352" s="29"/>
    </row>
    <row r="5353" spans="114:114">
      <c r="DJ5353" s="29"/>
    </row>
    <row r="5354" spans="114:114">
      <c r="DJ5354" s="29"/>
    </row>
    <row r="5355" spans="114:114">
      <c r="DJ5355" s="29"/>
    </row>
    <row r="5356" spans="114:114">
      <c r="DJ5356" s="29"/>
    </row>
    <row r="5357" spans="114:114">
      <c r="DJ5357" s="29"/>
    </row>
    <row r="5358" spans="114:114">
      <c r="DJ5358" s="29"/>
    </row>
    <row r="5359" spans="114:114">
      <c r="DJ5359" s="29"/>
    </row>
    <row r="5360" spans="114:114">
      <c r="DJ5360" s="29"/>
    </row>
    <row r="5361" spans="114:114">
      <c r="DJ5361" s="29"/>
    </row>
    <row r="5362" spans="114:114">
      <c r="DJ5362" s="29"/>
    </row>
    <row r="5363" spans="114:114">
      <c r="DJ5363" s="29"/>
    </row>
    <row r="5364" spans="114:114">
      <c r="DJ5364" s="29"/>
    </row>
    <row r="5365" spans="114:114">
      <c r="DJ5365" s="29"/>
    </row>
    <row r="5366" spans="114:114">
      <c r="DJ5366" s="29"/>
    </row>
    <row r="5367" spans="114:114">
      <c r="DJ5367" s="29"/>
    </row>
    <row r="5368" spans="114:114">
      <c r="DJ5368" s="29"/>
    </row>
    <row r="5369" spans="114:114">
      <c r="DJ5369" s="29"/>
    </row>
    <row r="5370" spans="114:114">
      <c r="DJ5370" s="29"/>
    </row>
    <row r="5371" spans="114:114">
      <c r="DJ5371" s="29"/>
    </row>
    <row r="5372" spans="114:114">
      <c r="DJ5372" s="29"/>
    </row>
    <row r="5373" spans="114:114">
      <c r="DJ5373" s="29"/>
    </row>
    <row r="5374" spans="114:114">
      <c r="DJ5374" s="29"/>
    </row>
    <row r="5375" spans="114:114">
      <c r="DJ5375" s="29"/>
    </row>
    <row r="5376" spans="114:114">
      <c r="DJ5376" s="29"/>
    </row>
    <row r="5377" spans="114:114">
      <c r="DJ5377" s="29"/>
    </row>
    <row r="5378" spans="114:114">
      <c r="DJ5378" s="29"/>
    </row>
    <row r="5379" spans="114:114">
      <c r="DJ5379" s="29"/>
    </row>
    <row r="5380" spans="114:114">
      <c r="DJ5380" s="29"/>
    </row>
    <row r="5381" spans="114:114">
      <c r="DJ5381" s="29"/>
    </row>
    <row r="5382" spans="114:114">
      <c r="DJ5382" s="29"/>
    </row>
    <row r="5383" spans="114:114">
      <c r="DJ5383" s="29"/>
    </row>
    <row r="5384" spans="114:114">
      <c r="DJ5384" s="29"/>
    </row>
    <row r="5385" spans="114:114">
      <c r="DJ5385" s="29"/>
    </row>
    <row r="5386" spans="114:114">
      <c r="DJ5386" s="29"/>
    </row>
    <row r="5387" spans="114:114">
      <c r="DJ5387" s="29"/>
    </row>
    <row r="5388" spans="114:114">
      <c r="DJ5388" s="29"/>
    </row>
    <row r="5389" spans="114:114">
      <c r="DJ5389" s="29"/>
    </row>
    <row r="5390" spans="114:114">
      <c r="DJ5390" s="29"/>
    </row>
    <row r="5391" spans="114:114">
      <c r="DJ5391" s="29"/>
    </row>
    <row r="5392" spans="114:114">
      <c r="DJ5392" s="29"/>
    </row>
    <row r="5393" spans="114:114">
      <c r="DJ5393" s="29"/>
    </row>
    <row r="5394" spans="114:114">
      <c r="DJ5394" s="29"/>
    </row>
    <row r="5395" spans="114:114">
      <c r="DJ5395" s="29"/>
    </row>
    <row r="5396" spans="114:114">
      <c r="DJ5396" s="29"/>
    </row>
    <row r="5397" spans="114:114">
      <c r="DJ5397" s="29"/>
    </row>
    <row r="5398" spans="114:114">
      <c r="DJ5398" s="29"/>
    </row>
    <row r="5399" spans="114:114">
      <c r="DJ5399" s="29"/>
    </row>
    <row r="5400" spans="114:114">
      <c r="DJ5400" s="29"/>
    </row>
    <row r="5401" spans="114:114">
      <c r="DJ5401" s="29"/>
    </row>
    <row r="5402" spans="114:114">
      <c r="DJ5402" s="29"/>
    </row>
    <row r="5403" spans="114:114">
      <c r="DJ5403" s="29"/>
    </row>
    <row r="5404" spans="114:114">
      <c r="DJ5404" s="29"/>
    </row>
    <row r="5405" spans="114:114">
      <c r="DJ5405" s="29"/>
    </row>
    <row r="5406" spans="114:114">
      <c r="DJ5406" s="29"/>
    </row>
    <row r="5407" spans="114:114">
      <c r="DJ5407" s="29"/>
    </row>
    <row r="5408" spans="114:114">
      <c r="DJ5408" s="29"/>
    </row>
    <row r="5409" spans="114:114">
      <c r="DJ5409" s="29"/>
    </row>
    <row r="5410" spans="114:114">
      <c r="DJ5410" s="29"/>
    </row>
    <row r="5411" spans="114:114">
      <c r="DJ5411" s="29"/>
    </row>
    <row r="5412" spans="114:114">
      <c r="DJ5412" s="29"/>
    </row>
    <row r="5413" spans="114:114">
      <c r="DJ5413" s="29"/>
    </row>
    <row r="5414" spans="114:114">
      <c r="DJ5414" s="29"/>
    </row>
    <row r="5415" spans="114:114">
      <c r="DJ5415" s="29"/>
    </row>
    <row r="5416" spans="114:114">
      <c r="DJ5416" s="29"/>
    </row>
    <row r="5417" spans="114:114">
      <c r="DJ5417" s="29"/>
    </row>
    <row r="5418" spans="114:114">
      <c r="DJ5418" s="29"/>
    </row>
    <row r="5419" spans="114:114">
      <c r="DJ5419" s="29"/>
    </row>
    <row r="5420" spans="114:114">
      <c r="DJ5420" s="29"/>
    </row>
    <row r="5421" spans="114:114">
      <c r="DJ5421" s="29"/>
    </row>
    <row r="5422" spans="114:114">
      <c r="DJ5422" s="29"/>
    </row>
    <row r="5423" spans="114:114">
      <c r="DJ5423" s="29"/>
    </row>
    <row r="5424" spans="114:114">
      <c r="DJ5424" s="29"/>
    </row>
    <row r="5425" spans="114:114">
      <c r="DJ5425" s="29"/>
    </row>
    <row r="5426" spans="114:114">
      <c r="DJ5426" s="29"/>
    </row>
    <row r="5427" spans="114:114">
      <c r="DJ5427" s="29"/>
    </row>
    <row r="5428" spans="114:114">
      <c r="DJ5428" s="29"/>
    </row>
    <row r="5429" spans="114:114">
      <c r="DJ5429" s="29"/>
    </row>
    <row r="5430" spans="114:114">
      <c r="DJ5430" s="29"/>
    </row>
    <row r="5431" spans="114:114">
      <c r="DJ5431" s="29"/>
    </row>
    <row r="5432" spans="114:114">
      <c r="DJ5432" s="29"/>
    </row>
    <row r="5433" spans="114:114">
      <c r="DJ5433" s="29"/>
    </row>
    <row r="5434" spans="114:114">
      <c r="DJ5434" s="29"/>
    </row>
    <row r="5435" spans="114:114">
      <c r="DJ5435" s="29"/>
    </row>
    <row r="5436" spans="114:114">
      <c r="DJ5436" s="29"/>
    </row>
    <row r="5437" spans="114:114">
      <c r="DJ5437" s="29"/>
    </row>
    <row r="5438" spans="114:114">
      <c r="DJ5438" s="29"/>
    </row>
    <row r="5439" spans="114:114">
      <c r="DJ5439" s="29"/>
    </row>
    <row r="5440" spans="114:114">
      <c r="DJ5440" s="29"/>
    </row>
    <row r="5441" spans="114:114">
      <c r="DJ5441" s="29"/>
    </row>
    <row r="5442" spans="114:114">
      <c r="DJ5442" s="29"/>
    </row>
    <row r="5443" spans="114:114">
      <c r="DJ5443" s="29"/>
    </row>
    <row r="5444" spans="114:114">
      <c r="DJ5444" s="29"/>
    </row>
    <row r="5445" spans="114:114">
      <c r="DJ5445" s="29"/>
    </row>
    <row r="5446" spans="114:114">
      <c r="DJ5446" s="29"/>
    </row>
    <row r="5447" spans="114:114">
      <c r="DJ5447" s="29"/>
    </row>
    <row r="5448" spans="114:114">
      <c r="DJ5448" s="29"/>
    </row>
    <row r="5449" spans="114:114">
      <c r="DJ5449" s="29"/>
    </row>
    <row r="5450" spans="114:114">
      <c r="DJ5450" s="29"/>
    </row>
    <row r="5451" spans="114:114">
      <c r="DJ5451" s="29"/>
    </row>
    <row r="5452" spans="114:114">
      <c r="DJ5452" s="29"/>
    </row>
    <row r="5453" spans="114:114">
      <c r="DJ5453" s="29"/>
    </row>
    <row r="5454" spans="114:114">
      <c r="DJ5454" s="29"/>
    </row>
    <row r="5455" spans="114:114">
      <c r="DJ5455" s="29"/>
    </row>
    <row r="5456" spans="114:114">
      <c r="DJ5456" s="29"/>
    </row>
    <row r="5457" spans="114:114">
      <c r="DJ5457" s="29"/>
    </row>
    <row r="5458" spans="114:114">
      <c r="DJ5458" s="29"/>
    </row>
    <row r="5459" spans="114:114">
      <c r="DJ5459" s="29"/>
    </row>
    <row r="5460" spans="114:114">
      <c r="DJ5460" s="29"/>
    </row>
    <row r="5461" spans="114:114">
      <c r="DJ5461" s="29"/>
    </row>
    <row r="5462" spans="114:114">
      <c r="DJ5462" s="29"/>
    </row>
    <row r="5463" spans="114:114">
      <c r="DJ5463" s="29"/>
    </row>
    <row r="5464" spans="114:114">
      <c r="DJ5464" s="29"/>
    </row>
    <row r="5465" spans="114:114">
      <c r="DJ5465" s="29"/>
    </row>
    <row r="5466" spans="114:114">
      <c r="DJ5466" s="29"/>
    </row>
    <row r="5467" spans="114:114">
      <c r="DJ5467" s="29"/>
    </row>
    <row r="5468" spans="114:114">
      <c r="DJ5468" s="29"/>
    </row>
    <row r="5469" spans="114:114">
      <c r="DJ5469" s="29"/>
    </row>
    <row r="5470" spans="114:114">
      <c r="DJ5470" s="29"/>
    </row>
    <row r="5471" spans="114:114">
      <c r="DJ5471" s="29"/>
    </row>
    <row r="5472" spans="114:114">
      <c r="DJ5472" s="29"/>
    </row>
    <row r="5473" spans="114:114">
      <c r="DJ5473" s="29"/>
    </row>
    <row r="5474" spans="114:114">
      <c r="DJ5474" s="29"/>
    </row>
    <row r="5475" spans="114:114">
      <c r="DJ5475" s="29"/>
    </row>
    <row r="5476" spans="114:114">
      <c r="DJ5476" s="29"/>
    </row>
    <row r="5477" spans="114:114">
      <c r="DJ5477" s="29"/>
    </row>
    <row r="5478" spans="114:114">
      <c r="DJ5478" s="29"/>
    </row>
    <row r="5479" spans="114:114">
      <c r="DJ5479" s="29"/>
    </row>
    <row r="5480" spans="114:114">
      <c r="DJ5480" s="29"/>
    </row>
    <row r="5481" spans="114:114">
      <c r="DJ5481" s="29"/>
    </row>
    <row r="5482" spans="114:114">
      <c r="DJ5482" s="29"/>
    </row>
    <row r="5483" spans="114:114">
      <c r="DJ5483" s="29"/>
    </row>
    <row r="5484" spans="114:114">
      <c r="DJ5484" s="29"/>
    </row>
    <row r="5485" spans="114:114">
      <c r="DJ5485" s="29"/>
    </row>
    <row r="5486" spans="114:114">
      <c r="DJ5486" s="29"/>
    </row>
    <row r="5487" spans="114:114">
      <c r="DJ5487" s="29"/>
    </row>
    <row r="5488" spans="114:114">
      <c r="DJ5488" s="29"/>
    </row>
    <row r="5489" spans="114:114">
      <c r="DJ5489" s="29"/>
    </row>
    <row r="5490" spans="114:114">
      <c r="DJ5490" s="29"/>
    </row>
    <row r="5491" spans="114:114">
      <c r="DJ5491" s="29"/>
    </row>
    <row r="5492" spans="114:114">
      <c r="DJ5492" s="29"/>
    </row>
    <row r="5493" spans="114:114">
      <c r="DJ5493" s="29"/>
    </row>
    <row r="5494" spans="114:114">
      <c r="DJ5494" s="29"/>
    </row>
    <row r="5495" spans="114:114">
      <c r="DJ5495" s="29"/>
    </row>
    <row r="5496" spans="114:114">
      <c r="DJ5496" s="29"/>
    </row>
    <row r="5497" spans="114:114">
      <c r="DJ5497" s="29"/>
    </row>
    <row r="5498" spans="114:114">
      <c r="DJ5498" s="29"/>
    </row>
    <row r="5499" spans="114:114">
      <c r="DJ5499" s="29"/>
    </row>
    <row r="5500" spans="114:114">
      <c r="DJ5500" s="29"/>
    </row>
    <row r="5501" spans="114:114">
      <c r="DJ5501" s="29"/>
    </row>
    <row r="5502" spans="114:114">
      <c r="DJ5502" s="29"/>
    </row>
    <row r="5503" spans="114:114">
      <c r="DJ5503" s="29"/>
    </row>
    <row r="5504" spans="114:114">
      <c r="DJ5504" s="29"/>
    </row>
    <row r="5505" spans="114:114">
      <c r="DJ5505" s="29"/>
    </row>
    <row r="5506" spans="114:114">
      <c r="DJ5506" s="29"/>
    </row>
    <row r="5507" spans="114:114">
      <c r="DJ5507" s="29"/>
    </row>
    <row r="5508" spans="114:114">
      <c r="DJ5508" s="29"/>
    </row>
    <row r="5509" spans="114:114">
      <c r="DJ5509" s="29"/>
    </row>
    <row r="5510" spans="114:114">
      <c r="DJ5510" s="29"/>
    </row>
    <row r="5511" spans="114:114">
      <c r="DJ5511" s="29"/>
    </row>
    <row r="5512" spans="114:114">
      <c r="DJ5512" s="29"/>
    </row>
    <row r="5513" spans="114:114">
      <c r="DJ5513" s="29"/>
    </row>
    <row r="5514" spans="114:114">
      <c r="DJ5514" s="29"/>
    </row>
    <row r="5515" spans="114:114">
      <c r="DJ5515" s="29"/>
    </row>
    <row r="5516" spans="114:114">
      <c r="DJ5516" s="29"/>
    </row>
    <row r="5517" spans="114:114">
      <c r="DJ5517" s="29"/>
    </row>
    <row r="5518" spans="114:114">
      <c r="DJ5518" s="29"/>
    </row>
    <row r="5519" spans="114:114">
      <c r="DJ5519" s="29"/>
    </row>
    <row r="5520" spans="114:114">
      <c r="DJ5520" s="29"/>
    </row>
    <row r="5521" spans="114:114">
      <c r="DJ5521" s="29"/>
    </row>
    <row r="5522" spans="114:114">
      <c r="DJ5522" s="29"/>
    </row>
    <row r="5523" spans="114:114">
      <c r="DJ5523" s="29"/>
    </row>
    <row r="5524" spans="114:114">
      <c r="DJ5524" s="29"/>
    </row>
    <row r="5525" spans="114:114">
      <c r="DJ5525" s="29"/>
    </row>
    <row r="5526" spans="114:114">
      <c r="DJ5526" s="29"/>
    </row>
    <row r="5527" spans="114:114">
      <c r="DJ5527" s="29"/>
    </row>
    <row r="5528" spans="114:114">
      <c r="DJ5528" s="29"/>
    </row>
    <row r="5529" spans="114:114">
      <c r="DJ5529" s="29"/>
    </row>
    <row r="5530" spans="114:114">
      <c r="DJ5530" s="29"/>
    </row>
    <row r="5531" spans="114:114">
      <c r="DJ5531" s="29"/>
    </row>
    <row r="5532" spans="114:114">
      <c r="DJ5532" s="29"/>
    </row>
    <row r="5533" spans="114:114">
      <c r="DJ5533" s="29"/>
    </row>
    <row r="5534" spans="114:114">
      <c r="DJ5534" s="29"/>
    </row>
    <row r="5535" spans="114:114">
      <c r="DJ5535" s="29"/>
    </row>
    <row r="5536" spans="114:114">
      <c r="DJ5536" s="29"/>
    </row>
    <row r="5537" spans="114:114">
      <c r="DJ5537" s="29"/>
    </row>
    <row r="5538" spans="114:114">
      <c r="DJ5538" s="29"/>
    </row>
    <row r="5539" spans="114:114">
      <c r="DJ5539" s="29"/>
    </row>
    <row r="5540" spans="114:114">
      <c r="DJ5540" s="29"/>
    </row>
    <row r="5541" spans="114:114">
      <c r="DJ5541" s="29"/>
    </row>
    <row r="5542" spans="114:114">
      <c r="DJ5542" s="29"/>
    </row>
    <row r="5543" spans="114:114">
      <c r="DJ5543" s="29"/>
    </row>
    <row r="5544" spans="114:114">
      <c r="DJ5544" s="29"/>
    </row>
    <row r="5545" spans="114:114">
      <c r="DJ5545" s="29"/>
    </row>
    <row r="5546" spans="114:114">
      <c r="DJ5546" s="29"/>
    </row>
    <row r="5547" spans="114:114">
      <c r="DJ5547" s="29"/>
    </row>
    <row r="5548" spans="114:114">
      <c r="DJ5548" s="29"/>
    </row>
    <row r="5549" spans="114:114">
      <c r="DJ5549" s="29"/>
    </row>
    <row r="5550" spans="114:114">
      <c r="DJ5550" s="29"/>
    </row>
    <row r="5551" spans="114:114">
      <c r="DJ5551" s="29"/>
    </row>
    <row r="5552" spans="114:114">
      <c r="DJ5552" s="29"/>
    </row>
    <row r="5553" spans="114:114">
      <c r="DJ5553" s="29"/>
    </row>
    <row r="5554" spans="114:114">
      <c r="DJ5554" s="29"/>
    </row>
    <row r="5555" spans="114:114">
      <c r="DJ5555" s="29"/>
    </row>
    <row r="5556" spans="114:114">
      <c r="DJ5556" s="29"/>
    </row>
    <row r="5557" spans="114:114">
      <c r="DJ5557" s="29"/>
    </row>
    <row r="5558" spans="114:114">
      <c r="DJ5558" s="29"/>
    </row>
    <row r="5559" spans="114:114">
      <c r="DJ5559" s="29"/>
    </row>
    <row r="5560" spans="114:114">
      <c r="DJ5560" s="29"/>
    </row>
    <row r="5561" spans="114:114">
      <c r="DJ5561" s="29"/>
    </row>
    <row r="5562" spans="114:114">
      <c r="DJ5562" s="29"/>
    </row>
    <row r="5563" spans="114:114">
      <c r="DJ5563" s="29"/>
    </row>
    <row r="5564" spans="114:114">
      <c r="DJ5564" s="29"/>
    </row>
    <row r="5565" spans="114:114">
      <c r="DJ5565" s="29"/>
    </row>
    <row r="5566" spans="114:114">
      <c r="DJ5566" s="29"/>
    </row>
    <row r="5567" spans="114:114">
      <c r="DJ5567" s="29"/>
    </row>
    <row r="5568" spans="114:114">
      <c r="DJ5568" s="29"/>
    </row>
    <row r="5569" spans="114:114">
      <c r="DJ5569" s="29"/>
    </row>
    <row r="5570" spans="114:114">
      <c r="DJ5570" s="29"/>
    </row>
    <row r="5571" spans="114:114">
      <c r="DJ5571" s="29"/>
    </row>
    <row r="5572" spans="114:114">
      <c r="DJ5572" s="29"/>
    </row>
    <row r="5573" spans="114:114">
      <c r="DJ5573" s="29"/>
    </row>
    <row r="5574" spans="114:114">
      <c r="DJ5574" s="29"/>
    </row>
    <row r="5575" spans="114:114">
      <c r="DJ5575" s="29"/>
    </row>
    <row r="5576" spans="114:114">
      <c r="DJ5576" s="29"/>
    </row>
    <row r="5577" spans="114:114">
      <c r="DJ5577" s="29"/>
    </row>
    <row r="5578" spans="114:114">
      <c r="DJ5578" s="29"/>
    </row>
    <row r="5579" spans="114:114">
      <c r="DJ5579" s="29"/>
    </row>
    <row r="5580" spans="114:114">
      <c r="DJ5580" s="29"/>
    </row>
    <row r="5581" spans="114:114">
      <c r="DJ5581" s="29"/>
    </row>
    <row r="5582" spans="114:114">
      <c r="DJ5582" s="29"/>
    </row>
    <row r="5583" spans="114:114">
      <c r="DJ5583" s="29"/>
    </row>
    <row r="5584" spans="114:114">
      <c r="DJ5584" s="29"/>
    </row>
    <row r="5585" spans="114:114">
      <c r="DJ5585" s="29"/>
    </row>
    <row r="5586" spans="114:114">
      <c r="DJ5586" s="29"/>
    </row>
    <row r="5587" spans="114:114">
      <c r="DJ5587" s="29"/>
    </row>
    <row r="5588" spans="114:114">
      <c r="DJ5588" s="29"/>
    </row>
    <row r="5589" spans="114:114">
      <c r="DJ5589" s="29"/>
    </row>
    <row r="5590" spans="114:114">
      <c r="DJ5590" s="29"/>
    </row>
    <row r="5591" spans="114:114">
      <c r="DJ5591" s="29"/>
    </row>
    <row r="5592" spans="114:114">
      <c r="DJ5592" s="29"/>
    </row>
    <row r="5593" spans="114:114">
      <c r="DJ5593" s="29"/>
    </row>
    <row r="5594" spans="114:114">
      <c r="DJ5594" s="29"/>
    </row>
    <row r="5595" spans="114:114">
      <c r="DJ5595" s="29"/>
    </row>
    <row r="5596" spans="114:114">
      <c r="DJ5596" s="29"/>
    </row>
    <row r="5597" spans="114:114">
      <c r="DJ5597" s="29"/>
    </row>
    <row r="5598" spans="114:114">
      <c r="DJ5598" s="29"/>
    </row>
    <row r="5599" spans="114:114">
      <c r="DJ5599" s="29"/>
    </row>
    <row r="5600" spans="114:114">
      <c r="DJ5600" s="29"/>
    </row>
    <row r="5601" spans="114:114">
      <c r="DJ5601" s="29"/>
    </row>
    <row r="5602" spans="114:114">
      <c r="DJ5602" s="29"/>
    </row>
    <row r="5603" spans="114:114">
      <c r="DJ5603" s="29"/>
    </row>
    <row r="5604" spans="114:114">
      <c r="DJ5604" s="29"/>
    </row>
    <row r="5605" spans="114:114">
      <c r="DJ5605" s="29"/>
    </row>
    <row r="5606" spans="114:114">
      <c r="DJ5606" s="29"/>
    </row>
    <row r="5607" spans="114:114">
      <c r="DJ5607" s="29"/>
    </row>
    <row r="5608" spans="114:114">
      <c r="DJ5608" s="29"/>
    </row>
    <row r="5609" spans="114:114">
      <c r="DJ5609" s="29"/>
    </row>
    <row r="5610" spans="114:114">
      <c r="DJ5610" s="29"/>
    </row>
    <row r="5611" spans="114:114">
      <c r="DJ5611" s="29"/>
    </row>
    <row r="5612" spans="114:114">
      <c r="DJ5612" s="29"/>
    </row>
    <row r="5613" spans="114:114">
      <c r="DJ5613" s="29"/>
    </row>
    <row r="5614" spans="114:114">
      <c r="DJ5614" s="29"/>
    </row>
    <row r="5615" spans="114:114">
      <c r="DJ5615" s="29"/>
    </row>
    <row r="5616" spans="114:114">
      <c r="DJ5616" s="29"/>
    </row>
    <row r="5617" spans="114:114">
      <c r="DJ5617" s="29"/>
    </row>
    <row r="5618" spans="114:114">
      <c r="DJ5618" s="29"/>
    </row>
    <row r="5619" spans="114:114">
      <c r="DJ5619" s="29"/>
    </row>
    <row r="5620" spans="114:114">
      <c r="DJ5620" s="29"/>
    </row>
    <row r="5621" spans="114:114">
      <c r="DJ5621" s="29"/>
    </row>
    <row r="5622" spans="114:114">
      <c r="DJ5622" s="29"/>
    </row>
    <row r="5623" spans="114:114">
      <c r="DJ5623" s="29"/>
    </row>
    <row r="5624" spans="114:114">
      <c r="DJ5624" s="29"/>
    </row>
    <row r="5625" spans="114:114">
      <c r="DJ5625" s="29"/>
    </row>
    <row r="5626" spans="114:114">
      <c r="DJ5626" s="29"/>
    </row>
    <row r="5627" spans="114:114">
      <c r="DJ5627" s="29"/>
    </row>
    <row r="5628" spans="114:114">
      <c r="DJ5628" s="29"/>
    </row>
    <row r="5629" spans="114:114">
      <c r="DJ5629" s="29"/>
    </row>
    <row r="5630" spans="114:114">
      <c r="DJ5630" s="29"/>
    </row>
    <row r="5631" spans="114:114">
      <c r="DJ5631" s="29"/>
    </row>
    <row r="5632" spans="114:114">
      <c r="DJ5632" s="29"/>
    </row>
    <row r="5633" spans="114:114">
      <c r="DJ5633" s="29"/>
    </row>
    <row r="5634" spans="114:114">
      <c r="DJ5634" s="29"/>
    </row>
    <row r="5635" spans="114:114">
      <c r="DJ5635" s="29"/>
    </row>
    <row r="5636" spans="114:114">
      <c r="DJ5636" s="29"/>
    </row>
    <row r="5637" spans="114:114">
      <c r="DJ5637" s="29"/>
    </row>
    <row r="5638" spans="114:114">
      <c r="DJ5638" s="29"/>
    </row>
    <row r="5639" spans="114:114">
      <c r="DJ5639" s="29"/>
    </row>
    <row r="5640" spans="114:114">
      <c r="DJ5640" s="29"/>
    </row>
    <row r="5641" spans="114:114">
      <c r="DJ5641" s="29"/>
    </row>
    <row r="5642" spans="114:114">
      <c r="DJ5642" s="29"/>
    </row>
    <row r="5643" spans="114:114">
      <c r="DJ5643" s="29"/>
    </row>
    <row r="5644" spans="114:114">
      <c r="DJ5644" s="29"/>
    </row>
    <row r="5645" spans="114:114">
      <c r="DJ5645" s="29"/>
    </row>
    <row r="5646" spans="114:114">
      <c r="DJ5646" s="29"/>
    </row>
    <row r="5647" spans="114:114">
      <c r="DJ5647" s="29"/>
    </row>
    <row r="5648" spans="114:114">
      <c r="DJ5648" s="29"/>
    </row>
    <row r="5649" spans="114:114">
      <c r="DJ5649" s="29"/>
    </row>
    <row r="5650" spans="114:114">
      <c r="DJ5650" s="29"/>
    </row>
    <row r="5651" spans="114:114">
      <c r="DJ5651" s="29"/>
    </row>
    <row r="5652" spans="114:114">
      <c r="DJ5652" s="29"/>
    </row>
    <row r="5653" spans="114:114">
      <c r="DJ5653" s="29"/>
    </row>
    <row r="5654" spans="114:114">
      <c r="DJ5654" s="29"/>
    </row>
    <row r="5655" spans="114:114">
      <c r="DJ5655" s="29"/>
    </row>
    <row r="5656" spans="114:114">
      <c r="DJ5656" s="29"/>
    </row>
    <row r="5657" spans="114:114">
      <c r="DJ5657" s="29"/>
    </row>
    <row r="5658" spans="114:114">
      <c r="DJ5658" s="29"/>
    </row>
    <row r="5659" spans="114:114">
      <c r="DJ5659" s="29"/>
    </row>
    <row r="5660" spans="114:114">
      <c r="DJ5660" s="29"/>
    </row>
    <row r="5661" spans="114:114">
      <c r="DJ5661" s="29"/>
    </row>
    <row r="5662" spans="114:114">
      <c r="DJ5662" s="29"/>
    </row>
    <row r="5663" spans="114:114">
      <c r="DJ5663" s="29"/>
    </row>
    <row r="5664" spans="114:114">
      <c r="DJ5664" s="29"/>
    </row>
    <row r="5665" spans="114:114">
      <c r="DJ5665" s="29"/>
    </row>
    <row r="5666" spans="114:114">
      <c r="DJ5666" s="29"/>
    </row>
    <row r="5667" spans="114:114">
      <c r="DJ5667" s="29"/>
    </row>
    <row r="5668" spans="114:114">
      <c r="DJ5668" s="29"/>
    </row>
    <row r="5669" spans="114:114">
      <c r="DJ5669" s="29"/>
    </row>
    <row r="5670" spans="114:114">
      <c r="DJ5670" s="29"/>
    </row>
    <row r="5671" spans="114:114">
      <c r="DJ5671" s="29"/>
    </row>
    <row r="5672" spans="114:114">
      <c r="DJ5672" s="29"/>
    </row>
    <row r="5673" spans="114:114">
      <c r="DJ5673" s="29"/>
    </row>
    <row r="5674" spans="114:114">
      <c r="DJ5674" s="29"/>
    </row>
    <row r="5675" spans="114:114">
      <c r="DJ5675" s="29"/>
    </row>
    <row r="5676" spans="114:114">
      <c r="DJ5676" s="29"/>
    </row>
    <row r="5677" spans="114:114">
      <c r="DJ5677" s="29"/>
    </row>
    <row r="5678" spans="114:114">
      <c r="DJ5678" s="29"/>
    </row>
    <row r="5679" spans="114:114">
      <c r="DJ5679" s="29"/>
    </row>
    <row r="5680" spans="114:114">
      <c r="DJ5680" s="29"/>
    </row>
    <row r="5681" spans="114:114">
      <c r="DJ5681" s="29"/>
    </row>
    <row r="5682" spans="114:114">
      <c r="DJ5682" s="29"/>
    </row>
    <row r="5683" spans="114:114">
      <c r="DJ5683" s="29"/>
    </row>
    <row r="5684" spans="114:114">
      <c r="DJ5684" s="29"/>
    </row>
    <row r="5685" spans="114:114">
      <c r="DJ5685" s="29"/>
    </row>
    <row r="5686" spans="114:114">
      <c r="DJ5686" s="29"/>
    </row>
    <row r="5687" spans="114:114">
      <c r="DJ5687" s="29"/>
    </row>
    <row r="5688" spans="114:114">
      <c r="DJ5688" s="29"/>
    </row>
    <row r="5689" spans="114:114">
      <c r="DJ5689" s="29"/>
    </row>
    <row r="5690" spans="114:114">
      <c r="DJ5690" s="29"/>
    </row>
    <row r="5691" spans="114:114">
      <c r="DJ5691" s="29"/>
    </row>
    <row r="5692" spans="114:114">
      <c r="DJ5692" s="29"/>
    </row>
    <row r="5693" spans="114:114">
      <c r="DJ5693" s="29"/>
    </row>
    <row r="5694" spans="114:114">
      <c r="DJ5694" s="29"/>
    </row>
    <row r="5695" spans="114:114">
      <c r="DJ5695" s="29"/>
    </row>
    <row r="5696" spans="114:114">
      <c r="DJ5696" s="29"/>
    </row>
    <row r="5697" spans="114:114">
      <c r="DJ5697" s="29"/>
    </row>
    <row r="5698" spans="114:114">
      <c r="DJ5698" s="29"/>
    </row>
    <row r="5699" spans="114:114">
      <c r="DJ5699" s="29"/>
    </row>
    <row r="5700" spans="114:114">
      <c r="DJ5700" s="29"/>
    </row>
    <row r="5701" spans="114:114">
      <c r="DJ5701" s="29"/>
    </row>
    <row r="5702" spans="114:114">
      <c r="DJ5702" s="29"/>
    </row>
    <row r="5703" spans="114:114">
      <c r="DJ5703" s="29"/>
    </row>
    <row r="5704" spans="114:114">
      <c r="DJ5704" s="29"/>
    </row>
    <row r="5705" spans="114:114">
      <c r="DJ5705" s="29"/>
    </row>
    <row r="5706" spans="114:114">
      <c r="DJ5706" s="29"/>
    </row>
    <row r="5707" spans="114:114">
      <c r="DJ5707" s="29"/>
    </row>
    <row r="5708" spans="114:114">
      <c r="DJ5708" s="29"/>
    </row>
    <row r="5709" spans="114:114">
      <c r="DJ5709" s="29"/>
    </row>
    <row r="5710" spans="114:114">
      <c r="DJ5710" s="29"/>
    </row>
    <row r="5711" spans="114:114">
      <c r="DJ5711" s="29"/>
    </row>
    <row r="5712" spans="114:114">
      <c r="DJ5712" s="29"/>
    </row>
    <row r="5713" spans="114:114">
      <c r="DJ5713" s="29"/>
    </row>
    <row r="5714" spans="114:114">
      <c r="DJ5714" s="29"/>
    </row>
    <row r="5715" spans="114:114">
      <c r="DJ5715" s="29"/>
    </row>
    <row r="5716" spans="114:114">
      <c r="DJ5716" s="29"/>
    </row>
    <row r="5717" spans="114:114">
      <c r="DJ5717" s="29"/>
    </row>
    <row r="5718" spans="114:114">
      <c r="DJ5718" s="29"/>
    </row>
    <row r="5719" spans="114:114">
      <c r="DJ5719" s="29"/>
    </row>
    <row r="5720" spans="114:114">
      <c r="DJ5720" s="29"/>
    </row>
    <row r="5721" spans="114:114">
      <c r="DJ5721" s="29"/>
    </row>
    <row r="5722" spans="114:114">
      <c r="DJ5722" s="29"/>
    </row>
    <row r="5723" spans="114:114">
      <c r="DJ5723" s="29"/>
    </row>
    <row r="5724" spans="114:114">
      <c r="DJ5724" s="29"/>
    </row>
    <row r="5725" spans="114:114">
      <c r="DJ5725" s="29"/>
    </row>
    <row r="5726" spans="114:114">
      <c r="DJ5726" s="29"/>
    </row>
    <row r="5727" spans="114:114">
      <c r="DJ5727" s="29"/>
    </row>
    <row r="5728" spans="114:114">
      <c r="DJ5728" s="29"/>
    </row>
    <row r="5729" spans="114:114">
      <c r="DJ5729" s="29"/>
    </row>
    <row r="5730" spans="114:114">
      <c r="DJ5730" s="29"/>
    </row>
    <row r="5731" spans="114:114">
      <c r="DJ5731" s="29"/>
    </row>
    <row r="5732" spans="114:114">
      <c r="DJ5732" s="29"/>
    </row>
    <row r="5733" spans="114:114">
      <c r="DJ5733" s="29"/>
    </row>
    <row r="5734" spans="114:114">
      <c r="DJ5734" s="29"/>
    </row>
    <row r="5735" spans="114:114">
      <c r="DJ5735" s="29"/>
    </row>
    <row r="5736" spans="114:114">
      <c r="DJ5736" s="29"/>
    </row>
    <row r="5737" spans="114:114">
      <c r="DJ5737" s="29"/>
    </row>
    <row r="5738" spans="114:114">
      <c r="DJ5738" s="29"/>
    </row>
    <row r="5739" spans="114:114">
      <c r="DJ5739" s="29"/>
    </row>
    <row r="5740" spans="114:114">
      <c r="DJ5740" s="29"/>
    </row>
    <row r="5741" spans="114:114">
      <c r="DJ5741" s="29"/>
    </row>
    <row r="5742" spans="114:114">
      <c r="DJ5742" s="29"/>
    </row>
    <row r="5743" spans="114:114">
      <c r="DJ5743" s="29"/>
    </row>
    <row r="5744" spans="114:114">
      <c r="DJ5744" s="29"/>
    </row>
    <row r="5745" spans="114:114">
      <c r="DJ5745" s="29"/>
    </row>
    <row r="5746" spans="114:114">
      <c r="DJ5746" s="29"/>
    </row>
    <row r="5747" spans="114:114">
      <c r="DJ5747" s="29"/>
    </row>
    <row r="5748" spans="114:114">
      <c r="DJ5748" s="29"/>
    </row>
    <row r="5749" spans="114:114">
      <c r="DJ5749" s="29"/>
    </row>
    <row r="5750" spans="114:114">
      <c r="DJ5750" s="29"/>
    </row>
    <row r="5751" spans="114:114">
      <c r="DJ5751" s="29"/>
    </row>
    <row r="5752" spans="114:114">
      <c r="DJ5752" s="29"/>
    </row>
    <row r="5753" spans="114:114">
      <c r="DJ5753" s="29"/>
    </row>
    <row r="5754" spans="114:114">
      <c r="DJ5754" s="29"/>
    </row>
    <row r="5755" spans="114:114">
      <c r="DJ5755" s="29"/>
    </row>
    <row r="5756" spans="114:114">
      <c r="DJ5756" s="29"/>
    </row>
    <row r="5757" spans="114:114">
      <c r="DJ5757" s="29"/>
    </row>
    <row r="5758" spans="114:114">
      <c r="DJ5758" s="29"/>
    </row>
    <row r="5759" spans="114:114">
      <c r="DJ5759" s="29"/>
    </row>
    <row r="5760" spans="114:114">
      <c r="DJ5760" s="29"/>
    </row>
    <row r="5761" spans="114:114">
      <c r="DJ5761" s="29"/>
    </row>
    <row r="5762" spans="114:114">
      <c r="DJ5762" s="29"/>
    </row>
    <row r="5763" spans="114:114">
      <c r="DJ5763" s="29"/>
    </row>
    <row r="5764" spans="114:114">
      <c r="DJ5764" s="29"/>
    </row>
    <row r="5765" spans="114:114">
      <c r="DJ5765" s="29"/>
    </row>
    <row r="5766" spans="114:114">
      <c r="DJ5766" s="29"/>
    </row>
    <row r="5767" spans="114:114">
      <c r="DJ5767" s="29"/>
    </row>
    <row r="5768" spans="114:114">
      <c r="DJ5768" s="29"/>
    </row>
    <row r="5769" spans="114:114">
      <c r="DJ5769" s="29"/>
    </row>
    <row r="5770" spans="114:114">
      <c r="DJ5770" s="29"/>
    </row>
    <row r="5771" spans="114:114">
      <c r="DJ5771" s="29"/>
    </row>
    <row r="5772" spans="114:114">
      <c r="DJ5772" s="29"/>
    </row>
    <row r="5773" spans="114:114">
      <c r="DJ5773" s="29"/>
    </row>
    <row r="5774" spans="114:114">
      <c r="DJ5774" s="29"/>
    </row>
    <row r="5775" spans="114:114">
      <c r="DJ5775" s="29"/>
    </row>
    <row r="5776" spans="114:114">
      <c r="DJ5776" s="29"/>
    </row>
    <row r="5777" spans="114:114">
      <c r="DJ5777" s="29"/>
    </row>
    <row r="5778" spans="114:114">
      <c r="DJ5778" s="29"/>
    </row>
    <row r="5779" spans="114:114">
      <c r="DJ5779" s="29"/>
    </row>
    <row r="5780" spans="114:114">
      <c r="DJ5780" s="29"/>
    </row>
    <row r="5781" spans="114:114">
      <c r="DJ5781" s="29"/>
    </row>
    <row r="5782" spans="114:114">
      <c r="DJ5782" s="29"/>
    </row>
    <row r="5783" spans="114:114">
      <c r="DJ5783" s="29"/>
    </row>
    <row r="5784" spans="114:114">
      <c r="DJ5784" s="29"/>
    </row>
    <row r="5785" spans="114:114">
      <c r="DJ5785" s="29"/>
    </row>
    <row r="5786" spans="114:114">
      <c r="DJ5786" s="29"/>
    </row>
    <row r="5787" spans="114:114">
      <c r="DJ5787" s="29"/>
    </row>
    <row r="5788" spans="114:114">
      <c r="DJ5788" s="29"/>
    </row>
    <row r="5789" spans="114:114">
      <c r="DJ5789" s="29"/>
    </row>
    <row r="5790" spans="114:114">
      <c r="DJ5790" s="29"/>
    </row>
    <row r="5791" spans="114:114">
      <c r="DJ5791" s="29"/>
    </row>
    <row r="5792" spans="114:114">
      <c r="DJ5792" s="29"/>
    </row>
    <row r="5793" spans="114:114">
      <c r="DJ5793" s="29"/>
    </row>
    <row r="5794" spans="114:114">
      <c r="DJ5794" s="29"/>
    </row>
    <row r="5795" spans="114:114">
      <c r="DJ5795" s="29"/>
    </row>
    <row r="5796" spans="114:114">
      <c r="DJ5796" s="29"/>
    </row>
    <row r="5797" spans="114:114">
      <c r="DJ5797" s="29"/>
    </row>
    <row r="5798" spans="114:114">
      <c r="DJ5798" s="29"/>
    </row>
    <row r="5799" spans="114:114">
      <c r="DJ5799" s="29"/>
    </row>
    <row r="5800" spans="114:114">
      <c r="DJ5800" s="29"/>
    </row>
    <row r="5801" spans="114:114">
      <c r="DJ5801" s="29"/>
    </row>
    <row r="5802" spans="114:114">
      <c r="DJ5802" s="29"/>
    </row>
    <row r="5803" spans="114:114">
      <c r="DJ5803" s="29"/>
    </row>
    <row r="5804" spans="114:114">
      <c r="DJ5804" s="29"/>
    </row>
    <row r="5805" spans="114:114">
      <c r="DJ5805" s="29"/>
    </row>
    <row r="5806" spans="114:114">
      <c r="DJ5806" s="29"/>
    </row>
    <row r="5807" spans="114:114">
      <c r="DJ5807" s="29"/>
    </row>
    <row r="5808" spans="114:114">
      <c r="DJ5808" s="29"/>
    </row>
    <row r="5809" spans="114:114">
      <c r="DJ5809" s="29"/>
    </row>
    <row r="5810" spans="114:114">
      <c r="DJ5810" s="29"/>
    </row>
    <row r="5811" spans="114:114">
      <c r="DJ5811" s="29"/>
    </row>
    <row r="5812" spans="114:114">
      <c r="DJ5812" s="29"/>
    </row>
    <row r="5813" spans="114:114">
      <c r="DJ5813" s="29"/>
    </row>
    <row r="5814" spans="114:114">
      <c r="DJ5814" s="29"/>
    </row>
    <row r="5815" spans="114:114">
      <c r="DJ5815" s="29"/>
    </row>
    <row r="5816" spans="114:114">
      <c r="DJ5816" s="29"/>
    </row>
    <row r="5817" spans="114:114">
      <c r="DJ5817" s="29"/>
    </row>
    <row r="5818" spans="114:114">
      <c r="DJ5818" s="29"/>
    </row>
    <row r="5819" spans="114:114">
      <c r="DJ5819" s="29"/>
    </row>
    <row r="5820" spans="114:114">
      <c r="DJ5820" s="29"/>
    </row>
    <row r="5821" spans="114:114">
      <c r="DJ5821" s="29"/>
    </row>
    <row r="5822" spans="114:114">
      <c r="DJ5822" s="29"/>
    </row>
    <row r="5823" spans="114:114">
      <c r="DJ5823" s="29"/>
    </row>
    <row r="5824" spans="114:114">
      <c r="DJ5824" s="29"/>
    </row>
    <row r="5825" spans="114:114">
      <c r="DJ5825" s="29"/>
    </row>
    <row r="5826" spans="114:114">
      <c r="DJ5826" s="29"/>
    </row>
    <row r="5827" spans="114:114">
      <c r="DJ5827" s="29"/>
    </row>
    <row r="5828" spans="114:114">
      <c r="DJ5828" s="29"/>
    </row>
    <row r="5829" spans="114:114">
      <c r="DJ5829" s="29"/>
    </row>
    <row r="5830" spans="114:114">
      <c r="DJ5830" s="29"/>
    </row>
    <row r="5831" spans="114:114">
      <c r="DJ5831" s="29"/>
    </row>
    <row r="5832" spans="114:114">
      <c r="DJ5832" s="29"/>
    </row>
    <row r="5833" spans="114:114">
      <c r="DJ5833" s="29"/>
    </row>
    <row r="5834" spans="114:114">
      <c r="DJ5834" s="29"/>
    </row>
    <row r="5835" spans="114:114">
      <c r="DJ5835" s="29"/>
    </row>
    <row r="5836" spans="114:114">
      <c r="DJ5836" s="29"/>
    </row>
    <row r="5837" spans="114:114">
      <c r="DJ5837" s="29"/>
    </row>
    <row r="5838" spans="114:114">
      <c r="DJ5838" s="29"/>
    </row>
    <row r="5839" spans="114:114">
      <c r="DJ5839" s="29"/>
    </row>
    <row r="5840" spans="114:114">
      <c r="DJ5840" s="29"/>
    </row>
    <row r="5841" spans="114:114">
      <c r="DJ5841" s="29"/>
    </row>
    <row r="5842" spans="114:114">
      <c r="DJ5842" s="29"/>
    </row>
    <row r="5843" spans="114:114">
      <c r="DJ5843" s="29"/>
    </row>
    <row r="5844" spans="114:114">
      <c r="DJ5844" s="29"/>
    </row>
    <row r="5845" spans="114:114">
      <c r="DJ5845" s="29"/>
    </row>
    <row r="5846" spans="114:114">
      <c r="DJ5846" s="29"/>
    </row>
    <row r="5847" spans="114:114">
      <c r="DJ5847" s="29"/>
    </row>
    <row r="5848" spans="114:114">
      <c r="DJ5848" s="29"/>
    </row>
    <row r="5849" spans="114:114">
      <c r="DJ5849" s="29"/>
    </row>
    <row r="5850" spans="114:114">
      <c r="DJ5850" s="29"/>
    </row>
    <row r="5851" spans="114:114">
      <c r="DJ5851" s="29"/>
    </row>
    <row r="5852" spans="114:114">
      <c r="DJ5852" s="29"/>
    </row>
    <row r="5853" spans="114:114">
      <c r="DJ5853" s="29"/>
    </row>
    <row r="5854" spans="114:114">
      <c r="DJ5854" s="29"/>
    </row>
    <row r="5855" spans="114:114">
      <c r="DJ5855" s="29"/>
    </row>
    <row r="5856" spans="114:114">
      <c r="DJ5856" s="29"/>
    </row>
    <row r="5857" spans="114:114">
      <c r="DJ5857" s="29"/>
    </row>
    <row r="5858" spans="114:114">
      <c r="DJ5858" s="29"/>
    </row>
    <row r="5859" spans="114:114">
      <c r="DJ5859" s="29"/>
    </row>
    <row r="5860" spans="114:114">
      <c r="DJ5860" s="29"/>
    </row>
    <row r="5861" spans="114:114">
      <c r="DJ5861" s="29"/>
    </row>
    <row r="5862" spans="114:114">
      <c r="DJ5862" s="29"/>
    </row>
    <row r="5863" spans="114:114">
      <c r="DJ5863" s="29"/>
    </row>
    <row r="5864" spans="114:114">
      <c r="DJ5864" s="29"/>
    </row>
    <row r="5865" spans="114:114">
      <c r="DJ5865" s="29"/>
    </row>
    <row r="5866" spans="114:114">
      <c r="DJ5866" s="29"/>
    </row>
    <row r="5867" spans="114:114">
      <c r="DJ5867" s="29"/>
    </row>
    <row r="5868" spans="114:114">
      <c r="DJ5868" s="29"/>
    </row>
    <row r="5869" spans="114:114">
      <c r="DJ5869" s="29"/>
    </row>
    <row r="5870" spans="114:114">
      <c r="DJ5870" s="29"/>
    </row>
    <row r="5871" spans="114:114">
      <c r="DJ5871" s="29"/>
    </row>
    <row r="5872" spans="114:114">
      <c r="DJ5872" s="29"/>
    </row>
    <row r="5873" spans="114:114">
      <c r="DJ5873" s="29"/>
    </row>
    <row r="5874" spans="114:114">
      <c r="DJ5874" s="29"/>
    </row>
    <row r="5875" spans="114:114">
      <c r="DJ5875" s="29"/>
    </row>
    <row r="5876" spans="114:114">
      <c r="DJ5876" s="29"/>
    </row>
    <row r="5877" spans="114:114">
      <c r="DJ5877" s="29"/>
    </row>
    <row r="5878" spans="114:114">
      <c r="DJ5878" s="29"/>
    </row>
    <row r="5879" spans="114:114">
      <c r="DJ5879" s="29"/>
    </row>
    <row r="5880" spans="114:114">
      <c r="DJ5880" s="29"/>
    </row>
    <row r="5881" spans="114:114">
      <c r="DJ5881" s="29"/>
    </row>
    <row r="5882" spans="114:114">
      <c r="DJ5882" s="29"/>
    </row>
    <row r="5883" spans="114:114">
      <c r="DJ5883" s="29"/>
    </row>
    <row r="5884" spans="114:114">
      <c r="DJ5884" s="29"/>
    </row>
    <row r="5885" spans="114:114">
      <c r="DJ5885" s="29"/>
    </row>
    <row r="5886" spans="114:114">
      <c r="DJ5886" s="29"/>
    </row>
    <row r="5887" spans="114:114">
      <c r="DJ5887" s="29"/>
    </row>
    <row r="5888" spans="114:114">
      <c r="DJ5888" s="29"/>
    </row>
    <row r="5889" spans="114:114">
      <c r="DJ5889" s="29"/>
    </row>
    <row r="5890" spans="114:114">
      <c r="DJ5890" s="29"/>
    </row>
    <row r="5891" spans="114:114">
      <c r="DJ5891" s="29"/>
    </row>
    <row r="5892" spans="114:114">
      <c r="DJ5892" s="29"/>
    </row>
    <row r="5893" spans="114:114">
      <c r="DJ5893" s="29"/>
    </row>
    <row r="5894" spans="114:114">
      <c r="DJ5894" s="29"/>
    </row>
    <row r="5895" spans="114:114">
      <c r="DJ5895" s="29"/>
    </row>
    <row r="5896" spans="114:114">
      <c r="DJ5896" s="29"/>
    </row>
    <row r="5897" spans="114:114">
      <c r="DJ5897" s="29"/>
    </row>
    <row r="5898" spans="114:114">
      <c r="DJ5898" s="29"/>
    </row>
    <row r="5899" spans="114:114">
      <c r="DJ5899" s="29"/>
    </row>
    <row r="5900" spans="114:114">
      <c r="DJ5900" s="29"/>
    </row>
    <row r="5901" spans="114:114">
      <c r="DJ5901" s="29"/>
    </row>
    <row r="5902" spans="114:114">
      <c r="DJ5902" s="29"/>
    </row>
    <row r="5903" spans="114:114">
      <c r="DJ5903" s="29"/>
    </row>
    <row r="5904" spans="114:114">
      <c r="DJ5904" s="29"/>
    </row>
    <row r="5905" spans="114:114">
      <c r="DJ5905" s="29"/>
    </row>
    <row r="5906" spans="114:114">
      <c r="DJ5906" s="29"/>
    </row>
    <row r="5907" spans="114:114">
      <c r="DJ5907" s="29"/>
    </row>
    <row r="5908" spans="114:114">
      <c r="DJ5908" s="29"/>
    </row>
    <row r="5909" spans="114:114">
      <c r="DJ5909" s="29"/>
    </row>
    <row r="5910" spans="114:114">
      <c r="DJ5910" s="29"/>
    </row>
    <row r="5911" spans="114:114">
      <c r="DJ5911" s="29"/>
    </row>
    <row r="5912" spans="114:114">
      <c r="DJ5912" s="29"/>
    </row>
    <row r="5913" spans="114:114">
      <c r="DJ5913" s="29"/>
    </row>
    <row r="5914" spans="114:114">
      <c r="DJ5914" s="29"/>
    </row>
    <row r="5915" spans="114:114">
      <c r="DJ5915" s="29"/>
    </row>
    <row r="5916" spans="114:114">
      <c r="DJ5916" s="29"/>
    </row>
    <row r="5917" spans="114:114">
      <c r="DJ5917" s="29"/>
    </row>
    <row r="5918" spans="114:114">
      <c r="DJ5918" s="29"/>
    </row>
    <row r="5919" spans="114:114">
      <c r="DJ5919" s="29"/>
    </row>
    <row r="5920" spans="114:114">
      <c r="DJ5920" s="29"/>
    </row>
    <row r="5921" spans="114:114">
      <c r="DJ5921" s="29"/>
    </row>
    <row r="5922" spans="114:114">
      <c r="DJ5922" s="29"/>
    </row>
    <row r="5923" spans="114:114">
      <c r="DJ5923" s="29"/>
    </row>
    <row r="5924" spans="114:114">
      <c r="DJ5924" s="29"/>
    </row>
    <row r="5925" spans="114:114">
      <c r="DJ5925" s="29"/>
    </row>
    <row r="5926" spans="114:114">
      <c r="DJ5926" s="29"/>
    </row>
    <row r="5927" spans="114:114">
      <c r="DJ5927" s="29"/>
    </row>
    <row r="5928" spans="114:114">
      <c r="DJ5928" s="29"/>
    </row>
    <row r="5929" spans="114:114">
      <c r="DJ5929" s="29"/>
    </row>
    <row r="5930" spans="114:114">
      <c r="DJ5930" s="29"/>
    </row>
    <row r="5931" spans="114:114">
      <c r="DJ5931" s="29"/>
    </row>
    <row r="5932" spans="114:114">
      <c r="DJ5932" s="29"/>
    </row>
    <row r="5933" spans="114:114">
      <c r="DJ5933" s="29"/>
    </row>
    <row r="5934" spans="114:114">
      <c r="DJ5934" s="29"/>
    </row>
    <row r="5935" spans="114:114">
      <c r="DJ5935" s="29"/>
    </row>
    <row r="5936" spans="114:114">
      <c r="DJ5936" s="29"/>
    </row>
    <row r="5937" spans="114:114">
      <c r="DJ5937" s="29"/>
    </row>
    <row r="5938" spans="114:114">
      <c r="DJ5938" s="29"/>
    </row>
    <row r="5939" spans="114:114">
      <c r="DJ5939" s="29"/>
    </row>
    <row r="5940" spans="114:114">
      <c r="DJ5940" s="29"/>
    </row>
    <row r="5941" spans="114:114">
      <c r="DJ5941" s="29"/>
    </row>
    <row r="5942" spans="114:114">
      <c r="DJ5942" s="29"/>
    </row>
    <row r="5943" spans="114:114">
      <c r="DJ5943" s="29"/>
    </row>
    <row r="5944" spans="114:114">
      <c r="DJ5944" s="29"/>
    </row>
    <row r="5945" spans="114:114">
      <c r="DJ5945" s="29"/>
    </row>
    <row r="5946" spans="114:114">
      <c r="DJ5946" s="29"/>
    </row>
    <row r="5947" spans="114:114">
      <c r="DJ5947" s="29"/>
    </row>
    <row r="5948" spans="114:114">
      <c r="DJ5948" s="29"/>
    </row>
    <row r="5949" spans="114:114">
      <c r="DJ5949" s="29"/>
    </row>
    <row r="5950" spans="114:114">
      <c r="DJ5950" s="29"/>
    </row>
    <row r="5951" spans="114:114">
      <c r="DJ5951" s="29"/>
    </row>
    <row r="5952" spans="114:114">
      <c r="DJ5952" s="29"/>
    </row>
    <row r="5953" spans="114:114">
      <c r="DJ5953" s="29"/>
    </row>
    <row r="5954" spans="114:114">
      <c r="DJ5954" s="29"/>
    </row>
    <row r="5955" spans="114:114">
      <c r="DJ5955" s="29"/>
    </row>
    <row r="5956" spans="114:114">
      <c r="DJ5956" s="29"/>
    </row>
    <row r="5957" spans="114:114">
      <c r="DJ5957" s="29"/>
    </row>
    <row r="5958" spans="114:114">
      <c r="DJ5958" s="29"/>
    </row>
    <row r="5959" spans="114:114">
      <c r="DJ5959" s="29"/>
    </row>
    <row r="5960" spans="114:114">
      <c r="DJ5960" s="29"/>
    </row>
    <row r="5961" spans="114:114">
      <c r="DJ5961" s="29"/>
    </row>
    <row r="5962" spans="114:114">
      <c r="DJ5962" s="29"/>
    </row>
    <row r="5963" spans="114:114">
      <c r="DJ5963" s="29"/>
    </row>
    <row r="5964" spans="114:114">
      <c r="DJ5964" s="29"/>
    </row>
    <row r="5965" spans="114:114">
      <c r="DJ5965" s="29"/>
    </row>
    <row r="5966" spans="114:114">
      <c r="DJ5966" s="29"/>
    </row>
    <row r="5967" spans="114:114">
      <c r="DJ5967" s="29"/>
    </row>
    <row r="5968" spans="114:114">
      <c r="DJ5968" s="29"/>
    </row>
    <row r="5969" spans="114:114">
      <c r="DJ5969" s="29"/>
    </row>
    <row r="5970" spans="114:114">
      <c r="DJ5970" s="29"/>
    </row>
    <row r="5971" spans="114:114">
      <c r="DJ5971" s="29"/>
    </row>
    <row r="5972" spans="114:114">
      <c r="DJ5972" s="29"/>
    </row>
    <row r="5973" spans="114:114">
      <c r="DJ5973" s="29"/>
    </row>
    <row r="5974" spans="114:114">
      <c r="DJ5974" s="29"/>
    </row>
    <row r="5975" spans="114:114">
      <c r="DJ5975" s="29"/>
    </row>
    <row r="5976" spans="114:114">
      <c r="DJ5976" s="29"/>
    </row>
    <row r="5977" spans="114:114">
      <c r="DJ5977" s="29"/>
    </row>
    <row r="5978" spans="114:114">
      <c r="DJ5978" s="29"/>
    </row>
    <row r="5979" spans="114:114">
      <c r="DJ5979" s="29"/>
    </row>
    <row r="5980" spans="114:114">
      <c r="DJ5980" s="29"/>
    </row>
    <row r="5981" spans="114:114">
      <c r="DJ5981" s="29"/>
    </row>
    <row r="5982" spans="114:114">
      <c r="DJ5982" s="29"/>
    </row>
    <row r="5983" spans="114:114">
      <c r="DJ5983" s="29"/>
    </row>
    <row r="5984" spans="114:114">
      <c r="DJ5984" s="29"/>
    </row>
    <row r="5985" spans="114:114">
      <c r="DJ5985" s="29"/>
    </row>
    <row r="5986" spans="114:114">
      <c r="DJ5986" s="29"/>
    </row>
    <row r="5987" spans="114:114">
      <c r="DJ5987" s="29"/>
    </row>
    <row r="5988" spans="114:114">
      <c r="DJ5988" s="29"/>
    </row>
    <row r="5989" spans="114:114">
      <c r="DJ5989" s="29"/>
    </row>
    <row r="5990" spans="114:114">
      <c r="DJ5990" s="29"/>
    </row>
    <row r="5991" spans="114:114">
      <c r="DJ5991" s="29"/>
    </row>
    <row r="5992" spans="114:114">
      <c r="DJ5992" s="29"/>
    </row>
    <row r="5993" spans="114:114">
      <c r="DJ5993" s="29"/>
    </row>
    <row r="5994" spans="114:114">
      <c r="DJ5994" s="29"/>
    </row>
    <row r="5995" spans="114:114">
      <c r="DJ5995" s="29"/>
    </row>
    <row r="5996" spans="114:114">
      <c r="DJ5996" s="29"/>
    </row>
    <row r="5997" spans="114:114">
      <c r="DJ5997" s="29"/>
    </row>
    <row r="5998" spans="114:114">
      <c r="DJ5998" s="29"/>
    </row>
    <row r="5999" spans="114:114">
      <c r="DJ5999" s="29"/>
    </row>
    <row r="6000" spans="114:114">
      <c r="DJ6000" s="29"/>
    </row>
    <row r="6001" spans="114:114">
      <c r="DJ6001" s="29"/>
    </row>
    <row r="6002" spans="114:114">
      <c r="DJ6002" s="29"/>
    </row>
    <row r="6003" spans="114:114">
      <c r="DJ6003" s="29"/>
    </row>
    <row r="6004" spans="114:114">
      <c r="DJ6004" s="29"/>
    </row>
    <row r="6005" spans="114:114">
      <c r="DJ6005" s="29"/>
    </row>
    <row r="6006" spans="114:114">
      <c r="DJ6006" s="29"/>
    </row>
    <row r="6007" spans="114:114">
      <c r="DJ6007" s="29"/>
    </row>
    <row r="6008" spans="114:114">
      <c r="DJ6008" s="29"/>
    </row>
    <row r="6009" spans="114:114">
      <c r="DJ6009" s="29"/>
    </row>
    <row r="6010" spans="114:114">
      <c r="DJ6010" s="29"/>
    </row>
    <row r="6011" spans="114:114">
      <c r="DJ6011" s="29"/>
    </row>
    <row r="6012" spans="114:114">
      <c r="DJ6012" s="29"/>
    </row>
    <row r="6013" spans="114:114">
      <c r="DJ6013" s="29"/>
    </row>
    <row r="6014" spans="114:114">
      <c r="DJ6014" s="29"/>
    </row>
    <row r="6015" spans="114:114">
      <c r="DJ6015" s="29"/>
    </row>
    <row r="6016" spans="114:114">
      <c r="DJ6016" s="29"/>
    </row>
    <row r="6017" spans="114:114">
      <c r="DJ6017" s="29"/>
    </row>
    <row r="6018" spans="114:114">
      <c r="DJ6018" s="29"/>
    </row>
    <row r="6019" spans="114:114">
      <c r="DJ6019" s="29"/>
    </row>
    <row r="6020" spans="114:114">
      <c r="DJ6020" s="29"/>
    </row>
    <row r="6021" spans="114:114">
      <c r="DJ6021" s="29"/>
    </row>
    <row r="6022" spans="114:114">
      <c r="DJ6022" s="29"/>
    </row>
    <row r="6023" spans="114:114">
      <c r="DJ6023" s="29"/>
    </row>
    <row r="6024" spans="114:114">
      <c r="DJ6024" s="29"/>
    </row>
    <row r="6025" spans="114:114">
      <c r="DJ6025" s="29"/>
    </row>
    <row r="6026" spans="114:114">
      <c r="DJ6026" s="29"/>
    </row>
    <row r="6027" spans="114:114">
      <c r="DJ6027" s="29"/>
    </row>
    <row r="6028" spans="114:114">
      <c r="DJ6028" s="29"/>
    </row>
    <row r="6029" spans="114:114">
      <c r="DJ6029" s="29"/>
    </row>
    <row r="6030" spans="114:114">
      <c r="DJ6030" s="29"/>
    </row>
    <row r="6031" spans="114:114">
      <c r="DJ6031" s="29"/>
    </row>
    <row r="6032" spans="114:114">
      <c r="DJ6032" s="29"/>
    </row>
    <row r="6033" spans="114:114">
      <c r="DJ6033" s="29"/>
    </row>
    <row r="6034" spans="114:114">
      <c r="DJ6034" s="29"/>
    </row>
    <row r="6035" spans="114:114">
      <c r="DJ6035" s="29"/>
    </row>
    <row r="6036" spans="114:114">
      <c r="DJ6036" s="29"/>
    </row>
    <row r="6037" spans="114:114">
      <c r="DJ6037" s="29"/>
    </row>
    <row r="6038" spans="114:114">
      <c r="DJ6038" s="29"/>
    </row>
    <row r="6039" spans="114:114">
      <c r="DJ6039" s="29"/>
    </row>
    <row r="6040" spans="114:114">
      <c r="DJ6040" s="29"/>
    </row>
    <row r="6041" spans="114:114">
      <c r="DJ6041" s="29"/>
    </row>
    <row r="6042" spans="114:114">
      <c r="DJ6042" s="29"/>
    </row>
    <row r="6043" spans="114:114">
      <c r="DJ6043" s="29"/>
    </row>
    <row r="6044" spans="114:114">
      <c r="DJ6044" s="29"/>
    </row>
    <row r="6045" spans="114:114">
      <c r="DJ6045" s="29"/>
    </row>
    <row r="6046" spans="114:114">
      <c r="DJ6046" s="29"/>
    </row>
    <row r="6047" spans="114:114">
      <c r="DJ6047" s="29"/>
    </row>
    <row r="6048" spans="114:114">
      <c r="DJ6048" s="29"/>
    </row>
    <row r="6049" spans="114:114">
      <c r="DJ6049" s="29"/>
    </row>
    <row r="6050" spans="114:114">
      <c r="DJ6050" s="29"/>
    </row>
    <row r="6051" spans="114:114">
      <c r="DJ6051" s="29"/>
    </row>
    <row r="6052" spans="114:114">
      <c r="DJ6052" s="29"/>
    </row>
    <row r="6053" spans="114:114">
      <c r="DJ6053" s="29"/>
    </row>
    <row r="6054" spans="114:114">
      <c r="DJ6054" s="29"/>
    </row>
    <row r="6055" spans="114:114">
      <c r="DJ6055" s="29"/>
    </row>
    <row r="6056" spans="114:114">
      <c r="DJ6056" s="29"/>
    </row>
    <row r="6057" spans="114:114">
      <c r="DJ6057" s="29"/>
    </row>
    <row r="6058" spans="114:114">
      <c r="DJ6058" s="29"/>
    </row>
    <row r="6059" spans="114:114">
      <c r="DJ6059" s="29"/>
    </row>
    <row r="6060" spans="114:114">
      <c r="DJ6060" s="29"/>
    </row>
    <row r="6061" spans="114:114">
      <c r="DJ6061" s="29"/>
    </row>
    <row r="6062" spans="114:114">
      <c r="DJ6062" s="29"/>
    </row>
    <row r="6063" spans="114:114">
      <c r="DJ6063" s="29"/>
    </row>
    <row r="6064" spans="114:114">
      <c r="DJ6064" s="29"/>
    </row>
    <row r="6065" spans="114:114">
      <c r="DJ6065" s="29"/>
    </row>
    <row r="6066" spans="114:114">
      <c r="DJ6066" s="29"/>
    </row>
    <row r="6067" spans="114:114">
      <c r="DJ6067" s="29"/>
    </row>
    <row r="6068" spans="114:114">
      <c r="DJ6068" s="29"/>
    </row>
    <row r="6069" spans="114:114">
      <c r="DJ6069" s="29"/>
    </row>
    <row r="6070" spans="114:114">
      <c r="DJ6070" s="29"/>
    </row>
    <row r="6071" spans="114:114">
      <c r="DJ6071" s="29"/>
    </row>
    <row r="6072" spans="114:114">
      <c r="DJ6072" s="29"/>
    </row>
    <row r="6073" spans="114:114">
      <c r="DJ6073" s="29"/>
    </row>
    <row r="6074" spans="114:114">
      <c r="DJ6074" s="29"/>
    </row>
    <row r="6075" spans="114:114">
      <c r="DJ6075" s="29"/>
    </row>
    <row r="6076" spans="114:114">
      <c r="DJ6076" s="29"/>
    </row>
    <row r="6077" spans="114:114">
      <c r="DJ6077" s="29"/>
    </row>
    <row r="6078" spans="114:114">
      <c r="DJ6078" s="29"/>
    </row>
    <row r="6079" spans="114:114">
      <c r="DJ6079" s="29"/>
    </row>
    <row r="6080" spans="114:114">
      <c r="DJ6080" s="29"/>
    </row>
    <row r="6081" spans="114:114">
      <c r="DJ6081" s="29"/>
    </row>
    <row r="6082" spans="114:114">
      <c r="DJ6082" s="29"/>
    </row>
    <row r="6083" spans="114:114">
      <c r="DJ6083" s="29"/>
    </row>
    <row r="6084" spans="114:114">
      <c r="DJ6084" s="29"/>
    </row>
    <row r="6085" spans="114:114">
      <c r="DJ6085" s="29"/>
    </row>
    <row r="6086" spans="114:114">
      <c r="DJ6086" s="29"/>
    </row>
    <row r="6087" spans="114:114">
      <c r="DJ6087" s="29"/>
    </row>
    <row r="6088" spans="114:114">
      <c r="DJ6088" s="29"/>
    </row>
    <row r="6089" spans="114:114">
      <c r="DJ6089" s="29"/>
    </row>
    <row r="6090" spans="114:114">
      <c r="DJ6090" s="29"/>
    </row>
    <row r="6091" spans="114:114">
      <c r="DJ6091" s="29"/>
    </row>
    <row r="6092" spans="114:114">
      <c r="DJ6092" s="29"/>
    </row>
    <row r="6093" spans="114:114">
      <c r="DJ6093" s="29"/>
    </row>
    <row r="6094" spans="114:114">
      <c r="DJ6094" s="29"/>
    </row>
    <row r="6095" spans="114:114">
      <c r="DJ6095" s="29"/>
    </row>
    <row r="6096" spans="114:114">
      <c r="DJ6096" s="29"/>
    </row>
    <row r="6097" spans="114:114">
      <c r="DJ6097" s="29"/>
    </row>
    <row r="6098" spans="114:114">
      <c r="DJ6098" s="29"/>
    </row>
    <row r="6099" spans="114:114">
      <c r="DJ6099" s="29"/>
    </row>
    <row r="6100" spans="114:114">
      <c r="DJ6100" s="29"/>
    </row>
    <row r="6101" spans="114:114">
      <c r="DJ6101" s="29"/>
    </row>
    <row r="6102" spans="114:114">
      <c r="DJ6102" s="29"/>
    </row>
    <row r="6103" spans="114:114">
      <c r="DJ6103" s="29"/>
    </row>
    <row r="6104" spans="114:114">
      <c r="DJ6104" s="29"/>
    </row>
    <row r="6105" spans="114:114">
      <c r="DJ6105" s="29"/>
    </row>
    <row r="6106" spans="114:114">
      <c r="DJ6106" s="29"/>
    </row>
    <row r="6107" spans="114:114">
      <c r="DJ6107" s="29"/>
    </row>
    <row r="6108" spans="114:114">
      <c r="DJ6108" s="29"/>
    </row>
    <row r="6109" spans="114:114">
      <c r="DJ6109" s="29"/>
    </row>
    <row r="6110" spans="114:114">
      <c r="DJ6110" s="29"/>
    </row>
    <row r="6111" spans="114:114">
      <c r="DJ6111" s="29"/>
    </row>
    <row r="6112" spans="114:114">
      <c r="DJ6112" s="29"/>
    </row>
    <row r="6113" spans="114:114">
      <c r="DJ6113" s="29"/>
    </row>
    <row r="6114" spans="114:114">
      <c r="DJ6114" s="29"/>
    </row>
    <row r="6115" spans="114:114">
      <c r="DJ6115" s="29"/>
    </row>
    <row r="6116" spans="114:114">
      <c r="DJ6116" s="29"/>
    </row>
    <row r="6117" spans="114:114">
      <c r="DJ6117" s="29"/>
    </row>
    <row r="6118" spans="114:114">
      <c r="DJ6118" s="29"/>
    </row>
    <row r="6119" spans="114:114">
      <c r="DJ6119" s="29"/>
    </row>
    <row r="6120" spans="114:114">
      <c r="DJ6120" s="29"/>
    </row>
    <row r="6121" spans="114:114">
      <c r="DJ6121" s="29"/>
    </row>
    <row r="6122" spans="114:114">
      <c r="DJ6122" s="29"/>
    </row>
    <row r="6123" spans="114:114">
      <c r="DJ6123" s="29"/>
    </row>
    <row r="6124" spans="114:114">
      <c r="DJ6124" s="29"/>
    </row>
    <row r="6125" spans="114:114">
      <c r="DJ6125" s="29"/>
    </row>
    <row r="6126" spans="114:114">
      <c r="DJ6126" s="29"/>
    </row>
    <row r="6127" spans="114:114">
      <c r="DJ6127" s="29"/>
    </row>
    <row r="6128" spans="114:114">
      <c r="DJ6128" s="29"/>
    </row>
    <row r="6129" spans="114:114">
      <c r="DJ6129" s="29"/>
    </row>
    <row r="6130" spans="114:114">
      <c r="DJ6130" s="29"/>
    </row>
    <row r="6131" spans="114:114">
      <c r="DJ6131" s="29"/>
    </row>
    <row r="6132" spans="114:114">
      <c r="DJ6132" s="29"/>
    </row>
    <row r="6133" spans="114:114">
      <c r="DJ6133" s="29"/>
    </row>
    <row r="6134" spans="114:114">
      <c r="DJ6134" s="29"/>
    </row>
    <row r="6135" spans="114:114">
      <c r="DJ6135" s="29"/>
    </row>
    <row r="6136" spans="114:114">
      <c r="DJ6136" s="29"/>
    </row>
    <row r="6137" spans="114:114">
      <c r="DJ6137" s="29"/>
    </row>
    <row r="6138" spans="114:114">
      <c r="DJ6138" s="29"/>
    </row>
    <row r="6139" spans="114:114">
      <c r="DJ6139" s="29"/>
    </row>
    <row r="6140" spans="114:114">
      <c r="DJ6140" s="29"/>
    </row>
    <row r="6141" spans="114:114">
      <c r="DJ6141" s="29"/>
    </row>
    <row r="6142" spans="114:114">
      <c r="DJ6142" s="29"/>
    </row>
    <row r="6143" spans="114:114">
      <c r="DJ6143" s="29"/>
    </row>
    <row r="6144" spans="114:114">
      <c r="DJ6144" s="29"/>
    </row>
    <row r="6145" spans="114:114">
      <c r="DJ6145" s="29"/>
    </row>
    <row r="6146" spans="114:114">
      <c r="DJ6146" s="29"/>
    </row>
    <row r="6147" spans="114:114">
      <c r="DJ6147" s="29"/>
    </row>
    <row r="6148" spans="114:114">
      <c r="DJ6148" s="29"/>
    </row>
    <row r="6149" spans="114:114">
      <c r="DJ6149" s="29"/>
    </row>
    <row r="6150" spans="114:114">
      <c r="DJ6150" s="29"/>
    </row>
    <row r="6151" spans="114:114">
      <c r="DJ6151" s="29"/>
    </row>
    <row r="6152" spans="114:114">
      <c r="DJ6152" s="29"/>
    </row>
    <row r="6153" spans="114:114">
      <c r="DJ6153" s="29"/>
    </row>
    <row r="6154" spans="114:114">
      <c r="DJ6154" s="29"/>
    </row>
    <row r="6155" spans="114:114">
      <c r="DJ6155" s="29"/>
    </row>
    <row r="6156" spans="114:114">
      <c r="DJ6156" s="29"/>
    </row>
    <row r="6157" spans="114:114">
      <c r="DJ6157" s="29"/>
    </row>
    <row r="6158" spans="114:114">
      <c r="DJ6158" s="29"/>
    </row>
    <row r="6159" spans="114:114">
      <c r="DJ6159" s="29"/>
    </row>
    <row r="6160" spans="114:114">
      <c r="DJ6160" s="29"/>
    </row>
    <row r="6161" spans="114:114">
      <c r="DJ6161" s="29"/>
    </row>
    <row r="6162" spans="114:114">
      <c r="DJ6162" s="29"/>
    </row>
    <row r="6163" spans="114:114">
      <c r="DJ6163" s="29"/>
    </row>
    <row r="6164" spans="114:114">
      <c r="DJ6164" s="29"/>
    </row>
    <row r="6165" spans="114:114">
      <c r="DJ6165" s="29"/>
    </row>
    <row r="6166" spans="114:114">
      <c r="DJ6166" s="29"/>
    </row>
    <row r="6167" spans="114:114">
      <c r="DJ6167" s="29"/>
    </row>
    <row r="6168" spans="114:114">
      <c r="DJ6168" s="29"/>
    </row>
    <row r="6169" spans="114:114">
      <c r="DJ6169" s="29"/>
    </row>
    <row r="6170" spans="114:114">
      <c r="DJ6170" s="29"/>
    </row>
    <row r="6171" spans="114:114">
      <c r="DJ6171" s="29"/>
    </row>
    <row r="6172" spans="114:114">
      <c r="DJ6172" s="29"/>
    </row>
    <row r="6173" spans="114:114">
      <c r="DJ6173" s="29"/>
    </row>
    <row r="6174" spans="114:114">
      <c r="DJ6174" s="29"/>
    </row>
    <row r="6175" spans="114:114">
      <c r="DJ6175" s="29"/>
    </row>
    <row r="6176" spans="114:114">
      <c r="DJ6176" s="29"/>
    </row>
    <row r="6177" spans="114:114">
      <c r="DJ6177" s="29"/>
    </row>
    <row r="6178" spans="114:114">
      <c r="DJ6178" s="29"/>
    </row>
    <row r="6179" spans="114:114">
      <c r="DJ6179" s="29"/>
    </row>
    <row r="6180" spans="114:114">
      <c r="DJ6180" s="29"/>
    </row>
    <row r="6181" spans="114:114">
      <c r="DJ6181" s="29"/>
    </row>
    <row r="6182" spans="114:114">
      <c r="DJ6182" s="29"/>
    </row>
    <row r="6183" spans="114:114">
      <c r="DJ6183" s="29"/>
    </row>
    <row r="6184" spans="114:114">
      <c r="DJ6184" s="29"/>
    </row>
    <row r="6185" spans="114:114">
      <c r="DJ6185" s="29"/>
    </row>
    <row r="6186" spans="114:114">
      <c r="DJ6186" s="29"/>
    </row>
    <row r="6187" spans="114:114">
      <c r="DJ6187" s="29"/>
    </row>
    <row r="6188" spans="114:114">
      <c r="DJ6188" s="29"/>
    </row>
    <row r="6189" spans="114:114">
      <c r="DJ6189" s="29"/>
    </row>
    <row r="6190" spans="114:114">
      <c r="DJ6190" s="29"/>
    </row>
    <row r="6191" spans="114:114">
      <c r="DJ6191" s="29"/>
    </row>
    <row r="6192" spans="114:114">
      <c r="DJ6192" s="29"/>
    </row>
    <row r="6193" spans="114:114">
      <c r="DJ6193" s="29"/>
    </row>
    <row r="6194" spans="114:114">
      <c r="DJ6194" s="29"/>
    </row>
    <row r="6195" spans="114:114">
      <c r="DJ6195" s="29"/>
    </row>
    <row r="6196" spans="114:114">
      <c r="DJ6196" s="29"/>
    </row>
    <row r="6197" spans="114:114">
      <c r="DJ6197" s="29"/>
    </row>
    <row r="6198" spans="114:114">
      <c r="DJ6198" s="29"/>
    </row>
    <row r="6199" spans="114:114">
      <c r="DJ6199" s="29"/>
    </row>
    <row r="6200" spans="114:114">
      <c r="DJ6200" s="29"/>
    </row>
    <row r="6201" spans="114:114">
      <c r="DJ6201" s="29"/>
    </row>
    <row r="6202" spans="114:114">
      <c r="DJ6202" s="29"/>
    </row>
    <row r="6203" spans="114:114">
      <c r="DJ6203" s="29"/>
    </row>
    <row r="6204" spans="114:114">
      <c r="DJ6204" s="29"/>
    </row>
    <row r="6205" spans="114:114">
      <c r="DJ6205" s="29"/>
    </row>
    <row r="6206" spans="114:114">
      <c r="DJ6206" s="29"/>
    </row>
    <row r="6207" spans="114:114">
      <c r="DJ6207" s="29"/>
    </row>
    <row r="6208" spans="114:114">
      <c r="DJ6208" s="29"/>
    </row>
    <row r="6209" spans="114:114">
      <c r="DJ6209" s="29"/>
    </row>
    <row r="6210" spans="114:114">
      <c r="DJ6210" s="29"/>
    </row>
    <row r="6211" spans="114:114">
      <c r="DJ6211" s="29"/>
    </row>
    <row r="6212" spans="114:114">
      <c r="DJ6212" s="29"/>
    </row>
    <row r="6213" spans="114:114">
      <c r="DJ6213" s="29"/>
    </row>
    <row r="6214" spans="114:114">
      <c r="DJ6214" s="29"/>
    </row>
    <row r="6215" spans="114:114">
      <c r="DJ6215" s="29"/>
    </row>
    <row r="6216" spans="114:114">
      <c r="DJ6216" s="29"/>
    </row>
    <row r="6217" spans="114:114">
      <c r="DJ6217" s="29"/>
    </row>
    <row r="6218" spans="114:114">
      <c r="DJ6218" s="29"/>
    </row>
    <row r="6219" spans="114:114">
      <c r="DJ6219" s="29"/>
    </row>
    <row r="6220" spans="114:114">
      <c r="DJ6220" s="29"/>
    </row>
    <row r="6221" spans="114:114">
      <c r="DJ6221" s="29"/>
    </row>
    <row r="6222" spans="114:114">
      <c r="DJ6222" s="29"/>
    </row>
    <row r="6223" spans="114:114">
      <c r="DJ6223" s="29"/>
    </row>
    <row r="6224" spans="114:114">
      <c r="DJ6224" s="29"/>
    </row>
    <row r="6225" spans="114:114">
      <c r="DJ6225" s="29"/>
    </row>
    <row r="6226" spans="114:114">
      <c r="DJ6226" s="29"/>
    </row>
    <row r="6227" spans="114:114">
      <c r="DJ6227" s="29"/>
    </row>
    <row r="6228" spans="114:114">
      <c r="DJ6228" s="29"/>
    </row>
    <row r="6229" spans="114:114">
      <c r="DJ6229" s="29"/>
    </row>
    <row r="6230" spans="114:114">
      <c r="DJ6230" s="29"/>
    </row>
    <row r="6231" spans="114:114">
      <c r="DJ6231" s="29"/>
    </row>
    <row r="6232" spans="114:114">
      <c r="DJ6232" s="29"/>
    </row>
    <row r="6233" spans="114:114">
      <c r="DJ6233" s="29"/>
    </row>
    <row r="6234" spans="114:114">
      <c r="DJ6234" s="29"/>
    </row>
    <row r="6235" spans="114:114">
      <c r="DJ6235" s="29"/>
    </row>
    <row r="6236" spans="114:114">
      <c r="DJ6236" s="29"/>
    </row>
    <row r="6237" spans="114:114">
      <c r="DJ6237" s="29"/>
    </row>
    <row r="6238" spans="114:114">
      <c r="DJ6238" s="29"/>
    </row>
    <row r="6239" spans="114:114">
      <c r="DJ6239" s="29"/>
    </row>
    <row r="6240" spans="114:114">
      <c r="DJ6240" s="29"/>
    </row>
    <row r="6241" spans="114:114">
      <c r="DJ6241" s="29"/>
    </row>
    <row r="6242" spans="114:114">
      <c r="DJ6242" s="29"/>
    </row>
    <row r="6243" spans="114:114">
      <c r="DJ6243" s="29"/>
    </row>
    <row r="6244" spans="114:114">
      <c r="DJ6244" s="29"/>
    </row>
    <row r="6245" spans="114:114">
      <c r="DJ6245" s="29"/>
    </row>
    <row r="6246" spans="114:114">
      <c r="DJ6246" s="29"/>
    </row>
    <row r="6247" spans="114:114">
      <c r="DJ6247" s="29"/>
    </row>
    <row r="6248" spans="114:114">
      <c r="DJ6248" s="29"/>
    </row>
    <row r="6249" spans="114:114">
      <c r="DJ6249" s="29"/>
    </row>
    <row r="6250" spans="114:114">
      <c r="DJ6250" s="29"/>
    </row>
    <row r="6251" spans="114:114">
      <c r="DJ6251" s="29"/>
    </row>
    <row r="6252" spans="114:114">
      <c r="DJ6252" s="29"/>
    </row>
    <row r="6253" spans="114:114">
      <c r="DJ6253" s="29"/>
    </row>
    <row r="6254" spans="114:114">
      <c r="DJ6254" s="29"/>
    </row>
    <row r="6255" spans="114:114">
      <c r="DJ6255" s="29"/>
    </row>
    <row r="6256" spans="114:114">
      <c r="DJ6256" s="29"/>
    </row>
    <row r="6257" spans="114:114">
      <c r="DJ6257" s="29"/>
    </row>
    <row r="6258" spans="114:114">
      <c r="DJ6258" s="29"/>
    </row>
    <row r="6259" spans="114:114">
      <c r="DJ6259" s="29"/>
    </row>
    <row r="6260" spans="114:114">
      <c r="DJ6260" s="29"/>
    </row>
    <row r="6261" spans="114:114">
      <c r="DJ6261" s="29"/>
    </row>
    <row r="6262" spans="114:114">
      <c r="DJ6262" s="29"/>
    </row>
    <row r="6263" spans="114:114">
      <c r="DJ6263" s="29"/>
    </row>
    <row r="6264" spans="114:114">
      <c r="DJ6264" s="29"/>
    </row>
    <row r="6265" spans="114:114">
      <c r="DJ6265" s="29"/>
    </row>
    <row r="6266" spans="114:114">
      <c r="DJ6266" s="29"/>
    </row>
    <row r="6267" spans="114:114">
      <c r="DJ6267" s="29"/>
    </row>
    <row r="6268" spans="114:114">
      <c r="DJ6268" s="29"/>
    </row>
    <row r="6269" spans="114:114">
      <c r="DJ6269" s="29"/>
    </row>
    <row r="6270" spans="114:114">
      <c r="DJ6270" s="29"/>
    </row>
    <row r="6271" spans="114:114">
      <c r="DJ6271" s="29"/>
    </row>
    <row r="6272" spans="114:114">
      <c r="DJ6272" s="29"/>
    </row>
    <row r="6273" spans="114:114">
      <c r="DJ6273" s="29"/>
    </row>
    <row r="6274" spans="114:114">
      <c r="DJ6274" s="29"/>
    </row>
    <row r="6275" spans="114:114">
      <c r="DJ6275" s="29"/>
    </row>
    <row r="6276" spans="114:114">
      <c r="DJ6276" s="29"/>
    </row>
    <row r="6277" spans="114:114">
      <c r="DJ6277" s="29"/>
    </row>
    <row r="6278" spans="114:114">
      <c r="DJ6278" s="29"/>
    </row>
    <row r="6279" spans="114:114">
      <c r="DJ6279" s="29"/>
    </row>
    <row r="6280" spans="114:114">
      <c r="DJ6280" s="29"/>
    </row>
    <row r="6281" spans="114:114">
      <c r="DJ6281" s="29"/>
    </row>
    <row r="6282" spans="114:114">
      <c r="DJ6282" s="29"/>
    </row>
    <row r="6283" spans="114:114">
      <c r="DJ6283" s="29"/>
    </row>
    <row r="6284" spans="114:114">
      <c r="DJ6284" s="29"/>
    </row>
    <row r="6285" spans="114:114">
      <c r="DJ6285" s="29"/>
    </row>
    <row r="6286" spans="114:114">
      <c r="DJ6286" s="29"/>
    </row>
    <row r="6287" spans="114:114">
      <c r="DJ6287" s="29"/>
    </row>
    <row r="6288" spans="114:114">
      <c r="DJ6288" s="29"/>
    </row>
    <row r="6289" spans="114:114">
      <c r="DJ6289" s="29"/>
    </row>
    <row r="6290" spans="114:114">
      <c r="DJ6290" s="29"/>
    </row>
    <row r="6291" spans="114:114">
      <c r="DJ6291" s="29"/>
    </row>
    <row r="6292" spans="114:114">
      <c r="DJ6292" s="29"/>
    </row>
    <row r="6293" spans="114:114">
      <c r="DJ6293" s="29"/>
    </row>
    <row r="6294" spans="114:114">
      <c r="DJ6294" s="29"/>
    </row>
    <row r="6295" spans="114:114">
      <c r="DJ6295" s="29"/>
    </row>
    <row r="6296" spans="114:114">
      <c r="DJ6296" s="29"/>
    </row>
    <row r="6297" spans="114:114">
      <c r="DJ6297" s="29"/>
    </row>
    <row r="6298" spans="114:114">
      <c r="DJ6298" s="29"/>
    </row>
    <row r="6299" spans="114:114">
      <c r="DJ6299" s="29"/>
    </row>
    <row r="6300" spans="114:114">
      <c r="DJ6300" s="29"/>
    </row>
    <row r="6301" spans="114:114">
      <c r="DJ6301" s="29"/>
    </row>
    <row r="6302" spans="114:114">
      <c r="DJ6302" s="29"/>
    </row>
    <row r="6303" spans="114:114">
      <c r="DJ6303" s="29"/>
    </row>
    <row r="6304" spans="114:114">
      <c r="DJ6304" s="29"/>
    </row>
    <row r="6305" spans="114:114">
      <c r="DJ6305" s="29"/>
    </row>
    <row r="6306" spans="114:114">
      <c r="DJ6306" s="29"/>
    </row>
    <row r="6307" spans="114:114">
      <c r="DJ6307" s="29"/>
    </row>
    <row r="6308" spans="114:114">
      <c r="DJ6308" s="29"/>
    </row>
    <row r="6309" spans="114:114">
      <c r="DJ6309" s="29"/>
    </row>
    <row r="6310" spans="114:114">
      <c r="DJ6310" s="29"/>
    </row>
    <row r="6311" spans="114:114">
      <c r="DJ6311" s="29"/>
    </row>
    <row r="6312" spans="114:114">
      <c r="DJ6312" s="29"/>
    </row>
    <row r="6313" spans="114:114">
      <c r="DJ6313" s="29"/>
    </row>
    <row r="6314" spans="114:114">
      <c r="DJ6314" s="29"/>
    </row>
    <row r="6315" spans="114:114">
      <c r="DJ6315" s="29"/>
    </row>
    <row r="6316" spans="114:114">
      <c r="DJ6316" s="29"/>
    </row>
    <row r="6317" spans="114:114">
      <c r="DJ6317" s="29"/>
    </row>
    <row r="6318" spans="114:114">
      <c r="DJ6318" s="29"/>
    </row>
    <row r="6319" spans="114:114">
      <c r="DJ6319" s="29"/>
    </row>
    <row r="6320" spans="114:114">
      <c r="DJ6320" s="29"/>
    </row>
    <row r="6321" spans="114:114">
      <c r="DJ6321" s="29"/>
    </row>
    <row r="6322" spans="114:114">
      <c r="DJ6322" s="29"/>
    </row>
    <row r="6323" spans="114:114">
      <c r="DJ6323" s="29"/>
    </row>
    <row r="6324" spans="114:114">
      <c r="DJ6324" s="29"/>
    </row>
    <row r="6325" spans="114:114">
      <c r="DJ6325" s="29"/>
    </row>
    <row r="6326" spans="114:114">
      <c r="DJ6326" s="29"/>
    </row>
    <row r="6327" spans="114:114">
      <c r="DJ6327" s="29"/>
    </row>
    <row r="6328" spans="114:114">
      <c r="DJ6328" s="29"/>
    </row>
    <row r="6329" spans="114:114">
      <c r="DJ6329" s="29"/>
    </row>
    <row r="6330" spans="114:114">
      <c r="DJ6330" s="29"/>
    </row>
    <row r="6331" spans="114:114">
      <c r="DJ6331" s="29"/>
    </row>
    <row r="6332" spans="114:114">
      <c r="DJ6332" s="29"/>
    </row>
    <row r="6333" spans="114:114">
      <c r="DJ6333" s="29"/>
    </row>
    <row r="6334" spans="114:114">
      <c r="DJ6334" s="29"/>
    </row>
    <row r="6335" spans="114:114">
      <c r="DJ6335" s="29"/>
    </row>
    <row r="6336" spans="114:114">
      <c r="DJ6336" s="29"/>
    </row>
    <row r="6337" spans="114:114">
      <c r="DJ6337" s="29"/>
    </row>
    <row r="6338" spans="114:114">
      <c r="DJ6338" s="29"/>
    </row>
    <row r="6339" spans="114:114">
      <c r="DJ6339" s="29"/>
    </row>
    <row r="6340" spans="114:114">
      <c r="DJ6340" s="29"/>
    </row>
    <row r="6341" spans="114:114">
      <c r="DJ6341" s="29"/>
    </row>
    <row r="6342" spans="114:114">
      <c r="DJ6342" s="29"/>
    </row>
    <row r="6343" spans="114:114">
      <c r="DJ6343" s="29"/>
    </row>
    <row r="6344" spans="114:114">
      <c r="DJ6344" s="29"/>
    </row>
    <row r="6345" spans="114:114">
      <c r="DJ6345" s="29"/>
    </row>
    <row r="6346" spans="114:114">
      <c r="DJ6346" s="29"/>
    </row>
    <row r="6347" spans="114:114">
      <c r="DJ6347" s="29"/>
    </row>
    <row r="6348" spans="114:114">
      <c r="DJ6348" s="29"/>
    </row>
    <row r="6349" spans="114:114">
      <c r="DJ6349" s="29"/>
    </row>
    <row r="6350" spans="114:114">
      <c r="DJ6350" s="29"/>
    </row>
    <row r="6351" spans="114:114">
      <c r="DJ6351" s="29"/>
    </row>
    <row r="6352" spans="114:114">
      <c r="DJ6352" s="29"/>
    </row>
    <row r="6353" spans="114:114">
      <c r="DJ6353" s="29"/>
    </row>
    <row r="6354" spans="114:114">
      <c r="DJ6354" s="29"/>
    </row>
    <row r="6355" spans="114:114">
      <c r="DJ6355" s="29"/>
    </row>
    <row r="6356" spans="114:114">
      <c r="DJ6356" s="29"/>
    </row>
    <row r="6357" spans="114:114">
      <c r="DJ6357" s="29"/>
    </row>
    <row r="6358" spans="114:114">
      <c r="DJ6358" s="29"/>
    </row>
    <row r="6359" spans="114:114">
      <c r="DJ6359" s="29"/>
    </row>
    <row r="6360" spans="114:114">
      <c r="DJ6360" s="29"/>
    </row>
    <row r="6361" spans="114:114">
      <c r="DJ6361" s="29"/>
    </row>
    <row r="6362" spans="114:114">
      <c r="DJ6362" s="29"/>
    </row>
    <row r="6363" spans="114:114">
      <c r="DJ6363" s="29"/>
    </row>
    <row r="6364" spans="114:114">
      <c r="DJ6364" s="29"/>
    </row>
    <row r="6365" spans="114:114">
      <c r="DJ6365" s="29"/>
    </row>
    <row r="6366" spans="114:114">
      <c r="DJ6366" s="29"/>
    </row>
    <row r="6367" spans="114:114">
      <c r="DJ6367" s="29"/>
    </row>
    <row r="6368" spans="114:114">
      <c r="DJ6368" s="29"/>
    </row>
    <row r="6369" spans="114:114">
      <c r="DJ6369" s="29"/>
    </row>
    <row r="6370" spans="114:114">
      <c r="DJ6370" s="29"/>
    </row>
    <row r="6371" spans="114:114">
      <c r="DJ6371" s="29"/>
    </row>
    <row r="6372" spans="114:114">
      <c r="DJ6372" s="29"/>
    </row>
    <row r="6373" spans="114:114">
      <c r="DJ6373" s="29"/>
    </row>
    <row r="6374" spans="114:114">
      <c r="DJ6374" s="29"/>
    </row>
    <row r="6375" spans="114:114">
      <c r="DJ6375" s="29"/>
    </row>
    <row r="6376" spans="114:114">
      <c r="DJ6376" s="29"/>
    </row>
    <row r="6377" spans="114:114">
      <c r="DJ6377" s="29"/>
    </row>
    <row r="6378" spans="114:114">
      <c r="DJ6378" s="29"/>
    </row>
    <row r="6379" spans="114:114">
      <c r="DJ6379" s="29"/>
    </row>
    <row r="6380" spans="114:114">
      <c r="DJ6380" s="29"/>
    </row>
    <row r="6381" spans="114:114">
      <c r="DJ6381" s="29"/>
    </row>
    <row r="6382" spans="114:114">
      <c r="DJ6382" s="29"/>
    </row>
    <row r="6383" spans="114:114">
      <c r="DJ6383" s="29"/>
    </row>
    <row r="6384" spans="114:114">
      <c r="DJ6384" s="29"/>
    </row>
    <row r="6385" spans="114:114">
      <c r="DJ6385" s="29"/>
    </row>
    <row r="6386" spans="114:114">
      <c r="DJ6386" s="29"/>
    </row>
    <row r="6387" spans="114:114">
      <c r="DJ6387" s="29"/>
    </row>
    <row r="6388" spans="114:114">
      <c r="DJ6388" s="29"/>
    </row>
    <row r="6389" spans="114:114">
      <c r="DJ6389" s="29"/>
    </row>
    <row r="6390" spans="114:114">
      <c r="DJ6390" s="29"/>
    </row>
    <row r="6391" spans="114:114">
      <c r="DJ6391" s="29"/>
    </row>
    <row r="6392" spans="114:114">
      <c r="DJ6392" s="29"/>
    </row>
    <row r="6393" spans="114:114">
      <c r="DJ6393" s="29"/>
    </row>
    <row r="6394" spans="114:114">
      <c r="DJ6394" s="29"/>
    </row>
    <row r="6395" spans="114:114">
      <c r="DJ6395" s="29"/>
    </row>
    <row r="6396" spans="114:114">
      <c r="DJ6396" s="29"/>
    </row>
    <row r="6397" spans="114:114">
      <c r="DJ6397" s="29"/>
    </row>
    <row r="6398" spans="114:114">
      <c r="DJ6398" s="29"/>
    </row>
    <row r="6399" spans="114:114">
      <c r="DJ6399" s="29"/>
    </row>
    <row r="6400" spans="114:114">
      <c r="DJ6400" s="29"/>
    </row>
    <row r="6401" spans="114:114">
      <c r="DJ6401" s="29"/>
    </row>
    <row r="6402" spans="114:114">
      <c r="DJ6402" s="29"/>
    </row>
    <row r="6403" spans="114:114">
      <c r="DJ6403" s="29"/>
    </row>
    <row r="6404" spans="114:114">
      <c r="DJ6404" s="29"/>
    </row>
    <row r="6405" spans="114:114">
      <c r="DJ6405" s="29"/>
    </row>
    <row r="6406" spans="114:114">
      <c r="DJ6406" s="29"/>
    </row>
    <row r="6407" spans="114:114">
      <c r="DJ6407" s="29"/>
    </row>
    <row r="6408" spans="114:114">
      <c r="DJ6408" s="29"/>
    </row>
    <row r="6409" spans="114:114">
      <c r="DJ6409" s="29"/>
    </row>
    <row r="6410" spans="114:114">
      <c r="DJ6410" s="29"/>
    </row>
    <row r="6411" spans="114:114">
      <c r="DJ6411" s="29"/>
    </row>
    <row r="6412" spans="114:114">
      <c r="DJ6412" s="29"/>
    </row>
    <row r="6413" spans="114:114">
      <c r="DJ6413" s="29"/>
    </row>
    <row r="6414" spans="114:114">
      <c r="DJ6414" s="29"/>
    </row>
    <row r="6415" spans="114:114">
      <c r="DJ6415" s="29"/>
    </row>
    <row r="6416" spans="114:114">
      <c r="DJ6416" s="29"/>
    </row>
    <row r="6417" spans="114:114">
      <c r="DJ6417" s="29"/>
    </row>
    <row r="6418" spans="114:114">
      <c r="DJ6418" s="29"/>
    </row>
    <row r="6419" spans="114:114">
      <c r="DJ6419" s="29"/>
    </row>
    <row r="6420" spans="114:114">
      <c r="DJ6420" s="29"/>
    </row>
    <row r="6421" spans="114:114">
      <c r="DJ6421" s="29"/>
    </row>
    <row r="6422" spans="114:114">
      <c r="DJ6422" s="29"/>
    </row>
    <row r="6423" spans="114:114">
      <c r="DJ6423" s="29"/>
    </row>
    <row r="6424" spans="114:114">
      <c r="DJ6424" s="29"/>
    </row>
    <row r="6425" spans="114:114">
      <c r="DJ6425" s="29"/>
    </row>
    <row r="6426" spans="114:114">
      <c r="DJ6426" s="29"/>
    </row>
    <row r="6427" spans="114:114">
      <c r="DJ6427" s="29"/>
    </row>
    <row r="6428" spans="114:114">
      <c r="DJ6428" s="29"/>
    </row>
    <row r="6429" spans="114:114">
      <c r="DJ6429" s="29"/>
    </row>
    <row r="6430" spans="114:114">
      <c r="DJ6430" s="29"/>
    </row>
    <row r="6431" spans="114:114">
      <c r="DJ6431" s="29"/>
    </row>
    <row r="6432" spans="114:114">
      <c r="DJ6432" s="29"/>
    </row>
    <row r="6433" spans="114:114">
      <c r="DJ6433" s="29"/>
    </row>
    <row r="6434" spans="114:114">
      <c r="DJ6434" s="29"/>
    </row>
    <row r="6435" spans="114:114">
      <c r="DJ6435" s="29"/>
    </row>
    <row r="6436" spans="114:114">
      <c r="DJ6436" s="29"/>
    </row>
    <row r="6437" spans="114:114">
      <c r="DJ6437" s="29"/>
    </row>
    <row r="6438" spans="114:114">
      <c r="DJ6438" s="29"/>
    </row>
    <row r="6439" spans="114:114">
      <c r="DJ6439" s="29"/>
    </row>
    <row r="6440" spans="114:114">
      <c r="DJ6440" s="29"/>
    </row>
    <row r="6441" spans="114:114">
      <c r="DJ6441" s="29"/>
    </row>
    <row r="6442" spans="114:114">
      <c r="DJ6442" s="29"/>
    </row>
    <row r="6443" spans="114:114">
      <c r="DJ6443" s="29"/>
    </row>
    <row r="6444" spans="114:114">
      <c r="DJ6444" s="29"/>
    </row>
    <row r="6445" spans="114:114">
      <c r="DJ6445" s="29"/>
    </row>
    <row r="6446" spans="114:114">
      <c r="DJ6446" s="29"/>
    </row>
    <row r="6447" spans="114:114">
      <c r="DJ6447" s="29"/>
    </row>
    <row r="6448" spans="114:114">
      <c r="DJ6448" s="29"/>
    </row>
    <row r="6449" spans="114:114">
      <c r="DJ6449" s="29"/>
    </row>
    <row r="6450" spans="114:114">
      <c r="DJ6450" s="29"/>
    </row>
    <row r="6451" spans="114:114">
      <c r="DJ6451" s="29"/>
    </row>
    <row r="6452" spans="114:114">
      <c r="DJ6452" s="29"/>
    </row>
    <row r="6453" spans="114:114">
      <c r="DJ6453" s="29"/>
    </row>
    <row r="6454" spans="114:114">
      <c r="DJ6454" s="29"/>
    </row>
    <row r="6455" spans="114:114">
      <c r="DJ6455" s="29"/>
    </row>
    <row r="6456" spans="114:114">
      <c r="DJ6456" s="29"/>
    </row>
    <row r="6457" spans="114:114">
      <c r="DJ6457" s="29"/>
    </row>
    <row r="6458" spans="114:114">
      <c r="DJ6458" s="29"/>
    </row>
    <row r="6459" spans="114:114">
      <c r="DJ6459" s="29"/>
    </row>
    <row r="6460" spans="114:114">
      <c r="DJ6460" s="29"/>
    </row>
    <row r="6461" spans="114:114">
      <c r="DJ6461" s="29"/>
    </row>
    <row r="6462" spans="114:114">
      <c r="DJ6462" s="29"/>
    </row>
    <row r="6463" spans="114:114">
      <c r="DJ6463" s="29"/>
    </row>
    <row r="6464" spans="114:114">
      <c r="DJ6464" s="29"/>
    </row>
    <row r="6465" spans="114:114">
      <c r="DJ6465" s="29"/>
    </row>
    <row r="6466" spans="114:114">
      <c r="DJ6466" s="29"/>
    </row>
    <row r="6467" spans="114:114">
      <c r="DJ6467" s="29"/>
    </row>
    <row r="6468" spans="114:114">
      <c r="DJ6468" s="29"/>
    </row>
    <row r="6469" spans="114:114">
      <c r="DJ6469" s="29"/>
    </row>
    <row r="6470" spans="114:114">
      <c r="DJ6470" s="29"/>
    </row>
    <row r="6471" spans="114:114">
      <c r="DJ6471" s="29"/>
    </row>
    <row r="6472" spans="114:114">
      <c r="DJ6472" s="29"/>
    </row>
    <row r="6473" spans="114:114">
      <c r="DJ6473" s="29"/>
    </row>
    <row r="6474" spans="114:114">
      <c r="DJ6474" s="29"/>
    </row>
    <row r="6475" spans="114:114">
      <c r="DJ6475" s="29"/>
    </row>
    <row r="6476" spans="114:114">
      <c r="DJ6476" s="29"/>
    </row>
    <row r="6477" spans="114:114">
      <c r="DJ6477" s="29"/>
    </row>
    <row r="6478" spans="114:114">
      <c r="DJ6478" s="29"/>
    </row>
    <row r="6479" spans="114:114">
      <c r="DJ6479" s="29"/>
    </row>
    <row r="6480" spans="114:114">
      <c r="DJ6480" s="29"/>
    </row>
    <row r="6481" spans="114:114">
      <c r="DJ6481" s="29"/>
    </row>
    <row r="6482" spans="114:114">
      <c r="DJ6482" s="29"/>
    </row>
    <row r="6483" spans="114:114">
      <c r="DJ6483" s="29"/>
    </row>
    <row r="6484" spans="114:114">
      <c r="DJ6484" s="29"/>
    </row>
    <row r="6485" spans="114:114">
      <c r="DJ6485" s="29"/>
    </row>
    <row r="6486" spans="114:114">
      <c r="DJ6486" s="29"/>
    </row>
    <row r="6487" spans="114:114">
      <c r="DJ6487" s="29"/>
    </row>
    <row r="6488" spans="114:114">
      <c r="DJ6488" s="29"/>
    </row>
    <row r="6489" spans="114:114">
      <c r="DJ6489" s="29"/>
    </row>
    <row r="6490" spans="114:114">
      <c r="DJ6490" s="29"/>
    </row>
    <row r="6491" spans="114:114">
      <c r="DJ6491" s="29"/>
    </row>
    <row r="6492" spans="114:114">
      <c r="DJ6492" s="29"/>
    </row>
    <row r="6493" spans="114:114">
      <c r="DJ6493" s="29"/>
    </row>
    <row r="6494" spans="114:114">
      <c r="DJ6494" s="29"/>
    </row>
    <row r="6495" spans="114:114">
      <c r="DJ6495" s="29"/>
    </row>
    <row r="6496" spans="114:114">
      <c r="DJ6496" s="29"/>
    </row>
    <row r="6497" spans="114:114">
      <c r="DJ6497" s="29"/>
    </row>
    <row r="6498" spans="114:114">
      <c r="DJ6498" s="29"/>
    </row>
    <row r="6499" spans="114:114">
      <c r="DJ6499" s="29"/>
    </row>
    <row r="6500" spans="114:114">
      <c r="DJ6500" s="29"/>
    </row>
    <row r="6501" spans="114:114">
      <c r="DJ6501" s="29"/>
    </row>
    <row r="6502" spans="114:114">
      <c r="DJ6502" s="29"/>
    </row>
    <row r="6503" spans="114:114">
      <c r="DJ6503" s="29"/>
    </row>
    <row r="6504" spans="114:114">
      <c r="DJ6504" s="29"/>
    </row>
    <row r="6505" spans="114:114">
      <c r="DJ6505" s="29"/>
    </row>
    <row r="6506" spans="114:114">
      <c r="DJ6506" s="29"/>
    </row>
    <row r="6507" spans="114:114">
      <c r="DJ6507" s="29"/>
    </row>
    <row r="6508" spans="114:114">
      <c r="DJ6508" s="29"/>
    </row>
    <row r="6509" spans="114:114">
      <c r="DJ6509" s="29"/>
    </row>
    <row r="6510" spans="114:114">
      <c r="DJ6510" s="29"/>
    </row>
    <row r="6511" spans="114:114">
      <c r="DJ6511" s="29"/>
    </row>
    <row r="6512" spans="114:114">
      <c r="DJ6512" s="29"/>
    </row>
    <row r="6513" spans="114:114">
      <c r="DJ6513" s="29"/>
    </row>
    <row r="6514" spans="114:114">
      <c r="DJ6514" s="29"/>
    </row>
    <row r="6515" spans="114:114">
      <c r="DJ6515" s="29"/>
    </row>
    <row r="6516" spans="114:114">
      <c r="DJ6516" s="29"/>
    </row>
    <row r="6517" spans="114:114">
      <c r="DJ6517" s="29"/>
    </row>
    <row r="6518" spans="114:114">
      <c r="DJ6518" s="29"/>
    </row>
    <row r="6519" spans="114:114">
      <c r="DJ6519" s="29"/>
    </row>
    <row r="6520" spans="114:114">
      <c r="DJ6520" s="29"/>
    </row>
    <row r="6521" spans="114:114">
      <c r="DJ6521" s="29"/>
    </row>
    <row r="6522" spans="114:114">
      <c r="DJ6522" s="29"/>
    </row>
    <row r="6523" spans="114:114">
      <c r="DJ6523" s="29"/>
    </row>
    <row r="6524" spans="114:114">
      <c r="DJ6524" s="29"/>
    </row>
    <row r="6525" spans="114:114">
      <c r="DJ6525" s="29"/>
    </row>
    <row r="6526" spans="114:114">
      <c r="DJ6526" s="29"/>
    </row>
    <row r="6527" spans="114:114">
      <c r="DJ6527" s="29"/>
    </row>
    <row r="6528" spans="114:114">
      <c r="DJ6528" s="29"/>
    </row>
    <row r="6529" spans="114:114">
      <c r="DJ6529" s="29"/>
    </row>
    <row r="6530" spans="114:114">
      <c r="DJ6530" s="29"/>
    </row>
    <row r="6531" spans="114:114">
      <c r="DJ6531" s="29"/>
    </row>
    <row r="6532" spans="114:114">
      <c r="DJ6532" s="29"/>
    </row>
    <row r="6533" spans="114:114">
      <c r="DJ6533" s="29"/>
    </row>
    <row r="6534" spans="114:114">
      <c r="DJ6534" s="29"/>
    </row>
    <row r="6535" spans="114:114">
      <c r="DJ6535" s="29"/>
    </row>
    <row r="6536" spans="114:114">
      <c r="DJ6536" s="29"/>
    </row>
    <row r="6537" spans="114:114">
      <c r="DJ6537" s="29"/>
    </row>
    <row r="6538" spans="114:114">
      <c r="DJ6538" s="29"/>
    </row>
    <row r="6539" spans="114:114">
      <c r="DJ6539" s="29"/>
    </row>
    <row r="6540" spans="114:114">
      <c r="DJ6540" s="29"/>
    </row>
    <row r="6541" spans="114:114">
      <c r="DJ6541" s="29"/>
    </row>
    <row r="6542" spans="114:114">
      <c r="DJ6542" s="29"/>
    </row>
    <row r="6543" spans="114:114">
      <c r="DJ6543" s="29"/>
    </row>
    <row r="6544" spans="114:114">
      <c r="DJ6544" s="29"/>
    </row>
    <row r="6545" spans="114:114">
      <c r="DJ6545" s="29"/>
    </row>
    <row r="6546" spans="114:114">
      <c r="DJ6546" s="29"/>
    </row>
    <row r="6547" spans="114:114">
      <c r="DJ6547" s="29"/>
    </row>
    <row r="6548" spans="114:114">
      <c r="DJ6548" s="29"/>
    </row>
    <row r="6549" spans="114:114">
      <c r="DJ6549" s="29"/>
    </row>
    <row r="6550" spans="114:114">
      <c r="DJ6550" s="29"/>
    </row>
    <row r="6551" spans="114:114">
      <c r="DJ6551" s="29"/>
    </row>
    <row r="6552" spans="114:114">
      <c r="DJ6552" s="29"/>
    </row>
    <row r="6553" spans="114:114">
      <c r="DJ6553" s="29"/>
    </row>
    <row r="6554" spans="114:114">
      <c r="DJ6554" s="29"/>
    </row>
    <row r="6555" spans="114:114">
      <c r="DJ6555" s="29"/>
    </row>
    <row r="6556" spans="114:114">
      <c r="DJ6556" s="29"/>
    </row>
    <row r="6557" spans="114:114">
      <c r="DJ6557" s="29"/>
    </row>
    <row r="6558" spans="114:114">
      <c r="DJ6558" s="29"/>
    </row>
    <row r="6559" spans="114:114">
      <c r="DJ6559" s="29"/>
    </row>
    <row r="6560" spans="114:114">
      <c r="DJ6560" s="29"/>
    </row>
    <row r="6561" spans="114:114">
      <c r="DJ6561" s="29"/>
    </row>
    <row r="6562" spans="114:114">
      <c r="DJ6562" s="29"/>
    </row>
    <row r="6563" spans="114:114">
      <c r="DJ6563" s="29"/>
    </row>
    <row r="6564" spans="114:114">
      <c r="DJ6564" s="29"/>
    </row>
    <row r="6565" spans="114:114">
      <c r="DJ6565" s="29"/>
    </row>
    <row r="6566" spans="114:114">
      <c r="DJ6566" s="29"/>
    </row>
    <row r="6567" spans="114:114">
      <c r="DJ6567" s="29"/>
    </row>
    <row r="6568" spans="114:114">
      <c r="DJ6568" s="29"/>
    </row>
    <row r="6569" spans="114:114">
      <c r="DJ6569" s="29"/>
    </row>
    <row r="6570" spans="114:114">
      <c r="DJ6570" s="29"/>
    </row>
    <row r="6571" spans="114:114">
      <c r="DJ6571" s="29"/>
    </row>
    <row r="6572" spans="114:114">
      <c r="DJ6572" s="29"/>
    </row>
    <row r="6573" spans="114:114">
      <c r="DJ6573" s="29"/>
    </row>
    <row r="6574" spans="114:114">
      <c r="DJ6574" s="29"/>
    </row>
    <row r="6575" spans="114:114">
      <c r="DJ6575" s="29"/>
    </row>
    <row r="6576" spans="114:114">
      <c r="DJ6576" s="29"/>
    </row>
    <row r="6577" spans="114:114">
      <c r="DJ6577" s="29"/>
    </row>
    <row r="6578" spans="114:114">
      <c r="DJ6578" s="29"/>
    </row>
    <row r="6579" spans="114:114">
      <c r="DJ6579" s="29"/>
    </row>
    <row r="6580" spans="114:114">
      <c r="DJ6580" s="29"/>
    </row>
    <row r="6581" spans="114:114">
      <c r="DJ6581" s="29"/>
    </row>
    <row r="6582" spans="114:114">
      <c r="DJ6582" s="29"/>
    </row>
    <row r="6583" spans="114:114">
      <c r="DJ6583" s="29"/>
    </row>
    <row r="6584" spans="114:114">
      <c r="DJ6584" s="29"/>
    </row>
    <row r="6585" spans="114:114">
      <c r="DJ6585" s="29"/>
    </row>
    <row r="6586" spans="114:114">
      <c r="DJ6586" s="29"/>
    </row>
    <row r="6587" spans="114:114">
      <c r="DJ6587" s="29"/>
    </row>
    <row r="6588" spans="114:114">
      <c r="DJ6588" s="29"/>
    </row>
    <row r="6589" spans="114:114">
      <c r="DJ6589" s="29"/>
    </row>
    <row r="6590" spans="114:114">
      <c r="DJ6590" s="29"/>
    </row>
    <row r="6591" spans="114:114">
      <c r="DJ6591" s="29"/>
    </row>
    <row r="6592" spans="114:114">
      <c r="DJ6592" s="29"/>
    </row>
    <row r="6593" spans="114:114">
      <c r="DJ6593" s="29"/>
    </row>
    <row r="6594" spans="114:114">
      <c r="DJ6594" s="29"/>
    </row>
    <row r="6595" spans="114:114">
      <c r="DJ6595" s="29"/>
    </row>
    <row r="6596" spans="114:114">
      <c r="DJ6596" s="29"/>
    </row>
    <row r="6597" spans="114:114">
      <c r="DJ6597" s="29"/>
    </row>
    <row r="6598" spans="114:114">
      <c r="DJ6598" s="29"/>
    </row>
    <row r="6599" spans="114:114">
      <c r="DJ6599" s="29"/>
    </row>
    <row r="6600" spans="114:114">
      <c r="DJ6600" s="29"/>
    </row>
    <row r="6601" spans="114:114">
      <c r="DJ6601" s="29"/>
    </row>
    <row r="6602" spans="114:114">
      <c r="DJ6602" s="29"/>
    </row>
    <row r="6603" spans="114:114">
      <c r="DJ6603" s="29"/>
    </row>
    <row r="6604" spans="114:114">
      <c r="DJ6604" s="29"/>
    </row>
    <row r="6605" spans="114:114">
      <c r="DJ6605" s="29"/>
    </row>
    <row r="6606" spans="114:114">
      <c r="DJ6606" s="29"/>
    </row>
    <row r="6607" spans="114:114">
      <c r="DJ6607" s="29"/>
    </row>
    <row r="6608" spans="114:114">
      <c r="DJ6608" s="29"/>
    </row>
    <row r="6609" spans="114:114">
      <c r="DJ6609" s="29"/>
    </row>
    <row r="6610" spans="114:114">
      <c r="DJ6610" s="29"/>
    </row>
    <row r="6611" spans="114:114">
      <c r="DJ6611" s="29"/>
    </row>
    <row r="6612" spans="114:114">
      <c r="DJ6612" s="29"/>
    </row>
    <row r="6613" spans="114:114">
      <c r="DJ6613" s="29"/>
    </row>
    <row r="6614" spans="114:114">
      <c r="DJ6614" s="29"/>
    </row>
    <row r="6615" spans="114:114">
      <c r="DJ6615" s="29"/>
    </row>
    <row r="6616" spans="114:114">
      <c r="DJ6616" s="29"/>
    </row>
    <row r="6617" spans="114:114">
      <c r="DJ6617" s="29"/>
    </row>
    <row r="6618" spans="114:114">
      <c r="DJ6618" s="29"/>
    </row>
    <row r="6619" spans="114:114">
      <c r="DJ6619" s="29"/>
    </row>
    <row r="6620" spans="114:114">
      <c r="DJ6620" s="29"/>
    </row>
    <row r="6621" spans="114:114">
      <c r="DJ6621" s="29"/>
    </row>
    <row r="6622" spans="114:114">
      <c r="DJ6622" s="29"/>
    </row>
    <row r="6623" spans="114:114">
      <c r="DJ6623" s="29"/>
    </row>
    <row r="6624" spans="114:114">
      <c r="DJ6624" s="29"/>
    </row>
    <row r="6625" spans="114:114">
      <c r="DJ6625" s="29"/>
    </row>
    <row r="6626" spans="114:114">
      <c r="DJ6626" s="29"/>
    </row>
    <row r="6627" spans="114:114">
      <c r="DJ6627" s="29"/>
    </row>
    <row r="6628" spans="114:114">
      <c r="DJ6628" s="29"/>
    </row>
    <row r="6629" spans="114:114">
      <c r="DJ6629" s="29"/>
    </row>
    <row r="6630" spans="114:114">
      <c r="DJ6630" s="29"/>
    </row>
    <row r="6631" spans="114:114">
      <c r="DJ6631" s="29"/>
    </row>
    <row r="6632" spans="114:114">
      <c r="DJ6632" s="29"/>
    </row>
    <row r="6633" spans="114:114">
      <c r="DJ6633" s="29"/>
    </row>
    <row r="6634" spans="114:114">
      <c r="DJ6634" s="29"/>
    </row>
    <row r="6635" spans="114:114">
      <c r="DJ6635" s="29"/>
    </row>
    <row r="6636" spans="114:114">
      <c r="DJ6636" s="29"/>
    </row>
    <row r="6637" spans="114:114">
      <c r="DJ6637" s="29"/>
    </row>
    <row r="6638" spans="114:114">
      <c r="DJ6638" s="29"/>
    </row>
    <row r="6639" spans="114:114">
      <c r="DJ6639" s="29"/>
    </row>
    <row r="6640" spans="114:114">
      <c r="DJ6640" s="29"/>
    </row>
    <row r="6641" spans="114:114">
      <c r="DJ6641" s="29"/>
    </row>
    <row r="6642" spans="114:114">
      <c r="DJ6642" s="29"/>
    </row>
    <row r="6643" spans="114:114">
      <c r="DJ6643" s="29"/>
    </row>
    <row r="6644" spans="114:114">
      <c r="DJ6644" s="29"/>
    </row>
    <row r="6645" spans="114:114">
      <c r="DJ6645" s="29"/>
    </row>
    <row r="6646" spans="114:114">
      <c r="DJ6646" s="29"/>
    </row>
    <row r="6647" spans="114:114">
      <c r="DJ6647" s="29"/>
    </row>
    <row r="6648" spans="114:114">
      <c r="DJ6648" s="29"/>
    </row>
    <row r="6649" spans="114:114">
      <c r="DJ6649" s="29"/>
    </row>
    <row r="6650" spans="114:114">
      <c r="DJ6650" s="29"/>
    </row>
    <row r="6651" spans="114:114">
      <c r="DJ6651" s="29"/>
    </row>
    <row r="6652" spans="114:114">
      <c r="DJ6652" s="29"/>
    </row>
    <row r="6653" spans="114:114">
      <c r="DJ6653" s="29"/>
    </row>
    <row r="6654" spans="114:114">
      <c r="DJ6654" s="29"/>
    </row>
    <row r="6655" spans="114:114">
      <c r="DJ6655" s="29"/>
    </row>
    <row r="6656" spans="114:114">
      <c r="DJ6656" s="29"/>
    </row>
    <row r="6657" spans="114:114">
      <c r="DJ6657" s="29"/>
    </row>
    <row r="6658" spans="114:114">
      <c r="DJ6658" s="29"/>
    </row>
    <row r="6659" spans="114:114">
      <c r="DJ6659" s="29"/>
    </row>
    <row r="6660" spans="114:114">
      <c r="DJ6660" s="29"/>
    </row>
    <row r="6661" spans="114:114">
      <c r="DJ6661" s="29"/>
    </row>
    <row r="6662" spans="114:114">
      <c r="DJ6662" s="29"/>
    </row>
    <row r="6663" spans="114:114">
      <c r="DJ6663" s="29"/>
    </row>
    <row r="6664" spans="114:114">
      <c r="DJ6664" s="29"/>
    </row>
    <row r="6665" spans="114:114">
      <c r="DJ6665" s="29"/>
    </row>
    <row r="6666" spans="114:114">
      <c r="DJ6666" s="29"/>
    </row>
    <row r="6667" spans="114:114">
      <c r="DJ6667" s="29"/>
    </row>
    <row r="6668" spans="114:114">
      <c r="DJ6668" s="29"/>
    </row>
    <row r="6669" spans="114:114">
      <c r="DJ6669" s="29"/>
    </row>
    <row r="6670" spans="114:114">
      <c r="DJ6670" s="29"/>
    </row>
    <row r="6671" spans="114:114">
      <c r="DJ6671" s="29"/>
    </row>
    <row r="6672" spans="114:114">
      <c r="DJ6672" s="29"/>
    </row>
    <row r="6673" spans="114:114">
      <c r="DJ6673" s="29"/>
    </row>
    <row r="6674" spans="114:114">
      <c r="DJ6674" s="29"/>
    </row>
    <row r="6675" spans="114:114">
      <c r="DJ6675" s="29"/>
    </row>
    <row r="6676" spans="114:114">
      <c r="DJ6676" s="29"/>
    </row>
    <row r="6677" spans="114:114">
      <c r="DJ6677" s="29"/>
    </row>
    <row r="6678" spans="114:114">
      <c r="DJ6678" s="29"/>
    </row>
    <row r="6679" spans="114:114">
      <c r="DJ6679" s="29"/>
    </row>
    <row r="6680" spans="114:114">
      <c r="DJ6680" s="29"/>
    </row>
    <row r="6681" spans="114:114">
      <c r="DJ6681" s="29"/>
    </row>
    <row r="6682" spans="114:114">
      <c r="DJ6682" s="29"/>
    </row>
    <row r="6683" spans="114:114">
      <c r="DJ6683" s="29"/>
    </row>
    <row r="6684" spans="114:114">
      <c r="DJ6684" s="29"/>
    </row>
    <row r="6685" spans="114:114">
      <c r="DJ6685" s="29"/>
    </row>
    <row r="6686" spans="114:114">
      <c r="DJ6686" s="29"/>
    </row>
    <row r="6687" spans="114:114">
      <c r="DJ6687" s="29"/>
    </row>
    <row r="6688" spans="114:114">
      <c r="DJ6688" s="29"/>
    </row>
    <row r="6689" spans="114:114">
      <c r="DJ6689" s="29"/>
    </row>
    <row r="6690" spans="114:114">
      <c r="DJ6690" s="29"/>
    </row>
    <row r="6691" spans="114:114">
      <c r="DJ6691" s="29"/>
    </row>
    <row r="6692" spans="114:114">
      <c r="DJ6692" s="29"/>
    </row>
    <row r="6693" spans="114:114">
      <c r="DJ6693" s="29"/>
    </row>
    <row r="6694" spans="114:114">
      <c r="DJ6694" s="29"/>
    </row>
    <row r="6695" spans="114:114">
      <c r="DJ6695" s="29"/>
    </row>
    <row r="6696" spans="114:114">
      <c r="DJ6696" s="29"/>
    </row>
    <row r="6697" spans="114:114">
      <c r="DJ6697" s="29"/>
    </row>
    <row r="6698" spans="114:114">
      <c r="DJ6698" s="29"/>
    </row>
    <row r="6699" spans="114:114">
      <c r="DJ6699" s="29"/>
    </row>
    <row r="6700" spans="114:114">
      <c r="DJ6700" s="29"/>
    </row>
    <row r="6701" spans="114:114">
      <c r="DJ6701" s="29"/>
    </row>
    <row r="6702" spans="114:114">
      <c r="DJ6702" s="29"/>
    </row>
    <row r="6703" spans="114:114">
      <c r="DJ6703" s="29"/>
    </row>
    <row r="6704" spans="114:114">
      <c r="DJ6704" s="29"/>
    </row>
    <row r="6705" spans="114:114">
      <c r="DJ6705" s="29"/>
    </row>
    <row r="6706" spans="114:114">
      <c r="DJ6706" s="29"/>
    </row>
    <row r="6707" spans="114:114">
      <c r="DJ6707" s="29"/>
    </row>
    <row r="6708" spans="114:114">
      <c r="DJ6708" s="29"/>
    </row>
    <row r="6709" spans="114:114">
      <c r="DJ6709" s="29"/>
    </row>
    <row r="6710" spans="114:114">
      <c r="DJ6710" s="29"/>
    </row>
    <row r="6711" spans="114:114">
      <c r="DJ6711" s="29"/>
    </row>
    <row r="6712" spans="114:114">
      <c r="DJ6712" s="29"/>
    </row>
    <row r="6713" spans="114:114">
      <c r="DJ6713" s="29"/>
    </row>
    <row r="6714" spans="114:114">
      <c r="DJ6714" s="29"/>
    </row>
    <row r="6715" spans="114:114">
      <c r="DJ6715" s="29"/>
    </row>
    <row r="6716" spans="114:114">
      <c r="DJ6716" s="29"/>
    </row>
    <row r="6717" spans="114:114">
      <c r="DJ6717" s="29"/>
    </row>
    <row r="6718" spans="114:114">
      <c r="DJ6718" s="29"/>
    </row>
    <row r="6719" spans="114:114">
      <c r="DJ6719" s="29"/>
    </row>
    <row r="6720" spans="114:114">
      <c r="DJ6720" s="29"/>
    </row>
    <row r="6721" spans="114:114">
      <c r="DJ6721" s="29"/>
    </row>
    <row r="6722" spans="114:114">
      <c r="DJ6722" s="29"/>
    </row>
    <row r="6723" spans="114:114">
      <c r="DJ6723" s="29"/>
    </row>
    <row r="6724" spans="114:114">
      <c r="DJ6724" s="29"/>
    </row>
    <row r="6725" spans="114:114">
      <c r="DJ6725" s="29"/>
    </row>
    <row r="6726" spans="114:114">
      <c r="DJ6726" s="29"/>
    </row>
    <row r="6727" spans="114:114">
      <c r="DJ6727" s="29"/>
    </row>
    <row r="6728" spans="114:114">
      <c r="DJ6728" s="29"/>
    </row>
    <row r="6729" spans="114:114">
      <c r="DJ6729" s="29"/>
    </row>
    <row r="6730" spans="114:114">
      <c r="DJ6730" s="29"/>
    </row>
    <row r="6731" spans="114:114">
      <c r="DJ6731" s="29"/>
    </row>
    <row r="6732" spans="114:114">
      <c r="DJ6732" s="29"/>
    </row>
    <row r="6733" spans="114:114">
      <c r="DJ6733" s="29"/>
    </row>
    <row r="6734" spans="114:114">
      <c r="DJ6734" s="29"/>
    </row>
    <row r="6735" spans="114:114">
      <c r="DJ6735" s="29"/>
    </row>
    <row r="6736" spans="114:114">
      <c r="DJ6736" s="29"/>
    </row>
    <row r="6737" spans="114:114">
      <c r="DJ6737" s="29"/>
    </row>
    <row r="6738" spans="114:114">
      <c r="DJ6738" s="29"/>
    </row>
    <row r="6739" spans="114:114">
      <c r="DJ6739" s="29"/>
    </row>
    <row r="6740" spans="114:114">
      <c r="DJ6740" s="29"/>
    </row>
    <row r="6741" spans="114:114">
      <c r="DJ6741" s="29"/>
    </row>
    <row r="6742" spans="114:114">
      <c r="DJ6742" s="29"/>
    </row>
    <row r="6743" spans="114:114">
      <c r="DJ6743" s="29"/>
    </row>
    <row r="6744" spans="114:114">
      <c r="DJ6744" s="29"/>
    </row>
    <row r="6745" spans="114:114">
      <c r="DJ6745" s="29"/>
    </row>
    <row r="6746" spans="114:114">
      <c r="DJ6746" s="29"/>
    </row>
    <row r="6747" spans="114:114">
      <c r="DJ6747" s="29"/>
    </row>
    <row r="6748" spans="114:114">
      <c r="DJ6748" s="29"/>
    </row>
    <row r="6749" spans="114:114">
      <c r="DJ6749" s="29"/>
    </row>
    <row r="6750" spans="114:114">
      <c r="DJ6750" s="29"/>
    </row>
    <row r="6751" spans="114:114">
      <c r="DJ6751" s="29"/>
    </row>
    <row r="6752" spans="114:114">
      <c r="DJ6752" s="29"/>
    </row>
    <row r="6753" spans="114:114">
      <c r="DJ6753" s="29"/>
    </row>
    <row r="6754" spans="114:114">
      <c r="DJ6754" s="29"/>
    </row>
    <row r="6755" spans="114:114">
      <c r="DJ6755" s="29"/>
    </row>
    <row r="6756" spans="114:114">
      <c r="DJ6756" s="29"/>
    </row>
    <row r="6757" spans="114:114">
      <c r="DJ6757" s="29"/>
    </row>
    <row r="6758" spans="114:114">
      <c r="DJ6758" s="29"/>
    </row>
    <row r="6759" spans="114:114">
      <c r="DJ6759" s="29"/>
    </row>
    <row r="6760" spans="114:114">
      <c r="DJ6760" s="29"/>
    </row>
    <row r="6761" spans="114:114">
      <c r="DJ6761" s="29"/>
    </row>
    <row r="6762" spans="114:114">
      <c r="DJ6762" s="29"/>
    </row>
    <row r="6763" spans="114:114">
      <c r="DJ6763" s="29"/>
    </row>
    <row r="6764" spans="114:114">
      <c r="DJ6764" s="29"/>
    </row>
    <row r="6765" spans="114:114">
      <c r="DJ6765" s="29"/>
    </row>
    <row r="6766" spans="114:114">
      <c r="DJ6766" s="29"/>
    </row>
    <row r="6767" spans="114:114">
      <c r="DJ6767" s="29"/>
    </row>
    <row r="6768" spans="114:114">
      <c r="DJ6768" s="29"/>
    </row>
    <row r="6769" spans="114:114">
      <c r="DJ6769" s="29"/>
    </row>
    <row r="6770" spans="114:114">
      <c r="DJ6770" s="29"/>
    </row>
    <row r="6771" spans="114:114">
      <c r="DJ6771" s="29"/>
    </row>
    <row r="6772" spans="114:114">
      <c r="DJ6772" s="29"/>
    </row>
    <row r="6773" spans="114:114">
      <c r="DJ6773" s="29"/>
    </row>
    <row r="6774" spans="114:114">
      <c r="DJ6774" s="29"/>
    </row>
    <row r="6775" spans="114:114">
      <c r="DJ6775" s="29"/>
    </row>
    <row r="6776" spans="114:114">
      <c r="DJ6776" s="29"/>
    </row>
    <row r="6777" spans="114:114">
      <c r="DJ6777" s="29"/>
    </row>
    <row r="6778" spans="114:114">
      <c r="DJ6778" s="29"/>
    </row>
    <row r="6779" spans="114:114">
      <c r="DJ6779" s="29"/>
    </row>
    <row r="6780" spans="114:114">
      <c r="DJ6780" s="29"/>
    </row>
    <row r="6781" spans="114:114">
      <c r="DJ6781" s="29"/>
    </row>
    <row r="6782" spans="114:114">
      <c r="DJ6782" s="29"/>
    </row>
    <row r="6783" spans="114:114">
      <c r="DJ6783" s="29"/>
    </row>
    <row r="6784" spans="114:114">
      <c r="DJ6784" s="29"/>
    </row>
    <row r="6785" spans="114:114">
      <c r="DJ6785" s="29"/>
    </row>
    <row r="6786" spans="114:114">
      <c r="DJ6786" s="29"/>
    </row>
    <row r="6787" spans="114:114">
      <c r="DJ6787" s="29"/>
    </row>
    <row r="6788" spans="114:114">
      <c r="DJ6788" s="29"/>
    </row>
    <row r="6789" spans="114:114">
      <c r="DJ6789" s="29"/>
    </row>
    <row r="6790" spans="114:114">
      <c r="DJ6790" s="29"/>
    </row>
    <row r="6791" spans="114:114">
      <c r="DJ6791" s="29"/>
    </row>
    <row r="6792" spans="114:114">
      <c r="DJ6792" s="29"/>
    </row>
    <row r="6793" spans="114:114">
      <c r="DJ6793" s="29"/>
    </row>
    <row r="6794" spans="114:114">
      <c r="DJ6794" s="29"/>
    </row>
    <row r="6795" spans="114:114">
      <c r="DJ6795" s="29"/>
    </row>
    <row r="6796" spans="114:114">
      <c r="DJ6796" s="29"/>
    </row>
    <row r="6797" spans="114:114">
      <c r="DJ6797" s="29"/>
    </row>
    <row r="6798" spans="114:114">
      <c r="DJ6798" s="29"/>
    </row>
    <row r="6799" spans="114:114">
      <c r="DJ6799" s="29"/>
    </row>
    <row r="6800" spans="114:114">
      <c r="DJ6800" s="29"/>
    </row>
    <row r="6801" spans="114:114">
      <c r="DJ6801" s="29"/>
    </row>
    <row r="6802" spans="114:114">
      <c r="DJ6802" s="29"/>
    </row>
    <row r="6803" spans="114:114">
      <c r="DJ6803" s="29"/>
    </row>
    <row r="6804" spans="114:114">
      <c r="DJ6804" s="29"/>
    </row>
    <row r="6805" spans="114:114">
      <c r="DJ6805" s="29"/>
    </row>
    <row r="6806" spans="114:114">
      <c r="DJ6806" s="29"/>
    </row>
    <row r="6807" spans="114:114">
      <c r="DJ6807" s="29"/>
    </row>
    <row r="6808" spans="114:114">
      <c r="DJ6808" s="29"/>
    </row>
    <row r="6809" spans="114:114">
      <c r="DJ6809" s="29"/>
    </row>
    <row r="6810" spans="114:114">
      <c r="DJ6810" s="29"/>
    </row>
    <row r="6811" spans="114:114">
      <c r="DJ6811" s="29"/>
    </row>
    <row r="6812" spans="114:114">
      <c r="DJ6812" s="29"/>
    </row>
    <row r="6813" spans="114:114">
      <c r="DJ6813" s="29"/>
    </row>
    <row r="6814" spans="114:114">
      <c r="DJ6814" s="29"/>
    </row>
    <row r="6815" spans="114:114">
      <c r="DJ6815" s="29"/>
    </row>
    <row r="6816" spans="114:114">
      <c r="DJ6816" s="29"/>
    </row>
    <row r="6817" spans="114:114">
      <c r="DJ6817" s="29"/>
    </row>
    <row r="6818" spans="114:114">
      <c r="DJ6818" s="29"/>
    </row>
    <row r="6819" spans="114:114">
      <c r="DJ6819" s="29"/>
    </row>
    <row r="6820" spans="114:114">
      <c r="DJ6820" s="29"/>
    </row>
    <row r="6821" spans="114:114">
      <c r="DJ6821" s="29"/>
    </row>
    <row r="6822" spans="114:114">
      <c r="DJ6822" s="29"/>
    </row>
    <row r="6823" spans="114:114">
      <c r="DJ6823" s="29"/>
    </row>
    <row r="6824" spans="114:114">
      <c r="DJ6824" s="29"/>
    </row>
    <row r="6825" spans="114:114">
      <c r="DJ6825" s="29"/>
    </row>
    <row r="6826" spans="114:114">
      <c r="DJ6826" s="29"/>
    </row>
    <row r="6827" spans="114:114">
      <c r="DJ6827" s="29"/>
    </row>
    <row r="6828" spans="114:114">
      <c r="DJ6828" s="29"/>
    </row>
    <row r="6829" spans="114:114">
      <c r="DJ6829" s="29"/>
    </row>
    <row r="6830" spans="114:114">
      <c r="DJ6830" s="29"/>
    </row>
    <row r="6831" spans="114:114">
      <c r="DJ6831" s="29"/>
    </row>
    <row r="6832" spans="114:114">
      <c r="DJ6832" s="29"/>
    </row>
    <row r="6833" spans="114:114">
      <c r="DJ6833" s="29"/>
    </row>
    <row r="6834" spans="114:114">
      <c r="DJ6834" s="29"/>
    </row>
    <row r="6835" spans="114:114">
      <c r="DJ6835" s="29"/>
    </row>
    <row r="6836" spans="114:114">
      <c r="DJ6836" s="29"/>
    </row>
    <row r="6837" spans="114:114">
      <c r="DJ6837" s="29"/>
    </row>
    <row r="6838" spans="114:114">
      <c r="DJ6838" s="29"/>
    </row>
    <row r="6839" spans="114:114">
      <c r="DJ6839" s="29"/>
    </row>
    <row r="6840" spans="114:114">
      <c r="DJ6840" s="29"/>
    </row>
    <row r="6841" spans="114:114">
      <c r="DJ6841" s="29"/>
    </row>
    <row r="6842" spans="114:114">
      <c r="DJ6842" s="29"/>
    </row>
    <row r="6843" spans="114:114">
      <c r="DJ6843" s="29"/>
    </row>
    <row r="6844" spans="114:114">
      <c r="DJ6844" s="29"/>
    </row>
    <row r="6845" spans="114:114">
      <c r="DJ6845" s="29"/>
    </row>
    <row r="6846" spans="114:114">
      <c r="DJ6846" s="29"/>
    </row>
    <row r="6847" spans="114:114">
      <c r="DJ6847" s="29"/>
    </row>
    <row r="6848" spans="114:114">
      <c r="DJ6848" s="29"/>
    </row>
    <row r="6849" spans="114:114">
      <c r="DJ6849" s="29"/>
    </row>
    <row r="6850" spans="114:114">
      <c r="DJ6850" s="29"/>
    </row>
    <row r="6851" spans="114:114">
      <c r="DJ6851" s="29"/>
    </row>
    <row r="6852" spans="114:114">
      <c r="DJ6852" s="29"/>
    </row>
    <row r="6853" spans="114:114">
      <c r="DJ6853" s="29"/>
    </row>
    <row r="6854" spans="114:114">
      <c r="DJ6854" s="29"/>
    </row>
    <row r="6855" spans="114:114">
      <c r="DJ6855" s="29"/>
    </row>
    <row r="6856" spans="114:114">
      <c r="DJ6856" s="29"/>
    </row>
    <row r="6857" spans="114:114">
      <c r="DJ6857" s="29"/>
    </row>
    <row r="6858" spans="114:114">
      <c r="DJ6858" s="29"/>
    </row>
    <row r="6859" spans="114:114">
      <c r="DJ6859" s="29"/>
    </row>
    <row r="6860" spans="114:114">
      <c r="DJ6860" s="29"/>
    </row>
    <row r="6861" spans="114:114">
      <c r="DJ6861" s="29"/>
    </row>
    <row r="6862" spans="114:114">
      <c r="DJ6862" s="29"/>
    </row>
    <row r="6863" spans="114:114">
      <c r="DJ6863" s="29"/>
    </row>
    <row r="6864" spans="114:114">
      <c r="DJ6864" s="29"/>
    </row>
    <row r="6865" spans="114:114">
      <c r="DJ6865" s="29"/>
    </row>
    <row r="6866" spans="114:114">
      <c r="DJ6866" s="29"/>
    </row>
    <row r="6867" spans="114:114">
      <c r="DJ6867" s="29"/>
    </row>
    <row r="6868" spans="114:114">
      <c r="DJ6868" s="29"/>
    </row>
    <row r="6869" spans="114:114">
      <c r="DJ6869" s="29"/>
    </row>
    <row r="6870" spans="114:114">
      <c r="DJ6870" s="29"/>
    </row>
    <row r="6871" spans="114:114">
      <c r="DJ6871" s="29"/>
    </row>
    <row r="6872" spans="114:114">
      <c r="DJ6872" s="29"/>
    </row>
    <row r="6873" spans="114:114">
      <c r="DJ6873" s="29"/>
    </row>
    <row r="6874" spans="114:114">
      <c r="DJ6874" s="29"/>
    </row>
    <row r="6875" spans="114:114">
      <c r="DJ6875" s="29"/>
    </row>
    <row r="6876" spans="114:114">
      <c r="DJ6876" s="29"/>
    </row>
    <row r="6877" spans="114:114">
      <c r="DJ6877" s="29"/>
    </row>
    <row r="6878" spans="114:114">
      <c r="DJ6878" s="29"/>
    </row>
    <row r="6879" spans="114:114">
      <c r="DJ6879" s="29"/>
    </row>
    <row r="6880" spans="114:114">
      <c r="DJ6880" s="29"/>
    </row>
    <row r="6881" spans="114:114">
      <c r="DJ6881" s="29"/>
    </row>
    <row r="6882" spans="114:114">
      <c r="DJ6882" s="29"/>
    </row>
    <row r="6883" spans="114:114">
      <c r="DJ6883" s="29"/>
    </row>
    <row r="6884" spans="114:114">
      <c r="DJ6884" s="29"/>
    </row>
    <row r="6885" spans="114:114">
      <c r="DJ6885" s="29"/>
    </row>
    <row r="6886" spans="114:114">
      <c r="DJ6886" s="29"/>
    </row>
    <row r="6887" spans="114:114">
      <c r="DJ6887" s="29"/>
    </row>
    <row r="6888" spans="114:114">
      <c r="DJ6888" s="29"/>
    </row>
    <row r="6889" spans="114:114">
      <c r="DJ6889" s="29"/>
    </row>
    <row r="6890" spans="114:114">
      <c r="DJ6890" s="29"/>
    </row>
    <row r="6891" spans="114:114">
      <c r="DJ6891" s="29"/>
    </row>
    <row r="6892" spans="114:114">
      <c r="DJ6892" s="29"/>
    </row>
    <row r="6893" spans="114:114">
      <c r="DJ6893" s="29"/>
    </row>
    <row r="6894" spans="114:114">
      <c r="DJ6894" s="29"/>
    </row>
    <row r="6895" spans="114:114">
      <c r="DJ6895" s="29"/>
    </row>
    <row r="6896" spans="114:114">
      <c r="DJ6896" s="29"/>
    </row>
    <row r="6897" spans="114:114">
      <c r="DJ6897" s="29"/>
    </row>
    <row r="6898" spans="114:114">
      <c r="DJ6898" s="29"/>
    </row>
    <row r="6899" spans="114:114">
      <c r="DJ6899" s="29"/>
    </row>
    <row r="6900" spans="114:114">
      <c r="DJ6900" s="29"/>
    </row>
    <row r="6901" spans="114:114">
      <c r="DJ6901" s="29"/>
    </row>
    <row r="6902" spans="114:114">
      <c r="DJ6902" s="29"/>
    </row>
    <row r="6903" spans="114:114">
      <c r="DJ6903" s="29"/>
    </row>
    <row r="6904" spans="114:114">
      <c r="DJ6904" s="29"/>
    </row>
    <row r="6905" spans="114:114">
      <c r="DJ6905" s="29"/>
    </row>
    <row r="6906" spans="114:114">
      <c r="DJ6906" s="29"/>
    </row>
    <row r="6907" spans="114:114">
      <c r="DJ6907" s="29"/>
    </row>
    <row r="6908" spans="114:114">
      <c r="DJ6908" s="29"/>
    </row>
    <row r="6909" spans="114:114">
      <c r="DJ6909" s="29"/>
    </row>
    <row r="6910" spans="114:114">
      <c r="DJ6910" s="29"/>
    </row>
    <row r="6911" spans="114:114">
      <c r="DJ6911" s="29"/>
    </row>
    <row r="6912" spans="114:114">
      <c r="DJ6912" s="29"/>
    </row>
    <row r="6913" spans="114:114">
      <c r="DJ6913" s="29"/>
    </row>
    <row r="6914" spans="114:114">
      <c r="DJ6914" s="29"/>
    </row>
    <row r="6915" spans="114:114">
      <c r="DJ6915" s="29"/>
    </row>
    <row r="6916" spans="114:114">
      <c r="DJ6916" s="29"/>
    </row>
    <row r="6917" spans="114:114">
      <c r="DJ6917" s="29"/>
    </row>
    <row r="6918" spans="114:114">
      <c r="DJ6918" s="29"/>
    </row>
    <row r="6919" spans="114:114">
      <c r="DJ6919" s="29"/>
    </row>
    <row r="6920" spans="114:114">
      <c r="DJ6920" s="29"/>
    </row>
    <row r="6921" spans="114:114">
      <c r="DJ6921" s="29"/>
    </row>
    <row r="6922" spans="114:114">
      <c r="DJ6922" s="29"/>
    </row>
    <row r="6923" spans="114:114">
      <c r="DJ6923" s="29"/>
    </row>
    <row r="6924" spans="114:114">
      <c r="DJ6924" s="29"/>
    </row>
    <row r="6925" spans="114:114">
      <c r="DJ6925" s="29"/>
    </row>
    <row r="6926" spans="114:114">
      <c r="DJ6926" s="29"/>
    </row>
    <row r="6927" spans="114:114">
      <c r="DJ6927" s="29"/>
    </row>
    <row r="6928" spans="114:114">
      <c r="DJ6928" s="29"/>
    </row>
    <row r="6929" spans="114:114">
      <c r="DJ6929" s="29"/>
    </row>
    <row r="6930" spans="114:114">
      <c r="DJ6930" s="29"/>
    </row>
    <row r="6931" spans="114:114">
      <c r="DJ6931" s="29"/>
    </row>
    <row r="6932" spans="114:114">
      <c r="DJ6932" s="29"/>
    </row>
    <row r="6933" spans="114:114">
      <c r="DJ6933" s="29"/>
    </row>
    <row r="6934" spans="114:114">
      <c r="DJ6934" s="29"/>
    </row>
    <row r="6935" spans="114:114">
      <c r="DJ6935" s="29"/>
    </row>
    <row r="6936" spans="114:114">
      <c r="DJ6936" s="29"/>
    </row>
    <row r="6937" spans="114:114">
      <c r="DJ6937" s="29"/>
    </row>
    <row r="6938" spans="114:114">
      <c r="DJ6938" s="29"/>
    </row>
    <row r="6939" spans="114:114">
      <c r="DJ6939" s="29"/>
    </row>
    <row r="6940" spans="114:114">
      <c r="DJ6940" s="29"/>
    </row>
    <row r="6941" spans="114:114">
      <c r="DJ6941" s="29"/>
    </row>
    <row r="6942" spans="114:114">
      <c r="DJ6942" s="29"/>
    </row>
    <row r="6943" spans="114:114">
      <c r="DJ6943" s="29"/>
    </row>
    <row r="6944" spans="114:114">
      <c r="DJ6944" s="29"/>
    </row>
    <row r="6945" spans="114:114">
      <c r="DJ6945" s="29"/>
    </row>
    <row r="6946" spans="114:114">
      <c r="DJ6946" s="29"/>
    </row>
    <row r="6947" spans="114:114">
      <c r="DJ6947" s="29"/>
    </row>
    <row r="6948" spans="114:114">
      <c r="DJ6948" s="29"/>
    </row>
    <row r="6949" spans="114:114">
      <c r="DJ6949" s="29"/>
    </row>
    <row r="6950" spans="114:114">
      <c r="DJ6950" s="29"/>
    </row>
    <row r="6951" spans="114:114">
      <c r="DJ6951" s="29"/>
    </row>
    <row r="6952" spans="114:114">
      <c r="DJ6952" s="29"/>
    </row>
    <row r="6953" spans="114:114">
      <c r="DJ6953" s="29"/>
    </row>
    <row r="6954" spans="114:114">
      <c r="DJ6954" s="29"/>
    </row>
    <row r="6955" spans="114:114">
      <c r="DJ6955" s="29"/>
    </row>
    <row r="6956" spans="114:114">
      <c r="DJ6956" s="29"/>
    </row>
    <row r="6957" spans="114:114">
      <c r="DJ6957" s="29"/>
    </row>
    <row r="6958" spans="114:114">
      <c r="DJ6958" s="29"/>
    </row>
    <row r="6959" spans="114:114">
      <c r="DJ6959" s="29"/>
    </row>
    <row r="6960" spans="114:114">
      <c r="DJ6960" s="29"/>
    </row>
    <row r="6961" spans="114:114">
      <c r="DJ6961" s="29"/>
    </row>
    <row r="6962" spans="114:114">
      <c r="DJ6962" s="29"/>
    </row>
    <row r="6963" spans="114:114">
      <c r="DJ6963" s="29"/>
    </row>
    <row r="6964" spans="114:114">
      <c r="DJ6964" s="29"/>
    </row>
    <row r="6965" spans="114:114">
      <c r="DJ6965" s="29"/>
    </row>
    <row r="6966" spans="114:114">
      <c r="DJ6966" s="29"/>
    </row>
    <row r="6967" spans="114:114">
      <c r="DJ6967" s="29"/>
    </row>
    <row r="6968" spans="114:114">
      <c r="DJ6968" s="29"/>
    </row>
    <row r="6969" spans="114:114">
      <c r="DJ6969" s="29"/>
    </row>
    <row r="6970" spans="114:114">
      <c r="DJ6970" s="29"/>
    </row>
    <row r="6971" spans="114:114">
      <c r="DJ6971" s="29"/>
    </row>
    <row r="6972" spans="114:114">
      <c r="DJ6972" s="29"/>
    </row>
    <row r="6973" spans="114:114">
      <c r="DJ6973" s="29"/>
    </row>
    <row r="6974" spans="114:114">
      <c r="DJ6974" s="29"/>
    </row>
    <row r="6975" spans="114:114">
      <c r="DJ6975" s="29"/>
    </row>
    <row r="6976" spans="114:114">
      <c r="DJ6976" s="29"/>
    </row>
    <row r="6977" spans="114:114">
      <c r="DJ6977" s="29"/>
    </row>
    <row r="6978" spans="114:114">
      <c r="DJ6978" s="29"/>
    </row>
    <row r="6979" spans="114:114">
      <c r="DJ6979" s="29"/>
    </row>
    <row r="6980" spans="114:114">
      <c r="DJ6980" s="29"/>
    </row>
    <row r="6981" spans="114:114">
      <c r="DJ6981" s="29"/>
    </row>
    <row r="6982" spans="114:114">
      <c r="DJ6982" s="29"/>
    </row>
    <row r="6983" spans="114:114">
      <c r="DJ6983" s="29"/>
    </row>
    <row r="6984" spans="114:114">
      <c r="DJ6984" s="29"/>
    </row>
    <row r="6985" spans="114:114">
      <c r="DJ6985" s="29"/>
    </row>
    <row r="6986" spans="114:114">
      <c r="DJ6986" s="29"/>
    </row>
    <row r="6987" spans="114:114">
      <c r="DJ6987" s="29"/>
    </row>
    <row r="6988" spans="114:114">
      <c r="DJ6988" s="29"/>
    </row>
    <row r="6989" spans="114:114">
      <c r="DJ6989" s="29"/>
    </row>
    <row r="6990" spans="114:114">
      <c r="DJ6990" s="29"/>
    </row>
    <row r="6991" spans="114:114">
      <c r="DJ6991" s="29"/>
    </row>
    <row r="6992" spans="114:114">
      <c r="DJ6992" s="29"/>
    </row>
    <row r="6993" spans="114:114">
      <c r="DJ6993" s="29"/>
    </row>
    <row r="6994" spans="114:114">
      <c r="DJ6994" s="29"/>
    </row>
    <row r="6995" spans="114:114">
      <c r="DJ6995" s="29"/>
    </row>
    <row r="6996" spans="114:114">
      <c r="DJ6996" s="29"/>
    </row>
    <row r="6997" spans="114:114">
      <c r="DJ6997" s="29"/>
    </row>
    <row r="6998" spans="114:114">
      <c r="DJ6998" s="29"/>
    </row>
    <row r="6999" spans="114:114">
      <c r="DJ6999" s="29"/>
    </row>
    <row r="7000" spans="114:114">
      <c r="DJ7000" s="29"/>
    </row>
    <row r="7001" spans="114:114">
      <c r="DJ7001" s="29"/>
    </row>
    <row r="7002" spans="114:114">
      <c r="DJ7002" s="29"/>
    </row>
    <row r="7003" spans="114:114">
      <c r="DJ7003" s="29"/>
    </row>
    <row r="7004" spans="114:114">
      <c r="DJ7004" s="29"/>
    </row>
    <row r="7005" spans="114:114">
      <c r="DJ7005" s="29"/>
    </row>
    <row r="7006" spans="114:114">
      <c r="DJ7006" s="29"/>
    </row>
    <row r="7007" spans="114:114">
      <c r="DJ7007" s="29"/>
    </row>
    <row r="7008" spans="114:114">
      <c r="DJ7008" s="29"/>
    </row>
    <row r="7009" spans="114:114">
      <c r="DJ7009" s="29"/>
    </row>
    <row r="7010" spans="114:114">
      <c r="DJ7010" s="29"/>
    </row>
    <row r="7011" spans="114:114">
      <c r="DJ7011" s="29"/>
    </row>
    <row r="7012" spans="114:114">
      <c r="DJ7012" s="29"/>
    </row>
    <row r="7013" spans="114:114">
      <c r="DJ7013" s="29"/>
    </row>
    <row r="7014" spans="114:114">
      <c r="DJ7014" s="29"/>
    </row>
    <row r="7015" spans="114:114">
      <c r="DJ7015" s="29"/>
    </row>
    <row r="7016" spans="114:114">
      <c r="DJ7016" s="29"/>
    </row>
    <row r="7017" spans="114:114">
      <c r="DJ7017" s="29"/>
    </row>
    <row r="7018" spans="114:114">
      <c r="DJ7018" s="29"/>
    </row>
    <row r="7019" spans="114:114">
      <c r="DJ7019" s="29"/>
    </row>
    <row r="7020" spans="114:114">
      <c r="DJ7020" s="29"/>
    </row>
    <row r="7021" spans="114:114">
      <c r="DJ7021" s="29"/>
    </row>
    <row r="7022" spans="114:114">
      <c r="DJ7022" s="29"/>
    </row>
    <row r="7023" spans="114:114">
      <c r="DJ7023" s="29"/>
    </row>
    <row r="7024" spans="114:114">
      <c r="DJ7024" s="29"/>
    </row>
    <row r="7025" spans="114:114">
      <c r="DJ7025" s="29"/>
    </row>
    <row r="7026" spans="114:114">
      <c r="DJ7026" s="29"/>
    </row>
    <row r="7027" spans="114:114">
      <c r="DJ7027" s="29"/>
    </row>
    <row r="7028" spans="114:114">
      <c r="DJ7028" s="29"/>
    </row>
    <row r="7029" spans="114:114">
      <c r="DJ7029" s="29"/>
    </row>
    <row r="7030" spans="114:114">
      <c r="DJ7030" s="29"/>
    </row>
    <row r="7031" spans="114:114">
      <c r="DJ7031" s="29"/>
    </row>
    <row r="7032" spans="114:114">
      <c r="DJ7032" s="29"/>
    </row>
    <row r="7033" spans="114:114">
      <c r="DJ7033" s="29"/>
    </row>
    <row r="7034" spans="114:114">
      <c r="DJ7034" s="29"/>
    </row>
    <row r="7035" spans="114:114">
      <c r="DJ7035" s="29"/>
    </row>
    <row r="7036" spans="114:114">
      <c r="DJ7036" s="29"/>
    </row>
    <row r="7037" spans="114:114">
      <c r="DJ7037" s="29"/>
    </row>
    <row r="7038" spans="114:114">
      <c r="DJ7038" s="29"/>
    </row>
    <row r="7039" spans="114:114">
      <c r="DJ7039" s="29"/>
    </row>
    <row r="7040" spans="114:114">
      <c r="DJ7040" s="29"/>
    </row>
    <row r="7041" spans="114:114">
      <c r="DJ7041" s="29"/>
    </row>
    <row r="7042" spans="114:114">
      <c r="DJ7042" s="29"/>
    </row>
    <row r="7043" spans="114:114">
      <c r="DJ7043" s="29"/>
    </row>
    <row r="7044" spans="114:114">
      <c r="DJ7044" s="29"/>
    </row>
    <row r="7045" spans="114:114">
      <c r="DJ7045" s="29"/>
    </row>
    <row r="7046" spans="114:114">
      <c r="DJ7046" s="29"/>
    </row>
    <row r="7047" spans="114:114">
      <c r="DJ7047" s="29"/>
    </row>
    <row r="7048" spans="114:114">
      <c r="DJ7048" s="29"/>
    </row>
    <row r="7049" spans="114:114">
      <c r="DJ7049" s="29"/>
    </row>
    <row r="7050" spans="114:114">
      <c r="DJ7050" s="29"/>
    </row>
    <row r="7051" spans="114:114">
      <c r="DJ7051" s="29"/>
    </row>
    <row r="7052" spans="114:114">
      <c r="DJ7052" s="29"/>
    </row>
    <row r="7053" spans="114:114">
      <c r="DJ7053" s="29"/>
    </row>
    <row r="7054" spans="114:114">
      <c r="DJ7054" s="29"/>
    </row>
    <row r="7055" spans="114:114">
      <c r="DJ7055" s="29"/>
    </row>
    <row r="7056" spans="114:114">
      <c r="DJ7056" s="29"/>
    </row>
    <row r="7057" spans="114:114">
      <c r="DJ7057" s="29"/>
    </row>
    <row r="7058" spans="114:114">
      <c r="DJ7058" s="29"/>
    </row>
    <row r="7059" spans="114:114">
      <c r="DJ7059" s="29"/>
    </row>
    <row r="7060" spans="114:114">
      <c r="DJ7060" s="29"/>
    </row>
    <row r="7061" spans="114:114">
      <c r="DJ7061" s="29"/>
    </row>
    <row r="7062" spans="114:114">
      <c r="DJ7062" s="29"/>
    </row>
    <row r="7063" spans="114:114">
      <c r="DJ7063" s="29"/>
    </row>
    <row r="7064" spans="114:114">
      <c r="DJ7064" s="29"/>
    </row>
    <row r="7065" spans="114:114">
      <c r="DJ7065" s="29"/>
    </row>
    <row r="7066" spans="114:114">
      <c r="DJ7066" s="29"/>
    </row>
    <row r="7067" spans="114:114">
      <c r="DJ7067" s="29"/>
    </row>
    <row r="7068" spans="114:114">
      <c r="DJ7068" s="29"/>
    </row>
    <row r="7069" spans="114:114">
      <c r="DJ7069" s="29"/>
    </row>
    <row r="7070" spans="114:114">
      <c r="DJ7070" s="29"/>
    </row>
    <row r="7071" spans="114:114">
      <c r="DJ7071" s="29"/>
    </row>
    <row r="7072" spans="114:114">
      <c r="DJ7072" s="29"/>
    </row>
    <row r="7073" spans="114:114">
      <c r="DJ7073" s="29"/>
    </row>
    <row r="7074" spans="114:114">
      <c r="DJ7074" s="29"/>
    </row>
    <row r="7075" spans="114:114">
      <c r="DJ7075" s="29"/>
    </row>
    <row r="7076" spans="114:114">
      <c r="DJ7076" s="29"/>
    </row>
    <row r="7077" spans="114:114">
      <c r="DJ7077" s="29"/>
    </row>
    <row r="7078" spans="114:114">
      <c r="DJ7078" s="29"/>
    </row>
    <row r="7079" spans="114:114">
      <c r="DJ7079" s="29"/>
    </row>
    <row r="7080" spans="114:114">
      <c r="DJ7080" s="29"/>
    </row>
    <row r="7081" spans="114:114">
      <c r="DJ7081" s="29"/>
    </row>
    <row r="7082" spans="114:114">
      <c r="DJ7082" s="29"/>
    </row>
    <row r="7083" spans="114:114">
      <c r="DJ7083" s="29"/>
    </row>
    <row r="7084" spans="114:114">
      <c r="DJ7084" s="29"/>
    </row>
    <row r="7085" spans="114:114">
      <c r="DJ7085" s="29"/>
    </row>
    <row r="7086" spans="114:114">
      <c r="DJ7086" s="29"/>
    </row>
    <row r="7087" spans="114:114">
      <c r="DJ7087" s="29"/>
    </row>
    <row r="7088" spans="114:114">
      <c r="DJ7088" s="29"/>
    </row>
    <row r="7089" spans="114:114">
      <c r="DJ7089" s="29"/>
    </row>
    <row r="7090" spans="114:114">
      <c r="DJ7090" s="29"/>
    </row>
    <row r="7091" spans="114:114">
      <c r="DJ7091" s="29"/>
    </row>
    <row r="7092" spans="114:114">
      <c r="DJ7092" s="29"/>
    </row>
    <row r="7093" spans="114:114">
      <c r="DJ7093" s="29"/>
    </row>
    <row r="7094" spans="114:114">
      <c r="DJ7094" s="29"/>
    </row>
    <row r="7095" spans="114:114">
      <c r="DJ7095" s="29"/>
    </row>
    <row r="7096" spans="114:114">
      <c r="DJ7096" s="29"/>
    </row>
    <row r="7097" spans="114:114">
      <c r="DJ7097" s="29"/>
    </row>
    <row r="7098" spans="114:114">
      <c r="DJ7098" s="29"/>
    </row>
    <row r="7099" spans="114:114">
      <c r="DJ7099" s="29"/>
    </row>
    <row r="7100" spans="114:114">
      <c r="DJ7100" s="29"/>
    </row>
    <row r="7101" spans="114:114">
      <c r="DJ7101" s="29"/>
    </row>
    <row r="7102" spans="114:114">
      <c r="DJ7102" s="29"/>
    </row>
    <row r="7103" spans="114:114">
      <c r="DJ7103" s="29"/>
    </row>
    <row r="7104" spans="114:114">
      <c r="DJ7104" s="29"/>
    </row>
    <row r="7105" spans="114:114">
      <c r="DJ7105" s="29"/>
    </row>
    <row r="7106" spans="114:114">
      <c r="DJ7106" s="29"/>
    </row>
    <row r="7107" spans="114:114">
      <c r="DJ7107" s="29"/>
    </row>
    <row r="7108" spans="114:114">
      <c r="DJ7108" s="29"/>
    </row>
    <row r="7109" spans="114:114">
      <c r="DJ7109" s="29"/>
    </row>
    <row r="7110" spans="114:114">
      <c r="DJ7110" s="29"/>
    </row>
    <row r="7111" spans="114:114">
      <c r="DJ7111" s="29"/>
    </row>
    <row r="7112" spans="114:114">
      <c r="DJ7112" s="29"/>
    </row>
    <row r="7113" spans="114:114">
      <c r="DJ7113" s="29"/>
    </row>
    <row r="7114" spans="114:114">
      <c r="DJ7114" s="29"/>
    </row>
    <row r="7115" spans="114:114">
      <c r="DJ7115" s="29"/>
    </row>
    <row r="7116" spans="114:114">
      <c r="DJ7116" s="29"/>
    </row>
    <row r="7117" spans="114:114">
      <c r="DJ7117" s="29"/>
    </row>
    <row r="7118" spans="114:114">
      <c r="DJ7118" s="29"/>
    </row>
    <row r="7119" spans="114:114">
      <c r="DJ7119" s="29"/>
    </row>
    <row r="7120" spans="114:114">
      <c r="DJ7120" s="29"/>
    </row>
    <row r="7121" spans="114:114">
      <c r="DJ7121" s="29"/>
    </row>
    <row r="7122" spans="114:114">
      <c r="DJ7122" s="29"/>
    </row>
    <row r="7123" spans="114:114">
      <c r="DJ7123" s="29"/>
    </row>
    <row r="7124" spans="114:114">
      <c r="DJ7124" s="29"/>
    </row>
    <row r="7125" spans="114:114">
      <c r="DJ7125" s="29"/>
    </row>
    <row r="7126" spans="114:114">
      <c r="DJ7126" s="29"/>
    </row>
    <row r="7127" spans="114:114">
      <c r="DJ7127" s="29"/>
    </row>
    <row r="7128" spans="114:114">
      <c r="DJ7128" s="29"/>
    </row>
    <row r="7129" spans="114:114">
      <c r="DJ7129" s="29"/>
    </row>
    <row r="7130" spans="114:114">
      <c r="DJ7130" s="29"/>
    </row>
    <row r="7131" spans="114:114">
      <c r="DJ7131" s="29"/>
    </row>
    <row r="7132" spans="114:114">
      <c r="DJ7132" s="29"/>
    </row>
    <row r="7133" spans="114:114">
      <c r="DJ7133" s="29"/>
    </row>
    <row r="7134" spans="114:114">
      <c r="DJ7134" s="29"/>
    </row>
    <row r="7135" spans="114:114">
      <c r="DJ7135" s="29"/>
    </row>
    <row r="7136" spans="114:114">
      <c r="DJ7136" s="29"/>
    </row>
    <row r="7137" spans="114:114">
      <c r="DJ7137" s="29"/>
    </row>
    <row r="7138" spans="114:114">
      <c r="DJ7138" s="29"/>
    </row>
    <row r="7139" spans="114:114">
      <c r="DJ7139" s="29"/>
    </row>
    <row r="7140" spans="114:114">
      <c r="DJ7140" s="29"/>
    </row>
    <row r="7141" spans="114:114">
      <c r="DJ7141" s="29"/>
    </row>
    <row r="7142" spans="114:114">
      <c r="DJ7142" s="29"/>
    </row>
    <row r="7143" spans="114:114">
      <c r="DJ7143" s="29"/>
    </row>
    <row r="7144" spans="114:114">
      <c r="DJ7144" s="29"/>
    </row>
    <row r="7145" spans="114:114">
      <c r="DJ7145" s="29"/>
    </row>
    <row r="7146" spans="114:114">
      <c r="DJ7146" s="29"/>
    </row>
    <row r="7147" spans="114:114">
      <c r="DJ7147" s="29"/>
    </row>
    <row r="7148" spans="114:114">
      <c r="DJ7148" s="29"/>
    </row>
    <row r="7149" spans="114:114">
      <c r="DJ7149" s="29"/>
    </row>
    <row r="7150" spans="114:114">
      <c r="DJ7150" s="29"/>
    </row>
    <row r="7151" spans="114:114">
      <c r="DJ7151" s="29"/>
    </row>
    <row r="7152" spans="114:114">
      <c r="DJ7152" s="29"/>
    </row>
    <row r="7153" spans="114:114">
      <c r="DJ7153" s="29"/>
    </row>
    <row r="7154" spans="114:114">
      <c r="DJ7154" s="29"/>
    </row>
    <row r="7155" spans="114:114">
      <c r="DJ7155" s="29"/>
    </row>
    <row r="7156" spans="114:114">
      <c r="DJ7156" s="29"/>
    </row>
    <row r="7157" spans="114:114">
      <c r="DJ7157" s="29"/>
    </row>
    <row r="7158" spans="114:114">
      <c r="DJ7158" s="29"/>
    </row>
    <row r="7159" spans="114:114">
      <c r="DJ7159" s="29"/>
    </row>
    <row r="7160" spans="114:114">
      <c r="DJ7160" s="29"/>
    </row>
    <row r="7161" spans="114:114">
      <c r="DJ7161" s="29"/>
    </row>
    <row r="7162" spans="114:114">
      <c r="DJ7162" s="29"/>
    </row>
    <row r="7163" spans="114:114">
      <c r="DJ7163" s="29"/>
    </row>
    <row r="7164" spans="114:114">
      <c r="DJ7164" s="29"/>
    </row>
    <row r="7165" spans="114:114">
      <c r="DJ7165" s="29"/>
    </row>
    <row r="7166" spans="114:114">
      <c r="DJ7166" s="29"/>
    </row>
    <row r="7167" spans="114:114">
      <c r="DJ7167" s="29"/>
    </row>
    <row r="7168" spans="114:114">
      <c r="DJ7168" s="29"/>
    </row>
    <row r="7169" spans="114:114">
      <c r="DJ7169" s="29"/>
    </row>
    <row r="7170" spans="114:114">
      <c r="DJ7170" s="29"/>
    </row>
    <row r="7171" spans="114:114">
      <c r="DJ7171" s="29"/>
    </row>
    <row r="7172" spans="114:114">
      <c r="DJ7172" s="29"/>
    </row>
    <row r="7173" spans="114:114">
      <c r="DJ7173" s="29"/>
    </row>
    <row r="7174" spans="114:114">
      <c r="DJ7174" s="29"/>
    </row>
    <row r="7175" spans="114:114">
      <c r="DJ7175" s="29"/>
    </row>
    <row r="7176" spans="114:114">
      <c r="DJ7176" s="29"/>
    </row>
    <row r="7177" spans="114:114">
      <c r="DJ7177" s="29"/>
    </row>
    <row r="7178" spans="114:114">
      <c r="DJ7178" s="29"/>
    </row>
    <row r="7179" spans="114:114">
      <c r="DJ7179" s="29"/>
    </row>
    <row r="7180" spans="114:114">
      <c r="DJ7180" s="29"/>
    </row>
    <row r="7181" spans="114:114">
      <c r="DJ7181" s="29"/>
    </row>
    <row r="7182" spans="114:114">
      <c r="DJ7182" s="29"/>
    </row>
    <row r="7183" spans="114:114">
      <c r="DJ7183" s="29"/>
    </row>
    <row r="7184" spans="114:114">
      <c r="DJ7184" s="29"/>
    </row>
    <row r="7185" spans="114:114">
      <c r="DJ7185" s="29"/>
    </row>
    <row r="7186" spans="114:114">
      <c r="DJ7186" s="29"/>
    </row>
    <row r="7187" spans="114:114">
      <c r="DJ7187" s="29"/>
    </row>
    <row r="7188" spans="114:114">
      <c r="DJ7188" s="29"/>
    </row>
    <row r="7189" spans="114:114">
      <c r="DJ7189" s="29"/>
    </row>
    <row r="7190" spans="114:114">
      <c r="DJ7190" s="29"/>
    </row>
    <row r="7191" spans="114:114">
      <c r="DJ7191" s="29"/>
    </row>
    <row r="7192" spans="114:114">
      <c r="DJ7192" s="29"/>
    </row>
    <row r="7193" spans="114:114">
      <c r="DJ7193" s="29"/>
    </row>
    <row r="7194" spans="114:114">
      <c r="DJ7194" s="29"/>
    </row>
    <row r="7195" spans="114:114">
      <c r="DJ7195" s="29"/>
    </row>
    <row r="7196" spans="114:114">
      <c r="DJ7196" s="29"/>
    </row>
    <row r="7197" spans="114:114">
      <c r="DJ7197" s="29"/>
    </row>
    <row r="7198" spans="114:114">
      <c r="DJ7198" s="29"/>
    </row>
    <row r="7199" spans="114:114">
      <c r="DJ7199" s="29"/>
    </row>
    <row r="7200" spans="114:114">
      <c r="DJ7200" s="29"/>
    </row>
    <row r="7201" spans="114:114">
      <c r="DJ7201" s="29"/>
    </row>
    <row r="7202" spans="114:114">
      <c r="DJ7202" s="29"/>
    </row>
    <row r="7203" spans="114:114">
      <c r="DJ7203" s="29"/>
    </row>
    <row r="7204" spans="114:114">
      <c r="DJ7204" s="29"/>
    </row>
    <row r="7205" spans="114:114">
      <c r="DJ7205" s="29"/>
    </row>
    <row r="7206" spans="114:114">
      <c r="DJ7206" s="29"/>
    </row>
    <row r="7207" spans="114:114">
      <c r="DJ7207" s="29"/>
    </row>
    <row r="7208" spans="114:114">
      <c r="DJ7208" s="29"/>
    </row>
    <row r="7209" spans="114:114">
      <c r="DJ7209" s="29"/>
    </row>
    <row r="7210" spans="114:114">
      <c r="DJ7210" s="29"/>
    </row>
    <row r="7211" spans="114:114">
      <c r="DJ7211" s="29"/>
    </row>
    <row r="7212" spans="114:114">
      <c r="DJ7212" s="29"/>
    </row>
    <row r="7213" spans="114:114">
      <c r="DJ7213" s="29"/>
    </row>
    <row r="7214" spans="114:114">
      <c r="DJ7214" s="29"/>
    </row>
    <row r="7215" spans="114:114">
      <c r="DJ7215" s="29"/>
    </row>
    <row r="7216" spans="114:114">
      <c r="DJ7216" s="29"/>
    </row>
    <row r="7217" spans="114:114">
      <c r="DJ7217" s="29"/>
    </row>
    <row r="7218" spans="114:114">
      <c r="DJ7218" s="29"/>
    </row>
    <row r="7219" spans="114:114">
      <c r="DJ7219" s="29"/>
    </row>
    <row r="7220" spans="114:114">
      <c r="DJ7220" s="29"/>
    </row>
    <row r="7221" spans="114:114">
      <c r="DJ7221" s="29"/>
    </row>
    <row r="7222" spans="114:114">
      <c r="DJ7222" s="29"/>
    </row>
    <row r="7223" spans="114:114">
      <c r="DJ7223" s="29"/>
    </row>
    <row r="7224" spans="114:114">
      <c r="DJ7224" s="29"/>
    </row>
    <row r="7225" spans="114:114">
      <c r="DJ7225" s="29"/>
    </row>
    <row r="7226" spans="114:114">
      <c r="DJ7226" s="29"/>
    </row>
    <row r="7227" spans="114:114">
      <c r="DJ7227" s="29"/>
    </row>
    <row r="7228" spans="114:114">
      <c r="DJ7228" s="29"/>
    </row>
    <row r="7229" spans="114:114">
      <c r="DJ7229" s="29"/>
    </row>
    <row r="7230" spans="114:114">
      <c r="DJ7230" s="29"/>
    </row>
    <row r="7231" spans="114:114">
      <c r="DJ7231" s="29"/>
    </row>
    <row r="7232" spans="114:114">
      <c r="DJ7232" s="29"/>
    </row>
    <row r="7233" spans="114:114">
      <c r="DJ7233" s="29"/>
    </row>
    <row r="7234" spans="114:114">
      <c r="DJ7234" s="29"/>
    </row>
    <row r="7235" spans="114:114">
      <c r="DJ7235" s="29"/>
    </row>
    <row r="7236" spans="114:114">
      <c r="DJ7236" s="29"/>
    </row>
    <row r="7237" spans="114:114">
      <c r="DJ7237" s="29"/>
    </row>
    <row r="7238" spans="114:114">
      <c r="DJ7238" s="29"/>
    </row>
    <row r="7239" spans="114:114">
      <c r="DJ7239" s="29"/>
    </row>
    <row r="7240" spans="114:114">
      <c r="DJ7240" s="29"/>
    </row>
    <row r="7241" spans="114:114">
      <c r="DJ7241" s="29"/>
    </row>
    <row r="7242" spans="114:114">
      <c r="DJ7242" s="29"/>
    </row>
    <row r="7243" spans="114:114">
      <c r="DJ7243" s="29"/>
    </row>
    <row r="7244" spans="114:114">
      <c r="DJ7244" s="29"/>
    </row>
    <row r="7245" spans="114:114">
      <c r="DJ7245" s="29"/>
    </row>
    <row r="7246" spans="114:114">
      <c r="DJ7246" s="29"/>
    </row>
    <row r="7247" spans="114:114">
      <c r="DJ7247" s="29"/>
    </row>
    <row r="7248" spans="114:114">
      <c r="DJ7248" s="29"/>
    </row>
    <row r="7249" spans="114:114">
      <c r="DJ7249" s="29"/>
    </row>
    <row r="7250" spans="114:114">
      <c r="DJ7250" s="29"/>
    </row>
    <row r="7251" spans="114:114">
      <c r="DJ7251" s="29"/>
    </row>
    <row r="7252" spans="114:114">
      <c r="DJ7252" s="29"/>
    </row>
    <row r="7253" spans="114:114">
      <c r="DJ7253" s="29"/>
    </row>
    <row r="7254" spans="114:114">
      <c r="DJ7254" s="29"/>
    </row>
    <row r="7255" spans="114:114">
      <c r="DJ7255" s="29"/>
    </row>
    <row r="7256" spans="114:114">
      <c r="DJ7256" s="29"/>
    </row>
    <row r="7257" spans="114:114">
      <c r="DJ7257" s="29"/>
    </row>
    <row r="7258" spans="114:114">
      <c r="DJ7258" s="29"/>
    </row>
    <row r="7259" spans="114:114">
      <c r="DJ7259" s="29"/>
    </row>
    <row r="7260" spans="114:114">
      <c r="DJ7260" s="29"/>
    </row>
    <row r="7261" spans="114:114">
      <c r="DJ7261" s="29"/>
    </row>
    <row r="7262" spans="114:114">
      <c r="DJ7262" s="29"/>
    </row>
    <row r="7263" spans="114:114">
      <c r="DJ7263" s="29"/>
    </row>
    <row r="7264" spans="114:114">
      <c r="DJ7264" s="29"/>
    </row>
    <row r="7265" spans="114:114">
      <c r="DJ7265" s="29"/>
    </row>
    <row r="7266" spans="114:114">
      <c r="DJ7266" s="29"/>
    </row>
    <row r="7267" spans="114:114">
      <c r="DJ7267" s="29"/>
    </row>
    <row r="7268" spans="114:114">
      <c r="DJ7268" s="29"/>
    </row>
    <row r="7269" spans="114:114">
      <c r="DJ7269" s="29"/>
    </row>
    <row r="7270" spans="114:114">
      <c r="DJ7270" s="29"/>
    </row>
    <row r="7271" spans="114:114">
      <c r="DJ7271" s="29"/>
    </row>
    <row r="7272" spans="114:114">
      <c r="DJ7272" s="29"/>
    </row>
    <row r="7273" spans="114:114">
      <c r="DJ7273" s="29"/>
    </row>
    <row r="7274" spans="114:114">
      <c r="DJ7274" s="29"/>
    </row>
    <row r="7275" spans="114:114">
      <c r="DJ7275" s="29"/>
    </row>
    <row r="7276" spans="114:114">
      <c r="DJ7276" s="29"/>
    </row>
    <row r="7277" spans="114:114">
      <c r="DJ7277" s="29"/>
    </row>
    <row r="7278" spans="114:114">
      <c r="DJ7278" s="29"/>
    </row>
    <row r="7279" spans="114:114">
      <c r="DJ7279" s="29"/>
    </row>
    <row r="7280" spans="114:114">
      <c r="DJ7280" s="29"/>
    </row>
    <row r="7281" spans="114:114">
      <c r="DJ7281" s="29"/>
    </row>
    <row r="7282" spans="114:114">
      <c r="DJ7282" s="29"/>
    </row>
    <row r="7283" spans="114:114">
      <c r="DJ7283" s="29"/>
    </row>
    <row r="7284" spans="114:114">
      <c r="DJ7284" s="29"/>
    </row>
    <row r="7285" spans="114:114">
      <c r="DJ7285" s="29"/>
    </row>
    <row r="7286" spans="114:114">
      <c r="DJ7286" s="29"/>
    </row>
    <row r="7287" spans="114:114">
      <c r="DJ7287" s="29"/>
    </row>
    <row r="7288" spans="114:114">
      <c r="DJ7288" s="29"/>
    </row>
    <row r="7289" spans="114:114">
      <c r="DJ7289" s="29"/>
    </row>
    <row r="7290" spans="114:114">
      <c r="DJ7290" s="29"/>
    </row>
    <row r="7291" spans="114:114">
      <c r="DJ7291" s="29"/>
    </row>
    <row r="7292" spans="114:114">
      <c r="DJ7292" s="29"/>
    </row>
    <row r="7293" spans="114:114">
      <c r="DJ7293" s="29"/>
    </row>
    <row r="7294" spans="114:114">
      <c r="DJ7294" s="29"/>
    </row>
    <row r="7295" spans="114:114">
      <c r="DJ7295" s="29"/>
    </row>
    <row r="7296" spans="114:114">
      <c r="DJ7296" s="29"/>
    </row>
    <row r="7297" spans="114:114">
      <c r="DJ7297" s="29"/>
    </row>
    <row r="7298" spans="114:114">
      <c r="DJ7298" s="29"/>
    </row>
    <row r="7299" spans="114:114">
      <c r="DJ7299" s="29"/>
    </row>
    <row r="7300" spans="114:114">
      <c r="DJ7300" s="29"/>
    </row>
    <row r="7301" spans="114:114">
      <c r="DJ7301" s="29"/>
    </row>
    <row r="7302" spans="114:114">
      <c r="DJ7302" s="29"/>
    </row>
    <row r="7303" spans="114:114">
      <c r="DJ7303" s="29"/>
    </row>
    <row r="7304" spans="114:114">
      <c r="DJ7304" s="29"/>
    </row>
    <row r="7305" spans="114:114">
      <c r="DJ7305" s="29"/>
    </row>
    <row r="7306" spans="114:114">
      <c r="DJ7306" s="29"/>
    </row>
    <row r="7307" spans="114:114">
      <c r="DJ7307" s="29"/>
    </row>
    <row r="7308" spans="114:114">
      <c r="DJ7308" s="29"/>
    </row>
    <row r="7309" spans="114:114">
      <c r="DJ7309" s="29"/>
    </row>
    <row r="7310" spans="114:114">
      <c r="DJ7310" s="29"/>
    </row>
    <row r="7311" spans="114:114">
      <c r="DJ7311" s="29"/>
    </row>
    <row r="7312" spans="114:114">
      <c r="DJ7312" s="29"/>
    </row>
    <row r="7313" spans="114:114">
      <c r="DJ7313" s="29"/>
    </row>
    <row r="7314" spans="114:114">
      <c r="DJ7314" s="29"/>
    </row>
    <row r="7315" spans="114:114">
      <c r="DJ7315" s="29"/>
    </row>
    <row r="7316" spans="114:114">
      <c r="DJ7316" s="29"/>
    </row>
    <row r="7317" spans="114:114">
      <c r="DJ7317" s="29"/>
    </row>
    <row r="7318" spans="114:114">
      <c r="DJ7318" s="29"/>
    </row>
    <row r="7319" spans="114:114">
      <c r="DJ7319" s="29"/>
    </row>
    <row r="7320" spans="114:114">
      <c r="DJ7320" s="29"/>
    </row>
    <row r="7321" spans="114:114">
      <c r="DJ7321" s="29"/>
    </row>
    <row r="7322" spans="114:114">
      <c r="DJ7322" s="29"/>
    </row>
    <row r="7323" spans="114:114">
      <c r="DJ7323" s="29"/>
    </row>
    <row r="7324" spans="114:114">
      <c r="DJ7324" s="29"/>
    </row>
    <row r="7325" spans="114:114">
      <c r="DJ7325" s="29"/>
    </row>
    <row r="7326" spans="114:114">
      <c r="DJ7326" s="29"/>
    </row>
    <row r="7327" spans="114:114">
      <c r="DJ7327" s="29"/>
    </row>
    <row r="7328" spans="114:114">
      <c r="DJ7328" s="29"/>
    </row>
    <row r="7329" spans="114:114">
      <c r="DJ7329" s="29"/>
    </row>
    <row r="7330" spans="114:114">
      <c r="DJ7330" s="29"/>
    </row>
    <row r="7331" spans="114:114">
      <c r="DJ7331" s="29"/>
    </row>
    <row r="7332" spans="114:114">
      <c r="DJ7332" s="29"/>
    </row>
    <row r="7333" spans="114:114">
      <c r="DJ7333" s="29"/>
    </row>
    <row r="7334" spans="114:114">
      <c r="DJ7334" s="29"/>
    </row>
    <row r="7335" spans="114:114">
      <c r="DJ7335" s="29"/>
    </row>
    <row r="7336" spans="114:114">
      <c r="DJ7336" s="29"/>
    </row>
    <row r="7337" spans="114:114">
      <c r="DJ7337" s="29"/>
    </row>
    <row r="7338" spans="114:114">
      <c r="DJ7338" s="29"/>
    </row>
    <row r="7339" spans="114:114">
      <c r="DJ7339" s="29"/>
    </row>
    <row r="7340" spans="114:114">
      <c r="DJ7340" s="29"/>
    </row>
    <row r="7341" spans="114:114">
      <c r="DJ7341" s="29"/>
    </row>
    <row r="7342" spans="114:114">
      <c r="DJ7342" s="29"/>
    </row>
    <row r="7343" spans="114:114">
      <c r="DJ7343" s="29"/>
    </row>
    <row r="7344" spans="114:114">
      <c r="DJ7344" s="29"/>
    </row>
    <row r="7345" spans="114:114">
      <c r="DJ7345" s="29"/>
    </row>
    <row r="7346" spans="114:114">
      <c r="DJ7346" s="29"/>
    </row>
    <row r="7347" spans="114:114">
      <c r="DJ7347" s="29"/>
    </row>
    <row r="7348" spans="114:114">
      <c r="DJ7348" s="29"/>
    </row>
    <row r="7349" spans="114:114">
      <c r="DJ7349" s="29"/>
    </row>
    <row r="7350" spans="114:114">
      <c r="DJ7350" s="29"/>
    </row>
    <row r="7351" spans="114:114">
      <c r="DJ7351" s="29"/>
    </row>
    <row r="7352" spans="114:114">
      <c r="DJ7352" s="29"/>
    </row>
    <row r="7353" spans="114:114">
      <c r="DJ7353" s="29"/>
    </row>
    <row r="7354" spans="114:114">
      <c r="DJ7354" s="29"/>
    </row>
    <row r="7355" spans="114:114">
      <c r="DJ7355" s="29"/>
    </row>
    <row r="7356" spans="114:114">
      <c r="DJ7356" s="29"/>
    </row>
    <row r="7357" spans="114:114">
      <c r="DJ7357" s="29"/>
    </row>
    <row r="7358" spans="114:114">
      <c r="DJ7358" s="29"/>
    </row>
    <row r="7359" spans="114:114">
      <c r="DJ7359" s="29"/>
    </row>
    <row r="7360" spans="114:114">
      <c r="DJ7360" s="29"/>
    </row>
    <row r="7361" spans="114:114">
      <c r="DJ7361" s="29"/>
    </row>
    <row r="7362" spans="114:114">
      <c r="DJ7362" s="29"/>
    </row>
    <row r="7363" spans="114:114">
      <c r="DJ7363" s="29"/>
    </row>
    <row r="7364" spans="114:114">
      <c r="DJ7364" s="29"/>
    </row>
    <row r="7365" spans="114:114">
      <c r="DJ7365" s="29"/>
    </row>
    <row r="7366" spans="114:114">
      <c r="DJ7366" s="29"/>
    </row>
    <row r="7367" spans="114:114">
      <c r="DJ7367" s="29"/>
    </row>
    <row r="7368" spans="114:114">
      <c r="DJ7368" s="29"/>
    </row>
    <row r="7369" spans="114:114">
      <c r="DJ7369" s="29"/>
    </row>
    <row r="7370" spans="114:114">
      <c r="DJ7370" s="29"/>
    </row>
    <row r="7371" spans="114:114">
      <c r="DJ7371" s="29"/>
    </row>
    <row r="7372" spans="114:114">
      <c r="DJ7372" s="29"/>
    </row>
    <row r="7373" spans="114:114">
      <c r="DJ7373" s="29"/>
    </row>
    <row r="7374" spans="114:114">
      <c r="DJ7374" s="29"/>
    </row>
    <row r="7375" spans="114:114">
      <c r="DJ7375" s="29"/>
    </row>
    <row r="7376" spans="114:114">
      <c r="DJ7376" s="29"/>
    </row>
    <row r="7377" spans="114:114">
      <c r="DJ7377" s="29"/>
    </row>
    <row r="7378" spans="114:114">
      <c r="DJ7378" s="29"/>
    </row>
    <row r="7379" spans="114:114">
      <c r="DJ7379" s="29"/>
    </row>
    <row r="7380" spans="114:114">
      <c r="DJ7380" s="29"/>
    </row>
    <row r="7381" spans="114:114">
      <c r="DJ7381" s="29"/>
    </row>
    <row r="7382" spans="114:114">
      <c r="DJ7382" s="29"/>
    </row>
    <row r="7383" spans="114:114">
      <c r="DJ7383" s="29"/>
    </row>
    <row r="7384" spans="114:114">
      <c r="DJ7384" s="29"/>
    </row>
    <row r="7385" spans="114:114">
      <c r="DJ7385" s="29"/>
    </row>
    <row r="7386" spans="114:114">
      <c r="DJ7386" s="29"/>
    </row>
    <row r="7387" spans="114:114">
      <c r="DJ7387" s="29"/>
    </row>
    <row r="7388" spans="114:114">
      <c r="DJ7388" s="29"/>
    </row>
    <row r="7389" spans="114:114">
      <c r="DJ7389" s="29"/>
    </row>
    <row r="7390" spans="114:114">
      <c r="DJ7390" s="29"/>
    </row>
    <row r="7391" spans="114:114">
      <c r="DJ7391" s="29"/>
    </row>
    <row r="7392" spans="114:114">
      <c r="DJ7392" s="29"/>
    </row>
    <row r="7393" spans="114:114">
      <c r="DJ7393" s="29"/>
    </row>
    <row r="7394" spans="114:114">
      <c r="DJ7394" s="29"/>
    </row>
    <row r="7395" spans="114:114">
      <c r="DJ7395" s="29"/>
    </row>
    <row r="7396" spans="114:114">
      <c r="DJ7396" s="29"/>
    </row>
    <row r="7397" spans="114:114">
      <c r="DJ7397" s="29"/>
    </row>
    <row r="7398" spans="114:114">
      <c r="DJ7398" s="29"/>
    </row>
    <row r="7399" spans="114:114">
      <c r="DJ7399" s="29"/>
    </row>
    <row r="7400" spans="114:114">
      <c r="DJ7400" s="29"/>
    </row>
    <row r="7401" spans="114:114">
      <c r="DJ7401" s="29"/>
    </row>
    <row r="7402" spans="114:114">
      <c r="DJ7402" s="29"/>
    </row>
    <row r="7403" spans="114:114">
      <c r="DJ7403" s="29"/>
    </row>
    <row r="7404" spans="114:114">
      <c r="DJ7404" s="29"/>
    </row>
    <row r="7405" spans="114:114">
      <c r="DJ7405" s="29"/>
    </row>
    <row r="7406" spans="114:114">
      <c r="DJ7406" s="29"/>
    </row>
    <row r="7407" spans="114:114">
      <c r="DJ7407" s="29"/>
    </row>
    <row r="7408" spans="114:114">
      <c r="DJ7408" s="29"/>
    </row>
    <row r="7409" spans="114:114">
      <c r="DJ7409" s="29"/>
    </row>
    <row r="7410" spans="114:114">
      <c r="DJ7410" s="29"/>
    </row>
    <row r="7411" spans="114:114">
      <c r="DJ7411" s="29"/>
    </row>
    <row r="7412" spans="114:114">
      <c r="DJ7412" s="29"/>
    </row>
    <row r="7413" spans="114:114">
      <c r="DJ7413" s="29"/>
    </row>
    <row r="7414" spans="114:114">
      <c r="DJ7414" s="29"/>
    </row>
    <row r="7415" spans="114:114">
      <c r="DJ7415" s="29"/>
    </row>
    <row r="7416" spans="114:114">
      <c r="DJ7416" s="29"/>
    </row>
    <row r="7417" spans="114:114">
      <c r="DJ7417" s="29"/>
    </row>
    <row r="7418" spans="114:114">
      <c r="DJ7418" s="29"/>
    </row>
    <row r="7419" spans="114:114">
      <c r="DJ7419" s="29"/>
    </row>
    <row r="7420" spans="114:114">
      <c r="DJ7420" s="29"/>
    </row>
    <row r="7421" spans="114:114">
      <c r="DJ7421" s="29"/>
    </row>
    <row r="7422" spans="114:114">
      <c r="DJ7422" s="29"/>
    </row>
    <row r="7423" spans="114:114">
      <c r="DJ7423" s="29"/>
    </row>
    <row r="7424" spans="114:114">
      <c r="DJ7424" s="29"/>
    </row>
    <row r="7425" spans="114:114">
      <c r="DJ7425" s="29"/>
    </row>
    <row r="7426" spans="114:114">
      <c r="DJ7426" s="29"/>
    </row>
    <row r="7427" spans="114:114">
      <c r="DJ7427" s="29"/>
    </row>
    <row r="7428" spans="114:114">
      <c r="DJ7428" s="29"/>
    </row>
    <row r="7429" spans="114:114">
      <c r="DJ7429" s="29"/>
    </row>
    <row r="7430" spans="114:114">
      <c r="DJ7430" s="29"/>
    </row>
    <row r="7431" spans="114:114">
      <c r="DJ7431" s="29"/>
    </row>
    <row r="7432" spans="114:114">
      <c r="DJ7432" s="29"/>
    </row>
    <row r="7433" spans="114:114">
      <c r="DJ7433" s="29"/>
    </row>
    <row r="7434" spans="114:114">
      <c r="DJ7434" s="29"/>
    </row>
    <row r="7435" spans="114:114">
      <c r="DJ7435" s="29"/>
    </row>
    <row r="7436" spans="114:114">
      <c r="DJ7436" s="29"/>
    </row>
    <row r="7437" spans="114:114">
      <c r="DJ7437" s="29"/>
    </row>
    <row r="7438" spans="114:114">
      <c r="DJ7438" s="29"/>
    </row>
    <row r="7439" spans="114:114">
      <c r="DJ7439" s="29"/>
    </row>
    <row r="7440" spans="114:114">
      <c r="DJ7440" s="29"/>
    </row>
    <row r="7441" spans="114:114">
      <c r="DJ7441" s="29"/>
    </row>
    <row r="7442" spans="114:114">
      <c r="DJ7442" s="29"/>
    </row>
    <row r="7443" spans="114:114">
      <c r="DJ7443" s="29"/>
    </row>
    <row r="7444" spans="114:114">
      <c r="DJ7444" s="29"/>
    </row>
    <row r="7445" spans="114:114">
      <c r="DJ7445" s="29"/>
    </row>
    <row r="7446" spans="114:114">
      <c r="DJ7446" s="29"/>
    </row>
    <row r="7447" spans="114:114">
      <c r="DJ7447" s="29"/>
    </row>
    <row r="7448" spans="114:114">
      <c r="DJ7448" s="29"/>
    </row>
    <row r="7449" spans="114:114">
      <c r="DJ7449" s="29"/>
    </row>
    <row r="7450" spans="114:114">
      <c r="DJ7450" s="29"/>
    </row>
    <row r="7451" spans="114:114">
      <c r="DJ7451" s="29"/>
    </row>
    <row r="7452" spans="114:114">
      <c r="DJ7452" s="29"/>
    </row>
    <row r="7453" spans="114:114">
      <c r="DJ7453" s="29"/>
    </row>
    <row r="7454" spans="114:114">
      <c r="DJ7454" s="29"/>
    </row>
    <row r="7455" spans="114:114">
      <c r="DJ7455" s="29"/>
    </row>
    <row r="7456" spans="114:114">
      <c r="DJ7456" s="29"/>
    </row>
    <row r="7457" spans="114:114">
      <c r="DJ7457" s="29"/>
    </row>
    <row r="7458" spans="114:114">
      <c r="DJ7458" s="29"/>
    </row>
    <row r="7459" spans="114:114">
      <c r="DJ7459" s="29"/>
    </row>
    <row r="7460" spans="114:114">
      <c r="DJ7460" s="29"/>
    </row>
    <row r="7461" spans="114:114">
      <c r="DJ7461" s="29"/>
    </row>
    <row r="7462" spans="114:114">
      <c r="DJ7462" s="29"/>
    </row>
    <row r="7463" spans="114:114">
      <c r="DJ7463" s="29"/>
    </row>
    <row r="7464" spans="114:114">
      <c r="DJ7464" s="29"/>
    </row>
    <row r="7465" spans="114:114">
      <c r="DJ7465" s="29"/>
    </row>
    <row r="7466" spans="114:114">
      <c r="DJ7466" s="29"/>
    </row>
    <row r="7467" spans="114:114">
      <c r="DJ7467" s="29"/>
    </row>
    <row r="7468" spans="114:114">
      <c r="DJ7468" s="29"/>
    </row>
    <row r="7469" spans="114:114">
      <c r="DJ7469" s="29"/>
    </row>
    <row r="7470" spans="114:114">
      <c r="DJ7470" s="29"/>
    </row>
    <row r="7471" spans="114:114">
      <c r="DJ7471" s="29"/>
    </row>
    <row r="7472" spans="114:114">
      <c r="DJ7472" s="29"/>
    </row>
    <row r="7473" spans="114:114">
      <c r="DJ7473" s="29"/>
    </row>
    <row r="7474" spans="114:114">
      <c r="DJ7474" s="29"/>
    </row>
    <row r="7475" spans="114:114">
      <c r="DJ7475" s="29"/>
    </row>
    <row r="7476" spans="114:114">
      <c r="DJ7476" s="29"/>
    </row>
    <row r="7477" spans="114:114">
      <c r="DJ7477" s="29"/>
    </row>
    <row r="7478" spans="114:114">
      <c r="DJ7478" s="29"/>
    </row>
    <row r="7479" spans="114:114">
      <c r="DJ7479" s="29"/>
    </row>
    <row r="7480" spans="114:114">
      <c r="DJ7480" s="29"/>
    </row>
    <row r="7481" spans="114:114">
      <c r="DJ7481" s="29"/>
    </row>
    <row r="7482" spans="114:114">
      <c r="DJ7482" s="29"/>
    </row>
    <row r="7483" spans="114:114">
      <c r="DJ7483" s="29"/>
    </row>
    <row r="7484" spans="114:114">
      <c r="DJ7484" s="29"/>
    </row>
    <row r="7485" spans="114:114">
      <c r="DJ7485" s="29"/>
    </row>
    <row r="7486" spans="114:114">
      <c r="DJ7486" s="29"/>
    </row>
    <row r="7487" spans="114:114">
      <c r="DJ7487" s="29"/>
    </row>
    <row r="7488" spans="114:114">
      <c r="DJ7488" s="29"/>
    </row>
    <row r="7489" spans="114:114">
      <c r="DJ7489" s="29"/>
    </row>
    <row r="7490" spans="114:114">
      <c r="DJ7490" s="29"/>
    </row>
    <row r="7491" spans="114:114">
      <c r="DJ7491" s="29"/>
    </row>
    <row r="7492" spans="114:114">
      <c r="DJ7492" s="29"/>
    </row>
    <row r="7493" spans="114:114">
      <c r="DJ7493" s="29"/>
    </row>
    <row r="7494" spans="114:114">
      <c r="DJ7494" s="29"/>
    </row>
    <row r="7495" spans="114:114">
      <c r="DJ7495" s="29"/>
    </row>
    <row r="7496" spans="114:114">
      <c r="DJ7496" s="29"/>
    </row>
    <row r="7497" spans="114:114">
      <c r="DJ7497" s="29"/>
    </row>
    <row r="7498" spans="114:114">
      <c r="DJ7498" s="29"/>
    </row>
    <row r="7499" spans="114:114">
      <c r="DJ7499" s="29"/>
    </row>
    <row r="7500" spans="114:114">
      <c r="DJ7500" s="29"/>
    </row>
    <row r="7501" spans="114:114">
      <c r="DJ7501" s="29"/>
    </row>
    <row r="7502" spans="114:114">
      <c r="DJ7502" s="29"/>
    </row>
    <row r="7503" spans="114:114">
      <c r="DJ7503" s="29"/>
    </row>
    <row r="7504" spans="114:114">
      <c r="DJ7504" s="29"/>
    </row>
    <row r="7505" spans="114:114">
      <c r="DJ7505" s="29"/>
    </row>
    <row r="7506" spans="114:114">
      <c r="DJ7506" s="29"/>
    </row>
    <row r="7507" spans="114:114">
      <c r="DJ7507" s="29"/>
    </row>
    <row r="7508" spans="114:114">
      <c r="DJ7508" s="29"/>
    </row>
    <row r="7509" spans="114:114">
      <c r="DJ7509" s="29"/>
    </row>
    <row r="7510" spans="114:114">
      <c r="DJ7510" s="29"/>
    </row>
    <row r="7511" spans="114:114">
      <c r="DJ7511" s="29"/>
    </row>
    <row r="7512" spans="114:114">
      <c r="DJ7512" s="29"/>
    </row>
    <row r="7513" spans="114:114">
      <c r="DJ7513" s="29"/>
    </row>
    <row r="7514" spans="114:114">
      <c r="DJ7514" s="29"/>
    </row>
    <row r="7515" spans="114:114">
      <c r="DJ7515" s="29"/>
    </row>
    <row r="7516" spans="114:114">
      <c r="DJ7516" s="29"/>
    </row>
    <row r="7517" spans="114:114">
      <c r="DJ7517" s="29"/>
    </row>
    <row r="7518" spans="114:114">
      <c r="DJ7518" s="29"/>
    </row>
    <row r="7519" spans="114:114">
      <c r="DJ7519" s="29"/>
    </row>
    <row r="7520" spans="114:114">
      <c r="DJ7520" s="29"/>
    </row>
    <row r="7521" spans="114:114">
      <c r="DJ7521" s="29"/>
    </row>
    <row r="7522" spans="114:114">
      <c r="DJ7522" s="29"/>
    </row>
    <row r="7523" spans="114:114">
      <c r="DJ7523" s="29"/>
    </row>
    <row r="7524" spans="114:114">
      <c r="DJ7524" s="29"/>
    </row>
    <row r="7525" spans="114:114">
      <c r="DJ7525" s="29"/>
    </row>
    <row r="7526" spans="114:114">
      <c r="DJ7526" s="29"/>
    </row>
    <row r="7527" spans="114:114">
      <c r="DJ7527" s="29"/>
    </row>
    <row r="7528" spans="114:114">
      <c r="DJ7528" s="29"/>
    </row>
    <row r="7529" spans="114:114">
      <c r="DJ7529" s="29"/>
    </row>
    <row r="7530" spans="114:114">
      <c r="DJ7530" s="29"/>
    </row>
    <row r="7531" spans="114:114">
      <c r="DJ7531" s="29"/>
    </row>
    <row r="7532" spans="114:114">
      <c r="DJ7532" s="29"/>
    </row>
    <row r="7533" spans="114:114">
      <c r="DJ7533" s="29"/>
    </row>
    <row r="7534" spans="114:114">
      <c r="DJ7534" s="29"/>
    </row>
    <row r="7535" spans="114:114">
      <c r="DJ7535" s="29"/>
    </row>
    <row r="7536" spans="114:114">
      <c r="DJ7536" s="29"/>
    </row>
    <row r="7537" spans="114:114">
      <c r="DJ7537" s="29"/>
    </row>
    <row r="7538" spans="114:114">
      <c r="DJ7538" s="29"/>
    </row>
    <row r="7539" spans="114:114">
      <c r="DJ7539" s="29"/>
    </row>
    <row r="7540" spans="114:114">
      <c r="DJ7540" s="29"/>
    </row>
    <row r="7541" spans="114:114">
      <c r="DJ7541" s="29"/>
    </row>
    <row r="7542" spans="114:114">
      <c r="DJ7542" s="29"/>
    </row>
    <row r="7543" spans="114:114">
      <c r="DJ7543" s="29"/>
    </row>
    <row r="7544" spans="114:114">
      <c r="DJ7544" s="29"/>
    </row>
    <row r="7545" spans="114:114">
      <c r="DJ7545" s="29"/>
    </row>
    <row r="7546" spans="114:114">
      <c r="DJ7546" s="29"/>
    </row>
    <row r="7547" spans="114:114">
      <c r="DJ7547" s="29"/>
    </row>
    <row r="7548" spans="114:114">
      <c r="DJ7548" s="29"/>
    </row>
    <row r="7549" spans="114:114">
      <c r="DJ7549" s="29"/>
    </row>
    <row r="7550" spans="114:114">
      <c r="DJ7550" s="29"/>
    </row>
    <row r="7551" spans="114:114">
      <c r="DJ7551" s="29"/>
    </row>
    <row r="7552" spans="114:114">
      <c r="DJ7552" s="29"/>
    </row>
    <row r="7553" spans="114:114">
      <c r="DJ7553" s="29"/>
    </row>
    <row r="7554" spans="114:114">
      <c r="DJ7554" s="29"/>
    </row>
    <row r="7555" spans="114:114">
      <c r="DJ7555" s="29"/>
    </row>
    <row r="7556" spans="114:114">
      <c r="DJ7556" s="29"/>
    </row>
    <row r="7557" spans="114:114">
      <c r="DJ7557" s="29"/>
    </row>
    <row r="7558" spans="114:114">
      <c r="DJ7558" s="29"/>
    </row>
    <row r="7559" spans="114:114">
      <c r="DJ7559" s="29"/>
    </row>
    <row r="7560" spans="114:114">
      <c r="DJ7560" s="29"/>
    </row>
    <row r="7561" spans="114:114">
      <c r="DJ7561" s="29"/>
    </row>
    <row r="7562" spans="114:114">
      <c r="DJ7562" s="29"/>
    </row>
    <row r="7563" spans="114:114">
      <c r="DJ7563" s="29"/>
    </row>
    <row r="7564" spans="114:114">
      <c r="DJ7564" s="29"/>
    </row>
    <row r="7565" spans="114:114">
      <c r="DJ7565" s="29"/>
    </row>
    <row r="7566" spans="114:114">
      <c r="DJ7566" s="29"/>
    </row>
    <row r="7567" spans="114:114">
      <c r="DJ7567" s="29"/>
    </row>
    <row r="7568" spans="114:114">
      <c r="DJ7568" s="29"/>
    </row>
    <row r="7569" spans="114:114">
      <c r="DJ7569" s="29"/>
    </row>
    <row r="7570" spans="114:114">
      <c r="DJ7570" s="29"/>
    </row>
    <row r="7571" spans="114:114">
      <c r="DJ7571" s="29"/>
    </row>
    <row r="7572" spans="114:114">
      <c r="DJ7572" s="29"/>
    </row>
    <row r="7573" spans="114:114">
      <c r="DJ7573" s="29"/>
    </row>
    <row r="7574" spans="114:114">
      <c r="DJ7574" s="29"/>
    </row>
    <row r="7575" spans="114:114">
      <c r="DJ7575" s="29"/>
    </row>
    <row r="7576" spans="114:114">
      <c r="DJ7576" s="29"/>
    </row>
    <row r="7577" spans="114:114">
      <c r="DJ7577" s="29"/>
    </row>
    <row r="7578" spans="114:114">
      <c r="DJ7578" s="29"/>
    </row>
    <row r="7579" spans="114:114">
      <c r="DJ7579" s="29"/>
    </row>
    <row r="7580" spans="114:114">
      <c r="DJ7580" s="29"/>
    </row>
    <row r="7581" spans="114:114">
      <c r="DJ7581" s="29"/>
    </row>
    <row r="7582" spans="114:114">
      <c r="DJ7582" s="29"/>
    </row>
    <row r="7583" spans="114:114">
      <c r="DJ7583" s="29"/>
    </row>
    <row r="7584" spans="114:114">
      <c r="DJ7584" s="29"/>
    </row>
    <row r="7585" spans="114:114">
      <c r="DJ7585" s="29"/>
    </row>
    <row r="7586" spans="114:114">
      <c r="DJ7586" s="29"/>
    </row>
    <row r="7587" spans="114:114">
      <c r="DJ7587" s="29"/>
    </row>
    <row r="7588" spans="114:114">
      <c r="DJ7588" s="29"/>
    </row>
    <row r="7589" spans="114:114">
      <c r="DJ7589" s="29"/>
    </row>
    <row r="7590" spans="114:114">
      <c r="DJ7590" s="29"/>
    </row>
    <row r="7591" spans="114:114">
      <c r="DJ7591" s="29"/>
    </row>
    <row r="7592" spans="114:114">
      <c r="DJ7592" s="29"/>
    </row>
    <row r="7593" spans="114:114">
      <c r="DJ7593" s="29"/>
    </row>
    <row r="7594" spans="114:114">
      <c r="DJ7594" s="29"/>
    </row>
    <row r="7595" spans="114:114">
      <c r="DJ7595" s="29"/>
    </row>
    <row r="7596" spans="114:114">
      <c r="DJ7596" s="29"/>
    </row>
    <row r="7597" spans="114:114">
      <c r="DJ7597" s="29"/>
    </row>
    <row r="7598" spans="114:114">
      <c r="DJ7598" s="29"/>
    </row>
    <row r="7599" spans="114:114">
      <c r="DJ7599" s="29"/>
    </row>
    <row r="7600" spans="114:114">
      <c r="DJ7600" s="29"/>
    </row>
    <row r="7601" spans="114:114">
      <c r="DJ7601" s="29"/>
    </row>
    <row r="7602" spans="114:114">
      <c r="DJ7602" s="29"/>
    </row>
    <row r="7603" spans="114:114">
      <c r="DJ7603" s="29"/>
    </row>
    <row r="7604" spans="114:114">
      <c r="DJ7604" s="29"/>
    </row>
    <row r="7605" spans="114:114">
      <c r="DJ7605" s="29"/>
    </row>
    <row r="7606" spans="114:114">
      <c r="DJ7606" s="29"/>
    </row>
    <row r="7607" spans="114:114">
      <c r="DJ7607" s="29"/>
    </row>
    <row r="7608" spans="114:114">
      <c r="DJ7608" s="29"/>
    </row>
    <row r="7609" spans="114:114">
      <c r="DJ7609" s="29"/>
    </row>
    <row r="7610" spans="114:114">
      <c r="DJ7610" s="29"/>
    </row>
    <row r="7611" spans="114:114">
      <c r="DJ7611" s="29"/>
    </row>
    <row r="7612" spans="114:114">
      <c r="DJ7612" s="29"/>
    </row>
    <row r="7613" spans="114:114">
      <c r="DJ7613" s="29"/>
    </row>
    <row r="7614" spans="114:114">
      <c r="DJ7614" s="29"/>
    </row>
    <row r="7615" spans="114:114">
      <c r="DJ7615" s="29"/>
    </row>
    <row r="7616" spans="114:114">
      <c r="DJ7616" s="29"/>
    </row>
    <row r="7617" spans="114:114">
      <c r="DJ7617" s="29"/>
    </row>
    <row r="7618" spans="114:114">
      <c r="DJ7618" s="29"/>
    </row>
    <row r="7619" spans="114:114">
      <c r="DJ7619" s="29"/>
    </row>
    <row r="7620" spans="114:114">
      <c r="DJ7620" s="29"/>
    </row>
    <row r="7621" spans="114:114">
      <c r="DJ7621" s="29"/>
    </row>
    <row r="7622" spans="114:114">
      <c r="DJ7622" s="29"/>
    </row>
    <row r="7623" spans="114:114">
      <c r="DJ7623" s="29"/>
    </row>
    <row r="7624" spans="114:114">
      <c r="DJ7624" s="29"/>
    </row>
    <row r="7625" spans="114:114">
      <c r="DJ7625" s="29"/>
    </row>
    <row r="7626" spans="114:114">
      <c r="DJ7626" s="29"/>
    </row>
    <row r="7627" spans="114:114">
      <c r="DJ7627" s="29"/>
    </row>
    <row r="7628" spans="114:114">
      <c r="DJ7628" s="29"/>
    </row>
    <row r="7629" spans="114:114">
      <c r="DJ7629" s="29"/>
    </row>
    <row r="7630" spans="114:114">
      <c r="DJ7630" s="29"/>
    </row>
    <row r="7631" spans="114:114">
      <c r="DJ7631" s="29"/>
    </row>
    <row r="7632" spans="114:114">
      <c r="DJ7632" s="29"/>
    </row>
    <row r="7633" spans="114:114">
      <c r="DJ7633" s="29"/>
    </row>
    <row r="7634" spans="114:114">
      <c r="DJ7634" s="29"/>
    </row>
    <row r="7635" spans="114:114">
      <c r="DJ7635" s="29"/>
    </row>
    <row r="7636" spans="114:114">
      <c r="DJ7636" s="29"/>
    </row>
    <row r="7637" spans="114:114">
      <c r="DJ7637" s="29"/>
    </row>
    <row r="7638" spans="114:114">
      <c r="DJ7638" s="29"/>
    </row>
    <row r="7639" spans="114:114">
      <c r="DJ7639" s="29"/>
    </row>
    <row r="7640" spans="114:114">
      <c r="DJ7640" s="29"/>
    </row>
    <row r="7641" spans="114:114">
      <c r="DJ7641" s="29"/>
    </row>
    <row r="7642" spans="114:114">
      <c r="DJ7642" s="29"/>
    </row>
    <row r="7643" spans="114:114">
      <c r="DJ7643" s="29"/>
    </row>
    <row r="7644" spans="114:114">
      <c r="DJ7644" s="29"/>
    </row>
    <row r="7645" spans="114:114">
      <c r="DJ7645" s="29"/>
    </row>
    <row r="7646" spans="114:114">
      <c r="DJ7646" s="29"/>
    </row>
    <row r="7647" spans="114:114">
      <c r="DJ7647" s="29"/>
    </row>
    <row r="7648" spans="114:114">
      <c r="DJ7648" s="29"/>
    </row>
    <row r="7649" spans="114:114">
      <c r="DJ7649" s="29"/>
    </row>
    <row r="7650" spans="114:114">
      <c r="DJ7650" s="29"/>
    </row>
    <row r="7651" spans="114:114">
      <c r="DJ7651" s="29"/>
    </row>
    <row r="7652" spans="114:114">
      <c r="DJ7652" s="29"/>
    </row>
    <row r="7653" spans="114:114">
      <c r="DJ7653" s="29"/>
    </row>
    <row r="7654" spans="114:114">
      <c r="DJ7654" s="29"/>
    </row>
    <row r="7655" spans="114:114">
      <c r="DJ7655" s="29"/>
    </row>
    <row r="7656" spans="114:114">
      <c r="DJ7656" s="29"/>
    </row>
    <row r="7657" spans="114:114">
      <c r="DJ7657" s="29"/>
    </row>
    <row r="7658" spans="114:114">
      <c r="DJ7658" s="29"/>
    </row>
    <row r="7659" spans="114:114">
      <c r="DJ7659" s="29"/>
    </row>
    <row r="7660" spans="114:114">
      <c r="DJ7660" s="29"/>
    </row>
    <row r="7661" spans="114:114">
      <c r="DJ7661" s="29"/>
    </row>
    <row r="7662" spans="114:114">
      <c r="DJ7662" s="29"/>
    </row>
    <row r="7663" spans="114:114">
      <c r="DJ7663" s="29"/>
    </row>
    <row r="7664" spans="114:114">
      <c r="DJ7664" s="29"/>
    </row>
    <row r="7665" spans="114:114">
      <c r="DJ7665" s="29"/>
    </row>
    <row r="7666" spans="114:114">
      <c r="DJ7666" s="29"/>
    </row>
    <row r="7667" spans="114:114">
      <c r="DJ7667" s="29"/>
    </row>
    <row r="7668" spans="114:114">
      <c r="DJ7668" s="29"/>
    </row>
    <row r="7669" spans="114:114">
      <c r="DJ7669" s="29"/>
    </row>
    <row r="7670" spans="114:114">
      <c r="DJ7670" s="29"/>
    </row>
    <row r="7671" spans="114:114">
      <c r="DJ7671" s="29"/>
    </row>
    <row r="7672" spans="114:114">
      <c r="DJ7672" s="29"/>
    </row>
    <row r="7673" spans="114:114">
      <c r="DJ7673" s="29"/>
    </row>
    <row r="7674" spans="114:114">
      <c r="DJ7674" s="29"/>
    </row>
    <row r="7675" spans="114:114">
      <c r="DJ7675" s="29"/>
    </row>
    <row r="7676" spans="114:114">
      <c r="DJ7676" s="29"/>
    </row>
    <row r="7677" spans="114:114">
      <c r="DJ7677" s="29"/>
    </row>
    <row r="7678" spans="114:114">
      <c r="DJ7678" s="29"/>
    </row>
    <row r="7679" spans="114:114">
      <c r="DJ7679" s="29"/>
    </row>
    <row r="7680" spans="114:114">
      <c r="DJ7680" s="29"/>
    </row>
    <row r="7681" spans="114:114">
      <c r="DJ7681" s="29"/>
    </row>
    <row r="7682" spans="114:114">
      <c r="DJ7682" s="29"/>
    </row>
    <row r="7683" spans="114:114">
      <c r="DJ7683" s="29"/>
    </row>
    <row r="7684" spans="114:114">
      <c r="DJ7684" s="29"/>
    </row>
    <row r="7685" spans="114:114">
      <c r="DJ7685" s="29"/>
    </row>
    <row r="7686" spans="114:114">
      <c r="DJ7686" s="29"/>
    </row>
    <row r="7687" spans="114:114">
      <c r="DJ7687" s="29"/>
    </row>
    <row r="7688" spans="114:114">
      <c r="DJ7688" s="29"/>
    </row>
    <row r="7689" spans="114:114">
      <c r="DJ7689" s="29"/>
    </row>
    <row r="7690" spans="114:114">
      <c r="DJ7690" s="29"/>
    </row>
    <row r="7691" spans="114:114">
      <c r="DJ7691" s="29"/>
    </row>
    <row r="7692" spans="114:114">
      <c r="DJ7692" s="29"/>
    </row>
    <row r="7693" spans="114:114">
      <c r="DJ7693" s="29"/>
    </row>
    <row r="7694" spans="114:114">
      <c r="DJ7694" s="29"/>
    </row>
    <row r="7695" spans="114:114">
      <c r="DJ7695" s="29"/>
    </row>
    <row r="7696" spans="114:114">
      <c r="DJ7696" s="29"/>
    </row>
    <row r="7697" spans="114:114">
      <c r="DJ7697" s="29"/>
    </row>
    <row r="7698" spans="114:114">
      <c r="DJ7698" s="29"/>
    </row>
    <row r="7699" spans="114:114">
      <c r="DJ7699" s="29"/>
    </row>
    <row r="7700" spans="114:114">
      <c r="DJ7700" s="29"/>
    </row>
    <row r="7701" spans="114:114">
      <c r="DJ7701" s="29"/>
    </row>
    <row r="7702" spans="114:114">
      <c r="DJ7702" s="29"/>
    </row>
    <row r="7703" spans="114:114">
      <c r="DJ7703" s="29"/>
    </row>
    <row r="7704" spans="114:114">
      <c r="DJ7704" s="29"/>
    </row>
    <row r="7705" spans="114:114">
      <c r="DJ7705" s="29"/>
    </row>
    <row r="7706" spans="114:114">
      <c r="DJ7706" s="29"/>
    </row>
    <row r="7707" spans="114:114">
      <c r="DJ7707" s="29"/>
    </row>
    <row r="7708" spans="114:114">
      <c r="DJ7708" s="29"/>
    </row>
    <row r="7709" spans="114:114">
      <c r="DJ7709" s="29"/>
    </row>
    <row r="7710" spans="114:114">
      <c r="DJ7710" s="29"/>
    </row>
    <row r="7711" spans="114:114">
      <c r="DJ7711" s="29"/>
    </row>
    <row r="7712" spans="114:114">
      <c r="DJ7712" s="29"/>
    </row>
    <row r="7713" spans="114:114">
      <c r="DJ7713" s="29"/>
    </row>
    <row r="7714" spans="114:114">
      <c r="DJ7714" s="29"/>
    </row>
    <row r="7715" spans="114:114">
      <c r="DJ7715" s="29"/>
    </row>
    <row r="7716" spans="114:114">
      <c r="DJ7716" s="29"/>
    </row>
    <row r="7717" spans="114:114">
      <c r="DJ7717" s="29"/>
    </row>
    <row r="7718" spans="114:114">
      <c r="DJ7718" s="29"/>
    </row>
    <row r="7719" spans="114:114">
      <c r="DJ7719" s="29"/>
    </row>
    <row r="7720" spans="114:114">
      <c r="DJ7720" s="29"/>
    </row>
    <row r="7721" spans="114:114">
      <c r="DJ7721" s="29"/>
    </row>
    <row r="7722" spans="114:114">
      <c r="DJ7722" s="29"/>
    </row>
    <row r="7723" spans="114:114">
      <c r="DJ7723" s="29"/>
    </row>
    <row r="7724" spans="114:114">
      <c r="DJ7724" s="29"/>
    </row>
    <row r="7725" spans="114:114">
      <c r="DJ7725" s="29"/>
    </row>
    <row r="7726" spans="114:114">
      <c r="DJ7726" s="29"/>
    </row>
    <row r="7727" spans="114:114">
      <c r="DJ7727" s="29"/>
    </row>
    <row r="7728" spans="114:114">
      <c r="DJ7728" s="29"/>
    </row>
    <row r="7729" spans="114:114">
      <c r="DJ7729" s="29"/>
    </row>
    <row r="7730" spans="114:114">
      <c r="DJ7730" s="29"/>
    </row>
    <row r="7731" spans="114:114">
      <c r="DJ7731" s="29"/>
    </row>
    <row r="7732" spans="114:114">
      <c r="DJ7732" s="29"/>
    </row>
    <row r="7733" spans="114:114">
      <c r="DJ7733" s="29"/>
    </row>
    <row r="7734" spans="114:114">
      <c r="DJ7734" s="29"/>
    </row>
    <row r="7735" spans="114:114">
      <c r="DJ7735" s="29"/>
    </row>
    <row r="7736" spans="114:114">
      <c r="DJ7736" s="29"/>
    </row>
    <row r="7737" spans="114:114">
      <c r="DJ7737" s="29"/>
    </row>
    <row r="7738" spans="114:114">
      <c r="DJ7738" s="29"/>
    </row>
    <row r="7739" spans="114:114">
      <c r="DJ7739" s="29"/>
    </row>
    <row r="7740" spans="114:114">
      <c r="DJ7740" s="29"/>
    </row>
    <row r="7741" spans="114:114">
      <c r="DJ7741" s="29"/>
    </row>
    <row r="7742" spans="114:114">
      <c r="DJ7742" s="29"/>
    </row>
    <row r="7743" spans="114:114">
      <c r="DJ7743" s="29"/>
    </row>
    <row r="7744" spans="114:114">
      <c r="DJ7744" s="29"/>
    </row>
    <row r="7745" spans="114:114">
      <c r="DJ7745" s="29"/>
    </row>
    <row r="7746" spans="114:114">
      <c r="DJ7746" s="29"/>
    </row>
    <row r="7747" spans="114:114">
      <c r="DJ7747" s="29"/>
    </row>
    <row r="7748" spans="114:114">
      <c r="DJ7748" s="29"/>
    </row>
    <row r="7749" spans="114:114">
      <c r="DJ7749" s="29"/>
    </row>
    <row r="7750" spans="114:114">
      <c r="DJ7750" s="29"/>
    </row>
    <row r="7751" spans="114:114">
      <c r="DJ7751" s="29"/>
    </row>
    <row r="7752" spans="114:114">
      <c r="DJ7752" s="29"/>
    </row>
    <row r="7753" spans="114:114">
      <c r="DJ7753" s="29"/>
    </row>
    <row r="7754" spans="114:114">
      <c r="DJ7754" s="29"/>
    </row>
    <row r="7755" spans="114:114">
      <c r="DJ7755" s="29"/>
    </row>
    <row r="7756" spans="114:114">
      <c r="DJ7756" s="29"/>
    </row>
    <row r="7757" spans="114:114">
      <c r="DJ7757" s="29"/>
    </row>
    <row r="7758" spans="114:114">
      <c r="DJ7758" s="29"/>
    </row>
    <row r="7759" spans="114:114">
      <c r="DJ7759" s="29"/>
    </row>
    <row r="7760" spans="114:114">
      <c r="DJ7760" s="29"/>
    </row>
    <row r="7761" spans="114:114">
      <c r="DJ7761" s="29"/>
    </row>
    <row r="7762" spans="114:114">
      <c r="DJ7762" s="29"/>
    </row>
    <row r="7763" spans="114:114">
      <c r="DJ7763" s="29"/>
    </row>
    <row r="7764" spans="114:114">
      <c r="DJ7764" s="29"/>
    </row>
    <row r="7765" spans="114:114">
      <c r="DJ7765" s="29"/>
    </row>
    <row r="7766" spans="114:114">
      <c r="DJ7766" s="29"/>
    </row>
    <row r="7767" spans="114:114">
      <c r="DJ7767" s="29"/>
    </row>
    <row r="7768" spans="114:114">
      <c r="DJ7768" s="29"/>
    </row>
    <row r="7769" spans="114:114">
      <c r="DJ7769" s="29"/>
    </row>
    <row r="7770" spans="114:114">
      <c r="DJ7770" s="29"/>
    </row>
    <row r="7771" spans="114:114">
      <c r="DJ7771" s="29"/>
    </row>
    <row r="7772" spans="114:114">
      <c r="DJ7772" s="29"/>
    </row>
    <row r="7773" spans="114:114">
      <c r="DJ7773" s="29"/>
    </row>
    <row r="7774" spans="114:114">
      <c r="DJ7774" s="29"/>
    </row>
    <row r="7775" spans="114:114">
      <c r="DJ7775" s="29"/>
    </row>
    <row r="7776" spans="114:114">
      <c r="DJ7776" s="29"/>
    </row>
    <row r="7777" spans="114:114">
      <c r="DJ7777" s="29"/>
    </row>
    <row r="7778" spans="114:114">
      <c r="DJ7778" s="29"/>
    </row>
    <row r="7779" spans="114:114">
      <c r="DJ7779" s="29"/>
    </row>
    <row r="7780" spans="114:114">
      <c r="DJ7780" s="29"/>
    </row>
    <row r="7781" spans="114:114">
      <c r="DJ7781" s="29"/>
    </row>
    <row r="7782" spans="114:114">
      <c r="DJ7782" s="29"/>
    </row>
    <row r="7783" spans="114:114">
      <c r="DJ7783" s="29"/>
    </row>
    <row r="7784" spans="114:114">
      <c r="DJ7784" s="29"/>
    </row>
    <row r="7785" spans="114:114">
      <c r="DJ7785" s="29"/>
    </row>
    <row r="7786" spans="114:114">
      <c r="DJ7786" s="29"/>
    </row>
    <row r="7787" spans="114:114">
      <c r="DJ7787" s="29"/>
    </row>
    <row r="7788" spans="114:114">
      <c r="DJ7788" s="29"/>
    </row>
    <row r="7789" spans="114:114">
      <c r="DJ7789" s="29"/>
    </row>
    <row r="7790" spans="114:114">
      <c r="DJ7790" s="29"/>
    </row>
    <row r="7791" spans="114:114">
      <c r="DJ7791" s="29"/>
    </row>
    <row r="7792" spans="114:114">
      <c r="DJ7792" s="29"/>
    </row>
    <row r="7793" spans="114:114">
      <c r="DJ7793" s="29"/>
    </row>
    <row r="7794" spans="114:114">
      <c r="DJ7794" s="29"/>
    </row>
    <row r="7795" spans="114:114">
      <c r="DJ7795" s="29"/>
    </row>
    <row r="7796" spans="114:114">
      <c r="DJ7796" s="29"/>
    </row>
    <row r="7797" spans="114:114">
      <c r="DJ7797" s="29"/>
    </row>
    <row r="7798" spans="114:114">
      <c r="DJ7798" s="29"/>
    </row>
    <row r="7799" spans="114:114">
      <c r="DJ7799" s="29"/>
    </row>
    <row r="7800" spans="114:114">
      <c r="DJ7800" s="29"/>
    </row>
    <row r="7801" spans="114:114">
      <c r="DJ7801" s="29"/>
    </row>
    <row r="7802" spans="114:114">
      <c r="DJ7802" s="29"/>
    </row>
    <row r="7803" spans="114:114">
      <c r="DJ7803" s="29"/>
    </row>
    <row r="7804" spans="114:114">
      <c r="DJ7804" s="29"/>
    </row>
    <row r="7805" spans="114:114">
      <c r="DJ7805" s="29"/>
    </row>
    <row r="7806" spans="114:114">
      <c r="DJ7806" s="29"/>
    </row>
    <row r="7807" spans="114:114">
      <c r="DJ7807" s="29"/>
    </row>
    <row r="7808" spans="114:114">
      <c r="DJ7808" s="29"/>
    </row>
    <row r="7809" spans="114:114">
      <c r="DJ7809" s="29"/>
    </row>
    <row r="7810" spans="114:114">
      <c r="DJ7810" s="29"/>
    </row>
    <row r="7811" spans="114:114">
      <c r="DJ7811" s="29"/>
    </row>
    <row r="7812" spans="114:114">
      <c r="DJ7812" s="29"/>
    </row>
    <row r="7813" spans="114:114">
      <c r="DJ7813" s="29"/>
    </row>
    <row r="7814" spans="114:114">
      <c r="DJ7814" s="29"/>
    </row>
    <row r="7815" spans="114:114">
      <c r="DJ7815" s="29"/>
    </row>
    <row r="7816" spans="114:114">
      <c r="DJ7816" s="29"/>
    </row>
    <row r="7817" spans="114:114">
      <c r="DJ7817" s="29"/>
    </row>
    <row r="7818" spans="114:114">
      <c r="DJ7818" s="29"/>
    </row>
    <row r="7819" spans="114:114">
      <c r="DJ7819" s="29"/>
    </row>
    <row r="7820" spans="114:114">
      <c r="DJ7820" s="29"/>
    </row>
    <row r="7821" spans="114:114">
      <c r="DJ7821" s="29"/>
    </row>
    <row r="7822" spans="114:114">
      <c r="DJ7822" s="29"/>
    </row>
    <row r="7823" spans="114:114">
      <c r="DJ7823" s="29"/>
    </row>
    <row r="7824" spans="114:114">
      <c r="DJ7824" s="29"/>
    </row>
    <row r="7825" spans="114:114">
      <c r="DJ7825" s="29"/>
    </row>
    <row r="7826" spans="114:114">
      <c r="DJ7826" s="29"/>
    </row>
    <row r="7827" spans="114:114">
      <c r="DJ7827" s="29"/>
    </row>
    <row r="7828" spans="114:114">
      <c r="DJ7828" s="29"/>
    </row>
    <row r="7829" spans="114:114">
      <c r="DJ7829" s="29"/>
    </row>
    <row r="7830" spans="114:114">
      <c r="DJ7830" s="29"/>
    </row>
    <row r="7831" spans="114:114">
      <c r="DJ7831" s="29"/>
    </row>
    <row r="7832" spans="114:114">
      <c r="DJ7832" s="29"/>
    </row>
    <row r="7833" spans="114:114">
      <c r="DJ7833" s="29"/>
    </row>
    <row r="7834" spans="114:114">
      <c r="DJ7834" s="29"/>
    </row>
    <row r="7835" spans="114:114">
      <c r="DJ7835" s="29"/>
    </row>
    <row r="7836" spans="114:114">
      <c r="DJ7836" s="29"/>
    </row>
    <row r="7837" spans="114:114">
      <c r="DJ7837" s="29"/>
    </row>
    <row r="7838" spans="114:114">
      <c r="DJ7838" s="29"/>
    </row>
    <row r="7839" spans="114:114">
      <c r="DJ7839" s="29"/>
    </row>
    <row r="7840" spans="114:114">
      <c r="DJ7840" s="29"/>
    </row>
    <row r="7841" spans="114:114">
      <c r="DJ7841" s="29"/>
    </row>
    <row r="7842" spans="114:114">
      <c r="DJ7842" s="29"/>
    </row>
    <row r="7843" spans="114:114">
      <c r="DJ7843" s="29"/>
    </row>
    <row r="7844" spans="114:114">
      <c r="DJ7844" s="29"/>
    </row>
    <row r="7845" spans="114:114">
      <c r="DJ7845" s="29"/>
    </row>
    <row r="7846" spans="114:114">
      <c r="DJ7846" s="29"/>
    </row>
    <row r="7847" spans="114:114">
      <c r="DJ7847" s="29"/>
    </row>
    <row r="7848" spans="114:114">
      <c r="DJ7848" s="29"/>
    </row>
    <row r="7849" spans="114:114">
      <c r="DJ7849" s="29"/>
    </row>
    <row r="7850" spans="114:114">
      <c r="DJ7850" s="29"/>
    </row>
    <row r="7851" spans="114:114">
      <c r="DJ7851" s="29"/>
    </row>
    <row r="7852" spans="114:114">
      <c r="DJ7852" s="29"/>
    </row>
    <row r="7853" spans="114:114">
      <c r="DJ7853" s="29"/>
    </row>
    <row r="7854" spans="114:114">
      <c r="DJ7854" s="29"/>
    </row>
    <row r="7855" spans="114:114">
      <c r="DJ7855" s="29"/>
    </row>
    <row r="7856" spans="114:114">
      <c r="DJ7856" s="29"/>
    </row>
    <row r="7857" spans="114:114">
      <c r="DJ7857" s="29"/>
    </row>
    <row r="7858" spans="114:114">
      <c r="DJ7858" s="29"/>
    </row>
    <row r="7859" spans="114:114">
      <c r="DJ7859" s="29"/>
    </row>
    <row r="7860" spans="114:114">
      <c r="DJ7860" s="29"/>
    </row>
    <row r="7861" spans="114:114">
      <c r="DJ7861" s="29"/>
    </row>
    <row r="7862" spans="114:114">
      <c r="DJ7862" s="29"/>
    </row>
    <row r="7863" spans="114:114">
      <c r="DJ7863" s="29"/>
    </row>
    <row r="7864" spans="114:114">
      <c r="DJ7864" s="29"/>
    </row>
    <row r="7865" spans="114:114">
      <c r="DJ7865" s="29"/>
    </row>
    <row r="7866" spans="114:114">
      <c r="DJ7866" s="29"/>
    </row>
    <row r="7867" spans="114:114">
      <c r="DJ7867" s="29"/>
    </row>
    <row r="7868" spans="114:114">
      <c r="DJ7868" s="29"/>
    </row>
    <row r="7869" spans="114:114">
      <c r="DJ7869" s="29"/>
    </row>
    <row r="7870" spans="114:114">
      <c r="DJ7870" s="29"/>
    </row>
    <row r="7871" spans="114:114">
      <c r="DJ7871" s="29"/>
    </row>
    <row r="7872" spans="114:114">
      <c r="DJ7872" s="29"/>
    </row>
    <row r="7873" spans="114:114">
      <c r="DJ7873" s="29"/>
    </row>
    <row r="7874" spans="114:114">
      <c r="DJ7874" s="29"/>
    </row>
    <row r="7875" spans="114:114">
      <c r="DJ7875" s="29"/>
    </row>
    <row r="7876" spans="114:114">
      <c r="DJ7876" s="29"/>
    </row>
    <row r="7877" spans="114:114">
      <c r="DJ7877" s="29"/>
    </row>
    <row r="7878" spans="114:114">
      <c r="DJ7878" s="29"/>
    </row>
    <row r="7879" spans="114:114">
      <c r="DJ7879" s="29"/>
    </row>
    <row r="7880" spans="114:114">
      <c r="DJ7880" s="29"/>
    </row>
    <row r="7881" spans="114:114">
      <c r="DJ7881" s="29"/>
    </row>
    <row r="7882" spans="114:114">
      <c r="DJ7882" s="29"/>
    </row>
    <row r="7883" spans="114:114">
      <c r="DJ7883" s="29"/>
    </row>
    <row r="7884" spans="114:114">
      <c r="DJ7884" s="29"/>
    </row>
    <row r="7885" spans="114:114">
      <c r="DJ7885" s="29"/>
    </row>
    <row r="7886" spans="114:114">
      <c r="DJ7886" s="29"/>
    </row>
    <row r="7887" spans="114:114">
      <c r="DJ7887" s="29"/>
    </row>
    <row r="7888" spans="114:114">
      <c r="DJ7888" s="29"/>
    </row>
    <row r="7889" spans="114:114">
      <c r="DJ7889" s="29"/>
    </row>
    <row r="7890" spans="114:114">
      <c r="DJ7890" s="29"/>
    </row>
    <row r="7891" spans="114:114">
      <c r="DJ7891" s="29"/>
    </row>
    <row r="7892" spans="114:114">
      <c r="DJ7892" s="29"/>
    </row>
    <row r="7893" spans="114:114">
      <c r="DJ7893" s="29"/>
    </row>
    <row r="7894" spans="114:114">
      <c r="DJ7894" s="29"/>
    </row>
    <row r="7895" spans="114:114">
      <c r="DJ7895" s="29"/>
    </row>
    <row r="7896" spans="114:114">
      <c r="DJ7896" s="29"/>
    </row>
    <row r="7897" spans="114:114">
      <c r="DJ7897" s="29"/>
    </row>
    <row r="7898" spans="114:114">
      <c r="DJ7898" s="29"/>
    </row>
    <row r="7899" spans="114:114">
      <c r="DJ7899" s="29"/>
    </row>
    <row r="7900" spans="114:114">
      <c r="DJ7900" s="29"/>
    </row>
    <row r="7901" spans="114:114">
      <c r="DJ7901" s="29"/>
    </row>
    <row r="7902" spans="114:114">
      <c r="DJ7902" s="29"/>
    </row>
    <row r="7903" spans="114:114">
      <c r="DJ7903" s="29"/>
    </row>
    <row r="7904" spans="114:114">
      <c r="DJ7904" s="29"/>
    </row>
    <row r="7905" spans="114:114">
      <c r="DJ7905" s="29"/>
    </row>
    <row r="7906" spans="114:114">
      <c r="DJ7906" s="29"/>
    </row>
    <row r="7907" spans="114:114">
      <c r="DJ7907" s="29"/>
    </row>
    <row r="7908" spans="114:114">
      <c r="DJ7908" s="29"/>
    </row>
    <row r="7909" spans="114:114">
      <c r="DJ7909" s="29"/>
    </row>
    <row r="7910" spans="114:114">
      <c r="DJ7910" s="29"/>
    </row>
    <row r="7911" spans="114:114">
      <c r="DJ7911" s="29"/>
    </row>
    <row r="7912" spans="114:114">
      <c r="DJ7912" s="29"/>
    </row>
    <row r="7913" spans="114:114">
      <c r="DJ7913" s="29"/>
    </row>
    <row r="7914" spans="114:114">
      <c r="DJ7914" s="29"/>
    </row>
    <row r="7915" spans="114:114">
      <c r="DJ7915" s="29"/>
    </row>
    <row r="7916" spans="114:114">
      <c r="DJ7916" s="29"/>
    </row>
    <row r="7917" spans="114:114">
      <c r="DJ7917" s="29"/>
    </row>
    <row r="7918" spans="114:114">
      <c r="DJ7918" s="29"/>
    </row>
    <row r="7919" spans="114:114">
      <c r="DJ7919" s="29"/>
    </row>
    <row r="7920" spans="114:114">
      <c r="DJ7920" s="29"/>
    </row>
    <row r="7921" spans="114:114">
      <c r="DJ7921" s="29"/>
    </row>
    <row r="7922" spans="114:114">
      <c r="DJ7922" s="29"/>
    </row>
    <row r="7923" spans="114:114">
      <c r="DJ7923" s="29"/>
    </row>
    <row r="7924" spans="114:114">
      <c r="DJ7924" s="29"/>
    </row>
    <row r="7925" spans="114:114">
      <c r="DJ7925" s="29"/>
    </row>
    <row r="7926" spans="114:114">
      <c r="DJ7926" s="29"/>
    </row>
    <row r="7927" spans="114:114">
      <c r="DJ7927" s="29"/>
    </row>
    <row r="7928" spans="114:114">
      <c r="DJ7928" s="29"/>
    </row>
    <row r="7929" spans="114:114">
      <c r="DJ7929" s="29"/>
    </row>
    <row r="7930" spans="114:114">
      <c r="DJ7930" s="29"/>
    </row>
    <row r="7931" spans="114:114">
      <c r="DJ7931" s="29"/>
    </row>
    <row r="7932" spans="114:114">
      <c r="DJ7932" s="29"/>
    </row>
    <row r="7933" spans="114:114">
      <c r="DJ7933" s="29"/>
    </row>
    <row r="7934" spans="114:114">
      <c r="DJ7934" s="29"/>
    </row>
    <row r="7935" spans="114:114">
      <c r="DJ7935" s="29"/>
    </row>
    <row r="7936" spans="114:114">
      <c r="DJ7936" s="29"/>
    </row>
    <row r="7937" spans="114:114">
      <c r="DJ7937" s="29"/>
    </row>
    <row r="7938" spans="114:114">
      <c r="DJ7938" s="29"/>
    </row>
    <row r="7939" spans="114:114">
      <c r="DJ7939" s="29"/>
    </row>
    <row r="7940" spans="114:114">
      <c r="DJ7940" s="29"/>
    </row>
    <row r="7941" spans="114:114">
      <c r="DJ7941" s="29"/>
    </row>
    <row r="7942" spans="114:114">
      <c r="DJ7942" s="29"/>
    </row>
    <row r="7943" spans="114:114">
      <c r="DJ7943" s="29"/>
    </row>
    <row r="7944" spans="114:114">
      <c r="DJ7944" s="29"/>
    </row>
    <row r="7945" spans="114:114">
      <c r="DJ7945" s="29"/>
    </row>
    <row r="7946" spans="114:114">
      <c r="DJ7946" s="29"/>
    </row>
    <row r="7947" spans="114:114">
      <c r="DJ7947" s="29"/>
    </row>
    <row r="7948" spans="114:114">
      <c r="DJ7948" s="29"/>
    </row>
    <row r="7949" spans="114:114">
      <c r="DJ7949" s="29"/>
    </row>
    <row r="7950" spans="114:114">
      <c r="DJ7950" s="29"/>
    </row>
    <row r="7951" spans="114:114">
      <c r="DJ7951" s="29"/>
    </row>
    <row r="7952" spans="114:114">
      <c r="DJ7952" s="29"/>
    </row>
    <row r="7953" spans="114:114">
      <c r="DJ7953" s="29"/>
    </row>
    <row r="7954" spans="114:114">
      <c r="DJ7954" s="29"/>
    </row>
    <row r="7955" spans="114:114">
      <c r="DJ7955" s="29"/>
    </row>
    <row r="7956" spans="114:114">
      <c r="DJ7956" s="29"/>
    </row>
    <row r="7957" spans="114:114">
      <c r="DJ7957" s="29"/>
    </row>
    <row r="7958" spans="114:114">
      <c r="DJ7958" s="29"/>
    </row>
    <row r="7959" spans="114:114">
      <c r="DJ7959" s="29"/>
    </row>
    <row r="7960" spans="114:114">
      <c r="DJ7960" s="29"/>
    </row>
    <row r="7961" spans="114:114">
      <c r="DJ7961" s="29"/>
    </row>
    <row r="7962" spans="114:114">
      <c r="DJ7962" s="29"/>
    </row>
    <row r="7963" spans="114:114">
      <c r="DJ7963" s="29"/>
    </row>
    <row r="7964" spans="114:114">
      <c r="DJ7964" s="29"/>
    </row>
    <row r="7965" spans="114:114">
      <c r="DJ7965" s="29"/>
    </row>
    <row r="7966" spans="114:114">
      <c r="DJ7966" s="29"/>
    </row>
    <row r="7967" spans="114:114">
      <c r="DJ7967" s="29"/>
    </row>
    <row r="7968" spans="114:114">
      <c r="DJ7968" s="29"/>
    </row>
    <row r="7969" spans="114:114">
      <c r="DJ7969" s="29"/>
    </row>
    <row r="7970" spans="114:114">
      <c r="DJ7970" s="29"/>
    </row>
    <row r="7971" spans="114:114">
      <c r="DJ7971" s="29"/>
    </row>
    <row r="7972" spans="114:114">
      <c r="DJ7972" s="29"/>
    </row>
    <row r="7973" spans="114:114">
      <c r="DJ7973" s="29"/>
    </row>
    <row r="7974" spans="114:114">
      <c r="DJ7974" s="29"/>
    </row>
    <row r="7975" spans="114:114">
      <c r="DJ7975" s="29"/>
    </row>
    <row r="7976" spans="114:114">
      <c r="DJ7976" s="29"/>
    </row>
    <row r="7977" spans="114:114">
      <c r="DJ7977" s="29"/>
    </row>
    <row r="7978" spans="114:114">
      <c r="DJ7978" s="29"/>
    </row>
    <row r="7979" spans="114:114">
      <c r="DJ7979" s="29"/>
    </row>
    <row r="7980" spans="114:114">
      <c r="DJ7980" s="29"/>
    </row>
    <row r="7981" spans="114:114">
      <c r="DJ7981" s="29"/>
    </row>
    <row r="7982" spans="114:114">
      <c r="DJ7982" s="29"/>
    </row>
    <row r="7983" spans="114:114">
      <c r="DJ7983" s="29"/>
    </row>
    <row r="7984" spans="114:114">
      <c r="DJ7984" s="29"/>
    </row>
    <row r="7985" spans="114:114">
      <c r="DJ7985" s="29"/>
    </row>
    <row r="7986" spans="114:114">
      <c r="DJ7986" s="29"/>
    </row>
    <row r="7987" spans="114:114">
      <c r="DJ7987" s="29"/>
    </row>
    <row r="7988" spans="114:114">
      <c r="DJ7988" s="29"/>
    </row>
    <row r="7989" spans="114:114">
      <c r="DJ7989" s="29"/>
    </row>
    <row r="7990" spans="114:114">
      <c r="DJ7990" s="29"/>
    </row>
    <row r="7991" spans="114:114">
      <c r="DJ7991" s="29"/>
    </row>
    <row r="7992" spans="114:114">
      <c r="DJ7992" s="29"/>
    </row>
    <row r="7993" spans="114:114">
      <c r="DJ7993" s="29"/>
    </row>
    <row r="7994" spans="114:114">
      <c r="DJ7994" s="29"/>
    </row>
    <row r="7995" spans="114:114">
      <c r="DJ7995" s="29"/>
    </row>
    <row r="7996" spans="114:114">
      <c r="DJ7996" s="29"/>
    </row>
    <row r="7997" spans="114:114">
      <c r="DJ7997" s="29"/>
    </row>
    <row r="7998" spans="114:114">
      <c r="DJ7998" s="29"/>
    </row>
    <row r="7999" spans="114:114">
      <c r="DJ7999" s="29"/>
    </row>
    <row r="8000" spans="114:114">
      <c r="DJ8000" s="29"/>
    </row>
    <row r="8001" spans="114:114">
      <c r="DJ8001" s="29"/>
    </row>
    <row r="8002" spans="114:114">
      <c r="DJ8002" s="29"/>
    </row>
    <row r="8003" spans="114:114">
      <c r="DJ8003" s="29"/>
    </row>
    <row r="8004" spans="114:114">
      <c r="DJ8004" s="29"/>
    </row>
    <row r="8005" spans="114:114">
      <c r="DJ8005" s="29"/>
    </row>
    <row r="8006" spans="114:114">
      <c r="DJ8006" s="29"/>
    </row>
    <row r="8007" spans="114:114">
      <c r="DJ8007" s="29"/>
    </row>
    <row r="8008" spans="114:114">
      <c r="DJ8008" s="29"/>
    </row>
    <row r="8009" spans="114:114">
      <c r="DJ8009" s="29"/>
    </row>
    <row r="8010" spans="114:114">
      <c r="DJ8010" s="29"/>
    </row>
    <row r="8011" spans="114:114">
      <c r="DJ8011" s="29"/>
    </row>
    <row r="8012" spans="114:114">
      <c r="DJ8012" s="29"/>
    </row>
    <row r="8013" spans="114:114">
      <c r="DJ8013" s="29"/>
    </row>
    <row r="8014" spans="114:114">
      <c r="DJ8014" s="29"/>
    </row>
    <row r="8015" spans="114:114">
      <c r="DJ8015" s="29"/>
    </row>
    <row r="8016" spans="114:114">
      <c r="DJ8016" s="29"/>
    </row>
    <row r="8017" spans="114:114">
      <c r="DJ8017" s="29"/>
    </row>
    <row r="8018" spans="114:114">
      <c r="DJ8018" s="29"/>
    </row>
    <row r="8019" spans="114:114">
      <c r="DJ8019" s="29"/>
    </row>
    <row r="8020" spans="114:114">
      <c r="DJ8020" s="29"/>
    </row>
    <row r="8021" spans="114:114">
      <c r="DJ8021" s="29"/>
    </row>
    <row r="8022" spans="114:114">
      <c r="DJ8022" s="29"/>
    </row>
    <row r="8023" spans="114:114">
      <c r="DJ8023" s="29"/>
    </row>
    <row r="8024" spans="114:114">
      <c r="DJ8024" s="29"/>
    </row>
    <row r="8025" spans="114:114">
      <c r="DJ8025" s="29"/>
    </row>
    <row r="8026" spans="114:114">
      <c r="DJ8026" s="29"/>
    </row>
    <row r="8027" spans="114:114">
      <c r="DJ8027" s="29"/>
    </row>
    <row r="8028" spans="114:114">
      <c r="DJ8028" s="29"/>
    </row>
    <row r="8029" spans="114:114">
      <c r="DJ8029" s="29"/>
    </row>
    <row r="8030" spans="114:114">
      <c r="DJ8030" s="29"/>
    </row>
    <row r="8031" spans="114:114">
      <c r="DJ8031" s="29"/>
    </row>
    <row r="8032" spans="114:114">
      <c r="DJ8032" s="29"/>
    </row>
    <row r="8033" spans="114:114">
      <c r="DJ8033" s="29"/>
    </row>
    <row r="8034" spans="114:114">
      <c r="DJ8034" s="29"/>
    </row>
    <row r="8035" spans="114:114">
      <c r="DJ8035" s="29"/>
    </row>
    <row r="8036" spans="114:114">
      <c r="DJ8036" s="29"/>
    </row>
    <row r="8037" spans="114:114">
      <c r="DJ8037" s="29"/>
    </row>
    <row r="8038" spans="114:114">
      <c r="DJ8038" s="29"/>
    </row>
    <row r="8039" spans="114:114">
      <c r="DJ8039" s="29"/>
    </row>
    <row r="8040" spans="114:114">
      <c r="DJ8040" s="29"/>
    </row>
    <row r="8041" spans="114:114">
      <c r="DJ8041" s="29"/>
    </row>
    <row r="8042" spans="114:114">
      <c r="DJ8042" s="29"/>
    </row>
    <row r="8043" spans="114:114">
      <c r="DJ8043" s="29"/>
    </row>
    <row r="8044" spans="114:114">
      <c r="DJ8044" s="29"/>
    </row>
    <row r="8045" spans="114:114">
      <c r="DJ8045" s="29"/>
    </row>
    <row r="8046" spans="114:114">
      <c r="DJ8046" s="29"/>
    </row>
    <row r="8047" spans="114:114">
      <c r="DJ8047" s="29"/>
    </row>
    <row r="8048" spans="114:114">
      <c r="DJ8048" s="29"/>
    </row>
    <row r="8049" spans="114:114">
      <c r="DJ8049" s="29"/>
    </row>
    <row r="8050" spans="114:114">
      <c r="DJ8050" s="29"/>
    </row>
    <row r="8051" spans="114:114">
      <c r="DJ8051" s="29"/>
    </row>
    <row r="8052" spans="114:114">
      <c r="DJ8052" s="29"/>
    </row>
    <row r="8053" spans="114:114">
      <c r="DJ8053" s="29"/>
    </row>
    <row r="8054" spans="114:114">
      <c r="DJ8054" s="29"/>
    </row>
    <row r="8055" spans="114:114">
      <c r="DJ8055" s="29"/>
    </row>
    <row r="8056" spans="114:114">
      <c r="DJ8056" s="29"/>
    </row>
    <row r="8057" spans="114:114">
      <c r="DJ8057" s="29"/>
    </row>
    <row r="8058" spans="114:114">
      <c r="DJ8058" s="29"/>
    </row>
    <row r="8059" spans="114:114">
      <c r="DJ8059" s="29"/>
    </row>
    <row r="8060" spans="114:114">
      <c r="DJ8060" s="29"/>
    </row>
    <row r="8061" spans="114:114">
      <c r="DJ8061" s="29"/>
    </row>
    <row r="8062" spans="114:114">
      <c r="DJ8062" s="29"/>
    </row>
    <row r="8063" spans="114:114">
      <c r="DJ8063" s="29"/>
    </row>
    <row r="8064" spans="114:114">
      <c r="DJ8064" s="29"/>
    </row>
    <row r="8065" spans="114:114">
      <c r="DJ8065" s="29"/>
    </row>
    <row r="8066" spans="114:114">
      <c r="DJ8066" s="29"/>
    </row>
    <row r="8067" spans="114:114">
      <c r="DJ8067" s="29"/>
    </row>
    <row r="8068" spans="114:114">
      <c r="DJ8068" s="29"/>
    </row>
    <row r="8069" spans="114:114">
      <c r="DJ8069" s="29"/>
    </row>
    <row r="8070" spans="114:114">
      <c r="DJ8070" s="29"/>
    </row>
    <row r="8071" spans="114:114">
      <c r="DJ8071" s="29"/>
    </row>
    <row r="8072" spans="114:114">
      <c r="DJ8072" s="29"/>
    </row>
    <row r="8073" spans="114:114">
      <c r="DJ8073" s="29"/>
    </row>
    <row r="8074" spans="114:114">
      <c r="DJ8074" s="29"/>
    </row>
    <row r="8075" spans="114:114">
      <c r="DJ8075" s="29"/>
    </row>
    <row r="8076" spans="114:114">
      <c r="DJ8076" s="29"/>
    </row>
    <row r="8077" spans="114:114">
      <c r="DJ8077" s="29"/>
    </row>
    <row r="8078" spans="114:114">
      <c r="DJ8078" s="29"/>
    </row>
    <row r="8079" spans="114:114">
      <c r="DJ8079" s="29"/>
    </row>
    <row r="8080" spans="114:114">
      <c r="DJ8080" s="29"/>
    </row>
    <row r="8081" spans="114:114">
      <c r="DJ8081" s="29"/>
    </row>
    <row r="8082" spans="114:114">
      <c r="DJ8082" s="29"/>
    </row>
    <row r="8083" spans="114:114">
      <c r="DJ8083" s="29"/>
    </row>
    <row r="8084" spans="114:114">
      <c r="DJ8084" s="29"/>
    </row>
    <row r="8085" spans="114:114">
      <c r="DJ8085" s="29"/>
    </row>
    <row r="8086" spans="114:114">
      <c r="DJ8086" s="29"/>
    </row>
    <row r="8087" spans="114:114">
      <c r="DJ8087" s="29"/>
    </row>
    <row r="8088" spans="114:114">
      <c r="DJ8088" s="29"/>
    </row>
    <row r="8089" spans="114:114">
      <c r="DJ8089" s="29"/>
    </row>
    <row r="8090" spans="114:114">
      <c r="DJ8090" s="29"/>
    </row>
    <row r="8091" spans="114:114">
      <c r="DJ8091" s="29"/>
    </row>
    <row r="8092" spans="114:114">
      <c r="DJ8092" s="29"/>
    </row>
    <row r="8093" spans="114:114">
      <c r="DJ8093" s="29"/>
    </row>
    <row r="8094" spans="114:114">
      <c r="DJ8094" s="29"/>
    </row>
    <row r="8095" spans="114:114">
      <c r="DJ8095" s="29"/>
    </row>
    <row r="8096" spans="114:114">
      <c r="DJ8096" s="29"/>
    </row>
    <row r="8097" spans="114:114">
      <c r="DJ8097" s="29"/>
    </row>
    <row r="8098" spans="114:114">
      <c r="DJ8098" s="29"/>
    </row>
    <row r="8099" spans="114:114">
      <c r="DJ8099" s="29"/>
    </row>
    <row r="8100" spans="114:114">
      <c r="DJ8100" s="29"/>
    </row>
    <row r="8101" spans="114:114">
      <c r="DJ8101" s="29"/>
    </row>
    <row r="8102" spans="114:114">
      <c r="DJ8102" s="29"/>
    </row>
    <row r="8103" spans="114:114">
      <c r="DJ8103" s="29"/>
    </row>
    <row r="8104" spans="114:114">
      <c r="DJ8104" s="29"/>
    </row>
    <row r="8105" spans="114:114">
      <c r="DJ8105" s="29"/>
    </row>
    <row r="8106" spans="114:114">
      <c r="DJ8106" s="29"/>
    </row>
    <row r="8107" spans="114:114">
      <c r="DJ8107" s="29"/>
    </row>
    <row r="8108" spans="114:114">
      <c r="DJ8108" s="29"/>
    </row>
    <row r="8109" spans="114:114">
      <c r="DJ8109" s="29"/>
    </row>
    <row r="8110" spans="114:114">
      <c r="DJ8110" s="29"/>
    </row>
    <row r="8111" spans="114:114">
      <c r="DJ8111" s="29"/>
    </row>
    <row r="8112" spans="114:114">
      <c r="DJ8112" s="29"/>
    </row>
    <row r="8113" spans="114:114">
      <c r="DJ8113" s="29"/>
    </row>
    <row r="8114" spans="114:114">
      <c r="DJ8114" s="29"/>
    </row>
    <row r="8115" spans="114:114">
      <c r="DJ8115" s="29"/>
    </row>
    <row r="8116" spans="114:114">
      <c r="DJ8116" s="29"/>
    </row>
    <row r="8117" spans="114:114">
      <c r="DJ8117" s="29"/>
    </row>
    <row r="8118" spans="114:114">
      <c r="DJ8118" s="29"/>
    </row>
    <row r="8119" spans="114:114">
      <c r="DJ8119" s="29"/>
    </row>
    <row r="8120" spans="114:114">
      <c r="DJ8120" s="29"/>
    </row>
    <row r="8121" spans="114:114">
      <c r="DJ8121" s="29"/>
    </row>
    <row r="8122" spans="114:114">
      <c r="DJ8122" s="29"/>
    </row>
    <row r="8123" spans="114:114">
      <c r="DJ8123" s="29"/>
    </row>
    <row r="8124" spans="114:114">
      <c r="DJ8124" s="29"/>
    </row>
    <row r="8125" spans="114:114">
      <c r="DJ8125" s="29"/>
    </row>
    <row r="8126" spans="114:114">
      <c r="DJ8126" s="29"/>
    </row>
    <row r="8127" spans="114:114">
      <c r="DJ8127" s="29"/>
    </row>
    <row r="8128" spans="114:114">
      <c r="DJ8128" s="29"/>
    </row>
    <row r="8129" spans="114:114">
      <c r="DJ8129" s="29"/>
    </row>
    <row r="8130" spans="114:114">
      <c r="DJ8130" s="29"/>
    </row>
    <row r="8131" spans="114:114">
      <c r="DJ8131" s="29"/>
    </row>
    <row r="8132" spans="114:114">
      <c r="DJ8132" s="29"/>
    </row>
    <row r="8133" spans="114:114">
      <c r="DJ8133" s="29"/>
    </row>
    <row r="8134" spans="114:114">
      <c r="DJ8134" s="29"/>
    </row>
    <row r="8135" spans="114:114">
      <c r="DJ8135" s="29"/>
    </row>
    <row r="8136" spans="114:114">
      <c r="DJ8136" s="29"/>
    </row>
    <row r="8137" spans="114:114">
      <c r="DJ8137" s="29"/>
    </row>
    <row r="8138" spans="114:114">
      <c r="DJ8138" s="29"/>
    </row>
    <row r="8139" spans="114:114">
      <c r="DJ8139" s="29"/>
    </row>
    <row r="8140" spans="114:114">
      <c r="DJ8140" s="29"/>
    </row>
    <row r="8141" spans="114:114">
      <c r="DJ8141" s="29"/>
    </row>
    <row r="8142" spans="114:114">
      <c r="DJ8142" s="29"/>
    </row>
    <row r="8143" spans="114:114">
      <c r="DJ8143" s="29"/>
    </row>
    <row r="8144" spans="114:114">
      <c r="DJ8144" s="29"/>
    </row>
    <row r="8145" spans="114:114">
      <c r="DJ8145" s="29"/>
    </row>
    <row r="8146" spans="114:114">
      <c r="DJ8146" s="29"/>
    </row>
    <row r="8147" spans="114:114">
      <c r="DJ8147" s="29"/>
    </row>
    <row r="8148" spans="114:114">
      <c r="DJ8148" s="29"/>
    </row>
    <row r="8149" spans="114:114">
      <c r="DJ8149" s="29"/>
    </row>
    <row r="8150" spans="114:114">
      <c r="DJ8150" s="29"/>
    </row>
    <row r="8151" spans="114:114">
      <c r="DJ8151" s="29"/>
    </row>
    <row r="8152" spans="114:114">
      <c r="DJ8152" s="29"/>
    </row>
    <row r="8153" spans="114:114">
      <c r="DJ8153" s="29"/>
    </row>
    <row r="8154" spans="114:114">
      <c r="DJ8154" s="29"/>
    </row>
    <row r="8155" spans="114:114">
      <c r="DJ8155" s="29"/>
    </row>
    <row r="8156" spans="114:114">
      <c r="DJ8156" s="29"/>
    </row>
    <row r="8157" spans="114:114">
      <c r="DJ8157" s="29"/>
    </row>
    <row r="8158" spans="114:114">
      <c r="DJ8158" s="29"/>
    </row>
    <row r="8159" spans="114:114">
      <c r="DJ8159" s="29"/>
    </row>
    <row r="8160" spans="114:114">
      <c r="DJ8160" s="29"/>
    </row>
    <row r="8161" spans="114:114">
      <c r="DJ8161" s="29"/>
    </row>
    <row r="8162" spans="114:114">
      <c r="DJ8162" s="29"/>
    </row>
    <row r="8163" spans="114:114">
      <c r="DJ8163" s="29"/>
    </row>
    <row r="8164" spans="114:114">
      <c r="DJ8164" s="29"/>
    </row>
    <row r="8165" spans="114:114">
      <c r="DJ8165" s="29"/>
    </row>
    <row r="8166" spans="114:114">
      <c r="DJ8166" s="29"/>
    </row>
    <row r="8167" spans="114:114">
      <c r="DJ8167" s="29"/>
    </row>
    <row r="8168" spans="114:114">
      <c r="DJ8168" s="29"/>
    </row>
    <row r="8169" spans="114:114">
      <c r="DJ8169" s="29"/>
    </row>
    <row r="8170" spans="114:114">
      <c r="DJ8170" s="29"/>
    </row>
    <row r="8171" spans="114:114">
      <c r="DJ8171" s="29"/>
    </row>
    <row r="8172" spans="114:114">
      <c r="DJ8172" s="29"/>
    </row>
    <row r="8173" spans="114:114">
      <c r="DJ8173" s="29"/>
    </row>
    <row r="8174" spans="114:114">
      <c r="DJ8174" s="29"/>
    </row>
    <row r="8175" spans="114:114">
      <c r="DJ8175" s="29"/>
    </row>
    <row r="8176" spans="114:114">
      <c r="DJ8176" s="29"/>
    </row>
    <row r="8177" spans="114:114">
      <c r="DJ8177" s="29"/>
    </row>
    <row r="8178" spans="114:114">
      <c r="DJ8178" s="29"/>
    </row>
    <row r="8179" spans="114:114">
      <c r="DJ8179" s="29"/>
    </row>
    <row r="8180" spans="114:114">
      <c r="DJ8180" s="29"/>
    </row>
    <row r="8181" spans="114:114">
      <c r="DJ8181" s="29"/>
    </row>
    <row r="8182" spans="114:114">
      <c r="DJ8182" s="29"/>
    </row>
    <row r="8183" spans="114:114">
      <c r="DJ8183" s="29"/>
    </row>
    <row r="8184" spans="114:114">
      <c r="DJ8184" s="29"/>
    </row>
    <row r="8185" spans="114:114">
      <c r="DJ8185" s="29"/>
    </row>
    <row r="8186" spans="114:114">
      <c r="DJ8186" s="29"/>
    </row>
    <row r="8187" spans="114:114">
      <c r="DJ8187" s="29"/>
    </row>
    <row r="8188" spans="114:114">
      <c r="DJ8188" s="29"/>
    </row>
    <row r="8189" spans="114:114">
      <c r="DJ8189" s="29"/>
    </row>
    <row r="8190" spans="114:114">
      <c r="DJ8190" s="29"/>
    </row>
    <row r="8191" spans="114:114">
      <c r="DJ8191" s="29"/>
    </row>
    <row r="8192" spans="114:114">
      <c r="DJ8192" s="29"/>
    </row>
    <row r="8193" spans="114:114">
      <c r="DJ8193" s="29"/>
    </row>
    <row r="8194" spans="114:114">
      <c r="DJ8194" s="29"/>
    </row>
    <row r="8195" spans="114:114">
      <c r="DJ8195" s="29"/>
    </row>
    <row r="8196" spans="114:114">
      <c r="DJ8196" s="29"/>
    </row>
    <row r="8197" spans="114:114">
      <c r="DJ8197" s="29"/>
    </row>
    <row r="8198" spans="114:114">
      <c r="DJ8198" s="29"/>
    </row>
    <row r="8199" spans="114:114">
      <c r="DJ8199" s="29"/>
    </row>
    <row r="8200" spans="114:114">
      <c r="DJ8200" s="29"/>
    </row>
    <row r="8201" spans="114:114">
      <c r="DJ8201" s="29"/>
    </row>
    <row r="8202" spans="114:114">
      <c r="DJ8202" s="29"/>
    </row>
    <row r="8203" spans="114:114">
      <c r="DJ8203" s="29"/>
    </row>
    <row r="8204" spans="114:114">
      <c r="DJ8204" s="29"/>
    </row>
    <row r="8205" spans="114:114">
      <c r="DJ8205" s="29"/>
    </row>
    <row r="8206" spans="114:114">
      <c r="DJ8206" s="29"/>
    </row>
    <row r="8207" spans="114:114">
      <c r="DJ8207" s="29"/>
    </row>
    <row r="8208" spans="114:114">
      <c r="DJ8208" s="29"/>
    </row>
    <row r="8209" spans="114:114">
      <c r="DJ8209" s="29"/>
    </row>
    <row r="8210" spans="114:114">
      <c r="DJ8210" s="29"/>
    </row>
    <row r="8211" spans="114:114">
      <c r="DJ8211" s="29"/>
    </row>
    <row r="8212" spans="114:114">
      <c r="DJ8212" s="29"/>
    </row>
    <row r="8213" spans="114:114">
      <c r="DJ8213" s="29"/>
    </row>
    <row r="8214" spans="114:114">
      <c r="DJ8214" s="29"/>
    </row>
    <row r="8215" spans="114:114">
      <c r="DJ8215" s="29"/>
    </row>
    <row r="8216" spans="114:114">
      <c r="DJ8216" s="29"/>
    </row>
    <row r="8217" spans="114:114">
      <c r="DJ8217" s="29"/>
    </row>
    <row r="8218" spans="114:114">
      <c r="DJ8218" s="29"/>
    </row>
    <row r="8219" spans="114:114">
      <c r="DJ8219" s="29"/>
    </row>
    <row r="8220" spans="114:114">
      <c r="DJ8220" s="29"/>
    </row>
    <row r="8221" spans="114:114">
      <c r="DJ8221" s="29"/>
    </row>
    <row r="8222" spans="114:114">
      <c r="DJ8222" s="29"/>
    </row>
    <row r="8223" spans="114:114">
      <c r="DJ8223" s="29"/>
    </row>
    <row r="8224" spans="114:114">
      <c r="DJ8224" s="29"/>
    </row>
    <row r="8225" spans="114:114">
      <c r="DJ8225" s="29"/>
    </row>
    <row r="8226" spans="114:114">
      <c r="DJ8226" s="29"/>
    </row>
    <row r="8227" spans="114:114">
      <c r="DJ8227" s="29"/>
    </row>
    <row r="8228" spans="114:114">
      <c r="DJ8228" s="29"/>
    </row>
    <row r="8229" spans="114:114">
      <c r="DJ8229" s="29"/>
    </row>
    <row r="8230" spans="114:114">
      <c r="DJ8230" s="29"/>
    </row>
    <row r="8231" spans="114:114">
      <c r="DJ8231" s="29"/>
    </row>
    <row r="8232" spans="114:114">
      <c r="DJ8232" s="29"/>
    </row>
    <row r="8233" spans="114:114">
      <c r="DJ8233" s="29"/>
    </row>
    <row r="8234" spans="114:114">
      <c r="DJ8234" s="29"/>
    </row>
    <row r="8235" spans="114:114">
      <c r="DJ8235" s="29"/>
    </row>
    <row r="8236" spans="114:114">
      <c r="DJ8236" s="29"/>
    </row>
    <row r="8237" spans="114:114">
      <c r="DJ8237" s="29"/>
    </row>
    <row r="8238" spans="114:114">
      <c r="DJ8238" s="29"/>
    </row>
    <row r="8239" spans="114:114">
      <c r="DJ8239" s="29"/>
    </row>
    <row r="8240" spans="114:114">
      <c r="DJ8240" s="29"/>
    </row>
    <row r="8241" spans="114:114">
      <c r="DJ8241" s="29"/>
    </row>
    <row r="8242" spans="114:114">
      <c r="DJ8242" s="29"/>
    </row>
    <row r="8243" spans="114:114">
      <c r="DJ8243" s="29"/>
    </row>
    <row r="8244" spans="114:114">
      <c r="DJ8244" s="29"/>
    </row>
    <row r="8245" spans="114:114">
      <c r="DJ8245" s="29"/>
    </row>
    <row r="8246" spans="114:114">
      <c r="DJ8246" s="29"/>
    </row>
    <row r="8247" spans="114:114">
      <c r="DJ8247" s="29"/>
    </row>
    <row r="8248" spans="114:114">
      <c r="DJ8248" s="29"/>
    </row>
    <row r="8249" spans="114:114">
      <c r="DJ8249" s="29"/>
    </row>
    <row r="8250" spans="114:114">
      <c r="DJ8250" s="29"/>
    </row>
    <row r="8251" spans="114:114">
      <c r="DJ8251" s="29"/>
    </row>
    <row r="8252" spans="114:114">
      <c r="DJ8252" s="29"/>
    </row>
    <row r="8253" spans="114:114">
      <c r="DJ8253" s="29"/>
    </row>
    <row r="8254" spans="114:114">
      <c r="DJ8254" s="29"/>
    </row>
    <row r="8255" spans="114:114">
      <c r="DJ8255" s="29"/>
    </row>
    <row r="8256" spans="114:114">
      <c r="DJ8256" s="29"/>
    </row>
    <row r="8257" spans="114:114">
      <c r="DJ8257" s="29"/>
    </row>
    <row r="8258" spans="114:114">
      <c r="DJ8258" s="29"/>
    </row>
    <row r="8259" spans="114:114">
      <c r="DJ8259" s="29"/>
    </row>
    <row r="8260" spans="114:114">
      <c r="DJ8260" s="29"/>
    </row>
    <row r="8261" spans="114:114">
      <c r="DJ8261" s="29"/>
    </row>
    <row r="8262" spans="114:114">
      <c r="DJ8262" s="29"/>
    </row>
    <row r="8263" spans="114:114">
      <c r="DJ8263" s="29"/>
    </row>
    <row r="8264" spans="114:114">
      <c r="DJ8264" s="29"/>
    </row>
    <row r="8265" spans="114:114">
      <c r="DJ8265" s="29"/>
    </row>
    <row r="8266" spans="114:114">
      <c r="DJ8266" s="29"/>
    </row>
    <row r="8267" spans="114:114">
      <c r="DJ8267" s="29"/>
    </row>
    <row r="8268" spans="114:114">
      <c r="DJ8268" s="29"/>
    </row>
    <row r="8269" spans="114:114">
      <c r="DJ8269" s="29"/>
    </row>
    <row r="8270" spans="114:114">
      <c r="DJ8270" s="29"/>
    </row>
    <row r="8271" spans="114:114">
      <c r="DJ8271" s="29"/>
    </row>
    <row r="8272" spans="114:114">
      <c r="DJ8272" s="29"/>
    </row>
    <row r="8273" spans="114:114">
      <c r="DJ8273" s="29"/>
    </row>
    <row r="8274" spans="114:114">
      <c r="DJ8274" s="29"/>
    </row>
    <row r="8275" spans="114:114">
      <c r="DJ8275" s="29"/>
    </row>
    <row r="8276" spans="114:114">
      <c r="DJ8276" s="29"/>
    </row>
    <row r="8277" spans="114:114">
      <c r="DJ8277" s="29"/>
    </row>
    <row r="8278" spans="114:114">
      <c r="DJ8278" s="29"/>
    </row>
    <row r="8279" spans="114:114">
      <c r="DJ8279" s="29"/>
    </row>
    <row r="8280" spans="114:114">
      <c r="DJ8280" s="29"/>
    </row>
    <row r="8281" spans="114:114">
      <c r="DJ8281" s="29"/>
    </row>
    <row r="8282" spans="114:114">
      <c r="DJ8282" s="29"/>
    </row>
    <row r="8283" spans="114:114">
      <c r="DJ8283" s="29"/>
    </row>
    <row r="8284" spans="114:114">
      <c r="DJ8284" s="29"/>
    </row>
    <row r="8285" spans="114:114">
      <c r="DJ8285" s="29"/>
    </row>
    <row r="8286" spans="114:114">
      <c r="DJ8286" s="29"/>
    </row>
    <row r="8287" spans="114:114">
      <c r="DJ8287" s="29"/>
    </row>
    <row r="8288" spans="114:114">
      <c r="DJ8288" s="29"/>
    </row>
    <row r="8289" spans="114:114">
      <c r="DJ8289" s="29"/>
    </row>
    <row r="8290" spans="114:114">
      <c r="DJ8290" s="29"/>
    </row>
    <row r="8291" spans="114:114">
      <c r="DJ8291" s="29"/>
    </row>
    <row r="8292" spans="114:114">
      <c r="DJ8292" s="29"/>
    </row>
    <row r="8293" spans="114:114">
      <c r="DJ8293" s="29"/>
    </row>
    <row r="8294" spans="114:114">
      <c r="DJ8294" s="29"/>
    </row>
    <row r="8295" spans="114:114">
      <c r="DJ8295" s="29"/>
    </row>
    <row r="8296" spans="114:114">
      <c r="DJ8296" s="29"/>
    </row>
    <row r="8297" spans="114:114">
      <c r="DJ8297" s="29"/>
    </row>
    <row r="8298" spans="114:114">
      <c r="DJ8298" s="29"/>
    </row>
    <row r="8299" spans="114:114">
      <c r="DJ8299" s="29"/>
    </row>
    <row r="8300" spans="114:114">
      <c r="DJ8300" s="29"/>
    </row>
    <row r="8301" spans="114:114">
      <c r="DJ8301" s="29"/>
    </row>
    <row r="8302" spans="114:114">
      <c r="DJ8302" s="29"/>
    </row>
    <row r="8303" spans="114:114">
      <c r="DJ8303" s="29"/>
    </row>
    <row r="8304" spans="114:114">
      <c r="DJ8304" s="29"/>
    </row>
    <row r="8305" spans="114:114">
      <c r="DJ8305" s="29"/>
    </row>
    <row r="8306" spans="114:114">
      <c r="DJ8306" s="29"/>
    </row>
    <row r="8307" spans="114:114">
      <c r="DJ8307" s="29"/>
    </row>
    <row r="8308" spans="114:114">
      <c r="DJ8308" s="29"/>
    </row>
    <row r="8309" spans="114:114">
      <c r="DJ8309" s="29"/>
    </row>
    <row r="8310" spans="114:114">
      <c r="DJ8310" s="29"/>
    </row>
    <row r="8311" spans="114:114">
      <c r="DJ8311" s="29"/>
    </row>
    <row r="8312" spans="114:114">
      <c r="DJ8312" s="29"/>
    </row>
    <row r="8313" spans="114:114">
      <c r="DJ8313" s="29"/>
    </row>
    <row r="8314" spans="114:114">
      <c r="DJ8314" s="29"/>
    </row>
    <row r="8315" spans="114:114">
      <c r="DJ8315" s="29"/>
    </row>
    <row r="8316" spans="114:114">
      <c r="DJ8316" s="29"/>
    </row>
    <row r="8317" spans="114:114">
      <c r="DJ8317" s="29"/>
    </row>
    <row r="8318" spans="114:114">
      <c r="DJ8318" s="29"/>
    </row>
    <row r="8319" spans="114:114">
      <c r="DJ8319" s="29"/>
    </row>
    <row r="8320" spans="114:114">
      <c r="DJ8320" s="29"/>
    </row>
    <row r="8321" spans="114:114">
      <c r="DJ8321" s="29"/>
    </row>
    <row r="8322" spans="114:114">
      <c r="DJ8322" s="29"/>
    </row>
    <row r="8323" spans="114:114">
      <c r="DJ8323" s="29"/>
    </row>
    <row r="8324" spans="114:114">
      <c r="DJ8324" s="29"/>
    </row>
    <row r="8325" spans="114:114">
      <c r="DJ8325" s="29"/>
    </row>
    <row r="8326" spans="114:114">
      <c r="DJ8326" s="29"/>
    </row>
    <row r="8327" spans="114:114">
      <c r="DJ8327" s="29"/>
    </row>
    <row r="8328" spans="114:114">
      <c r="DJ8328" s="29"/>
    </row>
    <row r="8329" spans="114:114">
      <c r="DJ8329" s="29"/>
    </row>
    <row r="8330" spans="114:114">
      <c r="DJ8330" s="29"/>
    </row>
    <row r="8331" spans="114:114">
      <c r="DJ8331" s="29"/>
    </row>
    <row r="8332" spans="114:114">
      <c r="DJ8332" s="29"/>
    </row>
    <row r="8333" spans="114:114">
      <c r="DJ8333" s="29"/>
    </row>
    <row r="8334" spans="114:114">
      <c r="DJ8334" s="29"/>
    </row>
    <row r="8335" spans="114:114">
      <c r="DJ8335" s="29"/>
    </row>
    <row r="8336" spans="114:114">
      <c r="DJ8336" s="29"/>
    </row>
    <row r="8337" spans="114:114">
      <c r="DJ8337" s="29"/>
    </row>
    <row r="8338" spans="114:114">
      <c r="DJ8338" s="29"/>
    </row>
    <row r="8339" spans="114:114">
      <c r="DJ8339" s="29"/>
    </row>
    <row r="8340" spans="114:114">
      <c r="DJ8340" s="29"/>
    </row>
    <row r="8341" spans="114:114">
      <c r="DJ8341" s="29"/>
    </row>
    <row r="8342" spans="114:114">
      <c r="DJ8342" s="29"/>
    </row>
    <row r="8343" spans="114:114">
      <c r="DJ8343" s="29"/>
    </row>
    <row r="8344" spans="114:114">
      <c r="DJ8344" s="29"/>
    </row>
    <row r="8345" spans="114:114">
      <c r="DJ8345" s="29"/>
    </row>
    <row r="8346" spans="114:114">
      <c r="DJ8346" s="29"/>
    </row>
    <row r="8347" spans="114:114">
      <c r="DJ8347" s="29"/>
    </row>
    <row r="8348" spans="114:114">
      <c r="DJ8348" s="29"/>
    </row>
    <row r="8349" spans="114:114">
      <c r="DJ8349" s="29"/>
    </row>
    <row r="8350" spans="114:114">
      <c r="DJ8350" s="29"/>
    </row>
    <row r="8351" spans="114:114">
      <c r="DJ8351" s="29"/>
    </row>
    <row r="8352" spans="114:114">
      <c r="DJ8352" s="29"/>
    </row>
    <row r="8353" spans="114:114">
      <c r="DJ8353" s="29"/>
    </row>
    <row r="8354" spans="114:114">
      <c r="DJ8354" s="29"/>
    </row>
    <row r="8355" spans="114:114">
      <c r="DJ8355" s="29"/>
    </row>
    <row r="8356" spans="114:114">
      <c r="DJ8356" s="29"/>
    </row>
    <row r="8357" spans="114:114">
      <c r="DJ8357" s="29"/>
    </row>
    <row r="8358" spans="114:114">
      <c r="DJ8358" s="29"/>
    </row>
    <row r="8359" spans="114:114">
      <c r="DJ8359" s="29"/>
    </row>
    <row r="8360" spans="114:114">
      <c r="DJ8360" s="29"/>
    </row>
    <row r="8361" spans="114:114">
      <c r="DJ8361" s="29"/>
    </row>
    <row r="8362" spans="114:114">
      <c r="DJ8362" s="29"/>
    </row>
    <row r="8363" spans="114:114">
      <c r="DJ8363" s="29"/>
    </row>
    <row r="8364" spans="114:114">
      <c r="DJ8364" s="29"/>
    </row>
    <row r="8365" spans="114:114">
      <c r="DJ8365" s="29"/>
    </row>
    <row r="8366" spans="114:114">
      <c r="DJ8366" s="29"/>
    </row>
    <row r="8367" spans="114:114">
      <c r="DJ8367" s="29"/>
    </row>
    <row r="8368" spans="114:114">
      <c r="DJ8368" s="29"/>
    </row>
    <row r="8369" spans="114:114">
      <c r="DJ8369" s="29"/>
    </row>
    <row r="8370" spans="114:114">
      <c r="DJ8370" s="29"/>
    </row>
    <row r="8371" spans="114:114">
      <c r="DJ8371" s="29"/>
    </row>
    <row r="8372" spans="114:114">
      <c r="DJ8372" s="29"/>
    </row>
    <row r="8373" spans="114:114">
      <c r="DJ8373" s="29"/>
    </row>
    <row r="8374" spans="114:114">
      <c r="DJ8374" s="29"/>
    </row>
    <row r="8375" spans="114:114">
      <c r="DJ8375" s="29"/>
    </row>
    <row r="8376" spans="114:114">
      <c r="DJ8376" s="29"/>
    </row>
    <row r="8377" spans="114:114">
      <c r="DJ8377" s="29"/>
    </row>
    <row r="8378" spans="114:114">
      <c r="DJ8378" s="29"/>
    </row>
    <row r="8379" spans="114:114">
      <c r="DJ8379" s="29"/>
    </row>
    <row r="8380" spans="114:114">
      <c r="DJ8380" s="29"/>
    </row>
    <row r="8381" spans="114:114">
      <c r="DJ8381" s="29"/>
    </row>
    <row r="8382" spans="114:114">
      <c r="DJ8382" s="29"/>
    </row>
    <row r="8383" spans="114:114">
      <c r="DJ8383" s="29"/>
    </row>
    <row r="8384" spans="114:114">
      <c r="DJ8384" s="29"/>
    </row>
    <row r="8385" spans="114:114">
      <c r="DJ8385" s="29"/>
    </row>
    <row r="8386" spans="114:114">
      <c r="DJ8386" s="29"/>
    </row>
    <row r="8387" spans="114:114">
      <c r="DJ8387" s="29"/>
    </row>
    <row r="8388" spans="114:114">
      <c r="DJ8388" s="29"/>
    </row>
    <row r="8389" spans="114:114">
      <c r="DJ8389" s="29"/>
    </row>
    <row r="8390" spans="114:114">
      <c r="DJ8390" s="29"/>
    </row>
    <row r="8391" spans="114:114">
      <c r="DJ8391" s="29"/>
    </row>
    <row r="8392" spans="114:114">
      <c r="DJ8392" s="29"/>
    </row>
    <row r="8393" spans="114:114">
      <c r="DJ8393" s="29"/>
    </row>
    <row r="8394" spans="114:114">
      <c r="DJ8394" s="29"/>
    </row>
    <row r="8395" spans="114:114">
      <c r="DJ8395" s="29"/>
    </row>
    <row r="8396" spans="114:114">
      <c r="DJ8396" s="29"/>
    </row>
    <row r="8397" spans="114:114">
      <c r="DJ8397" s="29"/>
    </row>
    <row r="8398" spans="114:114">
      <c r="DJ8398" s="29"/>
    </row>
    <row r="8399" spans="114:114">
      <c r="DJ8399" s="29"/>
    </row>
    <row r="8400" spans="114:114">
      <c r="DJ8400" s="29"/>
    </row>
    <row r="8401" spans="114:114">
      <c r="DJ8401" s="29"/>
    </row>
    <row r="8402" spans="114:114">
      <c r="DJ8402" s="29"/>
    </row>
    <row r="8403" spans="114:114">
      <c r="DJ8403" s="29"/>
    </row>
    <row r="8404" spans="114:114">
      <c r="DJ8404" s="29"/>
    </row>
    <row r="8405" spans="114:114">
      <c r="DJ8405" s="29"/>
    </row>
    <row r="8406" spans="114:114">
      <c r="DJ8406" s="29"/>
    </row>
    <row r="8407" spans="114:114">
      <c r="DJ8407" s="29"/>
    </row>
    <row r="8408" spans="114:114">
      <c r="DJ8408" s="29"/>
    </row>
    <row r="8409" spans="114:114">
      <c r="DJ8409" s="29"/>
    </row>
    <row r="8410" spans="114:114">
      <c r="DJ8410" s="29"/>
    </row>
    <row r="8411" spans="114:114">
      <c r="DJ8411" s="29"/>
    </row>
    <row r="8412" spans="114:114">
      <c r="DJ8412" s="29"/>
    </row>
    <row r="8413" spans="114:114">
      <c r="DJ8413" s="29"/>
    </row>
    <row r="8414" spans="114:114">
      <c r="DJ8414" s="29"/>
    </row>
    <row r="8415" spans="114:114">
      <c r="DJ8415" s="29"/>
    </row>
    <row r="8416" spans="114:114">
      <c r="DJ8416" s="29"/>
    </row>
    <row r="8417" spans="114:114">
      <c r="DJ8417" s="29"/>
    </row>
    <row r="8418" spans="114:114">
      <c r="DJ8418" s="29"/>
    </row>
    <row r="8419" spans="114:114">
      <c r="DJ8419" s="29"/>
    </row>
    <row r="8420" spans="114:114">
      <c r="DJ8420" s="29"/>
    </row>
    <row r="8421" spans="114:114">
      <c r="DJ8421" s="29"/>
    </row>
    <row r="8422" spans="114:114">
      <c r="DJ8422" s="29"/>
    </row>
    <row r="8423" spans="114:114">
      <c r="DJ8423" s="29"/>
    </row>
    <row r="8424" spans="114:114">
      <c r="DJ8424" s="29"/>
    </row>
    <row r="8425" spans="114:114">
      <c r="DJ8425" s="29"/>
    </row>
    <row r="8426" spans="114:114">
      <c r="DJ8426" s="29"/>
    </row>
    <row r="8427" spans="114:114">
      <c r="DJ8427" s="29"/>
    </row>
    <row r="8428" spans="114:114">
      <c r="DJ8428" s="29"/>
    </row>
    <row r="8429" spans="114:114">
      <c r="DJ8429" s="29"/>
    </row>
    <row r="8430" spans="114:114">
      <c r="DJ8430" s="29"/>
    </row>
    <row r="8431" spans="114:114">
      <c r="DJ8431" s="29"/>
    </row>
    <row r="8432" spans="114:114">
      <c r="DJ8432" s="29"/>
    </row>
    <row r="8433" spans="114:114">
      <c r="DJ8433" s="29"/>
    </row>
    <row r="8434" spans="114:114">
      <c r="DJ8434" s="29"/>
    </row>
    <row r="8435" spans="114:114">
      <c r="DJ8435" s="29"/>
    </row>
    <row r="8436" spans="114:114">
      <c r="DJ8436" s="29"/>
    </row>
    <row r="8437" spans="114:114">
      <c r="DJ8437" s="29"/>
    </row>
    <row r="8438" spans="114:114">
      <c r="DJ8438" s="29"/>
    </row>
    <row r="8439" spans="114:114">
      <c r="DJ8439" s="29"/>
    </row>
    <row r="8440" spans="114:114">
      <c r="DJ8440" s="29"/>
    </row>
    <row r="8441" spans="114:114">
      <c r="DJ8441" s="29"/>
    </row>
    <row r="8442" spans="114:114">
      <c r="DJ8442" s="29"/>
    </row>
    <row r="8443" spans="114:114">
      <c r="DJ8443" s="29"/>
    </row>
    <row r="8444" spans="114:114">
      <c r="DJ8444" s="29"/>
    </row>
    <row r="8445" spans="114:114">
      <c r="DJ8445" s="29"/>
    </row>
    <row r="8446" spans="114:114">
      <c r="DJ8446" s="29"/>
    </row>
    <row r="8447" spans="114:114">
      <c r="DJ8447" s="29"/>
    </row>
    <row r="8448" spans="114:114">
      <c r="DJ8448" s="29"/>
    </row>
    <row r="8449" spans="114:114">
      <c r="DJ8449" s="29"/>
    </row>
    <row r="8450" spans="114:114">
      <c r="DJ8450" s="29"/>
    </row>
    <row r="8451" spans="114:114">
      <c r="DJ8451" s="29"/>
    </row>
    <row r="8452" spans="114:114">
      <c r="DJ8452" s="29"/>
    </row>
    <row r="8453" spans="114:114">
      <c r="DJ8453" s="29"/>
    </row>
    <row r="8454" spans="114:114">
      <c r="DJ8454" s="29"/>
    </row>
    <row r="8455" spans="114:114">
      <c r="DJ8455" s="29"/>
    </row>
    <row r="8456" spans="114:114">
      <c r="DJ8456" s="29"/>
    </row>
    <row r="8457" spans="114:114">
      <c r="DJ8457" s="29"/>
    </row>
    <row r="8458" spans="114:114">
      <c r="DJ8458" s="29"/>
    </row>
    <row r="8459" spans="114:114">
      <c r="DJ8459" s="29"/>
    </row>
    <row r="8460" spans="114:114">
      <c r="DJ8460" s="29"/>
    </row>
    <row r="8461" spans="114:114">
      <c r="DJ8461" s="29"/>
    </row>
    <row r="8462" spans="114:114">
      <c r="DJ8462" s="29"/>
    </row>
    <row r="8463" spans="114:114">
      <c r="DJ8463" s="29"/>
    </row>
    <row r="8464" spans="114:114">
      <c r="DJ8464" s="29"/>
    </row>
    <row r="8465" spans="114:114">
      <c r="DJ8465" s="29"/>
    </row>
    <row r="8466" spans="114:114">
      <c r="DJ8466" s="29"/>
    </row>
    <row r="8467" spans="114:114">
      <c r="DJ8467" s="29"/>
    </row>
    <row r="8468" spans="114:114">
      <c r="DJ8468" s="29"/>
    </row>
    <row r="8469" spans="114:114">
      <c r="DJ8469" s="29"/>
    </row>
    <row r="8470" spans="114:114">
      <c r="DJ8470" s="29"/>
    </row>
    <row r="8471" spans="114:114">
      <c r="DJ8471" s="29"/>
    </row>
    <row r="8472" spans="114:114">
      <c r="DJ8472" s="29"/>
    </row>
    <row r="8473" spans="114:114">
      <c r="DJ8473" s="29"/>
    </row>
    <row r="8474" spans="114:114">
      <c r="DJ8474" s="29"/>
    </row>
    <row r="8475" spans="114:114">
      <c r="DJ8475" s="29"/>
    </row>
    <row r="8476" spans="114:114">
      <c r="DJ8476" s="29"/>
    </row>
    <row r="8477" spans="114:114">
      <c r="DJ8477" s="29"/>
    </row>
    <row r="8478" spans="114:114">
      <c r="DJ8478" s="29"/>
    </row>
    <row r="8479" spans="114:114">
      <c r="DJ8479" s="29"/>
    </row>
    <row r="8480" spans="114:114">
      <c r="DJ8480" s="29"/>
    </row>
    <row r="8481" spans="114:114">
      <c r="DJ8481" s="29"/>
    </row>
    <row r="8482" spans="114:114">
      <c r="DJ8482" s="29"/>
    </row>
    <row r="8483" spans="114:114">
      <c r="DJ8483" s="29"/>
    </row>
    <row r="8484" spans="114:114">
      <c r="DJ8484" s="29"/>
    </row>
    <row r="8485" spans="114:114">
      <c r="DJ8485" s="29"/>
    </row>
    <row r="8486" spans="114:114">
      <c r="DJ8486" s="29"/>
    </row>
    <row r="8487" spans="114:114">
      <c r="DJ8487" s="29"/>
    </row>
    <row r="8488" spans="114:114">
      <c r="DJ8488" s="29"/>
    </row>
    <row r="8489" spans="114:114">
      <c r="DJ8489" s="29"/>
    </row>
    <row r="8490" spans="114:114">
      <c r="DJ8490" s="29"/>
    </row>
    <row r="8491" spans="114:114">
      <c r="DJ8491" s="29"/>
    </row>
    <row r="8492" spans="114:114">
      <c r="DJ8492" s="29"/>
    </row>
    <row r="8493" spans="114:114">
      <c r="DJ8493" s="29"/>
    </row>
    <row r="8494" spans="114:114">
      <c r="DJ8494" s="29"/>
    </row>
    <row r="8495" spans="114:114">
      <c r="DJ8495" s="29"/>
    </row>
    <row r="8496" spans="114:114">
      <c r="DJ8496" s="29"/>
    </row>
    <row r="8497" spans="114:114">
      <c r="DJ8497" s="29"/>
    </row>
    <row r="8498" spans="114:114">
      <c r="DJ8498" s="29"/>
    </row>
    <row r="8499" spans="114:114">
      <c r="DJ8499" s="29"/>
    </row>
    <row r="8500" spans="114:114">
      <c r="DJ8500" s="29"/>
    </row>
    <row r="8501" spans="114:114">
      <c r="DJ8501" s="29"/>
    </row>
    <row r="8502" spans="114:114">
      <c r="DJ8502" s="29"/>
    </row>
    <row r="8503" spans="114:114">
      <c r="DJ8503" s="29"/>
    </row>
    <row r="8504" spans="114:114">
      <c r="DJ8504" s="29"/>
    </row>
    <row r="8505" spans="114:114">
      <c r="DJ8505" s="29"/>
    </row>
    <row r="8506" spans="114:114">
      <c r="DJ8506" s="29"/>
    </row>
    <row r="8507" spans="114:114">
      <c r="DJ8507" s="29"/>
    </row>
    <row r="8508" spans="114:114">
      <c r="DJ8508" s="29"/>
    </row>
    <row r="8509" spans="114:114">
      <c r="DJ8509" s="29"/>
    </row>
    <row r="8510" spans="114:114">
      <c r="DJ8510" s="29"/>
    </row>
    <row r="8511" spans="114:114">
      <c r="DJ8511" s="29"/>
    </row>
    <row r="8512" spans="114:114">
      <c r="DJ8512" s="29"/>
    </row>
    <row r="8513" spans="114:114">
      <c r="DJ8513" s="29"/>
    </row>
    <row r="8514" spans="114:114">
      <c r="DJ8514" s="29"/>
    </row>
    <row r="8515" spans="114:114">
      <c r="DJ8515" s="29"/>
    </row>
    <row r="8516" spans="114:114">
      <c r="DJ8516" s="29"/>
    </row>
    <row r="8517" spans="114:114">
      <c r="DJ8517" s="29"/>
    </row>
    <row r="8518" spans="114:114">
      <c r="DJ8518" s="29"/>
    </row>
    <row r="8519" spans="114:114">
      <c r="DJ8519" s="29"/>
    </row>
    <row r="8520" spans="114:114">
      <c r="DJ8520" s="29"/>
    </row>
    <row r="8521" spans="114:114">
      <c r="DJ8521" s="29"/>
    </row>
    <row r="8522" spans="114:114">
      <c r="DJ8522" s="29"/>
    </row>
    <row r="8523" spans="114:114">
      <c r="DJ8523" s="29"/>
    </row>
    <row r="8524" spans="114:114">
      <c r="DJ8524" s="29"/>
    </row>
    <row r="8525" spans="114:114">
      <c r="DJ8525" s="29"/>
    </row>
    <row r="8526" spans="114:114">
      <c r="DJ8526" s="29"/>
    </row>
    <row r="8527" spans="114:114">
      <c r="DJ8527" s="29"/>
    </row>
    <row r="8528" spans="114:114">
      <c r="DJ8528" s="29"/>
    </row>
    <row r="8529" spans="114:114">
      <c r="DJ8529" s="29"/>
    </row>
    <row r="8530" spans="114:114">
      <c r="DJ8530" s="29"/>
    </row>
    <row r="8531" spans="114:114">
      <c r="DJ8531" s="29"/>
    </row>
    <row r="8532" spans="114:114">
      <c r="DJ8532" s="29"/>
    </row>
    <row r="8533" spans="114:114">
      <c r="DJ8533" s="29"/>
    </row>
    <row r="8534" spans="114:114">
      <c r="DJ8534" s="29"/>
    </row>
    <row r="8535" spans="114:114">
      <c r="DJ8535" s="29"/>
    </row>
    <row r="8536" spans="114:114">
      <c r="DJ8536" s="29"/>
    </row>
    <row r="8537" spans="114:114">
      <c r="DJ8537" s="29"/>
    </row>
    <row r="8538" spans="114:114">
      <c r="DJ8538" s="29"/>
    </row>
    <row r="8539" spans="114:114">
      <c r="DJ8539" s="29"/>
    </row>
    <row r="8540" spans="114:114">
      <c r="DJ8540" s="29"/>
    </row>
    <row r="8541" spans="114:114">
      <c r="DJ8541" s="29"/>
    </row>
    <row r="8542" spans="114:114">
      <c r="DJ8542" s="29"/>
    </row>
    <row r="8543" spans="114:114">
      <c r="DJ8543" s="29"/>
    </row>
    <row r="8544" spans="114:114">
      <c r="DJ8544" s="29"/>
    </row>
    <row r="8545" spans="114:114">
      <c r="DJ8545" s="29"/>
    </row>
    <row r="8546" spans="114:114">
      <c r="DJ8546" s="29"/>
    </row>
    <row r="8547" spans="114:114">
      <c r="DJ8547" s="29"/>
    </row>
    <row r="8548" spans="114:114">
      <c r="DJ8548" s="29"/>
    </row>
    <row r="8549" spans="114:114">
      <c r="DJ8549" s="29"/>
    </row>
    <row r="8550" spans="114:114">
      <c r="DJ8550" s="29"/>
    </row>
    <row r="8551" spans="114:114">
      <c r="DJ8551" s="29"/>
    </row>
    <row r="8552" spans="114:114">
      <c r="DJ8552" s="29"/>
    </row>
    <row r="8553" spans="114:114">
      <c r="DJ8553" s="29"/>
    </row>
    <row r="8554" spans="114:114">
      <c r="DJ8554" s="29"/>
    </row>
    <row r="8555" spans="114:114">
      <c r="DJ8555" s="29"/>
    </row>
    <row r="8556" spans="114:114">
      <c r="DJ8556" s="29"/>
    </row>
    <row r="8557" spans="114:114">
      <c r="DJ8557" s="29"/>
    </row>
    <row r="8558" spans="114:114">
      <c r="DJ8558" s="29"/>
    </row>
    <row r="8559" spans="114:114">
      <c r="DJ8559" s="29"/>
    </row>
    <row r="8560" spans="114:114">
      <c r="DJ8560" s="29"/>
    </row>
    <row r="8561" spans="114:114">
      <c r="DJ8561" s="29"/>
    </row>
    <row r="8562" spans="114:114">
      <c r="DJ8562" s="29"/>
    </row>
    <row r="8563" spans="114:114">
      <c r="DJ8563" s="29"/>
    </row>
    <row r="8564" spans="114:114">
      <c r="DJ8564" s="29"/>
    </row>
    <row r="8565" spans="114:114">
      <c r="DJ8565" s="29"/>
    </row>
    <row r="8566" spans="114:114">
      <c r="DJ8566" s="29"/>
    </row>
    <row r="8567" spans="114:114">
      <c r="DJ8567" s="29"/>
    </row>
    <row r="8568" spans="114:114">
      <c r="DJ8568" s="29"/>
    </row>
    <row r="8569" spans="114:114">
      <c r="DJ8569" s="29"/>
    </row>
    <row r="8570" spans="114:114">
      <c r="DJ8570" s="29"/>
    </row>
    <row r="8571" spans="114:114">
      <c r="DJ8571" s="29"/>
    </row>
    <row r="8572" spans="114:114">
      <c r="DJ8572" s="29"/>
    </row>
    <row r="8573" spans="114:114">
      <c r="DJ8573" s="29"/>
    </row>
    <row r="8574" spans="114:114">
      <c r="DJ8574" s="29"/>
    </row>
    <row r="8575" spans="114:114">
      <c r="DJ8575" s="29"/>
    </row>
    <row r="8576" spans="114:114">
      <c r="DJ8576" s="29"/>
    </row>
    <row r="8577" spans="114:114">
      <c r="DJ8577" s="29"/>
    </row>
    <row r="8578" spans="114:114">
      <c r="DJ8578" s="29"/>
    </row>
    <row r="8579" spans="114:114">
      <c r="DJ8579" s="29"/>
    </row>
    <row r="8580" spans="114:114">
      <c r="DJ8580" s="29"/>
    </row>
    <row r="8581" spans="114:114">
      <c r="DJ8581" s="29"/>
    </row>
    <row r="8582" spans="114:114">
      <c r="DJ8582" s="29"/>
    </row>
    <row r="8583" spans="114:114">
      <c r="DJ8583" s="29"/>
    </row>
    <row r="8584" spans="114:114">
      <c r="DJ8584" s="29"/>
    </row>
    <row r="8585" spans="114:114">
      <c r="DJ8585" s="29"/>
    </row>
    <row r="8586" spans="114:114">
      <c r="DJ8586" s="29"/>
    </row>
    <row r="8587" spans="114:114">
      <c r="DJ8587" s="29"/>
    </row>
    <row r="8588" spans="114:114">
      <c r="DJ8588" s="29"/>
    </row>
    <row r="8589" spans="114:114">
      <c r="DJ8589" s="29"/>
    </row>
    <row r="8590" spans="114:114">
      <c r="DJ8590" s="29"/>
    </row>
    <row r="8591" spans="114:114">
      <c r="DJ8591" s="29"/>
    </row>
    <row r="8592" spans="114:114">
      <c r="DJ8592" s="29"/>
    </row>
    <row r="8593" spans="114:114">
      <c r="DJ8593" s="29"/>
    </row>
    <row r="8594" spans="114:114">
      <c r="DJ8594" s="29"/>
    </row>
    <row r="8595" spans="114:114">
      <c r="DJ8595" s="29"/>
    </row>
    <row r="8596" spans="114:114">
      <c r="DJ8596" s="29"/>
    </row>
    <row r="8597" spans="114:114">
      <c r="DJ8597" s="29"/>
    </row>
    <row r="8598" spans="114:114">
      <c r="DJ8598" s="29"/>
    </row>
    <row r="8599" spans="114:114">
      <c r="DJ8599" s="29"/>
    </row>
    <row r="8600" spans="114:114">
      <c r="DJ8600" s="29"/>
    </row>
    <row r="8601" spans="114:114">
      <c r="DJ8601" s="29"/>
    </row>
    <row r="8602" spans="114:114">
      <c r="DJ8602" s="29"/>
    </row>
    <row r="8603" spans="114:114">
      <c r="DJ8603" s="29"/>
    </row>
    <row r="8604" spans="114:114">
      <c r="DJ8604" s="29"/>
    </row>
    <row r="8605" spans="114:114">
      <c r="DJ8605" s="29"/>
    </row>
    <row r="8606" spans="114:114">
      <c r="DJ8606" s="29"/>
    </row>
    <row r="8607" spans="114:114">
      <c r="DJ8607" s="29"/>
    </row>
    <row r="8608" spans="114:114">
      <c r="DJ8608" s="29"/>
    </row>
    <row r="8609" spans="114:114">
      <c r="DJ8609" s="29"/>
    </row>
    <row r="8610" spans="114:114">
      <c r="DJ8610" s="29"/>
    </row>
    <row r="8611" spans="114:114">
      <c r="DJ8611" s="29"/>
    </row>
    <row r="8612" spans="114:114">
      <c r="DJ8612" s="29"/>
    </row>
    <row r="8613" spans="114:114">
      <c r="DJ8613" s="29"/>
    </row>
    <row r="8614" spans="114:114">
      <c r="DJ8614" s="29"/>
    </row>
    <row r="8615" spans="114:114">
      <c r="DJ8615" s="29"/>
    </row>
    <row r="8616" spans="114:114">
      <c r="DJ8616" s="29"/>
    </row>
    <row r="8617" spans="114:114">
      <c r="DJ8617" s="29"/>
    </row>
    <row r="8618" spans="114:114">
      <c r="DJ8618" s="29"/>
    </row>
    <row r="8619" spans="114:114">
      <c r="DJ8619" s="29"/>
    </row>
    <row r="8620" spans="114:114">
      <c r="DJ8620" s="29"/>
    </row>
    <row r="8621" spans="114:114">
      <c r="DJ8621" s="29"/>
    </row>
    <row r="8622" spans="114:114">
      <c r="DJ8622" s="29"/>
    </row>
    <row r="8623" spans="114:114">
      <c r="DJ8623" s="29"/>
    </row>
    <row r="8624" spans="114:114">
      <c r="DJ8624" s="29"/>
    </row>
    <row r="8625" spans="114:114">
      <c r="DJ8625" s="29"/>
    </row>
    <row r="8626" spans="114:114">
      <c r="DJ8626" s="29"/>
    </row>
    <row r="8627" spans="114:114">
      <c r="DJ8627" s="29"/>
    </row>
    <row r="8628" spans="114:114">
      <c r="DJ8628" s="29"/>
    </row>
    <row r="8629" spans="114:114">
      <c r="DJ8629" s="29"/>
    </row>
    <row r="8630" spans="114:114">
      <c r="DJ8630" s="29"/>
    </row>
    <row r="8631" spans="114:114">
      <c r="DJ8631" s="29"/>
    </row>
    <row r="8632" spans="114:114">
      <c r="DJ8632" s="29"/>
    </row>
    <row r="8633" spans="114:114">
      <c r="DJ8633" s="29"/>
    </row>
    <row r="8634" spans="114:114">
      <c r="DJ8634" s="29"/>
    </row>
    <row r="8635" spans="114:114">
      <c r="DJ8635" s="29"/>
    </row>
    <row r="8636" spans="114:114">
      <c r="DJ8636" s="29"/>
    </row>
    <row r="8637" spans="114:114">
      <c r="DJ8637" s="29"/>
    </row>
    <row r="8638" spans="114:114">
      <c r="DJ8638" s="29"/>
    </row>
    <row r="8639" spans="114:114">
      <c r="DJ8639" s="29"/>
    </row>
    <row r="8640" spans="114:114">
      <c r="DJ8640" s="29"/>
    </row>
    <row r="8641" spans="114:114">
      <c r="DJ8641" s="29"/>
    </row>
    <row r="8642" spans="114:114">
      <c r="DJ8642" s="29"/>
    </row>
    <row r="8643" spans="114:114">
      <c r="DJ8643" s="29"/>
    </row>
    <row r="8644" spans="114:114">
      <c r="DJ8644" s="29"/>
    </row>
    <row r="8645" spans="114:114">
      <c r="DJ8645" s="29"/>
    </row>
    <row r="8646" spans="114:114">
      <c r="DJ8646" s="29"/>
    </row>
    <row r="8647" spans="114:114">
      <c r="DJ8647" s="29"/>
    </row>
    <row r="8648" spans="114:114">
      <c r="DJ8648" s="29"/>
    </row>
    <row r="8649" spans="114:114">
      <c r="DJ8649" s="29"/>
    </row>
    <row r="8650" spans="114:114">
      <c r="DJ8650" s="29"/>
    </row>
    <row r="8651" spans="114:114">
      <c r="DJ8651" s="29"/>
    </row>
    <row r="8652" spans="114:114">
      <c r="DJ8652" s="29"/>
    </row>
    <row r="8653" spans="114:114">
      <c r="DJ8653" s="29"/>
    </row>
    <row r="8654" spans="114:114">
      <c r="DJ8654" s="29"/>
    </row>
    <row r="8655" spans="114:114">
      <c r="DJ8655" s="29"/>
    </row>
    <row r="8656" spans="114:114">
      <c r="DJ8656" s="29"/>
    </row>
    <row r="8657" spans="114:114">
      <c r="DJ8657" s="29"/>
    </row>
    <row r="8658" spans="114:114">
      <c r="DJ8658" s="29"/>
    </row>
    <row r="8659" spans="114:114">
      <c r="DJ8659" s="29"/>
    </row>
    <row r="8660" spans="114:114">
      <c r="DJ8660" s="29"/>
    </row>
    <row r="8661" spans="114:114">
      <c r="DJ8661" s="29"/>
    </row>
    <row r="8662" spans="114:114">
      <c r="DJ8662" s="29"/>
    </row>
    <row r="8663" spans="114:114">
      <c r="DJ8663" s="29"/>
    </row>
    <row r="8664" spans="114:114">
      <c r="DJ8664" s="29"/>
    </row>
    <row r="8665" spans="114:114">
      <c r="DJ8665" s="29"/>
    </row>
    <row r="8666" spans="114:114">
      <c r="DJ8666" s="29"/>
    </row>
    <row r="8667" spans="114:114">
      <c r="DJ8667" s="29"/>
    </row>
    <row r="8668" spans="114:114">
      <c r="DJ8668" s="29"/>
    </row>
    <row r="8669" spans="114:114">
      <c r="DJ8669" s="29"/>
    </row>
    <row r="8670" spans="114:114">
      <c r="DJ8670" s="29"/>
    </row>
    <row r="8671" spans="114:114">
      <c r="DJ8671" s="29"/>
    </row>
    <row r="8672" spans="114:114">
      <c r="DJ8672" s="29"/>
    </row>
    <row r="8673" spans="114:114">
      <c r="DJ8673" s="29"/>
    </row>
    <row r="8674" spans="114:114">
      <c r="DJ8674" s="29"/>
    </row>
    <row r="8675" spans="114:114">
      <c r="DJ8675" s="29"/>
    </row>
    <row r="8676" spans="114:114">
      <c r="DJ8676" s="29"/>
    </row>
    <row r="8677" spans="114:114">
      <c r="DJ8677" s="29"/>
    </row>
    <row r="8678" spans="114:114">
      <c r="DJ8678" s="29"/>
    </row>
    <row r="8679" spans="114:114">
      <c r="DJ8679" s="29"/>
    </row>
    <row r="8680" spans="114:114">
      <c r="DJ8680" s="29"/>
    </row>
    <row r="8681" spans="114:114">
      <c r="DJ8681" s="29"/>
    </row>
    <row r="8682" spans="114:114">
      <c r="DJ8682" s="29"/>
    </row>
    <row r="8683" spans="114:114">
      <c r="DJ8683" s="29"/>
    </row>
    <row r="8684" spans="114:114">
      <c r="DJ8684" s="29"/>
    </row>
    <row r="8685" spans="114:114">
      <c r="DJ8685" s="29"/>
    </row>
    <row r="8686" spans="114:114">
      <c r="DJ8686" s="29"/>
    </row>
    <row r="8687" spans="114:114">
      <c r="DJ8687" s="29"/>
    </row>
    <row r="8688" spans="114:114">
      <c r="DJ8688" s="29"/>
    </row>
    <row r="8689" spans="114:114">
      <c r="DJ8689" s="29"/>
    </row>
    <row r="8690" spans="114:114">
      <c r="DJ8690" s="29"/>
    </row>
    <row r="8691" spans="114:114">
      <c r="DJ8691" s="29"/>
    </row>
    <row r="8692" spans="114:114">
      <c r="DJ8692" s="29"/>
    </row>
    <row r="8693" spans="114:114">
      <c r="DJ8693" s="29"/>
    </row>
    <row r="8694" spans="114:114">
      <c r="DJ8694" s="29"/>
    </row>
    <row r="8695" spans="114:114">
      <c r="DJ8695" s="29"/>
    </row>
    <row r="8696" spans="114:114">
      <c r="DJ8696" s="29"/>
    </row>
    <row r="8697" spans="114:114">
      <c r="DJ8697" s="29"/>
    </row>
    <row r="8698" spans="114:114">
      <c r="DJ8698" s="29"/>
    </row>
    <row r="8699" spans="114:114">
      <c r="DJ8699" s="29"/>
    </row>
    <row r="8700" spans="114:114">
      <c r="DJ8700" s="29"/>
    </row>
    <row r="8701" spans="114:114">
      <c r="DJ8701" s="29"/>
    </row>
    <row r="8702" spans="114:114">
      <c r="DJ8702" s="29"/>
    </row>
    <row r="8703" spans="114:114">
      <c r="DJ8703" s="29"/>
    </row>
    <row r="8704" spans="114:114">
      <c r="DJ8704" s="29"/>
    </row>
    <row r="8705" spans="114:114">
      <c r="DJ8705" s="29"/>
    </row>
    <row r="8706" spans="114:114">
      <c r="DJ8706" s="29"/>
    </row>
    <row r="8707" spans="114:114">
      <c r="DJ8707" s="29"/>
    </row>
    <row r="8708" spans="114:114">
      <c r="DJ8708" s="29"/>
    </row>
    <row r="8709" spans="114:114">
      <c r="DJ8709" s="29"/>
    </row>
    <row r="8710" spans="114:114">
      <c r="DJ8710" s="29"/>
    </row>
    <row r="8711" spans="114:114">
      <c r="DJ8711" s="29"/>
    </row>
    <row r="8712" spans="114:114">
      <c r="DJ8712" s="29"/>
    </row>
    <row r="8713" spans="114:114">
      <c r="DJ8713" s="29"/>
    </row>
    <row r="8714" spans="114:114">
      <c r="DJ8714" s="29"/>
    </row>
    <row r="8715" spans="114:114">
      <c r="DJ8715" s="29"/>
    </row>
    <row r="8716" spans="114:114">
      <c r="DJ8716" s="29"/>
    </row>
    <row r="8717" spans="114:114">
      <c r="DJ8717" s="29"/>
    </row>
    <row r="8718" spans="114:114">
      <c r="DJ8718" s="29"/>
    </row>
    <row r="8719" spans="114:114">
      <c r="DJ8719" s="29"/>
    </row>
    <row r="8720" spans="114:114">
      <c r="DJ8720" s="29"/>
    </row>
    <row r="8721" spans="114:114">
      <c r="DJ8721" s="29"/>
    </row>
    <row r="8722" spans="114:114">
      <c r="DJ8722" s="29"/>
    </row>
    <row r="8723" spans="114:114">
      <c r="DJ8723" s="29"/>
    </row>
    <row r="8724" spans="114:114">
      <c r="DJ8724" s="29"/>
    </row>
    <row r="8725" spans="114:114">
      <c r="DJ8725" s="29"/>
    </row>
    <row r="8726" spans="114:114">
      <c r="DJ8726" s="29"/>
    </row>
    <row r="8727" spans="114:114">
      <c r="DJ8727" s="29"/>
    </row>
    <row r="8728" spans="114:114">
      <c r="DJ8728" s="29"/>
    </row>
    <row r="8729" spans="114:114">
      <c r="DJ8729" s="29"/>
    </row>
    <row r="8730" spans="114:114">
      <c r="DJ8730" s="29"/>
    </row>
    <row r="8731" spans="114:114">
      <c r="DJ8731" s="29"/>
    </row>
    <row r="8732" spans="114:114">
      <c r="DJ8732" s="29"/>
    </row>
    <row r="8733" spans="114:114">
      <c r="DJ8733" s="29"/>
    </row>
    <row r="8734" spans="114:114">
      <c r="DJ8734" s="29"/>
    </row>
    <row r="8735" spans="114:114">
      <c r="DJ8735" s="29"/>
    </row>
    <row r="8736" spans="114:114">
      <c r="DJ8736" s="29"/>
    </row>
    <row r="8737" spans="114:114">
      <c r="DJ8737" s="29"/>
    </row>
    <row r="8738" spans="114:114">
      <c r="DJ8738" s="29"/>
    </row>
    <row r="8739" spans="114:114">
      <c r="DJ8739" s="29"/>
    </row>
    <row r="8740" spans="114:114">
      <c r="DJ8740" s="29"/>
    </row>
    <row r="8741" spans="114:114">
      <c r="DJ8741" s="29"/>
    </row>
    <row r="8742" spans="114:114">
      <c r="DJ8742" s="29"/>
    </row>
    <row r="8743" spans="114:114">
      <c r="DJ8743" s="29"/>
    </row>
    <row r="8744" spans="114:114">
      <c r="DJ8744" s="29"/>
    </row>
    <row r="8745" spans="114:114">
      <c r="DJ8745" s="29"/>
    </row>
    <row r="8746" spans="114:114">
      <c r="DJ8746" s="29"/>
    </row>
    <row r="8747" spans="114:114">
      <c r="DJ8747" s="29"/>
    </row>
    <row r="8748" spans="114:114">
      <c r="DJ8748" s="29"/>
    </row>
    <row r="8749" spans="114:114">
      <c r="DJ8749" s="29"/>
    </row>
    <row r="8750" spans="114:114">
      <c r="DJ8750" s="29"/>
    </row>
    <row r="8751" spans="114:114">
      <c r="DJ8751" s="29"/>
    </row>
    <row r="8752" spans="114:114">
      <c r="DJ8752" s="29"/>
    </row>
    <row r="8753" spans="114:114">
      <c r="DJ8753" s="29"/>
    </row>
    <row r="8754" spans="114:114">
      <c r="DJ8754" s="29"/>
    </row>
    <row r="8755" spans="114:114">
      <c r="DJ8755" s="29"/>
    </row>
    <row r="8756" spans="114:114">
      <c r="DJ8756" s="29"/>
    </row>
    <row r="8757" spans="114:114">
      <c r="DJ8757" s="29"/>
    </row>
    <row r="8758" spans="114:114">
      <c r="DJ8758" s="29"/>
    </row>
    <row r="8759" spans="114:114">
      <c r="DJ8759" s="29"/>
    </row>
    <row r="8760" spans="114:114">
      <c r="DJ8760" s="29"/>
    </row>
    <row r="8761" spans="114:114">
      <c r="DJ8761" s="29"/>
    </row>
    <row r="8762" spans="114:114">
      <c r="DJ8762" s="29"/>
    </row>
    <row r="8763" spans="114:114">
      <c r="DJ8763" s="29"/>
    </row>
    <row r="8764" spans="114:114">
      <c r="DJ8764" s="29"/>
    </row>
    <row r="8765" spans="114:114">
      <c r="DJ8765" s="29"/>
    </row>
    <row r="8766" spans="114:114">
      <c r="DJ8766" s="29"/>
    </row>
    <row r="8767" spans="114:114">
      <c r="DJ8767" s="29"/>
    </row>
    <row r="8768" spans="114:114">
      <c r="DJ8768" s="29"/>
    </row>
    <row r="8769" spans="114:114">
      <c r="DJ8769" s="29"/>
    </row>
    <row r="8770" spans="114:114">
      <c r="DJ8770" s="29"/>
    </row>
    <row r="8771" spans="114:114">
      <c r="DJ8771" s="29"/>
    </row>
    <row r="8772" spans="114:114">
      <c r="DJ8772" s="29"/>
    </row>
    <row r="8773" spans="114:114">
      <c r="DJ8773" s="29"/>
    </row>
    <row r="8774" spans="114:114">
      <c r="DJ8774" s="29"/>
    </row>
    <row r="8775" spans="114:114">
      <c r="DJ8775" s="29"/>
    </row>
    <row r="8776" spans="114:114">
      <c r="DJ8776" s="29"/>
    </row>
    <row r="8777" spans="114:114">
      <c r="DJ8777" s="29"/>
    </row>
    <row r="8778" spans="114:114">
      <c r="DJ8778" s="29"/>
    </row>
    <row r="8779" spans="114:114">
      <c r="DJ8779" s="29"/>
    </row>
    <row r="8780" spans="114:114">
      <c r="DJ8780" s="29"/>
    </row>
    <row r="8781" spans="114:114">
      <c r="DJ8781" s="29"/>
    </row>
    <row r="8782" spans="114:114">
      <c r="DJ8782" s="29"/>
    </row>
    <row r="8783" spans="114:114">
      <c r="DJ8783" s="29"/>
    </row>
    <row r="8784" spans="114:114">
      <c r="DJ8784" s="29"/>
    </row>
    <row r="8785" spans="114:114">
      <c r="DJ8785" s="29"/>
    </row>
    <row r="8786" spans="114:114">
      <c r="DJ8786" s="29"/>
    </row>
    <row r="8787" spans="114:114">
      <c r="DJ8787" s="29"/>
    </row>
    <row r="8788" spans="114:114">
      <c r="DJ8788" s="29"/>
    </row>
    <row r="8789" spans="114:114">
      <c r="DJ8789" s="29"/>
    </row>
    <row r="8790" spans="114:114">
      <c r="DJ8790" s="29"/>
    </row>
    <row r="8791" spans="114:114">
      <c r="DJ8791" s="29"/>
    </row>
    <row r="8792" spans="114:114">
      <c r="DJ8792" s="29"/>
    </row>
    <row r="8793" spans="114:114">
      <c r="DJ8793" s="29"/>
    </row>
    <row r="8794" spans="114:114">
      <c r="DJ8794" s="29"/>
    </row>
    <row r="8795" spans="114:114">
      <c r="DJ8795" s="29"/>
    </row>
    <row r="8796" spans="114:114">
      <c r="DJ8796" s="29"/>
    </row>
    <row r="8797" spans="114:114">
      <c r="DJ8797" s="29"/>
    </row>
    <row r="8798" spans="114:114">
      <c r="DJ8798" s="29"/>
    </row>
    <row r="8799" spans="114:114">
      <c r="DJ8799" s="29"/>
    </row>
    <row r="8800" spans="114:114">
      <c r="DJ8800" s="29"/>
    </row>
    <row r="8801" spans="114:114">
      <c r="DJ8801" s="29"/>
    </row>
    <row r="8802" spans="114:114">
      <c r="DJ8802" s="29"/>
    </row>
    <row r="8803" spans="114:114">
      <c r="DJ8803" s="29"/>
    </row>
    <row r="8804" spans="114:114">
      <c r="DJ8804" s="29"/>
    </row>
    <row r="8805" spans="114:114">
      <c r="DJ8805" s="29"/>
    </row>
    <row r="8806" spans="114:114">
      <c r="DJ8806" s="29"/>
    </row>
    <row r="8807" spans="114:114">
      <c r="DJ8807" s="29"/>
    </row>
    <row r="8808" spans="114:114">
      <c r="DJ8808" s="29"/>
    </row>
    <row r="8809" spans="114:114">
      <c r="DJ8809" s="29"/>
    </row>
    <row r="8810" spans="114:114">
      <c r="DJ8810" s="29"/>
    </row>
    <row r="8811" spans="114:114">
      <c r="DJ8811" s="29"/>
    </row>
    <row r="8812" spans="114:114">
      <c r="DJ8812" s="29"/>
    </row>
    <row r="8813" spans="114:114">
      <c r="DJ8813" s="29"/>
    </row>
    <row r="8814" spans="114:114">
      <c r="DJ8814" s="29"/>
    </row>
    <row r="8815" spans="114:114">
      <c r="DJ8815" s="29"/>
    </row>
    <row r="8816" spans="114:114">
      <c r="DJ8816" s="29"/>
    </row>
    <row r="8817" spans="114:114">
      <c r="DJ8817" s="29"/>
    </row>
    <row r="8818" spans="114:114">
      <c r="DJ8818" s="29"/>
    </row>
    <row r="8819" spans="114:114">
      <c r="DJ8819" s="29"/>
    </row>
    <row r="8820" spans="114:114">
      <c r="DJ8820" s="29"/>
    </row>
    <row r="8821" spans="114:114">
      <c r="DJ8821" s="29"/>
    </row>
    <row r="8822" spans="114:114">
      <c r="DJ8822" s="29"/>
    </row>
    <row r="8823" spans="114:114">
      <c r="DJ8823" s="29"/>
    </row>
    <row r="8824" spans="114:114">
      <c r="DJ8824" s="29"/>
    </row>
    <row r="8825" spans="114:114">
      <c r="DJ8825" s="29"/>
    </row>
    <row r="8826" spans="114:114">
      <c r="DJ8826" s="29"/>
    </row>
    <row r="8827" spans="114:114">
      <c r="DJ8827" s="29"/>
    </row>
    <row r="8828" spans="114:114">
      <c r="DJ8828" s="29"/>
    </row>
    <row r="8829" spans="114:114">
      <c r="DJ8829" s="29"/>
    </row>
    <row r="8830" spans="114:114">
      <c r="DJ8830" s="29"/>
    </row>
    <row r="8831" spans="114:114">
      <c r="DJ8831" s="29"/>
    </row>
    <row r="8832" spans="114:114">
      <c r="DJ8832" s="29"/>
    </row>
    <row r="8833" spans="114:114">
      <c r="DJ8833" s="29"/>
    </row>
    <row r="8834" spans="114:114">
      <c r="DJ8834" s="29"/>
    </row>
    <row r="8835" spans="114:114">
      <c r="DJ8835" s="29"/>
    </row>
    <row r="8836" spans="114:114">
      <c r="DJ8836" s="29"/>
    </row>
    <row r="8837" spans="114:114">
      <c r="DJ8837" s="29"/>
    </row>
    <row r="8838" spans="114:114">
      <c r="DJ8838" s="29"/>
    </row>
    <row r="8839" spans="114:114">
      <c r="DJ8839" s="29"/>
    </row>
    <row r="8840" spans="114:114">
      <c r="DJ8840" s="29"/>
    </row>
    <row r="8841" spans="114:114">
      <c r="DJ8841" s="29"/>
    </row>
    <row r="8842" spans="114:114">
      <c r="DJ8842" s="29"/>
    </row>
    <row r="8843" spans="114:114">
      <c r="DJ8843" s="29"/>
    </row>
    <row r="8844" spans="114:114">
      <c r="DJ8844" s="29"/>
    </row>
    <row r="8845" spans="114:114">
      <c r="DJ8845" s="29"/>
    </row>
    <row r="8846" spans="114:114">
      <c r="DJ8846" s="29"/>
    </row>
    <row r="8847" spans="114:114">
      <c r="DJ8847" s="29"/>
    </row>
    <row r="8848" spans="114:114">
      <c r="DJ8848" s="29"/>
    </row>
    <row r="8849" spans="114:114">
      <c r="DJ8849" s="29"/>
    </row>
    <row r="8850" spans="114:114">
      <c r="DJ8850" s="29"/>
    </row>
    <row r="8851" spans="114:114">
      <c r="DJ8851" s="29"/>
    </row>
    <row r="8852" spans="114:114">
      <c r="DJ8852" s="29"/>
    </row>
    <row r="8853" spans="114:114">
      <c r="DJ8853" s="29"/>
    </row>
    <row r="8854" spans="114:114">
      <c r="DJ8854" s="29"/>
    </row>
    <row r="8855" spans="114:114">
      <c r="DJ8855" s="29"/>
    </row>
    <row r="8856" spans="114:114">
      <c r="DJ8856" s="29"/>
    </row>
    <row r="8857" spans="114:114">
      <c r="DJ8857" s="29"/>
    </row>
    <row r="8858" spans="114:114">
      <c r="DJ8858" s="29"/>
    </row>
    <row r="8859" spans="114:114">
      <c r="DJ8859" s="29"/>
    </row>
    <row r="8860" spans="114:114">
      <c r="DJ8860" s="29"/>
    </row>
    <row r="8861" spans="114:114">
      <c r="DJ8861" s="29"/>
    </row>
    <row r="8862" spans="114:114">
      <c r="DJ8862" s="29"/>
    </row>
    <row r="8863" spans="114:114">
      <c r="DJ8863" s="29"/>
    </row>
    <row r="8864" spans="114:114">
      <c r="DJ8864" s="29"/>
    </row>
    <row r="8865" spans="114:114">
      <c r="DJ8865" s="29"/>
    </row>
    <row r="8866" spans="114:114">
      <c r="DJ8866" s="29"/>
    </row>
    <row r="8867" spans="114:114">
      <c r="DJ8867" s="29"/>
    </row>
    <row r="8868" spans="114:114">
      <c r="DJ8868" s="29"/>
    </row>
    <row r="8869" spans="114:114">
      <c r="DJ8869" s="29"/>
    </row>
    <row r="8870" spans="114:114">
      <c r="DJ8870" s="29"/>
    </row>
    <row r="8871" spans="114:114">
      <c r="DJ8871" s="29"/>
    </row>
    <row r="8872" spans="114:114">
      <c r="DJ8872" s="29"/>
    </row>
    <row r="8873" spans="114:114">
      <c r="DJ8873" s="29"/>
    </row>
    <row r="8874" spans="114:114">
      <c r="DJ8874" s="29"/>
    </row>
    <row r="8875" spans="114:114">
      <c r="DJ8875" s="29"/>
    </row>
    <row r="8876" spans="114:114">
      <c r="DJ8876" s="29"/>
    </row>
    <row r="8877" spans="114:114">
      <c r="DJ8877" s="29"/>
    </row>
    <row r="8878" spans="114:114">
      <c r="DJ8878" s="29"/>
    </row>
    <row r="8879" spans="114:114">
      <c r="DJ8879" s="29"/>
    </row>
    <row r="8880" spans="114:114">
      <c r="DJ8880" s="29"/>
    </row>
    <row r="8881" spans="114:114">
      <c r="DJ8881" s="29"/>
    </row>
    <row r="8882" spans="114:114">
      <c r="DJ8882" s="29"/>
    </row>
    <row r="8883" spans="114:114">
      <c r="DJ8883" s="29"/>
    </row>
    <row r="8884" spans="114:114">
      <c r="DJ8884" s="29"/>
    </row>
    <row r="8885" spans="114:114">
      <c r="DJ8885" s="29"/>
    </row>
    <row r="8886" spans="114:114">
      <c r="DJ8886" s="29"/>
    </row>
    <row r="8887" spans="114:114">
      <c r="DJ8887" s="29"/>
    </row>
    <row r="8888" spans="114:114">
      <c r="DJ8888" s="29"/>
    </row>
    <row r="8889" spans="114:114">
      <c r="DJ8889" s="29"/>
    </row>
    <row r="8890" spans="114:114">
      <c r="DJ8890" s="29"/>
    </row>
    <row r="8891" spans="114:114">
      <c r="DJ8891" s="29"/>
    </row>
    <row r="8892" spans="114:114">
      <c r="DJ8892" s="29"/>
    </row>
    <row r="8893" spans="114:114">
      <c r="DJ8893" s="29"/>
    </row>
    <row r="8894" spans="114:114">
      <c r="DJ8894" s="29"/>
    </row>
    <row r="8895" spans="114:114">
      <c r="DJ8895" s="29"/>
    </row>
    <row r="8896" spans="114:114">
      <c r="DJ8896" s="29"/>
    </row>
    <row r="8897" spans="114:114">
      <c r="DJ8897" s="29"/>
    </row>
    <row r="8898" spans="114:114">
      <c r="DJ8898" s="29"/>
    </row>
    <row r="8899" spans="114:114">
      <c r="DJ8899" s="29"/>
    </row>
    <row r="8900" spans="114:114">
      <c r="DJ8900" s="29"/>
    </row>
    <row r="8901" spans="114:114">
      <c r="DJ8901" s="29"/>
    </row>
    <row r="8902" spans="114:114">
      <c r="DJ8902" s="29"/>
    </row>
    <row r="8903" spans="114:114">
      <c r="DJ8903" s="29"/>
    </row>
    <row r="8904" spans="114:114">
      <c r="DJ8904" s="29"/>
    </row>
    <row r="8905" spans="114:114">
      <c r="DJ8905" s="29"/>
    </row>
    <row r="8906" spans="114:114">
      <c r="DJ8906" s="29"/>
    </row>
    <row r="8907" spans="114:114">
      <c r="DJ8907" s="29"/>
    </row>
    <row r="8908" spans="114:114">
      <c r="DJ8908" s="29"/>
    </row>
    <row r="8909" spans="114:114">
      <c r="DJ8909" s="29"/>
    </row>
    <row r="8910" spans="114:114">
      <c r="DJ8910" s="29"/>
    </row>
    <row r="8911" spans="114:114">
      <c r="DJ8911" s="29"/>
    </row>
    <row r="8912" spans="114:114">
      <c r="DJ8912" s="29"/>
    </row>
    <row r="8913" spans="114:114">
      <c r="DJ8913" s="29"/>
    </row>
    <row r="8914" spans="114:114">
      <c r="DJ8914" s="29"/>
    </row>
    <row r="8915" spans="114:114">
      <c r="DJ8915" s="29"/>
    </row>
    <row r="8916" spans="114:114">
      <c r="DJ8916" s="29"/>
    </row>
    <row r="8917" spans="114:114">
      <c r="DJ8917" s="29"/>
    </row>
    <row r="8918" spans="114:114">
      <c r="DJ8918" s="29"/>
    </row>
    <row r="8919" spans="114:114">
      <c r="DJ8919" s="29"/>
    </row>
    <row r="8920" spans="114:114">
      <c r="DJ8920" s="29"/>
    </row>
    <row r="8921" spans="114:114">
      <c r="DJ8921" s="29"/>
    </row>
    <row r="8922" spans="114:114">
      <c r="DJ8922" s="29"/>
    </row>
    <row r="8923" spans="114:114">
      <c r="DJ8923" s="29"/>
    </row>
    <row r="8924" spans="114:114">
      <c r="DJ8924" s="29"/>
    </row>
    <row r="8925" spans="114:114">
      <c r="DJ8925" s="29"/>
    </row>
    <row r="8926" spans="114:114">
      <c r="DJ8926" s="29"/>
    </row>
    <row r="8927" spans="114:114">
      <c r="DJ8927" s="29"/>
    </row>
    <row r="8928" spans="114:114">
      <c r="DJ8928" s="29"/>
    </row>
    <row r="8929" spans="114:114">
      <c r="DJ8929" s="29"/>
    </row>
    <row r="8930" spans="114:114">
      <c r="DJ8930" s="29"/>
    </row>
    <row r="8931" spans="114:114">
      <c r="DJ8931" s="29"/>
    </row>
    <row r="8932" spans="114:114">
      <c r="DJ8932" s="29"/>
    </row>
    <row r="8933" spans="114:114">
      <c r="DJ8933" s="29"/>
    </row>
    <row r="8934" spans="114:114">
      <c r="DJ8934" s="29"/>
    </row>
    <row r="8935" spans="114:114">
      <c r="DJ8935" s="29"/>
    </row>
    <row r="8936" spans="114:114">
      <c r="DJ8936" s="29"/>
    </row>
    <row r="8937" spans="114:114">
      <c r="DJ8937" s="29"/>
    </row>
    <row r="8938" spans="114:114">
      <c r="DJ8938" s="29"/>
    </row>
    <row r="8939" spans="114:114">
      <c r="DJ8939" s="29"/>
    </row>
    <row r="8940" spans="114:114">
      <c r="DJ8940" s="29"/>
    </row>
    <row r="8941" spans="114:114">
      <c r="DJ8941" s="29"/>
    </row>
    <row r="8942" spans="114:114">
      <c r="DJ8942" s="29"/>
    </row>
    <row r="8943" spans="114:114">
      <c r="DJ8943" s="29"/>
    </row>
    <row r="8944" spans="114:114">
      <c r="DJ8944" s="29"/>
    </row>
    <row r="8945" spans="114:114">
      <c r="DJ8945" s="29"/>
    </row>
    <row r="8946" spans="114:114">
      <c r="DJ8946" s="29"/>
    </row>
    <row r="8947" spans="114:114">
      <c r="DJ8947" s="29"/>
    </row>
    <row r="8948" spans="114:114">
      <c r="DJ8948" s="29"/>
    </row>
    <row r="8949" spans="114:114">
      <c r="DJ8949" s="29"/>
    </row>
    <row r="8950" spans="114:114">
      <c r="DJ8950" s="29"/>
    </row>
    <row r="8951" spans="114:114">
      <c r="DJ8951" s="29"/>
    </row>
    <row r="8952" spans="114:114">
      <c r="DJ8952" s="29"/>
    </row>
    <row r="8953" spans="114:114">
      <c r="DJ8953" s="29"/>
    </row>
    <row r="8954" spans="114:114">
      <c r="DJ8954" s="29"/>
    </row>
    <row r="8955" spans="114:114">
      <c r="DJ8955" s="29"/>
    </row>
    <row r="8956" spans="114:114">
      <c r="DJ8956" s="29"/>
    </row>
    <row r="8957" spans="114:114">
      <c r="DJ8957" s="29"/>
    </row>
    <row r="8958" spans="114:114">
      <c r="DJ8958" s="29"/>
    </row>
    <row r="8959" spans="114:114">
      <c r="DJ8959" s="29"/>
    </row>
    <row r="8960" spans="114:114">
      <c r="DJ8960" s="29"/>
    </row>
    <row r="8961" spans="114:114">
      <c r="DJ8961" s="29"/>
    </row>
    <row r="8962" spans="114:114">
      <c r="DJ8962" s="29"/>
    </row>
    <row r="8963" spans="114:114">
      <c r="DJ8963" s="29"/>
    </row>
    <row r="8964" spans="114:114">
      <c r="DJ8964" s="29"/>
    </row>
    <row r="8965" spans="114:114">
      <c r="DJ8965" s="29"/>
    </row>
    <row r="8966" spans="114:114">
      <c r="DJ8966" s="29"/>
    </row>
    <row r="8967" spans="114:114">
      <c r="DJ8967" s="29"/>
    </row>
    <row r="8968" spans="114:114">
      <c r="DJ8968" s="29"/>
    </row>
    <row r="8969" spans="114:114">
      <c r="DJ8969" s="29"/>
    </row>
    <row r="8970" spans="114:114">
      <c r="DJ8970" s="29"/>
    </row>
    <row r="8971" spans="114:114">
      <c r="DJ8971" s="29"/>
    </row>
    <row r="8972" spans="114:114">
      <c r="DJ8972" s="29"/>
    </row>
    <row r="8973" spans="114:114">
      <c r="DJ8973" s="29"/>
    </row>
    <row r="8974" spans="114:114">
      <c r="DJ8974" s="29"/>
    </row>
    <row r="8975" spans="114:114">
      <c r="DJ8975" s="29"/>
    </row>
    <row r="8976" spans="114:114">
      <c r="DJ8976" s="29"/>
    </row>
    <row r="8977" spans="114:114">
      <c r="DJ8977" s="29"/>
    </row>
    <row r="8978" spans="114:114">
      <c r="DJ8978" s="29"/>
    </row>
    <row r="8979" spans="114:114">
      <c r="DJ8979" s="29"/>
    </row>
    <row r="8980" spans="114:114">
      <c r="DJ8980" s="29"/>
    </row>
    <row r="8981" spans="114:114">
      <c r="DJ8981" s="29"/>
    </row>
    <row r="8982" spans="114:114">
      <c r="DJ8982" s="29"/>
    </row>
    <row r="8983" spans="114:114">
      <c r="DJ8983" s="29"/>
    </row>
    <row r="8984" spans="114:114">
      <c r="DJ8984" s="29"/>
    </row>
    <row r="8985" spans="114:114">
      <c r="DJ8985" s="29"/>
    </row>
    <row r="8986" spans="114:114">
      <c r="DJ8986" s="29"/>
    </row>
    <row r="8987" spans="114:114">
      <c r="DJ8987" s="29"/>
    </row>
    <row r="8988" spans="114:114">
      <c r="DJ8988" s="29"/>
    </row>
    <row r="8989" spans="114:114">
      <c r="DJ8989" s="29"/>
    </row>
    <row r="8990" spans="114:114">
      <c r="DJ8990" s="29"/>
    </row>
    <row r="8991" spans="114:114">
      <c r="DJ8991" s="29"/>
    </row>
    <row r="8992" spans="114:114">
      <c r="DJ8992" s="29"/>
    </row>
    <row r="8993" spans="114:114">
      <c r="DJ8993" s="29"/>
    </row>
    <row r="8994" spans="114:114">
      <c r="DJ8994" s="29"/>
    </row>
    <row r="8995" spans="114:114">
      <c r="DJ8995" s="29"/>
    </row>
    <row r="8996" spans="114:114">
      <c r="DJ8996" s="29"/>
    </row>
    <row r="8997" spans="114:114">
      <c r="DJ8997" s="29"/>
    </row>
    <row r="8998" spans="114:114">
      <c r="DJ8998" s="29"/>
    </row>
    <row r="8999" spans="114:114">
      <c r="DJ8999" s="29"/>
    </row>
    <row r="9000" spans="114:114">
      <c r="DJ9000" s="29"/>
    </row>
    <row r="9001" spans="114:114">
      <c r="DJ9001" s="29"/>
    </row>
    <row r="9002" spans="114:114">
      <c r="DJ9002" s="29"/>
    </row>
    <row r="9003" spans="114:114">
      <c r="DJ9003" s="29"/>
    </row>
    <row r="9004" spans="114:114">
      <c r="DJ9004" s="29"/>
    </row>
    <row r="9005" spans="114:114">
      <c r="DJ9005" s="29"/>
    </row>
    <row r="9006" spans="114:114">
      <c r="DJ9006" s="29"/>
    </row>
    <row r="9007" spans="114:114">
      <c r="DJ9007" s="29"/>
    </row>
    <row r="9008" spans="114:114">
      <c r="DJ9008" s="29"/>
    </row>
    <row r="9009" spans="114:114">
      <c r="DJ9009" s="29"/>
    </row>
    <row r="9010" spans="114:114">
      <c r="DJ9010" s="29"/>
    </row>
    <row r="9011" spans="114:114">
      <c r="DJ9011" s="29"/>
    </row>
    <row r="9012" spans="114:114">
      <c r="DJ9012" s="29"/>
    </row>
    <row r="9013" spans="114:114">
      <c r="DJ9013" s="29"/>
    </row>
    <row r="9014" spans="114:114">
      <c r="DJ9014" s="29"/>
    </row>
    <row r="9015" spans="114:114">
      <c r="DJ9015" s="29"/>
    </row>
    <row r="9016" spans="114:114">
      <c r="DJ9016" s="29"/>
    </row>
    <row r="9017" spans="114:114">
      <c r="DJ9017" s="29"/>
    </row>
    <row r="9018" spans="114:114">
      <c r="DJ9018" s="29"/>
    </row>
    <row r="9019" spans="114:114">
      <c r="DJ9019" s="29"/>
    </row>
    <row r="9020" spans="114:114">
      <c r="DJ9020" s="29"/>
    </row>
    <row r="9021" spans="114:114">
      <c r="DJ9021" s="29"/>
    </row>
    <row r="9022" spans="114:114">
      <c r="DJ9022" s="29"/>
    </row>
    <row r="9023" spans="114:114">
      <c r="DJ9023" s="29"/>
    </row>
    <row r="9024" spans="114:114">
      <c r="DJ9024" s="29"/>
    </row>
    <row r="9025" spans="114:114">
      <c r="DJ9025" s="29"/>
    </row>
    <row r="9026" spans="114:114">
      <c r="DJ9026" s="29"/>
    </row>
    <row r="9027" spans="114:114">
      <c r="DJ9027" s="29"/>
    </row>
    <row r="9028" spans="114:114">
      <c r="DJ9028" s="29"/>
    </row>
    <row r="9029" spans="114:114">
      <c r="DJ9029" s="29"/>
    </row>
    <row r="9030" spans="114:114">
      <c r="DJ9030" s="29"/>
    </row>
    <row r="9031" spans="114:114">
      <c r="DJ9031" s="29"/>
    </row>
    <row r="9032" spans="114:114">
      <c r="DJ9032" s="29"/>
    </row>
    <row r="9033" spans="114:114">
      <c r="DJ9033" s="29"/>
    </row>
    <row r="9034" spans="114:114">
      <c r="DJ9034" s="29"/>
    </row>
    <row r="9035" spans="114:114">
      <c r="DJ9035" s="29"/>
    </row>
    <row r="9036" spans="114:114">
      <c r="DJ9036" s="29"/>
    </row>
    <row r="9037" spans="114:114">
      <c r="DJ9037" s="29"/>
    </row>
    <row r="9038" spans="114:114">
      <c r="DJ9038" s="29"/>
    </row>
    <row r="9039" spans="114:114">
      <c r="DJ9039" s="29"/>
    </row>
    <row r="9040" spans="114:114">
      <c r="DJ9040" s="29"/>
    </row>
    <row r="9041" spans="114:114">
      <c r="DJ9041" s="29"/>
    </row>
    <row r="9042" spans="114:114">
      <c r="DJ9042" s="29"/>
    </row>
    <row r="9043" spans="114:114">
      <c r="DJ9043" s="29"/>
    </row>
    <row r="9044" spans="114:114">
      <c r="DJ9044" s="29"/>
    </row>
    <row r="9045" spans="114:114">
      <c r="DJ9045" s="29"/>
    </row>
    <row r="9046" spans="114:114">
      <c r="DJ9046" s="29"/>
    </row>
    <row r="9047" spans="114:114">
      <c r="DJ9047" s="29"/>
    </row>
    <row r="9048" spans="114:114">
      <c r="DJ9048" s="29"/>
    </row>
    <row r="9049" spans="114:114">
      <c r="DJ9049" s="29"/>
    </row>
    <row r="9050" spans="114:114">
      <c r="DJ9050" s="29"/>
    </row>
    <row r="9051" spans="114:114">
      <c r="DJ9051" s="29"/>
    </row>
    <row r="9052" spans="114:114">
      <c r="DJ9052" s="29"/>
    </row>
    <row r="9053" spans="114:114">
      <c r="DJ9053" s="29"/>
    </row>
    <row r="9054" spans="114:114">
      <c r="DJ9054" s="29"/>
    </row>
    <row r="9055" spans="114:114">
      <c r="DJ9055" s="29"/>
    </row>
    <row r="9056" spans="114:114">
      <c r="DJ9056" s="29"/>
    </row>
    <row r="9057" spans="114:114">
      <c r="DJ9057" s="29"/>
    </row>
    <row r="9058" spans="114:114">
      <c r="DJ9058" s="29"/>
    </row>
    <row r="9059" spans="114:114">
      <c r="DJ9059" s="29"/>
    </row>
    <row r="9060" spans="114:114">
      <c r="DJ9060" s="29"/>
    </row>
    <row r="9061" spans="114:114">
      <c r="DJ9061" s="29"/>
    </row>
    <row r="9062" spans="114:114">
      <c r="DJ9062" s="29"/>
    </row>
    <row r="9063" spans="114:114">
      <c r="DJ9063" s="29"/>
    </row>
    <row r="9064" spans="114:114">
      <c r="DJ9064" s="29"/>
    </row>
    <row r="9065" spans="114:114">
      <c r="DJ9065" s="29"/>
    </row>
    <row r="9066" spans="114:114">
      <c r="DJ9066" s="29"/>
    </row>
    <row r="9067" spans="114:114">
      <c r="DJ9067" s="29"/>
    </row>
    <row r="9068" spans="114:114">
      <c r="DJ9068" s="29"/>
    </row>
    <row r="9069" spans="114:114">
      <c r="DJ9069" s="29"/>
    </row>
    <row r="9070" spans="114:114">
      <c r="DJ9070" s="29"/>
    </row>
    <row r="9071" spans="114:114">
      <c r="DJ9071" s="29"/>
    </row>
    <row r="9072" spans="114:114">
      <c r="DJ9072" s="29"/>
    </row>
    <row r="9073" spans="114:114">
      <c r="DJ9073" s="29"/>
    </row>
    <row r="9074" spans="114:114">
      <c r="DJ9074" s="29"/>
    </row>
    <row r="9075" spans="114:114">
      <c r="DJ9075" s="29"/>
    </row>
    <row r="9076" spans="114:114">
      <c r="DJ9076" s="29"/>
    </row>
    <row r="9077" spans="114:114">
      <c r="DJ9077" s="29"/>
    </row>
    <row r="9078" spans="114:114">
      <c r="DJ9078" s="29"/>
    </row>
    <row r="9079" spans="114:114">
      <c r="DJ9079" s="29"/>
    </row>
    <row r="9080" spans="114:114">
      <c r="DJ9080" s="29"/>
    </row>
    <row r="9081" spans="114:114">
      <c r="DJ9081" s="29"/>
    </row>
    <row r="9082" spans="114:114">
      <c r="DJ9082" s="29"/>
    </row>
    <row r="9083" spans="114:114">
      <c r="DJ9083" s="29"/>
    </row>
    <row r="9084" spans="114:114">
      <c r="DJ9084" s="29"/>
    </row>
    <row r="9085" spans="114:114">
      <c r="DJ9085" s="29"/>
    </row>
    <row r="9086" spans="114:114">
      <c r="DJ9086" s="29"/>
    </row>
    <row r="9087" spans="114:114">
      <c r="DJ9087" s="29"/>
    </row>
    <row r="9088" spans="114:114">
      <c r="DJ9088" s="29"/>
    </row>
    <row r="9089" spans="114:114">
      <c r="DJ9089" s="29"/>
    </row>
    <row r="9090" spans="114:114">
      <c r="DJ9090" s="29"/>
    </row>
    <row r="9091" spans="114:114">
      <c r="DJ9091" s="29"/>
    </row>
    <row r="9092" spans="114:114">
      <c r="DJ9092" s="29"/>
    </row>
    <row r="9093" spans="114:114">
      <c r="DJ9093" s="29"/>
    </row>
    <row r="9094" spans="114:114">
      <c r="DJ9094" s="29"/>
    </row>
    <row r="9095" spans="114:114">
      <c r="DJ9095" s="29"/>
    </row>
    <row r="9096" spans="114:114">
      <c r="DJ9096" s="29"/>
    </row>
    <row r="9097" spans="114:114">
      <c r="DJ9097" s="29"/>
    </row>
    <row r="9098" spans="114:114">
      <c r="DJ9098" s="29"/>
    </row>
    <row r="9099" spans="114:114">
      <c r="DJ9099" s="29"/>
    </row>
    <row r="9100" spans="114:114">
      <c r="DJ9100" s="29"/>
    </row>
    <row r="9101" spans="114:114">
      <c r="DJ9101" s="29"/>
    </row>
    <row r="9102" spans="114:114">
      <c r="DJ9102" s="29"/>
    </row>
    <row r="9103" spans="114:114">
      <c r="DJ9103" s="29"/>
    </row>
    <row r="9104" spans="114:114">
      <c r="DJ9104" s="29"/>
    </row>
    <row r="9105" spans="114:114">
      <c r="DJ9105" s="29"/>
    </row>
    <row r="9106" spans="114:114">
      <c r="DJ9106" s="29"/>
    </row>
    <row r="9107" spans="114:114">
      <c r="DJ9107" s="29"/>
    </row>
    <row r="9108" spans="114:114">
      <c r="DJ9108" s="29"/>
    </row>
    <row r="9109" spans="114:114">
      <c r="DJ9109" s="29"/>
    </row>
    <row r="9110" spans="114:114">
      <c r="DJ9110" s="29"/>
    </row>
    <row r="9111" spans="114:114">
      <c r="DJ9111" s="29"/>
    </row>
    <row r="9112" spans="114:114">
      <c r="DJ9112" s="29"/>
    </row>
    <row r="9113" spans="114:114">
      <c r="DJ9113" s="29"/>
    </row>
    <row r="9114" spans="114:114">
      <c r="DJ9114" s="29"/>
    </row>
    <row r="9115" spans="114:114">
      <c r="DJ9115" s="29"/>
    </row>
    <row r="9116" spans="114:114">
      <c r="DJ9116" s="29"/>
    </row>
    <row r="9117" spans="114:114">
      <c r="DJ9117" s="29"/>
    </row>
    <row r="9118" spans="114:114">
      <c r="DJ9118" s="29"/>
    </row>
    <row r="9119" spans="114:114">
      <c r="DJ9119" s="29"/>
    </row>
    <row r="9120" spans="114:114">
      <c r="DJ9120" s="29"/>
    </row>
    <row r="9121" spans="114:114">
      <c r="DJ9121" s="29"/>
    </row>
    <row r="9122" spans="114:114">
      <c r="DJ9122" s="29"/>
    </row>
    <row r="9123" spans="114:114">
      <c r="DJ9123" s="29"/>
    </row>
    <row r="9124" spans="114:114">
      <c r="DJ9124" s="29"/>
    </row>
    <row r="9125" spans="114:114">
      <c r="DJ9125" s="29"/>
    </row>
    <row r="9126" spans="114:114">
      <c r="DJ9126" s="29"/>
    </row>
    <row r="9127" spans="114:114">
      <c r="DJ9127" s="29"/>
    </row>
    <row r="9128" spans="114:114">
      <c r="DJ9128" s="29"/>
    </row>
    <row r="9129" spans="114:114">
      <c r="DJ9129" s="29"/>
    </row>
    <row r="9130" spans="114:114">
      <c r="DJ9130" s="29"/>
    </row>
    <row r="9131" spans="114:114">
      <c r="DJ9131" s="29"/>
    </row>
    <row r="9132" spans="114:114">
      <c r="DJ9132" s="29"/>
    </row>
    <row r="9133" spans="114:114">
      <c r="DJ9133" s="29"/>
    </row>
    <row r="9134" spans="114:114">
      <c r="DJ9134" s="29"/>
    </row>
    <row r="9135" spans="114:114">
      <c r="DJ9135" s="29"/>
    </row>
    <row r="9136" spans="114:114">
      <c r="DJ9136" s="29"/>
    </row>
    <row r="9137" spans="114:114">
      <c r="DJ9137" s="29"/>
    </row>
    <row r="9138" spans="114:114">
      <c r="DJ9138" s="29"/>
    </row>
    <row r="9139" spans="114:114">
      <c r="DJ9139" s="29"/>
    </row>
    <row r="9140" spans="114:114">
      <c r="DJ9140" s="29"/>
    </row>
    <row r="9141" spans="114:114">
      <c r="DJ9141" s="29"/>
    </row>
    <row r="9142" spans="114:114">
      <c r="DJ9142" s="29"/>
    </row>
    <row r="9143" spans="114:114">
      <c r="DJ9143" s="29"/>
    </row>
    <row r="9144" spans="114:114">
      <c r="DJ9144" s="29"/>
    </row>
    <row r="9145" spans="114:114">
      <c r="DJ9145" s="29"/>
    </row>
    <row r="9146" spans="114:114">
      <c r="DJ9146" s="29"/>
    </row>
    <row r="9147" spans="114:114">
      <c r="DJ9147" s="29"/>
    </row>
    <row r="9148" spans="114:114">
      <c r="DJ9148" s="29"/>
    </row>
    <row r="9149" spans="114:114">
      <c r="DJ9149" s="29"/>
    </row>
    <row r="9150" spans="114:114">
      <c r="DJ9150" s="29"/>
    </row>
    <row r="9151" spans="114:114">
      <c r="DJ9151" s="29"/>
    </row>
    <row r="9152" spans="114:114">
      <c r="DJ9152" s="29"/>
    </row>
    <row r="9153" spans="114:114">
      <c r="DJ9153" s="29"/>
    </row>
    <row r="9154" spans="114:114">
      <c r="DJ9154" s="29"/>
    </row>
    <row r="9155" spans="114:114">
      <c r="DJ9155" s="29"/>
    </row>
    <row r="9156" spans="114:114">
      <c r="DJ9156" s="29"/>
    </row>
    <row r="9157" spans="114:114">
      <c r="DJ9157" s="29"/>
    </row>
    <row r="9158" spans="114:114">
      <c r="DJ9158" s="29"/>
    </row>
    <row r="9159" spans="114:114">
      <c r="DJ9159" s="29"/>
    </row>
    <row r="9160" spans="114:114">
      <c r="DJ9160" s="29"/>
    </row>
    <row r="9161" spans="114:114">
      <c r="DJ9161" s="29"/>
    </row>
    <row r="9162" spans="114:114">
      <c r="DJ9162" s="29"/>
    </row>
    <row r="9163" spans="114:114">
      <c r="DJ9163" s="29"/>
    </row>
    <row r="9164" spans="114:114">
      <c r="DJ9164" s="29"/>
    </row>
    <row r="9165" spans="114:114">
      <c r="DJ9165" s="29"/>
    </row>
    <row r="9166" spans="114:114">
      <c r="DJ9166" s="29"/>
    </row>
    <row r="9167" spans="114:114">
      <c r="DJ9167" s="29"/>
    </row>
    <row r="9168" spans="114:114">
      <c r="DJ9168" s="29"/>
    </row>
    <row r="9169" spans="114:114">
      <c r="DJ9169" s="29"/>
    </row>
    <row r="9170" spans="114:114">
      <c r="DJ9170" s="29"/>
    </row>
    <row r="9171" spans="114:114">
      <c r="DJ9171" s="29"/>
    </row>
    <row r="9172" spans="114:114">
      <c r="DJ9172" s="29"/>
    </row>
    <row r="9173" spans="114:114">
      <c r="DJ9173" s="29"/>
    </row>
    <row r="9174" spans="114:114">
      <c r="DJ9174" s="29"/>
    </row>
    <row r="9175" spans="114:114">
      <c r="DJ9175" s="29"/>
    </row>
    <row r="9176" spans="114:114">
      <c r="DJ9176" s="29"/>
    </row>
    <row r="9177" spans="114:114">
      <c r="DJ9177" s="29"/>
    </row>
    <row r="9178" spans="114:114">
      <c r="DJ9178" s="29"/>
    </row>
    <row r="9179" spans="114:114">
      <c r="DJ9179" s="29"/>
    </row>
    <row r="9180" spans="114:114">
      <c r="DJ9180" s="29"/>
    </row>
    <row r="9181" spans="114:114">
      <c r="DJ9181" s="29"/>
    </row>
    <row r="9182" spans="114:114">
      <c r="DJ9182" s="29"/>
    </row>
    <row r="9183" spans="114:114">
      <c r="DJ9183" s="29"/>
    </row>
    <row r="9184" spans="114:114">
      <c r="DJ9184" s="29"/>
    </row>
    <row r="9185" spans="114:114">
      <c r="DJ9185" s="29"/>
    </row>
    <row r="9186" spans="114:114">
      <c r="DJ9186" s="29"/>
    </row>
    <row r="9187" spans="114:114">
      <c r="DJ9187" s="29"/>
    </row>
    <row r="9188" spans="114:114">
      <c r="DJ9188" s="29"/>
    </row>
    <row r="9189" spans="114:114">
      <c r="DJ9189" s="29"/>
    </row>
    <row r="9190" spans="114:114">
      <c r="DJ9190" s="29"/>
    </row>
    <row r="9191" spans="114:114">
      <c r="DJ9191" s="29"/>
    </row>
    <row r="9192" spans="114:114">
      <c r="DJ9192" s="29"/>
    </row>
    <row r="9193" spans="114:114">
      <c r="DJ9193" s="29"/>
    </row>
    <row r="9194" spans="114:114">
      <c r="DJ9194" s="29"/>
    </row>
    <row r="9195" spans="114:114">
      <c r="DJ9195" s="29"/>
    </row>
    <row r="9196" spans="114:114">
      <c r="DJ9196" s="29"/>
    </row>
    <row r="9197" spans="114:114">
      <c r="DJ9197" s="29"/>
    </row>
    <row r="9198" spans="114:114">
      <c r="DJ9198" s="29"/>
    </row>
    <row r="9199" spans="114:114">
      <c r="DJ9199" s="29"/>
    </row>
    <row r="9200" spans="114:114">
      <c r="DJ9200" s="29"/>
    </row>
    <row r="9201" spans="114:114">
      <c r="DJ9201" s="29"/>
    </row>
    <row r="9202" spans="114:114">
      <c r="DJ9202" s="29"/>
    </row>
    <row r="9203" spans="114:114">
      <c r="DJ9203" s="29"/>
    </row>
    <row r="9204" spans="114:114">
      <c r="DJ9204" s="29"/>
    </row>
    <row r="9205" spans="114:114">
      <c r="DJ9205" s="29"/>
    </row>
    <row r="9206" spans="114:114">
      <c r="DJ9206" s="29"/>
    </row>
    <row r="9207" spans="114:114">
      <c r="DJ9207" s="29"/>
    </row>
    <row r="9208" spans="114:114">
      <c r="DJ9208" s="29"/>
    </row>
    <row r="9209" spans="114:114">
      <c r="DJ9209" s="29"/>
    </row>
    <row r="9210" spans="114:114">
      <c r="DJ9210" s="29"/>
    </row>
    <row r="9211" spans="114:114">
      <c r="DJ9211" s="29"/>
    </row>
    <row r="9212" spans="114:114">
      <c r="DJ9212" s="29"/>
    </row>
    <row r="9213" spans="114:114">
      <c r="DJ9213" s="29"/>
    </row>
    <row r="9214" spans="114:114">
      <c r="DJ9214" s="29"/>
    </row>
    <row r="9215" spans="114:114">
      <c r="DJ9215" s="29"/>
    </row>
    <row r="9216" spans="114:114">
      <c r="DJ9216" s="29"/>
    </row>
    <row r="9217" spans="114:114">
      <c r="DJ9217" s="29"/>
    </row>
    <row r="9218" spans="114:114">
      <c r="DJ9218" s="29"/>
    </row>
    <row r="9219" spans="114:114">
      <c r="DJ9219" s="29"/>
    </row>
    <row r="9220" spans="114:114">
      <c r="DJ9220" s="29"/>
    </row>
    <row r="9221" spans="114:114">
      <c r="DJ9221" s="29"/>
    </row>
    <row r="9222" spans="114:114">
      <c r="DJ9222" s="29"/>
    </row>
    <row r="9223" spans="114:114">
      <c r="DJ9223" s="29"/>
    </row>
    <row r="9224" spans="114:114">
      <c r="DJ9224" s="29"/>
    </row>
    <row r="9225" spans="114:114">
      <c r="DJ9225" s="29"/>
    </row>
    <row r="9226" spans="114:114">
      <c r="DJ9226" s="29"/>
    </row>
    <row r="9227" spans="114:114">
      <c r="DJ9227" s="29"/>
    </row>
    <row r="9228" spans="114:114">
      <c r="DJ9228" s="29"/>
    </row>
    <row r="9229" spans="114:114">
      <c r="DJ9229" s="29"/>
    </row>
    <row r="9230" spans="114:114">
      <c r="DJ9230" s="29"/>
    </row>
    <row r="9231" spans="114:114">
      <c r="DJ9231" s="29"/>
    </row>
    <row r="9232" spans="114:114">
      <c r="DJ9232" s="29"/>
    </row>
    <row r="9233" spans="114:114">
      <c r="DJ9233" s="29"/>
    </row>
    <row r="9234" spans="114:114">
      <c r="DJ9234" s="29"/>
    </row>
    <row r="9235" spans="114:114">
      <c r="DJ9235" s="29"/>
    </row>
    <row r="9236" spans="114:114">
      <c r="DJ9236" s="29"/>
    </row>
    <row r="9237" spans="114:114">
      <c r="DJ9237" s="29"/>
    </row>
    <row r="9238" spans="114:114">
      <c r="DJ9238" s="29"/>
    </row>
    <row r="9239" spans="114:114">
      <c r="DJ9239" s="29"/>
    </row>
    <row r="9240" spans="114:114">
      <c r="DJ9240" s="29"/>
    </row>
    <row r="9241" spans="114:114">
      <c r="DJ9241" s="29"/>
    </row>
    <row r="9242" spans="114:114">
      <c r="DJ9242" s="29"/>
    </row>
    <row r="9243" spans="114:114">
      <c r="DJ9243" s="29"/>
    </row>
    <row r="9244" spans="114:114">
      <c r="DJ9244" s="29"/>
    </row>
    <row r="9245" spans="114:114">
      <c r="DJ9245" s="29"/>
    </row>
    <row r="9246" spans="114:114">
      <c r="DJ9246" s="29"/>
    </row>
    <row r="9247" spans="114:114">
      <c r="DJ9247" s="29"/>
    </row>
    <row r="9248" spans="114:114">
      <c r="DJ9248" s="29"/>
    </row>
    <row r="9249" spans="114:114">
      <c r="DJ9249" s="29"/>
    </row>
    <row r="9250" spans="114:114">
      <c r="DJ9250" s="29"/>
    </row>
    <row r="9251" spans="114:114">
      <c r="DJ9251" s="29"/>
    </row>
    <row r="9252" spans="114:114">
      <c r="DJ9252" s="29"/>
    </row>
    <row r="9253" spans="114:114">
      <c r="DJ9253" s="29"/>
    </row>
    <row r="9254" spans="114:114">
      <c r="DJ9254" s="29"/>
    </row>
    <row r="9255" spans="114:114">
      <c r="DJ9255" s="29"/>
    </row>
    <row r="9256" spans="114:114">
      <c r="DJ9256" s="29"/>
    </row>
    <row r="9257" spans="114:114">
      <c r="DJ9257" s="29"/>
    </row>
    <row r="9258" spans="114:114">
      <c r="DJ9258" s="29"/>
    </row>
    <row r="9259" spans="114:114">
      <c r="DJ9259" s="29"/>
    </row>
    <row r="9260" spans="114:114">
      <c r="DJ9260" s="29"/>
    </row>
    <row r="9261" spans="114:114">
      <c r="DJ9261" s="29"/>
    </row>
    <row r="9262" spans="114:114">
      <c r="DJ9262" s="29"/>
    </row>
    <row r="9263" spans="114:114">
      <c r="DJ9263" s="29"/>
    </row>
    <row r="9264" spans="114:114">
      <c r="DJ9264" s="29"/>
    </row>
    <row r="9265" spans="114:114">
      <c r="DJ9265" s="29"/>
    </row>
    <row r="9266" spans="114:114">
      <c r="DJ9266" s="29"/>
    </row>
    <row r="9267" spans="114:114">
      <c r="DJ9267" s="29"/>
    </row>
    <row r="9268" spans="114:114">
      <c r="DJ9268" s="29"/>
    </row>
    <row r="9269" spans="114:114">
      <c r="DJ9269" s="29"/>
    </row>
    <row r="9270" spans="114:114">
      <c r="DJ9270" s="29"/>
    </row>
    <row r="9271" spans="114:114">
      <c r="DJ9271" s="29"/>
    </row>
    <row r="9272" spans="114:114">
      <c r="DJ9272" s="29"/>
    </row>
    <row r="9273" spans="114:114">
      <c r="DJ9273" s="29"/>
    </row>
    <row r="9274" spans="114:114">
      <c r="DJ9274" s="29"/>
    </row>
    <row r="9275" spans="114:114">
      <c r="DJ9275" s="29"/>
    </row>
    <row r="9276" spans="114:114">
      <c r="DJ9276" s="29"/>
    </row>
    <row r="9277" spans="114:114">
      <c r="DJ9277" s="29"/>
    </row>
    <row r="9278" spans="114:114">
      <c r="DJ9278" s="29"/>
    </row>
    <row r="9279" spans="114:114">
      <c r="DJ9279" s="29"/>
    </row>
    <row r="9280" spans="114:114">
      <c r="DJ9280" s="29"/>
    </row>
    <row r="9281" spans="114:114">
      <c r="DJ9281" s="29"/>
    </row>
    <row r="9282" spans="114:114">
      <c r="DJ9282" s="29"/>
    </row>
    <row r="9283" spans="114:114">
      <c r="DJ9283" s="29"/>
    </row>
    <row r="9284" spans="114:114">
      <c r="DJ9284" s="29"/>
    </row>
    <row r="9285" spans="114:114">
      <c r="DJ9285" s="29"/>
    </row>
    <row r="9286" spans="114:114">
      <c r="DJ9286" s="29"/>
    </row>
    <row r="9287" spans="114:114">
      <c r="DJ9287" s="29"/>
    </row>
    <row r="9288" spans="114:114">
      <c r="DJ9288" s="29"/>
    </row>
    <row r="9289" spans="114:114">
      <c r="DJ9289" s="29"/>
    </row>
    <row r="9290" spans="114:114">
      <c r="DJ9290" s="29"/>
    </row>
    <row r="9291" spans="114:114">
      <c r="DJ9291" s="29"/>
    </row>
    <row r="9292" spans="114:114">
      <c r="DJ9292" s="29"/>
    </row>
    <row r="9293" spans="114:114">
      <c r="DJ9293" s="29"/>
    </row>
    <row r="9294" spans="114:114">
      <c r="DJ9294" s="29"/>
    </row>
    <row r="9295" spans="114:114">
      <c r="DJ9295" s="29"/>
    </row>
    <row r="9296" spans="114:114">
      <c r="DJ9296" s="29"/>
    </row>
    <row r="9297" spans="114:114">
      <c r="DJ9297" s="29"/>
    </row>
    <row r="9298" spans="114:114">
      <c r="DJ9298" s="29"/>
    </row>
    <row r="9299" spans="114:114">
      <c r="DJ9299" s="29"/>
    </row>
    <row r="9300" spans="114:114">
      <c r="DJ9300" s="29"/>
    </row>
    <row r="9301" spans="114:114">
      <c r="DJ9301" s="29"/>
    </row>
    <row r="9302" spans="114:114">
      <c r="DJ9302" s="29"/>
    </row>
    <row r="9303" spans="114:114">
      <c r="DJ9303" s="29"/>
    </row>
    <row r="9304" spans="114:114">
      <c r="DJ9304" s="29"/>
    </row>
    <row r="9305" spans="114:114">
      <c r="DJ9305" s="29"/>
    </row>
    <row r="9306" spans="114:114">
      <c r="DJ9306" s="29"/>
    </row>
    <row r="9307" spans="114:114">
      <c r="DJ9307" s="29"/>
    </row>
    <row r="9308" spans="114:114">
      <c r="DJ9308" s="29"/>
    </row>
    <row r="9309" spans="114:114">
      <c r="DJ9309" s="29"/>
    </row>
    <row r="9310" spans="114:114">
      <c r="DJ9310" s="29"/>
    </row>
    <row r="9311" spans="114:114">
      <c r="DJ9311" s="29"/>
    </row>
    <row r="9312" spans="114:114">
      <c r="DJ9312" s="29"/>
    </row>
    <row r="9313" spans="114:114">
      <c r="DJ9313" s="29"/>
    </row>
    <row r="9314" spans="114:114">
      <c r="DJ9314" s="29"/>
    </row>
    <row r="9315" spans="114:114">
      <c r="DJ9315" s="29"/>
    </row>
    <row r="9316" spans="114:114">
      <c r="DJ9316" s="29"/>
    </row>
    <row r="9317" spans="114:114">
      <c r="DJ9317" s="29"/>
    </row>
    <row r="9318" spans="114:114">
      <c r="DJ9318" s="29"/>
    </row>
    <row r="9319" spans="114:114">
      <c r="DJ9319" s="29"/>
    </row>
    <row r="9320" spans="114:114">
      <c r="DJ9320" s="29"/>
    </row>
    <row r="9321" spans="114:114">
      <c r="DJ9321" s="29"/>
    </row>
    <row r="9322" spans="114:114">
      <c r="DJ9322" s="29"/>
    </row>
    <row r="9323" spans="114:114">
      <c r="DJ9323" s="29"/>
    </row>
    <row r="9324" spans="114:114">
      <c r="DJ9324" s="29"/>
    </row>
    <row r="9325" spans="114:114">
      <c r="DJ9325" s="29"/>
    </row>
    <row r="9326" spans="114:114">
      <c r="DJ9326" s="29"/>
    </row>
    <row r="9327" spans="114:114">
      <c r="DJ9327" s="29"/>
    </row>
    <row r="9328" spans="114:114">
      <c r="DJ9328" s="29"/>
    </row>
    <row r="9329" spans="114:114">
      <c r="DJ9329" s="29"/>
    </row>
    <row r="9330" spans="114:114">
      <c r="DJ9330" s="29"/>
    </row>
    <row r="9331" spans="114:114">
      <c r="DJ9331" s="29"/>
    </row>
    <row r="9332" spans="114:114">
      <c r="DJ9332" s="29"/>
    </row>
    <row r="9333" spans="114:114">
      <c r="DJ9333" s="29"/>
    </row>
    <row r="9334" spans="114:114">
      <c r="DJ9334" s="29"/>
    </row>
    <row r="9335" spans="114:114">
      <c r="DJ9335" s="29"/>
    </row>
    <row r="9336" spans="114:114">
      <c r="DJ9336" s="29"/>
    </row>
    <row r="9337" spans="114:114">
      <c r="DJ9337" s="29"/>
    </row>
    <row r="9338" spans="114:114">
      <c r="DJ9338" s="29"/>
    </row>
    <row r="9339" spans="114:114">
      <c r="DJ9339" s="29"/>
    </row>
    <row r="9340" spans="114:114">
      <c r="DJ9340" s="29"/>
    </row>
    <row r="9341" spans="114:114">
      <c r="DJ9341" s="29"/>
    </row>
    <row r="9342" spans="114:114">
      <c r="DJ9342" s="29"/>
    </row>
    <row r="9343" spans="114:114">
      <c r="DJ9343" s="29"/>
    </row>
    <row r="9344" spans="114:114">
      <c r="DJ9344" s="29"/>
    </row>
    <row r="9345" spans="114:114">
      <c r="DJ9345" s="29"/>
    </row>
    <row r="9346" spans="114:114">
      <c r="DJ9346" s="29"/>
    </row>
    <row r="9347" spans="114:114">
      <c r="DJ9347" s="29"/>
    </row>
    <row r="9348" spans="114:114">
      <c r="DJ9348" s="29"/>
    </row>
    <row r="9349" spans="114:114">
      <c r="DJ9349" s="29"/>
    </row>
    <row r="9350" spans="114:114">
      <c r="DJ9350" s="29"/>
    </row>
    <row r="9351" spans="114:114">
      <c r="DJ9351" s="29"/>
    </row>
    <row r="9352" spans="114:114">
      <c r="DJ9352" s="29"/>
    </row>
    <row r="9353" spans="114:114">
      <c r="DJ9353" s="29"/>
    </row>
    <row r="9354" spans="114:114">
      <c r="DJ9354" s="29"/>
    </row>
    <row r="9355" spans="114:114">
      <c r="DJ9355" s="29"/>
    </row>
    <row r="9356" spans="114:114">
      <c r="DJ9356" s="29"/>
    </row>
    <row r="9357" spans="114:114">
      <c r="DJ9357" s="29"/>
    </row>
    <row r="9358" spans="114:114">
      <c r="DJ9358" s="29"/>
    </row>
    <row r="9359" spans="114:114">
      <c r="DJ9359" s="29"/>
    </row>
    <row r="9360" spans="114:114">
      <c r="DJ9360" s="29"/>
    </row>
    <row r="9361" spans="114:114">
      <c r="DJ9361" s="29"/>
    </row>
    <row r="9362" spans="114:114">
      <c r="DJ9362" s="29"/>
    </row>
    <row r="9363" spans="114:114">
      <c r="DJ9363" s="29"/>
    </row>
    <row r="9364" spans="114:114">
      <c r="DJ9364" s="29"/>
    </row>
    <row r="9365" spans="114:114">
      <c r="DJ9365" s="29"/>
    </row>
    <row r="9366" spans="114:114">
      <c r="DJ9366" s="29"/>
    </row>
    <row r="9367" spans="114:114">
      <c r="DJ9367" s="29"/>
    </row>
    <row r="9368" spans="114:114">
      <c r="DJ9368" s="29"/>
    </row>
    <row r="9369" spans="114:114">
      <c r="DJ9369" s="29"/>
    </row>
    <row r="9370" spans="114:114">
      <c r="DJ9370" s="29"/>
    </row>
    <row r="9371" spans="114:114">
      <c r="DJ9371" s="29"/>
    </row>
    <row r="9372" spans="114:114">
      <c r="DJ9372" s="29"/>
    </row>
    <row r="9373" spans="114:114">
      <c r="DJ9373" s="29"/>
    </row>
    <row r="9374" spans="114:114">
      <c r="DJ9374" s="29"/>
    </row>
    <row r="9375" spans="114:114">
      <c r="DJ9375" s="29"/>
    </row>
    <row r="9376" spans="114:114">
      <c r="DJ9376" s="29"/>
    </row>
    <row r="9377" spans="114:114">
      <c r="DJ9377" s="29"/>
    </row>
    <row r="9378" spans="114:114">
      <c r="DJ9378" s="29"/>
    </row>
    <row r="9379" spans="114:114">
      <c r="DJ9379" s="29"/>
    </row>
    <row r="9380" spans="114:114">
      <c r="DJ9380" s="29"/>
    </row>
    <row r="9381" spans="114:114">
      <c r="DJ9381" s="29"/>
    </row>
    <row r="9382" spans="114:114">
      <c r="DJ9382" s="29"/>
    </row>
    <row r="9383" spans="114:114">
      <c r="DJ9383" s="29"/>
    </row>
    <row r="9384" spans="114:114">
      <c r="DJ9384" s="29"/>
    </row>
    <row r="9385" spans="114:114">
      <c r="DJ9385" s="29"/>
    </row>
    <row r="9386" spans="114:114">
      <c r="DJ9386" s="29"/>
    </row>
    <row r="9387" spans="114:114">
      <c r="DJ9387" s="29"/>
    </row>
    <row r="9388" spans="114:114">
      <c r="DJ9388" s="29"/>
    </row>
    <row r="9389" spans="114:114">
      <c r="DJ9389" s="29"/>
    </row>
    <row r="9390" spans="114:114">
      <c r="DJ9390" s="29"/>
    </row>
    <row r="9391" spans="114:114">
      <c r="DJ9391" s="29"/>
    </row>
    <row r="9392" spans="114:114">
      <c r="DJ9392" s="29"/>
    </row>
    <row r="9393" spans="114:114">
      <c r="DJ9393" s="29"/>
    </row>
    <row r="9394" spans="114:114">
      <c r="DJ9394" s="29"/>
    </row>
    <row r="9395" spans="114:114">
      <c r="DJ9395" s="29"/>
    </row>
    <row r="9396" spans="114:114">
      <c r="DJ9396" s="29"/>
    </row>
    <row r="9397" spans="114:114">
      <c r="DJ9397" s="29"/>
    </row>
    <row r="9398" spans="114:114">
      <c r="DJ9398" s="29"/>
    </row>
    <row r="9399" spans="114:114">
      <c r="DJ9399" s="29"/>
    </row>
    <row r="9400" spans="114:114">
      <c r="DJ9400" s="29"/>
    </row>
    <row r="9401" spans="114:114">
      <c r="DJ9401" s="29"/>
    </row>
    <row r="9402" spans="114:114">
      <c r="DJ9402" s="29"/>
    </row>
    <row r="9403" spans="114:114">
      <c r="DJ9403" s="29"/>
    </row>
    <row r="9404" spans="114:114">
      <c r="DJ9404" s="29"/>
    </row>
    <row r="9405" spans="114:114">
      <c r="DJ9405" s="29"/>
    </row>
    <row r="9406" spans="114:114">
      <c r="DJ9406" s="29"/>
    </row>
    <row r="9407" spans="114:114">
      <c r="DJ9407" s="29"/>
    </row>
    <row r="9408" spans="114:114">
      <c r="DJ9408" s="29"/>
    </row>
    <row r="9409" spans="114:114">
      <c r="DJ9409" s="29"/>
    </row>
    <row r="9410" spans="114:114">
      <c r="DJ9410" s="29"/>
    </row>
    <row r="9411" spans="114:114">
      <c r="DJ9411" s="29"/>
    </row>
    <row r="9412" spans="114:114">
      <c r="DJ9412" s="29"/>
    </row>
    <row r="9413" spans="114:114">
      <c r="DJ9413" s="29"/>
    </row>
    <row r="9414" spans="114:114">
      <c r="DJ9414" s="29"/>
    </row>
    <row r="9415" spans="114:114">
      <c r="DJ9415" s="29"/>
    </row>
    <row r="9416" spans="114:114">
      <c r="DJ9416" s="29"/>
    </row>
    <row r="9417" spans="114:114">
      <c r="DJ9417" s="29"/>
    </row>
    <row r="9418" spans="114:114">
      <c r="DJ9418" s="29"/>
    </row>
    <row r="9419" spans="114:114">
      <c r="DJ9419" s="29"/>
    </row>
    <row r="9420" spans="114:114">
      <c r="DJ9420" s="29"/>
    </row>
    <row r="9421" spans="114:114">
      <c r="DJ9421" s="29"/>
    </row>
    <row r="9422" spans="114:114">
      <c r="DJ9422" s="29"/>
    </row>
    <row r="9423" spans="114:114">
      <c r="DJ9423" s="29"/>
    </row>
    <row r="9424" spans="114:114">
      <c r="DJ9424" s="29"/>
    </row>
    <row r="9425" spans="114:114">
      <c r="DJ9425" s="29"/>
    </row>
    <row r="9426" spans="114:114">
      <c r="DJ9426" s="29"/>
    </row>
    <row r="9427" spans="114:114">
      <c r="DJ9427" s="29"/>
    </row>
    <row r="9428" spans="114:114">
      <c r="DJ9428" s="29"/>
    </row>
    <row r="9429" spans="114:114">
      <c r="DJ9429" s="29"/>
    </row>
    <row r="9430" spans="114:114">
      <c r="DJ9430" s="29"/>
    </row>
    <row r="9431" spans="114:114">
      <c r="DJ9431" s="29"/>
    </row>
    <row r="9432" spans="114:114">
      <c r="DJ9432" s="29"/>
    </row>
    <row r="9433" spans="114:114">
      <c r="DJ9433" s="29"/>
    </row>
    <row r="9434" spans="114:114">
      <c r="DJ9434" s="29"/>
    </row>
    <row r="9435" spans="114:114">
      <c r="DJ9435" s="29"/>
    </row>
    <row r="9436" spans="114:114">
      <c r="DJ9436" s="29"/>
    </row>
    <row r="9437" spans="114:114">
      <c r="DJ9437" s="29"/>
    </row>
    <row r="9438" spans="114:114">
      <c r="DJ9438" s="29"/>
    </row>
    <row r="9439" spans="114:114">
      <c r="DJ9439" s="29"/>
    </row>
    <row r="9440" spans="114:114">
      <c r="DJ9440" s="29"/>
    </row>
    <row r="9441" spans="114:114">
      <c r="DJ9441" s="29"/>
    </row>
    <row r="9442" spans="114:114">
      <c r="DJ9442" s="29"/>
    </row>
    <row r="9443" spans="114:114">
      <c r="DJ9443" s="29"/>
    </row>
    <row r="9444" spans="114:114">
      <c r="DJ9444" s="29"/>
    </row>
    <row r="9445" spans="114:114">
      <c r="DJ9445" s="29"/>
    </row>
    <row r="9446" spans="114:114">
      <c r="DJ9446" s="29"/>
    </row>
    <row r="9447" spans="114:114">
      <c r="DJ9447" s="29"/>
    </row>
    <row r="9448" spans="114:114">
      <c r="DJ9448" s="29"/>
    </row>
    <row r="9449" spans="114:114">
      <c r="DJ9449" s="29"/>
    </row>
    <row r="9450" spans="114:114">
      <c r="DJ9450" s="29"/>
    </row>
    <row r="9451" spans="114:114">
      <c r="DJ9451" s="29"/>
    </row>
    <row r="9452" spans="114:114">
      <c r="DJ9452" s="29"/>
    </row>
    <row r="9453" spans="114:114">
      <c r="DJ9453" s="29"/>
    </row>
    <row r="9454" spans="114:114">
      <c r="DJ9454" s="29"/>
    </row>
    <row r="9455" spans="114:114">
      <c r="DJ9455" s="29"/>
    </row>
    <row r="9456" spans="114:114">
      <c r="DJ9456" s="29"/>
    </row>
    <row r="9457" spans="114:114">
      <c r="DJ9457" s="29"/>
    </row>
    <row r="9458" spans="114:114">
      <c r="DJ9458" s="29"/>
    </row>
    <row r="9459" spans="114:114">
      <c r="DJ9459" s="29"/>
    </row>
    <row r="9460" spans="114:114">
      <c r="DJ9460" s="29"/>
    </row>
    <row r="9461" spans="114:114">
      <c r="DJ9461" s="29"/>
    </row>
    <row r="9462" spans="114:114">
      <c r="DJ9462" s="29"/>
    </row>
    <row r="9463" spans="114:114">
      <c r="DJ9463" s="29"/>
    </row>
    <row r="9464" spans="114:114">
      <c r="DJ9464" s="29"/>
    </row>
    <row r="9465" spans="114:114">
      <c r="DJ9465" s="29"/>
    </row>
    <row r="9466" spans="114:114">
      <c r="DJ9466" s="29"/>
    </row>
    <row r="9467" spans="114:114">
      <c r="DJ9467" s="29"/>
    </row>
    <row r="9468" spans="114:114">
      <c r="DJ9468" s="29"/>
    </row>
    <row r="9469" spans="114:114">
      <c r="DJ9469" s="29"/>
    </row>
    <row r="9470" spans="114:114">
      <c r="DJ9470" s="29"/>
    </row>
    <row r="9471" spans="114:114">
      <c r="DJ9471" s="29"/>
    </row>
    <row r="9472" spans="114:114">
      <c r="DJ9472" s="29"/>
    </row>
    <row r="9473" spans="114:114">
      <c r="DJ9473" s="29"/>
    </row>
    <row r="9474" spans="114:114">
      <c r="DJ9474" s="29"/>
    </row>
    <row r="9475" spans="114:114">
      <c r="DJ9475" s="29"/>
    </row>
    <row r="9476" spans="114:114">
      <c r="DJ9476" s="29"/>
    </row>
    <row r="9477" spans="114:114">
      <c r="DJ9477" s="29"/>
    </row>
    <row r="9478" spans="114:114">
      <c r="DJ9478" s="29"/>
    </row>
    <row r="9479" spans="114:114">
      <c r="DJ9479" s="29"/>
    </row>
    <row r="9480" spans="114:114">
      <c r="DJ9480" s="29"/>
    </row>
    <row r="9481" spans="114:114">
      <c r="DJ9481" s="29"/>
    </row>
    <row r="9482" spans="114:114">
      <c r="DJ9482" s="29"/>
    </row>
    <row r="9483" spans="114:114">
      <c r="DJ9483" s="29"/>
    </row>
    <row r="9484" spans="114:114">
      <c r="DJ9484" s="29"/>
    </row>
    <row r="9485" spans="114:114">
      <c r="DJ9485" s="29"/>
    </row>
    <row r="9486" spans="114:114">
      <c r="DJ9486" s="29"/>
    </row>
    <row r="9487" spans="114:114">
      <c r="DJ9487" s="29"/>
    </row>
    <row r="9488" spans="114:114">
      <c r="DJ9488" s="29"/>
    </row>
    <row r="9489" spans="114:114">
      <c r="DJ9489" s="29"/>
    </row>
    <row r="9490" spans="114:114">
      <c r="DJ9490" s="29"/>
    </row>
    <row r="9491" spans="114:114">
      <c r="DJ9491" s="29"/>
    </row>
    <row r="9492" spans="114:114">
      <c r="DJ9492" s="29"/>
    </row>
    <row r="9493" spans="114:114">
      <c r="DJ9493" s="29"/>
    </row>
    <row r="9494" spans="114:114">
      <c r="DJ9494" s="29"/>
    </row>
    <row r="9495" spans="114:114">
      <c r="DJ9495" s="29"/>
    </row>
    <row r="9496" spans="114:114">
      <c r="DJ9496" s="29"/>
    </row>
    <row r="9497" spans="114:114">
      <c r="DJ9497" s="29"/>
    </row>
    <row r="9498" spans="114:114">
      <c r="DJ9498" s="29"/>
    </row>
    <row r="9499" spans="114:114">
      <c r="DJ9499" s="29"/>
    </row>
    <row r="9500" spans="114:114">
      <c r="DJ9500" s="29"/>
    </row>
    <row r="9501" spans="114:114">
      <c r="DJ9501" s="29"/>
    </row>
    <row r="9502" spans="114:114">
      <c r="DJ9502" s="29"/>
    </row>
    <row r="9503" spans="114:114">
      <c r="DJ9503" s="29"/>
    </row>
    <row r="9504" spans="114:114">
      <c r="DJ9504" s="29"/>
    </row>
    <row r="9505" spans="114:114">
      <c r="DJ9505" s="29"/>
    </row>
    <row r="9506" spans="114:114">
      <c r="DJ9506" s="29"/>
    </row>
    <row r="9507" spans="114:114">
      <c r="DJ9507" s="29"/>
    </row>
    <row r="9508" spans="114:114">
      <c r="DJ9508" s="29"/>
    </row>
    <row r="9509" spans="114:114">
      <c r="DJ9509" s="29"/>
    </row>
    <row r="9510" spans="114:114">
      <c r="DJ9510" s="29"/>
    </row>
    <row r="9511" spans="114:114">
      <c r="DJ9511" s="29"/>
    </row>
    <row r="9512" spans="114:114">
      <c r="DJ9512" s="29"/>
    </row>
    <row r="9513" spans="114:114">
      <c r="DJ9513" s="29"/>
    </row>
    <row r="9514" spans="114:114">
      <c r="DJ9514" s="29"/>
    </row>
    <row r="9515" spans="114:114">
      <c r="DJ9515" s="29"/>
    </row>
    <row r="9516" spans="114:114">
      <c r="DJ9516" s="29"/>
    </row>
    <row r="9517" spans="114:114">
      <c r="DJ9517" s="29"/>
    </row>
    <row r="9518" spans="114:114">
      <c r="DJ9518" s="29"/>
    </row>
    <row r="9519" spans="114:114">
      <c r="DJ9519" s="29"/>
    </row>
    <row r="9520" spans="114:114">
      <c r="DJ9520" s="29"/>
    </row>
    <row r="9521" spans="114:114">
      <c r="DJ9521" s="29"/>
    </row>
    <row r="9522" spans="114:114">
      <c r="DJ9522" s="29"/>
    </row>
    <row r="9523" spans="114:114">
      <c r="DJ9523" s="29"/>
    </row>
    <row r="9524" spans="114:114">
      <c r="DJ9524" s="29"/>
    </row>
    <row r="9525" spans="114:114">
      <c r="DJ9525" s="29"/>
    </row>
    <row r="9526" spans="114:114">
      <c r="DJ9526" s="29"/>
    </row>
    <row r="9527" spans="114:114">
      <c r="DJ9527" s="29"/>
    </row>
    <row r="9528" spans="114:114">
      <c r="DJ9528" s="29"/>
    </row>
    <row r="9529" spans="114:114">
      <c r="DJ9529" s="29"/>
    </row>
    <row r="9530" spans="114:114">
      <c r="DJ9530" s="29"/>
    </row>
    <row r="9531" spans="114:114">
      <c r="DJ9531" s="29"/>
    </row>
    <row r="9532" spans="114:114">
      <c r="DJ9532" s="29"/>
    </row>
    <row r="9533" spans="114:114">
      <c r="DJ9533" s="29"/>
    </row>
    <row r="9534" spans="114:114">
      <c r="DJ9534" s="29"/>
    </row>
    <row r="9535" spans="114:114">
      <c r="DJ9535" s="29"/>
    </row>
    <row r="9536" spans="114:114">
      <c r="DJ9536" s="29"/>
    </row>
    <row r="9537" spans="114:114">
      <c r="DJ9537" s="29"/>
    </row>
    <row r="9538" spans="114:114">
      <c r="DJ9538" s="29"/>
    </row>
    <row r="9539" spans="114:114">
      <c r="DJ9539" s="29"/>
    </row>
    <row r="9540" spans="114:114">
      <c r="DJ9540" s="29"/>
    </row>
    <row r="9541" spans="114:114">
      <c r="DJ9541" s="29"/>
    </row>
    <row r="9542" spans="114:114">
      <c r="DJ9542" s="29"/>
    </row>
    <row r="9543" spans="114:114">
      <c r="DJ9543" s="29"/>
    </row>
    <row r="9544" spans="114:114">
      <c r="DJ9544" s="29"/>
    </row>
    <row r="9545" spans="114:114">
      <c r="DJ9545" s="29"/>
    </row>
    <row r="9546" spans="114:114">
      <c r="DJ9546" s="29"/>
    </row>
    <row r="9547" spans="114:114">
      <c r="DJ9547" s="29"/>
    </row>
    <row r="9548" spans="114:114">
      <c r="DJ9548" s="29"/>
    </row>
    <row r="9549" spans="114:114">
      <c r="DJ9549" s="29"/>
    </row>
    <row r="9550" spans="114:114">
      <c r="DJ9550" s="29"/>
    </row>
    <row r="9551" spans="114:114">
      <c r="DJ9551" s="29"/>
    </row>
    <row r="9552" spans="114:114">
      <c r="DJ9552" s="29"/>
    </row>
    <row r="9553" spans="114:114">
      <c r="DJ9553" s="29"/>
    </row>
    <row r="9554" spans="114:114">
      <c r="DJ9554" s="29"/>
    </row>
    <row r="9555" spans="114:114">
      <c r="DJ9555" s="29"/>
    </row>
    <row r="9556" spans="114:114">
      <c r="DJ9556" s="29"/>
    </row>
    <row r="9557" spans="114:114">
      <c r="DJ9557" s="29"/>
    </row>
    <row r="9558" spans="114:114">
      <c r="DJ9558" s="29"/>
    </row>
    <row r="9559" spans="114:114">
      <c r="DJ9559" s="29"/>
    </row>
    <row r="9560" spans="114:114">
      <c r="DJ9560" s="29"/>
    </row>
    <row r="9561" spans="114:114">
      <c r="DJ9561" s="29"/>
    </row>
    <row r="9562" spans="114:114">
      <c r="DJ9562" s="29"/>
    </row>
    <row r="9563" spans="114:114">
      <c r="DJ9563" s="29"/>
    </row>
    <row r="9564" spans="114:114">
      <c r="DJ9564" s="29"/>
    </row>
    <row r="9565" spans="114:114">
      <c r="DJ9565" s="29"/>
    </row>
    <row r="9566" spans="114:114">
      <c r="DJ9566" s="29"/>
    </row>
    <row r="9567" spans="114:114">
      <c r="DJ9567" s="29"/>
    </row>
    <row r="9568" spans="114:114">
      <c r="DJ9568" s="29"/>
    </row>
    <row r="9569" spans="114:114">
      <c r="DJ9569" s="29"/>
    </row>
    <row r="9570" spans="114:114">
      <c r="DJ9570" s="29"/>
    </row>
    <row r="9571" spans="114:114">
      <c r="DJ9571" s="29"/>
    </row>
    <row r="9572" spans="114:114">
      <c r="DJ9572" s="29"/>
    </row>
    <row r="9573" spans="114:114">
      <c r="DJ9573" s="29"/>
    </row>
    <row r="9574" spans="114:114">
      <c r="DJ9574" s="29"/>
    </row>
    <row r="9575" spans="114:114">
      <c r="DJ9575" s="29"/>
    </row>
    <row r="9576" spans="114:114">
      <c r="DJ9576" s="29"/>
    </row>
    <row r="9577" spans="114:114">
      <c r="DJ9577" s="29"/>
    </row>
    <row r="9578" spans="114:114">
      <c r="DJ9578" s="29"/>
    </row>
    <row r="9579" spans="114:114">
      <c r="DJ9579" s="29"/>
    </row>
    <row r="9580" spans="114:114">
      <c r="DJ9580" s="29"/>
    </row>
    <row r="9581" spans="114:114">
      <c r="DJ9581" s="29"/>
    </row>
    <row r="9582" spans="114:114">
      <c r="DJ9582" s="29"/>
    </row>
    <row r="9583" spans="114:114">
      <c r="DJ9583" s="29"/>
    </row>
    <row r="9584" spans="114:114">
      <c r="DJ9584" s="29"/>
    </row>
    <row r="9585" spans="114:114">
      <c r="DJ9585" s="29"/>
    </row>
    <row r="9586" spans="114:114">
      <c r="DJ9586" s="29"/>
    </row>
    <row r="9587" spans="114:114">
      <c r="DJ9587" s="29"/>
    </row>
    <row r="9588" spans="114:114">
      <c r="DJ9588" s="29"/>
    </row>
    <row r="9589" spans="114:114">
      <c r="DJ9589" s="29"/>
    </row>
    <row r="9590" spans="114:114">
      <c r="DJ9590" s="29"/>
    </row>
    <row r="9591" spans="114:114">
      <c r="DJ9591" s="29"/>
    </row>
    <row r="9592" spans="114:114">
      <c r="DJ9592" s="29"/>
    </row>
    <row r="9593" spans="114:114">
      <c r="DJ9593" s="29"/>
    </row>
    <row r="9594" spans="114:114">
      <c r="DJ9594" s="29"/>
    </row>
    <row r="9595" spans="114:114">
      <c r="DJ9595" s="29"/>
    </row>
    <row r="9596" spans="114:114">
      <c r="DJ9596" s="29"/>
    </row>
    <row r="9597" spans="114:114">
      <c r="DJ9597" s="29"/>
    </row>
    <row r="9598" spans="114:114">
      <c r="DJ9598" s="29"/>
    </row>
    <row r="9599" spans="114:114">
      <c r="DJ9599" s="29"/>
    </row>
    <row r="9600" spans="114:114">
      <c r="DJ9600" s="29"/>
    </row>
    <row r="9601" spans="114:114">
      <c r="DJ9601" s="29"/>
    </row>
    <row r="9602" spans="114:114">
      <c r="DJ9602" s="29"/>
    </row>
    <row r="9603" spans="114:114">
      <c r="DJ9603" s="29"/>
    </row>
    <row r="9604" spans="114:114">
      <c r="DJ9604" s="29"/>
    </row>
    <row r="9605" spans="114:114">
      <c r="DJ9605" s="29"/>
    </row>
    <row r="9606" spans="114:114">
      <c r="DJ9606" s="29"/>
    </row>
    <row r="9607" spans="114:114">
      <c r="DJ9607" s="29"/>
    </row>
    <row r="9608" spans="114:114">
      <c r="DJ9608" s="29"/>
    </row>
    <row r="9609" spans="114:114">
      <c r="DJ9609" s="29"/>
    </row>
    <row r="9610" spans="114:114">
      <c r="DJ9610" s="29"/>
    </row>
    <row r="9611" spans="114:114">
      <c r="DJ9611" s="29"/>
    </row>
    <row r="9612" spans="114:114">
      <c r="DJ9612" s="29"/>
    </row>
    <row r="9613" spans="114:114">
      <c r="DJ9613" s="29"/>
    </row>
    <row r="9614" spans="114:114">
      <c r="DJ9614" s="29"/>
    </row>
    <row r="9615" spans="114:114">
      <c r="DJ9615" s="29"/>
    </row>
    <row r="9616" spans="114:114">
      <c r="DJ9616" s="29"/>
    </row>
    <row r="9617" spans="114:114">
      <c r="DJ9617" s="29"/>
    </row>
    <row r="9618" spans="114:114">
      <c r="DJ9618" s="29"/>
    </row>
    <row r="9619" spans="114:114">
      <c r="DJ9619" s="29"/>
    </row>
    <row r="9620" spans="114:114">
      <c r="DJ9620" s="29"/>
    </row>
    <row r="9621" spans="114:114">
      <c r="DJ9621" s="29"/>
    </row>
    <row r="9622" spans="114:114">
      <c r="DJ9622" s="29"/>
    </row>
    <row r="9623" spans="114:114">
      <c r="DJ9623" s="29"/>
    </row>
    <row r="9624" spans="114:114">
      <c r="DJ9624" s="29"/>
    </row>
    <row r="9625" spans="114:114">
      <c r="DJ9625" s="29"/>
    </row>
    <row r="9626" spans="114:114">
      <c r="DJ9626" s="29"/>
    </row>
    <row r="9627" spans="114:114">
      <c r="DJ9627" s="29"/>
    </row>
    <row r="9628" spans="114:114">
      <c r="DJ9628" s="29"/>
    </row>
    <row r="9629" spans="114:114">
      <c r="DJ9629" s="29"/>
    </row>
    <row r="9630" spans="114:114">
      <c r="DJ9630" s="29"/>
    </row>
    <row r="9631" spans="114:114">
      <c r="DJ9631" s="29"/>
    </row>
    <row r="9632" spans="114:114">
      <c r="DJ9632" s="29"/>
    </row>
    <row r="9633" spans="114:114">
      <c r="DJ9633" s="29"/>
    </row>
    <row r="9634" spans="114:114">
      <c r="DJ9634" s="29"/>
    </row>
    <row r="9635" spans="114:114">
      <c r="DJ9635" s="29"/>
    </row>
    <row r="9636" spans="114:114">
      <c r="DJ9636" s="29"/>
    </row>
    <row r="9637" spans="114:114">
      <c r="DJ9637" s="29"/>
    </row>
    <row r="9638" spans="114:114">
      <c r="DJ9638" s="29"/>
    </row>
    <row r="9639" spans="114:114">
      <c r="DJ9639" s="29"/>
    </row>
    <row r="9640" spans="114:114">
      <c r="DJ9640" s="29"/>
    </row>
    <row r="9641" spans="114:114">
      <c r="DJ9641" s="29"/>
    </row>
    <row r="9642" spans="114:114">
      <c r="DJ9642" s="29"/>
    </row>
    <row r="9643" spans="114:114">
      <c r="DJ9643" s="29"/>
    </row>
    <row r="9644" spans="114:114">
      <c r="DJ9644" s="29"/>
    </row>
    <row r="9645" spans="114:114">
      <c r="DJ9645" s="29"/>
    </row>
    <row r="9646" spans="114:114">
      <c r="DJ9646" s="29"/>
    </row>
    <row r="9647" spans="114:114">
      <c r="DJ9647" s="29"/>
    </row>
    <row r="9648" spans="114:114">
      <c r="DJ9648" s="29"/>
    </row>
    <row r="9649" spans="114:114">
      <c r="DJ9649" s="29"/>
    </row>
    <row r="9650" spans="114:114">
      <c r="DJ9650" s="29"/>
    </row>
    <row r="9651" spans="114:114">
      <c r="DJ9651" s="29"/>
    </row>
    <row r="9652" spans="114:114">
      <c r="DJ9652" s="29"/>
    </row>
    <row r="9653" spans="114:114">
      <c r="DJ9653" s="29"/>
    </row>
    <row r="9654" spans="114:114">
      <c r="DJ9654" s="29"/>
    </row>
    <row r="9655" spans="114:114">
      <c r="DJ9655" s="29"/>
    </row>
    <row r="9656" spans="114:114">
      <c r="DJ9656" s="29"/>
    </row>
    <row r="9657" spans="114:114">
      <c r="DJ9657" s="29"/>
    </row>
    <row r="9658" spans="114:114">
      <c r="DJ9658" s="29"/>
    </row>
    <row r="9659" spans="114:114">
      <c r="DJ9659" s="29"/>
    </row>
    <row r="9660" spans="114:114">
      <c r="DJ9660" s="29"/>
    </row>
    <row r="9661" spans="114:114">
      <c r="DJ9661" s="29"/>
    </row>
    <row r="9662" spans="114:114">
      <c r="DJ9662" s="29"/>
    </row>
    <row r="9663" spans="114:114">
      <c r="DJ9663" s="29"/>
    </row>
    <row r="9664" spans="114:114">
      <c r="DJ9664" s="29"/>
    </row>
    <row r="9665" spans="114:114">
      <c r="DJ9665" s="29"/>
    </row>
    <row r="9666" spans="114:114">
      <c r="DJ9666" s="29"/>
    </row>
    <row r="9667" spans="114:114">
      <c r="DJ9667" s="29"/>
    </row>
    <row r="9668" spans="114:114">
      <c r="DJ9668" s="29"/>
    </row>
    <row r="9669" spans="114:114">
      <c r="DJ9669" s="29"/>
    </row>
    <row r="9670" spans="114:114">
      <c r="DJ9670" s="29"/>
    </row>
    <row r="9671" spans="114:114">
      <c r="DJ9671" s="29"/>
    </row>
    <row r="9672" spans="114:114">
      <c r="DJ9672" s="29"/>
    </row>
    <row r="9673" spans="114:114">
      <c r="DJ9673" s="29"/>
    </row>
    <row r="9674" spans="114:114">
      <c r="DJ9674" s="29"/>
    </row>
    <row r="9675" spans="114:114">
      <c r="DJ9675" s="29"/>
    </row>
    <row r="9676" spans="114:114">
      <c r="DJ9676" s="29"/>
    </row>
    <row r="9677" spans="114:114">
      <c r="DJ9677" s="29"/>
    </row>
    <row r="9678" spans="114:114">
      <c r="DJ9678" s="29"/>
    </row>
    <row r="9679" spans="114:114">
      <c r="DJ9679" s="29"/>
    </row>
    <row r="9680" spans="114:114">
      <c r="DJ9680" s="29"/>
    </row>
    <row r="9681" spans="114:114">
      <c r="DJ9681" s="29"/>
    </row>
    <row r="9682" spans="114:114">
      <c r="DJ9682" s="29"/>
    </row>
    <row r="9683" spans="114:114">
      <c r="DJ9683" s="29"/>
    </row>
    <row r="9684" spans="114:114">
      <c r="DJ9684" s="29"/>
    </row>
    <row r="9685" spans="114:114">
      <c r="DJ9685" s="29"/>
    </row>
    <row r="9686" spans="114:114">
      <c r="DJ9686" s="29"/>
    </row>
    <row r="9687" spans="114:114">
      <c r="DJ9687" s="29"/>
    </row>
    <row r="9688" spans="114:114">
      <c r="DJ9688" s="29"/>
    </row>
    <row r="9689" spans="114:114">
      <c r="DJ9689" s="29"/>
    </row>
    <row r="9690" spans="114:114">
      <c r="DJ9690" s="29"/>
    </row>
    <row r="9691" spans="114:114">
      <c r="DJ9691" s="29"/>
    </row>
    <row r="9692" spans="114:114">
      <c r="DJ9692" s="29"/>
    </row>
    <row r="9693" spans="114:114">
      <c r="DJ9693" s="29"/>
    </row>
    <row r="9694" spans="114:114">
      <c r="DJ9694" s="29"/>
    </row>
    <row r="9695" spans="114:114">
      <c r="DJ9695" s="29"/>
    </row>
    <row r="9696" spans="114:114">
      <c r="DJ9696" s="29"/>
    </row>
    <row r="9697" spans="114:114">
      <c r="DJ9697" s="29"/>
    </row>
    <row r="9698" spans="114:114">
      <c r="DJ9698" s="29"/>
    </row>
    <row r="9699" spans="114:114">
      <c r="DJ9699" s="29"/>
    </row>
    <row r="9700" spans="114:114">
      <c r="DJ9700" s="29"/>
    </row>
    <row r="9701" spans="114:114">
      <c r="DJ9701" s="29"/>
    </row>
    <row r="9702" spans="114:114">
      <c r="DJ9702" s="29"/>
    </row>
    <row r="9703" spans="114:114">
      <c r="DJ9703" s="29"/>
    </row>
    <row r="9704" spans="114:114">
      <c r="DJ9704" s="29"/>
    </row>
    <row r="9705" spans="114:114">
      <c r="DJ9705" s="29"/>
    </row>
    <row r="9706" spans="114:114">
      <c r="DJ9706" s="29"/>
    </row>
    <row r="9707" spans="114:114">
      <c r="DJ9707" s="29"/>
    </row>
    <row r="9708" spans="114:114">
      <c r="DJ9708" s="29"/>
    </row>
    <row r="9709" spans="114:114">
      <c r="DJ9709" s="29"/>
    </row>
    <row r="9710" spans="114:114">
      <c r="DJ9710" s="29"/>
    </row>
    <row r="9711" spans="114:114">
      <c r="DJ9711" s="29"/>
    </row>
    <row r="9712" spans="114:114">
      <c r="DJ9712" s="29"/>
    </row>
    <row r="9713" spans="114:114">
      <c r="DJ9713" s="29"/>
    </row>
    <row r="9714" spans="114:114">
      <c r="DJ9714" s="29"/>
    </row>
    <row r="9715" spans="114:114">
      <c r="DJ9715" s="29"/>
    </row>
    <row r="9716" spans="114:114">
      <c r="DJ9716" s="29"/>
    </row>
    <row r="9717" spans="114:114">
      <c r="DJ9717" s="29"/>
    </row>
    <row r="9718" spans="114:114">
      <c r="DJ9718" s="29"/>
    </row>
    <row r="9719" spans="114:114">
      <c r="DJ9719" s="29"/>
    </row>
    <row r="9720" spans="114:114">
      <c r="DJ9720" s="29"/>
    </row>
    <row r="9721" spans="114:114">
      <c r="DJ9721" s="29"/>
    </row>
    <row r="9722" spans="114:114">
      <c r="DJ9722" s="29"/>
    </row>
    <row r="9723" spans="114:114">
      <c r="DJ9723" s="29"/>
    </row>
    <row r="9724" spans="114:114">
      <c r="DJ9724" s="29"/>
    </row>
    <row r="9725" spans="114:114">
      <c r="DJ9725" s="29"/>
    </row>
    <row r="9726" spans="114:114">
      <c r="DJ9726" s="29"/>
    </row>
    <row r="9727" spans="114:114">
      <c r="DJ9727" s="29"/>
    </row>
    <row r="9728" spans="114:114">
      <c r="DJ9728" s="29"/>
    </row>
    <row r="9729" spans="114:114">
      <c r="DJ9729" s="29"/>
    </row>
    <row r="9730" spans="114:114">
      <c r="DJ9730" s="29"/>
    </row>
    <row r="9731" spans="114:114">
      <c r="DJ9731" s="29"/>
    </row>
    <row r="9732" spans="114:114">
      <c r="DJ9732" s="29"/>
    </row>
    <row r="9733" spans="114:114">
      <c r="DJ9733" s="29"/>
    </row>
    <row r="9734" spans="114:114">
      <c r="DJ9734" s="29"/>
    </row>
    <row r="9735" spans="114:114">
      <c r="DJ9735" s="29"/>
    </row>
    <row r="9736" spans="114:114">
      <c r="DJ9736" s="29"/>
    </row>
    <row r="9737" spans="114:114">
      <c r="DJ9737" s="29"/>
    </row>
    <row r="9738" spans="114:114">
      <c r="DJ9738" s="29"/>
    </row>
    <row r="9739" spans="114:114">
      <c r="DJ9739" s="29"/>
    </row>
    <row r="9740" spans="114:114">
      <c r="DJ9740" s="29"/>
    </row>
    <row r="9741" spans="114:114">
      <c r="DJ9741" s="29"/>
    </row>
    <row r="9742" spans="114:114">
      <c r="DJ9742" s="29"/>
    </row>
    <row r="9743" spans="114:114">
      <c r="DJ9743" s="29"/>
    </row>
    <row r="9744" spans="114:114">
      <c r="DJ9744" s="29"/>
    </row>
    <row r="9745" spans="114:114">
      <c r="DJ9745" s="29"/>
    </row>
    <row r="9746" spans="114:114">
      <c r="DJ9746" s="29"/>
    </row>
    <row r="9747" spans="114:114">
      <c r="DJ9747" s="29"/>
    </row>
    <row r="9748" spans="114:114">
      <c r="DJ9748" s="29"/>
    </row>
    <row r="9749" spans="114:114">
      <c r="DJ9749" s="29"/>
    </row>
    <row r="9750" spans="114:114">
      <c r="DJ9750" s="29"/>
    </row>
    <row r="9751" spans="114:114">
      <c r="DJ9751" s="29"/>
    </row>
    <row r="9752" spans="114:114">
      <c r="DJ9752" s="29"/>
    </row>
    <row r="9753" spans="114:114">
      <c r="DJ9753" s="29"/>
    </row>
    <row r="9754" spans="114:114">
      <c r="DJ9754" s="29"/>
    </row>
    <row r="9755" spans="114:114">
      <c r="DJ9755" s="29"/>
    </row>
    <row r="9756" spans="114:114">
      <c r="DJ9756" s="29"/>
    </row>
    <row r="9757" spans="114:114">
      <c r="DJ9757" s="29"/>
    </row>
    <row r="9758" spans="114:114">
      <c r="DJ9758" s="29"/>
    </row>
    <row r="9759" spans="114:114">
      <c r="DJ9759" s="29"/>
    </row>
    <row r="9760" spans="114:114">
      <c r="DJ9760" s="29"/>
    </row>
    <row r="9761" spans="114:114">
      <c r="DJ9761" s="29"/>
    </row>
    <row r="9762" spans="114:114">
      <c r="DJ9762" s="29"/>
    </row>
    <row r="9763" spans="114:114">
      <c r="DJ9763" s="29"/>
    </row>
    <row r="9764" spans="114:114">
      <c r="DJ9764" s="29"/>
    </row>
    <row r="9765" spans="114:114">
      <c r="DJ9765" s="29"/>
    </row>
    <row r="9766" spans="114:114">
      <c r="DJ9766" s="29"/>
    </row>
    <row r="9767" spans="114:114">
      <c r="DJ9767" s="29"/>
    </row>
    <row r="9768" spans="114:114">
      <c r="DJ9768" s="29"/>
    </row>
    <row r="9769" spans="114:114">
      <c r="DJ9769" s="29"/>
    </row>
    <row r="9770" spans="114:114">
      <c r="DJ9770" s="29"/>
    </row>
    <row r="9771" spans="114:114">
      <c r="DJ9771" s="29"/>
    </row>
    <row r="9772" spans="114:114">
      <c r="DJ9772" s="29"/>
    </row>
    <row r="9773" spans="114:114">
      <c r="DJ9773" s="29"/>
    </row>
    <row r="9774" spans="114:114">
      <c r="DJ9774" s="29"/>
    </row>
    <row r="9775" spans="114:114">
      <c r="DJ9775" s="29"/>
    </row>
    <row r="9776" spans="114:114">
      <c r="DJ9776" s="29"/>
    </row>
    <row r="9777" spans="114:114">
      <c r="DJ9777" s="29"/>
    </row>
    <row r="9778" spans="114:114">
      <c r="DJ9778" s="29"/>
    </row>
    <row r="9779" spans="114:114">
      <c r="DJ9779" s="29"/>
    </row>
    <row r="9780" spans="114:114">
      <c r="DJ9780" s="29"/>
    </row>
    <row r="9781" spans="114:114">
      <c r="DJ9781" s="29"/>
    </row>
    <row r="9782" spans="114:114">
      <c r="DJ9782" s="29"/>
    </row>
    <row r="9783" spans="114:114">
      <c r="DJ9783" s="29"/>
    </row>
    <row r="9784" spans="114:114">
      <c r="DJ9784" s="29"/>
    </row>
    <row r="9785" spans="114:114">
      <c r="DJ9785" s="29"/>
    </row>
    <row r="9786" spans="114:114">
      <c r="DJ9786" s="29"/>
    </row>
    <row r="9787" spans="114:114">
      <c r="DJ9787" s="29"/>
    </row>
    <row r="9788" spans="114:114">
      <c r="DJ9788" s="29"/>
    </row>
    <row r="9789" spans="114:114">
      <c r="DJ9789" s="29"/>
    </row>
    <row r="9790" spans="114:114">
      <c r="DJ9790" s="29"/>
    </row>
    <row r="9791" spans="114:114">
      <c r="DJ9791" s="29"/>
    </row>
    <row r="9792" spans="114:114">
      <c r="DJ9792" s="29"/>
    </row>
    <row r="9793" spans="114:114">
      <c r="DJ9793" s="29"/>
    </row>
    <row r="9794" spans="114:114">
      <c r="DJ9794" s="29"/>
    </row>
    <row r="9795" spans="114:114">
      <c r="DJ9795" s="29"/>
    </row>
    <row r="9796" spans="114:114">
      <c r="DJ9796" s="29"/>
    </row>
    <row r="9797" spans="114:114">
      <c r="DJ9797" s="29"/>
    </row>
    <row r="9798" spans="114:114">
      <c r="DJ9798" s="29"/>
    </row>
    <row r="9799" spans="114:114">
      <c r="DJ9799" s="29"/>
    </row>
    <row r="9800" spans="114:114">
      <c r="DJ9800" s="29"/>
    </row>
    <row r="9801" spans="114:114">
      <c r="DJ9801" s="29"/>
    </row>
    <row r="9802" spans="114:114">
      <c r="DJ9802" s="29"/>
    </row>
    <row r="9803" spans="114:114">
      <c r="DJ9803" s="29"/>
    </row>
    <row r="9804" spans="114:114">
      <c r="DJ9804" s="29"/>
    </row>
    <row r="9805" spans="114:114">
      <c r="DJ9805" s="29"/>
    </row>
    <row r="9806" spans="114:114">
      <c r="DJ9806" s="29"/>
    </row>
    <row r="9807" spans="114:114">
      <c r="DJ9807" s="29"/>
    </row>
    <row r="9808" spans="114:114">
      <c r="DJ9808" s="29"/>
    </row>
    <row r="9809" spans="114:114">
      <c r="DJ9809" s="29"/>
    </row>
    <row r="9810" spans="114:114">
      <c r="DJ9810" s="29"/>
    </row>
    <row r="9811" spans="114:114">
      <c r="DJ9811" s="29"/>
    </row>
    <row r="9812" spans="114:114">
      <c r="DJ9812" s="29"/>
    </row>
    <row r="9813" spans="114:114">
      <c r="DJ9813" s="29"/>
    </row>
    <row r="9814" spans="114:114">
      <c r="DJ9814" s="29"/>
    </row>
    <row r="9815" spans="114:114">
      <c r="DJ9815" s="29"/>
    </row>
    <row r="9816" spans="114:114">
      <c r="DJ9816" s="29"/>
    </row>
    <row r="9817" spans="114:114">
      <c r="DJ9817" s="29"/>
    </row>
    <row r="9818" spans="114:114">
      <c r="DJ9818" s="29"/>
    </row>
    <row r="9819" spans="114:114">
      <c r="DJ9819" s="29"/>
    </row>
    <row r="9820" spans="114:114">
      <c r="DJ9820" s="29"/>
    </row>
    <row r="9821" spans="114:114">
      <c r="DJ9821" s="29"/>
    </row>
    <row r="9822" spans="114:114">
      <c r="DJ9822" s="29"/>
    </row>
    <row r="9823" spans="114:114">
      <c r="DJ9823" s="29"/>
    </row>
    <row r="9824" spans="114:114">
      <c r="DJ9824" s="29"/>
    </row>
    <row r="9825" spans="114:114">
      <c r="DJ9825" s="29"/>
    </row>
    <row r="9826" spans="114:114">
      <c r="DJ9826" s="29"/>
    </row>
    <row r="9827" spans="114:114">
      <c r="DJ9827" s="29"/>
    </row>
    <row r="9828" spans="114:114">
      <c r="DJ9828" s="29"/>
    </row>
    <row r="9829" spans="114:114">
      <c r="DJ9829" s="29"/>
    </row>
    <row r="9830" spans="114:114">
      <c r="DJ9830" s="29"/>
    </row>
    <row r="9831" spans="114:114">
      <c r="DJ9831" s="29"/>
    </row>
    <row r="9832" spans="114:114">
      <c r="DJ9832" s="29"/>
    </row>
    <row r="9833" spans="114:114">
      <c r="DJ9833" s="29"/>
    </row>
    <row r="9834" spans="114:114">
      <c r="DJ9834" s="29"/>
    </row>
    <row r="9835" spans="114:114">
      <c r="DJ9835" s="29"/>
    </row>
    <row r="9836" spans="114:114">
      <c r="DJ9836" s="29"/>
    </row>
    <row r="9837" spans="114:114">
      <c r="DJ9837" s="29"/>
    </row>
    <row r="9838" spans="114:114">
      <c r="DJ9838" s="29"/>
    </row>
    <row r="9839" spans="114:114">
      <c r="DJ9839" s="29"/>
    </row>
    <row r="9840" spans="114:114">
      <c r="DJ9840" s="29"/>
    </row>
    <row r="9841" spans="114:114">
      <c r="DJ9841" s="29"/>
    </row>
    <row r="9842" spans="114:114">
      <c r="DJ9842" s="29"/>
    </row>
    <row r="9843" spans="114:114">
      <c r="DJ9843" s="29"/>
    </row>
    <row r="9844" spans="114:114">
      <c r="DJ9844" s="29"/>
    </row>
    <row r="9845" spans="114:114">
      <c r="DJ9845" s="29"/>
    </row>
    <row r="9846" spans="114:114">
      <c r="DJ9846" s="29"/>
    </row>
    <row r="9847" spans="114:114">
      <c r="DJ9847" s="29"/>
    </row>
    <row r="9848" spans="114:114">
      <c r="DJ9848" s="29"/>
    </row>
    <row r="9849" spans="114:114">
      <c r="DJ9849" s="29"/>
    </row>
    <row r="9850" spans="114:114">
      <c r="DJ9850" s="29"/>
    </row>
    <row r="9851" spans="114:114">
      <c r="DJ9851" s="29"/>
    </row>
    <row r="9852" spans="114:114">
      <c r="DJ9852" s="29"/>
    </row>
    <row r="9853" spans="114:114">
      <c r="DJ9853" s="29"/>
    </row>
    <row r="9854" spans="114:114">
      <c r="DJ9854" s="29"/>
    </row>
    <row r="9855" spans="114:114">
      <c r="DJ9855" s="29"/>
    </row>
    <row r="9856" spans="114:114">
      <c r="DJ9856" s="29"/>
    </row>
    <row r="9857" spans="114:114">
      <c r="DJ9857" s="29"/>
    </row>
    <row r="9858" spans="114:114">
      <c r="DJ9858" s="29"/>
    </row>
    <row r="9859" spans="114:114">
      <c r="DJ9859" s="29"/>
    </row>
    <row r="9860" spans="114:114">
      <c r="DJ9860" s="29"/>
    </row>
    <row r="9861" spans="114:114">
      <c r="DJ9861" s="29"/>
    </row>
    <row r="9862" spans="114:114">
      <c r="DJ9862" s="29"/>
    </row>
    <row r="9863" spans="114:114">
      <c r="DJ9863" s="29"/>
    </row>
    <row r="9864" spans="114:114">
      <c r="DJ9864" s="29"/>
    </row>
    <row r="9865" spans="114:114">
      <c r="DJ9865" s="29"/>
    </row>
    <row r="9866" spans="114:114">
      <c r="DJ9866" s="29"/>
    </row>
    <row r="9867" spans="114:114">
      <c r="DJ9867" s="29"/>
    </row>
    <row r="9868" spans="114:114">
      <c r="DJ9868" s="29"/>
    </row>
    <row r="9869" spans="114:114">
      <c r="DJ9869" s="29"/>
    </row>
    <row r="9870" spans="114:114">
      <c r="DJ9870" s="29"/>
    </row>
    <row r="9871" spans="114:114">
      <c r="DJ9871" s="29"/>
    </row>
    <row r="9872" spans="114:114">
      <c r="DJ9872" s="29"/>
    </row>
    <row r="9873" spans="114:114">
      <c r="DJ9873" s="29"/>
    </row>
    <row r="9874" spans="114:114">
      <c r="DJ9874" s="29"/>
    </row>
    <row r="9875" spans="114:114">
      <c r="DJ9875" s="29"/>
    </row>
    <row r="9876" spans="114:114">
      <c r="DJ9876" s="29"/>
    </row>
    <row r="9877" spans="114:114">
      <c r="DJ9877" s="29"/>
    </row>
    <row r="9878" spans="114:114">
      <c r="DJ9878" s="29"/>
    </row>
    <row r="9879" spans="114:114">
      <c r="DJ9879" s="29"/>
    </row>
    <row r="9880" spans="114:114">
      <c r="DJ9880" s="29"/>
    </row>
    <row r="9881" spans="114:114">
      <c r="DJ9881" s="29"/>
    </row>
    <row r="9882" spans="114:114">
      <c r="DJ9882" s="29"/>
    </row>
    <row r="9883" spans="114:114">
      <c r="DJ9883" s="29"/>
    </row>
    <row r="9884" spans="114:114">
      <c r="DJ9884" s="29"/>
    </row>
    <row r="9885" spans="114:114">
      <c r="DJ9885" s="29"/>
    </row>
    <row r="9886" spans="114:114">
      <c r="DJ9886" s="29"/>
    </row>
    <row r="9887" spans="114:114">
      <c r="DJ9887" s="29"/>
    </row>
    <row r="9888" spans="114:114">
      <c r="DJ9888" s="29"/>
    </row>
    <row r="9889" spans="114:114">
      <c r="DJ9889" s="29"/>
    </row>
    <row r="9890" spans="114:114">
      <c r="DJ9890" s="29"/>
    </row>
    <row r="9891" spans="114:114">
      <c r="DJ9891" s="29"/>
    </row>
    <row r="9892" spans="114:114">
      <c r="DJ9892" s="29"/>
    </row>
    <row r="9893" spans="114:114">
      <c r="DJ9893" s="29"/>
    </row>
    <row r="9894" spans="114:114">
      <c r="DJ9894" s="29"/>
    </row>
    <row r="9895" spans="114:114">
      <c r="DJ9895" s="29"/>
    </row>
    <row r="9896" spans="114:114">
      <c r="DJ9896" s="29"/>
    </row>
    <row r="9897" spans="114:114">
      <c r="DJ9897" s="29"/>
    </row>
    <row r="9898" spans="114:114">
      <c r="DJ9898" s="29"/>
    </row>
    <row r="9899" spans="114:114">
      <c r="DJ9899" s="29"/>
    </row>
    <row r="9900" spans="114:114">
      <c r="DJ9900" s="29"/>
    </row>
    <row r="9901" spans="114:114">
      <c r="DJ9901" s="29"/>
    </row>
    <row r="9902" spans="114:114">
      <c r="DJ9902" s="29"/>
    </row>
    <row r="9903" spans="114:114">
      <c r="DJ9903" s="29"/>
    </row>
    <row r="9904" spans="114:114">
      <c r="DJ9904" s="29"/>
    </row>
    <row r="9905" spans="114:114">
      <c r="DJ9905" s="29"/>
    </row>
    <row r="9906" spans="114:114">
      <c r="DJ9906" s="29"/>
    </row>
    <row r="9907" spans="114:114">
      <c r="DJ9907" s="29"/>
    </row>
    <row r="9908" spans="114:114">
      <c r="DJ9908" s="29"/>
    </row>
    <row r="9909" spans="114:114">
      <c r="DJ9909" s="29"/>
    </row>
    <row r="9910" spans="114:114">
      <c r="DJ9910" s="29"/>
    </row>
    <row r="9911" spans="114:114">
      <c r="DJ9911" s="29"/>
    </row>
    <row r="9912" spans="114:114">
      <c r="DJ9912" s="29"/>
    </row>
    <row r="9913" spans="114:114">
      <c r="DJ9913" s="29"/>
    </row>
    <row r="9914" spans="114:114">
      <c r="DJ9914" s="29"/>
    </row>
    <row r="9915" spans="114:114">
      <c r="DJ9915" s="29"/>
    </row>
    <row r="9916" spans="114:114">
      <c r="DJ9916" s="29"/>
    </row>
    <row r="9917" spans="114:114">
      <c r="DJ9917" s="29"/>
    </row>
    <row r="9918" spans="114:114">
      <c r="DJ9918" s="29"/>
    </row>
    <row r="9919" spans="114:114">
      <c r="DJ9919" s="29"/>
    </row>
    <row r="9920" spans="114:114">
      <c r="DJ9920" s="29"/>
    </row>
    <row r="9921" spans="114:114">
      <c r="DJ9921" s="29"/>
    </row>
    <row r="9922" spans="114:114">
      <c r="DJ9922" s="29"/>
    </row>
    <row r="9923" spans="114:114">
      <c r="DJ9923" s="29"/>
    </row>
    <row r="9924" spans="114:114">
      <c r="DJ9924" s="29"/>
    </row>
    <row r="9925" spans="114:114">
      <c r="DJ9925" s="29"/>
    </row>
    <row r="9926" spans="114:114">
      <c r="DJ9926" s="29"/>
    </row>
    <row r="9927" spans="114:114">
      <c r="DJ9927" s="29"/>
    </row>
    <row r="9928" spans="114:114">
      <c r="DJ9928" s="29"/>
    </row>
    <row r="9929" spans="114:114">
      <c r="DJ9929" s="29"/>
    </row>
    <row r="9930" spans="114:114">
      <c r="DJ9930" s="29"/>
    </row>
    <row r="9931" spans="114:114">
      <c r="DJ9931" s="29"/>
    </row>
    <row r="9932" spans="114:114">
      <c r="DJ9932" s="29"/>
    </row>
    <row r="9933" spans="114:114">
      <c r="DJ9933" s="29"/>
    </row>
    <row r="9934" spans="114:114">
      <c r="DJ9934" s="29"/>
    </row>
    <row r="9935" spans="114:114">
      <c r="DJ9935" s="29"/>
    </row>
    <row r="9936" spans="114:114">
      <c r="DJ9936" s="29"/>
    </row>
    <row r="9937" spans="114:114">
      <c r="DJ9937" s="29"/>
    </row>
    <row r="9938" spans="114:114">
      <c r="DJ9938" s="29"/>
    </row>
    <row r="9939" spans="114:114">
      <c r="DJ9939" s="29"/>
    </row>
    <row r="9940" spans="114:114">
      <c r="DJ9940" s="29"/>
    </row>
    <row r="9941" spans="114:114">
      <c r="DJ9941" s="29"/>
    </row>
    <row r="9942" spans="114:114">
      <c r="DJ9942" s="29"/>
    </row>
    <row r="9943" spans="114:114">
      <c r="DJ9943" s="29"/>
    </row>
    <row r="9944" spans="114:114">
      <c r="DJ9944" s="29"/>
    </row>
    <row r="9945" spans="114:114">
      <c r="DJ9945" s="29"/>
    </row>
    <row r="9946" spans="114:114">
      <c r="DJ9946" s="29"/>
    </row>
    <row r="9947" spans="114:114">
      <c r="DJ9947" s="29"/>
    </row>
    <row r="9948" spans="114:114">
      <c r="DJ9948" s="29"/>
    </row>
    <row r="9949" spans="114:114">
      <c r="DJ9949" s="29"/>
    </row>
    <row r="9950" spans="114:114">
      <c r="DJ9950" s="29"/>
    </row>
    <row r="9951" spans="114:114">
      <c r="DJ9951" s="29"/>
    </row>
    <row r="9952" spans="114:114">
      <c r="DJ9952" s="29"/>
    </row>
    <row r="9953" spans="114:114">
      <c r="DJ9953" s="29"/>
    </row>
    <row r="9954" spans="114:114">
      <c r="DJ9954" s="29"/>
    </row>
    <row r="9955" spans="114:114">
      <c r="DJ9955" s="29"/>
    </row>
    <row r="9956" spans="114:114">
      <c r="DJ9956" s="29"/>
    </row>
    <row r="9957" spans="114:114">
      <c r="DJ9957" s="29"/>
    </row>
    <row r="9958" spans="114:114">
      <c r="DJ9958" s="29"/>
    </row>
    <row r="9959" spans="114:114">
      <c r="DJ9959" s="29"/>
    </row>
    <row r="9960" spans="114:114">
      <c r="DJ9960" s="29"/>
    </row>
    <row r="9961" spans="114:114">
      <c r="DJ9961" s="29"/>
    </row>
    <row r="9962" spans="114:114">
      <c r="DJ9962" s="29"/>
    </row>
    <row r="9963" spans="114:114">
      <c r="DJ9963" s="29"/>
    </row>
    <row r="9964" spans="114:114">
      <c r="DJ9964" s="29"/>
    </row>
    <row r="9965" spans="114:114">
      <c r="DJ9965" s="29"/>
    </row>
    <row r="9966" spans="114:114">
      <c r="DJ9966" s="29"/>
    </row>
    <row r="9967" spans="114:114">
      <c r="DJ9967" s="29"/>
    </row>
    <row r="9968" spans="114:114">
      <c r="DJ9968" s="29"/>
    </row>
    <row r="9969" spans="114:114">
      <c r="DJ9969" s="29"/>
    </row>
    <row r="9970" spans="114:114">
      <c r="DJ9970" s="29"/>
    </row>
    <row r="9971" spans="114:114">
      <c r="DJ9971" s="29"/>
    </row>
    <row r="9972" spans="114:114">
      <c r="DJ9972" s="29"/>
    </row>
    <row r="9973" spans="114:114">
      <c r="DJ9973" s="29"/>
    </row>
    <row r="9974" spans="114:114">
      <c r="DJ9974" s="29"/>
    </row>
    <row r="9975" spans="114:114">
      <c r="DJ9975" s="29"/>
    </row>
    <row r="9976" spans="114:114">
      <c r="DJ9976" s="29"/>
    </row>
    <row r="9977" spans="114:114">
      <c r="DJ9977" s="29"/>
    </row>
    <row r="9978" spans="114:114">
      <c r="DJ9978" s="29"/>
    </row>
    <row r="9979" spans="114:114">
      <c r="DJ9979" s="29"/>
    </row>
    <row r="9980" spans="114:114">
      <c r="DJ9980" s="29"/>
    </row>
    <row r="9981" spans="114:114">
      <c r="DJ9981" s="29"/>
    </row>
    <row r="9982" spans="114:114">
      <c r="DJ9982" s="29"/>
    </row>
    <row r="9983" spans="114:114">
      <c r="DJ9983" s="29"/>
    </row>
    <row r="9984" spans="114:114">
      <c r="DJ9984" s="29"/>
    </row>
    <row r="9985" spans="114:114">
      <c r="DJ9985" s="29"/>
    </row>
    <row r="9986" spans="114:114">
      <c r="DJ9986" s="29"/>
    </row>
    <row r="9987" spans="114:114">
      <c r="DJ9987" s="29"/>
    </row>
    <row r="9988" spans="114:114">
      <c r="DJ9988" s="29"/>
    </row>
    <row r="9989" spans="114:114">
      <c r="DJ9989" s="29"/>
    </row>
    <row r="9990" spans="114:114">
      <c r="DJ9990" s="29"/>
    </row>
    <row r="9991" spans="114:114">
      <c r="DJ9991" s="29"/>
    </row>
    <row r="9992" spans="114:114">
      <c r="DJ9992" s="29"/>
    </row>
    <row r="9993" spans="114:114">
      <c r="DJ9993" s="29"/>
    </row>
    <row r="9994" spans="114:114">
      <c r="DJ9994" s="29"/>
    </row>
    <row r="9995" spans="114:114">
      <c r="DJ9995" s="29"/>
    </row>
    <row r="9996" spans="114:114">
      <c r="DJ9996" s="29"/>
    </row>
    <row r="9997" spans="114:114">
      <c r="DJ9997" s="29"/>
    </row>
    <row r="9998" spans="114:114">
      <c r="DJ9998" s="29"/>
    </row>
    <row r="9999" spans="114:114">
      <c r="DJ9999" s="29"/>
    </row>
    <row r="10000" spans="114:114">
      <c r="DJ10000" s="29"/>
    </row>
    <row r="10001" spans="114:114">
      <c r="DJ10001" s="29"/>
    </row>
    <row r="10002" spans="114:114">
      <c r="DJ10002" s="29"/>
    </row>
    <row r="10003" spans="114:114">
      <c r="DJ10003" s="29"/>
    </row>
    <row r="10004" spans="114:114">
      <c r="DJ10004" s="29"/>
    </row>
    <row r="10005" spans="114:114">
      <c r="DJ10005" s="29"/>
    </row>
    <row r="10006" spans="114:114">
      <c r="DJ10006" s="29"/>
    </row>
    <row r="10007" spans="114:114">
      <c r="DJ10007" s="29"/>
    </row>
    <row r="10008" spans="114:114">
      <c r="DJ10008" s="29"/>
    </row>
    <row r="10009" spans="114:114">
      <c r="DJ10009" s="29"/>
    </row>
    <row r="10010" spans="114:114">
      <c r="DJ10010" s="29"/>
    </row>
    <row r="10011" spans="114:114">
      <c r="DJ10011" s="29"/>
    </row>
    <row r="10012" spans="114:114">
      <c r="DJ10012" s="29"/>
    </row>
    <row r="10013" spans="114:114">
      <c r="DJ10013" s="29"/>
    </row>
    <row r="10014" spans="114:114">
      <c r="DJ10014" s="29"/>
    </row>
    <row r="10015" spans="114:114">
      <c r="DJ10015" s="29"/>
    </row>
    <row r="10016" spans="114:114">
      <c r="DJ10016" s="29"/>
    </row>
    <row r="10017" spans="114:114">
      <c r="DJ10017" s="29"/>
    </row>
    <row r="10018" spans="114:114">
      <c r="DJ10018" s="29"/>
    </row>
    <row r="10019" spans="114:114">
      <c r="DJ10019" s="29"/>
    </row>
    <row r="10020" spans="114:114">
      <c r="DJ10020" s="29"/>
    </row>
    <row r="10021" spans="114:114">
      <c r="DJ10021" s="29"/>
    </row>
    <row r="10022" spans="114:114">
      <c r="DJ10022" s="29"/>
    </row>
    <row r="10023" spans="114:114">
      <c r="DJ10023" s="29"/>
    </row>
    <row r="10024" spans="114:114">
      <c r="DJ10024" s="29"/>
    </row>
    <row r="10025" spans="114:114">
      <c r="DJ10025" s="29"/>
    </row>
    <row r="10026" spans="114:114">
      <c r="DJ10026" s="29"/>
    </row>
    <row r="10027" spans="114:114">
      <c r="DJ10027" s="29"/>
    </row>
    <row r="10028" spans="114:114">
      <c r="DJ10028" s="29"/>
    </row>
    <row r="10029" spans="114:114">
      <c r="DJ10029" s="29"/>
    </row>
    <row r="10030" spans="114:114">
      <c r="DJ10030" s="29"/>
    </row>
    <row r="10031" spans="114:114">
      <c r="DJ10031" s="29"/>
    </row>
    <row r="10032" spans="114:114">
      <c r="DJ10032" s="29"/>
    </row>
    <row r="10033" spans="114:114">
      <c r="DJ10033" s="29"/>
    </row>
    <row r="10034" spans="114:114">
      <c r="DJ10034" s="29"/>
    </row>
    <row r="10035" spans="114:114">
      <c r="DJ10035" s="29"/>
    </row>
    <row r="10036" spans="114:114">
      <c r="DJ10036" s="29"/>
    </row>
    <row r="10037" spans="114:114">
      <c r="DJ10037" s="29"/>
    </row>
    <row r="10038" spans="114:114">
      <c r="DJ10038" s="29"/>
    </row>
    <row r="10039" spans="114:114">
      <c r="DJ10039" s="29"/>
    </row>
    <row r="10040" spans="114:114">
      <c r="DJ10040" s="29"/>
    </row>
    <row r="10041" spans="114:114">
      <c r="DJ10041" s="29"/>
    </row>
    <row r="10042" spans="114:114">
      <c r="DJ10042" s="29"/>
    </row>
    <row r="10043" spans="114:114">
      <c r="DJ10043" s="29"/>
    </row>
    <row r="10044" spans="114:114">
      <c r="DJ10044" s="29"/>
    </row>
    <row r="10045" spans="114:114">
      <c r="DJ10045" s="29"/>
    </row>
    <row r="10046" spans="114:114">
      <c r="DJ10046" s="29"/>
    </row>
    <row r="10047" spans="114:114">
      <c r="DJ10047" s="29"/>
    </row>
    <row r="10048" spans="114:114">
      <c r="DJ10048" s="29"/>
    </row>
    <row r="10049" spans="114:114">
      <c r="DJ10049" s="29"/>
    </row>
    <row r="10050" spans="114:114">
      <c r="DJ10050" s="29"/>
    </row>
    <row r="10051" spans="114:114">
      <c r="DJ10051" s="29"/>
    </row>
    <row r="10052" spans="114:114">
      <c r="DJ10052" s="29"/>
    </row>
    <row r="10053" spans="114:114">
      <c r="DJ10053" s="29"/>
    </row>
    <row r="10054" spans="114:114">
      <c r="DJ10054" s="29"/>
    </row>
    <row r="10055" spans="114:114">
      <c r="DJ10055" s="29"/>
    </row>
    <row r="10056" spans="114:114">
      <c r="DJ10056" s="29"/>
    </row>
    <row r="10057" spans="114:114">
      <c r="DJ10057" s="29"/>
    </row>
    <row r="10058" spans="114:114">
      <c r="DJ10058" s="29"/>
    </row>
    <row r="10059" spans="114:114">
      <c r="DJ10059" s="29"/>
    </row>
    <row r="10060" spans="114:114">
      <c r="DJ10060" s="29"/>
    </row>
    <row r="10061" spans="114:114">
      <c r="DJ10061" s="29"/>
    </row>
    <row r="10062" spans="114:114">
      <c r="DJ10062" s="29"/>
    </row>
    <row r="10063" spans="114:114">
      <c r="DJ10063" s="29"/>
    </row>
    <row r="10064" spans="114:114">
      <c r="DJ10064" s="29"/>
    </row>
    <row r="10065" spans="114:114">
      <c r="DJ10065" s="29"/>
    </row>
    <row r="10066" spans="114:114">
      <c r="DJ10066" s="29"/>
    </row>
    <row r="10067" spans="114:114">
      <c r="DJ10067" s="29"/>
    </row>
    <row r="10068" spans="114:114">
      <c r="DJ10068" s="29"/>
    </row>
    <row r="10069" spans="114:114">
      <c r="DJ10069" s="29"/>
    </row>
    <row r="10070" spans="114:114">
      <c r="DJ10070" s="29"/>
    </row>
    <row r="10071" spans="114:114">
      <c r="DJ10071" s="29"/>
    </row>
    <row r="10072" spans="114:114">
      <c r="DJ10072" s="29"/>
    </row>
    <row r="10073" spans="114:114">
      <c r="DJ10073" s="29"/>
    </row>
    <row r="10074" spans="114:114">
      <c r="DJ10074" s="29"/>
    </row>
    <row r="10075" spans="114:114">
      <c r="DJ10075" s="29"/>
    </row>
    <row r="10076" spans="114:114">
      <c r="DJ10076" s="29"/>
    </row>
    <row r="10077" spans="114:114">
      <c r="DJ10077" s="29"/>
    </row>
    <row r="10078" spans="114:114">
      <c r="DJ10078" s="29"/>
    </row>
    <row r="10079" spans="114:114">
      <c r="DJ10079" s="29"/>
    </row>
    <row r="10080" spans="114:114">
      <c r="DJ10080" s="29"/>
    </row>
    <row r="10081" spans="114:114">
      <c r="DJ10081" s="29"/>
    </row>
    <row r="10082" spans="114:114">
      <c r="DJ10082" s="29"/>
    </row>
    <row r="10083" spans="114:114">
      <c r="DJ10083" s="29"/>
    </row>
    <row r="10084" spans="114:114">
      <c r="DJ10084" s="29"/>
    </row>
    <row r="10085" spans="114:114">
      <c r="DJ10085" s="29"/>
    </row>
    <row r="10086" spans="114:114">
      <c r="DJ10086" s="29"/>
    </row>
    <row r="10087" spans="114:114">
      <c r="DJ10087" s="29"/>
    </row>
    <row r="10088" spans="114:114">
      <c r="DJ10088" s="29"/>
    </row>
    <row r="10089" spans="114:114">
      <c r="DJ10089" s="29"/>
    </row>
    <row r="10090" spans="114:114">
      <c r="DJ10090" s="29"/>
    </row>
    <row r="10091" spans="114:114">
      <c r="DJ10091" s="29"/>
    </row>
    <row r="10092" spans="114:114">
      <c r="DJ10092" s="29"/>
    </row>
    <row r="10093" spans="114:114">
      <c r="DJ10093" s="29"/>
    </row>
    <row r="10094" spans="114:114">
      <c r="DJ10094" s="29"/>
    </row>
    <row r="10095" spans="114:114">
      <c r="DJ10095" s="29"/>
    </row>
    <row r="10096" spans="114:114">
      <c r="DJ10096" s="29"/>
    </row>
    <row r="10097" spans="114:114">
      <c r="DJ10097" s="29"/>
    </row>
    <row r="10098" spans="114:114">
      <c r="DJ10098" s="29"/>
    </row>
    <row r="10099" spans="114:114">
      <c r="DJ10099" s="29"/>
    </row>
    <row r="10100" spans="114:114">
      <c r="DJ10100" s="29"/>
    </row>
    <row r="10101" spans="114:114">
      <c r="DJ10101" s="29"/>
    </row>
    <row r="10102" spans="114:114">
      <c r="DJ10102" s="29"/>
    </row>
    <row r="10103" spans="114:114">
      <c r="DJ10103" s="29"/>
    </row>
    <row r="10104" spans="114:114">
      <c r="DJ10104" s="29"/>
    </row>
    <row r="10105" spans="114:114">
      <c r="DJ10105" s="29"/>
    </row>
    <row r="10106" spans="114:114">
      <c r="DJ10106" s="29"/>
    </row>
    <row r="10107" spans="114:114">
      <c r="DJ10107" s="29"/>
    </row>
    <row r="10108" spans="114:114">
      <c r="DJ10108" s="29"/>
    </row>
    <row r="10109" spans="114:114">
      <c r="DJ10109" s="29"/>
    </row>
    <row r="10110" spans="114:114">
      <c r="DJ10110" s="29"/>
    </row>
    <row r="10111" spans="114:114">
      <c r="DJ10111" s="29"/>
    </row>
    <row r="10112" spans="114:114">
      <c r="DJ10112" s="29"/>
    </row>
    <row r="10113" spans="114:114">
      <c r="DJ10113" s="29"/>
    </row>
    <row r="10114" spans="114:114">
      <c r="DJ10114" s="29"/>
    </row>
    <row r="10115" spans="114:114">
      <c r="DJ10115" s="29"/>
    </row>
    <row r="10116" spans="114:114">
      <c r="DJ10116" s="29"/>
    </row>
    <row r="10117" spans="114:114">
      <c r="DJ10117" s="29"/>
    </row>
    <row r="10118" spans="114:114">
      <c r="DJ10118" s="29"/>
    </row>
    <row r="10119" spans="114:114">
      <c r="DJ10119" s="29"/>
    </row>
    <row r="10120" spans="114:114">
      <c r="DJ10120" s="29"/>
    </row>
    <row r="10121" spans="114:114">
      <c r="DJ10121" s="29"/>
    </row>
    <row r="10122" spans="114:114">
      <c r="DJ10122" s="29"/>
    </row>
    <row r="10123" spans="114:114">
      <c r="DJ10123" s="29"/>
    </row>
    <row r="10124" spans="114:114">
      <c r="DJ10124" s="29"/>
    </row>
    <row r="10125" spans="114:114">
      <c r="DJ10125" s="29"/>
    </row>
    <row r="10126" spans="114:114">
      <c r="DJ10126" s="29"/>
    </row>
    <row r="10127" spans="114:114">
      <c r="DJ10127" s="29"/>
    </row>
    <row r="10128" spans="114:114">
      <c r="DJ10128" s="29"/>
    </row>
    <row r="10129" spans="114:114">
      <c r="DJ10129" s="29"/>
    </row>
    <row r="10130" spans="114:114">
      <c r="DJ10130" s="29"/>
    </row>
    <row r="10131" spans="114:114">
      <c r="DJ10131" s="29"/>
    </row>
    <row r="10132" spans="114:114">
      <c r="DJ10132" s="29"/>
    </row>
    <row r="10133" spans="114:114">
      <c r="DJ10133" s="29"/>
    </row>
    <row r="10134" spans="114:114">
      <c r="DJ10134" s="29"/>
    </row>
    <row r="10135" spans="114:114">
      <c r="DJ10135" s="29"/>
    </row>
    <row r="10136" spans="114:114">
      <c r="DJ10136" s="29"/>
    </row>
    <row r="10137" spans="114:114">
      <c r="DJ10137" s="29"/>
    </row>
    <row r="10138" spans="114:114">
      <c r="DJ10138" s="29"/>
    </row>
    <row r="10139" spans="114:114">
      <c r="DJ10139" s="29"/>
    </row>
    <row r="10140" spans="114:114">
      <c r="DJ10140" s="29"/>
    </row>
    <row r="10141" spans="114:114">
      <c r="DJ10141" s="29"/>
    </row>
    <row r="10142" spans="114:114">
      <c r="DJ10142" s="29"/>
    </row>
    <row r="10143" spans="114:114">
      <c r="DJ10143" s="29"/>
    </row>
    <row r="10144" spans="114:114">
      <c r="DJ10144" s="29"/>
    </row>
    <row r="10145" spans="114:114">
      <c r="DJ10145" s="29"/>
    </row>
    <row r="10146" spans="114:114">
      <c r="DJ10146" s="29"/>
    </row>
    <row r="10147" spans="114:114">
      <c r="DJ10147" s="29"/>
    </row>
    <row r="10148" spans="114:114">
      <c r="DJ10148" s="29"/>
    </row>
    <row r="10149" spans="114:114">
      <c r="DJ10149" s="29"/>
    </row>
    <row r="10150" spans="114:114">
      <c r="DJ10150" s="29"/>
    </row>
    <row r="10151" spans="114:114">
      <c r="DJ10151" s="29"/>
    </row>
    <row r="10152" spans="114:114">
      <c r="DJ10152" s="29"/>
    </row>
    <row r="10153" spans="114:114">
      <c r="DJ10153" s="29"/>
    </row>
    <row r="10154" spans="114:114">
      <c r="DJ10154" s="29"/>
    </row>
    <row r="10155" spans="114:114">
      <c r="DJ10155" s="29"/>
    </row>
    <row r="10156" spans="114:114">
      <c r="DJ10156" s="29"/>
    </row>
    <row r="10157" spans="114:114">
      <c r="DJ10157" s="29"/>
    </row>
    <row r="10158" spans="114:114">
      <c r="DJ10158" s="29"/>
    </row>
    <row r="10159" spans="114:114">
      <c r="DJ10159" s="29"/>
    </row>
    <row r="10160" spans="114:114">
      <c r="DJ10160" s="29"/>
    </row>
    <row r="10161" spans="114:114">
      <c r="DJ10161" s="29"/>
    </row>
    <row r="10162" spans="114:114">
      <c r="DJ10162" s="29"/>
    </row>
    <row r="10163" spans="114:114">
      <c r="DJ10163" s="29"/>
    </row>
    <row r="10164" spans="114:114">
      <c r="DJ10164" s="29"/>
    </row>
    <row r="10165" spans="114:114">
      <c r="DJ10165" s="29"/>
    </row>
    <row r="10166" spans="114:114">
      <c r="DJ10166" s="29"/>
    </row>
    <row r="10167" spans="114:114">
      <c r="DJ10167" s="29"/>
    </row>
    <row r="10168" spans="114:114">
      <c r="DJ10168" s="29"/>
    </row>
    <row r="10169" spans="114:114">
      <c r="DJ10169" s="29"/>
    </row>
    <row r="10170" spans="114:114">
      <c r="DJ10170" s="29"/>
    </row>
    <row r="10171" spans="114:114">
      <c r="DJ10171" s="29"/>
    </row>
    <row r="10172" spans="114:114">
      <c r="DJ10172" s="29"/>
    </row>
    <row r="10173" spans="114:114">
      <c r="DJ10173" s="29"/>
    </row>
    <row r="10174" spans="114:114">
      <c r="DJ10174" s="29"/>
    </row>
    <row r="10175" spans="114:114">
      <c r="DJ10175" s="29"/>
    </row>
    <row r="10176" spans="114:114">
      <c r="DJ10176" s="29"/>
    </row>
    <row r="10177" spans="114:114">
      <c r="DJ10177" s="29"/>
    </row>
    <row r="10178" spans="114:114">
      <c r="DJ10178" s="29"/>
    </row>
    <row r="10179" spans="114:114">
      <c r="DJ10179" s="29"/>
    </row>
    <row r="10180" spans="114:114">
      <c r="DJ10180" s="29"/>
    </row>
    <row r="10181" spans="114:114">
      <c r="DJ10181" s="29"/>
    </row>
    <row r="10182" spans="114:114">
      <c r="DJ10182" s="29"/>
    </row>
    <row r="10183" spans="114:114">
      <c r="DJ10183" s="29"/>
    </row>
    <row r="10184" spans="114:114">
      <c r="DJ10184" s="29"/>
    </row>
    <row r="10185" spans="114:114">
      <c r="DJ10185" s="29"/>
    </row>
    <row r="10186" spans="114:114">
      <c r="DJ10186" s="29"/>
    </row>
    <row r="10187" spans="114:114">
      <c r="DJ10187" s="29"/>
    </row>
    <row r="10188" spans="114:114">
      <c r="DJ10188" s="29"/>
    </row>
    <row r="10189" spans="114:114">
      <c r="DJ10189" s="29"/>
    </row>
    <row r="10190" spans="114:114">
      <c r="DJ10190" s="29"/>
    </row>
    <row r="10191" spans="114:114">
      <c r="DJ10191" s="29"/>
    </row>
    <row r="10192" spans="114:114">
      <c r="DJ10192" s="29"/>
    </row>
    <row r="10193" spans="114:114">
      <c r="DJ10193" s="29"/>
    </row>
    <row r="10194" spans="114:114">
      <c r="DJ10194" s="29"/>
    </row>
    <row r="10195" spans="114:114">
      <c r="DJ10195" s="29"/>
    </row>
    <row r="10196" spans="114:114">
      <c r="DJ10196" s="29"/>
    </row>
    <row r="10197" spans="114:114">
      <c r="DJ10197" s="29"/>
    </row>
    <row r="10198" spans="114:114">
      <c r="DJ10198" s="29"/>
    </row>
    <row r="10199" spans="114:114">
      <c r="DJ10199" s="29"/>
    </row>
    <row r="10200" spans="114:114">
      <c r="DJ10200" s="29"/>
    </row>
    <row r="10201" spans="114:114">
      <c r="DJ10201" s="29"/>
    </row>
    <row r="10202" spans="114:114">
      <c r="DJ10202" s="29"/>
    </row>
    <row r="10203" spans="114:114">
      <c r="DJ10203" s="29"/>
    </row>
    <row r="10204" spans="114:114">
      <c r="DJ10204" s="29"/>
    </row>
    <row r="10205" spans="114:114">
      <c r="DJ10205" s="29"/>
    </row>
    <row r="10206" spans="114:114">
      <c r="DJ10206" s="29"/>
    </row>
    <row r="10207" spans="114:114">
      <c r="DJ10207" s="29"/>
    </row>
    <row r="10208" spans="114:114">
      <c r="DJ10208" s="29"/>
    </row>
    <row r="10209" spans="114:114">
      <c r="DJ10209" s="29"/>
    </row>
    <row r="10210" spans="114:114">
      <c r="DJ10210" s="29"/>
    </row>
    <row r="10211" spans="114:114">
      <c r="DJ10211" s="29"/>
    </row>
    <row r="10212" spans="114:114">
      <c r="DJ10212" s="29"/>
    </row>
    <row r="10213" spans="114:114">
      <c r="DJ10213" s="29"/>
    </row>
    <row r="10214" spans="114:114">
      <c r="DJ10214" s="29"/>
    </row>
    <row r="10215" spans="114:114">
      <c r="DJ10215" s="29"/>
    </row>
    <row r="10216" spans="114:114">
      <c r="DJ10216" s="29"/>
    </row>
    <row r="10217" spans="114:114">
      <c r="DJ10217" s="29"/>
    </row>
    <row r="10218" spans="114:114">
      <c r="DJ10218" s="29"/>
    </row>
    <row r="10219" spans="114:114">
      <c r="DJ10219" s="29"/>
    </row>
    <row r="10220" spans="114:114">
      <c r="DJ10220" s="29"/>
    </row>
    <row r="10221" spans="114:114">
      <c r="DJ10221" s="29"/>
    </row>
    <row r="10222" spans="114:114">
      <c r="DJ10222" s="29"/>
    </row>
    <row r="10223" spans="114:114">
      <c r="DJ10223" s="29"/>
    </row>
    <row r="10224" spans="114:114">
      <c r="DJ10224" s="29"/>
    </row>
    <row r="10225" spans="114:114">
      <c r="DJ10225" s="29"/>
    </row>
    <row r="10226" spans="114:114">
      <c r="DJ10226" s="29"/>
    </row>
    <row r="10227" spans="114:114">
      <c r="DJ10227" s="29"/>
    </row>
    <row r="10228" spans="114:114">
      <c r="DJ10228" s="29"/>
    </row>
    <row r="10229" spans="114:114">
      <c r="DJ10229" s="29"/>
    </row>
    <row r="10230" spans="114:114">
      <c r="DJ10230" s="29"/>
    </row>
    <row r="10231" spans="114:114">
      <c r="DJ10231" s="29"/>
    </row>
    <row r="10232" spans="114:114">
      <c r="DJ10232" s="29"/>
    </row>
    <row r="10233" spans="114:114">
      <c r="DJ10233" s="29"/>
    </row>
    <row r="10234" spans="114:114">
      <c r="DJ10234" s="29"/>
    </row>
    <row r="10235" spans="114:114">
      <c r="DJ10235" s="29"/>
    </row>
    <row r="10236" spans="114:114">
      <c r="DJ10236" s="29"/>
    </row>
    <row r="10237" spans="114:114">
      <c r="DJ10237" s="29"/>
    </row>
    <row r="10238" spans="114:114">
      <c r="DJ10238" s="29"/>
    </row>
    <row r="10239" spans="114:114">
      <c r="DJ10239" s="29"/>
    </row>
    <row r="10240" spans="114:114">
      <c r="DJ10240" s="29"/>
    </row>
    <row r="10241" spans="114:114">
      <c r="DJ10241" s="29"/>
    </row>
    <row r="10242" spans="114:114">
      <c r="DJ10242" s="29"/>
    </row>
    <row r="10243" spans="114:114">
      <c r="DJ10243" s="29"/>
    </row>
    <row r="10244" spans="114:114">
      <c r="DJ10244" s="29"/>
    </row>
    <row r="10245" spans="114:114">
      <c r="DJ10245" s="29"/>
    </row>
    <row r="10246" spans="114:114">
      <c r="DJ10246" s="29"/>
    </row>
    <row r="10247" spans="114:114">
      <c r="DJ10247" s="29"/>
    </row>
    <row r="10248" spans="114:114">
      <c r="DJ10248" s="29"/>
    </row>
    <row r="10249" spans="114:114">
      <c r="DJ10249" s="29"/>
    </row>
    <row r="10250" spans="114:114">
      <c r="DJ10250" s="29"/>
    </row>
    <row r="10251" spans="114:114">
      <c r="DJ10251" s="29"/>
    </row>
    <row r="10252" spans="114:114">
      <c r="DJ10252" s="29"/>
    </row>
    <row r="10253" spans="114:114">
      <c r="DJ10253" s="29"/>
    </row>
    <row r="10254" spans="114:114">
      <c r="DJ10254" s="29"/>
    </row>
    <row r="10255" spans="114:114">
      <c r="DJ10255" s="29"/>
    </row>
    <row r="10256" spans="114:114">
      <c r="DJ10256" s="29"/>
    </row>
    <row r="10257" spans="114:114">
      <c r="DJ10257" s="29"/>
    </row>
    <row r="10258" spans="114:114">
      <c r="DJ10258" s="29"/>
    </row>
    <row r="10259" spans="114:114">
      <c r="DJ10259" s="29"/>
    </row>
    <row r="10260" spans="114:114">
      <c r="DJ10260" s="29"/>
    </row>
    <row r="10261" spans="114:114">
      <c r="DJ10261" s="29"/>
    </row>
    <row r="10262" spans="114:114">
      <c r="DJ10262" s="29"/>
    </row>
    <row r="10263" spans="114:114">
      <c r="DJ10263" s="29"/>
    </row>
    <row r="10264" spans="114:114">
      <c r="DJ10264" s="29"/>
    </row>
    <row r="10265" spans="114:114">
      <c r="DJ10265" s="29"/>
    </row>
    <row r="10266" spans="114:114">
      <c r="DJ10266" s="29"/>
    </row>
    <row r="10267" spans="114:114">
      <c r="DJ10267" s="29"/>
    </row>
    <row r="10268" spans="114:114">
      <c r="DJ10268" s="29"/>
    </row>
    <row r="10269" spans="114:114">
      <c r="DJ10269" s="29"/>
    </row>
    <row r="10270" spans="114:114">
      <c r="DJ10270" s="29"/>
    </row>
    <row r="10271" spans="114:114">
      <c r="DJ10271" s="29"/>
    </row>
    <row r="10272" spans="114:114">
      <c r="DJ10272" s="29"/>
    </row>
    <row r="10273" spans="114:114">
      <c r="DJ10273" s="29"/>
    </row>
    <row r="10274" spans="114:114">
      <c r="DJ10274" s="29"/>
    </row>
    <row r="10275" spans="114:114">
      <c r="DJ10275" s="29"/>
    </row>
    <row r="10276" spans="114:114">
      <c r="DJ10276" s="29"/>
    </row>
    <row r="10277" spans="114:114">
      <c r="DJ10277" s="29"/>
    </row>
    <row r="10278" spans="114:114">
      <c r="DJ10278" s="29"/>
    </row>
    <row r="10279" spans="114:114">
      <c r="DJ10279" s="29"/>
    </row>
    <row r="10280" spans="114:114">
      <c r="DJ10280" s="29"/>
    </row>
    <row r="10281" spans="114:114">
      <c r="DJ10281" s="29"/>
    </row>
    <row r="10282" spans="114:114">
      <c r="DJ10282" s="29"/>
    </row>
    <row r="10283" spans="114:114">
      <c r="DJ10283" s="29"/>
    </row>
    <row r="10284" spans="114:114">
      <c r="DJ10284" s="29"/>
    </row>
    <row r="10285" spans="114:114">
      <c r="DJ10285" s="29"/>
    </row>
    <row r="10286" spans="114:114">
      <c r="DJ10286" s="29"/>
    </row>
    <row r="10287" spans="114:114">
      <c r="DJ10287" s="29"/>
    </row>
    <row r="10288" spans="114:114">
      <c r="DJ10288" s="29"/>
    </row>
    <row r="10289" spans="114:114">
      <c r="DJ10289" s="29"/>
    </row>
    <row r="10290" spans="114:114">
      <c r="DJ10290" s="29"/>
    </row>
    <row r="10291" spans="114:114">
      <c r="DJ10291" s="29"/>
    </row>
    <row r="10292" spans="114:114">
      <c r="DJ10292" s="29"/>
    </row>
    <row r="10293" spans="114:114">
      <c r="DJ10293" s="29"/>
    </row>
    <row r="10294" spans="114:114">
      <c r="DJ10294" s="29"/>
    </row>
    <row r="10295" spans="114:114">
      <c r="DJ10295" s="29"/>
    </row>
    <row r="10296" spans="114:114">
      <c r="DJ10296" s="29"/>
    </row>
    <row r="10297" spans="114:114">
      <c r="DJ10297" s="29"/>
    </row>
    <row r="10298" spans="114:114">
      <c r="DJ10298" s="29"/>
    </row>
    <row r="10299" spans="114:114">
      <c r="DJ10299" s="29"/>
    </row>
    <row r="10300" spans="114:114">
      <c r="DJ10300" s="29"/>
    </row>
    <row r="10301" spans="114:114">
      <c r="DJ10301" s="29"/>
    </row>
    <row r="10302" spans="114:114">
      <c r="DJ10302" s="29"/>
    </row>
    <row r="10303" spans="114:114">
      <c r="DJ10303" s="29"/>
    </row>
    <row r="10304" spans="114:114">
      <c r="DJ10304" s="29"/>
    </row>
    <row r="10305" spans="114:114">
      <c r="DJ10305" s="29"/>
    </row>
    <row r="10306" spans="114:114">
      <c r="DJ10306" s="29"/>
    </row>
    <row r="10307" spans="114:114">
      <c r="DJ10307" s="29"/>
    </row>
    <row r="10308" spans="114:114">
      <c r="DJ10308" s="29"/>
    </row>
    <row r="10309" spans="114:114">
      <c r="DJ10309" s="29"/>
    </row>
    <row r="10310" spans="114:114">
      <c r="DJ10310" s="29"/>
    </row>
    <row r="10311" spans="114:114">
      <c r="DJ10311" s="29"/>
    </row>
    <row r="10312" spans="114:114">
      <c r="DJ10312" s="29"/>
    </row>
    <row r="10313" spans="114:114">
      <c r="DJ10313" s="29"/>
    </row>
    <row r="10314" spans="114:114">
      <c r="DJ10314" s="29"/>
    </row>
    <row r="10315" spans="114:114">
      <c r="DJ10315" s="29"/>
    </row>
    <row r="10316" spans="114:114">
      <c r="DJ10316" s="29"/>
    </row>
    <row r="10317" spans="114:114">
      <c r="DJ10317" s="29"/>
    </row>
    <row r="10318" spans="114:114">
      <c r="DJ10318" s="29"/>
    </row>
    <row r="10319" spans="114:114">
      <c r="DJ10319" s="29"/>
    </row>
    <row r="10320" spans="114:114">
      <c r="DJ10320" s="29"/>
    </row>
    <row r="10321" spans="114:114">
      <c r="DJ10321" s="29"/>
    </row>
    <row r="10322" spans="114:114">
      <c r="DJ10322" s="29"/>
    </row>
    <row r="10323" spans="114:114">
      <c r="DJ10323" s="29"/>
    </row>
    <row r="10324" spans="114:114">
      <c r="DJ10324" s="29"/>
    </row>
    <row r="10325" spans="114:114">
      <c r="DJ10325" s="29"/>
    </row>
    <row r="10326" spans="114:114">
      <c r="DJ10326" s="29"/>
    </row>
    <row r="10327" spans="114:114">
      <c r="DJ10327" s="29"/>
    </row>
    <row r="10328" spans="114:114">
      <c r="DJ10328" s="29"/>
    </row>
    <row r="10329" spans="114:114">
      <c r="DJ10329" s="29"/>
    </row>
    <row r="10330" spans="114:114">
      <c r="DJ10330" s="29"/>
    </row>
    <row r="10331" spans="114:114">
      <c r="DJ10331" s="29"/>
    </row>
    <row r="10332" spans="114:114">
      <c r="DJ10332" s="29"/>
    </row>
    <row r="10333" spans="114:114">
      <c r="DJ10333" s="29"/>
    </row>
    <row r="10334" spans="114:114">
      <c r="DJ10334" s="29"/>
    </row>
    <row r="10335" spans="114:114">
      <c r="DJ10335" s="29"/>
    </row>
    <row r="10336" spans="114:114">
      <c r="DJ10336" s="29"/>
    </row>
    <row r="10337" spans="114:114">
      <c r="DJ10337" s="29"/>
    </row>
    <row r="10338" spans="114:114">
      <c r="DJ10338" s="29"/>
    </row>
    <row r="10339" spans="114:114">
      <c r="DJ10339" s="29"/>
    </row>
    <row r="10340" spans="114:114">
      <c r="DJ10340" s="29"/>
    </row>
    <row r="10341" spans="114:114">
      <c r="DJ10341" s="29"/>
    </row>
    <row r="10342" spans="114:114">
      <c r="DJ10342" s="29"/>
    </row>
    <row r="10343" spans="114:114">
      <c r="DJ10343" s="29"/>
    </row>
    <row r="10344" spans="114:114">
      <c r="DJ10344" s="29"/>
    </row>
    <row r="10345" spans="114:114">
      <c r="DJ10345" s="29"/>
    </row>
    <row r="10346" spans="114:114">
      <c r="DJ10346" s="29"/>
    </row>
    <row r="10347" spans="114:114">
      <c r="DJ10347" s="29"/>
    </row>
    <row r="10348" spans="114:114">
      <c r="DJ10348" s="29"/>
    </row>
    <row r="10349" spans="114:114">
      <c r="DJ10349" s="29"/>
    </row>
    <row r="10350" spans="114:114">
      <c r="DJ10350" s="29"/>
    </row>
    <row r="10351" spans="114:114">
      <c r="DJ10351" s="29"/>
    </row>
    <row r="10352" spans="114:114">
      <c r="DJ10352" s="29"/>
    </row>
    <row r="10353" spans="114:114">
      <c r="DJ10353" s="29"/>
    </row>
    <row r="10354" spans="114:114">
      <c r="DJ10354" s="29"/>
    </row>
    <row r="10355" spans="114:114">
      <c r="DJ10355" s="29"/>
    </row>
    <row r="10356" spans="114:114">
      <c r="DJ10356" s="29"/>
    </row>
    <row r="10357" spans="114:114">
      <c r="DJ10357" s="29"/>
    </row>
    <row r="10358" spans="114:114">
      <c r="DJ10358" s="29"/>
    </row>
    <row r="10359" spans="114:114">
      <c r="DJ10359" s="29"/>
    </row>
    <row r="10360" spans="114:114">
      <c r="DJ10360" s="29"/>
    </row>
    <row r="10361" spans="114:114">
      <c r="DJ10361" s="29"/>
    </row>
    <row r="10362" spans="114:114">
      <c r="DJ10362" s="29"/>
    </row>
    <row r="10363" spans="114:114">
      <c r="DJ10363" s="29"/>
    </row>
    <row r="10364" spans="114:114">
      <c r="DJ10364" s="29"/>
    </row>
    <row r="10365" spans="114:114">
      <c r="DJ10365" s="29"/>
    </row>
    <row r="10366" spans="114:114">
      <c r="DJ10366" s="29"/>
    </row>
    <row r="10367" spans="114:114">
      <c r="DJ10367" s="29"/>
    </row>
    <row r="10368" spans="114:114">
      <c r="DJ10368" s="29"/>
    </row>
    <row r="10369" spans="114:114">
      <c r="DJ10369" s="29"/>
    </row>
    <row r="10370" spans="114:114">
      <c r="DJ10370" s="29"/>
    </row>
    <row r="10371" spans="114:114">
      <c r="DJ10371" s="29"/>
    </row>
    <row r="10372" spans="114:114">
      <c r="DJ10372" s="29"/>
    </row>
    <row r="10373" spans="114:114">
      <c r="DJ10373" s="29"/>
    </row>
    <row r="10374" spans="114:114">
      <c r="DJ10374" s="29"/>
    </row>
    <row r="10375" spans="114:114">
      <c r="DJ10375" s="29"/>
    </row>
    <row r="10376" spans="114:114">
      <c r="DJ10376" s="29"/>
    </row>
    <row r="10377" spans="114:114">
      <c r="DJ10377" s="29"/>
    </row>
    <row r="10378" spans="114:114">
      <c r="DJ10378" s="29"/>
    </row>
    <row r="10379" spans="114:114">
      <c r="DJ10379" s="29"/>
    </row>
    <row r="10380" spans="114:114">
      <c r="DJ10380" s="29"/>
    </row>
    <row r="10381" spans="114:114">
      <c r="DJ10381" s="29"/>
    </row>
    <row r="10382" spans="114:114">
      <c r="DJ10382" s="29"/>
    </row>
    <row r="10383" spans="114:114">
      <c r="DJ10383" s="29"/>
    </row>
    <row r="10384" spans="114:114">
      <c r="DJ10384" s="29"/>
    </row>
    <row r="10385" spans="114:114">
      <c r="DJ10385" s="29"/>
    </row>
    <row r="10386" spans="114:114">
      <c r="DJ10386" s="29"/>
    </row>
    <row r="10387" spans="114:114">
      <c r="DJ10387" s="29"/>
    </row>
    <row r="10388" spans="114:114">
      <c r="DJ10388" s="29"/>
    </row>
    <row r="10389" spans="114:114">
      <c r="DJ10389" s="29"/>
    </row>
    <row r="10390" spans="114:114">
      <c r="DJ10390" s="29"/>
    </row>
    <row r="10391" spans="114:114">
      <c r="DJ10391" s="29"/>
    </row>
    <row r="10392" spans="114:114">
      <c r="DJ10392" s="29"/>
    </row>
    <row r="10393" spans="114:114">
      <c r="DJ10393" s="29"/>
    </row>
    <row r="10394" spans="114:114">
      <c r="DJ10394" s="29"/>
    </row>
    <row r="10395" spans="114:114">
      <c r="DJ10395" s="29"/>
    </row>
    <row r="10396" spans="114:114">
      <c r="DJ10396" s="29"/>
    </row>
    <row r="10397" spans="114:114">
      <c r="DJ10397" s="29"/>
    </row>
    <row r="10398" spans="114:114">
      <c r="DJ10398" s="29"/>
    </row>
    <row r="10399" spans="114:114">
      <c r="DJ10399" s="29"/>
    </row>
    <row r="10400" spans="114:114">
      <c r="DJ10400" s="29"/>
    </row>
    <row r="10401" spans="114:114">
      <c r="DJ10401" s="29"/>
    </row>
    <row r="10402" spans="114:114">
      <c r="DJ10402" s="29"/>
    </row>
    <row r="10403" spans="114:114">
      <c r="DJ10403" s="29"/>
    </row>
    <row r="10404" spans="114:114">
      <c r="DJ10404" s="29"/>
    </row>
    <row r="10405" spans="114:114">
      <c r="DJ10405" s="29"/>
    </row>
    <row r="10406" spans="114:114">
      <c r="DJ10406" s="29"/>
    </row>
    <row r="10407" spans="114:114">
      <c r="DJ10407" s="29"/>
    </row>
    <row r="10408" spans="114:114">
      <c r="DJ10408" s="29"/>
    </row>
    <row r="10409" spans="114:114">
      <c r="DJ10409" s="29"/>
    </row>
    <row r="10410" spans="114:114">
      <c r="DJ10410" s="29"/>
    </row>
    <row r="10411" spans="114:114">
      <c r="DJ10411" s="29"/>
    </row>
    <row r="10412" spans="114:114">
      <c r="DJ10412" s="29"/>
    </row>
    <row r="10413" spans="114:114">
      <c r="DJ10413" s="29"/>
    </row>
    <row r="10414" spans="114:114">
      <c r="DJ10414" s="29"/>
    </row>
    <row r="10415" spans="114:114">
      <c r="DJ10415" s="29"/>
    </row>
    <row r="10416" spans="114:114">
      <c r="DJ10416" s="29"/>
    </row>
    <row r="10417" spans="114:114">
      <c r="DJ10417" s="29"/>
    </row>
    <row r="10418" spans="114:114">
      <c r="DJ10418" s="29"/>
    </row>
    <row r="10419" spans="114:114">
      <c r="DJ10419" s="29"/>
    </row>
    <row r="10420" spans="114:114">
      <c r="DJ10420" s="29"/>
    </row>
    <row r="10421" spans="114:114">
      <c r="DJ10421" s="29"/>
    </row>
    <row r="10422" spans="114:114">
      <c r="DJ10422" s="29"/>
    </row>
    <row r="10423" spans="114:114">
      <c r="DJ10423" s="29"/>
    </row>
    <row r="10424" spans="114:114">
      <c r="DJ10424" s="29"/>
    </row>
    <row r="10425" spans="114:114">
      <c r="DJ10425" s="29"/>
    </row>
    <row r="10426" spans="114:114">
      <c r="DJ10426" s="29"/>
    </row>
    <row r="10427" spans="114:114">
      <c r="DJ10427" s="29"/>
    </row>
    <row r="10428" spans="114:114">
      <c r="DJ10428" s="29"/>
    </row>
    <row r="10429" spans="114:114">
      <c r="DJ10429" s="29"/>
    </row>
    <row r="10430" spans="114:114">
      <c r="DJ10430" s="29"/>
    </row>
    <row r="10431" spans="114:114">
      <c r="DJ10431" s="29"/>
    </row>
    <row r="10432" spans="114:114">
      <c r="DJ10432" s="29"/>
    </row>
    <row r="10433" spans="114:114">
      <c r="DJ10433" s="29"/>
    </row>
    <row r="10434" spans="114:114">
      <c r="DJ10434" s="29"/>
    </row>
    <row r="10435" spans="114:114">
      <c r="DJ10435" s="29"/>
    </row>
    <row r="10436" spans="114:114">
      <c r="DJ10436" s="29"/>
    </row>
    <row r="10437" spans="114:114">
      <c r="DJ10437" s="29"/>
    </row>
    <row r="10438" spans="114:114">
      <c r="DJ10438" s="29"/>
    </row>
    <row r="10439" spans="114:114">
      <c r="DJ10439" s="29"/>
    </row>
    <row r="10440" spans="114:114">
      <c r="DJ10440" s="29"/>
    </row>
    <row r="10441" spans="114:114">
      <c r="DJ10441" s="29"/>
    </row>
    <row r="10442" spans="114:114">
      <c r="DJ10442" s="29"/>
    </row>
    <row r="10443" spans="114:114">
      <c r="DJ10443" s="29"/>
    </row>
    <row r="10444" spans="114:114">
      <c r="DJ10444" s="29"/>
    </row>
    <row r="10445" spans="114:114">
      <c r="DJ10445" s="29"/>
    </row>
    <row r="10446" spans="114:114">
      <c r="DJ10446" s="29"/>
    </row>
    <row r="10447" spans="114:114">
      <c r="DJ10447" s="29"/>
    </row>
    <row r="10448" spans="114:114">
      <c r="DJ10448" s="29"/>
    </row>
    <row r="10449" spans="114:114">
      <c r="DJ10449" s="29"/>
    </row>
    <row r="10450" spans="114:114">
      <c r="DJ10450" s="29"/>
    </row>
    <row r="10451" spans="114:114">
      <c r="DJ10451" s="29"/>
    </row>
    <row r="10452" spans="114:114">
      <c r="DJ10452" s="29"/>
    </row>
    <row r="10453" spans="114:114">
      <c r="DJ10453" s="29"/>
    </row>
    <row r="10454" spans="114:114">
      <c r="DJ10454" s="29"/>
    </row>
    <row r="10455" spans="114:114">
      <c r="DJ10455" s="29"/>
    </row>
    <row r="10456" spans="114:114">
      <c r="DJ10456" s="29"/>
    </row>
    <row r="10457" spans="114:114">
      <c r="DJ10457" s="29"/>
    </row>
    <row r="10458" spans="114:114">
      <c r="DJ10458" s="29"/>
    </row>
    <row r="10459" spans="114:114">
      <c r="DJ10459" s="29"/>
    </row>
    <row r="10460" spans="114:114">
      <c r="DJ10460" s="29"/>
    </row>
    <row r="10461" spans="114:114">
      <c r="DJ10461" s="29"/>
    </row>
    <row r="10462" spans="114:114">
      <c r="DJ10462" s="29"/>
    </row>
    <row r="10463" spans="114:114">
      <c r="DJ10463" s="29"/>
    </row>
    <row r="10464" spans="114:114">
      <c r="DJ10464" s="29"/>
    </row>
    <row r="10465" spans="114:114">
      <c r="DJ10465" s="29"/>
    </row>
    <row r="10466" spans="114:114">
      <c r="DJ10466" s="29"/>
    </row>
    <row r="10467" spans="114:114">
      <c r="DJ10467" s="29"/>
    </row>
    <row r="10468" spans="114:114">
      <c r="DJ10468" s="29"/>
    </row>
    <row r="10469" spans="114:114">
      <c r="DJ10469" s="29"/>
    </row>
    <row r="10470" spans="114:114">
      <c r="DJ10470" s="29"/>
    </row>
    <row r="10471" spans="114:114">
      <c r="DJ10471" s="29"/>
    </row>
    <row r="10472" spans="114:114">
      <c r="DJ10472" s="29"/>
    </row>
    <row r="10473" spans="114:114">
      <c r="DJ10473" s="29"/>
    </row>
    <row r="10474" spans="114:114">
      <c r="DJ10474" s="29"/>
    </row>
    <row r="10475" spans="114:114">
      <c r="DJ10475" s="29"/>
    </row>
    <row r="10476" spans="114:114">
      <c r="DJ10476" s="29"/>
    </row>
    <row r="10477" spans="114:114">
      <c r="DJ10477" s="29"/>
    </row>
    <row r="10478" spans="114:114">
      <c r="DJ10478" s="29"/>
    </row>
    <row r="10479" spans="114:114">
      <c r="DJ10479" s="29"/>
    </row>
    <row r="10480" spans="114:114">
      <c r="DJ10480" s="29"/>
    </row>
    <row r="10481" spans="114:114">
      <c r="DJ10481" s="29"/>
    </row>
    <row r="10482" spans="114:114">
      <c r="DJ10482" s="29"/>
    </row>
    <row r="10483" spans="114:114">
      <c r="DJ10483" s="29"/>
    </row>
    <row r="10484" spans="114:114">
      <c r="DJ10484" s="29"/>
    </row>
    <row r="10485" spans="114:114">
      <c r="DJ10485" s="29"/>
    </row>
    <row r="10486" spans="114:114">
      <c r="DJ10486" s="29"/>
    </row>
    <row r="10487" spans="114:114">
      <c r="DJ10487" s="29"/>
    </row>
    <row r="10488" spans="114:114">
      <c r="DJ10488" s="29"/>
    </row>
    <row r="10489" spans="114:114">
      <c r="DJ10489" s="29"/>
    </row>
    <row r="10490" spans="114:114">
      <c r="DJ10490" s="29"/>
    </row>
    <row r="10491" spans="114:114">
      <c r="DJ10491" s="29"/>
    </row>
    <row r="10492" spans="114:114">
      <c r="DJ10492" s="29"/>
    </row>
    <row r="10493" spans="114:114">
      <c r="DJ10493" s="29"/>
    </row>
    <row r="10494" spans="114:114">
      <c r="DJ10494" s="29"/>
    </row>
    <row r="10495" spans="114:114">
      <c r="DJ10495" s="29"/>
    </row>
    <row r="10496" spans="114:114">
      <c r="DJ10496" s="29"/>
    </row>
    <row r="10497" spans="114:114">
      <c r="DJ10497" s="29"/>
    </row>
    <row r="10498" spans="114:114">
      <c r="DJ10498" s="29"/>
    </row>
    <row r="10499" spans="114:114">
      <c r="DJ10499" s="29"/>
    </row>
    <row r="10500" spans="114:114">
      <c r="DJ10500" s="29"/>
    </row>
    <row r="10501" spans="114:114">
      <c r="DJ10501" s="29"/>
    </row>
    <row r="10502" spans="114:114">
      <c r="DJ10502" s="29"/>
    </row>
    <row r="10503" spans="114:114">
      <c r="DJ10503" s="29"/>
    </row>
    <row r="10504" spans="114:114">
      <c r="DJ10504" s="29"/>
    </row>
    <row r="10505" spans="114:114">
      <c r="DJ10505" s="29"/>
    </row>
    <row r="10506" spans="114:114">
      <c r="DJ10506" s="29"/>
    </row>
    <row r="10507" spans="114:114">
      <c r="DJ10507" s="29"/>
    </row>
    <row r="10508" spans="114:114">
      <c r="DJ10508" s="29"/>
    </row>
    <row r="10509" spans="114:114">
      <c r="DJ10509" s="29"/>
    </row>
    <row r="10510" spans="114:114">
      <c r="DJ10510" s="29"/>
    </row>
    <row r="10511" spans="114:114">
      <c r="DJ10511" s="29"/>
    </row>
    <row r="10512" spans="114:114">
      <c r="DJ10512" s="29"/>
    </row>
    <row r="10513" spans="114:114">
      <c r="DJ10513" s="29"/>
    </row>
    <row r="10514" spans="114:114">
      <c r="DJ10514" s="29"/>
    </row>
    <row r="10515" spans="114:114">
      <c r="DJ10515" s="29"/>
    </row>
    <row r="10516" spans="114:114">
      <c r="DJ10516" s="29"/>
    </row>
    <row r="10517" spans="114:114">
      <c r="DJ10517" s="29"/>
    </row>
    <row r="10518" spans="114:114">
      <c r="DJ10518" s="29"/>
    </row>
    <row r="10519" spans="114:114">
      <c r="DJ10519" s="29"/>
    </row>
    <row r="10520" spans="114:114">
      <c r="DJ10520" s="29"/>
    </row>
    <row r="10521" spans="114:114">
      <c r="DJ10521" s="29"/>
    </row>
    <row r="10522" spans="114:114">
      <c r="DJ10522" s="29"/>
    </row>
    <row r="10523" spans="114:114">
      <c r="DJ10523" s="29"/>
    </row>
    <row r="10524" spans="114:114">
      <c r="DJ10524" s="29"/>
    </row>
    <row r="10525" spans="114:114">
      <c r="DJ10525" s="29"/>
    </row>
    <row r="10526" spans="114:114">
      <c r="DJ10526" s="29"/>
    </row>
    <row r="10527" spans="114:114">
      <c r="DJ10527" s="29"/>
    </row>
    <row r="10528" spans="114:114">
      <c r="DJ10528" s="29"/>
    </row>
    <row r="10529" spans="114:114">
      <c r="DJ10529" s="29"/>
    </row>
    <row r="10530" spans="114:114">
      <c r="DJ10530" s="29"/>
    </row>
    <row r="10531" spans="114:114">
      <c r="DJ10531" s="29"/>
    </row>
    <row r="10532" spans="114:114">
      <c r="DJ10532" s="29"/>
    </row>
    <row r="10533" spans="114:114">
      <c r="DJ10533" s="29"/>
    </row>
    <row r="10534" spans="114:114">
      <c r="DJ10534" s="29"/>
    </row>
    <row r="10535" spans="114:114">
      <c r="DJ10535" s="29"/>
    </row>
    <row r="10536" spans="114:114">
      <c r="DJ10536" s="29"/>
    </row>
    <row r="10537" spans="114:114">
      <c r="DJ10537" s="29"/>
    </row>
    <row r="10538" spans="114:114">
      <c r="DJ10538" s="29"/>
    </row>
    <row r="10539" spans="114:114">
      <c r="DJ10539" s="29"/>
    </row>
    <row r="10540" spans="114:114">
      <c r="DJ10540" s="29"/>
    </row>
    <row r="10541" spans="114:114">
      <c r="DJ10541" s="29"/>
    </row>
    <row r="10542" spans="114:114">
      <c r="DJ10542" s="29"/>
    </row>
    <row r="10543" spans="114:114">
      <c r="DJ10543" s="29"/>
    </row>
    <row r="10544" spans="114:114">
      <c r="DJ10544" s="29"/>
    </row>
    <row r="10545" spans="114:114">
      <c r="DJ10545" s="29"/>
    </row>
    <row r="10546" spans="114:114">
      <c r="DJ10546" s="29"/>
    </row>
    <row r="10547" spans="114:114">
      <c r="DJ10547" s="29"/>
    </row>
    <row r="10548" spans="114:114">
      <c r="DJ10548" s="29"/>
    </row>
    <row r="10549" spans="114:114">
      <c r="DJ10549" s="29"/>
    </row>
    <row r="10550" spans="114:114">
      <c r="DJ10550" s="29"/>
    </row>
    <row r="10551" spans="114:114">
      <c r="DJ10551" s="29"/>
    </row>
    <row r="10552" spans="114:114">
      <c r="DJ10552" s="29"/>
    </row>
    <row r="10553" spans="114:114">
      <c r="DJ10553" s="29"/>
    </row>
    <row r="10554" spans="114:114">
      <c r="DJ10554" s="29"/>
    </row>
    <row r="10555" spans="114:114">
      <c r="DJ10555" s="29"/>
    </row>
    <row r="10556" spans="114:114">
      <c r="DJ10556" s="29"/>
    </row>
    <row r="10557" spans="114:114">
      <c r="DJ10557" s="29"/>
    </row>
    <row r="10558" spans="114:114">
      <c r="DJ10558" s="29"/>
    </row>
    <row r="10559" spans="114:114">
      <c r="DJ10559" s="29"/>
    </row>
    <row r="10560" spans="114:114">
      <c r="DJ10560" s="29"/>
    </row>
    <row r="10561" spans="114:114">
      <c r="DJ10561" s="29"/>
    </row>
    <row r="10562" spans="114:114">
      <c r="DJ10562" s="29"/>
    </row>
    <row r="10563" spans="114:114">
      <c r="DJ10563" s="29"/>
    </row>
    <row r="10564" spans="114:114">
      <c r="DJ10564" s="29"/>
    </row>
    <row r="10565" spans="114:114">
      <c r="DJ10565" s="29"/>
    </row>
    <row r="10566" spans="114:114">
      <c r="DJ10566" s="29"/>
    </row>
    <row r="10567" spans="114:114">
      <c r="DJ10567" s="29"/>
    </row>
    <row r="10568" spans="114:114">
      <c r="DJ10568" s="29"/>
    </row>
    <row r="10569" spans="114:114">
      <c r="DJ10569" s="29"/>
    </row>
    <row r="10570" spans="114:114">
      <c r="DJ10570" s="29"/>
    </row>
    <row r="10571" spans="114:114">
      <c r="DJ10571" s="29"/>
    </row>
    <row r="10572" spans="114:114">
      <c r="DJ10572" s="29"/>
    </row>
    <row r="10573" spans="114:114">
      <c r="DJ10573" s="29"/>
    </row>
    <row r="10574" spans="114:114">
      <c r="DJ10574" s="29"/>
    </row>
    <row r="10575" spans="114:114">
      <c r="DJ10575" s="29"/>
    </row>
    <row r="10576" spans="114:114">
      <c r="DJ10576" s="29"/>
    </row>
    <row r="10577" spans="114:114">
      <c r="DJ10577" s="29"/>
    </row>
    <row r="10578" spans="114:114">
      <c r="DJ10578" s="29"/>
    </row>
    <row r="10579" spans="114:114">
      <c r="DJ10579" s="29"/>
    </row>
    <row r="10580" spans="114:114">
      <c r="DJ10580" s="29"/>
    </row>
    <row r="10581" spans="114:114">
      <c r="DJ10581" s="29"/>
    </row>
    <row r="10582" spans="114:114">
      <c r="DJ10582" s="29"/>
    </row>
    <row r="10583" spans="114:114">
      <c r="DJ10583" s="29"/>
    </row>
    <row r="10584" spans="114:114">
      <c r="DJ10584" s="29"/>
    </row>
    <row r="10585" spans="114:114">
      <c r="DJ10585" s="29"/>
    </row>
    <row r="10586" spans="114:114">
      <c r="DJ10586" s="29"/>
    </row>
    <row r="10587" spans="114:114">
      <c r="DJ10587" s="29"/>
    </row>
    <row r="10588" spans="114:114">
      <c r="DJ10588" s="29"/>
    </row>
    <row r="10589" spans="114:114">
      <c r="DJ10589" s="29"/>
    </row>
    <row r="10590" spans="114:114">
      <c r="DJ10590" s="29"/>
    </row>
    <row r="10591" spans="114:114">
      <c r="DJ10591" s="29"/>
    </row>
    <row r="10592" spans="114:114">
      <c r="DJ10592" s="29"/>
    </row>
    <row r="10593" spans="114:114">
      <c r="DJ10593" s="29"/>
    </row>
    <row r="10594" spans="114:114">
      <c r="DJ10594" s="29"/>
    </row>
    <row r="10595" spans="114:114">
      <c r="DJ10595" s="29"/>
    </row>
    <row r="10596" spans="114:114">
      <c r="DJ10596" s="29"/>
    </row>
    <row r="10597" spans="114:114">
      <c r="DJ10597" s="29"/>
    </row>
    <row r="10598" spans="114:114">
      <c r="DJ10598" s="29"/>
    </row>
    <row r="10599" spans="114:114">
      <c r="DJ10599" s="29"/>
    </row>
    <row r="10600" spans="114:114">
      <c r="DJ10600" s="29"/>
    </row>
    <row r="10601" spans="114:114">
      <c r="DJ10601" s="29"/>
    </row>
    <row r="10602" spans="114:114">
      <c r="DJ10602" s="29"/>
    </row>
    <row r="10603" spans="114:114">
      <c r="DJ10603" s="29"/>
    </row>
    <row r="10604" spans="114:114">
      <c r="DJ10604" s="29"/>
    </row>
    <row r="10605" spans="114:114">
      <c r="DJ10605" s="29"/>
    </row>
    <row r="10606" spans="114:114">
      <c r="DJ10606" s="29"/>
    </row>
    <row r="10607" spans="114:114">
      <c r="DJ10607" s="29"/>
    </row>
    <row r="10608" spans="114:114">
      <c r="DJ10608" s="29"/>
    </row>
    <row r="10609" spans="114:114">
      <c r="DJ10609" s="29"/>
    </row>
    <row r="10610" spans="114:114">
      <c r="DJ10610" s="29"/>
    </row>
    <row r="10611" spans="114:114">
      <c r="DJ10611" s="29"/>
    </row>
    <row r="10612" spans="114:114">
      <c r="DJ10612" s="29"/>
    </row>
    <row r="10613" spans="114:114">
      <c r="DJ10613" s="29"/>
    </row>
    <row r="10614" spans="114:114">
      <c r="DJ10614" s="29"/>
    </row>
    <row r="10615" spans="114:114">
      <c r="DJ10615" s="29"/>
    </row>
    <row r="10616" spans="114:114">
      <c r="DJ10616" s="29"/>
    </row>
    <row r="10617" spans="114:114">
      <c r="DJ10617" s="29"/>
    </row>
    <row r="10618" spans="114:114">
      <c r="DJ10618" s="29"/>
    </row>
    <row r="10619" spans="114:114">
      <c r="DJ10619" s="29"/>
    </row>
    <row r="10620" spans="114:114">
      <c r="DJ10620" s="29"/>
    </row>
    <row r="10621" spans="114:114">
      <c r="DJ10621" s="29"/>
    </row>
    <row r="10622" spans="114:114">
      <c r="DJ10622" s="29"/>
    </row>
    <row r="10623" spans="114:114">
      <c r="DJ10623" s="29"/>
    </row>
    <row r="10624" spans="114:114">
      <c r="DJ10624" s="29"/>
    </row>
    <row r="10625" spans="114:114">
      <c r="DJ10625" s="29"/>
    </row>
    <row r="10626" spans="114:114">
      <c r="DJ10626" s="29"/>
    </row>
    <row r="10627" spans="114:114">
      <c r="DJ10627" s="29"/>
    </row>
    <row r="10628" spans="114:114">
      <c r="DJ10628" s="29"/>
    </row>
    <row r="10629" spans="114:114">
      <c r="DJ10629" s="29"/>
    </row>
    <row r="10630" spans="114:114">
      <c r="DJ10630" s="29"/>
    </row>
    <row r="10631" spans="114:114">
      <c r="DJ10631" s="29"/>
    </row>
    <row r="10632" spans="114:114">
      <c r="DJ10632" s="29"/>
    </row>
    <row r="10633" spans="114:114">
      <c r="DJ10633" s="29"/>
    </row>
    <row r="10634" spans="114:114">
      <c r="DJ10634" s="29"/>
    </row>
    <row r="10635" spans="114:114">
      <c r="DJ10635" s="29"/>
    </row>
    <row r="10636" spans="114:114">
      <c r="DJ10636" s="29"/>
    </row>
    <row r="10637" spans="114:114">
      <c r="DJ10637" s="29"/>
    </row>
    <row r="10638" spans="114:114">
      <c r="DJ10638" s="29"/>
    </row>
    <row r="10639" spans="114:114">
      <c r="DJ10639" s="29"/>
    </row>
    <row r="10640" spans="114:114">
      <c r="DJ10640" s="29"/>
    </row>
    <row r="10641" spans="114:114">
      <c r="DJ10641" s="29"/>
    </row>
    <row r="10642" spans="114:114">
      <c r="DJ10642" s="29"/>
    </row>
    <row r="10643" spans="114:114">
      <c r="DJ10643" s="29"/>
    </row>
    <row r="10644" spans="114:114">
      <c r="DJ10644" s="29"/>
    </row>
    <row r="10645" spans="114:114">
      <c r="DJ10645" s="29"/>
    </row>
    <row r="10646" spans="114:114">
      <c r="DJ10646" s="29"/>
    </row>
    <row r="10647" spans="114:114">
      <c r="DJ10647" s="29"/>
    </row>
    <row r="10648" spans="114:114">
      <c r="DJ10648" s="29"/>
    </row>
    <row r="10649" spans="114:114">
      <c r="DJ10649" s="29"/>
    </row>
    <row r="10650" spans="114:114">
      <c r="DJ10650" s="29"/>
    </row>
    <row r="10651" spans="114:114">
      <c r="DJ10651" s="29"/>
    </row>
    <row r="10652" spans="114:114">
      <c r="DJ10652" s="29"/>
    </row>
    <row r="10653" spans="114:114">
      <c r="DJ10653" s="29"/>
    </row>
    <row r="10654" spans="114:114">
      <c r="DJ10654" s="29"/>
    </row>
    <row r="10655" spans="114:114">
      <c r="DJ10655" s="29"/>
    </row>
    <row r="10656" spans="114:114">
      <c r="DJ10656" s="29"/>
    </row>
    <row r="10657" spans="114:114">
      <c r="DJ10657" s="29"/>
    </row>
    <row r="10658" spans="114:114">
      <c r="DJ10658" s="29"/>
    </row>
    <row r="10659" spans="114:114">
      <c r="DJ10659" s="29"/>
    </row>
    <row r="10660" spans="114:114">
      <c r="DJ10660" s="29"/>
    </row>
    <row r="10661" spans="114:114">
      <c r="DJ10661" s="29"/>
    </row>
    <row r="10662" spans="114:114">
      <c r="DJ10662" s="29"/>
    </row>
    <row r="10663" spans="114:114">
      <c r="DJ10663" s="29"/>
    </row>
    <row r="10664" spans="114:114">
      <c r="DJ10664" s="29"/>
    </row>
    <row r="10665" spans="114:114">
      <c r="DJ10665" s="29"/>
    </row>
    <row r="10666" spans="114:114">
      <c r="DJ10666" s="29"/>
    </row>
    <row r="10667" spans="114:114">
      <c r="DJ10667" s="29"/>
    </row>
    <row r="10668" spans="114:114">
      <c r="DJ10668" s="29"/>
    </row>
    <row r="10669" spans="114:114">
      <c r="DJ10669" s="29"/>
    </row>
    <row r="10670" spans="114:114">
      <c r="DJ10670" s="29"/>
    </row>
    <row r="10671" spans="114:114">
      <c r="DJ10671" s="29"/>
    </row>
    <row r="10672" spans="114:114">
      <c r="DJ10672" s="29"/>
    </row>
    <row r="10673" spans="114:114">
      <c r="DJ10673" s="29"/>
    </row>
    <row r="10674" spans="114:114">
      <c r="DJ10674" s="29"/>
    </row>
    <row r="10675" spans="114:114">
      <c r="DJ10675" s="29"/>
    </row>
    <row r="10676" spans="114:114">
      <c r="DJ10676" s="29"/>
    </row>
    <row r="10677" spans="114:114">
      <c r="DJ10677" s="29"/>
    </row>
    <row r="10678" spans="114:114">
      <c r="DJ10678" s="29"/>
    </row>
    <row r="10679" spans="114:114">
      <c r="DJ10679" s="29"/>
    </row>
    <row r="10680" spans="114:114">
      <c r="DJ10680" s="29"/>
    </row>
    <row r="10681" spans="114:114">
      <c r="DJ10681" s="29"/>
    </row>
    <row r="10682" spans="114:114">
      <c r="DJ10682" s="29"/>
    </row>
    <row r="10683" spans="114:114">
      <c r="DJ10683" s="29"/>
    </row>
    <row r="10684" spans="114:114">
      <c r="DJ10684" s="29"/>
    </row>
    <row r="10685" spans="114:114">
      <c r="DJ10685" s="29"/>
    </row>
    <row r="10686" spans="114:114">
      <c r="DJ10686" s="29"/>
    </row>
    <row r="10687" spans="114:114">
      <c r="DJ10687" s="29"/>
    </row>
    <row r="10688" spans="114:114">
      <c r="DJ10688" s="29"/>
    </row>
    <row r="10689" spans="114:114">
      <c r="DJ10689" s="29"/>
    </row>
    <row r="10690" spans="114:114">
      <c r="DJ10690" s="29"/>
    </row>
    <row r="10691" spans="114:114">
      <c r="DJ10691" s="29"/>
    </row>
    <row r="10692" spans="114:114">
      <c r="DJ10692" s="29"/>
    </row>
    <row r="10693" spans="114:114">
      <c r="DJ10693" s="29"/>
    </row>
    <row r="10694" spans="114:114">
      <c r="DJ10694" s="29"/>
    </row>
    <row r="10695" spans="114:114">
      <c r="DJ10695" s="29"/>
    </row>
    <row r="10696" spans="114:114">
      <c r="DJ10696" s="29"/>
    </row>
    <row r="10697" spans="114:114">
      <c r="DJ10697" s="29"/>
    </row>
    <row r="10698" spans="114:114">
      <c r="DJ10698" s="29"/>
    </row>
    <row r="10699" spans="114:114">
      <c r="DJ10699" s="29"/>
    </row>
    <row r="10700" spans="114:114">
      <c r="DJ10700" s="29"/>
    </row>
    <row r="10701" spans="114:114">
      <c r="DJ10701" s="29"/>
    </row>
    <row r="10702" spans="114:114">
      <c r="DJ10702" s="29"/>
    </row>
    <row r="10703" spans="114:114">
      <c r="DJ10703" s="29"/>
    </row>
    <row r="10704" spans="114:114">
      <c r="DJ10704" s="29"/>
    </row>
    <row r="10705" spans="114:114">
      <c r="DJ10705" s="29"/>
    </row>
    <row r="10706" spans="114:114">
      <c r="DJ10706" s="29"/>
    </row>
    <row r="10707" spans="114:114">
      <c r="DJ10707" s="29"/>
    </row>
    <row r="10708" spans="114:114">
      <c r="DJ10708" s="29"/>
    </row>
    <row r="10709" spans="114:114">
      <c r="DJ10709" s="29"/>
    </row>
    <row r="10710" spans="114:114">
      <c r="DJ10710" s="29"/>
    </row>
    <row r="10711" spans="114:114">
      <c r="DJ10711" s="29"/>
    </row>
    <row r="10712" spans="114:114">
      <c r="DJ10712" s="29"/>
    </row>
    <row r="10713" spans="114:114">
      <c r="DJ10713" s="29"/>
    </row>
    <row r="10714" spans="114:114">
      <c r="DJ10714" s="29"/>
    </row>
    <row r="10715" spans="114:114">
      <c r="DJ10715" s="29"/>
    </row>
    <row r="10716" spans="114:114">
      <c r="DJ10716" s="29"/>
    </row>
    <row r="10717" spans="114:114">
      <c r="DJ10717" s="29"/>
    </row>
    <row r="10718" spans="114:114">
      <c r="DJ10718" s="29"/>
    </row>
    <row r="10719" spans="114:114">
      <c r="DJ10719" s="29"/>
    </row>
    <row r="10720" spans="114:114">
      <c r="DJ10720" s="29"/>
    </row>
    <row r="10721" spans="114:114">
      <c r="DJ10721" s="29"/>
    </row>
    <row r="10722" spans="114:114">
      <c r="DJ10722" s="29"/>
    </row>
    <row r="10723" spans="114:114">
      <c r="DJ10723" s="29"/>
    </row>
    <row r="10724" spans="114:114">
      <c r="DJ10724" s="29"/>
    </row>
    <row r="10725" spans="114:114">
      <c r="DJ10725" s="29"/>
    </row>
    <row r="10726" spans="114:114">
      <c r="DJ10726" s="29"/>
    </row>
    <row r="10727" spans="114:114">
      <c r="DJ10727" s="29"/>
    </row>
    <row r="10728" spans="114:114">
      <c r="DJ10728" s="29"/>
    </row>
    <row r="10729" spans="114:114">
      <c r="DJ10729" s="29"/>
    </row>
    <row r="10730" spans="114:114">
      <c r="DJ10730" s="29"/>
    </row>
    <row r="10731" spans="114:114">
      <c r="DJ10731" s="29"/>
    </row>
    <row r="10732" spans="114:114">
      <c r="DJ10732" s="29"/>
    </row>
    <row r="10733" spans="114:114">
      <c r="DJ10733" s="29"/>
    </row>
    <row r="10734" spans="114:114">
      <c r="DJ10734" s="29"/>
    </row>
    <row r="10735" spans="114:114">
      <c r="DJ10735" s="29"/>
    </row>
    <row r="10736" spans="114:114">
      <c r="DJ10736" s="29"/>
    </row>
    <row r="10737" spans="114:114">
      <c r="DJ10737" s="29"/>
    </row>
    <row r="10738" spans="114:114">
      <c r="DJ10738" s="29"/>
    </row>
    <row r="10739" spans="114:114">
      <c r="DJ10739" s="29"/>
    </row>
    <row r="10740" spans="114:114">
      <c r="DJ10740" s="29"/>
    </row>
    <row r="10741" spans="114:114">
      <c r="DJ10741" s="29"/>
    </row>
    <row r="10742" spans="114:114">
      <c r="DJ10742" s="29"/>
    </row>
    <row r="10743" spans="114:114">
      <c r="DJ10743" s="29"/>
    </row>
    <row r="10744" spans="114:114">
      <c r="DJ10744" s="29"/>
    </row>
    <row r="10745" spans="114:114">
      <c r="DJ10745" s="29"/>
    </row>
    <row r="10746" spans="114:114">
      <c r="DJ10746" s="29"/>
    </row>
    <row r="10747" spans="114:114">
      <c r="DJ10747" s="29"/>
    </row>
    <row r="10748" spans="114:114">
      <c r="DJ10748" s="29"/>
    </row>
    <row r="10749" spans="114:114">
      <c r="DJ10749" s="29"/>
    </row>
    <row r="10750" spans="114:114">
      <c r="DJ10750" s="29"/>
    </row>
    <row r="10751" spans="114:114">
      <c r="DJ10751" s="29"/>
    </row>
    <row r="10752" spans="114:114">
      <c r="DJ10752" s="29"/>
    </row>
    <row r="10753" spans="114:114">
      <c r="DJ10753" s="29"/>
    </row>
    <row r="10754" spans="114:114">
      <c r="DJ10754" s="29"/>
    </row>
    <row r="10755" spans="114:114">
      <c r="DJ10755" s="29"/>
    </row>
    <row r="10756" spans="114:114">
      <c r="DJ10756" s="29"/>
    </row>
    <row r="10757" spans="114:114">
      <c r="DJ10757" s="29"/>
    </row>
    <row r="10758" spans="114:114">
      <c r="DJ10758" s="29"/>
    </row>
    <row r="10759" spans="114:114">
      <c r="DJ10759" s="29"/>
    </row>
    <row r="10760" spans="114:114">
      <c r="DJ10760" s="29"/>
    </row>
    <row r="10761" spans="114:114">
      <c r="DJ10761" s="29"/>
    </row>
    <row r="10762" spans="114:114">
      <c r="DJ10762" s="29"/>
    </row>
    <row r="10763" spans="114:114">
      <c r="DJ10763" s="29"/>
    </row>
    <row r="10764" spans="114:114">
      <c r="DJ10764" s="29"/>
    </row>
    <row r="10765" spans="114:114">
      <c r="DJ10765" s="29"/>
    </row>
    <row r="10766" spans="114:114">
      <c r="DJ10766" s="29"/>
    </row>
    <row r="10767" spans="114:114">
      <c r="DJ10767" s="29"/>
    </row>
    <row r="10768" spans="114:114">
      <c r="DJ10768" s="29"/>
    </row>
    <row r="10769" spans="114:114">
      <c r="DJ10769" s="29"/>
    </row>
    <row r="10770" spans="114:114">
      <c r="DJ10770" s="29"/>
    </row>
    <row r="10771" spans="114:114">
      <c r="DJ10771" s="29"/>
    </row>
    <row r="10772" spans="114:114">
      <c r="DJ10772" s="29"/>
    </row>
    <row r="10773" spans="114:114">
      <c r="DJ10773" s="29"/>
    </row>
    <row r="10774" spans="114:114">
      <c r="DJ10774" s="29"/>
    </row>
    <row r="10775" spans="114:114">
      <c r="DJ10775" s="29"/>
    </row>
    <row r="10776" spans="114:114">
      <c r="DJ10776" s="29"/>
    </row>
    <row r="10777" spans="114:114">
      <c r="DJ10777" s="29"/>
    </row>
    <row r="10778" spans="114:114">
      <c r="DJ10778" s="29"/>
    </row>
    <row r="10779" spans="114:114">
      <c r="DJ10779" s="29"/>
    </row>
    <row r="10780" spans="114:114">
      <c r="DJ10780" s="29"/>
    </row>
    <row r="10781" spans="114:114">
      <c r="DJ10781" s="29"/>
    </row>
    <row r="10782" spans="114:114">
      <c r="DJ10782" s="29"/>
    </row>
    <row r="10783" spans="114:114">
      <c r="DJ10783" s="29"/>
    </row>
    <row r="10784" spans="114:114">
      <c r="DJ10784" s="29"/>
    </row>
    <row r="10785" spans="114:114">
      <c r="DJ10785" s="29"/>
    </row>
    <row r="10786" spans="114:114">
      <c r="DJ10786" s="29"/>
    </row>
    <row r="10787" spans="114:114">
      <c r="DJ10787" s="29"/>
    </row>
    <row r="10788" spans="114:114">
      <c r="DJ10788" s="29"/>
    </row>
    <row r="10789" spans="114:114">
      <c r="DJ10789" s="29"/>
    </row>
    <row r="10790" spans="114:114">
      <c r="DJ10790" s="29"/>
    </row>
    <row r="10791" spans="114:114">
      <c r="DJ10791" s="29"/>
    </row>
    <row r="10792" spans="114:114">
      <c r="DJ10792" s="29"/>
    </row>
    <row r="10793" spans="114:114">
      <c r="DJ10793" s="29"/>
    </row>
    <row r="10794" spans="114:114">
      <c r="DJ10794" s="29"/>
    </row>
    <row r="10795" spans="114:114">
      <c r="DJ10795" s="29"/>
    </row>
    <row r="10796" spans="114:114">
      <c r="DJ10796" s="29"/>
    </row>
    <row r="10797" spans="114:114">
      <c r="DJ10797" s="29"/>
    </row>
    <row r="10798" spans="114:114">
      <c r="DJ10798" s="29"/>
    </row>
    <row r="10799" spans="114:114">
      <c r="DJ10799" s="29"/>
    </row>
    <row r="10800" spans="114:114">
      <c r="DJ10800" s="29"/>
    </row>
    <row r="10801" spans="114:114">
      <c r="DJ10801" s="29"/>
    </row>
    <row r="10802" spans="114:114">
      <c r="DJ10802" s="29"/>
    </row>
    <row r="10803" spans="114:114">
      <c r="DJ10803" s="29"/>
    </row>
    <row r="10804" spans="114:114">
      <c r="DJ10804" s="29"/>
    </row>
    <row r="10805" spans="114:114">
      <c r="DJ10805" s="29"/>
    </row>
    <row r="10806" spans="114:114">
      <c r="DJ10806" s="29"/>
    </row>
    <row r="10807" spans="114:114">
      <c r="DJ10807" s="29"/>
    </row>
    <row r="10808" spans="114:114">
      <c r="DJ10808" s="29"/>
    </row>
    <row r="10809" spans="114:114">
      <c r="DJ10809" s="29"/>
    </row>
    <row r="10810" spans="114:114">
      <c r="DJ10810" s="29"/>
    </row>
    <row r="10811" spans="114:114">
      <c r="DJ10811" s="29"/>
    </row>
    <row r="10812" spans="114:114">
      <c r="DJ10812" s="29"/>
    </row>
    <row r="10813" spans="114:114">
      <c r="DJ10813" s="29"/>
    </row>
    <row r="10814" spans="114:114">
      <c r="DJ10814" s="29"/>
    </row>
    <row r="10815" spans="114:114">
      <c r="DJ10815" s="29"/>
    </row>
    <row r="10816" spans="114:114">
      <c r="DJ10816" s="29"/>
    </row>
    <row r="10817" spans="114:114">
      <c r="DJ10817" s="29"/>
    </row>
    <row r="10818" spans="114:114">
      <c r="DJ10818" s="29"/>
    </row>
    <row r="10819" spans="114:114">
      <c r="DJ10819" s="29"/>
    </row>
    <row r="10820" spans="114:114">
      <c r="DJ10820" s="29"/>
    </row>
    <row r="10821" spans="114:114">
      <c r="DJ10821" s="29"/>
    </row>
    <row r="10822" spans="114:114">
      <c r="DJ10822" s="29"/>
    </row>
    <row r="10823" spans="114:114">
      <c r="DJ10823" s="29"/>
    </row>
    <row r="10824" spans="114:114">
      <c r="DJ10824" s="29"/>
    </row>
    <row r="10825" spans="114:114">
      <c r="DJ10825" s="29"/>
    </row>
    <row r="10826" spans="114:114">
      <c r="DJ10826" s="29"/>
    </row>
    <row r="10827" spans="114:114">
      <c r="DJ10827" s="29"/>
    </row>
    <row r="10828" spans="114:114">
      <c r="DJ10828" s="29"/>
    </row>
    <row r="10829" spans="114:114">
      <c r="DJ10829" s="29"/>
    </row>
    <row r="10830" spans="114:114">
      <c r="DJ10830" s="29"/>
    </row>
    <row r="10831" spans="114:114">
      <c r="DJ10831" s="29"/>
    </row>
    <row r="10832" spans="114:114">
      <c r="DJ10832" s="29"/>
    </row>
    <row r="10833" spans="114:114">
      <c r="DJ10833" s="29"/>
    </row>
    <row r="10834" spans="114:114">
      <c r="DJ10834" s="29"/>
    </row>
    <row r="10835" spans="114:114">
      <c r="DJ10835" s="29"/>
    </row>
    <row r="10836" spans="114:114">
      <c r="DJ10836" s="29"/>
    </row>
    <row r="10837" spans="114:114">
      <c r="DJ10837" s="29"/>
    </row>
    <row r="10838" spans="114:114">
      <c r="DJ10838" s="29"/>
    </row>
    <row r="10839" spans="114:114">
      <c r="DJ10839" s="29"/>
    </row>
    <row r="10840" spans="114:114">
      <c r="DJ10840" s="29"/>
    </row>
    <row r="10841" spans="114:114">
      <c r="DJ10841" s="29"/>
    </row>
    <row r="10842" spans="114:114">
      <c r="DJ10842" s="29"/>
    </row>
    <row r="10843" spans="114:114">
      <c r="DJ10843" s="29"/>
    </row>
    <row r="10844" spans="114:114">
      <c r="DJ10844" s="29"/>
    </row>
    <row r="10845" spans="114:114">
      <c r="DJ10845" s="29"/>
    </row>
    <row r="10846" spans="114:114">
      <c r="DJ10846" s="29"/>
    </row>
    <row r="10847" spans="114:114">
      <c r="DJ10847" s="29"/>
    </row>
    <row r="10848" spans="114:114">
      <c r="DJ10848" s="29"/>
    </row>
    <row r="10849" spans="114:114">
      <c r="DJ10849" s="29"/>
    </row>
    <row r="10850" spans="114:114">
      <c r="DJ10850" s="29"/>
    </row>
    <row r="10851" spans="114:114">
      <c r="DJ10851" s="29"/>
    </row>
    <row r="10852" spans="114:114">
      <c r="DJ10852" s="29"/>
    </row>
    <row r="10853" spans="114:114">
      <c r="DJ10853" s="29"/>
    </row>
    <row r="10854" spans="114:114">
      <c r="DJ10854" s="29"/>
    </row>
    <row r="10855" spans="114:114">
      <c r="DJ10855" s="29"/>
    </row>
    <row r="10856" spans="114:114">
      <c r="DJ10856" s="29"/>
    </row>
    <row r="10857" spans="114:114">
      <c r="DJ10857" s="29"/>
    </row>
    <row r="10858" spans="114:114">
      <c r="DJ10858" s="29"/>
    </row>
    <row r="10859" spans="114:114">
      <c r="DJ10859" s="29"/>
    </row>
    <row r="10860" spans="114:114">
      <c r="DJ10860" s="29"/>
    </row>
    <row r="10861" spans="114:114">
      <c r="DJ10861" s="29"/>
    </row>
    <row r="10862" spans="114:114">
      <c r="DJ10862" s="29"/>
    </row>
    <row r="10863" spans="114:114">
      <c r="DJ10863" s="29"/>
    </row>
    <row r="10864" spans="114:114">
      <c r="DJ10864" s="29"/>
    </row>
    <row r="10865" spans="114:114">
      <c r="DJ10865" s="29"/>
    </row>
    <row r="10866" spans="114:114">
      <c r="DJ10866" s="29"/>
    </row>
    <row r="10867" spans="114:114">
      <c r="DJ10867" s="29"/>
    </row>
    <row r="10868" spans="114:114">
      <c r="DJ10868" s="29"/>
    </row>
    <row r="10869" spans="114:114">
      <c r="DJ10869" s="29"/>
    </row>
    <row r="10870" spans="114:114">
      <c r="DJ10870" s="29"/>
    </row>
    <row r="10871" spans="114:114">
      <c r="DJ10871" s="29"/>
    </row>
    <row r="10872" spans="114:114">
      <c r="DJ10872" s="29"/>
    </row>
    <row r="10873" spans="114:114">
      <c r="DJ10873" s="29"/>
    </row>
    <row r="10874" spans="114:114">
      <c r="DJ10874" s="29"/>
    </row>
    <row r="10875" spans="114:114">
      <c r="DJ10875" s="29"/>
    </row>
    <row r="10876" spans="114:114">
      <c r="DJ10876" s="29"/>
    </row>
    <row r="10877" spans="114:114">
      <c r="DJ10877" s="29"/>
    </row>
    <row r="10878" spans="114:114">
      <c r="DJ10878" s="29"/>
    </row>
    <row r="10879" spans="114:114">
      <c r="DJ10879" s="29"/>
    </row>
    <row r="10880" spans="114:114">
      <c r="DJ10880" s="29"/>
    </row>
    <row r="10881" spans="114:114">
      <c r="DJ10881" s="29"/>
    </row>
    <row r="10882" spans="114:114">
      <c r="DJ10882" s="29"/>
    </row>
    <row r="10883" spans="114:114">
      <c r="DJ10883" s="29"/>
    </row>
    <row r="10884" spans="114:114">
      <c r="DJ10884" s="29"/>
    </row>
    <row r="10885" spans="114:114">
      <c r="DJ10885" s="29"/>
    </row>
    <row r="10886" spans="114:114">
      <c r="DJ10886" s="29"/>
    </row>
    <row r="10887" spans="114:114">
      <c r="DJ10887" s="29"/>
    </row>
    <row r="10888" spans="114:114">
      <c r="DJ10888" s="29"/>
    </row>
    <row r="10889" spans="114:114">
      <c r="DJ10889" s="29"/>
    </row>
    <row r="10890" spans="114:114">
      <c r="DJ10890" s="29"/>
    </row>
    <row r="10891" spans="114:114">
      <c r="DJ10891" s="29"/>
    </row>
    <row r="10892" spans="114:114">
      <c r="DJ10892" s="29"/>
    </row>
    <row r="10893" spans="114:114">
      <c r="DJ10893" s="29"/>
    </row>
    <row r="10894" spans="114:114">
      <c r="DJ10894" s="29"/>
    </row>
    <row r="10895" spans="114:114">
      <c r="DJ10895" s="29"/>
    </row>
    <row r="10896" spans="114:114">
      <c r="DJ10896" s="29"/>
    </row>
    <row r="10897" spans="114:114">
      <c r="DJ10897" s="29"/>
    </row>
    <row r="10898" spans="114:114">
      <c r="DJ10898" s="29"/>
    </row>
    <row r="10899" spans="114:114">
      <c r="DJ10899" s="29"/>
    </row>
    <row r="10900" spans="114:114">
      <c r="DJ10900" s="29"/>
    </row>
    <row r="10901" spans="114:114">
      <c r="DJ10901" s="29"/>
    </row>
    <row r="10902" spans="114:114">
      <c r="DJ10902" s="29"/>
    </row>
    <row r="10903" spans="114:114">
      <c r="DJ10903" s="29"/>
    </row>
    <row r="10904" spans="114:114">
      <c r="DJ10904" s="29"/>
    </row>
    <row r="10905" spans="114:114">
      <c r="DJ10905" s="29"/>
    </row>
    <row r="10906" spans="114:114">
      <c r="DJ10906" s="29"/>
    </row>
    <row r="10907" spans="114:114">
      <c r="DJ10907" s="29"/>
    </row>
    <row r="10908" spans="114:114">
      <c r="DJ10908" s="29"/>
    </row>
    <row r="10909" spans="114:114">
      <c r="DJ10909" s="29"/>
    </row>
    <row r="10910" spans="114:114">
      <c r="DJ10910" s="29"/>
    </row>
    <row r="10911" spans="114:114">
      <c r="DJ10911" s="29"/>
    </row>
    <row r="10912" spans="114:114">
      <c r="DJ10912" s="29"/>
    </row>
    <row r="10913" spans="114:114">
      <c r="DJ10913" s="29"/>
    </row>
    <row r="10914" spans="114:114">
      <c r="DJ10914" s="29"/>
    </row>
    <row r="10915" spans="114:114">
      <c r="DJ10915" s="29"/>
    </row>
    <row r="10916" spans="114:114">
      <c r="DJ10916" s="29"/>
    </row>
    <row r="10917" spans="114:114">
      <c r="DJ10917" s="29"/>
    </row>
    <row r="10918" spans="114:114">
      <c r="DJ10918" s="29"/>
    </row>
    <row r="10919" spans="114:114">
      <c r="DJ10919" s="29"/>
    </row>
    <row r="10920" spans="114:114">
      <c r="DJ10920" s="29"/>
    </row>
    <row r="10921" spans="114:114">
      <c r="DJ10921" s="29"/>
    </row>
    <row r="10922" spans="114:114">
      <c r="DJ10922" s="29"/>
    </row>
    <row r="10923" spans="114:114">
      <c r="DJ10923" s="29"/>
    </row>
    <row r="10924" spans="114:114">
      <c r="DJ10924" s="29"/>
    </row>
    <row r="10925" spans="114:114">
      <c r="DJ10925" s="29"/>
    </row>
    <row r="10926" spans="114:114">
      <c r="DJ10926" s="29"/>
    </row>
    <row r="10927" spans="114:114">
      <c r="DJ10927" s="29"/>
    </row>
    <row r="10928" spans="114:114">
      <c r="DJ10928" s="29"/>
    </row>
    <row r="10929" spans="114:114">
      <c r="DJ10929" s="29"/>
    </row>
    <row r="10930" spans="114:114">
      <c r="DJ10930" s="29"/>
    </row>
    <row r="10931" spans="114:114">
      <c r="DJ10931" s="29"/>
    </row>
    <row r="10932" spans="114:114">
      <c r="DJ10932" s="29"/>
    </row>
    <row r="10933" spans="114:114">
      <c r="DJ10933" s="29"/>
    </row>
    <row r="10934" spans="114:114">
      <c r="DJ10934" s="29"/>
    </row>
    <row r="10935" spans="114:114">
      <c r="DJ10935" s="29"/>
    </row>
    <row r="10936" spans="114:114">
      <c r="DJ10936" s="29"/>
    </row>
    <row r="10937" spans="114:114">
      <c r="DJ10937" s="29"/>
    </row>
    <row r="10938" spans="114:114">
      <c r="DJ10938" s="29"/>
    </row>
    <row r="10939" spans="114:114">
      <c r="DJ10939" s="29"/>
    </row>
    <row r="10940" spans="114:114">
      <c r="DJ10940" s="29"/>
    </row>
    <row r="10941" spans="114:114">
      <c r="DJ10941" s="29"/>
    </row>
    <row r="10942" spans="114:114">
      <c r="DJ10942" s="29"/>
    </row>
    <row r="10943" spans="114:114">
      <c r="DJ10943" s="29"/>
    </row>
    <row r="10944" spans="114:114">
      <c r="DJ10944" s="29"/>
    </row>
    <row r="10945" spans="114:114">
      <c r="DJ10945" s="29"/>
    </row>
    <row r="10946" spans="114:114">
      <c r="DJ10946" s="29"/>
    </row>
    <row r="10947" spans="114:114">
      <c r="DJ10947" s="29"/>
    </row>
    <row r="10948" spans="114:114">
      <c r="DJ10948" s="29"/>
    </row>
    <row r="10949" spans="114:114">
      <c r="DJ10949" s="29"/>
    </row>
    <row r="10950" spans="114:114">
      <c r="DJ10950" s="29"/>
    </row>
    <row r="10951" spans="114:114">
      <c r="DJ10951" s="29"/>
    </row>
    <row r="10952" spans="114:114">
      <c r="DJ10952" s="29"/>
    </row>
    <row r="10953" spans="114:114">
      <c r="DJ10953" s="29"/>
    </row>
    <row r="10954" spans="114:114">
      <c r="DJ10954" s="29"/>
    </row>
    <row r="10955" spans="114:114">
      <c r="DJ10955" s="29"/>
    </row>
    <row r="10956" spans="114:114">
      <c r="DJ10956" s="29"/>
    </row>
    <row r="10957" spans="114:114">
      <c r="DJ10957" s="29"/>
    </row>
    <row r="10958" spans="114:114">
      <c r="DJ10958" s="29"/>
    </row>
    <row r="10959" spans="114:114">
      <c r="DJ10959" s="29"/>
    </row>
    <row r="10960" spans="114:114">
      <c r="DJ10960" s="29"/>
    </row>
    <row r="10961" spans="114:114">
      <c r="DJ10961" s="29"/>
    </row>
    <row r="10962" spans="114:114">
      <c r="DJ10962" s="29"/>
    </row>
    <row r="10963" spans="114:114">
      <c r="DJ10963" s="29"/>
    </row>
    <row r="10964" spans="114:114">
      <c r="DJ10964" s="29"/>
    </row>
    <row r="10965" spans="114:114">
      <c r="DJ10965" s="29"/>
    </row>
    <row r="10966" spans="114:114">
      <c r="DJ10966" s="29"/>
    </row>
    <row r="10967" spans="114:114">
      <c r="DJ10967" s="29"/>
    </row>
    <row r="10968" spans="114:114">
      <c r="DJ10968" s="29"/>
    </row>
    <row r="10969" spans="114:114">
      <c r="DJ10969" s="29"/>
    </row>
    <row r="10970" spans="114:114">
      <c r="DJ10970" s="29"/>
    </row>
    <row r="10971" spans="114:114">
      <c r="DJ10971" s="29"/>
    </row>
    <row r="10972" spans="114:114">
      <c r="DJ10972" s="29"/>
    </row>
    <row r="10973" spans="114:114">
      <c r="DJ10973" s="29"/>
    </row>
    <row r="10974" spans="114:114">
      <c r="DJ10974" s="29"/>
    </row>
    <row r="10975" spans="114:114">
      <c r="DJ10975" s="29"/>
    </row>
    <row r="10976" spans="114:114">
      <c r="DJ10976" s="29"/>
    </row>
    <row r="10977" spans="114:114">
      <c r="DJ10977" s="29"/>
    </row>
    <row r="10978" spans="114:114">
      <c r="DJ10978" s="29"/>
    </row>
    <row r="10979" spans="114:114">
      <c r="DJ10979" s="29"/>
    </row>
    <row r="10980" spans="114:114">
      <c r="DJ10980" s="29"/>
    </row>
    <row r="10981" spans="114:114">
      <c r="DJ10981" s="29"/>
    </row>
    <row r="10982" spans="114:114">
      <c r="DJ10982" s="29"/>
    </row>
    <row r="10983" spans="114:114">
      <c r="DJ10983" s="29"/>
    </row>
    <row r="10984" spans="114:114">
      <c r="DJ10984" s="29"/>
    </row>
    <row r="10985" spans="114:114">
      <c r="DJ10985" s="29"/>
    </row>
    <row r="10986" spans="114:114">
      <c r="DJ10986" s="29"/>
    </row>
    <row r="10987" spans="114:114">
      <c r="DJ10987" s="29"/>
    </row>
    <row r="10988" spans="114:114">
      <c r="DJ10988" s="29"/>
    </row>
    <row r="10989" spans="114:114">
      <c r="DJ10989" s="29"/>
    </row>
    <row r="10990" spans="114:114">
      <c r="DJ10990" s="29"/>
    </row>
    <row r="10991" spans="114:114">
      <c r="DJ10991" s="29"/>
    </row>
    <row r="10992" spans="114:114">
      <c r="DJ10992" s="29"/>
    </row>
    <row r="10993" spans="114:114">
      <c r="DJ10993" s="29"/>
    </row>
    <row r="10994" spans="114:114">
      <c r="DJ10994" s="29"/>
    </row>
    <row r="10995" spans="114:114">
      <c r="DJ10995" s="29"/>
    </row>
    <row r="10996" spans="114:114">
      <c r="DJ10996" s="29"/>
    </row>
    <row r="10997" spans="114:114">
      <c r="DJ10997" s="29"/>
    </row>
    <row r="10998" spans="114:114">
      <c r="DJ10998" s="29"/>
    </row>
    <row r="10999" spans="114:114">
      <c r="DJ10999" s="29"/>
    </row>
    <row r="11000" spans="114:114">
      <c r="DJ11000" s="29"/>
    </row>
    <row r="11001" spans="114:114">
      <c r="DJ11001" s="29"/>
    </row>
    <row r="11002" spans="114:114">
      <c r="DJ11002" s="29"/>
    </row>
    <row r="11003" spans="114:114">
      <c r="DJ11003" s="29"/>
    </row>
    <row r="11004" spans="114:114">
      <c r="DJ11004" s="29"/>
    </row>
    <row r="11005" spans="114:114">
      <c r="DJ11005" s="29"/>
    </row>
    <row r="11006" spans="114:114">
      <c r="DJ11006" s="29"/>
    </row>
    <row r="11007" spans="114:114">
      <c r="DJ11007" s="29"/>
    </row>
    <row r="11008" spans="114:114">
      <c r="DJ11008" s="29"/>
    </row>
    <row r="11009" spans="114:114">
      <c r="DJ11009" s="29"/>
    </row>
    <row r="11010" spans="114:114">
      <c r="DJ11010" s="29"/>
    </row>
    <row r="11011" spans="114:114">
      <c r="DJ11011" s="29"/>
    </row>
    <row r="11012" spans="114:114">
      <c r="DJ11012" s="29"/>
    </row>
    <row r="11013" spans="114:114">
      <c r="DJ11013" s="29"/>
    </row>
    <row r="11014" spans="114:114">
      <c r="DJ11014" s="29"/>
    </row>
    <row r="11015" spans="114:114">
      <c r="DJ11015" s="29"/>
    </row>
    <row r="11016" spans="114:114">
      <c r="DJ11016" s="29"/>
    </row>
    <row r="11017" spans="114:114">
      <c r="DJ11017" s="29"/>
    </row>
    <row r="11018" spans="114:114">
      <c r="DJ11018" s="29"/>
    </row>
    <row r="11019" spans="114:114">
      <c r="DJ11019" s="29"/>
    </row>
    <row r="11020" spans="114:114">
      <c r="DJ11020" s="29"/>
    </row>
    <row r="11021" spans="114:114">
      <c r="DJ11021" s="29"/>
    </row>
    <row r="11022" spans="114:114">
      <c r="DJ11022" s="29"/>
    </row>
    <row r="11023" spans="114:114">
      <c r="DJ11023" s="29"/>
    </row>
    <row r="11024" spans="114:114">
      <c r="DJ11024" s="29"/>
    </row>
    <row r="11025" spans="114:114">
      <c r="DJ11025" s="29"/>
    </row>
    <row r="11026" spans="114:114">
      <c r="DJ11026" s="29"/>
    </row>
    <row r="11027" spans="114:114">
      <c r="DJ11027" s="29"/>
    </row>
    <row r="11028" spans="114:114">
      <c r="DJ11028" s="29"/>
    </row>
    <row r="11029" spans="114:114">
      <c r="DJ11029" s="29"/>
    </row>
    <row r="11030" spans="114:114">
      <c r="DJ11030" s="29"/>
    </row>
    <row r="11031" spans="114:114">
      <c r="DJ11031" s="29"/>
    </row>
    <row r="11032" spans="114:114">
      <c r="DJ11032" s="29"/>
    </row>
    <row r="11033" spans="114:114">
      <c r="DJ11033" s="29"/>
    </row>
    <row r="11034" spans="114:114">
      <c r="DJ11034" s="29"/>
    </row>
    <row r="11035" spans="114:114">
      <c r="DJ11035" s="29"/>
    </row>
    <row r="11036" spans="114:114">
      <c r="DJ11036" s="29"/>
    </row>
    <row r="11037" spans="114:114">
      <c r="DJ11037" s="29"/>
    </row>
    <row r="11038" spans="114:114">
      <c r="DJ11038" s="29"/>
    </row>
    <row r="11039" spans="114:114">
      <c r="DJ11039" s="29"/>
    </row>
    <row r="11040" spans="114:114">
      <c r="DJ11040" s="29"/>
    </row>
    <row r="11041" spans="114:114">
      <c r="DJ11041" s="29"/>
    </row>
    <row r="11042" spans="114:114">
      <c r="DJ11042" s="29"/>
    </row>
    <row r="11043" spans="114:114">
      <c r="DJ11043" s="29"/>
    </row>
    <row r="11044" spans="114:114">
      <c r="DJ11044" s="29"/>
    </row>
    <row r="11045" spans="114:114">
      <c r="DJ11045" s="29"/>
    </row>
    <row r="11046" spans="114:114">
      <c r="DJ11046" s="29"/>
    </row>
    <row r="11047" spans="114:114">
      <c r="DJ11047" s="29"/>
    </row>
    <row r="11048" spans="114:114">
      <c r="DJ11048" s="29"/>
    </row>
    <row r="11049" spans="114:114">
      <c r="DJ11049" s="29"/>
    </row>
    <row r="11050" spans="114:114">
      <c r="DJ11050" s="29"/>
    </row>
    <row r="11051" spans="114:114">
      <c r="DJ11051" s="29"/>
    </row>
    <row r="11052" spans="114:114">
      <c r="DJ11052" s="29"/>
    </row>
    <row r="11053" spans="114:114">
      <c r="DJ11053" s="29"/>
    </row>
    <row r="11054" spans="114:114">
      <c r="DJ11054" s="29"/>
    </row>
    <row r="11055" spans="114:114">
      <c r="DJ11055" s="29"/>
    </row>
    <row r="11056" spans="114:114">
      <c r="DJ11056" s="29"/>
    </row>
    <row r="11057" spans="114:114">
      <c r="DJ11057" s="29"/>
    </row>
    <row r="11058" spans="114:114">
      <c r="DJ11058" s="29"/>
    </row>
    <row r="11059" spans="114:114">
      <c r="DJ11059" s="29"/>
    </row>
    <row r="11060" spans="114:114">
      <c r="DJ11060" s="29"/>
    </row>
    <row r="11061" spans="114:114">
      <c r="DJ11061" s="29"/>
    </row>
    <row r="11062" spans="114:114">
      <c r="DJ11062" s="29"/>
    </row>
    <row r="11063" spans="114:114">
      <c r="DJ11063" s="29"/>
    </row>
    <row r="11064" spans="114:114">
      <c r="DJ11064" s="29"/>
    </row>
    <row r="11065" spans="114:114">
      <c r="DJ11065" s="29"/>
    </row>
    <row r="11066" spans="114:114">
      <c r="DJ11066" s="29"/>
    </row>
    <row r="11067" spans="114:114">
      <c r="DJ11067" s="29"/>
    </row>
    <row r="11068" spans="114:114">
      <c r="DJ11068" s="29"/>
    </row>
    <row r="11069" spans="114:114">
      <c r="DJ11069" s="29"/>
    </row>
    <row r="11070" spans="114:114">
      <c r="DJ11070" s="29"/>
    </row>
    <row r="11071" spans="114:114">
      <c r="DJ11071" s="29"/>
    </row>
    <row r="11072" spans="114:114">
      <c r="DJ11072" s="29"/>
    </row>
    <row r="11073" spans="114:114">
      <c r="DJ11073" s="29"/>
    </row>
    <row r="11074" spans="114:114">
      <c r="DJ11074" s="29"/>
    </row>
    <row r="11075" spans="114:114">
      <c r="DJ11075" s="29"/>
    </row>
    <row r="11076" spans="114:114">
      <c r="DJ11076" s="29"/>
    </row>
    <row r="11077" spans="114:114">
      <c r="DJ11077" s="29"/>
    </row>
    <row r="11078" spans="114:114">
      <c r="DJ11078" s="29"/>
    </row>
    <row r="11079" spans="114:114">
      <c r="DJ11079" s="29"/>
    </row>
    <row r="11080" spans="114:114">
      <c r="DJ11080" s="29"/>
    </row>
    <row r="11081" spans="114:114">
      <c r="DJ11081" s="29"/>
    </row>
    <row r="11082" spans="114:114">
      <c r="DJ11082" s="29"/>
    </row>
    <row r="11083" spans="114:114">
      <c r="DJ11083" s="29"/>
    </row>
    <row r="11084" spans="114:114">
      <c r="DJ11084" s="29"/>
    </row>
    <row r="11085" spans="114:114">
      <c r="DJ11085" s="29"/>
    </row>
    <row r="11086" spans="114:114">
      <c r="DJ11086" s="29"/>
    </row>
    <row r="11087" spans="114:114">
      <c r="DJ11087" s="29"/>
    </row>
    <row r="11088" spans="114:114">
      <c r="DJ11088" s="29"/>
    </row>
    <row r="11089" spans="114:114">
      <c r="DJ11089" s="29"/>
    </row>
    <row r="11090" spans="114:114">
      <c r="DJ11090" s="29"/>
    </row>
    <row r="11091" spans="114:114">
      <c r="DJ11091" s="29"/>
    </row>
    <row r="11092" spans="114:114">
      <c r="DJ11092" s="29"/>
    </row>
    <row r="11093" spans="114:114">
      <c r="DJ11093" s="29"/>
    </row>
    <row r="11094" spans="114:114">
      <c r="DJ11094" s="29"/>
    </row>
    <row r="11095" spans="114:114">
      <c r="DJ11095" s="29"/>
    </row>
    <row r="11096" spans="114:114">
      <c r="DJ11096" s="29"/>
    </row>
    <row r="11097" spans="114:114">
      <c r="DJ11097" s="29"/>
    </row>
    <row r="11098" spans="114:114">
      <c r="DJ11098" s="29"/>
    </row>
    <row r="11099" spans="114:114">
      <c r="DJ11099" s="29"/>
    </row>
    <row r="11100" spans="114:114">
      <c r="DJ11100" s="29"/>
    </row>
    <row r="11101" spans="114:114">
      <c r="DJ11101" s="29"/>
    </row>
    <row r="11102" spans="114:114">
      <c r="DJ11102" s="29"/>
    </row>
    <row r="11103" spans="114:114">
      <c r="DJ11103" s="29"/>
    </row>
    <row r="11104" spans="114:114">
      <c r="DJ11104" s="29"/>
    </row>
    <row r="11105" spans="114:114">
      <c r="DJ11105" s="29"/>
    </row>
    <row r="11106" spans="114:114">
      <c r="DJ11106" s="29"/>
    </row>
    <row r="11107" spans="114:114">
      <c r="DJ11107" s="29"/>
    </row>
    <row r="11108" spans="114:114">
      <c r="DJ11108" s="29"/>
    </row>
    <row r="11109" spans="114:114">
      <c r="DJ11109" s="29"/>
    </row>
    <row r="11110" spans="114:114">
      <c r="DJ11110" s="29"/>
    </row>
    <row r="11111" spans="114:114">
      <c r="DJ11111" s="29"/>
    </row>
    <row r="11112" spans="114:114">
      <c r="DJ11112" s="29"/>
    </row>
    <row r="11113" spans="114:114">
      <c r="DJ11113" s="29"/>
    </row>
    <row r="11114" spans="114:114">
      <c r="DJ11114" s="29"/>
    </row>
    <row r="11115" spans="114:114">
      <c r="DJ11115" s="29"/>
    </row>
    <row r="11116" spans="114:114">
      <c r="DJ11116" s="29"/>
    </row>
    <row r="11117" spans="114:114">
      <c r="DJ11117" s="29"/>
    </row>
    <row r="11118" spans="114:114">
      <c r="DJ11118" s="29"/>
    </row>
    <row r="11119" spans="114:114">
      <c r="DJ11119" s="29"/>
    </row>
    <row r="11120" spans="114:114">
      <c r="DJ11120" s="29"/>
    </row>
    <row r="11121" spans="114:114">
      <c r="DJ11121" s="29"/>
    </row>
    <row r="11122" spans="114:114">
      <c r="DJ11122" s="29"/>
    </row>
    <row r="11123" spans="114:114">
      <c r="DJ11123" s="29"/>
    </row>
    <row r="11124" spans="114:114">
      <c r="DJ11124" s="29"/>
    </row>
    <row r="11125" spans="114:114">
      <c r="DJ11125" s="29"/>
    </row>
    <row r="11126" spans="114:114">
      <c r="DJ11126" s="29"/>
    </row>
    <row r="11127" spans="114:114">
      <c r="DJ11127" s="29"/>
    </row>
    <row r="11128" spans="114:114">
      <c r="DJ11128" s="29"/>
    </row>
    <row r="11129" spans="114:114">
      <c r="DJ11129" s="29"/>
    </row>
    <row r="11130" spans="114:114">
      <c r="DJ11130" s="29"/>
    </row>
    <row r="11131" spans="114:114">
      <c r="DJ11131" s="29"/>
    </row>
    <row r="11132" spans="114:114">
      <c r="DJ11132" s="29"/>
    </row>
    <row r="11133" spans="114:114">
      <c r="DJ11133" s="29"/>
    </row>
    <row r="11134" spans="114:114">
      <c r="DJ11134" s="29"/>
    </row>
    <row r="11135" spans="114:114">
      <c r="DJ11135" s="29"/>
    </row>
    <row r="11136" spans="114:114">
      <c r="DJ11136" s="29"/>
    </row>
    <row r="11137" spans="114:114">
      <c r="DJ11137" s="29"/>
    </row>
    <row r="11138" spans="114:114">
      <c r="DJ11138" s="29"/>
    </row>
    <row r="11139" spans="114:114">
      <c r="DJ11139" s="29"/>
    </row>
    <row r="11140" spans="114:114">
      <c r="DJ11140" s="29"/>
    </row>
    <row r="11141" spans="114:114">
      <c r="DJ11141" s="29"/>
    </row>
    <row r="11142" spans="114:114">
      <c r="DJ11142" s="29"/>
    </row>
    <row r="11143" spans="114:114">
      <c r="DJ11143" s="29"/>
    </row>
    <row r="11144" spans="114:114">
      <c r="DJ11144" s="29"/>
    </row>
    <row r="11145" spans="114:114">
      <c r="DJ11145" s="29"/>
    </row>
    <row r="11146" spans="114:114">
      <c r="DJ11146" s="29"/>
    </row>
    <row r="11147" spans="114:114">
      <c r="DJ11147" s="29"/>
    </row>
    <row r="11148" spans="114:114">
      <c r="DJ11148" s="29"/>
    </row>
    <row r="11149" spans="114:114">
      <c r="DJ11149" s="29"/>
    </row>
    <row r="11150" spans="114:114">
      <c r="DJ11150" s="29"/>
    </row>
    <row r="11151" spans="114:114">
      <c r="DJ11151" s="29"/>
    </row>
    <row r="11152" spans="114:114">
      <c r="DJ11152" s="29"/>
    </row>
    <row r="11153" spans="114:114">
      <c r="DJ11153" s="29"/>
    </row>
    <row r="11154" spans="114:114">
      <c r="DJ11154" s="29"/>
    </row>
    <row r="11155" spans="114:114">
      <c r="DJ11155" s="29"/>
    </row>
    <row r="11156" spans="114:114">
      <c r="DJ11156" s="29"/>
    </row>
    <row r="11157" spans="114:114">
      <c r="DJ11157" s="29"/>
    </row>
    <row r="11158" spans="114:114">
      <c r="DJ11158" s="29"/>
    </row>
    <row r="11159" spans="114:114">
      <c r="DJ11159" s="29"/>
    </row>
    <row r="11160" spans="114:114">
      <c r="DJ11160" s="29"/>
    </row>
    <row r="11161" spans="114:114">
      <c r="DJ11161" s="29"/>
    </row>
    <row r="11162" spans="114:114">
      <c r="DJ11162" s="29"/>
    </row>
    <row r="11163" spans="114:114">
      <c r="DJ11163" s="29"/>
    </row>
    <row r="11164" spans="114:114">
      <c r="DJ11164" s="29"/>
    </row>
    <row r="11165" spans="114:114">
      <c r="DJ11165" s="29"/>
    </row>
    <row r="11166" spans="114:114">
      <c r="DJ11166" s="29"/>
    </row>
    <row r="11167" spans="114:114">
      <c r="DJ11167" s="29"/>
    </row>
    <row r="11168" spans="114:114">
      <c r="DJ11168" s="29"/>
    </row>
    <row r="11169" spans="114:114">
      <c r="DJ11169" s="29"/>
    </row>
    <row r="11170" spans="114:114">
      <c r="DJ11170" s="29"/>
    </row>
    <row r="11171" spans="114:114">
      <c r="DJ11171" s="29"/>
    </row>
    <row r="11172" spans="114:114">
      <c r="DJ11172" s="29"/>
    </row>
    <row r="11173" spans="114:114">
      <c r="DJ11173" s="29"/>
    </row>
    <row r="11174" spans="114:114">
      <c r="DJ11174" s="29"/>
    </row>
    <row r="11175" spans="114:114">
      <c r="DJ11175" s="29"/>
    </row>
    <row r="11176" spans="114:114">
      <c r="DJ11176" s="29"/>
    </row>
    <row r="11177" spans="114:114">
      <c r="DJ11177" s="29"/>
    </row>
    <row r="11178" spans="114:114">
      <c r="DJ11178" s="29"/>
    </row>
    <row r="11179" spans="114:114">
      <c r="DJ11179" s="29"/>
    </row>
    <row r="11180" spans="114:114">
      <c r="DJ11180" s="29"/>
    </row>
    <row r="11181" spans="114:114">
      <c r="DJ11181" s="29"/>
    </row>
    <row r="11182" spans="114:114">
      <c r="DJ11182" s="29"/>
    </row>
    <row r="11183" spans="114:114">
      <c r="DJ11183" s="29"/>
    </row>
    <row r="11184" spans="114:114">
      <c r="DJ11184" s="29"/>
    </row>
    <row r="11185" spans="114:114">
      <c r="DJ11185" s="29"/>
    </row>
    <row r="11186" spans="114:114">
      <c r="DJ11186" s="29"/>
    </row>
    <row r="11187" spans="114:114">
      <c r="DJ11187" s="29"/>
    </row>
    <row r="11188" spans="114:114">
      <c r="DJ11188" s="29"/>
    </row>
    <row r="11189" spans="114:114">
      <c r="DJ11189" s="29"/>
    </row>
    <row r="11190" spans="114:114">
      <c r="DJ11190" s="29"/>
    </row>
    <row r="11191" spans="114:114">
      <c r="DJ11191" s="29"/>
    </row>
    <row r="11192" spans="114:114">
      <c r="DJ11192" s="29"/>
    </row>
    <row r="11193" spans="114:114">
      <c r="DJ11193" s="29"/>
    </row>
    <row r="11194" spans="114:114">
      <c r="DJ11194" s="29"/>
    </row>
    <row r="11195" spans="114:114">
      <c r="DJ11195" s="29"/>
    </row>
    <row r="11196" spans="114:114">
      <c r="DJ11196" s="29"/>
    </row>
    <row r="11197" spans="114:114">
      <c r="DJ11197" s="29"/>
    </row>
    <row r="11198" spans="114:114">
      <c r="DJ11198" s="29"/>
    </row>
    <row r="11199" spans="114:114">
      <c r="DJ11199" s="29"/>
    </row>
    <row r="11200" spans="114:114">
      <c r="DJ11200" s="29"/>
    </row>
    <row r="11201" spans="114:114">
      <c r="DJ11201" s="29"/>
    </row>
    <row r="11202" spans="114:114">
      <c r="DJ11202" s="29"/>
    </row>
    <row r="11203" spans="114:114">
      <c r="DJ11203" s="29"/>
    </row>
    <row r="11204" spans="114:114">
      <c r="DJ11204" s="29"/>
    </row>
    <row r="11205" spans="114:114">
      <c r="DJ11205" s="29"/>
    </row>
    <row r="11206" spans="114:114">
      <c r="DJ11206" s="29"/>
    </row>
    <row r="11207" spans="114:114">
      <c r="DJ11207" s="29"/>
    </row>
    <row r="11208" spans="114:114">
      <c r="DJ11208" s="29"/>
    </row>
    <row r="11209" spans="114:114">
      <c r="DJ11209" s="29"/>
    </row>
    <row r="11210" spans="114:114">
      <c r="DJ11210" s="29"/>
    </row>
    <row r="11211" spans="114:114">
      <c r="DJ11211" s="29"/>
    </row>
    <row r="11212" spans="114:114">
      <c r="DJ11212" s="29"/>
    </row>
    <row r="11213" spans="114:114">
      <c r="DJ11213" s="29"/>
    </row>
    <row r="11214" spans="114:114">
      <c r="DJ11214" s="29"/>
    </row>
    <row r="11215" spans="114:114">
      <c r="DJ11215" s="29"/>
    </row>
    <row r="11216" spans="114:114">
      <c r="DJ11216" s="29"/>
    </row>
    <row r="11217" spans="114:114">
      <c r="DJ11217" s="29"/>
    </row>
    <row r="11218" spans="114:114">
      <c r="DJ11218" s="29"/>
    </row>
    <row r="11219" spans="114:114">
      <c r="DJ11219" s="29"/>
    </row>
    <row r="11220" spans="114:114">
      <c r="DJ11220" s="29"/>
    </row>
    <row r="11221" spans="114:114">
      <c r="DJ11221" s="29"/>
    </row>
    <row r="11222" spans="114:114">
      <c r="DJ11222" s="29"/>
    </row>
    <row r="11223" spans="114:114">
      <c r="DJ11223" s="29"/>
    </row>
    <row r="11224" spans="114:114">
      <c r="DJ11224" s="29"/>
    </row>
    <row r="11225" spans="114:114">
      <c r="DJ11225" s="29"/>
    </row>
    <row r="11226" spans="114:114">
      <c r="DJ11226" s="29"/>
    </row>
    <row r="11227" spans="114:114">
      <c r="DJ11227" s="29"/>
    </row>
    <row r="11228" spans="114:114">
      <c r="DJ11228" s="29"/>
    </row>
    <row r="11229" spans="114:114">
      <c r="DJ11229" s="29"/>
    </row>
    <row r="11230" spans="114:114">
      <c r="DJ11230" s="29"/>
    </row>
    <row r="11231" spans="114:114">
      <c r="DJ11231" s="29"/>
    </row>
    <row r="11232" spans="114:114">
      <c r="DJ11232" s="29"/>
    </row>
    <row r="11233" spans="114:114">
      <c r="DJ11233" s="29"/>
    </row>
    <row r="11234" spans="114:114">
      <c r="DJ11234" s="29"/>
    </row>
    <row r="11235" spans="114:114">
      <c r="DJ11235" s="29"/>
    </row>
    <row r="11236" spans="114:114">
      <c r="DJ11236" s="29"/>
    </row>
    <row r="11237" spans="114:114">
      <c r="DJ11237" s="29"/>
    </row>
    <row r="11238" spans="114:114">
      <c r="DJ11238" s="29"/>
    </row>
    <row r="11239" spans="114:114">
      <c r="DJ11239" s="29"/>
    </row>
    <row r="11240" spans="114:114">
      <c r="DJ11240" s="29"/>
    </row>
    <row r="11241" spans="114:114">
      <c r="DJ11241" s="29"/>
    </row>
    <row r="11242" spans="114:114">
      <c r="DJ11242" s="29"/>
    </row>
    <row r="11243" spans="114:114">
      <c r="DJ11243" s="29"/>
    </row>
    <row r="11244" spans="114:114">
      <c r="DJ11244" s="29"/>
    </row>
    <row r="11245" spans="114:114">
      <c r="DJ11245" s="29"/>
    </row>
    <row r="11246" spans="114:114">
      <c r="DJ11246" s="29"/>
    </row>
    <row r="11247" spans="114:114">
      <c r="DJ11247" s="29"/>
    </row>
    <row r="11248" spans="114:114">
      <c r="DJ11248" s="29"/>
    </row>
    <row r="11249" spans="114:114">
      <c r="DJ11249" s="29"/>
    </row>
    <row r="11250" spans="114:114">
      <c r="DJ11250" s="29"/>
    </row>
    <row r="11251" spans="114:114">
      <c r="DJ11251" s="29"/>
    </row>
    <row r="11252" spans="114:114">
      <c r="DJ11252" s="29"/>
    </row>
    <row r="11253" spans="114:114">
      <c r="DJ11253" s="29"/>
    </row>
    <row r="11254" spans="114:114">
      <c r="DJ11254" s="29"/>
    </row>
    <row r="11255" spans="114:114">
      <c r="DJ11255" s="29"/>
    </row>
    <row r="11256" spans="114:114">
      <c r="DJ11256" s="29"/>
    </row>
    <row r="11257" spans="114:114">
      <c r="DJ11257" s="29"/>
    </row>
    <row r="11258" spans="114:114">
      <c r="DJ11258" s="29"/>
    </row>
    <row r="11259" spans="114:114">
      <c r="DJ11259" s="29"/>
    </row>
    <row r="11260" spans="114:114">
      <c r="DJ11260" s="29"/>
    </row>
    <row r="11261" spans="114:114">
      <c r="DJ11261" s="29"/>
    </row>
    <row r="11262" spans="114:114">
      <c r="DJ11262" s="29"/>
    </row>
    <row r="11263" spans="114:114">
      <c r="DJ11263" s="29"/>
    </row>
    <row r="11264" spans="114:114">
      <c r="DJ11264" s="29"/>
    </row>
    <row r="11265" spans="114:114">
      <c r="DJ11265" s="29"/>
    </row>
    <row r="11266" spans="114:114">
      <c r="DJ11266" s="29"/>
    </row>
    <row r="11267" spans="114:114">
      <c r="DJ11267" s="29"/>
    </row>
    <row r="11268" spans="114:114">
      <c r="DJ11268" s="29"/>
    </row>
    <row r="11269" spans="114:114">
      <c r="DJ11269" s="29"/>
    </row>
    <row r="11270" spans="114:114">
      <c r="DJ11270" s="29"/>
    </row>
    <row r="11271" spans="114:114">
      <c r="DJ11271" s="29"/>
    </row>
    <row r="11272" spans="114:114">
      <c r="DJ11272" s="29"/>
    </row>
    <row r="11273" spans="114:114">
      <c r="DJ11273" s="29"/>
    </row>
    <row r="11274" spans="114:114">
      <c r="DJ11274" s="29"/>
    </row>
    <row r="11275" spans="114:114">
      <c r="DJ11275" s="29"/>
    </row>
    <row r="11276" spans="114:114">
      <c r="DJ11276" s="29"/>
    </row>
    <row r="11277" spans="114:114">
      <c r="DJ11277" s="29"/>
    </row>
    <row r="11278" spans="114:114">
      <c r="DJ11278" s="29"/>
    </row>
    <row r="11279" spans="114:114">
      <c r="DJ11279" s="29"/>
    </row>
    <row r="11280" spans="114:114">
      <c r="DJ11280" s="29"/>
    </row>
    <row r="11281" spans="114:114">
      <c r="DJ11281" s="29"/>
    </row>
    <row r="11282" spans="114:114">
      <c r="DJ11282" s="29"/>
    </row>
    <row r="11283" spans="114:114">
      <c r="DJ11283" s="29"/>
    </row>
    <row r="11284" spans="114:114">
      <c r="DJ11284" s="29"/>
    </row>
    <row r="11285" spans="114:114">
      <c r="DJ11285" s="29"/>
    </row>
    <row r="11286" spans="114:114">
      <c r="DJ11286" s="29"/>
    </row>
    <row r="11287" spans="114:114">
      <c r="DJ11287" s="29"/>
    </row>
    <row r="11288" spans="114:114">
      <c r="DJ11288" s="29"/>
    </row>
    <row r="11289" spans="114:114">
      <c r="DJ11289" s="29"/>
    </row>
    <row r="11290" spans="114:114">
      <c r="DJ11290" s="29"/>
    </row>
    <row r="11291" spans="114:114">
      <c r="DJ11291" s="29"/>
    </row>
    <row r="11292" spans="114:114">
      <c r="DJ11292" s="29"/>
    </row>
    <row r="11293" spans="114:114">
      <c r="DJ11293" s="29"/>
    </row>
    <row r="11294" spans="114:114">
      <c r="DJ11294" s="29"/>
    </row>
    <row r="11295" spans="114:114">
      <c r="DJ11295" s="29"/>
    </row>
    <row r="11296" spans="114:114">
      <c r="DJ11296" s="29"/>
    </row>
    <row r="11297" spans="114:114">
      <c r="DJ11297" s="29"/>
    </row>
    <row r="11298" spans="114:114">
      <c r="DJ11298" s="29"/>
    </row>
    <row r="11299" spans="114:114">
      <c r="DJ11299" s="29"/>
    </row>
    <row r="11300" spans="114:114">
      <c r="DJ11300" s="29"/>
    </row>
    <row r="11301" spans="114:114">
      <c r="DJ11301" s="29"/>
    </row>
    <row r="11302" spans="114:114">
      <c r="DJ11302" s="29"/>
    </row>
    <row r="11303" spans="114:114">
      <c r="DJ11303" s="29"/>
    </row>
    <row r="11304" spans="114:114">
      <c r="DJ11304" s="29"/>
    </row>
    <row r="11305" spans="114:114">
      <c r="DJ11305" s="29"/>
    </row>
    <row r="11306" spans="114:114">
      <c r="DJ11306" s="29"/>
    </row>
    <row r="11307" spans="114:114">
      <c r="DJ11307" s="29"/>
    </row>
    <row r="11308" spans="114:114">
      <c r="DJ11308" s="29"/>
    </row>
    <row r="11309" spans="114:114">
      <c r="DJ11309" s="29"/>
    </row>
    <row r="11310" spans="114:114">
      <c r="DJ11310" s="29"/>
    </row>
    <row r="11311" spans="114:114">
      <c r="DJ11311" s="29"/>
    </row>
    <row r="11312" spans="114:114">
      <c r="DJ11312" s="29"/>
    </row>
    <row r="11313" spans="114:114">
      <c r="DJ11313" s="29"/>
    </row>
    <row r="11314" spans="114:114">
      <c r="DJ11314" s="29"/>
    </row>
    <row r="11315" spans="114:114">
      <c r="DJ11315" s="29"/>
    </row>
    <row r="11316" spans="114:114">
      <c r="DJ11316" s="29"/>
    </row>
    <row r="11317" spans="114:114">
      <c r="DJ11317" s="29"/>
    </row>
    <row r="11318" spans="114:114">
      <c r="DJ11318" s="29"/>
    </row>
    <row r="11319" spans="114:114">
      <c r="DJ11319" s="29"/>
    </row>
    <row r="11320" spans="114:114">
      <c r="DJ11320" s="29"/>
    </row>
    <row r="11321" spans="114:114">
      <c r="DJ11321" s="29"/>
    </row>
    <row r="11322" spans="114:114">
      <c r="DJ11322" s="29"/>
    </row>
    <row r="11323" spans="114:114">
      <c r="DJ11323" s="29"/>
    </row>
    <row r="11324" spans="114:114">
      <c r="DJ11324" s="29"/>
    </row>
    <row r="11325" spans="114:114">
      <c r="DJ11325" s="29"/>
    </row>
    <row r="11326" spans="114:114">
      <c r="DJ11326" s="29"/>
    </row>
    <row r="11327" spans="114:114">
      <c r="DJ11327" s="29"/>
    </row>
    <row r="11328" spans="114:114">
      <c r="DJ11328" s="29"/>
    </row>
    <row r="11329" spans="114:114">
      <c r="DJ11329" s="29"/>
    </row>
    <row r="11330" spans="114:114">
      <c r="DJ11330" s="29"/>
    </row>
    <row r="11331" spans="114:114">
      <c r="DJ11331" s="29"/>
    </row>
    <row r="11332" spans="114:114">
      <c r="DJ11332" s="29"/>
    </row>
    <row r="11333" spans="114:114">
      <c r="DJ11333" s="29"/>
    </row>
    <row r="11334" spans="114:114">
      <c r="DJ11334" s="29"/>
    </row>
    <row r="11335" spans="114:114">
      <c r="DJ11335" s="29"/>
    </row>
    <row r="11336" spans="114:114">
      <c r="DJ11336" s="29"/>
    </row>
    <row r="11337" spans="114:114">
      <c r="DJ11337" s="29"/>
    </row>
    <row r="11338" spans="114:114">
      <c r="DJ11338" s="29"/>
    </row>
    <row r="11339" spans="114:114">
      <c r="DJ11339" s="29"/>
    </row>
    <row r="11340" spans="114:114">
      <c r="DJ11340" s="29"/>
    </row>
    <row r="11341" spans="114:114">
      <c r="DJ11341" s="29"/>
    </row>
    <row r="11342" spans="114:114">
      <c r="DJ11342" s="29"/>
    </row>
    <row r="11343" spans="114:114">
      <c r="DJ11343" s="29"/>
    </row>
    <row r="11344" spans="114:114">
      <c r="DJ11344" s="29"/>
    </row>
    <row r="11345" spans="114:114">
      <c r="DJ11345" s="29"/>
    </row>
    <row r="11346" spans="114:114">
      <c r="DJ11346" s="29"/>
    </row>
    <row r="11347" spans="114:114">
      <c r="DJ11347" s="29"/>
    </row>
    <row r="11348" spans="114:114">
      <c r="DJ11348" s="29"/>
    </row>
    <row r="11349" spans="114:114">
      <c r="DJ11349" s="29"/>
    </row>
    <row r="11350" spans="114:114">
      <c r="DJ11350" s="29"/>
    </row>
    <row r="11351" spans="114:114">
      <c r="DJ11351" s="29"/>
    </row>
    <row r="11352" spans="114:114">
      <c r="DJ11352" s="29"/>
    </row>
    <row r="11353" spans="114:114">
      <c r="DJ11353" s="29"/>
    </row>
    <row r="11354" spans="114:114">
      <c r="DJ11354" s="29"/>
    </row>
    <row r="11355" spans="114:114">
      <c r="DJ11355" s="29"/>
    </row>
    <row r="11356" spans="114:114">
      <c r="DJ11356" s="29"/>
    </row>
    <row r="11357" spans="114:114">
      <c r="DJ11357" s="29"/>
    </row>
    <row r="11358" spans="114:114">
      <c r="DJ11358" s="29"/>
    </row>
    <row r="11359" spans="114:114">
      <c r="DJ11359" s="29"/>
    </row>
    <row r="11360" spans="114:114">
      <c r="DJ11360" s="29"/>
    </row>
    <row r="11361" spans="114:114">
      <c r="DJ11361" s="29"/>
    </row>
    <row r="11362" spans="114:114">
      <c r="DJ11362" s="29"/>
    </row>
    <row r="11363" spans="114:114">
      <c r="DJ11363" s="29"/>
    </row>
    <row r="11364" spans="114:114">
      <c r="DJ11364" s="29"/>
    </row>
    <row r="11365" spans="114:114">
      <c r="DJ11365" s="29"/>
    </row>
    <row r="11366" spans="114:114">
      <c r="DJ11366" s="29"/>
    </row>
    <row r="11367" spans="114:114">
      <c r="DJ11367" s="29"/>
    </row>
    <row r="11368" spans="114:114">
      <c r="DJ11368" s="29"/>
    </row>
    <row r="11369" spans="114:114">
      <c r="DJ11369" s="29"/>
    </row>
    <row r="11370" spans="114:114">
      <c r="DJ11370" s="29"/>
    </row>
    <row r="11371" spans="114:114">
      <c r="DJ11371" s="29"/>
    </row>
    <row r="11372" spans="114:114">
      <c r="DJ11372" s="29"/>
    </row>
    <row r="11373" spans="114:114">
      <c r="DJ11373" s="29"/>
    </row>
    <row r="11374" spans="114:114">
      <c r="DJ11374" s="29"/>
    </row>
    <row r="11375" spans="114:114">
      <c r="DJ11375" s="29"/>
    </row>
    <row r="11376" spans="114:114">
      <c r="DJ11376" s="29"/>
    </row>
    <row r="11377" spans="114:114">
      <c r="DJ11377" s="29"/>
    </row>
    <row r="11378" spans="114:114">
      <c r="DJ11378" s="29"/>
    </row>
    <row r="11379" spans="114:114">
      <c r="DJ11379" s="29"/>
    </row>
    <row r="11380" spans="114:114">
      <c r="DJ11380" s="29"/>
    </row>
    <row r="11381" spans="114:114">
      <c r="DJ11381" s="29"/>
    </row>
    <row r="11382" spans="114:114">
      <c r="DJ11382" s="29"/>
    </row>
    <row r="11383" spans="114:114">
      <c r="DJ11383" s="29"/>
    </row>
    <row r="11384" spans="114:114">
      <c r="DJ11384" s="29"/>
    </row>
    <row r="11385" spans="114:114">
      <c r="DJ11385" s="29"/>
    </row>
    <row r="11386" spans="114:114">
      <c r="DJ11386" s="29"/>
    </row>
    <row r="11387" spans="114:114">
      <c r="DJ11387" s="29"/>
    </row>
    <row r="11388" spans="114:114">
      <c r="DJ11388" s="29"/>
    </row>
    <row r="11389" spans="114:114">
      <c r="DJ11389" s="29"/>
    </row>
    <row r="11390" spans="114:114">
      <c r="DJ11390" s="29"/>
    </row>
    <row r="11391" spans="114:114">
      <c r="DJ11391" s="29"/>
    </row>
    <row r="11392" spans="114:114">
      <c r="DJ11392" s="29"/>
    </row>
    <row r="11393" spans="114:114">
      <c r="DJ11393" s="29"/>
    </row>
    <row r="11394" spans="114:114">
      <c r="DJ11394" s="29"/>
    </row>
    <row r="11395" spans="114:114">
      <c r="DJ11395" s="29"/>
    </row>
    <row r="11396" spans="114:114">
      <c r="DJ11396" s="29"/>
    </row>
    <row r="11397" spans="114:114">
      <c r="DJ11397" s="29"/>
    </row>
    <row r="11398" spans="114:114">
      <c r="DJ11398" s="29"/>
    </row>
    <row r="11399" spans="114:114">
      <c r="DJ11399" s="29"/>
    </row>
    <row r="11400" spans="114:114">
      <c r="DJ11400" s="29"/>
    </row>
    <row r="11401" spans="114:114">
      <c r="DJ11401" s="29"/>
    </row>
    <row r="11402" spans="114:114">
      <c r="DJ11402" s="29"/>
    </row>
    <row r="11403" spans="114:114">
      <c r="DJ11403" s="29"/>
    </row>
    <row r="11404" spans="114:114">
      <c r="DJ11404" s="29"/>
    </row>
    <row r="11405" spans="114:114">
      <c r="DJ11405" s="29"/>
    </row>
    <row r="11406" spans="114:114">
      <c r="DJ11406" s="29"/>
    </row>
    <row r="11407" spans="114:114">
      <c r="DJ11407" s="29"/>
    </row>
    <row r="11408" spans="114:114">
      <c r="DJ11408" s="29"/>
    </row>
    <row r="11409" spans="114:114">
      <c r="DJ11409" s="29"/>
    </row>
    <row r="11410" spans="114:114">
      <c r="DJ11410" s="29"/>
    </row>
    <row r="11411" spans="114:114">
      <c r="DJ11411" s="29"/>
    </row>
    <row r="11412" spans="114:114">
      <c r="DJ11412" s="29"/>
    </row>
    <row r="11413" spans="114:114">
      <c r="DJ11413" s="29"/>
    </row>
    <row r="11414" spans="114:114">
      <c r="DJ11414" s="29"/>
    </row>
    <row r="11415" spans="114:114">
      <c r="DJ11415" s="29"/>
    </row>
    <row r="11416" spans="114:114">
      <c r="DJ11416" s="29"/>
    </row>
    <row r="11417" spans="114:114">
      <c r="DJ11417" s="29"/>
    </row>
    <row r="11418" spans="114:114">
      <c r="DJ11418" s="29"/>
    </row>
    <row r="11419" spans="114:114">
      <c r="DJ11419" s="29"/>
    </row>
    <row r="11420" spans="114:114">
      <c r="DJ11420" s="29"/>
    </row>
    <row r="11421" spans="114:114">
      <c r="DJ11421" s="29"/>
    </row>
    <row r="11422" spans="114:114">
      <c r="DJ11422" s="29"/>
    </row>
    <row r="11423" spans="114:114">
      <c r="DJ11423" s="29"/>
    </row>
    <row r="11424" spans="114:114">
      <c r="DJ11424" s="29"/>
    </row>
    <row r="11425" spans="114:114">
      <c r="DJ11425" s="29"/>
    </row>
    <row r="11426" spans="114:114">
      <c r="DJ11426" s="29"/>
    </row>
    <row r="11427" spans="114:114">
      <c r="DJ11427" s="29"/>
    </row>
    <row r="11428" spans="114:114">
      <c r="DJ11428" s="29"/>
    </row>
    <row r="11429" spans="114:114">
      <c r="DJ11429" s="29"/>
    </row>
    <row r="11430" spans="114:114">
      <c r="DJ11430" s="29"/>
    </row>
    <row r="11431" spans="114:114">
      <c r="DJ11431" s="29"/>
    </row>
    <row r="11432" spans="114:114">
      <c r="DJ11432" s="29"/>
    </row>
    <row r="11433" spans="114:114">
      <c r="DJ11433" s="29"/>
    </row>
    <row r="11434" spans="114:114">
      <c r="DJ11434" s="29"/>
    </row>
    <row r="11435" spans="114:114">
      <c r="DJ11435" s="29"/>
    </row>
    <row r="11436" spans="114:114">
      <c r="DJ11436" s="29"/>
    </row>
    <row r="11437" spans="114:114">
      <c r="DJ11437" s="29"/>
    </row>
    <row r="11438" spans="114:114">
      <c r="DJ11438" s="29"/>
    </row>
    <row r="11439" spans="114:114">
      <c r="DJ11439" s="29"/>
    </row>
    <row r="11440" spans="114:114">
      <c r="DJ11440" s="29"/>
    </row>
    <row r="11441" spans="114:114">
      <c r="DJ11441" s="29"/>
    </row>
    <row r="11442" spans="114:114">
      <c r="DJ11442" s="29"/>
    </row>
    <row r="11443" spans="114:114">
      <c r="DJ11443" s="29"/>
    </row>
    <row r="11444" spans="114:114">
      <c r="DJ11444" s="29"/>
    </row>
    <row r="11445" spans="114:114">
      <c r="DJ11445" s="29"/>
    </row>
    <row r="11446" spans="114:114">
      <c r="DJ11446" s="29"/>
    </row>
    <row r="11447" spans="114:114">
      <c r="DJ11447" s="29"/>
    </row>
    <row r="11448" spans="114:114">
      <c r="DJ11448" s="29"/>
    </row>
    <row r="11449" spans="114:114">
      <c r="DJ11449" s="29"/>
    </row>
    <row r="11450" spans="114:114">
      <c r="DJ11450" s="29"/>
    </row>
    <row r="11451" spans="114:114">
      <c r="DJ11451" s="29"/>
    </row>
    <row r="11452" spans="114:114">
      <c r="DJ11452" s="29"/>
    </row>
    <row r="11453" spans="114:114">
      <c r="DJ11453" s="29"/>
    </row>
    <row r="11454" spans="114:114">
      <c r="DJ11454" s="29"/>
    </row>
    <row r="11455" spans="114:114">
      <c r="DJ11455" s="29"/>
    </row>
    <row r="11456" spans="114:114">
      <c r="DJ11456" s="29"/>
    </row>
    <row r="11457" spans="114:114">
      <c r="DJ11457" s="29"/>
    </row>
    <row r="11458" spans="114:114">
      <c r="DJ11458" s="29"/>
    </row>
    <row r="11459" spans="114:114">
      <c r="DJ11459" s="29"/>
    </row>
    <row r="11460" spans="114:114">
      <c r="DJ11460" s="29"/>
    </row>
    <row r="11461" spans="114:114">
      <c r="DJ11461" s="29"/>
    </row>
    <row r="11462" spans="114:114">
      <c r="DJ11462" s="29"/>
    </row>
    <row r="11463" spans="114:114">
      <c r="DJ11463" s="29"/>
    </row>
    <row r="11464" spans="114:114">
      <c r="DJ11464" s="29"/>
    </row>
    <row r="11465" spans="114:114">
      <c r="DJ11465" s="29"/>
    </row>
    <row r="11466" spans="114:114">
      <c r="DJ11466" s="29"/>
    </row>
    <row r="11467" spans="114:114">
      <c r="DJ11467" s="29"/>
    </row>
    <row r="11468" spans="114:114">
      <c r="DJ11468" s="29"/>
    </row>
    <row r="11469" spans="114:114">
      <c r="DJ11469" s="29"/>
    </row>
    <row r="11470" spans="114:114">
      <c r="DJ11470" s="29"/>
    </row>
    <row r="11471" spans="114:114">
      <c r="DJ11471" s="29"/>
    </row>
    <row r="11472" spans="114:114">
      <c r="DJ11472" s="29"/>
    </row>
    <row r="11473" spans="114:114">
      <c r="DJ11473" s="29"/>
    </row>
    <row r="11474" spans="114:114">
      <c r="DJ11474" s="29"/>
    </row>
    <row r="11475" spans="114:114">
      <c r="DJ11475" s="29"/>
    </row>
    <row r="11476" spans="114:114">
      <c r="DJ11476" s="29"/>
    </row>
    <row r="11477" spans="114:114">
      <c r="DJ11477" s="29"/>
    </row>
    <row r="11478" spans="114:114">
      <c r="DJ11478" s="29"/>
    </row>
    <row r="11479" spans="114:114">
      <c r="DJ11479" s="29"/>
    </row>
    <row r="11480" spans="114:114">
      <c r="DJ11480" s="29"/>
    </row>
    <row r="11481" spans="114:114">
      <c r="DJ11481" s="29"/>
    </row>
    <row r="11482" spans="114:114">
      <c r="DJ11482" s="29"/>
    </row>
    <row r="11483" spans="114:114">
      <c r="DJ11483" s="29"/>
    </row>
    <row r="11484" spans="114:114">
      <c r="DJ11484" s="29"/>
    </row>
    <row r="11485" spans="114:114">
      <c r="DJ11485" s="29"/>
    </row>
    <row r="11486" spans="114:114">
      <c r="DJ11486" s="29"/>
    </row>
    <row r="11487" spans="114:114">
      <c r="DJ11487" s="29"/>
    </row>
    <row r="11488" spans="114:114">
      <c r="DJ11488" s="29"/>
    </row>
    <row r="11489" spans="114:114">
      <c r="DJ11489" s="29"/>
    </row>
    <row r="11490" spans="114:114">
      <c r="DJ11490" s="29"/>
    </row>
    <row r="11491" spans="114:114">
      <c r="DJ11491" s="29"/>
    </row>
    <row r="11492" spans="114:114">
      <c r="DJ11492" s="29"/>
    </row>
    <row r="11493" spans="114:114">
      <c r="DJ11493" s="29"/>
    </row>
    <row r="11494" spans="114:114">
      <c r="DJ11494" s="29"/>
    </row>
    <row r="11495" spans="114:114">
      <c r="DJ11495" s="29"/>
    </row>
    <row r="11496" spans="114:114">
      <c r="DJ11496" s="29"/>
    </row>
    <row r="11497" spans="114:114">
      <c r="DJ11497" s="29"/>
    </row>
    <row r="11498" spans="114:114">
      <c r="DJ11498" s="29"/>
    </row>
    <row r="11499" spans="114:114">
      <c r="DJ11499" s="29"/>
    </row>
    <row r="11500" spans="114:114">
      <c r="DJ11500" s="29"/>
    </row>
    <row r="11501" spans="114:114">
      <c r="DJ11501" s="29"/>
    </row>
    <row r="11502" spans="114:114">
      <c r="DJ11502" s="29"/>
    </row>
    <row r="11503" spans="114:114">
      <c r="DJ11503" s="29"/>
    </row>
    <row r="11504" spans="114:114">
      <c r="DJ11504" s="29"/>
    </row>
    <row r="11505" spans="114:114">
      <c r="DJ11505" s="29"/>
    </row>
    <row r="11506" spans="114:114">
      <c r="DJ11506" s="29"/>
    </row>
    <row r="11507" spans="114:114">
      <c r="DJ11507" s="29"/>
    </row>
    <row r="11508" spans="114:114">
      <c r="DJ11508" s="29"/>
    </row>
    <row r="11509" spans="114:114">
      <c r="DJ11509" s="29"/>
    </row>
    <row r="11510" spans="114:114">
      <c r="DJ11510" s="29"/>
    </row>
    <row r="11511" spans="114:114">
      <c r="DJ11511" s="29"/>
    </row>
    <row r="11512" spans="114:114">
      <c r="DJ11512" s="29"/>
    </row>
    <row r="11513" spans="114:114">
      <c r="DJ11513" s="29"/>
    </row>
    <row r="11514" spans="114:114">
      <c r="DJ11514" s="29"/>
    </row>
    <row r="11515" spans="114:114">
      <c r="DJ11515" s="29"/>
    </row>
    <row r="11516" spans="114:114">
      <c r="DJ11516" s="29"/>
    </row>
    <row r="11517" spans="114:114">
      <c r="DJ11517" s="29"/>
    </row>
    <row r="11518" spans="114:114">
      <c r="DJ11518" s="29"/>
    </row>
    <row r="11519" spans="114:114">
      <c r="DJ11519" s="29"/>
    </row>
    <row r="11520" spans="114:114">
      <c r="DJ11520" s="29"/>
    </row>
    <row r="11521" spans="114:114">
      <c r="DJ11521" s="29"/>
    </row>
    <row r="11522" spans="114:114">
      <c r="DJ11522" s="29"/>
    </row>
    <row r="11523" spans="114:114">
      <c r="DJ11523" s="29"/>
    </row>
    <row r="11524" spans="114:114">
      <c r="DJ11524" s="29"/>
    </row>
    <row r="11525" spans="114:114">
      <c r="DJ11525" s="29"/>
    </row>
    <row r="11526" spans="114:114">
      <c r="DJ11526" s="29"/>
    </row>
    <row r="11527" spans="114:114">
      <c r="DJ11527" s="29"/>
    </row>
    <row r="11528" spans="114:114">
      <c r="DJ11528" s="29"/>
    </row>
    <row r="11529" spans="114:114">
      <c r="DJ11529" s="29"/>
    </row>
    <row r="11530" spans="114:114">
      <c r="DJ11530" s="29"/>
    </row>
    <row r="11531" spans="114:114">
      <c r="DJ11531" s="29"/>
    </row>
    <row r="11532" spans="114:114">
      <c r="DJ11532" s="29"/>
    </row>
    <row r="11533" spans="114:114">
      <c r="DJ11533" s="29"/>
    </row>
    <row r="11534" spans="114:114">
      <c r="DJ11534" s="29"/>
    </row>
    <row r="11535" spans="114:114">
      <c r="DJ11535" s="29"/>
    </row>
    <row r="11536" spans="114:114">
      <c r="DJ11536" s="29"/>
    </row>
    <row r="11537" spans="114:114">
      <c r="DJ11537" s="29"/>
    </row>
    <row r="11538" spans="114:114">
      <c r="DJ11538" s="29"/>
    </row>
    <row r="11539" spans="114:114">
      <c r="DJ11539" s="29"/>
    </row>
    <row r="11540" spans="114:114">
      <c r="DJ11540" s="29"/>
    </row>
    <row r="11541" spans="114:114">
      <c r="DJ11541" s="29"/>
    </row>
    <row r="11542" spans="114:114">
      <c r="DJ11542" s="29"/>
    </row>
    <row r="11543" spans="114:114">
      <c r="DJ11543" s="29"/>
    </row>
    <row r="11544" spans="114:114">
      <c r="DJ11544" s="29"/>
    </row>
    <row r="11545" spans="114:114">
      <c r="DJ11545" s="29"/>
    </row>
    <row r="11546" spans="114:114">
      <c r="DJ11546" s="29"/>
    </row>
    <row r="11547" spans="114:114">
      <c r="DJ11547" s="29"/>
    </row>
    <row r="11548" spans="114:114">
      <c r="DJ11548" s="29"/>
    </row>
    <row r="11549" spans="114:114">
      <c r="DJ11549" s="29"/>
    </row>
    <row r="11550" spans="114:114">
      <c r="DJ11550" s="29"/>
    </row>
    <row r="11551" spans="114:114">
      <c r="DJ11551" s="29"/>
    </row>
    <row r="11552" spans="114:114">
      <c r="DJ11552" s="29"/>
    </row>
    <row r="11553" spans="114:114">
      <c r="DJ11553" s="29"/>
    </row>
    <row r="11554" spans="114:114">
      <c r="DJ11554" s="29"/>
    </row>
    <row r="11555" spans="114:114">
      <c r="DJ11555" s="29"/>
    </row>
    <row r="11556" spans="114:114">
      <c r="DJ11556" s="29"/>
    </row>
    <row r="11557" spans="114:114">
      <c r="DJ11557" s="29"/>
    </row>
    <row r="11558" spans="114:114">
      <c r="DJ11558" s="29"/>
    </row>
    <row r="11559" spans="114:114">
      <c r="DJ11559" s="29"/>
    </row>
    <row r="11560" spans="114:114">
      <c r="DJ11560" s="29"/>
    </row>
    <row r="11561" spans="114:114">
      <c r="DJ11561" s="29"/>
    </row>
    <row r="11562" spans="114:114">
      <c r="DJ11562" s="29"/>
    </row>
    <row r="11563" spans="114:114">
      <c r="DJ11563" s="29"/>
    </row>
    <row r="11564" spans="114:114">
      <c r="DJ11564" s="29"/>
    </row>
    <row r="11565" spans="114:114">
      <c r="DJ11565" s="29"/>
    </row>
    <row r="11566" spans="114:114">
      <c r="DJ11566" s="29"/>
    </row>
    <row r="11567" spans="114:114">
      <c r="DJ11567" s="29"/>
    </row>
    <row r="11568" spans="114:114">
      <c r="DJ11568" s="29"/>
    </row>
    <row r="11569" spans="114:114">
      <c r="DJ11569" s="29"/>
    </row>
    <row r="11570" spans="114:114">
      <c r="DJ11570" s="29"/>
    </row>
    <row r="11571" spans="114:114">
      <c r="DJ11571" s="29"/>
    </row>
    <row r="11572" spans="114:114">
      <c r="DJ11572" s="29"/>
    </row>
    <row r="11573" spans="114:114">
      <c r="DJ11573" s="29"/>
    </row>
    <row r="11574" spans="114:114">
      <c r="DJ11574" s="29"/>
    </row>
    <row r="11575" spans="114:114">
      <c r="DJ11575" s="29"/>
    </row>
    <row r="11576" spans="114:114">
      <c r="DJ11576" s="29"/>
    </row>
    <row r="11577" spans="114:114">
      <c r="DJ11577" s="29"/>
    </row>
    <row r="11578" spans="114:114">
      <c r="DJ11578" s="29"/>
    </row>
    <row r="11579" spans="114:114">
      <c r="DJ11579" s="29"/>
    </row>
    <row r="11580" spans="114:114">
      <c r="DJ11580" s="29"/>
    </row>
    <row r="11581" spans="114:114">
      <c r="DJ11581" s="29"/>
    </row>
    <row r="11582" spans="114:114">
      <c r="DJ11582" s="29"/>
    </row>
    <row r="11583" spans="114:114">
      <c r="DJ11583" s="29"/>
    </row>
    <row r="11584" spans="114:114">
      <c r="DJ11584" s="29"/>
    </row>
    <row r="11585" spans="114:114">
      <c r="DJ11585" s="29"/>
    </row>
    <row r="11586" spans="114:114">
      <c r="DJ11586" s="29"/>
    </row>
    <row r="11587" spans="114:114">
      <c r="DJ11587" s="29"/>
    </row>
    <row r="11588" spans="114:114">
      <c r="DJ11588" s="29"/>
    </row>
    <row r="11589" spans="114:114">
      <c r="DJ11589" s="29"/>
    </row>
    <row r="11590" spans="114:114">
      <c r="DJ11590" s="29"/>
    </row>
    <row r="11591" spans="114:114">
      <c r="DJ11591" s="29"/>
    </row>
    <row r="11592" spans="114:114">
      <c r="DJ11592" s="29"/>
    </row>
    <row r="11593" spans="114:114">
      <c r="DJ11593" s="29"/>
    </row>
    <row r="11594" spans="114:114">
      <c r="DJ11594" s="29"/>
    </row>
    <row r="11595" spans="114:114">
      <c r="DJ11595" s="29"/>
    </row>
    <row r="11596" spans="114:114">
      <c r="DJ11596" s="29"/>
    </row>
    <row r="11597" spans="114:114">
      <c r="DJ11597" s="29"/>
    </row>
    <row r="11598" spans="114:114">
      <c r="DJ11598" s="29"/>
    </row>
    <row r="11599" spans="114:114">
      <c r="DJ11599" s="29"/>
    </row>
    <row r="11600" spans="114:114">
      <c r="DJ11600" s="29"/>
    </row>
    <row r="11601" spans="114:114">
      <c r="DJ11601" s="29"/>
    </row>
    <row r="11602" spans="114:114">
      <c r="DJ11602" s="29"/>
    </row>
    <row r="11603" spans="114:114">
      <c r="DJ11603" s="29"/>
    </row>
    <row r="11604" spans="114:114">
      <c r="DJ11604" s="29"/>
    </row>
    <row r="11605" spans="114:114">
      <c r="DJ11605" s="29"/>
    </row>
    <row r="11606" spans="114:114">
      <c r="DJ11606" s="29"/>
    </row>
    <row r="11607" spans="114:114">
      <c r="DJ11607" s="29"/>
    </row>
    <row r="11608" spans="114:114">
      <c r="DJ11608" s="29"/>
    </row>
    <row r="11609" spans="114:114">
      <c r="DJ11609" s="29"/>
    </row>
    <row r="11610" spans="114:114">
      <c r="DJ11610" s="29"/>
    </row>
    <row r="11611" spans="114:114">
      <c r="DJ11611" s="29"/>
    </row>
    <row r="11612" spans="114:114">
      <c r="DJ11612" s="29"/>
    </row>
    <row r="11613" spans="114:114">
      <c r="DJ11613" s="29"/>
    </row>
    <row r="11614" spans="114:114">
      <c r="DJ11614" s="29"/>
    </row>
    <row r="11615" spans="114:114">
      <c r="DJ11615" s="29"/>
    </row>
    <row r="11616" spans="114:114">
      <c r="DJ11616" s="29"/>
    </row>
    <row r="11617" spans="114:114">
      <c r="DJ11617" s="29"/>
    </row>
    <row r="11618" spans="114:114">
      <c r="DJ11618" s="29"/>
    </row>
    <row r="11619" spans="114:114">
      <c r="DJ11619" s="29"/>
    </row>
    <row r="11620" spans="114:114">
      <c r="DJ11620" s="29"/>
    </row>
    <row r="11621" spans="114:114">
      <c r="DJ11621" s="29"/>
    </row>
    <row r="11622" spans="114:114">
      <c r="DJ11622" s="29"/>
    </row>
    <row r="11623" spans="114:114">
      <c r="DJ11623" s="29"/>
    </row>
    <row r="11624" spans="114:114">
      <c r="DJ11624" s="29"/>
    </row>
    <row r="11625" spans="114:114">
      <c r="DJ11625" s="29"/>
    </row>
    <row r="11626" spans="114:114">
      <c r="DJ11626" s="29"/>
    </row>
    <row r="11627" spans="114:114">
      <c r="DJ11627" s="29"/>
    </row>
    <row r="11628" spans="114:114">
      <c r="DJ11628" s="29"/>
    </row>
    <row r="11629" spans="114:114">
      <c r="DJ11629" s="29"/>
    </row>
    <row r="11630" spans="114:114">
      <c r="DJ11630" s="29"/>
    </row>
    <row r="11631" spans="114:114">
      <c r="DJ11631" s="29"/>
    </row>
    <row r="11632" spans="114:114">
      <c r="DJ11632" s="29"/>
    </row>
    <row r="11633" spans="114:114">
      <c r="DJ11633" s="29"/>
    </row>
    <row r="11634" spans="114:114">
      <c r="DJ11634" s="29"/>
    </row>
    <row r="11635" spans="114:114">
      <c r="DJ11635" s="29"/>
    </row>
    <row r="11636" spans="114:114">
      <c r="DJ11636" s="29"/>
    </row>
    <row r="11637" spans="114:114">
      <c r="DJ11637" s="29"/>
    </row>
    <row r="11638" spans="114:114">
      <c r="DJ11638" s="29"/>
    </row>
    <row r="11639" spans="114:114">
      <c r="DJ11639" s="29"/>
    </row>
    <row r="11640" spans="114:114">
      <c r="DJ11640" s="29"/>
    </row>
    <row r="11641" spans="114:114">
      <c r="DJ11641" s="29"/>
    </row>
    <row r="11642" spans="114:114">
      <c r="DJ11642" s="29"/>
    </row>
    <row r="11643" spans="114:114">
      <c r="DJ11643" s="29"/>
    </row>
    <row r="11644" spans="114:114">
      <c r="DJ11644" s="29"/>
    </row>
    <row r="11645" spans="114:114">
      <c r="DJ11645" s="29"/>
    </row>
    <row r="11646" spans="114:114">
      <c r="DJ11646" s="29"/>
    </row>
    <row r="11647" spans="114:114">
      <c r="DJ11647" s="29"/>
    </row>
    <row r="11648" spans="114:114">
      <c r="DJ11648" s="29"/>
    </row>
    <row r="11649" spans="114:114">
      <c r="DJ11649" s="29"/>
    </row>
    <row r="11650" spans="114:114">
      <c r="DJ11650" s="29"/>
    </row>
    <row r="11651" spans="114:114">
      <c r="DJ11651" s="29"/>
    </row>
    <row r="11652" spans="114:114">
      <c r="DJ11652" s="29"/>
    </row>
    <row r="11653" spans="114:114">
      <c r="DJ11653" s="29"/>
    </row>
    <row r="11654" spans="114:114">
      <c r="DJ11654" s="29"/>
    </row>
    <row r="11655" spans="114:114">
      <c r="DJ11655" s="29"/>
    </row>
    <row r="11656" spans="114:114">
      <c r="DJ11656" s="29"/>
    </row>
    <row r="11657" spans="114:114">
      <c r="DJ11657" s="29"/>
    </row>
    <row r="11658" spans="114:114">
      <c r="DJ11658" s="29"/>
    </row>
    <row r="11659" spans="114:114">
      <c r="DJ11659" s="29"/>
    </row>
    <row r="11660" spans="114:114">
      <c r="DJ11660" s="29"/>
    </row>
    <row r="11661" spans="114:114">
      <c r="DJ11661" s="29"/>
    </row>
    <row r="11662" spans="114:114">
      <c r="DJ11662" s="29"/>
    </row>
    <row r="11663" spans="114:114">
      <c r="DJ11663" s="29"/>
    </row>
    <row r="11664" spans="114:114">
      <c r="DJ11664" s="29"/>
    </row>
    <row r="11665" spans="114:114">
      <c r="DJ11665" s="29"/>
    </row>
    <row r="11666" spans="114:114">
      <c r="DJ11666" s="29"/>
    </row>
    <row r="11667" spans="114:114">
      <c r="DJ11667" s="29"/>
    </row>
    <row r="11668" spans="114:114">
      <c r="DJ11668" s="29"/>
    </row>
    <row r="11669" spans="114:114">
      <c r="DJ11669" s="29"/>
    </row>
    <row r="11670" spans="114:114">
      <c r="DJ11670" s="29"/>
    </row>
    <row r="11671" spans="114:114">
      <c r="DJ11671" s="29"/>
    </row>
    <row r="11672" spans="114:114">
      <c r="DJ11672" s="29"/>
    </row>
    <row r="11673" spans="114:114">
      <c r="DJ11673" s="29"/>
    </row>
    <row r="11674" spans="114:114">
      <c r="DJ11674" s="29"/>
    </row>
    <row r="11675" spans="114:114">
      <c r="DJ11675" s="29"/>
    </row>
    <row r="11676" spans="114:114">
      <c r="DJ11676" s="29"/>
    </row>
    <row r="11677" spans="114:114">
      <c r="DJ11677" s="29"/>
    </row>
    <row r="11678" spans="114:114">
      <c r="DJ11678" s="29"/>
    </row>
    <row r="11679" spans="114:114">
      <c r="DJ11679" s="29"/>
    </row>
    <row r="11680" spans="114:114">
      <c r="DJ11680" s="29"/>
    </row>
    <row r="11681" spans="114:114">
      <c r="DJ11681" s="29"/>
    </row>
    <row r="11682" spans="114:114">
      <c r="DJ11682" s="29"/>
    </row>
    <row r="11683" spans="114:114">
      <c r="DJ11683" s="29"/>
    </row>
    <row r="11684" spans="114:114">
      <c r="DJ11684" s="29"/>
    </row>
    <row r="11685" spans="114:114">
      <c r="DJ11685" s="29"/>
    </row>
    <row r="11686" spans="114:114">
      <c r="DJ11686" s="29"/>
    </row>
    <row r="11687" spans="114:114">
      <c r="DJ11687" s="29"/>
    </row>
    <row r="11688" spans="114:114">
      <c r="DJ11688" s="29"/>
    </row>
    <row r="11689" spans="114:114">
      <c r="DJ11689" s="29"/>
    </row>
    <row r="11690" spans="114:114">
      <c r="DJ11690" s="29"/>
    </row>
    <row r="11691" spans="114:114">
      <c r="DJ11691" s="29"/>
    </row>
    <row r="11692" spans="114:114">
      <c r="DJ11692" s="29"/>
    </row>
    <row r="11693" spans="114:114">
      <c r="DJ11693" s="29"/>
    </row>
    <row r="11694" spans="114:114">
      <c r="DJ11694" s="29"/>
    </row>
    <row r="11695" spans="114:114">
      <c r="DJ11695" s="29"/>
    </row>
    <row r="11696" spans="114:114">
      <c r="DJ11696" s="29"/>
    </row>
    <row r="11697" spans="114:114">
      <c r="DJ11697" s="29"/>
    </row>
    <row r="11698" spans="114:114">
      <c r="DJ11698" s="29"/>
    </row>
    <row r="11699" spans="114:114">
      <c r="DJ11699" s="29"/>
    </row>
    <row r="11700" spans="114:114">
      <c r="DJ11700" s="29"/>
    </row>
    <row r="11701" spans="114:114">
      <c r="DJ11701" s="29"/>
    </row>
    <row r="11702" spans="114:114">
      <c r="DJ11702" s="29"/>
    </row>
    <row r="11703" spans="114:114">
      <c r="DJ11703" s="29"/>
    </row>
    <row r="11704" spans="114:114">
      <c r="DJ11704" s="29"/>
    </row>
    <row r="11705" spans="114:114">
      <c r="DJ11705" s="29"/>
    </row>
    <row r="11706" spans="114:114">
      <c r="DJ11706" s="29"/>
    </row>
    <row r="11707" spans="114:114">
      <c r="DJ11707" s="29"/>
    </row>
    <row r="11708" spans="114:114">
      <c r="DJ11708" s="29"/>
    </row>
    <row r="11709" spans="114:114">
      <c r="DJ11709" s="29"/>
    </row>
    <row r="11710" spans="114:114">
      <c r="DJ11710" s="29"/>
    </row>
    <row r="11711" spans="114:114">
      <c r="DJ11711" s="29"/>
    </row>
    <row r="11712" spans="114:114">
      <c r="DJ11712" s="29"/>
    </row>
    <row r="11713" spans="114:114">
      <c r="DJ11713" s="29"/>
    </row>
    <row r="11714" spans="114:114">
      <c r="DJ11714" s="29"/>
    </row>
    <row r="11715" spans="114:114">
      <c r="DJ11715" s="29"/>
    </row>
    <row r="11716" spans="114:114">
      <c r="DJ11716" s="29"/>
    </row>
    <row r="11717" spans="114:114">
      <c r="DJ11717" s="29"/>
    </row>
    <row r="11718" spans="114:114">
      <c r="DJ11718" s="29"/>
    </row>
    <row r="11719" spans="114:114">
      <c r="DJ11719" s="29"/>
    </row>
    <row r="11720" spans="114:114">
      <c r="DJ11720" s="29"/>
    </row>
    <row r="11721" spans="114:114">
      <c r="DJ11721" s="29"/>
    </row>
    <row r="11722" spans="114:114">
      <c r="DJ11722" s="29"/>
    </row>
    <row r="11723" spans="114:114">
      <c r="DJ11723" s="29"/>
    </row>
    <row r="11724" spans="114:114">
      <c r="DJ11724" s="29"/>
    </row>
    <row r="11725" spans="114:114">
      <c r="DJ11725" s="29"/>
    </row>
    <row r="11726" spans="114:114">
      <c r="DJ11726" s="29"/>
    </row>
    <row r="11727" spans="114:114">
      <c r="DJ11727" s="29"/>
    </row>
    <row r="11728" spans="114:114">
      <c r="DJ11728" s="29"/>
    </row>
    <row r="11729" spans="114:114">
      <c r="DJ11729" s="29"/>
    </row>
    <row r="11730" spans="114:114">
      <c r="DJ11730" s="29"/>
    </row>
    <row r="11731" spans="114:114">
      <c r="DJ11731" s="29"/>
    </row>
    <row r="11732" spans="114:114">
      <c r="DJ11732" s="29"/>
    </row>
    <row r="11733" spans="114:114">
      <c r="DJ11733" s="29"/>
    </row>
    <row r="11734" spans="114:114">
      <c r="DJ11734" s="29"/>
    </row>
    <row r="11735" spans="114:114">
      <c r="DJ11735" s="29"/>
    </row>
    <row r="11736" spans="114:114">
      <c r="DJ11736" s="29"/>
    </row>
    <row r="11737" spans="114:114">
      <c r="DJ11737" s="29"/>
    </row>
    <row r="11738" spans="114:114">
      <c r="DJ11738" s="29"/>
    </row>
    <row r="11739" spans="114:114">
      <c r="DJ11739" s="29"/>
    </row>
    <row r="11740" spans="114:114">
      <c r="DJ11740" s="29"/>
    </row>
    <row r="11741" spans="114:114">
      <c r="DJ11741" s="29"/>
    </row>
    <row r="11742" spans="114:114">
      <c r="DJ11742" s="29"/>
    </row>
    <row r="11743" spans="114:114">
      <c r="DJ11743" s="29"/>
    </row>
    <row r="11744" spans="114:114">
      <c r="DJ11744" s="29"/>
    </row>
    <row r="11745" spans="114:114">
      <c r="DJ11745" s="29"/>
    </row>
    <row r="11746" spans="114:114">
      <c r="DJ11746" s="29"/>
    </row>
    <row r="11747" spans="114:114">
      <c r="DJ11747" s="29"/>
    </row>
    <row r="11748" spans="114:114">
      <c r="DJ11748" s="29"/>
    </row>
    <row r="11749" spans="114:114">
      <c r="DJ11749" s="29"/>
    </row>
    <row r="11750" spans="114:114">
      <c r="DJ11750" s="29"/>
    </row>
    <row r="11751" spans="114:114">
      <c r="DJ11751" s="29"/>
    </row>
    <row r="11752" spans="114:114">
      <c r="DJ11752" s="29"/>
    </row>
    <row r="11753" spans="114:114">
      <c r="DJ11753" s="29"/>
    </row>
    <row r="11754" spans="114:114">
      <c r="DJ11754" s="29"/>
    </row>
    <row r="11755" spans="114:114">
      <c r="DJ11755" s="29"/>
    </row>
    <row r="11756" spans="114:114">
      <c r="DJ11756" s="29"/>
    </row>
    <row r="11757" spans="114:114">
      <c r="DJ11757" s="29"/>
    </row>
    <row r="11758" spans="114:114">
      <c r="DJ11758" s="29"/>
    </row>
    <row r="11759" spans="114:114">
      <c r="DJ11759" s="29"/>
    </row>
    <row r="11760" spans="114:114">
      <c r="DJ11760" s="29"/>
    </row>
    <row r="11761" spans="114:114">
      <c r="DJ11761" s="29"/>
    </row>
    <row r="11762" spans="114:114">
      <c r="DJ11762" s="29"/>
    </row>
    <row r="11763" spans="114:114">
      <c r="DJ11763" s="29"/>
    </row>
    <row r="11764" spans="114:114">
      <c r="DJ11764" s="29"/>
    </row>
    <row r="11765" spans="114:114">
      <c r="DJ11765" s="29"/>
    </row>
    <row r="11766" spans="114:114">
      <c r="DJ11766" s="29"/>
    </row>
    <row r="11767" spans="114:114">
      <c r="DJ11767" s="29"/>
    </row>
    <row r="11768" spans="114:114">
      <c r="DJ11768" s="29"/>
    </row>
    <row r="11769" spans="114:114">
      <c r="DJ11769" s="29"/>
    </row>
    <row r="11770" spans="114:114">
      <c r="DJ11770" s="29"/>
    </row>
    <row r="11771" spans="114:114">
      <c r="DJ11771" s="29"/>
    </row>
    <row r="11772" spans="114:114">
      <c r="DJ11772" s="29"/>
    </row>
    <row r="11773" spans="114:114">
      <c r="DJ11773" s="29"/>
    </row>
    <row r="11774" spans="114:114">
      <c r="DJ11774" s="29"/>
    </row>
    <row r="11775" spans="114:114">
      <c r="DJ11775" s="29"/>
    </row>
    <row r="11776" spans="114:114">
      <c r="DJ11776" s="29"/>
    </row>
    <row r="11777" spans="114:114">
      <c r="DJ11777" s="29"/>
    </row>
    <row r="11778" spans="114:114">
      <c r="DJ11778" s="29"/>
    </row>
    <row r="11779" spans="114:114">
      <c r="DJ11779" s="29"/>
    </row>
    <row r="11780" spans="114:114">
      <c r="DJ11780" s="29"/>
    </row>
    <row r="11781" spans="114:114">
      <c r="DJ11781" s="29"/>
    </row>
    <row r="11782" spans="114:114">
      <c r="DJ11782" s="29"/>
    </row>
    <row r="11783" spans="114:114">
      <c r="DJ11783" s="29"/>
    </row>
    <row r="11784" spans="114:114">
      <c r="DJ11784" s="29"/>
    </row>
    <row r="11785" spans="114:114">
      <c r="DJ11785" s="29"/>
    </row>
    <row r="11786" spans="114:114">
      <c r="DJ11786" s="29"/>
    </row>
    <row r="11787" spans="114:114">
      <c r="DJ11787" s="29"/>
    </row>
    <row r="11788" spans="114:114">
      <c r="DJ11788" s="29"/>
    </row>
    <row r="11789" spans="114:114">
      <c r="DJ11789" s="29"/>
    </row>
    <row r="11790" spans="114:114">
      <c r="DJ11790" s="29"/>
    </row>
    <row r="11791" spans="114:114">
      <c r="DJ11791" s="29"/>
    </row>
    <row r="11792" spans="114:114">
      <c r="DJ11792" s="29"/>
    </row>
    <row r="11793" spans="114:114">
      <c r="DJ11793" s="29"/>
    </row>
    <row r="11794" spans="114:114">
      <c r="DJ11794" s="29"/>
    </row>
    <row r="11795" spans="114:114">
      <c r="DJ11795" s="29"/>
    </row>
    <row r="11796" spans="114:114">
      <c r="DJ11796" s="29"/>
    </row>
    <row r="11797" spans="114:114">
      <c r="DJ11797" s="29"/>
    </row>
    <row r="11798" spans="114:114">
      <c r="DJ11798" s="29"/>
    </row>
    <row r="11799" spans="114:114">
      <c r="DJ11799" s="29"/>
    </row>
    <row r="11800" spans="114:114">
      <c r="DJ11800" s="29"/>
    </row>
    <row r="11801" spans="114:114">
      <c r="DJ11801" s="29"/>
    </row>
    <row r="11802" spans="114:114">
      <c r="DJ11802" s="29"/>
    </row>
    <row r="11803" spans="114:114">
      <c r="DJ11803" s="29"/>
    </row>
    <row r="11804" spans="114:114">
      <c r="DJ11804" s="29"/>
    </row>
    <row r="11805" spans="114:114">
      <c r="DJ11805" s="29"/>
    </row>
    <row r="11806" spans="114:114">
      <c r="DJ11806" s="29"/>
    </row>
    <row r="11807" spans="114:114">
      <c r="DJ11807" s="29"/>
    </row>
    <row r="11808" spans="114:114">
      <c r="DJ11808" s="29"/>
    </row>
    <row r="11809" spans="114:114">
      <c r="DJ11809" s="29"/>
    </row>
    <row r="11810" spans="114:114">
      <c r="DJ11810" s="29"/>
    </row>
    <row r="11811" spans="114:114">
      <c r="DJ11811" s="29"/>
    </row>
    <row r="11812" spans="114:114">
      <c r="DJ11812" s="29"/>
    </row>
    <row r="11813" spans="114:114">
      <c r="DJ11813" s="29"/>
    </row>
    <row r="11814" spans="114:114">
      <c r="DJ11814" s="29"/>
    </row>
    <row r="11815" spans="114:114">
      <c r="DJ11815" s="29"/>
    </row>
    <row r="11816" spans="114:114">
      <c r="DJ11816" s="29"/>
    </row>
    <row r="11817" spans="114:114">
      <c r="DJ11817" s="29"/>
    </row>
    <row r="11818" spans="114:114">
      <c r="DJ11818" s="29"/>
    </row>
    <row r="11819" spans="114:114">
      <c r="DJ11819" s="29"/>
    </row>
    <row r="11820" spans="114:114">
      <c r="DJ11820" s="29"/>
    </row>
    <row r="11821" spans="114:114">
      <c r="DJ11821" s="29"/>
    </row>
    <row r="11822" spans="114:114">
      <c r="DJ11822" s="29"/>
    </row>
    <row r="11823" spans="114:114">
      <c r="DJ11823" s="29"/>
    </row>
    <row r="11824" spans="114:114">
      <c r="DJ11824" s="29"/>
    </row>
    <row r="11825" spans="114:114">
      <c r="DJ11825" s="29"/>
    </row>
    <row r="11826" spans="114:114">
      <c r="DJ11826" s="29"/>
    </row>
    <row r="11827" spans="114:114">
      <c r="DJ11827" s="29"/>
    </row>
    <row r="11828" spans="114:114">
      <c r="DJ11828" s="29"/>
    </row>
    <row r="11829" spans="114:114">
      <c r="DJ11829" s="29"/>
    </row>
    <row r="11830" spans="114:114">
      <c r="DJ11830" s="29"/>
    </row>
    <row r="11831" spans="114:114">
      <c r="DJ11831" s="29"/>
    </row>
    <row r="11832" spans="114:114">
      <c r="DJ11832" s="29"/>
    </row>
    <row r="11833" spans="114:114">
      <c r="DJ11833" s="29"/>
    </row>
    <row r="11834" spans="114:114">
      <c r="DJ11834" s="29"/>
    </row>
    <row r="11835" spans="114:114">
      <c r="DJ11835" s="29"/>
    </row>
    <row r="11836" spans="114:114">
      <c r="DJ11836" s="29"/>
    </row>
    <row r="11837" spans="114:114">
      <c r="DJ11837" s="29"/>
    </row>
    <row r="11838" spans="114:114">
      <c r="DJ11838" s="29"/>
    </row>
    <row r="11839" spans="114:114">
      <c r="DJ11839" s="29"/>
    </row>
    <row r="11840" spans="114:114">
      <c r="DJ11840" s="29"/>
    </row>
    <row r="11841" spans="114:114">
      <c r="DJ11841" s="29"/>
    </row>
    <row r="11842" spans="114:114">
      <c r="DJ11842" s="29"/>
    </row>
    <row r="11843" spans="114:114">
      <c r="DJ11843" s="29"/>
    </row>
    <row r="11844" spans="114:114">
      <c r="DJ11844" s="29"/>
    </row>
    <row r="11845" spans="114:114">
      <c r="DJ11845" s="29"/>
    </row>
    <row r="11846" spans="114:114">
      <c r="DJ11846" s="29"/>
    </row>
    <row r="11847" spans="114:114">
      <c r="DJ11847" s="29"/>
    </row>
    <row r="11848" spans="114:114">
      <c r="DJ11848" s="29"/>
    </row>
    <row r="11849" spans="114:114">
      <c r="DJ11849" s="29"/>
    </row>
    <row r="11850" spans="114:114">
      <c r="DJ11850" s="29"/>
    </row>
    <row r="11851" spans="114:114">
      <c r="DJ11851" s="29"/>
    </row>
    <row r="11852" spans="114:114">
      <c r="DJ11852" s="29"/>
    </row>
    <row r="11853" spans="114:114">
      <c r="DJ11853" s="29"/>
    </row>
    <row r="11854" spans="114:114">
      <c r="DJ11854" s="29"/>
    </row>
    <row r="11855" spans="114:114">
      <c r="DJ11855" s="29"/>
    </row>
    <row r="11856" spans="114:114">
      <c r="DJ11856" s="29"/>
    </row>
    <row r="11857" spans="114:114">
      <c r="DJ11857" s="29"/>
    </row>
    <row r="11858" spans="114:114">
      <c r="DJ11858" s="29"/>
    </row>
    <row r="11859" spans="114:114">
      <c r="DJ11859" s="29"/>
    </row>
    <row r="11860" spans="114:114">
      <c r="DJ11860" s="29"/>
    </row>
    <row r="11861" spans="114:114">
      <c r="DJ11861" s="29"/>
    </row>
    <row r="11862" spans="114:114">
      <c r="DJ11862" s="29"/>
    </row>
    <row r="11863" spans="114:114">
      <c r="DJ11863" s="29"/>
    </row>
    <row r="11864" spans="114:114">
      <c r="DJ11864" s="29"/>
    </row>
    <row r="11865" spans="114:114">
      <c r="DJ11865" s="29"/>
    </row>
    <row r="11866" spans="114:114">
      <c r="DJ11866" s="29"/>
    </row>
    <row r="11867" spans="114:114">
      <c r="DJ11867" s="29"/>
    </row>
    <row r="11868" spans="114:114">
      <c r="DJ11868" s="29"/>
    </row>
    <row r="11869" spans="114:114">
      <c r="DJ11869" s="29"/>
    </row>
    <row r="11870" spans="114:114">
      <c r="DJ11870" s="29"/>
    </row>
    <row r="11871" spans="114:114">
      <c r="DJ11871" s="29"/>
    </row>
    <row r="11872" spans="114:114">
      <c r="DJ11872" s="29"/>
    </row>
    <row r="11873" spans="114:114">
      <c r="DJ11873" s="29"/>
    </row>
    <row r="11874" spans="114:114">
      <c r="DJ11874" s="29"/>
    </row>
    <row r="11875" spans="114:114">
      <c r="DJ11875" s="29"/>
    </row>
    <row r="11876" spans="114:114">
      <c r="DJ11876" s="29"/>
    </row>
    <row r="11877" spans="114:114">
      <c r="DJ11877" s="29"/>
    </row>
    <row r="11878" spans="114:114">
      <c r="DJ11878" s="29"/>
    </row>
    <row r="11879" spans="114:114">
      <c r="DJ11879" s="29"/>
    </row>
    <row r="11880" spans="114:114">
      <c r="DJ11880" s="29"/>
    </row>
    <row r="11881" spans="114:114">
      <c r="DJ11881" s="29"/>
    </row>
    <row r="11882" spans="114:114">
      <c r="DJ11882" s="29"/>
    </row>
    <row r="11883" spans="114:114">
      <c r="DJ11883" s="29"/>
    </row>
    <row r="11884" spans="114:114">
      <c r="DJ11884" s="29"/>
    </row>
    <row r="11885" spans="114:114">
      <c r="DJ11885" s="29"/>
    </row>
    <row r="11886" spans="114:114">
      <c r="DJ11886" s="29"/>
    </row>
    <row r="11887" spans="114:114">
      <c r="DJ11887" s="29"/>
    </row>
    <row r="11888" spans="114:114">
      <c r="DJ11888" s="29"/>
    </row>
    <row r="11889" spans="114:114">
      <c r="DJ11889" s="29"/>
    </row>
    <row r="11890" spans="114:114">
      <c r="DJ11890" s="29"/>
    </row>
    <row r="11891" spans="114:114">
      <c r="DJ11891" s="29"/>
    </row>
    <row r="11892" spans="114:114">
      <c r="DJ11892" s="29"/>
    </row>
    <row r="11893" spans="114:114">
      <c r="DJ11893" s="29"/>
    </row>
    <row r="11894" spans="114:114">
      <c r="DJ11894" s="29"/>
    </row>
    <row r="11895" spans="114:114">
      <c r="DJ11895" s="29"/>
    </row>
    <row r="11896" spans="114:114">
      <c r="DJ11896" s="29"/>
    </row>
    <row r="11897" spans="114:114">
      <c r="DJ11897" s="29"/>
    </row>
    <row r="11898" spans="114:114">
      <c r="DJ11898" s="29"/>
    </row>
    <row r="11899" spans="114:114">
      <c r="DJ11899" s="29"/>
    </row>
    <row r="11900" spans="114:114">
      <c r="DJ11900" s="29"/>
    </row>
    <row r="11901" spans="114:114">
      <c r="DJ11901" s="29"/>
    </row>
    <row r="11902" spans="114:114">
      <c r="DJ11902" s="29"/>
    </row>
    <row r="11903" spans="114:114">
      <c r="DJ11903" s="29"/>
    </row>
    <row r="11904" spans="114:114">
      <c r="DJ11904" s="29"/>
    </row>
    <row r="11905" spans="114:114">
      <c r="DJ11905" s="29"/>
    </row>
    <row r="11906" spans="114:114">
      <c r="DJ11906" s="29"/>
    </row>
    <row r="11907" spans="114:114">
      <c r="DJ11907" s="29"/>
    </row>
    <row r="11908" spans="114:114">
      <c r="DJ11908" s="29"/>
    </row>
    <row r="11909" spans="114:114">
      <c r="DJ11909" s="29"/>
    </row>
    <row r="11910" spans="114:114">
      <c r="DJ11910" s="29"/>
    </row>
    <row r="11911" spans="114:114">
      <c r="DJ11911" s="29"/>
    </row>
    <row r="11912" spans="114:114">
      <c r="DJ11912" s="29"/>
    </row>
    <row r="11913" spans="114:114">
      <c r="DJ11913" s="29"/>
    </row>
    <row r="11914" spans="114:114">
      <c r="DJ11914" s="29"/>
    </row>
    <row r="11915" spans="114:114">
      <c r="DJ11915" s="29"/>
    </row>
    <row r="11916" spans="114:114">
      <c r="DJ11916" s="29"/>
    </row>
    <row r="11917" spans="114:114">
      <c r="DJ11917" s="29"/>
    </row>
    <row r="11918" spans="114:114">
      <c r="DJ11918" s="29"/>
    </row>
    <row r="11919" spans="114:114">
      <c r="DJ11919" s="29"/>
    </row>
    <row r="11920" spans="114:114">
      <c r="DJ11920" s="29"/>
    </row>
    <row r="11921" spans="114:114">
      <c r="DJ11921" s="29"/>
    </row>
    <row r="11922" spans="114:114">
      <c r="DJ11922" s="29"/>
    </row>
    <row r="11923" spans="114:114">
      <c r="DJ11923" s="29"/>
    </row>
    <row r="11924" spans="114:114">
      <c r="DJ11924" s="29"/>
    </row>
    <row r="11925" spans="114:114">
      <c r="DJ11925" s="29"/>
    </row>
    <row r="11926" spans="114:114">
      <c r="DJ11926" s="29"/>
    </row>
    <row r="11927" spans="114:114">
      <c r="DJ11927" s="29"/>
    </row>
    <row r="11928" spans="114:114">
      <c r="DJ11928" s="29"/>
    </row>
    <row r="11929" spans="114:114">
      <c r="DJ11929" s="29"/>
    </row>
    <row r="11930" spans="114:114">
      <c r="DJ11930" s="29"/>
    </row>
    <row r="11931" spans="114:114">
      <c r="DJ11931" s="29"/>
    </row>
    <row r="11932" spans="114:114">
      <c r="DJ11932" s="29"/>
    </row>
    <row r="11933" spans="114:114">
      <c r="DJ11933" s="29"/>
    </row>
    <row r="11934" spans="114:114">
      <c r="DJ11934" s="29"/>
    </row>
    <row r="11935" spans="114:114">
      <c r="DJ11935" s="29"/>
    </row>
    <row r="11936" spans="114:114">
      <c r="DJ11936" s="29"/>
    </row>
    <row r="11937" spans="114:114">
      <c r="DJ11937" s="29"/>
    </row>
    <row r="11938" spans="114:114">
      <c r="DJ11938" s="29"/>
    </row>
    <row r="11939" spans="114:114">
      <c r="DJ11939" s="29"/>
    </row>
    <row r="11940" spans="114:114">
      <c r="DJ11940" s="29"/>
    </row>
    <row r="11941" spans="114:114">
      <c r="DJ11941" s="29"/>
    </row>
    <row r="11942" spans="114:114">
      <c r="DJ11942" s="29"/>
    </row>
    <row r="11943" spans="114:114">
      <c r="DJ11943" s="29"/>
    </row>
    <row r="11944" spans="114:114">
      <c r="DJ11944" s="29"/>
    </row>
    <row r="11945" spans="114:114">
      <c r="DJ11945" s="29"/>
    </row>
    <row r="11946" spans="114:114">
      <c r="DJ11946" s="29"/>
    </row>
    <row r="11947" spans="114:114">
      <c r="DJ11947" s="29"/>
    </row>
    <row r="11948" spans="114:114">
      <c r="DJ11948" s="29"/>
    </row>
    <row r="11949" spans="114:114">
      <c r="DJ11949" s="29"/>
    </row>
    <row r="11950" spans="114:114">
      <c r="DJ11950" s="29"/>
    </row>
    <row r="11951" spans="114:114">
      <c r="DJ11951" s="29"/>
    </row>
    <row r="11952" spans="114:114">
      <c r="DJ11952" s="29"/>
    </row>
    <row r="11953" spans="114:114">
      <c r="DJ11953" s="29"/>
    </row>
    <row r="11954" spans="114:114">
      <c r="DJ11954" s="29"/>
    </row>
    <row r="11955" spans="114:114">
      <c r="DJ11955" s="29"/>
    </row>
    <row r="11956" spans="114:114">
      <c r="DJ11956" s="29"/>
    </row>
    <row r="11957" spans="114:114">
      <c r="DJ11957" s="29"/>
    </row>
    <row r="11958" spans="114:114">
      <c r="DJ11958" s="29"/>
    </row>
    <row r="11959" spans="114:114">
      <c r="DJ11959" s="29"/>
    </row>
    <row r="11960" spans="114:114">
      <c r="DJ11960" s="29"/>
    </row>
    <row r="11961" spans="114:114">
      <c r="DJ11961" s="29"/>
    </row>
    <row r="11962" spans="114:114">
      <c r="DJ11962" s="29"/>
    </row>
    <row r="11963" spans="114:114">
      <c r="DJ11963" s="29"/>
    </row>
    <row r="11964" spans="114:114">
      <c r="DJ11964" s="29"/>
    </row>
    <row r="11965" spans="114:114">
      <c r="DJ11965" s="29"/>
    </row>
    <row r="11966" spans="114:114">
      <c r="DJ11966" s="29"/>
    </row>
    <row r="11967" spans="114:114">
      <c r="DJ11967" s="29"/>
    </row>
    <row r="11968" spans="114:114">
      <c r="DJ11968" s="29"/>
    </row>
    <row r="11969" spans="114:114">
      <c r="DJ11969" s="29"/>
    </row>
    <row r="11970" spans="114:114">
      <c r="DJ11970" s="29"/>
    </row>
    <row r="11971" spans="114:114">
      <c r="DJ11971" s="29"/>
    </row>
    <row r="11972" spans="114:114">
      <c r="DJ11972" s="29"/>
    </row>
    <row r="11973" spans="114:114">
      <c r="DJ11973" s="29"/>
    </row>
    <row r="11974" spans="114:114">
      <c r="DJ11974" s="29"/>
    </row>
    <row r="11975" spans="114:114">
      <c r="DJ11975" s="29"/>
    </row>
    <row r="11976" spans="114:114">
      <c r="DJ11976" s="29"/>
    </row>
    <row r="11977" spans="114:114">
      <c r="DJ11977" s="29"/>
    </row>
    <row r="11978" spans="114:114">
      <c r="DJ11978" s="29"/>
    </row>
    <row r="11979" spans="114:114">
      <c r="DJ11979" s="29"/>
    </row>
    <row r="11980" spans="114:114">
      <c r="DJ11980" s="29"/>
    </row>
    <row r="11981" spans="114:114">
      <c r="DJ11981" s="29"/>
    </row>
    <row r="11982" spans="114:114">
      <c r="DJ11982" s="29"/>
    </row>
    <row r="11983" spans="114:114">
      <c r="DJ11983" s="29"/>
    </row>
    <row r="11984" spans="114:114">
      <c r="DJ11984" s="29"/>
    </row>
    <row r="11985" spans="114:114">
      <c r="DJ11985" s="29"/>
    </row>
    <row r="11986" spans="114:114">
      <c r="DJ11986" s="29"/>
    </row>
    <row r="11987" spans="114:114">
      <c r="DJ11987" s="29"/>
    </row>
    <row r="11988" spans="114:114">
      <c r="DJ11988" s="29"/>
    </row>
    <row r="11989" spans="114:114">
      <c r="DJ11989" s="29"/>
    </row>
    <row r="11990" spans="114:114">
      <c r="DJ11990" s="29"/>
    </row>
    <row r="11991" spans="114:114">
      <c r="DJ11991" s="29"/>
    </row>
    <row r="11992" spans="114:114">
      <c r="DJ11992" s="29"/>
    </row>
    <row r="11993" spans="114:114">
      <c r="DJ11993" s="29"/>
    </row>
    <row r="11994" spans="114:114">
      <c r="DJ11994" s="29"/>
    </row>
    <row r="11995" spans="114:114">
      <c r="DJ11995" s="29"/>
    </row>
    <row r="11996" spans="114:114">
      <c r="DJ11996" s="29"/>
    </row>
    <row r="11997" spans="114:114">
      <c r="DJ11997" s="29"/>
    </row>
    <row r="11998" spans="114:114">
      <c r="DJ11998" s="29"/>
    </row>
    <row r="11999" spans="114:114">
      <c r="DJ11999" s="29"/>
    </row>
    <row r="12000" spans="114:114">
      <c r="DJ12000" s="29"/>
    </row>
    <row r="12001" spans="114:114">
      <c r="DJ12001" s="29"/>
    </row>
    <row r="12002" spans="114:114">
      <c r="DJ12002" s="29"/>
    </row>
    <row r="12003" spans="114:114">
      <c r="DJ12003" s="29"/>
    </row>
    <row r="12004" spans="114:114">
      <c r="DJ12004" s="29"/>
    </row>
    <row r="12005" spans="114:114">
      <c r="DJ12005" s="29"/>
    </row>
    <row r="12006" spans="114:114">
      <c r="DJ12006" s="29"/>
    </row>
    <row r="12007" spans="114:114">
      <c r="DJ12007" s="29"/>
    </row>
    <row r="12008" spans="114:114">
      <c r="DJ12008" s="29"/>
    </row>
    <row r="12009" spans="114:114">
      <c r="DJ12009" s="29"/>
    </row>
    <row r="12010" spans="114:114">
      <c r="DJ12010" s="29"/>
    </row>
    <row r="12011" spans="114:114">
      <c r="DJ12011" s="29"/>
    </row>
    <row r="12012" spans="114:114">
      <c r="DJ12012" s="29"/>
    </row>
    <row r="12013" spans="114:114">
      <c r="DJ12013" s="29"/>
    </row>
    <row r="12014" spans="114:114">
      <c r="DJ12014" s="29"/>
    </row>
    <row r="12015" spans="114:114">
      <c r="DJ12015" s="29"/>
    </row>
    <row r="12016" spans="114:114">
      <c r="DJ12016" s="29"/>
    </row>
    <row r="12017" spans="114:114">
      <c r="DJ12017" s="29"/>
    </row>
    <row r="12018" spans="114:114">
      <c r="DJ12018" s="29"/>
    </row>
    <row r="12019" spans="114:114">
      <c r="DJ12019" s="29"/>
    </row>
    <row r="12020" spans="114:114">
      <c r="DJ12020" s="29"/>
    </row>
    <row r="12021" spans="114:114">
      <c r="DJ12021" s="29"/>
    </row>
    <row r="12022" spans="114:114">
      <c r="DJ12022" s="29"/>
    </row>
    <row r="12023" spans="114:114">
      <c r="DJ12023" s="29"/>
    </row>
    <row r="12024" spans="114:114">
      <c r="DJ12024" s="29"/>
    </row>
    <row r="12025" spans="114:114">
      <c r="DJ12025" s="29"/>
    </row>
    <row r="12026" spans="114:114">
      <c r="DJ12026" s="29"/>
    </row>
    <row r="12027" spans="114:114">
      <c r="DJ12027" s="29"/>
    </row>
    <row r="12028" spans="114:114">
      <c r="DJ12028" s="29"/>
    </row>
    <row r="12029" spans="114:114">
      <c r="DJ12029" s="29"/>
    </row>
    <row r="12030" spans="114:114">
      <c r="DJ12030" s="29"/>
    </row>
    <row r="12031" spans="114:114">
      <c r="DJ12031" s="29"/>
    </row>
    <row r="12032" spans="114:114">
      <c r="DJ12032" s="29"/>
    </row>
    <row r="12033" spans="114:114">
      <c r="DJ12033" s="29"/>
    </row>
    <row r="12034" spans="114:114">
      <c r="DJ12034" s="29"/>
    </row>
    <row r="12035" spans="114:114">
      <c r="DJ12035" s="29"/>
    </row>
    <row r="12036" spans="114:114">
      <c r="DJ12036" s="29"/>
    </row>
    <row r="12037" spans="114:114">
      <c r="DJ12037" s="29"/>
    </row>
    <row r="12038" spans="114:114">
      <c r="DJ12038" s="29"/>
    </row>
    <row r="12039" spans="114:114">
      <c r="DJ12039" s="29"/>
    </row>
    <row r="12040" spans="114:114">
      <c r="DJ12040" s="29"/>
    </row>
    <row r="12041" spans="114:114">
      <c r="DJ12041" s="29"/>
    </row>
    <row r="12042" spans="114:114">
      <c r="DJ12042" s="29"/>
    </row>
    <row r="12043" spans="114:114">
      <c r="DJ12043" s="29"/>
    </row>
    <row r="12044" spans="114:114">
      <c r="DJ12044" s="29"/>
    </row>
    <row r="12045" spans="114:114">
      <c r="DJ12045" s="29"/>
    </row>
    <row r="12046" spans="114:114">
      <c r="DJ12046" s="29"/>
    </row>
    <row r="12047" spans="114:114">
      <c r="DJ12047" s="29"/>
    </row>
    <row r="12048" spans="114:114">
      <c r="DJ12048" s="29"/>
    </row>
    <row r="12049" spans="114:114">
      <c r="DJ12049" s="29"/>
    </row>
    <row r="12050" spans="114:114">
      <c r="DJ12050" s="29"/>
    </row>
    <row r="12051" spans="114:114">
      <c r="DJ12051" s="29"/>
    </row>
    <row r="12052" spans="114:114">
      <c r="DJ12052" s="29"/>
    </row>
    <row r="12053" spans="114:114">
      <c r="DJ12053" s="29"/>
    </row>
    <row r="12054" spans="114:114">
      <c r="DJ12054" s="29"/>
    </row>
    <row r="12055" spans="114:114">
      <c r="DJ12055" s="29"/>
    </row>
    <row r="12056" spans="114:114">
      <c r="DJ12056" s="29"/>
    </row>
    <row r="12057" spans="114:114">
      <c r="DJ12057" s="29"/>
    </row>
    <row r="12058" spans="114:114">
      <c r="DJ12058" s="29"/>
    </row>
    <row r="12059" spans="114:114">
      <c r="DJ12059" s="29"/>
    </row>
    <row r="12060" spans="114:114">
      <c r="DJ12060" s="29"/>
    </row>
    <row r="12061" spans="114:114">
      <c r="DJ12061" s="29"/>
    </row>
    <row r="12062" spans="114:114">
      <c r="DJ12062" s="29"/>
    </row>
    <row r="12063" spans="114:114">
      <c r="DJ12063" s="29"/>
    </row>
    <row r="12064" spans="114:114">
      <c r="DJ12064" s="29"/>
    </row>
    <row r="12065" spans="114:114">
      <c r="DJ12065" s="29"/>
    </row>
    <row r="12066" spans="114:114">
      <c r="DJ12066" s="29"/>
    </row>
    <row r="12067" spans="114:114">
      <c r="DJ12067" s="29"/>
    </row>
    <row r="12068" spans="114:114">
      <c r="DJ12068" s="29"/>
    </row>
    <row r="12069" spans="114:114">
      <c r="DJ12069" s="29"/>
    </row>
    <row r="12070" spans="114:114">
      <c r="DJ12070" s="29"/>
    </row>
    <row r="12071" spans="114:114">
      <c r="DJ12071" s="29"/>
    </row>
    <row r="12072" spans="114:114">
      <c r="DJ12072" s="29"/>
    </row>
    <row r="12073" spans="114:114">
      <c r="DJ12073" s="29"/>
    </row>
    <row r="12074" spans="114:114">
      <c r="DJ12074" s="29"/>
    </row>
    <row r="12075" spans="114:114">
      <c r="DJ12075" s="29"/>
    </row>
    <row r="12076" spans="114:114">
      <c r="DJ12076" s="29"/>
    </row>
    <row r="12077" spans="114:114">
      <c r="DJ12077" s="29"/>
    </row>
    <row r="12078" spans="114:114">
      <c r="DJ12078" s="29"/>
    </row>
    <row r="12079" spans="114:114">
      <c r="DJ12079" s="29"/>
    </row>
    <row r="12080" spans="114:114">
      <c r="DJ12080" s="29"/>
    </row>
    <row r="12081" spans="114:114">
      <c r="DJ12081" s="29"/>
    </row>
    <row r="12082" spans="114:114">
      <c r="DJ12082" s="29"/>
    </row>
    <row r="12083" spans="114:114">
      <c r="DJ12083" s="29"/>
    </row>
    <row r="12084" spans="114:114">
      <c r="DJ12084" s="29"/>
    </row>
    <row r="12085" spans="114:114">
      <c r="DJ12085" s="29"/>
    </row>
    <row r="12086" spans="114:114">
      <c r="DJ12086" s="29"/>
    </row>
    <row r="12087" spans="114:114">
      <c r="DJ12087" s="29"/>
    </row>
    <row r="12088" spans="114:114">
      <c r="DJ12088" s="29"/>
    </row>
    <row r="12089" spans="114:114">
      <c r="DJ12089" s="29"/>
    </row>
    <row r="12090" spans="114:114">
      <c r="DJ12090" s="29"/>
    </row>
    <row r="12091" spans="114:114">
      <c r="DJ12091" s="29"/>
    </row>
    <row r="12092" spans="114:114">
      <c r="DJ12092" s="29"/>
    </row>
    <row r="12093" spans="114:114">
      <c r="DJ12093" s="29"/>
    </row>
    <row r="12094" spans="114:114">
      <c r="DJ12094" s="29"/>
    </row>
    <row r="12095" spans="114:114">
      <c r="DJ12095" s="29"/>
    </row>
    <row r="12096" spans="114:114">
      <c r="DJ12096" s="29"/>
    </row>
    <row r="12097" spans="114:114">
      <c r="DJ12097" s="29"/>
    </row>
    <row r="12098" spans="114:114">
      <c r="DJ12098" s="29"/>
    </row>
    <row r="12099" spans="114:114">
      <c r="DJ12099" s="29"/>
    </row>
    <row r="12100" spans="114:114">
      <c r="DJ12100" s="29"/>
    </row>
    <row r="12101" spans="114:114">
      <c r="DJ12101" s="29"/>
    </row>
    <row r="12102" spans="114:114">
      <c r="DJ12102" s="29"/>
    </row>
    <row r="12103" spans="114:114">
      <c r="DJ12103" s="29"/>
    </row>
    <row r="12104" spans="114:114">
      <c r="DJ12104" s="29"/>
    </row>
    <row r="12105" spans="114:114">
      <c r="DJ12105" s="29"/>
    </row>
    <row r="12106" spans="114:114">
      <c r="DJ12106" s="29"/>
    </row>
    <row r="12107" spans="114:114">
      <c r="DJ12107" s="29"/>
    </row>
    <row r="12108" spans="114:114">
      <c r="DJ12108" s="29"/>
    </row>
    <row r="12109" spans="114:114">
      <c r="DJ12109" s="29"/>
    </row>
    <row r="12110" spans="114:114">
      <c r="DJ12110" s="29"/>
    </row>
    <row r="12111" spans="114:114">
      <c r="DJ12111" s="29"/>
    </row>
    <row r="12112" spans="114:114">
      <c r="DJ12112" s="29"/>
    </row>
    <row r="12113" spans="114:114">
      <c r="DJ12113" s="29"/>
    </row>
    <row r="12114" spans="114:114">
      <c r="DJ12114" s="29"/>
    </row>
    <row r="12115" spans="114:114">
      <c r="DJ12115" s="29"/>
    </row>
    <row r="12116" spans="114:114">
      <c r="DJ12116" s="29"/>
    </row>
    <row r="12117" spans="114:114">
      <c r="DJ12117" s="29"/>
    </row>
    <row r="12118" spans="114:114">
      <c r="DJ12118" s="29"/>
    </row>
    <row r="12119" spans="114:114">
      <c r="DJ12119" s="29"/>
    </row>
    <row r="12120" spans="114:114">
      <c r="DJ12120" s="29"/>
    </row>
    <row r="12121" spans="114:114">
      <c r="DJ12121" s="29"/>
    </row>
    <row r="12122" spans="114:114">
      <c r="DJ12122" s="29"/>
    </row>
    <row r="12123" spans="114:114">
      <c r="DJ12123" s="29"/>
    </row>
    <row r="12124" spans="114:114">
      <c r="DJ12124" s="29"/>
    </row>
    <row r="12125" spans="114:114">
      <c r="DJ12125" s="29"/>
    </row>
    <row r="12126" spans="114:114">
      <c r="DJ12126" s="29"/>
    </row>
    <row r="12127" spans="114:114">
      <c r="DJ12127" s="29"/>
    </row>
    <row r="12128" spans="114:114">
      <c r="DJ12128" s="29"/>
    </row>
    <row r="12129" spans="114:114">
      <c r="DJ12129" s="29"/>
    </row>
    <row r="12130" spans="114:114">
      <c r="DJ12130" s="29"/>
    </row>
    <row r="12131" spans="114:114">
      <c r="DJ12131" s="29"/>
    </row>
    <row r="12132" spans="114:114">
      <c r="DJ12132" s="29"/>
    </row>
    <row r="12133" spans="114:114">
      <c r="DJ12133" s="29"/>
    </row>
    <row r="12134" spans="114:114">
      <c r="DJ12134" s="29"/>
    </row>
    <row r="12135" spans="114:114">
      <c r="DJ12135" s="29"/>
    </row>
    <row r="12136" spans="114:114">
      <c r="DJ12136" s="29"/>
    </row>
    <row r="12137" spans="114:114">
      <c r="DJ12137" s="29"/>
    </row>
    <row r="12138" spans="114:114">
      <c r="DJ12138" s="29"/>
    </row>
    <row r="12139" spans="114:114">
      <c r="DJ12139" s="29"/>
    </row>
    <row r="12140" spans="114:114">
      <c r="DJ12140" s="29"/>
    </row>
    <row r="12141" spans="114:114">
      <c r="DJ12141" s="29"/>
    </row>
    <row r="12142" spans="114:114">
      <c r="DJ12142" s="29"/>
    </row>
    <row r="12143" spans="114:114">
      <c r="DJ12143" s="29"/>
    </row>
    <row r="12144" spans="114:114">
      <c r="DJ12144" s="29"/>
    </row>
    <row r="12145" spans="114:114">
      <c r="DJ12145" s="29"/>
    </row>
    <row r="12146" spans="114:114">
      <c r="DJ12146" s="29"/>
    </row>
    <row r="12147" spans="114:114">
      <c r="DJ12147" s="29"/>
    </row>
    <row r="12148" spans="114:114">
      <c r="DJ12148" s="29"/>
    </row>
    <row r="12149" spans="114:114">
      <c r="DJ12149" s="29"/>
    </row>
    <row r="12150" spans="114:114">
      <c r="DJ12150" s="29"/>
    </row>
    <row r="12151" spans="114:114">
      <c r="DJ12151" s="29"/>
    </row>
    <row r="12152" spans="114:114">
      <c r="DJ12152" s="29"/>
    </row>
    <row r="12153" spans="114:114">
      <c r="DJ12153" s="29"/>
    </row>
    <row r="12154" spans="114:114">
      <c r="DJ12154" s="29"/>
    </row>
    <row r="12155" spans="114:114">
      <c r="DJ12155" s="29"/>
    </row>
    <row r="12156" spans="114:114">
      <c r="DJ12156" s="29"/>
    </row>
    <row r="12157" spans="114:114">
      <c r="DJ12157" s="29"/>
    </row>
    <row r="12158" spans="114:114">
      <c r="DJ12158" s="29"/>
    </row>
    <row r="12159" spans="114:114">
      <c r="DJ12159" s="29"/>
    </row>
    <row r="12160" spans="114:114">
      <c r="DJ12160" s="29"/>
    </row>
    <row r="12161" spans="114:114">
      <c r="DJ12161" s="29"/>
    </row>
    <row r="12162" spans="114:114">
      <c r="DJ12162" s="29"/>
    </row>
    <row r="12163" spans="114:114">
      <c r="DJ12163" s="29"/>
    </row>
    <row r="12164" spans="114:114">
      <c r="DJ12164" s="29"/>
    </row>
    <row r="12165" spans="114:114">
      <c r="DJ12165" s="29"/>
    </row>
    <row r="12166" spans="114:114">
      <c r="DJ12166" s="29"/>
    </row>
    <row r="12167" spans="114:114">
      <c r="DJ12167" s="29"/>
    </row>
    <row r="12168" spans="114:114">
      <c r="DJ12168" s="29"/>
    </row>
    <row r="12169" spans="114:114">
      <c r="DJ12169" s="29"/>
    </row>
    <row r="12170" spans="114:114">
      <c r="DJ12170" s="29"/>
    </row>
    <row r="12171" spans="114:114">
      <c r="DJ12171" s="29"/>
    </row>
    <row r="12172" spans="114:114">
      <c r="DJ12172" s="29"/>
    </row>
    <row r="12173" spans="114:114">
      <c r="DJ12173" s="29"/>
    </row>
    <row r="12174" spans="114:114">
      <c r="DJ12174" s="29"/>
    </row>
    <row r="12175" spans="114:114">
      <c r="DJ12175" s="29"/>
    </row>
    <row r="12176" spans="114:114">
      <c r="DJ12176" s="29"/>
    </row>
    <row r="12177" spans="114:114">
      <c r="DJ12177" s="29"/>
    </row>
    <row r="12178" spans="114:114">
      <c r="DJ12178" s="29"/>
    </row>
    <row r="12179" spans="114:114">
      <c r="DJ12179" s="29"/>
    </row>
    <row r="12180" spans="114:114">
      <c r="DJ12180" s="29"/>
    </row>
    <row r="12181" spans="114:114">
      <c r="DJ12181" s="29"/>
    </row>
    <row r="12182" spans="114:114">
      <c r="DJ12182" s="29"/>
    </row>
    <row r="12183" spans="114:114">
      <c r="DJ12183" s="29"/>
    </row>
    <row r="12184" spans="114:114">
      <c r="DJ12184" s="29"/>
    </row>
    <row r="12185" spans="114:114">
      <c r="DJ12185" s="29"/>
    </row>
    <row r="12186" spans="114:114">
      <c r="DJ12186" s="29"/>
    </row>
    <row r="12187" spans="114:114">
      <c r="DJ12187" s="29"/>
    </row>
    <row r="12188" spans="114:114">
      <c r="DJ12188" s="29"/>
    </row>
    <row r="12189" spans="114:114">
      <c r="DJ12189" s="29"/>
    </row>
    <row r="12190" spans="114:114">
      <c r="DJ12190" s="29"/>
    </row>
    <row r="12191" spans="114:114">
      <c r="DJ12191" s="29"/>
    </row>
    <row r="12192" spans="114:114">
      <c r="DJ12192" s="29"/>
    </row>
    <row r="12193" spans="114:114">
      <c r="DJ12193" s="29"/>
    </row>
    <row r="12194" spans="114:114">
      <c r="DJ12194" s="29"/>
    </row>
    <row r="12195" spans="114:114">
      <c r="DJ12195" s="29"/>
    </row>
    <row r="12196" spans="114:114">
      <c r="DJ12196" s="29"/>
    </row>
    <row r="12197" spans="114:114">
      <c r="DJ12197" s="29"/>
    </row>
    <row r="12198" spans="114:114">
      <c r="DJ12198" s="29"/>
    </row>
    <row r="12199" spans="114:114">
      <c r="DJ12199" s="29"/>
    </row>
    <row r="12200" spans="114:114">
      <c r="DJ12200" s="29"/>
    </row>
    <row r="12201" spans="114:114">
      <c r="DJ12201" s="29"/>
    </row>
    <row r="12202" spans="114:114">
      <c r="DJ12202" s="29"/>
    </row>
    <row r="12203" spans="114:114">
      <c r="DJ12203" s="29"/>
    </row>
    <row r="12204" spans="114:114">
      <c r="DJ12204" s="29"/>
    </row>
    <row r="12205" spans="114:114">
      <c r="DJ12205" s="29"/>
    </row>
    <row r="12206" spans="114:114">
      <c r="DJ12206" s="29"/>
    </row>
    <row r="12207" spans="114:114">
      <c r="DJ12207" s="29"/>
    </row>
    <row r="12208" spans="114:114">
      <c r="DJ12208" s="29"/>
    </row>
    <row r="12209" spans="114:114">
      <c r="DJ12209" s="29"/>
    </row>
    <row r="12210" spans="114:114">
      <c r="DJ12210" s="29"/>
    </row>
    <row r="12211" spans="114:114">
      <c r="DJ12211" s="29"/>
    </row>
    <row r="12212" spans="114:114">
      <c r="DJ12212" s="29"/>
    </row>
    <row r="12213" spans="114:114">
      <c r="DJ12213" s="29"/>
    </row>
    <row r="12214" spans="114:114">
      <c r="DJ12214" s="29"/>
    </row>
    <row r="12215" spans="114:114">
      <c r="DJ12215" s="29"/>
    </row>
    <row r="12216" spans="114:114">
      <c r="DJ12216" s="29"/>
    </row>
    <row r="12217" spans="114:114">
      <c r="DJ12217" s="29"/>
    </row>
    <row r="12218" spans="114:114">
      <c r="DJ12218" s="29"/>
    </row>
    <row r="12219" spans="114:114">
      <c r="DJ12219" s="29"/>
    </row>
    <row r="12220" spans="114:114">
      <c r="DJ12220" s="29"/>
    </row>
    <row r="12221" spans="114:114">
      <c r="DJ12221" s="29"/>
    </row>
    <row r="12222" spans="114:114">
      <c r="DJ12222" s="29"/>
    </row>
    <row r="12223" spans="114:114">
      <c r="DJ12223" s="29"/>
    </row>
    <row r="12224" spans="114:114">
      <c r="DJ12224" s="29"/>
    </row>
    <row r="12225" spans="114:114">
      <c r="DJ12225" s="29"/>
    </row>
    <row r="12226" spans="114:114">
      <c r="DJ12226" s="29"/>
    </row>
    <row r="12227" spans="114:114">
      <c r="DJ12227" s="29"/>
    </row>
    <row r="12228" spans="114:114">
      <c r="DJ12228" s="29"/>
    </row>
    <row r="12229" spans="114:114">
      <c r="DJ12229" s="29"/>
    </row>
    <row r="12230" spans="114:114">
      <c r="DJ12230" s="29"/>
    </row>
    <row r="12231" spans="114:114">
      <c r="DJ12231" s="29"/>
    </row>
    <row r="12232" spans="114:114">
      <c r="DJ12232" s="29"/>
    </row>
    <row r="12233" spans="114:114">
      <c r="DJ12233" s="29"/>
    </row>
    <row r="12234" spans="114:114">
      <c r="DJ12234" s="29"/>
    </row>
    <row r="12235" spans="114:114">
      <c r="DJ12235" s="29"/>
    </row>
    <row r="12236" spans="114:114">
      <c r="DJ12236" s="29"/>
    </row>
    <row r="12237" spans="114:114">
      <c r="DJ12237" s="29"/>
    </row>
    <row r="12238" spans="114:114">
      <c r="DJ12238" s="29"/>
    </row>
    <row r="12239" spans="114:114">
      <c r="DJ12239" s="29"/>
    </row>
    <row r="12240" spans="114:114">
      <c r="DJ12240" s="29"/>
    </row>
    <row r="12241" spans="114:114">
      <c r="DJ12241" s="29"/>
    </row>
    <row r="12242" spans="114:114">
      <c r="DJ12242" s="29"/>
    </row>
    <row r="12243" spans="114:114">
      <c r="DJ12243" s="29"/>
    </row>
    <row r="12244" spans="114:114">
      <c r="DJ12244" s="29"/>
    </row>
    <row r="12245" spans="114:114">
      <c r="DJ12245" s="29"/>
    </row>
    <row r="12246" spans="114:114">
      <c r="DJ12246" s="29"/>
    </row>
    <row r="12247" spans="114:114">
      <c r="DJ12247" s="29"/>
    </row>
    <row r="12248" spans="114:114">
      <c r="DJ12248" s="29"/>
    </row>
    <row r="12249" spans="114:114">
      <c r="DJ12249" s="29"/>
    </row>
    <row r="12250" spans="114:114">
      <c r="DJ12250" s="29"/>
    </row>
    <row r="12251" spans="114:114">
      <c r="DJ12251" s="29"/>
    </row>
    <row r="12252" spans="114:114">
      <c r="DJ12252" s="29"/>
    </row>
    <row r="12253" spans="114:114">
      <c r="DJ12253" s="29"/>
    </row>
    <row r="12254" spans="114:114">
      <c r="DJ12254" s="29"/>
    </row>
    <row r="12255" spans="114:114">
      <c r="DJ12255" s="29"/>
    </row>
    <row r="12256" spans="114:114">
      <c r="DJ12256" s="29"/>
    </row>
    <row r="12257" spans="114:114">
      <c r="DJ12257" s="29"/>
    </row>
    <row r="12258" spans="114:114">
      <c r="DJ12258" s="29"/>
    </row>
    <row r="12259" spans="114:114">
      <c r="DJ12259" s="29"/>
    </row>
    <row r="12260" spans="114:114">
      <c r="DJ12260" s="29"/>
    </row>
    <row r="12261" spans="114:114">
      <c r="DJ12261" s="29"/>
    </row>
    <row r="12262" spans="114:114">
      <c r="DJ12262" s="29"/>
    </row>
    <row r="12263" spans="114:114">
      <c r="DJ12263" s="29"/>
    </row>
    <row r="12264" spans="114:114">
      <c r="DJ12264" s="29"/>
    </row>
    <row r="12265" spans="114:114">
      <c r="DJ12265" s="29"/>
    </row>
    <row r="12266" spans="114:114">
      <c r="DJ12266" s="29"/>
    </row>
    <row r="12267" spans="114:114">
      <c r="DJ12267" s="29"/>
    </row>
    <row r="12268" spans="114:114">
      <c r="DJ12268" s="29"/>
    </row>
    <row r="12269" spans="114:114">
      <c r="DJ12269" s="29"/>
    </row>
    <row r="12270" spans="114:114">
      <c r="DJ12270" s="29"/>
    </row>
    <row r="12271" spans="114:114">
      <c r="DJ12271" s="29"/>
    </row>
    <row r="12272" spans="114:114">
      <c r="DJ12272" s="29"/>
    </row>
    <row r="12273" spans="114:114">
      <c r="DJ12273" s="29"/>
    </row>
    <row r="12274" spans="114:114">
      <c r="DJ12274" s="29"/>
    </row>
    <row r="12275" spans="114:114">
      <c r="DJ12275" s="29"/>
    </row>
    <row r="12276" spans="114:114">
      <c r="DJ12276" s="29"/>
    </row>
    <row r="12277" spans="114:114">
      <c r="DJ12277" s="29"/>
    </row>
    <row r="12278" spans="114:114">
      <c r="DJ12278" s="29"/>
    </row>
    <row r="12279" spans="114:114">
      <c r="DJ12279" s="29"/>
    </row>
    <row r="12280" spans="114:114">
      <c r="DJ12280" s="29"/>
    </row>
    <row r="12281" spans="114:114">
      <c r="DJ12281" s="29"/>
    </row>
    <row r="12282" spans="114:114">
      <c r="DJ12282" s="29"/>
    </row>
    <row r="12283" spans="114:114">
      <c r="DJ12283" s="29"/>
    </row>
    <row r="12284" spans="114:114">
      <c r="DJ12284" s="29"/>
    </row>
    <row r="12285" spans="114:114">
      <c r="DJ12285" s="29"/>
    </row>
    <row r="12286" spans="114:114">
      <c r="DJ12286" s="29"/>
    </row>
    <row r="12287" spans="114:114">
      <c r="DJ12287" s="29"/>
    </row>
    <row r="12288" spans="114:114">
      <c r="DJ12288" s="29"/>
    </row>
    <row r="12289" spans="114:114">
      <c r="DJ12289" s="29"/>
    </row>
    <row r="12290" spans="114:114">
      <c r="DJ12290" s="29"/>
    </row>
    <row r="12291" spans="114:114">
      <c r="DJ12291" s="29"/>
    </row>
    <row r="12292" spans="114:114">
      <c r="DJ12292" s="29"/>
    </row>
    <row r="12293" spans="114:114">
      <c r="DJ12293" s="29"/>
    </row>
    <row r="12294" spans="114:114">
      <c r="DJ12294" s="29"/>
    </row>
    <row r="12295" spans="114:114">
      <c r="DJ12295" s="29"/>
    </row>
    <row r="12296" spans="114:114">
      <c r="DJ12296" s="29"/>
    </row>
    <row r="12297" spans="114:114">
      <c r="DJ12297" s="29"/>
    </row>
    <row r="12298" spans="114:114">
      <c r="DJ12298" s="29"/>
    </row>
    <row r="12299" spans="114:114">
      <c r="DJ12299" s="29"/>
    </row>
    <row r="12300" spans="114:114">
      <c r="DJ12300" s="29"/>
    </row>
    <row r="12301" spans="114:114">
      <c r="DJ12301" s="29"/>
    </row>
    <row r="12302" spans="114:114">
      <c r="DJ12302" s="29"/>
    </row>
    <row r="12303" spans="114:114">
      <c r="DJ12303" s="29"/>
    </row>
    <row r="12304" spans="114:114">
      <c r="DJ12304" s="29"/>
    </row>
    <row r="12305" spans="114:114">
      <c r="DJ12305" s="29"/>
    </row>
    <row r="12306" spans="114:114">
      <c r="DJ12306" s="29"/>
    </row>
    <row r="12307" spans="114:114">
      <c r="DJ12307" s="29"/>
    </row>
    <row r="12308" spans="114:114">
      <c r="DJ12308" s="29"/>
    </row>
    <row r="12309" spans="114:114">
      <c r="DJ12309" s="29"/>
    </row>
    <row r="12310" spans="114:114">
      <c r="DJ12310" s="29"/>
    </row>
    <row r="12311" spans="114:114">
      <c r="DJ12311" s="29"/>
    </row>
    <row r="12312" spans="114:114">
      <c r="DJ12312" s="29"/>
    </row>
    <row r="12313" spans="114:114">
      <c r="DJ12313" s="29"/>
    </row>
    <row r="12314" spans="114:114">
      <c r="DJ12314" s="29"/>
    </row>
    <row r="12315" spans="114:114">
      <c r="DJ12315" s="29"/>
    </row>
    <row r="12316" spans="114:114">
      <c r="DJ12316" s="29"/>
    </row>
    <row r="12317" spans="114:114">
      <c r="DJ12317" s="29"/>
    </row>
    <row r="12318" spans="114:114">
      <c r="DJ12318" s="29"/>
    </row>
    <row r="12319" spans="114:114">
      <c r="DJ12319" s="29"/>
    </row>
    <row r="12320" spans="114:114">
      <c r="DJ12320" s="29"/>
    </row>
    <row r="12321" spans="114:114">
      <c r="DJ12321" s="29"/>
    </row>
    <row r="12322" spans="114:114">
      <c r="DJ12322" s="29"/>
    </row>
    <row r="12323" spans="114:114">
      <c r="DJ12323" s="29"/>
    </row>
    <row r="12324" spans="114:114">
      <c r="DJ12324" s="29"/>
    </row>
    <row r="12325" spans="114:114">
      <c r="DJ12325" s="29"/>
    </row>
    <row r="12326" spans="114:114">
      <c r="DJ12326" s="29"/>
    </row>
    <row r="12327" spans="114:114">
      <c r="DJ12327" s="29"/>
    </row>
    <row r="12328" spans="114:114">
      <c r="DJ12328" s="29"/>
    </row>
    <row r="12329" spans="114:114">
      <c r="DJ12329" s="29"/>
    </row>
    <row r="12330" spans="114:114">
      <c r="DJ12330" s="29"/>
    </row>
    <row r="12331" spans="114:114">
      <c r="DJ12331" s="29"/>
    </row>
    <row r="12332" spans="114:114">
      <c r="DJ12332" s="29"/>
    </row>
    <row r="12333" spans="114:114">
      <c r="DJ12333" s="29"/>
    </row>
    <row r="12334" spans="114:114">
      <c r="DJ12334" s="29"/>
    </row>
    <row r="12335" spans="114:114">
      <c r="DJ12335" s="29"/>
    </row>
    <row r="12336" spans="114:114">
      <c r="DJ12336" s="29"/>
    </row>
    <row r="12337" spans="114:114">
      <c r="DJ12337" s="29"/>
    </row>
    <row r="12338" spans="114:114">
      <c r="DJ12338" s="29"/>
    </row>
    <row r="12339" spans="114:114">
      <c r="DJ12339" s="29"/>
    </row>
    <row r="12340" spans="114:114">
      <c r="DJ12340" s="29"/>
    </row>
    <row r="12341" spans="114:114">
      <c r="DJ12341" s="29"/>
    </row>
    <row r="12342" spans="114:114">
      <c r="DJ12342" s="29"/>
    </row>
    <row r="12343" spans="114:114">
      <c r="DJ12343" s="29"/>
    </row>
    <row r="12344" spans="114:114">
      <c r="DJ12344" s="29"/>
    </row>
    <row r="12345" spans="114:114">
      <c r="DJ12345" s="29"/>
    </row>
    <row r="12346" spans="114:114">
      <c r="DJ12346" s="29"/>
    </row>
    <row r="12347" spans="114:114">
      <c r="DJ12347" s="29"/>
    </row>
    <row r="12348" spans="114:114">
      <c r="DJ12348" s="29"/>
    </row>
    <row r="12349" spans="114:114">
      <c r="DJ12349" s="29"/>
    </row>
    <row r="12350" spans="114:114">
      <c r="DJ12350" s="29"/>
    </row>
    <row r="12351" spans="114:114">
      <c r="DJ12351" s="29"/>
    </row>
    <row r="12352" spans="114:114">
      <c r="DJ12352" s="29"/>
    </row>
    <row r="12353" spans="114:114">
      <c r="DJ12353" s="29"/>
    </row>
    <row r="12354" spans="114:114">
      <c r="DJ12354" s="29"/>
    </row>
    <row r="12355" spans="114:114">
      <c r="DJ12355" s="29"/>
    </row>
    <row r="12356" spans="114:114">
      <c r="DJ12356" s="29"/>
    </row>
    <row r="12357" spans="114:114">
      <c r="DJ12357" s="29"/>
    </row>
    <row r="12358" spans="114:114">
      <c r="DJ12358" s="29"/>
    </row>
    <row r="12359" spans="114:114">
      <c r="DJ12359" s="29"/>
    </row>
    <row r="12360" spans="114:114">
      <c r="DJ12360" s="29"/>
    </row>
    <row r="12361" spans="114:114">
      <c r="DJ12361" s="29"/>
    </row>
    <row r="12362" spans="114:114">
      <c r="DJ12362" s="29"/>
    </row>
    <row r="12363" spans="114:114">
      <c r="DJ12363" s="29"/>
    </row>
    <row r="12364" spans="114:114">
      <c r="DJ12364" s="29"/>
    </row>
    <row r="12365" spans="114:114">
      <c r="DJ12365" s="29"/>
    </row>
    <row r="12366" spans="114:114">
      <c r="DJ12366" s="29"/>
    </row>
    <row r="12367" spans="114:114">
      <c r="DJ12367" s="29"/>
    </row>
    <row r="12368" spans="114:114">
      <c r="DJ12368" s="29"/>
    </row>
    <row r="12369" spans="114:114">
      <c r="DJ12369" s="29"/>
    </row>
    <row r="12370" spans="114:114">
      <c r="DJ12370" s="29"/>
    </row>
    <row r="12371" spans="114:114">
      <c r="DJ12371" s="29"/>
    </row>
    <row r="12372" spans="114:114">
      <c r="DJ12372" s="29"/>
    </row>
    <row r="12373" spans="114:114">
      <c r="DJ12373" s="29"/>
    </row>
    <row r="12374" spans="114:114">
      <c r="DJ12374" s="29"/>
    </row>
    <row r="12375" spans="114:114">
      <c r="DJ12375" s="29"/>
    </row>
    <row r="12376" spans="114:114">
      <c r="DJ12376" s="29"/>
    </row>
    <row r="12377" spans="114:114">
      <c r="DJ12377" s="29"/>
    </row>
    <row r="12378" spans="114:114">
      <c r="DJ12378" s="29"/>
    </row>
    <row r="12379" spans="114:114">
      <c r="DJ12379" s="29"/>
    </row>
    <row r="12380" spans="114:114">
      <c r="DJ12380" s="29"/>
    </row>
    <row r="12381" spans="114:114">
      <c r="DJ12381" s="29"/>
    </row>
    <row r="12382" spans="114:114">
      <c r="DJ12382" s="29"/>
    </row>
    <row r="12383" spans="114:114">
      <c r="DJ12383" s="29"/>
    </row>
    <row r="12384" spans="114:114">
      <c r="DJ12384" s="29"/>
    </row>
    <row r="12385" spans="114:114">
      <c r="DJ12385" s="29"/>
    </row>
    <row r="12386" spans="114:114">
      <c r="DJ12386" s="29"/>
    </row>
    <row r="12387" spans="114:114">
      <c r="DJ12387" s="29"/>
    </row>
    <row r="12388" spans="114:114">
      <c r="DJ12388" s="29"/>
    </row>
    <row r="12389" spans="114:114">
      <c r="DJ12389" s="29"/>
    </row>
    <row r="12390" spans="114:114">
      <c r="DJ12390" s="29"/>
    </row>
    <row r="12391" spans="114:114">
      <c r="DJ12391" s="29"/>
    </row>
    <row r="12392" spans="114:114">
      <c r="DJ12392" s="29"/>
    </row>
    <row r="12393" spans="114:114">
      <c r="DJ12393" s="29"/>
    </row>
    <row r="12394" spans="114:114">
      <c r="DJ12394" s="29"/>
    </row>
    <row r="12395" spans="114:114">
      <c r="DJ12395" s="29"/>
    </row>
    <row r="12396" spans="114:114">
      <c r="DJ12396" s="29"/>
    </row>
    <row r="12397" spans="114:114">
      <c r="DJ12397" s="29"/>
    </row>
    <row r="12398" spans="114:114">
      <c r="DJ12398" s="29"/>
    </row>
    <row r="12399" spans="114:114">
      <c r="DJ12399" s="29"/>
    </row>
    <row r="12400" spans="114:114">
      <c r="DJ12400" s="29"/>
    </row>
    <row r="12401" spans="114:114">
      <c r="DJ12401" s="29"/>
    </row>
    <row r="12402" spans="114:114">
      <c r="DJ12402" s="29"/>
    </row>
    <row r="12403" spans="114:114">
      <c r="DJ12403" s="29"/>
    </row>
    <row r="12404" spans="114:114">
      <c r="DJ12404" s="29"/>
    </row>
    <row r="12405" spans="114:114">
      <c r="DJ12405" s="29"/>
    </row>
    <row r="12406" spans="114:114">
      <c r="DJ12406" s="29"/>
    </row>
    <row r="12407" spans="114:114">
      <c r="DJ12407" s="29"/>
    </row>
    <row r="12408" spans="114:114">
      <c r="DJ12408" s="29"/>
    </row>
    <row r="12409" spans="114:114">
      <c r="DJ12409" s="29"/>
    </row>
    <row r="12410" spans="114:114">
      <c r="DJ12410" s="29"/>
    </row>
    <row r="12411" spans="114:114">
      <c r="DJ12411" s="29"/>
    </row>
    <row r="12412" spans="114:114">
      <c r="DJ12412" s="29"/>
    </row>
    <row r="12413" spans="114:114">
      <c r="DJ12413" s="29"/>
    </row>
    <row r="12414" spans="114:114">
      <c r="DJ12414" s="29"/>
    </row>
    <row r="12415" spans="114:114">
      <c r="DJ12415" s="29"/>
    </row>
    <row r="12416" spans="114:114">
      <c r="DJ12416" s="29"/>
    </row>
    <row r="12417" spans="114:114">
      <c r="DJ12417" s="29"/>
    </row>
    <row r="12418" spans="114:114">
      <c r="DJ12418" s="29"/>
    </row>
    <row r="12419" spans="114:114">
      <c r="DJ12419" s="29"/>
    </row>
    <row r="12420" spans="114:114">
      <c r="DJ12420" s="29"/>
    </row>
    <row r="12421" spans="114:114">
      <c r="DJ12421" s="29"/>
    </row>
    <row r="12422" spans="114:114">
      <c r="DJ12422" s="29"/>
    </row>
    <row r="12423" spans="114:114">
      <c r="DJ12423" s="29"/>
    </row>
    <row r="12424" spans="114:114">
      <c r="DJ12424" s="29"/>
    </row>
    <row r="12425" spans="114:114">
      <c r="DJ12425" s="29"/>
    </row>
    <row r="12426" spans="114:114">
      <c r="DJ12426" s="29"/>
    </row>
    <row r="12427" spans="114:114">
      <c r="DJ12427" s="29"/>
    </row>
    <row r="12428" spans="114:114">
      <c r="DJ12428" s="29"/>
    </row>
    <row r="12429" spans="114:114">
      <c r="DJ12429" s="29"/>
    </row>
    <row r="12430" spans="114:114">
      <c r="DJ12430" s="29"/>
    </row>
    <row r="12431" spans="114:114">
      <c r="DJ12431" s="29"/>
    </row>
    <row r="12432" spans="114:114">
      <c r="DJ12432" s="29"/>
    </row>
    <row r="12433" spans="114:114">
      <c r="DJ12433" s="29"/>
    </row>
    <row r="12434" spans="114:114">
      <c r="DJ12434" s="29"/>
    </row>
    <row r="12435" spans="114:114">
      <c r="DJ12435" s="29"/>
    </row>
    <row r="12436" spans="114:114">
      <c r="DJ12436" s="29"/>
    </row>
    <row r="12437" spans="114:114">
      <c r="DJ12437" s="29"/>
    </row>
    <row r="12438" spans="114:114">
      <c r="DJ12438" s="29"/>
    </row>
    <row r="12439" spans="114:114">
      <c r="DJ12439" s="29"/>
    </row>
    <row r="12440" spans="114:114">
      <c r="DJ12440" s="29"/>
    </row>
    <row r="12441" spans="114:114">
      <c r="DJ12441" s="29"/>
    </row>
    <row r="12442" spans="114:114">
      <c r="DJ12442" s="29"/>
    </row>
    <row r="12443" spans="114:114">
      <c r="DJ12443" s="29"/>
    </row>
    <row r="12444" spans="114:114">
      <c r="DJ12444" s="29"/>
    </row>
    <row r="12445" spans="114:114">
      <c r="DJ12445" s="29"/>
    </row>
    <row r="12446" spans="114:114">
      <c r="DJ12446" s="29"/>
    </row>
    <row r="12447" spans="114:114">
      <c r="DJ12447" s="29"/>
    </row>
    <row r="12448" spans="114:114">
      <c r="DJ12448" s="29"/>
    </row>
    <row r="12449" spans="114:114">
      <c r="DJ12449" s="29"/>
    </row>
    <row r="12450" spans="114:114">
      <c r="DJ12450" s="29"/>
    </row>
    <row r="12451" spans="114:114">
      <c r="DJ12451" s="29"/>
    </row>
    <row r="12452" spans="114:114">
      <c r="DJ12452" s="29"/>
    </row>
    <row r="12453" spans="114:114">
      <c r="DJ12453" s="29"/>
    </row>
    <row r="12454" spans="114:114">
      <c r="DJ12454" s="29"/>
    </row>
    <row r="12455" spans="114:114">
      <c r="DJ12455" s="29"/>
    </row>
    <row r="12456" spans="114:114">
      <c r="DJ12456" s="29"/>
    </row>
    <row r="12457" spans="114:114">
      <c r="DJ12457" s="29"/>
    </row>
    <row r="12458" spans="114:114">
      <c r="DJ12458" s="29"/>
    </row>
    <row r="12459" spans="114:114">
      <c r="DJ12459" s="29"/>
    </row>
    <row r="12460" spans="114:114">
      <c r="DJ12460" s="29"/>
    </row>
    <row r="12461" spans="114:114">
      <c r="DJ12461" s="29"/>
    </row>
    <row r="12462" spans="114:114">
      <c r="DJ12462" s="29"/>
    </row>
    <row r="12463" spans="114:114">
      <c r="DJ12463" s="29"/>
    </row>
    <row r="12464" spans="114:114">
      <c r="DJ12464" s="29"/>
    </row>
    <row r="12465" spans="114:114">
      <c r="DJ12465" s="29"/>
    </row>
    <row r="12466" spans="114:114">
      <c r="DJ12466" s="29"/>
    </row>
    <row r="12467" spans="114:114">
      <c r="DJ12467" s="29"/>
    </row>
    <row r="12468" spans="114:114">
      <c r="DJ12468" s="29"/>
    </row>
    <row r="12469" spans="114:114">
      <c r="DJ12469" s="29"/>
    </row>
    <row r="12470" spans="114:114">
      <c r="DJ12470" s="29"/>
    </row>
    <row r="12471" spans="114:114">
      <c r="DJ12471" s="29"/>
    </row>
    <row r="12472" spans="114:114">
      <c r="DJ12472" s="29"/>
    </row>
    <row r="12473" spans="114:114">
      <c r="DJ12473" s="29"/>
    </row>
    <row r="12474" spans="114:114">
      <c r="DJ12474" s="29"/>
    </row>
    <row r="12475" spans="114:114">
      <c r="DJ12475" s="29"/>
    </row>
    <row r="12476" spans="114:114">
      <c r="DJ12476" s="29"/>
    </row>
    <row r="12477" spans="114:114">
      <c r="DJ12477" s="29"/>
    </row>
    <row r="12478" spans="114:114">
      <c r="DJ12478" s="29"/>
    </row>
    <row r="12479" spans="114:114">
      <c r="DJ12479" s="29"/>
    </row>
    <row r="12480" spans="114:114">
      <c r="DJ12480" s="29"/>
    </row>
    <row r="12481" spans="114:114">
      <c r="DJ12481" s="29"/>
    </row>
    <row r="12482" spans="114:114">
      <c r="DJ12482" s="29"/>
    </row>
    <row r="12483" spans="114:114">
      <c r="DJ12483" s="29"/>
    </row>
    <row r="12484" spans="114:114">
      <c r="DJ12484" s="29"/>
    </row>
    <row r="12485" spans="114:114">
      <c r="DJ12485" s="29"/>
    </row>
    <row r="12486" spans="114:114">
      <c r="DJ12486" s="29"/>
    </row>
    <row r="12487" spans="114:114">
      <c r="DJ12487" s="29"/>
    </row>
    <row r="12488" spans="114:114">
      <c r="DJ12488" s="29"/>
    </row>
    <row r="12489" spans="114:114">
      <c r="DJ12489" s="29"/>
    </row>
    <row r="12490" spans="114:114">
      <c r="DJ12490" s="29"/>
    </row>
    <row r="12491" spans="114:114">
      <c r="DJ12491" s="29"/>
    </row>
    <row r="12492" spans="114:114">
      <c r="DJ12492" s="29"/>
    </row>
    <row r="12493" spans="114:114">
      <c r="DJ12493" s="29"/>
    </row>
    <row r="12494" spans="114:114">
      <c r="DJ12494" s="29"/>
    </row>
    <row r="12495" spans="114:114">
      <c r="DJ12495" s="29"/>
    </row>
    <row r="12496" spans="114:114">
      <c r="DJ12496" s="29"/>
    </row>
    <row r="12497" spans="114:114">
      <c r="DJ12497" s="29"/>
    </row>
    <row r="12498" spans="114:114">
      <c r="DJ12498" s="29"/>
    </row>
    <row r="12499" spans="114:114">
      <c r="DJ12499" s="29"/>
    </row>
    <row r="12500" spans="114:114">
      <c r="DJ12500" s="29"/>
    </row>
    <row r="12501" spans="114:114">
      <c r="DJ12501" s="29"/>
    </row>
    <row r="12502" spans="114:114">
      <c r="DJ12502" s="29"/>
    </row>
    <row r="12503" spans="114:114">
      <c r="DJ12503" s="29"/>
    </row>
    <row r="12504" spans="114:114">
      <c r="DJ12504" s="29"/>
    </row>
    <row r="12505" spans="114:114">
      <c r="DJ12505" s="29"/>
    </row>
    <row r="12506" spans="114:114">
      <c r="DJ12506" s="29"/>
    </row>
    <row r="12507" spans="114:114">
      <c r="DJ12507" s="29"/>
    </row>
    <row r="12508" spans="114:114">
      <c r="DJ12508" s="29"/>
    </row>
    <row r="12509" spans="114:114">
      <c r="DJ12509" s="29"/>
    </row>
    <row r="12510" spans="114:114">
      <c r="DJ12510" s="29"/>
    </row>
    <row r="12511" spans="114:114">
      <c r="DJ12511" s="29"/>
    </row>
    <row r="12512" spans="114:114">
      <c r="DJ12512" s="29"/>
    </row>
    <row r="12513" spans="114:114">
      <c r="DJ12513" s="29"/>
    </row>
    <row r="12514" spans="114:114">
      <c r="DJ12514" s="29"/>
    </row>
    <row r="12515" spans="114:114">
      <c r="DJ12515" s="29"/>
    </row>
    <row r="12516" spans="114:114">
      <c r="DJ12516" s="29"/>
    </row>
    <row r="12517" spans="114:114">
      <c r="DJ12517" s="29"/>
    </row>
    <row r="12518" spans="114:114">
      <c r="DJ12518" s="29"/>
    </row>
    <row r="12519" spans="114:114">
      <c r="DJ12519" s="29"/>
    </row>
    <row r="12520" spans="114:114">
      <c r="DJ12520" s="29"/>
    </row>
    <row r="12521" spans="114:114">
      <c r="DJ12521" s="29"/>
    </row>
    <row r="12522" spans="114:114">
      <c r="DJ12522" s="29"/>
    </row>
    <row r="12523" spans="114:114">
      <c r="DJ12523" s="29"/>
    </row>
    <row r="12524" spans="114:114">
      <c r="DJ12524" s="29"/>
    </row>
    <row r="12525" spans="114:114">
      <c r="DJ12525" s="29"/>
    </row>
    <row r="12526" spans="114:114">
      <c r="DJ12526" s="29"/>
    </row>
    <row r="12527" spans="114:114">
      <c r="DJ12527" s="29"/>
    </row>
    <row r="12528" spans="114:114">
      <c r="DJ12528" s="29"/>
    </row>
    <row r="12529" spans="114:114">
      <c r="DJ12529" s="29"/>
    </row>
    <row r="12530" spans="114:114">
      <c r="DJ12530" s="29"/>
    </row>
    <row r="12531" spans="114:114">
      <c r="DJ12531" s="29"/>
    </row>
    <row r="12532" spans="114:114">
      <c r="DJ12532" s="29"/>
    </row>
    <row r="12533" spans="114:114">
      <c r="DJ12533" s="29"/>
    </row>
    <row r="12534" spans="114:114">
      <c r="DJ12534" s="29"/>
    </row>
    <row r="12535" spans="114:114">
      <c r="DJ12535" s="29"/>
    </row>
    <row r="12536" spans="114:114">
      <c r="DJ12536" s="29"/>
    </row>
    <row r="12537" spans="114:114">
      <c r="DJ12537" s="29"/>
    </row>
    <row r="12538" spans="114:114">
      <c r="DJ12538" s="29"/>
    </row>
    <row r="12539" spans="114:114">
      <c r="DJ12539" s="29"/>
    </row>
    <row r="12540" spans="114:114">
      <c r="DJ12540" s="29"/>
    </row>
    <row r="12541" spans="114:114">
      <c r="DJ12541" s="29"/>
    </row>
    <row r="12542" spans="114:114">
      <c r="DJ12542" s="29"/>
    </row>
    <row r="12543" spans="114:114">
      <c r="DJ12543" s="29"/>
    </row>
    <row r="12544" spans="114:114">
      <c r="DJ12544" s="29"/>
    </row>
    <row r="12545" spans="114:114">
      <c r="DJ12545" s="29"/>
    </row>
    <row r="12546" spans="114:114">
      <c r="DJ12546" s="29"/>
    </row>
    <row r="12547" spans="114:114">
      <c r="DJ12547" s="29"/>
    </row>
    <row r="12548" spans="114:114">
      <c r="DJ12548" s="29"/>
    </row>
    <row r="12549" spans="114:114">
      <c r="DJ12549" s="29"/>
    </row>
    <row r="12550" spans="114:114">
      <c r="DJ12550" s="29"/>
    </row>
    <row r="12551" spans="114:114">
      <c r="DJ12551" s="29"/>
    </row>
    <row r="12552" spans="114:114">
      <c r="DJ12552" s="29"/>
    </row>
    <row r="12553" spans="114:114">
      <c r="DJ12553" s="29"/>
    </row>
    <row r="12554" spans="114:114">
      <c r="DJ12554" s="29"/>
    </row>
    <row r="12555" spans="114:114">
      <c r="DJ12555" s="29"/>
    </row>
    <row r="12556" spans="114:114">
      <c r="DJ12556" s="29"/>
    </row>
    <row r="12557" spans="114:114">
      <c r="DJ12557" s="29"/>
    </row>
    <row r="12558" spans="114:114">
      <c r="DJ12558" s="29"/>
    </row>
    <row r="12559" spans="114:114">
      <c r="DJ12559" s="29"/>
    </row>
    <row r="12560" spans="114:114">
      <c r="DJ12560" s="29"/>
    </row>
    <row r="12561" spans="114:114">
      <c r="DJ12561" s="29"/>
    </row>
    <row r="12562" spans="114:114">
      <c r="DJ12562" s="29"/>
    </row>
    <row r="12563" spans="114:114">
      <c r="DJ12563" s="29"/>
    </row>
    <row r="12564" spans="114:114">
      <c r="DJ12564" s="29"/>
    </row>
    <row r="12565" spans="114:114">
      <c r="DJ12565" s="29"/>
    </row>
    <row r="12566" spans="114:114">
      <c r="DJ12566" s="29"/>
    </row>
    <row r="12567" spans="114:114">
      <c r="DJ12567" s="29"/>
    </row>
    <row r="12568" spans="114:114">
      <c r="DJ12568" s="29"/>
    </row>
    <row r="12569" spans="114:114">
      <c r="DJ12569" s="29"/>
    </row>
    <row r="12570" spans="114:114">
      <c r="DJ12570" s="29"/>
    </row>
    <row r="12571" spans="114:114">
      <c r="DJ12571" s="29"/>
    </row>
    <row r="12572" spans="114:114">
      <c r="DJ12572" s="29"/>
    </row>
    <row r="12573" spans="114:114">
      <c r="DJ12573" s="29"/>
    </row>
    <row r="12574" spans="114:114">
      <c r="DJ12574" s="29"/>
    </row>
    <row r="12575" spans="114:114">
      <c r="DJ12575" s="29"/>
    </row>
    <row r="12576" spans="114:114">
      <c r="DJ12576" s="29"/>
    </row>
    <row r="12577" spans="114:114">
      <c r="DJ12577" s="29"/>
    </row>
    <row r="12578" spans="114:114">
      <c r="DJ12578" s="29"/>
    </row>
    <row r="12579" spans="114:114">
      <c r="DJ12579" s="29"/>
    </row>
    <row r="12580" spans="114:114">
      <c r="DJ12580" s="29"/>
    </row>
    <row r="12581" spans="114:114">
      <c r="DJ12581" s="29"/>
    </row>
    <row r="12582" spans="114:114">
      <c r="DJ12582" s="29"/>
    </row>
    <row r="12583" spans="114:114">
      <c r="DJ12583" s="29"/>
    </row>
    <row r="12584" spans="114:114">
      <c r="DJ12584" s="29"/>
    </row>
    <row r="12585" spans="114:114">
      <c r="DJ12585" s="29"/>
    </row>
    <row r="12586" spans="114:114">
      <c r="DJ12586" s="29"/>
    </row>
    <row r="12587" spans="114:114">
      <c r="DJ12587" s="29"/>
    </row>
    <row r="12588" spans="114:114">
      <c r="DJ12588" s="29"/>
    </row>
    <row r="12589" spans="114:114">
      <c r="DJ12589" s="29"/>
    </row>
    <row r="12590" spans="114:114">
      <c r="DJ12590" s="29"/>
    </row>
    <row r="12591" spans="114:114">
      <c r="DJ12591" s="29"/>
    </row>
    <row r="12592" spans="114:114">
      <c r="DJ12592" s="29"/>
    </row>
    <row r="12593" spans="114:114">
      <c r="DJ12593" s="29"/>
    </row>
    <row r="12594" spans="114:114">
      <c r="DJ12594" s="29"/>
    </row>
    <row r="12595" spans="114:114">
      <c r="DJ12595" s="29"/>
    </row>
    <row r="12596" spans="114:114">
      <c r="DJ12596" s="29"/>
    </row>
    <row r="12597" spans="114:114">
      <c r="DJ12597" s="29"/>
    </row>
    <row r="12598" spans="114:114">
      <c r="DJ12598" s="29"/>
    </row>
    <row r="12599" spans="114:114">
      <c r="DJ12599" s="29"/>
    </row>
    <row r="12600" spans="114:114">
      <c r="DJ12600" s="29"/>
    </row>
    <row r="12601" spans="114:114">
      <c r="DJ12601" s="29"/>
    </row>
    <row r="12602" spans="114:114">
      <c r="DJ12602" s="29"/>
    </row>
    <row r="12603" spans="114:114">
      <c r="DJ12603" s="29"/>
    </row>
    <row r="12604" spans="114:114">
      <c r="DJ12604" s="29"/>
    </row>
    <row r="12605" spans="114:114">
      <c r="DJ12605" s="29"/>
    </row>
    <row r="12606" spans="114:114">
      <c r="DJ12606" s="29"/>
    </row>
    <row r="12607" spans="114:114">
      <c r="DJ12607" s="29"/>
    </row>
    <row r="12608" spans="114:114">
      <c r="DJ12608" s="29"/>
    </row>
    <row r="12609" spans="114:114">
      <c r="DJ12609" s="29"/>
    </row>
    <row r="12610" spans="114:114">
      <c r="DJ12610" s="29"/>
    </row>
    <row r="12611" spans="114:114">
      <c r="DJ12611" s="29"/>
    </row>
    <row r="12612" spans="114:114">
      <c r="DJ12612" s="29"/>
    </row>
    <row r="12613" spans="114:114">
      <c r="DJ12613" s="29"/>
    </row>
    <row r="12614" spans="114:114">
      <c r="DJ12614" s="29"/>
    </row>
    <row r="12615" spans="114:114">
      <c r="DJ12615" s="29"/>
    </row>
    <row r="12616" spans="114:114">
      <c r="DJ12616" s="29"/>
    </row>
    <row r="12617" spans="114:114">
      <c r="DJ12617" s="29"/>
    </row>
    <row r="12618" spans="114:114">
      <c r="DJ12618" s="29"/>
    </row>
    <row r="12619" spans="114:114">
      <c r="DJ12619" s="29"/>
    </row>
    <row r="12620" spans="114:114">
      <c r="DJ12620" s="29"/>
    </row>
    <row r="12621" spans="114:114">
      <c r="DJ12621" s="29"/>
    </row>
    <row r="12622" spans="114:114">
      <c r="DJ12622" s="29"/>
    </row>
    <row r="12623" spans="114:114">
      <c r="DJ12623" s="29"/>
    </row>
    <row r="12624" spans="114:114">
      <c r="DJ12624" s="29"/>
    </row>
    <row r="12625" spans="114:114">
      <c r="DJ12625" s="29"/>
    </row>
    <row r="12626" spans="114:114">
      <c r="DJ12626" s="29"/>
    </row>
    <row r="12627" spans="114:114">
      <c r="DJ12627" s="29"/>
    </row>
    <row r="12628" spans="114:114">
      <c r="DJ12628" s="29"/>
    </row>
    <row r="12629" spans="114:114">
      <c r="DJ12629" s="29"/>
    </row>
    <row r="12630" spans="114:114">
      <c r="DJ12630" s="29"/>
    </row>
    <row r="12631" spans="114:114">
      <c r="DJ12631" s="29"/>
    </row>
    <row r="12632" spans="114:114">
      <c r="DJ12632" s="29"/>
    </row>
    <row r="12633" spans="114:114">
      <c r="DJ12633" s="29"/>
    </row>
    <row r="12634" spans="114:114">
      <c r="DJ12634" s="29"/>
    </row>
    <row r="12635" spans="114:114">
      <c r="DJ12635" s="29"/>
    </row>
    <row r="12636" spans="114:114">
      <c r="DJ12636" s="29"/>
    </row>
    <row r="12637" spans="114:114">
      <c r="DJ12637" s="29"/>
    </row>
    <row r="12638" spans="114:114">
      <c r="DJ12638" s="29"/>
    </row>
    <row r="12639" spans="114:114">
      <c r="DJ12639" s="29"/>
    </row>
    <row r="12640" spans="114:114">
      <c r="DJ12640" s="29"/>
    </row>
    <row r="12641" spans="114:114">
      <c r="DJ12641" s="29"/>
    </row>
    <row r="12642" spans="114:114">
      <c r="DJ12642" s="29"/>
    </row>
    <row r="12643" spans="114:114">
      <c r="DJ12643" s="29"/>
    </row>
    <row r="12644" spans="114:114">
      <c r="DJ12644" s="29"/>
    </row>
    <row r="12645" spans="114:114">
      <c r="DJ12645" s="29"/>
    </row>
    <row r="12646" spans="114:114">
      <c r="DJ12646" s="29"/>
    </row>
    <row r="12647" spans="114:114">
      <c r="DJ12647" s="29"/>
    </row>
    <row r="12648" spans="114:114">
      <c r="DJ12648" s="29"/>
    </row>
    <row r="12649" spans="114:114">
      <c r="DJ12649" s="29"/>
    </row>
    <row r="12650" spans="114:114">
      <c r="DJ12650" s="29"/>
    </row>
    <row r="12651" spans="114:114">
      <c r="DJ12651" s="29"/>
    </row>
    <row r="12652" spans="114:114">
      <c r="DJ12652" s="29"/>
    </row>
    <row r="12653" spans="114:114">
      <c r="DJ12653" s="29"/>
    </row>
    <row r="12654" spans="114:114">
      <c r="DJ12654" s="29"/>
    </row>
    <row r="12655" spans="114:114">
      <c r="DJ12655" s="29"/>
    </row>
    <row r="12656" spans="114:114">
      <c r="DJ12656" s="29"/>
    </row>
    <row r="12657" spans="114:114">
      <c r="DJ12657" s="29"/>
    </row>
    <row r="12658" spans="114:114">
      <c r="DJ12658" s="29"/>
    </row>
    <row r="12659" spans="114:114">
      <c r="DJ12659" s="29"/>
    </row>
    <row r="12660" spans="114:114">
      <c r="DJ12660" s="29"/>
    </row>
    <row r="12661" spans="114:114">
      <c r="DJ12661" s="29"/>
    </row>
    <row r="12662" spans="114:114">
      <c r="DJ12662" s="29"/>
    </row>
    <row r="12663" spans="114:114">
      <c r="DJ12663" s="29"/>
    </row>
    <row r="12664" spans="114:114">
      <c r="DJ12664" s="29"/>
    </row>
    <row r="12665" spans="114:114">
      <c r="DJ12665" s="29"/>
    </row>
    <row r="12666" spans="114:114">
      <c r="DJ12666" s="29"/>
    </row>
    <row r="12667" spans="114:114">
      <c r="DJ12667" s="29"/>
    </row>
    <row r="12668" spans="114:114">
      <c r="DJ12668" s="29"/>
    </row>
    <row r="12669" spans="114:114">
      <c r="DJ12669" s="29"/>
    </row>
    <row r="12670" spans="114:114">
      <c r="DJ12670" s="29"/>
    </row>
    <row r="12671" spans="114:114">
      <c r="DJ12671" s="29"/>
    </row>
    <row r="12672" spans="114:114">
      <c r="DJ12672" s="29"/>
    </row>
    <row r="12673" spans="114:114">
      <c r="DJ12673" s="29"/>
    </row>
    <row r="12674" spans="114:114">
      <c r="DJ12674" s="29"/>
    </row>
    <row r="12675" spans="114:114">
      <c r="DJ12675" s="29"/>
    </row>
    <row r="12676" spans="114:114">
      <c r="DJ12676" s="29"/>
    </row>
    <row r="12677" spans="114:114">
      <c r="DJ12677" s="29"/>
    </row>
    <row r="12678" spans="114:114">
      <c r="DJ12678" s="29"/>
    </row>
    <row r="12679" spans="114:114">
      <c r="DJ12679" s="29"/>
    </row>
    <row r="12680" spans="114:114">
      <c r="DJ12680" s="29"/>
    </row>
    <row r="12681" spans="114:114">
      <c r="DJ12681" s="29"/>
    </row>
    <row r="12682" spans="114:114">
      <c r="DJ12682" s="29"/>
    </row>
    <row r="12683" spans="114:114">
      <c r="DJ12683" s="29"/>
    </row>
    <row r="12684" spans="114:114">
      <c r="DJ12684" s="29"/>
    </row>
    <row r="12685" spans="114:114">
      <c r="DJ12685" s="29"/>
    </row>
    <row r="12686" spans="114:114">
      <c r="DJ12686" s="29"/>
    </row>
    <row r="12687" spans="114:114">
      <c r="DJ12687" s="29"/>
    </row>
    <row r="12688" spans="114:114">
      <c r="DJ12688" s="29"/>
    </row>
    <row r="12689" spans="114:114">
      <c r="DJ12689" s="29"/>
    </row>
    <row r="12690" spans="114:114">
      <c r="DJ12690" s="29"/>
    </row>
    <row r="12691" spans="114:114">
      <c r="DJ12691" s="29"/>
    </row>
    <row r="12692" spans="114:114">
      <c r="DJ12692" s="29"/>
    </row>
    <row r="12693" spans="114:114">
      <c r="DJ12693" s="29"/>
    </row>
    <row r="12694" spans="114:114">
      <c r="DJ12694" s="29"/>
    </row>
    <row r="12695" spans="114:114">
      <c r="DJ12695" s="29"/>
    </row>
    <row r="12696" spans="114:114">
      <c r="DJ12696" s="29"/>
    </row>
    <row r="12697" spans="114:114">
      <c r="DJ12697" s="29"/>
    </row>
    <row r="12698" spans="114:114">
      <c r="DJ12698" s="29"/>
    </row>
    <row r="12699" spans="114:114">
      <c r="DJ12699" s="29"/>
    </row>
    <row r="12700" spans="114:114">
      <c r="DJ12700" s="29"/>
    </row>
    <row r="12701" spans="114:114">
      <c r="DJ12701" s="29"/>
    </row>
    <row r="12702" spans="114:114">
      <c r="DJ12702" s="29"/>
    </row>
    <row r="12703" spans="114:114">
      <c r="DJ12703" s="29"/>
    </row>
    <row r="12704" spans="114:114">
      <c r="DJ12704" s="29"/>
    </row>
    <row r="12705" spans="114:114">
      <c r="DJ12705" s="29"/>
    </row>
    <row r="12706" spans="114:114">
      <c r="DJ12706" s="29"/>
    </row>
    <row r="12707" spans="114:114">
      <c r="DJ12707" s="29"/>
    </row>
    <row r="12708" spans="114:114">
      <c r="DJ12708" s="29"/>
    </row>
    <row r="12709" spans="114:114">
      <c r="DJ12709" s="29"/>
    </row>
    <row r="12710" spans="114:114">
      <c r="DJ12710" s="29"/>
    </row>
    <row r="12711" spans="114:114">
      <c r="DJ12711" s="29"/>
    </row>
    <row r="12712" spans="114:114">
      <c r="DJ12712" s="29"/>
    </row>
    <row r="12713" spans="114:114">
      <c r="DJ12713" s="29"/>
    </row>
    <row r="12714" spans="114:114">
      <c r="DJ12714" s="29"/>
    </row>
    <row r="12715" spans="114:114">
      <c r="DJ12715" s="29"/>
    </row>
    <row r="12716" spans="114:114">
      <c r="DJ12716" s="29"/>
    </row>
    <row r="12717" spans="114:114">
      <c r="DJ12717" s="29"/>
    </row>
    <row r="12718" spans="114:114">
      <c r="DJ12718" s="29"/>
    </row>
    <row r="12719" spans="114:114">
      <c r="DJ12719" s="29"/>
    </row>
    <row r="12720" spans="114:114">
      <c r="DJ12720" s="29"/>
    </row>
    <row r="12721" spans="114:114">
      <c r="DJ12721" s="29"/>
    </row>
    <row r="12722" spans="114:114">
      <c r="DJ12722" s="29"/>
    </row>
    <row r="12723" spans="114:114">
      <c r="DJ12723" s="29"/>
    </row>
    <row r="12724" spans="114:114">
      <c r="DJ12724" s="29"/>
    </row>
    <row r="12725" spans="114:114">
      <c r="DJ12725" s="29"/>
    </row>
    <row r="12726" spans="114:114">
      <c r="DJ12726" s="29"/>
    </row>
    <row r="12727" spans="114:114">
      <c r="DJ12727" s="29"/>
    </row>
    <row r="12728" spans="114:114">
      <c r="DJ12728" s="29"/>
    </row>
    <row r="12729" spans="114:114">
      <c r="DJ12729" s="29"/>
    </row>
    <row r="12730" spans="114:114">
      <c r="DJ12730" s="29"/>
    </row>
    <row r="12731" spans="114:114">
      <c r="DJ12731" s="29"/>
    </row>
    <row r="12732" spans="114:114">
      <c r="DJ12732" s="29"/>
    </row>
    <row r="12733" spans="114:114">
      <c r="DJ12733" s="29"/>
    </row>
    <row r="12734" spans="114:114">
      <c r="DJ12734" s="29"/>
    </row>
    <row r="12735" spans="114:114">
      <c r="DJ12735" s="29"/>
    </row>
    <row r="12736" spans="114:114">
      <c r="DJ12736" s="29"/>
    </row>
    <row r="12737" spans="114:114">
      <c r="DJ12737" s="29"/>
    </row>
    <row r="12738" spans="114:114">
      <c r="DJ12738" s="29"/>
    </row>
    <row r="12739" spans="114:114">
      <c r="DJ12739" s="29"/>
    </row>
    <row r="12740" spans="114:114">
      <c r="DJ12740" s="29"/>
    </row>
    <row r="12741" spans="114:114">
      <c r="DJ12741" s="29"/>
    </row>
    <row r="12742" spans="114:114">
      <c r="DJ12742" s="29"/>
    </row>
    <row r="12743" spans="114:114">
      <c r="DJ12743" s="29"/>
    </row>
    <row r="12744" spans="114:114">
      <c r="DJ12744" s="29"/>
    </row>
    <row r="12745" spans="114:114">
      <c r="DJ12745" s="29"/>
    </row>
    <row r="12746" spans="114:114">
      <c r="DJ12746" s="29"/>
    </row>
    <row r="12747" spans="114:114">
      <c r="DJ12747" s="29"/>
    </row>
    <row r="12748" spans="114:114">
      <c r="DJ12748" s="29"/>
    </row>
    <row r="12749" spans="114:114">
      <c r="DJ12749" s="29"/>
    </row>
    <row r="12750" spans="114:114">
      <c r="DJ12750" s="29"/>
    </row>
    <row r="12751" spans="114:114">
      <c r="DJ12751" s="29"/>
    </row>
    <row r="12752" spans="114:114">
      <c r="DJ12752" s="29"/>
    </row>
    <row r="12753" spans="114:114">
      <c r="DJ12753" s="29"/>
    </row>
    <row r="12754" spans="114:114">
      <c r="DJ12754" s="29"/>
    </row>
    <row r="12755" spans="114:114">
      <c r="DJ12755" s="29"/>
    </row>
    <row r="12756" spans="114:114">
      <c r="DJ12756" s="29"/>
    </row>
    <row r="12757" spans="114:114">
      <c r="DJ12757" s="29"/>
    </row>
    <row r="12758" spans="114:114">
      <c r="DJ12758" s="29"/>
    </row>
    <row r="12759" spans="114:114">
      <c r="DJ12759" s="29"/>
    </row>
    <row r="12760" spans="114:114">
      <c r="DJ12760" s="29"/>
    </row>
    <row r="12761" spans="114:114">
      <c r="DJ12761" s="29"/>
    </row>
    <row r="12762" spans="114:114">
      <c r="DJ12762" s="29"/>
    </row>
    <row r="12763" spans="114:114">
      <c r="DJ12763" s="29"/>
    </row>
    <row r="12764" spans="114:114">
      <c r="DJ12764" s="29"/>
    </row>
    <row r="12765" spans="114:114">
      <c r="DJ12765" s="29"/>
    </row>
    <row r="12766" spans="114:114">
      <c r="DJ12766" s="29"/>
    </row>
    <row r="12767" spans="114:114">
      <c r="DJ12767" s="29"/>
    </row>
    <row r="12768" spans="114:114">
      <c r="DJ12768" s="29"/>
    </row>
    <row r="12769" spans="114:114">
      <c r="DJ12769" s="29"/>
    </row>
    <row r="12770" spans="114:114">
      <c r="DJ12770" s="29"/>
    </row>
    <row r="12771" spans="114:114">
      <c r="DJ12771" s="29"/>
    </row>
    <row r="12772" spans="114:114">
      <c r="DJ12772" s="29"/>
    </row>
    <row r="12773" spans="114:114">
      <c r="DJ12773" s="29"/>
    </row>
    <row r="12774" spans="114:114">
      <c r="DJ12774" s="29"/>
    </row>
    <row r="12775" spans="114:114">
      <c r="DJ12775" s="29"/>
    </row>
    <row r="12776" spans="114:114">
      <c r="DJ12776" s="29"/>
    </row>
    <row r="12777" spans="114:114">
      <c r="DJ12777" s="29"/>
    </row>
    <row r="12778" spans="114:114">
      <c r="DJ12778" s="29"/>
    </row>
    <row r="12779" spans="114:114">
      <c r="DJ12779" s="29"/>
    </row>
    <row r="12780" spans="114:114">
      <c r="DJ12780" s="29"/>
    </row>
    <row r="12781" spans="114:114">
      <c r="DJ12781" s="29"/>
    </row>
    <row r="12782" spans="114:114">
      <c r="DJ12782" s="29"/>
    </row>
    <row r="12783" spans="114:114">
      <c r="DJ12783" s="29"/>
    </row>
    <row r="12784" spans="114:114">
      <c r="DJ12784" s="29"/>
    </row>
    <row r="12785" spans="114:114">
      <c r="DJ12785" s="29"/>
    </row>
    <row r="12786" spans="114:114">
      <c r="DJ12786" s="29"/>
    </row>
    <row r="12787" spans="114:114">
      <c r="DJ12787" s="29"/>
    </row>
    <row r="12788" spans="114:114">
      <c r="DJ12788" s="29"/>
    </row>
    <row r="12789" spans="114:114">
      <c r="DJ12789" s="29"/>
    </row>
    <row r="12790" spans="114:114">
      <c r="DJ12790" s="29"/>
    </row>
    <row r="12791" spans="114:114">
      <c r="DJ12791" s="29"/>
    </row>
    <row r="12792" spans="114:114">
      <c r="DJ12792" s="29"/>
    </row>
    <row r="12793" spans="114:114">
      <c r="DJ12793" s="29"/>
    </row>
    <row r="12794" spans="114:114">
      <c r="DJ12794" s="29"/>
    </row>
    <row r="12795" spans="114:114">
      <c r="DJ12795" s="29"/>
    </row>
    <row r="12796" spans="114:114">
      <c r="DJ12796" s="29"/>
    </row>
    <row r="12797" spans="114:114">
      <c r="DJ12797" s="29"/>
    </row>
    <row r="12798" spans="114:114">
      <c r="DJ12798" s="29"/>
    </row>
    <row r="12799" spans="114:114">
      <c r="DJ12799" s="29"/>
    </row>
    <row r="12800" spans="114:114">
      <c r="DJ12800" s="29"/>
    </row>
    <row r="12801" spans="114:114">
      <c r="DJ12801" s="29"/>
    </row>
    <row r="12802" spans="114:114">
      <c r="DJ12802" s="29"/>
    </row>
    <row r="12803" spans="114:114">
      <c r="DJ12803" s="29"/>
    </row>
    <row r="12804" spans="114:114">
      <c r="DJ12804" s="29"/>
    </row>
    <row r="12805" spans="114:114">
      <c r="DJ12805" s="29"/>
    </row>
    <row r="12806" spans="114:114">
      <c r="DJ12806" s="29"/>
    </row>
    <row r="12807" spans="114:114">
      <c r="DJ12807" s="29"/>
    </row>
    <row r="12808" spans="114:114">
      <c r="DJ12808" s="29"/>
    </row>
    <row r="12809" spans="114:114">
      <c r="DJ12809" s="29"/>
    </row>
    <row r="12810" spans="114:114">
      <c r="DJ12810" s="29"/>
    </row>
    <row r="12811" spans="114:114">
      <c r="DJ12811" s="29"/>
    </row>
    <row r="12812" spans="114:114">
      <c r="DJ12812" s="29"/>
    </row>
    <row r="12813" spans="114:114">
      <c r="DJ12813" s="29"/>
    </row>
    <row r="12814" spans="114:114">
      <c r="DJ12814" s="29"/>
    </row>
    <row r="12815" spans="114:114">
      <c r="DJ12815" s="29"/>
    </row>
    <row r="12816" spans="114:114">
      <c r="DJ12816" s="29"/>
    </row>
    <row r="12817" spans="114:114">
      <c r="DJ12817" s="29"/>
    </row>
    <row r="12818" spans="114:114">
      <c r="DJ12818" s="29"/>
    </row>
    <row r="12819" spans="114:114">
      <c r="DJ12819" s="29"/>
    </row>
    <row r="12820" spans="114:114">
      <c r="DJ12820" s="29"/>
    </row>
    <row r="12821" spans="114:114">
      <c r="DJ12821" s="29"/>
    </row>
    <row r="12822" spans="114:114">
      <c r="DJ12822" s="29"/>
    </row>
    <row r="12823" spans="114:114">
      <c r="DJ12823" s="29"/>
    </row>
    <row r="12824" spans="114:114">
      <c r="DJ12824" s="29"/>
    </row>
    <row r="12825" spans="114:114">
      <c r="DJ12825" s="29"/>
    </row>
    <row r="12826" spans="114:114">
      <c r="DJ12826" s="29"/>
    </row>
    <row r="12827" spans="114:114">
      <c r="DJ12827" s="29"/>
    </row>
    <row r="12828" spans="114:114">
      <c r="DJ12828" s="29"/>
    </row>
    <row r="12829" spans="114:114">
      <c r="DJ12829" s="29"/>
    </row>
    <row r="12830" spans="114:114">
      <c r="DJ12830" s="29"/>
    </row>
    <row r="12831" spans="114:114">
      <c r="DJ12831" s="29"/>
    </row>
    <row r="12832" spans="114:114">
      <c r="DJ12832" s="29"/>
    </row>
    <row r="12833" spans="114:114">
      <c r="DJ12833" s="29"/>
    </row>
    <row r="12834" spans="114:114">
      <c r="DJ12834" s="29"/>
    </row>
    <row r="12835" spans="114:114">
      <c r="DJ12835" s="29"/>
    </row>
    <row r="12836" spans="114:114">
      <c r="DJ12836" s="29"/>
    </row>
    <row r="12837" spans="114:114">
      <c r="DJ12837" s="29"/>
    </row>
    <row r="12838" spans="114:114">
      <c r="DJ12838" s="29"/>
    </row>
    <row r="12839" spans="114:114">
      <c r="DJ12839" s="29"/>
    </row>
    <row r="12840" spans="114:114">
      <c r="DJ12840" s="29"/>
    </row>
    <row r="12841" spans="114:114">
      <c r="DJ12841" s="29"/>
    </row>
    <row r="12842" spans="114:114">
      <c r="DJ12842" s="29"/>
    </row>
    <row r="12843" spans="114:114">
      <c r="DJ12843" s="29"/>
    </row>
    <row r="12844" spans="114:114">
      <c r="DJ12844" s="29"/>
    </row>
    <row r="12845" spans="114:114">
      <c r="DJ12845" s="29"/>
    </row>
    <row r="12846" spans="114:114">
      <c r="DJ12846" s="29"/>
    </row>
    <row r="12847" spans="114:114">
      <c r="DJ12847" s="29"/>
    </row>
    <row r="12848" spans="114:114">
      <c r="DJ12848" s="29"/>
    </row>
    <row r="12849" spans="114:114">
      <c r="DJ12849" s="29"/>
    </row>
    <row r="12850" spans="114:114">
      <c r="DJ12850" s="29"/>
    </row>
    <row r="12851" spans="114:114">
      <c r="DJ12851" s="29"/>
    </row>
    <row r="12852" spans="114:114">
      <c r="DJ12852" s="29"/>
    </row>
    <row r="12853" spans="114:114">
      <c r="DJ12853" s="29"/>
    </row>
    <row r="12854" spans="114:114">
      <c r="DJ12854" s="29"/>
    </row>
    <row r="12855" spans="114:114">
      <c r="DJ12855" s="29"/>
    </row>
    <row r="12856" spans="114:114">
      <c r="DJ12856" s="29"/>
    </row>
    <row r="12857" spans="114:114">
      <c r="DJ12857" s="29"/>
    </row>
    <row r="12858" spans="114:114">
      <c r="DJ12858" s="29"/>
    </row>
    <row r="12859" spans="114:114">
      <c r="DJ12859" s="29"/>
    </row>
    <row r="12860" spans="114:114">
      <c r="DJ12860" s="29"/>
    </row>
    <row r="12861" spans="114:114">
      <c r="DJ12861" s="29"/>
    </row>
    <row r="12862" spans="114:114">
      <c r="DJ12862" s="29"/>
    </row>
    <row r="12863" spans="114:114">
      <c r="DJ12863" s="29"/>
    </row>
    <row r="12864" spans="114:114">
      <c r="DJ12864" s="29"/>
    </row>
    <row r="12865" spans="114:114">
      <c r="DJ12865" s="29"/>
    </row>
    <row r="12866" spans="114:114">
      <c r="DJ12866" s="29"/>
    </row>
    <row r="12867" spans="114:114">
      <c r="DJ12867" s="29"/>
    </row>
    <row r="12868" spans="114:114">
      <c r="DJ12868" s="29"/>
    </row>
    <row r="12869" spans="114:114">
      <c r="DJ12869" s="29"/>
    </row>
    <row r="12870" spans="114:114">
      <c r="DJ12870" s="29"/>
    </row>
    <row r="12871" spans="114:114">
      <c r="DJ12871" s="29"/>
    </row>
    <row r="12872" spans="114:114">
      <c r="DJ12872" s="29"/>
    </row>
    <row r="12873" spans="114:114">
      <c r="DJ12873" s="29"/>
    </row>
    <row r="12874" spans="114:114">
      <c r="DJ12874" s="29"/>
    </row>
    <row r="12875" spans="114:114">
      <c r="DJ12875" s="29"/>
    </row>
    <row r="12876" spans="114:114">
      <c r="DJ12876" s="29"/>
    </row>
    <row r="12877" spans="114:114">
      <c r="DJ12877" s="29"/>
    </row>
    <row r="12878" spans="114:114">
      <c r="DJ12878" s="29"/>
    </row>
    <row r="12879" spans="114:114">
      <c r="DJ12879" s="29"/>
    </row>
    <row r="12880" spans="114:114">
      <c r="DJ12880" s="29"/>
    </row>
    <row r="12881" spans="114:114">
      <c r="DJ12881" s="29"/>
    </row>
    <row r="12882" spans="114:114">
      <c r="DJ12882" s="29"/>
    </row>
    <row r="12883" spans="114:114">
      <c r="DJ12883" s="29"/>
    </row>
    <row r="12884" spans="114:114">
      <c r="DJ12884" s="29"/>
    </row>
    <row r="12885" spans="114:114">
      <c r="DJ12885" s="29"/>
    </row>
    <row r="12886" spans="114:114">
      <c r="DJ12886" s="29"/>
    </row>
    <row r="12887" spans="114:114">
      <c r="DJ12887" s="29"/>
    </row>
    <row r="12888" spans="114:114">
      <c r="DJ12888" s="29"/>
    </row>
    <row r="12889" spans="114:114">
      <c r="DJ12889" s="29"/>
    </row>
    <row r="12890" spans="114:114">
      <c r="DJ12890" s="29"/>
    </row>
    <row r="12891" spans="114:114">
      <c r="DJ12891" s="29"/>
    </row>
    <row r="12892" spans="114:114">
      <c r="DJ12892" s="29"/>
    </row>
    <row r="12893" spans="114:114">
      <c r="DJ12893" s="29"/>
    </row>
    <row r="12894" spans="114:114">
      <c r="DJ12894" s="29"/>
    </row>
    <row r="12895" spans="114:114">
      <c r="DJ12895" s="29"/>
    </row>
    <row r="12896" spans="114:114">
      <c r="DJ12896" s="29"/>
    </row>
    <row r="12897" spans="114:114">
      <c r="DJ12897" s="29"/>
    </row>
    <row r="12898" spans="114:114">
      <c r="DJ12898" s="29"/>
    </row>
    <row r="12899" spans="114:114">
      <c r="DJ12899" s="29"/>
    </row>
    <row r="12900" spans="114:114">
      <c r="DJ12900" s="29"/>
    </row>
    <row r="12901" spans="114:114">
      <c r="DJ12901" s="29"/>
    </row>
    <row r="12902" spans="114:114">
      <c r="DJ12902" s="29"/>
    </row>
    <row r="12903" spans="114:114">
      <c r="DJ12903" s="29"/>
    </row>
    <row r="12904" spans="114:114">
      <c r="DJ12904" s="29"/>
    </row>
    <row r="12905" spans="114:114">
      <c r="DJ12905" s="29"/>
    </row>
    <row r="12906" spans="114:114">
      <c r="DJ12906" s="29"/>
    </row>
    <row r="12907" spans="114:114">
      <c r="DJ12907" s="29"/>
    </row>
    <row r="12908" spans="114:114">
      <c r="DJ12908" s="29"/>
    </row>
    <row r="12909" spans="114:114">
      <c r="DJ12909" s="29"/>
    </row>
    <row r="12910" spans="114:114">
      <c r="DJ12910" s="29"/>
    </row>
    <row r="12911" spans="114:114">
      <c r="DJ12911" s="29"/>
    </row>
    <row r="12912" spans="114:114">
      <c r="DJ12912" s="29"/>
    </row>
    <row r="12913" spans="114:114">
      <c r="DJ12913" s="29"/>
    </row>
    <row r="12914" spans="114:114">
      <c r="DJ12914" s="29"/>
    </row>
    <row r="12915" spans="114:114">
      <c r="DJ12915" s="29"/>
    </row>
    <row r="12916" spans="114:114">
      <c r="DJ12916" s="29"/>
    </row>
    <row r="12917" spans="114:114">
      <c r="DJ12917" s="29"/>
    </row>
    <row r="12918" spans="114:114">
      <c r="DJ12918" s="29"/>
    </row>
    <row r="12919" spans="114:114">
      <c r="DJ12919" s="29"/>
    </row>
    <row r="12920" spans="114:114">
      <c r="DJ12920" s="29"/>
    </row>
    <row r="12921" spans="114:114">
      <c r="DJ12921" s="29"/>
    </row>
    <row r="12922" spans="114:114">
      <c r="DJ12922" s="29"/>
    </row>
    <row r="12923" spans="114:114">
      <c r="DJ12923" s="29"/>
    </row>
    <row r="12924" spans="114:114">
      <c r="DJ12924" s="29"/>
    </row>
    <row r="12925" spans="114:114">
      <c r="DJ12925" s="29"/>
    </row>
    <row r="12926" spans="114:114">
      <c r="DJ12926" s="29"/>
    </row>
    <row r="12927" spans="114:114">
      <c r="DJ12927" s="29"/>
    </row>
    <row r="12928" spans="114:114">
      <c r="DJ12928" s="29"/>
    </row>
    <row r="12929" spans="114:114">
      <c r="DJ12929" s="29"/>
    </row>
    <row r="12930" spans="114:114">
      <c r="DJ12930" s="29"/>
    </row>
    <row r="12931" spans="114:114">
      <c r="DJ12931" s="29"/>
    </row>
    <row r="12932" spans="114:114">
      <c r="DJ12932" s="29"/>
    </row>
    <row r="12933" spans="114:114">
      <c r="DJ12933" s="29"/>
    </row>
    <row r="12934" spans="114:114">
      <c r="DJ12934" s="29"/>
    </row>
    <row r="12935" spans="114:114">
      <c r="DJ12935" s="29"/>
    </row>
    <row r="12936" spans="114:114">
      <c r="DJ12936" s="29"/>
    </row>
    <row r="12937" spans="114:114">
      <c r="DJ12937" s="29"/>
    </row>
    <row r="12938" spans="114:114">
      <c r="DJ12938" s="29"/>
    </row>
    <row r="12939" spans="114:114">
      <c r="DJ12939" s="29"/>
    </row>
    <row r="12940" spans="114:114">
      <c r="DJ12940" s="29"/>
    </row>
    <row r="12941" spans="114:114">
      <c r="DJ12941" s="29"/>
    </row>
    <row r="12942" spans="114:114">
      <c r="DJ12942" s="29"/>
    </row>
    <row r="12943" spans="114:114">
      <c r="DJ12943" s="29"/>
    </row>
    <row r="12944" spans="114:114">
      <c r="DJ12944" s="29"/>
    </row>
    <row r="12945" spans="114:114">
      <c r="DJ12945" s="29"/>
    </row>
    <row r="12946" spans="114:114">
      <c r="DJ12946" s="29"/>
    </row>
    <row r="12947" spans="114:114">
      <c r="DJ12947" s="29"/>
    </row>
    <row r="12948" spans="114:114">
      <c r="DJ12948" s="29"/>
    </row>
    <row r="12949" spans="114:114">
      <c r="DJ12949" s="29"/>
    </row>
    <row r="12950" spans="114:114">
      <c r="DJ12950" s="29"/>
    </row>
    <row r="12951" spans="114:114">
      <c r="DJ12951" s="29"/>
    </row>
    <row r="12952" spans="114:114">
      <c r="DJ12952" s="29"/>
    </row>
    <row r="12953" spans="114:114">
      <c r="DJ12953" s="29"/>
    </row>
    <row r="12954" spans="114:114">
      <c r="DJ12954" s="29"/>
    </row>
    <row r="12955" spans="114:114">
      <c r="DJ12955" s="29"/>
    </row>
    <row r="12956" spans="114:114">
      <c r="DJ12956" s="29"/>
    </row>
    <row r="12957" spans="114:114">
      <c r="DJ12957" s="29"/>
    </row>
    <row r="12958" spans="114:114">
      <c r="DJ12958" s="29"/>
    </row>
    <row r="12959" spans="114:114">
      <c r="DJ12959" s="29"/>
    </row>
    <row r="12960" spans="114:114">
      <c r="DJ12960" s="29"/>
    </row>
    <row r="12961" spans="114:114">
      <c r="DJ12961" s="29"/>
    </row>
    <row r="12962" spans="114:114">
      <c r="DJ12962" s="29"/>
    </row>
    <row r="12963" spans="114:114">
      <c r="DJ12963" s="29"/>
    </row>
    <row r="12964" spans="114:114">
      <c r="DJ12964" s="29"/>
    </row>
    <row r="12965" spans="114:114">
      <c r="DJ12965" s="29"/>
    </row>
    <row r="12966" spans="114:114">
      <c r="DJ12966" s="29"/>
    </row>
    <row r="12967" spans="114:114">
      <c r="DJ12967" s="29"/>
    </row>
    <row r="12968" spans="114:114">
      <c r="DJ12968" s="29"/>
    </row>
    <row r="12969" spans="114:114">
      <c r="DJ12969" s="29"/>
    </row>
    <row r="12970" spans="114:114">
      <c r="DJ12970" s="29"/>
    </row>
    <row r="12971" spans="114:114">
      <c r="DJ12971" s="29"/>
    </row>
    <row r="12972" spans="114:114">
      <c r="DJ12972" s="29"/>
    </row>
    <row r="12973" spans="114:114">
      <c r="DJ12973" s="29"/>
    </row>
    <row r="12974" spans="114:114">
      <c r="DJ12974" s="29"/>
    </row>
    <row r="12975" spans="114:114">
      <c r="DJ12975" s="29"/>
    </row>
    <row r="12976" spans="114:114">
      <c r="DJ12976" s="29"/>
    </row>
    <row r="12977" spans="114:114">
      <c r="DJ12977" s="29"/>
    </row>
    <row r="12978" spans="114:114">
      <c r="DJ12978" s="29"/>
    </row>
    <row r="12979" spans="114:114">
      <c r="DJ12979" s="29"/>
    </row>
    <row r="12980" spans="114:114">
      <c r="DJ12980" s="29"/>
    </row>
    <row r="12981" spans="114:114">
      <c r="DJ12981" s="29"/>
    </row>
    <row r="12982" spans="114:114">
      <c r="DJ12982" s="29"/>
    </row>
    <row r="12983" spans="114:114">
      <c r="DJ12983" s="29"/>
    </row>
    <row r="12984" spans="114:114">
      <c r="DJ12984" s="29"/>
    </row>
    <row r="12985" spans="114:114">
      <c r="DJ12985" s="29"/>
    </row>
    <row r="12986" spans="114:114">
      <c r="DJ12986" s="29"/>
    </row>
    <row r="12987" spans="114:114">
      <c r="DJ12987" s="29"/>
    </row>
    <row r="12988" spans="114:114">
      <c r="DJ12988" s="29"/>
    </row>
    <row r="12989" spans="114:114">
      <c r="DJ12989" s="29"/>
    </row>
    <row r="12990" spans="114:114">
      <c r="DJ12990" s="29"/>
    </row>
    <row r="12991" spans="114:114">
      <c r="DJ12991" s="29"/>
    </row>
    <row r="12992" spans="114:114">
      <c r="DJ12992" s="29"/>
    </row>
    <row r="12993" spans="114:114">
      <c r="DJ12993" s="29"/>
    </row>
    <row r="12994" spans="114:114">
      <c r="DJ12994" s="29"/>
    </row>
    <row r="12995" spans="114:114">
      <c r="DJ12995" s="29"/>
    </row>
    <row r="12996" spans="114:114">
      <c r="DJ12996" s="29"/>
    </row>
    <row r="12997" spans="114:114">
      <c r="DJ12997" s="29"/>
    </row>
    <row r="12998" spans="114:114">
      <c r="DJ12998" s="29"/>
    </row>
    <row r="12999" spans="114:114">
      <c r="DJ12999" s="29"/>
    </row>
    <row r="13000" spans="114:114">
      <c r="DJ13000" s="29"/>
    </row>
    <row r="13001" spans="114:114">
      <c r="DJ13001" s="29"/>
    </row>
    <row r="13002" spans="114:114">
      <c r="DJ13002" s="29"/>
    </row>
    <row r="13003" spans="114:114">
      <c r="DJ13003" s="29"/>
    </row>
    <row r="13004" spans="114:114">
      <c r="DJ13004" s="29"/>
    </row>
    <row r="13005" spans="114:114">
      <c r="DJ13005" s="29"/>
    </row>
    <row r="13006" spans="114:114">
      <c r="DJ13006" s="29"/>
    </row>
    <row r="13007" spans="114:114">
      <c r="DJ13007" s="29"/>
    </row>
    <row r="13008" spans="114:114">
      <c r="DJ13008" s="29"/>
    </row>
    <row r="13009" spans="114:114">
      <c r="DJ13009" s="29"/>
    </row>
    <row r="13010" spans="114:114">
      <c r="DJ13010" s="29"/>
    </row>
    <row r="13011" spans="114:114">
      <c r="DJ13011" s="29"/>
    </row>
    <row r="13012" spans="114:114">
      <c r="DJ13012" s="29"/>
    </row>
    <row r="13013" spans="114:114">
      <c r="DJ13013" s="29"/>
    </row>
    <row r="13014" spans="114:114">
      <c r="DJ13014" s="29"/>
    </row>
    <row r="13015" spans="114:114">
      <c r="DJ13015" s="29"/>
    </row>
    <row r="13016" spans="114:114">
      <c r="DJ13016" s="29"/>
    </row>
    <row r="13017" spans="114:114">
      <c r="DJ13017" s="29"/>
    </row>
    <row r="13018" spans="114:114">
      <c r="DJ13018" s="29"/>
    </row>
    <row r="13019" spans="114:114">
      <c r="DJ13019" s="29"/>
    </row>
    <row r="13020" spans="114:114">
      <c r="DJ13020" s="29"/>
    </row>
    <row r="13021" spans="114:114">
      <c r="DJ13021" s="29"/>
    </row>
    <row r="13022" spans="114:114">
      <c r="DJ13022" s="29"/>
    </row>
    <row r="13023" spans="114:114">
      <c r="DJ13023" s="29"/>
    </row>
    <row r="13024" spans="114:114">
      <c r="DJ13024" s="29"/>
    </row>
    <row r="13025" spans="114:114">
      <c r="DJ13025" s="29"/>
    </row>
    <row r="13026" spans="114:114">
      <c r="DJ13026" s="29"/>
    </row>
    <row r="13027" spans="114:114">
      <c r="DJ13027" s="29"/>
    </row>
    <row r="13028" spans="114:114">
      <c r="DJ13028" s="29"/>
    </row>
    <row r="13029" spans="114:114">
      <c r="DJ13029" s="29"/>
    </row>
    <row r="13030" spans="114:114">
      <c r="DJ13030" s="29"/>
    </row>
    <row r="13031" spans="114:114">
      <c r="DJ13031" s="29"/>
    </row>
    <row r="13032" spans="114:114">
      <c r="DJ13032" s="29"/>
    </row>
    <row r="13033" spans="114:114">
      <c r="DJ13033" s="29"/>
    </row>
    <row r="13034" spans="114:114">
      <c r="DJ13034" s="29"/>
    </row>
    <row r="13035" spans="114:114">
      <c r="DJ13035" s="29"/>
    </row>
    <row r="13036" spans="114:114">
      <c r="DJ13036" s="29"/>
    </row>
    <row r="13037" spans="114:114">
      <c r="DJ13037" s="29"/>
    </row>
    <row r="13038" spans="114:114">
      <c r="DJ13038" s="29"/>
    </row>
    <row r="13039" spans="114:114">
      <c r="DJ13039" s="29"/>
    </row>
    <row r="13040" spans="114:114">
      <c r="DJ13040" s="29"/>
    </row>
    <row r="13041" spans="114:114">
      <c r="DJ13041" s="29"/>
    </row>
    <row r="13042" spans="114:114">
      <c r="DJ13042" s="29"/>
    </row>
    <row r="13043" spans="114:114">
      <c r="DJ13043" s="29"/>
    </row>
    <row r="13044" spans="114:114">
      <c r="DJ13044" s="29"/>
    </row>
    <row r="13045" spans="114:114">
      <c r="DJ13045" s="29"/>
    </row>
    <row r="13046" spans="114:114">
      <c r="DJ13046" s="29"/>
    </row>
    <row r="13047" spans="114:114">
      <c r="DJ13047" s="29"/>
    </row>
    <row r="13048" spans="114:114">
      <c r="DJ13048" s="29"/>
    </row>
    <row r="13049" spans="114:114">
      <c r="DJ13049" s="29"/>
    </row>
    <row r="13050" spans="114:114">
      <c r="DJ13050" s="29"/>
    </row>
    <row r="13051" spans="114:114">
      <c r="DJ13051" s="29"/>
    </row>
    <row r="13052" spans="114:114">
      <c r="DJ13052" s="29"/>
    </row>
    <row r="13053" spans="114:114">
      <c r="DJ13053" s="29"/>
    </row>
    <row r="13054" spans="114:114">
      <c r="DJ13054" s="29"/>
    </row>
    <row r="13055" spans="114:114">
      <c r="DJ13055" s="29"/>
    </row>
    <row r="13056" spans="114:114">
      <c r="DJ13056" s="29"/>
    </row>
    <row r="13057" spans="114:114">
      <c r="DJ13057" s="29"/>
    </row>
    <row r="13058" spans="114:114">
      <c r="DJ13058" s="29"/>
    </row>
    <row r="13059" spans="114:114">
      <c r="DJ13059" s="29"/>
    </row>
    <row r="13060" spans="114:114">
      <c r="DJ13060" s="29"/>
    </row>
    <row r="13061" spans="114:114">
      <c r="DJ13061" s="29"/>
    </row>
    <row r="13062" spans="114:114">
      <c r="DJ13062" s="29"/>
    </row>
    <row r="13063" spans="114:114">
      <c r="DJ13063" s="29"/>
    </row>
    <row r="13064" spans="114:114">
      <c r="DJ13064" s="29"/>
    </row>
    <row r="13065" spans="114:114">
      <c r="DJ13065" s="29"/>
    </row>
    <row r="13066" spans="114:114">
      <c r="DJ13066" s="29"/>
    </row>
    <row r="13067" spans="114:114">
      <c r="DJ13067" s="29"/>
    </row>
    <row r="13068" spans="114:114">
      <c r="DJ13068" s="29"/>
    </row>
    <row r="13069" spans="114:114">
      <c r="DJ13069" s="29"/>
    </row>
    <row r="13070" spans="114:114">
      <c r="DJ13070" s="29"/>
    </row>
    <row r="13071" spans="114:114">
      <c r="DJ13071" s="29"/>
    </row>
    <row r="13072" spans="114:114">
      <c r="DJ13072" s="29"/>
    </row>
    <row r="13073" spans="114:114">
      <c r="DJ13073" s="29"/>
    </row>
    <row r="13074" spans="114:114">
      <c r="DJ13074" s="29"/>
    </row>
    <row r="13075" spans="114:114">
      <c r="DJ13075" s="29"/>
    </row>
    <row r="13076" spans="114:114">
      <c r="DJ13076" s="29"/>
    </row>
    <row r="13077" spans="114:114">
      <c r="DJ13077" s="29"/>
    </row>
    <row r="13078" spans="114:114">
      <c r="DJ13078" s="29"/>
    </row>
    <row r="13079" spans="114:114">
      <c r="DJ13079" s="29"/>
    </row>
    <row r="13080" spans="114:114">
      <c r="DJ13080" s="29"/>
    </row>
    <row r="13081" spans="114:114">
      <c r="DJ13081" s="29"/>
    </row>
    <row r="13082" spans="114:114">
      <c r="DJ13082" s="29"/>
    </row>
    <row r="13083" spans="114:114">
      <c r="DJ13083" s="29"/>
    </row>
    <row r="13084" spans="114:114">
      <c r="DJ13084" s="29"/>
    </row>
    <row r="13085" spans="114:114">
      <c r="DJ13085" s="29"/>
    </row>
    <row r="13086" spans="114:114">
      <c r="DJ13086" s="29"/>
    </row>
    <row r="13087" spans="114:114">
      <c r="DJ13087" s="29"/>
    </row>
    <row r="13088" spans="114:114">
      <c r="DJ13088" s="29"/>
    </row>
    <row r="13089" spans="114:114">
      <c r="DJ13089" s="29"/>
    </row>
    <row r="13090" spans="114:114">
      <c r="DJ13090" s="29"/>
    </row>
    <row r="13091" spans="114:114">
      <c r="DJ13091" s="29"/>
    </row>
    <row r="13092" spans="114:114">
      <c r="DJ13092" s="29"/>
    </row>
    <row r="13093" spans="114:114">
      <c r="DJ13093" s="29"/>
    </row>
    <row r="13094" spans="114:114">
      <c r="DJ13094" s="29"/>
    </row>
    <row r="13095" spans="114:114">
      <c r="DJ13095" s="29"/>
    </row>
    <row r="13096" spans="114:114">
      <c r="DJ13096" s="29"/>
    </row>
    <row r="13097" spans="114:114">
      <c r="DJ13097" s="29"/>
    </row>
    <row r="13098" spans="114:114">
      <c r="DJ13098" s="29"/>
    </row>
    <row r="13099" spans="114:114">
      <c r="DJ13099" s="29"/>
    </row>
    <row r="13100" spans="114:114">
      <c r="DJ13100" s="29"/>
    </row>
    <row r="13101" spans="114:114">
      <c r="DJ13101" s="29"/>
    </row>
    <row r="13102" spans="114:114">
      <c r="DJ13102" s="29"/>
    </row>
    <row r="13103" spans="114:114">
      <c r="DJ13103" s="29"/>
    </row>
    <row r="13104" spans="114:114">
      <c r="DJ13104" s="29"/>
    </row>
    <row r="13105" spans="114:114">
      <c r="DJ13105" s="29"/>
    </row>
    <row r="13106" spans="114:114">
      <c r="DJ13106" s="29"/>
    </row>
    <row r="13107" spans="114:114">
      <c r="DJ13107" s="29"/>
    </row>
    <row r="13108" spans="114:114">
      <c r="DJ13108" s="29"/>
    </row>
    <row r="13109" spans="114:114">
      <c r="DJ13109" s="29"/>
    </row>
    <row r="13110" spans="114:114">
      <c r="DJ13110" s="29"/>
    </row>
    <row r="13111" spans="114:114">
      <c r="DJ13111" s="29"/>
    </row>
    <row r="13112" spans="114:114">
      <c r="DJ13112" s="29"/>
    </row>
    <row r="13113" spans="114:114">
      <c r="DJ13113" s="29"/>
    </row>
    <row r="13114" spans="114:114">
      <c r="DJ13114" s="29"/>
    </row>
    <row r="13115" spans="114:114">
      <c r="DJ13115" s="29"/>
    </row>
    <row r="13116" spans="114:114">
      <c r="DJ13116" s="29"/>
    </row>
    <row r="13117" spans="114:114">
      <c r="DJ13117" s="29"/>
    </row>
    <row r="13118" spans="114:114">
      <c r="DJ13118" s="29"/>
    </row>
    <row r="13119" spans="114:114">
      <c r="DJ13119" s="29"/>
    </row>
    <row r="13120" spans="114:114">
      <c r="DJ13120" s="29"/>
    </row>
    <row r="13121" spans="114:114">
      <c r="DJ13121" s="29"/>
    </row>
    <row r="13122" spans="114:114">
      <c r="DJ13122" s="29"/>
    </row>
    <row r="13123" spans="114:114">
      <c r="DJ13123" s="29"/>
    </row>
    <row r="13124" spans="114:114">
      <c r="DJ13124" s="29"/>
    </row>
    <row r="13125" spans="114:114">
      <c r="DJ13125" s="29"/>
    </row>
    <row r="13126" spans="114:114">
      <c r="DJ13126" s="29"/>
    </row>
    <row r="13127" spans="114:114">
      <c r="DJ13127" s="29"/>
    </row>
    <row r="13128" spans="114:114">
      <c r="DJ13128" s="29"/>
    </row>
    <row r="13129" spans="114:114">
      <c r="DJ13129" s="29"/>
    </row>
    <row r="13130" spans="114:114">
      <c r="DJ13130" s="29"/>
    </row>
    <row r="13131" spans="114:114">
      <c r="DJ13131" s="29"/>
    </row>
    <row r="13132" spans="114:114">
      <c r="DJ13132" s="29"/>
    </row>
    <row r="13133" spans="114:114">
      <c r="DJ13133" s="29"/>
    </row>
    <row r="13134" spans="114:114">
      <c r="DJ13134" s="29"/>
    </row>
    <row r="13135" spans="114:114">
      <c r="DJ13135" s="29"/>
    </row>
    <row r="13136" spans="114:114">
      <c r="DJ13136" s="29"/>
    </row>
    <row r="13137" spans="114:114">
      <c r="DJ13137" s="29"/>
    </row>
    <row r="13138" spans="114:114">
      <c r="DJ13138" s="29"/>
    </row>
    <row r="13139" spans="114:114">
      <c r="DJ13139" s="29"/>
    </row>
    <row r="13140" spans="114:114">
      <c r="DJ13140" s="29"/>
    </row>
    <row r="13141" spans="114:114">
      <c r="DJ13141" s="29"/>
    </row>
    <row r="13142" spans="114:114">
      <c r="DJ13142" s="29"/>
    </row>
    <row r="13143" spans="114:114">
      <c r="DJ13143" s="29"/>
    </row>
    <row r="13144" spans="114:114">
      <c r="DJ13144" s="29"/>
    </row>
    <row r="13145" spans="114:114">
      <c r="DJ13145" s="29"/>
    </row>
    <row r="13146" spans="114:114">
      <c r="DJ13146" s="29"/>
    </row>
    <row r="13147" spans="114:114">
      <c r="DJ13147" s="29"/>
    </row>
    <row r="13148" spans="114:114">
      <c r="DJ13148" s="29"/>
    </row>
    <row r="13149" spans="114:114">
      <c r="DJ13149" s="29"/>
    </row>
    <row r="13150" spans="114:114">
      <c r="DJ13150" s="29"/>
    </row>
    <row r="13151" spans="114:114">
      <c r="DJ13151" s="29"/>
    </row>
    <row r="13152" spans="114:114">
      <c r="DJ13152" s="29"/>
    </row>
    <row r="13153" spans="114:114">
      <c r="DJ13153" s="29"/>
    </row>
    <row r="13154" spans="114:114">
      <c r="DJ13154" s="29"/>
    </row>
    <row r="13155" spans="114:114">
      <c r="DJ13155" s="29"/>
    </row>
    <row r="13156" spans="114:114">
      <c r="DJ13156" s="29"/>
    </row>
    <row r="13157" spans="114:114">
      <c r="DJ13157" s="29"/>
    </row>
    <row r="13158" spans="114:114">
      <c r="DJ13158" s="29"/>
    </row>
    <row r="13159" spans="114:114">
      <c r="DJ13159" s="29"/>
    </row>
    <row r="13160" spans="114:114">
      <c r="DJ13160" s="29"/>
    </row>
    <row r="13161" spans="114:114">
      <c r="DJ13161" s="29"/>
    </row>
    <row r="13162" spans="114:114">
      <c r="DJ13162" s="29"/>
    </row>
    <row r="13163" spans="114:114">
      <c r="DJ13163" s="29"/>
    </row>
    <row r="13164" spans="114:114">
      <c r="DJ13164" s="29"/>
    </row>
    <row r="13165" spans="114:114">
      <c r="DJ13165" s="29"/>
    </row>
    <row r="13166" spans="114:114">
      <c r="DJ13166" s="29"/>
    </row>
    <row r="13167" spans="114:114">
      <c r="DJ13167" s="29"/>
    </row>
    <row r="13168" spans="114:114">
      <c r="DJ13168" s="29"/>
    </row>
    <row r="13169" spans="114:114">
      <c r="DJ13169" s="29"/>
    </row>
    <row r="13170" spans="114:114">
      <c r="DJ13170" s="29"/>
    </row>
    <row r="13171" spans="114:114">
      <c r="DJ13171" s="29"/>
    </row>
    <row r="13172" spans="114:114">
      <c r="DJ13172" s="29"/>
    </row>
    <row r="13173" spans="114:114">
      <c r="DJ13173" s="29"/>
    </row>
    <row r="13174" spans="114:114">
      <c r="DJ13174" s="29"/>
    </row>
    <row r="13175" spans="114:114">
      <c r="DJ13175" s="29"/>
    </row>
    <row r="13176" spans="114:114">
      <c r="DJ13176" s="29"/>
    </row>
    <row r="13177" spans="114:114">
      <c r="DJ13177" s="29"/>
    </row>
    <row r="13178" spans="114:114">
      <c r="DJ13178" s="29"/>
    </row>
    <row r="13179" spans="114:114">
      <c r="DJ13179" s="29"/>
    </row>
    <row r="13180" spans="114:114">
      <c r="DJ13180" s="29"/>
    </row>
    <row r="13181" spans="114:114">
      <c r="DJ13181" s="29"/>
    </row>
    <row r="13182" spans="114:114">
      <c r="DJ13182" s="29"/>
    </row>
    <row r="13183" spans="114:114">
      <c r="DJ13183" s="29"/>
    </row>
    <row r="13184" spans="114:114">
      <c r="DJ13184" s="29"/>
    </row>
    <row r="13185" spans="114:114">
      <c r="DJ13185" s="29"/>
    </row>
    <row r="13186" spans="114:114">
      <c r="DJ13186" s="29"/>
    </row>
    <row r="13187" spans="114:114">
      <c r="DJ13187" s="29"/>
    </row>
    <row r="13188" spans="114:114">
      <c r="DJ13188" s="29"/>
    </row>
    <row r="13189" spans="114:114">
      <c r="DJ13189" s="29"/>
    </row>
    <row r="13190" spans="114:114">
      <c r="DJ13190" s="29"/>
    </row>
    <row r="13191" spans="114:114">
      <c r="DJ13191" s="29"/>
    </row>
    <row r="13192" spans="114:114">
      <c r="DJ13192" s="29"/>
    </row>
    <row r="13193" spans="114:114">
      <c r="DJ13193" s="29"/>
    </row>
    <row r="13194" spans="114:114">
      <c r="DJ13194" s="29"/>
    </row>
    <row r="13195" spans="114:114">
      <c r="DJ13195" s="29"/>
    </row>
    <row r="13196" spans="114:114">
      <c r="DJ13196" s="29"/>
    </row>
    <row r="13197" spans="114:114">
      <c r="DJ13197" s="29"/>
    </row>
    <row r="13198" spans="114:114">
      <c r="DJ13198" s="29"/>
    </row>
    <row r="13199" spans="114:114">
      <c r="DJ13199" s="29"/>
    </row>
    <row r="13200" spans="114:114">
      <c r="DJ13200" s="29"/>
    </row>
    <row r="13201" spans="114:114">
      <c r="DJ13201" s="29"/>
    </row>
    <row r="13202" spans="114:114">
      <c r="DJ13202" s="29"/>
    </row>
    <row r="13203" spans="114:114">
      <c r="DJ13203" s="29"/>
    </row>
    <row r="13204" spans="114:114">
      <c r="DJ13204" s="29"/>
    </row>
    <row r="13205" spans="114:114">
      <c r="DJ13205" s="29"/>
    </row>
    <row r="13206" spans="114:114">
      <c r="DJ13206" s="29"/>
    </row>
    <row r="13207" spans="114:114">
      <c r="DJ13207" s="29"/>
    </row>
    <row r="13208" spans="114:114">
      <c r="DJ13208" s="29"/>
    </row>
    <row r="13209" spans="114:114">
      <c r="DJ13209" s="29"/>
    </row>
    <row r="13210" spans="114:114">
      <c r="DJ13210" s="29"/>
    </row>
    <row r="13211" spans="114:114">
      <c r="DJ13211" s="29"/>
    </row>
    <row r="13212" spans="114:114">
      <c r="DJ13212" s="29"/>
    </row>
    <row r="13213" spans="114:114">
      <c r="DJ13213" s="29"/>
    </row>
    <row r="13214" spans="114:114">
      <c r="DJ13214" s="29"/>
    </row>
    <row r="13215" spans="114:114">
      <c r="DJ13215" s="29"/>
    </row>
    <row r="13216" spans="114:114">
      <c r="DJ13216" s="29"/>
    </row>
    <row r="13217" spans="114:114">
      <c r="DJ13217" s="29"/>
    </row>
    <row r="13218" spans="114:114">
      <c r="DJ13218" s="29"/>
    </row>
    <row r="13219" spans="114:114">
      <c r="DJ13219" s="29"/>
    </row>
    <row r="13220" spans="114:114">
      <c r="DJ13220" s="29"/>
    </row>
    <row r="13221" spans="114:114">
      <c r="DJ13221" s="29"/>
    </row>
    <row r="13222" spans="114:114">
      <c r="DJ13222" s="29"/>
    </row>
    <row r="13223" spans="114:114">
      <c r="DJ13223" s="29"/>
    </row>
    <row r="13224" spans="114:114">
      <c r="DJ13224" s="29"/>
    </row>
    <row r="13225" spans="114:114">
      <c r="DJ13225" s="29"/>
    </row>
    <row r="13226" spans="114:114">
      <c r="DJ13226" s="29"/>
    </row>
    <row r="13227" spans="114:114">
      <c r="DJ13227" s="29"/>
    </row>
    <row r="13228" spans="114:114">
      <c r="DJ13228" s="29"/>
    </row>
    <row r="13229" spans="114:114">
      <c r="DJ13229" s="29"/>
    </row>
    <row r="13230" spans="114:114">
      <c r="DJ13230" s="29"/>
    </row>
    <row r="13231" spans="114:114">
      <c r="DJ13231" s="29"/>
    </row>
    <row r="13232" spans="114:114">
      <c r="DJ13232" s="29"/>
    </row>
    <row r="13233" spans="114:114">
      <c r="DJ13233" s="29"/>
    </row>
    <row r="13234" spans="114:114">
      <c r="DJ13234" s="29"/>
    </row>
    <row r="13235" spans="114:114">
      <c r="DJ13235" s="29"/>
    </row>
    <row r="13236" spans="114:114">
      <c r="DJ13236" s="29"/>
    </row>
    <row r="13237" spans="114:114">
      <c r="DJ13237" s="29"/>
    </row>
    <row r="13238" spans="114:114">
      <c r="DJ13238" s="29"/>
    </row>
    <row r="13239" spans="114:114">
      <c r="DJ13239" s="29"/>
    </row>
    <row r="13240" spans="114:114">
      <c r="DJ13240" s="29"/>
    </row>
    <row r="13241" spans="114:114">
      <c r="DJ13241" s="29"/>
    </row>
    <row r="13242" spans="114:114">
      <c r="DJ13242" s="29"/>
    </row>
    <row r="13243" spans="114:114">
      <c r="DJ13243" s="29"/>
    </row>
    <row r="13244" spans="114:114">
      <c r="DJ13244" s="29"/>
    </row>
    <row r="13245" spans="114:114">
      <c r="DJ13245" s="29"/>
    </row>
    <row r="13246" spans="114:114">
      <c r="DJ13246" s="29"/>
    </row>
    <row r="13247" spans="114:114">
      <c r="DJ13247" s="29"/>
    </row>
    <row r="13248" spans="114:114">
      <c r="DJ13248" s="29"/>
    </row>
    <row r="13249" spans="114:114">
      <c r="DJ13249" s="29"/>
    </row>
    <row r="13250" spans="114:114">
      <c r="DJ13250" s="29"/>
    </row>
    <row r="13251" spans="114:114">
      <c r="DJ13251" s="29"/>
    </row>
    <row r="13252" spans="114:114">
      <c r="DJ13252" s="29"/>
    </row>
    <row r="13253" spans="114:114">
      <c r="DJ13253" s="29"/>
    </row>
    <row r="13254" spans="114:114">
      <c r="DJ13254" s="29"/>
    </row>
    <row r="13255" spans="114:114">
      <c r="DJ13255" s="29"/>
    </row>
    <row r="13256" spans="114:114">
      <c r="DJ13256" s="29"/>
    </row>
    <row r="13257" spans="114:114">
      <c r="DJ13257" s="29"/>
    </row>
    <row r="13258" spans="114:114">
      <c r="DJ13258" s="29"/>
    </row>
    <row r="13259" spans="114:114">
      <c r="DJ13259" s="29"/>
    </row>
    <row r="13260" spans="114:114">
      <c r="DJ13260" s="29"/>
    </row>
    <row r="13261" spans="114:114">
      <c r="DJ13261" s="29"/>
    </row>
    <row r="13262" spans="114:114">
      <c r="DJ13262" s="29"/>
    </row>
    <row r="13263" spans="114:114">
      <c r="DJ13263" s="29"/>
    </row>
    <row r="13264" spans="114:114">
      <c r="DJ13264" s="29"/>
    </row>
    <row r="13265" spans="114:114">
      <c r="DJ13265" s="29"/>
    </row>
    <row r="13266" spans="114:114">
      <c r="DJ13266" s="29"/>
    </row>
    <row r="13267" spans="114:114">
      <c r="DJ13267" s="29"/>
    </row>
    <row r="13268" spans="114:114">
      <c r="DJ13268" s="29"/>
    </row>
    <row r="13269" spans="114:114">
      <c r="DJ13269" s="29"/>
    </row>
    <row r="13270" spans="114:114">
      <c r="DJ13270" s="29"/>
    </row>
    <row r="13271" spans="114:114">
      <c r="DJ13271" s="29"/>
    </row>
    <row r="13272" spans="114:114">
      <c r="DJ13272" s="29"/>
    </row>
    <row r="13273" spans="114:114">
      <c r="DJ13273" s="29"/>
    </row>
    <row r="13274" spans="114:114">
      <c r="DJ13274" s="29"/>
    </row>
    <row r="13275" spans="114:114">
      <c r="DJ13275" s="29"/>
    </row>
    <row r="13276" spans="114:114">
      <c r="DJ13276" s="29"/>
    </row>
    <row r="13277" spans="114:114">
      <c r="DJ13277" s="29"/>
    </row>
    <row r="13278" spans="114:114">
      <c r="DJ13278" s="29"/>
    </row>
    <row r="13279" spans="114:114">
      <c r="DJ13279" s="29"/>
    </row>
    <row r="13280" spans="114:114">
      <c r="DJ13280" s="29"/>
    </row>
    <row r="13281" spans="114:114">
      <c r="DJ13281" s="29"/>
    </row>
    <row r="13282" spans="114:114">
      <c r="DJ13282" s="29"/>
    </row>
    <row r="13283" spans="114:114">
      <c r="DJ13283" s="29"/>
    </row>
    <row r="13284" spans="114:114">
      <c r="DJ13284" s="29"/>
    </row>
    <row r="13285" spans="114:114">
      <c r="DJ13285" s="29"/>
    </row>
    <row r="13286" spans="114:114">
      <c r="DJ13286" s="29"/>
    </row>
    <row r="13287" spans="114:114">
      <c r="DJ13287" s="29"/>
    </row>
    <row r="13288" spans="114:114">
      <c r="DJ13288" s="29"/>
    </row>
    <row r="13289" spans="114:114">
      <c r="DJ13289" s="29"/>
    </row>
    <row r="13290" spans="114:114">
      <c r="DJ13290" s="29"/>
    </row>
    <row r="13291" spans="114:114">
      <c r="DJ13291" s="29"/>
    </row>
    <row r="13292" spans="114:114">
      <c r="DJ13292" s="29"/>
    </row>
    <row r="13293" spans="114:114">
      <c r="DJ13293" s="29"/>
    </row>
    <row r="13294" spans="114:114">
      <c r="DJ13294" s="29"/>
    </row>
    <row r="13295" spans="114:114">
      <c r="DJ13295" s="29"/>
    </row>
    <row r="13296" spans="114:114">
      <c r="DJ13296" s="29"/>
    </row>
    <row r="13297" spans="114:114">
      <c r="DJ13297" s="29"/>
    </row>
    <row r="13298" spans="114:114">
      <c r="DJ13298" s="29"/>
    </row>
    <row r="13299" spans="114:114">
      <c r="DJ13299" s="29"/>
    </row>
    <row r="13300" spans="114:114">
      <c r="DJ13300" s="29"/>
    </row>
    <row r="13301" spans="114:114">
      <c r="DJ13301" s="29"/>
    </row>
    <row r="13302" spans="114:114">
      <c r="DJ13302" s="29"/>
    </row>
    <row r="13303" spans="114:114">
      <c r="DJ13303" s="29"/>
    </row>
    <row r="13304" spans="114:114">
      <c r="DJ13304" s="29"/>
    </row>
    <row r="13305" spans="114:114">
      <c r="DJ13305" s="29"/>
    </row>
    <row r="13306" spans="114:114">
      <c r="DJ13306" s="29"/>
    </row>
    <row r="13307" spans="114:114">
      <c r="DJ13307" s="29"/>
    </row>
    <row r="13308" spans="114:114">
      <c r="DJ13308" s="29"/>
    </row>
    <row r="13309" spans="114:114">
      <c r="DJ13309" s="29"/>
    </row>
    <row r="13310" spans="114:114">
      <c r="DJ13310" s="29"/>
    </row>
    <row r="13311" spans="114:114">
      <c r="DJ13311" s="29"/>
    </row>
    <row r="13312" spans="114:114">
      <c r="DJ13312" s="29"/>
    </row>
    <row r="13313" spans="114:114">
      <c r="DJ13313" s="29"/>
    </row>
    <row r="13314" spans="114:114">
      <c r="DJ13314" s="29"/>
    </row>
    <row r="13315" spans="114:114">
      <c r="DJ13315" s="29"/>
    </row>
    <row r="13316" spans="114:114">
      <c r="DJ13316" s="29"/>
    </row>
    <row r="13317" spans="114:114">
      <c r="DJ13317" s="29"/>
    </row>
    <row r="13318" spans="114:114">
      <c r="DJ13318" s="29"/>
    </row>
    <row r="13319" spans="114:114">
      <c r="DJ13319" s="29"/>
    </row>
    <row r="13320" spans="114:114">
      <c r="DJ13320" s="29"/>
    </row>
    <row r="13321" spans="114:114">
      <c r="DJ13321" s="29"/>
    </row>
    <row r="13322" spans="114:114">
      <c r="DJ13322" s="29"/>
    </row>
    <row r="13323" spans="114:114">
      <c r="DJ13323" s="29"/>
    </row>
    <row r="13324" spans="114:114">
      <c r="DJ13324" s="29"/>
    </row>
    <row r="13325" spans="114:114">
      <c r="DJ13325" s="29"/>
    </row>
    <row r="13326" spans="114:114">
      <c r="DJ13326" s="29"/>
    </row>
    <row r="13327" spans="114:114">
      <c r="DJ13327" s="29"/>
    </row>
    <row r="13328" spans="114:114">
      <c r="DJ13328" s="29"/>
    </row>
    <row r="13329" spans="114:114">
      <c r="DJ13329" s="29"/>
    </row>
    <row r="13330" spans="114:114">
      <c r="DJ13330" s="29"/>
    </row>
    <row r="13331" spans="114:114">
      <c r="DJ13331" s="29"/>
    </row>
    <row r="13332" spans="114:114">
      <c r="DJ13332" s="29"/>
    </row>
    <row r="13333" spans="114:114">
      <c r="DJ13333" s="29"/>
    </row>
    <row r="13334" spans="114:114">
      <c r="DJ13334" s="29"/>
    </row>
    <row r="13335" spans="114:114">
      <c r="DJ13335" s="29"/>
    </row>
    <row r="13336" spans="114:114">
      <c r="DJ13336" s="29"/>
    </row>
    <row r="13337" spans="114:114">
      <c r="DJ13337" s="29"/>
    </row>
    <row r="13338" spans="114:114">
      <c r="DJ13338" s="29"/>
    </row>
    <row r="13339" spans="114:114">
      <c r="DJ13339" s="29"/>
    </row>
    <row r="13340" spans="114:114">
      <c r="DJ13340" s="29"/>
    </row>
    <row r="13341" spans="114:114">
      <c r="DJ13341" s="29"/>
    </row>
    <row r="13342" spans="114:114">
      <c r="DJ13342" s="29"/>
    </row>
    <row r="13343" spans="114:114">
      <c r="DJ13343" s="29"/>
    </row>
    <row r="13344" spans="114:114">
      <c r="DJ13344" s="29"/>
    </row>
    <row r="13345" spans="114:114">
      <c r="DJ13345" s="29"/>
    </row>
    <row r="13346" spans="114:114">
      <c r="DJ13346" s="29"/>
    </row>
    <row r="13347" spans="114:114">
      <c r="DJ13347" s="29"/>
    </row>
    <row r="13348" spans="114:114">
      <c r="DJ13348" s="29"/>
    </row>
    <row r="13349" spans="114:114">
      <c r="DJ13349" s="29"/>
    </row>
    <row r="13350" spans="114:114">
      <c r="DJ13350" s="29"/>
    </row>
    <row r="13351" spans="114:114">
      <c r="DJ13351" s="29"/>
    </row>
    <row r="13352" spans="114:114">
      <c r="DJ13352" s="29"/>
    </row>
    <row r="13353" spans="114:114">
      <c r="DJ13353" s="29"/>
    </row>
    <row r="13354" spans="114:114">
      <c r="DJ13354" s="29"/>
    </row>
    <row r="13355" spans="114:114">
      <c r="DJ13355" s="29"/>
    </row>
    <row r="13356" spans="114:114">
      <c r="DJ13356" s="29"/>
    </row>
    <row r="13357" spans="114:114">
      <c r="DJ13357" s="29"/>
    </row>
    <row r="13358" spans="114:114">
      <c r="DJ13358" s="29"/>
    </row>
    <row r="13359" spans="114:114">
      <c r="DJ13359" s="29"/>
    </row>
    <row r="13360" spans="114:114">
      <c r="DJ13360" s="29"/>
    </row>
    <row r="13361" spans="114:114">
      <c r="DJ13361" s="29"/>
    </row>
    <row r="13362" spans="114:114">
      <c r="DJ13362" s="29"/>
    </row>
    <row r="13363" spans="114:114">
      <c r="DJ13363" s="29"/>
    </row>
    <row r="13364" spans="114:114">
      <c r="DJ13364" s="29"/>
    </row>
    <row r="13365" spans="114:114">
      <c r="DJ13365" s="29"/>
    </row>
    <row r="13366" spans="114:114">
      <c r="DJ13366" s="29"/>
    </row>
    <row r="13367" spans="114:114">
      <c r="DJ13367" s="29"/>
    </row>
    <row r="13368" spans="114:114">
      <c r="DJ13368" s="29"/>
    </row>
    <row r="13369" spans="114:114">
      <c r="DJ13369" s="29"/>
    </row>
    <row r="13370" spans="114:114">
      <c r="DJ13370" s="29"/>
    </row>
    <row r="13371" spans="114:114">
      <c r="DJ13371" s="29"/>
    </row>
    <row r="13372" spans="114:114">
      <c r="DJ13372" s="29"/>
    </row>
    <row r="13373" spans="114:114">
      <c r="DJ13373" s="29"/>
    </row>
    <row r="13374" spans="114:114">
      <c r="DJ13374" s="29"/>
    </row>
    <row r="13375" spans="114:114">
      <c r="DJ13375" s="29"/>
    </row>
    <row r="13376" spans="114:114">
      <c r="DJ13376" s="29"/>
    </row>
    <row r="13377" spans="114:114">
      <c r="DJ13377" s="29"/>
    </row>
    <row r="13378" spans="114:114">
      <c r="DJ13378" s="29"/>
    </row>
    <row r="13379" spans="114:114">
      <c r="DJ13379" s="29"/>
    </row>
    <row r="13380" spans="114:114">
      <c r="DJ13380" s="29"/>
    </row>
    <row r="13381" spans="114:114">
      <c r="DJ13381" s="29"/>
    </row>
    <row r="13382" spans="114:114">
      <c r="DJ13382" s="29"/>
    </row>
    <row r="13383" spans="114:114">
      <c r="DJ13383" s="29"/>
    </row>
    <row r="13384" spans="114:114">
      <c r="DJ13384" s="29"/>
    </row>
    <row r="13385" spans="114:114">
      <c r="DJ13385" s="29"/>
    </row>
    <row r="13386" spans="114:114">
      <c r="DJ13386" s="29"/>
    </row>
    <row r="13387" spans="114:114">
      <c r="DJ13387" s="29"/>
    </row>
    <row r="13388" spans="114:114">
      <c r="DJ13388" s="29"/>
    </row>
    <row r="13389" spans="114:114">
      <c r="DJ13389" s="29"/>
    </row>
    <row r="13390" spans="114:114">
      <c r="DJ13390" s="29"/>
    </row>
    <row r="13391" spans="114:114">
      <c r="DJ13391" s="29"/>
    </row>
    <row r="13392" spans="114:114">
      <c r="DJ13392" s="29"/>
    </row>
    <row r="13393" spans="114:114">
      <c r="DJ13393" s="29"/>
    </row>
    <row r="13394" spans="114:114">
      <c r="DJ13394" s="29"/>
    </row>
    <row r="13395" spans="114:114">
      <c r="DJ13395" s="29"/>
    </row>
    <row r="13396" spans="114:114">
      <c r="DJ13396" s="29"/>
    </row>
    <row r="13397" spans="114:114">
      <c r="DJ13397" s="29"/>
    </row>
    <row r="13398" spans="114:114">
      <c r="DJ13398" s="29"/>
    </row>
    <row r="13399" spans="114:114">
      <c r="DJ13399" s="29"/>
    </row>
    <row r="13400" spans="114:114">
      <c r="DJ13400" s="29"/>
    </row>
    <row r="13401" spans="114:114">
      <c r="DJ13401" s="29"/>
    </row>
    <row r="13402" spans="114:114">
      <c r="DJ13402" s="29"/>
    </row>
    <row r="13403" spans="114:114">
      <c r="DJ13403" s="29"/>
    </row>
    <row r="13404" spans="114:114">
      <c r="DJ13404" s="29"/>
    </row>
    <row r="13405" spans="114:114">
      <c r="DJ13405" s="29"/>
    </row>
    <row r="13406" spans="114:114">
      <c r="DJ13406" s="29"/>
    </row>
    <row r="13407" spans="114:114">
      <c r="DJ13407" s="29"/>
    </row>
    <row r="13408" spans="114:114">
      <c r="DJ13408" s="29"/>
    </row>
    <row r="13409" spans="114:114">
      <c r="DJ13409" s="29"/>
    </row>
    <row r="13410" spans="114:114">
      <c r="DJ13410" s="29"/>
    </row>
    <row r="13411" spans="114:114">
      <c r="DJ13411" s="29"/>
    </row>
    <row r="13412" spans="114:114">
      <c r="DJ13412" s="29"/>
    </row>
    <row r="13413" spans="114:114">
      <c r="DJ13413" s="29"/>
    </row>
    <row r="13414" spans="114:114">
      <c r="DJ13414" s="29"/>
    </row>
    <row r="13415" spans="114:114">
      <c r="DJ13415" s="29"/>
    </row>
    <row r="13416" spans="114:114">
      <c r="DJ13416" s="29"/>
    </row>
    <row r="13417" spans="114:114">
      <c r="DJ13417" s="29"/>
    </row>
    <row r="13418" spans="114:114">
      <c r="DJ13418" s="29"/>
    </row>
    <row r="13419" spans="114:114">
      <c r="DJ13419" s="29"/>
    </row>
    <row r="13420" spans="114:114">
      <c r="DJ13420" s="29"/>
    </row>
    <row r="13421" spans="114:114">
      <c r="DJ13421" s="29"/>
    </row>
    <row r="13422" spans="114:114">
      <c r="DJ13422" s="29"/>
    </row>
    <row r="13423" spans="114:114">
      <c r="DJ13423" s="29"/>
    </row>
    <row r="13424" spans="114:114">
      <c r="DJ13424" s="29"/>
    </row>
    <row r="13425" spans="114:114">
      <c r="DJ13425" s="29"/>
    </row>
    <row r="13426" spans="114:114">
      <c r="DJ13426" s="29"/>
    </row>
    <row r="13427" spans="114:114">
      <c r="DJ13427" s="29"/>
    </row>
    <row r="13428" spans="114:114">
      <c r="DJ13428" s="29"/>
    </row>
    <row r="13429" spans="114:114">
      <c r="DJ13429" s="29"/>
    </row>
    <row r="13430" spans="114:114">
      <c r="DJ13430" s="29"/>
    </row>
    <row r="13431" spans="114:114">
      <c r="DJ13431" s="29"/>
    </row>
    <row r="13432" spans="114:114">
      <c r="DJ13432" s="29"/>
    </row>
    <row r="13433" spans="114:114">
      <c r="DJ13433" s="29"/>
    </row>
    <row r="13434" spans="114:114">
      <c r="DJ13434" s="29"/>
    </row>
    <row r="13435" spans="114:114">
      <c r="DJ13435" s="29"/>
    </row>
    <row r="13436" spans="114:114">
      <c r="DJ13436" s="29"/>
    </row>
    <row r="13437" spans="114:114">
      <c r="DJ13437" s="29"/>
    </row>
    <row r="13438" spans="114:114">
      <c r="DJ13438" s="29"/>
    </row>
    <row r="13439" spans="114:114">
      <c r="DJ13439" s="29"/>
    </row>
    <row r="13440" spans="114:114">
      <c r="DJ13440" s="29"/>
    </row>
    <row r="13441" spans="114:114">
      <c r="DJ13441" s="29"/>
    </row>
    <row r="13442" spans="114:114">
      <c r="DJ13442" s="29"/>
    </row>
    <row r="13443" spans="114:114">
      <c r="DJ13443" s="29"/>
    </row>
    <row r="13444" spans="114:114">
      <c r="DJ13444" s="29"/>
    </row>
    <row r="13445" spans="114:114">
      <c r="DJ13445" s="29"/>
    </row>
    <row r="13446" spans="114:114">
      <c r="DJ13446" s="29"/>
    </row>
    <row r="13447" spans="114:114">
      <c r="DJ13447" s="29"/>
    </row>
    <row r="13448" spans="114:114">
      <c r="DJ13448" s="29"/>
    </row>
    <row r="13449" spans="114:114">
      <c r="DJ13449" s="29"/>
    </row>
    <row r="13450" spans="114:114">
      <c r="DJ13450" s="29"/>
    </row>
    <row r="13451" spans="114:114">
      <c r="DJ13451" s="29"/>
    </row>
    <row r="13452" spans="114:114">
      <c r="DJ13452" s="29"/>
    </row>
    <row r="13453" spans="114:114">
      <c r="DJ13453" s="29"/>
    </row>
    <row r="13454" spans="114:114">
      <c r="DJ13454" s="29"/>
    </row>
    <row r="13455" spans="114:114">
      <c r="DJ13455" s="29"/>
    </row>
    <row r="13456" spans="114:114">
      <c r="DJ13456" s="29"/>
    </row>
    <row r="13457" spans="114:114">
      <c r="DJ13457" s="29"/>
    </row>
    <row r="13458" spans="114:114">
      <c r="DJ13458" s="29"/>
    </row>
    <row r="13459" spans="114:114">
      <c r="DJ13459" s="29"/>
    </row>
    <row r="13460" spans="114:114">
      <c r="DJ13460" s="29"/>
    </row>
    <row r="13461" spans="114:114">
      <c r="DJ13461" s="29"/>
    </row>
    <row r="13462" spans="114:114">
      <c r="DJ13462" s="29"/>
    </row>
    <row r="13463" spans="114:114">
      <c r="DJ13463" s="29"/>
    </row>
    <row r="13464" spans="114:114">
      <c r="DJ13464" s="29"/>
    </row>
    <row r="13465" spans="114:114">
      <c r="DJ13465" s="29"/>
    </row>
    <row r="13466" spans="114:114">
      <c r="DJ13466" s="29"/>
    </row>
    <row r="13467" spans="114:114">
      <c r="DJ13467" s="29"/>
    </row>
    <row r="13468" spans="114:114">
      <c r="DJ13468" s="29"/>
    </row>
    <row r="13469" spans="114:114">
      <c r="DJ13469" s="29"/>
    </row>
    <row r="13470" spans="114:114">
      <c r="DJ13470" s="29"/>
    </row>
    <row r="13471" spans="114:114">
      <c r="DJ13471" s="29"/>
    </row>
    <row r="13472" spans="114:114">
      <c r="DJ13472" s="29"/>
    </row>
    <row r="13473" spans="114:114">
      <c r="DJ13473" s="29"/>
    </row>
    <row r="13474" spans="114:114">
      <c r="DJ13474" s="29"/>
    </row>
    <row r="13475" spans="114:114">
      <c r="DJ13475" s="29"/>
    </row>
    <row r="13476" spans="114:114">
      <c r="DJ13476" s="29"/>
    </row>
    <row r="13477" spans="114:114">
      <c r="DJ13477" s="29"/>
    </row>
    <row r="13478" spans="114:114">
      <c r="DJ13478" s="29"/>
    </row>
    <row r="13479" spans="114:114">
      <c r="DJ13479" s="29"/>
    </row>
    <row r="13480" spans="114:114">
      <c r="DJ13480" s="29"/>
    </row>
    <row r="13481" spans="114:114">
      <c r="DJ13481" s="29"/>
    </row>
    <row r="13482" spans="114:114">
      <c r="DJ13482" s="29"/>
    </row>
    <row r="13483" spans="114:114">
      <c r="DJ13483" s="29"/>
    </row>
    <row r="13484" spans="114:114">
      <c r="DJ13484" s="29"/>
    </row>
    <row r="13485" spans="114:114">
      <c r="DJ13485" s="29"/>
    </row>
    <row r="13486" spans="114:114">
      <c r="DJ13486" s="29"/>
    </row>
    <row r="13487" spans="114:114">
      <c r="DJ13487" s="29"/>
    </row>
    <row r="13488" spans="114:114">
      <c r="DJ13488" s="29"/>
    </row>
    <row r="13489" spans="114:114">
      <c r="DJ13489" s="29"/>
    </row>
    <row r="13490" spans="114:114">
      <c r="DJ13490" s="29"/>
    </row>
    <row r="13491" spans="114:114">
      <c r="DJ13491" s="29"/>
    </row>
    <row r="13492" spans="114:114">
      <c r="DJ13492" s="29"/>
    </row>
    <row r="13493" spans="114:114">
      <c r="DJ13493" s="29"/>
    </row>
    <row r="13494" spans="114:114">
      <c r="DJ13494" s="29"/>
    </row>
    <row r="13495" spans="114:114">
      <c r="DJ13495" s="29"/>
    </row>
    <row r="13496" spans="114:114">
      <c r="DJ13496" s="29"/>
    </row>
    <row r="13497" spans="114:114">
      <c r="DJ13497" s="29"/>
    </row>
    <row r="13498" spans="114:114">
      <c r="DJ13498" s="29"/>
    </row>
    <row r="13499" spans="114:114">
      <c r="DJ13499" s="29"/>
    </row>
    <row r="13500" spans="114:114">
      <c r="DJ13500" s="29"/>
    </row>
    <row r="13501" spans="114:114">
      <c r="DJ13501" s="29"/>
    </row>
    <row r="13502" spans="114:114">
      <c r="DJ13502" s="29"/>
    </row>
    <row r="13503" spans="114:114">
      <c r="DJ13503" s="29"/>
    </row>
    <row r="13504" spans="114:114">
      <c r="DJ13504" s="29"/>
    </row>
    <row r="13505" spans="114:114">
      <c r="DJ13505" s="29"/>
    </row>
    <row r="13506" spans="114:114">
      <c r="DJ13506" s="29"/>
    </row>
    <row r="13507" spans="114:114">
      <c r="DJ13507" s="29"/>
    </row>
    <row r="13508" spans="114:114">
      <c r="DJ13508" s="29"/>
    </row>
    <row r="13509" spans="114:114">
      <c r="DJ13509" s="29"/>
    </row>
    <row r="13510" spans="114:114">
      <c r="DJ13510" s="29"/>
    </row>
    <row r="13511" spans="114:114">
      <c r="DJ13511" s="29"/>
    </row>
    <row r="13512" spans="114:114">
      <c r="DJ13512" s="29"/>
    </row>
    <row r="13513" spans="114:114">
      <c r="DJ13513" s="29"/>
    </row>
    <row r="13514" spans="114:114">
      <c r="DJ13514" s="29"/>
    </row>
    <row r="13515" spans="114:114">
      <c r="DJ13515" s="29"/>
    </row>
    <row r="13516" spans="114:114">
      <c r="DJ13516" s="29"/>
    </row>
    <row r="13517" spans="114:114">
      <c r="DJ13517" s="29"/>
    </row>
    <row r="13518" spans="114:114">
      <c r="DJ13518" s="29"/>
    </row>
    <row r="13519" spans="114:114">
      <c r="DJ13519" s="29"/>
    </row>
    <row r="13520" spans="114:114">
      <c r="DJ13520" s="29"/>
    </row>
    <row r="13521" spans="114:114">
      <c r="DJ13521" s="29"/>
    </row>
    <row r="13522" spans="114:114">
      <c r="DJ13522" s="29"/>
    </row>
    <row r="13523" spans="114:114">
      <c r="DJ13523" s="29"/>
    </row>
    <row r="13524" spans="114:114">
      <c r="DJ13524" s="29"/>
    </row>
    <row r="13525" spans="114:114">
      <c r="DJ13525" s="29"/>
    </row>
    <row r="13526" spans="114:114">
      <c r="DJ13526" s="29"/>
    </row>
    <row r="13527" spans="114:114">
      <c r="DJ13527" s="29"/>
    </row>
    <row r="13528" spans="114:114">
      <c r="DJ13528" s="29"/>
    </row>
    <row r="13529" spans="114:114">
      <c r="DJ13529" s="29"/>
    </row>
    <row r="13530" spans="114:114">
      <c r="DJ13530" s="29"/>
    </row>
    <row r="13531" spans="114:114">
      <c r="DJ13531" s="29"/>
    </row>
    <row r="13532" spans="114:114">
      <c r="DJ13532" s="29"/>
    </row>
    <row r="13533" spans="114:114">
      <c r="DJ13533" s="29"/>
    </row>
    <row r="13534" spans="114:114">
      <c r="DJ13534" s="29"/>
    </row>
    <row r="13535" spans="114:114">
      <c r="DJ13535" s="29"/>
    </row>
    <row r="13536" spans="114:114">
      <c r="DJ13536" s="29"/>
    </row>
    <row r="13537" spans="114:114">
      <c r="DJ13537" s="29"/>
    </row>
    <row r="13538" spans="114:114">
      <c r="DJ13538" s="29"/>
    </row>
    <row r="13539" spans="114:114">
      <c r="DJ13539" s="29"/>
    </row>
    <row r="13540" spans="114:114">
      <c r="DJ13540" s="29"/>
    </row>
    <row r="13541" spans="114:114">
      <c r="DJ13541" s="29"/>
    </row>
    <row r="13542" spans="114:114">
      <c r="DJ13542" s="29"/>
    </row>
    <row r="13543" spans="114:114">
      <c r="DJ13543" s="29"/>
    </row>
    <row r="13544" spans="114:114">
      <c r="DJ13544" s="29"/>
    </row>
    <row r="13545" spans="114:114">
      <c r="DJ13545" s="29"/>
    </row>
    <row r="13546" spans="114:114">
      <c r="DJ13546" s="29"/>
    </row>
    <row r="13547" spans="114:114">
      <c r="DJ13547" s="29"/>
    </row>
    <row r="13548" spans="114:114">
      <c r="DJ13548" s="29"/>
    </row>
    <row r="13549" spans="114:114">
      <c r="DJ13549" s="29"/>
    </row>
    <row r="13550" spans="114:114">
      <c r="DJ13550" s="29"/>
    </row>
    <row r="13551" spans="114:114">
      <c r="DJ13551" s="29"/>
    </row>
    <row r="13552" spans="114:114">
      <c r="DJ13552" s="29"/>
    </row>
    <row r="13553" spans="114:114">
      <c r="DJ13553" s="29"/>
    </row>
    <row r="13554" spans="114:114">
      <c r="DJ13554" s="29"/>
    </row>
    <row r="13555" spans="114:114">
      <c r="DJ13555" s="29"/>
    </row>
    <row r="13556" spans="114:114">
      <c r="DJ13556" s="29"/>
    </row>
    <row r="13557" spans="114:114">
      <c r="DJ13557" s="29"/>
    </row>
    <row r="13558" spans="114:114">
      <c r="DJ13558" s="29"/>
    </row>
    <row r="13559" spans="114:114">
      <c r="DJ13559" s="29"/>
    </row>
    <row r="13560" spans="114:114">
      <c r="DJ13560" s="29"/>
    </row>
    <row r="13561" spans="114:114">
      <c r="DJ13561" s="29"/>
    </row>
    <row r="13562" spans="114:114">
      <c r="DJ13562" s="29"/>
    </row>
    <row r="13563" spans="114:114">
      <c r="DJ13563" s="29"/>
    </row>
    <row r="13564" spans="114:114">
      <c r="DJ13564" s="29"/>
    </row>
    <row r="13565" spans="114:114">
      <c r="DJ13565" s="29"/>
    </row>
    <row r="13566" spans="114:114">
      <c r="DJ13566" s="29"/>
    </row>
    <row r="13567" spans="114:114">
      <c r="DJ13567" s="29"/>
    </row>
    <row r="13568" spans="114:114">
      <c r="DJ13568" s="29"/>
    </row>
    <row r="13569" spans="114:114">
      <c r="DJ13569" s="29"/>
    </row>
    <row r="13570" spans="114:114">
      <c r="DJ13570" s="29"/>
    </row>
    <row r="13571" spans="114:114">
      <c r="DJ13571" s="29"/>
    </row>
    <row r="13572" spans="114:114">
      <c r="DJ13572" s="29"/>
    </row>
    <row r="13573" spans="114:114">
      <c r="DJ13573" s="29"/>
    </row>
    <row r="13574" spans="114:114">
      <c r="DJ13574" s="29"/>
    </row>
    <row r="13575" spans="114:114">
      <c r="DJ13575" s="29"/>
    </row>
    <row r="13576" spans="114:114">
      <c r="DJ13576" s="29"/>
    </row>
    <row r="13577" spans="114:114">
      <c r="DJ13577" s="29"/>
    </row>
    <row r="13578" spans="114:114">
      <c r="DJ13578" s="29"/>
    </row>
    <row r="13579" spans="114:114">
      <c r="DJ13579" s="29"/>
    </row>
    <row r="13580" spans="114:114">
      <c r="DJ13580" s="29"/>
    </row>
    <row r="13581" spans="114:114">
      <c r="DJ13581" s="29"/>
    </row>
    <row r="13582" spans="114:114">
      <c r="DJ13582" s="29"/>
    </row>
    <row r="13583" spans="114:114">
      <c r="DJ13583" s="29"/>
    </row>
    <row r="13584" spans="114:114">
      <c r="DJ13584" s="29"/>
    </row>
    <row r="13585" spans="114:114">
      <c r="DJ13585" s="29"/>
    </row>
    <row r="13586" spans="114:114">
      <c r="DJ13586" s="29"/>
    </row>
    <row r="13587" spans="114:114">
      <c r="DJ13587" s="29"/>
    </row>
    <row r="13588" spans="114:114">
      <c r="DJ13588" s="29"/>
    </row>
    <row r="13589" spans="114:114">
      <c r="DJ13589" s="29"/>
    </row>
    <row r="13590" spans="114:114">
      <c r="DJ13590" s="29"/>
    </row>
    <row r="13591" spans="114:114">
      <c r="DJ13591" s="29"/>
    </row>
    <row r="13592" spans="114:114">
      <c r="DJ13592" s="29"/>
    </row>
    <row r="13593" spans="114:114">
      <c r="DJ13593" s="29"/>
    </row>
    <row r="13594" spans="114:114">
      <c r="DJ13594" s="29"/>
    </row>
    <row r="13595" spans="114:114">
      <c r="DJ13595" s="29"/>
    </row>
    <row r="13596" spans="114:114">
      <c r="DJ13596" s="29"/>
    </row>
    <row r="13597" spans="114:114">
      <c r="DJ13597" s="29"/>
    </row>
    <row r="13598" spans="114:114">
      <c r="DJ13598" s="29"/>
    </row>
    <row r="13599" spans="114:114">
      <c r="DJ13599" s="29"/>
    </row>
    <row r="13600" spans="114:114">
      <c r="DJ13600" s="29"/>
    </row>
    <row r="13601" spans="114:114">
      <c r="DJ13601" s="29"/>
    </row>
    <row r="13602" spans="114:114">
      <c r="DJ13602" s="29"/>
    </row>
    <row r="13603" spans="114:114">
      <c r="DJ13603" s="29"/>
    </row>
    <row r="13604" spans="114:114">
      <c r="DJ13604" s="29"/>
    </row>
    <row r="13605" spans="114:114">
      <c r="DJ13605" s="29"/>
    </row>
    <row r="13606" spans="114:114">
      <c r="DJ13606" s="29"/>
    </row>
    <row r="13607" spans="114:114">
      <c r="DJ13607" s="29"/>
    </row>
    <row r="13608" spans="114:114">
      <c r="DJ13608" s="29"/>
    </row>
    <row r="13609" spans="114:114">
      <c r="DJ13609" s="29"/>
    </row>
    <row r="13610" spans="114:114">
      <c r="DJ13610" s="29"/>
    </row>
    <row r="13611" spans="114:114">
      <c r="DJ13611" s="29"/>
    </row>
    <row r="13612" spans="114:114">
      <c r="DJ13612" s="29"/>
    </row>
    <row r="13613" spans="114:114">
      <c r="DJ13613" s="29"/>
    </row>
    <row r="13614" spans="114:114">
      <c r="DJ13614" s="29"/>
    </row>
    <row r="13615" spans="114:114">
      <c r="DJ13615" s="29"/>
    </row>
    <row r="13616" spans="114:114">
      <c r="DJ13616" s="29"/>
    </row>
    <row r="13617" spans="114:114">
      <c r="DJ13617" s="29"/>
    </row>
    <row r="13618" spans="114:114">
      <c r="DJ13618" s="29"/>
    </row>
    <row r="13619" spans="114:114">
      <c r="DJ13619" s="29"/>
    </row>
    <row r="13620" spans="114:114">
      <c r="DJ13620" s="29"/>
    </row>
    <row r="13621" spans="114:114">
      <c r="DJ13621" s="29"/>
    </row>
    <row r="13622" spans="114:114">
      <c r="DJ13622" s="29"/>
    </row>
    <row r="13623" spans="114:114">
      <c r="DJ13623" s="29"/>
    </row>
    <row r="13624" spans="114:114">
      <c r="DJ13624" s="29"/>
    </row>
    <row r="13625" spans="114:114">
      <c r="DJ13625" s="29"/>
    </row>
    <row r="13626" spans="114:114">
      <c r="DJ13626" s="29"/>
    </row>
    <row r="13627" spans="114:114">
      <c r="DJ13627" s="29"/>
    </row>
    <row r="13628" spans="114:114">
      <c r="DJ13628" s="29"/>
    </row>
    <row r="13629" spans="114:114">
      <c r="DJ13629" s="29"/>
    </row>
    <row r="13630" spans="114:114">
      <c r="DJ13630" s="29"/>
    </row>
    <row r="13631" spans="114:114">
      <c r="DJ13631" s="29"/>
    </row>
    <row r="13632" spans="114:114">
      <c r="DJ13632" s="29"/>
    </row>
    <row r="13633" spans="114:114">
      <c r="DJ13633" s="29"/>
    </row>
    <row r="13634" spans="114:114">
      <c r="DJ13634" s="29"/>
    </row>
    <row r="13635" spans="114:114">
      <c r="DJ13635" s="29"/>
    </row>
    <row r="13636" spans="114:114">
      <c r="DJ13636" s="29"/>
    </row>
    <row r="13637" spans="114:114">
      <c r="DJ13637" s="29"/>
    </row>
    <row r="13638" spans="114:114">
      <c r="DJ13638" s="29"/>
    </row>
    <row r="13639" spans="114:114">
      <c r="DJ13639" s="29"/>
    </row>
    <row r="13640" spans="114:114">
      <c r="DJ13640" s="29"/>
    </row>
    <row r="13641" spans="114:114">
      <c r="DJ13641" s="29"/>
    </row>
    <row r="13642" spans="114:114">
      <c r="DJ13642" s="29"/>
    </row>
    <row r="13643" spans="114:114">
      <c r="DJ13643" s="29"/>
    </row>
    <row r="13644" spans="114:114">
      <c r="DJ13644" s="29"/>
    </row>
    <row r="13645" spans="114:114">
      <c r="DJ13645" s="29"/>
    </row>
    <row r="13646" spans="114:114">
      <c r="DJ13646" s="29"/>
    </row>
    <row r="13647" spans="114:114">
      <c r="DJ13647" s="29"/>
    </row>
    <row r="13648" spans="114:114">
      <c r="DJ13648" s="29"/>
    </row>
    <row r="13649" spans="114:114">
      <c r="DJ13649" s="29"/>
    </row>
    <row r="13650" spans="114:114">
      <c r="DJ13650" s="29"/>
    </row>
    <row r="13651" spans="114:114">
      <c r="DJ13651" s="29"/>
    </row>
    <row r="13652" spans="114:114">
      <c r="DJ13652" s="29"/>
    </row>
    <row r="13653" spans="114:114">
      <c r="DJ13653" s="29"/>
    </row>
    <row r="13654" spans="114:114">
      <c r="DJ13654" s="29"/>
    </row>
    <row r="13655" spans="114:114">
      <c r="DJ13655" s="29"/>
    </row>
    <row r="13656" spans="114:114">
      <c r="DJ13656" s="29"/>
    </row>
    <row r="13657" spans="114:114">
      <c r="DJ13657" s="29"/>
    </row>
    <row r="13658" spans="114:114">
      <c r="DJ13658" s="29"/>
    </row>
    <row r="13659" spans="114:114">
      <c r="DJ13659" s="29"/>
    </row>
    <row r="13660" spans="114:114">
      <c r="DJ13660" s="29"/>
    </row>
    <row r="13661" spans="114:114">
      <c r="DJ13661" s="29"/>
    </row>
    <row r="13662" spans="114:114">
      <c r="DJ13662" s="29"/>
    </row>
    <row r="13663" spans="114:114">
      <c r="DJ13663" s="29"/>
    </row>
    <row r="13664" spans="114:114">
      <c r="DJ13664" s="29"/>
    </row>
    <row r="13665" spans="114:114">
      <c r="DJ13665" s="29"/>
    </row>
    <row r="13666" spans="114:114">
      <c r="DJ13666" s="29"/>
    </row>
    <row r="13667" spans="114:114">
      <c r="DJ13667" s="29"/>
    </row>
    <row r="13668" spans="114:114">
      <c r="DJ13668" s="29"/>
    </row>
    <row r="13669" spans="114:114">
      <c r="DJ13669" s="29"/>
    </row>
    <row r="13670" spans="114:114">
      <c r="DJ13670" s="29"/>
    </row>
    <row r="13671" spans="114:114">
      <c r="DJ13671" s="29"/>
    </row>
    <row r="13672" spans="114:114">
      <c r="DJ13672" s="29"/>
    </row>
    <row r="13673" spans="114:114">
      <c r="DJ13673" s="29"/>
    </row>
    <row r="13674" spans="114:114">
      <c r="DJ13674" s="29"/>
    </row>
    <row r="13675" spans="114:114">
      <c r="DJ13675" s="29"/>
    </row>
    <row r="13676" spans="114:114">
      <c r="DJ13676" s="29"/>
    </row>
    <row r="13677" spans="114:114">
      <c r="DJ13677" s="29"/>
    </row>
    <row r="13678" spans="114:114">
      <c r="DJ13678" s="29"/>
    </row>
    <row r="13679" spans="114:114">
      <c r="DJ13679" s="29"/>
    </row>
    <row r="13680" spans="114:114">
      <c r="DJ13680" s="29"/>
    </row>
    <row r="13681" spans="114:114">
      <c r="DJ13681" s="29"/>
    </row>
    <row r="13682" spans="114:114">
      <c r="DJ13682" s="29"/>
    </row>
    <row r="13683" spans="114:114">
      <c r="DJ13683" s="29"/>
    </row>
    <row r="13684" spans="114:114">
      <c r="DJ13684" s="29"/>
    </row>
    <row r="13685" spans="114:114">
      <c r="DJ13685" s="29"/>
    </row>
    <row r="13686" spans="114:114">
      <c r="DJ13686" s="29"/>
    </row>
    <row r="13687" spans="114:114">
      <c r="DJ13687" s="29"/>
    </row>
    <row r="13688" spans="114:114">
      <c r="DJ13688" s="29"/>
    </row>
    <row r="13689" spans="114:114">
      <c r="DJ13689" s="29"/>
    </row>
    <row r="13690" spans="114:114">
      <c r="DJ13690" s="29"/>
    </row>
    <row r="13691" spans="114:114">
      <c r="DJ13691" s="29"/>
    </row>
    <row r="13692" spans="114:114">
      <c r="DJ13692" s="29"/>
    </row>
    <row r="13693" spans="114:114">
      <c r="DJ13693" s="29"/>
    </row>
    <row r="13694" spans="114:114">
      <c r="DJ13694" s="29"/>
    </row>
    <row r="13695" spans="114:114">
      <c r="DJ13695" s="29"/>
    </row>
    <row r="13696" spans="114:114">
      <c r="DJ13696" s="29"/>
    </row>
    <row r="13697" spans="114:114">
      <c r="DJ13697" s="29"/>
    </row>
    <row r="13698" spans="114:114">
      <c r="DJ13698" s="29"/>
    </row>
    <row r="13699" spans="114:114">
      <c r="DJ13699" s="29"/>
    </row>
    <row r="13700" spans="114:114">
      <c r="DJ13700" s="29"/>
    </row>
    <row r="13701" spans="114:114">
      <c r="DJ13701" s="29"/>
    </row>
    <row r="13702" spans="114:114">
      <c r="DJ13702" s="29"/>
    </row>
    <row r="13703" spans="114:114">
      <c r="DJ13703" s="29"/>
    </row>
    <row r="13704" spans="114:114">
      <c r="DJ13704" s="29"/>
    </row>
    <row r="13705" spans="114:114">
      <c r="DJ13705" s="29"/>
    </row>
    <row r="13706" spans="114:114">
      <c r="DJ13706" s="29"/>
    </row>
    <row r="13707" spans="114:114">
      <c r="DJ13707" s="29"/>
    </row>
    <row r="13708" spans="114:114">
      <c r="DJ13708" s="29"/>
    </row>
    <row r="13709" spans="114:114">
      <c r="DJ13709" s="29"/>
    </row>
    <row r="13710" spans="114:114">
      <c r="DJ13710" s="29"/>
    </row>
    <row r="13711" spans="114:114">
      <c r="DJ13711" s="29"/>
    </row>
    <row r="13712" spans="114:114">
      <c r="DJ13712" s="29"/>
    </row>
    <row r="13713" spans="114:114">
      <c r="DJ13713" s="29"/>
    </row>
    <row r="13714" spans="114:114">
      <c r="DJ13714" s="29"/>
    </row>
    <row r="13715" spans="114:114">
      <c r="DJ13715" s="29"/>
    </row>
    <row r="13716" spans="114:114">
      <c r="DJ13716" s="29"/>
    </row>
    <row r="13717" spans="114:114">
      <c r="DJ13717" s="29"/>
    </row>
    <row r="13718" spans="114:114">
      <c r="DJ13718" s="29"/>
    </row>
    <row r="13719" spans="114:114">
      <c r="DJ13719" s="29"/>
    </row>
    <row r="13720" spans="114:114">
      <c r="DJ13720" s="29"/>
    </row>
    <row r="13721" spans="114:114">
      <c r="DJ13721" s="29"/>
    </row>
    <row r="13722" spans="114:114">
      <c r="DJ13722" s="29"/>
    </row>
    <row r="13723" spans="114:114">
      <c r="DJ13723" s="29"/>
    </row>
    <row r="13724" spans="114:114">
      <c r="DJ13724" s="29"/>
    </row>
    <row r="13725" spans="114:114">
      <c r="DJ13725" s="29"/>
    </row>
    <row r="13726" spans="114:114">
      <c r="DJ13726" s="29"/>
    </row>
    <row r="13727" spans="114:114">
      <c r="DJ13727" s="29"/>
    </row>
    <row r="13728" spans="114:114">
      <c r="DJ13728" s="29"/>
    </row>
    <row r="13729" spans="114:114">
      <c r="DJ13729" s="29"/>
    </row>
    <row r="13730" spans="114:114">
      <c r="DJ13730" s="29"/>
    </row>
    <row r="13731" spans="114:114">
      <c r="DJ13731" s="29"/>
    </row>
    <row r="13732" spans="114:114">
      <c r="DJ13732" s="29"/>
    </row>
    <row r="13733" spans="114:114">
      <c r="DJ13733" s="29"/>
    </row>
    <row r="13734" spans="114:114">
      <c r="DJ13734" s="29"/>
    </row>
    <row r="13735" spans="114:114">
      <c r="DJ13735" s="29"/>
    </row>
    <row r="13736" spans="114:114">
      <c r="DJ13736" s="29"/>
    </row>
    <row r="13737" spans="114:114">
      <c r="DJ13737" s="29"/>
    </row>
    <row r="13738" spans="114:114">
      <c r="DJ13738" s="29"/>
    </row>
    <row r="13739" spans="114:114">
      <c r="DJ13739" s="29"/>
    </row>
    <row r="13740" spans="114:114">
      <c r="DJ13740" s="29"/>
    </row>
    <row r="13741" spans="114:114">
      <c r="DJ13741" s="29"/>
    </row>
    <row r="13742" spans="114:114">
      <c r="DJ13742" s="29"/>
    </row>
    <row r="13743" spans="114:114">
      <c r="DJ13743" s="29"/>
    </row>
    <row r="13744" spans="114:114">
      <c r="DJ13744" s="29"/>
    </row>
    <row r="13745" spans="114:114">
      <c r="DJ13745" s="29"/>
    </row>
    <row r="13746" spans="114:114">
      <c r="DJ13746" s="29"/>
    </row>
    <row r="13747" spans="114:114">
      <c r="DJ13747" s="29"/>
    </row>
    <row r="13748" spans="114:114">
      <c r="DJ13748" s="29"/>
    </row>
    <row r="13749" spans="114:114">
      <c r="DJ13749" s="29"/>
    </row>
    <row r="13750" spans="114:114">
      <c r="DJ13750" s="29"/>
    </row>
    <row r="13751" spans="114:114">
      <c r="DJ13751" s="29"/>
    </row>
    <row r="13752" spans="114:114">
      <c r="DJ13752" s="29"/>
    </row>
    <row r="13753" spans="114:114">
      <c r="DJ13753" s="29"/>
    </row>
    <row r="13754" spans="114:114">
      <c r="DJ13754" s="29"/>
    </row>
    <row r="13755" spans="114:114">
      <c r="DJ13755" s="29"/>
    </row>
    <row r="13756" spans="114:114">
      <c r="DJ13756" s="29"/>
    </row>
    <row r="13757" spans="114:114">
      <c r="DJ13757" s="29"/>
    </row>
    <row r="13758" spans="114:114">
      <c r="DJ13758" s="29"/>
    </row>
    <row r="13759" spans="114:114">
      <c r="DJ13759" s="29"/>
    </row>
    <row r="13760" spans="114:114">
      <c r="DJ13760" s="29"/>
    </row>
    <row r="13761" spans="114:114">
      <c r="DJ13761" s="29"/>
    </row>
    <row r="13762" spans="114:114">
      <c r="DJ13762" s="29"/>
    </row>
    <row r="13763" spans="114:114">
      <c r="DJ13763" s="29"/>
    </row>
    <row r="13764" spans="114:114">
      <c r="DJ13764" s="29"/>
    </row>
    <row r="13765" spans="114:114">
      <c r="DJ13765" s="29"/>
    </row>
    <row r="13766" spans="114:114">
      <c r="DJ13766" s="29"/>
    </row>
    <row r="13767" spans="114:114">
      <c r="DJ13767" s="29"/>
    </row>
    <row r="13768" spans="114:114">
      <c r="DJ13768" s="29"/>
    </row>
    <row r="13769" spans="114:114">
      <c r="DJ13769" s="29"/>
    </row>
    <row r="13770" spans="114:114">
      <c r="DJ13770" s="29"/>
    </row>
    <row r="13771" spans="114:114">
      <c r="DJ13771" s="29"/>
    </row>
    <row r="13772" spans="114:114">
      <c r="DJ13772" s="29"/>
    </row>
    <row r="13773" spans="114:114">
      <c r="DJ13773" s="29"/>
    </row>
    <row r="13774" spans="114:114">
      <c r="DJ13774" s="29"/>
    </row>
    <row r="13775" spans="114:114">
      <c r="DJ13775" s="29"/>
    </row>
    <row r="13776" spans="114:114">
      <c r="DJ13776" s="29"/>
    </row>
    <row r="13777" spans="114:114">
      <c r="DJ13777" s="29"/>
    </row>
    <row r="13778" spans="114:114">
      <c r="DJ13778" s="29"/>
    </row>
    <row r="13779" spans="114:114">
      <c r="DJ13779" s="29"/>
    </row>
    <row r="13780" spans="114:114">
      <c r="DJ13780" s="29"/>
    </row>
    <row r="13781" spans="114:114">
      <c r="DJ13781" s="29"/>
    </row>
    <row r="13782" spans="114:114">
      <c r="DJ13782" s="29"/>
    </row>
    <row r="13783" spans="114:114">
      <c r="DJ13783" s="29"/>
    </row>
    <row r="13784" spans="114:114">
      <c r="DJ13784" s="29"/>
    </row>
    <row r="13785" spans="114:114">
      <c r="DJ13785" s="29"/>
    </row>
    <row r="13786" spans="114:114">
      <c r="DJ13786" s="29"/>
    </row>
    <row r="13787" spans="114:114">
      <c r="DJ13787" s="29"/>
    </row>
    <row r="13788" spans="114:114">
      <c r="DJ13788" s="29"/>
    </row>
    <row r="13789" spans="114:114">
      <c r="DJ13789" s="29"/>
    </row>
    <row r="13790" spans="114:114">
      <c r="DJ13790" s="29"/>
    </row>
    <row r="13791" spans="114:114">
      <c r="DJ13791" s="29"/>
    </row>
    <row r="13792" spans="114:114">
      <c r="DJ13792" s="29"/>
    </row>
    <row r="13793" spans="114:114">
      <c r="DJ13793" s="29"/>
    </row>
    <row r="13794" spans="114:114">
      <c r="DJ13794" s="29"/>
    </row>
    <row r="13795" spans="114:114">
      <c r="DJ13795" s="29"/>
    </row>
    <row r="13796" spans="114:114">
      <c r="DJ13796" s="29"/>
    </row>
    <row r="13797" spans="114:114">
      <c r="DJ13797" s="29"/>
    </row>
    <row r="13798" spans="114:114">
      <c r="DJ13798" s="29"/>
    </row>
    <row r="13799" spans="114:114">
      <c r="DJ13799" s="29"/>
    </row>
    <row r="13800" spans="114:114">
      <c r="DJ13800" s="29"/>
    </row>
    <row r="13801" spans="114:114">
      <c r="DJ13801" s="29"/>
    </row>
    <row r="13802" spans="114:114">
      <c r="DJ13802" s="29"/>
    </row>
    <row r="13803" spans="114:114">
      <c r="DJ13803" s="29"/>
    </row>
    <row r="13804" spans="114:114">
      <c r="DJ13804" s="29"/>
    </row>
    <row r="13805" spans="114:114">
      <c r="DJ13805" s="29"/>
    </row>
    <row r="13806" spans="114:114">
      <c r="DJ13806" s="29"/>
    </row>
    <row r="13807" spans="114:114">
      <c r="DJ13807" s="29"/>
    </row>
    <row r="13808" spans="114:114">
      <c r="DJ13808" s="29"/>
    </row>
    <row r="13809" spans="114:114">
      <c r="DJ13809" s="29"/>
    </row>
    <row r="13810" spans="114:114">
      <c r="DJ13810" s="29"/>
    </row>
    <row r="13811" spans="114:114">
      <c r="DJ13811" s="29"/>
    </row>
    <row r="13812" spans="114:114">
      <c r="DJ13812" s="29"/>
    </row>
    <row r="13813" spans="114:114">
      <c r="DJ13813" s="29"/>
    </row>
    <row r="13814" spans="114:114">
      <c r="DJ13814" s="29"/>
    </row>
    <row r="13815" spans="114:114">
      <c r="DJ13815" s="29"/>
    </row>
    <row r="13816" spans="114:114">
      <c r="DJ13816" s="29"/>
    </row>
    <row r="13817" spans="114:114">
      <c r="DJ13817" s="29"/>
    </row>
    <row r="13818" spans="114:114">
      <c r="DJ13818" s="29"/>
    </row>
    <row r="13819" spans="114:114">
      <c r="DJ13819" s="29"/>
    </row>
    <row r="13820" spans="114:114">
      <c r="DJ13820" s="29"/>
    </row>
    <row r="13821" spans="114:114">
      <c r="DJ13821" s="29"/>
    </row>
    <row r="13822" spans="114:114">
      <c r="DJ13822" s="29"/>
    </row>
    <row r="13823" spans="114:114">
      <c r="DJ13823" s="29"/>
    </row>
    <row r="13824" spans="114:114">
      <c r="DJ13824" s="29"/>
    </row>
    <row r="13825" spans="114:114">
      <c r="DJ13825" s="29"/>
    </row>
    <row r="13826" spans="114:114">
      <c r="DJ13826" s="29"/>
    </row>
    <row r="13827" spans="114:114">
      <c r="DJ13827" s="29"/>
    </row>
    <row r="13828" spans="114:114">
      <c r="DJ13828" s="29"/>
    </row>
    <row r="13829" spans="114:114">
      <c r="DJ13829" s="29"/>
    </row>
    <row r="13830" spans="114:114">
      <c r="DJ13830" s="29"/>
    </row>
    <row r="13831" spans="114:114">
      <c r="DJ13831" s="29"/>
    </row>
    <row r="13832" spans="114:114">
      <c r="DJ13832" s="29"/>
    </row>
    <row r="13833" spans="114:114">
      <c r="DJ13833" s="29"/>
    </row>
    <row r="13834" spans="114:114">
      <c r="DJ13834" s="29"/>
    </row>
    <row r="13835" spans="114:114">
      <c r="DJ13835" s="29"/>
    </row>
    <row r="13836" spans="114:114">
      <c r="DJ13836" s="29"/>
    </row>
    <row r="13837" spans="114:114">
      <c r="DJ13837" s="29"/>
    </row>
    <row r="13838" spans="114:114">
      <c r="DJ13838" s="29"/>
    </row>
    <row r="13839" spans="114:114">
      <c r="DJ13839" s="29"/>
    </row>
    <row r="13840" spans="114:114">
      <c r="DJ13840" s="29"/>
    </row>
    <row r="13841" spans="114:114">
      <c r="DJ13841" s="29"/>
    </row>
    <row r="13842" spans="114:114">
      <c r="DJ13842" s="29"/>
    </row>
    <row r="13843" spans="114:114">
      <c r="DJ13843" s="29"/>
    </row>
    <row r="13844" spans="114:114">
      <c r="DJ13844" s="29"/>
    </row>
    <row r="13845" spans="114:114">
      <c r="DJ13845" s="29"/>
    </row>
    <row r="13846" spans="114:114">
      <c r="DJ13846" s="29"/>
    </row>
    <row r="13847" spans="114:114">
      <c r="DJ13847" s="29"/>
    </row>
    <row r="13848" spans="114:114">
      <c r="DJ13848" s="29"/>
    </row>
    <row r="13849" spans="114:114">
      <c r="DJ13849" s="29"/>
    </row>
    <row r="13850" spans="114:114">
      <c r="DJ13850" s="29"/>
    </row>
    <row r="13851" spans="114:114">
      <c r="DJ13851" s="29"/>
    </row>
    <row r="13852" spans="114:114">
      <c r="DJ13852" s="29"/>
    </row>
    <row r="13853" spans="114:114">
      <c r="DJ13853" s="29"/>
    </row>
    <row r="13854" spans="114:114">
      <c r="DJ13854" s="29"/>
    </row>
    <row r="13855" spans="114:114">
      <c r="DJ13855" s="29"/>
    </row>
    <row r="13856" spans="114:114">
      <c r="DJ13856" s="29"/>
    </row>
    <row r="13857" spans="114:114">
      <c r="DJ13857" s="29"/>
    </row>
    <row r="13858" spans="114:114">
      <c r="DJ13858" s="29"/>
    </row>
    <row r="13859" spans="114:114">
      <c r="DJ13859" s="29"/>
    </row>
    <row r="13860" spans="114:114">
      <c r="DJ13860" s="29"/>
    </row>
    <row r="13861" spans="114:114">
      <c r="DJ13861" s="29"/>
    </row>
    <row r="13862" spans="114:114">
      <c r="DJ13862" s="29"/>
    </row>
    <row r="13863" spans="114:114">
      <c r="DJ13863" s="29"/>
    </row>
    <row r="13864" spans="114:114">
      <c r="DJ13864" s="29"/>
    </row>
    <row r="13865" spans="114:114">
      <c r="DJ13865" s="29"/>
    </row>
    <row r="13866" spans="114:114">
      <c r="DJ13866" s="29"/>
    </row>
    <row r="13867" spans="114:114">
      <c r="DJ13867" s="29"/>
    </row>
    <row r="13868" spans="114:114">
      <c r="DJ13868" s="29"/>
    </row>
    <row r="13869" spans="114:114">
      <c r="DJ13869" s="29"/>
    </row>
    <row r="13870" spans="114:114">
      <c r="DJ13870" s="29"/>
    </row>
    <row r="13871" spans="114:114">
      <c r="DJ13871" s="29"/>
    </row>
    <row r="13872" spans="114:114">
      <c r="DJ13872" s="29"/>
    </row>
    <row r="13873" spans="114:114">
      <c r="DJ13873" s="29"/>
    </row>
    <row r="13874" spans="114:114">
      <c r="DJ13874" s="29"/>
    </row>
    <row r="13875" spans="114:114">
      <c r="DJ13875" s="29"/>
    </row>
    <row r="13876" spans="114:114">
      <c r="DJ13876" s="29"/>
    </row>
    <row r="13877" spans="114:114">
      <c r="DJ13877" s="29"/>
    </row>
    <row r="13878" spans="114:114">
      <c r="DJ13878" s="29"/>
    </row>
    <row r="13879" spans="114:114">
      <c r="DJ13879" s="29"/>
    </row>
    <row r="13880" spans="114:114">
      <c r="DJ13880" s="29"/>
    </row>
    <row r="13881" spans="114:114">
      <c r="DJ13881" s="29"/>
    </row>
    <row r="13882" spans="114:114">
      <c r="DJ13882" s="29"/>
    </row>
    <row r="13883" spans="114:114">
      <c r="DJ13883" s="29"/>
    </row>
    <row r="13884" spans="114:114">
      <c r="DJ13884" s="29"/>
    </row>
    <row r="13885" spans="114:114">
      <c r="DJ13885" s="29"/>
    </row>
    <row r="13886" spans="114:114">
      <c r="DJ13886" s="29"/>
    </row>
    <row r="13887" spans="114:114">
      <c r="DJ13887" s="29"/>
    </row>
    <row r="13888" spans="114:114">
      <c r="DJ13888" s="29"/>
    </row>
    <row r="13889" spans="114:114">
      <c r="DJ13889" s="29"/>
    </row>
    <row r="13890" spans="114:114">
      <c r="DJ13890" s="29"/>
    </row>
    <row r="13891" spans="114:114">
      <c r="DJ13891" s="29"/>
    </row>
    <row r="13892" spans="114:114">
      <c r="DJ13892" s="29"/>
    </row>
    <row r="13893" spans="114:114">
      <c r="DJ13893" s="29"/>
    </row>
    <row r="13894" spans="114:114">
      <c r="DJ13894" s="29"/>
    </row>
    <row r="13895" spans="114:114">
      <c r="DJ13895" s="29"/>
    </row>
    <row r="13896" spans="114:114">
      <c r="DJ13896" s="29"/>
    </row>
    <row r="13897" spans="114:114">
      <c r="DJ13897" s="29"/>
    </row>
    <row r="13898" spans="114:114">
      <c r="DJ13898" s="29"/>
    </row>
    <row r="13899" spans="114:114">
      <c r="DJ13899" s="29"/>
    </row>
    <row r="13900" spans="114:114">
      <c r="DJ13900" s="29"/>
    </row>
    <row r="13901" spans="114:114">
      <c r="DJ13901" s="29"/>
    </row>
    <row r="13902" spans="114:114">
      <c r="DJ13902" s="29"/>
    </row>
    <row r="13903" spans="114:114">
      <c r="DJ13903" s="29"/>
    </row>
    <row r="13904" spans="114:114">
      <c r="DJ13904" s="29"/>
    </row>
    <row r="13905" spans="114:114">
      <c r="DJ13905" s="29"/>
    </row>
    <row r="13906" spans="114:114">
      <c r="DJ13906" s="29"/>
    </row>
    <row r="13907" spans="114:114">
      <c r="DJ13907" s="29"/>
    </row>
    <row r="13908" spans="114:114">
      <c r="DJ13908" s="29"/>
    </row>
    <row r="13909" spans="114:114">
      <c r="DJ13909" s="29"/>
    </row>
    <row r="13910" spans="114:114">
      <c r="DJ13910" s="29"/>
    </row>
    <row r="13911" spans="114:114">
      <c r="DJ13911" s="29"/>
    </row>
    <row r="13912" spans="114:114">
      <c r="DJ13912" s="29"/>
    </row>
    <row r="13913" spans="114:114">
      <c r="DJ13913" s="29"/>
    </row>
    <row r="13914" spans="114:114">
      <c r="DJ13914" s="29"/>
    </row>
    <row r="13915" spans="114:114">
      <c r="DJ13915" s="29"/>
    </row>
    <row r="13916" spans="114:114">
      <c r="DJ13916" s="29"/>
    </row>
    <row r="13917" spans="114:114">
      <c r="DJ13917" s="29"/>
    </row>
    <row r="13918" spans="114:114">
      <c r="DJ13918" s="29"/>
    </row>
    <row r="13919" spans="114:114">
      <c r="DJ13919" s="29"/>
    </row>
    <row r="13920" spans="114:114">
      <c r="DJ13920" s="29"/>
    </row>
    <row r="13921" spans="114:114">
      <c r="DJ13921" s="29"/>
    </row>
    <row r="13922" spans="114:114">
      <c r="DJ13922" s="29"/>
    </row>
    <row r="13923" spans="114:114">
      <c r="DJ13923" s="29"/>
    </row>
    <row r="13924" spans="114:114">
      <c r="DJ13924" s="29"/>
    </row>
    <row r="13925" spans="114:114">
      <c r="DJ13925" s="29"/>
    </row>
    <row r="13926" spans="114:114">
      <c r="DJ13926" s="29"/>
    </row>
    <row r="13927" spans="114:114">
      <c r="DJ13927" s="29"/>
    </row>
    <row r="13928" spans="114:114">
      <c r="DJ13928" s="29"/>
    </row>
    <row r="13929" spans="114:114">
      <c r="DJ13929" s="29"/>
    </row>
    <row r="13930" spans="114:114">
      <c r="DJ13930" s="29"/>
    </row>
    <row r="13931" spans="114:114">
      <c r="DJ13931" s="29"/>
    </row>
    <row r="13932" spans="114:114">
      <c r="DJ13932" s="29"/>
    </row>
    <row r="13933" spans="114:114">
      <c r="DJ13933" s="29"/>
    </row>
    <row r="13934" spans="114:114">
      <c r="DJ13934" s="29"/>
    </row>
    <row r="13935" spans="114:114">
      <c r="DJ13935" s="29"/>
    </row>
    <row r="13936" spans="114:114">
      <c r="DJ13936" s="29"/>
    </row>
    <row r="13937" spans="114:114">
      <c r="DJ13937" s="29"/>
    </row>
    <row r="13938" spans="114:114">
      <c r="DJ13938" s="29"/>
    </row>
    <row r="13939" spans="114:114">
      <c r="DJ13939" s="29"/>
    </row>
    <row r="13940" spans="114:114">
      <c r="DJ13940" s="29"/>
    </row>
    <row r="13941" spans="114:114">
      <c r="DJ13941" s="29"/>
    </row>
    <row r="13942" spans="114:114">
      <c r="DJ13942" s="29"/>
    </row>
    <row r="13943" spans="114:114">
      <c r="DJ13943" s="29"/>
    </row>
    <row r="13944" spans="114:114">
      <c r="DJ13944" s="29"/>
    </row>
    <row r="13945" spans="114:114">
      <c r="DJ13945" s="29"/>
    </row>
    <row r="13946" spans="114:114">
      <c r="DJ13946" s="29"/>
    </row>
    <row r="13947" spans="114:114">
      <c r="DJ13947" s="29"/>
    </row>
    <row r="13948" spans="114:114">
      <c r="DJ13948" s="29"/>
    </row>
    <row r="13949" spans="114:114">
      <c r="DJ13949" s="29"/>
    </row>
    <row r="13950" spans="114:114">
      <c r="DJ13950" s="29"/>
    </row>
    <row r="13951" spans="114:114">
      <c r="DJ13951" s="29"/>
    </row>
    <row r="13952" spans="114:114">
      <c r="DJ13952" s="29"/>
    </row>
    <row r="13953" spans="114:114">
      <c r="DJ13953" s="29"/>
    </row>
    <row r="13954" spans="114:114">
      <c r="DJ13954" s="29"/>
    </row>
    <row r="13955" spans="114:114">
      <c r="DJ13955" s="29"/>
    </row>
    <row r="13956" spans="114:114">
      <c r="DJ13956" s="29"/>
    </row>
    <row r="13957" spans="114:114">
      <c r="DJ13957" s="29"/>
    </row>
    <row r="13958" spans="114:114">
      <c r="DJ13958" s="29"/>
    </row>
    <row r="13959" spans="114:114">
      <c r="DJ13959" s="29"/>
    </row>
    <row r="13960" spans="114:114">
      <c r="DJ13960" s="29"/>
    </row>
    <row r="13961" spans="114:114">
      <c r="DJ13961" s="29"/>
    </row>
    <row r="13962" spans="114:114">
      <c r="DJ13962" s="29"/>
    </row>
    <row r="13963" spans="114:114">
      <c r="DJ13963" s="29"/>
    </row>
    <row r="13964" spans="114:114">
      <c r="DJ13964" s="29"/>
    </row>
    <row r="13965" spans="114:114">
      <c r="DJ13965" s="29"/>
    </row>
    <row r="13966" spans="114:114">
      <c r="DJ13966" s="29"/>
    </row>
    <row r="13967" spans="114:114">
      <c r="DJ13967" s="29"/>
    </row>
    <row r="13968" spans="114:114">
      <c r="DJ13968" s="29"/>
    </row>
    <row r="13969" spans="114:114">
      <c r="DJ13969" s="29"/>
    </row>
    <row r="13970" spans="114:114">
      <c r="DJ13970" s="29"/>
    </row>
    <row r="13971" spans="114:114">
      <c r="DJ13971" s="29"/>
    </row>
    <row r="13972" spans="114:114">
      <c r="DJ13972" s="29"/>
    </row>
    <row r="13973" spans="114:114">
      <c r="DJ13973" s="29"/>
    </row>
    <row r="13974" spans="114:114">
      <c r="DJ13974" s="29"/>
    </row>
    <row r="13975" spans="114:114">
      <c r="DJ13975" s="29"/>
    </row>
    <row r="13976" spans="114:114">
      <c r="DJ13976" s="29"/>
    </row>
    <row r="13977" spans="114:114">
      <c r="DJ13977" s="29"/>
    </row>
    <row r="13978" spans="114:114">
      <c r="DJ13978" s="29"/>
    </row>
    <row r="13979" spans="114:114">
      <c r="DJ13979" s="29"/>
    </row>
    <row r="13980" spans="114:114">
      <c r="DJ13980" s="29"/>
    </row>
    <row r="13981" spans="114:114">
      <c r="DJ13981" s="29"/>
    </row>
    <row r="13982" spans="114:114">
      <c r="DJ13982" s="29"/>
    </row>
    <row r="13983" spans="114:114">
      <c r="DJ13983" s="29"/>
    </row>
    <row r="13984" spans="114:114">
      <c r="DJ13984" s="29"/>
    </row>
    <row r="13985" spans="114:114">
      <c r="DJ13985" s="29"/>
    </row>
    <row r="13986" spans="114:114">
      <c r="DJ13986" s="29"/>
    </row>
    <row r="13987" spans="114:114">
      <c r="DJ13987" s="29"/>
    </row>
    <row r="13988" spans="114:114">
      <c r="DJ13988" s="29"/>
    </row>
    <row r="13989" spans="114:114">
      <c r="DJ13989" s="29"/>
    </row>
    <row r="13990" spans="114:114">
      <c r="DJ13990" s="29"/>
    </row>
    <row r="13991" spans="114:114">
      <c r="DJ13991" s="29"/>
    </row>
    <row r="13992" spans="114:114">
      <c r="DJ13992" s="29"/>
    </row>
    <row r="13993" spans="114:114">
      <c r="DJ13993" s="29"/>
    </row>
    <row r="13994" spans="114:114">
      <c r="DJ13994" s="29"/>
    </row>
    <row r="13995" spans="114:114">
      <c r="DJ13995" s="29"/>
    </row>
    <row r="13996" spans="114:114">
      <c r="DJ13996" s="29"/>
    </row>
    <row r="13997" spans="114:114">
      <c r="DJ13997" s="29"/>
    </row>
    <row r="13998" spans="114:114">
      <c r="DJ13998" s="29"/>
    </row>
    <row r="13999" spans="114:114">
      <c r="DJ13999" s="29"/>
    </row>
    <row r="14000" spans="114:114">
      <c r="DJ14000" s="29"/>
    </row>
    <row r="14001" spans="114:114">
      <c r="DJ14001" s="29"/>
    </row>
    <row r="14002" spans="114:114">
      <c r="DJ14002" s="29"/>
    </row>
    <row r="14003" spans="114:114">
      <c r="DJ14003" s="29"/>
    </row>
    <row r="14004" spans="114:114">
      <c r="DJ14004" s="29"/>
    </row>
    <row r="14005" spans="114:114">
      <c r="DJ14005" s="29"/>
    </row>
    <row r="14006" spans="114:114">
      <c r="DJ14006" s="29"/>
    </row>
    <row r="14007" spans="114:114">
      <c r="DJ14007" s="29"/>
    </row>
    <row r="14008" spans="114:114">
      <c r="DJ14008" s="29"/>
    </row>
    <row r="14009" spans="114:114">
      <c r="DJ14009" s="29"/>
    </row>
    <row r="14010" spans="114:114">
      <c r="DJ14010" s="29"/>
    </row>
    <row r="14011" spans="114:114">
      <c r="DJ14011" s="29"/>
    </row>
    <row r="14012" spans="114:114">
      <c r="DJ14012" s="29"/>
    </row>
    <row r="14013" spans="114:114">
      <c r="DJ14013" s="29"/>
    </row>
    <row r="14014" spans="114:114">
      <c r="DJ14014" s="29"/>
    </row>
    <row r="14015" spans="114:114">
      <c r="DJ14015" s="29"/>
    </row>
    <row r="14016" spans="114:114">
      <c r="DJ14016" s="29"/>
    </row>
    <row r="14017" spans="114:114">
      <c r="DJ14017" s="29"/>
    </row>
    <row r="14018" spans="114:114">
      <c r="DJ14018" s="29"/>
    </row>
    <row r="14019" spans="114:114">
      <c r="DJ14019" s="29"/>
    </row>
    <row r="14020" spans="114:114">
      <c r="DJ14020" s="29"/>
    </row>
    <row r="14021" spans="114:114">
      <c r="DJ14021" s="29"/>
    </row>
    <row r="14022" spans="114:114">
      <c r="DJ14022" s="29"/>
    </row>
    <row r="14023" spans="114:114">
      <c r="DJ14023" s="29"/>
    </row>
    <row r="14024" spans="114:114">
      <c r="DJ14024" s="29"/>
    </row>
    <row r="14025" spans="114:114">
      <c r="DJ14025" s="29"/>
    </row>
    <row r="14026" spans="114:114">
      <c r="DJ14026" s="29"/>
    </row>
    <row r="14027" spans="114:114">
      <c r="DJ14027" s="29"/>
    </row>
    <row r="14028" spans="114:114">
      <c r="DJ14028" s="29"/>
    </row>
    <row r="14029" spans="114:114">
      <c r="DJ14029" s="29"/>
    </row>
    <row r="14030" spans="114:114">
      <c r="DJ14030" s="29"/>
    </row>
    <row r="14031" spans="114:114">
      <c r="DJ14031" s="29"/>
    </row>
    <row r="14032" spans="114:114">
      <c r="DJ14032" s="29"/>
    </row>
    <row r="14033" spans="114:114">
      <c r="DJ14033" s="29"/>
    </row>
    <row r="14034" spans="114:114">
      <c r="DJ14034" s="29"/>
    </row>
    <row r="14035" spans="114:114">
      <c r="DJ14035" s="29"/>
    </row>
    <row r="14036" spans="114:114">
      <c r="DJ14036" s="29"/>
    </row>
    <row r="14037" spans="114:114">
      <c r="DJ14037" s="29"/>
    </row>
    <row r="14038" spans="114:114">
      <c r="DJ14038" s="29"/>
    </row>
    <row r="14039" spans="114:114">
      <c r="DJ14039" s="29"/>
    </row>
    <row r="14040" spans="114:114">
      <c r="DJ14040" s="29"/>
    </row>
    <row r="14041" spans="114:114">
      <c r="DJ14041" s="29"/>
    </row>
    <row r="14042" spans="114:114">
      <c r="DJ14042" s="29"/>
    </row>
    <row r="14043" spans="114:114">
      <c r="DJ14043" s="29"/>
    </row>
    <row r="14044" spans="114:114">
      <c r="DJ14044" s="29"/>
    </row>
    <row r="14045" spans="114:114">
      <c r="DJ14045" s="29"/>
    </row>
    <row r="14046" spans="114:114">
      <c r="DJ14046" s="29"/>
    </row>
    <row r="14047" spans="114:114">
      <c r="DJ14047" s="29"/>
    </row>
    <row r="14048" spans="114:114">
      <c r="DJ14048" s="29"/>
    </row>
    <row r="14049" spans="114:114">
      <c r="DJ14049" s="29"/>
    </row>
    <row r="14050" spans="114:114">
      <c r="DJ14050" s="29"/>
    </row>
    <row r="14051" spans="114:114">
      <c r="DJ14051" s="29"/>
    </row>
    <row r="14052" spans="114:114">
      <c r="DJ14052" s="29"/>
    </row>
    <row r="14053" spans="114:114">
      <c r="DJ14053" s="29"/>
    </row>
    <row r="14054" spans="114:114">
      <c r="DJ14054" s="29"/>
    </row>
    <row r="14055" spans="114:114">
      <c r="DJ14055" s="29"/>
    </row>
    <row r="14056" spans="114:114">
      <c r="DJ14056" s="29"/>
    </row>
    <row r="14057" spans="114:114">
      <c r="DJ14057" s="29"/>
    </row>
    <row r="14058" spans="114:114">
      <c r="DJ14058" s="29"/>
    </row>
    <row r="14059" spans="114:114">
      <c r="DJ14059" s="29"/>
    </row>
    <row r="14060" spans="114:114">
      <c r="DJ14060" s="29"/>
    </row>
    <row r="14061" spans="114:114">
      <c r="DJ14061" s="29"/>
    </row>
    <row r="14062" spans="114:114">
      <c r="DJ14062" s="29"/>
    </row>
    <row r="14063" spans="114:114">
      <c r="DJ14063" s="29"/>
    </row>
    <row r="14064" spans="114:114">
      <c r="DJ14064" s="29"/>
    </row>
    <row r="14065" spans="114:114">
      <c r="DJ14065" s="29"/>
    </row>
    <row r="14066" spans="114:114">
      <c r="DJ14066" s="29"/>
    </row>
    <row r="14067" spans="114:114">
      <c r="DJ14067" s="29"/>
    </row>
    <row r="14068" spans="114:114">
      <c r="DJ14068" s="29"/>
    </row>
    <row r="14069" spans="114:114">
      <c r="DJ14069" s="29"/>
    </row>
    <row r="14070" spans="114:114">
      <c r="DJ14070" s="29"/>
    </row>
    <row r="14071" spans="114:114">
      <c r="DJ14071" s="29"/>
    </row>
    <row r="14072" spans="114:114">
      <c r="DJ14072" s="29"/>
    </row>
    <row r="14073" spans="114:114">
      <c r="DJ14073" s="29"/>
    </row>
    <row r="14074" spans="114:114">
      <c r="DJ14074" s="29"/>
    </row>
    <row r="14075" spans="114:114">
      <c r="DJ14075" s="29"/>
    </row>
    <row r="14076" spans="114:114">
      <c r="DJ14076" s="29"/>
    </row>
    <row r="14077" spans="114:114">
      <c r="DJ14077" s="29"/>
    </row>
    <row r="14078" spans="114:114">
      <c r="DJ14078" s="29"/>
    </row>
    <row r="14079" spans="114:114">
      <c r="DJ14079" s="29"/>
    </row>
    <row r="14080" spans="114:114">
      <c r="DJ14080" s="29"/>
    </row>
    <row r="14081" spans="114:114">
      <c r="DJ14081" s="29"/>
    </row>
    <row r="14082" spans="114:114">
      <c r="DJ14082" s="29"/>
    </row>
    <row r="14083" spans="114:114">
      <c r="DJ14083" s="29"/>
    </row>
    <row r="14084" spans="114:114">
      <c r="DJ14084" s="29"/>
    </row>
    <row r="14085" spans="114:114">
      <c r="DJ14085" s="29"/>
    </row>
    <row r="14086" spans="114:114">
      <c r="DJ14086" s="29"/>
    </row>
    <row r="14087" spans="114:114">
      <c r="DJ14087" s="29"/>
    </row>
    <row r="14088" spans="114:114">
      <c r="DJ14088" s="29"/>
    </row>
    <row r="14089" spans="114:114">
      <c r="DJ14089" s="29"/>
    </row>
    <row r="14090" spans="114:114">
      <c r="DJ14090" s="29"/>
    </row>
    <row r="14091" spans="114:114">
      <c r="DJ14091" s="29"/>
    </row>
    <row r="14092" spans="114:114">
      <c r="DJ14092" s="29"/>
    </row>
    <row r="14093" spans="114:114">
      <c r="DJ14093" s="29"/>
    </row>
    <row r="14094" spans="114:114">
      <c r="DJ14094" s="29"/>
    </row>
    <row r="14095" spans="114:114">
      <c r="DJ14095" s="29"/>
    </row>
    <row r="14096" spans="114:114">
      <c r="DJ14096" s="29"/>
    </row>
    <row r="14097" spans="114:114">
      <c r="DJ14097" s="29"/>
    </row>
    <row r="14098" spans="114:114">
      <c r="DJ14098" s="29"/>
    </row>
    <row r="14099" spans="114:114">
      <c r="DJ14099" s="29"/>
    </row>
    <row r="14100" spans="114:114">
      <c r="DJ14100" s="29"/>
    </row>
    <row r="14101" spans="114:114">
      <c r="DJ14101" s="29"/>
    </row>
    <row r="14102" spans="114:114">
      <c r="DJ14102" s="29"/>
    </row>
    <row r="14103" spans="114:114">
      <c r="DJ14103" s="29"/>
    </row>
    <row r="14104" spans="114:114">
      <c r="DJ14104" s="29"/>
    </row>
    <row r="14105" spans="114:114">
      <c r="DJ14105" s="29"/>
    </row>
    <row r="14106" spans="114:114">
      <c r="DJ14106" s="29"/>
    </row>
    <row r="14107" spans="114:114">
      <c r="DJ14107" s="29"/>
    </row>
    <row r="14108" spans="114:114">
      <c r="DJ14108" s="29"/>
    </row>
    <row r="14109" spans="114:114">
      <c r="DJ14109" s="29"/>
    </row>
    <row r="14110" spans="114:114">
      <c r="DJ14110" s="29"/>
    </row>
    <row r="14111" spans="114:114">
      <c r="DJ14111" s="29"/>
    </row>
    <row r="14112" spans="114:114">
      <c r="DJ14112" s="29"/>
    </row>
    <row r="14113" spans="114:114">
      <c r="DJ14113" s="29"/>
    </row>
    <row r="14114" spans="114:114">
      <c r="DJ14114" s="29"/>
    </row>
    <row r="14115" spans="114:114">
      <c r="DJ14115" s="29"/>
    </row>
    <row r="14116" spans="114:114">
      <c r="DJ14116" s="29"/>
    </row>
    <row r="14117" spans="114:114">
      <c r="DJ14117" s="29"/>
    </row>
    <row r="14118" spans="114:114">
      <c r="DJ14118" s="29"/>
    </row>
    <row r="14119" spans="114:114">
      <c r="DJ14119" s="29"/>
    </row>
    <row r="14120" spans="114:114">
      <c r="DJ14120" s="29"/>
    </row>
    <row r="14121" spans="114:114">
      <c r="DJ14121" s="29"/>
    </row>
    <row r="14122" spans="114:114">
      <c r="DJ14122" s="29"/>
    </row>
    <row r="14123" spans="114:114">
      <c r="DJ14123" s="29"/>
    </row>
    <row r="14124" spans="114:114">
      <c r="DJ14124" s="29"/>
    </row>
    <row r="14125" spans="114:114">
      <c r="DJ14125" s="29"/>
    </row>
    <row r="14126" spans="114:114">
      <c r="DJ14126" s="29"/>
    </row>
    <row r="14127" spans="114:114">
      <c r="DJ14127" s="29"/>
    </row>
    <row r="14128" spans="114:114">
      <c r="DJ14128" s="29"/>
    </row>
    <row r="14129" spans="114:114">
      <c r="DJ14129" s="29"/>
    </row>
    <row r="14130" spans="114:114">
      <c r="DJ14130" s="29"/>
    </row>
    <row r="14131" spans="114:114">
      <c r="DJ14131" s="29"/>
    </row>
    <row r="14132" spans="114:114">
      <c r="DJ14132" s="29"/>
    </row>
    <row r="14133" spans="114:114">
      <c r="DJ14133" s="29"/>
    </row>
    <row r="14134" spans="114:114">
      <c r="DJ14134" s="29"/>
    </row>
    <row r="14135" spans="114:114">
      <c r="DJ14135" s="29"/>
    </row>
    <row r="14136" spans="114:114">
      <c r="DJ14136" s="29"/>
    </row>
    <row r="14137" spans="114:114">
      <c r="DJ14137" s="29"/>
    </row>
    <row r="14138" spans="114:114">
      <c r="DJ14138" s="29"/>
    </row>
    <row r="14139" spans="114:114">
      <c r="DJ14139" s="29"/>
    </row>
    <row r="14140" spans="114:114">
      <c r="DJ14140" s="29"/>
    </row>
    <row r="14141" spans="114:114">
      <c r="DJ14141" s="29"/>
    </row>
    <row r="14142" spans="114:114">
      <c r="DJ14142" s="29"/>
    </row>
    <row r="14143" spans="114:114">
      <c r="DJ14143" s="29"/>
    </row>
    <row r="14144" spans="114:114">
      <c r="DJ14144" s="29"/>
    </row>
    <row r="14145" spans="114:114">
      <c r="DJ14145" s="29"/>
    </row>
    <row r="14146" spans="114:114">
      <c r="DJ14146" s="29"/>
    </row>
    <row r="14147" spans="114:114">
      <c r="DJ14147" s="29"/>
    </row>
    <row r="14148" spans="114:114">
      <c r="DJ14148" s="29"/>
    </row>
    <row r="14149" spans="114:114">
      <c r="DJ14149" s="29"/>
    </row>
    <row r="14150" spans="114:114">
      <c r="DJ14150" s="29"/>
    </row>
    <row r="14151" spans="114:114">
      <c r="DJ14151" s="29"/>
    </row>
    <row r="14152" spans="114:114">
      <c r="DJ14152" s="29"/>
    </row>
    <row r="14153" spans="114:114">
      <c r="DJ14153" s="29"/>
    </row>
    <row r="14154" spans="114:114">
      <c r="DJ14154" s="29"/>
    </row>
    <row r="14155" spans="114:114">
      <c r="DJ14155" s="29"/>
    </row>
    <row r="14156" spans="114:114">
      <c r="DJ14156" s="29"/>
    </row>
    <row r="14157" spans="114:114">
      <c r="DJ14157" s="29"/>
    </row>
    <row r="14158" spans="114:114">
      <c r="DJ14158" s="29"/>
    </row>
    <row r="14159" spans="114:114">
      <c r="DJ14159" s="29"/>
    </row>
    <row r="14160" spans="114:114">
      <c r="DJ14160" s="29"/>
    </row>
    <row r="14161" spans="114:114">
      <c r="DJ14161" s="29"/>
    </row>
    <row r="14162" spans="114:114">
      <c r="DJ14162" s="29"/>
    </row>
    <row r="14163" spans="114:114">
      <c r="DJ14163" s="29"/>
    </row>
    <row r="14164" spans="114:114">
      <c r="DJ14164" s="29"/>
    </row>
    <row r="14165" spans="114:114">
      <c r="DJ14165" s="29"/>
    </row>
    <row r="14166" spans="114:114">
      <c r="DJ14166" s="29"/>
    </row>
    <row r="14167" spans="114:114">
      <c r="DJ14167" s="29"/>
    </row>
    <row r="14168" spans="114:114">
      <c r="DJ14168" s="29"/>
    </row>
    <row r="14169" spans="114:114">
      <c r="DJ14169" s="29"/>
    </row>
    <row r="14170" spans="114:114">
      <c r="DJ14170" s="29"/>
    </row>
    <row r="14171" spans="114:114">
      <c r="DJ14171" s="29"/>
    </row>
    <row r="14172" spans="114:114">
      <c r="DJ14172" s="29"/>
    </row>
    <row r="14173" spans="114:114">
      <c r="DJ14173" s="29"/>
    </row>
    <row r="14174" spans="114:114">
      <c r="DJ14174" s="29"/>
    </row>
    <row r="14175" spans="114:114">
      <c r="DJ14175" s="29"/>
    </row>
    <row r="14176" spans="114:114">
      <c r="DJ14176" s="29"/>
    </row>
    <row r="14177" spans="114:114">
      <c r="DJ14177" s="29"/>
    </row>
    <row r="14178" spans="114:114">
      <c r="DJ14178" s="29"/>
    </row>
    <row r="14179" spans="114:114">
      <c r="DJ14179" s="29"/>
    </row>
    <row r="14180" spans="114:114">
      <c r="DJ14180" s="29"/>
    </row>
    <row r="14181" spans="114:114">
      <c r="DJ14181" s="29"/>
    </row>
    <row r="14182" spans="114:114">
      <c r="DJ14182" s="29"/>
    </row>
    <row r="14183" spans="114:114">
      <c r="DJ14183" s="29"/>
    </row>
    <row r="14184" spans="114:114">
      <c r="DJ14184" s="29"/>
    </row>
    <row r="14185" spans="114:114">
      <c r="DJ14185" s="29"/>
    </row>
    <row r="14186" spans="114:114">
      <c r="DJ14186" s="29"/>
    </row>
    <row r="14187" spans="114:114">
      <c r="DJ14187" s="29"/>
    </row>
    <row r="14188" spans="114:114">
      <c r="DJ14188" s="29"/>
    </row>
    <row r="14189" spans="114:114">
      <c r="DJ14189" s="29"/>
    </row>
    <row r="14190" spans="114:114">
      <c r="DJ14190" s="29"/>
    </row>
    <row r="14191" spans="114:114">
      <c r="DJ14191" s="29"/>
    </row>
    <row r="14192" spans="114:114">
      <c r="DJ14192" s="29"/>
    </row>
    <row r="14193" spans="114:114">
      <c r="DJ14193" s="29"/>
    </row>
    <row r="14194" spans="114:114">
      <c r="DJ14194" s="29"/>
    </row>
    <row r="14195" spans="114:114">
      <c r="DJ14195" s="29"/>
    </row>
    <row r="14196" spans="114:114">
      <c r="DJ14196" s="29"/>
    </row>
    <row r="14197" spans="114:114">
      <c r="DJ14197" s="29"/>
    </row>
    <row r="14198" spans="114:114">
      <c r="DJ14198" s="29"/>
    </row>
    <row r="14199" spans="114:114">
      <c r="DJ14199" s="29"/>
    </row>
    <row r="14200" spans="114:114">
      <c r="DJ14200" s="29"/>
    </row>
    <row r="14201" spans="114:114">
      <c r="DJ14201" s="29"/>
    </row>
    <row r="14202" spans="114:114">
      <c r="DJ14202" s="29"/>
    </row>
    <row r="14203" spans="114:114">
      <c r="DJ14203" s="29"/>
    </row>
    <row r="14204" spans="114:114">
      <c r="DJ14204" s="29"/>
    </row>
    <row r="14205" spans="114:114">
      <c r="DJ14205" s="29"/>
    </row>
    <row r="14206" spans="114:114">
      <c r="DJ14206" s="29"/>
    </row>
    <row r="14207" spans="114:114">
      <c r="DJ14207" s="29"/>
    </row>
    <row r="14208" spans="114:114">
      <c r="DJ14208" s="29"/>
    </row>
    <row r="14209" spans="114:114">
      <c r="DJ14209" s="29"/>
    </row>
    <row r="14210" spans="114:114">
      <c r="DJ14210" s="29"/>
    </row>
    <row r="14211" spans="114:114">
      <c r="DJ14211" s="29"/>
    </row>
    <row r="14212" spans="114:114">
      <c r="DJ14212" s="29"/>
    </row>
    <row r="14213" spans="114:114">
      <c r="DJ14213" s="29"/>
    </row>
    <row r="14214" spans="114:114">
      <c r="DJ14214" s="29"/>
    </row>
    <row r="14215" spans="114:114">
      <c r="DJ14215" s="29"/>
    </row>
    <row r="14216" spans="114:114">
      <c r="DJ14216" s="29"/>
    </row>
    <row r="14217" spans="114:114">
      <c r="DJ14217" s="29"/>
    </row>
    <row r="14218" spans="114:114">
      <c r="DJ14218" s="29"/>
    </row>
    <row r="14219" spans="114:114">
      <c r="DJ14219" s="29"/>
    </row>
    <row r="14220" spans="114:114">
      <c r="DJ14220" s="29"/>
    </row>
    <row r="14221" spans="114:114">
      <c r="DJ14221" s="29"/>
    </row>
    <row r="14222" spans="114:114">
      <c r="DJ14222" s="29"/>
    </row>
    <row r="14223" spans="114:114">
      <c r="DJ14223" s="29"/>
    </row>
    <row r="14224" spans="114:114">
      <c r="DJ14224" s="29"/>
    </row>
    <row r="14225" spans="114:114">
      <c r="DJ14225" s="29"/>
    </row>
    <row r="14226" spans="114:114">
      <c r="DJ14226" s="29"/>
    </row>
    <row r="14227" spans="114:114">
      <c r="DJ14227" s="29"/>
    </row>
    <row r="14228" spans="114:114">
      <c r="DJ14228" s="29"/>
    </row>
    <row r="14229" spans="114:114">
      <c r="DJ14229" s="29"/>
    </row>
    <row r="14230" spans="114:114">
      <c r="DJ14230" s="29"/>
    </row>
    <row r="14231" spans="114:114">
      <c r="DJ14231" s="29"/>
    </row>
    <row r="14232" spans="114:114">
      <c r="DJ14232" s="29"/>
    </row>
    <row r="14233" spans="114:114">
      <c r="DJ14233" s="29"/>
    </row>
    <row r="14234" spans="114:114">
      <c r="DJ14234" s="29"/>
    </row>
    <row r="14235" spans="114:114">
      <c r="DJ14235" s="29"/>
    </row>
    <row r="14236" spans="114:114">
      <c r="DJ14236" s="29"/>
    </row>
    <row r="14237" spans="114:114">
      <c r="DJ14237" s="29"/>
    </row>
    <row r="14238" spans="114:114">
      <c r="DJ14238" s="29"/>
    </row>
    <row r="14239" spans="114:114">
      <c r="DJ14239" s="29"/>
    </row>
    <row r="14240" spans="114:114">
      <c r="DJ14240" s="29"/>
    </row>
    <row r="14241" spans="114:114">
      <c r="DJ14241" s="29"/>
    </row>
    <row r="14242" spans="114:114">
      <c r="DJ14242" s="29"/>
    </row>
    <row r="14243" spans="114:114">
      <c r="DJ14243" s="29"/>
    </row>
    <row r="14244" spans="114:114">
      <c r="DJ14244" s="29"/>
    </row>
    <row r="14245" spans="114:114">
      <c r="DJ14245" s="29"/>
    </row>
    <row r="14246" spans="114:114">
      <c r="DJ14246" s="29"/>
    </row>
    <row r="14247" spans="114:114">
      <c r="DJ14247" s="29"/>
    </row>
    <row r="14248" spans="114:114">
      <c r="DJ14248" s="29"/>
    </row>
    <row r="14249" spans="114:114">
      <c r="DJ14249" s="29"/>
    </row>
    <row r="14250" spans="114:114">
      <c r="DJ14250" s="29"/>
    </row>
    <row r="14251" spans="114:114">
      <c r="DJ14251" s="29"/>
    </row>
    <row r="14252" spans="114:114">
      <c r="DJ14252" s="29"/>
    </row>
    <row r="14253" spans="114:114">
      <c r="DJ14253" s="29"/>
    </row>
    <row r="14254" spans="114:114">
      <c r="DJ14254" s="29"/>
    </row>
    <row r="14255" spans="114:114">
      <c r="DJ14255" s="29"/>
    </row>
    <row r="14256" spans="114:114">
      <c r="DJ14256" s="29"/>
    </row>
    <row r="14257" spans="114:114">
      <c r="DJ14257" s="29"/>
    </row>
    <row r="14258" spans="114:114">
      <c r="DJ14258" s="29"/>
    </row>
    <row r="14259" spans="114:114">
      <c r="DJ14259" s="29"/>
    </row>
    <row r="14260" spans="114:114">
      <c r="DJ14260" s="29"/>
    </row>
    <row r="14261" spans="114:114">
      <c r="DJ14261" s="29"/>
    </row>
    <row r="14262" spans="114:114">
      <c r="DJ14262" s="29"/>
    </row>
    <row r="14263" spans="114:114">
      <c r="DJ14263" s="29"/>
    </row>
    <row r="14264" spans="114:114">
      <c r="DJ14264" s="29"/>
    </row>
    <row r="14265" spans="114:114">
      <c r="DJ14265" s="29"/>
    </row>
    <row r="14266" spans="114:114">
      <c r="DJ14266" s="29"/>
    </row>
    <row r="14267" spans="114:114">
      <c r="DJ14267" s="29"/>
    </row>
    <row r="14268" spans="114:114">
      <c r="DJ14268" s="29"/>
    </row>
    <row r="14269" spans="114:114">
      <c r="DJ14269" s="29"/>
    </row>
    <row r="14270" spans="114:114">
      <c r="DJ14270" s="29"/>
    </row>
    <row r="14271" spans="114:114">
      <c r="DJ14271" s="29"/>
    </row>
    <row r="14272" spans="114:114">
      <c r="DJ14272" s="29"/>
    </row>
    <row r="14273" spans="114:114">
      <c r="DJ14273" s="29"/>
    </row>
    <row r="14274" spans="114:114">
      <c r="DJ14274" s="29"/>
    </row>
    <row r="14275" spans="114:114">
      <c r="DJ14275" s="29"/>
    </row>
    <row r="14276" spans="114:114">
      <c r="DJ14276" s="29"/>
    </row>
    <row r="14277" spans="114:114">
      <c r="DJ14277" s="29"/>
    </row>
    <row r="14278" spans="114:114">
      <c r="DJ14278" s="29"/>
    </row>
    <row r="14279" spans="114:114">
      <c r="DJ14279" s="29"/>
    </row>
    <row r="14280" spans="114:114">
      <c r="DJ14280" s="29"/>
    </row>
    <row r="14281" spans="114:114">
      <c r="DJ14281" s="29"/>
    </row>
    <row r="14282" spans="114:114">
      <c r="DJ14282" s="29"/>
    </row>
    <row r="14283" spans="114:114">
      <c r="DJ14283" s="29"/>
    </row>
    <row r="14284" spans="114:114">
      <c r="DJ14284" s="29"/>
    </row>
    <row r="14285" spans="114:114">
      <c r="DJ14285" s="29"/>
    </row>
    <row r="14286" spans="114:114">
      <c r="DJ14286" s="29"/>
    </row>
    <row r="14287" spans="114:114">
      <c r="DJ14287" s="29"/>
    </row>
    <row r="14288" spans="114:114">
      <c r="DJ14288" s="29"/>
    </row>
    <row r="14289" spans="114:114">
      <c r="DJ14289" s="29"/>
    </row>
    <row r="14290" spans="114:114">
      <c r="DJ14290" s="29"/>
    </row>
    <row r="14291" spans="114:114">
      <c r="DJ14291" s="29"/>
    </row>
    <row r="14292" spans="114:114">
      <c r="DJ14292" s="29"/>
    </row>
    <row r="14293" spans="114:114">
      <c r="DJ14293" s="29"/>
    </row>
    <row r="14294" spans="114:114">
      <c r="DJ14294" s="29"/>
    </row>
    <row r="14295" spans="114:114">
      <c r="DJ14295" s="29"/>
    </row>
    <row r="14296" spans="114:114">
      <c r="DJ14296" s="29"/>
    </row>
    <row r="14297" spans="114:114">
      <c r="DJ14297" s="29"/>
    </row>
    <row r="14298" spans="114:114">
      <c r="DJ14298" s="29"/>
    </row>
    <row r="14299" spans="114:114">
      <c r="DJ14299" s="29"/>
    </row>
    <row r="14300" spans="114:114">
      <c r="DJ14300" s="29"/>
    </row>
    <row r="14301" spans="114:114">
      <c r="DJ14301" s="29"/>
    </row>
    <row r="14302" spans="114:114">
      <c r="DJ14302" s="29"/>
    </row>
    <row r="14303" spans="114:114">
      <c r="DJ14303" s="29"/>
    </row>
    <row r="14304" spans="114:114">
      <c r="DJ14304" s="29"/>
    </row>
    <row r="14305" spans="114:114">
      <c r="DJ14305" s="29"/>
    </row>
    <row r="14306" spans="114:114">
      <c r="DJ14306" s="29"/>
    </row>
    <row r="14307" spans="114:114">
      <c r="DJ14307" s="29"/>
    </row>
    <row r="14308" spans="114:114">
      <c r="DJ14308" s="29"/>
    </row>
    <row r="14309" spans="114:114">
      <c r="DJ14309" s="29"/>
    </row>
    <row r="14310" spans="114:114">
      <c r="DJ14310" s="29"/>
    </row>
    <row r="14311" spans="114:114">
      <c r="DJ14311" s="29"/>
    </row>
    <row r="14312" spans="114:114">
      <c r="DJ14312" s="29"/>
    </row>
    <row r="14313" spans="114:114">
      <c r="DJ14313" s="29"/>
    </row>
    <row r="14314" spans="114:114">
      <c r="DJ14314" s="29"/>
    </row>
    <row r="14315" spans="114:114">
      <c r="DJ14315" s="29"/>
    </row>
    <row r="14316" spans="114:114">
      <c r="DJ14316" s="29"/>
    </row>
    <row r="14317" spans="114:114">
      <c r="DJ14317" s="29"/>
    </row>
    <row r="14318" spans="114:114">
      <c r="DJ14318" s="29"/>
    </row>
    <row r="14319" spans="114:114">
      <c r="DJ14319" s="29"/>
    </row>
    <row r="14320" spans="114:114">
      <c r="DJ14320" s="29"/>
    </row>
    <row r="14321" spans="114:114">
      <c r="DJ14321" s="29"/>
    </row>
    <row r="14322" spans="114:114">
      <c r="DJ14322" s="29"/>
    </row>
    <row r="14323" spans="114:114">
      <c r="DJ14323" s="29"/>
    </row>
    <row r="14324" spans="114:114">
      <c r="DJ14324" s="29"/>
    </row>
    <row r="14325" spans="114:114">
      <c r="DJ14325" s="29"/>
    </row>
    <row r="14326" spans="114:114">
      <c r="DJ14326" s="29"/>
    </row>
    <row r="14327" spans="114:114">
      <c r="DJ14327" s="29"/>
    </row>
    <row r="14328" spans="114:114">
      <c r="DJ14328" s="29"/>
    </row>
    <row r="14329" spans="114:114">
      <c r="DJ14329" s="29"/>
    </row>
    <row r="14330" spans="114:114">
      <c r="DJ14330" s="29"/>
    </row>
    <row r="14331" spans="114:114">
      <c r="DJ14331" s="29"/>
    </row>
    <row r="14332" spans="114:114">
      <c r="DJ14332" s="29"/>
    </row>
    <row r="14333" spans="114:114">
      <c r="DJ14333" s="29"/>
    </row>
    <row r="14334" spans="114:114">
      <c r="DJ14334" s="29"/>
    </row>
    <row r="14335" spans="114:114">
      <c r="DJ14335" s="29"/>
    </row>
    <row r="14336" spans="114:114">
      <c r="DJ14336" s="29"/>
    </row>
    <row r="14337" spans="114:114">
      <c r="DJ14337" s="29"/>
    </row>
    <row r="14338" spans="114:114">
      <c r="DJ14338" s="29"/>
    </row>
    <row r="14339" spans="114:114">
      <c r="DJ14339" s="29"/>
    </row>
    <row r="14340" spans="114:114">
      <c r="DJ14340" s="29"/>
    </row>
    <row r="14341" spans="114:114">
      <c r="DJ14341" s="29"/>
    </row>
    <row r="14342" spans="114:114">
      <c r="DJ14342" s="29"/>
    </row>
    <row r="14343" spans="114:114">
      <c r="DJ14343" s="29"/>
    </row>
    <row r="14344" spans="114:114">
      <c r="DJ14344" s="29"/>
    </row>
    <row r="14345" spans="114:114">
      <c r="DJ14345" s="29"/>
    </row>
    <row r="14346" spans="114:114">
      <c r="DJ14346" s="29"/>
    </row>
    <row r="14347" spans="114:114">
      <c r="DJ14347" s="29"/>
    </row>
    <row r="14348" spans="114:114">
      <c r="DJ14348" s="29"/>
    </row>
    <row r="14349" spans="114:114">
      <c r="DJ14349" s="29"/>
    </row>
    <row r="14350" spans="114:114">
      <c r="DJ14350" s="29"/>
    </row>
    <row r="14351" spans="114:114">
      <c r="DJ14351" s="29"/>
    </row>
    <row r="14352" spans="114:114">
      <c r="DJ14352" s="29"/>
    </row>
    <row r="14353" spans="114:114">
      <c r="DJ14353" s="29"/>
    </row>
    <row r="14354" spans="114:114">
      <c r="DJ14354" s="29"/>
    </row>
    <row r="14355" spans="114:114">
      <c r="DJ14355" s="29"/>
    </row>
    <row r="14356" spans="114:114">
      <c r="DJ14356" s="29"/>
    </row>
    <row r="14357" spans="114:114">
      <c r="DJ14357" s="29"/>
    </row>
    <row r="14358" spans="114:114">
      <c r="DJ14358" s="29"/>
    </row>
    <row r="14359" spans="114:114">
      <c r="DJ14359" s="29"/>
    </row>
    <row r="14360" spans="114:114">
      <c r="DJ14360" s="29"/>
    </row>
    <row r="14361" spans="114:114">
      <c r="DJ14361" s="29"/>
    </row>
    <row r="14362" spans="114:114">
      <c r="DJ14362" s="29"/>
    </row>
    <row r="14363" spans="114:114">
      <c r="DJ14363" s="29"/>
    </row>
    <row r="14364" spans="114:114">
      <c r="DJ14364" s="29"/>
    </row>
    <row r="14365" spans="114:114">
      <c r="DJ14365" s="29"/>
    </row>
    <row r="14366" spans="114:114">
      <c r="DJ14366" s="29"/>
    </row>
    <row r="14367" spans="114:114">
      <c r="DJ14367" s="29"/>
    </row>
    <row r="14368" spans="114:114">
      <c r="DJ14368" s="29"/>
    </row>
    <row r="14369" spans="114:114">
      <c r="DJ14369" s="29"/>
    </row>
    <row r="14370" spans="114:114">
      <c r="DJ14370" s="29"/>
    </row>
    <row r="14371" spans="114:114">
      <c r="DJ14371" s="29"/>
    </row>
    <row r="14372" spans="114:114">
      <c r="DJ14372" s="29"/>
    </row>
    <row r="14373" spans="114:114">
      <c r="DJ14373" s="29"/>
    </row>
    <row r="14374" spans="114:114">
      <c r="DJ14374" s="29"/>
    </row>
    <row r="14375" spans="114:114">
      <c r="DJ14375" s="29"/>
    </row>
    <row r="14376" spans="114:114">
      <c r="DJ14376" s="29"/>
    </row>
    <row r="14377" spans="114:114">
      <c r="DJ14377" s="29"/>
    </row>
    <row r="14378" spans="114:114">
      <c r="DJ14378" s="29"/>
    </row>
    <row r="14379" spans="114:114">
      <c r="DJ14379" s="29"/>
    </row>
    <row r="14380" spans="114:114">
      <c r="DJ14380" s="29"/>
    </row>
    <row r="14381" spans="114:114">
      <c r="DJ14381" s="29"/>
    </row>
    <row r="14382" spans="114:114">
      <c r="DJ14382" s="29"/>
    </row>
    <row r="14383" spans="114:114">
      <c r="DJ14383" s="29"/>
    </row>
    <row r="14384" spans="114:114">
      <c r="DJ14384" s="29"/>
    </row>
    <row r="14385" spans="114:114">
      <c r="DJ14385" s="29"/>
    </row>
    <row r="14386" spans="114:114">
      <c r="DJ14386" s="29"/>
    </row>
    <row r="14387" spans="114:114">
      <c r="DJ14387" s="29"/>
    </row>
    <row r="14388" spans="114:114">
      <c r="DJ14388" s="29"/>
    </row>
    <row r="14389" spans="114:114">
      <c r="DJ14389" s="29"/>
    </row>
    <row r="14390" spans="114:114">
      <c r="DJ14390" s="29"/>
    </row>
    <row r="14391" spans="114:114">
      <c r="DJ14391" s="29"/>
    </row>
    <row r="14392" spans="114:114">
      <c r="DJ14392" s="29"/>
    </row>
    <row r="14393" spans="114:114">
      <c r="DJ14393" s="29"/>
    </row>
    <row r="14394" spans="114:114">
      <c r="DJ14394" s="29"/>
    </row>
    <row r="14395" spans="114:114">
      <c r="DJ14395" s="29"/>
    </row>
    <row r="14396" spans="114:114">
      <c r="DJ14396" s="29"/>
    </row>
    <row r="14397" spans="114:114">
      <c r="DJ14397" s="29"/>
    </row>
    <row r="14398" spans="114:114">
      <c r="DJ14398" s="29"/>
    </row>
    <row r="14399" spans="114:114">
      <c r="DJ14399" s="29"/>
    </row>
    <row r="14400" spans="114:114">
      <c r="DJ14400" s="29"/>
    </row>
    <row r="14401" spans="114:114">
      <c r="DJ14401" s="29"/>
    </row>
    <row r="14402" spans="114:114">
      <c r="DJ14402" s="29"/>
    </row>
    <row r="14403" spans="114:114">
      <c r="DJ14403" s="29"/>
    </row>
    <row r="14404" spans="114:114">
      <c r="DJ14404" s="29"/>
    </row>
    <row r="14405" spans="114:114">
      <c r="DJ14405" s="29"/>
    </row>
    <row r="14406" spans="114:114">
      <c r="DJ14406" s="29"/>
    </row>
    <row r="14407" spans="114:114">
      <c r="DJ14407" s="29"/>
    </row>
    <row r="14408" spans="114:114">
      <c r="DJ14408" s="29"/>
    </row>
    <row r="14409" spans="114:114">
      <c r="DJ14409" s="29"/>
    </row>
    <row r="14410" spans="114:114">
      <c r="DJ14410" s="29"/>
    </row>
    <row r="14411" spans="114:114">
      <c r="DJ14411" s="29"/>
    </row>
    <row r="14412" spans="114:114">
      <c r="DJ14412" s="29"/>
    </row>
    <row r="14413" spans="114:114">
      <c r="DJ14413" s="29"/>
    </row>
    <row r="14414" spans="114:114">
      <c r="DJ14414" s="29"/>
    </row>
    <row r="14415" spans="114:114">
      <c r="DJ14415" s="29"/>
    </row>
    <row r="14416" spans="114:114">
      <c r="DJ14416" s="29"/>
    </row>
    <row r="14417" spans="114:114">
      <c r="DJ14417" s="29"/>
    </row>
    <row r="14418" spans="114:114">
      <c r="DJ14418" s="29"/>
    </row>
    <row r="14419" spans="114:114">
      <c r="DJ14419" s="29"/>
    </row>
    <row r="14420" spans="114:114">
      <c r="DJ14420" s="29"/>
    </row>
    <row r="14421" spans="114:114">
      <c r="DJ14421" s="29"/>
    </row>
    <row r="14422" spans="114:114">
      <c r="DJ14422" s="29"/>
    </row>
    <row r="14423" spans="114:114">
      <c r="DJ14423" s="29"/>
    </row>
    <row r="14424" spans="114:114">
      <c r="DJ14424" s="29"/>
    </row>
    <row r="14425" spans="114:114">
      <c r="DJ14425" s="29"/>
    </row>
    <row r="14426" spans="114:114">
      <c r="DJ14426" s="29"/>
    </row>
    <row r="14427" spans="114:114">
      <c r="DJ14427" s="29"/>
    </row>
    <row r="14428" spans="114:114">
      <c r="DJ14428" s="29"/>
    </row>
    <row r="14429" spans="114:114">
      <c r="DJ14429" s="29"/>
    </row>
    <row r="14430" spans="114:114">
      <c r="DJ14430" s="29"/>
    </row>
    <row r="14431" spans="114:114">
      <c r="DJ14431" s="29"/>
    </row>
    <row r="14432" spans="114:114">
      <c r="DJ14432" s="29"/>
    </row>
    <row r="14433" spans="114:114">
      <c r="DJ14433" s="29"/>
    </row>
    <row r="14434" spans="114:114">
      <c r="DJ14434" s="29"/>
    </row>
    <row r="14435" spans="114:114">
      <c r="DJ14435" s="29"/>
    </row>
    <row r="14436" spans="114:114">
      <c r="DJ14436" s="29"/>
    </row>
    <row r="14437" spans="114:114">
      <c r="DJ14437" s="29"/>
    </row>
    <row r="14438" spans="114:114">
      <c r="DJ14438" s="29"/>
    </row>
    <row r="14439" spans="114:114">
      <c r="DJ14439" s="29"/>
    </row>
    <row r="14440" spans="114:114">
      <c r="DJ14440" s="29"/>
    </row>
    <row r="14441" spans="114:114">
      <c r="DJ14441" s="29"/>
    </row>
    <row r="14442" spans="114:114">
      <c r="DJ14442" s="29"/>
    </row>
    <row r="14443" spans="114:114">
      <c r="DJ14443" s="29"/>
    </row>
    <row r="14444" spans="114:114">
      <c r="DJ14444" s="29"/>
    </row>
    <row r="14445" spans="114:114">
      <c r="DJ14445" s="29"/>
    </row>
    <row r="14446" spans="114:114">
      <c r="DJ14446" s="29"/>
    </row>
    <row r="14447" spans="114:114">
      <c r="DJ14447" s="29"/>
    </row>
    <row r="14448" spans="114:114">
      <c r="DJ14448" s="29"/>
    </row>
    <row r="14449" spans="114:114">
      <c r="DJ14449" s="29"/>
    </row>
    <row r="14450" spans="114:114">
      <c r="DJ14450" s="29"/>
    </row>
    <row r="14451" spans="114:114">
      <c r="DJ14451" s="29"/>
    </row>
    <row r="14452" spans="114:114">
      <c r="DJ14452" s="29"/>
    </row>
    <row r="14453" spans="114:114">
      <c r="DJ14453" s="29"/>
    </row>
    <row r="14454" spans="114:114">
      <c r="DJ14454" s="29"/>
    </row>
    <row r="14455" spans="114:114">
      <c r="DJ14455" s="29"/>
    </row>
    <row r="14456" spans="114:114">
      <c r="DJ14456" s="29"/>
    </row>
    <row r="14457" spans="114:114">
      <c r="DJ14457" s="29"/>
    </row>
    <row r="14458" spans="114:114">
      <c r="DJ14458" s="29"/>
    </row>
    <row r="14459" spans="114:114">
      <c r="DJ14459" s="29"/>
    </row>
    <row r="14460" spans="114:114">
      <c r="DJ14460" s="29"/>
    </row>
    <row r="14461" spans="114:114">
      <c r="DJ14461" s="29"/>
    </row>
    <row r="14462" spans="114:114">
      <c r="DJ14462" s="29"/>
    </row>
    <row r="14463" spans="114:114">
      <c r="DJ14463" s="29"/>
    </row>
    <row r="14464" spans="114:114">
      <c r="DJ14464" s="29"/>
    </row>
    <row r="14465" spans="114:114">
      <c r="DJ14465" s="29"/>
    </row>
    <row r="14466" spans="114:114">
      <c r="DJ14466" s="29"/>
    </row>
    <row r="14467" spans="114:114">
      <c r="DJ14467" s="29"/>
    </row>
    <row r="14468" spans="114:114">
      <c r="DJ14468" s="29"/>
    </row>
    <row r="14469" spans="114:114">
      <c r="DJ14469" s="29"/>
    </row>
    <row r="14470" spans="114:114">
      <c r="DJ14470" s="29"/>
    </row>
    <row r="14471" spans="114:114">
      <c r="DJ14471" s="29"/>
    </row>
    <row r="14472" spans="114:114">
      <c r="DJ14472" s="29"/>
    </row>
    <row r="14473" spans="114:114">
      <c r="DJ14473" s="29"/>
    </row>
    <row r="14474" spans="114:114">
      <c r="DJ14474" s="29"/>
    </row>
    <row r="14475" spans="114:114">
      <c r="DJ14475" s="29"/>
    </row>
    <row r="14476" spans="114:114">
      <c r="DJ14476" s="29"/>
    </row>
    <row r="14477" spans="114:114">
      <c r="DJ14477" s="29"/>
    </row>
    <row r="14478" spans="114:114">
      <c r="DJ14478" s="29"/>
    </row>
    <row r="14479" spans="114:114">
      <c r="DJ14479" s="29"/>
    </row>
    <row r="14480" spans="114:114">
      <c r="DJ14480" s="29"/>
    </row>
    <row r="14481" spans="114:114">
      <c r="DJ14481" s="29"/>
    </row>
    <row r="14482" spans="114:114">
      <c r="DJ14482" s="29"/>
    </row>
    <row r="14483" spans="114:114">
      <c r="DJ14483" s="29"/>
    </row>
    <row r="14484" spans="114:114">
      <c r="DJ14484" s="29"/>
    </row>
    <row r="14485" spans="114:114">
      <c r="DJ14485" s="29"/>
    </row>
    <row r="14486" spans="114:114">
      <c r="DJ14486" s="29"/>
    </row>
    <row r="14487" spans="114:114">
      <c r="DJ14487" s="29"/>
    </row>
    <row r="14488" spans="114:114">
      <c r="DJ14488" s="29"/>
    </row>
    <row r="14489" spans="114:114">
      <c r="DJ14489" s="29"/>
    </row>
    <row r="14490" spans="114:114">
      <c r="DJ14490" s="29"/>
    </row>
    <row r="14491" spans="114:114">
      <c r="DJ14491" s="29"/>
    </row>
    <row r="14492" spans="114:114">
      <c r="DJ14492" s="29"/>
    </row>
    <row r="14493" spans="114:114">
      <c r="DJ14493" s="29"/>
    </row>
    <row r="14494" spans="114:114">
      <c r="DJ14494" s="29"/>
    </row>
    <row r="14495" spans="114:114">
      <c r="DJ14495" s="29"/>
    </row>
    <row r="14496" spans="114:114">
      <c r="DJ14496" s="29"/>
    </row>
    <row r="14497" spans="114:114">
      <c r="DJ14497" s="29"/>
    </row>
    <row r="14498" spans="114:114">
      <c r="DJ14498" s="29"/>
    </row>
    <row r="14499" spans="114:114">
      <c r="DJ14499" s="29"/>
    </row>
    <row r="14500" spans="114:114">
      <c r="DJ14500" s="29"/>
    </row>
    <row r="14501" spans="114:114">
      <c r="DJ14501" s="29"/>
    </row>
    <row r="14502" spans="114:114">
      <c r="DJ14502" s="29"/>
    </row>
    <row r="14503" spans="114:114">
      <c r="DJ14503" s="29"/>
    </row>
    <row r="14504" spans="114:114">
      <c r="DJ14504" s="29"/>
    </row>
    <row r="14505" spans="114:114">
      <c r="DJ14505" s="29"/>
    </row>
    <row r="14506" spans="114:114">
      <c r="DJ14506" s="29"/>
    </row>
    <row r="14507" spans="114:114">
      <c r="DJ14507" s="29"/>
    </row>
    <row r="14508" spans="114:114">
      <c r="DJ14508" s="29"/>
    </row>
    <row r="14509" spans="114:114">
      <c r="DJ14509" s="29"/>
    </row>
    <row r="14510" spans="114:114">
      <c r="DJ14510" s="29"/>
    </row>
    <row r="14511" spans="114:114">
      <c r="DJ14511" s="29"/>
    </row>
    <row r="14512" spans="114:114">
      <c r="DJ14512" s="29"/>
    </row>
    <row r="14513" spans="114:114">
      <c r="DJ14513" s="29"/>
    </row>
    <row r="14514" spans="114:114">
      <c r="DJ14514" s="29"/>
    </row>
    <row r="14515" spans="114:114">
      <c r="DJ14515" s="29"/>
    </row>
    <row r="14516" spans="114:114">
      <c r="DJ14516" s="29"/>
    </row>
    <row r="14517" spans="114:114">
      <c r="DJ14517" s="29"/>
    </row>
    <row r="14518" spans="114:114">
      <c r="DJ14518" s="29"/>
    </row>
    <row r="14519" spans="114:114">
      <c r="DJ14519" s="29"/>
    </row>
    <row r="14520" spans="114:114">
      <c r="DJ14520" s="29"/>
    </row>
    <row r="14521" spans="114:114">
      <c r="DJ14521" s="29"/>
    </row>
    <row r="14522" spans="114:114">
      <c r="DJ14522" s="29"/>
    </row>
    <row r="14523" spans="114:114">
      <c r="DJ14523" s="29"/>
    </row>
    <row r="14524" spans="114:114">
      <c r="DJ14524" s="29"/>
    </row>
    <row r="14525" spans="114:114">
      <c r="DJ14525" s="29"/>
    </row>
    <row r="14526" spans="114:114">
      <c r="DJ14526" s="29"/>
    </row>
    <row r="14527" spans="114:114">
      <c r="DJ14527" s="29"/>
    </row>
    <row r="14528" spans="114:114">
      <c r="DJ14528" s="29"/>
    </row>
    <row r="14529" spans="114:114">
      <c r="DJ14529" s="29"/>
    </row>
    <row r="14530" spans="114:114">
      <c r="DJ14530" s="29"/>
    </row>
    <row r="14531" spans="114:114">
      <c r="DJ14531" s="29"/>
    </row>
    <row r="14532" spans="114:114">
      <c r="DJ14532" s="29"/>
    </row>
    <row r="14533" spans="114:114">
      <c r="DJ14533" s="29"/>
    </row>
    <row r="14534" spans="114:114">
      <c r="DJ14534" s="29"/>
    </row>
    <row r="14535" spans="114:114">
      <c r="DJ14535" s="29"/>
    </row>
    <row r="14536" spans="114:114">
      <c r="DJ14536" s="29"/>
    </row>
    <row r="14537" spans="114:114">
      <c r="DJ14537" s="29"/>
    </row>
    <row r="14538" spans="114:114">
      <c r="DJ14538" s="29"/>
    </row>
    <row r="14539" spans="114:114">
      <c r="DJ14539" s="29"/>
    </row>
    <row r="14540" spans="114:114">
      <c r="DJ14540" s="29"/>
    </row>
    <row r="14541" spans="114:114">
      <c r="DJ14541" s="29"/>
    </row>
    <row r="14542" spans="114:114">
      <c r="DJ14542" s="29"/>
    </row>
    <row r="14543" spans="114:114">
      <c r="DJ14543" s="29"/>
    </row>
    <row r="14544" spans="114:114">
      <c r="DJ14544" s="29"/>
    </row>
    <row r="14545" spans="114:114">
      <c r="DJ14545" s="29"/>
    </row>
    <row r="14546" spans="114:114">
      <c r="DJ14546" s="29"/>
    </row>
    <row r="14547" spans="114:114">
      <c r="DJ14547" s="29"/>
    </row>
    <row r="14548" spans="114:114">
      <c r="DJ14548" s="29"/>
    </row>
    <row r="14549" spans="114:114">
      <c r="DJ14549" s="29"/>
    </row>
    <row r="14550" spans="114:114">
      <c r="DJ14550" s="29"/>
    </row>
    <row r="14551" spans="114:114">
      <c r="DJ14551" s="29"/>
    </row>
    <row r="14552" spans="114:114">
      <c r="DJ14552" s="29"/>
    </row>
    <row r="14553" spans="114:114">
      <c r="DJ14553" s="29"/>
    </row>
    <row r="14554" spans="114:114">
      <c r="DJ14554" s="29"/>
    </row>
    <row r="14555" spans="114:114">
      <c r="DJ14555" s="29"/>
    </row>
    <row r="14556" spans="114:114">
      <c r="DJ14556" s="29"/>
    </row>
    <row r="14557" spans="114:114">
      <c r="DJ14557" s="29"/>
    </row>
    <row r="14558" spans="114:114">
      <c r="DJ14558" s="29"/>
    </row>
    <row r="14559" spans="114:114">
      <c r="DJ14559" s="29"/>
    </row>
    <row r="14560" spans="114:114">
      <c r="DJ14560" s="29"/>
    </row>
    <row r="14561" spans="114:114">
      <c r="DJ14561" s="29"/>
    </row>
    <row r="14562" spans="114:114">
      <c r="DJ14562" s="29"/>
    </row>
    <row r="14563" spans="114:114">
      <c r="DJ14563" s="29"/>
    </row>
    <row r="14564" spans="114:114">
      <c r="DJ14564" s="29"/>
    </row>
    <row r="14565" spans="114:114">
      <c r="DJ14565" s="29"/>
    </row>
    <row r="14566" spans="114:114">
      <c r="DJ14566" s="29"/>
    </row>
    <row r="14567" spans="114:114">
      <c r="DJ14567" s="29"/>
    </row>
    <row r="14568" spans="114:114">
      <c r="DJ14568" s="29"/>
    </row>
    <row r="14569" spans="114:114">
      <c r="DJ14569" s="29"/>
    </row>
    <row r="14570" spans="114:114">
      <c r="DJ14570" s="29"/>
    </row>
    <row r="14571" spans="114:114">
      <c r="DJ14571" s="29"/>
    </row>
    <row r="14572" spans="114:114">
      <c r="DJ14572" s="29"/>
    </row>
    <row r="14573" spans="114:114">
      <c r="DJ14573" s="29"/>
    </row>
    <row r="14574" spans="114:114">
      <c r="DJ14574" s="29"/>
    </row>
    <row r="14575" spans="114:114">
      <c r="DJ14575" s="29"/>
    </row>
    <row r="14576" spans="114:114">
      <c r="DJ14576" s="29"/>
    </row>
    <row r="14577" spans="114:114">
      <c r="DJ14577" s="29"/>
    </row>
    <row r="14578" spans="114:114">
      <c r="DJ14578" s="29"/>
    </row>
    <row r="14579" spans="114:114">
      <c r="DJ14579" s="29"/>
    </row>
    <row r="14580" spans="114:114">
      <c r="DJ14580" s="29"/>
    </row>
    <row r="14581" spans="114:114">
      <c r="DJ14581" s="29"/>
    </row>
    <row r="14582" spans="114:114">
      <c r="DJ14582" s="29"/>
    </row>
    <row r="14583" spans="114:114">
      <c r="DJ14583" s="29"/>
    </row>
    <row r="14584" spans="114:114">
      <c r="DJ14584" s="29"/>
    </row>
    <row r="14585" spans="114:114">
      <c r="DJ14585" s="29"/>
    </row>
    <row r="14586" spans="114:114">
      <c r="DJ14586" s="29"/>
    </row>
    <row r="14587" spans="114:114">
      <c r="DJ14587" s="29"/>
    </row>
    <row r="14588" spans="114:114">
      <c r="DJ14588" s="29"/>
    </row>
    <row r="14589" spans="114:114">
      <c r="DJ14589" s="29"/>
    </row>
    <row r="14590" spans="114:114">
      <c r="DJ14590" s="29"/>
    </row>
    <row r="14591" spans="114:114">
      <c r="DJ14591" s="29"/>
    </row>
    <row r="14592" spans="114:114">
      <c r="DJ14592" s="29"/>
    </row>
    <row r="14593" spans="114:114">
      <c r="DJ14593" s="29"/>
    </row>
    <row r="14594" spans="114:114">
      <c r="DJ14594" s="29"/>
    </row>
    <row r="14595" spans="114:114">
      <c r="DJ14595" s="29"/>
    </row>
    <row r="14596" spans="114:114">
      <c r="DJ14596" s="29"/>
    </row>
    <row r="14597" spans="114:114">
      <c r="DJ14597" s="29"/>
    </row>
    <row r="14598" spans="114:114">
      <c r="DJ14598" s="29"/>
    </row>
    <row r="14599" spans="114:114">
      <c r="DJ14599" s="29"/>
    </row>
    <row r="14600" spans="114:114">
      <c r="DJ14600" s="29"/>
    </row>
    <row r="14601" spans="114:114">
      <c r="DJ14601" s="29"/>
    </row>
    <row r="14602" spans="114:114">
      <c r="DJ14602" s="29"/>
    </row>
    <row r="14603" spans="114:114">
      <c r="DJ14603" s="29"/>
    </row>
    <row r="14604" spans="114:114">
      <c r="DJ14604" s="29"/>
    </row>
    <row r="14605" spans="114:114">
      <c r="DJ14605" s="29"/>
    </row>
    <row r="14606" spans="114:114">
      <c r="DJ14606" s="29"/>
    </row>
    <row r="14607" spans="114:114">
      <c r="DJ14607" s="29"/>
    </row>
    <row r="14608" spans="114:114">
      <c r="DJ14608" s="29"/>
    </row>
    <row r="14609" spans="114:114">
      <c r="DJ14609" s="29"/>
    </row>
    <row r="14610" spans="114:114">
      <c r="DJ14610" s="29"/>
    </row>
    <row r="14611" spans="114:114">
      <c r="DJ14611" s="29"/>
    </row>
    <row r="14612" spans="114:114">
      <c r="DJ14612" s="29"/>
    </row>
    <row r="14613" spans="114:114">
      <c r="DJ14613" s="29"/>
    </row>
    <row r="14614" spans="114:114">
      <c r="DJ14614" s="29"/>
    </row>
    <row r="14615" spans="114:114">
      <c r="DJ14615" s="29"/>
    </row>
    <row r="14616" spans="114:114">
      <c r="DJ14616" s="29"/>
    </row>
    <row r="14617" spans="114:114">
      <c r="DJ14617" s="29"/>
    </row>
    <row r="14618" spans="114:114">
      <c r="DJ14618" s="29"/>
    </row>
    <row r="14619" spans="114:114">
      <c r="DJ14619" s="29"/>
    </row>
    <row r="14620" spans="114:114">
      <c r="DJ14620" s="29"/>
    </row>
    <row r="14621" spans="114:114">
      <c r="DJ14621" s="29"/>
    </row>
    <row r="14622" spans="114:114">
      <c r="DJ14622" s="29"/>
    </row>
    <row r="14623" spans="114:114">
      <c r="DJ14623" s="29"/>
    </row>
    <row r="14624" spans="114:114">
      <c r="DJ14624" s="29"/>
    </row>
    <row r="14625" spans="114:114">
      <c r="DJ14625" s="29"/>
    </row>
    <row r="14626" spans="114:114">
      <c r="DJ14626" s="29"/>
    </row>
    <row r="14627" spans="114:114">
      <c r="DJ14627" s="29"/>
    </row>
    <row r="14628" spans="114:114">
      <c r="DJ14628" s="29"/>
    </row>
    <row r="14629" spans="114:114">
      <c r="DJ14629" s="29"/>
    </row>
    <row r="14630" spans="114:114">
      <c r="DJ14630" s="29"/>
    </row>
    <row r="14631" spans="114:114">
      <c r="DJ14631" s="29"/>
    </row>
    <row r="14632" spans="114:114">
      <c r="DJ14632" s="29"/>
    </row>
    <row r="14633" spans="114:114">
      <c r="DJ14633" s="29"/>
    </row>
    <row r="14634" spans="114:114">
      <c r="DJ14634" s="29"/>
    </row>
    <row r="14635" spans="114:114">
      <c r="DJ14635" s="29"/>
    </row>
    <row r="14636" spans="114:114">
      <c r="DJ14636" s="29"/>
    </row>
    <row r="14637" spans="114:114">
      <c r="DJ14637" s="29"/>
    </row>
    <row r="14638" spans="114:114">
      <c r="DJ14638" s="29"/>
    </row>
    <row r="14639" spans="114:114">
      <c r="DJ14639" s="29"/>
    </row>
    <row r="14640" spans="114:114">
      <c r="DJ14640" s="29"/>
    </row>
    <row r="14641" spans="114:114">
      <c r="DJ14641" s="29"/>
    </row>
    <row r="14642" spans="114:114">
      <c r="DJ14642" s="29"/>
    </row>
    <row r="14643" spans="114:114">
      <c r="DJ14643" s="29"/>
    </row>
    <row r="14644" spans="114:114">
      <c r="DJ14644" s="29"/>
    </row>
    <row r="14645" spans="114:114">
      <c r="DJ14645" s="29"/>
    </row>
    <row r="14646" spans="114:114">
      <c r="DJ14646" s="29"/>
    </row>
    <row r="14647" spans="114:114">
      <c r="DJ14647" s="29"/>
    </row>
    <row r="14648" spans="114:114">
      <c r="DJ14648" s="29"/>
    </row>
    <row r="14649" spans="114:114">
      <c r="DJ14649" s="29"/>
    </row>
    <row r="14650" spans="114:114">
      <c r="DJ14650" s="29"/>
    </row>
    <row r="14651" spans="114:114">
      <c r="DJ14651" s="29"/>
    </row>
    <row r="14652" spans="114:114">
      <c r="DJ14652" s="29"/>
    </row>
    <row r="14653" spans="114:114">
      <c r="DJ14653" s="29"/>
    </row>
    <row r="14654" spans="114:114">
      <c r="DJ14654" s="29"/>
    </row>
    <row r="14655" spans="114:114">
      <c r="DJ14655" s="29"/>
    </row>
    <row r="14656" spans="114:114">
      <c r="DJ14656" s="29"/>
    </row>
    <row r="14657" spans="114:114">
      <c r="DJ14657" s="29"/>
    </row>
    <row r="14658" spans="114:114">
      <c r="DJ14658" s="29"/>
    </row>
    <row r="14659" spans="114:114">
      <c r="DJ14659" s="29"/>
    </row>
    <row r="14660" spans="114:114">
      <c r="DJ14660" s="29"/>
    </row>
    <row r="14661" spans="114:114">
      <c r="DJ14661" s="29"/>
    </row>
    <row r="14662" spans="114:114">
      <c r="DJ14662" s="29"/>
    </row>
    <row r="14663" spans="114:114">
      <c r="DJ14663" s="29"/>
    </row>
    <row r="14664" spans="114:114">
      <c r="DJ14664" s="29"/>
    </row>
    <row r="14665" spans="114:114">
      <c r="DJ14665" s="29"/>
    </row>
    <row r="14666" spans="114:114">
      <c r="DJ14666" s="29"/>
    </row>
    <row r="14667" spans="114:114">
      <c r="DJ14667" s="29"/>
    </row>
    <row r="14668" spans="114:114">
      <c r="DJ14668" s="29"/>
    </row>
    <row r="14669" spans="114:114">
      <c r="DJ14669" s="29"/>
    </row>
    <row r="14670" spans="114:114">
      <c r="DJ14670" s="29"/>
    </row>
    <row r="14671" spans="114:114">
      <c r="DJ14671" s="29"/>
    </row>
    <row r="14672" spans="114:114">
      <c r="DJ14672" s="29"/>
    </row>
    <row r="14673" spans="114:114">
      <c r="DJ14673" s="29"/>
    </row>
    <row r="14674" spans="114:114">
      <c r="DJ14674" s="29"/>
    </row>
    <row r="14675" spans="114:114">
      <c r="DJ14675" s="29"/>
    </row>
    <row r="14676" spans="114:114">
      <c r="DJ14676" s="29"/>
    </row>
    <row r="14677" spans="114:114">
      <c r="DJ14677" s="29"/>
    </row>
    <row r="14678" spans="114:114">
      <c r="DJ14678" s="29"/>
    </row>
    <row r="14679" spans="114:114">
      <c r="DJ14679" s="29"/>
    </row>
    <row r="14680" spans="114:114">
      <c r="DJ14680" s="29"/>
    </row>
    <row r="14681" spans="114:114">
      <c r="DJ14681" s="29"/>
    </row>
    <row r="14682" spans="114:114">
      <c r="DJ14682" s="29"/>
    </row>
    <row r="14683" spans="114:114">
      <c r="DJ14683" s="29"/>
    </row>
    <row r="14684" spans="114:114">
      <c r="DJ14684" s="29"/>
    </row>
    <row r="14685" spans="114:114">
      <c r="DJ14685" s="29"/>
    </row>
    <row r="14686" spans="114:114">
      <c r="DJ14686" s="29"/>
    </row>
    <row r="14687" spans="114:114">
      <c r="DJ14687" s="29"/>
    </row>
    <row r="14688" spans="114:114">
      <c r="DJ14688" s="29"/>
    </row>
    <row r="14689" spans="114:114">
      <c r="DJ14689" s="29"/>
    </row>
    <row r="14690" spans="114:114">
      <c r="DJ14690" s="29"/>
    </row>
    <row r="14691" spans="114:114">
      <c r="DJ14691" s="29"/>
    </row>
    <row r="14692" spans="114:114">
      <c r="DJ14692" s="29"/>
    </row>
    <row r="14693" spans="114:114">
      <c r="DJ14693" s="29"/>
    </row>
    <row r="14694" spans="114:114">
      <c r="DJ14694" s="29"/>
    </row>
    <row r="14695" spans="114:114">
      <c r="DJ14695" s="29"/>
    </row>
    <row r="14696" spans="114:114">
      <c r="DJ14696" s="29"/>
    </row>
    <row r="14697" spans="114:114">
      <c r="DJ14697" s="29"/>
    </row>
    <row r="14698" spans="114:114">
      <c r="DJ14698" s="29"/>
    </row>
    <row r="14699" spans="114:114">
      <c r="DJ14699" s="29"/>
    </row>
    <row r="14700" spans="114:114">
      <c r="DJ14700" s="29"/>
    </row>
    <row r="14701" spans="114:114">
      <c r="DJ14701" s="29"/>
    </row>
    <row r="14702" spans="114:114">
      <c r="DJ14702" s="29"/>
    </row>
    <row r="14703" spans="114:114">
      <c r="DJ14703" s="29"/>
    </row>
    <row r="14704" spans="114:114">
      <c r="DJ14704" s="29"/>
    </row>
    <row r="14705" spans="114:114">
      <c r="DJ14705" s="29"/>
    </row>
    <row r="14706" spans="114:114">
      <c r="DJ14706" s="29"/>
    </row>
    <row r="14707" spans="114:114">
      <c r="DJ14707" s="29"/>
    </row>
    <row r="14708" spans="114:114">
      <c r="DJ14708" s="29"/>
    </row>
    <row r="14709" spans="114:114">
      <c r="DJ14709" s="29"/>
    </row>
    <row r="14710" spans="114:114">
      <c r="DJ14710" s="29"/>
    </row>
    <row r="14711" spans="114:114">
      <c r="DJ14711" s="29"/>
    </row>
    <row r="14712" spans="114:114">
      <c r="DJ14712" s="29"/>
    </row>
    <row r="14713" spans="114:114">
      <c r="DJ14713" s="29"/>
    </row>
    <row r="14714" spans="114:114">
      <c r="DJ14714" s="29"/>
    </row>
    <row r="14715" spans="114:114">
      <c r="DJ14715" s="29"/>
    </row>
    <row r="14716" spans="114:114">
      <c r="DJ14716" s="29"/>
    </row>
    <row r="14717" spans="114:114">
      <c r="DJ14717" s="29"/>
    </row>
    <row r="14718" spans="114:114">
      <c r="DJ14718" s="29"/>
    </row>
    <row r="14719" spans="114:114">
      <c r="DJ14719" s="29"/>
    </row>
    <row r="14720" spans="114:114">
      <c r="DJ14720" s="29"/>
    </row>
    <row r="14721" spans="114:114">
      <c r="DJ14721" s="29"/>
    </row>
    <row r="14722" spans="114:114">
      <c r="DJ14722" s="29"/>
    </row>
    <row r="14723" spans="114:114">
      <c r="DJ14723" s="29"/>
    </row>
    <row r="14724" spans="114:114">
      <c r="DJ14724" s="29"/>
    </row>
    <row r="14725" spans="114:114">
      <c r="DJ14725" s="29"/>
    </row>
    <row r="14726" spans="114:114">
      <c r="DJ14726" s="29"/>
    </row>
    <row r="14727" spans="114:114">
      <c r="DJ14727" s="29"/>
    </row>
    <row r="14728" spans="114:114">
      <c r="DJ14728" s="29"/>
    </row>
    <row r="14729" spans="114:114">
      <c r="DJ14729" s="29"/>
    </row>
    <row r="14730" spans="114:114">
      <c r="DJ14730" s="29"/>
    </row>
    <row r="14731" spans="114:114">
      <c r="DJ14731" s="29"/>
    </row>
    <row r="14732" spans="114:114">
      <c r="DJ14732" s="29"/>
    </row>
    <row r="14733" spans="114:114">
      <c r="DJ14733" s="29"/>
    </row>
    <row r="14734" spans="114:114">
      <c r="DJ14734" s="29"/>
    </row>
    <row r="14735" spans="114:114">
      <c r="DJ14735" s="29"/>
    </row>
    <row r="14736" spans="114:114">
      <c r="DJ14736" s="29"/>
    </row>
    <row r="14737" spans="114:114">
      <c r="DJ14737" s="29"/>
    </row>
    <row r="14738" spans="114:114">
      <c r="DJ14738" s="29"/>
    </row>
    <row r="14739" spans="114:114">
      <c r="DJ14739" s="29"/>
    </row>
    <row r="14740" spans="114:114">
      <c r="DJ14740" s="29"/>
    </row>
    <row r="14741" spans="114:114">
      <c r="DJ14741" s="29"/>
    </row>
    <row r="14742" spans="114:114">
      <c r="DJ14742" s="29"/>
    </row>
    <row r="14743" spans="114:114">
      <c r="DJ14743" s="29"/>
    </row>
    <row r="14744" spans="114:114">
      <c r="DJ14744" s="29"/>
    </row>
    <row r="14745" spans="114:114">
      <c r="DJ14745" s="29"/>
    </row>
    <row r="14746" spans="114:114">
      <c r="DJ14746" s="29"/>
    </row>
    <row r="14747" spans="114:114">
      <c r="DJ14747" s="29"/>
    </row>
    <row r="14748" spans="114:114">
      <c r="DJ14748" s="29"/>
    </row>
    <row r="14749" spans="114:114">
      <c r="DJ14749" s="29"/>
    </row>
    <row r="14750" spans="114:114">
      <c r="DJ14750" s="29"/>
    </row>
    <row r="14751" spans="114:114">
      <c r="DJ14751" s="29"/>
    </row>
    <row r="14752" spans="114:114">
      <c r="DJ14752" s="29"/>
    </row>
    <row r="14753" spans="114:114">
      <c r="DJ14753" s="29"/>
    </row>
    <row r="14754" spans="114:114">
      <c r="DJ14754" s="29"/>
    </row>
    <row r="14755" spans="114:114">
      <c r="DJ14755" s="29"/>
    </row>
    <row r="14756" spans="114:114">
      <c r="DJ14756" s="29"/>
    </row>
    <row r="14757" spans="114:114">
      <c r="DJ14757" s="29"/>
    </row>
    <row r="14758" spans="114:114">
      <c r="DJ14758" s="29"/>
    </row>
    <row r="14759" spans="114:114">
      <c r="DJ14759" s="29"/>
    </row>
    <row r="14760" spans="114:114">
      <c r="DJ14760" s="29"/>
    </row>
    <row r="14761" spans="114:114">
      <c r="DJ14761" s="29"/>
    </row>
    <row r="14762" spans="114:114">
      <c r="DJ14762" s="29"/>
    </row>
    <row r="14763" spans="114:114">
      <c r="DJ14763" s="29"/>
    </row>
    <row r="14764" spans="114:114">
      <c r="DJ14764" s="29"/>
    </row>
    <row r="14765" spans="114:114">
      <c r="DJ14765" s="29"/>
    </row>
    <row r="14766" spans="114:114">
      <c r="DJ14766" s="29"/>
    </row>
    <row r="14767" spans="114:114">
      <c r="DJ14767" s="29"/>
    </row>
    <row r="14768" spans="114:114">
      <c r="DJ14768" s="29"/>
    </row>
    <row r="14769" spans="114:114">
      <c r="DJ14769" s="29"/>
    </row>
    <row r="14770" spans="114:114">
      <c r="DJ14770" s="29"/>
    </row>
    <row r="14771" spans="114:114">
      <c r="DJ14771" s="29"/>
    </row>
    <row r="14772" spans="114:114">
      <c r="DJ14772" s="29"/>
    </row>
    <row r="14773" spans="114:114">
      <c r="DJ14773" s="29"/>
    </row>
    <row r="14774" spans="114:114">
      <c r="DJ14774" s="29"/>
    </row>
    <row r="14775" spans="114:114">
      <c r="DJ14775" s="29"/>
    </row>
    <row r="14776" spans="114:114">
      <c r="DJ14776" s="29"/>
    </row>
    <row r="14777" spans="114:114">
      <c r="DJ14777" s="29"/>
    </row>
    <row r="14778" spans="114:114">
      <c r="DJ14778" s="29"/>
    </row>
    <row r="14779" spans="114:114">
      <c r="DJ14779" s="29"/>
    </row>
    <row r="14780" spans="114:114">
      <c r="DJ14780" s="29"/>
    </row>
    <row r="14781" spans="114:114">
      <c r="DJ14781" s="29"/>
    </row>
    <row r="14782" spans="114:114">
      <c r="DJ14782" s="29"/>
    </row>
    <row r="14783" spans="114:114">
      <c r="DJ14783" s="29"/>
    </row>
    <row r="14784" spans="114:114">
      <c r="DJ14784" s="29"/>
    </row>
    <row r="14785" spans="114:114">
      <c r="DJ14785" s="29"/>
    </row>
    <row r="14786" spans="114:114">
      <c r="DJ14786" s="29"/>
    </row>
    <row r="14787" spans="114:114">
      <c r="DJ14787" s="29"/>
    </row>
    <row r="14788" spans="114:114">
      <c r="DJ14788" s="29"/>
    </row>
    <row r="14789" spans="114:114">
      <c r="DJ14789" s="29"/>
    </row>
    <row r="14790" spans="114:114">
      <c r="DJ14790" s="29"/>
    </row>
    <row r="14791" spans="114:114">
      <c r="DJ14791" s="29"/>
    </row>
    <row r="14792" spans="114:114">
      <c r="DJ14792" s="29"/>
    </row>
    <row r="14793" spans="114:114">
      <c r="DJ14793" s="29"/>
    </row>
    <row r="14794" spans="114:114">
      <c r="DJ14794" s="29"/>
    </row>
    <row r="14795" spans="114:114">
      <c r="DJ14795" s="29"/>
    </row>
    <row r="14796" spans="114:114">
      <c r="DJ14796" s="29"/>
    </row>
    <row r="14797" spans="114:114">
      <c r="DJ14797" s="29"/>
    </row>
    <row r="14798" spans="114:114">
      <c r="DJ14798" s="29"/>
    </row>
    <row r="14799" spans="114:114">
      <c r="DJ14799" s="29"/>
    </row>
    <row r="14800" spans="114:114">
      <c r="DJ14800" s="29"/>
    </row>
    <row r="14801" spans="114:114">
      <c r="DJ14801" s="29"/>
    </row>
    <row r="14802" spans="114:114">
      <c r="DJ14802" s="29"/>
    </row>
    <row r="14803" spans="114:114">
      <c r="DJ14803" s="29"/>
    </row>
    <row r="14804" spans="114:114">
      <c r="DJ14804" s="29"/>
    </row>
    <row r="14805" spans="114:114">
      <c r="DJ14805" s="29"/>
    </row>
    <row r="14806" spans="114:114">
      <c r="DJ14806" s="29"/>
    </row>
    <row r="14807" spans="114:114">
      <c r="DJ14807" s="29"/>
    </row>
    <row r="14808" spans="114:114">
      <c r="DJ14808" s="29"/>
    </row>
    <row r="14809" spans="114:114">
      <c r="DJ14809" s="29"/>
    </row>
    <row r="14810" spans="114:114">
      <c r="DJ14810" s="29"/>
    </row>
    <row r="14811" spans="114:114">
      <c r="DJ14811" s="29"/>
    </row>
    <row r="14812" spans="114:114">
      <c r="DJ14812" s="29"/>
    </row>
    <row r="14813" spans="114:114">
      <c r="DJ14813" s="29"/>
    </row>
    <row r="14814" spans="114:114">
      <c r="DJ14814" s="29"/>
    </row>
    <row r="14815" spans="114:114">
      <c r="DJ14815" s="29"/>
    </row>
    <row r="14816" spans="114:114">
      <c r="DJ14816" s="29"/>
    </row>
    <row r="14817" spans="114:114">
      <c r="DJ14817" s="29"/>
    </row>
    <row r="14818" spans="114:114">
      <c r="DJ14818" s="29"/>
    </row>
    <row r="14819" spans="114:114">
      <c r="DJ14819" s="29"/>
    </row>
    <row r="14820" spans="114:114">
      <c r="DJ14820" s="29"/>
    </row>
    <row r="14821" spans="114:114">
      <c r="DJ14821" s="29"/>
    </row>
    <row r="14822" spans="114:114">
      <c r="DJ14822" s="29"/>
    </row>
    <row r="14823" spans="114:114">
      <c r="DJ14823" s="29"/>
    </row>
    <row r="14824" spans="114:114">
      <c r="DJ14824" s="29"/>
    </row>
    <row r="14825" spans="114:114">
      <c r="DJ14825" s="29"/>
    </row>
    <row r="14826" spans="114:114">
      <c r="DJ14826" s="29"/>
    </row>
    <row r="14827" spans="114:114">
      <c r="DJ14827" s="29"/>
    </row>
    <row r="14828" spans="114:114">
      <c r="DJ14828" s="29"/>
    </row>
    <row r="14829" spans="114:114">
      <c r="DJ14829" s="29"/>
    </row>
    <row r="14830" spans="114:114">
      <c r="DJ14830" s="29"/>
    </row>
    <row r="14831" spans="114:114">
      <c r="DJ14831" s="29"/>
    </row>
    <row r="14832" spans="114:114">
      <c r="DJ14832" s="29"/>
    </row>
    <row r="14833" spans="114:114">
      <c r="DJ14833" s="29"/>
    </row>
    <row r="14834" spans="114:114">
      <c r="DJ14834" s="29"/>
    </row>
    <row r="14835" spans="114:114">
      <c r="DJ14835" s="29"/>
    </row>
    <row r="14836" spans="114:114">
      <c r="DJ14836" s="29"/>
    </row>
    <row r="14837" spans="114:114">
      <c r="DJ14837" s="29"/>
    </row>
    <row r="14838" spans="114:114">
      <c r="DJ14838" s="29"/>
    </row>
    <row r="14839" spans="114:114">
      <c r="DJ14839" s="29"/>
    </row>
    <row r="14840" spans="114:114">
      <c r="DJ14840" s="29"/>
    </row>
    <row r="14841" spans="114:114">
      <c r="DJ14841" s="29"/>
    </row>
    <row r="14842" spans="114:114">
      <c r="DJ14842" s="29"/>
    </row>
    <row r="14843" spans="114:114">
      <c r="DJ14843" s="29"/>
    </row>
    <row r="14844" spans="114:114">
      <c r="DJ14844" s="29"/>
    </row>
    <row r="14845" spans="114:114">
      <c r="DJ14845" s="29"/>
    </row>
    <row r="14846" spans="114:114">
      <c r="DJ14846" s="29"/>
    </row>
    <row r="14847" spans="114:114">
      <c r="DJ14847" s="29"/>
    </row>
    <row r="14848" spans="114:114">
      <c r="DJ14848" s="29"/>
    </row>
    <row r="14849" spans="114:114">
      <c r="DJ14849" s="29"/>
    </row>
    <row r="14850" spans="114:114">
      <c r="DJ14850" s="29"/>
    </row>
    <row r="14851" spans="114:114">
      <c r="DJ14851" s="29"/>
    </row>
    <row r="14852" spans="114:114">
      <c r="DJ14852" s="29"/>
    </row>
    <row r="14853" spans="114:114">
      <c r="DJ14853" s="29"/>
    </row>
    <row r="14854" spans="114:114">
      <c r="DJ14854" s="29"/>
    </row>
    <row r="14855" spans="114:114">
      <c r="DJ14855" s="29"/>
    </row>
    <row r="14856" spans="114:114">
      <c r="DJ14856" s="29"/>
    </row>
    <row r="14857" spans="114:114">
      <c r="DJ14857" s="29"/>
    </row>
    <row r="14858" spans="114:114">
      <c r="DJ14858" s="29"/>
    </row>
    <row r="14859" spans="114:114">
      <c r="DJ14859" s="29"/>
    </row>
    <row r="14860" spans="114:114">
      <c r="DJ14860" s="29"/>
    </row>
    <row r="14861" spans="114:114">
      <c r="DJ14861" s="29"/>
    </row>
    <row r="14862" spans="114:114">
      <c r="DJ14862" s="29"/>
    </row>
    <row r="14863" spans="114:114">
      <c r="DJ14863" s="29"/>
    </row>
    <row r="14864" spans="114:114">
      <c r="DJ14864" s="29"/>
    </row>
    <row r="14865" spans="114:114">
      <c r="DJ14865" s="29"/>
    </row>
    <row r="14866" spans="114:114">
      <c r="DJ14866" s="29"/>
    </row>
    <row r="14867" spans="114:114">
      <c r="DJ14867" s="29"/>
    </row>
    <row r="14868" spans="114:114">
      <c r="DJ14868" s="29"/>
    </row>
    <row r="14869" spans="114:114">
      <c r="DJ14869" s="29"/>
    </row>
    <row r="14870" spans="114:114">
      <c r="DJ14870" s="29"/>
    </row>
    <row r="14871" spans="114:114">
      <c r="DJ14871" s="29"/>
    </row>
    <row r="14872" spans="114:114">
      <c r="DJ14872" s="29"/>
    </row>
    <row r="14873" spans="114:114">
      <c r="DJ14873" s="29"/>
    </row>
    <row r="14874" spans="114:114">
      <c r="DJ14874" s="29"/>
    </row>
    <row r="14875" spans="114:114">
      <c r="DJ14875" s="29"/>
    </row>
    <row r="14876" spans="114:114">
      <c r="DJ14876" s="29"/>
    </row>
    <row r="14877" spans="114:114">
      <c r="DJ14877" s="29"/>
    </row>
    <row r="14878" spans="114:114">
      <c r="DJ14878" s="29"/>
    </row>
    <row r="14879" spans="114:114">
      <c r="DJ14879" s="29"/>
    </row>
    <row r="14880" spans="114:114">
      <c r="DJ14880" s="29"/>
    </row>
    <row r="14881" spans="114:114">
      <c r="DJ14881" s="29"/>
    </row>
    <row r="14882" spans="114:114">
      <c r="DJ14882" s="29"/>
    </row>
    <row r="14883" spans="114:114">
      <c r="DJ14883" s="29"/>
    </row>
    <row r="14884" spans="114:114">
      <c r="DJ14884" s="29"/>
    </row>
    <row r="14885" spans="114:114">
      <c r="DJ14885" s="29"/>
    </row>
    <row r="14886" spans="114:114">
      <c r="DJ14886" s="29"/>
    </row>
    <row r="14887" spans="114:114">
      <c r="DJ14887" s="29"/>
    </row>
    <row r="14888" spans="114:114">
      <c r="DJ14888" s="29"/>
    </row>
    <row r="14889" spans="114:114">
      <c r="DJ14889" s="29"/>
    </row>
    <row r="14890" spans="114:114">
      <c r="DJ14890" s="29"/>
    </row>
    <row r="14891" spans="114:114">
      <c r="DJ14891" s="29"/>
    </row>
    <row r="14892" spans="114:114">
      <c r="DJ14892" s="29"/>
    </row>
    <row r="14893" spans="114:114">
      <c r="DJ14893" s="29"/>
    </row>
    <row r="14894" spans="114:114">
      <c r="DJ14894" s="29"/>
    </row>
    <row r="14895" spans="114:114">
      <c r="DJ14895" s="29"/>
    </row>
    <row r="14896" spans="114:114">
      <c r="DJ14896" s="29"/>
    </row>
    <row r="14897" spans="114:114">
      <c r="DJ14897" s="29"/>
    </row>
    <row r="14898" spans="114:114">
      <c r="DJ14898" s="29"/>
    </row>
    <row r="14899" spans="114:114">
      <c r="DJ14899" s="29"/>
    </row>
    <row r="14900" spans="114:114">
      <c r="DJ14900" s="29"/>
    </row>
    <row r="14901" spans="114:114">
      <c r="DJ14901" s="29"/>
    </row>
    <row r="14902" spans="114:114">
      <c r="DJ14902" s="29"/>
    </row>
    <row r="14903" spans="114:114">
      <c r="DJ14903" s="29"/>
    </row>
    <row r="14904" spans="114:114">
      <c r="DJ14904" s="29"/>
    </row>
    <row r="14905" spans="114:114">
      <c r="DJ14905" s="29"/>
    </row>
    <row r="14906" spans="114:114">
      <c r="DJ14906" s="29"/>
    </row>
    <row r="14907" spans="114:114">
      <c r="DJ14907" s="29"/>
    </row>
    <row r="14908" spans="114:114">
      <c r="DJ14908" s="29"/>
    </row>
    <row r="14909" spans="114:114">
      <c r="DJ14909" s="29"/>
    </row>
    <row r="14910" spans="114:114">
      <c r="DJ14910" s="29"/>
    </row>
    <row r="14911" spans="114:114">
      <c r="DJ14911" s="29"/>
    </row>
    <row r="14912" spans="114:114">
      <c r="DJ14912" s="29"/>
    </row>
    <row r="14913" spans="114:114">
      <c r="DJ14913" s="29"/>
    </row>
    <row r="14914" spans="114:114">
      <c r="DJ14914" s="29"/>
    </row>
    <row r="14915" spans="114:114">
      <c r="DJ14915" s="29"/>
    </row>
    <row r="14916" spans="114:114">
      <c r="DJ14916" s="29"/>
    </row>
    <row r="14917" spans="114:114">
      <c r="DJ14917" s="29"/>
    </row>
    <row r="14918" spans="114:114">
      <c r="DJ14918" s="29"/>
    </row>
    <row r="14919" spans="114:114">
      <c r="DJ14919" s="29"/>
    </row>
    <row r="14920" spans="114:114">
      <c r="DJ14920" s="29"/>
    </row>
    <row r="14921" spans="114:114">
      <c r="DJ14921" s="29"/>
    </row>
    <row r="14922" spans="114:114">
      <c r="DJ14922" s="29"/>
    </row>
    <row r="14923" spans="114:114">
      <c r="DJ14923" s="29"/>
    </row>
    <row r="14924" spans="114:114">
      <c r="DJ14924" s="29"/>
    </row>
    <row r="14925" spans="114:114">
      <c r="DJ14925" s="29"/>
    </row>
    <row r="14926" spans="114:114">
      <c r="DJ14926" s="29"/>
    </row>
    <row r="14927" spans="114:114">
      <c r="DJ14927" s="29"/>
    </row>
    <row r="14928" spans="114:114">
      <c r="DJ14928" s="29"/>
    </row>
    <row r="14929" spans="114:114">
      <c r="DJ14929" s="29"/>
    </row>
    <row r="14930" spans="114:114">
      <c r="DJ14930" s="29"/>
    </row>
    <row r="14931" spans="114:114">
      <c r="DJ14931" s="29"/>
    </row>
    <row r="14932" spans="114:114">
      <c r="DJ14932" s="29"/>
    </row>
    <row r="14933" spans="114:114">
      <c r="DJ14933" s="29"/>
    </row>
    <row r="14934" spans="114:114">
      <c r="DJ14934" s="29"/>
    </row>
    <row r="14935" spans="114:114">
      <c r="DJ14935" s="29"/>
    </row>
    <row r="14936" spans="114:114">
      <c r="DJ14936" s="29"/>
    </row>
    <row r="14937" spans="114:114">
      <c r="DJ14937" s="29"/>
    </row>
    <row r="14938" spans="114:114">
      <c r="DJ14938" s="29"/>
    </row>
    <row r="14939" spans="114:114">
      <c r="DJ14939" s="29"/>
    </row>
    <row r="14940" spans="114:114">
      <c r="DJ14940" s="29"/>
    </row>
    <row r="14941" spans="114:114">
      <c r="DJ14941" s="29"/>
    </row>
    <row r="14942" spans="114:114">
      <c r="DJ14942" s="29"/>
    </row>
    <row r="14943" spans="114:114">
      <c r="DJ14943" s="29"/>
    </row>
    <row r="14944" spans="114:114">
      <c r="DJ14944" s="29"/>
    </row>
    <row r="14945" spans="114:114">
      <c r="DJ14945" s="29"/>
    </row>
    <row r="14946" spans="114:114">
      <c r="DJ14946" s="29"/>
    </row>
    <row r="14947" spans="114:114">
      <c r="DJ14947" s="29"/>
    </row>
    <row r="14948" spans="114:114">
      <c r="DJ14948" s="29"/>
    </row>
    <row r="14949" spans="114:114">
      <c r="DJ14949" s="29"/>
    </row>
    <row r="14950" spans="114:114">
      <c r="DJ14950" s="29"/>
    </row>
    <row r="14951" spans="114:114">
      <c r="DJ14951" s="29"/>
    </row>
    <row r="14952" spans="114:114">
      <c r="DJ14952" s="29"/>
    </row>
    <row r="14953" spans="114:114">
      <c r="DJ14953" s="29"/>
    </row>
    <row r="14954" spans="114:114">
      <c r="DJ14954" s="29"/>
    </row>
    <row r="14955" spans="114:114">
      <c r="DJ14955" s="29"/>
    </row>
    <row r="14956" spans="114:114">
      <c r="DJ14956" s="29"/>
    </row>
    <row r="14957" spans="114:114">
      <c r="DJ14957" s="29"/>
    </row>
    <row r="14958" spans="114:114">
      <c r="DJ14958" s="29"/>
    </row>
    <row r="14959" spans="114:114">
      <c r="DJ14959" s="29"/>
    </row>
    <row r="14960" spans="114:114">
      <c r="DJ14960" s="29"/>
    </row>
    <row r="14961" spans="114:114">
      <c r="DJ14961" s="29"/>
    </row>
    <row r="14962" spans="114:114">
      <c r="DJ14962" s="29"/>
    </row>
    <row r="14963" spans="114:114">
      <c r="DJ14963" s="29"/>
    </row>
    <row r="14964" spans="114:114">
      <c r="DJ14964" s="29"/>
    </row>
    <row r="14965" spans="114:114">
      <c r="DJ14965" s="29"/>
    </row>
    <row r="14966" spans="114:114">
      <c r="DJ14966" s="29"/>
    </row>
    <row r="14967" spans="114:114">
      <c r="DJ14967" s="29"/>
    </row>
    <row r="14968" spans="114:114">
      <c r="DJ14968" s="29"/>
    </row>
    <row r="14969" spans="114:114">
      <c r="DJ14969" s="29"/>
    </row>
    <row r="14970" spans="114:114">
      <c r="DJ14970" s="29"/>
    </row>
    <row r="14971" spans="114:114">
      <c r="DJ14971" s="29"/>
    </row>
    <row r="14972" spans="114:114">
      <c r="DJ14972" s="29"/>
    </row>
    <row r="14973" spans="114:114">
      <c r="DJ14973" s="29"/>
    </row>
    <row r="14974" spans="114:114">
      <c r="DJ14974" s="29"/>
    </row>
    <row r="14975" spans="114:114">
      <c r="DJ14975" s="29"/>
    </row>
    <row r="14976" spans="114:114">
      <c r="DJ14976" s="29"/>
    </row>
    <row r="14977" spans="114:114">
      <c r="DJ14977" s="29"/>
    </row>
    <row r="14978" spans="114:114">
      <c r="DJ14978" s="29"/>
    </row>
    <row r="14979" spans="114:114">
      <c r="DJ14979" s="29"/>
    </row>
    <row r="14980" spans="114:114">
      <c r="DJ14980" s="29"/>
    </row>
    <row r="14981" spans="114:114">
      <c r="DJ14981" s="29"/>
    </row>
    <row r="14982" spans="114:114">
      <c r="DJ14982" s="29"/>
    </row>
    <row r="14983" spans="114:114">
      <c r="DJ14983" s="29"/>
    </row>
    <row r="14984" spans="114:114">
      <c r="DJ14984" s="29"/>
    </row>
    <row r="14985" spans="114:114">
      <c r="DJ14985" s="29"/>
    </row>
    <row r="14986" spans="114:114">
      <c r="DJ14986" s="29"/>
    </row>
    <row r="14987" spans="114:114">
      <c r="DJ14987" s="29"/>
    </row>
    <row r="14988" spans="114:114">
      <c r="DJ14988" s="29"/>
    </row>
    <row r="14989" spans="114:114">
      <c r="DJ14989" s="29"/>
    </row>
    <row r="14990" spans="114:114">
      <c r="DJ14990" s="29"/>
    </row>
    <row r="14991" spans="114:114">
      <c r="DJ14991" s="29"/>
    </row>
    <row r="14992" spans="114:114">
      <c r="DJ14992" s="29"/>
    </row>
    <row r="14993" spans="114:114">
      <c r="DJ14993" s="29"/>
    </row>
    <row r="14994" spans="114:114">
      <c r="DJ14994" s="29"/>
    </row>
    <row r="14995" spans="114:114">
      <c r="DJ14995" s="29"/>
    </row>
    <row r="14996" spans="114:114">
      <c r="DJ14996" s="29"/>
    </row>
    <row r="14997" spans="114:114">
      <c r="DJ14997" s="29"/>
    </row>
    <row r="14998" spans="114:114">
      <c r="DJ14998" s="29"/>
    </row>
    <row r="14999" spans="114:114">
      <c r="DJ14999" s="29"/>
    </row>
    <row r="15000" spans="114:114">
      <c r="DJ15000" s="29"/>
    </row>
    <row r="15001" spans="114:114">
      <c r="DJ15001" s="29"/>
    </row>
    <row r="15002" spans="114:114">
      <c r="DJ15002" s="29"/>
    </row>
    <row r="15003" spans="114:114">
      <c r="DJ15003" s="29"/>
    </row>
    <row r="15004" spans="114:114">
      <c r="DJ15004" s="29"/>
    </row>
    <row r="15005" spans="114:114">
      <c r="DJ15005" s="29"/>
    </row>
  </sheetData>
  <mergeCells count="140">
    <mergeCell ref="C2:BD2"/>
    <mergeCell ref="F4:I4"/>
    <mergeCell ref="C16:BD16"/>
    <mergeCell ref="C77:BD77"/>
    <mergeCell ref="C4:E4"/>
    <mergeCell ref="AK11:AP11"/>
    <mergeCell ref="AK12:AP12"/>
    <mergeCell ref="AK13:AP13"/>
    <mergeCell ref="AK14:AP14"/>
    <mergeCell ref="AY6:BD6"/>
    <mergeCell ref="AY7:BD7"/>
    <mergeCell ref="AY8:BD8"/>
    <mergeCell ref="AY9:BD9"/>
    <mergeCell ref="AY10:BD10"/>
    <mergeCell ref="AY11:BD11"/>
    <mergeCell ref="AY12:BD12"/>
    <mergeCell ref="AY13:BD13"/>
    <mergeCell ref="AY14:BD14"/>
    <mergeCell ref="AK6:AP6"/>
    <mergeCell ref="AK7:AP7"/>
    <mergeCell ref="AK8:AP8"/>
    <mergeCell ref="AK9:AP9"/>
    <mergeCell ref="AK10:AP10"/>
    <mergeCell ref="J11:O11"/>
    <mergeCell ref="J12:O12"/>
    <mergeCell ref="J13:O13"/>
    <mergeCell ref="J14:O14"/>
    <mergeCell ref="W6:AB6"/>
    <mergeCell ref="W7:AB7"/>
    <mergeCell ref="W8:AB8"/>
    <mergeCell ref="W9:AB9"/>
    <mergeCell ref="W10:AB10"/>
    <mergeCell ref="W11:AB11"/>
    <mergeCell ref="W12:AB12"/>
    <mergeCell ref="W13:AB13"/>
    <mergeCell ref="W14:AB14"/>
    <mergeCell ref="J6:O6"/>
    <mergeCell ref="J7:O7"/>
    <mergeCell ref="J8:O8"/>
    <mergeCell ref="J9:O9"/>
    <mergeCell ref="J10:O10"/>
    <mergeCell ref="AP84:AT84"/>
    <mergeCell ref="AU86:AY86"/>
    <mergeCell ref="AF86:AJ86"/>
    <mergeCell ref="AK86:AO86"/>
    <mergeCell ref="AP86:AT86"/>
    <mergeCell ref="AP87:AT87"/>
    <mergeCell ref="AU87:AY87"/>
    <mergeCell ref="AZ87:BD87"/>
    <mergeCell ref="L87:P87"/>
    <mergeCell ref="Q87:U87"/>
    <mergeCell ref="V87:Z87"/>
    <mergeCell ref="AA87:AE87"/>
    <mergeCell ref="AF87:AJ87"/>
    <mergeCell ref="AK87:AO87"/>
    <mergeCell ref="AA82:AE82"/>
    <mergeCell ref="AF82:AJ82"/>
    <mergeCell ref="AK82:AO82"/>
    <mergeCell ref="AP82:AT82"/>
    <mergeCell ref="AU82:AY82"/>
    <mergeCell ref="AZ86:BD86"/>
    <mergeCell ref="AU84:AY84"/>
    <mergeCell ref="AZ84:BD84"/>
    <mergeCell ref="L85:P85"/>
    <mergeCell ref="Q85:U85"/>
    <mergeCell ref="V85:Z85"/>
    <mergeCell ref="AA85:AE85"/>
    <mergeCell ref="AF85:AJ85"/>
    <mergeCell ref="AK85:AO85"/>
    <mergeCell ref="AP85:AT85"/>
    <mergeCell ref="AU85:AY85"/>
    <mergeCell ref="AZ85:BD85"/>
    <mergeCell ref="L86:P86"/>
    <mergeCell ref="Q86:U86"/>
    <mergeCell ref="V86:Z86"/>
    <mergeCell ref="AA86:AE86"/>
    <mergeCell ref="AA84:AE84"/>
    <mergeCell ref="AF84:AJ84"/>
    <mergeCell ref="AK84:AO84"/>
    <mergeCell ref="AU81:AY81"/>
    <mergeCell ref="AZ81:BD81"/>
    <mergeCell ref="AF80:AJ80"/>
    <mergeCell ref="AK80:AO80"/>
    <mergeCell ref="AP80:AT80"/>
    <mergeCell ref="AU80:AY80"/>
    <mergeCell ref="AZ80:BD80"/>
    <mergeCell ref="AZ82:BD82"/>
    <mergeCell ref="AF83:AJ83"/>
    <mergeCell ref="AK83:AO83"/>
    <mergeCell ref="AP83:AT83"/>
    <mergeCell ref="AU83:AY83"/>
    <mergeCell ref="AZ83:BD83"/>
    <mergeCell ref="AF79:AJ79"/>
    <mergeCell ref="AK79:AO79"/>
    <mergeCell ref="AP79:AT79"/>
    <mergeCell ref="AU79:AY79"/>
    <mergeCell ref="AZ79:BD79"/>
    <mergeCell ref="AA79:AE79"/>
    <mergeCell ref="L83:P83"/>
    <mergeCell ref="Q83:U83"/>
    <mergeCell ref="V83:Z83"/>
    <mergeCell ref="AA83:AE83"/>
    <mergeCell ref="L80:P80"/>
    <mergeCell ref="Q80:U80"/>
    <mergeCell ref="V80:Z80"/>
    <mergeCell ref="AA80:AE80"/>
    <mergeCell ref="L81:P81"/>
    <mergeCell ref="Q81:U81"/>
    <mergeCell ref="V81:Z81"/>
    <mergeCell ref="AA81:AE81"/>
    <mergeCell ref="L82:P82"/>
    <mergeCell ref="Q82:U82"/>
    <mergeCell ref="V82:Z82"/>
    <mergeCell ref="AF81:AJ81"/>
    <mergeCell ref="AK81:AO81"/>
    <mergeCell ref="AP81:AT81"/>
    <mergeCell ref="G86:K86"/>
    <mergeCell ref="G87:K87"/>
    <mergeCell ref="L79:P79"/>
    <mergeCell ref="Q79:U79"/>
    <mergeCell ref="V79:Z79"/>
    <mergeCell ref="L84:P84"/>
    <mergeCell ref="Q84:U84"/>
    <mergeCell ref="V84:Z84"/>
    <mergeCell ref="C85:F85"/>
    <mergeCell ref="C86:F86"/>
    <mergeCell ref="C87:F87"/>
    <mergeCell ref="G80:K80"/>
    <mergeCell ref="G79:K79"/>
    <mergeCell ref="G81:K81"/>
    <mergeCell ref="G82:K82"/>
    <mergeCell ref="G83:K83"/>
    <mergeCell ref="G84:K84"/>
    <mergeCell ref="G85:K85"/>
    <mergeCell ref="C80:F80"/>
    <mergeCell ref="C79:F79"/>
    <mergeCell ref="C81:F81"/>
    <mergeCell ref="C82:F82"/>
    <mergeCell ref="C83:F83"/>
    <mergeCell ref="C84:F84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5"/>
  <sheetViews>
    <sheetView workbookViewId="0">
      <selection activeCell="F8" sqref="F8"/>
    </sheetView>
  </sheetViews>
  <sheetFormatPr defaultRowHeight="13.5"/>
  <cols>
    <col min="1" max="1" width="19" bestFit="1" customWidth="1"/>
    <col min="2" max="3" width="5.42578125" bestFit="1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 ht="16.5">
      <c r="A2" s="42" t="s">
        <v>0</v>
      </c>
      <c r="B2" s="42" t="s">
        <v>72</v>
      </c>
      <c r="C2" s="42" t="s">
        <v>260</v>
      </c>
    </row>
    <row r="3" spans="1:3" ht="16.5">
      <c r="A3" s="42" t="s">
        <v>261</v>
      </c>
      <c r="B3" s="42" t="s">
        <v>72</v>
      </c>
      <c r="C3" s="42" t="s">
        <v>262</v>
      </c>
    </row>
    <row r="4" spans="1:3" ht="16.5">
      <c r="A4" s="42" t="s">
        <v>263</v>
      </c>
      <c r="B4" s="42" t="s">
        <v>72</v>
      </c>
      <c r="C4" s="42" t="s">
        <v>17</v>
      </c>
    </row>
    <row r="5" spans="1:3" ht="16.5">
      <c r="A5" s="42" t="s">
        <v>264</v>
      </c>
      <c r="B5" s="42" t="s">
        <v>72</v>
      </c>
      <c r="C5" s="42" t="s">
        <v>20</v>
      </c>
    </row>
    <row r="6" spans="1:3" ht="16.5">
      <c r="A6" s="42" t="s">
        <v>265</v>
      </c>
      <c r="B6" s="42" t="s">
        <v>72</v>
      </c>
      <c r="C6" s="42" t="s">
        <v>23</v>
      </c>
    </row>
    <row r="7" spans="1:3" ht="16.5">
      <c r="A7" s="42" t="s">
        <v>266</v>
      </c>
      <c r="B7" s="42" t="s">
        <v>72</v>
      </c>
      <c r="C7" s="42" t="s">
        <v>21</v>
      </c>
    </row>
    <row r="8" spans="1:3" ht="16.5">
      <c r="A8" s="42" t="s">
        <v>267</v>
      </c>
      <c r="B8" s="42" t="s">
        <v>72</v>
      </c>
      <c r="C8" s="42" t="s">
        <v>22</v>
      </c>
    </row>
    <row r="9" spans="1:3" ht="16.5">
      <c r="A9" s="42" t="s">
        <v>268</v>
      </c>
      <c r="B9" s="42" t="s">
        <v>72</v>
      </c>
      <c r="C9" s="42" t="s">
        <v>269</v>
      </c>
    </row>
    <row r="10" spans="1:3" ht="16.5">
      <c r="A10" s="42" t="s">
        <v>270</v>
      </c>
      <c r="B10" s="42" t="s">
        <v>72</v>
      </c>
      <c r="C10" s="42" t="s">
        <v>271</v>
      </c>
    </row>
    <row r="11" spans="1:3" ht="16.5">
      <c r="A11" s="42" t="s">
        <v>272</v>
      </c>
      <c r="B11" s="42" t="s">
        <v>72</v>
      </c>
      <c r="C11" s="42" t="s">
        <v>18</v>
      </c>
    </row>
    <row r="12" spans="1:3" ht="16.5">
      <c r="A12" s="42" t="s">
        <v>273</v>
      </c>
      <c r="B12" s="42" t="s">
        <v>72</v>
      </c>
      <c r="C12" s="42" t="s">
        <v>15</v>
      </c>
    </row>
    <row r="13" spans="1:3" ht="16.5">
      <c r="A13" s="42" t="s">
        <v>274</v>
      </c>
      <c r="B13" s="42" t="s">
        <v>72</v>
      </c>
      <c r="C13" s="42" t="s">
        <v>24</v>
      </c>
    </row>
    <row r="14" spans="1:3" ht="16.5">
      <c r="A14" s="42" t="s">
        <v>275</v>
      </c>
      <c r="B14" s="42" t="s">
        <v>72</v>
      </c>
      <c r="C14" s="42" t="s">
        <v>16</v>
      </c>
    </row>
    <row r="15" spans="1:3" ht="16.5">
      <c r="A15" s="42" t="s">
        <v>276</v>
      </c>
      <c r="B15" s="42" t="s">
        <v>72</v>
      </c>
      <c r="C15" s="42" t="s">
        <v>25</v>
      </c>
    </row>
    <row r="16" spans="1:3" ht="16.5">
      <c r="A16" s="42" t="s">
        <v>277</v>
      </c>
      <c r="B16" s="42" t="s">
        <v>72</v>
      </c>
      <c r="C16" s="42" t="s">
        <v>10</v>
      </c>
    </row>
    <row r="17" spans="1:3" ht="16.5">
      <c r="A17" s="42" t="s">
        <v>278</v>
      </c>
      <c r="B17" s="42" t="s">
        <v>72</v>
      </c>
      <c r="C17" s="42" t="s">
        <v>11</v>
      </c>
    </row>
    <row r="18" spans="1:3" ht="16.5">
      <c r="A18" s="42" t="s">
        <v>279</v>
      </c>
      <c r="B18" s="42" t="s">
        <v>72</v>
      </c>
      <c r="C18" s="42" t="s">
        <v>9</v>
      </c>
    </row>
    <row r="19" spans="1:3" ht="16.5">
      <c r="A19" s="42" t="s">
        <v>280</v>
      </c>
      <c r="B19" s="42" t="s">
        <v>72</v>
      </c>
      <c r="C19" s="42" t="s">
        <v>5</v>
      </c>
    </row>
    <row r="20" spans="1:3" ht="16.5">
      <c r="A20" s="42" t="s">
        <v>281</v>
      </c>
      <c r="B20" s="42" t="s">
        <v>72</v>
      </c>
      <c r="C20" s="42" t="s">
        <v>14</v>
      </c>
    </row>
    <row r="21" spans="1:3" ht="16.5">
      <c r="A21" s="42" t="s">
        <v>282</v>
      </c>
      <c r="B21" s="42" t="s">
        <v>72</v>
      </c>
      <c r="C21" s="42" t="s">
        <v>4</v>
      </c>
    </row>
    <row r="22" spans="1:3" ht="16.5">
      <c r="A22" s="42" t="s">
        <v>283</v>
      </c>
      <c r="B22" s="42" t="s">
        <v>72</v>
      </c>
      <c r="C22" s="42" t="s">
        <v>13</v>
      </c>
    </row>
    <row r="23" spans="1:3" ht="16.5">
      <c r="A23" s="42" t="s">
        <v>284</v>
      </c>
      <c r="B23" s="42" t="s">
        <v>72</v>
      </c>
      <c r="C23" s="42" t="s">
        <v>12</v>
      </c>
    </row>
    <row r="24" spans="1:3" ht="16.5">
      <c r="A24" s="42" t="s">
        <v>285</v>
      </c>
      <c r="B24" s="42" t="s">
        <v>72</v>
      </c>
      <c r="C24" s="42" t="s">
        <v>8</v>
      </c>
    </row>
    <row r="25" spans="1:3" ht="16.5">
      <c r="A25" s="42" t="s">
        <v>286</v>
      </c>
      <c r="B25" s="42" t="s">
        <v>72</v>
      </c>
      <c r="C25" s="42" t="s">
        <v>6</v>
      </c>
    </row>
    <row r="26" spans="1:3" ht="16.5">
      <c r="A26" s="42" t="s">
        <v>287</v>
      </c>
      <c r="B26" s="42" t="s">
        <v>72</v>
      </c>
      <c r="C26" s="42" t="s">
        <v>7</v>
      </c>
    </row>
    <row r="27" spans="1:3" ht="16.5">
      <c r="A27" s="42" t="s">
        <v>288</v>
      </c>
      <c r="B27" s="42" t="s">
        <v>72</v>
      </c>
      <c r="C27" s="42" t="s">
        <v>19</v>
      </c>
    </row>
    <row r="28" spans="1:3" ht="16.5">
      <c r="A28" s="42" t="s">
        <v>289</v>
      </c>
      <c r="B28" s="42" t="s">
        <v>72</v>
      </c>
      <c r="C28" s="42" t="s">
        <v>26</v>
      </c>
    </row>
    <row r="29" spans="1:3" ht="16.5">
      <c r="A29" s="42" t="s">
        <v>290</v>
      </c>
      <c r="B29" s="42" t="s">
        <v>72</v>
      </c>
      <c r="C29" s="42" t="s">
        <v>27</v>
      </c>
    </row>
    <row r="30" spans="1:3" ht="16.5">
      <c r="A30" s="42" t="s">
        <v>291</v>
      </c>
      <c r="B30" s="42" t="s">
        <v>72</v>
      </c>
      <c r="C30" s="42" t="s">
        <v>28</v>
      </c>
    </row>
    <row r="31" spans="1:3" ht="16.5">
      <c r="A31" s="42" t="s">
        <v>73</v>
      </c>
      <c r="B31" s="42" t="s">
        <v>72</v>
      </c>
      <c r="C31" s="42" t="s">
        <v>29</v>
      </c>
    </row>
    <row r="32" spans="1:3" ht="16.5">
      <c r="A32" s="42" t="s">
        <v>292</v>
      </c>
      <c r="B32" s="42" t="s">
        <v>72</v>
      </c>
      <c r="C32" s="42" t="s">
        <v>293</v>
      </c>
    </row>
    <row r="33" spans="1:3" ht="16.5">
      <c r="A33" s="42" t="s">
        <v>71</v>
      </c>
      <c r="B33" s="42" t="s">
        <v>72</v>
      </c>
      <c r="C33" s="42" t="s">
        <v>30</v>
      </c>
    </row>
    <row r="34" spans="1:3" ht="16.5">
      <c r="A34" s="42" t="s">
        <v>74</v>
      </c>
      <c r="B34" s="42" t="s">
        <v>72</v>
      </c>
      <c r="C34" s="42" t="s">
        <v>31</v>
      </c>
    </row>
    <row r="35" spans="1:3" ht="16.5">
      <c r="A35" s="42" t="s">
        <v>75</v>
      </c>
      <c r="B35" s="42" t="s">
        <v>72</v>
      </c>
      <c r="C35" s="42" t="s">
        <v>32</v>
      </c>
    </row>
    <row r="36" spans="1:3" ht="16.5">
      <c r="A36" s="42" t="s">
        <v>76</v>
      </c>
      <c r="B36" s="42" t="s">
        <v>72</v>
      </c>
      <c r="C36" s="42" t="s">
        <v>33</v>
      </c>
    </row>
    <row r="37" spans="1:3" ht="16.5">
      <c r="A37" s="42" t="s">
        <v>77</v>
      </c>
      <c r="B37" s="42" t="s">
        <v>72</v>
      </c>
      <c r="C37" s="42" t="s">
        <v>34</v>
      </c>
    </row>
    <row r="38" spans="1:3" ht="16.5">
      <c r="A38" s="42" t="s">
        <v>294</v>
      </c>
      <c r="B38" s="42" t="s">
        <v>72</v>
      </c>
      <c r="C38" s="42" t="s">
        <v>35</v>
      </c>
    </row>
    <row r="39" spans="1:3" ht="16.5">
      <c r="A39" s="42" t="s">
        <v>78</v>
      </c>
      <c r="B39" s="42" t="s">
        <v>72</v>
      </c>
      <c r="C39" s="42" t="s">
        <v>36</v>
      </c>
    </row>
    <row r="40" spans="1:3" ht="16.5">
      <c r="A40" s="42" t="s">
        <v>79</v>
      </c>
      <c r="B40" s="42" t="s">
        <v>72</v>
      </c>
      <c r="C40" s="42" t="s">
        <v>37</v>
      </c>
    </row>
    <row r="41" spans="1:3" ht="16.5">
      <c r="A41" s="42" t="s">
        <v>80</v>
      </c>
      <c r="B41" s="42" t="s">
        <v>72</v>
      </c>
      <c r="C41" s="42" t="s">
        <v>38</v>
      </c>
    </row>
    <row r="42" spans="1:3" ht="16.5">
      <c r="A42" s="42" t="s">
        <v>295</v>
      </c>
      <c r="B42" s="42" t="s">
        <v>72</v>
      </c>
      <c r="C42" s="42" t="s">
        <v>296</v>
      </c>
    </row>
    <row r="43" spans="1:3" ht="16.5">
      <c r="A43" s="42" t="s">
        <v>81</v>
      </c>
      <c r="B43" s="42" t="s">
        <v>72</v>
      </c>
      <c r="C43" s="42" t="s">
        <v>39</v>
      </c>
    </row>
    <row r="44" spans="1:3" ht="16.5">
      <c r="A44" s="42" t="s">
        <v>82</v>
      </c>
      <c r="B44" s="42" t="s">
        <v>72</v>
      </c>
      <c r="C44" s="42" t="s">
        <v>40</v>
      </c>
    </row>
    <row r="45" spans="1:3" ht="16.5">
      <c r="A45" s="42" t="s">
        <v>297</v>
      </c>
      <c r="B45" s="42" t="s">
        <v>72</v>
      </c>
      <c r="C45" s="42" t="s">
        <v>41</v>
      </c>
    </row>
    <row r="46" spans="1:3" ht="16.5">
      <c r="A46" s="42" t="s">
        <v>83</v>
      </c>
      <c r="B46" s="42" t="s">
        <v>72</v>
      </c>
      <c r="C46" s="42" t="s">
        <v>42</v>
      </c>
    </row>
    <row r="47" spans="1:3" ht="16.5">
      <c r="A47" s="42" t="s">
        <v>298</v>
      </c>
      <c r="B47" s="42" t="s">
        <v>72</v>
      </c>
      <c r="C47" s="42" t="s">
        <v>43</v>
      </c>
    </row>
    <row r="48" spans="1:3" ht="16.5">
      <c r="A48" s="42" t="s">
        <v>84</v>
      </c>
      <c r="B48" s="42" t="s">
        <v>72</v>
      </c>
      <c r="C48" s="42" t="s">
        <v>44</v>
      </c>
    </row>
    <row r="49" spans="1:3" ht="16.5">
      <c r="A49" s="42" t="s">
        <v>299</v>
      </c>
      <c r="B49" s="42" t="s">
        <v>72</v>
      </c>
      <c r="C49" s="42" t="s">
        <v>45</v>
      </c>
    </row>
    <row r="50" spans="1:3" ht="16.5">
      <c r="A50" s="42" t="s">
        <v>300</v>
      </c>
      <c r="B50" s="42" t="s">
        <v>72</v>
      </c>
      <c r="C50" s="42" t="s">
        <v>301</v>
      </c>
    </row>
    <row r="51" spans="1:3" ht="16.5">
      <c r="A51" s="42" t="s">
        <v>302</v>
      </c>
      <c r="B51" s="42" t="s">
        <v>72</v>
      </c>
      <c r="C51" s="42" t="s">
        <v>303</v>
      </c>
    </row>
    <row r="52" spans="1:3" ht="16.5">
      <c r="A52" s="42" t="s">
        <v>304</v>
      </c>
      <c r="B52" s="42" t="s">
        <v>72</v>
      </c>
      <c r="C52" s="42" t="s">
        <v>305</v>
      </c>
    </row>
    <row r="53" spans="1:3" ht="16.5">
      <c r="A53" s="42" t="s">
        <v>306</v>
      </c>
      <c r="B53" s="42" t="s">
        <v>72</v>
      </c>
      <c r="C53" s="42" t="s">
        <v>307</v>
      </c>
    </row>
    <row r="54" spans="1:3" ht="16.5">
      <c r="A54" s="42" t="s">
        <v>308</v>
      </c>
      <c r="B54" s="42" t="s">
        <v>72</v>
      </c>
      <c r="C54" s="42" t="s">
        <v>309</v>
      </c>
    </row>
    <row r="55" spans="1:3" ht="16.5">
      <c r="A55" s="42" t="s">
        <v>310</v>
      </c>
      <c r="B55" s="42" t="s">
        <v>72</v>
      </c>
      <c r="C55" s="42" t="s">
        <v>311</v>
      </c>
    </row>
    <row r="56" spans="1:3" ht="16.5">
      <c r="A56" s="42" t="s">
        <v>312</v>
      </c>
      <c r="B56" s="42" t="s">
        <v>72</v>
      </c>
      <c r="C56" s="42" t="s">
        <v>313</v>
      </c>
    </row>
    <row r="57" spans="1:3" ht="16.5">
      <c r="A57" s="42" t="s">
        <v>314</v>
      </c>
      <c r="B57" s="42" t="s">
        <v>72</v>
      </c>
      <c r="C57" s="42" t="s">
        <v>315</v>
      </c>
    </row>
    <row r="58" spans="1:3" ht="16.5">
      <c r="A58" s="42" t="s">
        <v>316</v>
      </c>
      <c r="B58" s="42" t="s">
        <v>72</v>
      </c>
      <c r="C58" s="42" t="s">
        <v>317</v>
      </c>
    </row>
    <row r="59" spans="1:3" ht="16.5">
      <c r="A59" s="42" t="s">
        <v>318</v>
      </c>
      <c r="B59" s="42" t="s">
        <v>72</v>
      </c>
      <c r="C59" s="42" t="s">
        <v>319</v>
      </c>
    </row>
    <row r="60" spans="1:3" ht="16.5">
      <c r="A60" s="42" t="s">
        <v>320</v>
      </c>
      <c r="B60" s="42" t="s">
        <v>72</v>
      </c>
      <c r="C60" s="42" t="s">
        <v>321</v>
      </c>
    </row>
    <row r="61" spans="1:3" ht="16.5">
      <c r="A61" s="42" t="s">
        <v>322</v>
      </c>
      <c r="B61" s="42" t="s">
        <v>72</v>
      </c>
      <c r="C61" s="42" t="s">
        <v>323</v>
      </c>
    </row>
    <row r="62" spans="1:3" ht="16.5">
      <c r="A62" s="42" t="s">
        <v>324</v>
      </c>
      <c r="B62" s="42" t="s">
        <v>72</v>
      </c>
      <c r="C62" s="42" t="s">
        <v>325</v>
      </c>
    </row>
    <row r="63" spans="1:3" ht="16.5">
      <c r="A63" s="42" t="s">
        <v>326</v>
      </c>
      <c r="B63" s="42" t="s">
        <v>72</v>
      </c>
      <c r="C63" s="42" t="s">
        <v>327</v>
      </c>
    </row>
    <row r="64" spans="1:3" ht="16.5">
      <c r="A64" s="42" t="s">
        <v>328</v>
      </c>
      <c r="B64" s="42" t="s">
        <v>72</v>
      </c>
      <c r="C64" s="42" t="s">
        <v>329</v>
      </c>
    </row>
    <row r="65" spans="1:3" ht="16.5">
      <c r="A65" s="42" t="s">
        <v>330</v>
      </c>
      <c r="B65" s="42" t="s">
        <v>72</v>
      </c>
      <c r="C65" s="42" t="s">
        <v>331</v>
      </c>
    </row>
    <row r="66" spans="1:3" ht="16.5">
      <c r="A66" s="42" t="s">
        <v>332</v>
      </c>
      <c r="B66" s="42" t="s">
        <v>72</v>
      </c>
      <c r="C66" s="42" t="s">
        <v>333</v>
      </c>
    </row>
    <row r="67" spans="1:3" ht="16.5">
      <c r="A67" s="42" t="s">
        <v>334</v>
      </c>
      <c r="B67" s="42" t="s">
        <v>72</v>
      </c>
      <c r="C67" s="42" t="s">
        <v>335</v>
      </c>
    </row>
    <row r="68" spans="1:3" ht="16.5">
      <c r="A68" s="42" t="s">
        <v>336</v>
      </c>
      <c r="B68" s="42" t="s">
        <v>72</v>
      </c>
      <c r="C68" s="42" t="s">
        <v>337</v>
      </c>
    </row>
    <row r="69" spans="1:3" ht="16.5">
      <c r="A69" s="42" t="s">
        <v>338</v>
      </c>
      <c r="B69" s="42" t="s">
        <v>72</v>
      </c>
      <c r="C69" s="42" t="s">
        <v>339</v>
      </c>
    </row>
    <row r="70" spans="1:3" ht="16.5">
      <c r="A70" s="42" t="s">
        <v>340</v>
      </c>
      <c r="B70" s="42" t="s">
        <v>72</v>
      </c>
      <c r="C70" s="42" t="s">
        <v>341</v>
      </c>
    </row>
    <row r="71" spans="1:3" ht="16.5">
      <c r="A71" s="42" t="s">
        <v>85</v>
      </c>
      <c r="B71" s="42" t="s">
        <v>72</v>
      </c>
      <c r="C71" s="42" t="s">
        <v>46</v>
      </c>
    </row>
    <row r="72" spans="1:3" ht="16.5">
      <c r="A72" s="42" t="s">
        <v>342</v>
      </c>
      <c r="B72" s="42" t="s">
        <v>72</v>
      </c>
      <c r="C72" s="42" t="s">
        <v>343</v>
      </c>
    </row>
    <row r="73" spans="1:3" ht="16.5">
      <c r="A73" s="42" t="s">
        <v>344</v>
      </c>
      <c r="B73" s="42" t="s">
        <v>72</v>
      </c>
      <c r="C73" s="42" t="s">
        <v>345</v>
      </c>
    </row>
    <row r="74" spans="1:3" ht="16.5">
      <c r="A74" s="42" t="s">
        <v>346</v>
      </c>
      <c r="B74" s="42" t="s">
        <v>72</v>
      </c>
      <c r="C74" s="42" t="s">
        <v>53</v>
      </c>
    </row>
    <row r="75" spans="1:3" ht="16.5">
      <c r="A75" s="42" t="s">
        <v>347</v>
      </c>
      <c r="B75" s="42" t="s">
        <v>72</v>
      </c>
      <c r="C75" s="42" t="s">
        <v>56</v>
      </c>
    </row>
    <row r="76" spans="1:3" ht="16.5">
      <c r="A76" s="42" t="s">
        <v>348</v>
      </c>
      <c r="B76" s="42" t="s">
        <v>72</v>
      </c>
      <c r="C76" s="42" t="s">
        <v>349</v>
      </c>
    </row>
    <row r="77" spans="1:3" ht="16.5">
      <c r="A77" s="42" t="s">
        <v>350</v>
      </c>
      <c r="B77" s="42" t="s">
        <v>72</v>
      </c>
      <c r="C77" s="42" t="s">
        <v>351</v>
      </c>
    </row>
    <row r="78" spans="1:3" ht="16.5">
      <c r="A78" s="42" t="s">
        <v>352</v>
      </c>
      <c r="B78" s="42" t="s">
        <v>72</v>
      </c>
      <c r="C78" s="42" t="s">
        <v>353</v>
      </c>
    </row>
    <row r="79" spans="1:3" ht="16.5">
      <c r="A79" s="42" t="s">
        <v>354</v>
      </c>
      <c r="B79" s="42" t="s">
        <v>72</v>
      </c>
      <c r="C79" s="42" t="s">
        <v>355</v>
      </c>
    </row>
    <row r="80" spans="1:3" ht="16.5">
      <c r="A80" s="42" t="s">
        <v>356</v>
      </c>
      <c r="B80" s="42" t="s">
        <v>72</v>
      </c>
      <c r="C80" s="42" t="s">
        <v>57</v>
      </c>
    </row>
    <row r="81" spans="1:3" ht="16.5">
      <c r="A81" s="42" t="s">
        <v>357</v>
      </c>
      <c r="B81" s="42" t="s">
        <v>72</v>
      </c>
      <c r="C81" s="42" t="s">
        <v>55</v>
      </c>
    </row>
    <row r="82" spans="1:3" ht="16.5">
      <c r="A82" s="42" t="s">
        <v>358</v>
      </c>
      <c r="B82" s="42" t="s">
        <v>72</v>
      </c>
      <c r="C82" s="42" t="s">
        <v>54</v>
      </c>
    </row>
    <row r="83" spans="1:3" ht="16.5">
      <c r="A83" s="42" t="s">
        <v>359</v>
      </c>
      <c r="B83" s="42" t="s">
        <v>72</v>
      </c>
      <c r="C83" s="42" t="s">
        <v>51</v>
      </c>
    </row>
    <row r="84" spans="1:3" ht="16.5">
      <c r="A84" s="42" t="s">
        <v>360</v>
      </c>
      <c r="B84" s="42" t="s">
        <v>72</v>
      </c>
      <c r="C84" s="42" t="s">
        <v>361</v>
      </c>
    </row>
    <row r="85" spans="1:3" ht="16.5">
      <c r="A85" s="42" t="s">
        <v>362</v>
      </c>
      <c r="B85" s="42" t="s">
        <v>72</v>
      </c>
      <c r="C85" s="42" t="s">
        <v>52</v>
      </c>
    </row>
    <row r="86" spans="1:3" ht="16.5">
      <c r="A86" s="42" t="s">
        <v>363</v>
      </c>
      <c r="B86" s="42" t="s">
        <v>72</v>
      </c>
      <c r="C86" s="42" t="s">
        <v>65</v>
      </c>
    </row>
    <row r="87" spans="1:3" ht="16.5">
      <c r="A87" s="42" t="s">
        <v>364</v>
      </c>
      <c r="B87" s="42" t="s">
        <v>72</v>
      </c>
      <c r="C87" s="42" t="s">
        <v>66</v>
      </c>
    </row>
    <row r="88" spans="1:3" ht="16.5">
      <c r="A88" s="42" t="s">
        <v>365</v>
      </c>
      <c r="B88" s="42" t="s">
        <v>72</v>
      </c>
      <c r="C88" s="42" t="s">
        <v>70</v>
      </c>
    </row>
    <row r="89" spans="1:3" ht="16.5">
      <c r="A89" s="42" t="s">
        <v>366</v>
      </c>
      <c r="B89" s="42" t="s">
        <v>72</v>
      </c>
      <c r="C89" s="42" t="s">
        <v>64</v>
      </c>
    </row>
    <row r="90" spans="1:3" ht="16.5">
      <c r="A90" s="42" t="s">
        <v>367</v>
      </c>
      <c r="B90" s="42" t="s">
        <v>72</v>
      </c>
      <c r="C90" s="42" t="s">
        <v>59</v>
      </c>
    </row>
    <row r="91" spans="1:3" ht="16.5">
      <c r="A91" s="42" t="s">
        <v>368</v>
      </c>
      <c r="B91" s="42" t="s">
        <v>72</v>
      </c>
      <c r="C91" s="42" t="s">
        <v>69</v>
      </c>
    </row>
    <row r="92" spans="1:3" ht="16.5">
      <c r="A92" s="42" t="s">
        <v>369</v>
      </c>
      <c r="B92" s="42" t="s">
        <v>72</v>
      </c>
      <c r="C92" s="42" t="s">
        <v>58</v>
      </c>
    </row>
    <row r="93" spans="1:3" ht="16.5">
      <c r="A93" s="42" t="s">
        <v>370</v>
      </c>
      <c r="B93" s="42" t="s">
        <v>72</v>
      </c>
      <c r="C93" s="42" t="s">
        <v>68</v>
      </c>
    </row>
    <row r="94" spans="1:3" ht="16.5">
      <c r="A94" s="42" t="s">
        <v>371</v>
      </c>
      <c r="B94" s="42" t="s">
        <v>72</v>
      </c>
      <c r="C94" s="42" t="s">
        <v>67</v>
      </c>
    </row>
    <row r="95" spans="1:3" ht="16.5">
      <c r="A95" s="42" t="s">
        <v>372</v>
      </c>
      <c r="B95" s="42" t="s">
        <v>72</v>
      </c>
      <c r="C95" s="42" t="s">
        <v>63</v>
      </c>
    </row>
    <row r="96" spans="1:3" ht="16.5">
      <c r="A96" s="42" t="s">
        <v>373</v>
      </c>
      <c r="B96" s="42" t="s">
        <v>72</v>
      </c>
      <c r="C96" s="42" t="s">
        <v>60</v>
      </c>
    </row>
    <row r="97" spans="1:3" ht="16.5">
      <c r="A97" s="42" t="s">
        <v>374</v>
      </c>
      <c r="B97" s="42" t="s">
        <v>72</v>
      </c>
      <c r="C97" s="42" t="s">
        <v>61</v>
      </c>
    </row>
    <row r="98" spans="1:3" ht="16.5">
      <c r="A98" s="42" t="s">
        <v>375</v>
      </c>
      <c r="B98" s="42" t="s">
        <v>72</v>
      </c>
      <c r="C98" s="42" t="s">
        <v>62</v>
      </c>
    </row>
    <row r="99" spans="1:3" ht="16.5">
      <c r="A99" s="42" t="s">
        <v>376</v>
      </c>
      <c r="B99" s="42" t="s">
        <v>72</v>
      </c>
      <c r="C99" s="42" t="s">
        <v>377</v>
      </c>
    </row>
    <row r="100" spans="1:3" ht="16.5">
      <c r="A100" s="42" t="s">
        <v>86</v>
      </c>
      <c r="B100" s="42" t="s">
        <v>72</v>
      </c>
      <c r="C100" s="42" t="s">
        <v>47</v>
      </c>
    </row>
    <row r="101" spans="1:3" ht="16.5">
      <c r="A101" s="42" t="s">
        <v>87</v>
      </c>
      <c r="B101" s="42" t="s">
        <v>72</v>
      </c>
      <c r="C101" s="42" t="s">
        <v>48</v>
      </c>
    </row>
    <row r="102" spans="1:3" ht="16.5">
      <c r="A102" s="42" t="s">
        <v>88</v>
      </c>
      <c r="B102" s="42" t="s">
        <v>72</v>
      </c>
      <c r="C102" s="42" t="s">
        <v>49</v>
      </c>
    </row>
    <row r="103" spans="1:3" ht="16.5">
      <c r="A103" s="42" t="s">
        <v>89</v>
      </c>
      <c r="B103" s="42" t="s">
        <v>72</v>
      </c>
      <c r="C103" s="42" t="s">
        <v>50</v>
      </c>
    </row>
    <row r="104" spans="1:3" ht="16.5">
      <c r="A104" s="42" t="s">
        <v>378</v>
      </c>
      <c r="B104" s="42" t="s">
        <v>72</v>
      </c>
      <c r="C104" s="42" t="s">
        <v>379</v>
      </c>
    </row>
    <row r="105" spans="1:3" ht="16.5">
      <c r="A105" s="42" t="s">
        <v>380</v>
      </c>
      <c r="B105" s="42" t="s">
        <v>72</v>
      </c>
      <c r="C105" s="42" t="s">
        <v>90</v>
      </c>
    </row>
    <row r="106" spans="1:3" ht="16.5">
      <c r="A106" s="42" t="s">
        <v>381</v>
      </c>
      <c r="B106" s="42" t="s">
        <v>72</v>
      </c>
      <c r="C106" s="42" t="s">
        <v>91</v>
      </c>
    </row>
    <row r="107" spans="1:3" ht="16.5">
      <c r="A107" s="42" t="s">
        <v>382</v>
      </c>
      <c r="B107" s="42" t="s">
        <v>72</v>
      </c>
      <c r="C107" s="42" t="s">
        <v>92</v>
      </c>
    </row>
    <row r="108" spans="1:3" ht="16.5">
      <c r="A108" s="42" t="s">
        <v>93</v>
      </c>
      <c r="B108" s="42" t="s">
        <v>72</v>
      </c>
      <c r="C108" s="42" t="s">
        <v>94</v>
      </c>
    </row>
    <row r="109" spans="1:3" ht="16.5">
      <c r="A109" s="42" t="s">
        <v>383</v>
      </c>
      <c r="B109" s="42" t="s">
        <v>72</v>
      </c>
      <c r="C109" s="42" t="s">
        <v>384</v>
      </c>
    </row>
    <row r="110" spans="1:3" ht="16.5">
      <c r="A110" s="42" t="s">
        <v>385</v>
      </c>
      <c r="B110" s="42" t="s">
        <v>72</v>
      </c>
      <c r="C110" s="42" t="s">
        <v>386</v>
      </c>
    </row>
    <row r="111" spans="1:3" ht="16.5">
      <c r="A111" s="42" t="s">
        <v>387</v>
      </c>
      <c r="B111" s="42" t="s">
        <v>72</v>
      </c>
      <c r="C111" s="42" t="s">
        <v>388</v>
      </c>
    </row>
    <row r="112" spans="1:3" ht="16.5">
      <c r="A112" s="42" t="s">
        <v>389</v>
      </c>
      <c r="B112" s="42" t="s">
        <v>72</v>
      </c>
      <c r="C112" s="42" t="s">
        <v>390</v>
      </c>
    </row>
    <row r="113" spans="1:3" ht="16.5">
      <c r="A113" s="42" t="s">
        <v>391</v>
      </c>
      <c r="B113" s="42" t="s">
        <v>72</v>
      </c>
      <c r="C113" s="42" t="s">
        <v>392</v>
      </c>
    </row>
    <row r="114" spans="1:3" ht="16.5">
      <c r="A114" s="42" t="s">
        <v>393</v>
      </c>
      <c r="B114" s="42" t="s">
        <v>72</v>
      </c>
      <c r="C114" s="42" t="s">
        <v>394</v>
      </c>
    </row>
    <row r="115" spans="1:3" ht="16.5">
      <c r="A115" s="42" t="s">
        <v>395</v>
      </c>
      <c r="B115" s="42" t="s">
        <v>72</v>
      </c>
      <c r="C115" s="42" t="s">
        <v>396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개별종목정보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2015-11-16T04:49:56Z</dcterms:created>
  <dcterms:modified xsi:type="dcterms:W3CDTF">2025-05-15T01:16:22Z</dcterms:modified>
</cp:coreProperties>
</file>